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儲槽作業日報\儲槽作業日報\2025\"/>
    </mc:Choice>
  </mc:AlternateContent>
  <bookViews>
    <workbookView xWindow="0" yWindow="0" windowWidth="2160" windowHeight="0" firstSheet="12" activeTab="24"/>
  </bookViews>
  <sheets>
    <sheet name="新增" sheetId="1727" r:id="rId1"/>
    <sheet name="密度" sheetId="13" r:id="rId2"/>
    <sheet name="2.27" sheetId="1832" r:id="rId3"/>
    <sheet name="3.1" sheetId="1835" r:id="rId4"/>
    <sheet name="3.3" sheetId="1836" r:id="rId5"/>
    <sheet name="3.4" sheetId="1837" r:id="rId6"/>
    <sheet name="3.5" sheetId="1838" r:id="rId7"/>
    <sheet name="3.6" sheetId="1839" r:id="rId8"/>
    <sheet name="3.7" sheetId="1840" r:id="rId9"/>
    <sheet name="3.10" sheetId="1841" r:id="rId10"/>
    <sheet name="3.11" sheetId="1842" r:id="rId11"/>
    <sheet name="3.12" sheetId="1843" r:id="rId12"/>
    <sheet name="3.13" sheetId="1844" r:id="rId13"/>
    <sheet name="3.14" sheetId="1845" r:id="rId14"/>
    <sheet name="3.17" sheetId="1846" r:id="rId15"/>
    <sheet name="3.18" sheetId="1847" r:id="rId16"/>
    <sheet name="3.19" sheetId="1848" r:id="rId17"/>
    <sheet name="3.20" sheetId="1849" r:id="rId18"/>
    <sheet name="3.21" sheetId="1850" r:id="rId19"/>
    <sheet name="3.24" sheetId="1851" r:id="rId20"/>
    <sheet name="3.25" sheetId="1852" r:id="rId21"/>
    <sheet name="3.26" sheetId="1853" r:id="rId22"/>
    <sheet name="3.27" sheetId="1854" r:id="rId23"/>
    <sheet name="3.28" sheetId="1855" r:id="rId24"/>
    <sheet name="3.31" sheetId="1856" r:id="rId25"/>
  </sheets>
  <definedNames>
    <definedName name="_xlnm.Print_Area" localSheetId="2">'2.27'!$B$1:$AE$36</definedName>
    <definedName name="_xlnm.Print_Area" localSheetId="3">'3.1'!$B$1:$AE$36</definedName>
    <definedName name="_xlnm.Print_Area" localSheetId="9">'3.10'!$B$1:$AE$36</definedName>
    <definedName name="_xlnm.Print_Area" localSheetId="10">'3.11'!$B$1:$AE$36</definedName>
    <definedName name="_xlnm.Print_Area" localSheetId="11">'3.12'!$B$1:$AE$36</definedName>
    <definedName name="_xlnm.Print_Area" localSheetId="12">'3.13'!$B$1:$AE$36</definedName>
    <definedName name="_xlnm.Print_Area" localSheetId="13">'3.14'!$B$1:$AE$36</definedName>
    <definedName name="_xlnm.Print_Area" localSheetId="14">'3.17'!$B$1:$AE$36</definedName>
    <definedName name="_xlnm.Print_Area" localSheetId="15">'3.18'!$B$1:$AE$36</definedName>
    <definedName name="_xlnm.Print_Area" localSheetId="16">'3.19'!$B$1:$AE$36</definedName>
    <definedName name="_xlnm.Print_Area" localSheetId="17">'3.20'!$B$1:$AE$36</definedName>
    <definedName name="_xlnm.Print_Area" localSheetId="18">'3.21'!$B$1:$AE$36</definedName>
    <definedName name="_xlnm.Print_Area" localSheetId="19">'3.24'!$B$1:$AE$36</definedName>
    <definedName name="_xlnm.Print_Area" localSheetId="20">'3.25'!$B$1:$AE$36</definedName>
    <definedName name="_xlnm.Print_Area" localSheetId="21">'3.26'!$B$1:$AE$36</definedName>
    <definedName name="_xlnm.Print_Area" localSheetId="22">'3.27'!$B$1:$AE$36</definedName>
    <definedName name="_xlnm.Print_Area" localSheetId="23">'3.28'!$B$1:$AE$36</definedName>
    <definedName name="_xlnm.Print_Area" localSheetId="4">'3.3'!$B$1:$AE$36</definedName>
    <definedName name="_xlnm.Print_Area" localSheetId="24">'3.31'!$B$1:$AE$36</definedName>
    <definedName name="_xlnm.Print_Area" localSheetId="5">'3.4'!$B$1:$AE$36</definedName>
    <definedName name="_xlnm.Print_Area" localSheetId="6">'3.5'!$B$1:$AE$36</definedName>
    <definedName name="_xlnm.Print_Area" localSheetId="7">'3.6'!$B$1:$AE$36</definedName>
    <definedName name="_xlnm.Print_Area" localSheetId="8">'3.7'!$B$1:$AE$36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'2.27'!$B$3:$AE$36</definedName>
    <definedName name="Z_512059F6_F0DC_4056_8FD0_37088AB81F9E_.wvu.PrintArea" localSheetId="3" hidden="1">'3.1'!$B$3:$AE$36</definedName>
    <definedName name="Z_512059F6_F0DC_4056_8FD0_37088AB81F9E_.wvu.PrintArea" localSheetId="9" hidden="1">'3.10'!$B$3:$AE$36</definedName>
    <definedName name="Z_512059F6_F0DC_4056_8FD0_37088AB81F9E_.wvu.PrintArea" localSheetId="10" hidden="1">'3.11'!$B$3:$AE$36</definedName>
    <definedName name="Z_512059F6_F0DC_4056_8FD0_37088AB81F9E_.wvu.PrintArea" localSheetId="11" hidden="1">'3.12'!$B$3:$AE$36</definedName>
    <definedName name="Z_512059F6_F0DC_4056_8FD0_37088AB81F9E_.wvu.PrintArea" localSheetId="12" hidden="1">'3.13'!$B$3:$AE$36</definedName>
    <definedName name="Z_512059F6_F0DC_4056_8FD0_37088AB81F9E_.wvu.PrintArea" localSheetId="13" hidden="1">'3.14'!$B$3:$AE$36</definedName>
    <definedName name="Z_512059F6_F0DC_4056_8FD0_37088AB81F9E_.wvu.PrintArea" localSheetId="14" hidden="1">'3.17'!$B$3:$AE$36</definedName>
    <definedName name="Z_512059F6_F0DC_4056_8FD0_37088AB81F9E_.wvu.PrintArea" localSheetId="15" hidden="1">'3.18'!$B$3:$AE$36</definedName>
    <definedName name="Z_512059F6_F0DC_4056_8FD0_37088AB81F9E_.wvu.PrintArea" localSheetId="16" hidden="1">'3.19'!$B$3:$AE$36</definedName>
    <definedName name="Z_512059F6_F0DC_4056_8FD0_37088AB81F9E_.wvu.PrintArea" localSheetId="17" hidden="1">'3.20'!$B$3:$AE$36</definedName>
    <definedName name="Z_512059F6_F0DC_4056_8FD0_37088AB81F9E_.wvu.PrintArea" localSheetId="18" hidden="1">'3.21'!$B$3:$AE$36</definedName>
    <definedName name="Z_512059F6_F0DC_4056_8FD0_37088AB81F9E_.wvu.PrintArea" localSheetId="19" hidden="1">'3.24'!$B$3:$AE$36</definedName>
    <definedName name="Z_512059F6_F0DC_4056_8FD0_37088AB81F9E_.wvu.PrintArea" localSheetId="20" hidden="1">'3.25'!$B$3:$AE$36</definedName>
    <definedName name="Z_512059F6_F0DC_4056_8FD0_37088AB81F9E_.wvu.PrintArea" localSheetId="21" hidden="1">'3.26'!$B$3:$AE$36</definedName>
    <definedName name="Z_512059F6_F0DC_4056_8FD0_37088AB81F9E_.wvu.PrintArea" localSheetId="22" hidden="1">'3.27'!$B$3:$AE$36</definedName>
    <definedName name="Z_512059F6_F0DC_4056_8FD0_37088AB81F9E_.wvu.PrintArea" localSheetId="23" hidden="1">'3.28'!$B$3:$AE$36</definedName>
    <definedName name="Z_512059F6_F0DC_4056_8FD0_37088AB81F9E_.wvu.PrintArea" localSheetId="4" hidden="1">'3.3'!$B$3:$AE$36</definedName>
    <definedName name="Z_512059F6_F0DC_4056_8FD0_37088AB81F9E_.wvu.PrintArea" localSheetId="24" hidden="1">'3.31'!$B$3:$AE$36</definedName>
    <definedName name="Z_512059F6_F0DC_4056_8FD0_37088AB81F9E_.wvu.PrintArea" localSheetId="5" hidden="1">'3.4'!$B$3:$AE$36</definedName>
    <definedName name="Z_512059F6_F0DC_4056_8FD0_37088AB81F9E_.wvu.PrintArea" localSheetId="6" hidden="1">'3.5'!$B$3:$AE$36</definedName>
    <definedName name="Z_512059F6_F0DC_4056_8FD0_37088AB81F9E_.wvu.PrintArea" localSheetId="7" hidden="1">'3.6'!$B$3:$AE$36</definedName>
    <definedName name="Z_512059F6_F0DC_4056_8FD0_37088AB81F9E_.wvu.PrintArea" localSheetId="8" hidden="1">'3.7'!$B$3:$AE$36</definedName>
    <definedName name="Z_68643476_8805_447E_8170_A582EA1D0343_.wvu.PrintArea" localSheetId="2" hidden="1">'2.27'!$B$3:$AE$36</definedName>
    <definedName name="Z_68643476_8805_447E_8170_A582EA1D0343_.wvu.PrintArea" localSheetId="3" hidden="1">'3.1'!$B$3:$AE$36</definedName>
    <definedName name="Z_68643476_8805_447E_8170_A582EA1D0343_.wvu.PrintArea" localSheetId="9" hidden="1">'3.10'!$B$3:$AE$36</definedName>
    <definedName name="Z_68643476_8805_447E_8170_A582EA1D0343_.wvu.PrintArea" localSheetId="10" hidden="1">'3.11'!$B$3:$AE$36</definedName>
    <definedName name="Z_68643476_8805_447E_8170_A582EA1D0343_.wvu.PrintArea" localSheetId="11" hidden="1">'3.12'!$B$3:$AE$36</definedName>
    <definedName name="Z_68643476_8805_447E_8170_A582EA1D0343_.wvu.PrintArea" localSheetId="12" hidden="1">'3.13'!$B$3:$AE$36</definedName>
    <definedName name="Z_68643476_8805_447E_8170_A582EA1D0343_.wvu.PrintArea" localSheetId="13" hidden="1">'3.14'!$B$3:$AE$36</definedName>
    <definedName name="Z_68643476_8805_447E_8170_A582EA1D0343_.wvu.PrintArea" localSheetId="14" hidden="1">'3.17'!$B$3:$AE$36</definedName>
    <definedName name="Z_68643476_8805_447E_8170_A582EA1D0343_.wvu.PrintArea" localSheetId="15" hidden="1">'3.18'!$B$3:$AE$36</definedName>
    <definedName name="Z_68643476_8805_447E_8170_A582EA1D0343_.wvu.PrintArea" localSheetId="16" hidden="1">'3.19'!$B$3:$AE$36</definedName>
    <definedName name="Z_68643476_8805_447E_8170_A582EA1D0343_.wvu.PrintArea" localSheetId="17" hidden="1">'3.20'!$B$3:$AE$36</definedName>
    <definedName name="Z_68643476_8805_447E_8170_A582EA1D0343_.wvu.PrintArea" localSheetId="18" hidden="1">'3.21'!$B$3:$AE$36</definedName>
    <definedName name="Z_68643476_8805_447E_8170_A582EA1D0343_.wvu.PrintArea" localSheetId="19" hidden="1">'3.24'!$B$3:$AE$36</definedName>
    <definedName name="Z_68643476_8805_447E_8170_A582EA1D0343_.wvu.PrintArea" localSheetId="20" hidden="1">'3.25'!$B$3:$AE$36</definedName>
    <definedName name="Z_68643476_8805_447E_8170_A582EA1D0343_.wvu.PrintArea" localSheetId="21" hidden="1">'3.26'!$B$3:$AE$36</definedName>
    <definedName name="Z_68643476_8805_447E_8170_A582EA1D0343_.wvu.PrintArea" localSheetId="22" hidden="1">'3.27'!$B$3:$AE$36</definedName>
    <definedName name="Z_68643476_8805_447E_8170_A582EA1D0343_.wvu.PrintArea" localSheetId="23" hidden="1">'3.28'!$B$3:$AE$36</definedName>
    <definedName name="Z_68643476_8805_447E_8170_A582EA1D0343_.wvu.PrintArea" localSheetId="4" hidden="1">'3.3'!$B$3:$AE$36</definedName>
    <definedName name="Z_68643476_8805_447E_8170_A582EA1D0343_.wvu.PrintArea" localSheetId="24" hidden="1">'3.31'!$B$3:$AE$36</definedName>
    <definedName name="Z_68643476_8805_447E_8170_A582EA1D0343_.wvu.PrintArea" localSheetId="5" hidden="1">'3.4'!$B$3:$AE$36</definedName>
    <definedName name="Z_68643476_8805_447E_8170_A582EA1D0343_.wvu.PrintArea" localSheetId="6" hidden="1">'3.5'!$B$3:$AE$36</definedName>
    <definedName name="Z_68643476_8805_447E_8170_A582EA1D0343_.wvu.PrintArea" localSheetId="7" hidden="1">'3.6'!$B$3:$AE$36</definedName>
    <definedName name="Z_68643476_8805_447E_8170_A582EA1D0343_.wvu.PrintArea" localSheetId="8" hidden="1">'3.7'!$B$3:$AE$36</definedName>
    <definedName name="Z_8E5926ED_4EBD_4129_B8FF_799CC47580D7_.wvu.PrintArea" localSheetId="2" hidden="1">'2.27'!$B$3:$AE$36</definedName>
    <definedName name="Z_8E5926ED_4EBD_4129_B8FF_799CC47580D7_.wvu.PrintArea" localSheetId="3" hidden="1">'3.1'!$B$3:$AE$36</definedName>
    <definedName name="Z_8E5926ED_4EBD_4129_B8FF_799CC47580D7_.wvu.PrintArea" localSheetId="9" hidden="1">'3.10'!$B$3:$AE$36</definedName>
    <definedName name="Z_8E5926ED_4EBD_4129_B8FF_799CC47580D7_.wvu.PrintArea" localSheetId="10" hidden="1">'3.11'!$B$3:$AE$36</definedName>
    <definedName name="Z_8E5926ED_4EBD_4129_B8FF_799CC47580D7_.wvu.PrintArea" localSheetId="11" hidden="1">'3.12'!$B$3:$AE$36</definedName>
    <definedName name="Z_8E5926ED_4EBD_4129_B8FF_799CC47580D7_.wvu.PrintArea" localSheetId="12" hidden="1">'3.13'!$B$3:$AE$36</definedName>
    <definedName name="Z_8E5926ED_4EBD_4129_B8FF_799CC47580D7_.wvu.PrintArea" localSheetId="13" hidden="1">'3.14'!$B$3:$AE$36</definedName>
    <definedName name="Z_8E5926ED_4EBD_4129_B8FF_799CC47580D7_.wvu.PrintArea" localSheetId="14" hidden="1">'3.17'!$B$3:$AE$36</definedName>
    <definedName name="Z_8E5926ED_4EBD_4129_B8FF_799CC47580D7_.wvu.PrintArea" localSheetId="15" hidden="1">'3.18'!$B$3:$AE$36</definedName>
    <definedName name="Z_8E5926ED_4EBD_4129_B8FF_799CC47580D7_.wvu.PrintArea" localSheetId="16" hidden="1">'3.19'!$B$3:$AE$36</definedName>
    <definedName name="Z_8E5926ED_4EBD_4129_B8FF_799CC47580D7_.wvu.PrintArea" localSheetId="17" hidden="1">'3.20'!$B$3:$AE$36</definedName>
    <definedName name="Z_8E5926ED_4EBD_4129_B8FF_799CC47580D7_.wvu.PrintArea" localSheetId="18" hidden="1">'3.21'!$B$3:$AE$36</definedName>
    <definedName name="Z_8E5926ED_4EBD_4129_B8FF_799CC47580D7_.wvu.PrintArea" localSheetId="19" hidden="1">'3.24'!$B$3:$AE$36</definedName>
    <definedName name="Z_8E5926ED_4EBD_4129_B8FF_799CC47580D7_.wvu.PrintArea" localSheetId="20" hidden="1">'3.25'!$B$3:$AE$36</definedName>
    <definedName name="Z_8E5926ED_4EBD_4129_B8FF_799CC47580D7_.wvu.PrintArea" localSheetId="21" hidden="1">'3.26'!$B$3:$AE$36</definedName>
    <definedName name="Z_8E5926ED_4EBD_4129_B8FF_799CC47580D7_.wvu.PrintArea" localSheetId="22" hidden="1">'3.27'!$B$3:$AE$36</definedName>
    <definedName name="Z_8E5926ED_4EBD_4129_B8FF_799CC47580D7_.wvu.PrintArea" localSheetId="23" hidden="1">'3.28'!$B$3:$AE$36</definedName>
    <definedName name="Z_8E5926ED_4EBD_4129_B8FF_799CC47580D7_.wvu.PrintArea" localSheetId="4" hidden="1">'3.3'!$B$3:$AE$36</definedName>
    <definedName name="Z_8E5926ED_4EBD_4129_B8FF_799CC47580D7_.wvu.PrintArea" localSheetId="24" hidden="1">'3.31'!$B$3:$AE$36</definedName>
    <definedName name="Z_8E5926ED_4EBD_4129_B8FF_799CC47580D7_.wvu.PrintArea" localSheetId="5" hidden="1">'3.4'!$B$3:$AE$36</definedName>
    <definedName name="Z_8E5926ED_4EBD_4129_B8FF_799CC47580D7_.wvu.PrintArea" localSheetId="6" hidden="1">'3.5'!$B$3:$AE$36</definedName>
    <definedName name="Z_8E5926ED_4EBD_4129_B8FF_799CC47580D7_.wvu.PrintArea" localSheetId="7" hidden="1">'3.6'!$B$3:$AE$36</definedName>
    <definedName name="Z_8E5926ED_4EBD_4129_B8FF_799CC47580D7_.wvu.PrintArea" localSheetId="8" hidden="1">'3.7'!$B$3:$AE$36</definedName>
    <definedName name="Z_8FA8B620_C56C_11DB_A857_00055D5FD5FF_.wvu.PrintArea" localSheetId="2" hidden="1">'2.27'!$B$3:$AE$36</definedName>
    <definedName name="Z_8FA8B620_C56C_11DB_A857_00055D5FD5FF_.wvu.PrintArea" localSheetId="3" hidden="1">'3.1'!$B$3:$AE$36</definedName>
    <definedName name="Z_8FA8B620_C56C_11DB_A857_00055D5FD5FF_.wvu.PrintArea" localSheetId="9" hidden="1">'3.10'!$B$3:$AE$36</definedName>
    <definedName name="Z_8FA8B620_C56C_11DB_A857_00055D5FD5FF_.wvu.PrintArea" localSheetId="10" hidden="1">'3.11'!$B$3:$AE$36</definedName>
    <definedName name="Z_8FA8B620_C56C_11DB_A857_00055D5FD5FF_.wvu.PrintArea" localSheetId="11" hidden="1">'3.12'!$B$3:$AE$36</definedName>
    <definedName name="Z_8FA8B620_C56C_11DB_A857_00055D5FD5FF_.wvu.PrintArea" localSheetId="12" hidden="1">'3.13'!$B$3:$AE$36</definedName>
    <definedName name="Z_8FA8B620_C56C_11DB_A857_00055D5FD5FF_.wvu.PrintArea" localSheetId="13" hidden="1">'3.14'!$B$3:$AE$36</definedName>
    <definedName name="Z_8FA8B620_C56C_11DB_A857_00055D5FD5FF_.wvu.PrintArea" localSheetId="14" hidden="1">'3.17'!$B$3:$AE$36</definedName>
    <definedName name="Z_8FA8B620_C56C_11DB_A857_00055D5FD5FF_.wvu.PrintArea" localSheetId="15" hidden="1">'3.18'!$B$3:$AE$36</definedName>
    <definedName name="Z_8FA8B620_C56C_11DB_A857_00055D5FD5FF_.wvu.PrintArea" localSheetId="16" hidden="1">'3.19'!$B$3:$AE$36</definedName>
    <definedName name="Z_8FA8B620_C56C_11DB_A857_00055D5FD5FF_.wvu.PrintArea" localSheetId="17" hidden="1">'3.20'!$B$3:$AE$36</definedName>
    <definedName name="Z_8FA8B620_C56C_11DB_A857_00055D5FD5FF_.wvu.PrintArea" localSheetId="18" hidden="1">'3.21'!$B$3:$AE$36</definedName>
    <definedName name="Z_8FA8B620_C56C_11DB_A857_00055D5FD5FF_.wvu.PrintArea" localSheetId="19" hidden="1">'3.24'!$B$3:$AE$36</definedName>
    <definedName name="Z_8FA8B620_C56C_11DB_A857_00055D5FD5FF_.wvu.PrintArea" localSheetId="20" hidden="1">'3.25'!$B$3:$AE$36</definedName>
    <definedName name="Z_8FA8B620_C56C_11DB_A857_00055D5FD5FF_.wvu.PrintArea" localSheetId="21" hidden="1">'3.26'!$B$3:$AE$36</definedName>
    <definedName name="Z_8FA8B620_C56C_11DB_A857_00055D5FD5FF_.wvu.PrintArea" localSheetId="22" hidden="1">'3.27'!$B$3:$AE$36</definedName>
    <definedName name="Z_8FA8B620_C56C_11DB_A857_00055D5FD5FF_.wvu.PrintArea" localSheetId="23" hidden="1">'3.28'!$B$3:$AE$36</definedName>
    <definedName name="Z_8FA8B620_C56C_11DB_A857_00055D5FD5FF_.wvu.PrintArea" localSheetId="4" hidden="1">'3.3'!$B$3:$AE$36</definedName>
    <definedName name="Z_8FA8B620_C56C_11DB_A857_00055D5FD5FF_.wvu.PrintArea" localSheetId="24" hidden="1">'3.31'!$B$3:$AE$36</definedName>
    <definedName name="Z_8FA8B620_C56C_11DB_A857_00055D5FD5FF_.wvu.PrintArea" localSheetId="5" hidden="1">'3.4'!$B$3:$AE$36</definedName>
    <definedName name="Z_8FA8B620_C56C_11DB_A857_00055D5FD5FF_.wvu.PrintArea" localSheetId="6" hidden="1">'3.5'!$B$3:$AE$36</definedName>
    <definedName name="Z_8FA8B620_C56C_11DB_A857_00055D5FD5FF_.wvu.PrintArea" localSheetId="7" hidden="1">'3.6'!$B$3:$AE$36</definedName>
    <definedName name="Z_8FA8B620_C56C_11DB_A857_00055D5FD5FF_.wvu.PrintArea" localSheetId="8" hidden="1">'3.7'!$B$3:$AE$36</definedName>
    <definedName name="Z_A3DB5619_047E_4CE2_8C39_700CFD25F2CB_.wvu.PrintArea" localSheetId="2" hidden="1">'2.27'!$B$3:$AE$36</definedName>
    <definedName name="Z_A3DB5619_047E_4CE2_8C39_700CFD25F2CB_.wvu.PrintArea" localSheetId="3" hidden="1">'3.1'!$B$3:$AE$36</definedName>
    <definedName name="Z_A3DB5619_047E_4CE2_8C39_700CFD25F2CB_.wvu.PrintArea" localSheetId="9" hidden="1">'3.10'!$B$3:$AE$36</definedName>
    <definedName name="Z_A3DB5619_047E_4CE2_8C39_700CFD25F2CB_.wvu.PrintArea" localSheetId="10" hidden="1">'3.11'!$B$3:$AE$36</definedName>
    <definedName name="Z_A3DB5619_047E_4CE2_8C39_700CFD25F2CB_.wvu.PrintArea" localSheetId="11" hidden="1">'3.12'!$B$3:$AE$36</definedName>
    <definedName name="Z_A3DB5619_047E_4CE2_8C39_700CFD25F2CB_.wvu.PrintArea" localSheetId="12" hidden="1">'3.13'!$B$3:$AE$36</definedName>
    <definedName name="Z_A3DB5619_047E_4CE2_8C39_700CFD25F2CB_.wvu.PrintArea" localSheetId="13" hidden="1">'3.14'!$B$3:$AE$36</definedName>
    <definedName name="Z_A3DB5619_047E_4CE2_8C39_700CFD25F2CB_.wvu.PrintArea" localSheetId="14" hidden="1">'3.17'!$B$3:$AE$36</definedName>
    <definedName name="Z_A3DB5619_047E_4CE2_8C39_700CFD25F2CB_.wvu.PrintArea" localSheetId="15" hidden="1">'3.18'!$B$3:$AE$36</definedName>
    <definedName name="Z_A3DB5619_047E_4CE2_8C39_700CFD25F2CB_.wvu.PrintArea" localSheetId="16" hidden="1">'3.19'!$B$3:$AE$36</definedName>
    <definedName name="Z_A3DB5619_047E_4CE2_8C39_700CFD25F2CB_.wvu.PrintArea" localSheetId="17" hidden="1">'3.20'!$B$3:$AE$36</definedName>
    <definedName name="Z_A3DB5619_047E_4CE2_8C39_700CFD25F2CB_.wvu.PrintArea" localSheetId="18" hidden="1">'3.21'!$B$3:$AE$36</definedName>
    <definedName name="Z_A3DB5619_047E_4CE2_8C39_700CFD25F2CB_.wvu.PrintArea" localSheetId="19" hidden="1">'3.24'!$B$3:$AE$36</definedName>
    <definedName name="Z_A3DB5619_047E_4CE2_8C39_700CFD25F2CB_.wvu.PrintArea" localSheetId="20" hidden="1">'3.25'!$B$3:$AE$36</definedName>
    <definedName name="Z_A3DB5619_047E_4CE2_8C39_700CFD25F2CB_.wvu.PrintArea" localSheetId="21" hidden="1">'3.26'!$B$3:$AE$36</definedName>
    <definedName name="Z_A3DB5619_047E_4CE2_8C39_700CFD25F2CB_.wvu.PrintArea" localSheetId="22" hidden="1">'3.27'!$B$3:$AE$36</definedName>
    <definedName name="Z_A3DB5619_047E_4CE2_8C39_700CFD25F2CB_.wvu.PrintArea" localSheetId="23" hidden="1">'3.28'!$B$3:$AE$36</definedName>
    <definedName name="Z_A3DB5619_047E_4CE2_8C39_700CFD25F2CB_.wvu.PrintArea" localSheetId="4" hidden="1">'3.3'!$B$3:$AE$36</definedName>
    <definedName name="Z_A3DB5619_047E_4CE2_8C39_700CFD25F2CB_.wvu.PrintArea" localSheetId="24" hidden="1">'3.31'!$B$3:$AE$36</definedName>
    <definedName name="Z_A3DB5619_047E_4CE2_8C39_700CFD25F2CB_.wvu.PrintArea" localSheetId="5" hidden="1">'3.4'!$B$3:$AE$36</definedName>
    <definedName name="Z_A3DB5619_047E_4CE2_8C39_700CFD25F2CB_.wvu.PrintArea" localSheetId="6" hidden="1">'3.5'!$B$3:$AE$36</definedName>
    <definedName name="Z_A3DB5619_047E_4CE2_8C39_700CFD25F2CB_.wvu.PrintArea" localSheetId="7" hidden="1">'3.6'!$B$3:$AE$36</definedName>
    <definedName name="Z_A3DB5619_047E_4CE2_8C39_700CFD25F2CB_.wvu.PrintArea" localSheetId="8" hidden="1">'3.7'!$B$3:$AE$36</definedName>
    <definedName name="Z_D903F940_B812_11DB_B168_0010B575B8B2_.wvu.PrintArea" localSheetId="2" hidden="1">'2.27'!$B$3:$AE$36</definedName>
    <definedName name="Z_D903F940_B812_11DB_B168_0010B575B8B2_.wvu.PrintArea" localSheetId="3" hidden="1">'3.1'!$B$3:$AE$36</definedName>
    <definedName name="Z_D903F940_B812_11DB_B168_0010B575B8B2_.wvu.PrintArea" localSheetId="9" hidden="1">'3.10'!$B$3:$AE$36</definedName>
    <definedName name="Z_D903F940_B812_11DB_B168_0010B575B8B2_.wvu.PrintArea" localSheetId="10" hidden="1">'3.11'!$B$3:$AE$36</definedName>
    <definedName name="Z_D903F940_B812_11DB_B168_0010B575B8B2_.wvu.PrintArea" localSheetId="11" hidden="1">'3.12'!$B$3:$AE$36</definedName>
    <definedName name="Z_D903F940_B812_11DB_B168_0010B575B8B2_.wvu.PrintArea" localSheetId="12" hidden="1">'3.13'!$B$3:$AE$36</definedName>
    <definedName name="Z_D903F940_B812_11DB_B168_0010B575B8B2_.wvu.PrintArea" localSheetId="13" hidden="1">'3.14'!$B$3:$AE$36</definedName>
    <definedName name="Z_D903F940_B812_11DB_B168_0010B575B8B2_.wvu.PrintArea" localSheetId="14" hidden="1">'3.17'!$B$3:$AE$36</definedName>
    <definedName name="Z_D903F940_B812_11DB_B168_0010B575B8B2_.wvu.PrintArea" localSheetId="15" hidden="1">'3.18'!$B$3:$AE$36</definedName>
    <definedName name="Z_D903F940_B812_11DB_B168_0010B575B8B2_.wvu.PrintArea" localSheetId="16" hidden="1">'3.19'!$B$3:$AE$36</definedName>
    <definedName name="Z_D903F940_B812_11DB_B168_0010B575B8B2_.wvu.PrintArea" localSheetId="17" hidden="1">'3.20'!$B$3:$AE$36</definedName>
    <definedName name="Z_D903F940_B812_11DB_B168_0010B575B8B2_.wvu.PrintArea" localSheetId="18" hidden="1">'3.21'!$B$3:$AE$36</definedName>
    <definedName name="Z_D903F940_B812_11DB_B168_0010B575B8B2_.wvu.PrintArea" localSheetId="19" hidden="1">'3.24'!$B$3:$AE$36</definedName>
    <definedName name="Z_D903F940_B812_11DB_B168_0010B575B8B2_.wvu.PrintArea" localSheetId="20" hidden="1">'3.25'!$B$3:$AE$36</definedName>
    <definedName name="Z_D903F940_B812_11DB_B168_0010B575B8B2_.wvu.PrintArea" localSheetId="21" hidden="1">'3.26'!$B$3:$AE$36</definedName>
    <definedName name="Z_D903F940_B812_11DB_B168_0010B575B8B2_.wvu.PrintArea" localSheetId="22" hidden="1">'3.27'!$B$3:$AE$36</definedName>
    <definedName name="Z_D903F940_B812_11DB_B168_0010B575B8B2_.wvu.PrintArea" localSheetId="23" hidden="1">'3.28'!$B$3:$AE$36</definedName>
    <definedName name="Z_D903F940_B812_11DB_B168_0010B575B8B2_.wvu.PrintArea" localSheetId="4" hidden="1">'3.3'!$B$3:$AE$36</definedName>
    <definedName name="Z_D903F940_B812_11DB_B168_0010B575B8B2_.wvu.PrintArea" localSheetId="24" hidden="1">'3.31'!$B$3:$AE$36</definedName>
    <definedName name="Z_D903F940_B812_11DB_B168_0010B575B8B2_.wvu.PrintArea" localSheetId="5" hidden="1">'3.4'!$B$3:$AE$36</definedName>
    <definedName name="Z_D903F940_B812_11DB_B168_0010B575B8B2_.wvu.PrintArea" localSheetId="6" hidden="1">'3.5'!$B$3:$AE$36</definedName>
    <definedName name="Z_D903F940_B812_11DB_B168_0010B575B8B2_.wvu.PrintArea" localSheetId="7" hidden="1">'3.6'!$B$3:$AE$36</definedName>
    <definedName name="Z_D903F940_B812_11DB_B168_0010B575B8B2_.wvu.PrintArea" localSheetId="8" hidden="1">'3.7'!$B$3:$AE$36</definedName>
    <definedName name="取樣回收每月庫存表" localSheetId="2" hidden="1">'2.27'!#REF!</definedName>
    <definedName name="取樣回收每月庫存表" localSheetId="3" hidden="1">'3.1'!#REF!</definedName>
    <definedName name="取樣回收每月庫存表" localSheetId="9" hidden="1">'3.10'!#REF!</definedName>
    <definedName name="取樣回收每月庫存表" localSheetId="10" hidden="1">'3.11'!#REF!</definedName>
    <definedName name="取樣回收每月庫存表" localSheetId="11" hidden="1">'3.12'!#REF!</definedName>
    <definedName name="取樣回收每月庫存表" localSheetId="12" hidden="1">'3.13'!#REF!</definedName>
    <definedName name="取樣回收每月庫存表" localSheetId="13" hidden="1">'3.14'!#REF!</definedName>
    <definedName name="取樣回收每月庫存表" localSheetId="14" hidden="1">'3.17'!#REF!</definedName>
    <definedName name="取樣回收每月庫存表" localSheetId="15" hidden="1">'3.18'!#REF!</definedName>
    <definedName name="取樣回收每月庫存表" localSheetId="16" hidden="1">'3.19'!#REF!</definedName>
    <definedName name="取樣回收每月庫存表" localSheetId="17" hidden="1">'3.20'!#REF!</definedName>
    <definedName name="取樣回收每月庫存表" localSheetId="18" hidden="1">'3.21'!#REF!</definedName>
    <definedName name="取樣回收每月庫存表" localSheetId="19" hidden="1">'3.24'!#REF!</definedName>
    <definedName name="取樣回收每月庫存表" localSheetId="20" hidden="1">'3.25'!#REF!</definedName>
    <definedName name="取樣回收每月庫存表" localSheetId="21" hidden="1">'3.26'!#REF!</definedName>
    <definedName name="取樣回收每月庫存表" localSheetId="22" hidden="1">'3.27'!#REF!</definedName>
    <definedName name="取樣回收每月庫存表" localSheetId="23" hidden="1">'3.28'!#REF!</definedName>
    <definedName name="取樣回收每月庫存表" localSheetId="4" hidden="1">'3.3'!#REF!</definedName>
    <definedName name="取樣回收每月庫存表" localSheetId="24" hidden="1">'3.31'!#REF!</definedName>
    <definedName name="取樣回收每月庫存表" localSheetId="5" hidden="1">'3.4'!#REF!</definedName>
    <definedName name="取樣回收每月庫存表" localSheetId="6" hidden="1">'3.5'!#REF!</definedName>
    <definedName name="取樣回收每月庫存表" localSheetId="7" hidden="1">'3.6'!#REF!</definedName>
    <definedName name="取樣回收每月庫存表" localSheetId="8" hidden="1">'3.7'!#REF!</definedName>
    <definedName name="取樣回收每月庫存表_0620更新" localSheetId="2" hidden="1">'2.27'!$AG$13:$BH$189</definedName>
    <definedName name="取樣回收每月庫存表_0620更新" localSheetId="3" hidden="1">'3.1'!$AG$13:$BH$189</definedName>
    <definedName name="取樣回收每月庫存表_0620更新" localSheetId="9" hidden="1">'3.10'!$AG$13:$BH$189</definedName>
    <definedName name="取樣回收每月庫存表_0620更新" localSheetId="10" hidden="1">'3.11'!$AG$13:$BH$189</definedName>
    <definedName name="取樣回收每月庫存表_0620更新" localSheetId="11" hidden="1">'3.12'!$AG$13:$BH$189</definedName>
    <definedName name="取樣回收每月庫存表_0620更新" localSheetId="12" hidden="1">'3.13'!$AG$13:$BH$189</definedName>
    <definedName name="取樣回收每月庫存表_0620更新" localSheetId="13" hidden="1">'3.14'!$AG$13:$BH$189</definedName>
    <definedName name="取樣回收每月庫存表_0620更新" localSheetId="14" hidden="1">'3.17'!$AG$13:$BH$189</definedName>
    <definedName name="取樣回收每月庫存表_0620更新" localSheetId="15" hidden="1">'3.18'!$AG$13:$BH$189</definedName>
    <definedName name="取樣回收每月庫存表_0620更新" localSheetId="16" hidden="1">'3.19'!$AG$13:$BH$189</definedName>
    <definedName name="取樣回收每月庫存表_0620更新" localSheetId="17" hidden="1">'3.20'!$AG$13:$BH$189</definedName>
    <definedName name="取樣回收每月庫存表_0620更新" localSheetId="18" hidden="1">'3.21'!$AG$13:$BH$189</definedName>
    <definedName name="取樣回收每月庫存表_0620更新" localSheetId="19" hidden="1">'3.24'!$AG$13:$BH$189</definedName>
    <definedName name="取樣回收每月庫存表_0620更新" localSheetId="20" hidden="1">'3.25'!$AG$13:$BH$189</definedName>
    <definedName name="取樣回收每月庫存表_0620更新" localSheetId="21" hidden="1">'3.26'!$AG$13:$BH$189</definedName>
    <definedName name="取樣回收每月庫存表_0620更新" localSheetId="22" hidden="1">'3.27'!$AG$13:$BH$189</definedName>
    <definedName name="取樣回收每月庫存表_0620更新" localSheetId="23" hidden="1">'3.28'!$AG$13:$BH$189</definedName>
    <definedName name="取樣回收每月庫存表_0620更新" localSheetId="4" hidden="1">'3.3'!$AG$13:$BH$189</definedName>
    <definedName name="取樣回收每月庫存表_0620更新" localSheetId="24" hidden="1">'3.31'!$AG$13:$BH$189</definedName>
    <definedName name="取樣回收每月庫存表_0620更新" localSheetId="5" hidden="1">'3.4'!$AG$13:$BH$189</definedName>
    <definedName name="取樣回收每月庫存表_0620更新" localSheetId="6" hidden="1">'3.5'!$AG$13:$BH$189</definedName>
    <definedName name="取樣回收每月庫存表_0620更新" localSheetId="7" hidden="1">'3.6'!$AG$13:$BH$189</definedName>
    <definedName name="取樣回收每月庫存表_0620更新" localSheetId="8" hidden="1">'3.7'!$AG$13:$BH$189</definedName>
    <definedName name="複本_14_取樣回收每月庫存表" localSheetId="2" hidden="1">'2.27'!#REF!</definedName>
    <definedName name="複本_14_取樣回收每月庫存表" localSheetId="3" hidden="1">'3.1'!#REF!</definedName>
    <definedName name="複本_14_取樣回收每月庫存表" localSheetId="9" hidden="1">'3.10'!#REF!</definedName>
    <definedName name="複本_14_取樣回收每月庫存表" localSheetId="10" hidden="1">'3.11'!#REF!</definedName>
    <definedName name="複本_14_取樣回收每月庫存表" localSheetId="11" hidden="1">'3.12'!#REF!</definedName>
    <definedName name="複本_14_取樣回收每月庫存表" localSheetId="12" hidden="1">'3.13'!#REF!</definedName>
    <definedName name="複本_14_取樣回收每月庫存表" localSheetId="13" hidden="1">'3.14'!#REF!</definedName>
    <definedName name="複本_14_取樣回收每月庫存表" localSheetId="14" hidden="1">'3.17'!#REF!</definedName>
    <definedName name="複本_14_取樣回收每月庫存表" localSheetId="15" hidden="1">'3.18'!#REF!</definedName>
    <definedName name="複本_14_取樣回收每月庫存表" localSheetId="16" hidden="1">'3.19'!#REF!</definedName>
    <definedName name="複本_14_取樣回收每月庫存表" localSheetId="17" hidden="1">'3.20'!#REF!</definedName>
    <definedName name="複本_14_取樣回收每月庫存表" localSheetId="18" hidden="1">'3.21'!#REF!</definedName>
    <definedName name="複本_14_取樣回收每月庫存表" localSheetId="19" hidden="1">'3.24'!#REF!</definedName>
    <definedName name="複本_14_取樣回收每月庫存表" localSheetId="20" hidden="1">'3.25'!#REF!</definedName>
    <definedName name="複本_14_取樣回收每月庫存表" localSheetId="21" hidden="1">'3.26'!#REF!</definedName>
    <definedName name="複本_14_取樣回收每月庫存表" localSheetId="22" hidden="1">'3.27'!#REF!</definedName>
    <definedName name="複本_14_取樣回收每月庫存表" localSheetId="23" hidden="1">'3.28'!#REF!</definedName>
    <definedName name="複本_14_取樣回收每月庫存表" localSheetId="4" hidden="1">'3.3'!#REF!</definedName>
    <definedName name="複本_14_取樣回收每月庫存表" localSheetId="24" hidden="1">'3.31'!#REF!</definedName>
    <definedName name="複本_14_取樣回收每月庫存表" localSheetId="5" hidden="1">'3.4'!#REF!</definedName>
    <definedName name="複本_14_取樣回收每月庫存表" localSheetId="6" hidden="1">'3.5'!#REF!</definedName>
    <definedName name="複本_14_取樣回收每月庫存表" localSheetId="7" hidden="1">'3.6'!#REF!</definedName>
    <definedName name="複本_14_取樣回收每月庫存表" localSheetId="8" hidden="1">'3.7'!#REF!</definedName>
  </definedNames>
  <calcPr calcId="162913"/>
</workbook>
</file>

<file path=xl/calcChain.xml><?xml version="1.0" encoding="utf-8"?>
<calcChain xmlns="http://schemas.openxmlformats.org/spreadsheetml/2006/main">
  <c r="AA33" i="1856" l="1"/>
  <c r="X33" i="1856"/>
  <c r="U33" i="1856"/>
  <c r="R33" i="1856"/>
  <c r="O33" i="1856"/>
  <c r="L33" i="1856"/>
  <c r="F33" i="1856"/>
  <c r="Y28" i="1856"/>
  <c r="X28" i="1856"/>
  <c r="W28" i="1856"/>
  <c r="V28" i="1856"/>
  <c r="U28" i="1856"/>
  <c r="T28" i="1856"/>
  <c r="S28" i="1856"/>
  <c r="R28" i="1856"/>
  <c r="Q28" i="1856"/>
  <c r="P28" i="1856"/>
  <c r="O28" i="1856"/>
  <c r="N28" i="1856"/>
  <c r="M28" i="1856"/>
  <c r="L28" i="1856"/>
  <c r="K28" i="1856"/>
  <c r="J28" i="1856"/>
  <c r="I28" i="1856"/>
  <c r="H28" i="1856"/>
  <c r="G28" i="1856"/>
  <c r="F28" i="1856"/>
  <c r="E28" i="1856"/>
  <c r="D28" i="1856"/>
  <c r="Y25" i="1856"/>
  <c r="X25" i="1856"/>
  <c r="W25" i="1856"/>
  <c r="V25" i="1856"/>
  <c r="U25" i="1856"/>
  <c r="T25" i="1856"/>
  <c r="S25" i="1856"/>
  <c r="R25" i="1856"/>
  <c r="Q25" i="1856"/>
  <c r="P25" i="1856"/>
  <c r="O25" i="1856"/>
  <c r="N25" i="1856"/>
  <c r="M25" i="1856"/>
  <c r="L25" i="1856"/>
  <c r="K25" i="1856"/>
  <c r="J25" i="1856"/>
  <c r="I25" i="1856"/>
  <c r="H25" i="1856"/>
  <c r="G25" i="1856"/>
  <c r="F25" i="1856"/>
  <c r="E25" i="1856"/>
  <c r="D25" i="1856"/>
  <c r="AE19" i="1856"/>
  <c r="AD19" i="1856"/>
  <c r="AC19" i="1856"/>
  <c r="AB19" i="1856"/>
  <c r="AA19" i="1856"/>
  <c r="Z19" i="1856"/>
  <c r="Y19" i="1856"/>
  <c r="X19" i="1856"/>
  <c r="T33" i="1856" s="1"/>
  <c r="W19" i="1856"/>
  <c r="V19" i="1856"/>
  <c r="U19" i="1856"/>
  <c r="T19" i="1856"/>
  <c r="S19" i="1856"/>
  <c r="R19" i="1856"/>
  <c r="Q19" i="1856"/>
  <c r="P19" i="1856"/>
  <c r="O19" i="1856"/>
  <c r="N19" i="1856"/>
  <c r="H33" i="1856" s="1"/>
  <c r="M19" i="1856"/>
  <c r="L19" i="1856"/>
  <c r="P33" i="1856" s="1"/>
  <c r="K19" i="1856"/>
  <c r="J19" i="1856"/>
  <c r="I19" i="1856"/>
  <c r="AB33" i="1856" s="1"/>
  <c r="H19" i="1856"/>
  <c r="G19" i="1856"/>
  <c r="F19" i="1856"/>
  <c r="E19" i="1856"/>
  <c r="D19" i="1856"/>
  <c r="AE16" i="1856"/>
  <c r="AD16" i="1856"/>
  <c r="AC16" i="1856"/>
  <c r="AB16" i="1856"/>
  <c r="AA16" i="1856"/>
  <c r="Z16" i="1856"/>
  <c r="Y16" i="1856"/>
  <c r="X16" i="1856"/>
  <c r="W16" i="1856"/>
  <c r="V16" i="1856"/>
  <c r="U16" i="1856"/>
  <c r="T16" i="1856"/>
  <c r="S16" i="1856"/>
  <c r="R16" i="1856"/>
  <c r="Q16" i="1856"/>
  <c r="P16" i="1856"/>
  <c r="O16" i="1856"/>
  <c r="N16" i="1856"/>
  <c r="M16" i="1856"/>
  <c r="L16" i="1856"/>
  <c r="K16" i="1856"/>
  <c r="J16" i="1856"/>
  <c r="I16" i="1856"/>
  <c r="H16" i="1856"/>
  <c r="G16" i="1856"/>
  <c r="F16" i="1856"/>
  <c r="E16" i="1856"/>
  <c r="D16" i="1856"/>
  <c r="AE10" i="1856"/>
  <c r="AD10" i="1856"/>
  <c r="AC33" i="1856" s="1"/>
  <c r="AC10" i="1856"/>
  <c r="AB10" i="1856"/>
  <c r="D33" i="1856" s="1"/>
  <c r="AA10" i="1856"/>
  <c r="Z10" i="1856"/>
  <c r="Y10" i="1856"/>
  <c r="X10" i="1856"/>
  <c r="W10" i="1856"/>
  <c r="V10" i="1856"/>
  <c r="U10" i="1856"/>
  <c r="T10" i="1856"/>
  <c r="S10" i="1856"/>
  <c r="R10" i="1856"/>
  <c r="Q10" i="1856"/>
  <c r="P10" i="1856"/>
  <c r="O10" i="1856"/>
  <c r="N10" i="1856"/>
  <c r="Q33" i="1856" s="1"/>
  <c r="M10" i="1856"/>
  <c r="E33" i="1856" s="1"/>
  <c r="L10" i="1856"/>
  <c r="N33" i="1856" s="1"/>
  <c r="K10" i="1856"/>
  <c r="J10" i="1856"/>
  <c r="I10" i="1856"/>
  <c r="H10" i="1856"/>
  <c r="G10" i="1856"/>
  <c r="F10" i="1856"/>
  <c r="J33" i="1856" s="1"/>
  <c r="E10" i="1856"/>
  <c r="S33" i="1856" s="1"/>
  <c r="D10" i="1856"/>
  <c r="AE7" i="1856"/>
  <c r="AD7" i="1856"/>
  <c r="AC7" i="1856"/>
  <c r="AB7" i="1856"/>
  <c r="AA7" i="1856"/>
  <c r="Z7" i="1856"/>
  <c r="Y7" i="1856"/>
  <c r="X7" i="1856"/>
  <c r="W7" i="1856"/>
  <c r="V7" i="1856"/>
  <c r="U7" i="1856"/>
  <c r="T7" i="1856"/>
  <c r="S7" i="1856"/>
  <c r="R7" i="1856"/>
  <c r="Q7" i="1856"/>
  <c r="P7" i="1856"/>
  <c r="O7" i="1856"/>
  <c r="N7" i="1856"/>
  <c r="M7" i="1856"/>
  <c r="L7" i="1856"/>
  <c r="K7" i="1856"/>
  <c r="J7" i="1856"/>
  <c r="I7" i="1856"/>
  <c r="H7" i="1856"/>
  <c r="G7" i="1856"/>
  <c r="F7" i="1856"/>
  <c r="E7" i="1856"/>
  <c r="D7" i="1856"/>
  <c r="K33" i="1856" l="1"/>
  <c r="W33" i="1856"/>
  <c r="Z33" i="1856"/>
  <c r="Y33" i="1856"/>
  <c r="M33" i="1856"/>
  <c r="V33" i="1856"/>
  <c r="AA33" i="1855"/>
  <c r="X33" i="1855"/>
  <c r="U33" i="1855"/>
  <c r="R33" i="1855"/>
  <c r="O33" i="1855"/>
  <c r="L33" i="1855"/>
  <c r="F33" i="1855"/>
  <c r="Y28" i="1855"/>
  <c r="X28" i="1855"/>
  <c r="W28" i="1855"/>
  <c r="V28" i="1855"/>
  <c r="U28" i="1855"/>
  <c r="T28" i="1855"/>
  <c r="S28" i="1855"/>
  <c r="R28" i="1855"/>
  <c r="Q28" i="1855"/>
  <c r="P28" i="1855"/>
  <c r="O28" i="1855"/>
  <c r="N28" i="1855"/>
  <c r="M28" i="1855"/>
  <c r="L28" i="1855"/>
  <c r="K28" i="1855"/>
  <c r="J28" i="1855"/>
  <c r="I28" i="1855"/>
  <c r="H28" i="1855"/>
  <c r="G28" i="1855"/>
  <c r="F28" i="1855"/>
  <c r="E28" i="1855"/>
  <c r="D28" i="1855"/>
  <c r="Y25" i="1855"/>
  <c r="X25" i="1855"/>
  <c r="W25" i="1855"/>
  <c r="V25" i="1855"/>
  <c r="U25" i="1855"/>
  <c r="T25" i="1855"/>
  <c r="S25" i="1855"/>
  <c r="R25" i="1855"/>
  <c r="Q25" i="1855"/>
  <c r="P25" i="1855"/>
  <c r="O25" i="1855"/>
  <c r="N25" i="1855"/>
  <c r="M25" i="1855"/>
  <c r="L25" i="1855"/>
  <c r="K25" i="1855"/>
  <c r="J25" i="1855"/>
  <c r="I25" i="1855"/>
  <c r="H25" i="1855"/>
  <c r="G25" i="1855"/>
  <c r="F25" i="1855"/>
  <c r="E25" i="1855"/>
  <c r="D25" i="1855"/>
  <c r="AE19" i="1855"/>
  <c r="AD19" i="1855"/>
  <c r="AC19" i="1855"/>
  <c r="AB19" i="1855"/>
  <c r="AA19" i="1855"/>
  <c r="Z19" i="1855"/>
  <c r="Y19" i="1855"/>
  <c r="X19" i="1855"/>
  <c r="T33" i="1855" s="1"/>
  <c r="W19" i="1855"/>
  <c r="V19" i="1855"/>
  <c r="U19" i="1855"/>
  <c r="T19" i="1855"/>
  <c r="S19" i="1855"/>
  <c r="R19" i="1855"/>
  <c r="Q19" i="1855"/>
  <c r="P19" i="1855"/>
  <c r="O19" i="1855"/>
  <c r="N19" i="1855"/>
  <c r="H33" i="1855" s="1"/>
  <c r="M19" i="1855"/>
  <c r="L19" i="1855"/>
  <c r="P33" i="1855" s="1"/>
  <c r="K19" i="1855"/>
  <c r="J19" i="1855"/>
  <c r="I19" i="1855"/>
  <c r="AB33" i="1855" s="1"/>
  <c r="H19" i="1855"/>
  <c r="G19" i="1855"/>
  <c r="F19" i="1855"/>
  <c r="E19" i="1855"/>
  <c r="D19" i="1855"/>
  <c r="AE16" i="1855"/>
  <c r="AD16" i="1855"/>
  <c r="AC16" i="1855"/>
  <c r="AB16" i="1855"/>
  <c r="AA16" i="1855"/>
  <c r="Z16" i="1855"/>
  <c r="Y16" i="1855"/>
  <c r="X16" i="1855"/>
  <c r="W16" i="1855"/>
  <c r="V16" i="1855"/>
  <c r="U16" i="1855"/>
  <c r="T16" i="1855"/>
  <c r="S16" i="1855"/>
  <c r="R16" i="1855"/>
  <c r="Q16" i="1855"/>
  <c r="P16" i="1855"/>
  <c r="O16" i="1855"/>
  <c r="N16" i="1855"/>
  <c r="M16" i="1855"/>
  <c r="L16" i="1855"/>
  <c r="K16" i="1855"/>
  <c r="J16" i="1855"/>
  <c r="I16" i="1855"/>
  <c r="H16" i="1855"/>
  <c r="G16" i="1855"/>
  <c r="F16" i="1855"/>
  <c r="E16" i="1855"/>
  <c r="D16" i="1855"/>
  <c r="AE10" i="1855"/>
  <c r="AD10" i="1855"/>
  <c r="AC33" i="1855" s="1"/>
  <c r="AC10" i="1855"/>
  <c r="AB10" i="1855"/>
  <c r="D33" i="1855" s="1"/>
  <c r="AA10" i="1855"/>
  <c r="Z10" i="1855"/>
  <c r="Y10" i="1855"/>
  <c r="X10" i="1855"/>
  <c r="W10" i="1855"/>
  <c r="V10" i="1855"/>
  <c r="U10" i="1855"/>
  <c r="T10" i="1855"/>
  <c r="S10" i="1855"/>
  <c r="R10" i="1855"/>
  <c r="Q10" i="1855"/>
  <c r="P10" i="1855"/>
  <c r="O10" i="1855"/>
  <c r="N10" i="1855"/>
  <c r="Q33" i="1855" s="1"/>
  <c r="M10" i="1855"/>
  <c r="E33" i="1855" s="1"/>
  <c r="L10" i="1855"/>
  <c r="N33" i="1855" s="1"/>
  <c r="K10" i="1855"/>
  <c r="J10" i="1855"/>
  <c r="I10" i="1855"/>
  <c r="H10" i="1855"/>
  <c r="G10" i="1855"/>
  <c r="F10" i="1855"/>
  <c r="J33" i="1855" s="1"/>
  <c r="E10" i="1855"/>
  <c r="D10" i="1855"/>
  <c r="AE7" i="1855"/>
  <c r="AD7" i="1855"/>
  <c r="AC7" i="1855"/>
  <c r="AB7" i="1855"/>
  <c r="AA7" i="1855"/>
  <c r="Z7" i="1855"/>
  <c r="Y7" i="1855"/>
  <c r="X7" i="1855"/>
  <c r="W7" i="1855"/>
  <c r="V7" i="1855"/>
  <c r="U7" i="1855"/>
  <c r="T7" i="1855"/>
  <c r="S7" i="1855"/>
  <c r="R7" i="1855"/>
  <c r="Q7" i="1855"/>
  <c r="P7" i="1855"/>
  <c r="O7" i="1855"/>
  <c r="N7" i="1855"/>
  <c r="M7" i="1855"/>
  <c r="L7" i="1855"/>
  <c r="K7" i="1855"/>
  <c r="J7" i="1855"/>
  <c r="I7" i="1855"/>
  <c r="H7" i="1855"/>
  <c r="G7" i="1855"/>
  <c r="F7" i="1855"/>
  <c r="E7" i="1855"/>
  <c r="D7" i="1855"/>
  <c r="Z33" i="1855" l="1"/>
  <c r="K33" i="1855"/>
  <c r="W33" i="1855"/>
  <c r="Y33" i="1855"/>
  <c r="S33" i="1855"/>
  <c r="M33" i="1855"/>
  <c r="V33" i="1855"/>
  <c r="AA33" i="1854"/>
  <c r="X33" i="1854"/>
  <c r="U33" i="1854"/>
  <c r="R33" i="1854"/>
  <c r="O33" i="1854"/>
  <c r="L33" i="1854"/>
  <c r="F33" i="1854"/>
  <c r="Y28" i="1854"/>
  <c r="X28" i="1854"/>
  <c r="W28" i="1854"/>
  <c r="V28" i="1854"/>
  <c r="U28" i="1854"/>
  <c r="T28" i="1854"/>
  <c r="S28" i="1854"/>
  <c r="R28" i="1854"/>
  <c r="Q28" i="1854"/>
  <c r="P28" i="1854"/>
  <c r="O28" i="1854"/>
  <c r="N28" i="1854"/>
  <c r="M28" i="1854"/>
  <c r="L28" i="1854"/>
  <c r="K28" i="1854"/>
  <c r="J28" i="1854"/>
  <c r="I28" i="1854"/>
  <c r="H28" i="1854"/>
  <c r="G28" i="1854"/>
  <c r="F28" i="1854"/>
  <c r="E28" i="1854"/>
  <c r="D28" i="1854"/>
  <c r="Y25" i="1854"/>
  <c r="X25" i="1854"/>
  <c r="W25" i="1854"/>
  <c r="V25" i="1854"/>
  <c r="U25" i="1854"/>
  <c r="T25" i="1854"/>
  <c r="S25" i="1854"/>
  <c r="R25" i="1854"/>
  <c r="Q25" i="1854"/>
  <c r="P25" i="1854"/>
  <c r="O25" i="1854"/>
  <c r="N25" i="1854"/>
  <c r="M25" i="1854"/>
  <c r="L25" i="1854"/>
  <c r="K25" i="1854"/>
  <c r="J25" i="1854"/>
  <c r="I25" i="1854"/>
  <c r="H25" i="1854"/>
  <c r="G25" i="1854"/>
  <c r="F25" i="1854"/>
  <c r="E25" i="1854"/>
  <c r="D25" i="1854"/>
  <c r="AE19" i="1854"/>
  <c r="AD19" i="1854"/>
  <c r="AC19" i="1854"/>
  <c r="AB19" i="1854"/>
  <c r="AA19" i="1854"/>
  <c r="Z19" i="1854"/>
  <c r="Y19" i="1854"/>
  <c r="X19" i="1854"/>
  <c r="T33" i="1854" s="1"/>
  <c r="W19" i="1854"/>
  <c r="V19" i="1854"/>
  <c r="U19" i="1854"/>
  <c r="T19" i="1854"/>
  <c r="S19" i="1854"/>
  <c r="R19" i="1854"/>
  <c r="Q19" i="1854"/>
  <c r="P19" i="1854"/>
  <c r="O19" i="1854"/>
  <c r="N19" i="1854"/>
  <c r="H33" i="1854" s="1"/>
  <c r="M19" i="1854"/>
  <c r="L19" i="1854"/>
  <c r="P33" i="1854" s="1"/>
  <c r="K19" i="1854"/>
  <c r="J19" i="1854"/>
  <c r="I19" i="1854"/>
  <c r="AB33" i="1854" s="1"/>
  <c r="H19" i="1854"/>
  <c r="G19" i="1854"/>
  <c r="F19" i="1854"/>
  <c r="E19" i="1854"/>
  <c r="D19" i="1854"/>
  <c r="AE16" i="1854"/>
  <c r="AD16" i="1854"/>
  <c r="AC16" i="1854"/>
  <c r="AB16" i="1854"/>
  <c r="AA16" i="1854"/>
  <c r="Z16" i="1854"/>
  <c r="Y16" i="1854"/>
  <c r="X16" i="1854"/>
  <c r="W16" i="1854"/>
  <c r="V16" i="1854"/>
  <c r="U16" i="1854"/>
  <c r="T16" i="1854"/>
  <c r="S16" i="1854"/>
  <c r="R16" i="1854"/>
  <c r="Q16" i="1854"/>
  <c r="P16" i="1854"/>
  <c r="O16" i="1854"/>
  <c r="N16" i="1854"/>
  <c r="M16" i="1854"/>
  <c r="L16" i="1854"/>
  <c r="K16" i="1854"/>
  <c r="J16" i="1854"/>
  <c r="I16" i="1854"/>
  <c r="H16" i="1854"/>
  <c r="G16" i="1854"/>
  <c r="F16" i="1854"/>
  <c r="E16" i="1854"/>
  <c r="D16" i="1854"/>
  <c r="AE10" i="1854"/>
  <c r="AD10" i="1854"/>
  <c r="AC33" i="1854" s="1"/>
  <c r="AC10" i="1854"/>
  <c r="AB10" i="1854"/>
  <c r="D33" i="1854" s="1"/>
  <c r="AA10" i="1854"/>
  <c r="Z10" i="1854"/>
  <c r="Y10" i="1854"/>
  <c r="X10" i="1854"/>
  <c r="W10" i="1854"/>
  <c r="V10" i="1854"/>
  <c r="U10" i="1854"/>
  <c r="T10" i="1854"/>
  <c r="S10" i="1854"/>
  <c r="R10" i="1854"/>
  <c r="Q10" i="1854"/>
  <c r="P10" i="1854"/>
  <c r="O10" i="1854"/>
  <c r="N10" i="1854"/>
  <c r="Q33" i="1854" s="1"/>
  <c r="M10" i="1854"/>
  <c r="E33" i="1854" s="1"/>
  <c r="L10" i="1854"/>
  <c r="N33" i="1854" s="1"/>
  <c r="K10" i="1854"/>
  <c r="J10" i="1854"/>
  <c r="I10" i="1854"/>
  <c r="H10" i="1854"/>
  <c r="G10" i="1854"/>
  <c r="F10" i="1854"/>
  <c r="J33" i="1854" s="1"/>
  <c r="E10" i="1854"/>
  <c r="S33" i="1854" s="1"/>
  <c r="D10" i="1854"/>
  <c r="AE7" i="1854"/>
  <c r="AD7" i="1854"/>
  <c r="AC7" i="1854"/>
  <c r="AB7" i="1854"/>
  <c r="AA7" i="1854"/>
  <c r="Z7" i="1854"/>
  <c r="Y7" i="1854"/>
  <c r="X7" i="1854"/>
  <c r="W7" i="1854"/>
  <c r="V7" i="1854"/>
  <c r="U7" i="1854"/>
  <c r="T7" i="1854"/>
  <c r="S7" i="1854"/>
  <c r="R7" i="1854"/>
  <c r="Q7" i="1854"/>
  <c r="P7" i="1854"/>
  <c r="O7" i="1854"/>
  <c r="N7" i="1854"/>
  <c r="M7" i="1854"/>
  <c r="L7" i="1854"/>
  <c r="K7" i="1854"/>
  <c r="J7" i="1854"/>
  <c r="I7" i="1854"/>
  <c r="H7" i="1854"/>
  <c r="G7" i="1854"/>
  <c r="F7" i="1854"/>
  <c r="E7" i="1854"/>
  <c r="D7" i="1854"/>
  <c r="M33" i="1854" l="1"/>
  <c r="V33" i="1854"/>
  <c r="K33" i="1854"/>
  <c r="W33" i="1854"/>
  <c r="Z33" i="1854"/>
  <c r="Y33" i="1854"/>
  <c r="AA33" i="1853"/>
  <c r="X33" i="1853"/>
  <c r="U33" i="1853"/>
  <c r="R33" i="1853"/>
  <c r="O33" i="1853"/>
  <c r="L33" i="1853"/>
  <c r="F33" i="1853"/>
  <c r="Y28" i="1853"/>
  <c r="X28" i="1853"/>
  <c r="W28" i="1853"/>
  <c r="V28" i="1853"/>
  <c r="U28" i="1853"/>
  <c r="T28" i="1853"/>
  <c r="S28" i="1853"/>
  <c r="R28" i="1853"/>
  <c r="Q28" i="1853"/>
  <c r="P28" i="1853"/>
  <c r="O28" i="1853"/>
  <c r="N28" i="1853"/>
  <c r="M28" i="1853"/>
  <c r="L28" i="1853"/>
  <c r="K28" i="1853"/>
  <c r="J28" i="1853"/>
  <c r="I28" i="1853"/>
  <c r="H28" i="1853"/>
  <c r="G28" i="1853"/>
  <c r="F28" i="1853"/>
  <c r="E28" i="1853"/>
  <c r="D28" i="1853"/>
  <c r="Y25" i="1853"/>
  <c r="X25" i="1853"/>
  <c r="W25" i="1853"/>
  <c r="V25" i="1853"/>
  <c r="U25" i="1853"/>
  <c r="T25" i="1853"/>
  <c r="S25" i="1853"/>
  <c r="R25" i="1853"/>
  <c r="Q25" i="1853"/>
  <c r="P25" i="1853"/>
  <c r="O25" i="1853"/>
  <c r="N25" i="1853"/>
  <c r="M25" i="1853"/>
  <c r="L25" i="1853"/>
  <c r="K25" i="1853"/>
  <c r="J25" i="1853"/>
  <c r="I25" i="1853"/>
  <c r="H25" i="1853"/>
  <c r="G25" i="1853"/>
  <c r="F25" i="1853"/>
  <c r="E25" i="1853"/>
  <c r="D25" i="1853"/>
  <c r="AE19" i="1853"/>
  <c r="AD19" i="1853"/>
  <c r="AC19" i="1853"/>
  <c r="AB19" i="1853"/>
  <c r="AA19" i="1853"/>
  <c r="Z19" i="1853"/>
  <c r="Y19" i="1853"/>
  <c r="X19" i="1853"/>
  <c r="T33" i="1853" s="1"/>
  <c r="W19" i="1853"/>
  <c r="V19" i="1853"/>
  <c r="U19" i="1853"/>
  <c r="T19" i="1853"/>
  <c r="S19" i="1853"/>
  <c r="R19" i="1853"/>
  <c r="Q19" i="1853"/>
  <c r="P19" i="1853"/>
  <c r="O19" i="1853"/>
  <c r="N19" i="1853"/>
  <c r="H33" i="1853" s="1"/>
  <c r="M19" i="1853"/>
  <c r="L19" i="1853"/>
  <c r="P33" i="1853" s="1"/>
  <c r="K19" i="1853"/>
  <c r="J19" i="1853"/>
  <c r="I19" i="1853"/>
  <c r="AB33" i="1853" s="1"/>
  <c r="H19" i="1853"/>
  <c r="G19" i="1853"/>
  <c r="F19" i="1853"/>
  <c r="E19" i="1853"/>
  <c r="D19" i="1853"/>
  <c r="AE16" i="1853"/>
  <c r="AD16" i="1853"/>
  <c r="AC16" i="1853"/>
  <c r="AB16" i="1853"/>
  <c r="AA16" i="1853"/>
  <c r="Z16" i="1853"/>
  <c r="Y16" i="1853"/>
  <c r="X16" i="1853"/>
  <c r="W16" i="1853"/>
  <c r="V16" i="1853"/>
  <c r="U16" i="1853"/>
  <c r="T16" i="1853"/>
  <c r="S16" i="1853"/>
  <c r="R16" i="1853"/>
  <c r="Q16" i="1853"/>
  <c r="P16" i="1853"/>
  <c r="O16" i="1853"/>
  <c r="N16" i="1853"/>
  <c r="M16" i="1853"/>
  <c r="L16" i="1853"/>
  <c r="K16" i="1853"/>
  <c r="J16" i="1853"/>
  <c r="I16" i="1853"/>
  <c r="H16" i="1853"/>
  <c r="G16" i="1853"/>
  <c r="F16" i="1853"/>
  <c r="E16" i="1853"/>
  <c r="D16" i="1853"/>
  <c r="AE10" i="1853"/>
  <c r="AD10" i="1853"/>
  <c r="AC33" i="1853" s="1"/>
  <c r="AC10" i="1853"/>
  <c r="AB10" i="1853"/>
  <c r="D33" i="1853" s="1"/>
  <c r="AA10" i="1853"/>
  <c r="Z10" i="1853"/>
  <c r="Y10" i="1853"/>
  <c r="X10" i="1853"/>
  <c r="W10" i="1853"/>
  <c r="V10" i="1853"/>
  <c r="U10" i="1853"/>
  <c r="T10" i="1853"/>
  <c r="Y33" i="1853" s="1"/>
  <c r="S10" i="1853"/>
  <c r="R10" i="1853"/>
  <c r="Q10" i="1853"/>
  <c r="P10" i="1853"/>
  <c r="O10" i="1853"/>
  <c r="N10" i="1853"/>
  <c r="Q33" i="1853" s="1"/>
  <c r="M10" i="1853"/>
  <c r="E33" i="1853" s="1"/>
  <c r="L10" i="1853"/>
  <c r="N33" i="1853" s="1"/>
  <c r="K10" i="1853"/>
  <c r="J10" i="1853"/>
  <c r="I10" i="1853"/>
  <c r="H10" i="1853"/>
  <c r="G10" i="1853"/>
  <c r="F10" i="1853"/>
  <c r="J33" i="1853" s="1"/>
  <c r="E10" i="1853"/>
  <c r="S33" i="1853" s="1"/>
  <c r="D10" i="1853"/>
  <c r="AE7" i="1853"/>
  <c r="AD7" i="1853"/>
  <c r="AC7" i="1853"/>
  <c r="AB7" i="1853"/>
  <c r="AA7" i="1853"/>
  <c r="Z7" i="1853"/>
  <c r="Y7" i="1853"/>
  <c r="X7" i="1853"/>
  <c r="W7" i="1853"/>
  <c r="V7" i="1853"/>
  <c r="U7" i="1853"/>
  <c r="T7" i="1853"/>
  <c r="S7" i="1853"/>
  <c r="R7" i="1853"/>
  <c r="Q7" i="1853"/>
  <c r="P7" i="1853"/>
  <c r="O7" i="1853"/>
  <c r="N7" i="1853"/>
  <c r="M7" i="1853"/>
  <c r="L7" i="1853"/>
  <c r="K7" i="1853"/>
  <c r="J7" i="1853"/>
  <c r="I7" i="1853"/>
  <c r="H7" i="1853"/>
  <c r="G7" i="1853"/>
  <c r="F7" i="1853"/>
  <c r="E7" i="1853"/>
  <c r="D7" i="1853"/>
  <c r="M33" i="1853" l="1"/>
  <c r="K33" i="1853"/>
  <c r="W33" i="1853"/>
  <c r="Z33" i="1853"/>
  <c r="V33" i="1853"/>
  <c r="AA33" i="1852"/>
  <c r="X33" i="1852"/>
  <c r="U33" i="1852"/>
  <c r="R33" i="1852"/>
  <c r="O33" i="1852"/>
  <c r="L33" i="1852"/>
  <c r="F33" i="1852"/>
  <c r="Y28" i="1852"/>
  <c r="X28" i="1852"/>
  <c r="W28" i="1852"/>
  <c r="V28" i="1852"/>
  <c r="U28" i="1852"/>
  <c r="T28" i="1852"/>
  <c r="S28" i="1852"/>
  <c r="R28" i="1852"/>
  <c r="Q28" i="1852"/>
  <c r="P28" i="1852"/>
  <c r="O28" i="1852"/>
  <c r="N28" i="1852"/>
  <c r="M28" i="1852"/>
  <c r="L28" i="1852"/>
  <c r="K28" i="1852"/>
  <c r="J28" i="1852"/>
  <c r="I28" i="1852"/>
  <c r="H28" i="1852"/>
  <c r="G28" i="1852"/>
  <c r="F28" i="1852"/>
  <c r="E28" i="1852"/>
  <c r="D28" i="1852"/>
  <c r="Y25" i="1852"/>
  <c r="X25" i="1852"/>
  <c r="W25" i="1852"/>
  <c r="V25" i="1852"/>
  <c r="U25" i="1852"/>
  <c r="T25" i="1852"/>
  <c r="S25" i="1852"/>
  <c r="R25" i="1852"/>
  <c r="Q25" i="1852"/>
  <c r="P25" i="1852"/>
  <c r="O25" i="1852"/>
  <c r="N25" i="1852"/>
  <c r="M25" i="1852"/>
  <c r="L25" i="1852"/>
  <c r="K25" i="1852"/>
  <c r="J25" i="1852"/>
  <c r="I25" i="1852"/>
  <c r="H25" i="1852"/>
  <c r="G25" i="1852"/>
  <c r="F25" i="1852"/>
  <c r="E25" i="1852"/>
  <c r="D25" i="1852"/>
  <c r="AE19" i="1852"/>
  <c r="AD19" i="1852"/>
  <c r="AC19" i="1852"/>
  <c r="AB19" i="1852"/>
  <c r="AA19" i="1852"/>
  <c r="Z19" i="1852"/>
  <c r="Y19" i="1852"/>
  <c r="X19" i="1852"/>
  <c r="T33" i="1852" s="1"/>
  <c r="W19" i="1852"/>
  <c r="V19" i="1852"/>
  <c r="U19" i="1852"/>
  <c r="T19" i="1852"/>
  <c r="S19" i="1852"/>
  <c r="R19" i="1852"/>
  <c r="Q19" i="1852"/>
  <c r="P19" i="1852"/>
  <c r="O19" i="1852"/>
  <c r="N19" i="1852"/>
  <c r="H33" i="1852" s="1"/>
  <c r="M19" i="1852"/>
  <c r="L19" i="1852"/>
  <c r="P33" i="1852" s="1"/>
  <c r="K19" i="1852"/>
  <c r="J19" i="1852"/>
  <c r="I19" i="1852"/>
  <c r="AB33" i="1852" s="1"/>
  <c r="H19" i="1852"/>
  <c r="G19" i="1852"/>
  <c r="F19" i="1852"/>
  <c r="E19" i="1852"/>
  <c r="D19" i="1852"/>
  <c r="AE16" i="1852"/>
  <c r="AD16" i="1852"/>
  <c r="AC16" i="1852"/>
  <c r="AB16" i="1852"/>
  <c r="AA16" i="1852"/>
  <c r="Z16" i="1852"/>
  <c r="Y16" i="1852"/>
  <c r="X16" i="1852"/>
  <c r="W16" i="1852"/>
  <c r="V16" i="1852"/>
  <c r="U16" i="1852"/>
  <c r="T16" i="1852"/>
  <c r="S16" i="1852"/>
  <c r="R16" i="1852"/>
  <c r="Q16" i="1852"/>
  <c r="P16" i="1852"/>
  <c r="O16" i="1852"/>
  <c r="N16" i="1852"/>
  <c r="M16" i="1852"/>
  <c r="L16" i="1852"/>
  <c r="K16" i="1852"/>
  <c r="J16" i="1852"/>
  <c r="I16" i="1852"/>
  <c r="H16" i="1852"/>
  <c r="G16" i="1852"/>
  <c r="F16" i="1852"/>
  <c r="E16" i="1852"/>
  <c r="D16" i="1852"/>
  <c r="AE10" i="1852"/>
  <c r="AD10" i="1852"/>
  <c r="AC33" i="1852" s="1"/>
  <c r="AC10" i="1852"/>
  <c r="AB10" i="1852"/>
  <c r="D33" i="1852" s="1"/>
  <c r="AA10" i="1852"/>
  <c r="Z10" i="1852"/>
  <c r="Y10" i="1852"/>
  <c r="X10" i="1852"/>
  <c r="W10" i="1852"/>
  <c r="V10" i="1852"/>
  <c r="U10" i="1852"/>
  <c r="T10" i="1852"/>
  <c r="S10" i="1852"/>
  <c r="R10" i="1852"/>
  <c r="Q10" i="1852"/>
  <c r="P10" i="1852"/>
  <c r="O10" i="1852"/>
  <c r="N10" i="1852"/>
  <c r="M10" i="1852"/>
  <c r="E33" i="1852" s="1"/>
  <c r="L10" i="1852"/>
  <c r="N33" i="1852" s="1"/>
  <c r="K10" i="1852"/>
  <c r="J10" i="1852"/>
  <c r="I10" i="1852"/>
  <c r="H10" i="1852"/>
  <c r="G10" i="1852"/>
  <c r="F10" i="1852"/>
  <c r="J33" i="1852" s="1"/>
  <c r="E10" i="1852"/>
  <c r="S33" i="1852" s="1"/>
  <c r="D10" i="1852"/>
  <c r="AE7" i="1852"/>
  <c r="AD7" i="1852"/>
  <c r="AC7" i="1852"/>
  <c r="AB7" i="1852"/>
  <c r="AA7" i="1852"/>
  <c r="Z7" i="1852"/>
  <c r="Y7" i="1852"/>
  <c r="X7" i="1852"/>
  <c r="W7" i="1852"/>
  <c r="V7" i="1852"/>
  <c r="U7" i="1852"/>
  <c r="T7" i="1852"/>
  <c r="S7" i="1852"/>
  <c r="R7" i="1852"/>
  <c r="Q7" i="1852"/>
  <c r="P7" i="1852"/>
  <c r="O7" i="1852"/>
  <c r="N7" i="1852"/>
  <c r="M7" i="1852"/>
  <c r="L7" i="1852"/>
  <c r="K7" i="1852"/>
  <c r="J7" i="1852"/>
  <c r="I7" i="1852"/>
  <c r="H7" i="1852"/>
  <c r="G7" i="1852"/>
  <c r="F7" i="1852"/>
  <c r="E7" i="1852"/>
  <c r="D7" i="1852"/>
  <c r="K33" i="1852" l="1"/>
  <c r="W33" i="1852"/>
  <c r="Z33" i="1852"/>
  <c r="Y33" i="1852"/>
  <c r="Q33" i="1852"/>
  <c r="M33" i="1852"/>
  <c r="V33" i="1852"/>
  <c r="AA33" i="1851"/>
  <c r="X33" i="1851"/>
  <c r="U33" i="1851"/>
  <c r="R33" i="1851"/>
  <c r="O33" i="1851"/>
  <c r="L33" i="1851"/>
  <c r="F33" i="1851"/>
  <c r="Y28" i="1851"/>
  <c r="X28" i="1851"/>
  <c r="W28" i="1851"/>
  <c r="V28" i="1851"/>
  <c r="U28" i="1851"/>
  <c r="T28" i="1851"/>
  <c r="S28" i="1851"/>
  <c r="R28" i="1851"/>
  <c r="Q28" i="1851"/>
  <c r="P28" i="1851"/>
  <c r="O28" i="1851"/>
  <c r="N28" i="1851"/>
  <c r="M28" i="1851"/>
  <c r="L28" i="1851"/>
  <c r="K28" i="1851"/>
  <c r="J28" i="1851"/>
  <c r="I28" i="1851"/>
  <c r="H28" i="1851"/>
  <c r="G28" i="1851"/>
  <c r="F28" i="1851"/>
  <c r="E28" i="1851"/>
  <c r="D28" i="1851"/>
  <c r="Y25" i="1851"/>
  <c r="X25" i="1851"/>
  <c r="W25" i="1851"/>
  <c r="V25" i="1851"/>
  <c r="U25" i="1851"/>
  <c r="T25" i="1851"/>
  <c r="S25" i="1851"/>
  <c r="R25" i="1851"/>
  <c r="Q25" i="1851"/>
  <c r="P25" i="1851"/>
  <c r="O25" i="1851"/>
  <c r="N25" i="1851"/>
  <c r="M25" i="1851"/>
  <c r="L25" i="1851"/>
  <c r="K25" i="1851"/>
  <c r="J25" i="1851"/>
  <c r="I25" i="1851"/>
  <c r="H25" i="1851"/>
  <c r="G25" i="1851"/>
  <c r="F25" i="1851"/>
  <c r="E25" i="1851"/>
  <c r="D25" i="1851"/>
  <c r="AE19" i="1851"/>
  <c r="AD19" i="1851"/>
  <c r="AC19" i="1851"/>
  <c r="AB19" i="1851"/>
  <c r="AA19" i="1851"/>
  <c r="Z19" i="1851"/>
  <c r="Y19" i="1851"/>
  <c r="X19" i="1851"/>
  <c r="T33" i="1851" s="1"/>
  <c r="W19" i="1851"/>
  <c r="V19" i="1851"/>
  <c r="U19" i="1851"/>
  <c r="T19" i="1851"/>
  <c r="S19" i="1851"/>
  <c r="R19" i="1851"/>
  <c r="Q19" i="1851"/>
  <c r="P19" i="1851"/>
  <c r="O19" i="1851"/>
  <c r="N19" i="1851"/>
  <c r="H33" i="1851" s="1"/>
  <c r="M19" i="1851"/>
  <c r="L19" i="1851"/>
  <c r="P33" i="1851" s="1"/>
  <c r="K19" i="1851"/>
  <c r="J19" i="1851"/>
  <c r="I19" i="1851"/>
  <c r="AB33" i="1851" s="1"/>
  <c r="H19" i="1851"/>
  <c r="G19" i="1851"/>
  <c r="F19" i="1851"/>
  <c r="E19" i="1851"/>
  <c r="D19" i="1851"/>
  <c r="AE16" i="1851"/>
  <c r="AD16" i="1851"/>
  <c r="AC16" i="1851"/>
  <c r="AB16" i="1851"/>
  <c r="AA16" i="1851"/>
  <c r="Z16" i="1851"/>
  <c r="Y16" i="1851"/>
  <c r="X16" i="1851"/>
  <c r="W16" i="1851"/>
  <c r="V16" i="1851"/>
  <c r="U16" i="1851"/>
  <c r="T16" i="1851"/>
  <c r="S16" i="1851"/>
  <c r="R16" i="1851"/>
  <c r="Q16" i="1851"/>
  <c r="P16" i="1851"/>
  <c r="O16" i="1851"/>
  <c r="N16" i="1851"/>
  <c r="M16" i="1851"/>
  <c r="L16" i="1851"/>
  <c r="K16" i="1851"/>
  <c r="J16" i="1851"/>
  <c r="I16" i="1851"/>
  <c r="H16" i="1851"/>
  <c r="G16" i="1851"/>
  <c r="F16" i="1851"/>
  <c r="E16" i="1851"/>
  <c r="D16" i="1851"/>
  <c r="AE10" i="1851"/>
  <c r="AD10" i="1851"/>
  <c r="AC33" i="1851" s="1"/>
  <c r="AC10" i="1851"/>
  <c r="AB10" i="1851"/>
  <c r="AA10" i="1851"/>
  <c r="Z10" i="1851"/>
  <c r="Y10" i="1851"/>
  <c r="X10" i="1851"/>
  <c r="W10" i="1851"/>
  <c r="V10" i="1851"/>
  <c r="U10" i="1851"/>
  <c r="T10" i="1851"/>
  <c r="S10" i="1851"/>
  <c r="R10" i="1851"/>
  <c r="Q10" i="1851"/>
  <c r="P10" i="1851"/>
  <c r="O10" i="1851"/>
  <c r="N10" i="1851"/>
  <c r="M10" i="1851"/>
  <c r="E33" i="1851" s="1"/>
  <c r="L10" i="1851"/>
  <c r="K10" i="1851"/>
  <c r="J10" i="1851"/>
  <c r="I10" i="1851"/>
  <c r="H10" i="1851"/>
  <c r="G10" i="1851"/>
  <c r="F10" i="1851"/>
  <c r="J33" i="1851" s="1"/>
  <c r="E10" i="1851"/>
  <c r="S33" i="1851" s="1"/>
  <c r="D10" i="1851"/>
  <c r="AE7" i="1851"/>
  <c r="AD7" i="1851"/>
  <c r="AC7" i="1851"/>
  <c r="AB7" i="1851"/>
  <c r="AA7" i="1851"/>
  <c r="Z7" i="1851"/>
  <c r="Y7" i="1851"/>
  <c r="X7" i="1851"/>
  <c r="W7" i="1851"/>
  <c r="V7" i="1851"/>
  <c r="U7" i="1851"/>
  <c r="T7" i="1851"/>
  <c r="S7" i="1851"/>
  <c r="R7" i="1851"/>
  <c r="Q7" i="1851"/>
  <c r="P7" i="1851"/>
  <c r="O7" i="1851"/>
  <c r="N7" i="1851"/>
  <c r="M7" i="1851"/>
  <c r="L7" i="1851"/>
  <c r="K7" i="1851"/>
  <c r="J7" i="1851"/>
  <c r="I7" i="1851"/>
  <c r="H7" i="1851"/>
  <c r="G7" i="1851"/>
  <c r="F7" i="1851"/>
  <c r="E7" i="1851"/>
  <c r="D7" i="1851"/>
  <c r="K33" i="1851" l="1"/>
  <c r="W33" i="1851"/>
  <c r="D33" i="1851"/>
  <c r="Z33" i="1851"/>
  <c r="Y33" i="1851"/>
  <c r="N33" i="1851"/>
  <c r="Q33" i="1851"/>
  <c r="M33" i="1851"/>
  <c r="V33" i="1851"/>
  <c r="AA33" i="1850"/>
  <c r="X33" i="1850"/>
  <c r="U33" i="1850"/>
  <c r="R33" i="1850"/>
  <c r="O33" i="1850"/>
  <c r="L33" i="1850"/>
  <c r="F33" i="1850"/>
  <c r="Y28" i="1850"/>
  <c r="X28" i="1850"/>
  <c r="W28" i="1850"/>
  <c r="V28" i="1850"/>
  <c r="U28" i="1850"/>
  <c r="T28" i="1850"/>
  <c r="S28" i="1850"/>
  <c r="R28" i="1850"/>
  <c r="Q28" i="1850"/>
  <c r="P28" i="1850"/>
  <c r="O28" i="1850"/>
  <c r="N28" i="1850"/>
  <c r="M28" i="1850"/>
  <c r="L28" i="1850"/>
  <c r="K28" i="1850"/>
  <c r="J28" i="1850"/>
  <c r="I28" i="1850"/>
  <c r="H28" i="1850"/>
  <c r="G28" i="1850"/>
  <c r="F28" i="1850"/>
  <c r="E28" i="1850"/>
  <c r="D28" i="1850"/>
  <c r="Y25" i="1850"/>
  <c r="X25" i="1850"/>
  <c r="W25" i="1850"/>
  <c r="V25" i="1850"/>
  <c r="U25" i="1850"/>
  <c r="T25" i="1850"/>
  <c r="S25" i="1850"/>
  <c r="R25" i="1850"/>
  <c r="Q25" i="1850"/>
  <c r="P25" i="1850"/>
  <c r="O25" i="1850"/>
  <c r="N25" i="1850"/>
  <c r="M25" i="1850"/>
  <c r="L25" i="1850"/>
  <c r="K25" i="1850"/>
  <c r="J25" i="1850"/>
  <c r="I25" i="1850"/>
  <c r="H25" i="1850"/>
  <c r="G25" i="1850"/>
  <c r="F25" i="1850"/>
  <c r="E25" i="1850"/>
  <c r="D25" i="1850"/>
  <c r="AE19" i="1850"/>
  <c r="AD19" i="1850"/>
  <c r="AC19" i="1850"/>
  <c r="AB19" i="1850"/>
  <c r="AA19" i="1850"/>
  <c r="Z19" i="1850"/>
  <c r="Y19" i="1850"/>
  <c r="X19" i="1850"/>
  <c r="T33" i="1850" s="1"/>
  <c r="W19" i="1850"/>
  <c r="V19" i="1850"/>
  <c r="U19" i="1850"/>
  <c r="T19" i="1850"/>
  <c r="S19" i="1850"/>
  <c r="R19" i="1850"/>
  <c r="Q19" i="1850"/>
  <c r="P19" i="1850"/>
  <c r="O19" i="1850"/>
  <c r="N19" i="1850"/>
  <c r="H33" i="1850" s="1"/>
  <c r="M19" i="1850"/>
  <c r="L19" i="1850"/>
  <c r="P33" i="1850" s="1"/>
  <c r="K19" i="1850"/>
  <c r="J19" i="1850"/>
  <c r="I19" i="1850"/>
  <c r="AB33" i="1850" s="1"/>
  <c r="H19" i="1850"/>
  <c r="G19" i="1850"/>
  <c r="F19" i="1850"/>
  <c r="E19" i="1850"/>
  <c r="D19" i="1850"/>
  <c r="AE16" i="1850"/>
  <c r="AD16" i="1850"/>
  <c r="AC16" i="1850"/>
  <c r="AB16" i="1850"/>
  <c r="AA16" i="1850"/>
  <c r="Z16" i="1850"/>
  <c r="Y16" i="1850"/>
  <c r="X16" i="1850"/>
  <c r="W16" i="1850"/>
  <c r="V16" i="1850"/>
  <c r="U16" i="1850"/>
  <c r="T16" i="1850"/>
  <c r="S16" i="1850"/>
  <c r="R16" i="1850"/>
  <c r="Q16" i="1850"/>
  <c r="P16" i="1850"/>
  <c r="O16" i="1850"/>
  <c r="N16" i="1850"/>
  <c r="M16" i="1850"/>
  <c r="L16" i="1850"/>
  <c r="K16" i="1850"/>
  <c r="J16" i="1850"/>
  <c r="I16" i="1850"/>
  <c r="H16" i="1850"/>
  <c r="G16" i="1850"/>
  <c r="F16" i="1850"/>
  <c r="E16" i="1850"/>
  <c r="D16" i="1850"/>
  <c r="AE10" i="1850"/>
  <c r="AD10" i="1850"/>
  <c r="AC33" i="1850" s="1"/>
  <c r="AC10" i="1850"/>
  <c r="AB10" i="1850"/>
  <c r="D33" i="1850" s="1"/>
  <c r="AA10" i="1850"/>
  <c r="Z10" i="1850"/>
  <c r="Y10" i="1850"/>
  <c r="X10" i="1850"/>
  <c r="W10" i="1850"/>
  <c r="V10" i="1850"/>
  <c r="U10" i="1850"/>
  <c r="T10" i="1850"/>
  <c r="S10" i="1850"/>
  <c r="R10" i="1850"/>
  <c r="Q10" i="1850"/>
  <c r="P10" i="1850"/>
  <c r="O10" i="1850"/>
  <c r="N10" i="1850"/>
  <c r="Q33" i="1850" s="1"/>
  <c r="M10" i="1850"/>
  <c r="E33" i="1850" s="1"/>
  <c r="L10" i="1850"/>
  <c r="N33" i="1850" s="1"/>
  <c r="K10" i="1850"/>
  <c r="J10" i="1850"/>
  <c r="I10" i="1850"/>
  <c r="H10" i="1850"/>
  <c r="G10" i="1850"/>
  <c r="F10" i="1850"/>
  <c r="J33" i="1850" s="1"/>
  <c r="E10" i="1850"/>
  <c r="S33" i="1850" s="1"/>
  <c r="D10" i="1850"/>
  <c r="AE7" i="1850"/>
  <c r="AD7" i="1850"/>
  <c r="AC7" i="1850"/>
  <c r="AB7" i="1850"/>
  <c r="AA7" i="1850"/>
  <c r="Z7" i="1850"/>
  <c r="Y7" i="1850"/>
  <c r="X7" i="1850"/>
  <c r="W7" i="1850"/>
  <c r="V7" i="1850"/>
  <c r="U7" i="1850"/>
  <c r="T7" i="1850"/>
  <c r="S7" i="1850"/>
  <c r="R7" i="1850"/>
  <c r="Q7" i="1850"/>
  <c r="P7" i="1850"/>
  <c r="O7" i="1850"/>
  <c r="N7" i="1850"/>
  <c r="M7" i="1850"/>
  <c r="L7" i="1850"/>
  <c r="K7" i="1850"/>
  <c r="J7" i="1850"/>
  <c r="I7" i="1850"/>
  <c r="H7" i="1850"/>
  <c r="G7" i="1850"/>
  <c r="F7" i="1850"/>
  <c r="E7" i="1850"/>
  <c r="D7" i="1850"/>
  <c r="K33" i="1850" l="1"/>
  <c r="W33" i="1850"/>
  <c r="Z33" i="1850"/>
  <c r="Y33" i="1850"/>
  <c r="M33" i="1850"/>
  <c r="V33" i="1850"/>
  <c r="AA33" i="1849"/>
  <c r="X33" i="1849"/>
  <c r="U33" i="1849"/>
  <c r="R33" i="1849"/>
  <c r="O33" i="1849"/>
  <c r="L33" i="1849"/>
  <c r="F33" i="1849"/>
  <c r="Y28" i="1849"/>
  <c r="X28" i="1849"/>
  <c r="W28" i="1849"/>
  <c r="V28" i="1849"/>
  <c r="U28" i="1849"/>
  <c r="T28" i="1849"/>
  <c r="S28" i="1849"/>
  <c r="R28" i="1849"/>
  <c r="Q28" i="1849"/>
  <c r="P28" i="1849"/>
  <c r="O28" i="1849"/>
  <c r="N28" i="1849"/>
  <c r="M28" i="1849"/>
  <c r="L28" i="1849"/>
  <c r="K28" i="1849"/>
  <c r="J28" i="1849"/>
  <c r="I28" i="1849"/>
  <c r="H28" i="1849"/>
  <c r="G28" i="1849"/>
  <c r="F28" i="1849"/>
  <c r="E28" i="1849"/>
  <c r="D28" i="1849"/>
  <c r="Y25" i="1849"/>
  <c r="X25" i="1849"/>
  <c r="W25" i="1849"/>
  <c r="V25" i="1849"/>
  <c r="U25" i="1849"/>
  <c r="T25" i="1849"/>
  <c r="S25" i="1849"/>
  <c r="R25" i="1849"/>
  <c r="Q25" i="1849"/>
  <c r="P25" i="1849"/>
  <c r="O25" i="1849"/>
  <c r="N25" i="1849"/>
  <c r="M25" i="1849"/>
  <c r="L25" i="1849"/>
  <c r="K25" i="1849"/>
  <c r="J25" i="1849"/>
  <c r="I25" i="1849"/>
  <c r="H25" i="1849"/>
  <c r="G25" i="1849"/>
  <c r="F25" i="1849"/>
  <c r="E25" i="1849"/>
  <c r="D25" i="1849"/>
  <c r="AE19" i="1849"/>
  <c r="AD19" i="1849"/>
  <c r="AC19" i="1849"/>
  <c r="AB19" i="1849"/>
  <c r="AA19" i="1849"/>
  <c r="Z19" i="1849"/>
  <c r="Y19" i="1849"/>
  <c r="X19" i="1849"/>
  <c r="T33" i="1849" s="1"/>
  <c r="W19" i="1849"/>
  <c r="V19" i="1849"/>
  <c r="U19" i="1849"/>
  <c r="T19" i="1849"/>
  <c r="S19" i="1849"/>
  <c r="R19" i="1849"/>
  <c r="Q19" i="1849"/>
  <c r="P19" i="1849"/>
  <c r="O19" i="1849"/>
  <c r="N19" i="1849"/>
  <c r="H33" i="1849" s="1"/>
  <c r="M19" i="1849"/>
  <c r="L19" i="1849"/>
  <c r="P33" i="1849" s="1"/>
  <c r="K19" i="1849"/>
  <c r="J19" i="1849"/>
  <c r="I19" i="1849"/>
  <c r="AB33" i="1849" s="1"/>
  <c r="H19" i="1849"/>
  <c r="G19" i="1849"/>
  <c r="F19" i="1849"/>
  <c r="E19" i="1849"/>
  <c r="D19" i="1849"/>
  <c r="AE16" i="1849"/>
  <c r="AD16" i="1849"/>
  <c r="AC16" i="1849"/>
  <c r="AB16" i="1849"/>
  <c r="AA16" i="1849"/>
  <c r="Z16" i="1849"/>
  <c r="Y16" i="1849"/>
  <c r="X16" i="1849"/>
  <c r="W16" i="1849"/>
  <c r="V16" i="1849"/>
  <c r="U16" i="1849"/>
  <c r="T16" i="1849"/>
  <c r="S16" i="1849"/>
  <c r="R16" i="1849"/>
  <c r="Q16" i="1849"/>
  <c r="P16" i="1849"/>
  <c r="O16" i="1849"/>
  <c r="N16" i="1849"/>
  <c r="M16" i="1849"/>
  <c r="L16" i="1849"/>
  <c r="K16" i="1849"/>
  <c r="J16" i="1849"/>
  <c r="I16" i="1849"/>
  <c r="H16" i="1849"/>
  <c r="G16" i="1849"/>
  <c r="F16" i="1849"/>
  <c r="E16" i="1849"/>
  <c r="D16" i="1849"/>
  <c r="AE10" i="1849"/>
  <c r="AD10" i="1849"/>
  <c r="AC33" i="1849" s="1"/>
  <c r="AC10" i="1849"/>
  <c r="AB10" i="1849"/>
  <c r="D33" i="1849" s="1"/>
  <c r="AA10" i="1849"/>
  <c r="Z10" i="1849"/>
  <c r="Y10" i="1849"/>
  <c r="X10" i="1849"/>
  <c r="W10" i="1849"/>
  <c r="V10" i="1849"/>
  <c r="U10" i="1849"/>
  <c r="T10" i="1849"/>
  <c r="S10" i="1849"/>
  <c r="R10" i="1849"/>
  <c r="Q10" i="1849"/>
  <c r="P10" i="1849"/>
  <c r="O10" i="1849"/>
  <c r="N10" i="1849"/>
  <c r="Q33" i="1849" s="1"/>
  <c r="M10" i="1849"/>
  <c r="E33" i="1849" s="1"/>
  <c r="L10" i="1849"/>
  <c r="N33" i="1849" s="1"/>
  <c r="K10" i="1849"/>
  <c r="J10" i="1849"/>
  <c r="I10" i="1849"/>
  <c r="H10" i="1849"/>
  <c r="G10" i="1849"/>
  <c r="F10" i="1849"/>
  <c r="J33" i="1849" s="1"/>
  <c r="E10" i="1849"/>
  <c r="D10" i="1849"/>
  <c r="AE7" i="1849"/>
  <c r="AD7" i="1849"/>
  <c r="AC7" i="1849"/>
  <c r="AB7" i="1849"/>
  <c r="AA7" i="1849"/>
  <c r="Z7" i="1849"/>
  <c r="Y7" i="1849"/>
  <c r="X7" i="1849"/>
  <c r="W7" i="1849"/>
  <c r="V7" i="1849"/>
  <c r="U7" i="1849"/>
  <c r="T7" i="1849"/>
  <c r="S7" i="1849"/>
  <c r="R7" i="1849"/>
  <c r="Q7" i="1849"/>
  <c r="P7" i="1849"/>
  <c r="O7" i="1849"/>
  <c r="N7" i="1849"/>
  <c r="M7" i="1849"/>
  <c r="L7" i="1849"/>
  <c r="K7" i="1849"/>
  <c r="J7" i="1849"/>
  <c r="I7" i="1849"/>
  <c r="H7" i="1849"/>
  <c r="G7" i="1849"/>
  <c r="F7" i="1849"/>
  <c r="E7" i="1849"/>
  <c r="D7" i="1849"/>
  <c r="S33" i="1849" l="1"/>
  <c r="M33" i="1849"/>
  <c r="K33" i="1849"/>
  <c r="W33" i="1849"/>
  <c r="Z33" i="1849"/>
  <c r="Y33" i="1849"/>
  <c r="V33" i="1849"/>
  <c r="AA33" i="1848"/>
  <c r="X33" i="1848"/>
  <c r="U33" i="1848"/>
  <c r="R33" i="1848"/>
  <c r="O33" i="1848"/>
  <c r="L33" i="1848"/>
  <c r="F33" i="1848"/>
  <c r="Y28" i="1848"/>
  <c r="X28" i="1848"/>
  <c r="W28" i="1848"/>
  <c r="V28" i="1848"/>
  <c r="U28" i="1848"/>
  <c r="T28" i="1848"/>
  <c r="S28" i="1848"/>
  <c r="R28" i="1848"/>
  <c r="Q28" i="1848"/>
  <c r="P28" i="1848"/>
  <c r="O28" i="1848"/>
  <c r="N28" i="1848"/>
  <c r="M28" i="1848"/>
  <c r="L28" i="1848"/>
  <c r="K28" i="1848"/>
  <c r="J28" i="1848"/>
  <c r="I28" i="1848"/>
  <c r="H28" i="1848"/>
  <c r="G28" i="1848"/>
  <c r="F28" i="1848"/>
  <c r="E28" i="1848"/>
  <c r="D28" i="1848"/>
  <c r="Y25" i="1848"/>
  <c r="X25" i="1848"/>
  <c r="W25" i="1848"/>
  <c r="V25" i="1848"/>
  <c r="U25" i="1848"/>
  <c r="T25" i="1848"/>
  <c r="S25" i="1848"/>
  <c r="R25" i="1848"/>
  <c r="Q25" i="1848"/>
  <c r="P25" i="1848"/>
  <c r="O25" i="1848"/>
  <c r="N25" i="1848"/>
  <c r="M25" i="1848"/>
  <c r="L25" i="1848"/>
  <c r="K25" i="1848"/>
  <c r="J25" i="1848"/>
  <c r="I25" i="1848"/>
  <c r="H25" i="1848"/>
  <c r="G25" i="1848"/>
  <c r="F25" i="1848"/>
  <c r="E25" i="1848"/>
  <c r="D25" i="1848"/>
  <c r="AE19" i="1848"/>
  <c r="AD19" i="1848"/>
  <c r="AC19" i="1848"/>
  <c r="AB19" i="1848"/>
  <c r="AA19" i="1848"/>
  <c r="Z19" i="1848"/>
  <c r="Y19" i="1848"/>
  <c r="X19" i="1848"/>
  <c r="T33" i="1848" s="1"/>
  <c r="W19" i="1848"/>
  <c r="V19" i="1848"/>
  <c r="U19" i="1848"/>
  <c r="T19" i="1848"/>
  <c r="S19" i="1848"/>
  <c r="R19" i="1848"/>
  <c r="Q19" i="1848"/>
  <c r="P19" i="1848"/>
  <c r="O19" i="1848"/>
  <c r="N19" i="1848"/>
  <c r="H33" i="1848" s="1"/>
  <c r="M19" i="1848"/>
  <c r="L19" i="1848"/>
  <c r="P33" i="1848" s="1"/>
  <c r="K19" i="1848"/>
  <c r="J19" i="1848"/>
  <c r="I19" i="1848"/>
  <c r="AB33" i="1848" s="1"/>
  <c r="H19" i="1848"/>
  <c r="G19" i="1848"/>
  <c r="F19" i="1848"/>
  <c r="E19" i="1848"/>
  <c r="D19" i="1848"/>
  <c r="AE16" i="1848"/>
  <c r="AD16" i="1848"/>
  <c r="AC16" i="1848"/>
  <c r="AB16" i="1848"/>
  <c r="AA16" i="1848"/>
  <c r="Z16" i="1848"/>
  <c r="Y16" i="1848"/>
  <c r="X16" i="1848"/>
  <c r="W16" i="1848"/>
  <c r="V16" i="1848"/>
  <c r="U16" i="1848"/>
  <c r="T16" i="1848"/>
  <c r="S16" i="1848"/>
  <c r="R16" i="1848"/>
  <c r="Q16" i="1848"/>
  <c r="P16" i="1848"/>
  <c r="O16" i="1848"/>
  <c r="N16" i="1848"/>
  <c r="M16" i="1848"/>
  <c r="L16" i="1848"/>
  <c r="K16" i="1848"/>
  <c r="J16" i="1848"/>
  <c r="I16" i="1848"/>
  <c r="H16" i="1848"/>
  <c r="G16" i="1848"/>
  <c r="F16" i="1848"/>
  <c r="E16" i="1848"/>
  <c r="D16" i="1848"/>
  <c r="AE10" i="1848"/>
  <c r="AD10" i="1848"/>
  <c r="AC33" i="1848" s="1"/>
  <c r="AC10" i="1848"/>
  <c r="AB10" i="1848"/>
  <c r="D33" i="1848" s="1"/>
  <c r="AA10" i="1848"/>
  <c r="Z10" i="1848"/>
  <c r="Y10" i="1848"/>
  <c r="X10" i="1848"/>
  <c r="W10" i="1848"/>
  <c r="V10" i="1848"/>
  <c r="U10" i="1848"/>
  <c r="T10" i="1848"/>
  <c r="S10" i="1848"/>
  <c r="R10" i="1848"/>
  <c r="Q10" i="1848"/>
  <c r="P10" i="1848"/>
  <c r="O10" i="1848"/>
  <c r="N10" i="1848"/>
  <c r="Q33" i="1848" s="1"/>
  <c r="M10" i="1848"/>
  <c r="E33" i="1848" s="1"/>
  <c r="L10" i="1848"/>
  <c r="N33" i="1848" s="1"/>
  <c r="K10" i="1848"/>
  <c r="J10" i="1848"/>
  <c r="I10" i="1848"/>
  <c r="H10" i="1848"/>
  <c r="G10" i="1848"/>
  <c r="F10" i="1848"/>
  <c r="J33" i="1848" s="1"/>
  <c r="E10" i="1848"/>
  <c r="S33" i="1848" s="1"/>
  <c r="D10" i="1848"/>
  <c r="AE7" i="1848"/>
  <c r="AD7" i="1848"/>
  <c r="AC7" i="1848"/>
  <c r="AB7" i="1848"/>
  <c r="AA7" i="1848"/>
  <c r="Z7" i="1848"/>
  <c r="Y7" i="1848"/>
  <c r="X7" i="1848"/>
  <c r="W7" i="1848"/>
  <c r="V7" i="1848"/>
  <c r="U7" i="1848"/>
  <c r="T7" i="1848"/>
  <c r="S7" i="1848"/>
  <c r="R7" i="1848"/>
  <c r="Q7" i="1848"/>
  <c r="P7" i="1848"/>
  <c r="O7" i="1848"/>
  <c r="N7" i="1848"/>
  <c r="M7" i="1848"/>
  <c r="L7" i="1848"/>
  <c r="K7" i="1848"/>
  <c r="J7" i="1848"/>
  <c r="I7" i="1848"/>
  <c r="H7" i="1848"/>
  <c r="G7" i="1848"/>
  <c r="F7" i="1848"/>
  <c r="E7" i="1848"/>
  <c r="D7" i="1848"/>
  <c r="M33" i="1848" l="1"/>
  <c r="K33" i="1848"/>
  <c r="W33" i="1848"/>
  <c r="Z33" i="1848"/>
  <c r="Y33" i="1848"/>
  <c r="V33" i="1848"/>
  <c r="AA33" i="1847"/>
  <c r="X33" i="1847"/>
  <c r="U33" i="1847"/>
  <c r="R33" i="1847"/>
  <c r="O33" i="1847"/>
  <c r="L33" i="1847"/>
  <c r="F33" i="1847"/>
  <c r="Y28" i="1847"/>
  <c r="X28" i="1847"/>
  <c r="W28" i="1847"/>
  <c r="V28" i="1847"/>
  <c r="U28" i="1847"/>
  <c r="T28" i="1847"/>
  <c r="S28" i="1847"/>
  <c r="R28" i="1847"/>
  <c r="Q28" i="1847"/>
  <c r="P28" i="1847"/>
  <c r="O28" i="1847"/>
  <c r="N28" i="1847"/>
  <c r="M28" i="1847"/>
  <c r="L28" i="1847"/>
  <c r="K28" i="1847"/>
  <c r="J28" i="1847"/>
  <c r="I28" i="1847"/>
  <c r="H28" i="1847"/>
  <c r="G28" i="1847"/>
  <c r="F28" i="1847"/>
  <c r="E28" i="1847"/>
  <c r="D28" i="1847"/>
  <c r="Y25" i="1847"/>
  <c r="X25" i="1847"/>
  <c r="W25" i="1847"/>
  <c r="V25" i="1847"/>
  <c r="U25" i="1847"/>
  <c r="T25" i="1847"/>
  <c r="S25" i="1847"/>
  <c r="R25" i="1847"/>
  <c r="Q25" i="1847"/>
  <c r="P25" i="1847"/>
  <c r="O25" i="1847"/>
  <c r="N25" i="1847"/>
  <c r="M25" i="1847"/>
  <c r="L25" i="1847"/>
  <c r="K25" i="1847"/>
  <c r="J25" i="1847"/>
  <c r="I25" i="1847"/>
  <c r="H25" i="1847"/>
  <c r="G25" i="1847"/>
  <c r="F25" i="1847"/>
  <c r="E25" i="1847"/>
  <c r="D25" i="1847"/>
  <c r="AE19" i="1847"/>
  <c r="AD19" i="1847"/>
  <c r="AC19" i="1847"/>
  <c r="AB19" i="1847"/>
  <c r="AA19" i="1847"/>
  <c r="Z19" i="1847"/>
  <c r="Y19" i="1847"/>
  <c r="X19" i="1847"/>
  <c r="T33" i="1847" s="1"/>
  <c r="W19" i="1847"/>
  <c r="V19" i="1847"/>
  <c r="U19" i="1847"/>
  <c r="T19" i="1847"/>
  <c r="S19" i="1847"/>
  <c r="R19" i="1847"/>
  <c r="Q19" i="1847"/>
  <c r="P19" i="1847"/>
  <c r="O19" i="1847"/>
  <c r="N19" i="1847"/>
  <c r="H33" i="1847" s="1"/>
  <c r="M19" i="1847"/>
  <c r="L19" i="1847"/>
  <c r="P33" i="1847" s="1"/>
  <c r="K19" i="1847"/>
  <c r="J19" i="1847"/>
  <c r="I19" i="1847"/>
  <c r="AB33" i="1847" s="1"/>
  <c r="H19" i="1847"/>
  <c r="G19" i="1847"/>
  <c r="F19" i="1847"/>
  <c r="E19" i="1847"/>
  <c r="D19" i="1847"/>
  <c r="AE16" i="1847"/>
  <c r="AD16" i="1847"/>
  <c r="AC16" i="1847"/>
  <c r="AB16" i="1847"/>
  <c r="AA16" i="1847"/>
  <c r="Z16" i="1847"/>
  <c r="Y16" i="1847"/>
  <c r="X16" i="1847"/>
  <c r="W16" i="1847"/>
  <c r="V16" i="1847"/>
  <c r="U16" i="1847"/>
  <c r="T16" i="1847"/>
  <c r="S16" i="1847"/>
  <c r="R16" i="1847"/>
  <c r="Q16" i="1847"/>
  <c r="P16" i="1847"/>
  <c r="O16" i="1847"/>
  <c r="N16" i="1847"/>
  <c r="M16" i="1847"/>
  <c r="L16" i="1847"/>
  <c r="K16" i="1847"/>
  <c r="J16" i="1847"/>
  <c r="I16" i="1847"/>
  <c r="H16" i="1847"/>
  <c r="G16" i="1847"/>
  <c r="F16" i="1847"/>
  <c r="E16" i="1847"/>
  <c r="D16" i="1847"/>
  <c r="AE10" i="1847"/>
  <c r="AD10" i="1847"/>
  <c r="AC33" i="1847" s="1"/>
  <c r="AC10" i="1847"/>
  <c r="AB10" i="1847"/>
  <c r="AA10" i="1847"/>
  <c r="Z10" i="1847"/>
  <c r="Y10" i="1847"/>
  <c r="X10" i="1847"/>
  <c r="W10" i="1847"/>
  <c r="V10" i="1847"/>
  <c r="U10" i="1847"/>
  <c r="T10" i="1847"/>
  <c r="S10" i="1847"/>
  <c r="R10" i="1847"/>
  <c r="Q10" i="1847"/>
  <c r="P10" i="1847"/>
  <c r="O10" i="1847"/>
  <c r="N10" i="1847"/>
  <c r="M10" i="1847"/>
  <c r="E33" i="1847" s="1"/>
  <c r="L10" i="1847"/>
  <c r="K10" i="1847"/>
  <c r="J10" i="1847"/>
  <c r="I10" i="1847"/>
  <c r="H10" i="1847"/>
  <c r="G10" i="1847"/>
  <c r="F10" i="1847"/>
  <c r="E10" i="1847"/>
  <c r="D10" i="1847"/>
  <c r="AE7" i="1847"/>
  <c r="AD7" i="1847"/>
  <c r="AC7" i="1847"/>
  <c r="AB7" i="1847"/>
  <c r="AA7" i="1847"/>
  <c r="Z7" i="1847"/>
  <c r="Y7" i="1847"/>
  <c r="X7" i="1847"/>
  <c r="W7" i="1847"/>
  <c r="V7" i="1847"/>
  <c r="U7" i="1847"/>
  <c r="T7" i="1847"/>
  <c r="S7" i="1847"/>
  <c r="R7" i="1847"/>
  <c r="Q7" i="1847"/>
  <c r="P7" i="1847"/>
  <c r="O7" i="1847"/>
  <c r="N7" i="1847"/>
  <c r="M7" i="1847"/>
  <c r="L7" i="1847"/>
  <c r="K7" i="1847"/>
  <c r="J7" i="1847"/>
  <c r="I7" i="1847"/>
  <c r="H7" i="1847"/>
  <c r="G7" i="1847"/>
  <c r="F7" i="1847"/>
  <c r="E7" i="1847"/>
  <c r="D7" i="1847"/>
  <c r="S33" i="1847" l="1"/>
  <c r="J33" i="1847"/>
  <c r="W33" i="1847"/>
  <c r="V33" i="1847"/>
  <c r="D33" i="1847"/>
  <c r="Z33" i="1847"/>
  <c r="Y33" i="1847"/>
  <c r="N33" i="1847"/>
  <c r="Q33" i="1847"/>
  <c r="K33" i="1847"/>
  <c r="M33" i="1847"/>
  <c r="AA33" i="1846"/>
  <c r="X33" i="1846"/>
  <c r="U33" i="1846"/>
  <c r="R33" i="1846"/>
  <c r="O33" i="1846"/>
  <c r="L33" i="1846"/>
  <c r="F33" i="1846"/>
  <c r="Y28" i="1846"/>
  <c r="X28" i="1846"/>
  <c r="W28" i="1846"/>
  <c r="V28" i="1846"/>
  <c r="U28" i="1846"/>
  <c r="T28" i="1846"/>
  <c r="S28" i="1846"/>
  <c r="R28" i="1846"/>
  <c r="Q28" i="1846"/>
  <c r="P28" i="1846"/>
  <c r="O28" i="1846"/>
  <c r="N28" i="1846"/>
  <c r="M28" i="1846"/>
  <c r="L28" i="1846"/>
  <c r="K28" i="1846"/>
  <c r="J28" i="1846"/>
  <c r="I28" i="1846"/>
  <c r="H28" i="1846"/>
  <c r="G28" i="1846"/>
  <c r="F28" i="1846"/>
  <c r="E28" i="1846"/>
  <c r="D28" i="1846"/>
  <c r="Y25" i="1846"/>
  <c r="X25" i="1846"/>
  <c r="W25" i="1846"/>
  <c r="V25" i="1846"/>
  <c r="U25" i="1846"/>
  <c r="T25" i="1846"/>
  <c r="S25" i="1846"/>
  <c r="R25" i="1846"/>
  <c r="Q25" i="1846"/>
  <c r="P25" i="1846"/>
  <c r="O25" i="1846"/>
  <c r="N25" i="1846"/>
  <c r="M25" i="1846"/>
  <c r="L25" i="1846"/>
  <c r="K25" i="1846"/>
  <c r="J25" i="1846"/>
  <c r="I25" i="1846"/>
  <c r="H25" i="1846"/>
  <c r="G25" i="1846"/>
  <c r="F25" i="1846"/>
  <c r="E25" i="1846"/>
  <c r="D25" i="1846"/>
  <c r="AE19" i="1846"/>
  <c r="AD19" i="1846"/>
  <c r="AC19" i="1846"/>
  <c r="AB19" i="1846"/>
  <c r="AA19" i="1846"/>
  <c r="Z19" i="1846"/>
  <c r="Y19" i="1846"/>
  <c r="X19" i="1846"/>
  <c r="T33" i="1846" s="1"/>
  <c r="W19" i="1846"/>
  <c r="V19" i="1846"/>
  <c r="U19" i="1846"/>
  <c r="T19" i="1846"/>
  <c r="S19" i="1846"/>
  <c r="R19" i="1846"/>
  <c r="Q19" i="1846"/>
  <c r="P19" i="1846"/>
  <c r="O19" i="1846"/>
  <c r="N19" i="1846"/>
  <c r="H33" i="1846" s="1"/>
  <c r="M19" i="1846"/>
  <c r="L19" i="1846"/>
  <c r="P33" i="1846" s="1"/>
  <c r="K19" i="1846"/>
  <c r="J19" i="1846"/>
  <c r="I19" i="1846"/>
  <c r="AB33" i="1846" s="1"/>
  <c r="H19" i="1846"/>
  <c r="G19" i="1846"/>
  <c r="F19" i="1846"/>
  <c r="E19" i="1846"/>
  <c r="D19" i="1846"/>
  <c r="AE16" i="1846"/>
  <c r="AD16" i="1846"/>
  <c r="AC16" i="1846"/>
  <c r="AB16" i="1846"/>
  <c r="AA16" i="1846"/>
  <c r="Z16" i="1846"/>
  <c r="Y16" i="1846"/>
  <c r="X16" i="1846"/>
  <c r="W16" i="1846"/>
  <c r="V16" i="1846"/>
  <c r="U16" i="1846"/>
  <c r="T16" i="1846"/>
  <c r="S16" i="1846"/>
  <c r="R16" i="1846"/>
  <c r="Q16" i="1846"/>
  <c r="P16" i="1846"/>
  <c r="O16" i="1846"/>
  <c r="N16" i="1846"/>
  <c r="M16" i="1846"/>
  <c r="L16" i="1846"/>
  <c r="K16" i="1846"/>
  <c r="J16" i="1846"/>
  <c r="I16" i="1846"/>
  <c r="H16" i="1846"/>
  <c r="G16" i="1846"/>
  <c r="F16" i="1846"/>
  <c r="E16" i="1846"/>
  <c r="D16" i="1846"/>
  <c r="AE10" i="1846"/>
  <c r="AD10" i="1846"/>
  <c r="AC33" i="1846" s="1"/>
  <c r="AC10" i="1846"/>
  <c r="AB10" i="1846"/>
  <c r="D33" i="1846" s="1"/>
  <c r="AA10" i="1846"/>
  <c r="Z10" i="1846"/>
  <c r="Y10" i="1846"/>
  <c r="X10" i="1846"/>
  <c r="W10" i="1846"/>
  <c r="V10" i="1846"/>
  <c r="U10" i="1846"/>
  <c r="T10" i="1846"/>
  <c r="S10" i="1846"/>
  <c r="R10" i="1846"/>
  <c r="Q10" i="1846"/>
  <c r="P10" i="1846"/>
  <c r="O10" i="1846"/>
  <c r="N10" i="1846"/>
  <c r="Q33" i="1846" s="1"/>
  <c r="M10" i="1846"/>
  <c r="E33" i="1846" s="1"/>
  <c r="L10" i="1846"/>
  <c r="N33" i="1846" s="1"/>
  <c r="K10" i="1846"/>
  <c r="J10" i="1846"/>
  <c r="I10" i="1846"/>
  <c r="H10" i="1846"/>
  <c r="G10" i="1846"/>
  <c r="F10" i="1846"/>
  <c r="J33" i="1846" s="1"/>
  <c r="E10" i="1846"/>
  <c r="S33" i="1846" s="1"/>
  <c r="D10" i="1846"/>
  <c r="AE7" i="1846"/>
  <c r="AD7" i="1846"/>
  <c r="AC7" i="1846"/>
  <c r="AB7" i="1846"/>
  <c r="AA7" i="1846"/>
  <c r="Z7" i="1846"/>
  <c r="Y7" i="1846"/>
  <c r="X7" i="1846"/>
  <c r="W7" i="1846"/>
  <c r="V7" i="1846"/>
  <c r="U7" i="1846"/>
  <c r="T7" i="1846"/>
  <c r="S7" i="1846"/>
  <c r="R7" i="1846"/>
  <c r="Q7" i="1846"/>
  <c r="P7" i="1846"/>
  <c r="O7" i="1846"/>
  <c r="N7" i="1846"/>
  <c r="M7" i="1846"/>
  <c r="L7" i="1846"/>
  <c r="K7" i="1846"/>
  <c r="J7" i="1846"/>
  <c r="I7" i="1846"/>
  <c r="H7" i="1846"/>
  <c r="G7" i="1846"/>
  <c r="F7" i="1846"/>
  <c r="E7" i="1846"/>
  <c r="D7" i="1846"/>
  <c r="M33" i="1846" l="1"/>
  <c r="K33" i="1846"/>
  <c r="W33" i="1846"/>
  <c r="Z33" i="1846"/>
  <c r="Y33" i="1846"/>
  <c r="V33" i="1846"/>
  <c r="AA33" i="1845"/>
  <c r="X33" i="1845"/>
  <c r="U33" i="1845"/>
  <c r="R33" i="1845"/>
  <c r="O33" i="1845"/>
  <c r="L33" i="1845"/>
  <c r="F33" i="1845"/>
  <c r="Y28" i="1845"/>
  <c r="X28" i="1845"/>
  <c r="W28" i="1845"/>
  <c r="V28" i="1845"/>
  <c r="U28" i="1845"/>
  <c r="T28" i="1845"/>
  <c r="S28" i="1845"/>
  <c r="R28" i="1845"/>
  <c r="Q28" i="1845"/>
  <c r="P28" i="1845"/>
  <c r="O28" i="1845"/>
  <c r="N28" i="1845"/>
  <c r="M28" i="1845"/>
  <c r="L28" i="1845"/>
  <c r="K28" i="1845"/>
  <c r="J28" i="1845"/>
  <c r="I28" i="1845"/>
  <c r="H28" i="1845"/>
  <c r="G28" i="1845"/>
  <c r="F28" i="1845"/>
  <c r="E28" i="1845"/>
  <c r="D28" i="1845"/>
  <c r="Y25" i="1845"/>
  <c r="X25" i="1845"/>
  <c r="W25" i="1845"/>
  <c r="V25" i="1845"/>
  <c r="U25" i="1845"/>
  <c r="T25" i="1845"/>
  <c r="S25" i="1845"/>
  <c r="R25" i="1845"/>
  <c r="Q25" i="1845"/>
  <c r="P25" i="1845"/>
  <c r="O25" i="1845"/>
  <c r="N25" i="1845"/>
  <c r="M25" i="1845"/>
  <c r="L25" i="1845"/>
  <c r="K25" i="1845"/>
  <c r="J25" i="1845"/>
  <c r="I25" i="1845"/>
  <c r="H25" i="1845"/>
  <c r="G25" i="1845"/>
  <c r="F25" i="1845"/>
  <c r="E25" i="1845"/>
  <c r="D25" i="1845"/>
  <c r="AE19" i="1845"/>
  <c r="AD19" i="1845"/>
  <c r="AC19" i="1845"/>
  <c r="AB19" i="1845"/>
  <c r="AA19" i="1845"/>
  <c r="Z19" i="1845"/>
  <c r="Y19" i="1845"/>
  <c r="X19" i="1845"/>
  <c r="T33" i="1845" s="1"/>
  <c r="W19" i="1845"/>
  <c r="V19" i="1845"/>
  <c r="U19" i="1845"/>
  <c r="T19" i="1845"/>
  <c r="S19" i="1845"/>
  <c r="R19" i="1845"/>
  <c r="Q19" i="1845"/>
  <c r="P19" i="1845"/>
  <c r="O19" i="1845"/>
  <c r="N19" i="1845"/>
  <c r="H33" i="1845" s="1"/>
  <c r="M19" i="1845"/>
  <c r="L19" i="1845"/>
  <c r="P33" i="1845" s="1"/>
  <c r="K19" i="1845"/>
  <c r="J19" i="1845"/>
  <c r="I19" i="1845"/>
  <c r="AB33" i="1845" s="1"/>
  <c r="H19" i="1845"/>
  <c r="G19" i="1845"/>
  <c r="F19" i="1845"/>
  <c r="E19" i="1845"/>
  <c r="D19" i="1845"/>
  <c r="AE16" i="1845"/>
  <c r="AD16" i="1845"/>
  <c r="AC16" i="1845"/>
  <c r="AB16" i="1845"/>
  <c r="AA16" i="1845"/>
  <c r="Z16" i="1845"/>
  <c r="Y16" i="1845"/>
  <c r="X16" i="1845"/>
  <c r="W16" i="1845"/>
  <c r="V16" i="1845"/>
  <c r="U16" i="1845"/>
  <c r="T16" i="1845"/>
  <c r="S16" i="1845"/>
  <c r="R16" i="1845"/>
  <c r="Q16" i="1845"/>
  <c r="P16" i="1845"/>
  <c r="O16" i="1845"/>
  <c r="N16" i="1845"/>
  <c r="M16" i="1845"/>
  <c r="L16" i="1845"/>
  <c r="K16" i="1845"/>
  <c r="J16" i="1845"/>
  <c r="I16" i="1845"/>
  <c r="H16" i="1845"/>
  <c r="G16" i="1845"/>
  <c r="F16" i="1845"/>
  <c r="E16" i="1845"/>
  <c r="D16" i="1845"/>
  <c r="AE10" i="1845"/>
  <c r="AD10" i="1845"/>
  <c r="AC33" i="1845" s="1"/>
  <c r="AC10" i="1845"/>
  <c r="AB10" i="1845"/>
  <c r="AA10" i="1845"/>
  <c r="Z10" i="1845"/>
  <c r="Y10" i="1845"/>
  <c r="X10" i="1845"/>
  <c r="W10" i="1845"/>
  <c r="V10" i="1845"/>
  <c r="U10" i="1845"/>
  <c r="T10" i="1845"/>
  <c r="S10" i="1845"/>
  <c r="R10" i="1845"/>
  <c r="Q10" i="1845"/>
  <c r="P10" i="1845"/>
  <c r="O10" i="1845"/>
  <c r="N10" i="1845"/>
  <c r="Q33" i="1845" s="1"/>
  <c r="M10" i="1845"/>
  <c r="E33" i="1845" s="1"/>
  <c r="L10" i="1845"/>
  <c r="N33" i="1845" s="1"/>
  <c r="K10" i="1845"/>
  <c r="J10" i="1845"/>
  <c r="I10" i="1845"/>
  <c r="H10" i="1845"/>
  <c r="G10" i="1845"/>
  <c r="F10" i="1845"/>
  <c r="J33" i="1845" s="1"/>
  <c r="E10" i="1845"/>
  <c r="S33" i="1845" s="1"/>
  <c r="D10" i="1845"/>
  <c r="AE7" i="1845"/>
  <c r="AD7" i="1845"/>
  <c r="AC7" i="1845"/>
  <c r="AB7" i="1845"/>
  <c r="AA7" i="1845"/>
  <c r="Z7" i="1845"/>
  <c r="Y7" i="1845"/>
  <c r="X7" i="1845"/>
  <c r="W7" i="1845"/>
  <c r="V7" i="1845"/>
  <c r="U7" i="1845"/>
  <c r="T7" i="1845"/>
  <c r="S7" i="1845"/>
  <c r="R7" i="1845"/>
  <c r="Q7" i="1845"/>
  <c r="P7" i="1845"/>
  <c r="O7" i="1845"/>
  <c r="N7" i="1845"/>
  <c r="M7" i="1845"/>
  <c r="L7" i="1845"/>
  <c r="K7" i="1845"/>
  <c r="J7" i="1845"/>
  <c r="I7" i="1845"/>
  <c r="H7" i="1845"/>
  <c r="G7" i="1845"/>
  <c r="F7" i="1845"/>
  <c r="E7" i="1845"/>
  <c r="D7" i="1845"/>
  <c r="M33" i="1845" l="1"/>
  <c r="V33" i="1845"/>
  <c r="K33" i="1845"/>
  <c r="W33" i="1845"/>
  <c r="Z33" i="1845"/>
  <c r="D33" i="1845"/>
  <c r="Y33" i="1845"/>
  <c r="AA33" i="1844"/>
  <c r="X33" i="1844"/>
  <c r="U33" i="1844"/>
  <c r="R33" i="1844"/>
  <c r="O33" i="1844"/>
  <c r="L33" i="1844"/>
  <c r="F33" i="1844"/>
  <c r="Y28" i="1844"/>
  <c r="X28" i="1844"/>
  <c r="W28" i="1844"/>
  <c r="V28" i="1844"/>
  <c r="U28" i="1844"/>
  <c r="T28" i="1844"/>
  <c r="S28" i="1844"/>
  <c r="R28" i="1844"/>
  <c r="Q28" i="1844"/>
  <c r="P28" i="1844"/>
  <c r="O28" i="1844"/>
  <c r="N28" i="1844"/>
  <c r="M28" i="1844"/>
  <c r="L28" i="1844"/>
  <c r="K28" i="1844"/>
  <c r="J28" i="1844"/>
  <c r="I28" i="1844"/>
  <c r="H28" i="1844"/>
  <c r="G28" i="1844"/>
  <c r="F28" i="1844"/>
  <c r="E28" i="1844"/>
  <c r="D28" i="1844"/>
  <c r="Y25" i="1844"/>
  <c r="X25" i="1844"/>
  <c r="W25" i="1844"/>
  <c r="V25" i="1844"/>
  <c r="U25" i="1844"/>
  <c r="T25" i="1844"/>
  <c r="S25" i="1844"/>
  <c r="R25" i="1844"/>
  <c r="Q25" i="1844"/>
  <c r="P25" i="1844"/>
  <c r="O25" i="1844"/>
  <c r="N25" i="1844"/>
  <c r="M25" i="1844"/>
  <c r="L25" i="1844"/>
  <c r="K25" i="1844"/>
  <c r="J25" i="1844"/>
  <c r="I25" i="1844"/>
  <c r="H25" i="1844"/>
  <c r="G25" i="1844"/>
  <c r="F25" i="1844"/>
  <c r="E25" i="1844"/>
  <c r="D25" i="1844"/>
  <c r="AE19" i="1844"/>
  <c r="AD19" i="1844"/>
  <c r="AC19" i="1844"/>
  <c r="AB19" i="1844"/>
  <c r="AA19" i="1844"/>
  <c r="Z19" i="1844"/>
  <c r="Y19" i="1844"/>
  <c r="X19" i="1844"/>
  <c r="T33" i="1844" s="1"/>
  <c r="W19" i="1844"/>
  <c r="V19" i="1844"/>
  <c r="U19" i="1844"/>
  <c r="T19" i="1844"/>
  <c r="S19" i="1844"/>
  <c r="R19" i="1844"/>
  <c r="Q19" i="1844"/>
  <c r="P19" i="1844"/>
  <c r="O19" i="1844"/>
  <c r="N19" i="1844"/>
  <c r="H33" i="1844" s="1"/>
  <c r="M19" i="1844"/>
  <c r="L19" i="1844"/>
  <c r="P33" i="1844" s="1"/>
  <c r="K19" i="1844"/>
  <c r="J19" i="1844"/>
  <c r="I19" i="1844"/>
  <c r="AB33" i="1844" s="1"/>
  <c r="H19" i="1844"/>
  <c r="G19" i="1844"/>
  <c r="F19" i="1844"/>
  <c r="E19" i="1844"/>
  <c r="D19" i="1844"/>
  <c r="AE16" i="1844"/>
  <c r="AD16" i="1844"/>
  <c r="AC16" i="1844"/>
  <c r="AB16" i="1844"/>
  <c r="AA16" i="1844"/>
  <c r="Z16" i="1844"/>
  <c r="Y16" i="1844"/>
  <c r="X16" i="1844"/>
  <c r="W16" i="1844"/>
  <c r="V16" i="1844"/>
  <c r="U16" i="1844"/>
  <c r="T16" i="1844"/>
  <c r="S16" i="1844"/>
  <c r="R16" i="1844"/>
  <c r="Q16" i="1844"/>
  <c r="P16" i="1844"/>
  <c r="O16" i="1844"/>
  <c r="N16" i="1844"/>
  <c r="M16" i="1844"/>
  <c r="L16" i="1844"/>
  <c r="K16" i="1844"/>
  <c r="J16" i="1844"/>
  <c r="I16" i="1844"/>
  <c r="H16" i="1844"/>
  <c r="G16" i="1844"/>
  <c r="F16" i="1844"/>
  <c r="E16" i="1844"/>
  <c r="D16" i="1844"/>
  <c r="AE10" i="1844"/>
  <c r="AD10" i="1844"/>
  <c r="AC33" i="1844" s="1"/>
  <c r="AC10" i="1844"/>
  <c r="AB10" i="1844"/>
  <c r="AA10" i="1844"/>
  <c r="D33" i="1844" s="1"/>
  <c r="Z10" i="1844"/>
  <c r="Y10" i="1844"/>
  <c r="X10" i="1844"/>
  <c r="W10" i="1844"/>
  <c r="V10" i="1844"/>
  <c r="U10" i="1844"/>
  <c r="T10" i="1844"/>
  <c r="S10" i="1844"/>
  <c r="R10" i="1844"/>
  <c r="Q10" i="1844"/>
  <c r="P10" i="1844"/>
  <c r="O10" i="1844"/>
  <c r="N10" i="1844"/>
  <c r="M10" i="1844"/>
  <c r="E33" i="1844" s="1"/>
  <c r="L10" i="1844"/>
  <c r="N33" i="1844" s="1"/>
  <c r="K10" i="1844"/>
  <c r="J10" i="1844"/>
  <c r="I10" i="1844"/>
  <c r="H10" i="1844"/>
  <c r="G10" i="1844"/>
  <c r="F10" i="1844"/>
  <c r="J33" i="1844" s="1"/>
  <c r="E10" i="1844"/>
  <c r="S33" i="1844" s="1"/>
  <c r="D10" i="1844"/>
  <c r="AE7" i="1844"/>
  <c r="AD7" i="1844"/>
  <c r="AC7" i="1844"/>
  <c r="AB7" i="1844"/>
  <c r="AA7" i="1844"/>
  <c r="Z7" i="1844"/>
  <c r="Y7" i="1844"/>
  <c r="X7" i="1844"/>
  <c r="W7" i="1844"/>
  <c r="V7" i="1844"/>
  <c r="U7" i="1844"/>
  <c r="T7" i="1844"/>
  <c r="S7" i="1844"/>
  <c r="R7" i="1844"/>
  <c r="Q7" i="1844"/>
  <c r="P7" i="1844"/>
  <c r="O7" i="1844"/>
  <c r="N7" i="1844"/>
  <c r="M7" i="1844"/>
  <c r="L7" i="1844"/>
  <c r="K7" i="1844"/>
  <c r="J7" i="1844"/>
  <c r="I7" i="1844"/>
  <c r="H7" i="1844"/>
  <c r="G7" i="1844"/>
  <c r="F7" i="1844"/>
  <c r="E7" i="1844"/>
  <c r="D7" i="1844"/>
  <c r="W33" i="1844" l="1"/>
  <c r="Z33" i="1844"/>
  <c r="V33" i="1844"/>
  <c r="Y33" i="1844"/>
  <c r="Q33" i="1844"/>
  <c r="K33" i="1844"/>
  <c r="M33" i="1844"/>
  <c r="AA33" i="1843"/>
  <c r="X33" i="1843"/>
  <c r="U33" i="1843"/>
  <c r="R33" i="1843"/>
  <c r="O33" i="1843"/>
  <c r="L33" i="1843"/>
  <c r="F33" i="1843"/>
  <c r="Y28" i="1843"/>
  <c r="X28" i="1843"/>
  <c r="W28" i="1843"/>
  <c r="V28" i="1843"/>
  <c r="U28" i="1843"/>
  <c r="T28" i="1843"/>
  <c r="S28" i="1843"/>
  <c r="R28" i="1843"/>
  <c r="K33" i="1843" s="1"/>
  <c r="Q28" i="1843"/>
  <c r="P28" i="1843"/>
  <c r="O28" i="1843"/>
  <c r="N28" i="1843"/>
  <c r="M28" i="1843"/>
  <c r="L28" i="1843"/>
  <c r="K28" i="1843"/>
  <c r="J28" i="1843"/>
  <c r="I28" i="1843"/>
  <c r="H28" i="1843"/>
  <c r="G28" i="1843"/>
  <c r="F28" i="1843"/>
  <c r="E28" i="1843"/>
  <c r="D28" i="1843"/>
  <c r="Y25" i="1843"/>
  <c r="X25" i="1843"/>
  <c r="W25" i="1843"/>
  <c r="V25" i="1843"/>
  <c r="U25" i="1843"/>
  <c r="T25" i="1843"/>
  <c r="S25" i="1843"/>
  <c r="R25" i="1843"/>
  <c r="Q25" i="1843"/>
  <c r="P25" i="1843"/>
  <c r="O25" i="1843"/>
  <c r="N25" i="1843"/>
  <c r="M25" i="1843"/>
  <c r="L25" i="1843"/>
  <c r="K25" i="1843"/>
  <c r="J25" i="1843"/>
  <c r="I25" i="1843"/>
  <c r="H25" i="1843"/>
  <c r="G25" i="1843"/>
  <c r="F25" i="1843"/>
  <c r="E25" i="1843"/>
  <c r="D25" i="1843"/>
  <c r="AE19" i="1843"/>
  <c r="AD19" i="1843"/>
  <c r="AC19" i="1843"/>
  <c r="AB19" i="1843"/>
  <c r="AA19" i="1843"/>
  <c r="Z19" i="1843"/>
  <c r="Y19" i="1843"/>
  <c r="X19" i="1843"/>
  <c r="T33" i="1843" s="1"/>
  <c r="W19" i="1843"/>
  <c r="V19" i="1843"/>
  <c r="U19" i="1843"/>
  <c r="T19" i="1843"/>
  <c r="S19" i="1843"/>
  <c r="R19" i="1843"/>
  <c r="Q19" i="1843"/>
  <c r="P19" i="1843"/>
  <c r="O19" i="1843"/>
  <c r="N19" i="1843"/>
  <c r="H33" i="1843" s="1"/>
  <c r="M19" i="1843"/>
  <c r="L19" i="1843"/>
  <c r="P33" i="1843" s="1"/>
  <c r="K19" i="1843"/>
  <c r="J19" i="1843"/>
  <c r="I19" i="1843"/>
  <c r="AB33" i="1843" s="1"/>
  <c r="H19" i="1843"/>
  <c r="G19" i="1843"/>
  <c r="F19" i="1843"/>
  <c r="E19" i="1843"/>
  <c r="D19" i="1843"/>
  <c r="AE16" i="1843"/>
  <c r="AD16" i="1843"/>
  <c r="AC16" i="1843"/>
  <c r="AB16" i="1843"/>
  <c r="AA16" i="1843"/>
  <c r="Z16" i="1843"/>
  <c r="Y16" i="1843"/>
  <c r="X16" i="1843"/>
  <c r="W16" i="1843"/>
  <c r="V16" i="1843"/>
  <c r="U16" i="1843"/>
  <c r="T16" i="1843"/>
  <c r="S16" i="1843"/>
  <c r="R16" i="1843"/>
  <c r="Q16" i="1843"/>
  <c r="P16" i="1843"/>
  <c r="O16" i="1843"/>
  <c r="N16" i="1843"/>
  <c r="M16" i="1843"/>
  <c r="L16" i="1843"/>
  <c r="K16" i="1843"/>
  <c r="J16" i="1843"/>
  <c r="I16" i="1843"/>
  <c r="H16" i="1843"/>
  <c r="G16" i="1843"/>
  <c r="F16" i="1843"/>
  <c r="E16" i="1843"/>
  <c r="D16" i="1843"/>
  <c r="AE10" i="1843"/>
  <c r="AD10" i="1843"/>
  <c r="AC33" i="1843" s="1"/>
  <c r="AC10" i="1843"/>
  <c r="AB10" i="1843"/>
  <c r="AA10" i="1843"/>
  <c r="Z10" i="1843"/>
  <c r="Y10" i="1843"/>
  <c r="X10" i="1843"/>
  <c r="W10" i="1843"/>
  <c r="V10" i="1843"/>
  <c r="U10" i="1843"/>
  <c r="T10" i="1843"/>
  <c r="S10" i="1843"/>
  <c r="R10" i="1843"/>
  <c r="Q10" i="1843"/>
  <c r="P10" i="1843"/>
  <c r="O10" i="1843"/>
  <c r="N10" i="1843"/>
  <c r="M10" i="1843"/>
  <c r="L10" i="1843"/>
  <c r="K10" i="1843"/>
  <c r="J10" i="1843"/>
  <c r="Q33" i="1843" s="1"/>
  <c r="I10" i="1843"/>
  <c r="H10" i="1843"/>
  <c r="G10" i="1843"/>
  <c r="F10" i="1843"/>
  <c r="E10" i="1843"/>
  <c r="S33" i="1843" s="1"/>
  <c r="D10" i="1843"/>
  <c r="Z33" i="1843" s="1"/>
  <c r="AE7" i="1843"/>
  <c r="AD7" i="1843"/>
  <c r="AC7" i="1843"/>
  <c r="AB7" i="1843"/>
  <c r="AA7" i="1843"/>
  <c r="Z7" i="1843"/>
  <c r="Y7" i="1843"/>
  <c r="X7" i="1843"/>
  <c r="W7" i="1843"/>
  <c r="V7" i="1843"/>
  <c r="U7" i="1843"/>
  <c r="T7" i="1843"/>
  <c r="S7" i="1843"/>
  <c r="R7" i="1843"/>
  <c r="Q7" i="1843"/>
  <c r="P7" i="1843"/>
  <c r="O7" i="1843"/>
  <c r="N7" i="1843"/>
  <c r="M7" i="1843"/>
  <c r="L7" i="1843"/>
  <c r="K7" i="1843"/>
  <c r="J7" i="1843"/>
  <c r="I7" i="1843"/>
  <c r="H7" i="1843"/>
  <c r="G7" i="1843"/>
  <c r="F7" i="1843"/>
  <c r="E7" i="1843"/>
  <c r="D7" i="1843"/>
  <c r="J33" i="1843" l="1"/>
  <c r="N33" i="1843"/>
  <c r="W33" i="1843"/>
  <c r="D33" i="1843"/>
  <c r="Y33" i="1843"/>
  <c r="E33" i="1843"/>
  <c r="M33" i="1843"/>
  <c r="V33" i="1843"/>
  <c r="E10" i="1842"/>
  <c r="E7" i="1842"/>
  <c r="AA33" i="1842" l="1"/>
  <c r="X33" i="1842"/>
  <c r="U33" i="1842"/>
  <c r="R33" i="1842"/>
  <c r="O33" i="1842"/>
  <c r="L33" i="1842"/>
  <c r="H33" i="1842"/>
  <c r="F33" i="1842"/>
  <c r="Y28" i="1842"/>
  <c r="X28" i="1842"/>
  <c r="W28" i="1842"/>
  <c r="V28" i="1842"/>
  <c r="U28" i="1842"/>
  <c r="T28" i="1842"/>
  <c r="S28" i="1842"/>
  <c r="R28" i="1842"/>
  <c r="Q28" i="1842"/>
  <c r="P28" i="1842"/>
  <c r="O28" i="1842"/>
  <c r="N28" i="1842"/>
  <c r="M28" i="1842"/>
  <c r="L28" i="1842"/>
  <c r="K28" i="1842"/>
  <c r="J28" i="1842"/>
  <c r="I28" i="1842"/>
  <c r="H28" i="1842"/>
  <c r="G28" i="1842"/>
  <c r="F28" i="1842"/>
  <c r="E28" i="1842"/>
  <c r="D28" i="1842"/>
  <c r="Y25" i="1842"/>
  <c r="X25" i="1842"/>
  <c r="W25" i="1842"/>
  <c r="V25" i="1842"/>
  <c r="U25" i="1842"/>
  <c r="T25" i="1842"/>
  <c r="S25" i="1842"/>
  <c r="R25" i="1842"/>
  <c r="Q25" i="1842"/>
  <c r="P25" i="1842"/>
  <c r="O25" i="1842"/>
  <c r="N25" i="1842"/>
  <c r="M25" i="1842"/>
  <c r="L25" i="1842"/>
  <c r="K25" i="1842"/>
  <c r="J25" i="1842"/>
  <c r="I25" i="1842"/>
  <c r="H25" i="1842"/>
  <c r="G25" i="1842"/>
  <c r="F25" i="1842"/>
  <c r="E25" i="1842"/>
  <c r="D25" i="1842"/>
  <c r="AE19" i="1842"/>
  <c r="AD19" i="1842"/>
  <c r="AC19" i="1842"/>
  <c r="AB19" i="1842"/>
  <c r="AA19" i="1842"/>
  <c r="Z19" i="1842"/>
  <c r="Y19" i="1842"/>
  <c r="X19" i="1842"/>
  <c r="T33" i="1842" s="1"/>
  <c r="W19" i="1842"/>
  <c r="V19" i="1842"/>
  <c r="U19" i="1842"/>
  <c r="T19" i="1842"/>
  <c r="S19" i="1842"/>
  <c r="R19" i="1842"/>
  <c r="Q19" i="1842"/>
  <c r="P19" i="1842"/>
  <c r="O19" i="1842"/>
  <c r="N19" i="1842"/>
  <c r="M19" i="1842"/>
  <c r="L19" i="1842"/>
  <c r="P33" i="1842" s="1"/>
  <c r="K19" i="1842"/>
  <c r="J19" i="1842"/>
  <c r="I19" i="1842"/>
  <c r="AB33" i="1842" s="1"/>
  <c r="H19" i="1842"/>
  <c r="G19" i="1842"/>
  <c r="F19" i="1842"/>
  <c r="E19" i="1842"/>
  <c r="D19" i="1842"/>
  <c r="AE16" i="1842"/>
  <c r="AD16" i="1842"/>
  <c r="AC16" i="1842"/>
  <c r="AB16" i="1842"/>
  <c r="AA16" i="1842"/>
  <c r="Z16" i="1842"/>
  <c r="Y16" i="1842"/>
  <c r="X16" i="1842"/>
  <c r="W16" i="1842"/>
  <c r="V16" i="1842"/>
  <c r="U16" i="1842"/>
  <c r="T16" i="1842"/>
  <c r="S16" i="1842"/>
  <c r="R16" i="1842"/>
  <c r="Q16" i="1842"/>
  <c r="P16" i="1842"/>
  <c r="O16" i="1842"/>
  <c r="N16" i="1842"/>
  <c r="M16" i="1842"/>
  <c r="L16" i="1842"/>
  <c r="K16" i="1842"/>
  <c r="J16" i="1842"/>
  <c r="I16" i="1842"/>
  <c r="H16" i="1842"/>
  <c r="G16" i="1842"/>
  <c r="F16" i="1842"/>
  <c r="E16" i="1842"/>
  <c r="D16" i="1842"/>
  <c r="AE10" i="1842"/>
  <c r="AD10" i="1842"/>
  <c r="AC33" i="1842" s="1"/>
  <c r="AC10" i="1842"/>
  <c r="AB10" i="1842"/>
  <c r="D33" i="1842" s="1"/>
  <c r="AA10" i="1842"/>
  <c r="Z10" i="1842"/>
  <c r="Y10" i="1842"/>
  <c r="X10" i="1842"/>
  <c r="W10" i="1842"/>
  <c r="V10" i="1842"/>
  <c r="U10" i="1842"/>
  <c r="T10" i="1842"/>
  <c r="S10" i="1842"/>
  <c r="R10" i="1842"/>
  <c r="Q10" i="1842"/>
  <c r="P10" i="1842"/>
  <c r="O10" i="1842"/>
  <c r="N10" i="1842"/>
  <c r="Q33" i="1842" s="1"/>
  <c r="M10" i="1842"/>
  <c r="E33" i="1842" s="1"/>
  <c r="L10" i="1842"/>
  <c r="K10" i="1842"/>
  <c r="J10" i="1842"/>
  <c r="I10" i="1842"/>
  <c r="H10" i="1842"/>
  <c r="G10" i="1842"/>
  <c r="F10" i="1842"/>
  <c r="J33" i="1842" s="1"/>
  <c r="S33" i="1842"/>
  <c r="D10" i="1842"/>
  <c r="AE7" i="1842"/>
  <c r="AD7" i="1842"/>
  <c r="AC7" i="1842"/>
  <c r="AB7" i="1842"/>
  <c r="AA7" i="1842"/>
  <c r="Z7" i="1842"/>
  <c r="Y7" i="1842"/>
  <c r="X7" i="1842"/>
  <c r="W7" i="1842"/>
  <c r="V7" i="1842"/>
  <c r="U7" i="1842"/>
  <c r="T7" i="1842"/>
  <c r="S7" i="1842"/>
  <c r="R7" i="1842"/>
  <c r="Q7" i="1842"/>
  <c r="P7" i="1842"/>
  <c r="O7" i="1842"/>
  <c r="N7" i="1842"/>
  <c r="M7" i="1842"/>
  <c r="L7" i="1842"/>
  <c r="K7" i="1842"/>
  <c r="J7" i="1842"/>
  <c r="I7" i="1842"/>
  <c r="H7" i="1842"/>
  <c r="G7" i="1842"/>
  <c r="F7" i="1842"/>
  <c r="D7" i="1842"/>
  <c r="K33" i="1842" l="1"/>
  <c r="W33" i="1842"/>
  <c r="Z33" i="1842"/>
  <c r="Y33" i="1842"/>
  <c r="N33" i="1842"/>
  <c r="M33" i="1842"/>
  <c r="V33" i="1842"/>
  <c r="AA33" i="1841"/>
  <c r="X33" i="1841"/>
  <c r="U33" i="1841"/>
  <c r="R33" i="1841"/>
  <c r="O33" i="1841"/>
  <c r="L33" i="1841"/>
  <c r="F33" i="1841"/>
  <c r="Y28" i="1841"/>
  <c r="X28" i="1841"/>
  <c r="W28" i="1841"/>
  <c r="V28" i="1841"/>
  <c r="U28" i="1841"/>
  <c r="T28" i="1841"/>
  <c r="S28" i="1841"/>
  <c r="R28" i="1841"/>
  <c r="Q28" i="1841"/>
  <c r="P28" i="1841"/>
  <c r="O28" i="1841"/>
  <c r="N28" i="1841"/>
  <c r="M28" i="1841"/>
  <c r="L28" i="1841"/>
  <c r="K28" i="1841"/>
  <c r="J28" i="1841"/>
  <c r="I28" i="1841"/>
  <c r="H28" i="1841"/>
  <c r="G28" i="1841"/>
  <c r="F28" i="1841"/>
  <c r="E28" i="1841"/>
  <c r="D28" i="1841"/>
  <c r="Y25" i="1841"/>
  <c r="X25" i="1841"/>
  <c r="W25" i="1841"/>
  <c r="V25" i="1841"/>
  <c r="U25" i="1841"/>
  <c r="T25" i="1841"/>
  <c r="S25" i="1841"/>
  <c r="R25" i="1841"/>
  <c r="Q25" i="1841"/>
  <c r="P25" i="1841"/>
  <c r="O25" i="1841"/>
  <c r="N25" i="1841"/>
  <c r="M25" i="1841"/>
  <c r="L25" i="1841"/>
  <c r="K25" i="1841"/>
  <c r="J25" i="1841"/>
  <c r="I25" i="1841"/>
  <c r="H25" i="1841"/>
  <c r="G25" i="1841"/>
  <c r="F25" i="1841"/>
  <c r="E25" i="1841"/>
  <c r="D25" i="1841"/>
  <c r="AE19" i="1841"/>
  <c r="AD19" i="1841"/>
  <c r="AC19" i="1841"/>
  <c r="AB19" i="1841"/>
  <c r="AA19" i="1841"/>
  <c r="Z19" i="1841"/>
  <c r="Y19" i="1841"/>
  <c r="X19" i="1841"/>
  <c r="T33" i="1841" s="1"/>
  <c r="W19" i="1841"/>
  <c r="V19" i="1841"/>
  <c r="U19" i="1841"/>
  <c r="T19" i="1841"/>
  <c r="S19" i="1841"/>
  <c r="R19" i="1841"/>
  <c r="Q19" i="1841"/>
  <c r="P19" i="1841"/>
  <c r="O19" i="1841"/>
  <c r="N19" i="1841"/>
  <c r="H33" i="1841" s="1"/>
  <c r="M19" i="1841"/>
  <c r="L19" i="1841"/>
  <c r="P33" i="1841" s="1"/>
  <c r="K19" i="1841"/>
  <c r="J19" i="1841"/>
  <c r="I19" i="1841"/>
  <c r="AB33" i="1841" s="1"/>
  <c r="H19" i="1841"/>
  <c r="G19" i="1841"/>
  <c r="F19" i="1841"/>
  <c r="E19" i="1841"/>
  <c r="D19" i="1841"/>
  <c r="AE16" i="1841"/>
  <c r="AD16" i="1841"/>
  <c r="AC16" i="1841"/>
  <c r="AB16" i="1841"/>
  <c r="AA16" i="1841"/>
  <c r="Z16" i="1841"/>
  <c r="Y16" i="1841"/>
  <c r="X16" i="1841"/>
  <c r="W16" i="1841"/>
  <c r="V16" i="1841"/>
  <c r="U16" i="1841"/>
  <c r="T16" i="1841"/>
  <c r="S16" i="1841"/>
  <c r="R16" i="1841"/>
  <c r="Q16" i="1841"/>
  <c r="P16" i="1841"/>
  <c r="O16" i="1841"/>
  <c r="N16" i="1841"/>
  <c r="M16" i="1841"/>
  <c r="L16" i="1841"/>
  <c r="K16" i="1841"/>
  <c r="J16" i="1841"/>
  <c r="I16" i="1841"/>
  <c r="H16" i="1841"/>
  <c r="G16" i="1841"/>
  <c r="F16" i="1841"/>
  <c r="E16" i="1841"/>
  <c r="D16" i="1841"/>
  <c r="AE10" i="1841"/>
  <c r="AD10" i="1841"/>
  <c r="AC33" i="1841" s="1"/>
  <c r="AC10" i="1841"/>
  <c r="AB10" i="1841"/>
  <c r="AA10" i="1841"/>
  <c r="Z10" i="1841"/>
  <c r="Y10" i="1841"/>
  <c r="X10" i="1841"/>
  <c r="W10" i="1841"/>
  <c r="V10" i="1841"/>
  <c r="U10" i="1841"/>
  <c r="T10" i="1841"/>
  <c r="S10" i="1841"/>
  <c r="R10" i="1841"/>
  <c r="Q10" i="1841"/>
  <c r="P10" i="1841"/>
  <c r="O10" i="1841"/>
  <c r="N10" i="1841"/>
  <c r="M10" i="1841"/>
  <c r="E33" i="1841" s="1"/>
  <c r="L10" i="1841"/>
  <c r="N33" i="1841" s="1"/>
  <c r="K10" i="1841"/>
  <c r="J10" i="1841"/>
  <c r="I10" i="1841"/>
  <c r="H10" i="1841"/>
  <c r="G10" i="1841"/>
  <c r="F10" i="1841"/>
  <c r="J33" i="1841" s="1"/>
  <c r="E10" i="1841"/>
  <c r="S33" i="1841" s="1"/>
  <c r="D10" i="1841"/>
  <c r="AE7" i="1841"/>
  <c r="AD7" i="1841"/>
  <c r="AC7" i="1841"/>
  <c r="AB7" i="1841"/>
  <c r="AA7" i="1841"/>
  <c r="Z7" i="1841"/>
  <c r="Y7" i="1841"/>
  <c r="X7" i="1841"/>
  <c r="W7" i="1841"/>
  <c r="V7" i="1841"/>
  <c r="U7" i="1841"/>
  <c r="T7" i="1841"/>
  <c r="S7" i="1841"/>
  <c r="R7" i="1841"/>
  <c r="Q7" i="1841"/>
  <c r="P7" i="1841"/>
  <c r="O7" i="1841"/>
  <c r="N7" i="1841"/>
  <c r="M7" i="1841"/>
  <c r="L7" i="1841"/>
  <c r="K7" i="1841"/>
  <c r="J7" i="1841"/>
  <c r="I7" i="1841"/>
  <c r="H7" i="1841"/>
  <c r="G7" i="1841"/>
  <c r="F7" i="1841"/>
  <c r="E7" i="1841"/>
  <c r="D7" i="1841"/>
  <c r="M33" i="1841" l="1"/>
  <c r="W33" i="1841"/>
  <c r="Z33" i="1841"/>
  <c r="V33" i="1841"/>
  <c r="D33" i="1841"/>
  <c r="Y33" i="1841"/>
  <c r="Q33" i="1841"/>
  <c r="K33" i="1841"/>
  <c r="AA33" i="1840"/>
  <c r="X33" i="1840"/>
  <c r="U33" i="1840"/>
  <c r="R33" i="1840"/>
  <c r="O33" i="1840"/>
  <c r="L33" i="1840"/>
  <c r="F33" i="1840"/>
  <c r="Y28" i="1840"/>
  <c r="X28" i="1840"/>
  <c r="W28" i="1840"/>
  <c r="V28" i="1840"/>
  <c r="U28" i="1840"/>
  <c r="T28" i="1840"/>
  <c r="S28" i="1840"/>
  <c r="R28" i="1840"/>
  <c r="Q28" i="1840"/>
  <c r="P28" i="1840"/>
  <c r="O28" i="1840"/>
  <c r="N28" i="1840"/>
  <c r="M28" i="1840"/>
  <c r="L28" i="1840"/>
  <c r="K28" i="1840"/>
  <c r="J28" i="1840"/>
  <c r="I28" i="1840"/>
  <c r="H28" i="1840"/>
  <c r="G28" i="1840"/>
  <c r="F28" i="1840"/>
  <c r="E28" i="1840"/>
  <c r="D28" i="1840"/>
  <c r="Y25" i="1840"/>
  <c r="X25" i="1840"/>
  <c r="W25" i="1840"/>
  <c r="V25" i="1840"/>
  <c r="U25" i="1840"/>
  <c r="T25" i="1840"/>
  <c r="S25" i="1840"/>
  <c r="R25" i="1840"/>
  <c r="Q25" i="1840"/>
  <c r="P25" i="1840"/>
  <c r="O25" i="1840"/>
  <c r="N25" i="1840"/>
  <c r="M25" i="1840"/>
  <c r="L25" i="1840"/>
  <c r="K25" i="1840"/>
  <c r="J25" i="1840"/>
  <c r="I25" i="1840"/>
  <c r="H25" i="1840"/>
  <c r="G25" i="1840"/>
  <c r="F25" i="1840"/>
  <c r="E25" i="1840"/>
  <c r="D25" i="1840"/>
  <c r="AE19" i="1840"/>
  <c r="AD19" i="1840"/>
  <c r="AC19" i="1840"/>
  <c r="AB19" i="1840"/>
  <c r="AA19" i="1840"/>
  <c r="Z19" i="1840"/>
  <c r="Y19" i="1840"/>
  <c r="X19" i="1840"/>
  <c r="T33" i="1840" s="1"/>
  <c r="W19" i="1840"/>
  <c r="V19" i="1840"/>
  <c r="U19" i="1840"/>
  <c r="T19" i="1840"/>
  <c r="S19" i="1840"/>
  <c r="R19" i="1840"/>
  <c r="Q19" i="1840"/>
  <c r="P19" i="1840"/>
  <c r="O19" i="1840"/>
  <c r="N19" i="1840"/>
  <c r="H33" i="1840" s="1"/>
  <c r="M19" i="1840"/>
  <c r="L19" i="1840"/>
  <c r="P33" i="1840" s="1"/>
  <c r="K19" i="1840"/>
  <c r="J19" i="1840"/>
  <c r="I19" i="1840"/>
  <c r="AB33" i="1840" s="1"/>
  <c r="H19" i="1840"/>
  <c r="G19" i="1840"/>
  <c r="F19" i="1840"/>
  <c r="E19" i="1840"/>
  <c r="D19" i="1840"/>
  <c r="AE16" i="1840"/>
  <c r="AD16" i="1840"/>
  <c r="AC16" i="1840"/>
  <c r="AB16" i="1840"/>
  <c r="AA16" i="1840"/>
  <c r="Z16" i="1840"/>
  <c r="Y16" i="1840"/>
  <c r="X16" i="1840"/>
  <c r="W16" i="1840"/>
  <c r="V16" i="1840"/>
  <c r="U16" i="1840"/>
  <c r="T16" i="1840"/>
  <c r="S16" i="1840"/>
  <c r="R16" i="1840"/>
  <c r="Q16" i="1840"/>
  <c r="P16" i="1840"/>
  <c r="O16" i="1840"/>
  <c r="N16" i="1840"/>
  <c r="M16" i="1840"/>
  <c r="L16" i="1840"/>
  <c r="K16" i="1840"/>
  <c r="J16" i="1840"/>
  <c r="I16" i="1840"/>
  <c r="H16" i="1840"/>
  <c r="G16" i="1840"/>
  <c r="F16" i="1840"/>
  <c r="E16" i="1840"/>
  <c r="D16" i="1840"/>
  <c r="AE10" i="1840"/>
  <c r="AD10" i="1840"/>
  <c r="AC33" i="1840" s="1"/>
  <c r="AC10" i="1840"/>
  <c r="AB10" i="1840"/>
  <c r="AA10" i="1840"/>
  <c r="D33" i="1840" s="1"/>
  <c r="Z10" i="1840"/>
  <c r="Y10" i="1840"/>
  <c r="X10" i="1840"/>
  <c r="W10" i="1840"/>
  <c r="V10" i="1840"/>
  <c r="U10" i="1840"/>
  <c r="T10" i="1840"/>
  <c r="S10" i="1840"/>
  <c r="R10" i="1840"/>
  <c r="Q10" i="1840"/>
  <c r="P10" i="1840"/>
  <c r="O10" i="1840"/>
  <c r="N10" i="1840"/>
  <c r="M10" i="1840"/>
  <c r="E33" i="1840" s="1"/>
  <c r="L10" i="1840"/>
  <c r="N33" i="1840" s="1"/>
  <c r="K10" i="1840"/>
  <c r="J10" i="1840"/>
  <c r="I10" i="1840"/>
  <c r="H10" i="1840"/>
  <c r="G10" i="1840"/>
  <c r="F10" i="1840"/>
  <c r="J33" i="1840" s="1"/>
  <c r="E10" i="1840"/>
  <c r="S33" i="1840" s="1"/>
  <c r="D10" i="1840"/>
  <c r="AE7" i="1840"/>
  <c r="AD7" i="1840"/>
  <c r="AC7" i="1840"/>
  <c r="AB7" i="1840"/>
  <c r="AA7" i="1840"/>
  <c r="Z7" i="1840"/>
  <c r="Y7" i="1840"/>
  <c r="X7" i="1840"/>
  <c r="W7" i="1840"/>
  <c r="V7" i="1840"/>
  <c r="U7" i="1840"/>
  <c r="T7" i="1840"/>
  <c r="S7" i="1840"/>
  <c r="R7" i="1840"/>
  <c r="Q7" i="1840"/>
  <c r="P7" i="1840"/>
  <c r="O7" i="1840"/>
  <c r="N7" i="1840"/>
  <c r="M7" i="1840"/>
  <c r="L7" i="1840"/>
  <c r="K7" i="1840"/>
  <c r="J7" i="1840"/>
  <c r="I7" i="1840"/>
  <c r="H7" i="1840"/>
  <c r="G7" i="1840"/>
  <c r="F7" i="1840"/>
  <c r="E7" i="1840"/>
  <c r="D7" i="1840"/>
  <c r="W33" i="1840" l="1"/>
  <c r="Z33" i="1840"/>
  <c r="V33" i="1840"/>
  <c r="Y33" i="1840"/>
  <c r="K33" i="1840"/>
  <c r="Q33" i="1840"/>
  <c r="M33" i="1840"/>
  <c r="AA33" i="1839"/>
  <c r="X33" i="1839"/>
  <c r="U33" i="1839"/>
  <c r="R33" i="1839"/>
  <c r="O33" i="1839"/>
  <c r="L33" i="1839"/>
  <c r="F33" i="1839"/>
  <c r="Y28" i="1839"/>
  <c r="X28" i="1839"/>
  <c r="W28" i="1839"/>
  <c r="V28" i="1839"/>
  <c r="U28" i="1839"/>
  <c r="T28" i="1839"/>
  <c r="S28" i="1839"/>
  <c r="R28" i="1839"/>
  <c r="Q28" i="1839"/>
  <c r="P28" i="1839"/>
  <c r="O28" i="1839"/>
  <c r="N28" i="1839"/>
  <c r="M28" i="1839"/>
  <c r="L28" i="1839"/>
  <c r="K28" i="1839"/>
  <c r="J28" i="1839"/>
  <c r="I28" i="1839"/>
  <c r="H28" i="1839"/>
  <c r="G28" i="1839"/>
  <c r="F28" i="1839"/>
  <c r="E28" i="1839"/>
  <c r="D28" i="1839"/>
  <c r="Y25" i="1839"/>
  <c r="X25" i="1839"/>
  <c r="W25" i="1839"/>
  <c r="V25" i="1839"/>
  <c r="U25" i="1839"/>
  <c r="T25" i="1839"/>
  <c r="S25" i="1839"/>
  <c r="R25" i="1839"/>
  <c r="Q25" i="1839"/>
  <c r="P25" i="1839"/>
  <c r="O25" i="1839"/>
  <c r="N25" i="1839"/>
  <c r="M25" i="1839"/>
  <c r="L25" i="1839"/>
  <c r="K25" i="1839"/>
  <c r="J25" i="1839"/>
  <c r="I25" i="1839"/>
  <c r="H25" i="1839"/>
  <c r="G25" i="1839"/>
  <c r="F25" i="1839"/>
  <c r="E25" i="1839"/>
  <c r="D25" i="1839"/>
  <c r="AE19" i="1839"/>
  <c r="AD19" i="1839"/>
  <c r="AC19" i="1839"/>
  <c r="AB19" i="1839"/>
  <c r="AA19" i="1839"/>
  <c r="Z19" i="1839"/>
  <c r="Y19" i="1839"/>
  <c r="X19" i="1839"/>
  <c r="T33" i="1839" s="1"/>
  <c r="W19" i="1839"/>
  <c r="V19" i="1839"/>
  <c r="U19" i="1839"/>
  <c r="T19" i="1839"/>
  <c r="S19" i="1839"/>
  <c r="R19" i="1839"/>
  <c r="Q19" i="1839"/>
  <c r="P19" i="1839"/>
  <c r="O19" i="1839"/>
  <c r="N19" i="1839"/>
  <c r="H33" i="1839" s="1"/>
  <c r="M19" i="1839"/>
  <c r="L19" i="1839"/>
  <c r="P33" i="1839" s="1"/>
  <c r="K19" i="1839"/>
  <c r="J19" i="1839"/>
  <c r="I19" i="1839"/>
  <c r="AB33" i="1839" s="1"/>
  <c r="H19" i="1839"/>
  <c r="G19" i="1839"/>
  <c r="F19" i="1839"/>
  <c r="E19" i="1839"/>
  <c r="D19" i="1839"/>
  <c r="AE16" i="1839"/>
  <c r="AD16" i="1839"/>
  <c r="AC16" i="1839"/>
  <c r="AB16" i="1839"/>
  <c r="AA16" i="1839"/>
  <c r="Z16" i="1839"/>
  <c r="Y16" i="1839"/>
  <c r="X16" i="1839"/>
  <c r="W16" i="1839"/>
  <c r="V16" i="1839"/>
  <c r="U16" i="1839"/>
  <c r="T16" i="1839"/>
  <c r="S16" i="1839"/>
  <c r="R16" i="1839"/>
  <c r="Q16" i="1839"/>
  <c r="P16" i="1839"/>
  <c r="O16" i="1839"/>
  <c r="N16" i="1839"/>
  <c r="M16" i="1839"/>
  <c r="L16" i="1839"/>
  <c r="K16" i="1839"/>
  <c r="J16" i="1839"/>
  <c r="I16" i="1839"/>
  <c r="H16" i="1839"/>
  <c r="G16" i="1839"/>
  <c r="F16" i="1839"/>
  <c r="E16" i="1839"/>
  <c r="D16" i="1839"/>
  <c r="AE10" i="1839"/>
  <c r="AD10" i="1839"/>
  <c r="AC33" i="1839" s="1"/>
  <c r="AC10" i="1839"/>
  <c r="AB10" i="1839"/>
  <c r="AA10" i="1839"/>
  <c r="Z10" i="1839"/>
  <c r="Y10" i="1839"/>
  <c r="X10" i="1839"/>
  <c r="W10" i="1839"/>
  <c r="V10" i="1839"/>
  <c r="U10" i="1839"/>
  <c r="T10" i="1839"/>
  <c r="S10" i="1839"/>
  <c r="R10" i="1839"/>
  <c r="Q10" i="1839"/>
  <c r="P10" i="1839"/>
  <c r="O10" i="1839"/>
  <c r="N10" i="1839"/>
  <c r="M10" i="1839"/>
  <c r="E33" i="1839" s="1"/>
  <c r="L10" i="1839"/>
  <c r="K10" i="1839"/>
  <c r="J10" i="1839"/>
  <c r="I10" i="1839"/>
  <c r="H10" i="1839"/>
  <c r="G10" i="1839"/>
  <c r="F10" i="1839"/>
  <c r="J33" i="1839" s="1"/>
  <c r="E10" i="1839"/>
  <c r="S33" i="1839" s="1"/>
  <c r="D10" i="1839"/>
  <c r="AE7" i="1839"/>
  <c r="AD7" i="1839"/>
  <c r="AC7" i="1839"/>
  <c r="AB7" i="1839"/>
  <c r="AA7" i="1839"/>
  <c r="Z7" i="1839"/>
  <c r="Y7" i="1839"/>
  <c r="X7" i="1839"/>
  <c r="W7" i="1839"/>
  <c r="V7" i="1839"/>
  <c r="U7" i="1839"/>
  <c r="T7" i="1839"/>
  <c r="S7" i="1839"/>
  <c r="R7" i="1839"/>
  <c r="Q7" i="1839"/>
  <c r="P7" i="1839"/>
  <c r="O7" i="1839"/>
  <c r="N7" i="1839"/>
  <c r="M7" i="1839"/>
  <c r="L7" i="1839"/>
  <c r="K7" i="1839"/>
  <c r="J7" i="1839"/>
  <c r="I7" i="1839"/>
  <c r="H7" i="1839"/>
  <c r="G7" i="1839"/>
  <c r="F7" i="1839"/>
  <c r="E7" i="1839"/>
  <c r="D7" i="1839"/>
  <c r="W33" i="1839" l="1"/>
  <c r="D33" i="1839"/>
  <c r="Z33" i="1839"/>
  <c r="Y33" i="1839"/>
  <c r="N33" i="1839"/>
  <c r="Q33" i="1839"/>
  <c r="K33" i="1839"/>
  <c r="M33" i="1839"/>
  <c r="V33" i="1839"/>
  <c r="AA33" i="1838"/>
  <c r="X33" i="1838"/>
  <c r="U33" i="1838"/>
  <c r="R33" i="1838"/>
  <c r="O33" i="1838"/>
  <c r="L33" i="1838"/>
  <c r="H33" i="1838"/>
  <c r="F33" i="1838"/>
  <c r="Y28" i="1838"/>
  <c r="X28" i="1838"/>
  <c r="W28" i="1838"/>
  <c r="V28" i="1838"/>
  <c r="U28" i="1838"/>
  <c r="T28" i="1838"/>
  <c r="S28" i="1838"/>
  <c r="R28" i="1838"/>
  <c r="Q28" i="1838"/>
  <c r="P28" i="1838"/>
  <c r="O28" i="1838"/>
  <c r="N28" i="1838"/>
  <c r="M28" i="1838"/>
  <c r="L28" i="1838"/>
  <c r="K28" i="1838"/>
  <c r="J28" i="1838"/>
  <c r="I28" i="1838"/>
  <c r="H28" i="1838"/>
  <c r="G28" i="1838"/>
  <c r="F28" i="1838"/>
  <c r="E28" i="1838"/>
  <c r="D28" i="1838"/>
  <c r="Y25" i="1838"/>
  <c r="X25" i="1838"/>
  <c r="W25" i="1838"/>
  <c r="V25" i="1838"/>
  <c r="U25" i="1838"/>
  <c r="T25" i="1838"/>
  <c r="S25" i="1838"/>
  <c r="R25" i="1838"/>
  <c r="Q25" i="1838"/>
  <c r="P25" i="1838"/>
  <c r="O25" i="1838"/>
  <c r="N25" i="1838"/>
  <c r="M25" i="1838"/>
  <c r="L25" i="1838"/>
  <c r="K25" i="1838"/>
  <c r="J25" i="1838"/>
  <c r="I25" i="1838"/>
  <c r="H25" i="1838"/>
  <c r="G25" i="1838"/>
  <c r="F25" i="1838"/>
  <c r="E25" i="1838"/>
  <c r="D25" i="1838"/>
  <c r="AE19" i="1838"/>
  <c r="AD19" i="1838"/>
  <c r="AC19" i="1838"/>
  <c r="AB19" i="1838"/>
  <c r="AA19" i="1838"/>
  <c r="Z19" i="1838"/>
  <c r="Y19" i="1838"/>
  <c r="X19" i="1838"/>
  <c r="T33" i="1838" s="1"/>
  <c r="W19" i="1838"/>
  <c r="V19" i="1838"/>
  <c r="U19" i="1838"/>
  <c r="T19" i="1838"/>
  <c r="S19" i="1838"/>
  <c r="R19" i="1838"/>
  <c r="Q19" i="1838"/>
  <c r="P19" i="1838"/>
  <c r="O19" i="1838"/>
  <c r="N19" i="1838"/>
  <c r="M19" i="1838"/>
  <c r="L19" i="1838"/>
  <c r="P33" i="1838" s="1"/>
  <c r="K19" i="1838"/>
  <c r="J19" i="1838"/>
  <c r="I19" i="1838"/>
  <c r="AB33" i="1838" s="1"/>
  <c r="H19" i="1838"/>
  <c r="G19" i="1838"/>
  <c r="F19" i="1838"/>
  <c r="E19" i="1838"/>
  <c r="D19" i="1838"/>
  <c r="AE16" i="1838"/>
  <c r="AD16" i="1838"/>
  <c r="AC16" i="1838"/>
  <c r="AB16" i="1838"/>
  <c r="AA16" i="1838"/>
  <c r="Z16" i="1838"/>
  <c r="Y16" i="1838"/>
  <c r="X16" i="1838"/>
  <c r="W16" i="1838"/>
  <c r="V16" i="1838"/>
  <c r="U16" i="1838"/>
  <c r="T16" i="1838"/>
  <c r="S16" i="1838"/>
  <c r="R16" i="1838"/>
  <c r="Q16" i="1838"/>
  <c r="P16" i="1838"/>
  <c r="O16" i="1838"/>
  <c r="N16" i="1838"/>
  <c r="M16" i="1838"/>
  <c r="L16" i="1838"/>
  <c r="K16" i="1838"/>
  <c r="J16" i="1838"/>
  <c r="I16" i="1838"/>
  <c r="H16" i="1838"/>
  <c r="G16" i="1838"/>
  <c r="F16" i="1838"/>
  <c r="E16" i="1838"/>
  <c r="D16" i="1838"/>
  <c r="AE10" i="1838"/>
  <c r="AD10" i="1838"/>
  <c r="AC33" i="1838" s="1"/>
  <c r="AC10" i="1838"/>
  <c r="AB10" i="1838"/>
  <c r="AA10" i="1838"/>
  <c r="Z10" i="1838"/>
  <c r="Y10" i="1838"/>
  <c r="X10" i="1838"/>
  <c r="W10" i="1838"/>
  <c r="V10" i="1838"/>
  <c r="U10" i="1838"/>
  <c r="T10" i="1838"/>
  <c r="S10" i="1838"/>
  <c r="R10" i="1838"/>
  <c r="Q10" i="1838"/>
  <c r="P10" i="1838"/>
  <c r="O10" i="1838"/>
  <c r="N10" i="1838"/>
  <c r="M10" i="1838"/>
  <c r="E33" i="1838" s="1"/>
  <c r="L10" i="1838"/>
  <c r="N33" i="1838" s="1"/>
  <c r="K10" i="1838"/>
  <c r="J10" i="1838"/>
  <c r="I10" i="1838"/>
  <c r="H10" i="1838"/>
  <c r="G10" i="1838"/>
  <c r="F10" i="1838"/>
  <c r="J33" i="1838" s="1"/>
  <c r="E10" i="1838"/>
  <c r="S33" i="1838" s="1"/>
  <c r="D10" i="1838"/>
  <c r="AE7" i="1838"/>
  <c r="AD7" i="1838"/>
  <c r="AC7" i="1838"/>
  <c r="AB7" i="1838"/>
  <c r="AA7" i="1838"/>
  <c r="Z7" i="1838"/>
  <c r="Y7" i="1838"/>
  <c r="X7" i="1838"/>
  <c r="W7" i="1838"/>
  <c r="V7" i="1838"/>
  <c r="U7" i="1838"/>
  <c r="T7" i="1838"/>
  <c r="S7" i="1838"/>
  <c r="R7" i="1838"/>
  <c r="Q7" i="1838"/>
  <c r="P7" i="1838"/>
  <c r="O7" i="1838"/>
  <c r="N7" i="1838"/>
  <c r="M7" i="1838"/>
  <c r="L7" i="1838"/>
  <c r="K7" i="1838"/>
  <c r="J7" i="1838"/>
  <c r="I7" i="1838"/>
  <c r="H7" i="1838"/>
  <c r="G7" i="1838"/>
  <c r="F7" i="1838"/>
  <c r="E7" i="1838"/>
  <c r="D7" i="1838"/>
  <c r="M33" i="1838" l="1"/>
  <c r="V33" i="1838"/>
  <c r="K33" i="1838"/>
  <c r="W33" i="1838"/>
  <c r="Z33" i="1838"/>
  <c r="D33" i="1838"/>
  <c r="Y33" i="1838"/>
  <c r="Q33" i="1838"/>
  <c r="AA33" i="1837"/>
  <c r="X33" i="1837"/>
  <c r="U33" i="1837"/>
  <c r="R33" i="1837"/>
  <c r="O33" i="1837"/>
  <c r="L33" i="1837"/>
  <c r="F33" i="1837"/>
  <c r="Y28" i="1837"/>
  <c r="X28" i="1837"/>
  <c r="W28" i="1837"/>
  <c r="V28" i="1837"/>
  <c r="U28" i="1837"/>
  <c r="T28" i="1837"/>
  <c r="S28" i="1837"/>
  <c r="R28" i="1837"/>
  <c r="Q28" i="1837"/>
  <c r="P28" i="1837"/>
  <c r="O28" i="1837"/>
  <c r="N28" i="1837"/>
  <c r="M28" i="1837"/>
  <c r="L28" i="1837"/>
  <c r="K28" i="1837"/>
  <c r="J28" i="1837"/>
  <c r="I28" i="1837"/>
  <c r="H28" i="1837"/>
  <c r="G28" i="1837"/>
  <c r="F28" i="1837"/>
  <c r="E28" i="1837"/>
  <c r="D28" i="1837"/>
  <c r="Y25" i="1837"/>
  <c r="X25" i="1837"/>
  <c r="W25" i="1837"/>
  <c r="V25" i="1837"/>
  <c r="U25" i="1837"/>
  <c r="T25" i="1837"/>
  <c r="S25" i="1837"/>
  <c r="R25" i="1837"/>
  <c r="Q25" i="1837"/>
  <c r="P25" i="1837"/>
  <c r="O25" i="1837"/>
  <c r="N25" i="1837"/>
  <c r="M25" i="1837"/>
  <c r="L25" i="1837"/>
  <c r="K25" i="1837"/>
  <c r="J25" i="1837"/>
  <c r="I25" i="1837"/>
  <c r="H25" i="1837"/>
  <c r="G25" i="1837"/>
  <c r="F25" i="1837"/>
  <c r="E25" i="1837"/>
  <c r="D25" i="1837"/>
  <c r="AE19" i="1837"/>
  <c r="AD19" i="1837"/>
  <c r="AC19" i="1837"/>
  <c r="AB19" i="1837"/>
  <c r="AA19" i="1837"/>
  <c r="Z19" i="1837"/>
  <c r="Y19" i="1837"/>
  <c r="X19" i="1837"/>
  <c r="T33" i="1837" s="1"/>
  <c r="W19" i="1837"/>
  <c r="V19" i="1837"/>
  <c r="U19" i="1837"/>
  <c r="T19" i="1837"/>
  <c r="S19" i="1837"/>
  <c r="R19" i="1837"/>
  <c r="Q19" i="1837"/>
  <c r="P19" i="1837"/>
  <c r="O19" i="1837"/>
  <c r="N19" i="1837"/>
  <c r="H33" i="1837" s="1"/>
  <c r="M19" i="1837"/>
  <c r="L19" i="1837"/>
  <c r="P33" i="1837" s="1"/>
  <c r="K19" i="1837"/>
  <c r="J19" i="1837"/>
  <c r="I19" i="1837"/>
  <c r="AB33" i="1837" s="1"/>
  <c r="H19" i="1837"/>
  <c r="G19" i="1837"/>
  <c r="F19" i="1837"/>
  <c r="E19" i="1837"/>
  <c r="D19" i="1837"/>
  <c r="AE16" i="1837"/>
  <c r="AD16" i="1837"/>
  <c r="AC16" i="1837"/>
  <c r="AB16" i="1837"/>
  <c r="AA16" i="1837"/>
  <c r="Z16" i="1837"/>
  <c r="Y16" i="1837"/>
  <c r="X16" i="1837"/>
  <c r="W16" i="1837"/>
  <c r="V16" i="1837"/>
  <c r="U16" i="1837"/>
  <c r="T16" i="1837"/>
  <c r="S16" i="1837"/>
  <c r="R16" i="1837"/>
  <c r="Q16" i="1837"/>
  <c r="P16" i="1837"/>
  <c r="O16" i="1837"/>
  <c r="N16" i="1837"/>
  <c r="M16" i="1837"/>
  <c r="L16" i="1837"/>
  <c r="K16" i="1837"/>
  <c r="J16" i="1837"/>
  <c r="I16" i="1837"/>
  <c r="H16" i="1837"/>
  <c r="G16" i="1837"/>
  <c r="F16" i="1837"/>
  <c r="E16" i="1837"/>
  <c r="D16" i="1837"/>
  <c r="AE10" i="1837"/>
  <c r="AD10" i="1837"/>
  <c r="AC33" i="1837" s="1"/>
  <c r="AC10" i="1837"/>
  <c r="AB10" i="1837"/>
  <c r="D33" i="1837" s="1"/>
  <c r="AA10" i="1837"/>
  <c r="Z10" i="1837"/>
  <c r="Y10" i="1837"/>
  <c r="X10" i="1837"/>
  <c r="W10" i="1837"/>
  <c r="V10" i="1837"/>
  <c r="U10" i="1837"/>
  <c r="T10" i="1837"/>
  <c r="S10" i="1837"/>
  <c r="R10" i="1837"/>
  <c r="Q10" i="1837"/>
  <c r="P10" i="1837"/>
  <c r="O10" i="1837"/>
  <c r="N10" i="1837"/>
  <c r="Q33" i="1837" s="1"/>
  <c r="M10" i="1837"/>
  <c r="E33" i="1837" s="1"/>
  <c r="L10" i="1837"/>
  <c r="N33" i="1837" s="1"/>
  <c r="K10" i="1837"/>
  <c r="J10" i="1837"/>
  <c r="I10" i="1837"/>
  <c r="H10" i="1837"/>
  <c r="G10" i="1837"/>
  <c r="F10" i="1837"/>
  <c r="J33" i="1837" s="1"/>
  <c r="E10" i="1837"/>
  <c r="S33" i="1837" s="1"/>
  <c r="D10" i="1837"/>
  <c r="AE7" i="1837"/>
  <c r="AD7" i="1837"/>
  <c r="AC7" i="1837"/>
  <c r="AB7" i="1837"/>
  <c r="AA7" i="1837"/>
  <c r="Z7" i="1837"/>
  <c r="Y7" i="1837"/>
  <c r="X7" i="1837"/>
  <c r="W7" i="1837"/>
  <c r="V7" i="1837"/>
  <c r="U7" i="1837"/>
  <c r="T7" i="1837"/>
  <c r="S7" i="1837"/>
  <c r="R7" i="1837"/>
  <c r="Q7" i="1837"/>
  <c r="P7" i="1837"/>
  <c r="O7" i="1837"/>
  <c r="N7" i="1837"/>
  <c r="M7" i="1837"/>
  <c r="L7" i="1837"/>
  <c r="K7" i="1837"/>
  <c r="J7" i="1837"/>
  <c r="I7" i="1837"/>
  <c r="H7" i="1837"/>
  <c r="G7" i="1837"/>
  <c r="F7" i="1837"/>
  <c r="E7" i="1837"/>
  <c r="D7" i="1837"/>
  <c r="K33" i="1837" l="1"/>
  <c r="W33" i="1837"/>
  <c r="Z33" i="1837"/>
  <c r="Y33" i="1837"/>
  <c r="M33" i="1837"/>
  <c r="V33" i="1837"/>
  <c r="AA33" i="1836"/>
  <c r="X33" i="1836"/>
  <c r="U33" i="1836"/>
  <c r="R33" i="1836"/>
  <c r="O33" i="1836"/>
  <c r="L33" i="1836"/>
  <c r="F33" i="1836"/>
  <c r="Y28" i="1836"/>
  <c r="X28" i="1836"/>
  <c r="W28" i="1836"/>
  <c r="V28" i="1836"/>
  <c r="U28" i="1836"/>
  <c r="T28" i="1836"/>
  <c r="S28" i="1836"/>
  <c r="R28" i="1836"/>
  <c r="Q28" i="1836"/>
  <c r="P28" i="1836"/>
  <c r="O28" i="1836"/>
  <c r="N28" i="1836"/>
  <c r="M28" i="1836"/>
  <c r="L28" i="1836"/>
  <c r="K28" i="1836"/>
  <c r="J28" i="1836"/>
  <c r="I28" i="1836"/>
  <c r="H28" i="1836"/>
  <c r="G28" i="1836"/>
  <c r="F28" i="1836"/>
  <c r="E28" i="1836"/>
  <c r="D28" i="1836"/>
  <c r="Y25" i="1836"/>
  <c r="X25" i="1836"/>
  <c r="W25" i="1836"/>
  <c r="V25" i="1836"/>
  <c r="U25" i="1836"/>
  <c r="T25" i="1836"/>
  <c r="S25" i="1836"/>
  <c r="R25" i="1836"/>
  <c r="Q25" i="1836"/>
  <c r="P25" i="1836"/>
  <c r="O25" i="1836"/>
  <c r="N25" i="1836"/>
  <c r="M25" i="1836"/>
  <c r="L25" i="1836"/>
  <c r="K25" i="1836"/>
  <c r="J25" i="1836"/>
  <c r="I25" i="1836"/>
  <c r="H25" i="1836"/>
  <c r="G25" i="1836"/>
  <c r="F25" i="1836"/>
  <c r="E25" i="1836"/>
  <c r="D25" i="1836"/>
  <c r="AE19" i="1836"/>
  <c r="AD19" i="1836"/>
  <c r="AC19" i="1836"/>
  <c r="AB19" i="1836"/>
  <c r="AA19" i="1836"/>
  <c r="Z19" i="1836"/>
  <c r="Y19" i="1836"/>
  <c r="X19" i="1836"/>
  <c r="T33" i="1836" s="1"/>
  <c r="W19" i="1836"/>
  <c r="V19" i="1836"/>
  <c r="U19" i="1836"/>
  <c r="T19" i="1836"/>
  <c r="S19" i="1836"/>
  <c r="R19" i="1836"/>
  <c r="Q19" i="1836"/>
  <c r="P19" i="1836"/>
  <c r="O19" i="1836"/>
  <c r="N19" i="1836"/>
  <c r="H33" i="1836" s="1"/>
  <c r="M19" i="1836"/>
  <c r="L19" i="1836"/>
  <c r="P33" i="1836" s="1"/>
  <c r="K19" i="1836"/>
  <c r="J19" i="1836"/>
  <c r="I19" i="1836"/>
  <c r="AB33" i="1836" s="1"/>
  <c r="H19" i="1836"/>
  <c r="G19" i="1836"/>
  <c r="F19" i="1836"/>
  <c r="E19" i="1836"/>
  <c r="D19" i="1836"/>
  <c r="AE16" i="1836"/>
  <c r="AD16" i="1836"/>
  <c r="AC16" i="1836"/>
  <c r="AB16" i="1836"/>
  <c r="AA16" i="1836"/>
  <c r="Z16" i="1836"/>
  <c r="Y16" i="1836"/>
  <c r="X16" i="1836"/>
  <c r="W16" i="1836"/>
  <c r="V16" i="1836"/>
  <c r="U16" i="1836"/>
  <c r="T16" i="1836"/>
  <c r="S16" i="1836"/>
  <c r="R16" i="1836"/>
  <c r="Q16" i="1836"/>
  <c r="P16" i="1836"/>
  <c r="O16" i="1836"/>
  <c r="N16" i="1836"/>
  <c r="M16" i="1836"/>
  <c r="L16" i="1836"/>
  <c r="K16" i="1836"/>
  <c r="J16" i="1836"/>
  <c r="I16" i="1836"/>
  <c r="H16" i="1836"/>
  <c r="G16" i="1836"/>
  <c r="F16" i="1836"/>
  <c r="E16" i="1836"/>
  <c r="D16" i="1836"/>
  <c r="AE10" i="1836"/>
  <c r="AD10" i="1836"/>
  <c r="AC33" i="1836" s="1"/>
  <c r="AC10" i="1836"/>
  <c r="AB10" i="1836"/>
  <c r="D33" i="1836" s="1"/>
  <c r="AA10" i="1836"/>
  <c r="Z10" i="1836"/>
  <c r="Y10" i="1836"/>
  <c r="X10" i="1836"/>
  <c r="W10" i="1836"/>
  <c r="V10" i="1836"/>
  <c r="U10" i="1836"/>
  <c r="T10" i="1836"/>
  <c r="S10" i="1836"/>
  <c r="R10" i="1836"/>
  <c r="Q10" i="1836"/>
  <c r="P10" i="1836"/>
  <c r="O10" i="1836"/>
  <c r="N10" i="1836"/>
  <c r="M10" i="1836"/>
  <c r="E33" i="1836" s="1"/>
  <c r="L10" i="1836"/>
  <c r="N33" i="1836" s="1"/>
  <c r="K10" i="1836"/>
  <c r="J10" i="1836"/>
  <c r="I10" i="1836"/>
  <c r="H10" i="1836"/>
  <c r="G10" i="1836"/>
  <c r="F10" i="1836"/>
  <c r="J33" i="1836" s="1"/>
  <c r="E10" i="1836"/>
  <c r="S33" i="1836" s="1"/>
  <c r="D10" i="1836"/>
  <c r="AE7" i="1836"/>
  <c r="AD7" i="1836"/>
  <c r="AC7" i="1836"/>
  <c r="AB7" i="1836"/>
  <c r="AA7" i="1836"/>
  <c r="Z7" i="1836"/>
  <c r="Y7" i="1836"/>
  <c r="X7" i="1836"/>
  <c r="W7" i="1836"/>
  <c r="V7" i="1836"/>
  <c r="U7" i="1836"/>
  <c r="T7" i="1836"/>
  <c r="S7" i="1836"/>
  <c r="R7" i="1836"/>
  <c r="Q7" i="1836"/>
  <c r="P7" i="1836"/>
  <c r="O7" i="1836"/>
  <c r="N7" i="1836"/>
  <c r="M7" i="1836"/>
  <c r="L7" i="1836"/>
  <c r="K7" i="1836"/>
  <c r="J7" i="1836"/>
  <c r="I7" i="1836"/>
  <c r="H7" i="1836"/>
  <c r="G7" i="1836"/>
  <c r="F7" i="1836"/>
  <c r="E7" i="1836"/>
  <c r="D7" i="1836"/>
  <c r="K33" i="1836" l="1"/>
  <c r="W33" i="1836"/>
  <c r="Z33" i="1836"/>
  <c r="Y33" i="1836"/>
  <c r="Q33" i="1836"/>
  <c r="M33" i="1836"/>
  <c r="V33" i="1836"/>
  <c r="AC33" i="1835"/>
  <c r="AA33" i="1835"/>
  <c r="X33" i="1835"/>
  <c r="U33" i="1835"/>
  <c r="R33" i="1835"/>
  <c r="Q33" i="1835"/>
  <c r="P33" i="1835"/>
  <c r="O33" i="1835"/>
  <c r="M33" i="1835"/>
  <c r="L33" i="1835"/>
  <c r="J33" i="1835"/>
  <c r="H33" i="1835"/>
  <c r="F33" i="1835"/>
  <c r="Y28" i="1835"/>
  <c r="X28" i="1835"/>
  <c r="W28" i="1835"/>
  <c r="V28" i="1835"/>
  <c r="U28" i="1835"/>
  <c r="T28" i="1835"/>
  <c r="S28" i="1835"/>
  <c r="R28" i="1835"/>
  <c r="Q28" i="1835"/>
  <c r="P28" i="1835"/>
  <c r="O28" i="1835"/>
  <c r="N28" i="1835"/>
  <c r="M28" i="1835"/>
  <c r="L28" i="1835"/>
  <c r="K28" i="1835"/>
  <c r="J28" i="1835"/>
  <c r="I28" i="1835"/>
  <c r="H28" i="1835"/>
  <c r="G28" i="1835"/>
  <c r="F28" i="1835"/>
  <c r="E28" i="1835"/>
  <c r="D28" i="1835"/>
  <c r="Y25" i="1835"/>
  <c r="X25" i="1835"/>
  <c r="W25" i="1835"/>
  <c r="V25" i="1835"/>
  <c r="U25" i="1835"/>
  <c r="T25" i="1835"/>
  <c r="S25" i="1835"/>
  <c r="R25" i="1835"/>
  <c r="Q25" i="1835"/>
  <c r="P25" i="1835"/>
  <c r="O25" i="1835"/>
  <c r="N25" i="1835"/>
  <c r="M25" i="1835"/>
  <c r="L25" i="1835"/>
  <c r="K25" i="1835"/>
  <c r="J25" i="1835"/>
  <c r="I25" i="1835"/>
  <c r="H25" i="1835"/>
  <c r="G25" i="1835"/>
  <c r="F25" i="1835"/>
  <c r="E25" i="1835"/>
  <c r="D25" i="1835"/>
  <c r="AE19" i="1835"/>
  <c r="AD19" i="1835"/>
  <c r="AC19" i="1835"/>
  <c r="AB19" i="1835"/>
  <c r="AA19" i="1835"/>
  <c r="Z19" i="1835"/>
  <c r="Y19" i="1835"/>
  <c r="X19" i="1835"/>
  <c r="T33" i="1835" s="1"/>
  <c r="W19" i="1835"/>
  <c r="V19" i="1835"/>
  <c r="W33" i="1835" s="1"/>
  <c r="U19" i="1835"/>
  <c r="T19" i="1835"/>
  <c r="S19" i="1835"/>
  <c r="R19" i="1835"/>
  <c r="Q19" i="1835"/>
  <c r="P19" i="1835"/>
  <c r="O19" i="1835"/>
  <c r="N19" i="1835"/>
  <c r="M19" i="1835"/>
  <c r="L19" i="1835"/>
  <c r="K19" i="1835"/>
  <c r="J19" i="1835"/>
  <c r="I19" i="1835"/>
  <c r="AB33" i="1835" s="1"/>
  <c r="H19" i="1835"/>
  <c r="G19" i="1835"/>
  <c r="F19" i="1835"/>
  <c r="E19" i="1835"/>
  <c r="D19" i="1835"/>
  <c r="AE16" i="1835"/>
  <c r="AD16" i="1835"/>
  <c r="AC16" i="1835"/>
  <c r="AB16" i="1835"/>
  <c r="AA16" i="1835"/>
  <c r="Z16" i="1835"/>
  <c r="Y16" i="1835"/>
  <c r="X16" i="1835"/>
  <c r="W16" i="1835"/>
  <c r="V16" i="1835"/>
  <c r="U16" i="1835"/>
  <c r="T16" i="1835"/>
  <c r="S16" i="1835"/>
  <c r="R16" i="1835"/>
  <c r="Q16" i="1835"/>
  <c r="P16" i="1835"/>
  <c r="O16" i="1835"/>
  <c r="N16" i="1835"/>
  <c r="M16" i="1835"/>
  <c r="L16" i="1835"/>
  <c r="K16" i="1835"/>
  <c r="J16" i="1835"/>
  <c r="I16" i="1835"/>
  <c r="H16" i="1835"/>
  <c r="G16" i="1835"/>
  <c r="F16" i="1835"/>
  <c r="E16" i="1835"/>
  <c r="D16" i="1835"/>
  <c r="AE10" i="1835"/>
  <c r="AD10" i="1835"/>
  <c r="AC10" i="1835"/>
  <c r="AB10" i="1835"/>
  <c r="AA10" i="1835"/>
  <c r="D33" i="1835" s="1"/>
  <c r="Z10" i="1835"/>
  <c r="Y10" i="1835"/>
  <c r="X10" i="1835"/>
  <c r="W10" i="1835"/>
  <c r="V10" i="1835"/>
  <c r="U10" i="1835"/>
  <c r="T10" i="1835"/>
  <c r="S10" i="1835"/>
  <c r="R10" i="1835"/>
  <c r="Q10" i="1835"/>
  <c r="Y33" i="1835" s="1"/>
  <c r="P10" i="1835"/>
  <c r="N33" i="1835" s="1"/>
  <c r="O10" i="1835"/>
  <c r="K33" i="1835" s="1"/>
  <c r="N10" i="1835"/>
  <c r="M10" i="1835"/>
  <c r="E33" i="1835" s="1"/>
  <c r="L10" i="1835"/>
  <c r="K10" i="1835"/>
  <c r="J10" i="1835"/>
  <c r="I10" i="1835"/>
  <c r="H10" i="1835"/>
  <c r="G10" i="1835"/>
  <c r="F10" i="1835"/>
  <c r="E10" i="1835"/>
  <c r="S33" i="1835" s="1"/>
  <c r="D10" i="1835"/>
  <c r="Z33" i="1835" s="1"/>
  <c r="AE7" i="1835"/>
  <c r="AD7" i="1835"/>
  <c r="AC7" i="1835"/>
  <c r="AB7" i="1835"/>
  <c r="AA7" i="1835"/>
  <c r="Z7" i="1835"/>
  <c r="Y7" i="1835"/>
  <c r="X7" i="1835"/>
  <c r="W7" i="1835"/>
  <c r="V7" i="1835"/>
  <c r="U7" i="1835"/>
  <c r="T7" i="1835"/>
  <c r="S7" i="1835"/>
  <c r="R7" i="1835"/>
  <c r="Q7" i="1835"/>
  <c r="P7" i="1835"/>
  <c r="O7" i="1835"/>
  <c r="N7" i="1835"/>
  <c r="M7" i="1835"/>
  <c r="L7" i="1835"/>
  <c r="K7" i="1835"/>
  <c r="J7" i="1835"/>
  <c r="I7" i="1835"/>
  <c r="H7" i="1835"/>
  <c r="G7" i="1835"/>
  <c r="F7" i="1835"/>
  <c r="E7" i="1835"/>
  <c r="D7" i="1835"/>
  <c r="V33" i="1835" l="1"/>
  <c r="AA33" i="1832"/>
  <c r="X33" i="1832"/>
  <c r="U33" i="1832"/>
  <c r="R33" i="1832"/>
  <c r="O33" i="1832"/>
  <c r="L33" i="1832"/>
  <c r="F33" i="1832"/>
  <c r="Y28" i="1832"/>
  <c r="X28" i="1832"/>
  <c r="W28" i="1832"/>
  <c r="V28" i="1832"/>
  <c r="U28" i="1832"/>
  <c r="T28" i="1832"/>
  <c r="S28" i="1832"/>
  <c r="R28" i="1832"/>
  <c r="Q28" i="1832"/>
  <c r="P28" i="1832"/>
  <c r="O28" i="1832"/>
  <c r="N28" i="1832"/>
  <c r="M28" i="1832"/>
  <c r="L28" i="1832"/>
  <c r="K28" i="1832"/>
  <c r="J28" i="1832"/>
  <c r="I28" i="1832"/>
  <c r="H28" i="1832"/>
  <c r="G28" i="1832"/>
  <c r="F28" i="1832"/>
  <c r="E28" i="1832"/>
  <c r="D28" i="1832"/>
  <c r="Y25" i="1832"/>
  <c r="X25" i="1832"/>
  <c r="W25" i="1832"/>
  <c r="V25" i="1832"/>
  <c r="U25" i="1832"/>
  <c r="T25" i="1832"/>
  <c r="S25" i="1832"/>
  <c r="R25" i="1832"/>
  <c r="Q25" i="1832"/>
  <c r="P25" i="1832"/>
  <c r="O25" i="1832"/>
  <c r="N25" i="1832"/>
  <c r="M25" i="1832"/>
  <c r="L25" i="1832"/>
  <c r="K25" i="1832"/>
  <c r="J25" i="1832"/>
  <c r="I25" i="1832"/>
  <c r="H25" i="1832"/>
  <c r="G25" i="1832"/>
  <c r="F25" i="1832"/>
  <c r="E25" i="1832"/>
  <c r="D25" i="1832"/>
  <c r="AE19" i="1832"/>
  <c r="AD19" i="1832"/>
  <c r="AC19" i="1832"/>
  <c r="AB19" i="1832"/>
  <c r="AA19" i="1832"/>
  <c r="Z19" i="1832"/>
  <c r="Y19" i="1832"/>
  <c r="X19" i="1832"/>
  <c r="T33" i="1832" s="1"/>
  <c r="W19" i="1832"/>
  <c r="V19" i="1832"/>
  <c r="U19" i="1832"/>
  <c r="T19" i="1832"/>
  <c r="S19" i="1832"/>
  <c r="R19" i="1832"/>
  <c r="Q19" i="1832"/>
  <c r="P19" i="1832"/>
  <c r="O19" i="1832"/>
  <c r="N19" i="1832"/>
  <c r="H33" i="1832" s="1"/>
  <c r="M19" i="1832"/>
  <c r="L19" i="1832"/>
  <c r="P33" i="1832" s="1"/>
  <c r="K19" i="1832"/>
  <c r="J19" i="1832"/>
  <c r="I19" i="1832"/>
  <c r="AB33" i="1832" s="1"/>
  <c r="H19" i="1832"/>
  <c r="G19" i="1832"/>
  <c r="F19" i="1832"/>
  <c r="E19" i="1832"/>
  <c r="D19" i="1832"/>
  <c r="AE16" i="1832"/>
  <c r="AD16" i="1832"/>
  <c r="AC16" i="1832"/>
  <c r="AB16" i="1832"/>
  <c r="AA16" i="1832"/>
  <c r="Z16" i="1832"/>
  <c r="Y16" i="1832"/>
  <c r="X16" i="1832"/>
  <c r="W16" i="1832"/>
  <c r="V16" i="1832"/>
  <c r="U16" i="1832"/>
  <c r="T16" i="1832"/>
  <c r="S16" i="1832"/>
  <c r="R16" i="1832"/>
  <c r="Q16" i="1832"/>
  <c r="P16" i="1832"/>
  <c r="O16" i="1832"/>
  <c r="N16" i="1832"/>
  <c r="M16" i="1832"/>
  <c r="L16" i="1832"/>
  <c r="K16" i="1832"/>
  <c r="J16" i="1832"/>
  <c r="I16" i="1832"/>
  <c r="H16" i="1832"/>
  <c r="G16" i="1832"/>
  <c r="F16" i="1832"/>
  <c r="E16" i="1832"/>
  <c r="D16" i="1832"/>
  <c r="AE10" i="1832"/>
  <c r="AD10" i="1832"/>
  <c r="AC33" i="1832" s="1"/>
  <c r="AC10" i="1832"/>
  <c r="AB10" i="1832"/>
  <c r="AA10" i="1832"/>
  <c r="Z10" i="1832"/>
  <c r="Y10" i="1832"/>
  <c r="X10" i="1832"/>
  <c r="W10" i="1832"/>
  <c r="V10" i="1832"/>
  <c r="U10" i="1832"/>
  <c r="T10" i="1832"/>
  <c r="S10" i="1832"/>
  <c r="R10" i="1832"/>
  <c r="Q10" i="1832"/>
  <c r="P10" i="1832"/>
  <c r="O10" i="1832"/>
  <c r="N10" i="1832"/>
  <c r="M10" i="1832"/>
  <c r="L10" i="1832"/>
  <c r="K10" i="1832"/>
  <c r="J10" i="1832"/>
  <c r="I10" i="1832"/>
  <c r="H10" i="1832"/>
  <c r="G10" i="1832"/>
  <c r="F10" i="1832"/>
  <c r="E10" i="1832"/>
  <c r="D10" i="1832"/>
  <c r="Z33" i="1832" s="1"/>
  <c r="AE7" i="1832"/>
  <c r="AD7" i="1832"/>
  <c r="AC7" i="1832"/>
  <c r="AB7" i="1832"/>
  <c r="AA7" i="1832"/>
  <c r="Z7" i="1832"/>
  <c r="Y7" i="1832"/>
  <c r="X7" i="1832"/>
  <c r="W7" i="1832"/>
  <c r="V7" i="1832"/>
  <c r="U7" i="1832"/>
  <c r="T7" i="1832"/>
  <c r="S7" i="1832"/>
  <c r="R7" i="1832"/>
  <c r="Q7" i="1832"/>
  <c r="P7" i="1832"/>
  <c r="O7" i="1832"/>
  <c r="N7" i="1832"/>
  <c r="M7" i="1832"/>
  <c r="L7" i="1832"/>
  <c r="K7" i="1832"/>
  <c r="J7" i="1832"/>
  <c r="I7" i="1832"/>
  <c r="H7" i="1832"/>
  <c r="G7" i="1832"/>
  <c r="F7" i="1832"/>
  <c r="E7" i="1832"/>
  <c r="D7" i="1832"/>
  <c r="S33" i="1832" l="1"/>
  <c r="N33" i="1832"/>
  <c r="J33" i="1832"/>
  <c r="V33" i="1832"/>
  <c r="D33" i="1832"/>
  <c r="Y33" i="1832"/>
  <c r="K33" i="1832"/>
  <c r="Q33" i="1832"/>
  <c r="E33" i="1832"/>
  <c r="M33" i="1832"/>
  <c r="W33" i="1832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<sst xmlns="http://schemas.openxmlformats.org/spreadsheetml/2006/main" count="31987" uniqueCount="661">
  <si>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</si>
  <si>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</si>
  <si>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</si>
  <si>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</si>
  <si>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</si>
  <si>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</si>
  <si>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</si>
  <si>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</si>
  <si>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</si>
  <si>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</si>
  <si>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</si>
  <si>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</si>
  <si>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</si>
  <si>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</si>
  <si>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</si>
  <si>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</si>
  <si>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</si>
  <si>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</si>
  <si>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</si>
  <si>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</si>
  <si>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</si>
  <si>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</si>
  <si>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</si>
  <si>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</si>
  <si>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</si>
  <si>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</si>
  <si>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</si>
  <si>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</si>
  <si>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</si>
  <si>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</si>
  <si>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</si>
  <si>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</si>
  <si>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</si>
  <si>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</si>
  <si>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</si>
  <si>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</si>
  <si>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</si>
  <si>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</si>
  <si>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</si>
  <si>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</si>
  <si>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</si>
  <si>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</si>
  <si>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</si>
  <si>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</si>
  <si>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</si>
  <si>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</si>
  <si>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</si>
  <si>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</si>
  <si>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</si>
  <si>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</si>
  <si>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</si>
  <si>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</si>
  <si>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</si>
  <si>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</si>
  <si>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</si>
  <si>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</si>
  <si>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</si>
  <si>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</si>
  <si>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</si>
  <si>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</si>
  <si>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</si>
  <si>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</si>
  <si>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</si>
  <si>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</si>
  <si>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</si>
  <si>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</si>
  <si>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</si>
  <si>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</si>
  <si>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</si>
  <si>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</si>
  <si>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</si>
  <si>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</si>
  <si>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</si>
  <si>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>C90-INV-01(01)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</si>
  <si>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</si>
  <si>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</si>
  <si>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</si>
  <si>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</si>
  <si>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</si>
  <si>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</si>
  <si>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</si>
  <si>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</si>
  <si>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</si>
  <si>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</si>
  <si>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</si>
  <si>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</si>
  <si>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</si>
  <si>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</si>
  <si>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</si>
  <si>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</si>
  <si>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</si>
  <si>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</si>
  <si>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</si>
  <si>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</si>
  <si>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</si>
  <si>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</si>
  <si>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</si>
  <si>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</si>
  <si>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</si>
  <si>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</si>
  <si>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</si>
  <si>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</si>
  <si>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</si>
  <si>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</si>
  <si>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</si>
  <si>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</si>
  <si>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</si>
  <si>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</si>
  <si>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</si>
  <si>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</si>
  <si>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</si>
  <si>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</si>
  <si>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</si>
  <si>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</si>
  <si>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</si>
  <si>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</si>
  <si>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</si>
  <si>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</si>
  <si>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</si>
  <si>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</si>
  <si>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</si>
  <si>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</si>
  <si>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</si>
  <si>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</si>
  <si>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</si>
  <si>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</si>
  <si>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</si>
  <si>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</si>
  <si>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</si>
  <si>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</si>
  <si>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</si>
  <si>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</si>
  <si>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</si>
  <si>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</si>
  <si>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</si>
  <si>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</si>
  <si>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</si>
  <si>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</si>
  <si>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</si>
  <si>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</si>
  <si>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</si>
  <si>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</si>
  <si>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</si>
  <si>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</si>
  <si>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</si>
  <si>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</si>
  <si>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</si>
  <si>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</si>
  <si>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</si>
  <si>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</si>
  <si>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</si>
  <si>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</si>
  <si>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</si>
  <si>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</si>
  <si>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</si>
  <si>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</si>
  <si>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</si>
  <si>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</si>
  <si>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</si>
  <si>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</si>
  <si>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</si>
  <si>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</si>
  <si>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</si>
  <si>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</si>
  <si>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</si>
  <si>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</si>
  <si>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</si>
  <si>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</si>
  <si>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</si>
  <si>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</si>
  <si>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</si>
  <si>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</si>
  <si>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</si>
  <si>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</si>
  <si>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</si>
  <si>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</si>
  <si>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</si>
  <si>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</si>
  <si>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</si>
  <si>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</si>
  <si>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</si>
  <si>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</si>
  <si>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</si>
  <si>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</si>
  <si>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</si>
  <si>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</si>
  <si>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</si>
  <si>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</si>
  <si>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</si>
  <si>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</si>
  <si>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</si>
  <si>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</si>
  <si>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</si>
  <si>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</si>
  <si>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</si>
  <si>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</si>
  <si>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</si>
  <si>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</si>
  <si>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</si>
  <si>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</si>
  <si>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</si>
  <si>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</si>
  <si>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</si>
  <si>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</si>
  <si>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</si>
  <si>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</si>
  <si>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</si>
  <si>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</si>
  <si>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</si>
  <si>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</si>
  <si>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</si>
  <si>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</si>
  <si>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</si>
  <si>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</si>
  <si>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</si>
  <si>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</si>
  <si>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</si>
  <si>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</si>
  <si>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</si>
  <si>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</si>
  <si>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</si>
  <si>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</si>
  <si>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</si>
  <si>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</si>
  <si>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</si>
  <si>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</si>
  <si>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</si>
  <si>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</si>
  <si>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</si>
  <si>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</si>
  <si>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</si>
  <si>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</si>
  <si>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</si>
  <si>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</si>
  <si>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</si>
  <si>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</si>
  <si>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</si>
  <si>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</si>
  <si>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</si>
  <si>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</si>
  <si>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</si>
  <si>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</si>
  <si>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</si>
  <si>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</si>
  <si>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</si>
  <si>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</si>
  <si>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</si>
  <si>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</si>
  <si>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</si>
  <si>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</si>
  <si>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</si>
  <si>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</si>
  <si>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</si>
  <si>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</si>
  <si>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</si>
  <si>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</si>
  <si>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</si>
  <si>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</si>
  <si>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</si>
  <si>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</si>
  <si>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</si>
  <si>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</si>
  <si>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</si>
  <si>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</si>
  <si>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</si>
  <si>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</si>
  <si>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</si>
  <si>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</si>
  <si>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</si>
  <si>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</si>
  <si>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</si>
  <si>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</si>
  <si>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</si>
  <si>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</si>
  <si>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</si>
  <si>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</si>
  <si>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</si>
  <si>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</si>
  <si>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</si>
  <si>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</si>
  <si>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</si>
  <si>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</si>
  <si>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</si>
  <si>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</si>
  <si>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</si>
  <si>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</si>
  <si>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</si>
  <si>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</si>
  <si>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</si>
  <si>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</si>
  <si>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</si>
  <si>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</si>
  <si>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</si>
  <si>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</si>
  <si>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</si>
  <si>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</si>
  <si>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</si>
  <si>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</si>
  <si>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</si>
  <si>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</si>
  <si>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</si>
  <si>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</si>
  <si>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</si>
  <si>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</si>
  <si>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</si>
  <si>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</si>
  <si>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</si>
  <si>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</si>
  <si>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</si>
  <si>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</si>
  <si>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</si>
  <si>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</si>
  <si>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</si>
  <si>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</si>
  <si>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</si>
  <si>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</si>
  <si>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</si>
  <si>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</si>
  <si>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</si>
  <si>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</si>
  <si>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</si>
  <si>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</si>
  <si>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</si>
  <si>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</si>
  <si>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</si>
  <si>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</si>
  <si>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</si>
  <si>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</si>
  <si>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</si>
  <si>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</si>
  <si>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</si>
  <si>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</si>
  <si>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</si>
  <si>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</si>
  <si>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</si>
  <si>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</si>
  <si>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</si>
  <si>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</si>
  <si>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</si>
  <si>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</si>
  <si>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</si>
  <si>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</si>
  <si>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</si>
  <si>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</si>
  <si>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</si>
  <si>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</si>
  <si>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</si>
  <si>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</si>
  <si>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</si>
  <si>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</si>
  <si>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</si>
  <si>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</si>
  <si>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</si>
  <si>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</si>
  <si>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</si>
  <si>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</si>
  <si>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</si>
  <si>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</si>
  <si>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</si>
  <si>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</si>
  <si>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</si>
  <si>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</si>
  <si>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</si>
  <si>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</si>
  <si>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</si>
  <si>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</si>
  <si>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</si>
  <si>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</si>
  <si>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</si>
  <si>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</si>
  <si>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</si>
  <si>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</si>
  <si>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</si>
  <si>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</si>
  <si>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</si>
  <si>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</si>
  <si>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</si>
  <si>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</si>
  <si>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</si>
  <si>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</si>
  <si>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</si>
  <si>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</si>
  <si>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</si>
  <si>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</si>
  <si>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</si>
  <si>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</si>
  <si>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</si>
  <si>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</si>
  <si>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</si>
  <si>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</si>
  <si>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</si>
  <si>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</si>
  <si>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</si>
  <si>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</si>
  <si>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</si>
  <si>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</si>
  <si>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</si>
  <si>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</si>
  <si>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</si>
  <si>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</si>
  <si>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</si>
  <si>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</si>
  <si>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</si>
  <si>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</si>
  <si>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</si>
  <si>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</si>
  <si>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</si>
  <si>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</si>
  <si>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</si>
  <si>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</si>
  <si>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</si>
  <si>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</si>
  <si>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</si>
  <si>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</si>
  <si>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</si>
  <si>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</si>
  <si>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</si>
  <si>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</si>
  <si>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</si>
  <si>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</si>
  <si>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</si>
  <si>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</si>
  <si>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</si>
  <si>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</si>
  <si>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</si>
  <si>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</si>
  <si>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</si>
  <si>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</si>
  <si>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</si>
  <si>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</si>
  <si>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</si>
  <si>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</si>
  <si>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</si>
  <si>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</si>
  <si>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</si>
  <si>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</si>
  <si>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</si>
  <si>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</si>
  <si>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</si>
  <si>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</si>
  <si>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</si>
  <si>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</si>
  <si>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</si>
  <si>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</si>
  <si>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</si>
  <si>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</si>
  <si>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</si>
  <si>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</si>
  <si>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</si>
  <si>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</si>
  <si>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</si>
  <si>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</si>
  <si>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</si>
  <si>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</si>
  <si>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</si>
  <si>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</si>
  <si>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</si>
  <si>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</si>
  <si>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</si>
  <si>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</si>
  <si>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</si>
  <si>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</si>
  <si>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</si>
  <si>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</si>
  <si>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</si>
  <si>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</si>
  <si>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</si>
  <si>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</si>
  <si>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</si>
  <si>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</si>
  <si>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</si>
  <si>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</si>
  <si>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</si>
  <si>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</si>
  <si>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</si>
  <si>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</si>
  <si>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</si>
  <si>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</si>
  <si>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</si>
  <si>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</si>
  <si>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</si>
  <si>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</si>
  <si>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</si>
  <si>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</si>
  <si>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</si>
  <si>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</si>
  <si>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</si>
  <si>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</si>
  <si>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</si>
  <si>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</si>
  <si>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</si>
  <si>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</si>
  <si>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</si>
  <si>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</si>
  <si>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</si>
  <si>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</si>
  <si>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</si>
  <si>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</si>
  <si>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</si>
  <si>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</si>
  <si>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</si>
  <si>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</si>
  <si>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</si>
  <si>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</si>
  <si>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</si>
  <si>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</si>
  <si>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</si>
  <si>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</si>
  <si>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</si>
  <si>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</si>
  <si>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</si>
  <si>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</si>
  <si>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</si>
  <si>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</si>
  <si>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</si>
  <si>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</si>
  <si>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</si>
  <si>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</si>
  <si>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</si>
  <si>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</si>
  <si>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</si>
  <si>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</si>
  <si>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</si>
  <si>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</si>
  <si>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</si>
  <si>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</si>
  <si>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</si>
  <si>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</si>
  <si>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</si>
  <si>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</si>
  <si>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</si>
  <si>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</si>
  <si>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</si>
  <si>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</si>
  <si>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</si>
  <si>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</si>
  <si>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</si>
  <si>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</si>
  <si>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</si>
  <si>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</si>
  <si>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</si>
  <si>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</si>
  <si>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</si>
  <si>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</si>
  <si>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</si>
  <si>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</si>
  <si>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</si>
  <si>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</si>
  <si>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</si>
  <si>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</si>
  <si>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</si>
  <si>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</si>
  <si>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</si>
  <si>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</si>
  <si>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</si>
  <si>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</si>
  <si>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</si>
  <si>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</si>
  <si>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</si>
  <si>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</si>
  <si>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</si>
  <si>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</si>
  <si>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</si>
  <si>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</si>
  <si>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</si>
  <si>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</si>
  <si>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</si>
  <si>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</si>
  <si>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</si>
  <si>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</si>
  <si>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</si>
  <si>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</si>
  <si>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</si>
  <si>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</si>
  <si>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</si>
  <si>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</si>
  <si>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</si>
  <si>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</si>
  <si>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</si>
  <si>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</si>
  <si>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</si>
  <si>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</si>
  <si>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</si>
  <si>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</si>
  <si>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</si>
  <si>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</si>
  <si>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</si>
  <si>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</si>
  <si>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</si>
  <si>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</si>
  <si>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</si>
  <si>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</si>
  <si>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</si>
  <si>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</si>
  <si>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</si>
  <si>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</si>
  <si>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</si>
  <si>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</si>
  <si>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</si>
  <si>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</si>
  <si>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</si>
  <si>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</si>
  <si>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</si>
  <si>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</si>
  <si>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</si>
  <si>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</si>
  <si>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</si>
  <si>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</si>
  <si>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</si>
  <si>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</si>
  <si>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</si>
  <si>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</si>
  <si>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</si>
  <si>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</si>
  <si>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陳志修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</si>
  <si>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</si>
  <si>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</si>
  <si>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</si>
  <si>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</si>
  <si>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</si>
  <si>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</si>
  <si>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</si>
  <si>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</si>
  <si>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</si>
  <si>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</si>
  <si>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</si>
  <si>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</si>
  <si>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</si>
  <si>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</si>
  <si>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</si>
  <si>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</si>
  <si>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</si>
  <si>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</si>
  <si>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IPA-BW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</si>
  <si>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</si>
  <si>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</si>
  <si>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</si>
  <si>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</si>
  <si>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</si>
  <si>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</si>
  <si>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CPN-P1</t>
    <phoneticPr fontId="2" type="noConversion"/>
  </si>
  <si>
    <t>IPA-1</t>
  </si>
  <si>
    <t>IPA</t>
    <phoneticPr fontId="2" type="noConversion"/>
  </si>
  <si>
    <t>EBR-P1</t>
    <phoneticPr fontId="2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</si>
  <si>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10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</si>
  <si>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張立杰</t>
    <phoneticPr fontId="2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</si>
  <si>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2</t>
    </r>
    <r>
      <rPr>
        <u/>
        <sz val="8"/>
        <rFont val="微軟正黑體"/>
        <family val="2"/>
        <charset val="136"/>
      </rPr>
      <t>0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</si>
  <si>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</si>
  <si>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16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</si>
  <si>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14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</si>
  <si>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15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</si>
  <si>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17
蒸氣壓力 ______ (最低氣溫低於16度開啟)</t>
    <phoneticPr fontId="3" type="noConversion"/>
  </si>
  <si>
    <t>C50110-INV-01(01)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</si>
  <si>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20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</si>
  <si>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19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</si>
  <si>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13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</si>
  <si>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12
蒸氣壓力 ______ (最低氣溫低於16度開啟)</t>
    <phoneticPr fontId="3" type="noConversion"/>
  </si>
  <si>
    <t>IPA-1</t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</si>
  <si>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18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</si>
  <si>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22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</si>
  <si>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23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</si>
</sst>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7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u/>
      <sz val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6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0" borderId="57" xfId="1" applyFont="1" applyBorder="1" applyAlignment="1" applyProtection="1">
      <alignment horizontal="center"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0" fontId="18" fillId="0" borderId="53" xfId="1" applyFont="1" applyBorder="1" applyAlignment="1" applyProtection="1">
      <alignment vertical="center"/>
    </xf>
    <xf numFmtId="0" fontId="18" fillId="0" borderId="54" xfId="1" applyFont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35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8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15</xdr:row>
          <xdr:rowOff>247650</xdr:rowOff>
        </xdr:from>
        <xdr:to>
          <xdr:col>14</xdr:col>
          <xdr:colOff>438150</xdr:colOff>
          <xdr:row>21</xdr:row>
          <xdr:rowOff>85725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25</xdr:row>
          <xdr:rowOff>76200</xdr:rowOff>
        </xdr:from>
        <xdr:to>
          <xdr:col>14</xdr:col>
          <xdr:colOff>419100</xdr:colOff>
          <xdr:row>29</xdr:row>
          <xdr:rowOff>247650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2545" name="Button 1" hidden="1">
              <a:extLst>
                <a:ext uri="{63B3BB69-23CF-44E3-9099-C40C66FF867C}">
                  <a14:compatExt spid="_x0000_s241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6641" name="Button 1" hidden="1">
              <a:extLst>
                <a:ext uri="{63B3BB69-23CF-44E3-9099-C40C66FF867C}">
                  <a14:compatExt spid="_x0000_s241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8689" name="Button 1" hidden="1">
              <a:extLst>
                <a:ext uri="{63B3BB69-23CF-44E3-9099-C40C66FF867C}">
                  <a14:compatExt spid="_x0000_s241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9713" name="Button 1" hidden="1">
              <a:extLst>
                <a:ext uri="{63B3BB69-23CF-44E3-9099-C40C66FF867C}">
                  <a14:compatExt spid="_x0000_s241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0737" name="Button 1" hidden="1">
              <a:extLst>
                <a:ext uri="{63B3BB69-23CF-44E3-9099-C40C66FF867C}">
                  <a14:compatExt spid="_x0000_s242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2785" name="Button 1" hidden="1">
              <a:extLst>
                <a:ext uri="{63B3BB69-23CF-44E3-9099-C40C66FF867C}">
                  <a14:compatExt spid="_x0000_s242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4833" name="Button 1" hidden="1">
              <a:extLst>
                <a:ext uri="{63B3BB69-23CF-44E3-9099-C40C66FF867C}">
                  <a14:compatExt spid="_x0000_s242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6881" name="Button 1" hidden="1">
              <a:extLst>
                <a:ext uri="{63B3BB69-23CF-44E3-9099-C40C66FF867C}">
                  <a14:compatExt spid="_x0000_s242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7905" name="Button 1" hidden="1">
              <a:extLst>
                <a:ext uri="{63B3BB69-23CF-44E3-9099-C40C66FF867C}">
                  <a14:compatExt spid="_x0000_s242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29953" name="Button 1" hidden="1">
              <a:extLst>
                <a:ext uri="{63B3BB69-23CF-44E3-9099-C40C66FF867C}">
                  <a14:compatExt spid="_x0000_s242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2001" name="Button 1" hidden="1">
              <a:extLst>
                <a:ext uri="{63B3BB69-23CF-44E3-9099-C40C66FF867C}">
                  <a14:compatExt spid="_x0000_s243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3025" name="Button 1" hidden="1">
              <a:extLst>
                <a:ext uri="{63B3BB69-23CF-44E3-9099-C40C66FF867C}">
                  <a14:compatExt spid="_x0000_s243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4049" name="Button 1" hidden="1">
              <a:extLst>
                <a:ext uri="{63B3BB69-23CF-44E3-9099-C40C66FF867C}">
                  <a14:compatExt spid="_x0000_s243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5073" name="Button 1" hidden="1">
              <a:extLst>
                <a:ext uri="{63B3BB69-23CF-44E3-9099-C40C66FF867C}">
                  <a14:compatExt spid="_x0000_s243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6097" name="Button 1" hidden="1">
              <a:extLst>
                <a:ext uri="{63B3BB69-23CF-44E3-9099-C40C66FF867C}">
                  <a14:compatExt spid="_x0000_s243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7121" name="Button 1" hidden="1">
              <a:extLst>
                <a:ext uri="{63B3BB69-23CF-44E3-9099-C40C66FF867C}">
                  <a14:compatExt spid="_x0000_s243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39169" name="Button 1" hidden="1">
              <a:extLst>
                <a:ext uri="{63B3BB69-23CF-44E3-9099-C40C66FF867C}">
                  <a14:compatExt spid="_x0000_s2439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41217" name="Button 1" hidden="1">
              <a:extLst>
                <a:ext uri="{63B3BB69-23CF-44E3-9099-C40C66FF867C}">
                  <a14:compatExt spid="_x0000_s244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43265" name="Button 1" hidden="1">
              <a:extLst>
                <a:ext uri="{63B3BB69-23CF-44E3-9099-C40C66FF867C}">
                  <a14:compatExt spid="_x0000_s244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44289" name="Button 1" hidden="1">
              <a:extLst>
                <a:ext uri="{63B3BB69-23CF-44E3-9099-C40C66FF867C}">
                  <a14:compatExt spid="_x0000_s244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46337" name="Button 1" hidden="1">
              <a:extLst>
                <a:ext uri="{63B3BB69-23CF-44E3-9099-C40C66FF867C}">
                  <a14:compatExt spid="_x0000_s244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47361" name="Button 1" hidden="1">
              <a:extLst>
                <a:ext uri="{63B3BB69-23CF-44E3-9099-C40C66FF867C}">
                  <a14:compatExt spid="_x0000_s244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801" dataDxfId="2800" headerRowCellStyle="一般 2" dataCellStyle="一般 2">
  <autoFilter ref="AG13:BH189"/>
  <tableColumns count="28">
    <tableColumn id="1" uniqueName="1" name="請直接以10進位，謝謝" queryTableFieldId="1" dataDxfId="2799" dataCellStyle="一般 2"/>
    <tableColumn id="2" uniqueName="2" name="F2" queryTableFieldId="2" dataDxfId="2798" dataCellStyle="一般 2"/>
    <tableColumn id="3" uniqueName="3" name="F3" queryTableFieldId="3" dataDxfId="2797" dataCellStyle="一般 2"/>
    <tableColumn id="4" uniqueName="4" name="F4" queryTableFieldId="4" dataDxfId="2796" dataCellStyle="一般 2"/>
    <tableColumn id="5" uniqueName="5" name="F5" queryTableFieldId="5" dataDxfId="2795" dataCellStyle="一般 2"/>
    <tableColumn id="6" uniqueName="6" name="F6" queryTableFieldId="6" dataDxfId="2794" dataCellStyle="一般 2"/>
    <tableColumn id="7" uniqueName="7" name="F7" queryTableFieldId="7" dataDxfId="2793" dataCellStyle="一般 2"/>
    <tableColumn id="8" uniqueName="8" name="F8" queryTableFieldId="8" dataDxfId="2792" dataCellStyle="一般 2"/>
    <tableColumn id="9" uniqueName="9" name="F9" queryTableFieldId="9" dataDxfId="2791" dataCellStyle="一般 2"/>
    <tableColumn id="10" uniqueName="10" name="F10" queryTableFieldId="10" dataDxfId="2790" dataCellStyle="一般 2"/>
    <tableColumn id="11" uniqueName="11" name="F11" queryTableFieldId="11" dataDxfId="2789" dataCellStyle="一般 2"/>
    <tableColumn id="12" uniqueName="12" name="F12" queryTableFieldId="12" dataDxfId="2788" dataCellStyle="一般 2"/>
    <tableColumn id="13" uniqueName="13" name="F13" queryTableFieldId="13" dataDxfId="2787" dataCellStyle="一般 2"/>
    <tableColumn id="14" uniqueName="14" name="F14" queryTableFieldId="14" dataDxfId="2786" dataCellStyle="一般 2"/>
    <tableColumn id="15" uniqueName="15" name="F15" queryTableFieldId="15" dataDxfId="2785" dataCellStyle="一般 2"/>
    <tableColumn id="16" uniqueName="16" name="F16" queryTableFieldId="16" dataDxfId="2784" dataCellStyle="一般 2"/>
    <tableColumn id="17" uniqueName="17" name="F17" queryTableFieldId="17" dataDxfId="2783" dataCellStyle="一般 2"/>
    <tableColumn id="18" uniqueName="18" name="F18" queryTableFieldId="18" dataDxfId="2782" dataCellStyle="一般 2"/>
    <tableColumn id="19" uniqueName="19" name="F19" queryTableFieldId="19" dataDxfId="2781" dataCellStyle="一般 2"/>
    <tableColumn id="20" uniqueName="20" name="F20" queryTableFieldId="20" dataDxfId="2780" dataCellStyle="一般 2"/>
    <tableColumn id="21" uniqueName="21" name="F21" queryTableFieldId="21" dataDxfId="2779" dataCellStyle="一般 2"/>
    <tableColumn id="22" uniqueName="22" name="2024/6/24 14:52" queryTableFieldId="22" dataDxfId="2778" dataCellStyle="一般 2"/>
    <tableColumn id="23" uniqueName="23" name="F23" queryTableFieldId="23" dataDxfId="2777" dataCellStyle="一般 2"/>
    <tableColumn id="24" uniqueName="24" name="F24" queryTableFieldId="24" dataDxfId="2776" dataCellStyle="一般 2"/>
    <tableColumn id="25" uniqueName="25" name="F25" queryTableFieldId="25" dataDxfId="2775" dataCellStyle="一般 2"/>
    <tableColumn id="26" uniqueName="26" name="F26" queryTableFieldId="26" dataDxfId="2774" dataCellStyle="一般 2"/>
    <tableColumn id="27" uniqueName="27" name="F27" queryTableFieldId="27" dataDxfId="2773" dataCellStyle="一般 2"/>
    <tableColumn id="28" uniqueName="28" name="F28" queryTableFieldId="28" dataDxfId="2772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675" dataDxfId="2674" headerRowCellStyle="一般 2" dataCellStyle="一般 2">
  <autoFilter ref="AG13:BH189"/>
  <tableColumns count="28">
    <tableColumn id="1" uniqueName="1" name="請直接以10進位，謝謝" queryTableFieldId="1" dataDxfId="2673" dataCellStyle="一般 2"/>
    <tableColumn id="2" uniqueName="2" name="F2" queryTableFieldId="2" dataDxfId="2672" dataCellStyle="一般 2"/>
    <tableColumn id="3" uniqueName="3" name="F3" queryTableFieldId="3" dataDxfId="2671" dataCellStyle="一般 2"/>
    <tableColumn id="4" uniqueName="4" name="F4" queryTableFieldId="4" dataDxfId="2670" dataCellStyle="一般 2"/>
    <tableColumn id="5" uniqueName="5" name="F5" queryTableFieldId="5" dataDxfId="2669" dataCellStyle="一般 2"/>
    <tableColumn id="6" uniqueName="6" name="F6" queryTableFieldId="6" dataDxfId="2668" dataCellStyle="一般 2"/>
    <tableColumn id="7" uniqueName="7" name="F7" queryTableFieldId="7" dataDxfId="2667" dataCellStyle="一般 2"/>
    <tableColumn id="8" uniqueName="8" name="F8" queryTableFieldId="8" dataDxfId="2666" dataCellStyle="一般 2"/>
    <tableColumn id="9" uniqueName="9" name="F9" queryTableFieldId="9" dataDxfId="2665" dataCellStyle="一般 2"/>
    <tableColumn id="10" uniqueName="10" name="F10" queryTableFieldId="10" dataDxfId="2664" dataCellStyle="一般 2"/>
    <tableColumn id="11" uniqueName="11" name="F11" queryTableFieldId="11" dataDxfId="2663" dataCellStyle="一般 2"/>
    <tableColumn id="12" uniqueName="12" name="F12" queryTableFieldId="12" dataDxfId="2662" dataCellStyle="一般 2"/>
    <tableColumn id="13" uniqueName="13" name="F13" queryTableFieldId="13" dataDxfId="2661" dataCellStyle="一般 2"/>
    <tableColumn id="14" uniqueName="14" name="F14" queryTableFieldId="14" dataDxfId="2660" dataCellStyle="一般 2"/>
    <tableColumn id="15" uniqueName="15" name="F15" queryTableFieldId="15" dataDxfId="2659" dataCellStyle="一般 2"/>
    <tableColumn id="16" uniqueName="16" name="F16" queryTableFieldId="16" dataDxfId="2658" dataCellStyle="一般 2"/>
    <tableColumn id="17" uniqueName="17" name="F17" queryTableFieldId="17" dataDxfId="2657" dataCellStyle="一般 2"/>
    <tableColumn id="18" uniqueName="18" name="F18" queryTableFieldId="18" dataDxfId="2656" dataCellStyle="一般 2"/>
    <tableColumn id="19" uniqueName="19" name="F19" queryTableFieldId="19" dataDxfId="2655" dataCellStyle="一般 2"/>
    <tableColumn id="20" uniqueName="20" name="F20" queryTableFieldId="20" dataDxfId="2654" dataCellStyle="一般 2"/>
    <tableColumn id="21" uniqueName="21" name="F21" queryTableFieldId="21" dataDxfId="2653" dataCellStyle="一般 2"/>
    <tableColumn id="22" uniqueName="22" name="2024/6/24 14:52" queryTableFieldId="22" dataDxfId="2652" dataCellStyle="一般 2"/>
    <tableColumn id="23" uniqueName="23" name="F23" queryTableFieldId="23" dataDxfId="2651" dataCellStyle="一般 2"/>
    <tableColumn id="24" uniqueName="24" name="F24" queryTableFieldId="24" dataDxfId="2650" dataCellStyle="一般 2"/>
    <tableColumn id="25" uniqueName="25" name="F25" queryTableFieldId="25" dataDxfId="2649" dataCellStyle="一般 2"/>
    <tableColumn id="26" uniqueName="26" name="F26" queryTableFieldId="26" dataDxfId="2648" dataCellStyle="一般 2"/>
    <tableColumn id="27" uniqueName="27" name="F27" queryTableFieldId="27" dataDxfId="2647" dataCellStyle="一般 2"/>
    <tableColumn id="28" uniqueName="28" name="F28" queryTableFieldId="28" dataDxfId="2646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549" dataDxfId="2548" headerRowCellStyle="一般 2" dataCellStyle="一般 2">
  <autoFilter ref="AG13:BH189"/>
  <tableColumns count="28">
    <tableColumn id="1" uniqueName="1" name="請直接以10進位，謝謝" queryTableFieldId="1" dataDxfId="2547" dataCellStyle="一般 2"/>
    <tableColumn id="2" uniqueName="2" name="F2" queryTableFieldId="2" dataDxfId="2546" dataCellStyle="一般 2"/>
    <tableColumn id="3" uniqueName="3" name="F3" queryTableFieldId="3" dataDxfId="2545" dataCellStyle="一般 2"/>
    <tableColumn id="4" uniqueName="4" name="F4" queryTableFieldId="4" dataDxfId="2544" dataCellStyle="一般 2"/>
    <tableColumn id="5" uniqueName="5" name="F5" queryTableFieldId="5" dataDxfId="2543" dataCellStyle="一般 2"/>
    <tableColumn id="6" uniqueName="6" name="F6" queryTableFieldId="6" dataDxfId="2542" dataCellStyle="一般 2"/>
    <tableColumn id="7" uniqueName="7" name="F7" queryTableFieldId="7" dataDxfId="2541" dataCellStyle="一般 2"/>
    <tableColumn id="8" uniqueName="8" name="F8" queryTableFieldId="8" dataDxfId="2540" dataCellStyle="一般 2"/>
    <tableColumn id="9" uniqueName="9" name="F9" queryTableFieldId="9" dataDxfId="2539" dataCellStyle="一般 2"/>
    <tableColumn id="10" uniqueName="10" name="F10" queryTableFieldId="10" dataDxfId="2538" dataCellStyle="一般 2"/>
    <tableColumn id="11" uniqueName="11" name="F11" queryTableFieldId="11" dataDxfId="2537" dataCellStyle="一般 2"/>
    <tableColumn id="12" uniqueName="12" name="F12" queryTableFieldId="12" dataDxfId="2536" dataCellStyle="一般 2"/>
    <tableColumn id="13" uniqueName="13" name="F13" queryTableFieldId="13" dataDxfId="2535" dataCellStyle="一般 2"/>
    <tableColumn id="14" uniqueName="14" name="F14" queryTableFieldId="14" dataDxfId="2534" dataCellStyle="一般 2"/>
    <tableColumn id="15" uniqueName="15" name="F15" queryTableFieldId="15" dataDxfId="2533" dataCellStyle="一般 2"/>
    <tableColumn id="16" uniqueName="16" name="F16" queryTableFieldId="16" dataDxfId="2532" dataCellStyle="一般 2"/>
    <tableColumn id="17" uniqueName="17" name="F17" queryTableFieldId="17" dataDxfId="2531" dataCellStyle="一般 2"/>
    <tableColumn id="18" uniqueName="18" name="F18" queryTableFieldId="18" dataDxfId="2530" dataCellStyle="一般 2"/>
    <tableColumn id="19" uniqueName="19" name="F19" queryTableFieldId="19" dataDxfId="2529" dataCellStyle="一般 2"/>
    <tableColumn id="20" uniqueName="20" name="F20" queryTableFieldId="20" dataDxfId="2528" dataCellStyle="一般 2"/>
    <tableColumn id="21" uniqueName="21" name="F21" queryTableFieldId="21" dataDxfId="2527" dataCellStyle="一般 2"/>
    <tableColumn id="22" uniqueName="22" name="2024/6/24 14:52" queryTableFieldId="22" dataDxfId="2526" dataCellStyle="一般 2"/>
    <tableColumn id="23" uniqueName="23" name="F23" queryTableFieldId="23" dataDxfId="2525" dataCellStyle="一般 2"/>
    <tableColumn id="24" uniqueName="24" name="F24" queryTableFieldId="24" dataDxfId="2524" dataCellStyle="一般 2"/>
    <tableColumn id="25" uniqueName="25" name="F25" queryTableFieldId="25" dataDxfId="2523" dataCellStyle="一般 2"/>
    <tableColumn id="26" uniqueName="26" name="F26" queryTableFieldId="26" dataDxfId="2522" dataCellStyle="一般 2"/>
    <tableColumn id="27" uniqueName="27" name="F27" queryTableFieldId="27" dataDxfId="2521" dataCellStyle="一般 2"/>
    <tableColumn id="28" uniqueName="28" name="F28" queryTableFieldId="28" dataDxfId="252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423" dataDxfId="2422" headerRowCellStyle="一般 2" dataCellStyle="一般 2">
  <autoFilter ref="AG13:BH189"/>
  <tableColumns count="28">
    <tableColumn id="1" uniqueName="1" name="請直接以10進位，謝謝" queryTableFieldId="1" dataDxfId="2421" dataCellStyle="一般 2"/>
    <tableColumn id="2" uniqueName="2" name="F2" queryTableFieldId="2" dataDxfId="2420" dataCellStyle="一般 2"/>
    <tableColumn id="3" uniqueName="3" name="F3" queryTableFieldId="3" dataDxfId="2419" dataCellStyle="一般 2"/>
    <tableColumn id="4" uniqueName="4" name="F4" queryTableFieldId="4" dataDxfId="2418" dataCellStyle="一般 2"/>
    <tableColumn id="5" uniqueName="5" name="F5" queryTableFieldId="5" dataDxfId="2417" dataCellStyle="一般 2"/>
    <tableColumn id="6" uniqueName="6" name="F6" queryTableFieldId="6" dataDxfId="2416" dataCellStyle="一般 2"/>
    <tableColumn id="7" uniqueName="7" name="F7" queryTableFieldId="7" dataDxfId="2415" dataCellStyle="一般 2"/>
    <tableColumn id="8" uniqueName="8" name="F8" queryTableFieldId="8" dataDxfId="2414" dataCellStyle="一般 2"/>
    <tableColumn id="9" uniqueName="9" name="F9" queryTableFieldId="9" dataDxfId="2413" dataCellStyle="一般 2"/>
    <tableColumn id="10" uniqueName="10" name="F10" queryTableFieldId="10" dataDxfId="2412" dataCellStyle="一般 2"/>
    <tableColumn id="11" uniqueName="11" name="F11" queryTableFieldId="11" dataDxfId="2411" dataCellStyle="一般 2"/>
    <tableColumn id="12" uniqueName="12" name="F12" queryTableFieldId="12" dataDxfId="2410" dataCellStyle="一般 2"/>
    <tableColumn id="13" uniqueName="13" name="F13" queryTableFieldId="13" dataDxfId="2409" dataCellStyle="一般 2"/>
    <tableColumn id="14" uniqueName="14" name="F14" queryTableFieldId="14" dataDxfId="2408" dataCellStyle="一般 2"/>
    <tableColumn id="15" uniqueName="15" name="F15" queryTableFieldId="15" dataDxfId="2407" dataCellStyle="一般 2"/>
    <tableColumn id="16" uniqueName="16" name="F16" queryTableFieldId="16" dataDxfId="2406" dataCellStyle="一般 2"/>
    <tableColumn id="17" uniqueName="17" name="F17" queryTableFieldId="17" dataDxfId="2405" dataCellStyle="一般 2"/>
    <tableColumn id="18" uniqueName="18" name="F18" queryTableFieldId="18" dataDxfId="2404" dataCellStyle="一般 2"/>
    <tableColumn id="19" uniqueName="19" name="F19" queryTableFieldId="19" dataDxfId="2403" dataCellStyle="一般 2"/>
    <tableColumn id="20" uniqueName="20" name="F20" queryTableFieldId="20" dataDxfId="2402" dataCellStyle="一般 2"/>
    <tableColumn id="21" uniqueName="21" name="F21" queryTableFieldId="21" dataDxfId="2401" dataCellStyle="一般 2"/>
    <tableColumn id="22" uniqueName="22" name="2024/6/24 14:52" queryTableFieldId="22" dataDxfId="2400" dataCellStyle="一般 2"/>
    <tableColumn id="23" uniqueName="23" name="F23" queryTableFieldId="23" dataDxfId="2399" dataCellStyle="一般 2"/>
    <tableColumn id="24" uniqueName="24" name="F24" queryTableFieldId="24" dataDxfId="2398" dataCellStyle="一般 2"/>
    <tableColumn id="25" uniqueName="25" name="F25" queryTableFieldId="25" dataDxfId="2397" dataCellStyle="一般 2"/>
    <tableColumn id="26" uniqueName="26" name="F26" queryTableFieldId="26" dataDxfId="2396" dataCellStyle="一般 2"/>
    <tableColumn id="27" uniqueName="27" name="F27" queryTableFieldId="27" dataDxfId="2395" dataCellStyle="一般 2"/>
    <tableColumn id="28" uniqueName="28" name="F28" queryTableFieldId="28" dataDxfId="2394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297" dataDxfId="2296" headerRowCellStyle="一般 2" dataCellStyle="一般 2">
  <autoFilter ref="AG13:BH189"/>
  <tableColumns count="28">
    <tableColumn id="1" uniqueName="1" name="請直接以10進位，謝謝" queryTableFieldId="1" dataDxfId="2295" dataCellStyle="一般 2"/>
    <tableColumn id="2" uniqueName="2" name="F2" queryTableFieldId="2" dataDxfId="2294" dataCellStyle="一般 2"/>
    <tableColumn id="3" uniqueName="3" name="F3" queryTableFieldId="3" dataDxfId="2293" dataCellStyle="一般 2"/>
    <tableColumn id="4" uniqueName="4" name="F4" queryTableFieldId="4" dataDxfId="2292" dataCellStyle="一般 2"/>
    <tableColumn id="5" uniqueName="5" name="F5" queryTableFieldId="5" dataDxfId="2291" dataCellStyle="一般 2"/>
    <tableColumn id="6" uniqueName="6" name="F6" queryTableFieldId="6" dataDxfId="2290" dataCellStyle="一般 2"/>
    <tableColumn id="7" uniqueName="7" name="F7" queryTableFieldId="7" dataDxfId="2289" dataCellStyle="一般 2"/>
    <tableColumn id="8" uniqueName="8" name="F8" queryTableFieldId="8" dataDxfId="2288" dataCellStyle="一般 2"/>
    <tableColumn id="9" uniqueName="9" name="F9" queryTableFieldId="9" dataDxfId="2287" dataCellStyle="一般 2"/>
    <tableColumn id="10" uniqueName="10" name="F10" queryTableFieldId="10" dataDxfId="2286" dataCellStyle="一般 2"/>
    <tableColumn id="11" uniqueName="11" name="F11" queryTableFieldId="11" dataDxfId="2285" dataCellStyle="一般 2"/>
    <tableColumn id="12" uniqueName="12" name="F12" queryTableFieldId="12" dataDxfId="2284" dataCellStyle="一般 2"/>
    <tableColumn id="13" uniqueName="13" name="F13" queryTableFieldId="13" dataDxfId="2283" dataCellStyle="一般 2"/>
    <tableColumn id="14" uniqueName="14" name="F14" queryTableFieldId="14" dataDxfId="2282" dataCellStyle="一般 2"/>
    <tableColumn id="15" uniqueName="15" name="F15" queryTableFieldId="15" dataDxfId="2281" dataCellStyle="一般 2"/>
    <tableColumn id="16" uniqueName="16" name="F16" queryTableFieldId="16" dataDxfId="2280" dataCellStyle="一般 2"/>
    <tableColumn id="17" uniqueName="17" name="F17" queryTableFieldId="17" dataDxfId="2279" dataCellStyle="一般 2"/>
    <tableColumn id="18" uniqueName="18" name="F18" queryTableFieldId="18" dataDxfId="2278" dataCellStyle="一般 2"/>
    <tableColumn id="19" uniqueName="19" name="F19" queryTableFieldId="19" dataDxfId="2277" dataCellStyle="一般 2"/>
    <tableColumn id="20" uniqueName="20" name="F20" queryTableFieldId="20" dataDxfId="2276" dataCellStyle="一般 2"/>
    <tableColumn id="21" uniqueName="21" name="F21" queryTableFieldId="21" dataDxfId="2275" dataCellStyle="一般 2"/>
    <tableColumn id="22" uniqueName="22" name="2024/6/24 14:52" queryTableFieldId="22" dataDxfId="2274" dataCellStyle="一般 2"/>
    <tableColumn id="23" uniqueName="23" name="F23" queryTableFieldId="23" dataDxfId="2273" dataCellStyle="一般 2"/>
    <tableColumn id="24" uniqueName="24" name="F24" queryTableFieldId="24" dataDxfId="2272" dataCellStyle="一般 2"/>
    <tableColumn id="25" uniqueName="25" name="F25" queryTableFieldId="25" dataDxfId="2271" dataCellStyle="一般 2"/>
    <tableColumn id="26" uniqueName="26" name="F26" queryTableFieldId="26" dataDxfId="2270" dataCellStyle="一般 2"/>
    <tableColumn id="27" uniqueName="27" name="F27" queryTableFieldId="27" dataDxfId="2269" dataCellStyle="一般 2"/>
    <tableColumn id="28" uniqueName="28" name="F28" queryTableFieldId="28" dataDxfId="226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171" dataDxfId="2170" headerRowCellStyle="一般 2" dataCellStyle="一般 2">
  <autoFilter ref="AG13:BH189"/>
  <tableColumns count="28">
    <tableColumn id="1" uniqueName="1" name="請直接以10進位，謝謝" queryTableFieldId="1" dataDxfId="2169" dataCellStyle="一般 2"/>
    <tableColumn id="2" uniqueName="2" name="F2" queryTableFieldId="2" dataDxfId="2168" dataCellStyle="一般 2"/>
    <tableColumn id="3" uniqueName="3" name="F3" queryTableFieldId="3" dataDxfId="2167" dataCellStyle="一般 2"/>
    <tableColumn id="4" uniqueName="4" name="F4" queryTableFieldId="4" dataDxfId="2166" dataCellStyle="一般 2"/>
    <tableColumn id="5" uniqueName="5" name="F5" queryTableFieldId="5" dataDxfId="2165" dataCellStyle="一般 2"/>
    <tableColumn id="6" uniqueName="6" name="F6" queryTableFieldId="6" dataDxfId="2164" dataCellStyle="一般 2"/>
    <tableColumn id="7" uniqueName="7" name="F7" queryTableFieldId="7" dataDxfId="2163" dataCellStyle="一般 2"/>
    <tableColumn id="8" uniqueName="8" name="F8" queryTableFieldId="8" dataDxfId="2162" dataCellStyle="一般 2"/>
    <tableColumn id="9" uniqueName="9" name="F9" queryTableFieldId="9" dataDxfId="2161" dataCellStyle="一般 2"/>
    <tableColumn id="10" uniqueName="10" name="F10" queryTableFieldId="10" dataDxfId="2160" dataCellStyle="一般 2"/>
    <tableColumn id="11" uniqueName="11" name="F11" queryTableFieldId="11" dataDxfId="2159" dataCellStyle="一般 2"/>
    <tableColumn id="12" uniqueName="12" name="F12" queryTableFieldId="12" dataDxfId="2158" dataCellStyle="一般 2"/>
    <tableColumn id="13" uniqueName="13" name="F13" queryTableFieldId="13" dataDxfId="2157" dataCellStyle="一般 2"/>
    <tableColumn id="14" uniqueName="14" name="F14" queryTableFieldId="14" dataDxfId="2156" dataCellStyle="一般 2"/>
    <tableColumn id="15" uniqueName="15" name="F15" queryTableFieldId="15" dataDxfId="2155" dataCellStyle="一般 2"/>
    <tableColumn id="16" uniqueName="16" name="F16" queryTableFieldId="16" dataDxfId="2154" dataCellStyle="一般 2"/>
    <tableColumn id="17" uniqueName="17" name="F17" queryTableFieldId="17" dataDxfId="2153" dataCellStyle="一般 2"/>
    <tableColumn id="18" uniqueName="18" name="F18" queryTableFieldId="18" dataDxfId="2152" dataCellStyle="一般 2"/>
    <tableColumn id="19" uniqueName="19" name="F19" queryTableFieldId="19" dataDxfId="2151" dataCellStyle="一般 2"/>
    <tableColumn id="20" uniqueName="20" name="F20" queryTableFieldId="20" dataDxfId="2150" dataCellStyle="一般 2"/>
    <tableColumn id="21" uniqueName="21" name="F21" queryTableFieldId="21" dataDxfId="2149" dataCellStyle="一般 2"/>
    <tableColumn id="22" uniqueName="22" name="2024/6/24 14:52" queryTableFieldId="22" dataDxfId="2148" dataCellStyle="一般 2"/>
    <tableColumn id="23" uniqueName="23" name="F23" queryTableFieldId="23" dataDxfId="2147" dataCellStyle="一般 2"/>
    <tableColumn id="24" uniqueName="24" name="F24" queryTableFieldId="24" dataDxfId="2146" dataCellStyle="一般 2"/>
    <tableColumn id="25" uniqueName="25" name="F25" queryTableFieldId="25" dataDxfId="2145" dataCellStyle="一般 2"/>
    <tableColumn id="26" uniqueName="26" name="F26" queryTableFieldId="26" dataDxfId="2144" dataCellStyle="一般 2"/>
    <tableColumn id="27" uniqueName="27" name="F27" queryTableFieldId="27" dataDxfId="2143" dataCellStyle="一般 2"/>
    <tableColumn id="28" uniqueName="28" name="F28" queryTableFieldId="28" dataDxfId="2142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045" dataDxfId="2044" headerRowCellStyle="一般 2" dataCellStyle="一般 2">
  <autoFilter ref="AG13:BH189"/>
  <tableColumns count="28">
    <tableColumn id="1" uniqueName="1" name="請直接以10進位，謝謝" queryTableFieldId="1" dataDxfId="2043" dataCellStyle="一般 2"/>
    <tableColumn id="2" uniqueName="2" name="F2" queryTableFieldId="2" dataDxfId="2042" dataCellStyle="一般 2"/>
    <tableColumn id="3" uniqueName="3" name="F3" queryTableFieldId="3" dataDxfId="2041" dataCellStyle="一般 2"/>
    <tableColumn id="4" uniqueName="4" name="F4" queryTableFieldId="4" dataDxfId="2040" dataCellStyle="一般 2"/>
    <tableColumn id="5" uniqueName="5" name="F5" queryTableFieldId="5" dataDxfId="2039" dataCellStyle="一般 2"/>
    <tableColumn id="6" uniqueName="6" name="F6" queryTableFieldId="6" dataDxfId="2038" dataCellStyle="一般 2"/>
    <tableColumn id="7" uniqueName="7" name="F7" queryTableFieldId="7" dataDxfId="2037" dataCellStyle="一般 2"/>
    <tableColumn id="8" uniqueName="8" name="F8" queryTableFieldId="8" dataDxfId="2036" dataCellStyle="一般 2"/>
    <tableColumn id="9" uniqueName="9" name="F9" queryTableFieldId="9" dataDxfId="2035" dataCellStyle="一般 2"/>
    <tableColumn id="10" uniqueName="10" name="F10" queryTableFieldId="10" dataDxfId="2034" dataCellStyle="一般 2"/>
    <tableColumn id="11" uniqueName="11" name="F11" queryTableFieldId="11" dataDxfId="2033" dataCellStyle="一般 2"/>
    <tableColumn id="12" uniqueName="12" name="F12" queryTableFieldId="12" dataDxfId="2032" dataCellStyle="一般 2"/>
    <tableColumn id="13" uniqueName="13" name="F13" queryTableFieldId="13" dataDxfId="2031" dataCellStyle="一般 2"/>
    <tableColumn id="14" uniqueName="14" name="F14" queryTableFieldId="14" dataDxfId="2030" dataCellStyle="一般 2"/>
    <tableColumn id="15" uniqueName="15" name="F15" queryTableFieldId="15" dataDxfId="2029" dataCellStyle="一般 2"/>
    <tableColumn id="16" uniqueName="16" name="F16" queryTableFieldId="16" dataDxfId="2028" dataCellStyle="一般 2"/>
    <tableColumn id="17" uniqueName="17" name="F17" queryTableFieldId="17" dataDxfId="2027" dataCellStyle="一般 2"/>
    <tableColumn id="18" uniqueName="18" name="F18" queryTableFieldId="18" dataDxfId="2026" dataCellStyle="一般 2"/>
    <tableColumn id="19" uniqueName="19" name="F19" queryTableFieldId="19" dataDxfId="2025" dataCellStyle="一般 2"/>
    <tableColumn id="20" uniqueName="20" name="F20" queryTableFieldId="20" dataDxfId="2024" dataCellStyle="一般 2"/>
    <tableColumn id="21" uniqueName="21" name="F21" queryTableFieldId="21" dataDxfId="2023" dataCellStyle="一般 2"/>
    <tableColumn id="22" uniqueName="22" name="2024/6/24 14:52" queryTableFieldId="22" dataDxfId="2022" dataCellStyle="一般 2"/>
    <tableColumn id="23" uniqueName="23" name="F23" queryTableFieldId="23" dataDxfId="2021" dataCellStyle="一般 2"/>
    <tableColumn id="24" uniqueName="24" name="F24" queryTableFieldId="24" dataDxfId="2020" dataCellStyle="一般 2"/>
    <tableColumn id="25" uniqueName="25" name="F25" queryTableFieldId="25" dataDxfId="2019" dataCellStyle="一般 2"/>
    <tableColumn id="26" uniqueName="26" name="F26" queryTableFieldId="26" dataDxfId="2018" dataCellStyle="一般 2"/>
    <tableColumn id="27" uniqueName="27" name="F27" queryTableFieldId="27" dataDxfId="2017" dataCellStyle="一般 2"/>
    <tableColumn id="28" uniqueName="28" name="F28" queryTableFieldId="28" dataDxfId="2016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1919" dataDxfId="1918" headerRowCellStyle="一般 2" dataCellStyle="一般 2">
  <autoFilter ref="AG13:BH189"/>
  <tableColumns count="28">
    <tableColumn id="1" uniqueName="1" name="請直接以10進位，謝謝" queryTableFieldId="1" dataDxfId="1917" dataCellStyle="一般 2"/>
    <tableColumn id="2" uniqueName="2" name="F2" queryTableFieldId="2" dataDxfId="1916" dataCellStyle="一般 2"/>
    <tableColumn id="3" uniqueName="3" name="F3" queryTableFieldId="3" dataDxfId="1915" dataCellStyle="一般 2"/>
    <tableColumn id="4" uniqueName="4" name="F4" queryTableFieldId="4" dataDxfId="1914" dataCellStyle="一般 2"/>
    <tableColumn id="5" uniqueName="5" name="F5" queryTableFieldId="5" dataDxfId="1913" dataCellStyle="一般 2"/>
    <tableColumn id="6" uniqueName="6" name="F6" queryTableFieldId="6" dataDxfId="1912" dataCellStyle="一般 2"/>
    <tableColumn id="7" uniqueName="7" name="F7" queryTableFieldId="7" dataDxfId="1911" dataCellStyle="一般 2"/>
    <tableColumn id="8" uniqueName="8" name="F8" queryTableFieldId="8" dataDxfId="1910" dataCellStyle="一般 2"/>
    <tableColumn id="9" uniqueName="9" name="F9" queryTableFieldId="9" dataDxfId="1909" dataCellStyle="一般 2"/>
    <tableColumn id="10" uniqueName="10" name="F10" queryTableFieldId="10" dataDxfId="1908" dataCellStyle="一般 2"/>
    <tableColumn id="11" uniqueName="11" name="F11" queryTableFieldId="11" dataDxfId="1907" dataCellStyle="一般 2"/>
    <tableColumn id="12" uniqueName="12" name="F12" queryTableFieldId="12" dataDxfId="1906" dataCellStyle="一般 2"/>
    <tableColumn id="13" uniqueName="13" name="F13" queryTableFieldId="13" dataDxfId="1905" dataCellStyle="一般 2"/>
    <tableColumn id="14" uniqueName="14" name="F14" queryTableFieldId="14" dataDxfId="1904" dataCellStyle="一般 2"/>
    <tableColumn id="15" uniqueName="15" name="F15" queryTableFieldId="15" dataDxfId="1903" dataCellStyle="一般 2"/>
    <tableColumn id="16" uniqueName="16" name="F16" queryTableFieldId="16" dataDxfId="1902" dataCellStyle="一般 2"/>
    <tableColumn id="17" uniqueName="17" name="F17" queryTableFieldId="17" dataDxfId="1901" dataCellStyle="一般 2"/>
    <tableColumn id="18" uniqueName="18" name="F18" queryTableFieldId="18" dataDxfId="1900" dataCellStyle="一般 2"/>
    <tableColumn id="19" uniqueName="19" name="F19" queryTableFieldId="19" dataDxfId="1899" dataCellStyle="一般 2"/>
    <tableColumn id="20" uniqueName="20" name="F20" queryTableFieldId="20" dataDxfId="1898" dataCellStyle="一般 2"/>
    <tableColumn id="21" uniqueName="21" name="F21" queryTableFieldId="21" dataDxfId="1897" dataCellStyle="一般 2"/>
    <tableColumn id="22" uniqueName="22" name="2024/6/24 14:52" queryTableFieldId="22" dataDxfId="1896" dataCellStyle="一般 2"/>
    <tableColumn id="23" uniqueName="23" name="F23" queryTableFieldId="23" dataDxfId="1895" dataCellStyle="一般 2"/>
    <tableColumn id="24" uniqueName="24" name="F24" queryTableFieldId="24" dataDxfId="1894" dataCellStyle="一般 2"/>
    <tableColumn id="25" uniqueName="25" name="F25" queryTableFieldId="25" dataDxfId="1893" dataCellStyle="一般 2"/>
    <tableColumn id="26" uniqueName="26" name="F26" queryTableFieldId="26" dataDxfId="1892" dataCellStyle="一般 2"/>
    <tableColumn id="27" uniqueName="27" name="F27" queryTableFieldId="27" dataDxfId="1891" dataCellStyle="一般 2"/>
    <tableColumn id="28" uniqueName="28" name="F28" queryTableFieldId="28" dataDxfId="189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793" dataDxfId="1792" headerRowCellStyle="一般 2" dataCellStyle="一般 2">
  <autoFilter ref="AG13:BH189"/>
  <tableColumns count="28">
    <tableColumn id="1" uniqueName="1" name="請直接以10進位，謝謝" queryTableFieldId="1" dataDxfId="1791" dataCellStyle="一般 2"/>
    <tableColumn id="2" uniqueName="2" name="F2" queryTableFieldId="2" dataDxfId="1790" dataCellStyle="一般 2"/>
    <tableColumn id="3" uniqueName="3" name="F3" queryTableFieldId="3" dataDxfId="1789" dataCellStyle="一般 2"/>
    <tableColumn id="4" uniqueName="4" name="F4" queryTableFieldId="4" dataDxfId="1788" dataCellStyle="一般 2"/>
    <tableColumn id="5" uniqueName="5" name="F5" queryTableFieldId="5" dataDxfId="1787" dataCellStyle="一般 2"/>
    <tableColumn id="6" uniqueName="6" name="F6" queryTableFieldId="6" dataDxfId="1786" dataCellStyle="一般 2"/>
    <tableColumn id="7" uniqueName="7" name="F7" queryTableFieldId="7" dataDxfId="1785" dataCellStyle="一般 2"/>
    <tableColumn id="8" uniqueName="8" name="F8" queryTableFieldId="8" dataDxfId="1784" dataCellStyle="一般 2"/>
    <tableColumn id="9" uniqueName="9" name="F9" queryTableFieldId="9" dataDxfId="1783" dataCellStyle="一般 2"/>
    <tableColumn id="10" uniqueName="10" name="F10" queryTableFieldId="10" dataDxfId="1782" dataCellStyle="一般 2"/>
    <tableColumn id="11" uniqueName="11" name="F11" queryTableFieldId="11" dataDxfId="1781" dataCellStyle="一般 2"/>
    <tableColumn id="12" uniqueName="12" name="F12" queryTableFieldId="12" dataDxfId="1780" dataCellStyle="一般 2"/>
    <tableColumn id="13" uniqueName="13" name="F13" queryTableFieldId="13" dataDxfId="1779" dataCellStyle="一般 2"/>
    <tableColumn id="14" uniqueName="14" name="F14" queryTableFieldId="14" dataDxfId="1778" dataCellStyle="一般 2"/>
    <tableColumn id="15" uniqueName="15" name="F15" queryTableFieldId="15" dataDxfId="1777" dataCellStyle="一般 2"/>
    <tableColumn id="16" uniqueName="16" name="F16" queryTableFieldId="16" dataDxfId="1776" dataCellStyle="一般 2"/>
    <tableColumn id="17" uniqueName="17" name="F17" queryTableFieldId="17" dataDxfId="1775" dataCellStyle="一般 2"/>
    <tableColumn id="18" uniqueName="18" name="F18" queryTableFieldId="18" dataDxfId="1774" dataCellStyle="一般 2"/>
    <tableColumn id="19" uniqueName="19" name="F19" queryTableFieldId="19" dataDxfId="1773" dataCellStyle="一般 2"/>
    <tableColumn id="20" uniqueName="20" name="F20" queryTableFieldId="20" dataDxfId="1772" dataCellStyle="一般 2"/>
    <tableColumn id="21" uniqueName="21" name="F21" queryTableFieldId="21" dataDxfId="1771" dataCellStyle="一般 2"/>
    <tableColumn id="22" uniqueName="22" name="2024/6/24 14:52" queryTableFieldId="22" dataDxfId="1770" dataCellStyle="一般 2"/>
    <tableColumn id="23" uniqueName="23" name="F23" queryTableFieldId="23" dataDxfId="1769" dataCellStyle="一般 2"/>
    <tableColumn id="24" uniqueName="24" name="F24" queryTableFieldId="24" dataDxfId="1768" dataCellStyle="一般 2"/>
    <tableColumn id="25" uniqueName="25" name="F25" queryTableFieldId="25" dataDxfId="1767" dataCellStyle="一般 2"/>
    <tableColumn id="26" uniqueName="26" name="F26" queryTableFieldId="26" dataDxfId="1766" dataCellStyle="一般 2"/>
    <tableColumn id="27" uniqueName="27" name="F27" queryTableFieldId="27" dataDxfId="1765" dataCellStyle="一般 2"/>
    <tableColumn id="28" uniqueName="28" name="F28" queryTableFieldId="28" dataDxfId="1764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667" dataDxfId="1666" headerRowCellStyle="一般 2" dataCellStyle="一般 2">
  <autoFilter ref="AG13:BH189"/>
  <tableColumns count="28">
    <tableColumn id="1" uniqueName="1" name="請直接以10進位，謝謝" queryTableFieldId="1" dataDxfId="1665" dataCellStyle="一般 2"/>
    <tableColumn id="2" uniqueName="2" name="F2" queryTableFieldId="2" dataDxfId="1664" dataCellStyle="一般 2"/>
    <tableColumn id="3" uniqueName="3" name="F3" queryTableFieldId="3" dataDxfId="1663" dataCellStyle="一般 2"/>
    <tableColumn id="4" uniqueName="4" name="F4" queryTableFieldId="4" dataDxfId="1662" dataCellStyle="一般 2"/>
    <tableColumn id="5" uniqueName="5" name="F5" queryTableFieldId="5" dataDxfId="1661" dataCellStyle="一般 2"/>
    <tableColumn id="6" uniqueName="6" name="F6" queryTableFieldId="6" dataDxfId="1660" dataCellStyle="一般 2"/>
    <tableColumn id="7" uniqueName="7" name="F7" queryTableFieldId="7" dataDxfId="1659" dataCellStyle="一般 2"/>
    <tableColumn id="8" uniqueName="8" name="F8" queryTableFieldId="8" dataDxfId="1658" dataCellStyle="一般 2"/>
    <tableColumn id="9" uniqueName="9" name="F9" queryTableFieldId="9" dataDxfId="1657" dataCellStyle="一般 2"/>
    <tableColumn id="10" uniqueName="10" name="F10" queryTableFieldId="10" dataDxfId="1656" dataCellStyle="一般 2"/>
    <tableColumn id="11" uniqueName="11" name="F11" queryTableFieldId="11" dataDxfId="1655" dataCellStyle="一般 2"/>
    <tableColumn id="12" uniqueName="12" name="F12" queryTableFieldId="12" dataDxfId="1654" dataCellStyle="一般 2"/>
    <tableColumn id="13" uniqueName="13" name="F13" queryTableFieldId="13" dataDxfId="1653" dataCellStyle="一般 2"/>
    <tableColumn id="14" uniqueName="14" name="F14" queryTableFieldId="14" dataDxfId="1652" dataCellStyle="一般 2"/>
    <tableColumn id="15" uniqueName="15" name="F15" queryTableFieldId="15" dataDxfId="1651" dataCellStyle="一般 2"/>
    <tableColumn id="16" uniqueName="16" name="F16" queryTableFieldId="16" dataDxfId="1650" dataCellStyle="一般 2"/>
    <tableColumn id="17" uniqueName="17" name="F17" queryTableFieldId="17" dataDxfId="1649" dataCellStyle="一般 2"/>
    <tableColumn id="18" uniqueName="18" name="F18" queryTableFieldId="18" dataDxfId="1648" dataCellStyle="一般 2"/>
    <tableColumn id="19" uniqueName="19" name="F19" queryTableFieldId="19" dataDxfId="1647" dataCellStyle="一般 2"/>
    <tableColumn id="20" uniqueName="20" name="F20" queryTableFieldId="20" dataDxfId="1646" dataCellStyle="一般 2"/>
    <tableColumn id="21" uniqueName="21" name="F21" queryTableFieldId="21" dataDxfId="1645" dataCellStyle="一般 2"/>
    <tableColumn id="22" uniqueName="22" name="2024/6/24 14:52" queryTableFieldId="22" dataDxfId="1644" dataCellStyle="一般 2"/>
    <tableColumn id="23" uniqueName="23" name="F23" queryTableFieldId="23" dataDxfId="1643" dataCellStyle="一般 2"/>
    <tableColumn id="24" uniqueName="24" name="F24" queryTableFieldId="24" dataDxfId="1642" dataCellStyle="一般 2"/>
    <tableColumn id="25" uniqueName="25" name="F25" queryTableFieldId="25" dataDxfId="1641" dataCellStyle="一般 2"/>
    <tableColumn id="26" uniqueName="26" name="F26" queryTableFieldId="26" dataDxfId="1640" dataCellStyle="一般 2"/>
    <tableColumn id="27" uniqueName="27" name="F27" queryTableFieldId="27" dataDxfId="1639" dataCellStyle="一般 2"/>
    <tableColumn id="28" uniqueName="28" name="F28" queryTableFieldId="28" dataDxfId="1638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41" dataDxfId="1540" headerRowCellStyle="一般 2" dataCellStyle="一般 2">
  <autoFilter ref="AG13:BH189"/>
  <tableColumns count="28">
    <tableColumn id="1" uniqueName="1" name="請直接以10進位，謝謝" queryTableFieldId="1" dataDxfId="1539" dataCellStyle="一般 2"/>
    <tableColumn id="2" uniqueName="2" name="F2" queryTableFieldId="2" dataDxfId="1538" dataCellStyle="一般 2"/>
    <tableColumn id="3" uniqueName="3" name="F3" queryTableFieldId="3" dataDxfId="1537" dataCellStyle="一般 2"/>
    <tableColumn id="4" uniqueName="4" name="F4" queryTableFieldId="4" dataDxfId="1536" dataCellStyle="一般 2"/>
    <tableColumn id="5" uniqueName="5" name="F5" queryTableFieldId="5" dataDxfId="1535" dataCellStyle="一般 2"/>
    <tableColumn id="6" uniqueName="6" name="F6" queryTableFieldId="6" dataDxfId="1534" dataCellStyle="一般 2"/>
    <tableColumn id="7" uniqueName="7" name="F7" queryTableFieldId="7" dataDxfId="1533" dataCellStyle="一般 2"/>
    <tableColumn id="8" uniqueName="8" name="F8" queryTableFieldId="8" dataDxfId="1532" dataCellStyle="一般 2"/>
    <tableColumn id="9" uniqueName="9" name="F9" queryTableFieldId="9" dataDxfId="1531" dataCellStyle="一般 2"/>
    <tableColumn id="10" uniqueName="10" name="F10" queryTableFieldId="10" dataDxfId="1530" dataCellStyle="一般 2"/>
    <tableColumn id="11" uniqueName="11" name="F11" queryTableFieldId="11" dataDxfId="1529" dataCellStyle="一般 2"/>
    <tableColumn id="12" uniqueName="12" name="F12" queryTableFieldId="12" dataDxfId="1528" dataCellStyle="一般 2"/>
    <tableColumn id="13" uniqueName="13" name="F13" queryTableFieldId="13" dataDxfId="1527" dataCellStyle="一般 2"/>
    <tableColumn id="14" uniqueName="14" name="F14" queryTableFieldId="14" dataDxfId="1526" dataCellStyle="一般 2"/>
    <tableColumn id="15" uniqueName="15" name="F15" queryTableFieldId="15" dataDxfId="1525" dataCellStyle="一般 2"/>
    <tableColumn id="16" uniqueName="16" name="F16" queryTableFieldId="16" dataDxfId="1524" dataCellStyle="一般 2"/>
    <tableColumn id="17" uniqueName="17" name="F17" queryTableFieldId="17" dataDxfId="1523" dataCellStyle="一般 2"/>
    <tableColumn id="18" uniqueName="18" name="F18" queryTableFieldId="18" dataDxfId="1522" dataCellStyle="一般 2"/>
    <tableColumn id="19" uniqueName="19" name="F19" queryTableFieldId="19" dataDxfId="1521" dataCellStyle="一般 2"/>
    <tableColumn id="20" uniqueName="20" name="F20" queryTableFieldId="20" dataDxfId="1520" dataCellStyle="一般 2"/>
    <tableColumn id="21" uniqueName="21" name="F21" queryTableFieldId="21" dataDxfId="1519" dataCellStyle="一般 2"/>
    <tableColumn id="22" uniqueName="22" name="2024/6/24 14:52" queryTableFieldId="22" dataDxfId="1518" dataCellStyle="一般 2"/>
    <tableColumn id="23" uniqueName="23" name="F23" queryTableFieldId="23" dataDxfId="1517" dataCellStyle="一般 2"/>
    <tableColumn id="24" uniqueName="24" name="F24" queryTableFieldId="24" dataDxfId="1516" dataCellStyle="一般 2"/>
    <tableColumn id="25" uniqueName="25" name="F25" queryTableFieldId="25" dataDxfId="1515" dataCellStyle="一般 2"/>
    <tableColumn id="26" uniqueName="26" name="F26" queryTableFieldId="26" dataDxfId="1514" dataCellStyle="一般 2"/>
    <tableColumn id="27" uniqueName="27" name="F27" queryTableFieldId="27" dataDxfId="1513" dataCellStyle="一般 2"/>
    <tableColumn id="28" uniqueName="28" name="F28" queryTableFieldId="28" dataDxfId="1512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15" dataDxfId="1414" headerRowCellStyle="一般 2" dataCellStyle="一般 2">
  <autoFilter ref="AG13:BH189"/>
  <tableColumns count="28">
    <tableColumn id="1" uniqueName="1" name="請直接以10進位，謝謝" queryTableFieldId="1" dataDxfId="1413" dataCellStyle="一般 2"/>
    <tableColumn id="2" uniqueName="2" name="F2" queryTableFieldId="2" dataDxfId="1412" dataCellStyle="一般 2"/>
    <tableColumn id="3" uniqueName="3" name="F3" queryTableFieldId="3" dataDxfId="1411" dataCellStyle="一般 2"/>
    <tableColumn id="4" uniqueName="4" name="F4" queryTableFieldId="4" dataDxfId="1410" dataCellStyle="一般 2"/>
    <tableColumn id="5" uniqueName="5" name="F5" queryTableFieldId="5" dataDxfId="1409" dataCellStyle="一般 2"/>
    <tableColumn id="6" uniqueName="6" name="F6" queryTableFieldId="6" dataDxfId="1408" dataCellStyle="一般 2"/>
    <tableColumn id="7" uniqueName="7" name="F7" queryTableFieldId="7" dataDxfId="1407" dataCellStyle="一般 2"/>
    <tableColumn id="8" uniqueName="8" name="F8" queryTableFieldId="8" dataDxfId="1406" dataCellStyle="一般 2"/>
    <tableColumn id="9" uniqueName="9" name="F9" queryTableFieldId="9" dataDxfId="1405" dataCellStyle="一般 2"/>
    <tableColumn id="10" uniqueName="10" name="F10" queryTableFieldId="10" dataDxfId="1404" dataCellStyle="一般 2"/>
    <tableColumn id="11" uniqueName="11" name="F11" queryTableFieldId="11" dataDxfId="1403" dataCellStyle="一般 2"/>
    <tableColumn id="12" uniqueName="12" name="F12" queryTableFieldId="12" dataDxfId="1402" dataCellStyle="一般 2"/>
    <tableColumn id="13" uniqueName="13" name="F13" queryTableFieldId="13" dataDxfId="1401" dataCellStyle="一般 2"/>
    <tableColumn id="14" uniqueName="14" name="F14" queryTableFieldId="14" dataDxfId="1400" dataCellStyle="一般 2"/>
    <tableColumn id="15" uniqueName="15" name="F15" queryTableFieldId="15" dataDxfId="1399" dataCellStyle="一般 2"/>
    <tableColumn id="16" uniqueName="16" name="F16" queryTableFieldId="16" dataDxfId="1398" dataCellStyle="一般 2"/>
    <tableColumn id="17" uniqueName="17" name="F17" queryTableFieldId="17" dataDxfId="1397" dataCellStyle="一般 2"/>
    <tableColumn id="18" uniqueName="18" name="F18" queryTableFieldId="18" dataDxfId="1396" dataCellStyle="一般 2"/>
    <tableColumn id="19" uniqueName="19" name="F19" queryTableFieldId="19" dataDxfId="1395" dataCellStyle="一般 2"/>
    <tableColumn id="20" uniqueName="20" name="F20" queryTableFieldId="20" dataDxfId="1394" dataCellStyle="一般 2"/>
    <tableColumn id="21" uniqueName="21" name="F21" queryTableFieldId="21" dataDxfId="1393" dataCellStyle="一般 2"/>
    <tableColumn id="22" uniqueName="22" name="2024/6/24 14:52" queryTableFieldId="22" dataDxfId="1392" dataCellStyle="一般 2"/>
    <tableColumn id="23" uniqueName="23" name="F23" queryTableFieldId="23" dataDxfId="1391" dataCellStyle="一般 2"/>
    <tableColumn id="24" uniqueName="24" name="F24" queryTableFieldId="24" dataDxfId="1390" dataCellStyle="一般 2"/>
    <tableColumn id="25" uniqueName="25" name="F25" queryTableFieldId="25" dataDxfId="1389" dataCellStyle="一般 2"/>
    <tableColumn id="26" uniqueName="26" name="F26" queryTableFieldId="26" dataDxfId="1388" dataCellStyle="一般 2"/>
    <tableColumn id="27" uniqueName="27" name="F27" queryTableFieldId="27" dataDxfId="1387" dataCellStyle="一般 2"/>
    <tableColumn id="28" uniqueName="28" name="F28" queryTableFieldId="28" dataDxfId="1386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289" dataDxfId="1288" headerRowCellStyle="一般 2" dataCellStyle="一般 2">
  <autoFilter ref="AG13:BH189"/>
  <tableColumns count="28">
    <tableColumn id="1" uniqueName="1" name="請直接以10進位，謝謝" queryTableFieldId="1" dataDxfId="1287" dataCellStyle="一般 2"/>
    <tableColumn id="2" uniqueName="2" name="F2" queryTableFieldId="2" dataDxfId="1286" dataCellStyle="一般 2"/>
    <tableColumn id="3" uniqueName="3" name="F3" queryTableFieldId="3" dataDxfId="1285" dataCellStyle="一般 2"/>
    <tableColumn id="4" uniqueName="4" name="F4" queryTableFieldId="4" dataDxfId="1284" dataCellStyle="一般 2"/>
    <tableColumn id="5" uniqueName="5" name="F5" queryTableFieldId="5" dataDxfId="1283" dataCellStyle="一般 2"/>
    <tableColumn id="6" uniqueName="6" name="F6" queryTableFieldId="6" dataDxfId="1282" dataCellStyle="一般 2"/>
    <tableColumn id="7" uniqueName="7" name="F7" queryTableFieldId="7" dataDxfId="1281" dataCellStyle="一般 2"/>
    <tableColumn id="8" uniqueName="8" name="F8" queryTableFieldId="8" dataDxfId="1280" dataCellStyle="一般 2"/>
    <tableColumn id="9" uniqueName="9" name="F9" queryTableFieldId="9" dataDxfId="1279" dataCellStyle="一般 2"/>
    <tableColumn id="10" uniqueName="10" name="F10" queryTableFieldId="10" dataDxfId="1278" dataCellStyle="一般 2"/>
    <tableColumn id="11" uniqueName="11" name="F11" queryTableFieldId="11" dataDxfId="1277" dataCellStyle="一般 2"/>
    <tableColumn id="12" uniqueName="12" name="F12" queryTableFieldId="12" dataDxfId="1276" dataCellStyle="一般 2"/>
    <tableColumn id="13" uniqueName="13" name="F13" queryTableFieldId="13" dataDxfId="1275" dataCellStyle="一般 2"/>
    <tableColumn id="14" uniqueName="14" name="F14" queryTableFieldId="14" dataDxfId="1274" dataCellStyle="一般 2"/>
    <tableColumn id="15" uniqueName="15" name="F15" queryTableFieldId="15" dataDxfId="1273" dataCellStyle="一般 2"/>
    <tableColumn id="16" uniqueName="16" name="F16" queryTableFieldId="16" dataDxfId="1272" dataCellStyle="一般 2"/>
    <tableColumn id="17" uniqueName="17" name="F17" queryTableFieldId="17" dataDxfId="1271" dataCellStyle="一般 2"/>
    <tableColumn id="18" uniqueName="18" name="F18" queryTableFieldId="18" dataDxfId="1270" dataCellStyle="一般 2"/>
    <tableColumn id="19" uniqueName="19" name="F19" queryTableFieldId="19" dataDxfId="1269" dataCellStyle="一般 2"/>
    <tableColumn id="20" uniqueName="20" name="F20" queryTableFieldId="20" dataDxfId="1268" dataCellStyle="一般 2"/>
    <tableColumn id="21" uniqueName="21" name="F21" queryTableFieldId="21" dataDxfId="1267" dataCellStyle="一般 2"/>
    <tableColumn id="22" uniqueName="22" name="2024/6/24 14:52" queryTableFieldId="22" dataDxfId="1266" dataCellStyle="一般 2"/>
    <tableColumn id="23" uniqueName="23" name="F23" queryTableFieldId="23" dataDxfId="1265" dataCellStyle="一般 2"/>
    <tableColumn id="24" uniqueName="24" name="F24" queryTableFieldId="24" dataDxfId="1264" dataCellStyle="一般 2"/>
    <tableColumn id="25" uniqueName="25" name="F25" queryTableFieldId="25" dataDxfId="1263" dataCellStyle="一般 2"/>
    <tableColumn id="26" uniqueName="26" name="F26" queryTableFieldId="26" dataDxfId="1262" dataCellStyle="一般 2"/>
    <tableColumn id="27" uniqueName="27" name="F27" queryTableFieldId="27" dataDxfId="1261" dataCellStyle="一般 2"/>
    <tableColumn id="28" uniqueName="28" name="F28" queryTableFieldId="28" dataDxfId="126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63" dataDxfId="1162" headerRowCellStyle="一般 2" dataCellStyle="一般 2">
  <autoFilter ref="AG13:BH189"/>
  <tableColumns count="28">
    <tableColumn id="1" uniqueName="1" name="請直接以10進位，謝謝" queryTableFieldId="1" dataDxfId="1161" dataCellStyle="一般 2"/>
    <tableColumn id="2" uniqueName="2" name="F2" queryTableFieldId="2" dataDxfId="1160" dataCellStyle="一般 2"/>
    <tableColumn id="3" uniqueName="3" name="F3" queryTableFieldId="3" dataDxfId="1159" dataCellStyle="一般 2"/>
    <tableColumn id="4" uniqueName="4" name="F4" queryTableFieldId="4" dataDxfId="1158" dataCellStyle="一般 2"/>
    <tableColumn id="5" uniqueName="5" name="F5" queryTableFieldId="5" dataDxfId="1157" dataCellStyle="一般 2"/>
    <tableColumn id="6" uniqueName="6" name="F6" queryTableFieldId="6" dataDxfId="1156" dataCellStyle="一般 2"/>
    <tableColumn id="7" uniqueName="7" name="F7" queryTableFieldId="7" dataDxfId="1155" dataCellStyle="一般 2"/>
    <tableColumn id="8" uniqueName="8" name="F8" queryTableFieldId="8" dataDxfId="1154" dataCellStyle="一般 2"/>
    <tableColumn id="9" uniqueName="9" name="F9" queryTableFieldId="9" dataDxfId="1153" dataCellStyle="一般 2"/>
    <tableColumn id="10" uniqueName="10" name="F10" queryTableFieldId="10" dataDxfId="1152" dataCellStyle="一般 2"/>
    <tableColumn id="11" uniqueName="11" name="F11" queryTableFieldId="11" dataDxfId="1151" dataCellStyle="一般 2"/>
    <tableColumn id="12" uniqueName="12" name="F12" queryTableFieldId="12" dataDxfId="1150" dataCellStyle="一般 2"/>
    <tableColumn id="13" uniqueName="13" name="F13" queryTableFieldId="13" dataDxfId="1149" dataCellStyle="一般 2"/>
    <tableColumn id="14" uniqueName="14" name="F14" queryTableFieldId="14" dataDxfId="1148" dataCellStyle="一般 2"/>
    <tableColumn id="15" uniqueName="15" name="F15" queryTableFieldId="15" dataDxfId="1147" dataCellStyle="一般 2"/>
    <tableColumn id="16" uniqueName="16" name="F16" queryTableFieldId="16" dataDxfId="1146" dataCellStyle="一般 2"/>
    <tableColumn id="17" uniqueName="17" name="F17" queryTableFieldId="17" dataDxfId="1145" dataCellStyle="一般 2"/>
    <tableColumn id="18" uniqueName="18" name="F18" queryTableFieldId="18" dataDxfId="1144" dataCellStyle="一般 2"/>
    <tableColumn id="19" uniqueName="19" name="F19" queryTableFieldId="19" dataDxfId="1143" dataCellStyle="一般 2"/>
    <tableColumn id="20" uniqueName="20" name="F20" queryTableFieldId="20" dataDxfId="1142" dataCellStyle="一般 2"/>
    <tableColumn id="21" uniqueName="21" name="F21" queryTableFieldId="21" dataDxfId="1141" dataCellStyle="一般 2"/>
    <tableColumn id="22" uniqueName="22" name="2024/6/24 14:52" queryTableFieldId="22" dataDxfId="1140" dataCellStyle="一般 2"/>
    <tableColumn id="23" uniqueName="23" name="F23" queryTableFieldId="23" dataDxfId="1139" dataCellStyle="一般 2"/>
    <tableColumn id="24" uniqueName="24" name="F24" queryTableFieldId="24" dataDxfId="1138" dataCellStyle="一般 2"/>
    <tableColumn id="25" uniqueName="25" name="F25" queryTableFieldId="25" dataDxfId="1137" dataCellStyle="一般 2"/>
    <tableColumn id="26" uniqueName="26" name="F26" queryTableFieldId="26" dataDxfId="1136" dataCellStyle="一般 2"/>
    <tableColumn id="27" uniqueName="27" name="F27" queryTableFieldId="27" dataDxfId="1135" dataCellStyle="一般 2"/>
    <tableColumn id="28" uniqueName="28" name="F28" queryTableFieldId="28" dataDxfId="1134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37" dataDxfId="1036" headerRowCellStyle="一般 2" dataCellStyle="一般 2">
  <autoFilter ref="AG13:BH189"/>
  <tableColumns count="28">
    <tableColumn id="1" uniqueName="1" name="請直接以10進位，謝謝" queryTableFieldId="1" dataDxfId="1035" dataCellStyle="一般 2"/>
    <tableColumn id="2" uniqueName="2" name="F2" queryTableFieldId="2" dataDxfId="1034" dataCellStyle="一般 2"/>
    <tableColumn id="3" uniqueName="3" name="F3" queryTableFieldId="3" dataDxfId="1033" dataCellStyle="一般 2"/>
    <tableColumn id="4" uniqueName="4" name="F4" queryTableFieldId="4" dataDxfId="1032" dataCellStyle="一般 2"/>
    <tableColumn id="5" uniqueName="5" name="F5" queryTableFieldId="5" dataDxfId="1031" dataCellStyle="一般 2"/>
    <tableColumn id="6" uniqueName="6" name="F6" queryTableFieldId="6" dataDxfId="1030" dataCellStyle="一般 2"/>
    <tableColumn id="7" uniqueName="7" name="F7" queryTableFieldId="7" dataDxfId="1029" dataCellStyle="一般 2"/>
    <tableColumn id="8" uniqueName="8" name="F8" queryTableFieldId="8" dataDxfId="1028" dataCellStyle="一般 2"/>
    <tableColumn id="9" uniqueName="9" name="F9" queryTableFieldId="9" dataDxfId="1027" dataCellStyle="一般 2"/>
    <tableColumn id="10" uniqueName="10" name="F10" queryTableFieldId="10" dataDxfId="1026" dataCellStyle="一般 2"/>
    <tableColumn id="11" uniqueName="11" name="F11" queryTableFieldId="11" dataDxfId="1025" dataCellStyle="一般 2"/>
    <tableColumn id="12" uniqueName="12" name="F12" queryTableFieldId="12" dataDxfId="1024" dataCellStyle="一般 2"/>
    <tableColumn id="13" uniqueName="13" name="F13" queryTableFieldId="13" dataDxfId="1023" dataCellStyle="一般 2"/>
    <tableColumn id="14" uniqueName="14" name="F14" queryTableFieldId="14" dataDxfId="1022" dataCellStyle="一般 2"/>
    <tableColumn id="15" uniqueName="15" name="F15" queryTableFieldId="15" dataDxfId="1021" dataCellStyle="一般 2"/>
    <tableColumn id="16" uniqueName="16" name="F16" queryTableFieldId="16" dataDxfId="1020" dataCellStyle="一般 2"/>
    <tableColumn id="17" uniqueName="17" name="F17" queryTableFieldId="17" dataDxfId="1019" dataCellStyle="一般 2"/>
    <tableColumn id="18" uniqueName="18" name="F18" queryTableFieldId="18" dataDxfId="1018" dataCellStyle="一般 2"/>
    <tableColumn id="19" uniqueName="19" name="F19" queryTableFieldId="19" dataDxfId="1017" dataCellStyle="一般 2"/>
    <tableColumn id="20" uniqueName="20" name="F20" queryTableFieldId="20" dataDxfId="1016" dataCellStyle="一般 2"/>
    <tableColumn id="21" uniqueName="21" name="F21" queryTableFieldId="21" dataDxfId="1015" dataCellStyle="一般 2"/>
    <tableColumn id="22" uniqueName="22" name="2024/6/24 14:52" queryTableFieldId="22" dataDxfId="1014" dataCellStyle="一般 2"/>
    <tableColumn id="23" uniqueName="23" name="F23" queryTableFieldId="23" dataDxfId="1013" dataCellStyle="一般 2"/>
    <tableColumn id="24" uniqueName="24" name="F24" queryTableFieldId="24" dataDxfId="1012" dataCellStyle="一般 2"/>
    <tableColumn id="25" uniqueName="25" name="F25" queryTableFieldId="25" dataDxfId="1011" dataCellStyle="一般 2"/>
    <tableColumn id="26" uniqueName="26" name="F26" queryTableFieldId="26" dataDxfId="1010" dataCellStyle="一般 2"/>
    <tableColumn id="27" uniqueName="27" name="F27" queryTableFieldId="27" dataDxfId="1009" dataCellStyle="一般 2"/>
    <tableColumn id="28" uniqueName="28" name="F28" queryTableFieldId="28" dataDxfId="1008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911" dataDxfId="910" headerRowCellStyle="一般 2" dataCellStyle="一般 2">
  <autoFilter ref="AG13:BH189"/>
  <tableColumns count="28">
    <tableColumn id="1" uniqueName="1" name="請直接以10進位，謝謝" queryTableFieldId="1" dataDxfId="909" dataCellStyle="一般 2"/>
    <tableColumn id="2" uniqueName="2" name="F2" queryTableFieldId="2" dataDxfId="908" dataCellStyle="一般 2"/>
    <tableColumn id="3" uniqueName="3" name="F3" queryTableFieldId="3" dataDxfId="907" dataCellStyle="一般 2"/>
    <tableColumn id="4" uniqueName="4" name="F4" queryTableFieldId="4" dataDxfId="906" dataCellStyle="一般 2"/>
    <tableColumn id="5" uniqueName="5" name="F5" queryTableFieldId="5" dataDxfId="905" dataCellStyle="一般 2"/>
    <tableColumn id="6" uniqueName="6" name="F6" queryTableFieldId="6" dataDxfId="904" dataCellStyle="一般 2"/>
    <tableColumn id="7" uniqueName="7" name="F7" queryTableFieldId="7" dataDxfId="903" dataCellStyle="一般 2"/>
    <tableColumn id="8" uniqueName="8" name="F8" queryTableFieldId="8" dataDxfId="902" dataCellStyle="一般 2"/>
    <tableColumn id="9" uniqueName="9" name="F9" queryTableFieldId="9" dataDxfId="901" dataCellStyle="一般 2"/>
    <tableColumn id="10" uniqueName="10" name="F10" queryTableFieldId="10" dataDxfId="900" dataCellStyle="一般 2"/>
    <tableColumn id="11" uniqueName="11" name="F11" queryTableFieldId="11" dataDxfId="899" dataCellStyle="一般 2"/>
    <tableColumn id="12" uniqueName="12" name="F12" queryTableFieldId="12" dataDxfId="898" dataCellStyle="一般 2"/>
    <tableColumn id="13" uniqueName="13" name="F13" queryTableFieldId="13" dataDxfId="897" dataCellStyle="一般 2"/>
    <tableColumn id="14" uniqueName="14" name="F14" queryTableFieldId="14" dataDxfId="896" dataCellStyle="一般 2"/>
    <tableColumn id="15" uniqueName="15" name="F15" queryTableFieldId="15" dataDxfId="895" dataCellStyle="一般 2"/>
    <tableColumn id="16" uniqueName="16" name="F16" queryTableFieldId="16" dataDxfId="894" dataCellStyle="一般 2"/>
    <tableColumn id="17" uniqueName="17" name="F17" queryTableFieldId="17" dataDxfId="893" dataCellStyle="一般 2"/>
    <tableColumn id="18" uniqueName="18" name="F18" queryTableFieldId="18" dataDxfId="892" dataCellStyle="一般 2"/>
    <tableColumn id="19" uniqueName="19" name="F19" queryTableFieldId="19" dataDxfId="891" dataCellStyle="一般 2"/>
    <tableColumn id="20" uniqueName="20" name="F20" queryTableFieldId="20" dataDxfId="890" dataCellStyle="一般 2"/>
    <tableColumn id="21" uniqueName="21" name="F21" queryTableFieldId="21" dataDxfId="889" dataCellStyle="一般 2"/>
    <tableColumn id="22" uniqueName="22" name="2024/6/24 14:52" queryTableFieldId="22" dataDxfId="888" dataCellStyle="一般 2"/>
    <tableColumn id="23" uniqueName="23" name="F23" queryTableFieldId="23" dataDxfId="887" dataCellStyle="一般 2"/>
    <tableColumn id="24" uniqueName="24" name="F24" queryTableFieldId="24" dataDxfId="886" dataCellStyle="一般 2"/>
    <tableColumn id="25" uniqueName="25" name="F25" queryTableFieldId="25" dataDxfId="885" dataCellStyle="一般 2"/>
    <tableColumn id="26" uniqueName="26" name="F26" queryTableFieldId="26" dataDxfId="884" dataCellStyle="一般 2"/>
    <tableColumn id="27" uniqueName="27" name="F27" queryTableFieldId="27" dataDxfId="883" dataCellStyle="一般 2"/>
    <tableColumn id="28" uniqueName="28" name="F28" queryTableFieldId="28" dataDxfId="882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785" dataDxfId="784" headerRowCellStyle="一般 2" dataCellStyle="一般 2">
  <autoFilter ref="AG13:BH189"/>
  <tableColumns count="28">
    <tableColumn id="1" uniqueName="1" name="請直接以10進位，謝謝" queryTableFieldId="1" dataDxfId="783" dataCellStyle="一般 2"/>
    <tableColumn id="2" uniqueName="2" name="F2" queryTableFieldId="2" dataDxfId="782" dataCellStyle="一般 2"/>
    <tableColumn id="3" uniqueName="3" name="F3" queryTableFieldId="3" dataDxfId="781" dataCellStyle="一般 2"/>
    <tableColumn id="4" uniqueName="4" name="F4" queryTableFieldId="4" dataDxfId="780" dataCellStyle="一般 2"/>
    <tableColumn id="5" uniqueName="5" name="F5" queryTableFieldId="5" dataDxfId="779" dataCellStyle="一般 2"/>
    <tableColumn id="6" uniqueName="6" name="F6" queryTableFieldId="6" dataDxfId="778" dataCellStyle="一般 2"/>
    <tableColumn id="7" uniqueName="7" name="F7" queryTableFieldId="7" dataDxfId="777" dataCellStyle="一般 2"/>
    <tableColumn id="8" uniqueName="8" name="F8" queryTableFieldId="8" dataDxfId="776" dataCellStyle="一般 2"/>
    <tableColumn id="9" uniqueName="9" name="F9" queryTableFieldId="9" dataDxfId="775" dataCellStyle="一般 2"/>
    <tableColumn id="10" uniqueName="10" name="F10" queryTableFieldId="10" dataDxfId="774" dataCellStyle="一般 2"/>
    <tableColumn id="11" uniqueName="11" name="F11" queryTableFieldId="11" dataDxfId="773" dataCellStyle="一般 2"/>
    <tableColumn id="12" uniqueName="12" name="F12" queryTableFieldId="12" dataDxfId="772" dataCellStyle="一般 2"/>
    <tableColumn id="13" uniqueName="13" name="F13" queryTableFieldId="13" dataDxfId="771" dataCellStyle="一般 2"/>
    <tableColumn id="14" uniqueName="14" name="F14" queryTableFieldId="14" dataDxfId="770" dataCellStyle="一般 2"/>
    <tableColumn id="15" uniqueName="15" name="F15" queryTableFieldId="15" dataDxfId="769" dataCellStyle="一般 2"/>
    <tableColumn id="16" uniqueName="16" name="F16" queryTableFieldId="16" dataDxfId="768" dataCellStyle="一般 2"/>
    <tableColumn id="17" uniqueName="17" name="F17" queryTableFieldId="17" dataDxfId="767" dataCellStyle="一般 2"/>
    <tableColumn id="18" uniqueName="18" name="F18" queryTableFieldId="18" dataDxfId="766" dataCellStyle="一般 2"/>
    <tableColumn id="19" uniqueName="19" name="F19" queryTableFieldId="19" dataDxfId="765" dataCellStyle="一般 2"/>
    <tableColumn id="20" uniqueName="20" name="F20" queryTableFieldId="20" dataDxfId="764" dataCellStyle="一般 2"/>
    <tableColumn id="21" uniqueName="21" name="F21" queryTableFieldId="21" dataDxfId="763" dataCellStyle="一般 2"/>
    <tableColumn id="22" uniqueName="22" name="2024/6/24 14:52" queryTableFieldId="22" dataDxfId="762" dataCellStyle="一般 2"/>
    <tableColumn id="23" uniqueName="23" name="F23" queryTableFieldId="23" dataDxfId="761" dataCellStyle="一般 2"/>
    <tableColumn id="24" uniqueName="24" name="F24" queryTableFieldId="24" dataDxfId="760" dataCellStyle="一般 2"/>
    <tableColumn id="25" uniqueName="25" name="F25" queryTableFieldId="25" dataDxfId="759" dataCellStyle="一般 2"/>
    <tableColumn id="26" uniqueName="26" name="F26" queryTableFieldId="26" dataDxfId="758" dataCellStyle="一般 2"/>
    <tableColumn id="27" uniqueName="27" name="F27" queryTableFieldId="27" dataDxfId="757" dataCellStyle="一般 2"/>
    <tableColumn id="28" uniqueName="28" name="F28" queryTableFieldId="28" dataDxfId="756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659" dataDxfId="658" headerRowCellStyle="一般 2" dataCellStyle="一般 2">
  <autoFilter ref="AG13:BH189"/>
  <tableColumns count="28">
    <tableColumn id="1" uniqueName="1" name="請直接以10進位，謝謝" queryTableFieldId="1" dataDxfId="657" dataCellStyle="一般 2"/>
    <tableColumn id="2" uniqueName="2" name="F2" queryTableFieldId="2" dataDxfId="656" dataCellStyle="一般 2"/>
    <tableColumn id="3" uniqueName="3" name="F3" queryTableFieldId="3" dataDxfId="655" dataCellStyle="一般 2"/>
    <tableColumn id="4" uniqueName="4" name="F4" queryTableFieldId="4" dataDxfId="654" dataCellStyle="一般 2"/>
    <tableColumn id="5" uniqueName="5" name="F5" queryTableFieldId="5" dataDxfId="653" dataCellStyle="一般 2"/>
    <tableColumn id="6" uniqueName="6" name="F6" queryTableFieldId="6" dataDxfId="652" dataCellStyle="一般 2"/>
    <tableColumn id="7" uniqueName="7" name="F7" queryTableFieldId="7" dataDxfId="651" dataCellStyle="一般 2"/>
    <tableColumn id="8" uniqueName="8" name="F8" queryTableFieldId="8" dataDxfId="650" dataCellStyle="一般 2"/>
    <tableColumn id="9" uniqueName="9" name="F9" queryTableFieldId="9" dataDxfId="649" dataCellStyle="一般 2"/>
    <tableColumn id="10" uniqueName="10" name="F10" queryTableFieldId="10" dataDxfId="648" dataCellStyle="一般 2"/>
    <tableColumn id="11" uniqueName="11" name="F11" queryTableFieldId="11" dataDxfId="647" dataCellStyle="一般 2"/>
    <tableColumn id="12" uniqueName="12" name="F12" queryTableFieldId="12" dataDxfId="646" dataCellStyle="一般 2"/>
    <tableColumn id="13" uniqueName="13" name="F13" queryTableFieldId="13" dataDxfId="645" dataCellStyle="一般 2"/>
    <tableColumn id="14" uniqueName="14" name="F14" queryTableFieldId="14" dataDxfId="644" dataCellStyle="一般 2"/>
    <tableColumn id="15" uniqueName="15" name="F15" queryTableFieldId="15" dataDxfId="643" dataCellStyle="一般 2"/>
    <tableColumn id="16" uniqueName="16" name="F16" queryTableFieldId="16" dataDxfId="642" dataCellStyle="一般 2"/>
    <tableColumn id="17" uniqueName="17" name="F17" queryTableFieldId="17" dataDxfId="641" dataCellStyle="一般 2"/>
    <tableColumn id="18" uniqueName="18" name="F18" queryTableFieldId="18" dataDxfId="640" dataCellStyle="一般 2"/>
    <tableColumn id="19" uniqueName="19" name="F19" queryTableFieldId="19" dataDxfId="639" dataCellStyle="一般 2"/>
    <tableColumn id="20" uniqueName="20" name="F20" queryTableFieldId="20" dataDxfId="638" dataCellStyle="一般 2"/>
    <tableColumn id="21" uniqueName="21" name="F21" queryTableFieldId="21" dataDxfId="637" dataCellStyle="一般 2"/>
    <tableColumn id="22" uniqueName="22" name="2024/6/24 14:52" queryTableFieldId="22" dataDxfId="636" dataCellStyle="一般 2"/>
    <tableColumn id="23" uniqueName="23" name="F23" queryTableFieldId="23" dataDxfId="635" dataCellStyle="一般 2"/>
    <tableColumn id="24" uniqueName="24" name="F24" queryTableFieldId="24" dataDxfId="634" dataCellStyle="一般 2"/>
    <tableColumn id="25" uniqueName="25" name="F25" queryTableFieldId="25" dataDxfId="633" dataCellStyle="一般 2"/>
    <tableColumn id="26" uniqueName="26" name="F26" queryTableFieldId="26" dataDxfId="632" dataCellStyle="一般 2"/>
    <tableColumn id="27" uniqueName="27" name="F27" queryTableFieldId="27" dataDxfId="631" dataCellStyle="一般 2"/>
    <tableColumn id="28" uniqueName="28" name="F28" queryTableFieldId="28" dataDxfId="630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533" dataDxfId="532" headerRowCellStyle="一般 2" dataCellStyle="一般 2">
  <autoFilter ref="AG13:BH189"/>
  <tableColumns count="28">
    <tableColumn id="1" uniqueName="1" name="請直接以10進位，謝謝" queryTableFieldId="1" dataDxfId="531" dataCellStyle="一般 2"/>
    <tableColumn id="2" uniqueName="2" name="F2" queryTableFieldId="2" dataDxfId="530" dataCellStyle="一般 2"/>
    <tableColumn id="3" uniqueName="3" name="F3" queryTableFieldId="3" dataDxfId="529" dataCellStyle="一般 2"/>
    <tableColumn id="4" uniqueName="4" name="F4" queryTableFieldId="4" dataDxfId="528" dataCellStyle="一般 2"/>
    <tableColumn id="5" uniqueName="5" name="F5" queryTableFieldId="5" dataDxfId="527" dataCellStyle="一般 2"/>
    <tableColumn id="6" uniqueName="6" name="F6" queryTableFieldId="6" dataDxfId="526" dataCellStyle="一般 2"/>
    <tableColumn id="7" uniqueName="7" name="F7" queryTableFieldId="7" dataDxfId="525" dataCellStyle="一般 2"/>
    <tableColumn id="8" uniqueName="8" name="F8" queryTableFieldId="8" dataDxfId="524" dataCellStyle="一般 2"/>
    <tableColumn id="9" uniqueName="9" name="F9" queryTableFieldId="9" dataDxfId="523" dataCellStyle="一般 2"/>
    <tableColumn id="10" uniqueName="10" name="F10" queryTableFieldId="10" dataDxfId="522" dataCellStyle="一般 2"/>
    <tableColumn id="11" uniqueName="11" name="F11" queryTableFieldId="11" dataDxfId="521" dataCellStyle="一般 2"/>
    <tableColumn id="12" uniqueName="12" name="F12" queryTableFieldId="12" dataDxfId="520" dataCellStyle="一般 2"/>
    <tableColumn id="13" uniqueName="13" name="F13" queryTableFieldId="13" dataDxfId="519" dataCellStyle="一般 2"/>
    <tableColumn id="14" uniqueName="14" name="F14" queryTableFieldId="14" dataDxfId="518" dataCellStyle="一般 2"/>
    <tableColumn id="15" uniqueName="15" name="F15" queryTableFieldId="15" dataDxfId="517" dataCellStyle="一般 2"/>
    <tableColumn id="16" uniqueName="16" name="F16" queryTableFieldId="16" dataDxfId="516" dataCellStyle="一般 2"/>
    <tableColumn id="17" uniqueName="17" name="F17" queryTableFieldId="17" dataDxfId="515" dataCellStyle="一般 2"/>
    <tableColumn id="18" uniqueName="18" name="F18" queryTableFieldId="18" dataDxfId="514" dataCellStyle="一般 2"/>
    <tableColumn id="19" uniqueName="19" name="F19" queryTableFieldId="19" dataDxfId="513" dataCellStyle="一般 2"/>
    <tableColumn id="20" uniqueName="20" name="F20" queryTableFieldId="20" dataDxfId="512" dataCellStyle="一般 2"/>
    <tableColumn id="21" uniqueName="21" name="F21" queryTableFieldId="21" dataDxfId="511" dataCellStyle="一般 2"/>
    <tableColumn id="22" uniqueName="22" name="2024/6/24 14:52" queryTableFieldId="22" dataDxfId="510" dataCellStyle="一般 2"/>
    <tableColumn id="23" uniqueName="23" name="F23" queryTableFieldId="23" dataDxfId="509" dataCellStyle="一般 2"/>
    <tableColumn id="24" uniqueName="24" name="F24" queryTableFieldId="24" dataDxfId="508" dataCellStyle="一般 2"/>
    <tableColumn id="25" uniqueName="25" name="F25" queryTableFieldId="25" dataDxfId="507" dataCellStyle="一般 2"/>
    <tableColumn id="26" uniqueName="26" name="F26" queryTableFieldId="26" dataDxfId="506" dataCellStyle="一般 2"/>
    <tableColumn id="27" uniqueName="27" name="F27" queryTableFieldId="27" dataDxfId="505" dataCellStyle="一般 2"/>
    <tableColumn id="28" uniqueName="28" name="F28" queryTableFieldId="28" dataDxfId="504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407" dataDxfId="406" headerRowCellStyle="一般 2" dataCellStyle="一般 2">
  <autoFilter ref="AG13:BH189"/>
  <tableColumns count="28">
    <tableColumn id="1" uniqueName="1" name="請直接以10進位，謝謝" queryTableFieldId="1" dataDxfId="405" dataCellStyle="一般 2"/>
    <tableColumn id="2" uniqueName="2" name="F2" queryTableFieldId="2" dataDxfId="404" dataCellStyle="一般 2"/>
    <tableColumn id="3" uniqueName="3" name="F3" queryTableFieldId="3" dataDxfId="403" dataCellStyle="一般 2"/>
    <tableColumn id="4" uniqueName="4" name="F4" queryTableFieldId="4" dataDxfId="402" dataCellStyle="一般 2"/>
    <tableColumn id="5" uniqueName="5" name="F5" queryTableFieldId="5" dataDxfId="401" dataCellStyle="一般 2"/>
    <tableColumn id="6" uniqueName="6" name="F6" queryTableFieldId="6" dataDxfId="400" dataCellStyle="一般 2"/>
    <tableColumn id="7" uniqueName="7" name="F7" queryTableFieldId="7" dataDxfId="399" dataCellStyle="一般 2"/>
    <tableColumn id="8" uniqueName="8" name="F8" queryTableFieldId="8" dataDxfId="398" dataCellStyle="一般 2"/>
    <tableColumn id="9" uniqueName="9" name="F9" queryTableFieldId="9" dataDxfId="397" dataCellStyle="一般 2"/>
    <tableColumn id="10" uniqueName="10" name="F10" queryTableFieldId="10" dataDxfId="396" dataCellStyle="一般 2"/>
    <tableColumn id="11" uniqueName="11" name="F11" queryTableFieldId="11" dataDxfId="395" dataCellStyle="一般 2"/>
    <tableColumn id="12" uniqueName="12" name="F12" queryTableFieldId="12" dataDxfId="394" dataCellStyle="一般 2"/>
    <tableColumn id="13" uniqueName="13" name="F13" queryTableFieldId="13" dataDxfId="393" dataCellStyle="一般 2"/>
    <tableColumn id="14" uniqueName="14" name="F14" queryTableFieldId="14" dataDxfId="392" dataCellStyle="一般 2"/>
    <tableColumn id="15" uniqueName="15" name="F15" queryTableFieldId="15" dataDxfId="391" dataCellStyle="一般 2"/>
    <tableColumn id="16" uniqueName="16" name="F16" queryTableFieldId="16" dataDxfId="390" dataCellStyle="一般 2"/>
    <tableColumn id="17" uniqueName="17" name="F17" queryTableFieldId="17" dataDxfId="389" dataCellStyle="一般 2"/>
    <tableColumn id="18" uniqueName="18" name="F18" queryTableFieldId="18" dataDxfId="388" dataCellStyle="一般 2"/>
    <tableColumn id="19" uniqueName="19" name="F19" queryTableFieldId="19" dataDxfId="387" dataCellStyle="一般 2"/>
    <tableColumn id="20" uniqueName="20" name="F20" queryTableFieldId="20" dataDxfId="386" dataCellStyle="一般 2"/>
    <tableColumn id="21" uniqueName="21" name="F21" queryTableFieldId="21" dataDxfId="385" dataCellStyle="一般 2"/>
    <tableColumn id="22" uniqueName="22" name="2024/6/24 14:52" queryTableFieldId="22" dataDxfId="384" dataCellStyle="一般 2"/>
    <tableColumn id="23" uniqueName="23" name="F23" queryTableFieldId="23" dataDxfId="383" dataCellStyle="一般 2"/>
    <tableColumn id="24" uniqueName="24" name="F24" queryTableFieldId="24" dataDxfId="382" dataCellStyle="一般 2"/>
    <tableColumn id="25" uniqueName="25" name="F25" queryTableFieldId="25" dataDxfId="381" dataCellStyle="一般 2"/>
    <tableColumn id="26" uniqueName="26" name="F26" queryTableFieldId="26" dataDxfId="380" dataCellStyle="一般 2"/>
    <tableColumn id="27" uniqueName="27" name="F27" queryTableFieldId="27" dataDxfId="379" dataCellStyle="一般 2"/>
    <tableColumn id="28" uniqueName="28" name="F28" queryTableFieldId="28" dataDxfId="378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281" dataDxfId="280" headerRowCellStyle="一般 2" dataCellStyle="一般 2">
  <autoFilter ref="AG13:BH189"/>
  <tableColumns count="28">
    <tableColumn id="1" uniqueName="1" name="請直接以10進位，謝謝" queryTableFieldId="1" dataDxfId="279" dataCellStyle="一般 2"/>
    <tableColumn id="2" uniqueName="2" name="F2" queryTableFieldId="2" dataDxfId="278" dataCellStyle="一般 2"/>
    <tableColumn id="3" uniqueName="3" name="F3" queryTableFieldId="3" dataDxfId="277" dataCellStyle="一般 2"/>
    <tableColumn id="4" uniqueName="4" name="F4" queryTableFieldId="4" dataDxfId="276" dataCellStyle="一般 2"/>
    <tableColumn id="5" uniqueName="5" name="F5" queryTableFieldId="5" dataDxfId="275" dataCellStyle="一般 2"/>
    <tableColumn id="6" uniqueName="6" name="F6" queryTableFieldId="6" dataDxfId="274" dataCellStyle="一般 2"/>
    <tableColumn id="7" uniqueName="7" name="F7" queryTableFieldId="7" dataDxfId="273" dataCellStyle="一般 2"/>
    <tableColumn id="8" uniqueName="8" name="F8" queryTableFieldId="8" dataDxfId="272" dataCellStyle="一般 2"/>
    <tableColumn id="9" uniqueName="9" name="F9" queryTableFieldId="9" dataDxfId="271" dataCellStyle="一般 2"/>
    <tableColumn id="10" uniqueName="10" name="F10" queryTableFieldId="10" dataDxfId="270" dataCellStyle="一般 2"/>
    <tableColumn id="11" uniqueName="11" name="F11" queryTableFieldId="11" dataDxfId="269" dataCellStyle="一般 2"/>
    <tableColumn id="12" uniqueName="12" name="F12" queryTableFieldId="12" dataDxfId="268" dataCellStyle="一般 2"/>
    <tableColumn id="13" uniqueName="13" name="F13" queryTableFieldId="13" dataDxfId="267" dataCellStyle="一般 2"/>
    <tableColumn id="14" uniqueName="14" name="F14" queryTableFieldId="14" dataDxfId="266" dataCellStyle="一般 2"/>
    <tableColumn id="15" uniqueName="15" name="F15" queryTableFieldId="15" dataDxfId="265" dataCellStyle="一般 2"/>
    <tableColumn id="16" uniqueName="16" name="F16" queryTableFieldId="16" dataDxfId="264" dataCellStyle="一般 2"/>
    <tableColumn id="17" uniqueName="17" name="F17" queryTableFieldId="17" dataDxfId="263" dataCellStyle="一般 2"/>
    <tableColumn id="18" uniqueName="18" name="F18" queryTableFieldId="18" dataDxfId="262" dataCellStyle="一般 2"/>
    <tableColumn id="19" uniqueName="19" name="F19" queryTableFieldId="19" dataDxfId="261" dataCellStyle="一般 2"/>
    <tableColumn id="20" uniqueName="20" name="F20" queryTableFieldId="20" dataDxfId="260" dataCellStyle="一般 2"/>
    <tableColumn id="21" uniqueName="21" name="F21" queryTableFieldId="21" dataDxfId="259" dataCellStyle="一般 2"/>
    <tableColumn id="22" uniqueName="22" name="2024/6/24 14:52" queryTableFieldId="22" dataDxfId="258" dataCellStyle="一般 2"/>
    <tableColumn id="23" uniqueName="23" name="F23" queryTableFieldId="23" dataDxfId="257" dataCellStyle="一般 2"/>
    <tableColumn id="24" uniqueName="24" name="F24" queryTableFieldId="24" dataDxfId="256" dataCellStyle="一般 2"/>
    <tableColumn id="25" uniqueName="25" name="F25" queryTableFieldId="25" dataDxfId="255" dataCellStyle="一般 2"/>
    <tableColumn id="26" uniqueName="26" name="F26" queryTableFieldId="26" dataDxfId="254" dataCellStyle="一般 2"/>
    <tableColumn id="27" uniqueName="27" name="F27" queryTableFieldId="27" dataDxfId="253" dataCellStyle="一般 2"/>
    <tableColumn id="28" uniqueName="28" name="F28" queryTableFieldId="28" dataDxfId="252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55" dataDxfId="154" headerRowCellStyle="一般 2" dataCellStyle="一般 2">
  <autoFilter ref="AG13:BH189"/>
  <tableColumns count="28">
    <tableColumn id="1" uniqueName="1" name="請直接以10進位，謝謝" queryTableFieldId="1" dataDxfId="153" dataCellStyle="一般 2"/>
    <tableColumn id="2" uniqueName="2" name="F2" queryTableFieldId="2" dataDxfId="152" dataCellStyle="一般 2"/>
    <tableColumn id="3" uniqueName="3" name="F3" queryTableFieldId="3" dataDxfId="151" dataCellStyle="一般 2"/>
    <tableColumn id="4" uniqueName="4" name="F4" queryTableFieldId="4" dataDxfId="150" dataCellStyle="一般 2"/>
    <tableColumn id="5" uniqueName="5" name="F5" queryTableFieldId="5" dataDxfId="149" dataCellStyle="一般 2"/>
    <tableColumn id="6" uniqueName="6" name="F6" queryTableFieldId="6" dataDxfId="148" dataCellStyle="一般 2"/>
    <tableColumn id="7" uniqueName="7" name="F7" queryTableFieldId="7" dataDxfId="147" dataCellStyle="一般 2"/>
    <tableColumn id="8" uniqueName="8" name="F8" queryTableFieldId="8" dataDxfId="146" dataCellStyle="一般 2"/>
    <tableColumn id="9" uniqueName="9" name="F9" queryTableFieldId="9" dataDxfId="145" dataCellStyle="一般 2"/>
    <tableColumn id="10" uniqueName="10" name="F10" queryTableFieldId="10" dataDxfId="144" dataCellStyle="一般 2"/>
    <tableColumn id="11" uniqueName="11" name="F11" queryTableFieldId="11" dataDxfId="143" dataCellStyle="一般 2"/>
    <tableColumn id="12" uniqueName="12" name="F12" queryTableFieldId="12" dataDxfId="142" dataCellStyle="一般 2"/>
    <tableColumn id="13" uniqueName="13" name="F13" queryTableFieldId="13" dataDxfId="141" dataCellStyle="一般 2"/>
    <tableColumn id="14" uniqueName="14" name="F14" queryTableFieldId="14" dataDxfId="140" dataCellStyle="一般 2"/>
    <tableColumn id="15" uniqueName="15" name="F15" queryTableFieldId="15" dataDxfId="139" dataCellStyle="一般 2"/>
    <tableColumn id="16" uniqueName="16" name="F16" queryTableFieldId="16" dataDxfId="138" dataCellStyle="一般 2"/>
    <tableColumn id="17" uniqueName="17" name="F17" queryTableFieldId="17" dataDxfId="137" dataCellStyle="一般 2"/>
    <tableColumn id="18" uniqueName="18" name="F18" queryTableFieldId="18" dataDxfId="136" dataCellStyle="一般 2"/>
    <tableColumn id="19" uniqueName="19" name="F19" queryTableFieldId="19" dataDxfId="135" dataCellStyle="一般 2"/>
    <tableColumn id="20" uniqueName="20" name="F20" queryTableFieldId="20" dataDxfId="134" dataCellStyle="一般 2"/>
    <tableColumn id="21" uniqueName="21" name="F21" queryTableFieldId="21" dataDxfId="133" dataCellStyle="一般 2"/>
    <tableColumn id="22" uniqueName="22" name="2024/6/24 14:52" queryTableFieldId="22" dataDxfId="132" dataCellStyle="一般 2"/>
    <tableColumn id="23" uniqueName="23" name="F23" queryTableFieldId="23" dataDxfId="131" dataCellStyle="一般 2"/>
    <tableColumn id="24" uniqueName="24" name="F24" queryTableFieldId="24" dataDxfId="130" dataCellStyle="一般 2"/>
    <tableColumn id="25" uniqueName="25" name="F25" queryTableFieldId="25" dataDxfId="129" dataCellStyle="一般 2"/>
    <tableColumn id="26" uniqueName="26" name="F26" queryTableFieldId="26" dataDxfId="128" dataCellStyle="一般 2"/>
    <tableColumn id="27" uniqueName="27" name="F27" queryTableFieldId="27" dataDxfId="127" dataCellStyle="一般 2"/>
    <tableColumn id="28" uniqueName="28" name="F28" queryTableFieldId="28" dataDxfId="126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2" zoomScale="80" zoomScaleNormal="100" zoomScaleSheetLayoutView="80" workbookViewId="0">
      <selection activeCell="I28" sqref="I28"/>
    </sheetView>
  </sheetViews>
  <sheetFormatPr defaultColWidth="9" defaultRowHeight="15.75"/>
  <cols>
    <col min="1" max="1" width="7.375" style="54" customWidth="1"/>
    <col min="2" max="2" width="8.625" style="54" customWidth="1"/>
    <col min="3" max="3" width="6.625" style="54" customWidth="1"/>
    <col min="4" max="4" width="7.375" style="54" customWidth="1"/>
    <col min="5" max="5" width="8.625" style="54" customWidth="1"/>
    <col min="6" max="6" width="6.625" style="54" customWidth="1"/>
    <col min="7" max="7" width="7.375" style="54" customWidth="1"/>
    <col min="8" max="8" width="8.625" style="54" customWidth="1"/>
    <col min="9" max="9" width="6.625" style="54" customWidth="1"/>
    <col min="10" max="10" width="7.375" style="54" customWidth="1"/>
    <col min="11" max="11" width="8.625" style="54" customWidth="1"/>
    <col min="12" max="12" width="6.625" style="54" customWidth="1"/>
    <col min="13" max="13" width="23.875" style="54" customWidth="1"/>
    <col min="14" max="14" width="17.625" style="54" customWidth="1"/>
    <col min="15" max="16" width="11.875" style="54" customWidth="1"/>
    <col min="17" max="17" width="17.5" style="63" customWidth="1"/>
    <col min="18" max="18" width="13.625" style="63" customWidth="1"/>
    <col min="19" max="19" width="14.375" style="63" customWidth="1"/>
    <col min="20" max="20" width="9" style="54"/>
    <col min="21" max="21" width="20.75" style="54" bestFit="1" customWidth="1"/>
    <col min="22" max="22" width="9" style="54"/>
    <col min="23" max="23" width="13.75" style="54" bestFit="1" customWidth="1"/>
    <col min="24" max="16384" width="9" style="54"/>
  </cols>
  <sheetData>
    <row r="1" spans="1:24" s="53" customFormat="1" ht="21" customHeight="1" thickBot="1">
      <c r="A1" s="178" t="s">
        <v>174</v>
      </c>
      <c r="B1" s="178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175</v>
      </c>
      <c r="Q1" s="55"/>
      <c r="R1" s="55"/>
      <c r="S1" s="55"/>
    </row>
    <row r="2" spans="1:24" s="59" customFormat="1" ht="25.7" customHeight="1" thickTop="1" thickBot="1">
      <c r="A2" s="114" t="s">
        <v>110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189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190</v>
      </c>
      <c r="L2" s="117" t="s">
        <v>33</v>
      </c>
      <c r="M2" s="118" t="s">
        <v>176</v>
      </c>
      <c r="N2" s="56"/>
      <c r="O2" s="56"/>
      <c r="P2" s="57" t="s">
        <v>141</v>
      </c>
      <c r="Q2" s="58" t="s">
        <v>142</v>
      </c>
      <c r="S2" s="60" t="s">
        <v>143</v>
      </c>
      <c r="U2" s="140" t="s">
        <v>144</v>
      </c>
      <c r="V2" s="139">
        <v>0.01</v>
      </c>
      <c r="W2" s="140" t="s">
        <v>156</v>
      </c>
      <c r="X2" s="61" t="s">
        <v>147</v>
      </c>
    </row>
    <row r="3" spans="1:24" s="53" customFormat="1" ht="22.15" customHeight="1" thickTop="1">
      <c r="A3" s="119">
        <v>601</v>
      </c>
      <c r="B3" s="120">
        <v>4981</v>
      </c>
      <c r="C3" s="121">
        <v>18</v>
      </c>
      <c r="D3" s="122" t="s">
        <v>77</v>
      </c>
      <c r="E3" s="120">
        <v>497</v>
      </c>
      <c r="F3" s="121">
        <v>7</v>
      </c>
      <c r="G3" s="119">
        <v>661</v>
      </c>
      <c r="H3" s="120">
        <v>6879</v>
      </c>
      <c r="I3" s="123">
        <v>14</v>
      </c>
      <c r="J3" s="119">
        <v>681</v>
      </c>
      <c r="K3" s="120">
        <v>3186</v>
      </c>
      <c r="L3" s="124">
        <v>17</v>
      </c>
      <c r="M3" s="179" t="s">
        <v>573</v>
      </c>
      <c r="N3" s="140" t="s">
        <v>144</v>
      </c>
      <c r="O3" s="140" t="s">
        <v>145</v>
      </c>
      <c r="P3" s="140" t="s">
        <v>146</v>
      </c>
      <c r="Q3" s="61" t="s">
        <v>147</v>
      </c>
      <c r="S3" s="53">
        <v>5900</v>
      </c>
      <c r="U3" s="140" t="s">
        <v>148</v>
      </c>
      <c r="V3" s="139">
        <v>0.01</v>
      </c>
      <c r="W3" s="140" t="s">
        <v>157</v>
      </c>
      <c r="X3" s="61" t="s">
        <v>150</v>
      </c>
    </row>
    <row r="4" spans="1:24" s="53" customFormat="1" ht="22.15" customHeight="1">
      <c r="A4" s="119">
        <v>602</v>
      </c>
      <c r="B4" s="120">
        <v>4246</v>
      </c>
      <c r="C4" s="121">
        <v>15</v>
      </c>
      <c r="D4" s="122" t="s">
        <v>78</v>
      </c>
      <c r="E4" s="120">
        <v>2219</v>
      </c>
      <c r="F4" s="121">
        <v>15</v>
      </c>
      <c r="G4" s="119">
        <v>662</v>
      </c>
      <c r="H4" s="120">
        <v>2880</v>
      </c>
      <c r="I4" s="123">
        <v>15</v>
      </c>
      <c r="J4" s="119">
        <v>682</v>
      </c>
      <c r="K4" s="120">
        <v>3415</v>
      </c>
      <c r="L4" s="134">
        <v>17</v>
      </c>
      <c r="M4" s="180"/>
      <c r="N4" s="140" t="s">
        <v>148</v>
      </c>
      <c r="O4" s="140" t="s">
        <v>145</v>
      </c>
      <c r="P4" s="140" t="s">
        <v>149</v>
      </c>
      <c r="Q4" s="61" t="s">
        <v>150</v>
      </c>
      <c r="S4" s="53">
        <v>5600</v>
      </c>
      <c r="U4" s="62">
        <v>680690</v>
      </c>
      <c r="V4" s="139">
        <v>0.01</v>
      </c>
      <c r="W4" s="140" t="s">
        <v>158</v>
      </c>
      <c r="X4" s="61" t="s">
        <v>150</v>
      </c>
    </row>
    <row r="5" spans="1:24" s="53" customFormat="1" ht="22.15" customHeight="1">
      <c r="A5" s="119">
        <v>603</v>
      </c>
      <c r="B5" s="120">
        <v>3216</v>
      </c>
      <c r="C5" s="121">
        <v>16</v>
      </c>
      <c r="D5" s="122">
        <v>631</v>
      </c>
      <c r="E5" s="120">
        <v>4821</v>
      </c>
      <c r="F5" s="121">
        <v>13</v>
      </c>
      <c r="G5" s="119">
        <v>663</v>
      </c>
      <c r="H5" s="120">
        <v>3483</v>
      </c>
      <c r="I5" s="123">
        <v>14</v>
      </c>
      <c r="J5" s="119">
        <v>683</v>
      </c>
      <c r="K5" s="120">
        <v>4546</v>
      </c>
      <c r="L5" s="134">
        <v>18</v>
      </c>
      <c r="M5" s="180"/>
      <c r="N5" s="62">
        <v>680690</v>
      </c>
      <c r="O5" s="140" t="s">
        <v>145</v>
      </c>
      <c r="P5" s="140" t="s">
        <v>151</v>
      </c>
      <c r="Q5" s="61" t="s">
        <v>150</v>
      </c>
      <c r="S5" s="53">
        <v>4100</v>
      </c>
      <c r="U5" s="140" t="s">
        <v>152</v>
      </c>
      <c r="V5" s="139">
        <v>0.01</v>
      </c>
      <c r="W5" s="140" t="s">
        <v>159</v>
      </c>
      <c r="X5" s="61" t="s">
        <v>150</v>
      </c>
    </row>
    <row r="6" spans="1:24" s="53" customFormat="1" ht="22.15" customHeight="1">
      <c r="A6" s="119" t="s">
        <v>79</v>
      </c>
      <c r="B6" s="125">
        <v>8158</v>
      </c>
      <c r="C6" s="126">
        <v>17</v>
      </c>
      <c r="D6" s="127">
        <v>632</v>
      </c>
      <c r="E6" s="125">
        <v>1570</v>
      </c>
      <c r="F6" s="126">
        <v>15</v>
      </c>
      <c r="G6" s="127">
        <v>664</v>
      </c>
      <c r="H6" s="125">
        <v>6805</v>
      </c>
      <c r="I6" s="124">
        <v>15</v>
      </c>
      <c r="J6" s="127">
        <v>684</v>
      </c>
      <c r="K6" s="125">
        <v>4918</v>
      </c>
      <c r="L6" s="134">
        <v>18</v>
      </c>
      <c r="M6" s="180"/>
      <c r="N6" s="140" t="s">
        <v>152</v>
      </c>
      <c r="O6" s="140" t="s">
        <v>145</v>
      </c>
      <c r="P6" s="140" t="s">
        <v>153</v>
      </c>
      <c r="Q6" s="61" t="s">
        <v>150</v>
      </c>
      <c r="S6" s="53">
        <v>7000</v>
      </c>
      <c r="U6" s="140" t="s">
        <v>154</v>
      </c>
      <c r="V6" s="139">
        <v>0.01</v>
      </c>
      <c r="W6" s="140" t="s">
        <v>160</v>
      </c>
      <c r="X6" s="61" t="s">
        <v>150</v>
      </c>
    </row>
    <row r="7" spans="1:24" s="53" customFormat="1" ht="22.15" customHeight="1">
      <c r="A7" s="119" t="s">
        <v>80</v>
      </c>
      <c r="B7" s="125">
        <v>9106</v>
      </c>
      <c r="C7" s="126">
        <v>17</v>
      </c>
      <c r="D7" s="127">
        <v>633</v>
      </c>
      <c r="E7" s="125">
        <v>843</v>
      </c>
      <c r="F7" s="126">
        <v>6</v>
      </c>
      <c r="G7" s="127">
        <v>665</v>
      </c>
      <c r="H7" s="125">
        <v>1091</v>
      </c>
      <c r="I7" s="124">
        <v>14</v>
      </c>
      <c r="J7" s="127">
        <v>685</v>
      </c>
      <c r="K7" s="125">
        <v>90</v>
      </c>
      <c r="L7" s="134">
        <v>18</v>
      </c>
      <c r="M7" s="180"/>
      <c r="N7" s="140" t="s">
        <v>154</v>
      </c>
      <c r="O7" s="140" t="s">
        <v>145</v>
      </c>
      <c r="P7" s="140" t="s">
        <v>155</v>
      </c>
      <c r="Q7" s="61" t="s">
        <v>150</v>
      </c>
      <c r="S7" s="53">
        <v>11590</v>
      </c>
      <c r="X7" s="55"/>
    </row>
    <row r="8" spans="1:24" s="53" customFormat="1" ht="22.15" customHeight="1">
      <c r="A8" s="119">
        <v>611</v>
      </c>
      <c r="B8" s="125">
        <v>16.03</v>
      </c>
      <c r="C8" s="135">
        <v>25</v>
      </c>
      <c r="D8" s="127">
        <v>634</v>
      </c>
      <c r="E8" s="125">
        <v>4362</v>
      </c>
      <c r="F8" s="126">
        <v>13</v>
      </c>
      <c r="G8" s="127">
        <v>666</v>
      </c>
      <c r="H8" s="125">
        <v>6290</v>
      </c>
      <c r="I8" s="124">
        <v>15</v>
      </c>
      <c r="J8" s="127">
        <v>686</v>
      </c>
      <c r="K8" s="125">
        <v>4958</v>
      </c>
      <c r="L8" s="134">
        <v>18</v>
      </c>
      <c r="M8" s="180"/>
      <c r="N8" s="140" t="s">
        <v>165</v>
      </c>
      <c r="O8" s="140" t="s">
        <v>145</v>
      </c>
      <c r="P8" s="140" t="s">
        <v>166</v>
      </c>
      <c r="Q8" s="61" t="s">
        <v>150</v>
      </c>
      <c r="S8" s="53">
        <v>9200</v>
      </c>
    </row>
    <row r="9" spans="1:24" s="53" customFormat="1" ht="22.15" customHeight="1">
      <c r="A9" s="119">
        <v>612</v>
      </c>
      <c r="B9" s="125">
        <v>7.76</v>
      </c>
      <c r="C9" s="135">
        <v>25</v>
      </c>
      <c r="D9" s="127">
        <v>641</v>
      </c>
      <c r="E9" s="125">
        <v>1335</v>
      </c>
      <c r="F9" s="126">
        <v>15</v>
      </c>
      <c r="G9" s="127">
        <v>667</v>
      </c>
      <c r="H9" s="125">
        <v>1090</v>
      </c>
      <c r="I9" s="124">
        <v>15</v>
      </c>
      <c r="J9" s="127">
        <v>687</v>
      </c>
      <c r="K9" s="125">
        <v>5390</v>
      </c>
      <c r="L9" s="134">
        <v>17</v>
      </c>
      <c r="M9" s="180"/>
      <c r="N9" s="140" t="s">
        <v>167</v>
      </c>
      <c r="O9" s="140" t="s">
        <v>145</v>
      </c>
      <c r="P9" s="140" t="s">
        <v>168</v>
      </c>
      <c r="Q9" s="61" t="s">
        <v>150</v>
      </c>
      <c r="S9" s="53">
        <v>6800</v>
      </c>
    </row>
    <row r="10" spans="1:24" s="53" customFormat="1" ht="22.15" customHeight="1">
      <c r="A10" s="119">
        <v>613</v>
      </c>
      <c r="B10" s="125">
        <v>7.11</v>
      </c>
      <c r="C10" s="135">
        <v>25</v>
      </c>
      <c r="D10" s="127">
        <v>642</v>
      </c>
      <c r="E10" s="125">
        <v>1960</v>
      </c>
      <c r="F10" s="126">
        <v>18</v>
      </c>
      <c r="G10" s="127">
        <v>668</v>
      </c>
      <c r="H10" s="125">
        <v>-596</v>
      </c>
      <c r="I10" s="124">
        <v>15</v>
      </c>
      <c r="J10" s="127">
        <v>688</v>
      </c>
      <c r="K10" s="125">
        <v>5342</v>
      </c>
      <c r="L10" s="134">
        <v>18</v>
      </c>
      <c r="M10" s="180"/>
      <c r="N10" s="140" t="s">
        <v>169</v>
      </c>
      <c r="O10" s="139" t="s">
        <v>145</v>
      </c>
      <c r="P10" s="140" t="s">
        <v>170</v>
      </c>
      <c r="Q10" s="61" t="s">
        <v>150</v>
      </c>
      <c r="S10" s="53">
        <v>5500</v>
      </c>
    </row>
    <row r="11" spans="1:24" s="53" customFormat="1" ht="22.15" customHeight="1">
      <c r="A11" s="119">
        <v>614</v>
      </c>
      <c r="B11" s="125">
        <v>39.6</v>
      </c>
      <c r="C11" s="135">
        <v>25</v>
      </c>
      <c r="D11" s="127">
        <v>643</v>
      </c>
      <c r="E11" s="125">
        <v>5163</v>
      </c>
      <c r="F11" s="126">
        <v>15</v>
      </c>
      <c r="G11" s="127">
        <v>669</v>
      </c>
      <c r="H11" s="125">
        <v>291</v>
      </c>
      <c r="I11" s="124">
        <v>18</v>
      </c>
      <c r="J11" s="127">
        <v>689</v>
      </c>
      <c r="K11" s="125">
        <v>3516</v>
      </c>
      <c r="L11" s="134">
        <v>17</v>
      </c>
      <c r="M11" s="180"/>
      <c r="N11" s="140" t="s">
        <v>171</v>
      </c>
      <c r="O11" s="139" t="s">
        <v>145</v>
      </c>
      <c r="P11" s="140">
        <v>9.0746000000000002</v>
      </c>
      <c r="Q11" s="61" t="s">
        <v>150</v>
      </c>
      <c r="S11" s="53">
        <v>7100</v>
      </c>
    </row>
    <row r="12" spans="1:24" s="53" customFormat="1" ht="22.15" customHeight="1">
      <c r="A12" s="119">
        <v>621</v>
      </c>
      <c r="B12" s="125">
        <v>2723</v>
      </c>
      <c r="C12" s="126">
        <v>15</v>
      </c>
      <c r="D12" s="127">
        <v>645</v>
      </c>
      <c r="E12" s="125">
        <v>1075</v>
      </c>
      <c r="F12" s="126">
        <v>15</v>
      </c>
      <c r="G12" s="127">
        <v>670</v>
      </c>
      <c r="H12" s="125">
        <v>-9900</v>
      </c>
      <c r="I12" s="124">
        <v>18</v>
      </c>
      <c r="J12" s="127">
        <v>690</v>
      </c>
      <c r="K12" s="125">
        <v>833</v>
      </c>
      <c r="L12" s="124">
        <v>17</v>
      </c>
      <c r="M12" s="180"/>
      <c r="N12" s="62" t="s">
        <v>172</v>
      </c>
      <c r="O12" s="139" t="s">
        <v>145</v>
      </c>
      <c r="P12" s="140">
        <v>9.0746000000000002</v>
      </c>
      <c r="Q12" s="61" t="s">
        <v>150</v>
      </c>
      <c r="S12" s="53">
        <v>5500</v>
      </c>
    </row>
    <row r="13" spans="1:24" s="53" customFormat="1" ht="22.15" customHeight="1">
      <c r="A13" s="119">
        <v>622</v>
      </c>
      <c r="B13" s="125">
        <v>2829</v>
      </c>
      <c r="C13" s="126">
        <v>17</v>
      </c>
      <c r="D13" s="127">
        <v>651</v>
      </c>
      <c r="E13" s="125">
        <v>3310</v>
      </c>
      <c r="F13" s="126">
        <v>17</v>
      </c>
      <c r="G13" s="127">
        <v>671</v>
      </c>
      <c r="H13" s="125">
        <v>0</v>
      </c>
      <c r="I13" s="124">
        <v>15</v>
      </c>
      <c r="J13" s="127">
        <v>691</v>
      </c>
      <c r="K13" s="125">
        <v>3277</v>
      </c>
      <c r="L13" s="134">
        <v>18</v>
      </c>
      <c r="M13" s="180"/>
      <c r="N13" s="182" t="s">
        <v>173</v>
      </c>
      <c r="O13" s="183" t="s">
        <v>145</v>
      </c>
      <c r="P13" s="184">
        <v>7.0686</v>
      </c>
      <c r="Q13" s="185" t="s">
        <v>150</v>
      </c>
      <c r="S13" s="177">
        <v>7000</v>
      </c>
    </row>
    <row r="14" spans="1:24" s="53" customFormat="1" ht="22.15" customHeight="1">
      <c r="A14" s="119">
        <v>623</v>
      </c>
      <c r="B14" s="125">
        <v>73</v>
      </c>
      <c r="C14" s="126">
        <v>19</v>
      </c>
      <c r="D14" s="127">
        <v>652</v>
      </c>
      <c r="E14" s="125">
        <v>4121</v>
      </c>
      <c r="F14" s="126">
        <v>15</v>
      </c>
      <c r="G14" s="127">
        <v>672</v>
      </c>
      <c r="H14" s="125">
        <v>4213</v>
      </c>
      <c r="I14" s="124">
        <v>14</v>
      </c>
      <c r="J14" s="127">
        <v>692</v>
      </c>
      <c r="K14" s="125">
        <v>6344</v>
      </c>
      <c r="L14" s="134">
        <v>18</v>
      </c>
      <c r="M14" s="180"/>
      <c r="N14" s="182"/>
      <c r="O14" s="183"/>
      <c r="P14" s="184"/>
      <c r="Q14" s="185"/>
      <c r="S14" s="177"/>
    </row>
    <row r="15" spans="1:24" s="53" customFormat="1" ht="22.15" customHeight="1">
      <c r="A15" s="122">
        <v>624</v>
      </c>
      <c r="B15" s="125">
        <v>4014</v>
      </c>
      <c r="C15" s="126">
        <v>14</v>
      </c>
      <c r="D15" s="128">
        <v>653</v>
      </c>
      <c r="E15" s="125">
        <v>4487</v>
      </c>
      <c r="F15" s="126">
        <v>14</v>
      </c>
      <c r="G15" s="127">
        <v>673</v>
      </c>
      <c r="H15" s="125">
        <v>6847</v>
      </c>
      <c r="I15" s="124">
        <v>16</v>
      </c>
      <c r="J15" s="127">
        <v>693</v>
      </c>
      <c r="K15" s="125">
        <v>67</v>
      </c>
      <c r="L15" s="134">
        <v>17</v>
      </c>
      <c r="M15" s="180"/>
      <c r="N15" s="182"/>
      <c r="O15" s="183"/>
      <c r="P15" s="184"/>
      <c r="Q15" s="185"/>
      <c r="R15" s="55"/>
      <c r="S15" s="177"/>
    </row>
    <row r="16" spans="1:24" s="53" customFormat="1" ht="22.15" customHeight="1">
      <c r="A16" s="122" t="s">
        <v>81</v>
      </c>
      <c r="B16" s="125">
        <v>6619</v>
      </c>
      <c r="C16" s="126">
        <v>14</v>
      </c>
      <c r="D16" s="127">
        <v>654</v>
      </c>
      <c r="E16" s="125">
        <v>3</v>
      </c>
      <c r="F16" s="126">
        <v>14</v>
      </c>
      <c r="G16" s="127">
        <v>674</v>
      </c>
      <c r="H16" s="125">
        <v>6495</v>
      </c>
      <c r="I16" s="124">
        <v>14</v>
      </c>
      <c r="J16" s="127">
        <v>694</v>
      </c>
      <c r="K16" s="125">
        <v>1748</v>
      </c>
      <c r="L16" s="134">
        <v>18</v>
      </c>
      <c r="M16" s="180"/>
      <c r="Q16" s="55"/>
      <c r="R16" s="55"/>
      <c r="S16" s="55"/>
    </row>
    <row r="17" spans="1:19" s="53" customFormat="1" ht="22.15" customHeight="1">
      <c r="A17" s="122" t="s">
        <v>26</v>
      </c>
      <c r="B17" s="125">
        <v>7118</v>
      </c>
      <c r="C17" s="126">
        <v>21</v>
      </c>
      <c r="D17" s="128">
        <v>655</v>
      </c>
      <c r="E17" s="125">
        <v>1210</v>
      </c>
      <c r="F17" s="126">
        <v>14</v>
      </c>
      <c r="G17" s="127">
        <v>675</v>
      </c>
      <c r="H17" s="125">
        <v>7.59</v>
      </c>
      <c r="I17" s="134">
        <v>25</v>
      </c>
      <c r="J17" s="127">
        <v>695</v>
      </c>
      <c r="K17" s="125">
        <v>5271</v>
      </c>
      <c r="L17" s="134">
        <v>18</v>
      </c>
      <c r="M17" s="180"/>
      <c r="Q17" s="55"/>
      <c r="R17" s="55"/>
      <c r="S17" s="55"/>
    </row>
    <row r="18" spans="1:19" s="53" customFormat="1" ht="22.15" customHeight="1">
      <c r="A18" s="122" t="s">
        <v>27</v>
      </c>
      <c r="B18" s="125">
        <v>5152</v>
      </c>
      <c r="C18" s="126">
        <v>10</v>
      </c>
      <c r="D18" s="127">
        <v>656</v>
      </c>
      <c r="E18" s="125">
        <v>1894</v>
      </c>
      <c r="F18" s="126">
        <v>15</v>
      </c>
      <c r="G18" s="127">
        <v>676</v>
      </c>
      <c r="H18" s="125">
        <v>84.62</v>
      </c>
      <c r="I18" s="134">
        <v>25</v>
      </c>
      <c r="J18" s="127">
        <v>696</v>
      </c>
      <c r="K18" s="125">
        <v>9616</v>
      </c>
      <c r="L18" s="134">
        <v>17</v>
      </c>
      <c r="M18" s="180"/>
      <c r="Q18" s="55"/>
      <c r="R18" s="55"/>
      <c r="S18" s="55"/>
    </row>
    <row r="19" spans="1:19" s="53" customFormat="1" ht="22.15" customHeight="1">
      <c r="A19" s="122" t="s">
        <v>28</v>
      </c>
      <c r="B19" s="125">
        <v>7100</v>
      </c>
      <c r="C19" s="126">
        <v>12</v>
      </c>
      <c r="D19" s="127">
        <v>657</v>
      </c>
      <c r="E19" s="125">
        <v>5597</v>
      </c>
      <c r="F19" s="126">
        <v>15</v>
      </c>
      <c r="G19" s="127">
        <v>677</v>
      </c>
      <c r="H19" s="125">
        <v>3.27</v>
      </c>
      <c r="I19" s="134">
        <v>25</v>
      </c>
      <c r="J19" s="127">
        <v>697</v>
      </c>
      <c r="K19" s="125">
        <v>5461</v>
      </c>
      <c r="L19" s="134">
        <v>18</v>
      </c>
      <c r="M19" s="180"/>
      <c r="Q19" s="55"/>
      <c r="R19" s="55"/>
      <c r="S19" s="55"/>
    </row>
    <row r="20" spans="1:19" s="53" customFormat="1" ht="22.15" customHeight="1">
      <c r="A20" s="122" t="s">
        <v>29</v>
      </c>
      <c r="B20" s="125">
        <v>2489</v>
      </c>
      <c r="C20" s="126">
        <v>17</v>
      </c>
      <c r="D20" s="128">
        <v>658</v>
      </c>
      <c r="E20" s="125">
        <v>3148</v>
      </c>
      <c r="F20" s="126">
        <v>15</v>
      </c>
      <c r="G20" s="127">
        <v>678</v>
      </c>
      <c r="H20" s="125">
        <v>95.1</v>
      </c>
      <c r="I20" s="134">
        <v>25</v>
      </c>
      <c r="J20" s="127">
        <v>698</v>
      </c>
      <c r="K20" s="125">
        <v>6843</v>
      </c>
      <c r="L20" s="134">
        <v>41</v>
      </c>
      <c r="M20" s="180"/>
      <c r="Q20" s="55"/>
      <c r="R20" s="55"/>
      <c r="S20" s="55"/>
    </row>
    <row r="21" spans="1:19" s="53" customFormat="1" ht="22.15" customHeight="1">
      <c r="A21" s="122" t="s">
        <v>30</v>
      </c>
      <c r="B21" s="125">
        <v>0</v>
      </c>
      <c r="C21" s="126">
        <v>18</v>
      </c>
      <c r="D21" s="127">
        <v>659</v>
      </c>
      <c r="E21" s="125">
        <v>1625</v>
      </c>
      <c r="F21" s="126">
        <v>14</v>
      </c>
      <c r="G21" s="127">
        <v>680</v>
      </c>
      <c r="H21" s="125">
        <v>0</v>
      </c>
      <c r="I21" s="134">
        <v>17</v>
      </c>
      <c r="J21" s="127">
        <v>699</v>
      </c>
      <c r="K21" s="125">
        <v>3216</v>
      </c>
      <c r="L21" s="134">
        <v>17</v>
      </c>
      <c r="M21" s="180"/>
      <c r="Q21" s="55"/>
      <c r="R21" s="55"/>
      <c r="S21" s="55"/>
    </row>
    <row r="22" spans="1:19" s="53" customFormat="1" ht="22.15" customHeight="1" thickBot="1">
      <c r="A22" s="129" t="s">
        <v>82</v>
      </c>
      <c r="B22" s="130">
        <v>0</v>
      </c>
      <c r="C22" s="130">
        <v>14</v>
      </c>
      <c r="D22" s="131">
        <v>660</v>
      </c>
      <c r="E22" s="130">
        <v>6041</v>
      </c>
      <c r="F22" s="132">
        <v>15</v>
      </c>
      <c r="G22" s="131"/>
      <c r="H22" s="130"/>
      <c r="I22" s="132"/>
      <c r="J22" s="131"/>
      <c r="K22" s="130"/>
      <c r="L22" s="132"/>
      <c r="M22" s="181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8"/>
      <c r="B24" s="178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177</v>
      </c>
    </row>
    <row r="25" spans="1:19" ht="20.100000000000001" customHeight="1" thickTop="1" thickBot="1">
      <c r="A25" s="114"/>
      <c r="B25" s="115" t="s">
        <v>161</v>
      </c>
      <c r="C25" s="116" t="s">
        <v>33</v>
      </c>
      <c r="D25" s="114" t="s">
        <v>31</v>
      </c>
      <c r="E25" s="115" t="s">
        <v>161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176</v>
      </c>
    </row>
    <row r="26" spans="1:19" ht="21.75" customHeight="1" thickTop="1">
      <c r="A26" s="119">
        <v>601</v>
      </c>
      <c r="B26" s="120">
        <v>5246</v>
      </c>
      <c r="C26" s="121">
        <v>18</v>
      </c>
      <c r="D26" s="122" t="s">
        <v>77</v>
      </c>
      <c r="E26" s="120">
        <v>0</v>
      </c>
      <c r="F26" s="121">
        <v>8</v>
      </c>
      <c r="G26" s="119">
        <v>661</v>
      </c>
      <c r="H26" s="120">
        <v>6879</v>
      </c>
      <c r="I26" s="123">
        <v>17</v>
      </c>
      <c r="J26" s="119">
        <v>681</v>
      </c>
      <c r="K26" s="120">
        <v>2731</v>
      </c>
      <c r="L26" s="124">
        <v>17</v>
      </c>
      <c r="M26" s="179"/>
    </row>
    <row r="27" spans="1:19" ht="21.75" customHeight="1">
      <c r="A27" s="119">
        <v>602</v>
      </c>
      <c r="B27" s="120">
        <v>4243</v>
      </c>
      <c r="C27" s="121">
        <v>16</v>
      </c>
      <c r="D27" s="122" t="s">
        <v>78</v>
      </c>
      <c r="E27" s="120">
        <v>0</v>
      </c>
      <c r="F27" s="121">
        <v>16</v>
      </c>
      <c r="G27" s="119">
        <v>662</v>
      </c>
      <c r="H27" s="120">
        <v>2881</v>
      </c>
      <c r="I27" s="123">
        <v>18</v>
      </c>
      <c r="J27" s="119">
        <v>682</v>
      </c>
      <c r="K27" s="120">
        <v>3258</v>
      </c>
      <c r="L27" s="134">
        <v>17</v>
      </c>
      <c r="M27" s="180"/>
    </row>
    <row r="28" spans="1:19" ht="21.75" customHeight="1">
      <c r="A28" s="119">
        <v>603</v>
      </c>
      <c r="B28" s="120">
        <v>3215</v>
      </c>
      <c r="C28" s="121">
        <v>16</v>
      </c>
      <c r="D28" s="122">
        <v>631</v>
      </c>
      <c r="E28" s="120">
        <v>3305</v>
      </c>
      <c r="F28" s="121">
        <v>14</v>
      </c>
      <c r="G28" s="119">
        <v>663</v>
      </c>
      <c r="H28" s="120">
        <v>3486</v>
      </c>
      <c r="I28" s="123">
        <v>17</v>
      </c>
      <c r="J28" s="119">
        <v>683</v>
      </c>
      <c r="K28" s="120">
        <v>4546</v>
      </c>
      <c r="L28" s="134">
        <v>17</v>
      </c>
      <c r="M28" s="180"/>
    </row>
    <row r="29" spans="1:19" ht="21.75" customHeight="1">
      <c r="A29" s="119" t="s">
        <v>79</v>
      </c>
      <c r="B29" s="125">
        <v>7889</v>
      </c>
      <c r="C29" s="126">
        <v>17</v>
      </c>
      <c r="D29" s="122">
        <v>632</v>
      </c>
      <c r="E29" s="125">
        <v>1568</v>
      </c>
      <c r="F29" s="126">
        <v>16</v>
      </c>
      <c r="G29" s="119">
        <v>664</v>
      </c>
      <c r="H29" s="125">
        <v>6806</v>
      </c>
      <c r="I29" s="124">
        <v>18</v>
      </c>
      <c r="J29" s="119">
        <v>684</v>
      </c>
      <c r="K29" s="125">
        <v>4916</v>
      </c>
      <c r="L29" s="134">
        <v>18</v>
      </c>
      <c r="M29" s="180"/>
    </row>
    <row r="30" spans="1:19" ht="21.75" customHeight="1">
      <c r="A30" s="119" t="s">
        <v>80</v>
      </c>
      <c r="B30" s="125">
        <v>8864</v>
      </c>
      <c r="C30" s="126">
        <v>17</v>
      </c>
      <c r="D30" s="122">
        <v>633</v>
      </c>
      <c r="E30" s="125">
        <v>842</v>
      </c>
      <c r="F30" s="126">
        <v>8</v>
      </c>
      <c r="G30" s="119">
        <v>665</v>
      </c>
      <c r="H30" s="125">
        <v>1092</v>
      </c>
      <c r="I30" s="124">
        <v>17</v>
      </c>
      <c r="J30" s="119">
        <v>685</v>
      </c>
      <c r="K30" s="125">
        <v>88</v>
      </c>
      <c r="L30" s="134">
        <v>18</v>
      </c>
      <c r="M30" s="180"/>
    </row>
    <row r="31" spans="1:19" ht="21.75" customHeight="1">
      <c r="A31" s="119">
        <v>611</v>
      </c>
      <c r="B31" s="120">
        <v>16.02</v>
      </c>
      <c r="C31" s="136">
        <v>25</v>
      </c>
      <c r="D31" s="122">
        <v>634</v>
      </c>
      <c r="E31" s="125">
        <v>4360</v>
      </c>
      <c r="F31" s="126">
        <v>14</v>
      </c>
      <c r="G31" s="119">
        <v>666</v>
      </c>
      <c r="H31" s="125">
        <v>6288</v>
      </c>
      <c r="I31" s="124">
        <v>18</v>
      </c>
      <c r="J31" s="119">
        <v>686</v>
      </c>
      <c r="K31" s="125">
        <v>4285</v>
      </c>
      <c r="L31" s="134">
        <v>17</v>
      </c>
      <c r="M31" s="180"/>
    </row>
    <row r="32" spans="1:19" ht="21.75" customHeight="1">
      <c r="A32" s="119">
        <v>612</v>
      </c>
      <c r="B32" s="120">
        <v>7.76</v>
      </c>
      <c r="C32" s="136">
        <v>25</v>
      </c>
      <c r="D32" s="122">
        <v>641</v>
      </c>
      <c r="E32" s="125">
        <v>1334</v>
      </c>
      <c r="F32" s="126">
        <v>12</v>
      </c>
      <c r="G32" s="119">
        <v>667</v>
      </c>
      <c r="H32" s="125">
        <v>1089</v>
      </c>
      <c r="I32" s="124">
        <v>17</v>
      </c>
      <c r="J32" s="119">
        <v>687</v>
      </c>
      <c r="K32" s="125">
        <v>5389</v>
      </c>
      <c r="L32" s="134">
        <v>17</v>
      </c>
      <c r="M32" s="180"/>
    </row>
    <row r="33" spans="1:13" ht="21.75" customHeight="1">
      <c r="A33" s="119">
        <v>613</v>
      </c>
      <c r="B33" s="120">
        <v>7.08</v>
      </c>
      <c r="C33" s="136">
        <v>25</v>
      </c>
      <c r="D33" s="122">
        <v>642</v>
      </c>
      <c r="E33" s="125">
        <v>1835</v>
      </c>
      <c r="F33" s="126">
        <v>19</v>
      </c>
      <c r="G33" s="119">
        <v>668</v>
      </c>
      <c r="H33" s="125">
        <v>-596</v>
      </c>
      <c r="I33" s="124">
        <v>17</v>
      </c>
      <c r="J33" s="119">
        <v>688</v>
      </c>
      <c r="K33" s="125">
        <v>5340</v>
      </c>
      <c r="L33" s="134">
        <v>18</v>
      </c>
      <c r="M33" s="180"/>
    </row>
    <row r="34" spans="1:13" ht="21.75" customHeight="1">
      <c r="A34" s="119">
        <v>614</v>
      </c>
      <c r="B34" s="125">
        <v>38.57</v>
      </c>
      <c r="C34" s="136">
        <v>25</v>
      </c>
      <c r="D34" s="122">
        <v>643</v>
      </c>
      <c r="E34" s="125">
        <v>5163</v>
      </c>
      <c r="F34" s="126">
        <v>18</v>
      </c>
      <c r="G34" s="119">
        <v>669</v>
      </c>
      <c r="H34" s="125">
        <v>291</v>
      </c>
      <c r="I34" s="124">
        <v>18</v>
      </c>
      <c r="J34" s="119">
        <v>689</v>
      </c>
      <c r="K34" s="125">
        <v>3514</v>
      </c>
      <c r="L34" s="134">
        <v>17</v>
      </c>
      <c r="M34" s="180"/>
    </row>
    <row r="35" spans="1:13" ht="21.75" customHeight="1">
      <c r="A35" s="119">
        <v>621</v>
      </c>
      <c r="B35" s="125">
        <v>2723</v>
      </c>
      <c r="C35" s="126">
        <v>17</v>
      </c>
      <c r="D35" s="122">
        <v>645</v>
      </c>
      <c r="E35" s="125">
        <v>2008</v>
      </c>
      <c r="F35" s="126">
        <v>18</v>
      </c>
      <c r="G35" s="119">
        <v>670</v>
      </c>
      <c r="H35" s="125">
        <v>-9900</v>
      </c>
      <c r="I35" s="124">
        <v>18</v>
      </c>
      <c r="J35" s="119">
        <v>690</v>
      </c>
      <c r="K35" s="125">
        <v>832</v>
      </c>
      <c r="L35" s="124">
        <v>17</v>
      </c>
      <c r="M35" s="180"/>
    </row>
    <row r="36" spans="1:13" ht="21.75" customHeight="1">
      <c r="A36" s="119">
        <v>622</v>
      </c>
      <c r="B36" s="125">
        <v>2828</v>
      </c>
      <c r="C36" s="126">
        <v>18</v>
      </c>
      <c r="D36" s="119">
        <v>651</v>
      </c>
      <c r="E36" s="125">
        <v>3391</v>
      </c>
      <c r="F36" s="126">
        <v>17</v>
      </c>
      <c r="G36" s="119">
        <v>671</v>
      </c>
      <c r="H36" s="125">
        <v>0</v>
      </c>
      <c r="I36" s="124">
        <v>18</v>
      </c>
      <c r="J36" s="119">
        <v>691</v>
      </c>
      <c r="K36" s="125">
        <v>3970</v>
      </c>
      <c r="L36" s="134">
        <v>18</v>
      </c>
      <c r="M36" s="180"/>
    </row>
    <row r="37" spans="1:13" ht="21.75" customHeight="1">
      <c r="A37" s="119">
        <v>623</v>
      </c>
      <c r="B37" s="125">
        <v>74</v>
      </c>
      <c r="C37" s="126">
        <v>20</v>
      </c>
      <c r="D37" s="119">
        <v>652</v>
      </c>
      <c r="E37" s="125">
        <v>4141</v>
      </c>
      <c r="F37" s="126">
        <v>17</v>
      </c>
      <c r="G37" s="119">
        <v>672</v>
      </c>
      <c r="H37" s="125">
        <v>4214</v>
      </c>
      <c r="I37" s="124">
        <v>14</v>
      </c>
      <c r="J37" s="119">
        <v>692</v>
      </c>
      <c r="K37" s="125">
        <v>6341</v>
      </c>
      <c r="L37" s="134">
        <v>17</v>
      </c>
      <c r="M37" s="180"/>
    </row>
    <row r="38" spans="1:13" ht="21.75" customHeight="1">
      <c r="A38" s="122">
        <v>624</v>
      </c>
      <c r="B38" s="125">
        <v>3894</v>
      </c>
      <c r="C38" s="126">
        <v>16</v>
      </c>
      <c r="D38" s="133">
        <v>653</v>
      </c>
      <c r="E38" s="125">
        <v>4486</v>
      </c>
      <c r="F38" s="126">
        <v>13</v>
      </c>
      <c r="G38" s="119">
        <v>673</v>
      </c>
      <c r="H38" s="125">
        <v>6847</v>
      </c>
      <c r="I38" s="124">
        <v>17</v>
      </c>
      <c r="J38" s="119">
        <v>693</v>
      </c>
      <c r="K38" s="125">
        <v>64</v>
      </c>
      <c r="L38" s="134">
        <v>18</v>
      </c>
      <c r="M38" s="180"/>
    </row>
    <row r="39" spans="1:13" ht="21.75" customHeight="1">
      <c r="A39" s="122" t="s">
        <v>81</v>
      </c>
      <c r="B39" s="125">
        <v>6042</v>
      </c>
      <c r="C39" s="126">
        <v>15</v>
      </c>
      <c r="D39" s="119">
        <v>654</v>
      </c>
      <c r="E39" s="125">
        <v>2</v>
      </c>
      <c r="F39" s="126">
        <v>16</v>
      </c>
      <c r="G39" s="119">
        <v>674</v>
      </c>
      <c r="H39" s="125">
        <v>6496</v>
      </c>
      <c r="I39" s="124">
        <v>14</v>
      </c>
      <c r="J39" s="119">
        <v>694</v>
      </c>
      <c r="K39" s="125">
        <v>1747</v>
      </c>
      <c r="L39" s="134">
        <v>17</v>
      </c>
      <c r="M39" s="180"/>
    </row>
    <row r="40" spans="1:13" ht="21.75" customHeight="1">
      <c r="A40" s="122" t="s">
        <v>26</v>
      </c>
      <c r="B40" s="125">
        <v>7118</v>
      </c>
      <c r="C40" s="126">
        <v>22</v>
      </c>
      <c r="D40" s="133">
        <v>655</v>
      </c>
      <c r="E40" s="125">
        <v>1223</v>
      </c>
      <c r="F40" s="126">
        <v>17</v>
      </c>
      <c r="G40" s="119">
        <v>675</v>
      </c>
      <c r="H40" s="120">
        <v>41.45</v>
      </c>
      <c r="I40" s="134">
        <v>25</v>
      </c>
      <c r="J40" s="119">
        <v>695</v>
      </c>
      <c r="K40" s="125">
        <v>5500</v>
      </c>
      <c r="L40" s="134">
        <v>18</v>
      </c>
      <c r="M40" s="180"/>
    </row>
    <row r="41" spans="1:13" ht="21.75" customHeight="1">
      <c r="A41" s="122" t="s">
        <v>27</v>
      </c>
      <c r="B41" s="125">
        <v>5153</v>
      </c>
      <c r="C41" s="126">
        <v>12</v>
      </c>
      <c r="D41" s="119">
        <v>656</v>
      </c>
      <c r="E41" s="125">
        <v>1894</v>
      </c>
      <c r="F41" s="126">
        <v>17</v>
      </c>
      <c r="G41" s="119">
        <v>676</v>
      </c>
      <c r="H41" s="120">
        <v>84.13</v>
      </c>
      <c r="I41" s="134">
        <v>25</v>
      </c>
      <c r="J41" s="119">
        <v>696</v>
      </c>
      <c r="K41" s="125">
        <v>9614</v>
      </c>
      <c r="L41" s="134">
        <v>18</v>
      </c>
      <c r="M41" s="180"/>
    </row>
    <row r="42" spans="1:13" ht="21.75" customHeight="1">
      <c r="A42" s="122" t="s">
        <v>28</v>
      </c>
      <c r="B42" s="125">
        <v>7100</v>
      </c>
      <c r="C42" s="126">
        <v>12</v>
      </c>
      <c r="D42" s="119">
        <v>657</v>
      </c>
      <c r="E42" s="125">
        <v>5595</v>
      </c>
      <c r="F42" s="126">
        <v>17</v>
      </c>
      <c r="G42" s="119">
        <v>677</v>
      </c>
      <c r="H42" s="120">
        <v>3.26</v>
      </c>
      <c r="I42" s="134">
        <v>25</v>
      </c>
      <c r="J42" s="119">
        <v>697</v>
      </c>
      <c r="K42" s="125">
        <v>6927</v>
      </c>
      <c r="L42" s="134">
        <v>18</v>
      </c>
      <c r="M42" s="180"/>
    </row>
    <row r="43" spans="1:13" ht="21.75" customHeight="1">
      <c r="A43" s="122" t="s">
        <v>29</v>
      </c>
      <c r="B43" s="125">
        <v>7030</v>
      </c>
      <c r="C43" s="126">
        <v>17</v>
      </c>
      <c r="D43" s="133">
        <v>658</v>
      </c>
      <c r="E43" s="125">
        <v>190</v>
      </c>
      <c r="F43" s="126">
        <v>17</v>
      </c>
      <c r="G43" s="119">
        <v>678</v>
      </c>
      <c r="H43" s="120">
        <v>95.08</v>
      </c>
      <c r="I43" s="134">
        <v>25</v>
      </c>
      <c r="J43" s="119">
        <v>698</v>
      </c>
      <c r="K43" s="125">
        <v>6361</v>
      </c>
      <c r="L43" s="134">
        <v>49</v>
      </c>
      <c r="M43" s="180"/>
    </row>
    <row r="44" spans="1:13" ht="21.75" customHeight="1">
      <c r="A44" s="122" t="s">
        <v>30</v>
      </c>
      <c r="B44" s="125">
        <v>3135</v>
      </c>
      <c r="C44" s="126">
        <v>22</v>
      </c>
      <c r="D44" s="119">
        <v>659</v>
      </c>
      <c r="E44" s="125">
        <v>1624</v>
      </c>
      <c r="F44" s="126">
        <v>15</v>
      </c>
      <c r="G44" s="119">
        <v>680</v>
      </c>
      <c r="H44" s="125">
        <v>0</v>
      </c>
      <c r="I44" s="137">
        <v>17</v>
      </c>
      <c r="J44" s="119">
        <v>699</v>
      </c>
      <c r="K44" s="125">
        <v>3686</v>
      </c>
      <c r="L44" s="134">
        <v>18</v>
      </c>
      <c r="M44" s="180"/>
    </row>
    <row r="45" spans="1:13" ht="21.75" customHeight="1" thickBot="1">
      <c r="A45" s="129" t="s">
        <v>82</v>
      </c>
      <c r="B45" s="130">
        <v>0</v>
      </c>
      <c r="C45" s="130">
        <v>17</v>
      </c>
      <c r="D45" s="131">
        <v>660</v>
      </c>
      <c r="E45" s="130">
        <v>6481</v>
      </c>
      <c r="F45" s="132">
        <v>17</v>
      </c>
      <c r="G45" s="119"/>
      <c r="H45" s="120"/>
      <c r="I45" s="123"/>
      <c r="J45" s="119"/>
      <c r="K45" s="120"/>
      <c r="L45" s="123"/>
      <c r="M45" s="181"/>
    </row>
    <row r="46" spans="1:13" ht="16.5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38 B27 B15 E31 B29:B30 B6:B7 B4 E8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B39:B45 E26:E27 E42:E45 E20:E22 E3:E4 H26:H39">
      <formula1>B3&lt;=7400</formula1>
    </dataValidation>
    <dataValidation type="custom" errorStyle="warning" allowBlank="1" showInputMessage="1" showErrorMessage="1" error="***你在睡喔,醒醒好嗎" sqref="E36:E41 E14:E19">
      <formula1>E14&lt;=5500</formula1>
    </dataValidation>
    <dataValidation type="custom" errorStyle="warning" allowBlank="1" showInputMessage="1" showErrorMessage="1" error="***你在睡喔,醒醒好嗎" sqref="H21 K35 H44 K12">
      <formula1>H12&lt;=4100</formula1>
    </dataValidation>
    <dataValidation type="custom" errorStyle="warning" allowBlank="1" showInputMessage="1" showErrorMessage="1" error="***你在睡喔,醒醒好嗎" sqref="E5:E6 K37:K40 B12:B13 B3 B26 B35:B36 E28:E29 B28 B5 K14:K17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K26:K34 E32:E35 K3:K11 B37 E30 K36 B14 E7 K13 E9:E13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5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19050</xdr:colOff>
                <xdr:row>25</xdr:row>
                <xdr:rowOff>76200</xdr:rowOff>
              </from>
              <to>
                <xdr:col>14</xdr:col>
                <xdr:colOff>419100</xdr:colOff>
                <xdr:row>29</xdr:row>
                <xdr:rowOff>247650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66675</xdr:colOff>
                <xdr:row>15</xdr:row>
                <xdr:rowOff>247650</xdr:rowOff>
              </from>
              <to>
                <xdr:col>14</xdr:col>
                <xdr:colOff>438150</xdr:colOff>
                <xdr:row>21</xdr:row>
                <xdr:rowOff>85725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7.25"/>
  <cols>
    <col min="1" max="1" width="9.5" style="47" customWidth="1"/>
    <col min="2" max="10" width="10.625" style="47" customWidth="1"/>
    <col min="11" max="12" width="10.625" style="6" customWidth="1"/>
    <col min="13" max="13" width="10.625" style="50" customWidth="1"/>
    <col min="14" max="16" width="10.625" style="6" customWidth="1"/>
    <col min="17" max="17" width="12.875" style="47" customWidth="1"/>
    <col min="18" max="18" width="10.625" style="6" customWidth="1"/>
    <col min="19" max="19" width="10.625" style="47" customWidth="1"/>
    <col min="20" max="20" width="10.625" style="6" customWidth="1"/>
    <col min="21" max="21" width="10.625" style="51" customWidth="1"/>
    <col min="22" max="23" width="9.875" style="6" bestFit="1" customWidth="1"/>
    <col min="24" max="24" width="15.5" style="6" bestFit="1" customWidth="1"/>
    <col min="25" max="16384" width="9" style="6"/>
  </cols>
  <sheetData>
    <row r="1" spans="1:24" ht="49.15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76</v>
      </c>
    </row>
    <row r="2" spans="1:24" s="13" customFormat="1" ht="26.4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8.75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8.75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8.75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8.75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8.75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3">
    <pageSetUpPr fitToPage="1"/>
  </sheetPr>
  <dimension ref="A1:CU223"/>
  <sheetViews>
    <sheetView view="pageBreakPreview" topLeftCell="J1" zoomScale="85" zoomScaleNormal="100" zoomScaleSheetLayoutView="85" workbookViewId="0">
      <selection activeCell="W18" sqref="W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45715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44" t="s" ph="1">
        <v>179</v>
      </c>
      <c r="D6" s="71">
        <v>700</v>
      </c>
      <c r="E6" s="71">
        <v>0</v>
      </c>
      <c r="F6" s="71">
        <v>6809</v>
      </c>
      <c r="G6" s="71">
        <v>5934</v>
      </c>
      <c r="H6" s="71">
        <v>5471</v>
      </c>
      <c r="I6" s="71">
        <v>27.11</v>
      </c>
      <c r="J6" s="71">
        <v>7.81</v>
      </c>
      <c r="K6" s="71">
        <v>87.01</v>
      </c>
      <c r="L6" s="71">
        <v>39.01</v>
      </c>
      <c r="M6" s="71">
        <v>3942</v>
      </c>
      <c r="N6" s="71">
        <v>4313</v>
      </c>
      <c r="O6" s="71">
        <v>2294</v>
      </c>
      <c r="P6" s="71">
        <v>4308</v>
      </c>
      <c r="Q6" s="71">
        <v>5495</v>
      </c>
      <c r="R6" s="71">
        <v>4602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4523</v>
      </c>
      <c r="AA6" s="71">
        <v>1627</v>
      </c>
      <c r="AB6" s="71">
        <v>2455</v>
      </c>
      <c r="AC6" s="71">
        <v>4889</v>
      </c>
      <c r="AD6" s="71">
        <v>102</v>
      </c>
      <c r="AE6" s="71">
        <v>1945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22172.150573999999</v>
      </c>
      <c r="E7" s="73" ph="1">
        <f>E6*51.53*LOOKUP(E8,密度!$A$2:$A$50,密度!$I$2:$I$50)</f>
        <v>0</v>
      </c>
      <c r="F7" s="73" ph="1">
        <f>F6*33.183*LOOKUP(F8,密度!$A$2:$A$50,密度!$C$2:$C$50)</f>
        <v>252107.25184259997</v>
      </c>
      <c r="G7" s="73" ph="1">
        <f xml:space="preserve"> (G6+2)*51.53*LOOKUP(G8,密度!$A$2:$A$50,密度!$B$2:$B$50)</f>
        <v>241035.07904000001</v>
      </c>
      <c r="H7" s="73" ph="1">
        <f>(H6)*51.53*LOOKUP(H8,密度!$A$2:$A$50,密度!$B$2:$B$50)</f>
        <v>223591.25165300001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28151.570400800003</v>
      </c>
      <c r="L7" s="73" ph="1">
        <f>L6*290.8*0.777</f>
        <v>8814.3719160000001</v>
      </c>
      <c r="M7" s="73" ph="1">
        <f>M6*33.183*LOOKUP(M8,密度!$A$2:$A$50,密度!$D$2:$D$50)</f>
        <v>135464.12894160001</v>
      </c>
      <c r="N7" s="73" ph="1">
        <f>N6*33.183*LOOKUP(N8,密度!$A$2:$A$50,密度!$E$2:$E$50)</f>
        <v>113578.6662144</v>
      </c>
      <c r="O7" s="73" ph="1">
        <f>O6*20.428*LOOKUP(O8,密度!$A$2:$A$50,密度!$C$2:$C$50)</f>
        <v>52138.474283200005</v>
      </c>
      <c r="P7" s="73" ph="1">
        <f>P6*51.53*LOOKUP(P8,密度!$A$2:$A$50,密度!$B$2:$B$50)</f>
        <v>174418.517268</v>
      </c>
      <c r="Q7" s="73" ph="1">
        <f>Q6*1.5*1.5*3.1416*LOOKUP(W8,密度!$A$2:$A$50,密度!$L$2:$L$50)</f>
        <v>36744.491322000002</v>
      </c>
      <c r="R7" s="73" ph="1">
        <f>R6*1.5*1.5*3.1416*LOOKUP(R8,密度!$A$2:$A$50,密度!$L$2:$L$50)</f>
        <v>30577.915367999998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141982.02671400001</v>
      </c>
      <c r="AA7" s="73" ph="1">
        <f>AA6*33.183*LOOKUP(AA8,密度!$A$2:$A$50,密度!$D$2:$D$50)</f>
        <v>55910.740179600005</v>
      </c>
      <c r="AB7" s="73" ph="1">
        <f>AB6*20.428*LOOKUP(AB8,密度!$A$2:$A$50,密度!$D$2:$D$50)</f>
        <v>52337.312264000007</v>
      </c>
      <c r="AC7" s="73" ph="1">
        <f>AC6*51.53*LOOKUP(AC8,密度!$A$2:$A$50,密度!$Q$2:$Q$50)</f>
        <v>240039.06597600001</v>
      </c>
      <c r="AD7" s="73" ph="1">
        <f>AD6*20.428*LOOKUP(AD8,密度!$A$2:$A$50,密度!$V$2:$V$50)</f>
        <v>2008.6443839999999</v>
      </c>
      <c r="AE7" s="73" ph="1">
        <f>AE6*20.428</f>
        <v>39732.46</v>
      </c>
    </row>
    <row r="8" spans="1:99" ph="1">
      <c r="B8" s="252" ph="1"/>
      <c r="C8" s="68" t="s" ph="1">
        <v>181</v>
      </c>
      <c r="D8" s="74">
        <v>15</v>
      </c>
      <c r="E8" s="74">
        <v>15</v>
      </c>
      <c r="F8" s="74">
        <v>15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20</v>
      </c>
      <c r="P8" s="74">
        <v>18</v>
      </c>
      <c r="Q8" s="74">
        <v>15</v>
      </c>
      <c r="R8" s="74">
        <v>22</v>
      </c>
      <c r="S8" s="74">
        <v>10</v>
      </c>
      <c r="T8" s="74">
        <v>11</v>
      </c>
      <c r="U8" s="74">
        <v>15</v>
      </c>
      <c r="V8" s="74">
        <v>21</v>
      </c>
      <c r="W8" s="74">
        <v>16</v>
      </c>
      <c r="X8" s="74">
        <v>5</v>
      </c>
      <c r="Y8" s="74">
        <v>15</v>
      </c>
      <c r="Z8" s="74">
        <v>16</v>
      </c>
      <c r="AA8" s="74">
        <v>15</v>
      </c>
      <c r="AB8" s="74">
        <v>6</v>
      </c>
      <c r="AC8" s="74">
        <v>17</v>
      </c>
      <c r="AD8" s="74">
        <v>13</v>
      </c>
      <c r="AE8" s="74">
        <v>16</v>
      </c>
    </row>
    <row r="9" spans="1:99" ph="1">
      <c r="B9" s="252" ph="1">
        <v>0.66666666666666663</v>
      </c>
      <c r="C9" s="144" t="s" ph="1">
        <v>182</v>
      </c>
      <c r="D9" s="71">
        <v>555</v>
      </c>
      <c r="E9" s="71">
        <v>0</v>
      </c>
      <c r="F9" s="71">
        <v>6807</v>
      </c>
      <c r="G9" s="71">
        <v>5934</v>
      </c>
      <c r="H9" s="71">
        <v>7342</v>
      </c>
      <c r="I9" s="71">
        <v>27.11</v>
      </c>
      <c r="J9" s="71">
        <v>7.81</v>
      </c>
      <c r="K9" s="71">
        <v>7.61</v>
      </c>
      <c r="L9" s="71">
        <v>27.71</v>
      </c>
      <c r="M9" s="71">
        <v>3942</v>
      </c>
      <c r="N9" s="71">
        <v>4314</v>
      </c>
      <c r="O9" s="71">
        <v>2543</v>
      </c>
      <c r="P9" s="71">
        <v>4303</v>
      </c>
      <c r="Q9" s="71">
        <v>1615</v>
      </c>
      <c r="R9" s="71">
        <v>4605</v>
      </c>
      <c r="S9" s="71">
        <v>2996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3817</v>
      </c>
      <c r="AA9" s="71">
        <v>1624</v>
      </c>
      <c r="AB9" s="71">
        <v>2434</v>
      </c>
      <c r="AC9" s="71">
        <v>4886</v>
      </c>
      <c r="AD9" s="71">
        <v>628</v>
      </c>
      <c r="AE9" s="71">
        <v>1853</v>
      </c>
    </row>
    <row r="10" spans="1:99" s="72" customFormat="1" ht="22.5" ph="1">
      <c r="B10" s="252" ph="1"/>
      <c r="C10" s="144" t="s" ph="1">
        <v>180</v>
      </c>
      <c r="D10" s="73" ph="1">
        <f>D9*33.183*LOOKUP(D11,密度!$A$2:$A$50,密度!$Q$2:$Q$50)</f>
        <v>17532.754045649999</v>
      </c>
      <c r="E10" s="73" ph="1">
        <f>E9*51.53*LOOKUP(E11,密度!$A$2:$A$50,密度!$I$2:$I$50)</f>
        <v>0</v>
      </c>
      <c r="F10" s="73" ph="1">
        <f>F9*33.183*LOOKUP(F11,密度!$A$2:$A$50,密度!$C$2:$C$50)</f>
        <v>251739.56097450003</v>
      </c>
      <c r="G10" s="73" ph="1">
        <f xml:space="preserve"> (G9+2)*51.53*LOOKUP(G11,密度!$A$2:$A$50,密度!$B$2:$B$50)</f>
        <v>240545.66771199999</v>
      </c>
      <c r="H10" s="73" ph="1">
        <f>(H9)*51.53*LOOKUP(H11,密度!$A$2:$A$50,密度!$B$2:$B$50)</f>
        <v>297521.27566400002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2462.1704488000005</v>
      </c>
      <c r="L10" s="73" ph="1">
        <f>L9*290.8*0.777</f>
        <v>6261.1188360000006</v>
      </c>
      <c r="M10" s="73" ph="1">
        <f>M9*33.183*LOOKUP(M11,密度!$A$2:$A$50,密度!$D$2:$D$50)</f>
        <v>135241.75638540002</v>
      </c>
      <c r="N10" s="73" ph="1">
        <f>N9*33.183*LOOKUP(N11,密度!$A$2:$A$50,密度!$E$2:$E$50)</f>
        <v>113447.533635</v>
      </c>
      <c r="O10" s="73" ph="1">
        <f>O9*20.428*LOOKUP(O11,密度!$A$2:$A$50,密度!$C$2:$C$50)</f>
        <v>57683.507801600004</v>
      </c>
      <c r="P10" s="73" ph="1">
        <f>P9*51.53*LOOKUP(P11,密度!$A$2:$A$50,密度!$B$2:$B$50)</f>
        <v>173861.30791900001</v>
      </c>
      <c r="Q10" s="73" ph="1">
        <f>Q9*1.5*1.5*3.1416*LOOKUP(W11,密度!$A$2:$A$50,密度!$L$2:$L$50)</f>
        <v>10719.425870999999</v>
      </c>
      <c r="R10" s="73" ph="1">
        <f>R9*1.5*1.5*3.1416*LOOKUP(R11,密度!$A$2:$A$50,密度!$L$2:$L$50)</f>
        <v>30532.747013999997</v>
      </c>
      <c r="S10" s="73" ph="1">
        <f>S9*1.5*1.5*3.1416*LOOKUP(S11,密度!$A$2:$A$50,密度!$L$2:$L$50)</f>
        <v>20139.826845600001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119566.57838399999</v>
      </c>
      <c r="AA10" s="73" ph="1">
        <f>AA9*33.183*LOOKUP(AA11,密度!$A$2:$A$50,密度!$D$2:$D$50)</f>
        <v>55672.9242552</v>
      </c>
      <c r="AB10" s="73" ph="1">
        <f>AB9*20.428*LOOKUP(AB11,密度!$A$2:$A$50,密度!$D$2:$D$50)</f>
        <v>51844.870810399996</v>
      </c>
      <c r="AC10" s="73" ph="1">
        <f>AC9*51.53*LOOKUP(AC11,密度!$A$2:$A$50,密度!$Q$2:$Q$50)</f>
        <v>239891.772624</v>
      </c>
      <c r="AD10" s="73" ph="1">
        <f>AD9*20.428*LOOKUP(AD11,密度!$A$2:$A$50,密度!$V$2:$V$50)</f>
        <v>12284.8435584</v>
      </c>
      <c r="AE10" s="73" ph="1">
        <f>AE9*20.428</f>
        <v>37853.084000000003</v>
      </c>
    </row>
    <row r="11" spans="1:99" ph="1">
      <c r="A11" s="64" t="s" ph="1">
        <v>164</v>
      </c>
      <c r="B11" s="252" ph="1"/>
      <c r="C11" s="144" t="s" ph="1">
        <v>181</v>
      </c>
      <c r="D11" s="74">
        <v>18</v>
      </c>
      <c r="E11" s="74">
        <v>19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23</v>
      </c>
      <c r="P11" s="74">
        <v>20</v>
      </c>
      <c r="Q11" s="74">
        <v>17</v>
      </c>
      <c r="R11" s="74">
        <v>24</v>
      </c>
      <c r="S11" s="74">
        <v>11</v>
      </c>
      <c r="T11" s="74">
        <v>19</v>
      </c>
      <c r="U11" s="74">
        <v>19</v>
      </c>
      <c r="V11" s="74">
        <v>25</v>
      </c>
      <c r="W11" s="74">
        <v>23</v>
      </c>
      <c r="X11" s="74">
        <v>10</v>
      </c>
      <c r="Y11" s="74">
        <v>20</v>
      </c>
      <c r="Z11" s="74">
        <v>18</v>
      </c>
      <c r="AA11" s="74">
        <v>18</v>
      </c>
      <c r="AB11" s="74">
        <v>7</v>
      </c>
      <c r="AC11" s="74">
        <v>17</v>
      </c>
      <c r="AD11" s="74">
        <v>29</v>
      </c>
      <c r="AE11" s="74">
        <v>18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44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44" t="s" ph="1">
        <v>179</v>
      </c>
      <c r="D15" s="78">
        <v>0</v>
      </c>
      <c r="E15" s="78">
        <v>4378</v>
      </c>
      <c r="F15" s="78">
        <v>2767</v>
      </c>
      <c r="G15" s="78">
        <v>2558</v>
      </c>
      <c r="H15" s="78">
        <v>111</v>
      </c>
      <c r="I15" s="78">
        <v>4299</v>
      </c>
      <c r="J15" s="78">
        <v>3901</v>
      </c>
      <c r="K15" s="78">
        <v>742</v>
      </c>
      <c r="L15" s="78">
        <v>5728</v>
      </c>
      <c r="M15" s="78">
        <v>115</v>
      </c>
      <c r="N15" s="78">
        <v>2293</v>
      </c>
      <c r="O15" s="78">
        <v>24</v>
      </c>
      <c r="P15" s="78">
        <v>6923</v>
      </c>
      <c r="Q15" s="78">
        <v>6987</v>
      </c>
      <c r="R15" s="78">
        <v>3487</v>
      </c>
      <c r="S15" s="78">
        <v>5610</v>
      </c>
      <c r="T15" s="78">
        <v>5662</v>
      </c>
      <c r="U15" s="78">
        <v>1770</v>
      </c>
      <c r="V15" s="78">
        <v>-1641</v>
      </c>
      <c r="W15" s="71">
        <v>-596</v>
      </c>
      <c r="X15" s="78">
        <v>362</v>
      </c>
      <c r="Y15" s="106">
        <v>-9900</v>
      </c>
      <c r="Z15" s="78">
        <v>0</v>
      </c>
      <c r="AA15" s="78">
        <v>2501</v>
      </c>
      <c r="AB15" s="78" ph="1">
        <v>6847</v>
      </c>
      <c r="AC15" s="78" ph="1">
        <v>6496</v>
      </c>
      <c r="AD15" s="78">
        <v>5.51</v>
      </c>
      <c r="AE15" s="78">
        <v>44.01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44" t="s" ph="1">
        <v>180</v>
      </c>
      <c r="D16" s="73" ph="1">
        <f>D15*7.0686*LOOKUP(D17,密度!$A$2:$A$50,密度!$L$2:$L$50)</f>
        <v>0</v>
      </c>
      <c r="E16" s="73" ph="1">
        <f>E15*7.0686*LOOKUP(E17,密度!$A$2:$A$50,密度!$L$2:$L$50)</f>
        <v>29306.1752676</v>
      </c>
      <c r="F16" s="73" ph="1">
        <f>F15*9.0746*LOOKUP(F17,密度!$A$2:$A$50,密度!$L$2:$L$50)</f>
        <v>23778.619035399999</v>
      </c>
      <c r="G16" s="73" ph="1">
        <f>G15*9.0746*LOOKUP(G17,密度!$A$2:$A$50,密度!$B$2:$B$50)</f>
        <v>18273.137256959999</v>
      </c>
      <c r="H16" s="73" ph="1">
        <f>H15*9.0746*LOOKUP(H17,密度!$A$2:$A$50,密度!$L$2:$L$50)</f>
        <v>953.89472820000003</v>
      </c>
      <c r="I16" s="73" ph="1">
        <f>I15*9.0746*LOOKUP(I17,密度!$A$2:$A$50,密度!$U$2:$U$50)</f>
        <v>40104.033151199998</v>
      </c>
      <c r="J16" s="73" ph="1">
        <f>J15*9.0746*LOOKUP(J17,密度!$A$2:$A$50,密度!$L$2:$L$50)</f>
        <v>33453.013797</v>
      </c>
      <c r="K16" s="73" ph="1">
        <f>K15*9.0746*LOOKUP(K17,密度!$A$2:$A$50,密度!$C$2:$C$50)</f>
        <v>7513.0755005599995</v>
      </c>
      <c r="L16" s="73" ph="1">
        <f>L15*9.0746*LOOKUP(L17,密度!$A$2:$A$50,密度!$E$2:$E$50)</f>
        <v>41307.956703359996</v>
      </c>
      <c r="M16" s="73" ph="1">
        <f>M15*9.0746*LOOKUP(M17,密度!$A$2:$A$50,密度!$M$2:$M$50)</f>
        <v>918.66259369999989</v>
      </c>
      <c r="N16" s="73" ph="1">
        <f>N15*9.0746*LOOKUP(N17,密度!$A$2:$A$50,密度!$M$2:$M$50)</f>
        <v>18317.333281340001</v>
      </c>
      <c r="O16" s="73" ph="1">
        <f>O15*9.0746*LOOKUP(O17,密度!$A$2:$A$50,密度!$G$2:$G$50)</f>
        <v>211.256688</v>
      </c>
      <c r="P16" s="73" ph="1">
        <f ca="1">P15*9.0746*LOOKUP(P17,密度!$A$2:$A$51,密度!$Q$2:$Q$50)</f>
        <v>59706.155923204002</v>
      </c>
      <c r="Q16" s="73" ph="1">
        <f>Q15*9.0746*LOOKUP(Q17,密度!$A$2:$A$50,密度!$Q$2:$Q$50)</f>
        <v>60176.320840517998</v>
      </c>
      <c r="R16" s="73" ph="1">
        <f>MAX(R15*9.0746*LOOKUP(R17,密度!$A$2:$A$50,密度!$B$2:$B$50),0)</f>
        <v>24862.007398139998</v>
      </c>
      <c r="S16" s="73" ph="1">
        <f>S15*9.0746*LOOKUP(S17,密度!$A$2:$A$50,密度!$Q$2:$Q$50)</f>
        <v>48594.205317240005</v>
      </c>
      <c r="T16" s="73" ph="1">
        <f>T15*9.0746*LOOKUP(T17,密度!$A$2:$A$50,密度!$O$2:$O$50)</f>
        <v>47989.279776800009</v>
      </c>
      <c r="U16" s="73" ph="1">
        <f>U15*9.0746*LOOKUP(U17,密度!$A$2:$A$50,密度!$H$2:$H$50)</f>
        <v>14900.7563634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9170.6876466479989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17922.69526162</v>
      </c>
      <c r="AB16" s="73" ph="1">
        <f>AB15*9.0746*LOOKUP(AB17,密度!$A$2:$A$50,密度!$L$2:$L$50)</f>
        <v>58778.561745200001</v>
      </c>
      <c r="AC16" s="73" ph="1">
        <f>AC15*9.0746*LOOKUP(AC17,密度!$A$2:$A$50,密度!$L$2:$L$50)</f>
        <v>55942.222918400003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10439.31706128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15</v>
      </c>
      <c r="E17" s="74">
        <v>15</v>
      </c>
      <c r="F17" s="74">
        <v>15</v>
      </c>
      <c r="G17" s="74">
        <v>16</v>
      </c>
      <c r="H17" s="74">
        <v>15</v>
      </c>
      <c r="I17" s="74">
        <v>15</v>
      </c>
      <c r="J17" s="74">
        <v>17</v>
      </c>
      <c r="K17" s="74">
        <v>15</v>
      </c>
      <c r="L17" s="74">
        <v>15</v>
      </c>
      <c r="M17" s="74">
        <v>15</v>
      </c>
      <c r="N17" s="74">
        <v>15</v>
      </c>
      <c r="O17" s="74">
        <v>16</v>
      </c>
      <c r="P17" s="74">
        <v>20</v>
      </c>
      <c r="Q17" s="74">
        <v>22</v>
      </c>
      <c r="R17" s="74">
        <v>18</v>
      </c>
      <c r="S17" s="74">
        <v>15</v>
      </c>
      <c r="T17" s="74">
        <v>15</v>
      </c>
      <c r="U17" s="74">
        <v>12</v>
      </c>
      <c r="V17" s="74">
        <v>15</v>
      </c>
      <c r="W17" s="74">
        <v>15</v>
      </c>
      <c r="X17" s="74">
        <v>33</v>
      </c>
      <c r="Y17" s="108">
        <v>33</v>
      </c>
      <c r="Z17" s="74">
        <v>16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0</v>
      </c>
      <c r="E18" s="71">
        <v>5455</v>
      </c>
      <c r="F18" s="71">
        <v>709</v>
      </c>
      <c r="G18" s="71">
        <v>2583</v>
      </c>
      <c r="H18" s="71">
        <v>108</v>
      </c>
      <c r="I18" s="71">
        <v>3006</v>
      </c>
      <c r="J18" s="71">
        <v>4118</v>
      </c>
      <c r="K18" s="71">
        <v>741</v>
      </c>
      <c r="L18" s="71">
        <v>5622</v>
      </c>
      <c r="M18" s="71">
        <v>113</v>
      </c>
      <c r="N18" s="71">
        <v>3332</v>
      </c>
      <c r="O18" s="71">
        <v>5598</v>
      </c>
      <c r="P18" s="71">
        <v>6920</v>
      </c>
      <c r="Q18" s="71">
        <v>6977</v>
      </c>
      <c r="R18" s="71">
        <v>3490</v>
      </c>
      <c r="S18" s="71">
        <v>5612</v>
      </c>
      <c r="T18" s="71">
        <v>4338</v>
      </c>
      <c r="U18" s="71">
        <v>1769</v>
      </c>
      <c r="V18" s="71">
        <v>-1641</v>
      </c>
      <c r="W18" s="71">
        <v>-596</v>
      </c>
      <c r="X18" s="71">
        <v>362</v>
      </c>
      <c r="Y18" s="109">
        <v>-9900</v>
      </c>
      <c r="Z18" s="71">
        <v>0</v>
      </c>
      <c r="AA18" s="71">
        <v>2500</v>
      </c>
      <c r="AB18" s="71">
        <v>6852</v>
      </c>
      <c r="AC18" s="71">
        <v>6499</v>
      </c>
      <c r="AD18" s="71">
        <v>5.41</v>
      </c>
      <c r="AE18" s="71">
        <v>75.91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44" t="s" ph="1">
        <v>180</v>
      </c>
      <c r="D19" s="73" ph="1">
        <f>D18*7.0686*LOOKUP(D20,密度!$A$2:$A$50,密度!$L$2:$L$50)</f>
        <v>0</v>
      </c>
      <c r="E19" s="73" ph="1">
        <f>E18*7.0686*LOOKUP(E20,密度!$A$2:$A$50,密度!$L$2:$L$50)</f>
        <v>36438.456285</v>
      </c>
      <c r="F19" s="73" ph="1">
        <f>F18*9.0746*LOOKUP(F20,密度!$A$2:$A$50,密度!$L$2:$L$50)</f>
        <v>6080.0273729999999</v>
      </c>
      <c r="G19" s="73" ph="1">
        <f>G18*9.0746*LOOKUP(G20,密度!$A$2:$A$50,密度!$B$2:$B$50)</f>
        <v>18416.565847260001</v>
      </c>
      <c r="H19" s="73" ph="1">
        <f>H18*9.0746*LOOKUP(H20,密度!$A$2:$A$50,密度!$L$2:$L$50)</f>
        <v>928.11378960000002</v>
      </c>
      <c r="I19" s="73" ph="1">
        <f>I18*9.0746*LOOKUP(I20,密度!$A$2:$A$50,密度!$U$2:$U$50)</f>
        <v>28042.038532800005</v>
      </c>
      <c r="J19" s="73" ph="1">
        <f>J18*9.0746*LOOKUP(J20,密度!$A$2:$A$50,密度!$L$2:$L$50)</f>
        <v>35276.527443200001</v>
      </c>
      <c r="K19" s="73" ph="1">
        <f>K18*9.0746*LOOKUP(K20,密度!$A$2:$A$50,密度!$C$2:$C$50)</f>
        <v>7485.4669375200001</v>
      </c>
      <c r="L19" s="73" ph="1">
        <f>L18*9.0746*LOOKUP(L20,密度!$A$2:$A$50,密度!$E$2:$E$50)</f>
        <v>40375.171309680001</v>
      </c>
      <c r="M19" s="73" ph="1">
        <f>M18*9.0746*LOOKUP(M20,密度!$A$2:$A$50,密度!$M$2:$M$50)</f>
        <v>900.32736440000008</v>
      </c>
      <c r="N19" s="73" ph="1">
        <f>N18*9.0746*LOOKUP(N20,密度!$A$2:$A$50,密度!$M$2:$M$50)</f>
        <v>26617.250106160001</v>
      </c>
      <c r="O19" s="73" ph="1">
        <f>O18*9.0746*LOOKUP(O20,密度!$A$2:$A$50,密度!$G$2:$G$50)</f>
        <v>49224.822865200003</v>
      </c>
      <c r="P19" s="73" ph="1">
        <f ca="1">P18*9.0746*LOOKUP(P20,密度!$A$2:$A$51,密度!$Q$2:$Q$50)</f>
        <v>59636.953568080004</v>
      </c>
      <c r="Q19" s="73" ph="1">
        <f>Q18*9.0746*LOOKUP(Q20,密度!$A$2:$A$50,密度!$Q$2:$Q$50)</f>
        <v>60128.182809898004</v>
      </c>
      <c r="R19" s="73" ph="1">
        <f>MAX(R18*9.0746*LOOKUP(R20,密度!$A$2:$A$50,密度!$B$2:$B$50),0)</f>
        <v>24832.724571400002</v>
      </c>
      <c r="S19" s="73" ph="1">
        <f>S18*9.0746*LOOKUP(S20,密度!$A$2:$A$50,密度!$Q$2:$Q$50)</f>
        <v>48522.917074559999</v>
      </c>
      <c r="T19" s="73" ph="1">
        <f>T18*9.0746*LOOKUP(T20,密度!$A$2:$A$50,密度!$O$2:$O$50)</f>
        <v>36767.484223200008</v>
      </c>
      <c r="U19" s="73" ph="1">
        <f>U18*9.0746*LOOKUP(U20,密度!$A$2:$A$50,密度!$H$2:$H$50)</f>
        <v>14844.17895478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198.19152201600082</v>
      </c>
      <c r="X19" s="73" ph="1">
        <f>MAX(5600*LOOKUP(X20,密度!$A$2:$A$50,密度!$I$2:$I$50)+X18*9.0476*LOOKUP(X20,密度!$A$2:$A$50,密度!$I$2:$I$50),0)</f>
        <v>9150.9846333839996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17876.962</v>
      </c>
      <c r="AB19" s="73" ph="1">
        <f>AB18*9.0746*LOOKUP(AB20,密度!$A$2:$A$50,密度!$L$2:$L$50)</f>
        <v>58759.305443999998</v>
      </c>
      <c r="AC19" s="73" ph="1">
        <f>AC18*9.0746*LOOKUP(AC20,密度!$A$2:$A$50,密度!$L$2:$L$50)</f>
        <v>55791.130828399997</v>
      </c>
      <c r="AD19" s="73" ph="1">
        <f>AD18*268.68*LOOKUP(AD20,密度!$A$2:$A$50,密度!B5:B53)+IF(AD18&lt;=0,0,1566*LOOKUP(AD20,密度!$A$2:$A$50,密度!B5:B53))</f>
        <v>2346.1971875999998</v>
      </c>
      <c r="AE19" s="73" ph="1">
        <f>AE18*268.68*LOOKUP(AE20,密度!$A$2:$A$50,密度!B5:B53)+IF(AE18&lt;=0,0,1566*LOOKUP(AE20,密度!$A$2:$A$50,密度!B5:B53))</f>
        <v>17064.084567600003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17</v>
      </c>
      <c r="E20" s="81">
        <v>17</v>
      </c>
      <c r="F20" s="81">
        <v>17</v>
      </c>
      <c r="G20" s="81">
        <v>18</v>
      </c>
      <c r="H20" s="81">
        <v>15</v>
      </c>
      <c r="I20" s="81">
        <v>18</v>
      </c>
      <c r="J20" s="81">
        <v>18</v>
      </c>
      <c r="K20" s="81">
        <v>19</v>
      </c>
      <c r="L20" s="81">
        <v>18</v>
      </c>
      <c r="M20" s="81">
        <v>22</v>
      </c>
      <c r="N20" s="81">
        <v>18</v>
      </c>
      <c r="O20" s="81">
        <v>17</v>
      </c>
      <c r="P20" s="81">
        <v>21</v>
      </c>
      <c r="Q20" s="81">
        <v>21</v>
      </c>
      <c r="R20" s="81">
        <v>20</v>
      </c>
      <c r="S20" s="81">
        <v>17</v>
      </c>
      <c r="T20" s="81">
        <v>18</v>
      </c>
      <c r="U20" s="81">
        <v>15</v>
      </c>
      <c r="V20" s="81">
        <v>15</v>
      </c>
      <c r="W20" s="81">
        <v>15</v>
      </c>
      <c r="X20" s="81">
        <v>35</v>
      </c>
      <c r="Y20" s="110">
        <v>35</v>
      </c>
      <c r="Z20" s="81">
        <v>21</v>
      </c>
      <c r="AA20" s="81">
        <v>15</v>
      </c>
      <c r="AB20" s="81">
        <v>17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644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44" t="s" ph="1">
        <v>179</v>
      </c>
      <c r="D24" s="71">
        <v>98.41</v>
      </c>
      <c r="E24" s="71">
        <v>95.21</v>
      </c>
      <c r="F24" s="71">
        <v>4010</v>
      </c>
      <c r="G24" s="71">
        <v>3902</v>
      </c>
      <c r="H24" s="71">
        <v>2170</v>
      </c>
      <c r="I24" s="71">
        <v>2383</v>
      </c>
      <c r="J24" s="71">
        <v>4895</v>
      </c>
      <c r="K24" s="71">
        <v>5606</v>
      </c>
      <c r="L24" s="71">
        <v>5579</v>
      </c>
      <c r="M24" s="71">
        <v>5444</v>
      </c>
      <c r="N24" s="71">
        <v>5357</v>
      </c>
      <c r="O24" s="71">
        <v>3515</v>
      </c>
      <c r="P24" s="71">
        <v>430</v>
      </c>
      <c r="Q24" s="90">
        <v>1020</v>
      </c>
      <c r="R24" s="71">
        <v>6738</v>
      </c>
      <c r="S24" s="71">
        <v>2594</v>
      </c>
      <c r="T24" s="71">
        <v>904</v>
      </c>
      <c r="U24" s="71">
        <v>5746</v>
      </c>
      <c r="V24" s="71">
        <v>8900</v>
      </c>
      <c r="W24" s="71">
        <v>2983</v>
      </c>
      <c r="X24" s="71">
        <v>8191</v>
      </c>
      <c r="Y24" s="71">
        <v>1606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26515.156695912003</v>
      </c>
      <c r="E25" s="91" ph="1">
        <f>E24*268.68*LOOKUP(E26,密度!$A$2:$A$50,密度!$C$2:$C$50)+IF(E24&lt;=0,0,1566*LOOKUP(E26,密度!$A$2:$A$50,密度!$C$2:$C$50))</f>
        <v>30103.33358292</v>
      </c>
      <c r="F25" s="91" ph="1">
        <f>F24*11.702*LOOKUP(F26,密度!$A$2:$A$50,密度!$Q$2:$Q$50)</f>
        <v>44791.808590799999</v>
      </c>
      <c r="G25" s="91" ph="1">
        <f>G24*18.322*LOOKUP(G26,密度!$A$2:$A$50,密度!$B$2:$B$50)</f>
        <v>56457.583026799999</v>
      </c>
      <c r="H25" s="91" ph="1">
        <f>H24*18.322*LOOKUP(H26,密度!$A$2:$A$50,密度!$B$2:$B$50)</f>
        <v>31365.669986000001</v>
      </c>
      <c r="I25" s="91" ph="1">
        <f>I24*18.322*LOOKUP(I26,密度!$A$2:$A$50,密度!$Q$2:$Q$50)</f>
        <v>41676.482120040004</v>
      </c>
      <c r="J25" s="91" ph="1">
        <f>J24*18.322*LOOKUP(J26,密度!$A$2:$A$50,密度!$Q$2:$Q$50)</f>
        <v>85609.055802600007</v>
      </c>
      <c r="K25" s="91" ph="1">
        <f>K24*18.322*LOOKUP(K26,密度!$A$2:$A$50,密度!$Q$2:$Q$50)</f>
        <v>98043.793019279998</v>
      </c>
      <c r="L25" s="91" ph="1">
        <f>L24*18.322*LOOKUP(L26,密度!$A$2:$A$50,密度!$Q$2:$Q$50)</f>
        <v>97571.587808519995</v>
      </c>
      <c r="M25" s="91" ph="1">
        <f>M24*18.322*LOOKUP(M26,密度!$A$2:$A$50,密度!$Q$2:$Q$50)</f>
        <v>95210.561754719994</v>
      </c>
      <c r="N25" s="91" ph="1">
        <f>N24*18.322*LOOKUP(N26,密度!$A$2:$A$50,密度!$Q$2:$Q$50)</f>
        <v>93689.01163116</v>
      </c>
      <c r="O25" s="91" ph="1">
        <f>O24*18.322*LOOKUP(O26,密度!$A$2:$A$50,密度!$C$2:$C$50)</f>
        <v>71962.604841999986</v>
      </c>
      <c r="P25" s="91" ph="1">
        <f>P24*11.702*LOOKUP(P26,密度!$A$2:$A$50,密度!$B$2:$B$50)</f>
        <v>3973.6598419999996</v>
      </c>
      <c r="Q25" s="92" ph="1">
        <f>Q24*18.322*LOOKUP(Q26,密度!$A$2:$A$50,密度!$B$2:$B$50)</f>
        <v>14743.310315999999</v>
      </c>
      <c r="R25" s="91" ph="1">
        <f>R24*35.891*LOOKUP(R26,密度!$A$2:$A$50,密度!$C$2:$C$50)</f>
        <v>269837.88401639997</v>
      </c>
      <c r="S25" s="91" ph="1">
        <f>S24*35.891*LOOKUP(S26,密度!$A$2:$A$50,密度!$B$2:$B$50)</f>
        <v>73522.06028379999</v>
      </c>
      <c r="T25" s="91" ph="1">
        <f>T24*35.891*LOOKUP(T26,密度!$A$2:$A$50,密度!$Q$2:$Q$50)</f>
        <v>30970.493206560001</v>
      </c>
      <c r="U25" s="91" ph="1">
        <f>U24*35.891</f>
        <v>206229.68599999999</v>
      </c>
      <c r="V25" s="91" ph="1">
        <f>V24*47.051*LOOKUP(V26,密度!$A$2:$A$50,密度!$B$2:$B$50)</f>
        <v>330689.95483</v>
      </c>
      <c r="W25" s="91" ph="1">
        <f>W24*47.051*LOOKUP(W26,密度!$A$2:$A$50,密度!$B$2:$B$50)</f>
        <v>110598.26880400001</v>
      </c>
      <c r="X25" s="91" ph="1">
        <f>X24*47.051*LOOKUP(X26,密度!$A$2:$A$50,密度!$I$2:$I$50)</f>
        <v>399130.20956923999</v>
      </c>
      <c r="Y25" s="91" ph="1">
        <f>Y24*47.051*LOOKUP(Y26,密度!$A$2:$A$50,密度!$L$2:$L$50)</f>
        <v>71483.455075999998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13</v>
      </c>
      <c r="G26" s="74">
        <v>13</v>
      </c>
      <c r="H26" s="74">
        <v>14</v>
      </c>
      <c r="I26" s="74">
        <v>14</v>
      </c>
      <c r="J26" s="74">
        <v>13</v>
      </c>
      <c r="K26" s="74">
        <v>14</v>
      </c>
      <c r="L26" s="74">
        <v>14</v>
      </c>
      <c r="M26" s="74">
        <v>14</v>
      </c>
      <c r="N26" s="74">
        <v>14</v>
      </c>
      <c r="O26" s="74">
        <v>13</v>
      </c>
      <c r="P26" s="74">
        <v>13</v>
      </c>
      <c r="Q26" s="93">
        <v>14</v>
      </c>
      <c r="R26" s="74">
        <v>15</v>
      </c>
      <c r="S26" s="74">
        <v>13</v>
      </c>
      <c r="T26" s="74">
        <v>15</v>
      </c>
      <c r="U26" s="74">
        <v>15</v>
      </c>
      <c r="V26" s="74">
        <v>13</v>
      </c>
      <c r="W26" s="74">
        <v>15</v>
      </c>
      <c r="X26" s="74">
        <v>52</v>
      </c>
      <c r="Y26" s="74">
        <v>16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44" t="s" ph="1">
        <v>182</v>
      </c>
      <c r="D27" s="71">
        <v>98.21</v>
      </c>
      <c r="E27" s="71">
        <v>95.21</v>
      </c>
      <c r="F27" s="71">
        <v>4011</v>
      </c>
      <c r="G27" s="71">
        <v>3316</v>
      </c>
      <c r="H27" s="71">
        <v>2087</v>
      </c>
      <c r="I27" s="71">
        <v>2383</v>
      </c>
      <c r="J27" s="71">
        <v>4895</v>
      </c>
      <c r="K27" s="71">
        <v>5605</v>
      </c>
      <c r="L27" s="71">
        <v>5577</v>
      </c>
      <c r="M27" s="71">
        <v>5444</v>
      </c>
      <c r="N27" s="71">
        <v>5355</v>
      </c>
      <c r="O27" s="71">
        <v>3515</v>
      </c>
      <c r="P27" s="71">
        <v>427</v>
      </c>
      <c r="Q27" s="90">
        <v>1319</v>
      </c>
      <c r="R27" s="71">
        <v>6735</v>
      </c>
      <c r="S27" s="71">
        <v>2211</v>
      </c>
      <c r="T27" s="71">
        <v>902</v>
      </c>
      <c r="U27" s="71">
        <v>5756</v>
      </c>
      <c r="V27" s="71">
        <v>10170</v>
      </c>
      <c r="W27" s="71">
        <v>1654</v>
      </c>
      <c r="X27" s="71">
        <v>8188</v>
      </c>
      <c r="Y27" s="71">
        <v>1602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44" t="s" ph="1">
        <v>180</v>
      </c>
      <c r="D28" s="91" ph="1">
        <f>D27*268.68*LOOKUP(D29,密度!$A$2:$A$50,密度!$Q$2:$Q$50)+IF(D27&lt;=0,0,1566*LOOKUP(D29,密度!$A$2:$A$50,密度!$Q$2:$Q$50))</f>
        <v>26464.282675272003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44684.228711219999</v>
      </c>
      <c r="G28" s="91" ph="1">
        <f>G27*18.322*LOOKUP(G29,密度!$A$2:$A$50,密度!$B$2:$B$50)</f>
        <v>47735.794346399998</v>
      </c>
      <c r="H28" s="91" ph="1">
        <f>H27*18.322*LOOKUP(H29,密度!$A$2:$A$50,密度!$B$2:$B$50)</f>
        <v>30043.607599799994</v>
      </c>
      <c r="I28" s="91" ph="1">
        <f>I27*18.322*LOOKUP(I29,密度!$A$2:$A$50,密度!$Q$2:$Q$50)</f>
        <v>41600.511412799999</v>
      </c>
      <c r="J28" s="91" ph="1">
        <f>J27*18.322*LOOKUP(J29,密度!$A$2:$A$50,密度!$Q$2:$Q$50)</f>
        <v>85453.001831999994</v>
      </c>
      <c r="K28" s="91" ph="1">
        <f>K27*18.322*LOOKUP(K29,密度!$A$2:$A$50,密度!$Q$2:$Q$50)</f>
        <v>97766.486068099999</v>
      </c>
      <c r="L28" s="91" ph="1">
        <f>L27*18.322*LOOKUP(L29,密度!$A$2:$A$50,密度!$Q$2:$Q$50)</f>
        <v>97278.089705940001</v>
      </c>
      <c r="M28" s="91" ph="1">
        <f>M27*18.322*LOOKUP(M29,密度!$A$2:$A$50,密度!$Q$2:$Q$50)</f>
        <v>94880.405910639995</v>
      </c>
      <c r="N28" s="91" ph="1">
        <f>N27*18.322*LOOKUP(N29,密度!$A$2:$A$50,密度!$Q$2:$Q$50)</f>
        <v>93329.275101299994</v>
      </c>
      <c r="O28" s="91" ph="1">
        <f>O27*18.322*LOOKUP(O29,密度!$A$2:$A$50,密度!$C$2:$C$50)</f>
        <v>71737.198436999985</v>
      </c>
      <c r="P28" s="91" ph="1">
        <f>P27*11.702*LOOKUP(P29,密度!$A$2:$A$50,密度!$B$2:$B$50)</f>
        <v>3925.9496177999995</v>
      </c>
      <c r="Q28" s="92" ph="1">
        <f>Q27*18.322*LOOKUP(Q29,密度!$A$2:$A$50,密度!$B$2:$B$50)</f>
        <v>18987.790332599998</v>
      </c>
      <c r="R28" s="91" ph="1">
        <f>R27*35.891*LOOKUP(R29,密度!$A$2:$A$50,密度!$C$2:$C$50)</f>
        <v>269258.46330149996</v>
      </c>
      <c r="S28" s="91" ph="1">
        <f>S27*35.891*LOOKUP(S29,密度!$A$2:$A$50,密度!$B$2:$B$50)</f>
        <v>62349.224285699987</v>
      </c>
      <c r="T28" s="91" ph="1">
        <f>T27*35.891*LOOKUP(T29,密度!$A$2:$A$50,密度!$Q$2:$Q$50)</f>
        <v>30794.81752886</v>
      </c>
      <c r="U28" s="91" ph="1">
        <f>U27*35.891</f>
        <v>206588.59599999999</v>
      </c>
      <c r="V28" s="91" ph="1">
        <f>V27*47.051*LOOKUP(V29,密度!$A$2:$A$50,密度!$B$2:$B$50)</f>
        <v>375964.26201900002</v>
      </c>
      <c r="W28" s="91" ph="1">
        <f>W27*47.051*LOOKUP(W29,密度!$A$2:$A$50,密度!$B$2:$B$50)</f>
        <v>61145.0235378</v>
      </c>
      <c r="X28" s="91" ph="1">
        <f>X27*47.051*LOOKUP(X29,密度!$A$2:$A$50,密度!$I$2:$I$50)</f>
        <v>398984.02587631997</v>
      </c>
      <c r="Y28" s="91" ph="1">
        <f>Y27*47.051*LOOKUP(Y29,密度!$A$2:$A$50,密度!$L$2:$L$50)</f>
        <v>71079.286986000006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44" t="s" ph="1">
        <v>181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17</v>
      </c>
      <c r="J29" s="74">
        <v>17</v>
      </c>
      <c r="K29" s="74">
        <v>18</v>
      </c>
      <c r="L29" s="74">
        <v>18</v>
      </c>
      <c r="M29" s="74">
        <v>19</v>
      </c>
      <c r="N29" s="74">
        <v>19</v>
      </c>
      <c r="O29" s="74">
        <v>18</v>
      </c>
      <c r="P29" s="74">
        <v>18</v>
      </c>
      <c r="Q29" s="93">
        <v>18</v>
      </c>
      <c r="R29" s="74">
        <v>18</v>
      </c>
      <c r="S29" s="74">
        <v>18</v>
      </c>
      <c r="T29" s="74">
        <v>19</v>
      </c>
      <c r="U29" s="74">
        <v>19</v>
      </c>
      <c r="V29" s="74">
        <v>18</v>
      </c>
      <c r="W29" s="74">
        <v>18</v>
      </c>
      <c r="X29" s="74">
        <v>55</v>
      </c>
      <c r="Y29" s="74">
        <v>19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86</v>
      </c>
      <c r="AC32" s="144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107517.79506559999</v>
      </c>
      <c r="E33" s="201" ph="1">
        <f>M10+I10</f>
        <v>143335.83618500002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27" ph="1">
        <v>0</v>
      </c>
      <c r="H33" s="201" ph="1">
        <f>N19</f>
        <v>26617.250106160001</v>
      </c>
      <c r="I33" s="205" ph="1">
        <v>0</v>
      </c>
      <c r="J33" s="209" ph="1">
        <f>F10+O28</f>
        <v>323476.75941150001</v>
      </c>
      <c r="K33" s="201" ph="1">
        <f>O10+K10+E28+R28</f>
        <v>359507.47513481998</v>
      </c>
      <c r="L33" s="211" ph="1">
        <f>BE27</f>
        <v>7100</v>
      </c>
      <c r="M33" s="209" ph="1">
        <f>G10+H10+W28+S28</f>
        <v>661561.1911995</v>
      </c>
      <c r="N33" s="201" ph="1">
        <f>L10+P10++G28+H28+V28</f>
        <v>633866.09072019998</v>
      </c>
      <c r="O33" s="205" ph="1">
        <f>BE17</f>
        <v>2270</v>
      </c>
      <c r="P33" s="209" ph="1">
        <f>L19</f>
        <v>40375.171309680001</v>
      </c>
      <c r="Q33" s="201" ph="1">
        <f>J10+N10</f>
        <v>115239.9236366</v>
      </c>
      <c r="R33" s="205" ph="1">
        <f>BE23</f>
        <v>890</v>
      </c>
      <c r="S33" s="209" ph="1">
        <f>E10+X28</f>
        <v>398984.02587631997</v>
      </c>
      <c r="T33" s="201" ph="1">
        <f>X19</f>
        <v>9150.9846333839996</v>
      </c>
      <c r="U33" s="190" ph="1">
        <f>BE21</f>
        <v>730</v>
      </c>
      <c r="V33" s="203" ph="1">
        <f ca="1">P19+Q19+S19+M28+N28+J28</f>
        <v>441950.73629647796</v>
      </c>
      <c r="W33" s="203" ph="1">
        <f>D28+F28+V19+T28</f>
        <v>101943.328915352</v>
      </c>
      <c r="X33" s="205" ph="1">
        <f>BE29+BE31</f>
        <v>10200</v>
      </c>
      <c r="Y33" s="207" ph="1">
        <f>+Q10+R10+S10+T10+U10+V10+W10+X10+Y10</f>
        <v>61391.999730599993</v>
      </c>
      <c r="Z33" s="188" ph="1">
        <f>D10+T19+U19+Y28+Z10</f>
        <v>259790.28259363002</v>
      </c>
      <c r="AA33" s="190" ph="1">
        <f>BE19</f>
        <v>1440</v>
      </c>
      <c r="AB33" s="192" ph="1">
        <f>I19</f>
        <v>28042.038532800005</v>
      </c>
      <c r="AC33" s="194" ph="1">
        <f>AD10</f>
        <v>12284.8435584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46" t="s" ph="1">
        <v>187</v>
      </c>
      <c r="AA36" s="146" ph="1"/>
      <c r="AB36" s="187" t="s" ph="1">
        <v>614</v>
      </c>
      <c r="AC36" s="187" ph="1"/>
      <c r="AD36" s="187" ph="1"/>
      <c r="AE36" s="187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346</v>
      </c>
      <c r="AI37" s="146" t="s" ph="1">
        <v>213</v>
      </c>
      <c r="AJ37" s="146" t="s" ph="1">
        <v>214</v>
      </c>
      <c r="AK37" s="146" t="s" ph="1">
        <v>215</v>
      </c>
      <c r="AM37" s="146" t="s" ph="1">
        <v>214</v>
      </c>
      <c r="AN37" s="146" t="s" ph="1">
        <v>215</v>
      </c>
      <c r="AO37" s="146" t="s" ph="1">
        <v>216</v>
      </c>
      <c r="AP37" s="146" t="s" ph="1">
        <v>214</v>
      </c>
      <c r="AQ37" s="146" t="s" ph="1">
        <v>215</v>
      </c>
      <c r="AR37" s="146" t="s" ph="1">
        <v>216</v>
      </c>
      <c r="AS37" s="146" t="s" ph="1">
        <v>214</v>
      </c>
      <c r="AT37" s="146" t="s" ph="1">
        <v>215</v>
      </c>
      <c r="AU37" s="146" t="s" ph="1">
        <v>216</v>
      </c>
      <c r="AV37" s="146" t="s" ph="1">
        <v>214</v>
      </c>
      <c r="AW37" s="146" t="s" ph="1">
        <v>215</v>
      </c>
      <c r="AX37" s="146" t="s" ph="1">
        <v>216</v>
      </c>
      <c r="AY37" s="146" t="s" ph="1">
        <v>215</v>
      </c>
      <c r="AZ37" s="146" t="s" ph="1">
        <v>217</v>
      </c>
      <c r="BD37" s="146" t="s" ph="1">
        <v>309</v>
      </c>
      <c r="BE37" s="146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897" priority="96">
      <formula>ABS(D$7-D$10)&gt;=1000</formula>
    </cfRule>
  </conditionalFormatting>
  <conditionalFormatting sqref="E4 E6:E11">
    <cfRule type="expression" dxfId="2896" priority="95">
      <formula>ABS(E$7-E$10)&gt;=1000</formula>
    </cfRule>
  </conditionalFormatting>
  <conditionalFormatting sqref="F4:F11">
    <cfRule type="expression" dxfId="2895" priority="94">
      <formula>ABS(F$7-F$10)&gt;=1000</formula>
    </cfRule>
  </conditionalFormatting>
  <conditionalFormatting sqref="G4:G11">
    <cfRule type="expression" dxfId="2894" priority="93">
      <formula>ABS(G$7-G$10)&gt;=1000</formula>
    </cfRule>
  </conditionalFormatting>
  <conditionalFormatting sqref="H4:H11">
    <cfRule type="expression" dxfId="2893" priority="92">
      <formula>ABS(H$7-H$10)&gt;=1000</formula>
    </cfRule>
  </conditionalFormatting>
  <conditionalFormatting sqref="I4:I11">
    <cfRule type="expression" dxfId="2892" priority="91">
      <formula>ABS(I$7-I$10)&gt;=1000</formula>
    </cfRule>
  </conditionalFormatting>
  <conditionalFormatting sqref="J4:J11">
    <cfRule type="expression" dxfId="2891" priority="90">
      <formula>ABS(J$7-J$10)&gt;=1000</formula>
    </cfRule>
  </conditionalFormatting>
  <conditionalFormatting sqref="K4:K11">
    <cfRule type="expression" dxfId="2890" priority="89">
      <formula>ABS(K$7-K$10)&gt;=1000</formula>
    </cfRule>
  </conditionalFormatting>
  <conditionalFormatting sqref="L4:L11">
    <cfRule type="expression" dxfId="2889" priority="88">
      <formula>ABS(L$7-L$10)&gt;=1000</formula>
    </cfRule>
  </conditionalFormatting>
  <conditionalFormatting sqref="M4 M6:M11">
    <cfRule type="expression" dxfId="2888" priority="87">
      <formula>ABS(M$7-M$10)&gt;=1000</formula>
    </cfRule>
  </conditionalFormatting>
  <conditionalFormatting sqref="N4 N6:N11">
    <cfRule type="expression" dxfId="2887" priority="86">
      <formula>ABS(N$7-N$10)&gt;=1000</formula>
    </cfRule>
  </conditionalFormatting>
  <conditionalFormatting sqref="O4 O6:O11">
    <cfRule type="expression" dxfId="2886" priority="85">
      <formula>ABS(O$7-O$10)&gt;=1000</formula>
    </cfRule>
  </conditionalFormatting>
  <conditionalFormatting sqref="P4 P6:P11">
    <cfRule type="expression" dxfId="2885" priority="84">
      <formula>ABS(P$7-P$10)&gt;=1000</formula>
    </cfRule>
  </conditionalFormatting>
  <conditionalFormatting sqref="Q4:Q11">
    <cfRule type="expression" dxfId="2884" priority="83">
      <formula>ABS(Q$7-Q$10)&gt;=1000</formula>
    </cfRule>
  </conditionalFormatting>
  <conditionalFormatting sqref="R4:R11">
    <cfRule type="expression" dxfId="2883" priority="82">
      <formula>ABS(R$7-R$10)&gt;=1000</formula>
    </cfRule>
  </conditionalFormatting>
  <conditionalFormatting sqref="S4:S11">
    <cfRule type="expression" dxfId="2882" priority="81">
      <formula>ABS(S$7-S$10)&gt;=1000</formula>
    </cfRule>
  </conditionalFormatting>
  <conditionalFormatting sqref="T4:T9 T11">
    <cfRule type="expression" dxfId="2881" priority="80">
      <formula>ABS(T$7-T$10)&gt;=1000</formula>
    </cfRule>
  </conditionalFormatting>
  <conditionalFormatting sqref="U4:U9 U11">
    <cfRule type="expression" dxfId="2880" priority="79">
      <formula>ABS(U$7-U$10)&gt;=1000</formula>
    </cfRule>
  </conditionalFormatting>
  <conditionalFormatting sqref="V4:V9 V11">
    <cfRule type="expression" dxfId="2879" priority="78">
      <formula>ABS(V$7-V$10)&gt;=1000</formula>
    </cfRule>
  </conditionalFormatting>
  <conditionalFormatting sqref="W4:W9 W11">
    <cfRule type="expression" dxfId="2878" priority="77">
      <formula>ABS(W$7-W$10)&gt;=1000</formula>
    </cfRule>
  </conditionalFormatting>
  <conditionalFormatting sqref="X4:X9 X11">
    <cfRule type="expression" dxfId="2877" priority="76">
      <formula>ABS(X$7-X$10)&gt;=1000</formula>
    </cfRule>
  </conditionalFormatting>
  <conditionalFormatting sqref="Y4:Y9 Y11">
    <cfRule type="expression" dxfId="2876" priority="75">
      <formula>ABS(Y$7-Y$10)&gt;=1000</formula>
    </cfRule>
  </conditionalFormatting>
  <conditionalFormatting sqref="Z4:Z11">
    <cfRule type="expression" dxfId="2875" priority="74">
      <formula>ABS(Z$7-Z$10)&gt;=1000</formula>
    </cfRule>
  </conditionalFormatting>
  <conditionalFormatting sqref="AA4:AA11">
    <cfRule type="expression" dxfId="2874" priority="73">
      <formula>ABS(AA$7-AA$10)&gt;=1000</formula>
    </cfRule>
  </conditionalFormatting>
  <conditionalFormatting sqref="AB4:AB11">
    <cfRule type="expression" dxfId="2873" priority="72">
      <formula>ABS(AB$7-AB$10)&gt;=1000</formula>
    </cfRule>
  </conditionalFormatting>
  <conditionalFormatting sqref="AC4 AC6:AC11">
    <cfRule type="expression" dxfId="2872" priority="71">
      <formula>ABS(AC$7-AC$10)&gt;=1000</formula>
    </cfRule>
  </conditionalFormatting>
  <conditionalFormatting sqref="AD4:AD11">
    <cfRule type="expression" dxfId="2871" priority="70">
      <formula>ABS(AD$7-AD$10)&gt;=1000</formula>
    </cfRule>
  </conditionalFormatting>
  <conditionalFormatting sqref="AE4:AE11">
    <cfRule type="expression" dxfId="2870" priority="69">
      <formula>ABS(AE$7-AE$10)&gt;=1000</formula>
    </cfRule>
  </conditionalFormatting>
  <conditionalFormatting sqref="D13:D20">
    <cfRule type="expression" dxfId="2869" priority="68">
      <formula>ABS(D$16-D$19)&gt;=1000</formula>
    </cfRule>
  </conditionalFormatting>
  <conditionalFormatting sqref="E13:E20">
    <cfRule type="expression" dxfId="2868" priority="67">
      <formula>ABS(E$16-E$19)&gt;=1000</formula>
    </cfRule>
  </conditionalFormatting>
  <conditionalFormatting sqref="F13 F15:F20">
    <cfRule type="expression" dxfId="2867" priority="66">
      <formula>ABS(F$16-F$19)&gt;=1000</formula>
    </cfRule>
  </conditionalFormatting>
  <conditionalFormatting sqref="G13:G20">
    <cfRule type="expression" dxfId="2866" priority="65">
      <formula>ABS(G$16-G$19)&gt;=1000</formula>
    </cfRule>
  </conditionalFormatting>
  <conditionalFormatting sqref="H13:H20">
    <cfRule type="expression" dxfId="2865" priority="64">
      <formula>ABS(H$16-H$19)&gt;=1000</formula>
    </cfRule>
  </conditionalFormatting>
  <conditionalFormatting sqref="I13:I20">
    <cfRule type="expression" dxfId="2864" priority="63">
      <formula>ABS(I$16-I$19)&gt;=1000</formula>
    </cfRule>
  </conditionalFormatting>
  <conditionalFormatting sqref="J13:J20">
    <cfRule type="expression" dxfId="2863" priority="62">
      <formula>ABS(J$16-J$19)&gt;=1000</formula>
    </cfRule>
  </conditionalFormatting>
  <conditionalFormatting sqref="L13:L20">
    <cfRule type="expression" dxfId="2862" priority="61">
      <formula>ABS(L$16-L$19)&gt;=1000</formula>
    </cfRule>
  </conditionalFormatting>
  <conditionalFormatting sqref="M13 M15 M17:M18 M20">
    <cfRule type="expression" dxfId="2861" priority="60">
      <formula>ABS(M$16-M$19)&gt;=1000</formula>
    </cfRule>
  </conditionalFormatting>
  <conditionalFormatting sqref="N13:N20">
    <cfRule type="expression" dxfId="2860" priority="59">
      <formula>ABS(N$16-N$19)&gt;=1000</formula>
    </cfRule>
  </conditionalFormatting>
  <conditionalFormatting sqref="O13:O20">
    <cfRule type="expression" dxfId="2859" priority="58">
      <formula>ABS(O$16-O$19)&gt;=1000</formula>
    </cfRule>
  </conditionalFormatting>
  <conditionalFormatting sqref="P13:P20">
    <cfRule type="expression" dxfId="2858" priority="57">
      <formula>ABS(P$16-P$19)&gt;=1000</formula>
    </cfRule>
  </conditionalFormatting>
  <conditionalFormatting sqref="Q13 Q15:Q20">
    <cfRule type="expression" dxfId="2857" priority="56">
      <formula>ABS(Q$16-Q$19)&gt;=1000</formula>
    </cfRule>
  </conditionalFormatting>
  <conditionalFormatting sqref="R13:R20">
    <cfRule type="expression" dxfId="2856" priority="55">
      <formula>ABS(R$16-R$19)&gt;=1000</formula>
    </cfRule>
  </conditionalFormatting>
  <conditionalFormatting sqref="S13:S20">
    <cfRule type="expression" dxfId="2855" priority="54">
      <formula>ABS(S$16-S$19)&gt;=1000</formula>
    </cfRule>
  </conditionalFormatting>
  <conditionalFormatting sqref="T13:T20">
    <cfRule type="expression" dxfId="2854" priority="53">
      <formula>ABS(T$16-T$19)&gt;=1000</formula>
    </cfRule>
  </conditionalFormatting>
  <conditionalFormatting sqref="U13:U20">
    <cfRule type="expression" dxfId="2853" priority="52">
      <formula>ABS(U$16-U$19)&gt;=1000</formula>
    </cfRule>
  </conditionalFormatting>
  <conditionalFormatting sqref="V13:V20">
    <cfRule type="expression" dxfId="2852" priority="51">
      <formula>ABS(V$16-V$19)&gt;=1000</formula>
    </cfRule>
  </conditionalFormatting>
  <conditionalFormatting sqref="W13 W20 W15:W18">
    <cfRule type="expression" dxfId="2851" priority="50">
      <formula>ABS(W$16-W$19)&gt;=1000</formula>
    </cfRule>
  </conditionalFormatting>
  <conditionalFormatting sqref="X13 X15:X20 Y19">
    <cfRule type="expression" dxfId="2850" priority="49">
      <formula>ABS(X$16-X$19)&gt;=1000</formula>
    </cfRule>
  </conditionalFormatting>
  <conditionalFormatting sqref="Y13 Y15:Y18 Y20">
    <cfRule type="expression" dxfId="2849" priority="48">
      <formula>ABS(Y$16-Y$19)&gt;=1000</formula>
    </cfRule>
  </conditionalFormatting>
  <conditionalFormatting sqref="Z13:Z20">
    <cfRule type="expression" dxfId="2848" priority="47">
      <formula>ABS(Z$16-Z$19)&gt;=1000</formula>
    </cfRule>
  </conditionalFormatting>
  <conditionalFormatting sqref="AA13:AA20">
    <cfRule type="expression" dxfId="2847" priority="46">
      <formula>ABS(AA$16-AA$19)&gt;=1000</formula>
    </cfRule>
  </conditionalFormatting>
  <conditionalFormatting sqref="AB13 AB15:AB20">
    <cfRule type="expression" dxfId="2846" priority="45">
      <formula>ABS(AB$16-AB$19)&gt;=1000</formula>
    </cfRule>
  </conditionalFormatting>
  <conditionalFormatting sqref="AC13 AC15:AC20">
    <cfRule type="expression" dxfId="2845" priority="44">
      <formula>ABS(AC$16-AC$19)&gt;=1000</formula>
    </cfRule>
  </conditionalFormatting>
  <conditionalFormatting sqref="AD13:AD20">
    <cfRule type="expression" dxfId="2844" priority="43">
      <formula>ABS(AD$16-AD$19)&gt;=1000</formula>
    </cfRule>
  </conditionalFormatting>
  <conditionalFormatting sqref="AE13:AE20">
    <cfRule type="expression" dxfId="2843" priority="42">
      <formula>ABS(AE$16-AE$19)&gt;=1000</formula>
    </cfRule>
  </conditionalFormatting>
  <conditionalFormatting sqref="D22:D29">
    <cfRule type="expression" dxfId="2842" priority="41">
      <formula>ABS(D$25-D$28)&gt;=1000</formula>
    </cfRule>
  </conditionalFormatting>
  <conditionalFormatting sqref="E22:E29">
    <cfRule type="expression" dxfId="2841" priority="40">
      <formula>ABS(E$25-E$28)&gt;=1000</formula>
    </cfRule>
  </conditionalFormatting>
  <conditionalFormatting sqref="F22:F29">
    <cfRule type="expression" dxfId="2840" priority="39">
      <formula>ABS(F$25-F$28)&gt;=1000</formula>
    </cfRule>
  </conditionalFormatting>
  <conditionalFormatting sqref="G22:G29">
    <cfRule type="expression" dxfId="2839" priority="38">
      <formula>ABS(G$25-G$28)&gt;=1000</formula>
    </cfRule>
  </conditionalFormatting>
  <conditionalFormatting sqref="H22:H29">
    <cfRule type="expression" dxfId="2838" priority="37">
      <formula>ABS(H$25-H$28)&gt;=1000</formula>
    </cfRule>
  </conditionalFormatting>
  <conditionalFormatting sqref="I22 I24:I29">
    <cfRule type="expression" dxfId="2837" priority="36">
      <formula>ABS(I$25-I$28)&gt;=1000</formula>
    </cfRule>
  </conditionalFormatting>
  <conditionalFormatting sqref="J22:J29 K22">
    <cfRule type="expression" dxfId="2836" priority="35">
      <formula>ABS(J$25-J$28)&gt;=1000</formula>
    </cfRule>
  </conditionalFormatting>
  <conditionalFormatting sqref="K23:K29 L25 L28">
    <cfRule type="expression" dxfId="2835" priority="34">
      <formula>ABS(K$25-K$28)&gt;=1000</formula>
    </cfRule>
  </conditionalFormatting>
  <conditionalFormatting sqref="L22:L24 L26:L27 L29">
    <cfRule type="expression" dxfId="2834" priority="33">
      <formula>ABS(L$25-L$28)&gt;=1000</formula>
    </cfRule>
  </conditionalFormatting>
  <conditionalFormatting sqref="M22:M29">
    <cfRule type="expression" dxfId="2833" priority="32">
      <formula>ABS(M$25-M$28)&gt;=1000</formula>
    </cfRule>
  </conditionalFormatting>
  <conditionalFormatting sqref="N22:N29">
    <cfRule type="expression" dxfId="2832" priority="31">
      <formula>ABS(N$25-N$28)&gt;=1000</formula>
    </cfRule>
  </conditionalFormatting>
  <conditionalFormatting sqref="O22:O29">
    <cfRule type="expression" dxfId="2831" priority="30">
      <formula>ABS(O$25-O$28)&gt;=1000</formula>
    </cfRule>
  </conditionalFormatting>
  <conditionalFormatting sqref="P22:P29">
    <cfRule type="expression" dxfId="2830" priority="29">
      <formula>ABS(P$25-P$28)&gt;=1000</formula>
    </cfRule>
  </conditionalFormatting>
  <conditionalFormatting sqref="Q22:Q29">
    <cfRule type="expression" dxfId="2829" priority="28">
      <formula>ABS(Q$25-Q$28)&gt;=1000</formula>
    </cfRule>
  </conditionalFormatting>
  <conditionalFormatting sqref="R22:R29">
    <cfRule type="expression" dxfId="2828" priority="27">
      <formula>ABS(R$25-R$28)&gt;=1000</formula>
    </cfRule>
  </conditionalFormatting>
  <conditionalFormatting sqref="S22:S29">
    <cfRule type="expression" dxfId="2827" priority="26">
      <formula>ABS(S$25-S$28)&gt;=1000</formula>
    </cfRule>
  </conditionalFormatting>
  <conditionalFormatting sqref="T22:T29">
    <cfRule type="expression" dxfId="2826" priority="25">
      <formula>ABS(T$25-T$28)&gt;=1000</formula>
    </cfRule>
  </conditionalFormatting>
  <conditionalFormatting sqref="U22:U29">
    <cfRule type="expression" dxfId="2825" priority="24">
      <formula>ABS(U$25-U$28)&gt;=1000</formula>
    </cfRule>
  </conditionalFormatting>
  <conditionalFormatting sqref="V22:V29">
    <cfRule type="expression" dxfId="2824" priority="23">
      <formula>ABS(V$25-V$28)&gt;=1000</formula>
    </cfRule>
  </conditionalFormatting>
  <conditionalFormatting sqref="W22:W29">
    <cfRule type="expression" dxfId="2823" priority="22">
      <formula>ABS(W$25-W$28)&gt;=1000</formula>
    </cfRule>
  </conditionalFormatting>
  <conditionalFormatting sqref="X22:X29">
    <cfRule type="expression" dxfId="2822" priority="21">
      <formula>ABS(X$25-X$28)&gt;=1000</formula>
    </cfRule>
  </conditionalFormatting>
  <conditionalFormatting sqref="Y22:Y29">
    <cfRule type="expression" dxfId="2821" priority="20">
      <formula>ABS(Y$25-Y$28)&gt;=1000</formula>
    </cfRule>
  </conditionalFormatting>
  <conditionalFormatting sqref="I23">
    <cfRule type="expression" dxfId="2820" priority="19">
      <formula>ABS(I$25-I$28)&gt;=1000</formula>
    </cfRule>
  </conditionalFormatting>
  <conditionalFormatting sqref="F14">
    <cfRule type="expression" dxfId="2819" priority="18">
      <formula>ABS(F$16-F$19)&gt;=1000</formula>
    </cfRule>
  </conditionalFormatting>
  <conditionalFormatting sqref="Q14">
    <cfRule type="expression" dxfId="2818" priority="17">
      <formula>ABS(Q$16-Q$19)&gt;=1000</formula>
    </cfRule>
  </conditionalFormatting>
  <conditionalFormatting sqref="W14">
    <cfRule type="expression" dxfId="2817" priority="16">
      <formula>ABS(W$16-W$19)&gt;=1000</formula>
    </cfRule>
  </conditionalFormatting>
  <conditionalFormatting sqref="Y14">
    <cfRule type="expression" dxfId="2816" priority="15">
      <formula>ABS(Y$16-Y$19)&gt;=1000</formula>
    </cfRule>
  </conditionalFormatting>
  <conditionalFormatting sqref="X14">
    <cfRule type="expression" dxfId="2815" priority="14">
      <formula>ABS(X$16-X$19)&gt;=1000</formula>
    </cfRule>
  </conditionalFormatting>
  <conditionalFormatting sqref="T10:Y10">
    <cfRule type="expression" dxfId="2814" priority="13">
      <formula>ABS(T$7-T$10)&gt;=1000</formula>
    </cfRule>
  </conditionalFormatting>
  <conditionalFormatting sqref="W19">
    <cfRule type="expression" dxfId="2813" priority="12">
      <formula>ABS(W$16-W$19)&gt;=1000</formula>
    </cfRule>
  </conditionalFormatting>
  <conditionalFormatting sqref="AC5">
    <cfRule type="expression" dxfId="2812" priority="11">
      <formula>ABS(AC$7-AC$10)&gt;=1000</formula>
    </cfRule>
  </conditionalFormatting>
  <conditionalFormatting sqref="M14">
    <cfRule type="expression" dxfId="2811" priority="10">
      <formula>ABS(M$16-M$19)&gt;=1000</formula>
    </cfRule>
  </conditionalFormatting>
  <conditionalFormatting sqref="M16">
    <cfRule type="expression" dxfId="2810" priority="9">
      <formula>ABS(M$16-M$19)&gt;=1000</formula>
    </cfRule>
  </conditionalFormatting>
  <conditionalFormatting sqref="M19">
    <cfRule type="expression" dxfId="2809" priority="8">
      <formula>ABS(M$16-M$19)&gt;=1000</formula>
    </cfRule>
  </conditionalFormatting>
  <conditionalFormatting sqref="K13:K20">
    <cfRule type="expression" dxfId="2808" priority="7">
      <formula>ABS(K$16-K$19)&gt;=1000</formula>
    </cfRule>
  </conditionalFormatting>
  <conditionalFormatting sqref="E5">
    <cfRule type="expression" dxfId="2807" priority="6">
      <formula>ABS(E$7-E$10)&gt;=1000</formula>
    </cfRule>
  </conditionalFormatting>
  <conditionalFormatting sqref="AB14:AC14">
    <cfRule type="expression" dxfId="2806" priority="5">
      <formula>ABS(AB$16-AB$19)&gt;=1000</formula>
    </cfRule>
  </conditionalFormatting>
  <conditionalFormatting sqref="M5">
    <cfRule type="expression" dxfId="2805" priority="4">
      <formula>ABS(M$7-M$10)&gt;=1000</formula>
    </cfRule>
  </conditionalFormatting>
  <conditionalFormatting sqref="N5">
    <cfRule type="expression" dxfId="2804" priority="3">
      <formula>ABS(N$7-N$10)&gt;=1000</formula>
    </cfRule>
  </conditionalFormatting>
  <conditionalFormatting sqref="O5">
    <cfRule type="expression" dxfId="2803" priority="2">
      <formula>ABS(O$7-O$10)&gt;=1000</formula>
    </cfRule>
  </conditionalFormatting>
  <conditionalFormatting sqref="P5">
    <cfRule type="expression" dxfId="280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25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4">
    <pageSetUpPr fitToPage="1"/>
  </sheetPr>
  <dimension ref="A1:CU223"/>
  <sheetViews>
    <sheetView view="pageBreakPreview" zoomScale="85" zoomScaleNormal="100" zoomScaleSheetLayoutView="85" workbookViewId="0">
      <selection activeCell="B1" sqref="B1:AE1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45717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49" t="s" ph="1">
        <v>179</v>
      </c>
      <c r="D6" s="71">
        <v>631</v>
      </c>
      <c r="E6" s="71">
        <v>0</v>
      </c>
      <c r="F6" s="71">
        <v>6811</v>
      </c>
      <c r="G6" s="71">
        <v>5941</v>
      </c>
      <c r="H6" s="71">
        <v>6716</v>
      </c>
      <c r="I6" s="71">
        <v>27.11</v>
      </c>
      <c r="J6" s="71">
        <v>7.81</v>
      </c>
      <c r="K6" s="71">
        <v>7.61</v>
      </c>
      <c r="L6" s="71">
        <v>48.71</v>
      </c>
      <c r="M6" s="71">
        <v>3947</v>
      </c>
      <c r="N6" s="71">
        <v>4323</v>
      </c>
      <c r="O6" s="71">
        <v>2545</v>
      </c>
      <c r="P6" s="71">
        <v>5086</v>
      </c>
      <c r="Q6" s="71">
        <v>0</v>
      </c>
      <c r="R6" s="71">
        <v>0</v>
      </c>
      <c r="S6" s="71">
        <v>0</v>
      </c>
      <c r="T6" s="71">
        <v>1293</v>
      </c>
      <c r="U6" s="71">
        <v>0</v>
      </c>
      <c r="V6" s="71">
        <v>2102</v>
      </c>
      <c r="W6" s="71">
        <v>0</v>
      </c>
      <c r="X6" s="71">
        <v>0</v>
      </c>
      <c r="Y6" s="71">
        <v>0</v>
      </c>
      <c r="Z6" s="71">
        <v>5355</v>
      </c>
      <c r="AA6" s="71">
        <v>1628</v>
      </c>
      <c r="AB6" s="71">
        <v>2439</v>
      </c>
      <c r="AC6" s="71">
        <v>4892</v>
      </c>
      <c r="AD6" s="71">
        <v>609</v>
      </c>
      <c r="AE6" s="71">
        <v>1568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19933.63568073</v>
      </c>
      <c r="E7" s="73" ph="1">
        <f>E6*51.53*LOOKUP(E8,密度!$A$2:$A$50,密度!$I$2:$I$50)</f>
        <v>0</v>
      </c>
      <c r="F7" s="73" ph="1">
        <f>F6*33.183*LOOKUP(F8,密度!$A$2:$A$50,密度!$C$2:$C$50)</f>
        <v>251887.4907885</v>
      </c>
      <c r="G7" s="73" ph="1">
        <f xml:space="preserve"> (G6+2)*51.53*LOOKUP(G8,密度!$A$2:$A$50,密度!$B$2:$B$50)</f>
        <v>240829.33005599998</v>
      </c>
      <c r="H7" s="73" ph="1">
        <f>(H6)*51.53*LOOKUP(H8,密度!$A$2:$A$50,密度!$B$2:$B$50)</f>
        <v>273884.13487199997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2462.1704488000005</v>
      </c>
      <c r="L7" s="73" ph="1">
        <f>L6*290.8*0.777</f>
        <v>11006.102436000001</v>
      </c>
      <c r="M7" s="73" ph="1">
        <f>M6*33.183*LOOKUP(M8,密度!$A$2:$A$50,密度!$D$2:$D$50)</f>
        <v>135308.51726309999</v>
      </c>
      <c r="N7" s="73" ph="1">
        <f>N6*33.183*LOOKUP(N8,密度!$A$2:$A$50,密度!$E$2:$E$50)</f>
        <v>113526.4162626</v>
      </c>
      <c r="O7" s="73" ph="1">
        <f>O6*20.428*LOOKUP(O8,密度!$A$2:$A$50,密度!$C$2:$C$50)</f>
        <v>57728.874304000004</v>
      </c>
      <c r="P7" s="73" ph="1">
        <f>P6*51.53*LOOKUP(P8,密度!$A$2:$A$50,密度!$B$2:$B$50)</f>
        <v>205498.16687800002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8655.2957105999994</v>
      </c>
      <c r="U7" s="73" ph="1">
        <f>U6*1.5*1.5*3.1416*LOOKUP(U8,密度!$A$2:$A$50,密度!$L$2:$L$50)</f>
        <v>0</v>
      </c>
      <c r="V7" s="73" ph="1">
        <f>V6*1.5*1.5*3.1416*LOOKUP(V8,密度!$A$2:$A$50,密度!$L$2:$L$50)</f>
        <v>14055.8545512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167566.35199499998</v>
      </c>
      <c r="AA7" s="73" ph="1">
        <f>AA6*33.183*LOOKUP(AA8,密度!$A$2:$A$50,密度!$D$2:$D$50)</f>
        <v>55761.429952799997</v>
      </c>
      <c r="AB7" s="73" ph="1">
        <f>AB6*20.428*LOOKUP(AB8,密度!$A$2:$A$50,密度!$D$2:$D$50)</f>
        <v>51861.689182799993</v>
      </c>
      <c r="AC7" s="73" ph="1">
        <f>AC6*51.53*LOOKUP(AC8,密度!$A$2:$A$50,密度!$Q$2:$Q$50)</f>
        <v>240388.02713600002</v>
      </c>
      <c r="AD7" s="73" ph="1">
        <f>AD6*20.428*LOOKUP(AD8,密度!$A$2:$A$50,密度!$V$2:$V$50)</f>
        <v>11992.788527999999</v>
      </c>
      <c r="AE7" s="73" ph="1">
        <f>AE6*20.428</f>
        <v>32031.104000000003</v>
      </c>
    </row>
    <row r="8" spans="1:99" ph="1">
      <c r="B8" s="252" ph="1"/>
      <c r="C8" s="68" t="s" ph="1">
        <v>181</v>
      </c>
      <c r="D8" s="74">
        <v>18</v>
      </c>
      <c r="E8" s="74">
        <v>17</v>
      </c>
      <c r="F8" s="74">
        <v>17</v>
      </c>
      <c r="G8" s="74">
        <v>17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18</v>
      </c>
      <c r="O8" s="74">
        <v>23</v>
      </c>
      <c r="P8" s="74">
        <v>20</v>
      </c>
      <c r="Q8" s="74">
        <v>17</v>
      </c>
      <c r="R8" s="74">
        <v>25</v>
      </c>
      <c r="S8" s="74">
        <v>14</v>
      </c>
      <c r="T8" s="74">
        <v>15</v>
      </c>
      <c r="U8" s="74">
        <v>18</v>
      </c>
      <c r="V8" s="74">
        <v>16</v>
      </c>
      <c r="W8" s="74">
        <v>10</v>
      </c>
      <c r="X8" s="74">
        <v>15</v>
      </c>
      <c r="Y8" s="74">
        <v>20</v>
      </c>
      <c r="Z8" s="74">
        <v>19</v>
      </c>
      <c r="AA8" s="74">
        <v>19</v>
      </c>
      <c r="AB8" s="74">
        <v>9</v>
      </c>
      <c r="AC8" s="74">
        <v>16</v>
      </c>
      <c r="AD8" s="74">
        <v>18</v>
      </c>
      <c r="AE8" s="74">
        <v>18</v>
      </c>
    </row>
    <row r="9" spans="1:99" ph="1">
      <c r="B9" s="252" ph="1">
        <v>0.66666666666666663</v>
      </c>
      <c r="C9" s="149" t="s" ph="1">
        <v>182</v>
      </c>
      <c r="D9" s="71">
        <v>555</v>
      </c>
      <c r="E9" s="71">
        <v>0</v>
      </c>
      <c r="F9" s="71">
        <v>6807</v>
      </c>
      <c r="G9" s="71">
        <v>5934</v>
      </c>
      <c r="H9" s="71">
        <v>7342</v>
      </c>
      <c r="I9" s="71">
        <v>27.11</v>
      </c>
      <c r="J9" s="71">
        <v>7.81</v>
      </c>
      <c r="K9" s="71">
        <v>7.61</v>
      </c>
      <c r="L9" s="71">
        <v>27.71</v>
      </c>
      <c r="M9" s="71">
        <v>3942</v>
      </c>
      <c r="N9" s="71">
        <v>4314</v>
      </c>
      <c r="O9" s="71">
        <v>2543</v>
      </c>
      <c r="P9" s="71">
        <v>4303</v>
      </c>
      <c r="Q9" s="71">
        <v>1615</v>
      </c>
      <c r="R9" s="71">
        <v>4605</v>
      </c>
      <c r="S9" s="71">
        <v>2996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3817</v>
      </c>
      <c r="AA9" s="71">
        <v>1624</v>
      </c>
      <c r="AB9" s="71">
        <v>2434</v>
      </c>
      <c r="AC9" s="71">
        <v>4886</v>
      </c>
      <c r="AD9" s="71">
        <v>628</v>
      </c>
      <c r="AE9" s="71">
        <v>1853</v>
      </c>
    </row>
    <row r="10" spans="1:99" s="72" customFormat="1" ht="22.5" ph="1">
      <c r="B10" s="252" ph="1"/>
      <c r="C10" s="149" t="s" ph="1">
        <v>180</v>
      </c>
      <c r="D10" s="73" ph="1">
        <f>D9*33.183*LOOKUP(D11,密度!$A$2:$A$50,密度!$Q$2:$Q$50)</f>
        <v>17532.754045649999</v>
      </c>
      <c r="E10" s="73" ph="1">
        <f>E9*51.53*LOOKUP(E11,密度!$A$2:$A$50,密度!$I$2:$I$50)</f>
        <v>0</v>
      </c>
      <c r="F10" s="73" ph="1">
        <f>F9*33.183*LOOKUP(F11,密度!$A$2:$A$50,密度!$C$2:$C$50)</f>
        <v>251739.56097450003</v>
      </c>
      <c r="G10" s="73" ph="1">
        <f xml:space="preserve"> (G9+2)*51.53*LOOKUP(G11,密度!$A$2:$A$50,密度!$B$2:$B$50)</f>
        <v>240545.66771199999</v>
      </c>
      <c r="H10" s="73" ph="1">
        <f>(H9)*51.53*LOOKUP(H11,密度!$A$2:$A$50,密度!$B$2:$B$50)</f>
        <v>297521.27566400002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2462.1704488000005</v>
      </c>
      <c r="L10" s="73" ph="1">
        <f>L9*290.8*0.777</f>
        <v>6261.1188360000006</v>
      </c>
      <c r="M10" s="73" ph="1">
        <f>M9*33.183*LOOKUP(M11,密度!$A$2:$A$50,密度!$D$2:$D$50)</f>
        <v>135241.75638540002</v>
      </c>
      <c r="N10" s="73" ph="1">
        <f>N9*33.183*LOOKUP(N11,密度!$A$2:$A$50,密度!$E$2:$E$50)</f>
        <v>113447.533635</v>
      </c>
      <c r="O10" s="73" ph="1">
        <f>O9*20.428*LOOKUP(O11,密度!$A$2:$A$50,密度!$C$2:$C$50)</f>
        <v>57683.507801600004</v>
      </c>
      <c r="P10" s="73" ph="1">
        <f>P9*51.53*LOOKUP(P11,密度!$A$2:$A$50,密度!$B$2:$B$50)</f>
        <v>173861.30791900001</v>
      </c>
      <c r="Q10" s="73" ph="1">
        <f>Q9*1.5*1.5*3.1416*LOOKUP(W11,密度!$A$2:$A$50,密度!$L$2:$L$50)</f>
        <v>10719.425870999999</v>
      </c>
      <c r="R10" s="73" ph="1">
        <f>R9*1.5*1.5*3.1416*LOOKUP(R11,密度!$A$2:$A$50,密度!$L$2:$L$50)</f>
        <v>30532.747013999997</v>
      </c>
      <c r="S10" s="73" ph="1">
        <f>S9*1.5*1.5*3.1416*LOOKUP(S11,密度!$A$2:$A$50,密度!$L$2:$L$50)</f>
        <v>20139.826845600001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119566.57838399999</v>
      </c>
      <c r="AA10" s="73" ph="1">
        <f>AA9*33.183*LOOKUP(AA11,密度!$A$2:$A$50,密度!$D$2:$D$50)</f>
        <v>55672.9242552</v>
      </c>
      <c r="AB10" s="73" ph="1">
        <f>AB9*20.428*LOOKUP(AB11,密度!$A$2:$A$50,密度!$D$2:$D$50)</f>
        <v>51844.870810399996</v>
      </c>
      <c r="AC10" s="73" ph="1">
        <f>AC9*51.53*LOOKUP(AC11,密度!$A$2:$A$50,密度!$Q$2:$Q$50)</f>
        <v>239891.772624</v>
      </c>
      <c r="AD10" s="73" ph="1">
        <f>AD9*20.428*LOOKUP(AD11,密度!$A$2:$A$50,密度!$V$2:$V$50)</f>
        <v>12284.8435584</v>
      </c>
      <c r="AE10" s="73" ph="1">
        <f>AE9*20.428</f>
        <v>37853.084000000003</v>
      </c>
    </row>
    <row r="11" spans="1:99" ph="1">
      <c r="A11" s="64" t="s" ph="1">
        <v>164</v>
      </c>
      <c r="B11" s="252" ph="1"/>
      <c r="C11" s="149" t="s" ph="1">
        <v>181</v>
      </c>
      <c r="D11" s="74">
        <v>18</v>
      </c>
      <c r="E11" s="74">
        <v>19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23</v>
      </c>
      <c r="P11" s="74">
        <v>20</v>
      </c>
      <c r="Q11" s="74">
        <v>17</v>
      </c>
      <c r="R11" s="74">
        <v>24</v>
      </c>
      <c r="S11" s="74">
        <v>11</v>
      </c>
      <c r="T11" s="74">
        <v>19</v>
      </c>
      <c r="U11" s="74">
        <v>19</v>
      </c>
      <c r="V11" s="74">
        <v>25</v>
      </c>
      <c r="W11" s="74">
        <v>23</v>
      </c>
      <c r="X11" s="74">
        <v>10</v>
      </c>
      <c r="Y11" s="74">
        <v>20</v>
      </c>
      <c r="Z11" s="74">
        <v>18</v>
      </c>
      <c r="AA11" s="74">
        <v>18</v>
      </c>
      <c r="AB11" s="74">
        <v>7</v>
      </c>
      <c r="AC11" s="74">
        <v>17</v>
      </c>
      <c r="AD11" s="74">
        <v>29</v>
      </c>
      <c r="AE11" s="74">
        <v>18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49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49" t="s" ph="1">
        <v>179</v>
      </c>
      <c r="D15" s="78">
        <v>0</v>
      </c>
      <c r="E15" s="78">
        <v>5465</v>
      </c>
      <c r="F15" s="78">
        <v>836</v>
      </c>
      <c r="G15" s="78">
        <v>2744</v>
      </c>
      <c r="H15" s="78">
        <v>110</v>
      </c>
      <c r="I15" s="78">
        <v>2948</v>
      </c>
      <c r="J15" s="78">
        <v>4979</v>
      </c>
      <c r="K15" s="78">
        <v>742</v>
      </c>
      <c r="L15" s="78">
        <v>5631</v>
      </c>
      <c r="M15" s="78">
        <v>996</v>
      </c>
      <c r="N15" s="78">
        <v>3479</v>
      </c>
      <c r="O15" s="78">
        <v>5576</v>
      </c>
      <c r="P15" s="78">
        <v>4703</v>
      </c>
      <c r="Q15" s="78">
        <v>6964</v>
      </c>
      <c r="R15" s="78">
        <v>3497</v>
      </c>
      <c r="S15" s="78">
        <v>5623</v>
      </c>
      <c r="T15" s="78">
        <v>3685</v>
      </c>
      <c r="U15" s="78">
        <v>3546</v>
      </c>
      <c r="V15" s="78">
        <v>-1641</v>
      </c>
      <c r="W15" s="71">
        <v>-595</v>
      </c>
      <c r="X15" s="78">
        <v>361</v>
      </c>
      <c r="Y15" s="106">
        <v>-9902</v>
      </c>
      <c r="Z15" s="78">
        <v>0</v>
      </c>
      <c r="AA15" s="78">
        <v>2504</v>
      </c>
      <c r="AB15" s="78" ph="1">
        <v>6869</v>
      </c>
      <c r="AC15" s="78" ph="1">
        <v>6513</v>
      </c>
      <c r="AD15" s="78">
        <v>6.81</v>
      </c>
      <c r="AE15" s="78">
        <v>74.81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49" t="s" ph="1">
        <v>180</v>
      </c>
      <c r="D16" s="73" ph="1">
        <f>D15*7.0686*LOOKUP(D17,密度!$A$2:$A$50,密度!$L$2:$L$50)</f>
        <v>0</v>
      </c>
      <c r="E16" s="73" ph="1">
        <f>E15*7.0686*LOOKUP(E17,密度!$A$2:$A$50,密度!$L$2:$L$50)</f>
        <v>36389.364857999994</v>
      </c>
      <c r="F16" s="73" ph="1">
        <f>F15*9.0746*LOOKUP(F17,密度!$A$2:$A$50,密度!$L$2:$L$50)</f>
        <v>7161.5291263999998</v>
      </c>
      <c r="G16" s="73" ph="1">
        <f>G15*9.0746*LOOKUP(G17,密度!$A$2:$A$50,密度!$B$2:$B$50)</f>
        <v>19564.481875680001</v>
      </c>
      <c r="H16" s="73" ph="1">
        <f>H15*9.0746*LOOKUP(H17,密度!$A$2:$A$50,密度!$L$2:$L$50)</f>
        <v>945.30108199999995</v>
      </c>
      <c r="I16" s="73" ph="1">
        <f>I15*9.0746*LOOKUP(I17,密度!$A$2:$A$50,密度!$U$2:$U$50)</f>
        <v>27500.974582400002</v>
      </c>
      <c r="J16" s="73" ph="1">
        <f>J15*9.0746*LOOKUP(J17,密度!$A$2:$A$50,密度!$L$2:$L$50)</f>
        <v>42561.852262799999</v>
      </c>
      <c r="K16" s="73" ph="1">
        <f>K15*9.0746*LOOKUP(K17,密度!$A$2:$A$50,密度!$C$2:$C$50)</f>
        <v>7500.2821294799996</v>
      </c>
      <c r="L16" s="73" ph="1">
        <f>L15*9.0746*LOOKUP(L17,密度!$A$2:$A$50,密度!$E$2:$E$50)</f>
        <v>40383.597075780002</v>
      </c>
      <c r="M16" s="73" ph="1">
        <f>M15*9.0746*LOOKUP(M17,密度!$A$2:$A$50,密度!$M$2:$M$50)</f>
        <v>7956.4168984800008</v>
      </c>
      <c r="N16" s="73" ph="1">
        <f>N15*9.0746*LOOKUP(N17,密度!$A$2:$A$50,密度!$M$2:$M$50)</f>
        <v>27791.54055202</v>
      </c>
      <c r="O16" s="73" ph="1">
        <f>O15*9.0746*LOOKUP(O17,密度!$A$2:$A$50,密度!$G$2:$G$50)</f>
        <v>48768.250700480006</v>
      </c>
      <c r="P16" s="73" ph="1">
        <f ca="1">P15*9.0746*LOOKUP(P17,密度!$A$2:$A$51,密度!$Q$2:$Q$50)</f>
        <v>40530.721478422005</v>
      </c>
      <c r="Q16" s="73" ph="1">
        <f>Q15*9.0746*LOOKUP(Q17,密度!$A$2:$A$50,密度!$Q$2:$Q$50)</f>
        <v>60059.752975472002</v>
      </c>
      <c r="R16" s="73" ph="1">
        <f>MAX(R15*9.0746*LOOKUP(R17,密度!$A$2:$A$50,密度!$B$2:$B$50),0)</f>
        <v>24882.532328420002</v>
      </c>
      <c r="S16" s="73" ph="1">
        <f>S15*9.0746*LOOKUP(S17,密度!$A$2:$A$50,密度!$Q$2:$Q$50)</f>
        <v>48577.715226357999</v>
      </c>
      <c r="T16" s="73" ph="1">
        <f>T15*9.0746*LOOKUP(T17,密度!$A$2:$A$50,密度!$O$2:$O$50)</f>
        <v>31232.867534000001</v>
      </c>
      <c r="U16" s="73" ph="1">
        <f>U15*9.0746*LOOKUP(U17,密度!$A$2:$A$50,密度!$H$2:$H$50)</f>
        <v>29691.131107320001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206.27962278000086</v>
      </c>
      <c r="X16" s="73" ph="1">
        <f>MAX(5600*LOOKUP(X17,密度!$A$2:$A$50,密度!$I$2:$I$50)+X15*9.0476*LOOKUP(X17,密度!$A$2:$A$50,密度!$I$2:$I$50),0)</f>
        <v>9111.776885719999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17887.38690048</v>
      </c>
      <c r="AB16" s="73" ph="1">
        <f>AB15*9.0746*LOOKUP(AB17,密度!$A$2:$A$50,密度!$L$2:$L$50)</f>
        <v>58780.422038199998</v>
      </c>
      <c r="AC16" s="73" ph="1">
        <f>AC15*9.0746*LOOKUP(AC17,密度!$A$2:$A$50,密度!$L$2:$L$50)</f>
        <v>55852.211961000001</v>
      </c>
      <c r="AD16" s="73" ph="1">
        <f>AD15*268.68*LOOKUP(AD17,密度!$A$2:$A$50,密度!B2:B50)+IF(AD15&lt;=0,0,1566*LOOKUP(AD17,密度!$A$2:$A$50,密度!B2:B50))</f>
        <v>2647.2961396799997</v>
      </c>
      <c r="AE16" s="73" ph="1">
        <f>AE15*268.68*LOOKUP(AE17,密度!$A$2:$A$50,密度!B2:B50)+IF(AE15&lt;=0,0,1566*LOOKUP(AE17,密度!$A$2:$A$50,密度!B2:B50))</f>
        <v>16890.77524368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20</v>
      </c>
      <c r="E17" s="74">
        <v>20</v>
      </c>
      <c r="F17" s="74">
        <v>18</v>
      </c>
      <c r="G17" s="74">
        <v>18</v>
      </c>
      <c r="H17" s="74">
        <v>15</v>
      </c>
      <c r="I17" s="74">
        <v>18</v>
      </c>
      <c r="J17" s="74">
        <v>20</v>
      </c>
      <c r="K17" s="74">
        <v>18</v>
      </c>
      <c r="L17" s="74">
        <v>19</v>
      </c>
      <c r="M17" s="74">
        <v>20</v>
      </c>
      <c r="N17" s="74">
        <v>18</v>
      </c>
      <c r="O17" s="74">
        <v>22</v>
      </c>
      <c r="P17" s="74">
        <v>21</v>
      </c>
      <c r="Q17" s="74">
        <v>20</v>
      </c>
      <c r="R17" s="74">
        <v>20</v>
      </c>
      <c r="S17" s="74">
        <v>18</v>
      </c>
      <c r="T17" s="74">
        <v>19</v>
      </c>
      <c r="U17" s="74">
        <v>17</v>
      </c>
      <c r="V17" s="74">
        <v>18</v>
      </c>
      <c r="W17" s="74">
        <v>18</v>
      </c>
      <c r="X17" s="74">
        <v>38</v>
      </c>
      <c r="Y17" s="108">
        <v>38</v>
      </c>
      <c r="Z17" s="74">
        <v>19</v>
      </c>
      <c r="AA17" s="74">
        <v>16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0</v>
      </c>
      <c r="E18" s="71">
        <v>5455</v>
      </c>
      <c r="F18" s="71">
        <v>709</v>
      </c>
      <c r="G18" s="71">
        <v>2583</v>
      </c>
      <c r="H18" s="71">
        <v>108</v>
      </c>
      <c r="I18" s="71">
        <v>3006</v>
      </c>
      <c r="J18" s="71">
        <v>4118</v>
      </c>
      <c r="K18" s="71">
        <v>741</v>
      </c>
      <c r="L18" s="71">
        <v>5622</v>
      </c>
      <c r="M18" s="71">
        <v>113</v>
      </c>
      <c r="N18" s="71">
        <v>3332</v>
      </c>
      <c r="O18" s="71">
        <v>5598</v>
      </c>
      <c r="P18" s="71">
        <v>6920</v>
      </c>
      <c r="Q18" s="71">
        <v>6977</v>
      </c>
      <c r="R18" s="71">
        <v>3490</v>
      </c>
      <c r="S18" s="71">
        <v>5612</v>
      </c>
      <c r="T18" s="71">
        <v>4338</v>
      </c>
      <c r="U18" s="71">
        <v>1769</v>
      </c>
      <c r="V18" s="71">
        <v>-1641</v>
      </c>
      <c r="W18" s="71">
        <v>-595</v>
      </c>
      <c r="X18" s="71">
        <v>362</v>
      </c>
      <c r="Y18" s="109">
        <v>-9900</v>
      </c>
      <c r="Z18" s="71">
        <v>0</v>
      </c>
      <c r="AA18" s="71">
        <v>2500</v>
      </c>
      <c r="AB18" s="71">
        <v>6852</v>
      </c>
      <c r="AC18" s="71">
        <v>6499</v>
      </c>
      <c r="AD18" s="71">
        <v>5.41</v>
      </c>
      <c r="AE18" s="71">
        <v>75.91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49" t="s" ph="1">
        <v>180</v>
      </c>
      <c r="D19" s="73" ph="1">
        <f>D18*7.0686*LOOKUP(D20,密度!$A$2:$A$50,密度!$L$2:$L$50)</f>
        <v>0</v>
      </c>
      <c r="E19" s="73" ph="1">
        <f>E18*7.0686*LOOKUP(E20,密度!$A$2:$A$50,密度!$L$2:$L$50)</f>
        <v>36438.456285</v>
      </c>
      <c r="F19" s="73" ph="1">
        <f>F18*9.0746*LOOKUP(F20,密度!$A$2:$A$50,密度!$L$2:$L$50)</f>
        <v>6080.0273729999999</v>
      </c>
      <c r="G19" s="73" ph="1">
        <f>G18*9.0746*LOOKUP(G20,密度!$A$2:$A$50,密度!$B$2:$B$50)</f>
        <v>18416.565847260001</v>
      </c>
      <c r="H19" s="73" ph="1">
        <f>H18*9.0746*LOOKUP(H20,密度!$A$2:$A$50,密度!$L$2:$L$50)</f>
        <v>928.11378960000002</v>
      </c>
      <c r="I19" s="73" ph="1">
        <f>I18*9.0746*LOOKUP(I20,密度!$A$2:$A$50,密度!$U$2:$U$50)</f>
        <v>28042.038532800005</v>
      </c>
      <c r="J19" s="73" ph="1">
        <f>J18*9.0746*LOOKUP(J20,密度!$A$2:$A$50,密度!$L$2:$L$50)</f>
        <v>35276.527443200001</v>
      </c>
      <c r="K19" s="73" ph="1">
        <f>K18*9.0746*LOOKUP(K20,密度!$A$2:$A$50,密度!$C$2:$C$50)</f>
        <v>7485.4669375200001</v>
      </c>
      <c r="L19" s="73" ph="1">
        <f>L18*9.0746*LOOKUP(L20,密度!$A$2:$A$50,密度!$E$2:$E$50)</f>
        <v>40375.171309680001</v>
      </c>
      <c r="M19" s="73" ph="1">
        <f>M18*9.0746*LOOKUP(M20,密度!$A$2:$A$50,密度!$M$2:$M$50)</f>
        <v>900.32736440000008</v>
      </c>
      <c r="N19" s="73" ph="1">
        <f>N18*9.0746*LOOKUP(N20,密度!$A$2:$A$50,密度!$M$2:$M$50)</f>
        <v>26617.250106160001</v>
      </c>
      <c r="O19" s="73" ph="1">
        <f>O18*9.0746*LOOKUP(O20,密度!$A$2:$A$50,密度!$G$2:$G$50)</f>
        <v>49224.822865200003</v>
      </c>
      <c r="P19" s="73" ph="1">
        <f ca="1">P18*9.0746*LOOKUP(P20,密度!$A$2:$A$51,密度!$Q$2:$Q$50)</f>
        <v>59636.953568080004</v>
      </c>
      <c r="Q19" s="73" ph="1">
        <f>Q18*9.0746*LOOKUP(Q20,密度!$A$2:$A$50,密度!$Q$2:$Q$50)</f>
        <v>60128.182809898004</v>
      </c>
      <c r="R19" s="73" ph="1">
        <f>MAX(R18*9.0746*LOOKUP(R20,密度!$A$2:$A$50,密度!$B$2:$B$50),0)</f>
        <v>24832.724571400002</v>
      </c>
      <c r="S19" s="73" ph="1">
        <f>S18*9.0746*LOOKUP(S20,密度!$A$2:$A$50,密度!$Q$2:$Q$50)</f>
        <v>48522.917074559999</v>
      </c>
      <c r="T19" s="73" ph="1">
        <f>T18*9.0746*LOOKUP(T20,密度!$A$2:$A$50,密度!$O$2:$O$50)</f>
        <v>36767.484223200008</v>
      </c>
      <c r="U19" s="73" ph="1">
        <f>U18*9.0746*LOOKUP(U20,密度!$A$2:$A$50,密度!$H$2:$H$50)</f>
        <v>14844.17895478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206.8278181200003</v>
      </c>
      <c r="X19" s="73" ph="1">
        <f>MAX(5600*LOOKUP(X20,密度!$A$2:$A$50,密度!$I$2:$I$50)+X18*9.0476*LOOKUP(X20,密度!$A$2:$A$50,密度!$I$2:$I$50),0)</f>
        <v>9150.9846333839996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17876.962</v>
      </c>
      <c r="AB19" s="73" ph="1">
        <f>AB18*9.0746*LOOKUP(AB20,密度!$A$2:$A$50,密度!$L$2:$L$50)</f>
        <v>58759.305443999998</v>
      </c>
      <c r="AC19" s="73" ph="1">
        <f>AC18*9.0746*LOOKUP(AC20,密度!$A$2:$A$50,密度!$L$2:$L$50)</f>
        <v>55791.130828399997</v>
      </c>
      <c r="AD19" s="73" ph="1">
        <f>AD18*268.68*LOOKUP(AD20,密度!$A$2:$A$50,密度!B5:B53)+IF(AD18&lt;=0,0,1566*LOOKUP(AD20,密度!$A$2:$A$50,密度!B5:B53))</f>
        <v>2346.1971875999998</v>
      </c>
      <c r="AE19" s="73" ph="1">
        <f>AE18*268.68*LOOKUP(AE20,密度!$A$2:$A$50,密度!B5:B53)+IF(AE18&lt;=0,0,1566*LOOKUP(AE20,密度!$A$2:$A$50,密度!B5:B53))</f>
        <v>17064.084567600003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17</v>
      </c>
      <c r="E20" s="81">
        <v>17</v>
      </c>
      <c r="F20" s="81">
        <v>17</v>
      </c>
      <c r="G20" s="81">
        <v>18</v>
      </c>
      <c r="H20" s="81">
        <v>15</v>
      </c>
      <c r="I20" s="81">
        <v>18</v>
      </c>
      <c r="J20" s="81">
        <v>18</v>
      </c>
      <c r="K20" s="81">
        <v>19</v>
      </c>
      <c r="L20" s="81">
        <v>18</v>
      </c>
      <c r="M20" s="81">
        <v>22</v>
      </c>
      <c r="N20" s="81">
        <v>18</v>
      </c>
      <c r="O20" s="81">
        <v>17</v>
      </c>
      <c r="P20" s="81">
        <v>21</v>
      </c>
      <c r="Q20" s="81">
        <v>21</v>
      </c>
      <c r="R20" s="81">
        <v>20</v>
      </c>
      <c r="S20" s="81">
        <v>17</v>
      </c>
      <c r="T20" s="81">
        <v>18</v>
      </c>
      <c r="U20" s="81">
        <v>15</v>
      </c>
      <c r="V20" s="81">
        <v>15</v>
      </c>
      <c r="W20" s="81">
        <v>15</v>
      </c>
      <c r="X20" s="81">
        <v>35</v>
      </c>
      <c r="Y20" s="110">
        <v>35</v>
      </c>
      <c r="Z20" s="81">
        <v>21</v>
      </c>
      <c r="AA20" s="81">
        <v>15</v>
      </c>
      <c r="AB20" s="81">
        <v>17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644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49" t="s" ph="1">
        <v>179</v>
      </c>
      <c r="D24" s="71">
        <v>98.81</v>
      </c>
      <c r="E24" s="71">
        <v>95.31</v>
      </c>
      <c r="F24" s="71">
        <v>4019</v>
      </c>
      <c r="G24" s="71">
        <v>2551</v>
      </c>
      <c r="H24" s="71">
        <v>3853</v>
      </c>
      <c r="I24" s="71">
        <v>4515</v>
      </c>
      <c r="J24" s="71">
        <v>4902</v>
      </c>
      <c r="K24" s="71">
        <v>5615</v>
      </c>
      <c r="L24" s="71">
        <v>5588</v>
      </c>
      <c r="M24" s="71">
        <v>5452</v>
      </c>
      <c r="N24" s="71">
        <v>5361</v>
      </c>
      <c r="O24" s="71">
        <v>3515</v>
      </c>
      <c r="P24" s="71">
        <v>429</v>
      </c>
      <c r="Q24" s="90">
        <v>2011</v>
      </c>
      <c r="R24" s="71">
        <v>6740</v>
      </c>
      <c r="S24" s="71">
        <v>1574</v>
      </c>
      <c r="T24" s="71">
        <v>905</v>
      </c>
      <c r="U24" s="71">
        <v>6062</v>
      </c>
      <c r="V24" s="71">
        <v>11040</v>
      </c>
      <c r="W24" s="71">
        <v>864</v>
      </c>
      <c r="X24" s="71">
        <v>8182</v>
      </c>
      <c r="Y24" s="71">
        <v>2398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26616.904737192006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44736.668415740001</v>
      </c>
      <c r="G25" s="91" ph="1">
        <f>G24*18.322*LOOKUP(G26,密度!$A$2:$A$50,密度!$B$2:$B$50)</f>
        <v>36723.163865399998</v>
      </c>
      <c r="H25" s="91" ph="1">
        <f>H24*18.322*LOOKUP(H26,密度!$A$2:$A$50,密度!$B$2:$B$50)</f>
        <v>55466.229076199998</v>
      </c>
      <c r="I25" s="91" ph="1">
        <f>I24*18.322*LOOKUP(I26,密度!$A$2:$A$50,密度!$Q$2:$Q$50)</f>
        <v>78753.913398300007</v>
      </c>
      <c r="J25" s="91" ph="1">
        <f>J24*18.322*LOOKUP(J26,密度!$A$2:$A$50,密度!$Q$2:$Q$50)</f>
        <v>85434.193566120011</v>
      </c>
      <c r="K25" s="91" ph="1">
        <f>K24*18.322*LOOKUP(K26,密度!$A$2:$A$50,密度!$Q$2:$Q$50)</f>
        <v>97860.668476899998</v>
      </c>
      <c r="L25" s="91" ph="1">
        <f>L24*18.322*LOOKUP(L26,密度!$A$2:$A$50,密度!$Q$2:$Q$50)</f>
        <v>97469.959705360001</v>
      </c>
      <c r="M25" s="91" ph="1">
        <f>M24*18.322*LOOKUP(M26,密度!$A$2:$A$50,密度!$Q$2:$Q$50)</f>
        <v>95097.748803440001</v>
      </c>
      <c r="N25" s="91" ph="1">
        <f>N24*18.322*LOOKUP(N26,密度!$A$2:$A$50,密度!$Q$2:$Q$50)</f>
        <v>93510.460626419997</v>
      </c>
      <c r="O25" s="91" ph="1">
        <f>O24*18.322*LOOKUP(O26,密度!$A$2:$A$50,密度!$C$2:$C$50)</f>
        <v>71737.198436999985</v>
      </c>
      <c r="P25" s="91" ph="1">
        <f>P24*11.702*LOOKUP(P26,密度!$A$2:$A$50,密度!$B$2:$B$50)</f>
        <v>3940.3220142000005</v>
      </c>
      <c r="Q25" s="92" ph="1">
        <f>Q24*18.322*LOOKUP(Q26,密度!$A$2:$A$50,密度!$B$2:$B$50)</f>
        <v>28920.065915800002</v>
      </c>
      <c r="R25" s="91" ph="1">
        <f>R24*35.891*LOOKUP(R26,密度!$A$2:$A$50,密度!$C$2:$C$50)</f>
        <v>269289.02448799997</v>
      </c>
      <c r="S25" s="91" ph="1">
        <f>S24*35.891*LOOKUP(S26,密度!$A$2:$A$50,密度!$B$2:$B$50)</f>
        <v>44340.911446599996</v>
      </c>
      <c r="T25" s="91" ph="1">
        <f>T24*35.891*LOOKUP(T26,密度!$A$2:$A$50,密度!$Q$2:$Q$50)</f>
        <v>30922.574773550001</v>
      </c>
      <c r="U25" s="91" ph="1">
        <f>U24*35.891</f>
        <v>217571.242</v>
      </c>
      <c r="V25" s="91" ph="1">
        <f>V24*47.051*LOOKUP(V26,密度!$A$2:$A$50,密度!$B$2:$B$50)</f>
        <v>408126.39652800001</v>
      </c>
      <c r="W25" s="91" ph="1">
        <f>W24*47.051*LOOKUP(W26,密度!$A$2:$A$50,密度!$B$2:$B$50)</f>
        <v>31907.805033600001</v>
      </c>
      <c r="X25" s="91" ph="1">
        <f>X24*47.051*LOOKUP(X26,密度!$A$2:$A$50,密度!$I$2:$I$50)</f>
        <v>398691.65849047998</v>
      </c>
      <c r="Y25" s="91" ph="1">
        <f>Y24*47.051*LOOKUP(Y26,密度!$A$2:$A$50,密度!$L$2:$L$50)</f>
        <v>106509.913312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19</v>
      </c>
      <c r="G26" s="74">
        <v>18</v>
      </c>
      <c r="H26" s="74">
        <v>18</v>
      </c>
      <c r="I26" s="74">
        <v>18</v>
      </c>
      <c r="J26" s="74">
        <v>19</v>
      </c>
      <c r="K26" s="74">
        <v>19</v>
      </c>
      <c r="L26" s="74">
        <v>18</v>
      </c>
      <c r="M26" s="74">
        <v>18</v>
      </c>
      <c r="N26" s="74">
        <v>18</v>
      </c>
      <c r="O26" s="74">
        <v>18</v>
      </c>
      <c r="P26" s="74">
        <v>19</v>
      </c>
      <c r="Q26" s="93">
        <v>19</v>
      </c>
      <c r="R26" s="74">
        <v>19</v>
      </c>
      <c r="S26" s="74">
        <v>19</v>
      </c>
      <c r="T26" s="74">
        <v>18</v>
      </c>
      <c r="U26" s="74">
        <v>18</v>
      </c>
      <c r="V26" s="74">
        <v>18</v>
      </c>
      <c r="W26" s="74">
        <v>19</v>
      </c>
      <c r="X26" s="74">
        <v>50</v>
      </c>
      <c r="Y26" s="74">
        <v>18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49" t="s" ph="1">
        <v>182</v>
      </c>
      <c r="D27" s="71">
        <v>98.21</v>
      </c>
      <c r="E27" s="71">
        <v>95.21</v>
      </c>
      <c r="F27" s="71">
        <v>4011</v>
      </c>
      <c r="G27" s="71">
        <v>3316</v>
      </c>
      <c r="H27" s="71">
        <v>2087</v>
      </c>
      <c r="I27" s="71">
        <v>2383</v>
      </c>
      <c r="J27" s="71">
        <v>4895</v>
      </c>
      <c r="K27" s="71">
        <v>5605</v>
      </c>
      <c r="L27" s="71">
        <v>5577</v>
      </c>
      <c r="M27" s="71">
        <v>5444</v>
      </c>
      <c r="N27" s="71">
        <v>5355</v>
      </c>
      <c r="O27" s="71">
        <v>3515</v>
      </c>
      <c r="P27" s="71">
        <v>427</v>
      </c>
      <c r="Q27" s="90">
        <v>1319</v>
      </c>
      <c r="R27" s="71">
        <v>6735</v>
      </c>
      <c r="S27" s="71">
        <v>2211</v>
      </c>
      <c r="T27" s="71">
        <v>902</v>
      </c>
      <c r="U27" s="71">
        <v>5756</v>
      </c>
      <c r="V27" s="71">
        <v>10170</v>
      </c>
      <c r="W27" s="71">
        <v>1654</v>
      </c>
      <c r="X27" s="71">
        <v>8188</v>
      </c>
      <c r="Y27" s="71">
        <v>1602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49" t="s" ph="1">
        <v>180</v>
      </c>
      <c r="D28" s="91" ph="1">
        <f>D27*268.68*LOOKUP(D29,密度!$A$2:$A$50,密度!$Q$2:$Q$50)+IF(D27&lt;=0,0,1566*LOOKUP(D29,密度!$A$2:$A$50,密度!$Q$2:$Q$50))</f>
        <v>26464.282675272003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44684.228711219999</v>
      </c>
      <c r="G28" s="91" ph="1">
        <f>G27*18.322*LOOKUP(G29,密度!$A$2:$A$50,密度!$B$2:$B$50)</f>
        <v>47735.794346399998</v>
      </c>
      <c r="H28" s="91" ph="1">
        <f>H27*18.322*LOOKUP(H29,密度!$A$2:$A$50,密度!$B$2:$B$50)</f>
        <v>30043.607599799994</v>
      </c>
      <c r="I28" s="91" ph="1">
        <f>I27*18.322*LOOKUP(I29,密度!$A$2:$A$50,密度!$Q$2:$Q$50)</f>
        <v>41600.511412799999</v>
      </c>
      <c r="J28" s="91" ph="1">
        <f>J27*18.322*LOOKUP(J29,密度!$A$2:$A$50,密度!$Q$2:$Q$50)</f>
        <v>85453.001831999994</v>
      </c>
      <c r="K28" s="91" ph="1">
        <f>K27*18.322*LOOKUP(K29,密度!$A$2:$A$50,密度!$Q$2:$Q$50)</f>
        <v>97766.486068099999</v>
      </c>
      <c r="L28" s="91" ph="1">
        <f>L27*18.322*LOOKUP(L29,密度!$A$2:$A$50,密度!$Q$2:$Q$50)</f>
        <v>97278.089705940001</v>
      </c>
      <c r="M28" s="91" ph="1">
        <f>M27*18.322*LOOKUP(M29,密度!$A$2:$A$50,密度!$Q$2:$Q$50)</f>
        <v>94880.405910639995</v>
      </c>
      <c r="N28" s="91" ph="1">
        <f>N27*18.322*LOOKUP(N29,密度!$A$2:$A$50,密度!$Q$2:$Q$50)</f>
        <v>93329.275101299994</v>
      </c>
      <c r="O28" s="91" ph="1">
        <f>O27*18.322*LOOKUP(O29,密度!$A$2:$A$50,密度!$C$2:$C$50)</f>
        <v>71737.198436999985</v>
      </c>
      <c r="P28" s="91" ph="1">
        <f>P27*11.702*LOOKUP(P29,密度!$A$2:$A$50,密度!$B$2:$B$50)</f>
        <v>3925.9496177999995</v>
      </c>
      <c r="Q28" s="92" ph="1">
        <f>Q27*18.322*LOOKUP(Q29,密度!$A$2:$A$50,密度!$B$2:$B$50)</f>
        <v>18987.790332599998</v>
      </c>
      <c r="R28" s="91" ph="1">
        <f>R27*35.891*LOOKUP(R29,密度!$A$2:$A$50,密度!$C$2:$C$50)</f>
        <v>269258.46330149996</v>
      </c>
      <c r="S28" s="91" ph="1">
        <f>S27*35.891*LOOKUP(S29,密度!$A$2:$A$50,密度!$B$2:$B$50)</f>
        <v>62349.224285699987</v>
      </c>
      <c r="T28" s="91" ph="1">
        <f>T27*35.891*LOOKUP(T29,密度!$A$2:$A$50,密度!$Q$2:$Q$50)</f>
        <v>30794.81752886</v>
      </c>
      <c r="U28" s="91" ph="1">
        <f>U27*35.891</f>
        <v>206588.59599999999</v>
      </c>
      <c r="V28" s="91" ph="1">
        <f>V27*47.051*LOOKUP(V29,密度!$A$2:$A$50,密度!$B$2:$B$50)</f>
        <v>375964.26201900002</v>
      </c>
      <c r="W28" s="91" ph="1">
        <f>W27*47.051*LOOKUP(W29,密度!$A$2:$A$50,密度!$B$2:$B$50)</f>
        <v>61145.0235378</v>
      </c>
      <c r="X28" s="91" ph="1">
        <f>X27*47.051*LOOKUP(X29,密度!$A$2:$A$50,密度!$I$2:$I$50)</f>
        <v>398984.02587631997</v>
      </c>
      <c r="Y28" s="91" ph="1">
        <f>Y27*47.051*LOOKUP(Y29,密度!$A$2:$A$50,密度!$L$2:$L$50)</f>
        <v>71079.286986000006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49" t="s" ph="1">
        <v>181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17</v>
      </c>
      <c r="J29" s="74">
        <v>17</v>
      </c>
      <c r="K29" s="74">
        <v>18</v>
      </c>
      <c r="L29" s="74">
        <v>18</v>
      </c>
      <c r="M29" s="74">
        <v>19</v>
      </c>
      <c r="N29" s="74">
        <v>19</v>
      </c>
      <c r="O29" s="74">
        <v>18</v>
      </c>
      <c r="P29" s="74">
        <v>18</v>
      </c>
      <c r="Q29" s="93">
        <v>18</v>
      </c>
      <c r="R29" s="74">
        <v>18</v>
      </c>
      <c r="S29" s="74">
        <v>18</v>
      </c>
      <c r="T29" s="74">
        <v>19</v>
      </c>
      <c r="U29" s="74">
        <v>19</v>
      </c>
      <c r="V29" s="74">
        <v>18</v>
      </c>
      <c r="W29" s="74">
        <v>18</v>
      </c>
      <c r="X29" s="74">
        <v>55</v>
      </c>
      <c r="Y29" s="74">
        <v>19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86</v>
      </c>
      <c r="AC32" s="149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107517.79506559999</v>
      </c>
      <c r="E33" s="201" ph="1">
        <f>M10+I10</f>
        <v>143335.83618500002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27" ph="1">
        <v>0</v>
      </c>
      <c r="H33" s="201" ph="1">
        <f>N19</f>
        <v>26617.250106160001</v>
      </c>
      <c r="I33" s="205" ph="1">
        <v>0</v>
      </c>
      <c r="J33" s="209" ph="1">
        <f>F10+O28</f>
        <v>323476.75941150001</v>
      </c>
      <c r="K33" s="201" ph="1">
        <f>O10+K10+E28+R28</f>
        <v>359507.47513481998</v>
      </c>
      <c r="L33" s="211" ph="1">
        <f>BE27</f>
        <v>7100</v>
      </c>
      <c r="M33" s="209" ph="1">
        <f>G10+H10+W28+S28</f>
        <v>661561.1911995</v>
      </c>
      <c r="N33" s="201" ph="1">
        <f>L10+P10++G28+H28+V28</f>
        <v>633866.09072019998</v>
      </c>
      <c r="O33" s="205" ph="1">
        <f>BE17</f>
        <v>2270</v>
      </c>
      <c r="P33" s="209" ph="1">
        <f>L19</f>
        <v>40375.171309680001</v>
      </c>
      <c r="Q33" s="201" ph="1">
        <f>J10+N10</f>
        <v>115239.9236366</v>
      </c>
      <c r="R33" s="205" ph="1">
        <f>BE23</f>
        <v>890</v>
      </c>
      <c r="S33" s="209" ph="1">
        <f>E10+X28</f>
        <v>398984.02587631997</v>
      </c>
      <c r="T33" s="201" ph="1">
        <f>X19</f>
        <v>9150.9846333839996</v>
      </c>
      <c r="U33" s="190" ph="1">
        <f>BE21</f>
        <v>730</v>
      </c>
      <c r="V33" s="203" ph="1">
        <f ca="1">P19+Q19+S19+M28+N28+J28</f>
        <v>441950.73629647796</v>
      </c>
      <c r="W33" s="203" ph="1">
        <f>D28+F28+V19+T28</f>
        <v>101943.328915352</v>
      </c>
      <c r="X33" s="205" ph="1">
        <f>BE29+BE31</f>
        <v>10200</v>
      </c>
      <c r="Y33" s="207" ph="1">
        <f>+Q10+R10+S10+T10+U10+V10+W10+X10+Y10</f>
        <v>61391.999730599993</v>
      </c>
      <c r="Z33" s="188" ph="1">
        <f>D10+T19+U19+Y28+Z10</f>
        <v>259790.28259363002</v>
      </c>
      <c r="AA33" s="190" ph="1">
        <f>BE19</f>
        <v>1440</v>
      </c>
      <c r="AB33" s="192" ph="1">
        <f>I19</f>
        <v>28042.038532800005</v>
      </c>
      <c r="AC33" s="194" ph="1">
        <f>AD10</f>
        <v>12284.8435584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47" t="s" ph="1">
        <v>187</v>
      </c>
      <c r="AA36" s="147" ph="1"/>
      <c r="AB36" s="187" t="s" ph="1">
        <v>614</v>
      </c>
      <c r="AC36" s="187" ph="1"/>
      <c r="AD36" s="187" ph="1"/>
      <c r="AE36" s="187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346</v>
      </c>
      <c r="AI37" s="147" t="s" ph="1">
        <v>213</v>
      </c>
      <c r="AJ37" s="147" t="s" ph="1">
        <v>214</v>
      </c>
      <c r="AK37" s="147" t="s" ph="1">
        <v>215</v>
      </c>
      <c r="AM37" s="147" t="s" ph="1">
        <v>214</v>
      </c>
      <c r="AN37" s="147" t="s" ph="1">
        <v>215</v>
      </c>
      <c r="AO37" s="147" t="s" ph="1">
        <v>216</v>
      </c>
      <c r="AP37" s="147" t="s" ph="1">
        <v>214</v>
      </c>
      <c r="AQ37" s="147" t="s" ph="1">
        <v>215</v>
      </c>
      <c r="AR37" s="147" t="s" ph="1">
        <v>216</v>
      </c>
      <c r="AS37" s="147" t="s" ph="1">
        <v>214</v>
      </c>
      <c r="AT37" s="147" t="s" ph="1">
        <v>215</v>
      </c>
      <c r="AU37" s="147" t="s" ph="1">
        <v>216</v>
      </c>
      <c r="AV37" s="147" t="s" ph="1">
        <v>214</v>
      </c>
      <c r="AW37" s="147" t="s" ph="1">
        <v>215</v>
      </c>
      <c r="AX37" s="147" t="s" ph="1">
        <v>216</v>
      </c>
      <c r="AY37" s="147" t="s" ph="1">
        <v>215</v>
      </c>
      <c r="AZ37" s="147" t="s" ph="1">
        <v>217</v>
      </c>
      <c r="BD37" s="147" t="s" ph="1">
        <v>309</v>
      </c>
      <c r="BE37" s="147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71" priority="96">
      <formula>ABS(D$7-D$10)&gt;=1000</formula>
    </cfRule>
  </conditionalFormatting>
  <conditionalFormatting sqref="E4 E6:E11">
    <cfRule type="expression" dxfId="2770" priority="95">
      <formula>ABS(E$7-E$10)&gt;=1000</formula>
    </cfRule>
  </conditionalFormatting>
  <conditionalFormatting sqref="F4:F11">
    <cfRule type="expression" dxfId="2769" priority="94">
      <formula>ABS(F$7-F$10)&gt;=1000</formula>
    </cfRule>
  </conditionalFormatting>
  <conditionalFormatting sqref="G4:G11">
    <cfRule type="expression" dxfId="2768" priority="93">
      <formula>ABS(G$7-G$10)&gt;=1000</formula>
    </cfRule>
  </conditionalFormatting>
  <conditionalFormatting sqref="H4:H11">
    <cfRule type="expression" dxfId="2767" priority="92">
      <formula>ABS(H$7-H$10)&gt;=1000</formula>
    </cfRule>
  </conditionalFormatting>
  <conditionalFormatting sqref="I4:I11">
    <cfRule type="expression" dxfId="2766" priority="91">
      <formula>ABS(I$7-I$10)&gt;=1000</formula>
    </cfRule>
  </conditionalFormatting>
  <conditionalFormatting sqref="J4:J11">
    <cfRule type="expression" dxfId="2765" priority="90">
      <formula>ABS(J$7-J$10)&gt;=1000</formula>
    </cfRule>
  </conditionalFormatting>
  <conditionalFormatting sqref="K4:K11">
    <cfRule type="expression" dxfId="2764" priority="89">
      <formula>ABS(K$7-K$10)&gt;=1000</formula>
    </cfRule>
  </conditionalFormatting>
  <conditionalFormatting sqref="L4:L11">
    <cfRule type="expression" dxfId="2763" priority="88">
      <formula>ABS(L$7-L$10)&gt;=1000</formula>
    </cfRule>
  </conditionalFormatting>
  <conditionalFormatting sqref="M4 M6:M11">
    <cfRule type="expression" dxfId="2762" priority="87">
      <formula>ABS(M$7-M$10)&gt;=1000</formula>
    </cfRule>
  </conditionalFormatting>
  <conditionalFormatting sqref="N4 N6:N11">
    <cfRule type="expression" dxfId="2761" priority="86">
      <formula>ABS(N$7-N$10)&gt;=1000</formula>
    </cfRule>
  </conditionalFormatting>
  <conditionalFormatting sqref="O4 O6:O11">
    <cfRule type="expression" dxfId="2760" priority="85">
      <formula>ABS(O$7-O$10)&gt;=1000</formula>
    </cfRule>
  </conditionalFormatting>
  <conditionalFormatting sqref="P4 P6:P11">
    <cfRule type="expression" dxfId="2759" priority="84">
      <formula>ABS(P$7-P$10)&gt;=1000</formula>
    </cfRule>
  </conditionalFormatting>
  <conditionalFormatting sqref="Q4:Q11">
    <cfRule type="expression" dxfId="2758" priority="83">
      <formula>ABS(Q$7-Q$10)&gt;=1000</formula>
    </cfRule>
  </conditionalFormatting>
  <conditionalFormatting sqref="R4:R11">
    <cfRule type="expression" dxfId="2757" priority="82">
      <formula>ABS(R$7-R$10)&gt;=1000</formula>
    </cfRule>
  </conditionalFormatting>
  <conditionalFormatting sqref="S4:S11">
    <cfRule type="expression" dxfId="2756" priority="81">
      <formula>ABS(S$7-S$10)&gt;=1000</formula>
    </cfRule>
  </conditionalFormatting>
  <conditionalFormatting sqref="T4:T9 T11">
    <cfRule type="expression" dxfId="2755" priority="80">
      <formula>ABS(T$7-T$10)&gt;=1000</formula>
    </cfRule>
  </conditionalFormatting>
  <conditionalFormatting sqref="U4:U9 U11">
    <cfRule type="expression" dxfId="2754" priority="79">
      <formula>ABS(U$7-U$10)&gt;=1000</formula>
    </cfRule>
  </conditionalFormatting>
  <conditionalFormatting sqref="V4:V9 V11">
    <cfRule type="expression" dxfId="2753" priority="78">
      <formula>ABS(V$7-V$10)&gt;=1000</formula>
    </cfRule>
  </conditionalFormatting>
  <conditionalFormatting sqref="W4:W9 W11">
    <cfRule type="expression" dxfId="2752" priority="77">
      <formula>ABS(W$7-W$10)&gt;=1000</formula>
    </cfRule>
  </conditionalFormatting>
  <conditionalFormatting sqref="X4:X9 X11">
    <cfRule type="expression" dxfId="2751" priority="76">
      <formula>ABS(X$7-X$10)&gt;=1000</formula>
    </cfRule>
  </conditionalFormatting>
  <conditionalFormatting sqref="Y4:Y9 Y11">
    <cfRule type="expression" dxfId="2750" priority="75">
      <formula>ABS(Y$7-Y$10)&gt;=1000</formula>
    </cfRule>
  </conditionalFormatting>
  <conditionalFormatting sqref="Z4:Z11">
    <cfRule type="expression" dxfId="2749" priority="74">
      <formula>ABS(Z$7-Z$10)&gt;=1000</formula>
    </cfRule>
  </conditionalFormatting>
  <conditionalFormatting sqref="AA4:AA11">
    <cfRule type="expression" dxfId="2748" priority="73">
      <formula>ABS(AA$7-AA$10)&gt;=1000</formula>
    </cfRule>
  </conditionalFormatting>
  <conditionalFormatting sqref="AB4:AB11">
    <cfRule type="expression" dxfId="2747" priority="72">
      <formula>ABS(AB$7-AB$10)&gt;=1000</formula>
    </cfRule>
  </conditionalFormatting>
  <conditionalFormatting sqref="AC4 AC6:AC11">
    <cfRule type="expression" dxfId="2746" priority="71">
      <formula>ABS(AC$7-AC$10)&gt;=1000</formula>
    </cfRule>
  </conditionalFormatting>
  <conditionalFormatting sqref="AD4:AD11">
    <cfRule type="expression" dxfId="2745" priority="70">
      <formula>ABS(AD$7-AD$10)&gt;=1000</formula>
    </cfRule>
  </conditionalFormatting>
  <conditionalFormatting sqref="AE4:AE11">
    <cfRule type="expression" dxfId="2744" priority="69">
      <formula>ABS(AE$7-AE$10)&gt;=1000</formula>
    </cfRule>
  </conditionalFormatting>
  <conditionalFormatting sqref="D13:D20">
    <cfRule type="expression" dxfId="2743" priority="68">
      <formula>ABS(D$16-D$19)&gt;=1000</formula>
    </cfRule>
  </conditionalFormatting>
  <conditionalFormatting sqref="E13:E20">
    <cfRule type="expression" dxfId="2742" priority="67">
      <formula>ABS(E$16-E$19)&gt;=1000</formula>
    </cfRule>
  </conditionalFormatting>
  <conditionalFormatting sqref="F13 F15:F20">
    <cfRule type="expression" dxfId="2741" priority="66">
      <formula>ABS(F$16-F$19)&gt;=1000</formula>
    </cfRule>
  </conditionalFormatting>
  <conditionalFormatting sqref="G13:G20">
    <cfRule type="expression" dxfId="2740" priority="65">
      <formula>ABS(G$16-G$19)&gt;=1000</formula>
    </cfRule>
  </conditionalFormatting>
  <conditionalFormatting sqref="H13:H20">
    <cfRule type="expression" dxfId="2739" priority="64">
      <formula>ABS(H$16-H$19)&gt;=1000</formula>
    </cfRule>
  </conditionalFormatting>
  <conditionalFormatting sqref="I13:I20">
    <cfRule type="expression" dxfId="2738" priority="63">
      <formula>ABS(I$16-I$19)&gt;=1000</formula>
    </cfRule>
  </conditionalFormatting>
  <conditionalFormatting sqref="J13:J20">
    <cfRule type="expression" dxfId="2737" priority="62">
      <formula>ABS(J$16-J$19)&gt;=1000</formula>
    </cfRule>
  </conditionalFormatting>
  <conditionalFormatting sqref="L13:L20">
    <cfRule type="expression" dxfId="2736" priority="61">
      <formula>ABS(L$16-L$19)&gt;=1000</formula>
    </cfRule>
  </conditionalFormatting>
  <conditionalFormatting sqref="M13 M15 M17:M18 M20">
    <cfRule type="expression" dxfId="2735" priority="60">
      <formula>ABS(M$16-M$19)&gt;=1000</formula>
    </cfRule>
  </conditionalFormatting>
  <conditionalFormatting sqref="N13:N20">
    <cfRule type="expression" dxfId="2734" priority="59">
      <formula>ABS(N$16-N$19)&gt;=1000</formula>
    </cfRule>
  </conditionalFormatting>
  <conditionalFormatting sqref="O13:O20">
    <cfRule type="expression" dxfId="2733" priority="58">
      <formula>ABS(O$16-O$19)&gt;=1000</formula>
    </cfRule>
  </conditionalFormatting>
  <conditionalFormatting sqref="P13:P20">
    <cfRule type="expression" dxfId="2732" priority="57">
      <formula>ABS(P$16-P$19)&gt;=1000</formula>
    </cfRule>
  </conditionalFormatting>
  <conditionalFormatting sqref="Q13 Q15:Q20">
    <cfRule type="expression" dxfId="2731" priority="56">
      <formula>ABS(Q$16-Q$19)&gt;=1000</formula>
    </cfRule>
  </conditionalFormatting>
  <conditionalFormatting sqref="R13:R20">
    <cfRule type="expression" dxfId="2730" priority="55">
      <formula>ABS(R$16-R$19)&gt;=1000</formula>
    </cfRule>
  </conditionalFormatting>
  <conditionalFormatting sqref="S13:S20">
    <cfRule type="expression" dxfId="2729" priority="54">
      <formula>ABS(S$16-S$19)&gt;=1000</formula>
    </cfRule>
  </conditionalFormatting>
  <conditionalFormatting sqref="T13:T20">
    <cfRule type="expression" dxfId="2728" priority="53">
      <formula>ABS(T$16-T$19)&gt;=1000</formula>
    </cfRule>
  </conditionalFormatting>
  <conditionalFormatting sqref="U13:U20">
    <cfRule type="expression" dxfId="2727" priority="52">
      <formula>ABS(U$16-U$19)&gt;=1000</formula>
    </cfRule>
  </conditionalFormatting>
  <conditionalFormatting sqref="V13:V20">
    <cfRule type="expression" dxfId="2726" priority="51">
      <formula>ABS(V$16-V$19)&gt;=1000</formula>
    </cfRule>
  </conditionalFormatting>
  <conditionalFormatting sqref="W13 W20 W15:W18">
    <cfRule type="expression" dxfId="2725" priority="50">
      <formula>ABS(W$16-W$19)&gt;=1000</formula>
    </cfRule>
  </conditionalFormatting>
  <conditionalFormatting sqref="X13 X15:X20 Y19">
    <cfRule type="expression" dxfId="2724" priority="49">
      <formula>ABS(X$16-X$19)&gt;=1000</formula>
    </cfRule>
  </conditionalFormatting>
  <conditionalFormatting sqref="Y13 Y15:Y18 Y20">
    <cfRule type="expression" dxfId="2723" priority="48">
      <formula>ABS(Y$16-Y$19)&gt;=1000</formula>
    </cfRule>
  </conditionalFormatting>
  <conditionalFormatting sqref="Z13:Z20">
    <cfRule type="expression" dxfId="2722" priority="47">
      <formula>ABS(Z$16-Z$19)&gt;=1000</formula>
    </cfRule>
  </conditionalFormatting>
  <conditionalFormatting sqref="AA13:AA20">
    <cfRule type="expression" dxfId="2721" priority="46">
      <formula>ABS(AA$16-AA$19)&gt;=1000</formula>
    </cfRule>
  </conditionalFormatting>
  <conditionalFormatting sqref="AB13 AB15:AB20">
    <cfRule type="expression" dxfId="2720" priority="45">
      <formula>ABS(AB$16-AB$19)&gt;=1000</formula>
    </cfRule>
  </conditionalFormatting>
  <conditionalFormatting sqref="AC13 AC15:AC20">
    <cfRule type="expression" dxfId="2719" priority="44">
      <formula>ABS(AC$16-AC$19)&gt;=1000</formula>
    </cfRule>
  </conditionalFormatting>
  <conditionalFormatting sqref="AD13:AD20">
    <cfRule type="expression" dxfId="2718" priority="43">
      <formula>ABS(AD$16-AD$19)&gt;=1000</formula>
    </cfRule>
  </conditionalFormatting>
  <conditionalFormatting sqref="AE13:AE20">
    <cfRule type="expression" dxfId="2717" priority="42">
      <formula>ABS(AE$16-AE$19)&gt;=1000</formula>
    </cfRule>
  </conditionalFormatting>
  <conditionalFormatting sqref="D22:D29">
    <cfRule type="expression" dxfId="2716" priority="41">
      <formula>ABS(D$25-D$28)&gt;=1000</formula>
    </cfRule>
  </conditionalFormatting>
  <conditionalFormatting sqref="E22:E29">
    <cfRule type="expression" dxfId="2715" priority="40">
      <formula>ABS(E$25-E$28)&gt;=1000</formula>
    </cfRule>
  </conditionalFormatting>
  <conditionalFormatting sqref="F22:F29">
    <cfRule type="expression" dxfId="2714" priority="39">
      <formula>ABS(F$25-F$28)&gt;=1000</formula>
    </cfRule>
  </conditionalFormatting>
  <conditionalFormatting sqref="G22:G29">
    <cfRule type="expression" dxfId="2713" priority="38">
      <formula>ABS(G$25-G$28)&gt;=1000</formula>
    </cfRule>
  </conditionalFormatting>
  <conditionalFormatting sqref="H22:H29">
    <cfRule type="expression" dxfId="2712" priority="37">
      <formula>ABS(H$25-H$28)&gt;=1000</formula>
    </cfRule>
  </conditionalFormatting>
  <conditionalFormatting sqref="I22 I24:I29">
    <cfRule type="expression" dxfId="2711" priority="36">
      <formula>ABS(I$25-I$28)&gt;=1000</formula>
    </cfRule>
  </conditionalFormatting>
  <conditionalFormatting sqref="J22:J29 K22">
    <cfRule type="expression" dxfId="2710" priority="35">
      <formula>ABS(J$25-J$28)&gt;=1000</formula>
    </cfRule>
  </conditionalFormatting>
  <conditionalFormatting sqref="K23:K29 L25 L28">
    <cfRule type="expression" dxfId="2709" priority="34">
      <formula>ABS(K$25-K$28)&gt;=1000</formula>
    </cfRule>
  </conditionalFormatting>
  <conditionalFormatting sqref="L22:L24 L26:L27 L29">
    <cfRule type="expression" dxfId="2708" priority="33">
      <formula>ABS(L$25-L$28)&gt;=1000</formula>
    </cfRule>
  </conditionalFormatting>
  <conditionalFormatting sqref="M22:M29">
    <cfRule type="expression" dxfId="2707" priority="32">
      <formula>ABS(M$25-M$28)&gt;=1000</formula>
    </cfRule>
  </conditionalFormatting>
  <conditionalFormatting sqref="N22:N29">
    <cfRule type="expression" dxfId="2706" priority="31">
      <formula>ABS(N$25-N$28)&gt;=1000</formula>
    </cfRule>
  </conditionalFormatting>
  <conditionalFormatting sqref="O22:O29">
    <cfRule type="expression" dxfId="2705" priority="30">
      <formula>ABS(O$25-O$28)&gt;=1000</formula>
    </cfRule>
  </conditionalFormatting>
  <conditionalFormatting sqref="P22:P29">
    <cfRule type="expression" dxfId="2704" priority="29">
      <formula>ABS(P$25-P$28)&gt;=1000</formula>
    </cfRule>
  </conditionalFormatting>
  <conditionalFormatting sqref="Q22:Q29">
    <cfRule type="expression" dxfId="2703" priority="28">
      <formula>ABS(Q$25-Q$28)&gt;=1000</formula>
    </cfRule>
  </conditionalFormatting>
  <conditionalFormatting sqref="R22:R29">
    <cfRule type="expression" dxfId="2702" priority="27">
      <formula>ABS(R$25-R$28)&gt;=1000</formula>
    </cfRule>
  </conditionalFormatting>
  <conditionalFormatting sqref="S22:S29">
    <cfRule type="expression" dxfId="2701" priority="26">
      <formula>ABS(S$25-S$28)&gt;=1000</formula>
    </cfRule>
  </conditionalFormatting>
  <conditionalFormatting sqref="T22:T29">
    <cfRule type="expression" dxfId="2700" priority="25">
      <formula>ABS(T$25-T$28)&gt;=1000</formula>
    </cfRule>
  </conditionalFormatting>
  <conditionalFormatting sqref="U22:U29">
    <cfRule type="expression" dxfId="2699" priority="24">
      <formula>ABS(U$25-U$28)&gt;=1000</formula>
    </cfRule>
  </conditionalFormatting>
  <conditionalFormatting sqref="V22:V29">
    <cfRule type="expression" dxfId="2698" priority="23">
      <formula>ABS(V$25-V$28)&gt;=1000</formula>
    </cfRule>
  </conditionalFormatting>
  <conditionalFormatting sqref="W22:W29">
    <cfRule type="expression" dxfId="2697" priority="22">
      <formula>ABS(W$25-W$28)&gt;=1000</formula>
    </cfRule>
  </conditionalFormatting>
  <conditionalFormatting sqref="X22:X29">
    <cfRule type="expression" dxfId="2696" priority="21">
      <formula>ABS(X$25-X$28)&gt;=1000</formula>
    </cfRule>
  </conditionalFormatting>
  <conditionalFormatting sqref="Y22:Y29">
    <cfRule type="expression" dxfId="2695" priority="20">
      <formula>ABS(Y$25-Y$28)&gt;=1000</formula>
    </cfRule>
  </conditionalFormatting>
  <conditionalFormatting sqref="I23">
    <cfRule type="expression" dxfId="2694" priority="19">
      <formula>ABS(I$25-I$28)&gt;=1000</formula>
    </cfRule>
  </conditionalFormatting>
  <conditionalFormatting sqref="F14">
    <cfRule type="expression" dxfId="2693" priority="18">
      <formula>ABS(F$16-F$19)&gt;=1000</formula>
    </cfRule>
  </conditionalFormatting>
  <conditionalFormatting sqref="Q14">
    <cfRule type="expression" dxfId="2692" priority="17">
      <formula>ABS(Q$16-Q$19)&gt;=1000</formula>
    </cfRule>
  </conditionalFormatting>
  <conditionalFormatting sqref="W14">
    <cfRule type="expression" dxfId="2691" priority="16">
      <formula>ABS(W$16-W$19)&gt;=1000</formula>
    </cfRule>
  </conditionalFormatting>
  <conditionalFormatting sqref="Y14">
    <cfRule type="expression" dxfId="2690" priority="15">
      <formula>ABS(Y$16-Y$19)&gt;=1000</formula>
    </cfRule>
  </conditionalFormatting>
  <conditionalFormatting sqref="X14">
    <cfRule type="expression" dxfId="2689" priority="14">
      <formula>ABS(X$16-X$19)&gt;=1000</formula>
    </cfRule>
  </conditionalFormatting>
  <conditionalFormatting sqref="T10:Y10">
    <cfRule type="expression" dxfId="2688" priority="13">
      <formula>ABS(T$7-T$10)&gt;=1000</formula>
    </cfRule>
  </conditionalFormatting>
  <conditionalFormatting sqref="W19">
    <cfRule type="expression" dxfId="2687" priority="12">
      <formula>ABS(W$16-W$19)&gt;=1000</formula>
    </cfRule>
  </conditionalFormatting>
  <conditionalFormatting sqref="AC5">
    <cfRule type="expression" dxfId="2686" priority="11">
      <formula>ABS(AC$7-AC$10)&gt;=1000</formula>
    </cfRule>
  </conditionalFormatting>
  <conditionalFormatting sqref="M14">
    <cfRule type="expression" dxfId="2685" priority="10">
      <formula>ABS(M$16-M$19)&gt;=1000</formula>
    </cfRule>
  </conditionalFormatting>
  <conditionalFormatting sqref="M16">
    <cfRule type="expression" dxfId="2684" priority="9">
      <formula>ABS(M$16-M$19)&gt;=1000</formula>
    </cfRule>
  </conditionalFormatting>
  <conditionalFormatting sqref="M19">
    <cfRule type="expression" dxfId="2683" priority="8">
      <formula>ABS(M$16-M$19)&gt;=1000</formula>
    </cfRule>
  </conditionalFormatting>
  <conditionalFormatting sqref="K13:K20">
    <cfRule type="expression" dxfId="2682" priority="7">
      <formula>ABS(K$16-K$19)&gt;=1000</formula>
    </cfRule>
  </conditionalFormatting>
  <conditionalFormatting sqref="E5">
    <cfRule type="expression" dxfId="2681" priority="6">
      <formula>ABS(E$7-E$10)&gt;=1000</formula>
    </cfRule>
  </conditionalFormatting>
  <conditionalFormatting sqref="AB14:AC14">
    <cfRule type="expression" dxfId="2680" priority="5">
      <formula>ABS(AB$16-AB$19)&gt;=1000</formula>
    </cfRule>
  </conditionalFormatting>
  <conditionalFormatting sqref="M5">
    <cfRule type="expression" dxfId="2679" priority="4">
      <formula>ABS(M$7-M$10)&gt;=1000</formula>
    </cfRule>
  </conditionalFormatting>
  <conditionalFormatting sqref="N5">
    <cfRule type="expression" dxfId="2678" priority="3">
      <formula>ABS(N$7-N$10)&gt;=1000</formula>
    </cfRule>
  </conditionalFormatting>
  <conditionalFormatting sqref="O5">
    <cfRule type="expression" dxfId="2677" priority="2">
      <formula>ABS(O$7-O$10)&gt;=1000</formula>
    </cfRule>
  </conditionalFormatting>
  <conditionalFormatting sqref="P5">
    <cfRule type="expression" dxfId="267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5">
    <pageSetUpPr fitToPage="1"/>
  </sheetPr>
  <dimension ref="A1:CU223"/>
  <sheetViews>
    <sheetView view="pageBreakPreview" topLeftCell="B1" zoomScale="70" zoomScaleNormal="100" zoomScaleSheetLayoutView="70" workbookViewId="0">
      <selection activeCell="H8" sqref="H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45719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0" t="s" ph="1">
        <v>179</v>
      </c>
      <c r="D6" s="71">
        <v>1989</v>
      </c>
      <c r="E6" s="71">
        <v>0</v>
      </c>
      <c r="F6" s="71">
        <v>6817</v>
      </c>
      <c r="G6" s="71">
        <v>5955</v>
      </c>
      <c r="H6" s="71">
        <v>5044</v>
      </c>
      <c r="I6" s="71">
        <v>27.17</v>
      </c>
      <c r="J6" s="71">
        <v>7.72</v>
      </c>
      <c r="K6" s="71">
        <v>7.6</v>
      </c>
      <c r="L6" s="71">
        <v>41.26</v>
      </c>
      <c r="M6" s="71">
        <v>3957</v>
      </c>
      <c r="N6" s="71">
        <v>4340</v>
      </c>
      <c r="O6" s="71">
        <v>2550</v>
      </c>
      <c r="P6" s="71">
        <v>6187</v>
      </c>
      <c r="Q6" s="71">
        <v>0</v>
      </c>
      <c r="R6" s="71">
        <v>0</v>
      </c>
      <c r="S6" s="71">
        <v>0</v>
      </c>
      <c r="T6" s="71">
        <v>0</v>
      </c>
      <c r="U6" s="71">
        <v>4872</v>
      </c>
      <c r="V6" s="71">
        <v>2106</v>
      </c>
      <c r="W6" s="71">
        <v>0</v>
      </c>
      <c r="X6" s="71">
        <v>0</v>
      </c>
      <c r="Y6" s="71">
        <v>0</v>
      </c>
      <c r="Z6" s="71">
        <v>5347</v>
      </c>
      <c r="AA6" s="71">
        <v>1631</v>
      </c>
      <c r="AB6" s="71">
        <v>2442</v>
      </c>
      <c r="AC6" s="71">
        <v>4903</v>
      </c>
      <c r="AD6" s="71">
        <v>606</v>
      </c>
      <c r="AE6" s="71">
        <v>1265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62260.711066709991</v>
      </c>
      <c r="E7" s="73" ph="1">
        <f>E6*51.53*LOOKUP(E8,密度!$A$2:$A$50,密度!$I$2:$I$50)</f>
        <v>0</v>
      </c>
      <c r="F7" s="73" ph="1">
        <f>F6*33.183*LOOKUP(F8,密度!$A$2:$A$50,密度!$C$2:$C$50)</f>
        <v>251815.3144452</v>
      </c>
      <c r="G7" s="73" ph="1">
        <f xml:space="preserve"> (G6+2)*51.53*LOOKUP(G8,密度!$A$2:$A$50,密度!$B$2:$B$50)</f>
        <v>240414.36927200001</v>
      </c>
      <c r="H7" s="73" ph="1">
        <f>(H6)*51.53*LOOKUP(H8,密度!$A$2:$A$50,密度!$B$2:$B$50)</f>
        <v>203567.245024</v>
      </c>
      <c r="I7" s="73" ph="1">
        <f>I6*290.8*1.0267</f>
        <v>8111.9936612000001</v>
      </c>
      <c r="J7" s="73" ph="1">
        <f>J6*290.8*0.7892</f>
        <v>1771.7350592</v>
      </c>
      <c r="K7" s="73" ph="1">
        <f>K6*290.8*1.1126</f>
        <v>2458.9350079999999</v>
      </c>
      <c r="L7" s="73" ph="1">
        <f>L6*290.8*0.777</f>
        <v>9322.763015999999</v>
      </c>
      <c r="M7" s="73" ph="1">
        <f>M6*33.183*LOOKUP(M8,密度!$A$2:$A$50,密度!$D$2:$D$50)</f>
        <v>135309.93749549999</v>
      </c>
      <c r="N7" s="73" ph="1">
        <f>N6*33.183*LOOKUP(N8,密度!$A$2:$A$50,密度!$E$2:$E$50)</f>
        <v>113310.388296</v>
      </c>
      <c r="O7" s="73" ph="1">
        <f>O6*20.428*LOOKUP(O8,密度!$A$2:$A$50,密度!$C$2:$C$50)</f>
        <v>57764.153460000001</v>
      </c>
      <c r="P7" s="73" ph="1">
        <f>P6*51.53*LOOKUP(P8,密度!$A$2:$A$50,密度!$B$2:$B$50)</f>
        <v>249409.84285299998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32371.926047999998</v>
      </c>
      <c r="V7" s="73" ph="1">
        <f>V6*1.5*1.5*3.1416*LOOKUP(V8,密度!$A$2:$A$50,密度!$L$2:$L$50)</f>
        <v>13933.737417599999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167138.58994199999</v>
      </c>
      <c r="AA7" s="73" ph="1">
        <f>AA6*33.183*LOOKUP(AA8,密度!$A$2:$A$50,密度!$D$2:$D$50)</f>
        <v>55718.056453500001</v>
      </c>
      <c r="AB7" s="73" ph="1">
        <f>AB6*20.428*LOOKUP(AB8,密度!$A$2:$A$50,密度!$D$2:$D$50)</f>
        <v>51750.881582400005</v>
      </c>
      <c r="AC7" s="73" ph="1">
        <f>AC6*51.53*LOOKUP(AC8,密度!$A$2:$A$50,密度!$Q$2:$Q$50)</f>
        <v>240329.77195570001</v>
      </c>
      <c r="AD7" s="73" ph="1">
        <f>AD6*20.428*LOOKUP(AD8,密度!$A$2:$A$50,密度!$V$2:$V$50)</f>
        <v>11933.710752000001</v>
      </c>
      <c r="AE7" s="73" ph="1">
        <f>AE6*20.428</f>
        <v>25841.420000000002</v>
      </c>
    </row>
    <row r="8" spans="1:99" ph="1">
      <c r="B8" s="252" ph="1"/>
      <c r="C8" s="68" t="s" ph="1">
        <v>181</v>
      </c>
      <c r="D8" s="74">
        <v>30</v>
      </c>
      <c r="E8" s="74">
        <v>22</v>
      </c>
      <c r="F8" s="74">
        <v>19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22</v>
      </c>
      <c r="O8" s="74">
        <v>25</v>
      </c>
      <c r="P8" s="74">
        <v>22</v>
      </c>
      <c r="Q8" s="74">
        <v>20</v>
      </c>
      <c r="R8" s="74">
        <v>27</v>
      </c>
      <c r="S8" s="74">
        <v>16</v>
      </c>
      <c r="T8" s="74">
        <v>18</v>
      </c>
      <c r="U8" s="74">
        <v>22</v>
      </c>
      <c r="V8" s="74">
        <v>26</v>
      </c>
      <c r="W8" s="74">
        <v>22</v>
      </c>
      <c r="X8" s="74">
        <v>14</v>
      </c>
      <c r="Y8" s="74">
        <v>21</v>
      </c>
      <c r="Z8" s="74">
        <v>20</v>
      </c>
      <c r="AA8" s="74">
        <v>22</v>
      </c>
      <c r="AB8" s="74">
        <v>13</v>
      </c>
      <c r="AC8" s="74">
        <v>19</v>
      </c>
      <c r="AD8" s="74">
        <v>20</v>
      </c>
      <c r="AE8" s="74">
        <v>21</v>
      </c>
    </row>
    <row r="9" spans="1:99" ph="1">
      <c r="B9" s="252" ph="1">
        <v>0.66666666666666663</v>
      </c>
      <c r="C9" s="150" t="s" ph="1">
        <v>182</v>
      </c>
      <c r="D9" s="71">
        <v>2158</v>
      </c>
      <c r="E9" s="71">
        <v>0</v>
      </c>
      <c r="F9" s="71">
        <v>6820</v>
      </c>
      <c r="G9" s="71">
        <v>5962</v>
      </c>
      <c r="H9" s="71">
        <v>5636</v>
      </c>
      <c r="I9" s="71">
        <v>27.14</v>
      </c>
      <c r="J9" s="71">
        <v>7.78</v>
      </c>
      <c r="K9" s="71">
        <v>7.59</v>
      </c>
      <c r="L9" s="71">
        <v>39.450000000000003</v>
      </c>
      <c r="M9" s="71">
        <v>3958</v>
      </c>
      <c r="N9" s="71">
        <v>4344</v>
      </c>
      <c r="O9" s="71">
        <v>1600</v>
      </c>
      <c r="P9" s="71">
        <v>6096</v>
      </c>
      <c r="Q9" s="71">
        <v>0</v>
      </c>
      <c r="R9" s="71">
        <v>0</v>
      </c>
      <c r="S9" s="71">
        <v>0</v>
      </c>
      <c r="T9" s="71">
        <v>0</v>
      </c>
      <c r="U9" s="71">
        <v>4643</v>
      </c>
      <c r="V9" s="71">
        <v>2481</v>
      </c>
      <c r="W9" s="71">
        <v>0</v>
      </c>
      <c r="X9" s="71">
        <v>0</v>
      </c>
      <c r="Y9" s="71">
        <v>0</v>
      </c>
      <c r="Z9" s="71">
        <v>5439</v>
      </c>
      <c r="AA9" s="71">
        <v>1632</v>
      </c>
      <c r="AB9" s="71">
        <v>2255</v>
      </c>
      <c r="AC9" s="71">
        <v>4905</v>
      </c>
      <c r="AD9" s="71">
        <v>1592</v>
      </c>
      <c r="AE9" s="71">
        <v>1110</v>
      </c>
    </row>
    <row r="10" spans="1:99" s="72" customFormat="1" ht="22.5" ph="1">
      <c r="B10" s="252" ph="1"/>
      <c r="C10" s="150" t="s" ph="1">
        <v>180</v>
      </c>
      <c r="D10" s="73" ph="1">
        <f>D9*33.183*LOOKUP(D11,密度!$A$2:$A$50,密度!$Q$2:$Q$50)</f>
        <v>67497.130158119995</v>
      </c>
      <c r="E10" s="73" ph="1">
        <f>E9*51.53*LOOKUP(E11,密度!$A$2:$A$50,密度!$I$2:$I$50)</f>
        <v>0</v>
      </c>
      <c r="F10" s="73" ph="1">
        <f>F9*33.183*LOOKUP(F11,密度!$A$2:$A$50,密度!$C$2:$C$50)</f>
        <v>251631.93191400002</v>
      </c>
      <c r="G10" s="73" ph="1">
        <f xml:space="preserve"> (G9+2)*51.53*LOOKUP(G11,密度!$A$2:$A$50,密度!$B$2:$B$50)</f>
        <v>240143.69248799997</v>
      </c>
      <c r="H10" s="73" ph="1">
        <f>(H9)*51.53*LOOKUP(H11,密度!$A$2:$A$50,密度!$B$2:$B$50)</f>
        <v>226936.59471200002</v>
      </c>
      <c r="I10" s="73" ph="1">
        <f>I9*290.8*1.0267</f>
        <v>8103.0367304000001</v>
      </c>
      <c r="J10" s="73" ph="1">
        <f>J9*290.8*0.7892</f>
        <v>1785.5050208</v>
      </c>
      <c r="K10" s="73" ph="1">
        <f>K9*290.8*1.1126</f>
        <v>2455.6995672000003</v>
      </c>
      <c r="L10" s="73" ph="1">
        <f>L9*290.8*0.777</f>
        <v>8913.7906200000016</v>
      </c>
      <c r="M10" s="73" ph="1">
        <f>M9*33.183*LOOKUP(M11,密度!$A$2:$A$50,密度!$D$2:$D$50)</f>
        <v>134726.84250120001</v>
      </c>
      <c r="N10" s="73" ph="1">
        <f>N9*33.183*LOOKUP(N11,密度!$A$2:$A$50,密度!$E$2:$E$50)</f>
        <v>113068.86914879999</v>
      </c>
      <c r="O10" s="73" ph="1">
        <f>O9*20.428*LOOKUP(O11,密度!$A$2:$A$50,密度!$C$2:$C$50)</f>
        <v>36146.120320000009</v>
      </c>
      <c r="P10" s="73" ph="1">
        <f>P9*51.53*LOOKUP(P11,密度!$A$2:$A$50,密度!$B$2:$B$50)</f>
        <v>243825.28425600001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30817.519702199999</v>
      </c>
      <c r="V10" s="73" ph="1">
        <f>V9*1.5*1.5*3.1416*LOOKUP(V11,密度!$A$2:$A$50,密度!$L$2:$L$50)</f>
        <v>16379.7416244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169472.91444299999</v>
      </c>
      <c r="AA10" s="73" ph="1">
        <f>AA9*33.183*LOOKUP(AA11,密度!$A$2:$A$50,密度!$D$2:$D$50)</f>
        <v>55497.691468799996</v>
      </c>
      <c r="AB10" s="73" ph="1">
        <f>AB9*20.428*LOOKUP(AB11,密度!$A$2:$A$50,密度!$D$2:$D$50)</f>
        <v>47705.058984000003</v>
      </c>
      <c r="AC10" s="73" ph="1">
        <f>AC9*51.53*LOOKUP(AC11,密度!$A$2:$A$50,密度!$Q$2:$Q$50)</f>
        <v>239292.93734100001</v>
      </c>
      <c r="AD10" s="73" ph="1">
        <f>AD9*20.428*LOOKUP(AD11,密度!$A$2:$A$50,密度!$V$2:$V$50)</f>
        <v>31142.469657599999</v>
      </c>
      <c r="AE10" s="73" ph="1">
        <f>AE9*20.428</f>
        <v>22675.08</v>
      </c>
    </row>
    <row r="11" spans="1:99" ph="1">
      <c r="A11" s="64" t="s" ph="1">
        <v>164</v>
      </c>
      <c r="B11" s="252" ph="1"/>
      <c r="C11" s="150" t="s" ph="1">
        <v>181</v>
      </c>
      <c r="D11" s="74">
        <v>31</v>
      </c>
      <c r="E11" s="74">
        <v>30</v>
      </c>
      <c r="F11" s="74">
        <v>21</v>
      </c>
      <c r="G11" s="74">
        <v>23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24</v>
      </c>
      <c r="O11" s="74">
        <v>29</v>
      </c>
      <c r="P11" s="74">
        <v>29</v>
      </c>
      <c r="Q11" s="74">
        <v>32</v>
      </c>
      <c r="R11" s="74">
        <v>33</v>
      </c>
      <c r="S11" s="74">
        <v>23</v>
      </c>
      <c r="T11" s="74">
        <v>28</v>
      </c>
      <c r="U11" s="74">
        <v>23</v>
      </c>
      <c r="V11" s="74">
        <v>28</v>
      </c>
      <c r="W11" s="74">
        <v>36</v>
      </c>
      <c r="X11" s="74">
        <v>24</v>
      </c>
      <c r="Y11" s="74">
        <v>29</v>
      </c>
      <c r="Z11" s="74">
        <v>23</v>
      </c>
      <c r="AA11" s="74">
        <v>27</v>
      </c>
      <c r="AB11" s="74">
        <v>15</v>
      </c>
      <c r="AC11" s="74">
        <v>25</v>
      </c>
      <c r="AD11" s="74">
        <v>38</v>
      </c>
      <c r="AE11" s="74">
        <v>28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0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0" t="s" ph="1">
        <v>179</v>
      </c>
      <c r="D15" s="78">
        <v>1121</v>
      </c>
      <c r="E15" s="78">
        <v>5488</v>
      </c>
      <c r="F15" s="78">
        <v>844</v>
      </c>
      <c r="G15" s="78">
        <v>2922</v>
      </c>
      <c r="H15" s="78">
        <v>109</v>
      </c>
      <c r="I15" s="78">
        <v>2908</v>
      </c>
      <c r="J15" s="78">
        <v>716</v>
      </c>
      <c r="K15" s="78">
        <v>744</v>
      </c>
      <c r="L15" s="78">
        <v>5656</v>
      </c>
      <c r="M15" s="78">
        <v>3454</v>
      </c>
      <c r="N15" s="78">
        <v>3121</v>
      </c>
      <c r="O15" s="78">
        <v>5597</v>
      </c>
      <c r="P15" s="78">
        <v>2232</v>
      </c>
      <c r="Q15" s="78">
        <v>6979</v>
      </c>
      <c r="R15" s="78">
        <v>3510</v>
      </c>
      <c r="S15" s="78">
        <v>5648</v>
      </c>
      <c r="T15" s="78">
        <v>3702</v>
      </c>
      <c r="U15" s="78">
        <v>3553</v>
      </c>
      <c r="V15" s="78">
        <v>-1641</v>
      </c>
      <c r="W15" s="71">
        <v>-596</v>
      </c>
      <c r="X15" s="78">
        <v>361</v>
      </c>
      <c r="Y15" s="106">
        <v>-9906</v>
      </c>
      <c r="Z15" s="78">
        <v>0</v>
      </c>
      <c r="AA15" s="78">
        <v>2513</v>
      </c>
      <c r="AB15" s="78" ph="1">
        <v>6900</v>
      </c>
      <c r="AC15" s="78" ph="1">
        <v>6538</v>
      </c>
      <c r="AD15" s="78">
        <v>25.52</v>
      </c>
      <c r="AE15" s="78">
        <v>84.59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0" t="s" ph="1">
        <v>180</v>
      </c>
      <c r="D16" s="73" ph="1">
        <f>D15*7.0686*LOOKUP(D17,密度!$A$2:$A$50,密度!$L$2:$L$50)</f>
        <v>7440.5426633999996</v>
      </c>
      <c r="E16" s="73" ph="1">
        <f>E15*7.0686*LOOKUP(E17,密度!$A$2:$A$50,密度!$L$2:$L$50)</f>
        <v>36426.135715199998</v>
      </c>
      <c r="F16" s="73" ph="1">
        <f>F15*9.0746*LOOKUP(F17,密度!$A$2:$A$50,密度!$L$2:$L$50)</f>
        <v>7191.7656936000003</v>
      </c>
      <c r="G16" s="73" ph="1">
        <f>G15*9.0746*LOOKUP(G17,密度!$A$2:$A$50,密度!$B$2:$B$50)</f>
        <v>20767.316475840002</v>
      </c>
      <c r="H16" s="73" ph="1">
        <f>H15*9.0746*LOOKUP(H17,密度!$A$2:$A$50,密度!$L$2:$L$50)</f>
        <v>932.75091019999991</v>
      </c>
      <c r="I16" s="73" ph="1">
        <f>I15*9.0746*LOOKUP(I17,密度!$A$2:$A$50,密度!$U$2:$U$50)</f>
        <v>27127.8270304</v>
      </c>
      <c r="J16" s="73" ph="1">
        <f>J15*9.0746*LOOKUP(J17,密度!$A$2:$A$50,密度!$L$2:$L$50)</f>
        <v>6101.0713703999991</v>
      </c>
      <c r="K16" s="73" ph="1">
        <f>K15*9.0746*LOOKUP(K17,密度!$A$2:$A$50,密度!$C$2:$C$50)</f>
        <v>7496.8682649600005</v>
      </c>
      <c r="L16" s="73" ph="1">
        <f>L15*9.0746*LOOKUP(L17,密度!$A$2:$A$50,密度!$E$2:$E$50)</f>
        <v>40383.247703680005</v>
      </c>
      <c r="M16" s="73" ph="1">
        <f>M15*9.0746*LOOKUP(M17,密度!$A$2:$A$50,密度!$M$2:$M$50)</f>
        <v>27519.740855200002</v>
      </c>
      <c r="N16" s="73" ph="1">
        <f>N15*9.0746*LOOKUP(N17,密度!$A$2:$A$50,密度!$M$2:$M$50)</f>
        <v>24897.717764059998</v>
      </c>
      <c r="O16" s="73" ph="1">
        <f>O15*9.0746*LOOKUP(O17,密度!$A$2:$A$50,密度!$G$2:$G$50)</f>
        <v>48819.863395440007</v>
      </c>
      <c r="P16" s="73" ph="1">
        <f ca="1">P15*9.0746*LOOKUP(P17,密度!$A$2:$A$51,密度!$Q$2:$Q$50)</f>
        <v>19205.323727040002</v>
      </c>
      <c r="Q16" s="73" ph="1">
        <f>Q15*9.0746*LOOKUP(Q17,密度!$A$2:$A$50,密度!$Q$2:$Q$50)</f>
        <v>60051.05478988</v>
      </c>
      <c r="R16" s="73" ph="1">
        <f>MAX(R15*9.0746*LOOKUP(R17,密度!$A$2:$A$50,密度!$B$2:$B$50),0)</f>
        <v>24917.699125800002</v>
      </c>
      <c r="S16" s="73" ph="1">
        <f>S15*9.0746*LOOKUP(S17,密度!$A$2:$A$50,密度!$Q$2:$Q$50)</f>
        <v>48598.417746560001</v>
      </c>
      <c r="T16" s="73" ph="1">
        <f>T15*9.0746*LOOKUP(T17,密度!$A$2:$A$50,密度!$O$2:$O$50)</f>
        <v>31242.577356000005</v>
      </c>
      <c r="U16" s="73" ph="1">
        <f>U15*9.0746*LOOKUP(U17,密度!$A$2:$A$50,密度!$H$2:$H$50)</f>
        <v>29556.290718460001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197.50426539200089</v>
      </c>
      <c r="X16" s="73" ph="1">
        <f>MAX(5600*LOOKUP(X17,密度!$A$2:$A$50,密度!$I$2:$I$50)+X15*9.0476*LOOKUP(X17,密度!$A$2:$A$50,密度!$I$2:$I$50),0)</f>
        <v>9294.4202678799993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17880.984770179999</v>
      </c>
      <c r="AB16" s="73" ph="1">
        <f>AB15*9.0746*LOOKUP(AB17,密度!$A$2:$A$50,密度!$L$2:$L$50)</f>
        <v>58857.855599999995</v>
      </c>
      <c r="AC16" s="73" ph="1">
        <f>AC15*9.0746*LOOKUP(AC17,密度!$A$2:$A$50,密度!$L$2:$L$50)</f>
        <v>55769.950711999998</v>
      </c>
      <c r="AD16" s="73" ph="1">
        <f>AD15*268.68*LOOKUP(AD17,密度!$A$2:$A$50,密度!B2:B50)+IF(AD15&lt;=0,0,1566*LOOKUP(AD17,密度!$A$2:$A$50,密度!B2:B50))</f>
        <v>6566.3475225599996</v>
      </c>
      <c r="AE16" s="73" ph="1">
        <f>AE15*268.68*LOOKUP(AE17,密度!$A$2:$A$50,密度!B2:B50)+IF(AE15&lt;=0,0,1566*LOOKUP(AE17,密度!$A$2:$A$50,密度!B2:B50))</f>
        <v>18939.322679519999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23</v>
      </c>
      <c r="E17" s="74">
        <v>23</v>
      </c>
      <c r="F17" s="74">
        <v>23</v>
      </c>
      <c r="G17" s="74">
        <v>21</v>
      </c>
      <c r="H17" s="74">
        <v>19</v>
      </c>
      <c r="I17" s="74">
        <v>21</v>
      </c>
      <c r="J17" s="74">
        <v>23</v>
      </c>
      <c r="K17" s="74">
        <v>23</v>
      </c>
      <c r="L17" s="74">
        <v>22</v>
      </c>
      <c r="M17" s="74">
        <v>22</v>
      </c>
      <c r="N17" s="74">
        <v>21</v>
      </c>
      <c r="O17" s="74">
        <v>24</v>
      </c>
      <c r="P17" s="74">
        <v>23</v>
      </c>
      <c r="Q17" s="74">
        <v>23</v>
      </c>
      <c r="R17" s="74">
        <v>22</v>
      </c>
      <c r="S17" s="74">
        <v>23</v>
      </c>
      <c r="T17" s="74">
        <v>22</v>
      </c>
      <c r="U17" s="74">
        <v>23</v>
      </c>
      <c r="V17" s="74">
        <v>19</v>
      </c>
      <c r="W17" s="74">
        <v>19</v>
      </c>
      <c r="X17" s="74">
        <v>20</v>
      </c>
      <c r="Y17" s="108">
        <v>20</v>
      </c>
      <c r="Z17" s="74">
        <v>22</v>
      </c>
      <c r="AA17" s="74">
        <v>20</v>
      </c>
      <c r="AB17" s="74">
        <v>22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2275</v>
      </c>
      <c r="E18" s="71">
        <v>5500</v>
      </c>
      <c r="F18" s="71">
        <v>1084</v>
      </c>
      <c r="G18" s="71">
        <v>2949</v>
      </c>
      <c r="H18" s="71">
        <v>108</v>
      </c>
      <c r="I18" s="71">
        <v>1700</v>
      </c>
      <c r="J18" s="71">
        <v>472</v>
      </c>
      <c r="K18" s="71">
        <v>743</v>
      </c>
      <c r="L18" s="71">
        <v>5669</v>
      </c>
      <c r="M18" s="71">
        <v>4975</v>
      </c>
      <c r="N18" s="71">
        <v>2629</v>
      </c>
      <c r="O18" s="71">
        <v>5770</v>
      </c>
      <c r="P18" s="71">
        <v>2234</v>
      </c>
      <c r="Q18" s="71">
        <v>5218</v>
      </c>
      <c r="R18" s="71">
        <v>3514</v>
      </c>
      <c r="S18" s="71">
        <v>5656</v>
      </c>
      <c r="T18" s="71">
        <v>3017</v>
      </c>
      <c r="U18" s="71">
        <v>5354</v>
      </c>
      <c r="V18" s="71">
        <v>-1641</v>
      </c>
      <c r="W18" s="71">
        <v>-596</v>
      </c>
      <c r="X18" s="71">
        <v>323</v>
      </c>
      <c r="Y18" s="109">
        <v>-9906</v>
      </c>
      <c r="Z18" s="71">
        <v>0</v>
      </c>
      <c r="AA18" s="71">
        <v>2515</v>
      </c>
      <c r="AB18" s="71">
        <v>6911</v>
      </c>
      <c r="AC18" s="71">
        <v>6549</v>
      </c>
      <c r="AD18" s="71">
        <v>55.18</v>
      </c>
      <c r="AE18" s="71">
        <v>84.32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0" t="s" ph="1">
        <v>180</v>
      </c>
      <c r="D19" s="73" ph="1">
        <f>D18*7.0686*LOOKUP(D20,密度!$A$2:$A$50,密度!$L$2:$L$50)</f>
        <v>15035.795775000001</v>
      </c>
      <c r="E19" s="73" ph="1">
        <f>E18*7.0686*LOOKUP(E20,密度!$A$2:$A$50,密度!$L$2:$L$50)</f>
        <v>36350.275500000003</v>
      </c>
      <c r="F19" s="73" ph="1">
        <f>F18*9.0746*LOOKUP(F20,密度!$A$2:$A$50,密度!$L$2:$L$50)</f>
        <v>9187.6332176000014</v>
      </c>
      <c r="G19" s="73" ph="1">
        <f>G18*9.0746*LOOKUP(G20,密度!$A$2:$A$50,密度!$B$2:$B$50)</f>
        <v>20862.872013839999</v>
      </c>
      <c r="H19" s="73" ph="1">
        <f>H18*9.0746*LOOKUP(H20,密度!$A$2:$A$50,密度!$L$2:$L$50)</f>
        <v>917.33316480000008</v>
      </c>
      <c r="I19" s="73" ph="1">
        <f>I18*9.0746*LOOKUP(I20,密度!$A$2:$A$50,密度!$U$2:$U$50)</f>
        <v>15766.21004</v>
      </c>
      <c r="J19" s="73" ph="1">
        <f>J18*9.0746*LOOKUP(J20,密度!$A$2:$A$50,密度!$L$2:$L$50)</f>
        <v>3996.2360496000001</v>
      </c>
      <c r="K19" s="73" ph="1">
        <f>K18*9.0746*LOOKUP(K20,密度!$A$2:$A$50,密度!$C$2:$C$50)</f>
        <v>7456.450904020001</v>
      </c>
      <c r="L19" s="73" ph="1">
        <f>L18*9.0746*LOOKUP(L20,密度!$A$2:$A$50,密度!$E$2:$E$50)</f>
        <v>40234.279977540005</v>
      </c>
      <c r="M19" s="73" ph="1">
        <f>M18*9.0746*LOOKUP(M20,密度!$A$2:$A$50,密度!$M$2:$M$50)</f>
        <v>39462.236603500001</v>
      </c>
      <c r="N19" s="73" ph="1">
        <f>N18*9.0746*LOOKUP(N20,密度!$A$2:$A$50,密度!$M$2:$M$50)</f>
        <v>20877.36868734</v>
      </c>
      <c r="O19" s="73" ph="1">
        <f>O18*9.0746*LOOKUP(O20,密度!$A$2:$A$50,密度!$G$2:$G$50)</f>
        <v>50276.496408400002</v>
      </c>
      <c r="P19" s="73" ph="1">
        <f ca="1">P18*9.0746*LOOKUP(P20,密度!$A$2:$A$51,密度!$Q$2:$Q$50)</f>
        <v>19149.956688568</v>
      </c>
      <c r="Q19" s="73" ph="1">
        <f>Q18*9.0746*LOOKUP(Q20,密度!$A$2:$A$50,密度!$Q$2:$Q$50)</f>
        <v>44762.095750096007</v>
      </c>
      <c r="R19" s="73" ph="1">
        <f>MAX(R18*9.0746*LOOKUP(R20,密度!$A$2:$A$50,密度!$B$2:$B$50),0)</f>
        <v>24777.0881988</v>
      </c>
      <c r="S19" s="73" ph="1">
        <f>S18*9.0746*LOOKUP(S20,密度!$A$2:$A$50,密度!$Q$2:$Q$50)</f>
        <v>48519.435332032008</v>
      </c>
      <c r="T19" s="73" ph="1">
        <f>T18*9.0746*LOOKUP(T20,密度!$A$2:$A$50,密度!$O$2:$O$50)</f>
        <v>25352.091153200003</v>
      </c>
      <c r="U19" s="73" ph="1">
        <f>U18*9.0746*LOOKUP(U20,密度!$A$2:$A$50,密度!$H$2:$H$50)</f>
        <v>44353.619328360001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196.27716972800135</v>
      </c>
      <c r="X19" s="73" ph="1">
        <f>MAX(5600*LOOKUP(X20,密度!$A$2:$A$50,密度!$I$2:$I$50)+X18*9.0476*LOOKUP(X20,密度!$A$2:$A$50,密度!$I$2:$I$50),0)</f>
        <v>8796.6248210640006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17854.134843699998</v>
      </c>
      <c r="AB19" s="73" ph="1">
        <f>AB18*9.0746*LOOKUP(AB20,密度!$A$2:$A$50,密度!$L$2:$L$50)</f>
        <v>58826.257842799998</v>
      </c>
      <c r="AC19" s="73" ph="1">
        <f>AC18*9.0746*LOOKUP(AC20,密度!$A$2:$A$50,密度!$L$2:$L$50)</f>
        <v>55744.922965199999</v>
      </c>
      <c r="AD19" s="73" ph="1">
        <f>AD18*268.68*LOOKUP(AD20,密度!$A$2:$A$50,密度!B5:B53)+IF(AD18&lt;=0,0,1566*LOOKUP(AD20,密度!$A$2:$A$50,密度!B5:B53))</f>
        <v>12736.399384799999</v>
      </c>
      <c r="AE19" s="73" ph="1">
        <f>AE18*268.68*LOOKUP(AE20,密度!$A$2:$A$50,密度!B5:B53)+IF(AE18&lt;=0,0,1566*LOOKUP(AE20,密度!$A$2:$A$50,密度!B5:B53))</f>
        <v>18819.792835199998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27</v>
      </c>
      <c r="E20" s="81">
        <v>27</v>
      </c>
      <c r="F20" s="81">
        <v>28</v>
      </c>
      <c r="G20" s="81">
        <v>25</v>
      </c>
      <c r="H20" s="81">
        <v>26</v>
      </c>
      <c r="I20" s="81">
        <v>28</v>
      </c>
      <c r="J20" s="81">
        <v>29</v>
      </c>
      <c r="K20" s="81">
        <v>29</v>
      </c>
      <c r="L20" s="81">
        <v>26</v>
      </c>
      <c r="M20" s="81">
        <v>26</v>
      </c>
      <c r="N20" s="81">
        <v>25</v>
      </c>
      <c r="O20" s="81">
        <v>25</v>
      </c>
      <c r="P20" s="81">
        <v>28</v>
      </c>
      <c r="Q20" s="81">
        <v>27</v>
      </c>
      <c r="R20" s="81">
        <v>28</v>
      </c>
      <c r="S20" s="81">
        <v>27</v>
      </c>
      <c r="T20" s="81">
        <v>28</v>
      </c>
      <c r="U20" s="81">
        <v>27</v>
      </c>
      <c r="V20" s="81">
        <v>27</v>
      </c>
      <c r="W20" s="81">
        <v>27</v>
      </c>
      <c r="X20" s="81">
        <v>34</v>
      </c>
      <c r="Y20" s="110">
        <v>34</v>
      </c>
      <c r="Z20" s="81">
        <v>35</v>
      </c>
      <c r="AA20" s="81">
        <v>22</v>
      </c>
      <c r="AB20" s="81">
        <v>24</v>
      </c>
      <c r="AC20" s="81">
        <v>24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646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0" t="s" ph="1">
        <v>179</v>
      </c>
      <c r="D24" s="71">
        <v>99.15</v>
      </c>
      <c r="E24" s="71">
        <v>95.55</v>
      </c>
      <c r="F24" s="71">
        <v>4034</v>
      </c>
      <c r="G24" s="71">
        <v>3902</v>
      </c>
      <c r="H24" s="71">
        <v>3156</v>
      </c>
      <c r="I24" s="71">
        <v>5544</v>
      </c>
      <c r="J24" s="71">
        <v>4920</v>
      </c>
      <c r="K24" s="71">
        <v>5632</v>
      </c>
      <c r="L24" s="71">
        <v>5605</v>
      </c>
      <c r="M24" s="71">
        <v>5470</v>
      </c>
      <c r="N24" s="71">
        <v>5374</v>
      </c>
      <c r="O24" s="71">
        <v>3519</v>
      </c>
      <c r="P24" s="71">
        <v>430</v>
      </c>
      <c r="Q24" s="90">
        <v>2441</v>
      </c>
      <c r="R24" s="71">
        <v>6747</v>
      </c>
      <c r="S24" s="71">
        <v>0</v>
      </c>
      <c r="T24" s="71">
        <v>907</v>
      </c>
      <c r="U24" s="71">
        <v>4350</v>
      </c>
      <c r="V24" s="71">
        <v>10595</v>
      </c>
      <c r="W24" s="71">
        <v>870</v>
      </c>
      <c r="X24" s="71">
        <v>8173</v>
      </c>
      <c r="Y24" s="71">
        <v>3474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26703.390572280005</v>
      </c>
      <c r="E25" s="91" ph="1">
        <f>E24*268.68*LOOKUP(E26,密度!$A$2:$A$50,密度!$C$2:$C$50)+IF(E24&lt;=0,0,1566*LOOKUP(E26,密度!$A$2:$A$50,密度!$C$2:$C$50))</f>
        <v>30204.6329286</v>
      </c>
      <c r="F25" s="91" ph="1">
        <f>F24*11.702*LOOKUP(F26,密度!$A$2:$A$50,密度!$Q$2:$Q$50)</f>
        <v>44830.940780920006</v>
      </c>
      <c r="G25" s="91" ph="1">
        <f>G24*18.322*LOOKUP(G26,密度!$A$2:$A$50,密度!$B$2:$B$50)</f>
        <v>55928.5389412</v>
      </c>
      <c r="H25" s="91" ph="1">
        <f>H24*18.322*LOOKUP(H26,密度!$A$2:$A$50,密度!$B$2:$B$50)</f>
        <v>45287.9385024</v>
      </c>
      <c r="I25" s="91" ph="1">
        <f>I24*18.322*LOOKUP(I26,密度!$A$2:$A$50,密度!$Q$2:$Q$50)</f>
        <v>96405.874377119995</v>
      </c>
      <c r="J25" s="91" ph="1">
        <f>J24*18.322*LOOKUP(J26,密度!$A$2:$A$50,密度!$Q$2:$Q$50)</f>
        <v>85609.083285599991</v>
      </c>
      <c r="K25" s="91" ph="1">
        <f>K24*18.322*LOOKUP(K26,密度!$A$2:$A$50,密度!$Q$2:$Q$50)</f>
        <v>97936.126351359999</v>
      </c>
      <c r="L25" s="91" ph="1">
        <f>L24*18.322*LOOKUP(L26,密度!$A$2:$A$50,密度!$Q$2:$Q$50)</f>
        <v>97528.234108899996</v>
      </c>
      <c r="M25" s="91" ph="1">
        <f>M24*18.322*LOOKUP(M26,密度!$A$2:$A$50,密度!$Q$2:$Q$50)</f>
        <v>95179.204384600002</v>
      </c>
      <c r="N25" s="91" ph="1">
        <f>N24*18.322*LOOKUP(N26,密度!$A$2:$A$50,密度!$Q$2:$Q$50)</f>
        <v>93508.783247319996</v>
      </c>
      <c r="O25" s="91" ph="1">
        <f>O24*18.322*LOOKUP(O26,密度!$A$2:$A$50,密度!$C$2:$C$50)</f>
        <v>71638.303609799987</v>
      </c>
      <c r="P25" s="91" ph="1">
        <f>P24*11.702*LOOKUP(P26,密度!$A$2:$A$50,密度!$B$2:$B$50)</f>
        <v>3936.4240779999996</v>
      </c>
      <c r="Q25" s="92" ph="1">
        <f>Q24*18.322*LOOKUP(Q26,密度!$A$2:$A$50,密度!$B$2:$B$50)</f>
        <v>35027.838366399999</v>
      </c>
      <c r="R25" s="91" ph="1">
        <f>R24*35.891*LOOKUP(R26,密度!$A$2:$A$50,密度!$C$2:$C$50)</f>
        <v>269060.17270469997</v>
      </c>
      <c r="S25" s="91" ph="1">
        <f>S24*35.891*LOOKUP(S26,密度!$A$2:$A$50,密度!$B$2:$B$50)</f>
        <v>0</v>
      </c>
      <c r="T25" s="91" ph="1">
        <f>T24*35.891*LOOKUP(T26,密度!$A$2:$A$50,密度!$Q$2:$Q$50)</f>
        <v>30895.856795329997</v>
      </c>
      <c r="U25" s="91" ph="1">
        <f>U24*35.891</f>
        <v>156125.85</v>
      </c>
      <c r="V25" s="91" ph="1">
        <f>V24*47.051*LOOKUP(V26,密度!$A$2:$A$50,密度!$B$2:$B$50)</f>
        <v>390878.04101450002</v>
      </c>
      <c r="W25" s="91" ph="1">
        <f>W24*47.051*LOOKUP(W26,密度!$A$2:$A$50,密度!$B$2:$B$50)</f>
        <v>32059.798584000004</v>
      </c>
      <c r="X25" s="91" ph="1">
        <f>X24*47.051*LOOKUP(X26,密度!$A$2:$A$50,密度!$I$2:$I$50)</f>
        <v>396507.26029529999</v>
      </c>
      <c r="Y25" s="91" ph="1">
        <f>Y24*47.051*LOOKUP(Y26,密度!$A$2:$A$50,密度!$L$2:$L$50)</f>
        <v>153811.318734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21</v>
      </c>
      <c r="G26" s="74">
        <v>22</v>
      </c>
      <c r="H26" s="74">
        <v>21</v>
      </c>
      <c r="I26" s="74">
        <v>22</v>
      </c>
      <c r="J26" s="74">
        <v>21</v>
      </c>
      <c r="K26" s="74">
        <v>22</v>
      </c>
      <c r="L26" s="74">
        <v>21</v>
      </c>
      <c r="M26" s="74">
        <v>21</v>
      </c>
      <c r="N26" s="74">
        <v>21</v>
      </c>
      <c r="O26" s="74">
        <v>22</v>
      </c>
      <c r="P26" s="74">
        <v>22</v>
      </c>
      <c r="Q26" s="93">
        <v>21</v>
      </c>
      <c r="R26" s="74">
        <v>22</v>
      </c>
      <c r="S26" s="74">
        <v>22</v>
      </c>
      <c r="T26" s="74">
        <v>22</v>
      </c>
      <c r="U26" s="74">
        <v>21</v>
      </c>
      <c r="V26" s="74">
        <v>20</v>
      </c>
      <c r="W26" s="74">
        <v>21</v>
      </c>
      <c r="X26" s="74">
        <v>45</v>
      </c>
      <c r="Y26" s="74">
        <v>21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0" t="s" ph="1">
        <v>182</v>
      </c>
      <c r="D27" s="71">
        <v>99.31</v>
      </c>
      <c r="E27" s="71">
        <v>95.56</v>
      </c>
      <c r="F27" s="71">
        <v>4038</v>
      </c>
      <c r="G27" s="71">
        <v>3440</v>
      </c>
      <c r="H27" s="71">
        <v>2715</v>
      </c>
      <c r="I27" s="71">
        <v>5547</v>
      </c>
      <c r="J27" s="71">
        <v>4921</v>
      </c>
      <c r="K27" s="71">
        <v>5634</v>
      </c>
      <c r="L27" s="71">
        <v>5603</v>
      </c>
      <c r="M27" s="71">
        <v>5473</v>
      </c>
      <c r="N27" s="71">
        <v>5375</v>
      </c>
      <c r="O27" s="71">
        <v>3515</v>
      </c>
      <c r="P27" s="71">
        <v>425</v>
      </c>
      <c r="Q27" s="90">
        <v>2738</v>
      </c>
      <c r="R27" s="71">
        <v>6746</v>
      </c>
      <c r="S27" s="71">
        <v>0</v>
      </c>
      <c r="T27" s="71">
        <v>905</v>
      </c>
      <c r="U27" s="71">
        <v>4406</v>
      </c>
      <c r="V27" s="71">
        <v>10310</v>
      </c>
      <c r="W27" s="71">
        <v>866</v>
      </c>
      <c r="X27" s="71">
        <v>8171</v>
      </c>
      <c r="Y27" s="71">
        <v>2706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0" t="s" ph="1">
        <v>180</v>
      </c>
      <c r="D28" s="91" ph="1">
        <f>D27*268.68*LOOKUP(D29,密度!$A$2:$A$50,密度!$Q$2:$Q$50)+IF(D27&lt;=0,0,1566*LOOKUP(D29,密度!$A$2:$A$50,密度!$Q$2:$Q$50))</f>
        <v>26744.089788792004</v>
      </c>
      <c r="E28" s="91" ph="1">
        <f>E27*268.68*LOOKUP(E29,密度!$A$2:$A$50,密度!$C$2:$C$50)+IF(E27&lt;=0,0,1566*LOOKUP(E29,密度!$A$2:$A$50,密度!$C$2:$C$50))</f>
        <v>30207.612321120003</v>
      </c>
      <c r="F28" s="91" ph="1">
        <f>F27*11.702*LOOKUP(F29,密度!$A$2:$A$50,密度!$Q$2:$Q$50)</f>
        <v>44804.987383200001</v>
      </c>
      <c r="G28" s="91" ph="1">
        <f>G27*18.322*LOOKUP(G29,密度!$A$2:$A$50,密度!$B$2:$B$50)</f>
        <v>49249.829151999998</v>
      </c>
      <c r="H28" s="91" ph="1">
        <f>H27*18.322*LOOKUP(H29,密度!$A$2:$A$50,密度!$B$2:$B$50)</f>
        <v>38914.911129</v>
      </c>
      <c r="I28" s="91" ph="1">
        <f>I27*18.322*LOOKUP(I29,密度!$A$2:$A$50,密度!$Q$2:$Q$50)</f>
        <v>96458.042058059989</v>
      </c>
      <c r="J28" s="91" ph="1">
        <f>J27*18.322*LOOKUP(J29,密度!$A$2:$A$50,密度!$Q$2:$Q$50)</f>
        <v>85572.385968579983</v>
      </c>
      <c r="K28" s="91" ph="1">
        <f>K27*18.322*LOOKUP(K29,密度!$A$2:$A$50,密度!$Q$2:$Q$50)</f>
        <v>97879.033533599999</v>
      </c>
      <c r="L28" s="91" ph="1">
        <f>L27*18.322*LOOKUP(L29,密度!$A$2:$A$50,密度!$Q$2:$Q$50)</f>
        <v>97340.473001200007</v>
      </c>
      <c r="M28" s="91" ph="1">
        <f>M27*18.322*LOOKUP(M29,密度!$A$2:$A$50,密度!$Q$2:$Q$50)</f>
        <v>95171.239261540002</v>
      </c>
      <c r="N28" s="91" ph="1">
        <f>N27*18.322*LOOKUP(N29,密度!$A$2:$A$50,密度!$Q$2:$Q$50)</f>
        <v>93467.095017500003</v>
      </c>
      <c r="O28" s="91" ph="1">
        <f>O27*18.322*LOOKUP(O29,密度!$A$2:$A$50,密度!$C$2:$C$50)</f>
        <v>71511.792031999998</v>
      </c>
      <c r="P28" s="91" ph="1">
        <f>P27*11.702*LOOKUP(P29,密度!$A$2:$A$50,密度!$B$2:$B$50)</f>
        <v>3890.6517050000002</v>
      </c>
      <c r="Q28" s="92" ph="1">
        <f>Q27*18.322*LOOKUP(Q29,密度!$A$2:$A$50,密度!$B$2:$B$50)</f>
        <v>39199.4279704</v>
      </c>
      <c r="R28" s="91" ph="1">
        <f>R27*35.891*LOOKUP(R29,密度!$A$2:$A$50,密度!$C$2:$C$50)</f>
        <v>268850.80973440001</v>
      </c>
      <c r="S28" s="91" ph="1">
        <f>S27*35.891*LOOKUP(S29,密度!$A$2:$A$50,密度!$B$2:$B$50)</f>
        <v>0</v>
      </c>
      <c r="T28" s="91" ph="1">
        <f>T27*35.891*LOOKUP(T29,密度!$A$2:$A$50,密度!$Q$2:$Q$50)</f>
        <v>30827.72921695</v>
      </c>
      <c r="U28" s="91" ph="1">
        <f>U27*35.891</f>
        <v>158135.74599999998</v>
      </c>
      <c r="V28" s="91" ph="1">
        <f>V27*47.051*LOOKUP(V29,密度!$A$2:$A$50,密度!$B$2:$B$50)</f>
        <v>379490.45216300001</v>
      </c>
      <c r="W28" s="91" ph="1">
        <f>W27*47.051*LOOKUP(W29,密度!$A$2:$A$50,密度!$B$2:$B$50)</f>
        <v>31839.054112400005</v>
      </c>
      <c r="X28" s="91" ph="1">
        <f>X27*47.051*LOOKUP(X29,密度!$A$2:$A$50,密度!$I$2:$I$50)</f>
        <v>396410.23172310001</v>
      </c>
      <c r="Y28" s="91" ph="1">
        <f>Y27*47.051*LOOKUP(Y29,密度!$A$2:$A$50,密度!$L$2:$L$50)</f>
        <v>119553.485634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0" t="s" ph="1">
        <v>181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22</v>
      </c>
      <c r="J29" s="74">
        <v>22</v>
      </c>
      <c r="K29" s="74">
        <v>23</v>
      </c>
      <c r="L29" s="74">
        <v>23</v>
      </c>
      <c r="M29" s="74">
        <v>22</v>
      </c>
      <c r="N29" s="74">
        <v>22</v>
      </c>
      <c r="O29" s="74">
        <v>23</v>
      </c>
      <c r="P29" s="74">
        <v>22</v>
      </c>
      <c r="Q29" s="93">
        <v>23</v>
      </c>
      <c r="R29" s="74">
        <v>23</v>
      </c>
      <c r="S29" s="74">
        <v>23</v>
      </c>
      <c r="T29" s="74">
        <v>22</v>
      </c>
      <c r="U29" s="74">
        <v>22</v>
      </c>
      <c r="V29" s="74">
        <v>22</v>
      </c>
      <c r="W29" s="74">
        <v>23</v>
      </c>
      <c r="X29" s="74">
        <v>45</v>
      </c>
      <c r="Y29" s="74">
        <v>23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86</v>
      </c>
      <c r="AC32" s="150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103202.7504528</v>
      </c>
      <c r="E33" s="201" ph="1">
        <f>M10+I10</f>
        <v>142829.8792316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27" ph="1">
        <v>0</v>
      </c>
      <c r="H33" s="201" ph="1">
        <f>N19</f>
        <v>20877.36868734</v>
      </c>
      <c r="I33" s="205" ph="1">
        <v>0</v>
      </c>
      <c r="J33" s="209" ph="1">
        <f>F10+O28</f>
        <v>323143.72394599998</v>
      </c>
      <c r="K33" s="201" ph="1">
        <f>O10+K10+E28+R28</f>
        <v>337660.24194272002</v>
      </c>
      <c r="L33" s="211" ph="1">
        <f>BE27</f>
        <v>7100</v>
      </c>
      <c r="M33" s="209" ph="1">
        <f>G10+H10+W28+S28</f>
        <v>498919.34131240001</v>
      </c>
      <c r="N33" s="201" ph="1">
        <f>L10+P10++G28+H28+V28</f>
        <v>720394.2673200001</v>
      </c>
      <c r="O33" s="205" ph="1">
        <f>BE17</f>
        <v>2270</v>
      </c>
      <c r="P33" s="209" ph="1">
        <f>L19</f>
        <v>40234.279977540005</v>
      </c>
      <c r="Q33" s="201" ph="1">
        <f>J10+N10</f>
        <v>114854.37416959999</v>
      </c>
      <c r="R33" s="205" ph="1">
        <f>BE23</f>
        <v>890</v>
      </c>
      <c r="S33" s="209" ph="1">
        <f>E10+X28</f>
        <v>396410.23172310001</v>
      </c>
      <c r="T33" s="201" ph="1">
        <f>X19</f>
        <v>8796.6248210640006</v>
      </c>
      <c r="U33" s="190" ph="1">
        <f>BE21</f>
        <v>730</v>
      </c>
      <c r="V33" s="203" ph="1">
        <f ca="1">P19+Q19+S19+M28+N28+J28</f>
        <v>386642.20801831596</v>
      </c>
      <c r="W33" s="203" ph="1">
        <f>D28+F28+V19+T28</f>
        <v>102376.806388942</v>
      </c>
      <c r="X33" s="205" ph="1">
        <f>BE29+BE31</f>
        <v>10200</v>
      </c>
      <c r="Y33" s="207" ph="1">
        <f>+Q10+R10+S10+T10+U10+V10+W10+X10+Y10</f>
        <v>47197.261326599997</v>
      </c>
      <c r="Z33" s="188" ph="1">
        <f>D10+T19+U19+Y28+Z10</f>
        <v>426229.24071667995</v>
      </c>
      <c r="AA33" s="190" ph="1">
        <f>BE19</f>
        <v>1440</v>
      </c>
      <c r="AB33" s="192" ph="1">
        <f>I19</f>
        <v>15766.21004</v>
      </c>
      <c r="AC33" s="194" ph="1">
        <f>AD10</f>
        <v>31142.469657599999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2" t="s" ph="1">
        <v>187</v>
      </c>
      <c r="AA36" s="152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346</v>
      </c>
      <c r="AI37" s="152" t="s" ph="1">
        <v>213</v>
      </c>
      <c r="AJ37" s="152" t="s" ph="1">
        <v>214</v>
      </c>
      <c r="AK37" s="152" t="s" ph="1">
        <v>215</v>
      </c>
      <c r="AM37" s="152" t="s" ph="1">
        <v>214</v>
      </c>
      <c r="AN37" s="152" t="s" ph="1">
        <v>215</v>
      </c>
      <c r="AO37" s="152" t="s" ph="1">
        <v>216</v>
      </c>
      <c r="AP37" s="152" t="s" ph="1">
        <v>214</v>
      </c>
      <c r="AQ37" s="152" t="s" ph="1">
        <v>215</v>
      </c>
      <c r="AR37" s="152" t="s" ph="1">
        <v>216</v>
      </c>
      <c r="AS37" s="152" t="s" ph="1">
        <v>214</v>
      </c>
      <c r="AT37" s="152" t="s" ph="1">
        <v>215</v>
      </c>
      <c r="AU37" s="152" t="s" ph="1">
        <v>216</v>
      </c>
      <c r="AV37" s="152" t="s" ph="1">
        <v>214</v>
      </c>
      <c r="AW37" s="152" t="s" ph="1">
        <v>215</v>
      </c>
      <c r="AX37" s="152" t="s" ph="1">
        <v>216</v>
      </c>
      <c r="AY37" s="152" t="s" ph="1">
        <v>215</v>
      </c>
      <c r="AZ37" s="152" t="s" ph="1">
        <v>217</v>
      </c>
      <c r="BD37" s="152" t="s" ph="1">
        <v>309</v>
      </c>
      <c r="BE37" s="152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45" priority="96">
      <formula>ABS(D$7-D$10)&gt;=1000</formula>
    </cfRule>
  </conditionalFormatting>
  <conditionalFormatting sqref="E4 E6:E11">
    <cfRule type="expression" dxfId="2644" priority="95">
      <formula>ABS(E$7-E$10)&gt;=1000</formula>
    </cfRule>
  </conditionalFormatting>
  <conditionalFormatting sqref="F4:F11">
    <cfRule type="expression" dxfId="2643" priority="94">
      <formula>ABS(F$7-F$10)&gt;=1000</formula>
    </cfRule>
  </conditionalFormatting>
  <conditionalFormatting sqref="G4:G11">
    <cfRule type="expression" dxfId="2642" priority="93">
      <formula>ABS(G$7-G$10)&gt;=1000</formula>
    </cfRule>
  </conditionalFormatting>
  <conditionalFormatting sqref="H4:H11">
    <cfRule type="expression" dxfId="2641" priority="92">
      <formula>ABS(H$7-H$10)&gt;=1000</formula>
    </cfRule>
  </conditionalFormatting>
  <conditionalFormatting sqref="I4:I11">
    <cfRule type="expression" dxfId="2640" priority="91">
      <formula>ABS(I$7-I$10)&gt;=1000</formula>
    </cfRule>
  </conditionalFormatting>
  <conditionalFormatting sqref="J4:J11">
    <cfRule type="expression" dxfId="2639" priority="90">
      <formula>ABS(J$7-J$10)&gt;=1000</formula>
    </cfRule>
  </conditionalFormatting>
  <conditionalFormatting sqref="K4:K11">
    <cfRule type="expression" dxfId="2638" priority="89">
      <formula>ABS(K$7-K$10)&gt;=1000</formula>
    </cfRule>
  </conditionalFormatting>
  <conditionalFormatting sqref="L4:L11">
    <cfRule type="expression" dxfId="2637" priority="88">
      <formula>ABS(L$7-L$10)&gt;=1000</formula>
    </cfRule>
  </conditionalFormatting>
  <conditionalFormatting sqref="M4 M6:M11">
    <cfRule type="expression" dxfId="2636" priority="87">
      <formula>ABS(M$7-M$10)&gt;=1000</formula>
    </cfRule>
  </conditionalFormatting>
  <conditionalFormatting sqref="N4 N6:N11">
    <cfRule type="expression" dxfId="2635" priority="86">
      <formula>ABS(N$7-N$10)&gt;=1000</formula>
    </cfRule>
  </conditionalFormatting>
  <conditionalFormatting sqref="O4 O6:O11">
    <cfRule type="expression" dxfId="2634" priority="85">
      <formula>ABS(O$7-O$10)&gt;=1000</formula>
    </cfRule>
  </conditionalFormatting>
  <conditionalFormatting sqref="P4 P6:P11">
    <cfRule type="expression" dxfId="2633" priority="84">
      <formula>ABS(P$7-P$10)&gt;=1000</formula>
    </cfRule>
  </conditionalFormatting>
  <conditionalFormatting sqref="Q4:Q11">
    <cfRule type="expression" dxfId="2632" priority="83">
      <formula>ABS(Q$7-Q$10)&gt;=1000</formula>
    </cfRule>
  </conditionalFormatting>
  <conditionalFormatting sqref="R4:R11">
    <cfRule type="expression" dxfId="2631" priority="82">
      <formula>ABS(R$7-R$10)&gt;=1000</formula>
    </cfRule>
  </conditionalFormatting>
  <conditionalFormatting sqref="S4:S11">
    <cfRule type="expression" dxfId="2630" priority="81">
      <formula>ABS(S$7-S$10)&gt;=1000</formula>
    </cfRule>
  </conditionalFormatting>
  <conditionalFormatting sqref="T4:T9 T11">
    <cfRule type="expression" dxfId="2629" priority="80">
      <formula>ABS(T$7-T$10)&gt;=1000</formula>
    </cfRule>
  </conditionalFormatting>
  <conditionalFormatting sqref="U4:U9 U11">
    <cfRule type="expression" dxfId="2628" priority="79">
      <formula>ABS(U$7-U$10)&gt;=1000</formula>
    </cfRule>
  </conditionalFormatting>
  <conditionalFormatting sqref="V4:V9 V11">
    <cfRule type="expression" dxfId="2627" priority="78">
      <formula>ABS(V$7-V$10)&gt;=1000</formula>
    </cfRule>
  </conditionalFormatting>
  <conditionalFormatting sqref="W4:W9 W11">
    <cfRule type="expression" dxfId="2626" priority="77">
      <formula>ABS(W$7-W$10)&gt;=1000</formula>
    </cfRule>
  </conditionalFormatting>
  <conditionalFormatting sqref="X4:X9 X11">
    <cfRule type="expression" dxfId="2625" priority="76">
      <formula>ABS(X$7-X$10)&gt;=1000</formula>
    </cfRule>
  </conditionalFormatting>
  <conditionalFormatting sqref="Y4:Y9 Y11">
    <cfRule type="expression" dxfId="2624" priority="75">
      <formula>ABS(Y$7-Y$10)&gt;=1000</formula>
    </cfRule>
  </conditionalFormatting>
  <conditionalFormatting sqref="Z4:Z11">
    <cfRule type="expression" dxfId="2623" priority="74">
      <formula>ABS(Z$7-Z$10)&gt;=1000</formula>
    </cfRule>
  </conditionalFormatting>
  <conditionalFormatting sqref="AA4:AA11">
    <cfRule type="expression" dxfId="2622" priority="73">
      <formula>ABS(AA$7-AA$10)&gt;=1000</formula>
    </cfRule>
  </conditionalFormatting>
  <conditionalFormatting sqref="AB4:AB11">
    <cfRule type="expression" dxfId="2621" priority="72">
      <formula>ABS(AB$7-AB$10)&gt;=1000</formula>
    </cfRule>
  </conditionalFormatting>
  <conditionalFormatting sqref="AC4 AC6:AC11">
    <cfRule type="expression" dxfId="2620" priority="71">
      <formula>ABS(AC$7-AC$10)&gt;=1000</formula>
    </cfRule>
  </conditionalFormatting>
  <conditionalFormatting sqref="AD4:AD11">
    <cfRule type="expression" dxfId="2619" priority="70">
      <formula>ABS(AD$7-AD$10)&gt;=1000</formula>
    </cfRule>
  </conditionalFormatting>
  <conditionalFormatting sqref="AE4:AE11">
    <cfRule type="expression" dxfId="2618" priority="69">
      <formula>ABS(AE$7-AE$10)&gt;=1000</formula>
    </cfRule>
  </conditionalFormatting>
  <conditionalFormatting sqref="D13:D20">
    <cfRule type="expression" dxfId="2617" priority="68">
      <formula>ABS(D$16-D$19)&gt;=1000</formula>
    </cfRule>
  </conditionalFormatting>
  <conditionalFormatting sqref="E13:E20">
    <cfRule type="expression" dxfId="2616" priority="67">
      <formula>ABS(E$16-E$19)&gt;=1000</formula>
    </cfRule>
  </conditionalFormatting>
  <conditionalFormatting sqref="F13 F15:F20">
    <cfRule type="expression" dxfId="2615" priority="66">
      <formula>ABS(F$16-F$19)&gt;=1000</formula>
    </cfRule>
  </conditionalFormatting>
  <conditionalFormatting sqref="G13:G20">
    <cfRule type="expression" dxfId="2614" priority="65">
      <formula>ABS(G$16-G$19)&gt;=1000</formula>
    </cfRule>
  </conditionalFormatting>
  <conditionalFormatting sqref="H13:H20">
    <cfRule type="expression" dxfId="2613" priority="64">
      <formula>ABS(H$16-H$19)&gt;=1000</formula>
    </cfRule>
  </conditionalFormatting>
  <conditionalFormatting sqref="I13:I20">
    <cfRule type="expression" dxfId="2612" priority="63">
      <formula>ABS(I$16-I$19)&gt;=1000</formula>
    </cfRule>
  </conditionalFormatting>
  <conditionalFormatting sqref="J13:J20">
    <cfRule type="expression" dxfId="2611" priority="62">
      <formula>ABS(J$16-J$19)&gt;=1000</formula>
    </cfRule>
  </conditionalFormatting>
  <conditionalFormatting sqref="L13:L20">
    <cfRule type="expression" dxfId="2610" priority="61">
      <formula>ABS(L$16-L$19)&gt;=1000</formula>
    </cfRule>
  </conditionalFormatting>
  <conditionalFormatting sqref="M13 M15 M17:M18 M20">
    <cfRule type="expression" dxfId="2609" priority="60">
      <formula>ABS(M$16-M$19)&gt;=1000</formula>
    </cfRule>
  </conditionalFormatting>
  <conditionalFormatting sqref="N13:N20">
    <cfRule type="expression" dxfId="2608" priority="59">
      <formula>ABS(N$16-N$19)&gt;=1000</formula>
    </cfRule>
  </conditionalFormatting>
  <conditionalFormatting sqref="O13:O20">
    <cfRule type="expression" dxfId="2607" priority="58">
      <formula>ABS(O$16-O$19)&gt;=1000</formula>
    </cfRule>
  </conditionalFormatting>
  <conditionalFormatting sqref="P13:P20">
    <cfRule type="expression" dxfId="2606" priority="57">
      <formula>ABS(P$16-P$19)&gt;=1000</formula>
    </cfRule>
  </conditionalFormatting>
  <conditionalFormatting sqref="Q13 Q15:Q20">
    <cfRule type="expression" dxfId="2605" priority="56">
      <formula>ABS(Q$16-Q$19)&gt;=1000</formula>
    </cfRule>
  </conditionalFormatting>
  <conditionalFormatting sqref="R13:R20">
    <cfRule type="expression" dxfId="2604" priority="55">
      <formula>ABS(R$16-R$19)&gt;=1000</formula>
    </cfRule>
  </conditionalFormatting>
  <conditionalFormatting sqref="S13:S20">
    <cfRule type="expression" dxfId="2603" priority="54">
      <formula>ABS(S$16-S$19)&gt;=1000</formula>
    </cfRule>
  </conditionalFormatting>
  <conditionalFormatting sqref="T13:T20">
    <cfRule type="expression" dxfId="2602" priority="53">
      <formula>ABS(T$16-T$19)&gt;=1000</formula>
    </cfRule>
  </conditionalFormatting>
  <conditionalFormatting sqref="U13:U20">
    <cfRule type="expression" dxfId="2601" priority="52">
      <formula>ABS(U$16-U$19)&gt;=1000</formula>
    </cfRule>
  </conditionalFormatting>
  <conditionalFormatting sqref="V13:V20">
    <cfRule type="expression" dxfId="2600" priority="51">
      <formula>ABS(V$16-V$19)&gt;=1000</formula>
    </cfRule>
  </conditionalFormatting>
  <conditionalFormatting sqref="W13 W20 W15:W18">
    <cfRule type="expression" dxfId="2599" priority="50">
      <formula>ABS(W$16-W$19)&gt;=1000</formula>
    </cfRule>
  </conditionalFormatting>
  <conditionalFormatting sqref="X13 X15:X20 Y19">
    <cfRule type="expression" dxfId="2598" priority="49">
      <formula>ABS(X$16-X$19)&gt;=1000</formula>
    </cfRule>
  </conditionalFormatting>
  <conditionalFormatting sqref="Y13 Y15:Y18 Y20">
    <cfRule type="expression" dxfId="2597" priority="48">
      <formula>ABS(Y$16-Y$19)&gt;=1000</formula>
    </cfRule>
  </conditionalFormatting>
  <conditionalFormatting sqref="Z13:Z20">
    <cfRule type="expression" dxfId="2596" priority="47">
      <formula>ABS(Z$16-Z$19)&gt;=1000</formula>
    </cfRule>
  </conditionalFormatting>
  <conditionalFormatting sqref="AA13:AA20">
    <cfRule type="expression" dxfId="2595" priority="46">
      <formula>ABS(AA$16-AA$19)&gt;=1000</formula>
    </cfRule>
  </conditionalFormatting>
  <conditionalFormatting sqref="AB13 AB15:AB20">
    <cfRule type="expression" dxfId="2594" priority="45">
      <formula>ABS(AB$16-AB$19)&gt;=1000</formula>
    </cfRule>
  </conditionalFormatting>
  <conditionalFormatting sqref="AC13 AC15:AC20">
    <cfRule type="expression" dxfId="2593" priority="44">
      <formula>ABS(AC$16-AC$19)&gt;=1000</formula>
    </cfRule>
  </conditionalFormatting>
  <conditionalFormatting sqref="AD13:AD20">
    <cfRule type="expression" dxfId="2592" priority="43">
      <formula>ABS(AD$16-AD$19)&gt;=1000</formula>
    </cfRule>
  </conditionalFormatting>
  <conditionalFormatting sqref="AE13:AE20">
    <cfRule type="expression" dxfId="2591" priority="42">
      <formula>ABS(AE$16-AE$19)&gt;=1000</formula>
    </cfRule>
  </conditionalFormatting>
  <conditionalFormatting sqref="D22:D29">
    <cfRule type="expression" dxfId="2590" priority="41">
      <formula>ABS(D$25-D$28)&gt;=1000</formula>
    </cfRule>
  </conditionalFormatting>
  <conditionalFormatting sqref="E22:E29">
    <cfRule type="expression" dxfId="2589" priority="40">
      <formula>ABS(E$25-E$28)&gt;=1000</formula>
    </cfRule>
  </conditionalFormatting>
  <conditionalFormatting sqref="F22:F29">
    <cfRule type="expression" dxfId="2588" priority="39">
      <formula>ABS(F$25-F$28)&gt;=1000</formula>
    </cfRule>
  </conditionalFormatting>
  <conditionalFormatting sqref="G22:G29">
    <cfRule type="expression" dxfId="2587" priority="38">
      <formula>ABS(G$25-G$28)&gt;=1000</formula>
    </cfRule>
  </conditionalFormatting>
  <conditionalFormatting sqref="H22:H29">
    <cfRule type="expression" dxfId="2586" priority="37">
      <formula>ABS(H$25-H$28)&gt;=1000</formula>
    </cfRule>
  </conditionalFormatting>
  <conditionalFormatting sqref="I22 I24:I29">
    <cfRule type="expression" dxfId="2585" priority="36">
      <formula>ABS(I$25-I$28)&gt;=1000</formula>
    </cfRule>
  </conditionalFormatting>
  <conditionalFormatting sqref="J22:J29 K22">
    <cfRule type="expression" dxfId="2584" priority="35">
      <formula>ABS(J$25-J$28)&gt;=1000</formula>
    </cfRule>
  </conditionalFormatting>
  <conditionalFormatting sqref="K23:K29 L25 L28">
    <cfRule type="expression" dxfId="2583" priority="34">
      <formula>ABS(K$25-K$28)&gt;=1000</formula>
    </cfRule>
  </conditionalFormatting>
  <conditionalFormatting sqref="L22:L24 L26:L27 L29">
    <cfRule type="expression" dxfId="2582" priority="33">
      <formula>ABS(L$25-L$28)&gt;=1000</formula>
    </cfRule>
  </conditionalFormatting>
  <conditionalFormatting sqref="M22:M29">
    <cfRule type="expression" dxfId="2581" priority="32">
      <formula>ABS(M$25-M$28)&gt;=1000</formula>
    </cfRule>
  </conditionalFormatting>
  <conditionalFormatting sqref="N22:N29">
    <cfRule type="expression" dxfId="2580" priority="31">
      <formula>ABS(N$25-N$28)&gt;=1000</formula>
    </cfRule>
  </conditionalFormatting>
  <conditionalFormatting sqref="O22:O29">
    <cfRule type="expression" dxfId="2579" priority="30">
      <formula>ABS(O$25-O$28)&gt;=1000</formula>
    </cfRule>
  </conditionalFormatting>
  <conditionalFormatting sqref="P22:P29">
    <cfRule type="expression" dxfId="2578" priority="29">
      <formula>ABS(P$25-P$28)&gt;=1000</formula>
    </cfRule>
  </conditionalFormatting>
  <conditionalFormatting sqref="Q22:Q29">
    <cfRule type="expression" dxfId="2577" priority="28">
      <formula>ABS(Q$25-Q$28)&gt;=1000</formula>
    </cfRule>
  </conditionalFormatting>
  <conditionalFormatting sqref="R22:R29">
    <cfRule type="expression" dxfId="2576" priority="27">
      <formula>ABS(R$25-R$28)&gt;=1000</formula>
    </cfRule>
  </conditionalFormatting>
  <conditionalFormatting sqref="S22:S29">
    <cfRule type="expression" dxfId="2575" priority="26">
      <formula>ABS(S$25-S$28)&gt;=1000</formula>
    </cfRule>
  </conditionalFormatting>
  <conditionalFormatting sqref="T22:T29">
    <cfRule type="expression" dxfId="2574" priority="25">
      <formula>ABS(T$25-T$28)&gt;=1000</formula>
    </cfRule>
  </conditionalFormatting>
  <conditionalFormatting sqref="U22:U29">
    <cfRule type="expression" dxfId="2573" priority="24">
      <formula>ABS(U$25-U$28)&gt;=1000</formula>
    </cfRule>
  </conditionalFormatting>
  <conditionalFormatting sqref="V22:V29">
    <cfRule type="expression" dxfId="2572" priority="23">
      <formula>ABS(V$25-V$28)&gt;=1000</formula>
    </cfRule>
  </conditionalFormatting>
  <conditionalFormatting sqref="W22:W29">
    <cfRule type="expression" dxfId="2571" priority="22">
      <formula>ABS(W$25-W$28)&gt;=1000</formula>
    </cfRule>
  </conditionalFormatting>
  <conditionalFormatting sqref="X22:X29">
    <cfRule type="expression" dxfId="2570" priority="21">
      <formula>ABS(X$25-X$28)&gt;=1000</formula>
    </cfRule>
  </conditionalFormatting>
  <conditionalFormatting sqref="Y22:Y29">
    <cfRule type="expression" dxfId="2569" priority="20">
      <formula>ABS(Y$25-Y$28)&gt;=1000</formula>
    </cfRule>
  </conditionalFormatting>
  <conditionalFormatting sqref="I23">
    <cfRule type="expression" dxfId="2568" priority="19">
      <formula>ABS(I$25-I$28)&gt;=1000</formula>
    </cfRule>
  </conditionalFormatting>
  <conditionalFormatting sqref="F14">
    <cfRule type="expression" dxfId="2567" priority="18">
      <formula>ABS(F$16-F$19)&gt;=1000</formula>
    </cfRule>
  </conditionalFormatting>
  <conditionalFormatting sqref="Q14">
    <cfRule type="expression" dxfId="2566" priority="17">
      <formula>ABS(Q$16-Q$19)&gt;=1000</formula>
    </cfRule>
  </conditionalFormatting>
  <conditionalFormatting sqref="W14">
    <cfRule type="expression" dxfId="2565" priority="16">
      <formula>ABS(W$16-W$19)&gt;=1000</formula>
    </cfRule>
  </conditionalFormatting>
  <conditionalFormatting sqref="Y14">
    <cfRule type="expression" dxfId="2564" priority="15">
      <formula>ABS(Y$16-Y$19)&gt;=1000</formula>
    </cfRule>
  </conditionalFormatting>
  <conditionalFormatting sqref="X14">
    <cfRule type="expression" dxfId="2563" priority="14">
      <formula>ABS(X$16-X$19)&gt;=1000</formula>
    </cfRule>
  </conditionalFormatting>
  <conditionalFormatting sqref="T10:Y10">
    <cfRule type="expression" dxfId="2562" priority="13">
      <formula>ABS(T$7-T$10)&gt;=1000</formula>
    </cfRule>
  </conditionalFormatting>
  <conditionalFormatting sqref="W19">
    <cfRule type="expression" dxfId="2561" priority="12">
      <formula>ABS(W$16-W$19)&gt;=1000</formula>
    </cfRule>
  </conditionalFormatting>
  <conditionalFormatting sqref="AC5">
    <cfRule type="expression" dxfId="2560" priority="11">
      <formula>ABS(AC$7-AC$10)&gt;=1000</formula>
    </cfRule>
  </conditionalFormatting>
  <conditionalFormatting sqref="M14">
    <cfRule type="expression" dxfId="2559" priority="10">
      <formula>ABS(M$16-M$19)&gt;=1000</formula>
    </cfRule>
  </conditionalFormatting>
  <conditionalFormatting sqref="M16">
    <cfRule type="expression" dxfId="2558" priority="9">
      <formula>ABS(M$16-M$19)&gt;=1000</formula>
    </cfRule>
  </conditionalFormatting>
  <conditionalFormatting sqref="M19">
    <cfRule type="expression" dxfId="2557" priority="8">
      <formula>ABS(M$16-M$19)&gt;=1000</formula>
    </cfRule>
  </conditionalFormatting>
  <conditionalFormatting sqref="K13:K20">
    <cfRule type="expression" dxfId="2556" priority="7">
      <formula>ABS(K$16-K$19)&gt;=1000</formula>
    </cfRule>
  </conditionalFormatting>
  <conditionalFormatting sqref="E5">
    <cfRule type="expression" dxfId="2555" priority="6">
      <formula>ABS(E$7-E$10)&gt;=1000</formula>
    </cfRule>
  </conditionalFormatting>
  <conditionalFormatting sqref="AB14:AC14">
    <cfRule type="expression" dxfId="2554" priority="5">
      <formula>ABS(AB$16-AB$19)&gt;=1000</formula>
    </cfRule>
  </conditionalFormatting>
  <conditionalFormatting sqref="M5">
    <cfRule type="expression" dxfId="2553" priority="4">
      <formula>ABS(M$7-M$10)&gt;=1000</formula>
    </cfRule>
  </conditionalFormatting>
  <conditionalFormatting sqref="N5">
    <cfRule type="expression" dxfId="2552" priority="3">
      <formula>ABS(N$7-N$10)&gt;=1000</formula>
    </cfRule>
  </conditionalFormatting>
  <conditionalFormatting sqref="O5">
    <cfRule type="expression" dxfId="2551" priority="2">
      <formula>ABS(O$7-O$10)&gt;=1000</formula>
    </cfRule>
  </conditionalFormatting>
  <conditionalFormatting sqref="P5">
    <cfRule type="expression" dxfId="255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86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6">
    <pageSetUpPr fitToPage="1"/>
  </sheetPr>
  <dimension ref="A1:CU223"/>
  <sheetViews>
    <sheetView view="pageBreakPreview" topLeftCell="B10" zoomScale="70" zoomScaleNormal="100" zoomScaleSheetLayoutView="70" workbookViewId="0">
      <selection activeCell="C4" sqref="C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45720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0" t="s" ph="1">
        <v>179</v>
      </c>
      <c r="D6" s="71">
        <v>2156</v>
      </c>
      <c r="E6" s="71">
        <v>0</v>
      </c>
      <c r="F6" s="71">
        <v>6820</v>
      </c>
      <c r="G6" s="71">
        <v>5640</v>
      </c>
      <c r="H6" s="71">
        <v>5960</v>
      </c>
      <c r="I6" s="71">
        <v>27.16</v>
      </c>
      <c r="J6" s="71">
        <v>7.74</v>
      </c>
      <c r="K6" s="71">
        <v>7.66</v>
      </c>
      <c r="L6" s="71">
        <v>39.42</v>
      </c>
      <c r="M6" s="71">
        <v>3961</v>
      </c>
      <c r="N6" s="71">
        <v>4346</v>
      </c>
      <c r="O6" s="71">
        <v>1602</v>
      </c>
      <c r="P6" s="71">
        <v>6889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1930</v>
      </c>
      <c r="W6" s="71">
        <v>0</v>
      </c>
      <c r="X6" s="71">
        <v>0</v>
      </c>
      <c r="Y6" s="71">
        <v>0</v>
      </c>
      <c r="Z6" s="71">
        <v>5433</v>
      </c>
      <c r="AA6" s="71">
        <v>1632</v>
      </c>
      <c r="AB6" s="71">
        <v>2258</v>
      </c>
      <c r="AC6" s="71">
        <v>4908</v>
      </c>
      <c r="AD6" s="71">
        <v>1683</v>
      </c>
      <c r="AE6" s="71">
        <v>1415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67630.601475360003</v>
      </c>
      <c r="E7" s="73" ph="1">
        <f>E6*51.53*LOOKUP(E8,密度!$A$2:$A$50,密度!$I$2:$I$50)</f>
        <v>0</v>
      </c>
      <c r="F7" s="73" ph="1">
        <f>F6*33.183*LOOKUP(F8,密度!$A$2:$A$50,密度!$C$2:$C$50)</f>
        <v>251790.34755599999</v>
      </c>
      <c r="G7" s="73" ph="1">
        <f xml:space="preserve"> (G6+2)*51.53*LOOKUP(G8,密度!$A$2:$A$50,密度!$B$2:$B$50)</f>
        <v>227701.506032</v>
      </c>
      <c r="H7" s="73" ph="1">
        <f>(H6)*51.53*LOOKUP(H8,密度!$A$2:$A$50,密度!$B$2:$B$50)</f>
        <v>240535.44415999998</v>
      </c>
      <c r="I7" s="73" ph="1">
        <f>I6*290.8*1.0267</f>
        <v>8109.0080176000001</v>
      </c>
      <c r="J7" s="73" ph="1">
        <f>J6*290.8*0.7892</f>
        <v>1776.3250464000002</v>
      </c>
      <c r="K7" s="73" ph="1">
        <f>K6*290.8*1.1126</f>
        <v>2478.3476528000006</v>
      </c>
      <c r="L7" s="73" ph="1">
        <f>L6*290.8*0.777</f>
        <v>8907.0120720000014</v>
      </c>
      <c r="M7" s="73" ph="1">
        <f>M6*33.183*LOOKUP(M8,密度!$A$2:$A$50,密度!$D$2:$D$50)</f>
        <v>135315.27995850003</v>
      </c>
      <c r="N7" s="73" ph="1">
        <f>N6*33.183*LOOKUP(N8,密度!$A$2:$A$50,密度!$E$2:$E$50)</f>
        <v>113467.0386024</v>
      </c>
      <c r="O7" s="73" ph="1">
        <f>O6*20.428*LOOKUP(O8,密度!$A$2:$A$50,密度!$C$2:$C$50)</f>
        <v>36240.3914544</v>
      </c>
      <c r="P7" s="73" ph="1">
        <f>P6*51.53*LOOKUP(P8,密度!$A$2:$A$50,密度!$B$2:$B$50)</f>
        <v>277389.31883800001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12755.64213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170007.094377</v>
      </c>
      <c r="AA7" s="73" ph="1">
        <f>AA6*33.183*LOOKUP(AA8,密度!$A$2:$A$50,密度!$D$2:$D$50)</f>
        <v>55752.218352000011</v>
      </c>
      <c r="AB7" s="73" ph="1">
        <f>AB6*20.428*LOOKUP(AB8,密度!$A$2:$A$50,密度!$D$2:$D$50)</f>
        <v>47810.038476000002</v>
      </c>
      <c r="AC7" s="73" ph="1">
        <f>AC6*51.53*LOOKUP(AC8,密度!$A$2:$A$50,密度!$Q$2:$Q$50)</f>
        <v>240359.88351120002</v>
      </c>
      <c r="AD7" s="73" ph="1">
        <f>AD6*20.428*LOOKUP(AD8,密度!$A$2:$A$50,密度!$V$2:$V$50)</f>
        <v>32922.598262400003</v>
      </c>
      <c r="AE7" s="73" ph="1">
        <f>AE6*20.428</f>
        <v>28905.620000000003</v>
      </c>
    </row>
    <row r="8" spans="1:99" ph="1">
      <c r="B8" s="252" ph="1"/>
      <c r="C8" s="68" t="s" ph="1">
        <v>181</v>
      </c>
      <c r="D8" s="74">
        <v>27</v>
      </c>
      <c r="E8" s="74">
        <v>21</v>
      </c>
      <c r="F8" s="74">
        <v>20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27</v>
      </c>
      <c r="P8" s="74">
        <v>23</v>
      </c>
      <c r="Q8" s="74">
        <v>20</v>
      </c>
      <c r="R8" s="74">
        <v>26</v>
      </c>
      <c r="S8" s="74">
        <v>16</v>
      </c>
      <c r="T8" s="74">
        <v>17</v>
      </c>
      <c r="U8" s="74">
        <v>22</v>
      </c>
      <c r="V8" s="74">
        <v>27</v>
      </c>
      <c r="W8" s="74">
        <v>22</v>
      </c>
      <c r="X8" s="74">
        <v>15</v>
      </c>
      <c r="Y8" s="74">
        <v>22</v>
      </c>
      <c r="Z8" s="74">
        <v>19</v>
      </c>
      <c r="AA8" s="74">
        <v>22</v>
      </c>
      <c r="AB8" s="74">
        <v>14</v>
      </c>
      <c r="AC8" s="74">
        <v>20</v>
      </c>
      <c r="AD8" s="74">
        <v>36</v>
      </c>
      <c r="AE8" s="74">
        <v>25</v>
      </c>
    </row>
    <row r="9" spans="1:99" ph="1">
      <c r="B9" s="252" ph="1">
        <v>0.66666666666666663</v>
      </c>
      <c r="C9" s="150" t="s" ph="1">
        <v>182</v>
      </c>
      <c r="D9" s="71">
        <v>2154</v>
      </c>
      <c r="E9" s="71">
        <v>0</v>
      </c>
      <c r="F9" s="71">
        <v>6823</v>
      </c>
      <c r="G9" s="71">
        <v>5965</v>
      </c>
      <c r="H9" s="71">
        <v>6901</v>
      </c>
      <c r="I9" s="71">
        <v>27.17</v>
      </c>
      <c r="J9" s="71">
        <v>7.75</v>
      </c>
      <c r="K9" s="71">
        <v>7.64</v>
      </c>
      <c r="L9" s="71">
        <v>12.68</v>
      </c>
      <c r="M9" s="71">
        <v>3962</v>
      </c>
      <c r="N9" s="71">
        <v>4349</v>
      </c>
      <c r="O9" s="71">
        <v>1601</v>
      </c>
      <c r="P9" s="71">
        <v>6630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2027</v>
      </c>
      <c r="W9" s="71">
        <v>2773</v>
      </c>
      <c r="X9" s="71">
        <v>0</v>
      </c>
      <c r="Y9" s="71">
        <v>0</v>
      </c>
      <c r="Z9" s="71">
        <v>3139</v>
      </c>
      <c r="AA9" s="71">
        <v>1633</v>
      </c>
      <c r="AB9" s="71">
        <v>2258</v>
      </c>
      <c r="AC9" s="71">
        <v>4909</v>
      </c>
      <c r="AD9" s="71">
        <v>1728</v>
      </c>
      <c r="AE9" s="71">
        <v>2190</v>
      </c>
    </row>
    <row r="10" spans="1:99" s="72" customFormat="1" ht="22.5" ph="1">
      <c r="B10" s="252" ph="1"/>
      <c r="C10" s="150" t="s" ph="1">
        <v>180</v>
      </c>
      <c r="D10" s="73" ph="1">
        <f>D9*33.183*LOOKUP(D11,密度!$A$2:$A$50,密度!$Q$2:$Q$50)</f>
        <v>67567.86436824</v>
      </c>
      <c r="E10" s="73" ph="1">
        <f>E9*51.53*LOOKUP(E11,密度!$A$2:$A$50,密度!$I$2:$I$50)</f>
        <v>0</v>
      </c>
      <c r="F10" s="73" ph="1">
        <f>F9*33.183*LOOKUP(F11,密度!$A$2:$A$50,密度!$C$2:$C$50)</f>
        <v>251742.62044710002</v>
      </c>
      <c r="G10" s="73" ph="1">
        <f xml:space="preserve"> (G9+2)*51.53*LOOKUP(G11,密度!$A$2:$A$50,密度!$B$2:$B$50)</f>
        <v>240541.220673</v>
      </c>
      <c r="H10" s="73" ph="1">
        <f>(H9)*51.53*LOOKUP(H11,密度!$A$2:$A$50,密度!$B$2:$B$50)</f>
        <v>278192.55301900004</v>
      </c>
      <c r="I10" s="73" ph="1">
        <f>I9*290.8*1.0267</f>
        <v>8111.9936612000001</v>
      </c>
      <c r="J10" s="73" ph="1">
        <f>J9*290.8*0.7892</f>
        <v>1778.6200400000002</v>
      </c>
      <c r="K10" s="73" ph="1">
        <f>K9*290.8*1.1126</f>
        <v>2471.8767711999999</v>
      </c>
      <c r="L10" s="73" ph="1">
        <f>L9*290.8*0.777</f>
        <v>2865.066288</v>
      </c>
      <c r="M10" s="73" ph="1">
        <f>M9*33.183*LOOKUP(M11,密度!$A$2:$A$50,密度!$D$2:$D$50)</f>
        <v>135231.11791559999</v>
      </c>
      <c r="N10" s="73" ph="1">
        <f>N9*33.183*LOOKUP(N11,密度!$A$2:$A$50,密度!$E$2:$E$50)</f>
        <v>113372.18831519999</v>
      </c>
      <c r="O10" s="73" ph="1">
        <f>O9*20.428*LOOKUP(O11,密度!$A$2:$A$50,密度!$C$2:$C$50)</f>
        <v>36168.711645200005</v>
      </c>
      <c r="P10" s="73" ph="1">
        <f>P9*51.53*LOOKUP(P11,密度!$A$2:$A$50,密度!$B$2:$B$50)</f>
        <v>266653.06394999998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13411.0568592</v>
      </c>
      <c r="W10" s="73" ph="1">
        <f>W9*1.5*1.5*3.1416*LOOKUP(W11,密度!$A$2:$A$50,密度!$L$2:$L$50)</f>
        <v>18385.9516764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98120.073653999993</v>
      </c>
      <c r="AA10" s="73" ph="1">
        <f>AA9*33.183*LOOKUP(AA11,密度!$A$2:$A$50,密度!$D$2:$D$50)</f>
        <v>55683.423356400002</v>
      </c>
      <c r="AB10" s="73" ph="1">
        <f>AB9*20.428*LOOKUP(AB11,密度!$A$2:$A$50,密度!$D$2:$D$50)</f>
        <v>47768.524694400003</v>
      </c>
      <c r="AC10" s="73" ph="1">
        <f>AC9*51.53*LOOKUP(AC11,密度!$A$2:$A$50,密度!$Q$2:$Q$50)</f>
        <v>240082.53719930002</v>
      </c>
      <c r="AD10" s="73" ph="1">
        <f>AD9*20.428*LOOKUP(AD11,密度!$A$2:$A$50,密度!$V$2:$V$50)</f>
        <v>33802.881638400002</v>
      </c>
      <c r="AE10" s="73" ph="1">
        <f>AE9*20.428</f>
        <v>44737.32</v>
      </c>
    </row>
    <row r="11" spans="1:99" ph="1">
      <c r="A11" s="64" t="s" ph="1">
        <v>164</v>
      </c>
      <c r="B11" s="252" ph="1"/>
      <c r="C11" s="150" t="s" ph="1">
        <v>181</v>
      </c>
      <c r="D11" s="74">
        <v>27</v>
      </c>
      <c r="E11" s="74">
        <v>24</v>
      </c>
      <c r="F11" s="74">
        <v>21</v>
      </c>
      <c r="G11" s="74">
        <v>22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23</v>
      </c>
      <c r="O11" s="74">
        <v>29</v>
      </c>
      <c r="P11" s="74">
        <v>24</v>
      </c>
      <c r="Q11" s="74">
        <v>24</v>
      </c>
      <c r="R11" s="74">
        <v>28</v>
      </c>
      <c r="S11" s="74">
        <v>19</v>
      </c>
      <c r="T11" s="74">
        <v>23</v>
      </c>
      <c r="U11" s="74">
        <v>24</v>
      </c>
      <c r="V11" s="74">
        <v>26</v>
      </c>
      <c r="W11" s="74">
        <v>24</v>
      </c>
      <c r="X11" s="74">
        <v>19</v>
      </c>
      <c r="Y11" s="74">
        <v>24</v>
      </c>
      <c r="Z11" s="74">
        <v>20</v>
      </c>
      <c r="AA11" s="74">
        <v>24</v>
      </c>
      <c r="AB11" s="74">
        <v>15</v>
      </c>
      <c r="AC11" s="74">
        <v>22</v>
      </c>
      <c r="AD11" s="74">
        <v>37</v>
      </c>
      <c r="AE11" s="74">
        <v>36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0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0" t="s" ph="1">
        <v>179</v>
      </c>
      <c r="D15" s="78">
        <v>2274</v>
      </c>
      <c r="E15" s="78">
        <v>5495</v>
      </c>
      <c r="F15" s="78">
        <v>1085</v>
      </c>
      <c r="G15" s="78">
        <v>2998</v>
      </c>
      <c r="H15" s="78">
        <v>110</v>
      </c>
      <c r="I15" s="78">
        <v>1692</v>
      </c>
      <c r="J15" s="78">
        <v>547</v>
      </c>
      <c r="K15" s="78">
        <v>745</v>
      </c>
      <c r="L15" s="78">
        <v>5664</v>
      </c>
      <c r="M15" s="78">
        <v>6549</v>
      </c>
      <c r="N15" s="78">
        <v>1037</v>
      </c>
      <c r="O15" s="78">
        <v>5766</v>
      </c>
      <c r="P15" s="78">
        <v>2233</v>
      </c>
      <c r="Q15" s="78">
        <v>5214</v>
      </c>
      <c r="R15" s="78">
        <v>3512</v>
      </c>
      <c r="S15" s="78">
        <v>5654</v>
      </c>
      <c r="T15" s="78">
        <v>2328</v>
      </c>
      <c r="U15" s="78">
        <v>5353</v>
      </c>
      <c r="V15" s="78">
        <v>-1641</v>
      </c>
      <c r="W15" s="71">
        <v>-596</v>
      </c>
      <c r="X15" s="78">
        <v>324</v>
      </c>
      <c r="Y15" s="106">
        <v>-9906</v>
      </c>
      <c r="Z15" s="78">
        <v>0</v>
      </c>
      <c r="AA15" s="78">
        <v>2515</v>
      </c>
      <c r="AB15" s="78" ph="1">
        <v>6907</v>
      </c>
      <c r="AC15" s="78" ph="1">
        <v>6548</v>
      </c>
      <c r="AD15" s="78">
        <v>24.01</v>
      </c>
      <c r="AE15" s="78">
        <v>29.65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0" t="s" ph="1">
        <v>180</v>
      </c>
      <c r="D16" s="73" ph="1">
        <f>D15*7.0686*LOOKUP(D17,密度!$A$2:$A$50,密度!$L$2:$L$50)</f>
        <v>15093.482619599999</v>
      </c>
      <c r="E16" s="73" ph="1">
        <f>E15*7.0686*LOOKUP(E17,密度!$A$2:$A$50,密度!$L$2:$L$50)</f>
        <v>36472.597623000001</v>
      </c>
      <c r="F16" s="73" ph="1">
        <f>F15*9.0746*LOOKUP(F17,密度!$A$2:$A$50,密度!$L$2:$L$50)</f>
        <v>9245.3385990000006</v>
      </c>
      <c r="G16" s="73" ph="1">
        <f>G15*9.0746*LOOKUP(G17,密度!$A$2:$A$50,密度!$B$2:$B$50)</f>
        <v>21282.98062084</v>
      </c>
      <c r="H16" s="73" ph="1">
        <f>H15*9.0746*LOOKUP(H17,密度!$A$2:$A$50,密度!$L$2:$L$50)</f>
        <v>942.30646400000001</v>
      </c>
      <c r="I16" s="73" ph="1">
        <f>I15*9.0746*LOOKUP(I17,密度!$A$2:$A$50,密度!$U$2:$U$50)</f>
        <v>15784.141449600002</v>
      </c>
      <c r="J16" s="73" ph="1">
        <f>J15*9.0746*LOOKUP(J17,密度!$A$2:$A$50,密度!$L$2:$L$50)</f>
        <v>4665.977828</v>
      </c>
      <c r="K16" s="73" ph="1">
        <f>K15*9.0746*LOOKUP(K17,密度!$A$2:$A$50,密度!$C$2:$C$50)</f>
        <v>7511.6771047000002</v>
      </c>
      <c r="L16" s="73" ph="1">
        <f>L15*9.0746*LOOKUP(L17,密度!$A$2:$A$50,密度!$E$2:$E$50)</f>
        <v>40378.688624640003</v>
      </c>
      <c r="M16" s="73" ph="1">
        <f>M15*9.0746*LOOKUP(M17,密度!$A$2:$A$50,密度!$M$2:$M$50)</f>
        <v>52119.720085800007</v>
      </c>
      <c r="N16" s="73" ph="1">
        <f>N15*9.0746*LOOKUP(N17,密度!$A$2:$A$50,密度!$M$2:$M$50)</f>
        <v>8283.940084060001</v>
      </c>
      <c r="O16" s="73" ph="1">
        <f>O15*9.0746*LOOKUP(O17,密度!$A$2:$A$50,密度!$G$2:$G$50)</f>
        <v>50430.009601680002</v>
      </c>
      <c r="P16" s="73" ph="1">
        <f ca="1">P15*9.0746*LOOKUP(P17,密度!$A$2:$A$51,密度!$Q$2:$Q$50)</f>
        <v>19199.135848046</v>
      </c>
      <c r="Q16" s="73" ph="1">
        <f>Q15*9.0746*LOOKUP(Q17,密度!$A$2:$A$50,密度!$Q$2:$Q$50)</f>
        <v>44864.049244080008</v>
      </c>
      <c r="R16" s="73" ph="1">
        <f>MAX(R15*9.0746*LOOKUP(R17,密度!$A$2:$A$50,密度!$B$2:$B$50),0)</f>
        <v>24874.531253599998</v>
      </c>
      <c r="S16" s="73" ph="1">
        <f>S15*9.0746*LOOKUP(S17,密度!$A$2:$A$50,密度!$Q$2:$Q$50)</f>
        <v>48650.044960879997</v>
      </c>
      <c r="T16" s="73" ph="1">
        <f>T15*9.0746*LOOKUP(T17,密度!$A$2:$A$50,密度!$O$2:$O$50)</f>
        <v>19646.871984000001</v>
      </c>
      <c r="U16" s="73" ph="1">
        <f>U15*9.0746*LOOKUP(U17,密度!$A$2:$A$50,密度!$H$2:$H$50)</f>
        <v>44529.925194459996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196.72357508800087</v>
      </c>
      <c r="X16" s="73" ph="1">
        <f>MAX(5600*LOOKUP(X17,密度!$A$2:$A$50,密度!$I$2:$I$50)+X15*9.0476*LOOKUP(X17,密度!$A$2:$A$50,密度!$I$2:$I$50),0)</f>
        <v>8815.4334516960007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17874.6752008</v>
      </c>
      <c r="AB16" s="73" ph="1">
        <f>AB15*9.0746*LOOKUP(AB17,密度!$A$2:$A$50,密度!$L$2:$L$50)</f>
        <v>58854.888205800002</v>
      </c>
      <c r="AC16" s="73" ph="1">
        <f>AC15*9.0746*LOOKUP(AC17,密度!$A$2:$A$50,密度!$L$2:$L$50)</f>
        <v>55914.672432799998</v>
      </c>
      <c r="AD16" s="73" ph="1">
        <f>AD15*268.68*LOOKUP(AD17,密度!$A$2:$A$50,密度!B2:B50)+IF(AD15&lt;=0,0,1566*LOOKUP(AD17,密度!$A$2:$A$50,密度!B2:B50))</f>
        <v>6250.0585012800002</v>
      </c>
      <c r="AE16" s="73" ph="1">
        <f>AE15*268.68*LOOKUP(AE17,密度!$A$2:$A$50,密度!B2:B50)+IF(AE15&lt;=0,0,1566*LOOKUP(AE17,密度!$A$2:$A$50,密度!B2:B50))</f>
        <v>7431.4294152000002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23</v>
      </c>
      <c r="E17" s="74">
        <v>23</v>
      </c>
      <c r="F17" s="74">
        <v>23</v>
      </c>
      <c r="G17" s="74">
        <v>22</v>
      </c>
      <c r="H17" s="74">
        <v>18</v>
      </c>
      <c r="I17" s="74">
        <v>21</v>
      </c>
      <c r="J17" s="74">
        <v>22</v>
      </c>
      <c r="K17" s="74">
        <v>22</v>
      </c>
      <c r="L17" s="74">
        <v>23</v>
      </c>
      <c r="M17" s="74">
        <v>23</v>
      </c>
      <c r="N17" s="74">
        <v>20</v>
      </c>
      <c r="O17" s="74">
        <v>22</v>
      </c>
      <c r="P17" s="74">
        <v>24</v>
      </c>
      <c r="Q17" s="74">
        <v>23</v>
      </c>
      <c r="R17" s="74">
        <v>24</v>
      </c>
      <c r="S17" s="74">
        <v>23</v>
      </c>
      <c r="T17" s="74">
        <v>24</v>
      </c>
      <c r="U17" s="74">
        <v>23</v>
      </c>
      <c r="V17" s="74">
        <v>24</v>
      </c>
      <c r="W17" s="74">
        <v>24</v>
      </c>
      <c r="X17" s="74">
        <v>33</v>
      </c>
      <c r="Y17" s="108">
        <v>33</v>
      </c>
      <c r="Z17" s="74">
        <v>22</v>
      </c>
      <c r="AA17" s="74">
        <v>21</v>
      </c>
      <c r="AB17" s="74">
        <v>23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2277</v>
      </c>
      <c r="E18" s="71">
        <v>5500</v>
      </c>
      <c r="F18" s="71">
        <v>1092</v>
      </c>
      <c r="G18" s="71">
        <v>3500</v>
      </c>
      <c r="H18" s="71">
        <v>109</v>
      </c>
      <c r="I18" s="71">
        <v>1697</v>
      </c>
      <c r="J18" s="71">
        <v>546</v>
      </c>
      <c r="K18" s="71">
        <v>744</v>
      </c>
      <c r="L18" s="71">
        <v>5670</v>
      </c>
      <c r="M18" s="71">
        <v>3610</v>
      </c>
      <c r="N18" s="71">
        <v>2049</v>
      </c>
      <c r="O18" s="71">
        <v>5769</v>
      </c>
      <c r="P18" s="71">
        <v>2233</v>
      </c>
      <c r="Q18" s="71">
        <v>5215</v>
      </c>
      <c r="R18" s="71">
        <v>3516</v>
      </c>
      <c r="S18" s="71">
        <v>5657</v>
      </c>
      <c r="T18" s="71">
        <v>1925</v>
      </c>
      <c r="U18" s="71">
        <v>5355</v>
      </c>
      <c r="V18" s="71">
        <v>-1641</v>
      </c>
      <c r="W18" s="71">
        <v>-596</v>
      </c>
      <c r="X18" s="71">
        <v>323</v>
      </c>
      <c r="Y18" s="109">
        <v>-9906</v>
      </c>
      <c r="Z18" s="71">
        <v>0</v>
      </c>
      <c r="AA18" s="71">
        <v>2517</v>
      </c>
      <c r="AB18" s="71">
        <v>6913</v>
      </c>
      <c r="AC18" s="71">
        <v>6552</v>
      </c>
      <c r="AD18" s="71">
        <v>23.99</v>
      </c>
      <c r="AE18" s="71">
        <v>59.53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0" t="s" ph="1">
        <v>180</v>
      </c>
      <c r="D19" s="73" ph="1">
        <f>D18*7.0686*LOOKUP(D20,密度!$A$2:$A$50,密度!$L$2:$L$50)</f>
        <v>15113.394865799999</v>
      </c>
      <c r="E19" s="73" ph="1">
        <f>E18*7.0686*LOOKUP(E20,密度!$A$2:$A$50,密度!$L$2:$L$50)</f>
        <v>36505.784700000004</v>
      </c>
      <c r="F19" s="73" ph="1">
        <f>F18*9.0746*LOOKUP(F20,密度!$A$2:$A$50,密度!$L$2:$L$50)</f>
        <v>9265.3480920000002</v>
      </c>
      <c r="G19" s="73" ph="1">
        <f>G18*9.0746*LOOKUP(G20,密度!$A$2:$A$50,密度!$B$2:$B$50)</f>
        <v>24789.538550000001</v>
      </c>
      <c r="H19" s="73" ph="1">
        <f>H18*9.0746*LOOKUP(H20,密度!$A$2:$A$50,密度!$L$2:$L$50)</f>
        <v>929.78351599999996</v>
      </c>
      <c r="I19" s="73" ph="1">
        <f>I18*9.0746*LOOKUP(I20,密度!$A$2:$A$50,密度!$U$2:$U$50)</f>
        <v>15784.586104999998</v>
      </c>
      <c r="J19" s="73" ph="1">
        <f>J18*9.0746*LOOKUP(J20,密度!$A$2:$A$50,密度!$L$2:$L$50)</f>
        <v>4637.6287775999999</v>
      </c>
      <c r="K19" s="73" ph="1">
        <f>K18*9.0746*LOOKUP(K20,密度!$A$2:$A$50,密度!$C$2:$C$50)</f>
        <v>7486.7410113599999</v>
      </c>
      <c r="L19" s="73" ph="1">
        <f>L18*9.0746*LOOKUP(L20,密度!$A$2:$A$50,密度!$E$2:$E$50)</f>
        <v>40359.719080800001</v>
      </c>
      <c r="M19" s="73" ph="1">
        <f>M18*9.0746*LOOKUP(M20,密度!$A$2:$A$50,密度!$M$2:$M$50)</f>
        <v>28693.876125400002</v>
      </c>
      <c r="N19" s="73" ph="1">
        <f>N18*9.0746*LOOKUP(N20,密度!$A$2:$A$50,密度!$M$2:$M$50)</f>
        <v>16306.811185800001</v>
      </c>
      <c r="O19" s="73" ph="1">
        <f>O18*9.0746*LOOKUP(O20,密度!$A$2:$A$50,密度!$G$2:$G$50)</f>
        <v>50320.134344880003</v>
      </c>
      <c r="P19" s="73" ph="1">
        <f ca="1">P18*9.0746*LOOKUP(P20,密度!$A$2:$A$51,密度!$Q$2:$Q$50)</f>
        <v>19184.343433332</v>
      </c>
      <c r="Q19" s="73" ph="1">
        <f>Q18*9.0746*LOOKUP(Q20,密度!$A$2:$A$50,密度!$Q$2:$Q$50)</f>
        <v>44872.653779800006</v>
      </c>
      <c r="R19" s="73" ph="1">
        <f>MAX(R18*9.0746*LOOKUP(R20,密度!$A$2:$A$50,密度!$B$2:$B$50),0)</f>
        <v>24874.146490560001</v>
      </c>
      <c r="S19" s="73" ph="1">
        <f>S18*9.0746*LOOKUP(S20,密度!$A$2:$A$50,密度!$Q$2:$Q$50)</f>
        <v>48675.858568040007</v>
      </c>
      <c r="T19" s="73" ph="1">
        <f>T18*9.0746*LOOKUP(T20,密度!$A$2:$A$50,密度!$O$2:$O$50)</f>
        <v>16175.92823</v>
      </c>
      <c r="U19" s="73" ph="1">
        <f>U18*9.0746*LOOKUP(U20,密度!$A$2:$A$50,密度!$H$2:$H$50)</f>
        <v>44546.562566100001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196.42458731200077</v>
      </c>
      <c r="X19" s="73" ph="1">
        <f>MAX(5600*LOOKUP(X20,密度!$A$2:$A$50,密度!$I$2:$I$50)+X18*9.0476*LOOKUP(X20,密度!$A$2:$A$50,密度!$I$2:$I$50),0)</f>
        <v>8777.7051490079994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17868.33296286</v>
      </c>
      <c r="AB19" s="73" ph="1">
        <f>AB18*9.0746*LOOKUP(AB20,密度!$A$2:$A$50,密度!$L$2:$L$50)</f>
        <v>58843.281792399997</v>
      </c>
      <c r="AC19" s="73" ph="1">
        <f>AC18*9.0746*LOOKUP(AC20,密度!$A$2:$A$50,密度!$L$2:$L$50)</f>
        <v>55889.372448000002</v>
      </c>
      <c r="AD19" s="73" ph="1">
        <f>AD18*268.68*LOOKUP(AD20,密度!$A$2:$A$50,密度!B5:B53)+IF(AD18&lt;=0,0,1566*LOOKUP(AD20,密度!$A$2:$A$50,密度!B5:B53))</f>
        <v>6225.0389963999996</v>
      </c>
      <c r="AE19" s="73" ph="1">
        <f>AE18*268.68*LOOKUP(AE20,密度!$A$2:$A$50,密度!B5:B53)+IF(AE18&lt;=0,0,1566*LOOKUP(AE20,密度!$A$2:$A$50,密度!B5:B53))</f>
        <v>13644.5243508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23</v>
      </c>
      <c r="E20" s="81">
        <v>23</v>
      </c>
      <c r="F20" s="81">
        <v>27</v>
      </c>
      <c r="G20" s="81">
        <v>24</v>
      </c>
      <c r="H20" s="81">
        <v>22</v>
      </c>
      <c r="I20" s="81">
        <v>25</v>
      </c>
      <c r="J20" s="81">
        <v>26</v>
      </c>
      <c r="K20" s="81">
        <v>25</v>
      </c>
      <c r="L20" s="81">
        <v>24</v>
      </c>
      <c r="M20" s="81">
        <v>24</v>
      </c>
      <c r="N20" s="81">
        <v>23</v>
      </c>
      <c r="O20" s="81">
        <v>24</v>
      </c>
      <c r="P20" s="81">
        <v>25</v>
      </c>
      <c r="Q20" s="81">
        <v>23</v>
      </c>
      <c r="R20" s="81">
        <v>25</v>
      </c>
      <c r="S20" s="81">
        <v>23</v>
      </c>
      <c r="T20" s="81">
        <v>25</v>
      </c>
      <c r="U20" s="81">
        <v>23</v>
      </c>
      <c r="V20" s="81">
        <v>26</v>
      </c>
      <c r="W20" s="81">
        <v>26</v>
      </c>
      <c r="X20" s="81">
        <v>36</v>
      </c>
      <c r="Y20" s="110">
        <v>36</v>
      </c>
      <c r="Z20" s="81">
        <v>26</v>
      </c>
      <c r="AA20" s="81">
        <v>22</v>
      </c>
      <c r="AB20" s="81">
        <v>24</v>
      </c>
      <c r="AC20" s="81">
        <v>22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647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0" t="s" ph="1">
        <v>179</v>
      </c>
      <c r="D24" s="71">
        <v>99.21</v>
      </c>
      <c r="E24" s="71">
        <v>95.61</v>
      </c>
      <c r="F24" s="71">
        <v>4037</v>
      </c>
      <c r="G24" s="71">
        <v>3911</v>
      </c>
      <c r="H24" s="71">
        <v>3936</v>
      </c>
      <c r="I24" s="71">
        <v>5548</v>
      </c>
      <c r="J24" s="71">
        <v>4924</v>
      </c>
      <c r="K24" s="71">
        <v>5639</v>
      </c>
      <c r="L24" s="71">
        <v>5612</v>
      </c>
      <c r="M24" s="71">
        <v>5476</v>
      </c>
      <c r="N24" s="71">
        <v>5381</v>
      </c>
      <c r="O24" s="71">
        <v>3521</v>
      </c>
      <c r="P24" s="71">
        <v>430</v>
      </c>
      <c r="Q24" s="90">
        <v>1514</v>
      </c>
      <c r="R24" s="71">
        <v>6752</v>
      </c>
      <c r="S24" s="71">
        <v>0</v>
      </c>
      <c r="T24" s="71">
        <v>908</v>
      </c>
      <c r="U24" s="71">
        <v>4538</v>
      </c>
      <c r="V24" s="71">
        <v>9761</v>
      </c>
      <c r="W24" s="71">
        <v>873</v>
      </c>
      <c r="X24" s="71">
        <v>8169</v>
      </c>
      <c r="Y24" s="71">
        <v>3447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26718.652778472002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44835.936013660001</v>
      </c>
      <c r="G25" s="91" ph="1">
        <f>G24*18.322*LOOKUP(G26,密度!$A$2:$A$50,密度!$B$2:$B$50)</f>
        <v>55993.047038799989</v>
      </c>
      <c r="H25" s="91" ph="1">
        <f>H24*18.322*LOOKUP(H26,密度!$A$2:$A$50,密度!$B$2:$B$50)</f>
        <v>56415.871161599993</v>
      </c>
      <c r="I25" s="91" ph="1">
        <f>I24*18.322*LOOKUP(I26,密度!$A$2:$A$50,密度!$Q$2:$Q$50)</f>
        <v>96475.431285039987</v>
      </c>
      <c r="J25" s="91" ph="1">
        <f>J24*18.322*LOOKUP(J26,密度!$A$2:$A$50,密度!$Q$2:$Q$50)</f>
        <v>85624.553649519992</v>
      </c>
      <c r="K25" s="91" ph="1">
        <f>K24*18.322*LOOKUP(K26,密度!$A$2:$A$50,密度!$Q$2:$Q$50)</f>
        <v>97965.8981356</v>
      </c>
      <c r="L25" s="91" ph="1">
        <f>L24*18.322*LOOKUP(L26,密度!$A$2:$A$50,密度!$Q$2:$Q$50)</f>
        <v>97496.829284799998</v>
      </c>
      <c r="M25" s="91" ph="1">
        <f>M24*18.322*LOOKUP(M26,密度!$A$2:$A$50,密度!$Q$2:$Q$50)</f>
        <v>95223.406942479996</v>
      </c>
      <c r="N25" s="91" ph="1">
        <f>N24*18.322*LOOKUP(N26,密度!$A$2:$A$50,密度!$Q$2:$Q$50)</f>
        <v>93483.684672400006</v>
      </c>
      <c r="O25" s="91" ph="1">
        <f>O24*18.322*LOOKUP(O26,密度!$A$2:$A$50,密度!$C$2:$C$50)</f>
        <v>71679.018758199993</v>
      </c>
      <c r="P25" s="91" ph="1">
        <f>P24*11.702*LOOKUP(P26,密度!$A$2:$A$50,密度!$B$2:$B$50)</f>
        <v>3931.8954039999999</v>
      </c>
      <c r="Q25" s="92" ph="1">
        <f>Q24*18.322*LOOKUP(Q26,密度!$A$2:$A$50,密度!$B$2:$B$50)</f>
        <v>21700.617108399998</v>
      </c>
      <c r="R25" s="91" ph="1">
        <f>R24*35.891*LOOKUP(R26,密度!$A$2:$A$50,密度!$C$2:$C$50)</f>
        <v>269259.56515519996</v>
      </c>
      <c r="S25" s="91" ph="1">
        <f>S24*35.891*LOOKUP(S26,密度!$A$2:$A$50,密度!$B$2:$B$50)</f>
        <v>0</v>
      </c>
      <c r="T25" s="91" ph="1">
        <f>T24*35.891*LOOKUP(T26,密度!$A$2:$A$50,密度!$Q$2:$Q$50)</f>
        <v>30900.9163496</v>
      </c>
      <c r="U25" s="91" ph="1">
        <f>U24*35.891</f>
        <v>162873.35799999998</v>
      </c>
      <c r="V25" s="91" ph="1">
        <f>V24*47.051*LOOKUP(V26,密度!$A$2:$A$50,密度!$B$2:$B$50)</f>
        <v>358869.5233154</v>
      </c>
      <c r="W25" s="91" ph="1">
        <f>W24*47.051*LOOKUP(W26,密度!$A$2:$A$50,密度!$B$2:$B$50)</f>
        <v>32133.3816429</v>
      </c>
      <c r="X25" s="91" ph="1">
        <f>X24*47.051*LOOKUP(X26,密度!$A$2:$A$50,密度!$I$2:$I$50)</f>
        <v>395851.97160809999</v>
      </c>
      <c r="Y25" s="91" ph="1">
        <f>Y24*47.051*LOOKUP(Y26,密度!$A$2:$A$50,密度!$L$2:$L$50)</f>
        <v>152291.52438300001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22</v>
      </c>
      <c r="K26" s="74">
        <v>23</v>
      </c>
      <c r="L26" s="74">
        <v>23</v>
      </c>
      <c r="M26" s="74">
        <v>22</v>
      </c>
      <c r="N26" s="74">
        <v>23</v>
      </c>
      <c r="O26" s="74">
        <v>22</v>
      </c>
      <c r="P26" s="74">
        <v>23</v>
      </c>
      <c r="Q26" s="93">
        <v>22</v>
      </c>
      <c r="R26" s="74">
        <v>22</v>
      </c>
      <c r="S26" s="74">
        <v>23</v>
      </c>
      <c r="T26" s="74">
        <v>23</v>
      </c>
      <c r="U26" s="74">
        <v>23</v>
      </c>
      <c r="V26" s="74">
        <v>23</v>
      </c>
      <c r="W26" s="74">
        <v>22</v>
      </c>
      <c r="X26" s="74">
        <v>44</v>
      </c>
      <c r="Y26" s="74">
        <v>23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0" t="s" ph="1">
        <v>182</v>
      </c>
      <c r="D27" s="71">
        <v>99.28</v>
      </c>
      <c r="E27" s="71">
        <v>95.63</v>
      </c>
      <c r="F27" s="71">
        <v>4040</v>
      </c>
      <c r="G27" s="71">
        <v>3466</v>
      </c>
      <c r="H27" s="71">
        <v>3597</v>
      </c>
      <c r="I27" s="71">
        <v>5549</v>
      </c>
      <c r="J27" s="71">
        <v>4925</v>
      </c>
      <c r="K27" s="71">
        <v>5641</v>
      </c>
      <c r="L27" s="71">
        <v>5612</v>
      </c>
      <c r="M27" s="71">
        <v>5479</v>
      </c>
      <c r="N27" s="71">
        <v>5381</v>
      </c>
      <c r="O27" s="71">
        <v>3520</v>
      </c>
      <c r="P27" s="71">
        <v>427</v>
      </c>
      <c r="Q27" s="90">
        <v>1270</v>
      </c>
      <c r="R27" s="71">
        <v>6752</v>
      </c>
      <c r="S27" s="71">
        <v>613</v>
      </c>
      <c r="T27" s="71">
        <v>907</v>
      </c>
      <c r="U27" s="71">
        <v>4619</v>
      </c>
      <c r="V27" s="71">
        <v>9665</v>
      </c>
      <c r="W27" s="71">
        <v>1289</v>
      </c>
      <c r="X27" s="71">
        <v>7912</v>
      </c>
      <c r="Y27" s="71">
        <v>4218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0" t="s" ph="1">
        <v>180</v>
      </c>
      <c r="D28" s="91" ph="1">
        <f>D27*268.68*LOOKUP(D29,密度!$A$2:$A$50,密度!$Q$2:$Q$50)+IF(D27&lt;=0,0,1566*LOOKUP(D29,密度!$A$2:$A$50,密度!$Q$2:$Q$50))</f>
        <v>26736.458685696001</v>
      </c>
      <c r="E28" s="91" ph="1">
        <f>E27*268.68*LOOKUP(E29,密度!$A$2:$A$50,密度!$C$2:$C$50)+IF(E27&lt;=0,0,1566*LOOKUP(E29,密度!$A$2:$A$50,密度!$C$2:$C$50))</f>
        <v>30228.468068760001</v>
      </c>
      <c r="F28" s="91" ph="1">
        <f>F27*11.702*LOOKUP(F29,密度!$A$2:$A$50,密度!$Q$2:$Q$50)</f>
        <v>44827.179056000001</v>
      </c>
      <c r="G28" s="91" ph="1">
        <f>G27*18.322*LOOKUP(G29,密度!$A$2:$A$50,密度!$B$2:$B$50)</f>
        <v>49564.912585999999</v>
      </c>
      <c r="H28" s="91" ph="1">
        <f>H27*18.322*LOOKUP(H29,密度!$A$2:$A$50,密度!$B$2:$B$50)</f>
        <v>51497.568447599995</v>
      </c>
      <c r="I28" s="91" ph="1">
        <f>I27*18.322*LOOKUP(I29,密度!$A$2:$A$50,密度!$Q$2:$Q$50)</f>
        <v>96402.335299600003</v>
      </c>
      <c r="J28" s="91" ph="1">
        <f>J27*18.322*LOOKUP(J29,密度!$A$2:$A$50,密度!$Q$2:$Q$50)</f>
        <v>85561.632969999991</v>
      </c>
      <c r="K28" s="91" ph="1">
        <f>K27*18.322*LOOKUP(K29,密度!$A$2:$A$50,密度!$Q$2:$Q$50)</f>
        <v>97925.195262940004</v>
      </c>
      <c r="L28" s="91" ph="1">
        <f>L27*18.322*LOOKUP(L29,密度!$A$2:$A$50,密度!$Q$2:$Q$50)</f>
        <v>97496.829284799998</v>
      </c>
      <c r="M28" s="91" ph="1">
        <f>M27*18.322*LOOKUP(M29,密度!$A$2:$A$50,密度!$Q$2:$Q$50)</f>
        <v>95186.230871599997</v>
      </c>
      <c r="N28" s="91" ph="1">
        <f>N27*18.322*LOOKUP(N29,密度!$A$2:$A$50,密度!$Q$2:$Q$50)</f>
        <v>93411.713474540011</v>
      </c>
      <c r="O28" s="91" ph="1">
        <f>O27*18.322*LOOKUP(O29,密度!$A$2:$A$50,密度!$C$2:$C$50)</f>
        <v>71561.921023999996</v>
      </c>
      <c r="P28" s="91" ph="1">
        <f>P27*11.702*LOOKUP(P29,密度!$A$2:$A$50,密度!$B$2:$B$50)</f>
        <v>3908.9606541999997</v>
      </c>
      <c r="Q28" s="92" ph="1">
        <f>Q27*18.322*LOOKUP(Q29,密度!$A$2:$A$50,密度!$B$2:$B$50)</f>
        <v>18182.349715999997</v>
      </c>
      <c r="R28" s="91" ph="1">
        <f>R27*35.891*LOOKUP(R29,密度!$A$2:$A$50,密度!$C$2:$C$50)</f>
        <v>269259.56515519996</v>
      </c>
      <c r="S28" s="91" ph="1">
        <f>S27*35.891*LOOKUP(S29,密度!$A$2:$A$50,密度!$B$2:$B$50)</f>
        <v>17211.525460899997</v>
      </c>
      <c r="T28" s="91" ph="1">
        <f>T27*35.891*LOOKUP(T29,密度!$A$2:$A$50,密度!$Q$2:$Q$50)</f>
        <v>30866.884503400001</v>
      </c>
      <c r="U28" s="91" ph="1">
        <f>U27*35.891</f>
        <v>165780.52899999998</v>
      </c>
      <c r="V28" s="91" ph="1">
        <f>V27*47.051*LOOKUP(V29,密度!$A$2:$A$50,密度!$B$2:$B$50)</f>
        <v>355340.02078100003</v>
      </c>
      <c r="W28" s="91" ph="1">
        <f>W27*47.051*LOOKUP(W29,密度!$A$2:$A$50,密度!$B$2:$B$50)</f>
        <v>47445.508519700001</v>
      </c>
      <c r="X28" s="91" ph="1">
        <f>X27*47.051*LOOKUP(X29,密度!$A$2:$A$50,密度!$I$2:$I$50)</f>
        <v>385535.12612767995</v>
      </c>
      <c r="Y28" s="91" ph="1">
        <f>Y27*47.051*LOOKUP(Y29,密度!$A$2:$A$50,密度!$L$2:$L$50)</f>
        <v>186553.45092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0" t="s" ph="1">
        <v>181</v>
      </c>
      <c r="D29" s="74">
        <v>25</v>
      </c>
      <c r="E29" s="74">
        <v>25</v>
      </c>
      <c r="F29" s="74">
        <v>23</v>
      </c>
      <c r="G29" s="74">
        <v>24</v>
      </c>
      <c r="H29" s="74">
        <v>23</v>
      </c>
      <c r="I29" s="74">
        <v>23</v>
      </c>
      <c r="J29" s="74">
        <v>23</v>
      </c>
      <c r="K29" s="74">
        <v>24</v>
      </c>
      <c r="L29" s="74">
        <v>23</v>
      </c>
      <c r="M29" s="74">
        <v>23</v>
      </c>
      <c r="N29" s="74">
        <v>24</v>
      </c>
      <c r="O29" s="74">
        <v>24</v>
      </c>
      <c r="P29" s="74">
        <v>22</v>
      </c>
      <c r="Q29" s="93">
        <v>23</v>
      </c>
      <c r="R29" s="74">
        <v>22</v>
      </c>
      <c r="S29" s="74">
        <v>22</v>
      </c>
      <c r="T29" s="74">
        <v>23</v>
      </c>
      <c r="U29" s="74">
        <v>23</v>
      </c>
      <c r="V29" s="74">
        <v>23</v>
      </c>
      <c r="W29" s="74">
        <v>22</v>
      </c>
      <c r="X29" s="74">
        <v>49</v>
      </c>
      <c r="Y29" s="74">
        <v>22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86</v>
      </c>
      <c r="AC32" s="150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103451.94805080001</v>
      </c>
      <c r="E33" s="201" ph="1">
        <f>M10+I10</f>
        <v>143343.11157679997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27" ph="1">
        <v>0</v>
      </c>
      <c r="H33" s="201" ph="1">
        <f>N19</f>
        <v>16306.811185800001</v>
      </c>
      <c r="I33" s="205" ph="1">
        <v>0</v>
      </c>
      <c r="J33" s="209" ph="1">
        <f>F10+O28</f>
        <v>323304.5414711</v>
      </c>
      <c r="K33" s="201" ph="1">
        <f>O10+K10+E28+R28</f>
        <v>338128.62164035998</v>
      </c>
      <c r="L33" s="211" ph="1">
        <f>BE27</f>
        <v>7100</v>
      </c>
      <c r="M33" s="209" ph="1">
        <f>G10+H10+W28+S28</f>
        <v>583390.80767260015</v>
      </c>
      <c r="N33" s="201" ph="1">
        <f>L10+P10++G28+H28+V28</f>
        <v>725920.63205259992</v>
      </c>
      <c r="O33" s="205" ph="1">
        <f>BE17</f>
        <v>2270</v>
      </c>
      <c r="P33" s="209" ph="1">
        <f>L19</f>
        <v>40359.719080800001</v>
      </c>
      <c r="Q33" s="201" ph="1">
        <f>J10+N10</f>
        <v>115150.80835519999</v>
      </c>
      <c r="R33" s="205" ph="1">
        <f>BE23</f>
        <v>890</v>
      </c>
      <c r="S33" s="209" ph="1">
        <f>E10+X28</f>
        <v>385535.12612767995</v>
      </c>
      <c r="T33" s="201" ph="1">
        <f>X19</f>
        <v>8777.7051490079994</v>
      </c>
      <c r="U33" s="190" ph="1">
        <f>BE21</f>
        <v>730</v>
      </c>
      <c r="V33" s="203" ph="1">
        <f ca="1">P19+Q19+S19+M28+N28+J28</f>
        <v>386892.43309731205</v>
      </c>
      <c r="W33" s="203" ph="1">
        <f>D28+F28+V19+T28</f>
        <v>102430.522245096</v>
      </c>
      <c r="X33" s="205" ph="1">
        <f>BE29+BE31</f>
        <v>10200</v>
      </c>
      <c r="Y33" s="207" ph="1">
        <f>+Q10+R10+S10+T10+U10+V10+W10+X10+Y10</f>
        <v>31797.008535599998</v>
      </c>
      <c r="Z33" s="188" ph="1">
        <f>D10+T19+U19+Y28+Z10</f>
        <v>412963.87973833998</v>
      </c>
      <c r="AA33" s="190" ph="1">
        <f>BE19</f>
        <v>1440</v>
      </c>
      <c r="AB33" s="192" ph="1">
        <f>I19</f>
        <v>15784.586104999998</v>
      </c>
      <c r="AC33" s="194" ph="1">
        <f>AD10</f>
        <v>33802.881638400002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2" t="s" ph="1">
        <v>187</v>
      </c>
      <c r="AA36" s="152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346</v>
      </c>
      <c r="AI37" s="152" t="s" ph="1">
        <v>213</v>
      </c>
      <c r="AJ37" s="152" t="s" ph="1">
        <v>214</v>
      </c>
      <c r="AK37" s="152" t="s" ph="1">
        <v>215</v>
      </c>
      <c r="AM37" s="152" t="s" ph="1">
        <v>214</v>
      </c>
      <c r="AN37" s="152" t="s" ph="1">
        <v>215</v>
      </c>
      <c r="AO37" s="152" t="s" ph="1">
        <v>216</v>
      </c>
      <c r="AP37" s="152" t="s" ph="1">
        <v>214</v>
      </c>
      <c r="AQ37" s="152" t="s" ph="1">
        <v>215</v>
      </c>
      <c r="AR37" s="152" t="s" ph="1">
        <v>216</v>
      </c>
      <c r="AS37" s="152" t="s" ph="1">
        <v>214</v>
      </c>
      <c r="AT37" s="152" t="s" ph="1">
        <v>215</v>
      </c>
      <c r="AU37" s="152" t="s" ph="1">
        <v>216</v>
      </c>
      <c r="AV37" s="152" t="s" ph="1">
        <v>214</v>
      </c>
      <c r="AW37" s="152" t="s" ph="1">
        <v>215</v>
      </c>
      <c r="AX37" s="152" t="s" ph="1">
        <v>216</v>
      </c>
      <c r="AY37" s="152" t="s" ph="1">
        <v>215</v>
      </c>
      <c r="AZ37" s="152" t="s" ph="1">
        <v>217</v>
      </c>
      <c r="BD37" s="152" t="s" ph="1">
        <v>309</v>
      </c>
      <c r="BE37" s="152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19" priority="96">
      <formula>ABS(D$7-D$10)&gt;=1000</formula>
    </cfRule>
  </conditionalFormatting>
  <conditionalFormatting sqref="E4 E6:E11">
    <cfRule type="expression" dxfId="2518" priority="95">
      <formula>ABS(E$7-E$10)&gt;=1000</formula>
    </cfRule>
  </conditionalFormatting>
  <conditionalFormatting sqref="F4:F11">
    <cfRule type="expression" dxfId="2517" priority="94">
      <formula>ABS(F$7-F$10)&gt;=1000</formula>
    </cfRule>
  </conditionalFormatting>
  <conditionalFormatting sqref="G4:G11">
    <cfRule type="expression" dxfId="2516" priority="93">
      <formula>ABS(G$7-G$10)&gt;=1000</formula>
    </cfRule>
  </conditionalFormatting>
  <conditionalFormatting sqref="H4:H11">
    <cfRule type="expression" dxfId="2515" priority="92">
      <formula>ABS(H$7-H$10)&gt;=1000</formula>
    </cfRule>
  </conditionalFormatting>
  <conditionalFormatting sqref="I4:I11">
    <cfRule type="expression" dxfId="2514" priority="91">
      <formula>ABS(I$7-I$10)&gt;=1000</formula>
    </cfRule>
  </conditionalFormatting>
  <conditionalFormatting sqref="J4:J11">
    <cfRule type="expression" dxfId="2513" priority="90">
      <formula>ABS(J$7-J$10)&gt;=1000</formula>
    </cfRule>
  </conditionalFormatting>
  <conditionalFormatting sqref="K4:K11">
    <cfRule type="expression" dxfId="2512" priority="89">
      <formula>ABS(K$7-K$10)&gt;=1000</formula>
    </cfRule>
  </conditionalFormatting>
  <conditionalFormatting sqref="L4:L11">
    <cfRule type="expression" dxfId="2511" priority="88">
      <formula>ABS(L$7-L$10)&gt;=1000</formula>
    </cfRule>
  </conditionalFormatting>
  <conditionalFormatting sqref="M4 M6:M11">
    <cfRule type="expression" dxfId="2510" priority="87">
      <formula>ABS(M$7-M$10)&gt;=1000</formula>
    </cfRule>
  </conditionalFormatting>
  <conditionalFormatting sqref="N4 N6:N11">
    <cfRule type="expression" dxfId="2509" priority="86">
      <formula>ABS(N$7-N$10)&gt;=1000</formula>
    </cfRule>
  </conditionalFormatting>
  <conditionalFormatting sqref="O4 O6:O11">
    <cfRule type="expression" dxfId="2508" priority="85">
      <formula>ABS(O$7-O$10)&gt;=1000</formula>
    </cfRule>
  </conditionalFormatting>
  <conditionalFormatting sqref="P4 P6:P11">
    <cfRule type="expression" dxfId="2507" priority="84">
      <formula>ABS(P$7-P$10)&gt;=1000</formula>
    </cfRule>
  </conditionalFormatting>
  <conditionalFormatting sqref="Q4:Q11">
    <cfRule type="expression" dxfId="2506" priority="83">
      <formula>ABS(Q$7-Q$10)&gt;=1000</formula>
    </cfRule>
  </conditionalFormatting>
  <conditionalFormatting sqref="R4:R11">
    <cfRule type="expression" dxfId="2505" priority="82">
      <formula>ABS(R$7-R$10)&gt;=1000</formula>
    </cfRule>
  </conditionalFormatting>
  <conditionalFormatting sqref="S4:S11">
    <cfRule type="expression" dxfId="2504" priority="81">
      <formula>ABS(S$7-S$10)&gt;=1000</formula>
    </cfRule>
  </conditionalFormatting>
  <conditionalFormatting sqref="T4:T9 T11">
    <cfRule type="expression" dxfId="2503" priority="80">
      <formula>ABS(T$7-T$10)&gt;=1000</formula>
    </cfRule>
  </conditionalFormatting>
  <conditionalFormatting sqref="U4:U9 U11">
    <cfRule type="expression" dxfId="2502" priority="79">
      <formula>ABS(U$7-U$10)&gt;=1000</formula>
    </cfRule>
  </conditionalFormatting>
  <conditionalFormatting sqref="V4:V9 V11">
    <cfRule type="expression" dxfId="2501" priority="78">
      <formula>ABS(V$7-V$10)&gt;=1000</formula>
    </cfRule>
  </conditionalFormatting>
  <conditionalFormatting sqref="W4:W9 W11">
    <cfRule type="expression" dxfId="2500" priority="77">
      <formula>ABS(W$7-W$10)&gt;=1000</formula>
    </cfRule>
  </conditionalFormatting>
  <conditionalFormatting sqref="X4:X9 X11">
    <cfRule type="expression" dxfId="2499" priority="76">
      <formula>ABS(X$7-X$10)&gt;=1000</formula>
    </cfRule>
  </conditionalFormatting>
  <conditionalFormatting sqref="Y4:Y9 Y11">
    <cfRule type="expression" dxfId="2498" priority="75">
      <formula>ABS(Y$7-Y$10)&gt;=1000</formula>
    </cfRule>
  </conditionalFormatting>
  <conditionalFormatting sqref="Z4:Z11">
    <cfRule type="expression" dxfId="2497" priority="74">
      <formula>ABS(Z$7-Z$10)&gt;=1000</formula>
    </cfRule>
  </conditionalFormatting>
  <conditionalFormatting sqref="AA4:AA11">
    <cfRule type="expression" dxfId="2496" priority="73">
      <formula>ABS(AA$7-AA$10)&gt;=1000</formula>
    </cfRule>
  </conditionalFormatting>
  <conditionalFormatting sqref="AB4:AB11">
    <cfRule type="expression" dxfId="2495" priority="72">
      <formula>ABS(AB$7-AB$10)&gt;=1000</formula>
    </cfRule>
  </conditionalFormatting>
  <conditionalFormatting sqref="AC4 AC6:AC11">
    <cfRule type="expression" dxfId="2494" priority="71">
      <formula>ABS(AC$7-AC$10)&gt;=1000</formula>
    </cfRule>
  </conditionalFormatting>
  <conditionalFormatting sqref="AD4:AD11">
    <cfRule type="expression" dxfId="2493" priority="70">
      <formula>ABS(AD$7-AD$10)&gt;=1000</formula>
    </cfRule>
  </conditionalFormatting>
  <conditionalFormatting sqref="AE4:AE11">
    <cfRule type="expression" dxfId="2492" priority="69">
      <formula>ABS(AE$7-AE$10)&gt;=1000</formula>
    </cfRule>
  </conditionalFormatting>
  <conditionalFormatting sqref="D13:D20">
    <cfRule type="expression" dxfId="2491" priority="68">
      <formula>ABS(D$16-D$19)&gt;=1000</formula>
    </cfRule>
  </conditionalFormatting>
  <conditionalFormatting sqref="E13:E20">
    <cfRule type="expression" dxfId="2490" priority="67">
      <formula>ABS(E$16-E$19)&gt;=1000</formula>
    </cfRule>
  </conditionalFormatting>
  <conditionalFormatting sqref="F13 F15:F20">
    <cfRule type="expression" dxfId="2489" priority="66">
      <formula>ABS(F$16-F$19)&gt;=1000</formula>
    </cfRule>
  </conditionalFormatting>
  <conditionalFormatting sqref="G13:G20">
    <cfRule type="expression" dxfId="2488" priority="65">
      <formula>ABS(G$16-G$19)&gt;=1000</formula>
    </cfRule>
  </conditionalFormatting>
  <conditionalFormatting sqref="H13:H20">
    <cfRule type="expression" dxfId="2487" priority="64">
      <formula>ABS(H$16-H$19)&gt;=1000</formula>
    </cfRule>
  </conditionalFormatting>
  <conditionalFormatting sqref="I13:I20">
    <cfRule type="expression" dxfId="2486" priority="63">
      <formula>ABS(I$16-I$19)&gt;=1000</formula>
    </cfRule>
  </conditionalFormatting>
  <conditionalFormatting sqref="J13:J20">
    <cfRule type="expression" dxfId="2485" priority="62">
      <formula>ABS(J$16-J$19)&gt;=1000</formula>
    </cfRule>
  </conditionalFormatting>
  <conditionalFormatting sqref="L13:L20">
    <cfRule type="expression" dxfId="2484" priority="61">
      <formula>ABS(L$16-L$19)&gt;=1000</formula>
    </cfRule>
  </conditionalFormatting>
  <conditionalFormatting sqref="M13 M15 M17:M18 M20">
    <cfRule type="expression" dxfId="2483" priority="60">
      <formula>ABS(M$16-M$19)&gt;=1000</formula>
    </cfRule>
  </conditionalFormatting>
  <conditionalFormatting sqref="N13:N20">
    <cfRule type="expression" dxfId="2482" priority="59">
      <formula>ABS(N$16-N$19)&gt;=1000</formula>
    </cfRule>
  </conditionalFormatting>
  <conditionalFormatting sqref="O13:O20">
    <cfRule type="expression" dxfId="2481" priority="58">
      <formula>ABS(O$16-O$19)&gt;=1000</formula>
    </cfRule>
  </conditionalFormatting>
  <conditionalFormatting sqref="P13:P20">
    <cfRule type="expression" dxfId="2480" priority="57">
      <formula>ABS(P$16-P$19)&gt;=1000</formula>
    </cfRule>
  </conditionalFormatting>
  <conditionalFormatting sqref="Q13 Q15:Q20">
    <cfRule type="expression" dxfId="2479" priority="56">
      <formula>ABS(Q$16-Q$19)&gt;=1000</formula>
    </cfRule>
  </conditionalFormatting>
  <conditionalFormatting sqref="R13:R20">
    <cfRule type="expression" dxfId="2478" priority="55">
      <formula>ABS(R$16-R$19)&gt;=1000</formula>
    </cfRule>
  </conditionalFormatting>
  <conditionalFormatting sqref="S13:S20">
    <cfRule type="expression" dxfId="2477" priority="54">
      <formula>ABS(S$16-S$19)&gt;=1000</formula>
    </cfRule>
  </conditionalFormatting>
  <conditionalFormatting sqref="T13:T20">
    <cfRule type="expression" dxfId="2476" priority="53">
      <formula>ABS(T$16-T$19)&gt;=1000</formula>
    </cfRule>
  </conditionalFormatting>
  <conditionalFormatting sqref="U13:U20">
    <cfRule type="expression" dxfId="2475" priority="52">
      <formula>ABS(U$16-U$19)&gt;=1000</formula>
    </cfRule>
  </conditionalFormatting>
  <conditionalFormatting sqref="V13:V20">
    <cfRule type="expression" dxfId="2474" priority="51">
      <formula>ABS(V$16-V$19)&gt;=1000</formula>
    </cfRule>
  </conditionalFormatting>
  <conditionalFormatting sqref="W13 W20 W15:W18">
    <cfRule type="expression" dxfId="2473" priority="50">
      <formula>ABS(W$16-W$19)&gt;=1000</formula>
    </cfRule>
  </conditionalFormatting>
  <conditionalFormatting sqref="X13 X15:X20 Y19">
    <cfRule type="expression" dxfId="2472" priority="49">
      <formula>ABS(X$16-X$19)&gt;=1000</formula>
    </cfRule>
  </conditionalFormatting>
  <conditionalFormatting sqref="Y13 Y15:Y18 Y20">
    <cfRule type="expression" dxfId="2471" priority="48">
      <formula>ABS(Y$16-Y$19)&gt;=1000</formula>
    </cfRule>
  </conditionalFormatting>
  <conditionalFormatting sqref="Z13:Z20">
    <cfRule type="expression" dxfId="2470" priority="47">
      <formula>ABS(Z$16-Z$19)&gt;=1000</formula>
    </cfRule>
  </conditionalFormatting>
  <conditionalFormatting sqref="AA13:AA20">
    <cfRule type="expression" dxfId="2469" priority="46">
      <formula>ABS(AA$16-AA$19)&gt;=1000</formula>
    </cfRule>
  </conditionalFormatting>
  <conditionalFormatting sqref="AB13 AB15:AB20">
    <cfRule type="expression" dxfId="2468" priority="45">
      <formula>ABS(AB$16-AB$19)&gt;=1000</formula>
    </cfRule>
  </conditionalFormatting>
  <conditionalFormatting sqref="AC13 AC15:AC20">
    <cfRule type="expression" dxfId="2467" priority="44">
      <formula>ABS(AC$16-AC$19)&gt;=1000</formula>
    </cfRule>
  </conditionalFormatting>
  <conditionalFormatting sqref="AD13:AD20">
    <cfRule type="expression" dxfId="2466" priority="43">
      <formula>ABS(AD$16-AD$19)&gt;=1000</formula>
    </cfRule>
  </conditionalFormatting>
  <conditionalFormatting sqref="AE13:AE20">
    <cfRule type="expression" dxfId="2465" priority="42">
      <formula>ABS(AE$16-AE$19)&gt;=1000</formula>
    </cfRule>
  </conditionalFormatting>
  <conditionalFormatting sqref="D22:D29">
    <cfRule type="expression" dxfId="2464" priority="41">
      <formula>ABS(D$25-D$28)&gt;=1000</formula>
    </cfRule>
  </conditionalFormatting>
  <conditionalFormatting sqref="E22:E29">
    <cfRule type="expression" dxfId="2463" priority="40">
      <formula>ABS(E$25-E$28)&gt;=1000</formula>
    </cfRule>
  </conditionalFormatting>
  <conditionalFormatting sqref="F22:F29">
    <cfRule type="expression" dxfId="2462" priority="39">
      <formula>ABS(F$25-F$28)&gt;=1000</formula>
    </cfRule>
  </conditionalFormatting>
  <conditionalFormatting sqref="G22:G29">
    <cfRule type="expression" dxfId="2461" priority="38">
      <formula>ABS(G$25-G$28)&gt;=1000</formula>
    </cfRule>
  </conditionalFormatting>
  <conditionalFormatting sqref="H22:H29">
    <cfRule type="expression" dxfId="2460" priority="37">
      <formula>ABS(H$25-H$28)&gt;=1000</formula>
    </cfRule>
  </conditionalFormatting>
  <conditionalFormatting sqref="I22 I24:I29">
    <cfRule type="expression" dxfId="2459" priority="36">
      <formula>ABS(I$25-I$28)&gt;=1000</formula>
    </cfRule>
  </conditionalFormatting>
  <conditionalFormatting sqref="J22:J29 K22">
    <cfRule type="expression" dxfId="2458" priority="35">
      <formula>ABS(J$25-J$28)&gt;=1000</formula>
    </cfRule>
  </conditionalFormatting>
  <conditionalFormatting sqref="K23:K29 L25 L28">
    <cfRule type="expression" dxfId="2457" priority="34">
      <formula>ABS(K$25-K$28)&gt;=1000</formula>
    </cfRule>
  </conditionalFormatting>
  <conditionalFormatting sqref="L22:L24 L26:L27 L29">
    <cfRule type="expression" dxfId="2456" priority="33">
      <formula>ABS(L$25-L$28)&gt;=1000</formula>
    </cfRule>
  </conditionalFormatting>
  <conditionalFormatting sqref="M22:M29">
    <cfRule type="expression" dxfId="2455" priority="32">
      <formula>ABS(M$25-M$28)&gt;=1000</formula>
    </cfRule>
  </conditionalFormatting>
  <conditionalFormatting sqref="N22:N29">
    <cfRule type="expression" dxfId="2454" priority="31">
      <formula>ABS(N$25-N$28)&gt;=1000</formula>
    </cfRule>
  </conditionalFormatting>
  <conditionalFormatting sqref="O22:O29">
    <cfRule type="expression" dxfId="2453" priority="30">
      <formula>ABS(O$25-O$28)&gt;=1000</formula>
    </cfRule>
  </conditionalFormatting>
  <conditionalFormatting sqref="P22:P29">
    <cfRule type="expression" dxfId="2452" priority="29">
      <formula>ABS(P$25-P$28)&gt;=1000</formula>
    </cfRule>
  </conditionalFormatting>
  <conditionalFormatting sqref="Q22:Q29">
    <cfRule type="expression" dxfId="2451" priority="28">
      <formula>ABS(Q$25-Q$28)&gt;=1000</formula>
    </cfRule>
  </conditionalFormatting>
  <conditionalFormatting sqref="R22:R29">
    <cfRule type="expression" dxfId="2450" priority="27">
      <formula>ABS(R$25-R$28)&gt;=1000</formula>
    </cfRule>
  </conditionalFormatting>
  <conditionalFormatting sqref="S22:S29">
    <cfRule type="expression" dxfId="2449" priority="26">
      <formula>ABS(S$25-S$28)&gt;=1000</formula>
    </cfRule>
  </conditionalFormatting>
  <conditionalFormatting sqref="T22:T29">
    <cfRule type="expression" dxfId="2448" priority="25">
      <formula>ABS(T$25-T$28)&gt;=1000</formula>
    </cfRule>
  </conditionalFormatting>
  <conditionalFormatting sqref="U22:U29">
    <cfRule type="expression" dxfId="2447" priority="24">
      <formula>ABS(U$25-U$28)&gt;=1000</formula>
    </cfRule>
  </conditionalFormatting>
  <conditionalFormatting sqref="V22:V29">
    <cfRule type="expression" dxfId="2446" priority="23">
      <formula>ABS(V$25-V$28)&gt;=1000</formula>
    </cfRule>
  </conditionalFormatting>
  <conditionalFormatting sqref="W22:W29">
    <cfRule type="expression" dxfId="2445" priority="22">
      <formula>ABS(W$25-W$28)&gt;=1000</formula>
    </cfRule>
  </conditionalFormatting>
  <conditionalFormatting sqref="X22:X29">
    <cfRule type="expression" dxfId="2444" priority="21">
      <formula>ABS(X$25-X$28)&gt;=1000</formula>
    </cfRule>
  </conditionalFormatting>
  <conditionalFormatting sqref="Y22:Y29">
    <cfRule type="expression" dxfId="2443" priority="20">
      <formula>ABS(Y$25-Y$28)&gt;=1000</formula>
    </cfRule>
  </conditionalFormatting>
  <conditionalFormatting sqref="I23">
    <cfRule type="expression" dxfId="2442" priority="19">
      <formula>ABS(I$25-I$28)&gt;=1000</formula>
    </cfRule>
  </conditionalFormatting>
  <conditionalFormatting sqref="F14">
    <cfRule type="expression" dxfId="2441" priority="18">
      <formula>ABS(F$16-F$19)&gt;=1000</formula>
    </cfRule>
  </conditionalFormatting>
  <conditionalFormatting sqref="Q14">
    <cfRule type="expression" dxfId="2440" priority="17">
      <formula>ABS(Q$16-Q$19)&gt;=1000</formula>
    </cfRule>
  </conditionalFormatting>
  <conditionalFormatting sqref="W14">
    <cfRule type="expression" dxfId="2439" priority="16">
      <formula>ABS(W$16-W$19)&gt;=1000</formula>
    </cfRule>
  </conditionalFormatting>
  <conditionalFormatting sqref="Y14">
    <cfRule type="expression" dxfId="2438" priority="15">
      <formula>ABS(Y$16-Y$19)&gt;=1000</formula>
    </cfRule>
  </conditionalFormatting>
  <conditionalFormatting sqref="X14">
    <cfRule type="expression" dxfId="2437" priority="14">
      <formula>ABS(X$16-X$19)&gt;=1000</formula>
    </cfRule>
  </conditionalFormatting>
  <conditionalFormatting sqref="T10:Y10">
    <cfRule type="expression" dxfId="2436" priority="13">
      <formula>ABS(T$7-T$10)&gt;=1000</formula>
    </cfRule>
  </conditionalFormatting>
  <conditionalFormatting sqref="W19">
    <cfRule type="expression" dxfId="2435" priority="12">
      <formula>ABS(W$16-W$19)&gt;=1000</formula>
    </cfRule>
  </conditionalFormatting>
  <conditionalFormatting sqref="AC5">
    <cfRule type="expression" dxfId="2434" priority="11">
      <formula>ABS(AC$7-AC$10)&gt;=1000</formula>
    </cfRule>
  </conditionalFormatting>
  <conditionalFormatting sqref="M14">
    <cfRule type="expression" dxfId="2433" priority="10">
      <formula>ABS(M$16-M$19)&gt;=1000</formula>
    </cfRule>
  </conditionalFormatting>
  <conditionalFormatting sqref="M16">
    <cfRule type="expression" dxfId="2432" priority="9">
      <formula>ABS(M$16-M$19)&gt;=1000</formula>
    </cfRule>
  </conditionalFormatting>
  <conditionalFormatting sqref="M19">
    <cfRule type="expression" dxfId="2431" priority="8">
      <formula>ABS(M$16-M$19)&gt;=1000</formula>
    </cfRule>
  </conditionalFormatting>
  <conditionalFormatting sqref="K13:K20">
    <cfRule type="expression" dxfId="2430" priority="7">
      <formula>ABS(K$16-K$19)&gt;=1000</formula>
    </cfRule>
  </conditionalFormatting>
  <conditionalFormatting sqref="E5">
    <cfRule type="expression" dxfId="2429" priority="6">
      <formula>ABS(E$7-E$10)&gt;=1000</formula>
    </cfRule>
  </conditionalFormatting>
  <conditionalFormatting sqref="AB14:AC14">
    <cfRule type="expression" dxfId="2428" priority="5">
      <formula>ABS(AB$16-AB$19)&gt;=1000</formula>
    </cfRule>
  </conditionalFormatting>
  <conditionalFormatting sqref="M5">
    <cfRule type="expression" dxfId="2427" priority="4">
      <formula>ABS(M$7-M$10)&gt;=1000</formula>
    </cfRule>
  </conditionalFormatting>
  <conditionalFormatting sqref="N5">
    <cfRule type="expression" dxfId="2426" priority="3">
      <formula>ABS(N$7-N$10)&gt;=1000</formula>
    </cfRule>
  </conditionalFormatting>
  <conditionalFormatting sqref="O5">
    <cfRule type="expression" dxfId="2425" priority="2">
      <formula>ABS(O$7-O$10)&gt;=1000</formula>
    </cfRule>
  </conditionalFormatting>
  <conditionalFormatting sqref="P5">
    <cfRule type="expression" dxfId="242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97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7">
    <pageSetUpPr fitToPage="1"/>
  </sheetPr>
  <dimension ref="A1:CU223"/>
  <sheetViews>
    <sheetView view="pageBreakPreview" zoomScale="70" zoomScaleNormal="100" zoomScaleSheetLayoutView="70" workbookViewId="0">
      <selection activeCell="C4" sqref="C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45721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0" t="s" ph="1">
        <v>179</v>
      </c>
      <c r="D6" s="71">
        <v>2148</v>
      </c>
      <c r="E6" s="71">
        <v>0</v>
      </c>
      <c r="F6" s="71">
        <v>6821</v>
      </c>
      <c r="G6" s="71">
        <v>5962</v>
      </c>
      <c r="H6" s="71">
        <v>7216</v>
      </c>
      <c r="I6" s="71">
        <v>27.15</v>
      </c>
      <c r="J6" s="71">
        <v>7.78</v>
      </c>
      <c r="K6" s="71">
        <v>7.41</v>
      </c>
      <c r="L6" s="71">
        <v>46.92</v>
      </c>
      <c r="M6" s="71">
        <v>3959</v>
      </c>
      <c r="N6" s="71">
        <v>4342</v>
      </c>
      <c r="O6" s="71">
        <v>1601</v>
      </c>
      <c r="P6" s="71">
        <v>6500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2768</v>
      </c>
      <c r="X6" s="71">
        <v>0</v>
      </c>
      <c r="Y6" s="71">
        <v>0</v>
      </c>
      <c r="Z6" s="71">
        <v>3120</v>
      </c>
      <c r="AA6" s="71">
        <v>1632</v>
      </c>
      <c r="AB6" s="71">
        <v>2255</v>
      </c>
      <c r="AC6" s="71">
        <v>4909</v>
      </c>
      <c r="AD6" s="71">
        <v>1706</v>
      </c>
      <c r="AE6" s="71">
        <v>3025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67584.931048800005</v>
      </c>
      <c r="E7" s="73" ph="1">
        <f>E6*51.53*LOOKUP(E8,密度!$A$2:$A$50,密度!$I$2:$I$50)</f>
        <v>0</v>
      </c>
      <c r="F7" s="73" ph="1">
        <f>F6*33.183*LOOKUP(F8,密度!$A$2:$A$50,密度!$C$2:$C$50)</f>
        <v>252257.31532349999</v>
      </c>
      <c r="G7" s="73" ph="1">
        <f xml:space="preserve"> (G6+2)*51.53*LOOKUP(G8,密度!$A$2:$A$50,密度!$B$2:$B$50)</f>
        <v>241465.18964399997</v>
      </c>
      <c r="H7" s="73" ph="1">
        <f>(H6)*51.53*LOOKUP(H8,密度!$A$2:$A$50,密度!$B$2:$B$50)</f>
        <v>292155.06513599999</v>
      </c>
      <c r="I7" s="73" ph="1">
        <f>I6*290.8*1.0267</f>
        <v>8106.0223740000001</v>
      </c>
      <c r="J7" s="73" ph="1">
        <f>J6*290.8*0.7892</f>
        <v>1785.5050208</v>
      </c>
      <c r="K7" s="73" ph="1">
        <f>K6*290.8*1.1126</f>
        <v>2397.4616328000002</v>
      </c>
      <c r="L7" s="73" ph="1">
        <f>L6*290.8*0.777</f>
        <v>10601.649072000002</v>
      </c>
      <c r="M7" s="73" ph="1">
        <f>M6*33.183*LOOKUP(M8,密度!$A$2:$A$50,密度!$D$2:$D$50)</f>
        <v>135719.89355069998</v>
      </c>
      <c r="N7" s="73" ph="1">
        <f>N6*33.183*LOOKUP(N8,密度!$A$2:$A$50,密度!$E$2:$E$50)</f>
        <v>113708.39847120001</v>
      </c>
      <c r="O7" s="73" ph="1">
        <f>O6*20.428*LOOKUP(O8,密度!$A$2:$A$50,密度!$C$2:$C$50)</f>
        <v>36266.827329200001</v>
      </c>
      <c r="P7" s="73" ph="1">
        <f>P6*51.53*LOOKUP(P8,密度!$A$2:$A$50,密度!$B$2:$B$50)</f>
        <v>263166.28649999999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18450.6293664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97940.288159999996</v>
      </c>
      <c r="AA7" s="73" ph="1">
        <f>AA6*33.183*LOOKUP(AA8,密度!$A$2:$A$50,密度!$D$2:$D$50)</f>
        <v>55898.435923200006</v>
      </c>
      <c r="AB7" s="73" ph="1">
        <f>AB6*20.428*LOOKUP(AB8,密度!$A$2:$A$50,密度!$D$2:$D$50)</f>
        <v>47866.286973999995</v>
      </c>
      <c r="AC7" s="73" ph="1">
        <f>AC6*51.53*LOOKUP(AC8,密度!$A$2:$A$50,密度!$Q$2:$Q$50)</f>
        <v>241021.02165600003</v>
      </c>
      <c r="AD7" s="73" ph="1">
        <f>AD6*20.428*LOOKUP(AD8,密度!$A$2:$A$50,密度!$V$2:$V$50)</f>
        <v>33484.041414399995</v>
      </c>
      <c r="AE7" s="73" ph="1">
        <f>AE6*20.428</f>
        <v>61794.700000000004</v>
      </c>
    </row>
    <row r="8" spans="1:99" ph="1">
      <c r="B8" s="252" ph="1"/>
      <c r="C8" s="68" t="s" ph="1">
        <v>181</v>
      </c>
      <c r="D8" s="74">
        <v>23</v>
      </c>
      <c r="E8" s="74">
        <v>18</v>
      </c>
      <c r="F8" s="74">
        <v>17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25</v>
      </c>
      <c r="P8" s="74">
        <v>18</v>
      </c>
      <c r="Q8" s="74">
        <v>16</v>
      </c>
      <c r="R8" s="74">
        <v>23</v>
      </c>
      <c r="S8" s="74">
        <v>13</v>
      </c>
      <c r="T8" s="74">
        <v>14</v>
      </c>
      <c r="U8" s="74">
        <v>16</v>
      </c>
      <c r="V8" s="74">
        <v>24</v>
      </c>
      <c r="W8" s="74">
        <v>19</v>
      </c>
      <c r="X8" s="74">
        <v>10</v>
      </c>
      <c r="Y8" s="74">
        <v>18</v>
      </c>
      <c r="Z8" s="74">
        <v>16</v>
      </c>
      <c r="AA8" s="74">
        <v>19</v>
      </c>
      <c r="AB8" s="74">
        <v>11</v>
      </c>
      <c r="AC8" s="74">
        <v>17</v>
      </c>
      <c r="AD8" s="74">
        <v>25</v>
      </c>
      <c r="AE8" s="74">
        <v>29</v>
      </c>
    </row>
    <row r="9" spans="1:99" ph="1">
      <c r="B9" s="252" ph="1">
        <v>0.66666666666666663</v>
      </c>
      <c r="C9" s="150" t="s" ph="1">
        <v>182</v>
      </c>
      <c r="D9" s="71">
        <v>2147</v>
      </c>
      <c r="E9" s="71">
        <v>0</v>
      </c>
      <c r="F9" s="71">
        <v>6819</v>
      </c>
      <c r="G9" s="71">
        <v>5960</v>
      </c>
      <c r="H9" s="71">
        <v>7798</v>
      </c>
      <c r="I9" s="71">
        <v>27.15</v>
      </c>
      <c r="J9" s="71">
        <v>7.78</v>
      </c>
      <c r="K9" s="71">
        <v>7.57</v>
      </c>
      <c r="L9" s="71">
        <v>14.54</v>
      </c>
      <c r="M9" s="71">
        <v>3957</v>
      </c>
      <c r="N9" s="71">
        <v>4294</v>
      </c>
      <c r="O9" s="71">
        <v>1600</v>
      </c>
      <c r="P9" s="71">
        <v>6405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5896</v>
      </c>
      <c r="X9" s="71">
        <v>0</v>
      </c>
      <c r="Y9" s="71">
        <v>0</v>
      </c>
      <c r="Z9" s="71">
        <v>850</v>
      </c>
      <c r="AA9" s="71">
        <v>1631</v>
      </c>
      <c r="AB9" s="71">
        <v>2098</v>
      </c>
      <c r="AC9" s="71">
        <v>4906</v>
      </c>
      <c r="AD9" s="71">
        <v>1702</v>
      </c>
      <c r="AE9" s="71">
        <v>3570</v>
      </c>
    </row>
    <row r="10" spans="1:99" s="72" customFormat="1" ht="22.5" ph="1">
      <c r="B10" s="252" ph="1"/>
      <c r="C10" s="150" t="s" ph="1">
        <v>180</v>
      </c>
      <c r="D10" s="73" ph="1">
        <f>D9*33.183*LOOKUP(D11,密度!$A$2:$A$50,密度!$Q$2:$Q$50)</f>
        <v>67659.620340690002</v>
      </c>
      <c r="E10" s="73" ph="1">
        <f>E9*51.53*LOOKUP(E11,密度!$A$2:$A$50,密度!$I$2:$I$50)</f>
        <v>0</v>
      </c>
      <c r="F10" s="73" ph="1">
        <f>F9*33.183*LOOKUP(F11,密度!$A$2:$A$50,密度!$C$2:$C$50)</f>
        <v>252183.3504165</v>
      </c>
      <c r="G10" s="73" ph="1">
        <f xml:space="preserve"> (G9+2)*51.53*LOOKUP(G11,密度!$A$2:$A$50,密度!$B$2:$B$50)</f>
        <v>241138.43791400001</v>
      </c>
      <c r="H10" s="73" ph="1">
        <f>(H9)*51.53*LOOKUP(H11,密度!$A$2:$A$50,密度!$B$2:$B$50)</f>
        <v>315397.10480600002</v>
      </c>
      <c r="I10" s="73" ph="1">
        <f>I9*290.8*1.0267</f>
        <v>8106.0223740000001</v>
      </c>
      <c r="J10" s="73" ph="1">
        <f>J9*290.8*0.7892</f>
        <v>1785.5050208</v>
      </c>
      <c r="K10" s="73" ph="1">
        <f>K9*290.8*1.1126</f>
        <v>2449.2286856000005</v>
      </c>
      <c r="L10" s="73" ph="1">
        <f>L9*290.8*0.777</f>
        <v>3285.336264</v>
      </c>
      <c r="M10" s="73" ph="1">
        <f>M9*33.183*LOOKUP(M11,密度!$A$2:$A$50,密度!$D$2:$D$50)</f>
        <v>135756.37494089999</v>
      </c>
      <c r="N10" s="73" ph="1">
        <f>N9*33.183*LOOKUP(N11,密度!$A$2:$A$50,密度!$E$2:$E$50)</f>
        <v>112280.387976</v>
      </c>
      <c r="O10" s="73" ph="1">
        <f>O9*20.428*LOOKUP(O11,密度!$A$2:$A$50,密度!$C$2:$C$50)</f>
        <v>36267.054080000002</v>
      </c>
      <c r="P10" s="73" ph="1">
        <f>P9*51.53*LOOKUP(P11,密度!$A$2:$A$50,密度!$B$2:$B$50)</f>
        <v>259320.01000499999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39300.907060799997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26738.861399999998</v>
      </c>
      <c r="AA10" s="73" ph="1">
        <f>AA9*33.183*LOOKUP(AA11,密度!$A$2:$A$50,密度!$D$2:$D$50)</f>
        <v>55912.893756299993</v>
      </c>
      <c r="AB10" s="73" ph="1">
        <f>AB9*20.428*LOOKUP(AB11,密度!$A$2:$A$50,密度!$D$2:$D$50)</f>
        <v>44572.261760000001</v>
      </c>
      <c r="AC10" s="73" ph="1">
        <f>AC9*51.53*LOOKUP(AC11,密度!$A$2:$A$50,密度!$Q$2:$Q$50)</f>
        <v>241075.97324799999</v>
      </c>
      <c r="AD10" s="73" ph="1">
        <f>AD9*20.428*LOOKUP(AD11,密度!$A$2:$A$50,密度!$V$2:$V$50)</f>
        <v>33405.532524800001</v>
      </c>
      <c r="AE10" s="73" ph="1">
        <f>AE9*20.428</f>
        <v>72927.960000000006</v>
      </c>
    </row>
    <row r="11" spans="1:99" ph="1">
      <c r="A11" s="64" t="s" ph="1">
        <v>164</v>
      </c>
      <c r="B11" s="252" ph="1"/>
      <c r="C11" s="150" t="s" ph="1">
        <v>181</v>
      </c>
      <c r="D11" s="74">
        <v>21</v>
      </c>
      <c r="E11" s="74">
        <v>17</v>
      </c>
      <c r="F11" s="74">
        <v>17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21</v>
      </c>
      <c r="O11" s="74">
        <v>24</v>
      </c>
      <c r="P11" s="74">
        <v>18</v>
      </c>
      <c r="Q11" s="74">
        <v>16</v>
      </c>
      <c r="R11" s="74">
        <v>23</v>
      </c>
      <c r="S11" s="74">
        <v>12</v>
      </c>
      <c r="T11" s="74">
        <v>14</v>
      </c>
      <c r="U11" s="74">
        <v>17</v>
      </c>
      <c r="V11" s="74">
        <v>23</v>
      </c>
      <c r="W11" s="74">
        <v>19</v>
      </c>
      <c r="X11" s="74">
        <v>10</v>
      </c>
      <c r="Y11" s="74">
        <v>17</v>
      </c>
      <c r="Z11" s="74">
        <v>14</v>
      </c>
      <c r="AA11" s="74">
        <v>18</v>
      </c>
      <c r="AB11" s="74">
        <v>10</v>
      </c>
      <c r="AC11" s="74">
        <v>16</v>
      </c>
      <c r="AD11" s="74">
        <v>24</v>
      </c>
      <c r="AE11" s="74">
        <v>34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0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0" t="s" ph="1">
        <v>179</v>
      </c>
      <c r="D15" s="78">
        <v>2269</v>
      </c>
      <c r="E15" s="78">
        <v>5482</v>
      </c>
      <c r="F15" s="78">
        <v>1092</v>
      </c>
      <c r="G15" s="78">
        <v>3650</v>
      </c>
      <c r="H15" s="78">
        <v>111</v>
      </c>
      <c r="I15" s="78">
        <v>1695</v>
      </c>
      <c r="J15" s="78">
        <v>545</v>
      </c>
      <c r="K15" s="78">
        <v>744</v>
      </c>
      <c r="L15" s="78">
        <v>5647</v>
      </c>
      <c r="M15" s="78">
        <v>3596</v>
      </c>
      <c r="N15" s="78">
        <v>2044</v>
      </c>
      <c r="O15" s="78">
        <v>5752</v>
      </c>
      <c r="P15" s="78">
        <v>2227</v>
      </c>
      <c r="Q15" s="78">
        <v>5202</v>
      </c>
      <c r="R15" s="78">
        <v>3506</v>
      </c>
      <c r="S15" s="78">
        <v>5640</v>
      </c>
      <c r="T15" s="78">
        <v>1920</v>
      </c>
      <c r="U15" s="78">
        <v>5345</v>
      </c>
      <c r="V15" s="78">
        <v>-1641</v>
      </c>
      <c r="W15" s="71">
        <v>-596</v>
      </c>
      <c r="X15" s="78">
        <v>325</v>
      </c>
      <c r="Y15" s="106">
        <v>-9906</v>
      </c>
      <c r="Z15" s="78">
        <v>0</v>
      </c>
      <c r="AA15" s="78">
        <v>2513</v>
      </c>
      <c r="AB15" s="78" ph="1">
        <v>6893</v>
      </c>
      <c r="AC15" s="78" ph="1">
        <v>6534</v>
      </c>
      <c r="AD15" s="78">
        <v>53.78</v>
      </c>
      <c r="AE15" s="78">
        <v>84.44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0" t="s" ph="1">
        <v>180</v>
      </c>
      <c r="D16" s="73" ph="1">
        <f>D15*7.0686*LOOKUP(D17,密度!$A$2:$A$50,密度!$L$2:$L$50)</f>
        <v>15076.334195999998</v>
      </c>
      <c r="E16" s="73" ph="1">
        <f>E15*7.0686*LOOKUP(E17,密度!$A$2:$A$50,密度!$L$2:$L$50)</f>
        <v>36425.061287999997</v>
      </c>
      <c r="F16" s="73" ph="1">
        <f>F15*9.0746*LOOKUP(F17,密度!$A$2:$A$50,密度!$L$2:$L$50)</f>
        <v>9314.8954080000003</v>
      </c>
      <c r="G16" s="73" ph="1">
        <f>G15*9.0746*LOOKUP(G17,密度!$A$2:$A$50,密度!$B$2:$B$50)</f>
        <v>25941.377528000001</v>
      </c>
      <c r="H16" s="73" ph="1">
        <f>H15*9.0746*LOOKUP(H17,密度!$A$2:$A$50,密度!$L$2:$L$50)</f>
        <v>947.85104460000002</v>
      </c>
      <c r="I16" s="73" ph="1">
        <f>I15*9.0746*LOOKUP(I17,密度!$A$2:$A$50,密度!$U$2:$U$50)</f>
        <v>15812.127516</v>
      </c>
      <c r="J16" s="73" ph="1">
        <f>J15*9.0746*LOOKUP(J17,密度!$A$2:$A$50,密度!$L$2:$L$50)</f>
        <v>4668.7002080000002</v>
      </c>
      <c r="K16" s="73" ph="1">
        <f>K15*9.0746*LOOKUP(K17,密度!$A$2:$A$50,密度!$C$2:$C$50)</f>
        <v>7520.49852336</v>
      </c>
      <c r="L16" s="73" ph="1">
        <f>L15*9.0746*LOOKUP(L17,密度!$A$2:$A$50,密度!$E$2:$E$50)</f>
        <v>40441.974885039999</v>
      </c>
      <c r="M16" s="73" ph="1">
        <f>M15*9.0746*LOOKUP(M17,密度!$A$2:$A$50,密度!$M$2:$M$50)</f>
        <v>28726.17988648</v>
      </c>
      <c r="N16" s="73" ph="1">
        <f>N15*9.0746*LOOKUP(N17,密度!$A$2:$A$50,密度!$M$2:$M$50)</f>
        <v>16305.97087784</v>
      </c>
      <c r="O16" s="73" ph="1">
        <f>O15*9.0746*LOOKUP(O17,密度!$A$2:$A$50,密度!$G$2:$G$50)</f>
        <v>50307.564208960001</v>
      </c>
      <c r="P16" s="73" ph="1">
        <f ca="1">P15*9.0746*LOOKUP(P17,密度!$A$2:$A$51,密度!$Q$2:$Q$50)</f>
        <v>19192.412658398</v>
      </c>
      <c r="Q16" s="73" ph="1">
        <f>Q15*9.0746*LOOKUP(Q17,密度!$A$2:$A$50,密度!$Q$2:$Q$50)</f>
        <v>44802.808217027996</v>
      </c>
      <c r="R16" s="73" ph="1">
        <f>MAX(R15*9.0746*LOOKUP(R17,密度!$A$2:$A$50,密度!$B$2:$B$50),0)</f>
        <v>24917.936880320001</v>
      </c>
      <c r="S16" s="73" ph="1">
        <f>S15*9.0746*LOOKUP(S17,密度!$A$2:$A$50,密度!$Q$2:$Q$50)</f>
        <v>48575.132322959995</v>
      </c>
      <c r="T16" s="73" ph="1">
        <f>T15*9.0746*LOOKUP(T17,密度!$A$2:$A$50,密度!$O$2:$O$50)</f>
        <v>16203.60576</v>
      </c>
      <c r="U16" s="73" ph="1">
        <f>U15*9.0746*LOOKUP(U17,密度!$A$2:$A$50,密度!$H$2:$H$50)</f>
        <v>44516.729818599997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196.72357508800087</v>
      </c>
      <c r="X16" s="73" ph="1">
        <f>MAX(5600*LOOKUP(X17,密度!$A$2:$A$50,密度!$I$2:$I$50)+X15*9.0476*LOOKUP(X17,密度!$A$2:$A$50,密度!$I$2:$I$50),0)</f>
        <v>8853.0512019999987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17899.228346020001</v>
      </c>
      <c r="AB16" s="73" ph="1">
        <f>AB15*9.0746*LOOKUP(AB17,密度!$A$2:$A$50,密度!$L$2:$L$50)</f>
        <v>58923.247167599999</v>
      </c>
      <c r="AC16" s="73" ph="1">
        <f>AC15*9.0746*LOOKUP(AC17,密度!$A$2:$A$50,密度!$L$2:$L$50)</f>
        <v>55913.710525199996</v>
      </c>
      <c r="AD16" s="73" ph="1">
        <f>AD15*268.68*LOOKUP(AD17,密度!$A$2:$A$50,密度!B2:B50)+IF(AD15&lt;=0,0,1566*LOOKUP(AD17,密度!$A$2:$A$50,密度!B2:B50))</f>
        <v>12485.769867840001</v>
      </c>
      <c r="AE16" s="73" ph="1">
        <f>AE15*268.68*LOOKUP(AE17,密度!$A$2:$A$50,密度!B2:B50)+IF(AE15&lt;=0,0,1566*LOOKUP(AE17,密度!$A$2:$A$50,密度!B2:B50))</f>
        <v>18907.903240319996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22</v>
      </c>
      <c r="E17" s="74">
        <v>22</v>
      </c>
      <c r="F17" s="74">
        <v>22</v>
      </c>
      <c r="G17" s="74">
        <v>21</v>
      </c>
      <c r="H17" s="74">
        <v>21</v>
      </c>
      <c r="I17" s="74">
        <v>18</v>
      </c>
      <c r="J17" s="74">
        <v>18</v>
      </c>
      <c r="K17" s="74">
        <v>18</v>
      </c>
      <c r="L17" s="74">
        <v>20</v>
      </c>
      <c r="M17" s="74">
        <v>20</v>
      </c>
      <c r="N17" s="74">
        <v>21</v>
      </c>
      <c r="O17" s="74">
        <v>22</v>
      </c>
      <c r="P17" s="74">
        <v>21</v>
      </c>
      <c r="Q17" s="74">
        <v>22</v>
      </c>
      <c r="R17" s="74">
        <v>21</v>
      </c>
      <c r="S17" s="74">
        <v>22</v>
      </c>
      <c r="T17" s="74">
        <v>21</v>
      </c>
      <c r="U17" s="74">
        <v>22</v>
      </c>
      <c r="V17" s="74">
        <v>24</v>
      </c>
      <c r="W17" s="74">
        <v>24</v>
      </c>
      <c r="X17" s="74">
        <v>30</v>
      </c>
      <c r="Y17" s="108">
        <v>30</v>
      </c>
      <c r="Z17" s="74">
        <v>19</v>
      </c>
      <c r="AA17" s="74">
        <v>19</v>
      </c>
      <c r="AB17" s="74">
        <v>20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3307</v>
      </c>
      <c r="E18" s="71">
        <v>5473</v>
      </c>
      <c r="F18" s="71">
        <v>1091</v>
      </c>
      <c r="G18" s="71">
        <v>3667</v>
      </c>
      <c r="H18" s="71">
        <v>111</v>
      </c>
      <c r="I18" s="71">
        <v>1694</v>
      </c>
      <c r="J18" s="71">
        <v>545</v>
      </c>
      <c r="K18" s="71">
        <v>744</v>
      </c>
      <c r="L18" s="71">
        <v>5639</v>
      </c>
      <c r="M18" s="71">
        <v>3592</v>
      </c>
      <c r="N18" s="71">
        <v>2040</v>
      </c>
      <c r="O18" s="71">
        <v>5747</v>
      </c>
      <c r="P18" s="71">
        <v>2225</v>
      </c>
      <c r="Q18" s="71">
        <v>5196</v>
      </c>
      <c r="R18" s="71">
        <v>3504</v>
      </c>
      <c r="S18" s="71">
        <v>5634</v>
      </c>
      <c r="T18" s="71">
        <v>3182</v>
      </c>
      <c r="U18" s="71">
        <v>5339</v>
      </c>
      <c r="V18" s="71">
        <v>-1641</v>
      </c>
      <c r="W18" s="71">
        <v>-596</v>
      </c>
      <c r="X18" s="71">
        <v>325</v>
      </c>
      <c r="Y18" s="109">
        <v>-9906</v>
      </c>
      <c r="Z18" s="71">
        <v>0</v>
      </c>
      <c r="AA18" s="71">
        <v>2510</v>
      </c>
      <c r="AB18" s="71">
        <v>6884</v>
      </c>
      <c r="AC18" s="71">
        <v>6527</v>
      </c>
      <c r="AD18" s="71">
        <v>78.62</v>
      </c>
      <c r="AE18" s="71">
        <v>84.19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0" t="s" ph="1">
        <v>180</v>
      </c>
      <c r="D19" s="73" ph="1">
        <f>D18*7.0686*LOOKUP(D20,密度!$A$2:$A$50,密度!$L$2:$L$50)</f>
        <v>22020.060308399999</v>
      </c>
      <c r="E19" s="73" ph="1">
        <f>E18*7.0686*LOOKUP(E20,密度!$A$2:$A$50,密度!$L$2:$L$50)</f>
        <v>36442.633827600002</v>
      </c>
      <c r="F19" s="73" ph="1">
        <f>F18*9.0746*LOOKUP(F20,密度!$A$2:$A$50,密度!$L$2:$L$50)</f>
        <v>9306.3652839999995</v>
      </c>
      <c r="G19" s="73" ph="1">
        <f>G18*9.0746*LOOKUP(G20,密度!$A$2:$A$50,密度!$B$2:$B$50)</f>
        <v>26092.149284620002</v>
      </c>
      <c r="H19" s="73" ph="1">
        <f>H18*9.0746*LOOKUP(H20,密度!$A$2:$A$50,密度!$L$2:$L$50)</f>
        <v>948.85832519999997</v>
      </c>
      <c r="I19" s="73" ph="1">
        <f>I18*9.0746*LOOKUP(I20,密度!$A$2:$A$50,密度!$U$2:$U$50)</f>
        <v>15802.7988272</v>
      </c>
      <c r="J19" s="73" ph="1">
        <f>J18*9.0746*LOOKUP(J20,密度!$A$2:$A$50,密度!$L$2:$L$50)</f>
        <v>4668.7002080000002</v>
      </c>
      <c r="K19" s="73" ph="1">
        <f>K18*9.0746*LOOKUP(K20,密度!$A$2:$A$50,密度!$C$2:$C$50)</f>
        <v>7520.49852336</v>
      </c>
      <c r="L19" s="73" ph="1">
        <f>L18*9.0746*LOOKUP(L20,密度!$A$2:$A$50,密度!$E$2:$E$50)</f>
        <v>40440.970326820003</v>
      </c>
      <c r="M19" s="73" ph="1">
        <f>M18*9.0746*LOOKUP(M20,密度!$A$2:$A$50,密度!$M$2:$M$50)</f>
        <v>28694.226404960002</v>
      </c>
      <c r="N19" s="73" ph="1">
        <f>N18*9.0746*LOOKUP(N20,密度!$A$2:$A$50,密度!$M$2:$M$50)</f>
        <v>16296.275575200001</v>
      </c>
      <c r="O19" s="73" ph="1">
        <f>O18*9.0746*LOOKUP(O20,密度!$A$2:$A$50,密度!$G$2:$G$50)</f>
        <v>50321.200610380001</v>
      </c>
      <c r="P19" s="73" ph="1">
        <f ca="1">P18*9.0746*LOOKUP(P20,密度!$A$2:$A$51,密度!$Q$2:$Q$50)</f>
        <v>19175.176544650003</v>
      </c>
      <c r="Q19" s="73" ph="1">
        <f>Q18*9.0746*LOOKUP(Q20,密度!$A$2:$A$50,密度!$Q$2:$Q$50)</f>
        <v>44811.958136207999</v>
      </c>
      <c r="R19" s="73" ph="1">
        <f>MAX(R18*9.0746*LOOKUP(R20,密度!$A$2:$A$50,密度!$B$2:$B$50),0)</f>
        <v>24903.722426880002</v>
      </c>
      <c r="S19" s="73" ph="1">
        <f>S18*9.0746*LOOKUP(S20,密度!$A$2:$A$50,密度!$Q$2:$Q$50)</f>
        <v>48589.409572632001</v>
      </c>
      <c r="T19" s="73" ph="1">
        <f>T18*9.0746*LOOKUP(T20,密度!$A$2:$A$50,密度!$O$2:$O$50)</f>
        <v>26854.100795999999</v>
      </c>
      <c r="U19" s="73" ph="1">
        <f>U18*9.0746*LOOKUP(U20,密度!$A$2:$A$50,密度!$H$2:$H$50)</f>
        <v>44558.811461179997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197.05993633600065</v>
      </c>
      <c r="X19" s="73" ph="1">
        <f>MAX(5600*LOOKUP(X20,密度!$A$2:$A$50,密度!$I$2:$I$50)+X18*9.0476*LOOKUP(X20,密度!$A$2:$A$50,密度!$I$2:$I$50),0)</f>
        <v>8872.6942829999989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17896.0821822</v>
      </c>
      <c r="AB19" s="73" ph="1">
        <f>AB18*9.0746*LOOKUP(AB20,密度!$A$2:$A$50,密度!$L$2:$L$50)</f>
        <v>58783.843162399993</v>
      </c>
      <c r="AC19" s="73" ph="1">
        <f>AC18*9.0746*LOOKUP(AC20,密度!$A$2:$A$50,密度!$L$2:$L$50)</f>
        <v>55913.039004799997</v>
      </c>
      <c r="AD19" s="73" ph="1">
        <f>AD18*268.68*LOOKUP(AD20,密度!$A$2:$A$50,密度!B5:B53)+IF(AD18&lt;=0,0,1566*LOOKUP(AD20,密度!$A$2:$A$50,密度!B5:B53))</f>
        <v>17629.835983200002</v>
      </c>
      <c r="AE19" s="73" ph="1">
        <f>AE18*268.68*LOOKUP(AE20,密度!$A$2:$A$50,密度!B5:B53)+IF(AE18&lt;=0,0,1566*LOOKUP(AE20,密度!$A$2:$A$50,密度!B5:B53))</f>
        <v>18792.6534684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20</v>
      </c>
      <c r="E20" s="81">
        <v>20</v>
      </c>
      <c r="F20" s="81">
        <v>22</v>
      </c>
      <c r="G20" s="81">
        <v>20</v>
      </c>
      <c r="H20" s="81">
        <v>20</v>
      </c>
      <c r="I20" s="81">
        <v>17</v>
      </c>
      <c r="J20" s="81">
        <v>18</v>
      </c>
      <c r="K20" s="81">
        <v>18</v>
      </c>
      <c r="L20" s="81">
        <v>19</v>
      </c>
      <c r="M20" s="81">
        <v>19</v>
      </c>
      <c r="N20" s="81">
        <v>20</v>
      </c>
      <c r="O20" s="81">
        <v>21</v>
      </c>
      <c r="P20" s="81">
        <v>21</v>
      </c>
      <c r="Q20" s="81">
        <v>20</v>
      </c>
      <c r="R20" s="81">
        <v>21</v>
      </c>
      <c r="S20" s="81">
        <v>20</v>
      </c>
      <c r="T20" s="81">
        <v>21</v>
      </c>
      <c r="U20" s="81">
        <v>20</v>
      </c>
      <c r="V20" s="81">
        <v>22</v>
      </c>
      <c r="W20" s="81">
        <v>22</v>
      </c>
      <c r="X20" s="81">
        <v>28</v>
      </c>
      <c r="Y20" s="110">
        <v>28</v>
      </c>
      <c r="Z20" s="81">
        <v>19</v>
      </c>
      <c r="AA20" s="81">
        <v>18</v>
      </c>
      <c r="AB20" s="81">
        <v>21</v>
      </c>
      <c r="AC20" s="81">
        <v>18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648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0" t="s" ph="1">
        <v>179</v>
      </c>
      <c r="D24" s="71">
        <v>98.89</v>
      </c>
      <c r="E24" s="71">
        <v>95.53</v>
      </c>
      <c r="F24" s="71">
        <v>4033</v>
      </c>
      <c r="G24" s="71">
        <v>3063</v>
      </c>
      <c r="H24" s="71">
        <v>3197</v>
      </c>
      <c r="I24" s="71">
        <v>5544</v>
      </c>
      <c r="J24" s="71">
        <v>4919</v>
      </c>
      <c r="K24" s="71">
        <v>5635</v>
      </c>
      <c r="L24" s="71">
        <v>5609</v>
      </c>
      <c r="M24" s="71">
        <v>5471</v>
      </c>
      <c r="N24" s="71">
        <v>5378</v>
      </c>
      <c r="O24" s="71">
        <v>3521</v>
      </c>
      <c r="P24" s="71">
        <v>430</v>
      </c>
      <c r="Q24" s="90">
        <v>555</v>
      </c>
      <c r="R24" s="71">
        <v>6754</v>
      </c>
      <c r="S24" s="71">
        <v>616</v>
      </c>
      <c r="T24" s="71">
        <v>908</v>
      </c>
      <c r="U24" s="71">
        <v>4647</v>
      </c>
      <c r="V24" s="71">
        <v>9657</v>
      </c>
      <c r="W24" s="71">
        <v>1822</v>
      </c>
      <c r="X24" s="71">
        <v>7907</v>
      </c>
      <c r="Y24" s="71">
        <v>4528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26637.254345448004</v>
      </c>
      <c r="E25" s="91" ph="1">
        <f>E24*268.68*LOOKUP(E26,密度!$A$2:$A$50,密度!$C$2:$C$50)+IF(E24&lt;=0,0,1566*LOOKUP(E26,密度!$A$2:$A$50,密度!$C$2:$C$50))</f>
        <v>30198.674143560002</v>
      </c>
      <c r="F25" s="91" ph="1">
        <f>F24*11.702*LOOKUP(F26,密度!$A$2:$A$50,密度!$Q$2:$Q$50)</f>
        <v>44819.827508540002</v>
      </c>
      <c r="G25" s="91" ph="1">
        <f>G24*18.322*LOOKUP(G26,密度!$A$2:$A$50,密度!$B$2:$B$50)</f>
        <v>43953.407995200003</v>
      </c>
      <c r="H25" s="91" ph="1">
        <f>H24*18.322*LOOKUP(H26,密度!$A$2:$A$50,密度!$B$2:$B$50)</f>
        <v>45876.279908799996</v>
      </c>
      <c r="I25" s="91" ph="1">
        <f>I24*18.322*LOOKUP(I26,密度!$A$2:$A$50,密度!$Q$2:$Q$50)</f>
        <v>96405.874377119995</v>
      </c>
      <c r="J25" s="91" ph="1">
        <f>J24*18.322*LOOKUP(J26,密度!$A$2:$A$50,密度!$Q$2:$Q$50)</f>
        <v>85537.607514619987</v>
      </c>
      <c r="K25" s="91" ph="1">
        <f>K24*18.322*LOOKUP(K26,密度!$A$2:$A$50,密度!$Q$2:$Q$50)</f>
        <v>98050.240714300002</v>
      </c>
      <c r="L25" s="91" ph="1">
        <f>L24*18.322*LOOKUP(L26,密度!$A$2:$A$50,密度!$Q$2:$Q$50)</f>
        <v>97536.17413082</v>
      </c>
      <c r="M25" s="91" ph="1">
        <f>M24*18.322*LOOKUP(M26,密度!$A$2:$A$50,密度!$Q$2:$Q$50)</f>
        <v>95136.460807579992</v>
      </c>
      <c r="N25" s="91" ph="1">
        <f>N24*18.322*LOOKUP(N26,密度!$A$2:$A$50,密度!$Q$2:$Q$50)</f>
        <v>93578.384128040008</v>
      </c>
      <c r="O25" s="91" ph="1">
        <f>O24*18.322*LOOKUP(O26,密度!$A$2:$A$50,密度!$C$2:$C$50)</f>
        <v>71730.628167800009</v>
      </c>
      <c r="P25" s="91" ph="1">
        <f>P24*11.702*LOOKUP(P26,密度!$A$2:$A$50,密度!$B$2:$B$50)</f>
        <v>3936.4240779999996</v>
      </c>
      <c r="Q25" s="92" ph="1">
        <f>Q24*18.322*LOOKUP(Q26,密度!$A$2:$A$50,密度!$B$2:$B$50)</f>
        <v>7954.9818329999989</v>
      </c>
      <c r="R25" s="91" ph="1">
        <f>R24*35.891*LOOKUP(R26,密度!$A$2:$A$50,密度!$C$2:$C$50)</f>
        <v>269169.6366656</v>
      </c>
      <c r="S25" s="91" ph="1">
        <f>S24*35.891*LOOKUP(S26,密度!$A$2:$A$50,密度!$B$2:$B$50)</f>
        <v>17275.860078400001</v>
      </c>
      <c r="T25" s="91" ph="1">
        <f>T24*35.891*LOOKUP(T26,密度!$A$2:$A$50,密度!$Q$2:$Q$50)</f>
        <v>30900.9163496</v>
      </c>
      <c r="U25" s="91" ph="1">
        <f>U24*35.891</f>
        <v>166785.47699999998</v>
      </c>
      <c r="V25" s="91" ph="1">
        <f>V24*47.051*LOOKUP(V26,密度!$A$2:$A$50,密度!$B$2:$B$50)</f>
        <v>355454.82992610004</v>
      </c>
      <c r="W25" s="91" ph="1">
        <f>W24*47.051*LOOKUP(W26,密度!$A$2:$A$50,密度!$B$2:$B$50)</f>
        <v>67064.171080600005</v>
      </c>
      <c r="X25" s="91" ph="1">
        <f>X24*47.051*LOOKUP(X26,密度!$A$2:$A$50,密度!$I$2:$I$50)</f>
        <v>384019.13632053998</v>
      </c>
      <c r="Y25" s="91" ph="1">
        <f>Y24*47.051*LOOKUP(Y26,密度!$A$2:$A$50,密度!$L$2:$L$50)</f>
        <v>200264.11232000001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21</v>
      </c>
      <c r="G26" s="74">
        <v>21</v>
      </c>
      <c r="H26" s="74">
        <v>21</v>
      </c>
      <c r="I26" s="74">
        <v>22</v>
      </c>
      <c r="J26" s="74">
        <v>22</v>
      </c>
      <c r="K26" s="74">
        <v>21</v>
      </c>
      <c r="L26" s="74">
        <v>22</v>
      </c>
      <c r="M26" s="74">
        <v>22</v>
      </c>
      <c r="N26" s="74">
        <v>21</v>
      </c>
      <c r="O26" s="74">
        <v>21</v>
      </c>
      <c r="P26" s="74">
        <v>22</v>
      </c>
      <c r="Q26" s="93">
        <v>22</v>
      </c>
      <c r="R26" s="74">
        <v>23</v>
      </c>
      <c r="S26" s="74">
        <v>23</v>
      </c>
      <c r="T26" s="74">
        <v>23</v>
      </c>
      <c r="U26" s="74">
        <v>23</v>
      </c>
      <c r="V26" s="74">
        <v>22</v>
      </c>
      <c r="W26" s="74">
        <v>22</v>
      </c>
      <c r="X26" s="74">
        <v>46</v>
      </c>
      <c r="Y26" s="74">
        <v>22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0" t="s" ph="1">
        <v>182</v>
      </c>
      <c r="D27" s="71">
        <v>98.74</v>
      </c>
      <c r="E27" s="71">
        <v>95.47</v>
      </c>
      <c r="F27" s="71">
        <v>4033</v>
      </c>
      <c r="G27" s="71">
        <v>2578</v>
      </c>
      <c r="H27" s="71">
        <v>2843</v>
      </c>
      <c r="I27" s="71">
        <v>5537</v>
      </c>
      <c r="J27" s="71">
        <v>4916</v>
      </c>
      <c r="K27" s="71">
        <v>5632</v>
      </c>
      <c r="L27" s="71">
        <v>5605</v>
      </c>
      <c r="M27" s="71">
        <v>5467</v>
      </c>
      <c r="N27" s="71">
        <v>5375</v>
      </c>
      <c r="O27" s="71">
        <v>3520</v>
      </c>
      <c r="P27" s="71">
        <v>430</v>
      </c>
      <c r="Q27" s="90">
        <v>862</v>
      </c>
      <c r="R27" s="71">
        <v>6753</v>
      </c>
      <c r="S27" s="71">
        <v>1220</v>
      </c>
      <c r="T27" s="71">
        <v>907</v>
      </c>
      <c r="U27" s="71">
        <v>4983</v>
      </c>
      <c r="V27" s="71">
        <v>9652</v>
      </c>
      <c r="W27" s="71">
        <v>2888</v>
      </c>
      <c r="X27" s="71">
        <v>7049</v>
      </c>
      <c r="Y27" s="71">
        <v>4520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0" t="s" ph="1">
        <v>180</v>
      </c>
      <c r="D28" s="91" ph="1">
        <f>D27*268.68*LOOKUP(D29,密度!$A$2:$A$50,密度!$Q$2:$Q$50)+IF(D27&lt;=0,0,1566*LOOKUP(D29,密度!$A$2:$A$50,密度!$Q$2:$Q$50))</f>
        <v>26599.098829967999</v>
      </c>
      <c r="E28" s="91" ph="1">
        <f>E27*268.68*LOOKUP(E29,密度!$A$2:$A$50,密度!$C$2:$C$50)+IF(E27&lt;=0,0,1566*LOOKUP(E29,密度!$A$2:$A$50,密度!$C$2:$C$50))</f>
        <v>30180.797788440002</v>
      </c>
      <c r="F28" s="91" ph="1">
        <f>F27*11.702*LOOKUP(F29,密度!$A$2:$A$50,密度!$Q$2:$Q$50)</f>
        <v>44819.827508540002</v>
      </c>
      <c r="G28" s="91" ph="1">
        <f>G27*18.322*LOOKUP(G29,密度!$A$2:$A$50,密度!$B$2:$B$50)</f>
        <v>36993.759651199995</v>
      </c>
      <c r="H28" s="91" ph="1">
        <f>H27*18.322*LOOKUP(H29,密度!$A$2:$A$50,密度!$B$2:$B$50)</f>
        <v>40796.454107199999</v>
      </c>
      <c r="I28" s="91" ph="1">
        <f>I27*18.322*LOOKUP(I29,密度!$A$2:$A$50,密度!$Q$2:$Q$50)</f>
        <v>96415.018887319995</v>
      </c>
      <c r="J28" s="91" ph="1">
        <f>J27*18.322*LOOKUP(J29,密度!$A$2:$A$50,密度!$Q$2:$Q$50)</f>
        <v>85601.631361759995</v>
      </c>
      <c r="K28" s="91" ph="1">
        <f>K27*18.322*LOOKUP(K29,密度!$A$2:$A$50,密度!$Q$2:$Q$50)</f>
        <v>98069.240811519994</v>
      </c>
      <c r="L28" s="91" ph="1">
        <f>L27*18.322*LOOKUP(L29,密度!$A$2:$A$50,密度!$Q$2:$Q$50)</f>
        <v>97528.234108899996</v>
      </c>
      <c r="M28" s="91" ph="1">
        <f>M27*18.322*LOOKUP(M29,密度!$A$2:$A$50,密度!$Q$2:$Q$50)</f>
        <v>95196.118522119999</v>
      </c>
      <c r="N28" s="91" ph="1">
        <f>N27*18.322*LOOKUP(N29,密度!$A$2:$A$50,密度!$Q$2:$Q$50)</f>
        <v>93526.183467499999</v>
      </c>
      <c r="O28" s="91" ph="1">
        <f>O27*18.322*LOOKUP(O29,密度!$A$2:$A$50,密度!$C$2:$C$50)</f>
        <v>71710.255936000001</v>
      </c>
      <c r="P28" s="91" ph="1">
        <f>P27*11.702*LOOKUP(P29,密度!$A$2:$A$50,密度!$B$2:$B$50)</f>
        <v>3945.4814259999998</v>
      </c>
      <c r="Q28" s="92" ph="1">
        <f>Q27*18.322*LOOKUP(Q29,密度!$A$2:$A$50,密度!$B$2:$B$50)</f>
        <v>12383.7335324</v>
      </c>
      <c r="R28" s="91" ph="1">
        <f>R27*35.891*LOOKUP(R29,密度!$A$2:$A$50,密度!$C$2:$C$50)</f>
        <v>269808.42468359997</v>
      </c>
      <c r="S28" s="91" ph="1">
        <f>S27*35.891*LOOKUP(S29,密度!$A$2:$A$50,密度!$B$2:$B$50)</f>
        <v>34368.431998</v>
      </c>
      <c r="T28" s="91" ph="1">
        <f>T27*35.891*LOOKUP(T29,密度!$A$2:$A$50,密度!$Q$2:$Q$50)</f>
        <v>30937.850342059999</v>
      </c>
      <c r="U28" s="91" ph="1">
        <f>U27*35.891</f>
        <v>178844.853</v>
      </c>
      <c r="V28" s="91" ph="1">
        <f>V27*47.051*LOOKUP(V29,密度!$A$2:$A$50,密度!$B$2:$B$50)</f>
        <v>356088.23519320006</v>
      </c>
      <c r="W28" s="91" ph="1">
        <f>W27*47.051*LOOKUP(W29,密度!$A$2:$A$50,密度!$B$2:$B$50)</f>
        <v>106654.7927512</v>
      </c>
      <c r="X28" s="91" ph="1">
        <f>X27*47.051*LOOKUP(X29,密度!$A$2:$A$50,密度!$I$2:$I$50)</f>
        <v>343482.95046435995</v>
      </c>
      <c r="Y28" s="91" ph="1">
        <f>Y27*47.051*LOOKUP(Y29,密度!$A$2:$A$50,密度!$L$2:$L$50)</f>
        <v>200335.62984000001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0" t="s" ph="1">
        <v>181</v>
      </c>
      <c r="D29" s="74">
        <v>25</v>
      </c>
      <c r="E29" s="74">
        <v>25</v>
      </c>
      <c r="F29" s="74">
        <v>21</v>
      </c>
      <c r="G29" s="74">
        <v>21</v>
      </c>
      <c r="H29" s="74">
        <v>21</v>
      </c>
      <c r="I29" s="74">
        <v>20</v>
      </c>
      <c r="J29" s="74">
        <v>20</v>
      </c>
      <c r="K29" s="74">
        <v>20</v>
      </c>
      <c r="L29" s="74">
        <v>21</v>
      </c>
      <c r="M29" s="74">
        <v>20</v>
      </c>
      <c r="N29" s="74">
        <v>21</v>
      </c>
      <c r="O29" s="74">
        <v>21</v>
      </c>
      <c r="P29" s="74">
        <v>20</v>
      </c>
      <c r="Q29" s="93">
        <v>20</v>
      </c>
      <c r="R29" s="74">
        <v>19</v>
      </c>
      <c r="S29" s="74">
        <v>19</v>
      </c>
      <c r="T29" s="74">
        <v>20</v>
      </c>
      <c r="U29" s="74">
        <v>20</v>
      </c>
      <c r="V29" s="74">
        <v>20</v>
      </c>
      <c r="W29" s="74">
        <v>19</v>
      </c>
      <c r="X29" s="74">
        <v>49</v>
      </c>
      <c r="Y29" s="74">
        <v>20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86</v>
      </c>
      <c r="AC32" s="150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100485.1555163</v>
      </c>
      <c r="E33" s="201" ph="1">
        <f>M10+I10</f>
        <v>143862.39731489998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27" ph="1">
        <v>0</v>
      </c>
      <c r="H33" s="201" ph="1">
        <f>N19</f>
        <v>16296.275575200001</v>
      </c>
      <c r="I33" s="205" ph="1">
        <v>0</v>
      </c>
      <c r="J33" s="209" ph="1">
        <f>F10+O28</f>
        <v>323893.60635250004</v>
      </c>
      <c r="K33" s="201" ph="1">
        <f>O10+K10+E28+R28</f>
        <v>338705.50523764</v>
      </c>
      <c r="L33" s="211" ph="1">
        <f>BE27</f>
        <v>7100</v>
      </c>
      <c r="M33" s="209" ph="1">
        <f>G10+H10+W28+S28</f>
        <v>697558.76746920007</v>
      </c>
      <c r="N33" s="201" ph="1">
        <f>L10+P10++G28+H28+V28</f>
        <v>696483.79522059998</v>
      </c>
      <c r="O33" s="205" ph="1">
        <f>BE17</f>
        <v>2270</v>
      </c>
      <c r="P33" s="209" ph="1">
        <f>L19</f>
        <v>40440.970326820003</v>
      </c>
      <c r="Q33" s="201" ph="1">
        <f>J10+N10</f>
        <v>114065.8929968</v>
      </c>
      <c r="R33" s="205" ph="1">
        <f>BE23</f>
        <v>890</v>
      </c>
      <c r="S33" s="209" ph="1">
        <f>E10+X28</f>
        <v>343482.95046435995</v>
      </c>
      <c r="T33" s="201" ph="1">
        <f>X19</f>
        <v>8872.6942829999989</v>
      </c>
      <c r="U33" s="190" ph="1">
        <f>BE21</f>
        <v>730</v>
      </c>
      <c r="V33" s="203" ph="1">
        <f ca="1">P19+Q19+S19+M28+N28+J28</f>
        <v>386900.47760486999</v>
      </c>
      <c r="W33" s="203" ph="1">
        <f>D28+F28+V19+T28</f>
        <v>102356.776680568</v>
      </c>
      <c r="X33" s="205" ph="1">
        <f>BE29+BE31</f>
        <v>10200</v>
      </c>
      <c r="Y33" s="207" ph="1">
        <f>+Q10+R10+S10+T10+U10+V10+W10+X10+Y10</f>
        <v>39300.907060799997</v>
      </c>
      <c r="Z33" s="188" ph="1">
        <f>D10+T19+U19+Y28+Z10</f>
        <v>366147.02383786999</v>
      </c>
      <c r="AA33" s="190" ph="1">
        <f>BE19</f>
        <v>1440</v>
      </c>
      <c r="AB33" s="192" ph="1">
        <f>I19</f>
        <v>15802.7988272</v>
      </c>
      <c r="AC33" s="194" ph="1">
        <f>AD10</f>
        <v>33405.532524800001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2" t="s" ph="1">
        <v>187</v>
      </c>
      <c r="AA36" s="152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346</v>
      </c>
      <c r="AI37" s="152" t="s" ph="1">
        <v>213</v>
      </c>
      <c r="AJ37" s="152" t="s" ph="1">
        <v>214</v>
      </c>
      <c r="AK37" s="152" t="s" ph="1">
        <v>215</v>
      </c>
      <c r="AM37" s="152" t="s" ph="1">
        <v>214</v>
      </c>
      <c r="AN37" s="152" t="s" ph="1">
        <v>215</v>
      </c>
      <c r="AO37" s="152" t="s" ph="1">
        <v>216</v>
      </c>
      <c r="AP37" s="152" t="s" ph="1">
        <v>214</v>
      </c>
      <c r="AQ37" s="152" t="s" ph="1">
        <v>215</v>
      </c>
      <c r="AR37" s="152" t="s" ph="1">
        <v>216</v>
      </c>
      <c r="AS37" s="152" t="s" ph="1">
        <v>214</v>
      </c>
      <c r="AT37" s="152" t="s" ph="1">
        <v>215</v>
      </c>
      <c r="AU37" s="152" t="s" ph="1">
        <v>216</v>
      </c>
      <c r="AV37" s="152" t="s" ph="1">
        <v>214</v>
      </c>
      <c r="AW37" s="152" t="s" ph="1">
        <v>215</v>
      </c>
      <c r="AX37" s="152" t="s" ph="1">
        <v>216</v>
      </c>
      <c r="AY37" s="152" t="s" ph="1">
        <v>215</v>
      </c>
      <c r="AZ37" s="152" t="s" ph="1">
        <v>217</v>
      </c>
      <c r="BD37" s="152" t="s" ph="1">
        <v>309</v>
      </c>
      <c r="BE37" s="152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93" priority="96">
      <formula>ABS(D$7-D$10)&gt;=1000</formula>
    </cfRule>
  </conditionalFormatting>
  <conditionalFormatting sqref="E4 E6:E11">
    <cfRule type="expression" dxfId="2392" priority="95">
      <formula>ABS(E$7-E$10)&gt;=1000</formula>
    </cfRule>
  </conditionalFormatting>
  <conditionalFormatting sqref="F4:F11">
    <cfRule type="expression" dxfId="2391" priority="94">
      <formula>ABS(F$7-F$10)&gt;=1000</formula>
    </cfRule>
  </conditionalFormatting>
  <conditionalFormatting sqref="G4:G11">
    <cfRule type="expression" dxfId="2390" priority="93">
      <formula>ABS(G$7-G$10)&gt;=1000</formula>
    </cfRule>
  </conditionalFormatting>
  <conditionalFormatting sqref="H4:H11">
    <cfRule type="expression" dxfId="2389" priority="92">
      <formula>ABS(H$7-H$10)&gt;=1000</formula>
    </cfRule>
  </conditionalFormatting>
  <conditionalFormatting sqref="I4:I11">
    <cfRule type="expression" dxfId="2388" priority="91">
      <formula>ABS(I$7-I$10)&gt;=1000</formula>
    </cfRule>
  </conditionalFormatting>
  <conditionalFormatting sqref="J4:J11">
    <cfRule type="expression" dxfId="2387" priority="90">
      <formula>ABS(J$7-J$10)&gt;=1000</formula>
    </cfRule>
  </conditionalFormatting>
  <conditionalFormatting sqref="K4:K11">
    <cfRule type="expression" dxfId="2386" priority="89">
      <formula>ABS(K$7-K$10)&gt;=1000</formula>
    </cfRule>
  </conditionalFormatting>
  <conditionalFormatting sqref="L4:L11">
    <cfRule type="expression" dxfId="2385" priority="88">
      <formula>ABS(L$7-L$10)&gt;=1000</formula>
    </cfRule>
  </conditionalFormatting>
  <conditionalFormatting sqref="M4 M6:M11">
    <cfRule type="expression" dxfId="2384" priority="87">
      <formula>ABS(M$7-M$10)&gt;=1000</formula>
    </cfRule>
  </conditionalFormatting>
  <conditionalFormatting sqref="N4 N6:N11">
    <cfRule type="expression" dxfId="2383" priority="86">
      <formula>ABS(N$7-N$10)&gt;=1000</formula>
    </cfRule>
  </conditionalFormatting>
  <conditionalFormatting sqref="O4 O6:O11">
    <cfRule type="expression" dxfId="2382" priority="85">
      <formula>ABS(O$7-O$10)&gt;=1000</formula>
    </cfRule>
  </conditionalFormatting>
  <conditionalFormatting sqref="P4 P6:P11">
    <cfRule type="expression" dxfId="2381" priority="84">
      <formula>ABS(P$7-P$10)&gt;=1000</formula>
    </cfRule>
  </conditionalFormatting>
  <conditionalFormatting sqref="Q4:Q11">
    <cfRule type="expression" dxfId="2380" priority="83">
      <formula>ABS(Q$7-Q$10)&gt;=1000</formula>
    </cfRule>
  </conditionalFormatting>
  <conditionalFormatting sqref="R4:R11">
    <cfRule type="expression" dxfId="2379" priority="82">
      <formula>ABS(R$7-R$10)&gt;=1000</formula>
    </cfRule>
  </conditionalFormatting>
  <conditionalFormatting sqref="S4:S11">
    <cfRule type="expression" dxfId="2378" priority="81">
      <formula>ABS(S$7-S$10)&gt;=1000</formula>
    </cfRule>
  </conditionalFormatting>
  <conditionalFormatting sqref="T4:T9 T11">
    <cfRule type="expression" dxfId="2377" priority="80">
      <formula>ABS(T$7-T$10)&gt;=1000</formula>
    </cfRule>
  </conditionalFormatting>
  <conditionalFormatting sqref="U4:U9 U11">
    <cfRule type="expression" dxfId="2376" priority="79">
      <formula>ABS(U$7-U$10)&gt;=1000</formula>
    </cfRule>
  </conditionalFormatting>
  <conditionalFormatting sqref="V4:V9 V11">
    <cfRule type="expression" dxfId="2375" priority="78">
      <formula>ABS(V$7-V$10)&gt;=1000</formula>
    </cfRule>
  </conditionalFormatting>
  <conditionalFormatting sqref="W4:W9 W11">
    <cfRule type="expression" dxfId="2374" priority="77">
      <formula>ABS(W$7-W$10)&gt;=1000</formula>
    </cfRule>
  </conditionalFormatting>
  <conditionalFormatting sqref="X4:X9 X11">
    <cfRule type="expression" dxfId="2373" priority="76">
      <formula>ABS(X$7-X$10)&gt;=1000</formula>
    </cfRule>
  </conditionalFormatting>
  <conditionalFormatting sqref="Y4:Y9 Y11">
    <cfRule type="expression" dxfId="2372" priority="75">
      <formula>ABS(Y$7-Y$10)&gt;=1000</formula>
    </cfRule>
  </conditionalFormatting>
  <conditionalFormatting sqref="Z4:Z11">
    <cfRule type="expression" dxfId="2371" priority="74">
      <formula>ABS(Z$7-Z$10)&gt;=1000</formula>
    </cfRule>
  </conditionalFormatting>
  <conditionalFormatting sqref="AA4:AA11">
    <cfRule type="expression" dxfId="2370" priority="73">
      <formula>ABS(AA$7-AA$10)&gt;=1000</formula>
    </cfRule>
  </conditionalFormatting>
  <conditionalFormatting sqref="AB4:AB11">
    <cfRule type="expression" dxfId="2369" priority="72">
      <formula>ABS(AB$7-AB$10)&gt;=1000</formula>
    </cfRule>
  </conditionalFormatting>
  <conditionalFormatting sqref="AC4 AC6:AC11">
    <cfRule type="expression" dxfId="2368" priority="71">
      <formula>ABS(AC$7-AC$10)&gt;=1000</formula>
    </cfRule>
  </conditionalFormatting>
  <conditionalFormatting sqref="AD4:AD11">
    <cfRule type="expression" dxfId="2367" priority="70">
      <formula>ABS(AD$7-AD$10)&gt;=1000</formula>
    </cfRule>
  </conditionalFormatting>
  <conditionalFormatting sqref="AE4:AE11">
    <cfRule type="expression" dxfId="2366" priority="69">
      <formula>ABS(AE$7-AE$10)&gt;=1000</formula>
    </cfRule>
  </conditionalFormatting>
  <conditionalFormatting sqref="D13:D20">
    <cfRule type="expression" dxfId="2365" priority="68">
      <formula>ABS(D$16-D$19)&gt;=1000</formula>
    </cfRule>
  </conditionalFormatting>
  <conditionalFormatting sqref="E13:E20">
    <cfRule type="expression" dxfId="2364" priority="67">
      <formula>ABS(E$16-E$19)&gt;=1000</formula>
    </cfRule>
  </conditionalFormatting>
  <conditionalFormatting sqref="F13 F15:F20">
    <cfRule type="expression" dxfId="2363" priority="66">
      <formula>ABS(F$16-F$19)&gt;=1000</formula>
    </cfRule>
  </conditionalFormatting>
  <conditionalFormatting sqref="G13:G20">
    <cfRule type="expression" dxfId="2362" priority="65">
      <formula>ABS(G$16-G$19)&gt;=1000</formula>
    </cfRule>
  </conditionalFormatting>
  <conditionalFormatting sqref="H13:H20">
    <cfRule type="expression" dxfId="2361" priority="64">
      <formula>ABS(H$16-H$19)&gt;=1000</formula>
    </cfRule>
  </conditionalFormatting>
  <conditionalFormatting sqref="I13:I20">
    <cfRule type="expression" dxfId="2360" priority="63">
      <formula>ABS(I$16-I$19)&gt;=1000</formula>
    </cfRule>
  </conditionalFormatting>
  <conditionalFormatting sqref="J13:J20">
    <cfRule type="expression" dxfId="2359" priority="62">
      <formula>ABS(J$16-J$19)&gt;=1000</formula>
    </cfRule>
  </conditionalFormatting>
  <conditionalFormatting sqref="L13:L20">
    <cfRule type="expression" dxfId="2358" priority="61">
      <formula>ABS(L$16-L$19)&gt;=1000</formula>
    </cfRule>
  </conditionalFormatting>
  <conditionalFormatting sqref="M13 M15 M17:M18 M20">
    <cfRule type="expression" dxfId="2357" priority="60">
      <formula>ABS(M$16-M$19)&gt;=1000</formula>
    </cfRule>
  </conditionalFormatting>
  <conditionalFormatting sqref="N13:N20">
    <cfRule type="expression" dxfId="2356" priority="59">
      <formula>ABS(N$16-N$19)&gt;=1000</formula>
    </cfRule>
  </conditionalFormatting>
  <conditionalFormatting sqref="O13:O20">
    <cfRule type="expression" dxfId="2355" priority="58">
      <formula>ABS(O$16-O$19)&gt;=1000</formula>
    </cfRule>
  </conditionalFormatting>
  <conditionalFormatting sqref="P13:P20">
    <cfRule type="expression" dxfId="2354" priority="57">
      <formula>ABS(P$16-P$19)&gt;=1000</formula>
    </cfRule>
  </conditionalFormatting>
  <conditionalFormatting sqref="Q13 Q15:Q20">
    <cfRule type="expression" dxfId="2353" priority="56">
      <formula>ABS(Q$16-Q$19)&gt;=1000</formula>
    </cfRule>
  </conditionalFormatting>
  <conditionalFormatting sqref="R13:R20">
    <cfRule type="expression" dxfId="2352" priority="55">
      <formula>ABS(R$16-R$19)&gt;=1000</formula>
    </cfRule>
  </conditionalFormatting>
  <conditionalFormatting sqref="S13:S20">
    <cfRule type="expression" dxfId="2351" priority="54">
      <formula>ABS(S$16-S$19)&gt;=1000</formula>
    </cfRule>
  </conditionalFormatting>
  <conditionalFormatting sqref="T13:T20">
    <cfRule type="expression" dxfId="2350" priority="53">
      <formula>ABS(T$16-T$19)&gt;=1000</formula>
    </cfRule>
  </conditionalFormatting>
  <conditionalFormatting sqref="U13:U20">
    <cfRule type="expression" dxfId="2349" priority="52">
      <formula>ABS(U$16-U$19)&gt;=1000</formula>
    </cfRule>
  </conditionalFormatting>
  <conditionalFormatting sqref="V13:V20">
    <cfRule type="expression" dxfId="2348" priority="51">
      <formula>ABS(V$16-V$19)&gt;=1000</formula>
    </cfRule>
  </conditionalFormatting>
  <conditionalFormatting sqref="W13 W20 W15:W18">
    <cfRule type="expression" dxfId="2347" priority="50">
      <formula>ABS(W$16-W$19)&gt;=1000</formula>
    </cfRule>
  </conditionalFormatting>
  <conditionalFormatting sqref="X13 X15:X20 Y19">
    <cfRule type="expression" dxfId="2346" priority="49">
      <formula>ABS(X$16-X$19)&gt;=1000</formula>
    </cfRule>
  </conditionalFormatting>
  <conditionalFormatting sqref="Y13 Y15:Y18 Y20">
    <cfRule type="expression" dxfId="2345" priority="48">
      <formula>ABS(Y$16-Y$19)&gt;=1000</formula>
    </cfRule>
  </conditionalFormatting>
  <conditionalFormatting sqref="Z13:Z20">
    <cfRule type="expression" dxfId="2344" priority="47">
      <formula>ABS(Z$16-Z$19)&gt;=1000</formula>
    </cfRule>
  </conditionalFormatting>
  <conditionalFormatting sqref="AA13:AA20">
    <cfRule type="expression" dxfId="2343" priority="46">
      <formula>ABS(AA$16-AA$19)&gt;=1000</formula>
    </cfRule>
  </conditionalFormatting>
  <conditionalFormatting sqref="AB13 AB15:AB20">
    <cfRule type="expression" dxfId="2342" priority="45">
      <formula>ABS(AB$16-AB$19)&gt;=1000</formula>
    </cfRule>
  </conditionalFormatting>
  <conditionalFormatting sqref="AC13 AC15:AC20">
    <cfRule type="expression" dxfId="2341" priority="44">
      <formula>ABS(AC$16-AC$19)&gt;=1000</formula>
    </cfRule>
  </conditionalFormatting>
  <conditionalFormatting sqref="AD13:AD20">
    <cfRule type="expression" dxfId="2340" priority="43">
      <formula>ABS(AD$16-AD$19)&gt;=1000</formula>
    </cfRule>
  </conditionalFormatting>
  <conditionalFormatting sqref="AE13:AE20">
    <cfRule type="expression" dxfId="2339" priority="42">
      <formula>ABS(AE$16-AE$19)&gt;=1000</formula>
    </cfRule>
  </conditionalFormatting>
  <conditionalFormatting sqref="D22:D29">
    <cfRule type="expression" dxfId="2338" priority="41">
      <formula>ABS(D$25-D$28)&gt;=1000</formula>
    </cfRule>
  </conditionalFormatting>
  <conditionalFormatting sqref="E22:E29">
    <cfRule type="expression" dxfId="2337" priority="40">
      <formula>ABS(E$25-E$28)&gt;=1000</formula>
    </cfRule>
  </conditionalFormatting>
  <conditionalFormatting sqref="F22:F29">
    <cfRule type="expression" dxfId="2336" priority="39">
      <formula>ABS(F$25-F$28)&gt;=1000</formula>
    </cfRule>
  </conditionalFormatting>
  <conditionalFormatting sqref="G22:G29">
    <cfRule type="expression" dxfId="2335" priority="38">
      <formula>ABS(G$25-G$28)&gt;=1000</formula>
    </cfRule>
  </conditionalFormatting>
  <conditionalFormatting sqref="H22:H29">
    <cfRule type="expression" dxfId="2334" priority="37">
      <formula>ABS(H$25-H$28)&gt;=1000</formula>
    </cfRule>
  </conditionalFormatting>
  <conditionalFormatting sqref="I22 I24:I29">
    <cfRule type="expression" dxfId="2333" priority="36">
      <formula>ABS(I$25-I$28)&gt;=1000</formula>
    </cfRule>
  </conditionalFormatting>
  <conditionalFormatting sqref="J22:J29 K22">
    <cfRule type="expression" dxfId="2332" priority="35">
      <formula>ABS(J$25-J$28)&gt;=1000</formula>
    </cfRule>
  </conditionalFormatting>
  <conditionalFormatting sqref="K23:K29 L25 L28">
    <cfRule type="expression" dxfId="2331" priority="34">
      <formula>ABS(K$25-K$28)&gt;=1000</formula>
    </cfRule>
  </conditionalFormatting>
  <conditionalFormatting sqref="L22:L24 L26:L27 L29">
    <cfRule type="expression" dxfId="2330" priority="33">
      <formula>ABS(L$25-L$28)&gt;=1000</formula>
    </cfRule>
  </conditionalFormatting>
  <conditionalFormatting sqref="M22:M29">
    <cfRule type="expression" dxfId="2329" priority="32">
      <formula>ABS(M$25-M$28)&gt;=1000</formula>
    </cfRule>
  </conditionalFormatting>
  <conditionalFormatting sqref="N22:N29">
    <cfRule type="expression" dxfId="2328" priority="31">
      <formula>ABS(N$25-N$28)&gt;=1000</formula>
    </cfRule>
  </conditionalFormatting>
  <conditionalFormatting sqref="O22:O29">
    <cfRule type="expression" dxfId="2327" priority="30">
      <formula>ABS(O$25-O$28)&gt;=1000</formula>
    </cfRule>
  </conditionalFormatting>
  <conditionalFormatting sqref="P22:P29">
    <cfRule type="expression" dxfId="2326" priority="29">
      <formula>ABS(P$25-P$28)&gt;=1000</formula>
    </cfRule>
  </conditionalFormatting>
  <conditionalFormatting sqref="Q22:Q29">
    <cfRule type="expression" dxfId="2325" priority="28">
      <formula>ABS(Q$25-Q$28)&gt;=1000</formula>
    </cfRule>
  </conditionalFormatting>
  <conditionalFormatting sqref="R22:R29">
    <cfRule type="expression" dxfId="2324" priority="27">
      <formula>ABS(R$25-R$28)&gt;=1000</formula>
    </cfRule>
  </conditionalFormatting>
  <conditionalFormatting sqref="S22:S29">
    <cfRule type="expression" dxfId="2323" priority="26">
      <formula>ABS(S$25-S$28)&gt;=1000</formula>
    </cfRule>
  </conditionalFormatting>
  <conditionalFormatting sqref="T22:T29">
    <cfRule type="expression" dxfId="2322" priority="25">
      <formula>ABS(T$25-T$28)&gt;=1000</formula>
    </cfRule>
  </conditionalFormatting>
  <conditionalFormatting sqref="U22:U29">
    <cfRule type="expression" dxfId="2321" priority="24">
      <formula>ABS(U$25-U$28)&gt;=1000</formula>
    </cfRule>
  </conditionalFormatting>
  <conditionalFormatting sqref="V22:V29">
    <cfRule type="expression" dxfId="2320" priority="23">
      <formula>ABS(V$25-V$28)&gt;=1000</formula>
    </cfRule>
  </conditionalFormatting>
  <conditionalFormatting sqref="W22:W29">
    <cfRule type="expression" dxfId="2319" priority="22">
      <formula>ABS(W$25-W$28)&gt;=1000</formula>
    </cfRule>
  </conditionalFormatting>
  <conditionalFormatting sqref="X22:X29">
    <cfRule type="expression" dxfId="2318" priority="21">
      <formula>ABS(X$25-X$28)&gt;=1000</formula>
    </cfRule>
  </conditionalFormatting>
  <conditionalFormatting sqref="Y22:Y29">
    <cfRule type="expression" dxfId="2317" priority="20">
      <formula>ABS(Y$25-Y$28)&gt;=1000</formula>
    </cfRule>
  </conditionalFormatting>
  <conditionalFormatting sqref="I23">
    <cfRule type="expression" dxfId="2316" priority="19">
      <formula>ABS(I$25-I$28)&gt;=1000</formula>
    </cfRule>
  </conditionalFormatting>
  <conditionalFormatting sqref="F14">
    <cfRule type="expression" dxfId="2315" priority="18">
      <formula>ABS(F$16-F$19)&gt;=1000</formula>
    </cfRule>
  </conditionalFormatting>
  <conditionalFormatting sqref="Q14">
    <cfRule type="expression" dxfId="2314" priority="17">
      <formula>ABS(Q$16-Q$19)&gt;=1000</formula>
    </cfRule>
  </conditionalFormatting>
  <conditionalFormatting sqref="W14">
    <cfRule type="expression" dxfId="2313" priority="16">
      <formula>ABS(W$16-W$19)&gt;=1000</formula>
    </cfRule>
  </conditionalFormatting>
  <conditionalFormatting sqref="Y14">
    <cfRule type="expression" dxfId="2312" priority="15">
      <formula>ABS(Y$16-Y$19)&gt;=1000</formula>
    </cfRule>
  </conditionalFormatting>
  <conditionalFormatting sqref="X14">
    <cfRule type="expression" dxfId="2311" priority="14">
      <formula>ABS(X$16-X$19)&gt;=1000</formula>
    </cfRule>
  </conditionalFormatting>
  <conditionalFormatting sqref="T10:Y10">
    <cfRule type="expression" dxfId="2310" priority="13">
      <formula>ABS(T$7-T$10)&gt;=1000</formula>
    </cfRule>
  </conditionalFormatting>
  <conditionalFormatting sqref="W19">
    <cfRule type="expression" dxfId="2309" priority="12">
      <formula>ABS(W$16-W$19)&gt;=1000</formula>
    </cfRule>
  </conditionalFormatting>
  <conditionalFormatting sqref="AC5">
    <cfRule type="expression" dxfId="2308" priority="11">
      <formula>ABS(AC$7-AC$10)&gt;=1000</formula>
    </cfRule>
  </conditionalFormatting>
  <conditionalFormatting sqref="M14">
    <cfRule type="expression" dxfId="2307" priority="10">
      <formula>ABS(M$16-M$19)&gt;=1000</formula>
    </cfRule>
  </conditionalFormatting>
  <conditionalFormatting sqref="M16">
    <cfRule type="expression" dxfId="2306" priority="9">
      <formula>ABS(M$16-M$19)&gt;=1000</formula>
    </cfRule>
  </conditionalFormatting>
  <conditionalFormatting sqref="M19">
    <cfRule type="expression" dxfId="2305" priority="8">
      <formula>ABS(M$16-M$19)&gt;=1000</formula>
    </cfRule>
  </conditionalFormatting>
  <conditionalFormatting sqref="K13:K20">
    <cfRule type="expression" dxfId="2304" priority="7">
      <formula>ABS(K$16-K$19)&gt;=1000</formula>
    </cfRule>
  </conditionalFormatting>
  <conditionalFormatting sqref="E5">
    <cfRule type="expression" dxfId="2303" priority="6">
      <formula>ABS(E$7-E$10)&gt;=1000</formula>
    </cfRule>
  </conditionalFormatting>
  <conditionalFormatting sqref="AB14:AC14">
    <cfRule type="expression" dxfId="2302" priority="5">
      <formula>ABS(AB$16-AB$19)&gt;=1000</formula>
    </cfRule>
  </conditionalFormatting>
  <conditionalFormatting sqref="M5">
    <cfRule type="expression" dxfId="2301" priority="4">
      <formula>ABS(M$7-M$10)&gt;=1000</formula>
    </cfRule>
  </conditionalFormatting>
  <conditionalFormatting sqref="N5">
    <cfRule type="expression" dxfId="2300" priority="3">
      <formula>ABS(N$7-N$10)&gt;=1000</formula>
    </cfRule>
  </conditionalFormatting>
  <conditionalFormatting sqref="O5">
    <cfRule type="expression" dxfId="2299" priority="2">
      <formula>ABS(O$7-O$10)&gt;=1000</formula>
    </cfRule>
  </conditionalFormatting>
  <conditionalFormatting sqref="P5">
    <cfRule type="expression" dxfId="229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0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8">
    <pageSetUpPr fitToPage="1"/>
  </sheetPr>
  <dimension ref="A1:CU223"/>
  <sheetViews>
    <sheetView view="pageBreakPreview" zoomScale="70" zoomScaleNormal="100" zoomScaleSheetLayoutView="70" workbookViewId="0">
      <selection activeCell="D4" sqref="D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45722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0" t="s" ph="1">
        <v>179</v>
      </c>
      <c r="D6" s="71">
        <v>2143</v>
      </c>
      <c r="E6" s="71">
        <v>0</v>
      </c>
      <c r="F6" s="71">
        <v>6817</v>
      </c>
      <c r="G6" s="71">
        <v>5960</v>
      </c>
      <c r="H6" s="71">
        <v>7674</v>
      </c>
      <c r="I6" s="71">
        <v>27.13</v>
      </c>
      <c r="J6" s="71">
        <v>7.82</v>
      </c>
      <c r="K6" s="71">
        <v>7.56</v>
      </c>
      <c r="L6" s="71">
        <v>7.75</v>
      </c>
      <c r="M6" s="71">
        <v>3955</v>
      </c>
      <c r="N6" s="71">
        <v>4068</v>
      </c>
      <c r="O6" s="71">
        <v>1599</v>
      </c>
      <c r="P6" s="71">
        <v>6049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5888</v>
      </c>
      <c r="X6" s="71">
        <v>0</v>
      </c>
      <c r="Y6" s="71">
        <v>0</v>
      </c>
      <c r="Z6" s="71">
        <v>824</v>
      </c>
      <c r="AA6" s="71">
        <v>1631</v>
      </c>
      <c r="AB6" s="71">
        <v>2095</v>
      </c>
      <c r="AC6" s="71">
        <v>4905</v>
      </c>
      <c r="AD6" s="71">
        <v>1706</v>
      </c>
      <c r="AE6" s="71">
        <v>3680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67643.077287869994</v>
      </c>
      <c r="E7" s="73" ph="1">
        <f>E6*51.53*LOOKUP(E8,密度!$A$2:$A$50,密度!$I$2:$I$50)</f>
        <v>0</v>
      </c>
      <c r="F7" s="73" ph="1">
        <f>F6*33.183*LOOKUP(F8,密度!$A$2:$A$50,密度!$C$2:$C$50)</f>
        <v>252403.45657379998</v>
      </c>
      <c r="G7" s="73" ph="1">
        <f xml:space="preserve"> (G6+2)*51.53*LOOKUP(G8,密度!$A$2:$A$50,密度!$B$2:$B$50)</f>
        <v>241599.270704</v>
      </c>
      <c r="H7" s="73" ph="1">
        <f>(H6)*51.53*LOOKUP(H8,密度!$A$2:$A$50,密度!$B$2:$B$50)</f>
        <v>310974.975408</v>
      </c>
      <c r="I7" s="73" ph="1">
        <f>I6*290.8*1.0267</f>
        <v>8100.0510868000001</v>
      </c>
      <c r="J7" s="73" ph="1">
        <f>J6*290.8*0.7892</f>
        <v>1794.6849952</v>
      </c>
      <c r="K7" s="73" ph="1">
        <f>K6*290.8*1.1126</f>
        <v>2445.9932448</v>
      </c>
      <c r="L7" s="73" ph="1">
        <f>L6*290.8*0.777</f>
        <v>1751.1249000000003</v>
      </c>
      <c r="M7" s="73" ph="1">
        <f>M6*33.183*LOOKUP(M8,密度!$A$2:$A$50,密度!$D$2:$D$50)</f>
        <v>135805.87402199997</v>
      </c>
      <c r="N7" s="73" ph="1">
        <f>N6*33.183*LOOKUP(N8,密度!$A$2:$A$50,密度!$E$2:$E$50)</f>
        <v>106681.36729319999</v>
      </c>
      <c r="O7" s="73" ph="1">
        <f>O6*20.428*LOOKUP(O8,密度!$A$2:$A$50,密度!$C$2:$C$50)</f>
        <v>36293.383729200003</v>
      </c>
      <c r="P7" s="73" ph="1">
        <f>P6*51.53*LOOKUP(P8,密度!$A$2:$A$50,密度!$B$2:$B$50)</f>
        <v>245904.05083300004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39330.821376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26002.995191999998</v>
      </c>
      <c r="AA7" s="73" ph="1">
        <f>AA6*33.183*LOOKUP(AA8,密度!$A$2:$A$50,密度!$D$2:$D$50)</f>
        <v>56048.197438800002</v>
      </c>
      <c r="AB7" s="73" ph="1">
        <f>AB6*20.428*LOOKUP(AB8,密度!$A$2:$A$50,密度!$D$2:$D$50)</f>
        <v>44508.526400000002</v>
      </c>
      <c r="AC7" s="73" ph="1">
        <f>AC6*51.53*LOOKUP(AC8,密度!$A$2:$A$50,密度!$Q$2:$Q$50)</f>
        <v>241264.42361100001</v>
      </c>
      <c r="AD7" s="73" ph="1">
        <f>AD6*20.428*LOOKUP(AD8,密度!$A$2:$A$50,密度!$V$2:$V$50)</f>
        <v>33595.561951999996</v>
      </c>
      <c r="AE7" s="73" ph="1">
        <f>AE6*20.428</f>
        <v>75175.040000000008</v>
      </c>
    </row>
    <row r="8" spans="1:99" ph="1">
      <c r="B8" s="252" ph="1"/>
      <c r="C8" s="68" t="s" ph="1">
        <v>181</v>
      </c>
      <c r="D8" s="74">
        <v>19</v>
      </c>
      <c r="E8" s="74">
        <v>13</v>
      </c>
      <c r="F8" s="74">
        <v>15</v>
      </c>
      <c r="G8" s="74">
        <v>17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19</v>
      </c>
      <c r="O8" s="74">
        <v>22</v>
      </c>
      <c r="P8" s="74">
        <v>14</v>
      </c>
      <c r="Q8" s="74">
        <v>14</v>
      </c>
      <c r="R8" s="74">
        <v>20</v>
      </c>
      <c r="S8" s="74">
        <v>10</v>
      </c>
      <c r="T8" s="74">
        <v>10</v>
      </c>
      <c r="U8" s="74">
        <v>15</v>
      </c>
      <c r="V8" s="74">
        <v>20</v>
      </c>
      <c r="W8" s="74">
        <v>17</v>
      </c>
      <c r="X8" s="74">
        <v>8</v>
      </c>
      <c r="Y8" s="74">
        <v>15</v>
      </c>
      <c r="Z8" s="74">
        <v>11</v>
      </c>
      <c r="AA8" s="74">
        <v>15</v>
      </c>
      <c r="AB8" s="74">
        <v>10</v>
      </c>
      <c r="AC8" s="74">
        <v>13</v>
      </c>
      <c r="AD8" s="74">
        <v>20</v>
      </c>
      <c r="AE8" s="74">
        <v>28</v>
      </c>
    </row>
    <row r="9" spans="1:99" ph="1">
      <c r="B9" s="252" ph="1">
        <v>0.66666666666666663</v>
      </c>
      <c r="C9" s="150" t="s" ph="1">
        <v>182</v>
      </c>
      <c r="D9" s="71">
        <v>2140</v>
      </c>
      <c r="E9" s="71">
        <v>0</v>
      </c>
      <c r="F9" s="71">
        <v>6815</v>
      </c>
      <c r="G9" s="71">
        <v>6401</v>
      </c>
      <c r="H9" s="71">
        <v>8539</v>
      </c>
      <c r="I9" s="71">
        <v>27.08</v>
      </c>
      <c r="J9" s="71">
        <v>7.79</v>
      </c>
      <c r="K9" s="71">
        <v>7.58</v>
      </c>
      <c r="L9" s="71">
        <v>7.72</v>
      </c>
      <c r="M9" s="71">
        <v>3952</v>
      </c>
      <c r="N9" s="71">
        <v>4062</v>
      </c>
      <c r="O9" s="71">
        <v>1598</v>
      </c>
      <c r="P9" s="71">
        <v>5535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7007</v>
      </c>
      <c r="X9" s="71">
        <v>3355</v>
      </c>
      <c r="Y9" s="71">
        <v>0</v>
      </c>
      <c r="Z9" s="71">
        <v>847</v>
      </c>
      <c r="AA9" s="71">
        <v>1630</v>
      </c>
      <c r="AB9" s="71">
        <v>2093</v>
      </c>
      <c r="AC9" s="71">
        <v>4901</v>
      </c>
      <c r="AD9" s="71">
        <v>1705</v>
      </c>
      <c r="AE9" s="71">
        <v>3740</v>
      </c>
    </row>
    <row r="10" spans="1:99" s="72" customFormat="1" ht="22.5" ph="1">
      <c r="B10" s="252" ph="1"/>
      <c r="C10" s="150" t="s" ph="1">
        <v>180</v>
      </c>
      <c r="D10" s="73" ph="1">
        <f>D9*33.183*LOOKUP(D11,密度!$A$2:$A$50,密度!$Q$2:$Q$50)</f>
        <v>67603.772356200003</v>
      </c>
      <c r="E10" s="73" ph="1">
        <f>E9*51.53*LOOKUP(E11,密度!$A$2:$A$50,密度!$I$2:$I$50)</f>
        <v>0</v>
      </c>
      <c r="F10" s="73" ph="1">
        <f>F9*33.183*LOOKUP(F11,密度!$A$2:$A$50,密度!$C$2:$C$50)</f>
        <v>252193.72010399998</v>
      </c>
      <c r="G10" s="73" ph="1">
        <f xml:space="preserve"> (G9+2)*51.53*LOOKUP(G11,密度!$A$2:$A$50,密度!$B$2:$B$50)</f>
        <v>259469.998376</v>
      </c>
      <c r="H10" s="73" ph="1">
        <f>(H9)*51.53*LOOKUP(H11,密度!$A$2:$A$50,密度!$B$2:$B$50)</f>
        <v>346027.53648799995</v>
      </c>
      <c r="I10" s="73" ph="1">
        <f>I9*290.8*1.0267</f>
        <v>8085.1228687999992</v>
      </c>
      <c r="J10" s="73" ph="1">
        <f>J9*290.8*0.7892</f>
        <v>1787.8000144</v>
      </c>
      <c r="K10" s="73" ph="1">
        <f>K9*290.8*1.1126</f>
        <v>2452.4641264000002</v>
      </c>
      <c r="L10" s="73" ph="1">
        <f>L9*290.8*0.777</f>
        <v>1744.3463520000003</v>
      </c>
      <c r="M10" s="73" ph="1">
        <f>M9*33.183*LOOKUP(M11,密度!$A$2:$A$50,密度!$D$2:$D$50)</f>
        <v>135702.86071679997</v>
      </c>
      <c r="N10" s="73" ph="1">
        <f>N9*33.183*LOOKUP(N11,密度!$A$2:$A$50,密度!$E$2:$E$50)</f>
        <v>106672.28842439999</v>
      </c>
      <c r="O10" s="73" ph="1">
        <f>O9*20.428*LOOKUP(O11,密度!$A$2:$A$50,密度!$C$2:$C$50)</f>
        <v>36270.686178399999</v>
      </c>
      <c r="P10" s="73" ph="1">
        <f>P9*51.53*LOOKUP(P11,密度!$A$2:$A$50,密度!$B$2:$B$50)</f>
        <v>224752.21739999999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46805.547788999997</v>
      </c>
      <c r="X10" s="73" ph="1">
        <f>X9*1.5*1.5*3.1416*LOOKUP(X11,密度!$A$2:$A$50,密度!$L$2:$L$50)</f>
        <v>22600.540808999998</v>
      </c>
      <c r="Y10" s="73" ph="1">
        <f>Y9*1.5*1.5*3.1416*LOOKUP(Y11,密度!$A$2:$A$50,密度!$L$2:$L$50)</f>
        <v>0</v>
      </c>
      <c r="Z10" s="73" ph="1">
        <f>Z9*33.183*LOOKUP(Z11,密度!$A$2:$A$50,密度!$L$2:$L$50)</f>
        <v>26700.700949999999</v>
      </c>
      <c r="AA10" s="73" ph="1">
        <f>AA9*33.183*LOOKUP(AA11,密度!$A$2:$A$50,密度!$D$2:$D$50)</f>
        <v>55970.562491999997</v>
      </c>
      <c r="AB10" s="73" ph="1">
        <f>AB9*20.428*LOOKUP(AB11,密度!$A$2:$A$50,密度!$D$2:$D$50)</f>
        <v>44542.99660720001</v>
      </c>
      <c r="AC10" s="73" ph="1">
        <f>AC9*51.53*LOOKUP(AC11,密度!$A$2:$A$50,密度!$Q$2:$Q$50)</f>
        <v>241067.67382620001</v>
      </c>
      <c r="AD10" s="73" ph="1">
        <f>AD9*20.428*LOOKUP(AD11,密度!$A$2:$A$50,密度!$V$2:$V$50)</f>
        <v>33575.869359999997</v>
      </c>
      <c r="AE10" s="73" ph="1">
        <f>AE9*20.428</f>
        <v>76400.72</v>
      </c>
    </row>
    <row r="11" spans="1:99" ph="1">
      <c r="A11" s="64" t="s" ph="1">
        <v>164</v>
      </c>
      <c r="B11" s="252" ph="1"/>
      <c r="C11" s="150" t="s" ph="1">
        <v>181</v>
      </c>
      <c r="D11" s="74">
        <v>18</v>
      </c>
      <c r="E11" s="74">
        <v>15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18</v>
      </c>
      <c r="O11" s="74">
        <v>22</v>
      </c>
      <c r="P11" s="74">
        <v>15</v>
      </c>
      <c r="Q11" s="74">
        <v>14</v>
      </c>
      <c r="R11" s="74">
        <v>20</v>
      </c>
      <c r="S11" s="74">
        <v>10</v>
      </c>
      <c r="T11" s="74">
        <v>13</v>
      </c>
      <c r="U11" s="74">
        <v>15</v>
      </c>
      <c r="V11" s="74">
        <v>21</v>
      </c>
      <c r="W11" s="74">
        <v>17</v>
      </c>
      <c r="X11" s="74">
        <v>9</v>
      </c>
      <c r="Y11" s="74">
        <v>19</v>
      </c>
      <c r="Z11" s="74">
        <v>12</v>
      </c>
      <c r="AA11" s="74">
        <v>16</v>
      </c>
      <c r="AB11" s="74">
        <v>8</v>
      </c>
      <c r="AC11" s="74">
        <v>15</v>
      </c>
      <c r="AD11" s="74">
        <v>19</v>
      </c>
      <c r="AE11" s="74">
        <v>29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0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0" t="s" ph="1">
        <v>179</v>
      </c>
      <c r="D15" s="78">
        <v>3302</v>
      </c>
      <c r="E15" s="78">
        <v>5463</v>
      </c>
      <c r="F15" s="78">
        <v>1090</v>
      </c>
      <c r="G15" s="78">
        <v>3791</v>
      </c>
      <c r="H15" s="78">
        <v>111</v>
      </c>
      <c r="I15" s="78">
        <v>1692</v>
      </c>
      <c r="J15" s="78">
        <v>544</v>
      </c>
      <c r="K15" s="78">
        <v>743</v>
      </c>
      <c r="L15" s="78">
        <v>5624</v>
      </c>
      <c r="M15" s="78">
        <v>3583</v>
      </c>
      <c r="N15" s="78">
        <v>2038</v>
      </c>
      <c r="O15" s="78">
        <v>5736</v>
      </c>
      <c r="P15" s="78">
        <v>2221</v>
      </c>
      <c r="Q15" s="78">
        <v>5187</v>
      </c>
      <c r="R15" s="78">
        <v>3495</v>
      </c>
      <c r="S15" s="78">
        <v>5626</v>
      </c>
      <c r="T15" s="78">
        <v>3178</v>
      </c>
      <c r="U15" s="78">
        <v>5330</v>
      </c>
      <c r="V15" s="78">
        <v>-1641</v>
      </c>
      <c r="W15" s="71">
        <v>-596</v>
      </c>
      <c r="X15" s="78">
        <v>325</v>
      </c>
      <c r="Y15" s="106">
        <v>-9906</v>
      </c>
      <c r="Z15" s="78">
        <v>0</v>
      </c>
      <c r="AA15" s="78">
        <v>2506</v>
      </c>
      <c r="AB15" s="78" ph="1">
        <v>6867</v>
      </c>
      <c r="AC15" s="78" ph="1">
        <v>6514</v>
      </c>
      <c r="AD15" s="78">
        <v>84.14</v>
      </c>
      <c r="AE15" s="78">
        <v>83.99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0" t="s" ph="1">
        <v>180</v>
      </c>
      <c r="D16" s="73" ph="1">
        <f>D15*7.0686*LOOKUP(D17,密度!$A$2:$A$50,密度!$L$2:$L$50)</f>
        <v>22033.448236799999</v>
      </c>
      <c r="E16" s="73" ph="1">
        <f>E15*7.0686*LOOKUP(E17,密度!$A$2:$A$50,密度!$L$2:$L$50)</f>
        <v>36453.2791392</v>
      </c>
      <c r="F16" s="73" ph="1">
        <f>F15*9.0746*LOOKUP(F17,密度!$A$2:$A$50,密度!$L$2:$L$50)</f>
        <v>9317.6177879999996</v>
      </c>
      <c r="G16" s="73" ph="1">
        <f>G15*9.0746*LOOKUP(G17,密度!$A$2:$A$50,密度!$B$2:$B$50)</f>
        <v>27001.979570140003</v>
      </c>
      <c r="H16" s="73" ph="1">
        <f>H15*9.0746*LOOKUP(H17,密度!$A$2:$A$50,密度!$L$2:$L$50)</f>
        <v>949.86560580000003</v>
      </c>
      <c r="I16" s="73" ph="1">
        <f>I15*9.0746*LOOKUP(I17,密度!$A$2:$A$50,密度!$U$2:$U$50)</f>
        <v>15784.141449600002</v>
      </c>
      <c r="J16" s="73" ph="1">
        <f>J15*9.0746*LOOKUP(J17,密度!$A$2:$A$50,密度!$L$2:$L$50)</f>
        <v>4670.0069504000003</v>
      </c>
      <c r="K16" s="73" ph="1">
        <f>K15*9.0746*LOOKUP(K17,密度!$A$2:$A$50,密度!$C$2:$C$50)</f>
        <v>7519.1554825600006</v>
      </c>
      <c r="L16" s="73" ph="1">
        <f>L15*9.0746*LOOKUP(L17,密度!$A$2:$A$50,密度!$E$2:$E$50)</f>
        <v>40389.534586560003</v>
      </c>
      <c r="M16" s="73" ph="1">
        <f>M15*9.0746*LOOKUP(M17,密度!$A$2:$A$50,密度!$M$2:$M$50)</f>
        <v>28622.331071539997</v>
      </c>
      <c r="N16" s="73" ph="1">
        <f>N15*9.0746*LOOKUP(N17,密度!$A$2:$A$50,密度!$M$2:$M$50)</f>
        <v>16280.29883444</v>
      </c>
      <c r="O16" s="73" ph="1">
        <f>O15*9.0746*LOOKUP(O17,密度!$A$2:$A$50,密度!$G$2:$G$50)</f>
        <v>50334.192715199999</v>
      </c>
      <c r="P16" s="73" ph="1">
        <f ca="1">P15*9.0746*LOOKUP(P17,密度!$A$2:$A$51,密度!$Q$2:$Q$50)</f>
        <v>19171.742534518002</v>
      </c>
      <c r="Q16" s="73" ph="1">
        <f>Q15*9.0746*LOOKUP(Q17,密度!$A$2:$A$50,密度!$Q$2:$Q$50)</f>
        <v>44811.063289901998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48603.632556196004</v>
      </c>
      <c r="T16" s="73" ph="1">
        <f>T15*9.0746*LOOKUP(T17,密度!$A$2:$A$50,密度!$O$2:$O$50)</f>
        <v>26935.699599200001</v>
      </c>
      <c r="U16" s="73" ph="1">
        <f>U15*9.0746*LOOKUP(U17,密度!$A$2:$A$50,密度!$H$2:$H$50)</f>
        <v>44580.4335106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196.72357508800087</v>
      </c>
      <c r="X16" s="73" ph="1">
        <f>MAX(5600*LOOKUP(X17,密度!$A$2:$A$50,密度!$I$2:$I$50)+X15*9.0476*LOOKUP(X17,密度!$A$2:$A$50,密度!$I$2:$I$50),0)</f>
        <v>8901.7318809999997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17901.67395072</v>
      </c>
      <c r="AB16" s="73" ph="1">
        <f>AB15*9.0746*LOOKUP(AB17,密度!$A$2:$A$50,密度!$L$2:$L$50)</f>
        <v>58825.622620800001</v>
      </c>
      <c r="AC16" s="73" ph="1">
        <f>AC15*9.0746*LOOKUP(AC17,密度!$A$2:$A$50,密度!$L$2:$L$50)</f>
        <v>55919.899402399999</v>
      </c>
      <c r="AD16" s="73" ph="1">
        <f>AD15*268.68*LOOKUP(AD17,密度!$A$2:$A$50,密度!B2:B50)+IF(AD15&lt;=0,0,1566*LOOKUP(AD17,密度!$A$2:$A$50,密度!B2:B50))</f>
        <v>18845.064361919998</v>
      </c>
      <c r="AE16" s="73" ph="1">
        <f>AE15*268.68*LOOKUP(AE17,密度!$A$2:$A$50,密度!B2:B50)+IF(AE15&lt;=0,0,1566*LOOKUP(AE17,密度!$A$2:$A$50,密度!B2:B50))</f>
        <v>18813.644922719996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18</v>
      </c>
      <c r="E17" s="74">
        <v>18</v>
      </c>
      <c r="F17" s="74">
        <v>20</v>
      </c>
      <c r="G17" s="74">
        <v>19</v>
      </c>
      <c r="H17" s="74">
        <v>19</v>
      </c>
      <c r="I17" s="74">
        <v>14</v>
      </c>
      <c r="J17" s="74">
        <v>16</v>
      </c>
      <c r="K17" s="74">
        <v>16</v>
      </c>
      <c r="L17" s="74">
        <v>18</v>
      </c>
      <c r="M17" s="74">
        <v>18</v>
      </c>
      <c r="N17" s="74">
        <v>18</v>
      </c>
      <c r="O17" s="74">
        <v>19</v>
      </c>
      <c r="P17" s="74">
        <v>19</v>
      </c>
      <c r="Q17" s="74">
        <v>18</v>
      </c>
      <c r="R17" s="74">
        <v>19</v>
      </c>
      <c r="S17" s="74">
        <v>18</v>
      </c>
      <c r="T17" s="74">
        <v>19</v>
      </c>
      <c r="U17" s="74">
        <v>18</v>
      </c>
      <c r="V17" s="74">
        <v>24</v>
      </c>
      <c r="W17" s="74">
        <v>24</v>
      </c>
      <c r="X17" s="74">
        <v>25</v>
      </c>
      <c r="Y17" s="108">
        <v>25</v>
      </c>
      <c r="Z17" s="74">
        <v>17</v>
      </c>
      <c r="AA17" s="74">
        <v>16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3296</v>
      </c>
      <c r="E18" s="71">
        <v>5456</v>
      </c>
      <c r="F18" s="71">
        <v>1089</v>
      </c>
      <c r="G18" s="71">
        <v>3787</v>
      </c>
      <c r="H18" s="71">
        <v>111</v>
      </c>
      <c r="I18" s="71">
        <v>1690</v>
      </c>
      <c r="J18" s="71">
        <v>543</v>
      </c>
      <c r="K18" s="71">
        <v>742</v>
      </c>
      <c r="L18" s="71">
        <v>5617</v>
      </c>
      <c r="M18" s="71">
        <v>618</v>
      </c>
      <c r="N18" s="71">
        <v>3591</v>
      </c>
      <c r="O18" s="71">
        <v>5729</v>
      </c>
      <c r="P18" s="71">
        <v>2218</v>
      </c>
      <c r="Q18" s="71">
        <v>5181</v>
      </c>
      <c r="R18" s="71">
        <v>3492</v>
      </c>
      <c r="S18" s="71">
        <v>5619</v>
      </c>
      <c r="T18" s="71">
        <v>2403</v>
      </c>
      <c r="U18" s="71">
        <v>5324</v>
      </c>
      <c r="V18" s="71">
        <v>-1641</v>
      </c>
      <c r="W18" s="71">
        <v>-596</v>
      </c>
      <c r="X18" s="71">
        <v>325</v>
      </c>
      <c r="Y18" s="109">
        <v>-9906</v>
      </c>
      <c r="Z18" s="71">
        <v>0</v>
      </c>
      <c r="AA18" s="71">
        <v>2499</v>
      </c>
      <c r="AB18" s="71">
        <v>6859</v>
      </c>
      <c r="AC18" s="71">
        <v>6507</v>
      </c>
      <c r="AD18" s="71">
        <v>84.03</v>
      </c>
      <c r="AE18" s="71">
        <v>83.87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0" t="s" ph="1">
        <v>180</v>
      </c>
      <c r="D19" s="73" ph="1">
        <f>D18*7.0686*LOOKUP(D20,密度!$A$2:$A$50,密度!$L$2:$L$50)</f>
        <v>21993.411686399999</v>
      </c>
      <c r="E19" s="73" ph="1">
        <f>E18*7.0686*LOOKUP(E20,密度!$A$2:$A$50,密度!$L$2:$L$50)</f>
        <v>36406.569830400003</v>
      </c>
      <c r="F19" s="73" ph="1">
        <f>F18*9.0746*LOOKUP(F20,密度!$A$2:$A$50,密度!$L$2:$L$50)</f>
        <v>9328.8339935999993</v>
      </c>
      <c r="G19" s="73" ph="1">
        <f>G18*9.0746*LOOKUP(G20,密度!$A$2:$A$50,密度!$B$2:$B$50)</f>
        <v>27025.037221280003</v>
      </c>
      <c r="H19" s="73" ph="1">
        <f>H18*9.0746*LOOKUP(H20,密度!$A$2:$A$50,密度!$L$2:$L$50)</f>
        <v>954.90200879999998</v>
      </c>
      <c r="I19" s="73" ph="1">
        <f>I18*9.0746*LOOKUP(I20,密度!$A$2:$A$50,密度!$U$2:$U$50)</f>
        <v>15765.484072000001</v>
      </c>
      <c r="J19" s="73" ph="1">
        <f>J18*9.0746*LOOKUP(J20,密度!$A$2:$A$50,密度!$L$2:$L$50)</f>
        <v>4661.4223787999999</v>
      </c>
      <c r="K19" s="73" ph="1">
        <f>K18*9.0746*LOOKUP(K20,密度!$A$2:$A$50,密度!$C$2:$C$50)</f>
        <v>7500.2821294799996</v>
      </c>
      <c r="L19" s="73" ph="1">
        <f>L18*9.0746*LOOKUP(L20,密度!$A$2:$A$50,密度!$E$2:$E$50)</f>
        <v>40339.263117479997</v>
      </c>
      <c r="M19" s="73" ph="1">
        <f>M18*9.0746*LOOKUP(M20,密度!$A$2:$A$50,密度!$M$2:$M$50)</f>
        <v>4936.8128948399999</v>
      </c>
      <c r="N19" s="73" ph="1">
        <f>N18*9.0746*LOOKUP(N20,密度!$A$2:$A$50,密度!$M$2:$M$50)</f>
        <v>28686.238034580001</v>
      </c>
      <c r="O19" s="73" ph="1">
        <f>O18*9.0746*LOOKUP(O20,密度!$A$2:$A$50,密度!$G$2:$G$50)</f>
        <v>50324.7551312</v>
      </c>
      <c r="P19" s="73" ph="1">
        <f ca="1">P18*9.0746*LOOKUP(P20,密度!$A$2:$A$51,密度!$Q$2:$Q$50)</f>
        <v>19177.446555840001</v>
      </c>
      <c r="Q19" s="73" ph="1">
        <f>Q18*9.0746*LOOKUP(Q20,密度!$A$2:$A$50,密度!$Q$2:$Q$50)</f>
        <v>44759.228630226004</v>
      </c>
      <c r="R19" s="73" ph="1">
        <f>MAX(R18*9.0746*LOOKUP(R20,密度!$A$2:$A$50,密度!$B$2:$B$50),0)</f>
        <v>24919.838916479999</v>
      </c>
      <c r="S19" s="73" ph="1">
        <f>S18*9.0746*LOOKUP(S20,密度!$A$2:$A$50,密度!$Q$2:$Q$50)</f>
        <v>48543.158786574</v>
      </c>
      <c r="T19" s="73" ph="1">
        <f>T18*9.0746*LOOKUP(T20,密度!$A$2:$A$50,密度!$O$2:$O$50)</f>
        <v>20367.050389200002</v>
      </c>
      <c r="U19" s="73" ph="1">
        <f>U18*9.0746*LOOKUP(U20,密度!$A$2:$A$50,密度!$H$2:$H$50)</f>
        <v>44530.249157680002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8923.9371030000002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17869.811215199999</v>
      </c>
      <c r="AB19" s="73" ph="1">
        <f>AB18*9.0746*LOOKUP(AB20,密度!$A$2:$A$50,密度!$L$2:$L$50)</f>
        <v>58757.091241599999</v>
      </c>
      <c r="AC19" s="73" ph="1">
        <f>AC18*9.0746*LOOKUP(AC20,密度!$A$2:$A$50,密度!$L$2:$L$50)</f>
        <v>55918.855823400001</v>
      </c>
      <c r="AD19" s="73" ph="1">
        <f>AD18*268.68*LOOKUP(AD20,密度!$A$2:$A$50,密度!B5:B53)+IF(AD18&lt;=0,0,1566*LOOKUP(AD20,密度!$A$2:$A$50,密度!B5:B53))</f>
        <v>18759.251170800002</v>
      </c>
      <c r="AE19" s="73" ph="1">
        <f>AE18*268.68*LOOKUP(AE20,密度!$A$2:$A$50,密度!B5:B53)+IF(AE18&lt;=0,0,1566*LOOKUP(AE20,密度!$A$2:$A$50,密度!B5:B53))</f>
        <v>18725.848873200001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18</v>
      </c>
      <c r="E20" s="81">
        <v>18</v>
      </c>
      <c r="F20" s="81">
        <v>18</v>
      </c>
      <c r="G20" s="81">
        <v>17</v>
      </c>
      <c r="H20" s="81">
        <v>14</v>
      </c>
      <c r="I20" s="81">
        <v>16</v>
      </c>
      <c r="J20" s="81">
        <v>16</v>
      </c>
      <c r="K20" s="81">
        <v>18</v>
      </c>
      <c r="L20" s="81">
        <v>18</v>
      </c>
      <c r="M20" s="81">
        <v>18</v>
      </c>
      <c r="N20" s="81">
        <v>16</v>
      </c>
      <c r="O20" s="81">
        <v>18</v>
      </c>
      <c r="P20" s="81">
        <v>17</v>
      </c>
      <c r="Q20" s="81">
        <v>18</v>
      </c>
      <c r="R20" s="81">
        <v>17</v>
      </c>
      <c r="S20" s="81">
        <v>18</v>
      </c>
      <c r="T20" s="81">
        <v>17</v>
      </c>
      <c r="U20" s="81">
        <v>18</v>
      </c>
      <c r="V20" s="81">
        <v>20</v>
      </c>
      <c r="W20" s="81">
        <v>20</v>
      </c>
      <c r="X20" s="81">
        <v>23</v>
      </c>
      <c r="Y20" s="110">
        <v>23</v>
      </c>
      <c r="Z20" s="81">
        <v>16</v>
      </c>
      <c r="AA20" s="81">
        <v>15</v>
      </c>
      <c r="AB20" s="81">
        <v>18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649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0" t="s" ph="1">
        <v>179</v>
      </c>
      <c r="D24" s="71">
        <v>98.54</v>
      </c>
      <c r="E24" s="71">
        <v>95.28</v>
      </c>
      <c r="F24" s="71">
        <v>4026</v>
      </c>
      <c r="G24" s="71">
        <v>2219</v>
      </c>
      <c r="H24" s="71">
        <v>2839</v>
      </c>
      <c r="I24" s="71">
        <v>5527</v>
      </c>
      <c r="J24" s="71">
        <v>4909</v>
      </c>
      <c r="K24" s="71">
        <v>5626</v>
      </c>
      <c r="L24" s="71">
        <v>5599</v>
      </c>
      <c r="M24" s="71">
        <v>5460</v>
      </c>
      <c r="N24" s="71">
        <v>5370</v>
      </c>
      <c r="O24" s="71">
        <v>3520</v>
      </c>
      <c r="P24" s="71">
        <v>430</v>
      </c>
      <c r="Q24" s="90">
        <v>881</v>
      </c>
      <c r="R24" s="71">
        <v>6752</v>
      </c>
      <c r="S24" s="71">
        <v>1223</v>
      </c>
      <c r="T24" s="71">
        <v>907</v>
      </c>
      <c r="U24" s="71">
        <v>5198</v>
      </c>
      <c r="V24" s="71">
        <v>9644</v>
      </c>
      <c r="W24" s="71">
        <v>3720</v>
      </c>
      <c r="X24" s="71">
        <v>7059</v>
      </c>
      <c r="Y24" s="71">
        <v>4511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26548.224809328003</v>
      </c>
      <c r="E25" s="91" ph="1">
        <f>E24*268.68*LOOKUP(E26,密度!$A$2:$A$50,密度!$C$2:$C$50)+IF(E24&lt;=0,0,1566*LOOKUP(E26,密度!$A$2:$A$50,密度!$C$2:$C$50))</f>
        <v>30124.189330560002</v>
      </c>
      <c r="F25" s="91" ph="1">
        <f>F24*11.702*LOOKUP(F26,密度!$A$2:$A$50,密度!$Q$2:$Q$50)</f>
        <v>44851.335026519999</v>
      </c>
      <c r="G25" s="91" ph="1">
        <f>G24*18.322*LOOKUP(G26,密度!$A$2:$A$50,密度!$B$2:$B$50)</f>
        <v>31911.300978199997</v>
      </c>
      <c r="H25" s="91" ph="1">
        <f>H24*18.322*LOOKUP(H26,密度!$A$2:$A$50,密度!$B$2:$B$50)</f>
        <v>40869.095340599997</v>
      </c>
      <c r="I25" s="91" ph="1">
        <f>I24*18.322*LOOKUP(I26,密度!$A$2:$A$50,密度!$Q$2:$Q$50)</f>
        <v>96405.95334493999</v>
      </c>
      <c r="J25" s="91" ph="1">
        <f>J24*18.322*LOOKUP(J26,密度!$A$2:$A$50,密度!$Q$2:$Q$50)</f>
        <v>85556.192618539993</v>
      </c>
      <c r="K25" s="91" ph="1">
        <f>K24*18.322*LOOKUP(K26,密度!$A$2:$A$50,密度!$Q$2:$Q$50)</f>
        <v>98052.381273560008</v>
      </c>
      <c r="L25" s="91" ph="1">
        <f>L24*18.322*LOOKUP(L26,密度!$A$2:$A$50,密度!$Q$2:$Q$50)</f>
        <v>97581.813499940006</v>
      </c>
      <c r="M25" s="91" ph="1">
        <f>M24*18.322*LOOKUP(M26,密度!$A$2:$A$50,密度!$Q$2:$Q$50)</f>
        <v>95159.260887600001</v>
      </c>
      <c r="N25" s="91" ph="1">
        <f>N24*18.322*LOOKUP(N26,密度!$A$2:$A$50,密度!$Q$2:$Q$50)</f>
        <v>93667.445171400002</v>
      </c>
      <c r="O25" s="91" ph="1">
        <f>O24*18.322*LOOKUP(O26,密度!$A$2:$A$50,密度!$C$2:$C$50)</f>
        <v>71839.242815999984</v>
      </c>
      <c r="P25" s="91" ph="1">
        <f>P24*11.702*LOOKUP(P26,密度!$A$2:$A$50,密度!$B$2:$B$50)</f>
        <v>3953.5324019999994</v>
      </c>
      <c r="Q25" s="92" ph="1">
        <f>Q24*18.322*LOOKUP(Q26,密度!$A$2:$A$50,密度!$B$2:$B$50)</f>
        <v>12669.606201799999</v>
      </c>
      <c r="R25" s="91" ph="1">
        <f>R24*35.891*LOOKUP(R26,密度!$A$2:$A$50,密度!$C$2:$C$50)</f>
        <v>269768.47082239995</v>
      </c>
      <c r="S25" s="91" ph="1">
        <f>S24*35.891*LOOKUP(S26,密度!$A$2:$A$50,密度!$B$2:$B$50)</f>
        <v>34488.060290099995</v>
      </c>
      <c r="T25" s="91" ph="1">
        <f>T24*35.891*LOOKUP(T26,密度!$A$2:$A$50,密度!$Q$2:$Q$50)</f>
        <v>30965.520508509999</v>
      </c>
      <c r="U25" s="91" ph="1">
        <f>U24*35.891</f>
        <v>186561.41800000001</v>
      </c>
      <c r="V25" s="91" ph="1">
        <f>V24*47.051*LOOKUP(V26,密度!$A$2:$A$50,密度!$B$2:$B$50)</f>
        <v>356519.10943080002</v>
      </c>
      <c r="W25" s="91" ph="1">
        <f>W24*47.051*LOOKUP(W26,密度!$A$2:$A$50,密度!$B$2:$B$50)</f>
        <v>137520.851004</v>
      </c>
      <c r="X25" s="91" ph="1">
        <f>X24*47.051*LOOKUP(X26,密度!$A$2:$A$50,密度!$I$2:$I$50)</f>
        <v>343970.22944075998</v>
      </c>
      <c r="Y25" s="91" ph="1">
        <f>Y24*47.051*LOOKUP(Y26,密度!$A$2:$A$50,密度!$L$2:$L$50)</f>
        <v>200361.225584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18</v>
      </c>
      <c r="G26" s="74">
        <v>19</v>
      </c>
      <c r="H26" s="74">
        <v>18</v>
      </c>
      <c r="I26" s="74">
        <v>18</v>
      </c>
      <c r="J26" s="74">
        <v>19</v>
      </c>
      <c r="K26" s="74">
        <v>19</v>
      </c>
      <c r="L26" s="74">
        <v>19</v>
      </c>
      <c r="M26" s="74">
        <v>19</v>
      </c>
      <c r="N26" s="74">
        <v>18</v>
      </c>
      <c r="O26" s="74">
        <v>18</v>
      </c>
      <c r="P26" s="74">
        <v>18</v>
      </c>
      <c r="Q26" s="93">
        <v>19</v>
      </c>
      <c r="R26" s="74">
        <v>19</v>
      </c>
      <c r="S26" s="74">
        <v>18</v>
      </c>
      <c r="T26" s="74">
        <v>19</v>
      </c>
      <c r="U26" s="74">
        <v>18</v>
      </c>
      <c r="V26" s="74">
        <v>18</v>
      </c>
      <c r="W26" s="74">
        <v>18</v>
      </c>
      <c r="X26" s="74">
        <v>51</v>
      </c>
      <c r="Y26" s="74">
        <v>18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0" t="s" ph="1">
        <v>182</v>
      </c>
      <c r="D27" s="71">
        <v>98.43</v>
      </c>
      <c r="E27" s="71">
        <v>95.2</v>
      </c>
      <c r="F27" s="71">
        <v>4024</v>
      </c>
      <c r="G27" s="71">
        <v>1696</v>
      </c>
      <c r="H27" s="71">
        <v>2498</v>
      </c>
      <c r="I27" s="71">
        <v>5522</v>
      </c>
      <c r="J27" s="71">
        <v>4905</v>
      </c>
      <c r="K27" s="71">
        <v>5621</v>
      </c>
      <c r="L27" s="71">
        <v>5592</v>
      </c>
      <c r="M27" s="71">
        <v>5455</v>
      </c>
      <c r="N27" s="71">
        <v>5365</v>
      </c>
      <c r="O27" s="71">
        <v>3518</v>
      </c>
      <c r="P27" s="71">
        <v>429</v>
      </c>
      <c r="Q27" s="90">
        <v>1233</v>
      </c>
      <c r="R27" s="71">
        <v>6750</v>
      </c>
      <c r="S27" s="71">
        <v>1833</v>
      </c>
      <c r="T27" s="71">
        <v>905</v>
      </c>
      <c r="U27" s="71">
        <v>5296</v>
      </c>
      <c r="V27" s="71">
        <v>9639</v>
      </c>
      <c r="W27" s="71">
        <v>4666</v>
      </c>
      <c r="X27" s="71">
        <v>7061</v>
      </c>
      <c r="Y27" s="71">
        <v>3098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0" t="s" ph="1">
        <v>180</v>
      </c>
      <c r="D28" s="91" ph="1">
        <f>D27*268.68*LOOKUP(D29,密度!$A$2:$A$50,密度!$Q$2:$Q$50)+IF(D27&lt;=0,0,1566*LOOKUP(D29,密度!$A$2:$A$50,密度!$Q$2:$Q$50))</f>
        <v>26520.244097976007</v>
      </c>
      <c r="E28" s="91" ph="1">
        <f>E27*268.68*LOOKUP(E29,密度!$A$2:$A$50,密度!$C$2:$C$50)+IF(E27&lt;=0,0,1566*LOOKUP(E29,密度!$A$2:$A$50,密度!$C$2:$C$50))</f>
        <v>30100.354190400005</v>
      </c>
      <c r="F28" s="91" ph="1">
        <f>F27*11.702*LOOKUP(F29,密度!$A$2:$A$50,密度!$Q$2:$Q$50)</f>
        <v>44829.054184480003</v>
      </c>
      <c r="G28" s="91" ph="1">
        <f>G27*18.322*LOOKUP(G29,密度!$A$2:$A$50,密度!$B$2:$B$50)</f>
        <v>24390.0705088</v>
      </c>
      <c r="H28" s="91" ph="1">
        <f>H27*18.322*LOOKUP(H29,密度!$A$2:$A$50,密度!$B$2:$B$50)</f>
        <v>35923.582624399998</v>
      </c>
      <c r="I28" s="91" ph="1">
        <f>I27*18.322*LOOKUP(I29,密度!$A$2:$A$50,密度!$Q$2:$Q$50)</f>
        <v>96318.739708840003</v>
      </c>
      <c r="J28" s="91" ph="1">
        <f>J27*18.322*LOOKUP(J29,密度!$A$2:$A$50,密度!$Q$2:$Q$50)</f>
        <v>85486.478874299995</v>
      </c>
      <c r="K28" s="91" ph="1">
        <f>K27*18.322*LOOKUP(K29,密度!$A$2:$A$50,密度!$Q$2:$Q$50)</f>
        <v>97965.239093259996</v>
      </c>
      <c r="L28" s="91" ph="1">
        <f>L27*18.322*LOOKUP(L29,密度!$A$2:$A$50,密度!$Q$2:$Q$50)</f>
        <v>97459.814447519995</v>
      </c>
      <c r="M28" s="91" ph="1">
        <f>M27*18.322*LOOKUP(M29,密度!$A$2:$A$50,密度!$Q$2:$Q$50)</f>
        <v>95150.076985099993</v>
      </c>
      <c r="N28" s="91" ph="1">
        <f>N27*18.322*LOOKUP(N29,密度!$A$2:$A$50,密度!$Q$2:$Q$50)</f>
        <v>93580.231535300001</v>
      </c>
      <c r="O28" s="91" ph="1">
        <f>O27*18.322*LOOKUP(O29,密度!$A$2:$A$50,密度!$C$2:$C$50)</f>
        <v>71753.305307199989</v>
      </c>
      <c r="P28" s="91" ph="1">
        <f>P27*11.702*LOOKUP(P29,密度!$A$2:$A$50,密度!$B$2:$B$50)</f>
        <v>3944.3381405999999</v>
      </c>
      <c r="Q28" s="92" ph="1">
        <f>Q27*18.322*LOOKUP(Q29,密度!$A$2:$A$50,密度!$B$2:$B$50)</f>
        <v>17749.769128199998</v>
      </c>
      <c r="R28" s="91" ph="1">
        <f>R27*35.891*LOOKUP(R29,密度!$A$2:$A$50,密度!$C$2:$C$50)</f>
        <v>269688.56309999997</v>
      </c>
      <c r="S28" s="91" ph="1">
        <f>S27*35.891*LOOKUP(S29,密度!$A$2:$A$50,密度!$B$2:$B$50)</f>
        <v>51637.1605347</v>
      </c>
      <c r="T28" s="91" ph="1">
        <f>T27*35.891*LOOKUP(T29,密度!$A$2:$A$50,密度!$Q$2:$Q$50)</f>
        <v>30922.574773550001</v>
      </c>
      <c r="U28" s="91" ph="1">
        <f>U27*35.891</f>
        <v>190078.736</v>
      </c>
      <c r="V28" s="91" ph="1">
        <f>V27*47.051*LOOKUP(V29,密度!$A$2:$A$50,密度!$B$2:$B$50)</f>
        <v>356334.2695773</v>
      </c>
      <c r="W28" s="91" ph="1">
        <f>W27*47.051*LOOKUP(W29,密度!$A$2:$A$50,密度!$B$2:$B$50)</f>
        <v>172316.91931340002</v>
      </c>
      <c r="X28" s="91" ph="1">
        <f>X27*47.051*LOOKUP(X29,密度!$A$2:$A$50,密度!$I$2:$I$50)</f>
        <v>344067.68523603998</v>
      </c>
      <c r="Y28" s="91" ph="1">
        <f>Y27*47.051*LOOKUP(Y29,密度!$A$2:$A$50,密度!$L$2:$L$50)</f>
        <v>137455.45011399998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0" t="s" ph="1">
        <v>181</v>
      </c>
      <c r="D29" s="74">
        <v>25</v>
      </c>
      <c r="E29" s="74">
        <v>25</v>
      </c>
      <c r="F29" s="74">
        <v>18</v>
      </c>
      <c r="G29" s="74">
        <v>19</v>
      </c>
      <c r="H29" s="74">
        <v>19</v>
      </c>
      <c r="I29" s="74">
        <v>18</v>
      </c>
      <c r="J29" s="74">
        <v>19</v>
      </c>
      <c r="K29" s="74">
        <v>19</v>
      </c>
      <c r="L29" s="74">
        <v>19</v>
      </c>
      <c r="M29" s="74">
        <v>18</v>
      </c>
      <c r="N29" s="74">
        <v>18</v>
      </c>
      <c r="O29" s="74">
        <v>19</v>
      </c>
      <c r="P29" s="74">
        <v>18</v>
      </c>
      <c r="Q29" s="93">
        <v>18</v>
      </c>
      <c r="R29" s="74">
        <v>19</v>
      </c>
      <c r="S29" s="74">
        <v>19</v>
      </c>
      <c r="T29" s="74">
        <v>18</v>
      </c>
      <c r="U29" s="74">
        <v>19</v>
      </c>
      <c r="V29" s="74">
        <v>18</v>
      </c>
      <c r="W29" s="74">
        <v>19</v>
      </c>
      <c r="X29" s="74">
        <v>51</v>
      </c>
      <c r="Y29" s="74">
        <v>19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86</v>
      </c>
      <c r="AC32" s="150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100513.55909920001</v>
      </c>
      <c r="E33" s="201" ph="1">
        <f>M10+I10</f>
        <v>143787.98358559998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27" ph="1">
        <v>0</v>
      </c>
      <c r="H33" s="201" ph="1">
        <f>N19</f>
        <v>28686.238034580001</v>
      </c>
      <c r="I33" s="205" ph="1">
        <v>0</v>
      </c>
      <c r="J33" s="209" ph="1">
        <f>F10+O28</f>
        <v>323947.02541119995</v>
      </c>
      <c r="K33" s="201" ph="1">
        <f>O10+K10+E28+R28</f>
        <v>338512.06759519997</v>
      </c>
      <c r="L33" s="211" ph="1">
        <f>BE27</f>
        <v>7100</v>
      </c>
      <c r="M33" s="209" ph="1">
        <f>G10+H10+W28+S28</f>
        <v>829451.61471210001</v>
      </c>
      <c r="N33" s="201" ph="1">
        <f>L10+P10++G28+H28+V28</f>
        <v>643144.48646249995</v>
      </c>
      <c r="O33" s="205" ph="1">
        <f>BE17</f>
        <v>2270</v>
      </c>
      <c r="P33" s="209" ph="1">
        <f>L19</f>
        <v>40339.263117479997</v>
      </c>
      <c r="Q33" s="201" ph="1">
        <f>J10+N10</f>
        <v>108460.08843879998</v>
      </c>
      <c r="R33" s="205" ph="1">
        <f>BE23</f>
        <v>890</v>
      </c>
      <c r="S33" s="209" ph="1">
        <f>E10+X28</f>
        <v>344067.68523603998</v>
      </c>
      <c r="T33" s="201" ph="1">
        <f>X19</f>
        <v>8923.9371030000002</v>
      </c>
      <c r="U33" s="190" ph="1">
        <f>BE21</f>
        <v>730</v>
      </c>
      <c r="V33" s="203" ph="1">
        <f ca="1">P19+Q19+S19+M28+N28+J28</f>
        <v>386696.62136733998</v>
      </c>
      <c r="W33" s="203" ph="1">
        <f>D28+F28+V19+T28</f>
        <v>102271.87305600601</v>
      </c>
      <c r="X33" s="205" ph="1">
        <f>BE29+BE31</f>
        <v>10200</v>
      </c>
      <c r="Y33" s="207" ph="1">
        <f>+Q10+R10+S10+T10+U10+V10+W10+X10+Y10</f>
        <v>69406.088598000002</v>
      </c>
      <c r="Z33" s="188" ph="1">
        <f>D10+T19+U19+Y28+Z10</f>
        <v>296657.22296707996</v>
      </c>
      <c r="AA33" s="190" ph="1">
        <f>BE19</f>
        <v>1440</v>
      </c>
      <c r="AB33" s="192" ph="1">
        <f>I19</f>
        <v>15765.484072000001</v>
      </c>
      <c r="AC33" s="194" ph="1">
        <f>AD10</f>
        <v>33575.869359999997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2" t="s" ph="1">
        <v>187</v>
      </c>
      <c r="AA36" s="152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346</v>
      </c>
      <c r="AI37" s="152" t="s" ph="1">
        <v>213</v>
      </c>
      <c r="AJ37" s="152" t="s" ph="1">
        <v>214</v>
      </c>
      <c r="AK37" s="152" t="s" ph="1">
        <v>215</v>
      </c>
      <c r="AM37" s="152" t="s" ph="1">
        <v>214</v>
      </c>
      <c r="AN37" s="152" t="s" ph="1">
        <v>215</v>
      </c>
      <c r="AO37" s="152" t="s" ph="1">
        <v>216</v>
      </c>
      <c r="AP37" s="152" t="s" ph="1">
        <v>214</v>
      </c>
      <c r="AQ37" s="152" t="s" ph="1">
        <v>215</v>
      </c>
      <c r="AR37" s="152" t="s" ph="1">
        <v>216</v>
      </c>
      <c r="AS37" s="152" t="s" ph="1">
        <v>214</v>
      </c>
      <c r="AT37" s="152" t="s" ph="1">
        <v>215</v>
      </c>
      <c r="AU37" s="152" t="s" ph="1">
        <v>216</v>
      </c>
      <c r="AV37" s="152" t="s" ph="1">
        <v>214</v>
      </c>
      <c r="AW37" s="152" t="s" ph="1">
        <v>215</v>
      </c>
      <c r="AX37" s="152" t="s" ph="1">
        <v>216</v>
      </c>
      <c r="AY37" s="152" t="s" ph="1">
        <v>215</v>
      </c>
      <c r="AZ37" s="152" t="s" ph="1">
        <v>217</v>
      </c>
      <c r="BD37" s="152" t="s" ph="1">
        <v>309</v>
      </c>
      <c r="BE37" s="152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67" priority="96">
      <formula>ABS(D$7-D$10)&gt;=1000</formula>
    </cfRule>
  </conditionalFormatting>
  <conditionalFormatting sqref="E4 E6:E11">
    <cfRule type="expression" dxfId="2266" priority="95">
      <formula>ABS(E$7-E$10)&gt;=1000</formula>
    </cfRule>
  </conditionalFormatting>
  <conditionalFormatting sqref="F4:F11">
    <cfRule type="expression" dxfId="2265" priority="94">
      <formula>ABS(F$7-F$10)&gt;=1000</formula>
    </cfRule>
  </conditionalFormatting>
  <conditionalFormatting sqref="G4:G11">
    <cfRule type="expression" dxfId="2264" priority="93">
      <formula>ABS(G$7-G$10)&gt;=1000</formula>
    </cfRule>
  </conditionalFormatting>
  <conditionalFormatting sqref="H4:H11">
    <cfRule type="expression" dxfId="2263" priority="92">
      <formula>ABS(H$7-H$10)&gt;=1000</formula>
    </cfRule>
  </conditionalFormatting>
  <conditionalFormatting sqref="I4:I11">
    <cfRule type="expression" dxfId="2262" priority="91">
      <formula>ABS(I$7-I$10)&gt;=1000</formula>
    </cfRule>
  </conditionalFormatting>
  <conditionalFormatting sqref="J4:J11">
    <cfRule type="expression" dxfId="2261" priority="90">
      <formula>ABS(J$7-J$10)&gt;=1000</formula>
    </cfRule>
  </conditionalFormatting>
  <conditionalFormatting sqref="K4:K11">
    <cfRule type="expression" dxfId="2260" priority="89">
      <formula>ABS(K$7-K$10)&gt;=1000</formula>
    </cfRule>
  </conditionalFormatting>
  <conditionalFormatting sqref="L4:L11">
    <cfRule type="expression" dxfId="2259" priority="88">
      <formula>ABS(L$7-L$10)&gt;=1000</formula>
    </cfRule>
  </conditionalFormatting>
  <conditionalFormatting sqref="M4 M6:M11">
    <cfRule type="expression" dxfId="2258" priority="87">
      <formula>ABS(M$7-M$10)&gt;=1000</formula>
    </cfRule>
  </conditionalFormatting>
  <conditionalFormatting sqref="N4 N6:N11">
    <cfRule type="expression" dxfId="2257" priority="86">
      <formula>ABS(N$7-N$10)&gt;=1000</formula>
    </cfRule>
  </conditionalFormatting>
  <conditionalFormatting sqref="O4 O6:O11">
    <cfRule type="expression" dxfId="2256" priority="85">
      <formula>ABS(O$7-O$10)&gt;=1000</formula>
    </cfRule>
  </conditionalFormatting>
  <conditionalFormatting sqref="P4 P6:P11">
    <cfRule type="expression" dxfId="2255" priority="84">
      <formula>ABS(P$7-P$10)&gt;=1000</formula>
    </cfRule>
  </conditionalFormatting>
  <conditionalFormatting sqref="Q4:Q11">
    <cfRule type="expression" dxfId="2254" priority="83">
      <formula>ABS(Q$7-Q$10)&gt;=1000</formula>
    </cfRule>
  </conditionalFormatting>
  <conditionalFormatting sqref="R4:R11">
    <cfRule type="expression" dxfId="2253" priority="82">
      <formula>ABS(R$7-R$10)&gt;=1000</formula>
    </cfRule>
  </conditionalFormatting>
  <conditionalFormatting sqref="S4:S11">
    <cfRule type="expression" dxfId="2252" priority="81">
      <formula>ABS(S$7-S$10)&gt;=1000</formula>
    </cfRule>
  </conditionalFormatting>
  <conditionalFormatting sqref="T4:T9 T11">
    <cfRule type="expression" dxfId="2251" priority="80">
      <formula>ABS(T$7-T$10)&gt;=1000</formula>
    </cfRule>
  </conditionalFormatting>
  <conditionalFormatting sqref="U4:U9 U11">
    <cfRule type="expression" dxfId="2250" priority="79">
      <formula>ABS(U$7-U$10)&gt;=1000</formula>
    </cfRule>
  </conditionalFormatting>
  <conditionalFormatting sqref="V4:V9 V11">
    <cfRule type="expression" dxfId="2249" priority="78">
      <formula>ABS(V$7-V$10)&gt;=1000</formula>
    </cfRule>
  </conditionalFormatting>
  <conditionalFormatting sqref="W4:W9 W11">
    <cfRule type="expression" dxfId="2248" priority="77">
      <formula>ABS(W$7-W$10)&gt;=1000</formula>
    </cfRule>
  </conditionalFormatting>
  <conditionalFormatting sqref="X4:X9 X11">
    <cfRule type="expression" dxfId="2247" priority="76">
      <formula>ABS(X$7-X$10)&gt;=1000</formula>
    </cfRule>
  </conditionalFormatting>
  <conditionalFormatting sqref="Y4:Y9 Y11">
    <cfRule type="expression" dxfId="2246" priority="75">
      <formula>ABS(Y$7-Y$10)&gt;=1000</formula>
    </cfRule>
  </conditionalFormatting>
  <conditionalFormatting sqref="Z4:Z11">
    <cfRule type="expression" dxfId="2245" priority="74">
      <formula>ABS(Z$7-Z$10)&gt;=1000</formula>
    </cfRule>
  </conditionalFormatting>
  <conditionalFormatting sqref="AA4:AA11">
    <cfRule type="expression" dxfId="2244" priority="73">
      <formula>ABS(AA$7-AA$10)&gt;=1000</formula>
    </cfRule>
  </conditionalFormatting>
  <conditionalFormatting sqref="AB4:AB11">
    <cfRule type="expression" dxfId="2243" priority="72">
      <formula>ABS(AB$7-AB$10)&gt;=1000</formula>
    </cfRule>
  </conditionalFormatting>
  <conditionalFormatting sqref="AC4 AC6:AC11">
    <cfRule type="expression" dxfId="2242" priority="71">
      <formula>ABS(AC$7-AC$10)&gt;=1000</formula>
    </cfRule>
  </conditionalFormatting>
  <conditionalFormatting sqref="AD4:AD11">
    <cfRule type="expression" dxfId="2241" priority="70">
      <formula>ABS(AD$7-AD$10)&gt;=1000</formula>
    </cfRule>
  </conditionalFormatting>
  <conditionalFormatting sqref="AE4:AE11">
    <cfRule type="expression" dxfId="2240" priority="69">
      <formula>ABS(AE$7-AE$10)&gt;=1000</formula>
    </cfRule>
  </conditionalFormatting>
  <conditionalFormatting sqref="D13:D20">
    <cfRule type="expression" dxfId="2239" priority="68">
      <formula>ABS(D$16-D$19)&gt;=1000</formula>
    </cfRule>
  </conditionalFormatting>
  <conditionalFormatting sqref="E13:E20">
    <cfRule type="expression" dxfId="2238" priority="67">
      <formula>ABS(E$16-E$19)&gt;=1000</formula>
    </cfRule>
  </conditionalFormatting>
  <conditionalFormatting sqref="F13 F15:F20">
    <cfRule type="expression" dxfId="2237" priority="66">
      <formula>ABS(F$16-F$19)&gt;=1000</formula>
    </cfRule>
  </conditionalFormatting>
  <conditionalFormatting sqref="G13:G20">
    <cfRule type="expression" dxfId="2236" priority="65">
      <formula>ABS(G$16-G$19)&gt;=1000</formula>
    </cfRule>
  </conditionalFormatting>
  <conditionalFormatting sqref="H13:H20">
    <cfRule type="expression" dxfId="2235" priority="64">
      <formula>ABS(H$16-H$19)&gt;=1000</formula>
    </cfRule>
  </conditionalFormatting>
  <conditionalFormatting sqref="I13:I20">
    <cfRule type="expression" dxfId="2234" priority="63">
      <formula>ABS(I$16-I$19)&gt;=1000</formula>
    </cfRule>
  </conditionalFormatting>
  <conditionalFormatting sqref="J13:J20">
    <cfRule type="expression" dxfId="2233" priority="62">
      <formula>ABS(J$16-J$19)&gt;=1000</formula>
    </cfRule>
  </conditionalFormatting>
  <conditionalFormatting sqref="L13:L20">
    <cfRule type="expression" dxfId="2232" priority="61">
      <formula>ABS(L$16-L$19)&gt;=1000</formula>
    </cfRule>
  </conditionalFormatting>
  <conditionalFormatting sqref="M13 M15 M17:M18 M20">
    <cfRule type="expression" dxfId="2231" priority="60">
      <formula>ABS(M$16-M$19)&gt;=1000</formula>
    </cfRule>
  </conditionalFormatting>
  <conditionalFormatting sqref="N13:N20">
    <cfRule type="expression" dxfId="2230" priority="59">
      <formula>ABS(N$16-N$19)&gt;=1000</formula>
    </cfRule>
  </conditionalFormatting>
  <conditionalFormatting sqref="O13:O20">
    <cfRule type="expression" dxfId="2229" priority="58">
      <formula>ABS(O$16-O$19)&gt;=1000</formula>
    </cfRule>
  </conditionalFormatting>
  <conditionalFormatting sqref="P13:P20">
    <cfRule type="expression" dxfId="2228" priority="57">
      <formula>ABS(P$16-P$19)&gt;=1000</formula>
    </cfRule>
  </conditionalFormatting>
  <conditionalFormatting sqref="Q13 Q15:Q20">
    <cfRule type="expression" dxfId="2227" priority="56">
      <formula>ABS(Q$16-Q$19)&gt;=1000</formula>
    </cfRule>
  </conditionalFormatting>
  <conditionalFormatting sqref="R13:R20">
    <cfRule type="expression" dxfId="2226" priority="55">
      <formula>ABS(R$16-R$19)&gt;=1000</formula>
    </cfRule>
  </conditionalFormatting>
  <conditionalFormatting sqref="S13:S20">
    <cfRule type="expression" dxfId="2225" priority="54">
      <formula>ABS(S$16-S$19)&gt;=1000</formula>
    </cfRule>
  </conditionalFormatting>
  <conditionalFormatting sqref="T13:T20">
    <cfRule type="expression" dxfId="2224" priority="53">
      <formula>ABS(T$16-T$19)&gt;=1000</formula>
    </cfRule>
  </conditionalFormatting>
  <conditionalFormatting sqref="U13:U20">
    <cfRule type="expression" dxfId="2223" priority="52">
      <formula>ABS(U$16-U$19)&gt;=1000</formula>
    </cfRule>
  </conditionalFormatting>
  <conditionalFormatting sqref="V13:V20">
    <cfRule type="expression" dxfId="2222" priority="51">
      <formula>ABS(V$16-V$19)&gt;=1000</formula>
    </cfRule>
  </conditionalFormatting>
  <conditionalFormatting sqref="W13 W20 W15:W18">
    <cfRule type="expression" dxfId="2221" priority="50">
      <formula>ABS(W$16-W$19)&gt;=1000</formula>
    </cfRule>
  </conditionalFormatting>
  <conditionalFormatting sqref="X13 X15:X20 Y19">
    <cfRule type="expression" dxfId="2220" priority="49">
      <formula>ABS(X$16-X$19)&gt;=1000</formula>
    </cfRule>
  </conditionalFormatting>
  <conditionalFormatting sqref="Y13 Y15:Y18 Y20">
    <cfRule type="expression" dxfId="2219" priority="48">
      <formula>ABS(Y$16-Y$19)&gt;=1000</formula>
    </cfRule>
  </conditionalFormatting>
  <conditionalFormatting sqref="Z13:Z20">
    <cfRule type="expression" dxfId="2218" priority="47">
      <formula>ABS(Z$16-Z$19)&gt;=1000</formula>
    </cfRule>
  </conditionalFormatting>
  <conditionalFormatting sqref="AA13:AA20">
    <cfRule type="expression" dxfId="2217" priority="46">
      <formula>ABS(AA$16-AA$19)&gt;=1000</formula>
    </cfRule>
  </conditionalFormatting>
  <conditionalFormatting sqref="AB13 AB15:AB20">
    <cfRule type="expression" dxfId="2216" priority="45">
      <formula>ABS(AB$16-AB$19)&gt;=1000</formula>
    </cfRule>
  </conditionalFormatting>
  <conditionalFormatting sqref="AC13 AC15:AC20">
    <cfRule type="expression" dxfId="2215" priority="44">
      <formula>ABS(AC$16-AC$19)&gt;=1000</formula>
    </cfRule>
  </conditionalFormatting>
  <conditionalFormatting sqref="AD13:AD20">
    <cfRule type="expression" dxfId="2214" priority="43">
      <formula>ABS(AD$16-AD$19)&gt;=1000</formula>
    </cfRule>
  </conditionalFormatting>
  <conditionalFormatting sqref="AE13:AE20">
    <cfRule type="expression" dxfId="2213" priority="42">
      <formula>ABS(AE$16-AE$19)&gt;=1000</formula>
    </cfRule>
  </conditionalFormatting>
  <conditionalFormatting sqref="D22:D29">
    <cfRule type="expression" dxfId="2212" priority="41">
      <formula>ABS(D$25-D$28)&gt;=1000</formula>
    </cfRule>
  </conditionalFormatting>
  <conditionalFormatting sqref="E22:E29">
    <cfRule type="expression" dxfId="2211" priority="40">
      <formula>ABS(E$25-E$28)&gt;=1000</formula>
    </cfRule>
  </conditionalFormatting>
  <conditionalFormatting sqref="F22:F29">
    <cfRule type="expression" dxfId="2210" priority="39">
      <formula>ABS(F$25-F$28)&gt;=1000</formula>
    </cfRule>
  </conditionalFormatting>
  <conditionalFormatting sqref="G22:G29">
    <cfRule type="expression" dxfId="2209" priority="38">
      <formula>ABS(G$25-G$28)&gt;=1000</formula>
    </cfRule>
  </conditionalFormatting>
  <conditionalFormatting sqref="H22:H29">
    <cfRule type="expression" dxfId="2208" priority="37">
      <formula>ABS(H$25-H$28)&gt;=1000</formula>
    </cfRule>
  </conditionalFormatting>
  <conditionalFormatting sqref="I22 I24:I29">
    <cfRule type="expression" dxfId="2207" priority="36">
      <formula>ABS(I$25-I$28)&gt;=1000</formula>
    </cfRule>
  </conditionalFormatting>
  <conditionalFormatting sqref="J22:J29 K22">
    <cfRule type="expression" dxfId="2206" priority="35">
      <formula>ABS(J$25-J$28)&gt;=1000</formula>
    </cfRule>
  </conditionalFormatting>
  <conditionalFormatting sqref="K23:K29 L25 L28">
    <cfRule type="expression" dxfId="2205" priority="34">
      <formula>ABS(K$25-K$28)&gt;=1000</formula>
    </cfRule>
  </conditionalFormatting>
  <conditionalFormatting sqref="L22:L24 L26:L27 L29">
    <cfRule type="expression" dxfId="2204" priority="33">
      <formula>ABS(L$25-L$28)&gt;=1000</formula>
    </cfRule>
  </conditionalFormatting>
  <conditionalFormatting sqref="M22:M29">
    <cfRule type="expression" dxfId="2203" priority="32">
      <formula>ABS(M$25-M$28)&gt;=1000</formula>
    </cfRule>
  </conditionalFormatting>
  <conditionalFormatting sqref="N22:N29">
    <cfRule type="expression" dxfId="2202" priority="31">
      <formula>ABS(N$25-N$28)&gt;=1000</formula>
    </cfRule>
  </conditionalFormatting>
  <conditionalFormatting sqref="O22:O29">
    <cfRule type="expression" dxfId="2201" priority="30">
      <formula>ABS(O$25-O$28)&gt;=1000</formula>
    </cfRule>
  </conditionalFormatting>
  <conditionalFormatting sqref="P22:P29">
    <cfRule type="expression" dxfId="2200" priority="29">
      <formula>ABS(P$25-P$28)&gt;=1000</formula>
    </cfRule>
  </conditionalFormatting>
  <conditionalFormatting sqref="Q22:Q29">
    <cfRule type="expression" dxfId="2199" priority="28">
      <formula>ABS(Q$25-Q$28)&gt;=1000</formula>
    </cfRule>
  </conditionalFormatting>
  <conditionalFormatting sqref="R22:R29">
    <cfRule type="expression" dxfId="2198" priority="27">
      <formula>ABS(R$25-R$28)&gt;=1000</formula>
    </cfRule>
  </conditionalFormatting>
  <conditionalFormatting sqref="S22:S29">
    <cfRule type="expression" dxfId="2197" priority="26">
      <formula>ABS(S$25-S$28)&gt;=1000</formula>
    </cfRule>
  </conditionalFormatting>
  <conditionalFormatting sqref="T22:T29">
    <cfRule type="expression" dxfId="2196" priority="25">
      <formula>ABS(T$25-T$28)&gt;=1000</formula>
    </cfRule>
  </conditionalFormatting>
  <conditionalFormatting sqref="U22:U29">
    <cfRule type="expression" dxfId="2195" priority="24">
      <formula>ABS(U$25-U$28)&gt;=1000</formula>
    </cfRule>
  </conditionalFormatting>
  <conditionalFormatting sqref="V22:V29">
    <cfRule type="expression" dxfId="2194" priority="23">
      <formula>ABS(V$25-V$28)&gt;=1000</formula>
    </cfRule>
  </conditionalFormatting>
  <conditionalFormatting sqref="W22:W29">
    <cfRule type="expression" dxfId="2193" priority="22">
      <formula>ABS(W$25-W$28)&gt;=1000</formula>
    </cfRule>
  </conditionalFormatting>
  <conditionalFormatting sqref="X22:X29">
    <cfRule type="expression" dxfId="2192" priority="21">
      <formula>ABS(X$25-X$28)&gt;=1000</formula>
    </cfRule>
  </conditionalFormatting>
  <conditionalFormatting sqref="Y22:Y29">
    <cfRule type="expression" dxfId="2191" priority="20">
      <formula>ABS(Y$25-Y$28)&gt;=1000</formula>
    </cfRule>
  </conditionalFormatting>
  <conditionalFormatting sqref="I23">
    <cfRule type="expression" dxfId="2190" priority="19">
      <formula>ABS(I$25-I$28)&gt;=1000</formula>
    </cfRule>
  </conditionalFormatting>
  <conditionalFormatting sqref="F14">
    <cfRule type="expression" dxfId="2189" priority="18">
      <formula>ABS(F$16-F$19)&gt;=1000</formula>
    </cfRule>
  </conditionalFormatting>
  <conditionalFormatting sqref="Q14">
    <cfRule type="expression" dxfId="2188" priority="17">
      <formula>ABS(Q$16-Q$19)&gt;=1000</formula>
    </cfRule>
  </conditionalFormatting>
  <conditionalFormatting sqref="W14">
    <cfRule type="expression" dxfId="2187" priority="16">
      <formula>ABS(W$16-W$19)&gt;=1000</formula>
    </cfRule>
  </conditionalFormatting>
  <conditionalFormatting sqref="Y14">
    <cfRule type="expression" dxfId="2186" priority="15">
      <formula>ABS(Y$16-Y$19)&gt;=1000</formula>
    </cfRule>
  </conditionalFormatting>
  <conditionalFormatting sqref="X14">
    <cfRule type="expression" dxfId="2185" priority="14">
      <formula>ABS(X$16-X$19)&gt;=1000</formula>
    </cfRule>
  </conditionalFormatting>
  <conditionalFormatting sqref="T10:Y10">
    <cfRule type="expression" dxfId="2184" priority="13">
      <formula>ABS(T$7-T$10)&gt;=1000</formula>
    </cfRule>
  </conditionalFormatting>
  <conditionalFormatting sqref="W19">
    <cfRule type="expression" dxfId="2183" priority="12">
      <formula>ABS(W$16-W$19)&gt;=1000</formula>
    </cfRule>
  </conditionalFormatting>
  <conditionalFormatting sqref="AC5">
    <cfRule type="expression" dxfId="2182" priority="11">
      <formula>ABS(AC$7-AC$10)&gt;=1000</formula>
    </cfRule>
  </conditionalFormatting>
  <conditionalFormatting sqref="M14">
    <cfRule type="expression" dxfId="2181" priority="10">
      <formula>ABS(M$16-M$19)&gt;=1000</formula>
    </cfRule>
  </conditionalFormatting>
  <conditionalFormatting sqref="M16">
    <cfRule type="expression" dxfId="2180" priority="9">
      <formula>ABS(M$16-M$19)&gt;=1000</formula>
    </cfRule>
  </conditionalFormatting>
  <conditionalFormatting sqref="M19">
    <cfRule type="expression" dxfId="2179" priority="8">
      <formula>ABS(M$16-M$19)&gt;=1000</formula>
    </cfRule>
  </conditionalFormatting>
  <conditionalFormatting sqref="K13:K20">
    <cfRule type="expression" dxfId="2178" priority="7">
      <formula>ABS(K$16-K$19)&gt;=1000</formula>
    </cfRule>
  </conditionalFormatting>
  <conditionalFormatting sqref="E5">
    <cfRule type="expression" dxfId="2177" priority="6">
      <formula>ABS(E$7-E$10)&gt;=1000</formula>
    </cfRule>
  </conditionalFormatting>
  <conditionalFormatting sqref="AB14:AC14">
    <cfRule type="expression" dxfId="2176" priority="5">
      <formula>ABS(AB$16-AB$19)&gt;=1000</formula>
    </cfRule>
  </conditionalFormatting>
  <conditionalFormatting sqref="M5">
    <cfRule type="expression" dxfId="2175" priority="4">
      <formula>ABS(M$7-M$10)&gt;=1000</formula>
    </cfRule>
  </conditionalFormatting>
  <conditionalFormatting sqref="N5">
    <cfRule type="expression" dxfId="2174" priority="3">
      <formula>ABS(N$7-N$10)&gt;=1000</formula>
    </cfRule>
  </conditionalFormatting>
  <conditionalFormatting sqref="O5">
    <cfRule type="expression" dxfId="2173" priority="2">
      <formula>ABS(O$7-O$10)&gt;=1000</formula>
    </cfRule>
  </conditionalFormatting>
  <conditionalFormatting sqref="P5">
    <cfRule type="expression" dxfId="217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9">
    <pageSetUpPr fitToPage="1"/>
  </sheetPr>
  <dimension ref="A1:CU223"/>
  <sheetViews>
    <sheetView view="pageBreakPreview" zoomScale="70" zoomScaleNormal="100" zoomScaleSheetLayoutView="70" workbookViewId="0">
      <selection activeCell="C4" sqref="C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45723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0" t="s" ph="1">
        <v>179</v>
      </c>
      <c r="D6" s="71">
        <v>2138</v>
      </c>
      <c r="E6" s="71">
        <v>0</v>
      </c>
      <c r="F6" s="71">
        <v>6813</v>
      </c>
      <c r="G6" s="71">
        <v>6822</v>
      </c>
      <c r="H6" s="71">
        <v>8535</v>
      </c>
      <c r="I6" s="71">
        <v>27.07</v>
      </c>
      <c r="J6" s="71">
        <v>7.79</v>
      </c>
      <c r="K6" s="71">
        <v>7.54</v>
      </c>
      <c r="L6" s="71">
        <v>7.69</v>
      </c>
      <c r="M6" s="71">
        <v>3948</v>
      </c>
      <c r="N6" s="71">
        <v>4055</v>
      </c>
      <c r="O6" s="71">
        <v>1597</v>
      </c>
      <c r="P6" s="71">
        <v>5369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6996</v>
      </c>
      <c r="X6" s="71">
        <v>3350</v>
      </c>
      <c r="Y6" s="71">
        <v>0</v>
      </c>
      <c r="Z6" s="71">
        <v>809</v>
      </c>
      <c r="AA6" s="71">
        <v>1630</v>
      </c>
      <c r="AB6" s="71">
        <v>2091</v>
      </c>
      <c r="AC6" s="71">
        <v>4896</v>
      </c>
      <c r="AD6" s="71">
        <v>1703</v>
      </c>
      <c r="AE6" s="71">
        <v>3780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67596.638011200004</v>
      </c>
      <c r="E7" s="73" ph="1">
        <f>E6*51.53*LOOKUP(E8,密度!$A$2:$A$50,密度!$I$2:$I$50)</f>
        <v>0</v>
      </c>
      <c r="F7" s="73" ph="1">
        <f>F6*33.183*LOOKUP(F8,密度!$A$2:$A$50,密度!$C$2:$C$50)</f>
        <v>252255.35420819998</v>
      </c>
      <c r="G7" s="73" ph="1">
        <f xml:space="preserve"> (G6+2)*51.53*LOOKUP(G8,密度!$A$2:$A$50,密度!$B$2:$B$50)</f>
        <v>276530.262208</v>
      </c>
      <c r="H7" s="73" ph="1">
        <f>(H6)*51.53*LOOKUP(H8,密度!$A$2:$A$50,密度!$B$2:$B$50)</f>
        <v>345865.44371999998</v>
      </c>
      <c r="I7" s="73" ph="1">
        <f>I6*290.8*1.0267</f>
        <v>8082.1372252000001</v>
      </c>
      <c r="J7" s="73" ph="1">
        <f>J6*290.8*0.7892</f>
        <v>1787.8000144</v>
      </c>
      <c r="K7" s="73" ph="1">
        <f>K6*290.8*1.1126</f>
        <v>2439.5223632000002</v>
      </c>
      <c r="L7" s="73" ph="1">
        <f>L6*290.8*0.777</f>
        <v>1737.5678040000005</v>
      </c>
      <c r="M7" s="73" ph="1">
        <f>M6*33.183*LOOKUP(M8,密度!$A$2:$A$50,密度!$D$2:$D$50)</f>
        <v>135670.31483040002</v>
      </c>
      <c r="N7" s="73" ph="1">
        <f>N6*33.183*LOOKUP(N8,密度!$A$2:$A$50,密度!$E$2:$E$50)</f>
        <v>106636.4740125</v>
      </c>
      <c r="O7" s="73" ph="1">
        <f>O6*20.428*LOOKUP(O8,密度!$A$2:$A$50,密度!$C$2:$C$50)</f>
        <v>36247.988627599996</v>
      </c>
      <c r="P7" s="73" ph="1">
        <f>P6*51.53*LOOKUP(P8,密度!$A$2:$A$50,密度!$B$2:$B$50)</f>
        <v>218260.67927300002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46781.521617600003</v>
      </c>
      <c r="X7" s="73" ph="1">
        <f>X6*1.5*1.5*3.1416*LOOKUP(X8,密度!$A$2:$A$50,密度!$L$2:$L$50)</f>
        <v>22614.218550000001</v>
      </c>
      <c r="Y7" s="73" ph="1">
        <f>Y6*1.5*1.5*3.1416*LOOKUP(Y8,密度!$A$2:$A$50,密度!$L$2:$L$50)</f>
        <v>0</v>
      </c>
      <c r="Z7" s="73" ph="1">
        <f>Z6*33.183*LOOKUP(Z8,密度!$A$2:$A$50,密度!$L$2:$L$50)</f>
        <v>25556.484743999998</v>
      </c>
      <c r="AA7" s="73" ph="1">
        <f>AA6*33.183*LOOKUP(AA8,密度!$A$2:$A$50,密度!$D$2:$D$50)</f>
        <v>56062.512584999997</v>
      </c>
      <c r="AB7" s="73" ph="1">
        <f>AB6*20.428*LOOKUP(AB8,密度!$A$2:$A$50,密度!$D$2:$D$50)</f>
        <v>44538.876279600001</v>
      </c>
      <c r="AC7" s="73" ph="1">
        <f>AC6*51.53*LOOKUP(AC8,密度!$A$2:$A$50,密度!$Q$2:$Q$50)</f>
        <v>240821.73659520003</v>
      </c>
      <c r="AD7" s="73" ph="1">
        <f>AD6*20.428*LOOKUP(AD8,密度!$A$2:$A$50,密度!$V$2:$V$50)</f>
        <v>33536.484175999998</v>
      </c>
      <c r="AE7" s="73" ph="1">
        <f>AE6*20.428</f>
        <v>77217.84</v>
      </c>
    </row>
    <row r="8" spans="1:99" ph="1">
      <c r="B8" s="252" ph="1"/>
      <c r="C8" s="68" t="s" ph="1">
        <v>181</v>
      </c>
      <c r="D8" s="74">
        <v>17</v>
      </c>
      <c r="E8" s="74">
        <v>14</v>
      </c>
      <c r="F8" s="74">
        <v>15</v>
      </c>
      <c r="G8" s="74">
        <v>17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22</v>
      </c>
      <c r="P8" s="74">
        <v>14</v>
      </c>
      <c r="Q8" s="74">
        <v>14</v>
      </c>
      <c r="R8" s="74">
        <v>20</v>
      </c>
      <c r="S8" s="74">
        <v>9</v>
      </c>
      <c r="T8" s="74">
        <v>10</v>
      </c>
      <c r="U8" s="74">
        <v>14</v>
      </c>
      <c r="V8" s="74">
        <v>21</v>
      </c>
      <c r="W8" s="74">
        <v>16</v>
      </c>
      <c r="X8" s="74">
        <v>7</v>
      </c>
      <c r="Y8" s="74">
        <v>14</v>
      </c>
      <c r="Z8" s="74">
        <v>10</v>
      </c>
      <c r="AA8" s="74">
        <v>14</v>
      </c>
      <c r="AB8" s="74">
        <v>7</v>
      </c>
      <c r="AC8" s="74">
        <v>12</v>
      </c>
      <c r="AD8" s="74">
        <v>17</v>
      </c>
      <c r="AE8" s="74">
        <v>26</v>
      </c>
    </row>
    <row r="9" spans="1:99" ph="1">
      <c r="B9" s="252" ph="1">
        <v>0.66666666666666663</v>
      </c>
      <c r="C9" s="150" t="s" ph="1">
        <v>182</v>
      </c>
      <c r="D9" s="71">
        <v>2135</v>
      </c>
      <c r="E9" s="71">
        <v>0</v>
      </c>
      <c r="F9" s="71">
        <v>6811</v>
      </c>
      <c r="G9" s="71">
        <v>7403</v>
      </c>
      <c r="H9" s="71">
        <v>8969</v>
      </c>
      <c r="I9" s="71">
        <v>27.05</v>
      </c>
      <c r="J9" s="71">
        <v>7.77</v>
      </c>
      <c r="K9" s="71">
        <v>7.55</v>
      </c>
      <c r="L9" s="71">
        <v>7.69</v>
      </c>
      <c r="M9" s="71">
        <v>3947</v>
      </c>
      <c r="N9" s="71">
        <v>4056</v>
      </c>
      <c r="O9" s="71">
        <v>1596</v>
      </c>
      <c r="P9" s="71">
        <v>4776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6998</v>
      </c>
      <c r="X9" s="71">
        <v>6204</v>
      </c>
      <c r="Y9" s="71">
        <v>2915</v>
      </c>
      <c r="Z9" s="71">
        <v>855</v>
      </c>
      <c r="AA9" s="71">
        <v>1567</v>
      </c>
      <c r="AB9" s="71">
        <v>2090</v>
      </c>
      <c r="AC9" s="71">
        <v>4890</v>
      </c>
      <c r="AD9" s="71">
        <v>1701</v>
      </c>
      <c r="AE9" s="71">
        <v>3610</v>
      </c>
    </row>
    <row r="10" spans="1:99" s="72" customFormat="1" ht="22.5" ph="1">
      <c r="B10" s="252" ph="1"/>
      <c r="C10" s="150" t="s" ph="1">
        <v>180</v>
      </c>
      <c r="D10" s="73" ph="1">
        <f>D9*33.183*LOOKUP(D11,密度!$A$2:$A$50,密度!$Q$2:$Q$50)</f>
        <v>67445.819617050001</v>
      </c>
      <c r="E10" s="73" ph="1">
        <f>E9*51.53*LOOKUP(E11,密度!$A$2:$A$50,密度!$I$2:$I$50)</f>
        <v>0</v>
      </c>
      <c r="F10" s="73" ph="1">
        <f>F9*33.183*LOOKUP(F11,密度!$A$2:$A$50,密度!$C$2:$C$50)</f>
        <v>252045.69737759998</v>
      </c>
      <c r="G10" s="73" ph="1">
        <f xml:space="preserve"> (G9+2)*51.53*LOOKUP(G11,密度!$A$2:$A$50,密度!$B$2:$B$50)</f>
        <v>300074.23676</v>
      </c>
      <c r="H10" s="73" ph="1">
        <f>(H9)*51.53*LOOKUP(H11,密度!$A$2:$A$50,密度!$B$2:$B$50)</f>
        <v>363452.50904799998</v>
      </c>
      <c r="I10" s="73" ph="1">
        <f>I9*290.8*1.0267</f>
        <v>8076.1659380000001</v>
      </c>
      <c r="J10" s="73" ph="1">
        <f>J9*290.8*0.7892</f>
        <v>1783.2100272</v>
      </c>
      <c r="K10" s="73" ph="1">
        <f>K9*290.8*1.1126</f>
        <v>2442.7578039999999</v>
      </c>
      <c r="L10" s="73" ph="1">
        <f>L9*290.8*0.777</f>
        <v>1737.5678040000005</v>
      </c>
      <c r="M10" s="73" ph="1">
        <f>M9*33.183*LOOKUP(M11,密度!$A$2:$A$50,密度!$D$2:$D$50)</f>
        <v>135413.2959039</v>
      </c>
      <c r="N10" s="73" ph="1">
        <f>N9*33.183*LOOKUP(N11,密度!$A$2:$A$50,密度!$E$2:$E$50)</f>
        <v>106514.72226719999</v>
      </c>
      <c r="O10" s="73" ph="1">
        <f>O9*20.428*LOOKUP(O11,密度!$A$2:$A$50,密度!$C$2:$C$50)</f>
        <v>36225.2910768</v>
      </c>
      <c r="P10" s="73" ph="1">
        <f>P9*51.53*LOOKUP(P11,密度!$A$2:$A$50,密度!$B$2:$B$50)</f>
        <v>193538.76499199998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46745.429345999997</v>
      </c>
      <c r="X10" s="73" ph="1">
        <f>X9*1.5*1.5*3.1416*LOOKUP(X11,密度!$A$2:$A$50,密度!$L$2:$L$50)</f>
        <v>41792.475463199997</v>
      </c>
      <c r="Y10" s="73" ph="1">
        <f>Y9*1.5*1.5*3.1416*LOOKUP(Y11,密度!$A$2:$A$50,密度!$L$2:$L$50)</f>
        <v>19451.090735999998</v>
      </c>
      <c r="Z10" s="73" ph="1">
        <f>Z9*33.183*LOOKUP(Z11,密度!$A$2:$A$50,密度!$L$2:$L$50)</f>
        <v>26924.520284999999</v>
      </c>
      <c r="AA10" s="73" ph="1">
        <f>AA9*33.183*LOOKUP(AA11,密度!$A$2:$A$50,密度!$D$2:$D$50)</f>
        <v>53718.886889099995</v>
      </c>
      <c r="AB10" s="73" ph="1">
        <f>AB9*20.428*LOOKUP(AB11,密度!$A$2:$A$50,密度!$D$2:$D$50)</f>
        <v>44479.150936000005</v>
      </c>
      <c r="AC10" s="73" ph="1">
        <f>AC9*51.53*LOOKUP(AC11,密度!$A$2:$A$50,密度!$Q$2:$Q$50)</f>
        <v>240289.74912000002</v>
      </c>
      <c r="AD10" s="73" ph="1">
        <f>AD9*20.428*LOOKUP(AD11,密度!$A$2:$A$50,密度!$V$2:$V$50)</f>
        <v>33497.098991999999</v>
      </c>
      <c r="AE10" s="73" ph="1">
        <f>AE9*20.428</f>
        <v>73745.08</v>
      </c>
    </row>
    <row r="11" spans="1:99" ph="1">
      <c r="A11" s="64" t="s" ph="1">
        <v>164</v>
      </c>
      <c r="B11" s="252" ph="1"/>
      <c r="C11" s="150" t="s" ph="1">
        <v>181</v>
      </c>
      <c r="D11" s="74">
        <v>18</v>
      </c>
      <c r="E11" s="74">
        <v>16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22</v>
      </c>
      <c r="P11" s="74">
        <v>17</v>
      </c>
      <c r="Q11" s="74">
        <v>18</v>
      </c>
      <c r="R11" s="74">
        <v>23</v>
      </c>
      <c r="S11" s="74">
        <v>13</v>
      </c>
      <c r="T11" s="74">
        <v>15</v>
      </c>
      <c r="U11" s="74">
        <v>16</v>
      </c>
      <c r="V11" s="74">
        <v>24</v>
      </c>
      <c r="W11" s="74">
        <v>17</v>
      </c>
      <c r="X11" s="74">
        <v>9</v>
      </c>
      <c r="Y11" s="74">
        <v>18</v>
      </c>
      <c r="Z11" s="74">
        <v>13</v>
      </c>
      <c r="AA11" s="74">
        <v>18</v>
      </c>
      <c r="AB11" s="74">
        <v>8</v>
      </c>
      <c r="AC11" s="74">
        <v>16</v>
      </c>
      <c r="AD11" s="74">
        <v>18</v>
      </c>
      <c r="AE11" s="74">
        <v>27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0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0" t="s" ph="1">
        <v>179</v>
      </c>
      <c r="D15" s="78">
        <v>3290</v>
      </c>
      <c r="E15" s="78">
        <v>5448</v>
      </c>
      <c r="F15" s="78">
        <v>1087</v>
      </c>
      <c r="G15" s="78">
        <v>3780</v>
      </c>
      <c r="H15" s="78">
        <v>111</v>
      </c>
      <c r="I15" s="78">
        <v>1688</v>
      </c>
      <c r="J15" s="78">
        <v>543</v>
      </c>
      <c r="K15" s="78">
        <v>742</v>
      </c>
      <c r="L15" s="78">
        <v>5602</v>
      </c>
      <c r="M15" s="78">
        <v>1599</v>
      </c>
      <c r="N15" s="78">
        <v>2605</v>
      </c>
      <c r="O15" s="78">
        <v>5719</v>
      </c>
      <c r="P15" s="78">
        <v>2215</v>
      </c>
      <c r="Q15" s="78">
        <v>5173</v>
      </c>
      <c r="R15" s="78">
        <v>3486</v>
      </c>
      <c r="S15" s="78">
        <v>5607</v>
      </c>
      <c r="T15" s="78">
        <v>1452</v>
      </c>
      <c r="U15" s="78">
        <v>5316</v>
      </c>
      <c r="V15" s="78">
        <v>-1641</v>
      </c>
      <c r="W15" s="71">
        <v>-596</v>
      </c>
      <c r="X15" s="78">
        <v>325</v>
      </c>
      <c r="Y15" s="106">
        <v>-9906</v>
      </c>
      <c r="Z15" s="78">
        <v>0</v>
      </c>
      <c r="AA15" s="78">
        <v>2496</v>
      </c>
      <c r="AB15" s="78" ph="1">
        <v>6845</v>
      </c>
      <c r="AC15" s="78" ph="1">
        <v>6495</v>
      </c>
      <c r="AD15" s="78">
        <v>83.87</v>
      </c>
      <c r="AE15" s="78">
        <v>41.83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0" t="s" ph="1">
        <v>180</v>
      </c>
      <c r="D16" s="73" ph="1">
        <f>D15*7.0686*LOOKUP(D17,密度!$A$2:$A$50,密度!$L$2:$L$50)</f>
        <v>21999.886523999998</v>
      </c>
      <c r="E16" s="73" ph="1">
        <f>E15*7.0686*LOOKUP(E17,密度!$A$2:$A$50,密度!$L$2:$L$50)</f>
        <v>36430.207228799998</v>
      </c>
      <c r="F16" s="73" ph="1">
        <f>F15*9.0746*LOOKUP(F17,密度!$A$2:$A$50,密度!$L$2:$L$50)</f>
        <v>9331.4293292000002</v>
      </c>
      <c r="G16" s="73" ph="1">
        <f>G15*9.0746*LOOKUP(G17,密度!$A$2:$A$50,密度!$B$2:$B$50)</f>
        <v>27029.966543999999</v>
      </c>
      <c r="H16" s="73" ph="1">
        <f>H15*9.0746*LOOKUP(H17,密度!$A$2:$A$50,密度!$L$2:$L$50)</f>
        <v>952.88744759999997</v>
      </c>
      <c r="I16" s="73" ph="1">
        <f>I15*9.0746*LOOKUP(I17,密度!$A$2:$A$50,密度!$U$2:$U$50)</f>
        <v>15746.826694400001</v>
      </c>
      <c r="J16" s="73" ph="1">
        <f>J15*9.0746*LOOKUP(J17,密度!$A$2:$A$50,密度!$L$2:$L$50)</f>
        <v>4671.2773944</v>
      </c>
      <c r="K16" s="73" ph="1">
        <f>K15*9.0746*LOOKUP(K17,密度!$A$2:$A$50,密度!$C$2:$C$50)</f>
        <v>7513.0755005599995</v>
      </c>
      <c r="L16" s="73" ph="1">
        <f>L15*9.0746*LOOKUP(L17,密度!$A$2:$A$50,密度!$E$2:$E$50)</f>
        <v>40399.297041240003</v>
      </c>
      <c r="M16" s="73" ph="1">
        <f>M15*9.0746*LOOKUP(M17,密度!$A$2:$A$50,密度!$M$2:$M$50)</f>
        <v>12773.40423762</v>
      </c>
      <c r="N16" s="73" ph="1">
        <f>N15*9.0746*LOOKUP(N17,密度!$A$2:$A$50,密度!$M$2:$M$50)</f>
        <v>20809.704839900001</v>
      </c>
      <c r="O16" s="73" ph="1">
        <f>O15*9.0746*LOOKUP(O17,密度!$A$2:$A$50,密度!$G$2:$G$50)</f>
        <v>50340.708277999998</v>
      </c>
      <c r="P16" s="73" ph="1">
        <f ca="1">P15*9.0746*LOOKUP(P17,密度!$A$2:$A$51,密度!$Q$2:$Q$50)</f>
        <v>19186.482135060003</v>
      </c>
      <c r="Q16" s="73" ph="1">
        <f>Q15*9.0746*LOOKUP(Q17,密度!$A$2:$A$50,密度!$Q$2:$Q$50)</f>
        <v>44764.75497088</v>
      </c>
      <c r="R16" s="73" ph="1">
        <f>MAX(R15*9.0746*LOOKUP(R17,密度!$A$2:$A$50,密度!$B$2:$B$50),0)</f>
        <v>24927.635812799999</v>
      </c>
      <c r="S16" s="73" ph="1">
        <f>S15*9.0746*LOOKUP(S17,密度!$A$2:$A$50,密度!$Q$2:$Q$50)</f>
        <v>48520.390705919999</v>
      </c>
      <c r="T16" s="73" ph="1">
        <f>T15*9.0746*LOOKUP(T17,密度!$A$2:$A$50,密度!$O$2:$O$50)</f>
        <v>12306.682132800001</v>
      </c>
      <c r="U16" s="73" ph="1">
        <f>U15*9.0746*LOOKUP(U17,密度!$A$2:$A$50,密度!$H$2:$H$50)</f>
        <v>44559.817834319998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197.32777955200072</v>
      </c>
      <c r="X16" s="73" ph="1">
        <f>MAX(5600*LOOKUP(X17,密度!$A$2:$A$50,密度!$I$2:$I$50)+X15*9.0476*LOOKUP(X17,密度!$A$2:$A$50,密度!$I$2:$I$50),0)</f>
        <v>8952.9747009999992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17868.74404224</v>
      </c>
      <c r="AB16" s="73" ph="1">
        <f>AB15*9.0746*LOOKUP(AB17,密度!$A$2:$A$50,密度!$L$2:$L$50)</f>
        <v>58761.392602</v>
      </c>
      <c r="AC16" s="73" ph="1">
        <f>AC15*9.0746*LOOKUP(AC17,密度!$A$2:$A$50,密度!$L$2:$L$50)</f>
        <v>55874.671596</v>
      </c>
      <c r="AD16" s="73" ph="1">
        <f>AD15*268.68*LOOKUP(AD17,密度!$A$2:$A$50,密度!B2:B50)+IF(AD15&lt;=0,0,1566*LOOKUP(AD17,密度!$A$2:$A$50,密度!B2:B50))</f>
        <v>18788.50937136</v>
      </c>
      <c r="AE16" s="73" ph="1">
        <f>AE15*268.68*LOOKUP(AE17,密度!$A$2:$A$50,密度!B2:B50)+IF(AE15&lt;=0,0,1566*LOOKUP(AE17,密度!$A$2:$A$50,密度!B2:B50))</f>
        <v>9982.6878782399999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16</v>
      </c>
      <c r="E17" s="74">
        <v>16</v>
      </c>
      <c r="F17" s="74">
        <v>16</v>
      </c>
      <c r="G17" s="74">
        <v>15</v>
      </c>
      <c r="H17" s="74">
        <v>16</v>
      </c>
      <c r="I17" s="74">
        <v>14</v>
      </c>
      <c r="J17" s="74">
        <v>14</v>
      </c>
      <c r="K17" s="74">
        <v>15</v>
      </c>
      <c r="L17" s="74">
        <v>15</v>
      </c>
      <c r="M17" s="74">
        <v>15</v>
      </c>
      <c r="N17" s="74">
        <v>14</v>
      </c>
      <c r="O17" s="74">
        <v>16</v>
      </c>
      <c r="P17" s="74">
        <v>15</v>
      </c>
      <c r="Q17" s="74">
        <v>16</v>
      </c>
      <c r="R17" s="74">
        <v>15</v>
      </c>
      <c r="S17" s="74">
        <v>16</v>
      </c>
      <c r="T17" s="74">
        <v>15</v>
      </c>
      <c r="U17" s="74">
        <v>16</v>
      </c>
      <c r="V17" s="74">
        <v>20</v>
      </c>
      <c r="W17" s="74">
        <v>20</v>
      </c>
      <c r="X17" s="74">
        <v>20</v>
      </c>
      <c r="Y17" s="108">
        <v>20</v>
      </c>
      <c r="Z17" s="74">
        <v>15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4447</v>
      </c>
      <c r="E18" s="71">
        <v>5450</v>
      </c>
      <c r="F18" s="71">
        <v>1087</v>
      </c>
      <c r="G18" s="71">
        <v>3780</v>
      </c>
      <c r="H18" s="71">
        <v>111</v>
      </c>
      <c r="I18" s="71">
        <v>1688</v>
      </c>
      <c r="J18" s="71">
        <v>543</v>
      </c>
      <c r="K18" s="71">
        <v>742</v>
      </c>
      <c r="L18" s="71">
        <v>5606</v>
      </c>
      <c r="M18" s="71">
        <v>3793</v>
      </c>
      <c r="N18" s="71">
        <v>418</v>
      </c>
      <c r="O18" s="71">
        <v>5720</v>
      </c>
      <c r="P18" s="71">
        <v>2215</v>
      </c>
      <c r="Q18" s="71">
        <v>5174</v>
      </c>
      <c r="R18" s="71">
        <v>3487</v>
      </c>
      <c r="S18" s="71">
        <v>5608</v>
      </c>
      <c r="T18" s="71">
        <v>879</v>
      </c>
      <c r="U18" s="71">
        <v>5316</v>
      </c>
      <c r="V18" s="71">
        <v>-1641</v>
      </c>
      <c r="W18" s="71">
        <v>-596</v>
      </c>
      <c r="X18" s="71">
        <v>325</v>
      </c>
      <c r="Y18" s="109">
        <v>-9906</v>
      </c>
      <c r="Z18" s="71">
        <v>0</v>
      </c>
      <c r="AA18" s="71">
        <v>2496</v>
      </c>
      <c r="AB18" s="71">
        <v>6848</v>
      </c>
      <c r="AC18" s="71">
        <v>6498</v>
      </c>
      <c r="AD18" s="71">
        <v>83.88</v>
      </c>
      <c r="AE18" s="71">
        <v>41.81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0" t="s" ph="1">
        <v>180</v>
      </c>
      <c r="D19" s="73" ph="1">
        <f>D18*7.0686*LOOKUP(D20,密度!$A$2:$A$50,密度!$L$2:$L$50)</f>
        <v>29673.756604800001</v>
      </c>
      <c r="E19" s="73" ph="1">
        <f>E18*7.0686*LOOKUP(E20,密度!$A$2:$A$50,密度!$L$2:$L$50)</f>
        <v>36366.533280000003</v>
      </c>
      <c r="F19" s="73" ph="1">
        <f>F18*9.0746*LOOKUP(F20,密度!$A$2:$A$50,密度!$L$2:$L$50)</f>
        <v>9331.4293292000002</v>
      </c>
      <c r="G19" s="73" ph="1">
        <f>G18*9.0746*LOOKUP(G20,密度!$A$2:$A$50,密度!$B$2:$B$50)</f>
        <v>26951.071971599995</v>
      </c>
      <c r="H19" s="73" ph="1">
        <f>H18*9.0746*LOOKUP(H20,密度!$A$2:$A$50,密度!$L$2:$L$50)</f>
        <v>952.88744759999997</v>
      </c>
      <c r="I19" s="73" ph="1">
        <f>I18*9.0746*LOOKUP(I20,密度!$A$2:$A$50,密度!$U$2:$U$50)</f>
        <v>15746.826694400001</v>
      </c>
      <c r="J19" s="73" ph="1">
        <f>J18*9.0746*LOOKUP(J20,密度!$A$2:$A$50,密度!$L$2:$L$50)</f>
        <v>4646.6398553999998</v>
      </c>
      <c r="K19" s="73" ph="1">
        <f>K18*9.0746*LOOKUP(K20,密度!$A$2:$A$50,密度!$C$2:$C$50)</f>
        <v>7500.2821294799996</v>
      </c>
      <c r="L19" s="73" ph="1">
        <f>L18*9.0746*LOOKUP(L20,密度!$A$2:$A$50,密度!$E$2:$E$50)</f>
        <v>40316.224522999997</v>
      </c>
      <c r="M19" s="73" ph="1">
        <f>M18*9.0746*LOOKUP(M20,密度!$A$2:$A$50,密度!$M$2:$M$50)</f>
        <v>30299.888851340002</v>
      </c>
      <c r="N19" s="73" ph="1">
        <f>N18*9.0746*LOOKUP(N20,密度!$A$2:$A$50,密度!$M$2:$M$50)</f>
        <v>3339.1388188400001</v>
      </c>
      <c r="O19" s="73" ph="1">
        <f>O18*9.0746*LOOKUP(O20,密度!$A$2:$A$50,密度!$G$2:$G$50)</f>
        <v>50245.697216</v>
      </c>
      <c r="P19" s="73" ph="1">
        <f ca="1">P18*9.0746*LOOKUP(P20,密度!$A$2:$A$51,密度!$Q$2:$Q$50)</f>
        <v>19151.507719200003</v>
      </c>
      <c r="Q19" s="73" ph="1">
        <f>Q18*9.0746*LOOKUP(Q20,密度!$A$2:$A$50,密度!$Q$2:$Q$50)</f>
        <v>44698.754860604</v>
      </c>
      <c r="R19" s="73" ph="1">
        <f>MAX(R18*9.0746*LOOKUP(R20,密度!$A$2:$A$50,密度!$B$2:$B$50),0)</f>
        <v>24884.157589279999</v>
      </c>
      <c r="S19" s="73" ph="1">
        <f>S18*9.0746*LOOKUP(S20,密度!$A$2:$A$50,密度!$Q$2:$Q$50)</f>
        <v>48448.128577168005</v>
      </c>
      <c r="T19" s="73" ph="1">
        <f>T18*9.0746*LOOKUP(T20,密度!$A$2:$A$50,密度!$O$2:$O$50)</f>
        <v>7450.1195556000002</v>
      </c>
      <c r="U19" s="73" ph="1">
        <f>U18*9.0746*LOOKUP(U20,密度!$A$2:$A$50,密度!$H$2:$H$50)</f>
        <v>44463.336687119998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8941.8720899999989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17848.358860800003</v>
      </c>
      <c r="AB19" s="73" ph="1">
        <f>AB18*9.0746*LOOKUP(AB20,密度!$A$2:$A$50,密度!$L$2:$L$50)</f>
        <v>58787.146316799997</v>
      </c>
      <c r="AC19" s="73" ph="1">
        <f>AC18*9.0746*LOOKUP(AC20,密度!$A$2:$A$50,密度!$L$2:$L$50)</f>
        <v>55841.513007599999</v>
      </c>
      <c r="AD19" s="73" ph="1">
        <f>AD18*268.68*LOOKUP(AD20,密度!$A$2:$A$50,密度!B5:B53)+IF(AD18&lt;=0,0,1566*LOOKUP(AD20,密度!$A$2:$A$50,密度!B5:B53))</f>
        <v>18727.936516799997</v>
      </c>
      <c r="AE19" s="73" ph="1">
        <f>AE18*268.68*LOOKUP(AE20,密度!$A$2:$A$50,密度!B5:B53)+IF(AE18&lt;=0,0,1566*LOOKUP(AE20,密度!$A$2:$A$50,密度!B5:B53))</f>
        <v>9945.2198915999998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18</v>
      </c>
      <c r="E20" s="81">
        <v>18</v>
      </c>
      <c r="F20" s="81">
        <v>16</v>
      </c>
      <c r="G20" s="81">
        <v>18</v>
      </c>
      <c r="H20" s="81">
        <v>16</v>
      </c>
      <c r="I20" s="81">
        <v>19</v>
      </c>
      <c r="J20" s="81">
        <v>19</v>
      </c>
      <c r="K20" s="81">
        <v>18</v>
      </c>
      <c r="L20" s="81">
        <v>17</v>
      </c>
      <c r="M20" s="81">
        <v>17</v>
      </c>
      <c r="N20" s="81">
        <v>17</v>
      </c>
      <c r="O20" s="81">
        <v>18</v>
      </c>
      <c r="P20" s="81">
        <v>17</v>
      </c>
      <c r="Q20" s="81">
        <v>18</v>
      </c>
      <c r="R20" s="81">
        <v>17</v>
      </c>
      <c r="S20" s="81">
        <v>18</v>
      </c>
      <c r="T20" s="81">
        <v>17</v>
      </c>
      <c r="U20" s="81">
        <v>18</v>
      </c>
      <c r="V20" s="81">
        <v>20</v>
      </c>
      <c r="W20" s="81">
        <v>20</v>
      </c>
      <c r="X20" s="81">
        <v>21</v>
      </c>
      <c r="Y20" s="110">
        <v>21</v>
      </c>
      <c r="Z20" s="81">
        <v>18</v>
      </c>
      <c r="AA20" s="81">
        <v>15</v>
      </c>
      <c r="AB20" s="81">
        <v>16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650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0" t="s" ph="1">
        <v>179</v>
      </c>
      <c r="D24" s="71">
        <v>98.27</v>
      </c>
      <c r="E24" s="71">
        <v>95.11</v>
      </c>
      <c r="F24" s="71">
        <v>4016</v>
      </c>
      <c r="G24" s="71">
        <v>2291</v>
      </c>
      <c r="H24" s="71">
        <v>2436</v>
      </c>
      <c r="I24" s="71">
        <v>5513</v>
      </c>
      <c r="J24" s="71">
        <v>4898</v>
      </c>
      <c r="K24" s="71">
        <v>5615</v>
      </c>
      <c r="L24" s="71">
        <v>5585</v>
      </c>
      <c r="M24" s="71">
        <v>5447</v>
      </c>
      <c r="N24" s="71">
        <v>5359</v>
      </c>
      <c r="O24" s="71">
        <v>3516</v>
      </c>
      <c r="P24" s="71">
        <v>430</v>
      </c>
      <c r="Q24" s="90">
        <v>1463</v>
      </c>
      <c r="R24" s="71">
        <v>6747</v>
      </c>
      <c r="S24" s="71">
        <v>1831</v>
      </c>
      <c r="T24" s="71">
        <v>906</v>
      </c>
      <c r="U24" s="71">
        <v>4810</v>
      </c>
      <c r="V24" s="71">
        <v>9627</v>
      </c>
      <c r="W24" s="71">
        <v>5138</v>
      </c>
      <c r="X24" s="71">
        <v>7059</v>
      </c>
      <c r="Y24" s="71">
        <v>2906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26479.544881464004</v>
      </c>
      <c r="E25" s="91" ph="1">
        <f>E24*268.68*LOOKUP(E26,密度!$A$2:$A$50,密度!$C$2:$C$50)+IF(E24&lt;=0,0,1566*LOOKUP(E26,密度!$A$2:$A$50,密度!$C$2:$C$50))</f>
        <v>30073.539657720001</v>
      </c>
      <c r="F25" s="91" ph="1">
        <f>F24*11.702*LOOKUP(F26,密度!$A$2:$A$50,密度!$Q$2:$Q$50)</f>
        <v>44814.653235199999</v>
      </c>
      <c r="G25" s="91" ph="1">
        <f>G24*18.322*LOOKUP(G26,密度!$A$2:$A$50,密度!$B$2:$B$50)</f>
        <v>33043.272614399997</v>
      </c>
      <c r="H25" s="91" ph="1">
        <f>H24*18.322*LOOKUP(H26,密度!$A$2:$A$50,密度!$B$2:$B$50)</f>
        <v>35134.618982400003</v>
      </c>
      <c r="I25" s="91" ph="1">
        <f>I24*18.322*LOOKUP(I26,密度!$A$2:$A$50,密度!$Q$2:$Q$50)</f>
        <v>96322.359769600007</v>
      </c>
      <c r="J25" s="91" ph="1">
        <f>J24*18.322*LOOKUP(J26,密度!$A$2:$A$50,密度!$Q$2:$Q$50)</f>
        <v>85505.3734368</v>
      </c>
      <c r="K25" s="91" ph="1">
        <f>K24*18.322*LOOKUP(K26,密度!$A$2:$A$50,密度!$Q$2:$Q$50)</f>
        <v>98022.186984</v>
      </c>
      <c r="L25" s="91" ph="1">
        <f>L24*18.322*LOOKUP(L26,密度!$A$2:$A$50,密度!$Q$2:$Q$50)</f>
        <v>97580.333631999994</v>
      </c>
      <c r="M25" s="91" ph="1">
        <f>M24*18.322*LOOKUP(M26,密度!$A$2:$A$50,密度!$Q$2:$Q$50)</f>
        <v>95089.377115199997</v>
      </c>
      <c r="N25" s="91" ph="1">
        <f>N24*18.322*LOOKUP(N26,密度!$A$2:$A$50,密度!$Q$2:$Q$50)</f>
        <v>93553.143374399995</v>
      </c>
      <c r="O25" s="91" ph="1">
        <f>O24*18.322*LOOKUP(O26,密度!$A$2:$A$50,密度!$C$2:$C$50)</f>
        <v>71796.259403999997</v>
      </c>
      <c r="P25" s="91" ph="1">
        <f>P24*11.702*LOOKUP(P26,密度!$A$2:$A$50,密度!$B$2:$B$50)</f>
        <v>3961.0801919999999</v>
      </c>
      <c r="Q25" s="92" ph="1">
        <f>Q24*18.322*LOOKUP(Q26,密度!$A$2:$A$50,密度!$B$2:$B$50)</f>
        <v>21079.519630399998</v>
      </c>
      <c r="R25" s="91" ph="1">
        <f>R24*35.891*LOOKUP(R26,密度!$A$2:$A$50,密度!$C$2:$C$50)</f>
        <v>270053.01467040001</v>
      </c>
      <c r="S25" s="91" ph="1">
        <f>S24*35.891*LOOKUP(S26,密度!$A$2:$A$50,密度!$B$2:$B$50)</f>
        <v>51731.966611200005</v>
      </c>
      <c r="T25" s="91" ph="1">
        <f>T24*35.891*LOOKUP(T26,密度!$A$2:$A$50,密度!$Q$2:$Q$50)</f>
        <v>30982.431988799999</v>
      </c>
      <c r="U25" s="91" ph="1">
        <f>U24*35.891</f>
        <v>172635.71</v>
      </c>
      <c r="V25" s="91" ph="1">
        <f>V24*47.051*LOOKUP(V26,密度!$A$2:$A$50,密度!$B$2:$B$50)</f>
        <v>356207.7259128</v>
      </c>
      <c r="W25" s="91" ph="1">
        <f>W24*47.051*LOOKUP(W26,密度!$A$2:$A$50,密度!$B$2:$B$50)</f>
        <v>190110.6570832</v>
      </c>
      <c r="X25" s="91" ph="1">
        <f>X24*47.051*LOOKUP(X26,密度!$A$2:$A$50,密度!$I$2:$I$50)</f>
        <v>343970.22944075998</v>
      </c>
      <c r="Y25" s="91" ph="1">
        <f>Y24*47.051*LOOKUP(Y26,密度!$A$2:$A$50,密度!$L$2:$L$50)</f>
        <v>129346.774876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16</v>
      </c>
      <c r="G26" s="74">
        <v>16</v>
      </c>
      <c r="H26" s="74">
        <v>16</v>
      </c>
      <c r="I26" s="74">
        <v>16</v>
      </c>
      <c r="J26" s="74">
        <v>17</v>
      </c>
      <c r="K26" s="74">
        <v>17</v>
      </c>
      <c r="L26" s="74">
        <v>16</v>
      </c>
      <c r="M26" s="74">
        <v>17</v>
      </c>
      <c r="N26" s="74">
        <v>17</v>
      </c>
      <c r="O26" s="74">
        <v>17</v>
      </c>
      <c r="P26" s="74">
        <v>16</v>
      </c>
      <c r="Q26" s="93">
        <v>17</v>
      </c>
      <c r="R26" s="74">
        <v>16</v>
      </c>
      <c r="S26" s="74">
        <v>16</v>
      </c>
      <c r="T26" s="74">
        <v>17</v>
      </c>
      <c r="U26" s="74">
        <v>17</v>
      </c>
      <c r="V26" s="74">
        <v>17</v>
      </c>
      <c r="W26" s="74">
        <v>17</v>
      </c>
      <c r="X26" s="74">
        <v>51</v>
      </c>
      <c r="Y26" s="74">
        <v>16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0" t="s" ph="1">
        <v>182</v>
      </c>
      <c r="D27" s="71">
        <v>98.33</v>
      </c>
      <c r="E27" s="71">
        <v>95.1</v>
      </c>
      <c r="F27" s="71">
        <v>4015</v>
      </c>
      <c r="G27" s="71">
        <v>1849</v>
      </c>
      <c r="H27" s="71">
        <v>2008</v>
      </c>
      <c r="I27" s="71">
        <v>5513</v>
      </c>
      <c r="J27" s="71">
        <v>4896</v>
      </c>
      <c r="K27" s="71">
        <v>5611</v>
      </c>
      <c r="L27" s="71">
        <v>5582</v>
      </c>
      <c r="M27" s="71">
        <v>5447</v>
      </c>
      <c r="N27" s="71">
        <v>5357</v>
      </c>
      <c r="O27" s="71">
        <v>3514</v>
      </c>
      <c r="P27" s="71">
        <v>427</v>
      </c>
      <c r="Q27" s="90">
        <v>1745</v>
      </c>
      <c r="R27" s="71">
        <v>6744</v>
      </c>
      <c r="S27" s="71">
        <v>1826</v>
      </c>
      <c r="T27" s="71">
        <v>903</v>
      </c>
      <c r="U27" s="71">
        <v>4770</v>
      </c>
      <c r="V27" s="71">
        <v>9624</v>
      </c>
      <c r="W27" s="71">
        <v>6558</v>
      </c>
      <c r="X27" s="71">
        <v>7058</v>
      </c>
      <c r="Y27" s="71">
        <v>2369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0" t="s" ph="1">
        <v>180</v>
      </c>
      <c r="D28" s="91" ph="1">
        <f>D27*268.68*LOOKUP(D29,密度!$A$2:$A$50,密度!$Q$2:$Q$50)+IF(D27&lt;=0,0,1566*LOOKUP(D29,密度!$A$2:$A$50,密度!$Q$2:$Q$50))</f>
        <v>26494.807087656001</v>
      </c>
      <c r="E28" s="91" ph="1">
        <f>E27*268.68*LOOKUP(E29,密度!$A$2:$A$50,密度!$C$2:$C$50)+IF(E27&lt;=0,0,1566*LOOKUP(E29,密度!$A$2:$A$50,密度!$C$2:$C$50))</f>
        <v>30070.560265200002</v>
      </c>
      <c r="F28" s="91" ph="1">
        <f>F27*11.702*LOOKUP(F29,密度!$A$2:$A$50,密度!$Q$2:$Q$50)</f>
        <v>44728.790395299999</v>
      </c>
      <c r="G28" s="91" ph="1">
        <f>G27*18.322*LOOKUP(G29,密度!$A$2:$A$50,密度!$B$2:$B$50)</f>
        <v>26641.170059199998</v>
      </c>
      <c r="H28" s="91" ph="1">
        <f>H27*18.322*LOOKUP(H29,密度!$A$2:$A$50,密度!$B$2:$B$50)</f>
        <v>28932.108966399999</v>
      </c>
      <c r="I28" s="91" ph="1">
        <f>I27*18.322*LOOKUP(I29,密度!$A$2:$A$50,密度!$Q$2:$Q$50)</f>
        <v>96241.552420799999</v>
      </c>
      <c r="J28" s="91" ph="1">
        <f>J27*18.322*LOOKUP(J29,密度!$A$2:$A$50,密度!$Q$2:$Q$50)</f>
        <v>85399.592469120005</v>
      </c>
      <c r="K28" s="91" ph="1">
        <f>K27*18.322*LOOKUP(K29,密度!$A$2:$A$50,密度!$Q$2:$Q$50)</f>
        <v>97871.142431419998</v>
      </c>
      <c r="L28" s="91" ph="1">
        <f>L27*18.322*LOOKUP(L29,密度!$A$2:$A$50,密度!$Q$2:$Q$50)</f>
        <v>97446.099331199992</v>
      </c>
      <c r="M28" s="91" ph="1">
        <f>M27*18.322*LOOKUP(M29,密度!$A$2:$A$50,密度!$Q$2:$Q$50)</f>
        <v>95010.53516734</v>
      </c>
      <c r="N28" s="91" ph="1">
        <f>N27*18.322*LOOKUP(N29,密度!$A$2:$A$50,密度!$Q$2:$Q$50)</f>
        <v>93440.689717539994</v>
      </c>
      <c r="O28" s="91" ph="1">
        <f>O27*18.322*LOOKUP(O29,密度!$A$2:$A$50,密度!$C$2:$C$50)</f>
        <v>71716.789561199985</v>
      </c>
      <c r="P28" s="91" ph="1">
        <f>P27*11.702*LOOKUP(P29,密度!$A$2:$A$50,密度!$B$2:$B$50)</f>
        <v>3925.9496177999995</v>
      </c>
      <c r="Q28" s="92" ph="1">
        <f>Q27*18.322*LOOKUP(Q29,密度!$A$2:$A$50,密度!$B$2:$B$50)</f>
        <v>25142.694295999998</v>
      </c>
      <c r="R28" s="91" ph="1">
        <f>R27*35.891*LOOKUP(R29,密度!$A$2:$A$50,密度!$C$2:$C$50)</f>
        <v>269763.50350799999</v>
      </c>
      <c r="S28" s="91" ph="1">
        <f>S27*35.891*LOOKUP(S29,密度!$A$2:$A$50,密度!$B$2:$B$50)</f>
        <v>51492.394186199999</v>
      </c>
      <c r="T28" s="91" ph="1">
        <f>T27*35.891*LOOKUP(T29,密度!$A$2:$A$50,密度!$Q$2:$Q$50)</f>
        <v>30879.841154399997</v>
      </c>
      <c r="U28" s="91" ph="1">
        <f>U27*35.891</f>
        <v>171200.06999999998</v>
      </c>
      <c r="V28" s="91" ph="1">
        <f>V27*47.051*LOOKUP(V29,密度!$A$2:$A$50,密度!$B$2:$B$50)</f>
        <v>356096.72319360002</v>
      </c>
      <c r="W28" s="91" ph="1">
        <f>W27*47.051*LOOKUP(W29,密度!$A$2:$A$50,密度!$B$2:$B$50)</f>
        <v>242651.94417119998</v>
      </c>
      <c r="X28" s="91" ph="1">
        <f>X27*47.051*LOOKUP(X29,密度!$A$2:$A$50,密度!$I$2:$I$50)</f>
        <v>343921.50154312002</v>
      </c>
      <c r="Y28" s="91" ph="1">
        <f>Y27*47.051*LOOKUP(Y29,密度!$A$2:$A$50,密度!$L$2:$L$50)</f>
        <v>105221.845136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0" t="s" ph="1">
        <v>181</v>
      </c>
      <c r="D29" s="74">
        <v>25</v>
      </c>
      <c r="E29" s="74">
        <v>25</v>
      </c>
      <c r="F29" s="74">
        <v>18</v>
      </c>
      <c r="G29" s="74">
        <v>17</v>
      </c>
      <c r="H29" s="74">
        <v>17</v>
      </c>
      <c r="I29" s="74">
        <v>17</v>
      </c>
      <c r="J29" s="74">
        <v>18</v>
      </c>
      <c r="K29" s="74">
        <v>18</v>
      </c>
      <c r="L29" s="74">
        <v>17</v>
      </c>
      <c r="M29" s="74">
        <v>18</v>
      </c>
      <c r="N29" s="74">
        <v>18</v>
      </c>
      <c r="O29" s="74">
        <v>18</v>
      </c>
      <c r="P29" s="74">
        <v>18</v>
      </c>
      <c r="Q29" s="93">
        <v>17</v>
      </c>
      <c r="R29" s="74">
        <v>17</v>
      </c>
      <c r="S29" s="74">
        <v>18</v>
      </c>
      <c r="T29" s="74">
        <v>17</v>
      </c>
      <c r="U29" s="74">
        <v>18</v>
      </c>
      <c r="V29" s="74">
        <v>17</v>
      </c>
      <c r="W29" s="74">
        <v>17</v>
      </c>
      <c r="X29" s="74">
        <v>51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86</v>
      </c>
      <c r="AC32" s="150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98198.037825100007</v>
      </c>
      <c r="E33" s="201" ph="1">
        <f>M10+I10</f>
        <v>143489.46184189999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27" ph="1">
        <v>0</v>
      </c>
      <c r="H33" s="201" ph="1">
        <f>N19</f>
        <v>3339.1388188400001</v>
      </c>
      <c r="I33" s="205" ph="1">
        <v>0</v>
      </c>
      <c r="J33" s="209" ph="1">
        <f>F10+O28</f>
        <v>323762.48693879996</v>
      </c>
      <c r="K33" s="201" ph="1">
        <f>O10+K10+E28+R28</f>
        <v>338502.112654</v>
      </c>
      <c r="L33" s="211" ph="1">
        <f>BE27</f>
        <v>7100</v>
      </c>
      <c r="M33" s="209" ph="1">
        <f>G10+H10+W28+S28</f>
        <v>957671.08416540001</v>
      </c>
      <c r="N33" s="201" ph="1">
        <f>L10+P10++G28+H28+V28</f>
        <v>606946.33501519996</v>
      </c>
      <c r="O33" s="205" ph="1">
        <f>BE17</f>
        <v>2270</v>
      </c>
      <c r="P33" s="209" ph="1">
        <f>L19</f>
        <v>40316.224522999997</v>
      </c>
      <c r="Q33" s="201" ph="1">
        <f>J10+N10</f>
        <v>108297.93229439999</v>
      </c>
      <c r="R33" s="205" ph="1">
        <f>BE23</f>
        <v>890</v>
      </c>
      <c r="S33" s="209" ph="1">
        <f>E10+X28</f>
        <v>343921.50154312002</v>
      </c>
      <c r="T33" s="201" ph="1">
        <f>X19</f>
        <v>8941.8720899999989</v>
      </c>
      <c r="U33" s="190" ph="1">
        <f>BE21</f>
        <v>730</v>
      </c>
      <c r="V33" s="203" ph="1">
        <f ca="1">P19+Q19+S19+M28+N28+J28</f>
        <v>386149.20851097198</v>
      </c>
      <c r="W33" s="203" ph="1">
        <f>D28+F28+V19+T28</f>
        <v>102103.438637356</v>
      </c>
      <c r="X33" s="205" ph="1">
        <f>BE29+BE31</f>
        <v>10200</v>
      </c>
      <c r="Y33" s="207" ph="1">
        <f>+Q10+R10+S10+T10+U10+V10+W10+X10+Y10</f>
        <v>107988.9955452</v>
      </c>
      <c r="Z33" s="188" ph="1">
        <f>D10+T19+U19+Y28+Z10</f>
        <v>251505.64128077001</v>
      </c>
      <c r="AA33" s="190" ph="1">
        <f>BE19</f>
        <v>1440</v>
      </c>
      <c r="AB33" s="192" ph="1">
        <f>I19</f>
        <v>15746.826694400001</v>
      </c>
      <c r="AC33" s="194" ph="1">
        <f>AD10</f>
        <v>33497.098991999999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2" t="s" ph="1">
        <v>187</v>
      </c>
      <c r="AA36" s="152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346</v>
      </c>
      <c r="AI37" s="152" t="s" ph="1">
        <v>213</v>
      </c>
      <c r="AJ37" s="152" t="s" ph="1">
        <v>214</v>
      </c>
      <c r="AK37" s="152" t="s" ph="1">
        <v>215</v>
      </c>
      <c r="AM37" s="152" t="s" ph="1">
        <v>214</v>
      </c>
      <c r="AN37" s="152" t="s" ph="1">
        <v>215</v>
      </c>
      <c r="AO37" s="152" t="s" ph="1">
        <v>216</v>
      </c>
      <c r="AP37" s="152" t="s" ph="1">
        <v>214</v>
      </c>
      <c r="AQ37" s="152" t="s" ph="1">
        <v>215</v>
      </c>
      <c r="AR37" s="152" t="s" ph="1">
        <v>216</v>
      </c>
      <c r="AS37" s="152" t="s" ph="1">
        <v>214</v>
      </c>
      <c r="AT37" s="152" t="s" ph="1">
        <v>215</v>
      </c>
      <c r="AU37" s="152" t="s" ph="1">
        <v>216</v>
      </c>
      <c r="AV37" s="152" t="s" ph="1">
        <v>214</v>
      </c>
      <c r="AW37" s="152" t="s" ph="1">
        <v>215</v>
      </c>
      <c r="AX37" s="152" t="s" ph="1">
        <v>216</v>
      </c>
      <c r="AY37" s="152" t="s" ph="1">
        <v>215</v>
      </c>
      <c r="AZ37" s="152" t="s" ph="1">
        <v>217</v>
      </c>
      <c r="BD37" s="152" t="s" ph="1">
        <v>309</v>
      </c>
      <c r="BE37" s="152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41" priority="96">
      <formula>ABS(D$7-D$10)&gt;=1000</formula>
    </cfRule>
  </conditionalFormatting>
  <conditionalFormatting sqref="E4 E6:E11">
    <cfRule type="expression" dxfId="2140" priority="95">
      <formula>ABS(E$7-E$10)&gt;=1000</formula>
    </cfRule>
  </conditionalFormatting>
  <conditionalFormatting sqref="F4:F11">
    <cfRule type="expression" dxfId="2139" priority="94">
      <formula>ABS(F$7-F$10)&gt;=1000</formula>
    </cfRule>
  </conditionalFormatting>
  <conditionalFormatting sqref="G4:G11">
    <cfRule type="expression" dxfId="2138" priority="93">
      <formula>ABS(G$7-G$10)&gt;=1000</formula>
    </cfRule>
  </conditionalFormatting>
  <conditionalFormatting sqref="H4:H11">
    <cfRule type="expression" dxfId="2137" priority="92">
      <formula>ABS(H$7-H$10)&gt;=1000</formula>
    </cfRule>
  </conditionalFormatting>
  <conditionalFormatting sqref="I4:I11">
    <cfRule type="expression" dxfId="2136" priority="91">
      <formula>ABS(I$7-I$10)&gt;=1000</formula>
    </cfRule>
  </conditionalFormatting>
  <conditionalFormatting sqref="J4:J11">
    <cfRule type="expression" dxfId="2135" priority="90">
      <formula>ABS(J$7-J$10)&gt;=1000</formula>
    </cfRule>
  </conditionalFormatting>
  <conditionalFormatting sqref="K4:K11">
    <cfRule type="expression" dxfId="2134" priority="89">
      <formula>ABS(K$7-K$10)&gt;=1000</formula>
    </cfRule>
  </conditionalFormatting>
  <conditionalFormatting sqref="L4:L11">
    <cfRule type="expression" dxfId="2133" priority="88">
      <formula>ABS(L$7-L$10)&gt;=1000</formula>
    </cfRule>
  </conditionalFormatting>
  <conditionalFormatting sqref="M4 M6:M11">
    <cfRule type="expression" dxfId="2132" priority="87">
      <formula>ABS(M$7-M$10)&gt;=1000</formula>
    </cfRule>
  </conditionalFormatting>
  <conditionalFormatting sqref="N4 N6:N11">
    <cfRule type="expression" dxfId="2131" priority="86">
      <formula>ABS(N$7-N$10)&gt;=1000</formula>
    </cfRule>
  </conditionalFormatting>
  <conditionalFormatting sqref="O4 O6:O11">
    <cfRule type="expression" dxfId="2130" priority="85">
      <formula>ABS(O$7-O$10)&gt;=1000</formula>
    </cfRule>
  </conditionalFormatting>
  <conditionalFormatting sqref="P4 P6:P11">
    <cfRule type="expression" dxfId="2129" priority="84">
      <formula>ABS(P$7-P$10)&gt;=1000</formula>
    </cfRule>
  </conditionalFormatting>
  <conditionalFormatting sqref="Q4:Q11">
    <cfRule type="expression" dxfId="2128" priority="83">
      <formula>ABS(Q$7-Q$10)&gt;=1000</formula>
    </cfRule>
  </conditionalFormatting>
  <conditionalFormatting sqref="R4:R11">
    <cfRule type="expression" dxfId="2127" priority="82">
      <formula>ABS(R$7-R$10)&gt;=1000</formula>
    </cfRule>
  </conditionalFormatting>
  <conditionalFormatting sqref="S4:S11">
    <cfRule type="expression" dxfId="2126" priority="81">
      <formula>ABS(S$7-S$10)&gt;=1000</formula>
    </cfRule>
  </conditionalFormatting>
  <conditionalFormatting sqref="T4:T9 T11">
    <cfRule type="expression" dxfId="2125" priority="80">
      <formula>ABS(T$7-T$10)&gt;=1000</formula>
    </cfRule>
  </conditionalFormatting>
  <conditionalFormatting sqref="U4:U9 U11">
    <cfRule type="expression" dxfId="2124" priority="79">
      <formula>ABS(U$7-U$10)&gt;=1000</formula>
    </cfRule>
  </conditionalFormatting>
  <conditionalFormatting sqref="V4:V9 V11">
    <cfRule type="expression" dxfId="2123" priority="78">
      <formula>ABS(V$7-V$10)&gt;=1000</formula>
    </cfRule>
  </conditionalFormatting>
  <conditionalFormatting sqref="W4:W9 W11">
    <cfRule type="expression" dxfId="2122" priority="77">
      <formula>ABS(W$7-W$10)&gt;=1000</formula>
    </cfRule>
  </conditionalFormatting>
  <conditionalFormatting sqref="X4:X9 X11">
    <cfRule type="expression" dxfId="2121" priority="76">
      <formula>ABS(X$7-X$10)&gt;=1000</formula>
    </cfRule>
  </conditionalFormatting>
  <conditionalFormatting sqref="Y4:Y9 Y11">
    <cfRule type="expression" dxfId="2120" priority="75">
      <formula>ABS(Y$7-Y$10)&gt;=1000</formula>
    </cfRule>
  </conditionalFormatting>
  <conditionalFormatting sqref="Z4:Z11">
    <cfRule type="expression" dxfId="2119" priority="74">
      <formula>ABS(Z$7-Z$10)&gt;=1000</formula>
    </cfRule>
  </conditionalFormatting>
  <conditionalFormatting sqref="AA4:AA11">
    <cfRule type="expression" dxfId="2118" priority="73">
      <formula>ABS(AA$7-AA$10)&gt;=1000</formula>
    </cfRule>
  </conditionalFormatting>
  <conditionalFormatting sqref="AB4:AB11">
    <cfRule type="expression" dxfId="2117" priority="72">
      <formula>ABS(AB$7-AB$10)&gt;=1000</formula>
    </cfRule>
  </conditionalFormatting>
  <conditionalFormatting sqref="AC4 AC6:AC11">
    <cfRule type="expression" dxfId="2116" priority="71">
      <formula>ABS(AC$7-AC$10)&gt;=1000</formula>
    </cfRule>
  </conditionalFormatting>
  <conditionalFormatting sqref="AD4:AD11">
    <cfRule type="expression" dxfId="2115" priority="70">
      <formula>ABS(AD$7-AD$10)&gt;=1000</formula>
    </cfRule>
  </conditionalFormatting>
  <conditionalFormatting sqref="AE4:AE11">
    <cfRule type="expression" dxfId="2114" priority="69">
      <formula>ABS(AE$7-AE$10)&gt;=1000</formula>
    </cfRule>
  </conditionalFormatting>
  <conditionalFormatting sqref="D13:D20">
    <cfRule type="expression" dxfId="2113" priority="68">
      <formula>ABS(D$16-D$19)&gt;=1000</formula>
    </cfRule>
  </conditionalFormatting>
  <conditionalFormatting sqref="E13:E20">
    <cfRule type="expression" dxfId="2112" priority="67">
      <formula>ABS(E$16-E$19)&gt;=1000</formula>
    </cfRule>
  </conditionalFormatting>
  <conditionalFormatting sqref="F13 F15:F20">
    <cfRule type="expression" dxfId="2111" priority="66">
      <formula>ABS(F$16-F$19)&gt;=1000</formula>
    </cfRule>
  </conditionalFormatting>
  <conditionalFormatting sqref="G13:G20">
    <cfRule type="expression" dxfId="2110" priority="65">
      <formula>ABS(G$16-G$19)&gt;=1000</formula>
    </cfRule>
  </conditionalFormatting>
  <conditionalFormatting sqref="H13:H20">
    <cfRule type="expression" dxfId="2109" priority="64">
      <formula>ABS(H$16-H$19)&gt;=1000</formula>
    </cfRule>
  </conditionalFormatting>
  <conditionalFormatting sqref="I13:I20">
    <cfRule type="expression" dxfId="2108" priority="63">
      <formula>ABS(I$16-I$19)&gt;=1000</formula>
    </cfRule>
  </conditionalFormatting>
  <conditionalFormatting sqref="J13:J20">
    <cfRule type="expression" dxfId="2107" priority="62">
      <formula>ABS(J$16-J$19)&gt;=1000</formula>
    </cfRule>
  </conditionalFormatting>
  <conditionalFormatting sqref="L13:L20">
    <cfRule type="expression" dxfId="2106" priority="61">
      <formula>ABS(L$16-L$19)&gt;=1000</formula>
    </cfRule>
  </conditionalFormatting>
  <conditionalFormatting sqref="M13 M15 M17:M18 M20">
    <cfRule type="expression" dxfId="2105" priority="60">
      <formula>ABS(M$16-M$19)&gt;=1000</formula>
    </cfRule>
  </conditionalFormatting>
  <conditionalFormatting sqref="N13:N20">
    <cfRule type="expression" dxfId="2104" priority="59">
      <formula>ABS(N$16-N$19)&gt;=1000</formula>
    </cfRule>
  </conditionalFormatting>
  <conditionalFormatting sqref="O13:O20">
    <cfRule type="expression" dxfId="2103" priority="58">
      <formula>ABS(O$16-O$19)&gt;=1000</formula>
    </cfRule>
  </conditionalFormatting>
  <conditionalFormatting sqref="P13:P20">
    <cfRule type="expression" dxfId="2102" priority="57">
      <formula>ABS(P$16-P$19)&gt;=1000</formula>
    </cfRule>
  </conditionalFormatting>
  <conditionalFormatting sqref="Q13 Q15:Q20">
    <cfRule type="expression" dxfId="2101" priority="56">
      <formula>ABS(Q$16-Q$19)&gt;=1000</formula>
    </cfRule>
  </conditionalFormatting>
  <conditionalFormatting sqref="R13:R20">
    <cfRule type="expression" dxfId="2100" priority="55">
      <formula>ABS(R$16-R$19)&gt;=1000</formula>
    </cfRule>
  </conditionalFormatting>
  <conditionalFormatting sqref="S13:S20">
    <cfRule type="expression" dxfId="2099" priority="54">
      <formula>ABS(S$16-S$19)&gt;=1000</formula>
    </cfRule>
  </conditionalFormatting>
  <conditionalFormatting sqref="T13:T20">
    <cfRule type="expression" dxfId="2098" priority="53">
      <formula>ABS(T$16-T$19)&gt;=1000</formula>
    </cfRule>
  </conditionalFormatting>
  <conditionalFormatting sqref="U13:U20">
    <cfRule type="expression" dxfId="2097" priority="52">
      <formula>ABS(U$16-U$19)&gt;=1000</formula>
    </cfRule>
  </conditionalFormatting>
  <conditionalFormatting sqref="V13:V20">
    <cfRule type="expression" dxfId="2096" priority="51">
      <formula>ABS(V$16-V$19)&gt;=1000</formula>
    </cfRule>
  </conditionalFormatting>
  <conditionalFormatting sqref="W13 W20 W15:W18">
    <cfRule type="expression" dxfId="2095" priority="50">
      <formula>ABS(W$16-W$19)&gt;=1000</formula>
    </cfRule>
  </conditionalFormatting>
  <conditionalFormatting sqref="X13 X15:X20 Y19">
    <cfRule type="expression" dxfId="2094" priority="49">
      <formula>ABS(X$16-X$19)&gt;=1000</formula>
    </cfRule>
  </conditionalFormatting>
  <conditionalFormatting sqref="Y13 Y15:Y18 Y20">
    <cfRule type="expression" dxfId="2093" priority="48">
      <formula>ABS(Y$16-Y$19)&gt;=1000</formula>
    </cfRule>
  </conditionalFormatting>
  <conditionalFormatting sqref="Z13:Z20">
    <cfRule type="expression" dxfId="2092" priority="47">
      <formula>ABS(Z$16-Z$19)&gt;=1000</formula>
    </cfRule>
  </conditionalFormatting>
  <conditionalFormatting sqref="AA13:AA20">
    <cfRule type="expression" dxfId="2091" priority="46">
      <formula>ABS(AA$16-AA$19)&gt;=1000</formula>
    </cfRule>
  </conditionalFormatting>
  <conditionalFormatting sqref="AB13 AB15:AB20">
    <cfRule type="expression" dxfId="2090" priority="45">
      <formula>ABS(AB$16-AB$19)&gt;=1000</formula>
    </cfRule>
  </conditionalFormatting>
  <conditionalFormatting sqref="AC13 AC15:AC20">
    <cfRule type="expression" dxfId="2089" priority="44">
      <formula>ABS(AC$16-AC$19)&gt;=1000</formula>
    </cfRule>
  </conditionalFormatting>
  <conditionalFormatting sqref="AD13:AD20">
    <cfRule type="expression" dxfId="2088" priority="43">
      <formula>ABS(AD$16-AD$19)&gt;=1000</formula>
    </cfRule>
  </conditionalFormatting>
  <conditionalFormatting sqref="AE13:AE20">
    <cfRule type="expression" dxfId="2087" priority="42">
      <formula>ABS(AE$16-AE$19)&gt;=1000</formula>
    </cfRule>
  </conditionalFormatting>
  <conditionalFormatting sqref="D22:D29">
    <cfRule type="expression" dxfId="2086" priority="41">
      <formula>ABS(D$25-D$28)&gt;=1000</formula>
    </cfRule>
  </conditionalFormatting>
  <conditionalFormatting sqref="E22:E29">
    <cfRule type="expression" dxfId="2085" priority="40">
      <formula>ABS(E$25-E$28)&gt;=1000</formula>
    </cfRule>
  </conditionalFormatting>
  <conditionalFormatting sqref="F22:F29">
    <cfRule type="expression" dxfId="2084" priority="39">
      <formula>ABS(F$25-F$28)&gt;=1000</formula>
    </cfRule>
  </conditionalFormatting>
  <conditionalFormatting sqref="G22:G29">
    <cfRule type="expression" dxfId="2083" priority="38">
      <formula>ABS(G$25-G$28)&gt;=1000</formula>
    </cfRule>
  </conditionalFormatting>
  <conditionalFormatting sqref="H22:H29">
    <cfRule type="expression" dxfId="2082" priority="37">
      <formula>ABS(H$25-H$28)&gt;=1000</formula>
    </cfRule>
  </conditionalFormatting>
  <conditionalFormatting sqref="I22 I24:I29">
    <cfRule type="expression" dxfId="2081" priority="36">
      <formula>ABS(I$25-I$28)&gt;=1000</formula>
    </cfRule>
  </conditionalFormatting>
  <conditionalFormatting sqref="J22:J29 K22">
    <cfRule type="expression" dxfId="2080" priority="35">
      <formula>ABS(J$25-J$28)&gt;=1000</formula>
    </cfRule>
  </conditionalFormatting>
  <conditionalFormatting sqref="K23:K29 L25 L28">
    <cfRule type="expression" dxfId="2079" priority="34">
      <formula>ABS(K$25-K$28)&gt;=1000</formula>
    </cfRule>
  </conditionalFormatting>
  <conditionalFormatting sqref="L22:L24 L26:L27 L29">
    <cfRule type="expression" dxfId="2078" priority="33">
      <formula>ABS(L$25-L$28)&gt;=1000</formula>
    </cfRule>
  </conditionalFormatting>
  <conditionalFormatting sqref="M22:M29">
    <cfRule type="expression" dxfId="2077" priority="32">
      <formula>ABS(M$25-M$28)&gt;=1000</formula>
    </cfRule>
  </conditionalFormatting>
  <conditionalFormatting sqref="N22:N29">
    <cfRule type="expression" dxfId="2076" priority="31">
      <formula>ABS(N$25-N$28)&gt;=1000</formula>
    </cfRule>
  </conditionalFormatting>
  <conditionalFormatting sqref="O22:O29">
    <cfRule type="expression" dxfId="2075" priority="30">
      <formula>ABS(O$25-O$28)&gt;=1000</formula>
    </cfRule>
  </conditionalFormatting>
  <conditionalFormatting sqref="P22:P29">
    <cfRule type="expression" dxfId="2074" priority="29">
      <formula>ABS(P$25-P$28)&gt;=1000</formula>
    </cfRule>
  </conditionalFormatting>
  <conditionalFormatting sqref="Q22:Q29">
    <cfRule type="expression" dxfId="2073" priority="28">
      <formula>ABS(Q$25-Q$28)&gt;=1000</formula>
    </cfRule>
  </conditionalFormatting>
  <conditionalFormatting sqref="R22:R29">
    <cfRule type="expression" dxfId="2072" priority="27">
      <formula>ABS(R$25-R$28)&gt;=1000</formula>
    </cfRule>
  </conditionalFormatting>
  <conditionalFormatting sqref="S22:S29">
    <cfRule type="expression" dxfId="2071" priority="26">
      <formula>ABS(S$25-S$28)&gt;=1000</formula>
    </cfRule>
  </conditionalFormatting>
  <conditionalFormatting sqref="T22:T29">
    <cfRule type="expression" dxfId="2070" priority="25">
      <formula>ABS(T$25-T$28)&gt;=1000</formula>
    </cfRule>
  </conditionalFormatting>
  <conditionalFormatting sqref="U22:U29">
    <cfRule type="expression" dxfId="2069" priority="24">
      <formula>ABS(U$25-U$28)&gt;=1000</formula>
    </cfRule>
  </conditionalFormatting>
  <conditionalFormatting sqref="V22:V29">
    <cfRule type="expression" dxfId="2068" priority="23">
      <formula>ABS(V$25-V$28)&gt;=1000</formula>
    </cfRule>
  </conditionalFormatting>
  <conditionalFormatting sqref="W22:W29">
    <cfRule type="expression" dxfId="2067" priority="22">
      <formula>ABS(W$25-W$28)&gt;=1000</formula>
    </cfRule>
  </conditionalFormatting>
  <conditionalFormatting sqref="X22:X29">
    <cfRule type="expression" dxfId="2066" priority="21">
      <formula>ABS(X$25-X$28)&gt;=1000</formula>
    </cfRule>
  </conditionalFormatting>
  <conditionalFormatting sqref="Y22:Y29">
    <cfRule type="expression" dxfId="2065" priority="20">
      <formula>ABS(Y$25-Y$28)&gt;=1000</formula>
    </cfRule>
  </conditionalFormatting>
  <conditionalFormatting sqref="I23">
    <cfRule type="expression" dxfId="2064" priority="19">
      <formula>ABS(I$25-I$28)&gt;=1000</formula>
    </cfRule>
  </conditionalFormatting>
  <conditionalFormatting sqref="F14">
    <cfRule type="expression" dxfId="2063" priority="18">
      <formula>ABS(F$16-F$19)&gt;=1000</formula>
    </cfRule>
  </conditionalFormatting>
  <conditionalFormatting sqref="Q14">
    <cfRule type="expression" dxfId="2062" priority="17">
      <formula>ABS(Q$16-Q$19)&gt;=1000</formula>
    </cfRule>
  </conditionalFormatting>
  <conditionalFormatting sqref="W14">
    <cfRule type="expression" dxfId="2061" priority="16">
      <formula>ABS(W$16-W$19)&gt;=1000</formula>
    </cfRule>
  </conditionalFormatting>
  <conditionalFormatting sqref="Y14">
    <cfRule type="expression" dxfId="2060" priority="15">
      <formula>ABS(Y$16-Y$19)&gt;=1000</formula>
    </cfRule>
  </conditionalFormatting>
  <conditionalFormatting sqref="X14">
    <cfRule type="expression" dxfId="2059" priority="14">
      <formula>ABS(X$16-X$19)&gt;=1000</formula>
    </cfRule>
  </conditionalFormatting>
  <conditionalFormatting sqref="T10:Y10">
    <cfRule type="expression" dxfId="2058" priority="13">
      <formula>ABS(T$7-T$10)&gt;=1000</formula>
    </cfRule>
  </conditionalFormatting>
  <conditionalFormatting sqref="W19">
    <cfRule type="expression" dxfId="2057" priority="12">
      <formula>ABS(W$16-W$19)&gt;=1000</formula>
    </cfRule>
  </conditionalFormatting>
  <conditionalFormatting sqref="AC5">
    <cfRule type="expression" dxfId="2056" priority="11">
      <formula>ABS(AC$7-AC$10)&gt;=1000</formula>
    </cfRule>
  </conditionalFormatting>
  <conditionalFormatting sqref="M14">
    <cfRule type="expression" dxfId="2055" priority="10">
      <formula>ABS(M$16-M$19)&gt;=1000</formula>
    </cfRule>
  </conditionalFormatting>
  <conditionalFormatting sqref="M16">
    <cfRule type="expression" dxfId="2054" priority="9">
      <formula>ABS(M$16-M$19)&gt;=1000</formula>
    </cfRule>
  </conditionalFormatting>
  <conditionalFormatting sqref="M19">
    <cfRule type="expression" dxfId="2053" priority="8">
      <formula>ABS(M$16-M$19)&gt;=1000</formula>
    </cfRule>
  </conditionalFormatting>
  <conditionalFormatting sqref="K13:K20">
    <cfRule type="expression" dxfId="2052" priority="7">
      <formula>ABS(K$16-K$19)&gt;=1000</formula>
    </cfRule>
  </conditionalFormatting>
  <conditionalFormatting sqref="E5">
    <cfRule type="expression" dxfId="2051" priority="6">
      <formula>ABS(E$7-E$10)&gt;=1000</formula>
    </cfRule>
  </conditionalFormatting>
  <conditionalFormatting sqref="AB14:AC14">
    <cfRule type="expression" dxfId="2050" priority="5">
      <formula>ABS(AB$16-AB$19)&gt;=1000</formula>
    </cfRule>
  </conditionalFormatting>
  <conditionalFormatting sqref="M5">
    <cfRule type="expression" dxfId="2049" priority="4">
      <formula>ABS(M$7-M$10)&gt;=1000</formula>
    </cfRule>
  </conditionalFormatting>
  <conditionalFormatting sqref="N5">
    <cfRule type="expression" dxfId="2048" priority="3">
      <formula>ABS(N$7-N$10)&gt;=1000</formula>
    </cfRule>
  </conditionalFormatting>
  <conditionalFormatting sqref="O5">
    <cfRule type="expression" dxfId="2047" priority="2">
      <formula>ABS(O$7-O$10)&gt;=1000</formula>
    </cfRule>
  </conditionalFormatting>
  <conditionalFormatting sqref="P5">
    <cfRule type="expression" dxfId="204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27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0">
    <pageSetUpPr fitToPage="1"/>
  </sheetPr>
  <dimension ref="A1:CU223"/>
  <sheetViews>
    <sheetView view="pageBreakPreview" zoomScale="70" zoomScaleNormal="100" zoomScaleSheetLayoutView="70" workbookViewId="0">
      <selection activeCell="C4" sqref="C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45726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3" t="s" ph="1">
        <v>179</v>
      </c>
      <c r="D6" s="71">
        <v>2135</v>
      </c>
      <c r="E6" s="71">
        <v>0</v>
      </c>
      <c r="F6" s="71">
        <v>6595</v>
      </c>
      <c r="G6" s="71">
        <v>7689</v>
      </c>
      <c r="H6" s="71">
        <v>8609</v>
      </c>
      <c r="I6" s="71">
        <v>27.12</v>
      </c>
      <c r="J6" s="71">
        <v>7.78</v>
      </c>
      <c r="K6" s="71">
        <v>7.59</v>
      </c>
      <c r="L6" s="71">
        <v>65.16</v>
      </c>
      <c r="M6" s="71">
        <v>3947</v>
      </c>
      <c r="N6" s="71">
        <v>4055</v>
      </c>
      <c r="O6" s="71">
        <v>1596</v>
      </c>
      <c r="P6" s="71">
        <v>3602</v>
      </c>
      <c r="Q6" s="71">
        <v>5582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7004</v>
      </c>
      <c r="X6" s="71">
        <v>6209</v>
      </c>
      <c r="Y6" s="71">
        <v>5113</v>
      </c>
      <c r="Z6" s="71">
        <v>856</v>
      </c>
      <c r="AA6" s="71">
        <v>1568</v>
      </c>
      <c r="AB6" s="71">
        <v>2091</v>
      </c>
      <c r="AC6" s="71">
        <v>4890</v>
      </c>
      <c r="AD6" s="71">
        <v>1698</v>
      </c>
      <c r="AE6" s="71">
        <v>3605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67501.787723999994</v>
      </c>
      <c r="E7" s="73" ph="1">
        <f>E6*51.53*LOOKUP(E8,密度!$A$2:$A$50,密度!$I$2:$I$50)</f>
        <v>0</v>
      </c>
      <c r="F7" s="73" ph="1">
        <f>F6*33.183*LOOKUP(F8,密度!$A$2:$A$50,密度!$C$2:$C$50)</f>
        <v>244052.47015199999</v>
      </c>
      <c r="G7" s="73" ph="1">
        <f xml:space="preserve"> (G6+2)*51.53*LOOKUP(G8,密度!$A$2:$A$50,密度!$B$2:$B$50)</f>
        <v>311663.869672</v>
      </c>
      <c r="H7" s="73" ph="1">
        <f>(H6)*51.53*LOOKUP(H8,密度!$A$2:$A$50,密度!$B$2:$B$50)</f>
        <v>348864.15992800001</v>
      </c>
      <c r="I7" s="73" ph="1">
        <f>I6*290.8*1.0267</f>
        <v>8097.065443200001</v>
      </c>
      <c r="J7" s="73" ph="1">
        <f>J6*290.8*0.7892</f>
        <v>1785.5050208</v>
      </c>
      <c r="K7" s="73" ph="1">
        <f>K6*290.8*1.1126</f>
        <v>2455.6995672000003</v>
      </c>
      <c r="L7" s="73" ph="1">
        <f>L6*290.8*0.777</f>
        <v>14723.006255999999</v>
      </c>
      <c r="M7" s="73" ph="1">
        <f>M6*33.183*LOOKUP(M8,密度!$A$2:$A$50,密度!$D$2:$D$50)</f>
        <v>135413.2959039</v>
      </c>
      <c r="N7" s="73" ph="1">
        <f>N6*33.183*LOOKUP(N8,密度!$A$2:$A$50,密度!$E$2:$E$50)</f>
        <v>106488.461241</v>
      </c>
      <c r="O7" s="73" ph="1">
        <f>O6*20.428*LOOKUP(O8,密度!$A$2:$A$50,密度!$C$2:$C$50)</f>
        <v>36225.2910768</v>
      </c>
      <c r="P7" s="73" ph="1">
        <f>P6*51.53*LOOKUP(P8,密度!$A$2:$A$50,密度!$B$2:$B$50)</f>
        <v>146261.51527999999</v>
      </c>
      <c r="Q7" s="73" ph="1">
        <f>Q6*1.5*1.5*3.1416*LOOKUP(W8,密度!$A$2:$A$50,密度!$L$2:$L$50)</f>
        <v>37286.794313999999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46785.508307999997</v>
      </c>
      <c r="X7" s="73" ph="1">
        <f>X6*1.5*1.5*3.1416*LOOKUP(X8,密度!$A$2:$A$50,密度!$L$2:$L$50)</f>
        <v>41870.046279599999</v>
      </c>
      <c r="Y7" s="73" ph="1">
        <f>Y6*1.5*1.5*3.1416*LOOKUP(Y8,密度!$A$2:$A$50,密度!$L$2:$L$50)</f>
        <v>34153.955450999994</v>
      </c>
      <c r="Z7" s="73" ph="1">
        <f>Z6*33.183*LOOKUP(Z8,密度!$A$2:$A$50,密度!$L$2:$L$50)</f>
        <v>26984.4156</v>
      </c>
      <c r="AA7" s="73" ph="1">
        <f>AA6*33.183*LOOKUP(AA8,密度!$A$2:$A$50,密度!$D$2:$D$50)</f>
        <v>53841.620851200001</v>
      </c>
      <c r="AB7" s="73" ph="1">
        <f>AB6*20.428*LOOKUP(AB8,密度!$A$2:$A$50,密度!$D$2:$D$50)</f>
        <v>44500.432826400007</v>
      </c>
      <c r="AC7" s="73" ph="1">
        <f>AC6*51.53*LOOKUP(AC8,密度!$A$2:$A$50,密度!$Q$2:$Q$50)</f>
        <v>240526.61191800004</v>
      </c>
      <c r="AD7" s="73" ph="1">
        <f>AD6*20.428*LOOKUP(AD8,密度!$A$2:$A$50,密度!$V$2:$V$50)</f>
        <v>33438.021216000001</v>
      </c>
      <c r="AE7" s="73" ph="1">
        <f>AE6*20.428</f>
        <v>73642.94</v>
      </c>
    </row>
    <row r="8" spans="1:99" ph="1">
      <c r="B8" s="252" ph="1"/>
      <c r="C8" s="68" t="s" ph="1">
        <v>181</v>
      </c>
      <c r="D8" s="74">
        <v>17</v>
      </c>
      <c r="E8" s="74">
        <v>15</v>
      </c>
      <c r="F8" s="74">
        <v>16</v>
      </c>
      <c r="G8" s="74">
        <v>17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18</v>
      </c>
      <c r="O8" s="74">
        <v>22</v>
      </c>
      <c r="P8" s="74">
        <v>15</v>
      </c>
      <c r="Q8" s="74">
        <v>16</v>
      </c>
      <c r="R8" s="74">
        <v>22</v>
      </c>
      <c r="S8" s="74">
        <v>12</v>
      </c>
      <c r="T8" s="74">
        <v>13</v>
      </c>
      <c r="U8" s="74">
        <v>16</v>
      </c>
      <c r="V8" s="74">
        <v>22</v>
      </c>
      <c r="W8" s="74">
        <v>17</v>
      </c>
      <c r="X8" s="74">
        <v>8</v>
      </c>
      <c r="Y8" s="74">
        <v>17</v>
      </c>
      <c r="Z8" s="74">
        <v>12</v>
      </c>
      <c r="AA8" s="74">
        <v>16</v>
      </c>
      <c r="AB8" s="74">
        <v>8</v>
      </c>
      <c r="AC8" s="74">
        <v>14</v>
      </c>
      <c r="AD8" s="74">
        <v>16</v>
      </c>
      <c r="AE8" s="74">
        <v>22</v>
      </c>
    </row>
    <row r="9" spans="1:99" ph="1">
      <c r="B9" s="252" ph="1">
        <v>0.66666666666666663</v>
      </c>
      <c r="C9" s="153" t="s" ph="1">
        <v>182</v>
      </c>
      <c r="D9" s="71">
        <v>2134</v>
      </c>
      <c r="E9" s="71">
        <v>0</v>
      </c>
      <c r="F9" s="71">
        <v>6450</v>
      </c>
      <c r="G9" s="71">
        <v>7687</v>
      </c>
      <c r="H9" s="71">
        <v>8401</v>
      </c>
      <c r="I9" s="71">
        <v>27.1</v>
      </c>
      <c r="J9" s="71">
        <v>7.8</v>
      </c>
      <c r="K9" s="71">
        <v>27.14</v>
      </c>
      <c r="L9" s="71">
        <v>28.96</v>
      </c>
      <c r="M9" s="71">
        <v>3385</v>
      </c>
      <c r="N9" s="71">
        <v>4032</v>
      </c>
      <c r="O9" s="71">
        <v>1595</v>
      </c>
      <c r="P9" s="71">
        <v>3372</v>
      </c>
      <c r="Q9" s="71">
        <v>7178</v>
      </c>
      <c r="R9" s="71">
        <v>6184</v>
      </c>
      <c r="S9" s="71">
        <v>0</v>
      </c>
      <c r="T9" s="71">
        <v>0</v>
      </c>
      <c r="U9" s="71">
        <v>0</v>
      </c>
      <c r="V9" s="71">
        <v>0</v>
      </c>
      <c r="W9" s="71">
        <v>7009</v>
      </c>
      <c r="X9" s="71">
        <v>6212</v>
      </c>
      <c r="Y9" s="71">
        <v>5115</v>
      </c>
      <c r="Z9" s="71">
        <v>1434</v>
      </c>
      <c r="AA9" s="71">
        <v>1564</v>
      </c>
      <c r="AB9" s="71">
        <v>2090</v>
      </c>
      <c r="AC9" s="71">
        <v>5157</v>
      </c>
      <c r="AD9" s="71">
        <v>692</v>
      </c>
      <c r="AE9" s="71">
        <v>3555</v>
      </c>
    </row>
    <row r="10" spans="1:99" s="72" customFormat="1" ht="22.5" ph="1">
      <c r="B10" s="252" ph="1"/>
      <c r="C10" s="153" t="s" ph="1">
        <v>180</v>
      </c>
      <c r="D10" s="73" ph="1">
        <f>D9*33.183*LOOKUP(D11,密度!$A$2:$A$50,密度!$Q$2:$Q$50)</f>
        <v>67414.229069220004</v>
      </c>
      <c r="E10" s="73" ph="1">
        <f>E9*51.53*LOOKUP(E11,密度!$A$2:$A$50,密度!$I$2:$I$50)</f>
        <v>0</v>
      </c>
      <c r="F10" s="73" ph="1">
        <f>F9*33.183*LOOKUP(F11,密度!$A$2:$A$50,密度!$C$2:$C$50)</f>
        <v>238536.82507500003</v>
      </c>
      <c r="G10" s="73" ph="1">
        <f xml:space="preserve"> (G9+2)*51.53*LOOKUP(G11,密度!$A$2:$A$50,密度!$B$2:$B$50)</f>
        <v>310988.502033</v>
      </c>
      <c r="H10" s="73" ph="1">
        <f>(H9)*51.53*LOOKUP(H11,密度!$A$2:$A$50,密度!$B$2:$B$50)</f>
        <v>339785.98069700005</v>
      </c>
      <c r="I10" s="73" ph="1">
        <f>I9*290.8*1.0267</f>
        <v>8091.0941560000001</v>
      </c>
      <c r="J10" s="73" ph="1">
        <f>J9*290.8*0.7892</f>
        <v>1790.0950080000002</v>
      </c>
      <c r="K10" s="73" ph="1">
        <f>K9*290.8*1.1126</f>
        <v>8780.9863312000016</v>
      </c>
      <c r="L10" s="73" ph="1">
        <f>L9*290.8*0.777</f>
        <v>6543.558336000001</v>
      </c>
      <c r="M10" s="73" ph="1">
        <f>M9*33.183*LOOKUP(M11,密度!$A$2:$A$50,密度!$D$2:$D$50)</f>
        <v>116042.39446049999</v>
      </c>
      <c r="N10" s="73" ph="1">
        <f>N9*33.183*LOOKUP(N11,密度!$A$2:$A$50,密度!$E$2:$E$50)</f>
        <v>106031.63088</v>
      </c>
      <c r="O10" s="73" ph="1">
        <f>O9*20.428*LOOKUP(O11,密度!$A$2:$A$50,密度!$C$2:$C$50)</f>
        <v>36153.719535999997</v>
      </c>
      <c r="P10" s="73" ph="1">
        <f>P9*51.53*LOOKUP(P11,密度!$A$2:$A$50,密度!$B$2:$B$50)</f>
        <v>136522.57201199999</v>
      </c>
      <c r="Q10" s="73" ph="1">
        <f>Q9*1.5*1.5*3.1416*LOOKUP(W11,密度!$A$2:$A$50,密度!$L$2:$L$50)</f>
        <v>47897.059795199995</v>
      </c>
      <c r="R10" s="73" ph="1">
        <f>R9*1.5*1.5*3.1416*LOOKUP(R11,密度!$A$2:$A$50,密度!$L$2:$L$50)</f>
        <v>40958.352388799998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46769.363625599995</v>
      </c>
      <c r="X10" s="73" ph="1">
        <f>X9*1.5*1.5*3.1416*LOOKUP(X11,密度!$A$2:$A$50,密度!$L$2:$L$50)</f>
        <v>41714.636039999998</v>
      </c>
      <c r="Y10" s="73" ph="1">
        <f>Y9*1.5*1.5*3.1416*LOOKUP(Y11,密度!$A$2:$A$50,密度!$L$2:$L$50)</f>
        <v>34131.159216</v>
      </c>
      <c r="Z10" s="73" ph="1">
        <f>Z9*33.183*LOOKUP(Z11,密度!$A$2:$A$50,密度!$L$2:$L$50)</f>
        <v>45014.863211999997</v>
      </c>
      <c r="AA10" s="73" ph="1">
        <f>AA9*33.183*LOOKUP(AA11,密度!$A$2:$A$50,密度!$D$2:$D$50)</f>
        <v>53616.042817199996</v>
      </c>
      <c r="AB10" s="73" ph="1">
        <f>AB9*20.428*LOOKUP(AB11,密度!$A$2:$A$50,密度!$D$2:$D$50)</f>
        <v>44402.300800000005</v>
      </c>
      <c r="AC10" s="73" ph="1">
        <f>AC9*51.53*LOOKUP(AC11,密度!$A$2:$A$50,密度!$Q$2:$Q$50)</f>
        <v>253409.86425600003</v>
      </c>
      <c r="AD10" s="73" ph="1">
        <f>AD9*20.428*LOOKUP(AD11,密度!$A$2:$A$50,密度!$V$2:$V$50)</f>
        <v>13582.037900800002</v>
      </c>
      <c r="AE10" s="73" ph="1">
        <f>AE9*20.428</f>
        <v>72621.540000000008</v>
      </c>
    </row>
    <row r="11" spans="1:99" ph="1">
      <c r="A11" s="64" t="s" ph="1">
        <v>164</v>
      </c>
      <c r="B11" s="252" ph="1"/>
      <c r="C11" s="153" t="s" ph="1">
        <v>181</v>
      </c>
      <c r="D11" s="74">
        <v>18</v>
      </c>
      <c r="E11" s="74">
        <v>21</v>
      </c>
      <c r="F11" s="74">
        <v>17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24</v>
      </c>
      <c r="P11" s="74">
        <v>18</v>
      </c>
      <c r="Q11" s="74">
        <v>18</v>
      </c>
      <c r="R11" s="74">
        <v>25</v>
      </c>
      <c r="S11" s="74">
        <v>15</v>
      </c>
      <c r="T11" s="74">
        <v>24</v>
      </c>
      <c r="U11" s="74">
        <v>18</v>
      </c>
      <c r="V11" s="74">
        <v>25</v>
      </c>
      <c r="W11" s="74">
        <v>18</v>
      </c>
      <c r="X11" s="74">
        <v>12</v>
      </c>
      <c r="Y11" s="74">
        <v>18</v>
      </c>
      <c r="Z11" s="74">
        <v>16</v>
      </c>
      <c r="AA11" s="74">
        <v>18</v>
      </c>
      <c r="AB11" s="74">
        <v>10</v>
      </c>
      <c r="AC11" s="74">
        <v>16</v>
      </c>
      <c r="AD11" s="74">
        <v>22</v>
      </c>
      <c r="AE11" s="74">
        <v>23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3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3" t="s" ph="1">
        <v>179</v>
      </c>
      <c r="D15" s="78">
        <v>5428</v>
      </c>
      <c r="E15" s="78">
        <v>5453</v>
      </c>
      <c r="F15" s="78">
        <v>1087</v>
      </c>
      <c r="G15" s="78">
        <v>3803</v>
      </c>
      <c r="H15" s="78">
        <v>111</v>
      </c>
      <c r="I15" s="78">
        <v>1689</v>
      </c>
      <c r="J15" s="78">
        <v>545</v>
      </c>
      <c r="K15" s="78">
        <v>742</v>
      </c>
      <c r="L15" s="78">
        <v>5612</v>
      </c>
      <c r="M15" s="78">
        <v>4215</v>
      </c>
      <c r="N15" s="78">
        <v>994</v>
      </c>
      <c r="O15" s="78">
        <v>5719</v>
      </c>
      <c r="P15" s="78">
        <v>2220</v>
      </c>
      <c r="Q15" s="78">
        <v>5180</v>
      </c>
      <c r="R15" s="78">
        <v>3491</v>
      </c>
      <c r="S15" s="78">
        <v>3672</v>
      </c>
      <c r="T15" s="78">
        <v>882</v>
      </c>
      <c r="U15" s="78">
        <v>5317</v>
      </c>
      <c r="V15" s="78">
        <v>-1641</v>
      </c>
      <c r="W15" s="71">
        <v>-596</v>
      </c>
      <c r="X15" s="78">
        <v>325</v>
      </c>
      <c r="Y15" s="106">
        <v>-9906</v>
      </c>
      <c r="Z15" s="78">
        <v>0</v>
      </c>
      <c r="AA15" s="78">
        <v>2498</v>
      </c>
      <c r="AB15" s="78" ph="1">
        <v>6855</v>
      </c>
      <c r="AC15" s="78" ph="1">
        <v>6503</v>
      </c>
      <c r="AD15" s="78">
        <v>41.28</v>
      </c>
      <c r="AE15" s="78">
        <v>41.9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3" t="s" ph="1">
        <v>180</v>
      </c>
      <c r="D16" s="73" ph="1">
        <f>D15*7.0686*LOOKUP(D17,密度!$A$2:$A$50,密度!$L$2:$L$50)</f>
        <v>36258.100956000002</v>
      </c>
      <c r="E16" s="73" ph="1">
        <f>E15*7.0686*LOOKUP(E17,密度!$A$2:$A$50,密度!$L$2:$L$50)</f>
        <v>36425.096631</v>
      </c>
      <c r="F16" s="73" ph="1">
        <f>F15*9.0746*LOOKUP(F17,密度!$A$2:$A$50,密度!$L$2:$L$50)</f>
        <v>9321.5652389999996</v>
      </c>
      <c r="G16" s="73" ph="1">
        <f>G15*9.0746*LOOKUP(G17,密度!$A$2:$A$50,密度!$B$2:$B$50)</f>
        <v>27194.434594400005</v>
      </c>
      <c r="H16" s="73" ph="1">
        <f>H15*9.0746*LOOKUP(H17,密度!$A$2:$A$50,密度!$L$2:$L$50)</f>
        <v>954.90200879999998</v>
      </c>
      <c r="I16" s="73" ph="1">
        <f>I15*9.0746*LOOKUP(I17,密度!$A$2:$A$50,密度!$U$2:$U$50)</f>
        <v>15756.155383200001</v>
      </c>
      <c r="J16" s="73" ph="1">
        <f>J15*9.0746*LOOKUP(J17,密度!$A$2:$A$50,密度!$L$2:$L$50)</f>
        <v>4673.6458649999995</v>
      </c>
      <c r="K16" s="73" ph="1">
        <f>K15*9.0746*LOOKUP(K17,密度!$A$2:$A$50,密度!$C$2:$C$50)</f>
        <v>7509.03548864</v>
      </c>
      <c r="L16" s="73" ph="1">
        <f>L15*9.0746*LOOKUP(L17,密度!$A$2:$A$50,密度!$E$2:$E$50)</f>
        <v>40359.374245999999</v>
      </c>
      <c r="M16" s="73" ph="1">
        <f>M15*9.0746*LOOKUP(M17,密度!$A$2:$A$50,密度!$M$2:$M$50)</f>
        <v>33670.981151699998</v>
      </c>
      <c r="N16" s="73" ph="1">
        <f>N15*9.0746*LOOKUP(N17,密度!$A$2:$A$50,密度!$M$2:$M$50)</f>
        <v>7940.4401577200006</v>
      </c>
      <c r="O16" s="73" ph="1">
        <f>O15*9.0746*LOOKUP(O17,密度!$A$2:$A$50,密度!$G$2:$G$50)</f>
        <v>50288.810640600001</v>
      </c>
      <c r="P16" s="73" ph="1">
        <f ca="1">P15*9.0746*LOOKUP(P17,密度!$A$2:$A$51,密度!$Q$2:$Q$50)</f>
        <v>19178.824080120001</v>
      </c>
      <c r="Q16" s="73" ph="1">
        <f>Q15*9.0746*LOOKUP(Q17,密度!$A$2:$A$50,密度!$Q$2:$Q$50)</f>
        <v>44787.724598399996</v>
      </c>
      <c r="R16" s="73" ph="1">
        <f>MAX(R15*9.0746*LOOKUP(R17,密度!$A$2:$A$50,密度!$B$2:$B$50),0)</f>
        <v>24890.527051019999</v>
      </c>
      <c r="S16" s="73" ph="1">
        <f>S15*9.0746*LOOKUP(S17,密度!$A$2:$A$50,密度!$Q$2:$Q$50)</f>
        <v>31749.13604736</v>
      </c>
      <c r="T16" s="73" ph="1">
        <f>T15*9.0746*LOOKUP(T17,密度!$A$2:$A$50,密度!$O$2:$O$50)</f>
        <v>7475.5465848000003</v>
      </c>
      <c r="U16" s="73" ph="1">
        <f>U15*9.0746*LOOKUP(U17,密度!$A$2:$A$50,密度!$H$2:$H$50)</f>
        <v>44519.950394140003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197.50426539200089</v>
      </c>
      <c r="X16" s="73" ph="1">
        <f>MAX(5600*LOOKUP(X17,密度!$A$2:$A$50,密度!$I$2:$I$50)+X15*9.0476*LOOKUP(X17,密度!$A$2:$A$50,密度!$I$2:$I$50),0)</f>
        <v>8952.9747009999992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17862.660430399999</v>
      </c>
      <c r="AB16" s="73" ph="1">
        <f>AB15*9.0746*LOOKUP(AB17,密度!$A$2:$A$50,密度!$L$2:$L$50)</f>
        <v>58722.825552000002</v>
      </c>
      <c r="AC16" s="73" ph="1">
        <f>AC15*9.0746*LOOKUP(AC17,密度!$A$2:$A$50,密度!$L$2:$L$50)</f>
        <v>55884.481238599998</v>
      </c>
      <c r="AD16" s="73" ph="1">
        <f>AD15*268.68*LOOKUP(AD17,密度!$A$2:$A$50,密度!B2:B50)+IF(AD15&lt;=0,0,1566*LOOKUP(AD17,密度!$A$2:$A$50,密度!B2:B50))</f>
        <v>9867.4832678400016</v>
      </c>
      <c r="AE16" s="73" ph="1">
        <f>AE15*268.68*LOOKUP(AE17,密度!$A$2:$A$50,密度!B2:B50)+IF(AE15&lt;=0,0,1566*LOOKUP(AE17,密度!$A$2:$A$50,密度!B2:B50))</f>
        <v>9997.3502831999995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17</v>
      </c>
      <c r="E17" s="74">
        <v>17</v>
      </c>
      <c r="F17" s="74">
        <v>17</v>
      </c>
      <c r="G17" s="74">
        <v>15</v>
      </c>
      <c r="H17" s="74">
        <v>14</v>
      </c>
      <c r="I17" s="74">
        <v>17</v>
      </c>
      <c r="J17" s="74">
        <v>17</v>
      </c>
      <c r="K17" s="74">
        <v>16</v>
      </c>
      <c r="L17" s="74">
        <v>17</v>
      </c>
      <c r="M17" s="74">
        <v>17</v>
      </c>
      <c r="N17" s="74">
        <v>15</v>
      </c>
      <c r="O17" s="74">
        <v>17</v>
      </c>
      <c r="P17" s="74">
        <v>18</v>
      </c>
      <c r="Q17" s="74">
        <v>17</v>
      </c>
      <c r="R17" s="74">
        <v>18</v>
      </c>
      <c r="S17" s="74">
        <v>17</v>
      </c>
      <c r="T17" s="74">
        <v>18</v>
      </c>
      <c r="U17" s="74">
        <v>17</v>
      </c>
      <c r="V17" s="74">
        <v>19</v>
      </c>
      <c r="W17" s="74">
        <v>19</v>
      </c>
      <c r="X17" s="74">
        <v>20</v>
      </c>
      <c r="Y17" s="108">
        <v>20</v>
      </c>
      <c r="Z17" s="74">
        <v>18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2493</v>
      </c>
      <c r="E18" s="71">
        <v>5458</v>
      </c>
      <c r="F18" s="71">
        <v>1087</v>
      </c>
      <c r="G18" s="71">
        <v>959</v>
      </c>
      <c r="H18" s="71">
        <v>111</v>
      </c>
      <c r="I18" s="71">
        <v>1689</v>
      </c>
      <c r="J18" s="71">
        <v>568</v>
      </c>
      <c r="K18" s="71">
        <v>765</v>
      </c>
      <c r="L18" s="71">
        <v>5618</v>
      </c>
      <c r="M18" s="71">
        <v>1503</v>
      </c>
      <c r="N18" s="71">
        <v>2033</v>
      </c>
      <c r="O18" s="71">
        <v>2847</v>
      </c>
      <c r="P18" s="71">
        <v>2218</v>
      </c>
      <c r="Q18" s="71">
        <v>5182</v>
      </c>
      <c r="R18" s="71">
        <v>3490</v>
      </c>
      <c r="S18" s="71">
        <v>2664</v>
      </c>
      <c r="T18" s="71">
        <v>6315</v>
      </c>
      <c r="U18" s="71">
        <v>1593</v>
      </c>
      <c r="V18" s="71">
        <v>-1641</v>
      </c>
      <c r="W18" s="71">
        <v>-596</v>
      </c>
      <c r="X18" s="71">
        <v>325</v>
      </c>
      <c r="Y18" s="109">
        <v>-9906</v>
      </c>
      <c r="Z18" s="71">
        <v>0</v>
      </c>
      <c r="AA18" s="71">
        <v>2499</v>
      </c>
      <c r="AB18" s="71">
        <v>6860</v>
      </c>
      <c r="AC18" s="71">
        <v>6506</v>
      </c>
      <c r="AD18" s="71">
        <v>40.880000000000003</v>
      </c>
      <c r="AE18" s="71">
        <v>41.4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3" t="s" ph="1">
        <v>180</v>
      </c>
      <c r="D19" s="73" ph="1">
        <f>D18*7.0686*LOOKUP(D20,密度!$A$2:$A$50,密度!$L$2:$L$50)</f>
        <v>16617.564671399996</v>
      </c>
      <c r="E19" s="73" ph="1">
        <f>E18*7.0686*LOOKUP(E20,密度!$A$2:$A$50,密度!$L$2:$L$50)</f>
        <v>36381.3349284</v>
      </c>
      <c r="F19" s="73" ph="1">
        <f>F18*9.0746*LOOKUP(F20,密度!$A$2:$A$50,密度!$L$2:$L$50)</f>
        <v>9272.244788</v>
      </c>
      <c r="G19" s="73" ph="1">
        <f>G18*9.0746*LOOKUP(G20,密度!$A$2:$A$50,密度!$B$2:$B$50)</f>
        <v>6823.6627117400003</v>
      </c>
      <c r="H19" s="73" ph="1">
        <f>H18*9.0746*LOOKUP(H20,密度!$A$2:$A$50,密度!$L$2:$L$50)</f>
        <v>951.88016700000003</v>
      </c>
      <c r="I19" s="73" ph="1">
        <f>I18*9.0746*LOOKUP(I20,密度!$A$2:$A$50,密度!$U$2:$U$50)</f>
        <v>15756.155383200001</v>
      </c>
      <c r="J19" s="73" ph="1">
        <f>J18*9.0746*LOOKUP(J20,密度!$A$2:$A$50,密度!$L$2:$L$50)</f>
        <v>4850.2648048000001</v>
      </c>
      <c r="K19" s="73" ph="1">
        <f>K18*9.0746*LOOKUP(K20,密度!$A$2:$A$50,密度!$C$2:$C$50)</f>
        <v>7723.7459694000008</v>
      </c>
      <c r="L19" s="73" ph="1">
        <f>L18*9.0746*LOOKUP(L20,密度!$A$2:$A$50,密度!$E$2:$E$50)</f>
        <v>40290.365542840002</v>
      </c>
      <c r="M19" s="73" ph="1">
        <f>M18*9.0746*LOOKUP(M20,密度!$A$2:$A$50,密度!$M$2:$M$50)</f>
        <v>12006.52068114</v>
      </c>
      <c r="N19" s="73" ph="1">
        <f>N18*9.0746*LOOKUP(N20,密度!$A$2:$A$50,密度!$M$2:$M$50)</f>
        <v>16240.356982540001</v>
      </c>
      <c r="O19" s="73" ph="1">
        <f>O18*9.0746*LOOKUP(O20,密度!$A$2:$A$50,密度!$G$2:$G$50)</f>
        <v>24954.399530580002</v>
      </c>
      <c r="P19" s="73" ph="1">
        <f ca="1">P18*9.0746*LOOKUP(P20,密度!$A$2:$A$51,密度!$Q$2:$Q$50)</f>
        <v>19128.738095864002</v>
      </c>
      <c r="Q19" s="73" ph="1">
        <f>Q18*9.0746*LOOKUP(Q20,密度!$A$2:$A$50,密度!$Q$2:$Q$50)</f>
        <v>44731.188569956001</v>
      </c>
      <c r="R19" s="73" ph="1">
        <f>MAX(R18*9.0746*LOOKUP(R20,密度!$A$2:$A$50,密度!$B$2:$B$50),0)</f>
        <v>24832.724571400002</v>
      </c>
      <c r="S19" s="73" ph="1">
        <f>S18*9.0746*LOOKUP(S20,密度!$A$2:$A$50,密度!$Q$2:$Q$50)</f>
        <v>22995.732603312001</v>
      </c>
      <c r="T19" s="73" ph="1">
        <f>T18*9.0746*LOOKUP(T20,密度!$A$2:$A$50,密度!$O$2:$O$50)</f>
        <v>53294.672070000008</v>
      </c>
      <c r="U19" s="73" ph="1">
        <f>U18*9.0746*LOOKUP(U20,密度!$A$2:$A$50,密度!$H$2:$H$50)</f>
        <v>13309.489862460001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197.50426539200089</v>
      </c>
      <c r="X19" s="73" ph="1">
        <f>MAX(5600*LOOKUP(X20,密度!$A$2:$A$50,密度!$I$2:$I$50)+X18*9.0476*LOOKUP(X20,密度!$A$2:$A$50,密度!$I$2:$I$50),0)</f>
        <v>8941.8720899999989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17833.52733456</v>
      </c>
      <c r="AB19" s="73" ph="1">
        <f>AB18*9.0746*LOOKUP(AB20,密度!$A$2:$A$50,密度!$L$2:$L$50)</f>
        <v>58765.657663999998</v>
      </c>
      <c r="AC19" s="73" ph="1">
        <f>AC18*9.0746*LOOKUP(AC20,密度!$A$2:$A$50,密度!$L$2:$L$50)</f>
        <v>55792.183482</v>
      </c>
      <c r="AD19" s="73" ph="1">
        <f>AD18*268.68*LOOKUP(AD20,密度!$A$2:$A$50,密度!B5:B53)+IF(AD18&lt;=0,0,1566*LOOKUP(AD20,密度!$A$2:$A$50,密度!B5:B53))</f>
        <v>9751.0690368000014</v>
      </c>
      <c r="AE19" s="73" ph="1">
        <f>AE18*268.68*LOOKUP(AE20,密度!$A$2:$A$50,密度!B5:B53)+IF(AE18&lt;=0,0,1566*LOOKUP(AE20,密度!$A$2:$A$50,密度!B5:B53))</f>
        <v>9859.6265039999998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19</v>
      </c>
      <c r="E20" s="81">
        <v>19</v>
      </c>
      <c r="F20" s="81">
        <v>22</v>
      </c>
      <c r="G20" s="81">
        <v>20</v>
      </c>
      <c r="H20" s="81">
        <v>17</v>
      </c>
      <c r="I20" s="81">
        <v>21</v>
      </c>
      <c r="J20" s="81">
        <v>21</v>
      </c>
      <c r="K20" s="81">
        <v>20</v>
      </c>
      <c r="L20" s="81">
        <v>19</v>
      </c>
      <c r="M20" s="81">
        <v>19</v>
      </c>
      <c r="N20" s="81">
        <v>18</v>
      </c>
      <c r="O20" s="81">
        <v>20</v>
      </c>
      <c r="P20" s="81">
        <v>20</v>
      </c>
      <c r="Q20" s="81">
        <v>19</v>
      </c>
      <c r="R20" s="81">
        <v>20</v>
      </c>
      <c r="S20" s="81">
        <v>19</v>
      </c>
      <c r="T20" s="81">
        <v>20</v>
      </c>
      <c r="U20" s="81">
        <v>19</v>
      </c>
      <c r="V20" s="81">
        <v>19</v>
      </c>
      <c r="W20" s="81">
        <v>19</v>
      </c>
      <c r="X20" s="81">
        <v>21</v>
      </c>
      <c r="Y20" s="110">
        <v>21</v>
      </c>
      <c r="Z20" s="81">
        <v>24</v>
      </c>
      <c r="AA20" s="81">
        <v>17</v>
      </c>
      <c r="AB20" s="81">
        <v>18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651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3" t="s" ph="1">
        <v>179</v>
      </c>
      <c r="D24" s="71">
        <v>98.49</v>
      </c>
      <c r="E24" s="71">
        <v>95.16</v>
      </c>
      <c r="F24" s="71">
        <v>4019</v>
      </c>
      <c r="G24" s="71">
        <v>947</v>
      </c>
      <c r="H24" s="71">
        <v>1898</v>
      </c>
      <c r="I24" s="71">
        <v>5516</v>
      </c>
      <c r="J24" s="71">
        <v>4900</v>
      </c>
      <c r="K24" s="71">
        <v>5618</v>
      </c>
      <c r="L24" s="71">
        <v>5585</v>
      </c>
      <c r="M24" s="71">
        <v>5449</v>
      </c>
      <c r="N24" s="71">
        <v>5356</v>
      </c>
      <c r="O24" s="71">
        <v>3514</v>
      </c>
      <c r="P24" s="71">
        <v>430</v>
      </c>
      <c r="Q24" s="90">
        <v>2550</v>
      </c>
      <c r="R24" s="71">
        <v>6744</v>
      </c>
      <c r="S24" s="71">
        <v>1824</v>
      </c>
      <c r="T24" s="71">
        <v>905</v>
      </c>
      <c r="U24" s="71">
        <v>3401</v>
      </c>
      <c r="V24" s="71">
        <v>9617</v>
      </c>
      <c r="W24" s="71">
        <v>7519</v>
      </c>
      <c r="X24" s="71">
        <v>7078</v>
      </c>
      <c r="Y24" s="71">
        <v>2367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26535.506304168004</v>
      </c>
      <c r="E25" s="91" ph="1">
        <f>E24*268.68*LOOKUP(E26,密度!$A$2:$A$50,密度!$C$2:$C$50)+IF(E24&lt;=0,0,1566*LOOKUP(E26,密度!$A$2:$A$50,密度!$C$2:$C$50))</f>
        <v>30088.436620320004</v>
      </c>
      <c r="F25" s="91" ph="1">
        <f>F24*11.702*LOOKUP(F26,密度!$A$2:$A$50,密度!$Q$2:$Q$50)</f>
        <v>44773.352079380005</v>
      </c>
      <c r="G25" s="91" ph="1">
        <f>G24*18.322*LOOKUP(G26,密度!$A$2:$A$50,密度!$B$2:$B$50)</f>
        <v>13644.774497599998</v>
      </c>
      <c r="H25" s="91" ph="1">
        <f>H24*18.322*LOOKUP(H26,密度!$A$2:$A$50,密度!$B$2:$B$50)</f>
        <v>27347.182678399997</v>
      </c>
      <c r="I25" s="91" ph="1">
        <f>I24*18.322*LOOKUP(I26,密度!$A$2:$A$50,密度!$Q$2:$Q$50)</f>
        <v>96293.924025600005</v>
      </c>
      <c r="J25" s="91" ph="1">
        <f>J24*18.322*LOOKUP(J26,密度!$A$2:$A$50,密度!$Q$2:$Q$50)</f>
        <v>85540.287840000005</v>
      </c>
      <c r="K25" s="91" ph="1">
        <f>K24*18.322*LOOKUP(K26,密度!$A$2:$A$50,密度!$Q$2:$Q$50)</f>
        <v>97993.241521960008</v>
      </c>
      <c r="L25" s="91" ph="1">
        <f>L24*18.322*LOOKUP(L26,密度!$A$2:$A$50,密度!$Q$2:$Q$50)</f>
        <v>97417.631523699994</v>
      </c>
      <c r="M25" s="91" ph="1">
        <f>M24*18.322*LOOKUP(M26,密度!$A$2:$A$50,密度!$Q$2:$Q$50)</f>
        <v>95124.291518399987</v>
      </c>
      <c r="N25" s="91" ph="1">
        <f>N24*18.322*LOOKUP(N26,密度!$A$2:$A$50,密度!$Q$2:$Q$50)</f>
        <v>93423.246990319996</v>
      </c>
      <c r="O25" s="91" ph="1">
        <f>O24*18.322*LOOKUP(O26,密度!$A$2:$A$50,密度!$C$2:$C$50)</f>
        <v>71716.789561199985</v>
      </c>
      <c r="P25" s="91" ph="1">
        <f>P24*11.702*LOOKUP(P26,密度!$A$2:$A$50,密度!$B$2:$B$50)</f>
        <v>3953.5324019999994</v>
      </c>
      <c r="Q25" s="92" ph="1">
        <f>Q24*18.322*LOOKUP(Q26,密度!$A$2:$A$50,密度!$B$2:$B$50)</f>
        <v>36741.473039999997</v>
      </c>
      <c r="R25" s="91" ph="1">
        <f>R24*35.891*LOOKUP(R26,密度!$A$2:$A$50,密度!$C$2:$C$50)</f>
        <v>269763.50350799999</v>
      </c>
      <c r="S25" s="91" ph="1">
        <f>S24*35.891*LOOKUP(S26,密度!$A$2:$A$50,密度!$B$2:$B$50)</f>
        <v>51481.820697599993</v>
      </c>
      <c r="T25" s="91" ph="1">
        <f>T24*35.891*LOOKUP(T26,密度!$A$2:$A$50,密度!$Q$2:$Q$50)</f>
        <v>30922.574773550001</v>
      </c>
      <c r="U25" s="91" ph="1">
        <f>U24*35.891</f>
        <v>122065.291</v>
      </c>
      <c r="V25" s="91" ph="1">
        <f>V24*47.051*LOOKUP(V26,密度!$A$2:$A$50,密度!$B$2:$B$50)</f>
        <v>355837.71684880002</v>
      </c>
      <c r="W25" s="91" ph="1">
        <f>W24*47.051*LOOKUP(W26,密度!$A$2:$A$50,密度!$B$2:$B$50)</f>
        <v>277962.17169330001</v>
      </c>
      <c r="X25" s="91" ph="1">
        <f>X24*47.051*LOOKUP(X26,密度!$A$2:$A$50,密度!$I$2:$I$50)</f>
        <v>344896.05949591997</v>
      </c>
      <c r="Y25" s="91" ph="1">
        <f>Y24*47.051*LOOKUP(Y26,密度!$A$2:$A$50,密度!$L$2:$L$50)</f>
        <v>105133.012848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18</v>
      </c>
      <c r="G26" s="74">
        <v>17</v>
      </c>
      <c r="H26" s="74">
        <v>17</v>
      </c>
      <c r="I26" s="74">
        <v>17</v>
      </c>
      <c r="J26" s="74">
        <v>17</v>
      </c>
      <c r="K26" s="74">
        <v>18</v>
      </c>
      <c r="L26" s="74">
        <v>18</v>
      </c>
      <c r="M26" s="74">
        <v>17</v>
      </c>
      <c r="N26" s="74">
        <v>18</v>
      </c>
      <c r="O26" s="74">
        <v>18</v>
      </c>
      <c r="P26" s="74">
        <v>18</v>
      </c>
      <c r="Q26" s="93">
        <v>17</v>
      </c>
      <c r="R26" s="74">
        <v>17</v>
      </c>
      <c r="S26" s="74">
        <v>17</v>
      </c>
      <c r="T26" s="74">
        <v>18</v>
      </c>
      <c r="U26" s="74">
        <v>18</v>
      </c>
      <c r="V26" s="74">
        <v>17</v>
      </c>
      <c r="W26" s="74">
        <v>18</v>
      </c>
      <c r="X26" s="74">
        <v>53</v>
      </c>
      <c r="Y26" s="74">
        <v>18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3" t="s" ph="1">
        <v>182</v>
      </c>
      <c r="D27" s="71">
        <v>98.53</v>
      </c>
      <c r="E27" s="71">
        <v>95.16</v>
      </c>
      <c r="F27" s="71">
        <v>4019</v>
      </c>
      <c r="G27" s="71">
        <v>906</v>
      </c>
      <c r="H27" s="71">
        <v>1446</v>
      </c>
      <c r="I27" s="71">
        <v>5515</v>
      </c>
      <c r="J27" s="71">
        <v>4900</v>
      </c>
      <c r="K27" s="71">
        <v>5616</v>
      </c>
      <c r="L27" s="71">
        <v>5580</v>
      </c>
      <c r="M27" s="71">
        <v>5449</v>
      </c>
      <c r="N27" s="71">
        <v>5354</v>
      </c>
      <c r="O27" s="71">
        <v>3510</v>
      </c>
      <c r="P27" s="71">
        <v>424</v>
      </c>
      <c r="Q27" s="90">
        <v>3024</v>
      </c>
      <c r="R27" s="71">
        <v>6226</v>
      </c>
      <c r="S27" s="71">
        <v>2432</v>
      </c>
      <c r="T27" s="71">
        <v>903</v>
      </c>
      <c r="U27" s="71">
        <v>2716</v>
      </c>
      <c r="V27" s="71">
        <v>9617</v>
      </c>
      <c r="W27" s="71">
        <v>8251</v>
      </c>
      <c r="X27" s="71">
        <v>6603</v>
      </c>
      <c r="Y27" s="71">
        <v>1306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3" t="s" ph="1">
        <v>180</v>
      </c>
      <c r="D28" s="91" ph="1">
        <f>D27*268.68*LOOKUP(D29,密度!$A$2:$A$50,密度!$Q$2:$Q$50)+IF(D27&lt;=0,0,1566*LOOKUP(D29,密度!$A$2:$A$50,密度!$Q$2:$Q$50))</f>
        <v>26545.681108296005</v>
      </c>
      <c r="E28" s="91" ph="1">
        <f>E27*268.68*LOOKUP(E29,密度!$A$2:$A$50,密度!$C$2:$C$50)+IF(E27&lt;=0,0,1566*LOOKUP(E29,密度!$A$2:$A$50,密度!$C$2:$C$50))</f>
        <v>30088.436620320004</v>
      </c>
      <c r="F28" s="91" ph="1">
        <f>F27*11.702*LOOKUP(F29,密度!$A$2:$A$50,密度!$Q$2:$Q$50)</f>
        <v>44773.352079380005</v>
      </c>
      <c r="G28" s="91" ph="1">
        <f>G27*18.322*LOOKUP(G29,密度!$A$2:$A$50,密度!$B$2:$B$50)</f>
        <v>13042.4094324</v>
      </c>
      <c r="H28" s="91" ph="1">
        <f>H27*18.322*LOOKUP(H29,密度!$A$2:$A$50,密度!$B$2:$B$50)</f>
        <v>20794.8360588</v>
      </c>
      <c r="I28" s="91" ph="1">
        <f>I27*18.322*LOOKUP(I29,密度!$A$2:$A$50,密度!$Q$2:$Q$50)</f>
        <v>96117.824870900004</v>
      </c>
      <c r="J28" s="91" ph="1">
        <f>J27*18.322*LOOKUP(J29,密度!$A$2:$A$50,密度!$Q$2:$Q$50)</f>
        <v>85469.363378000009</v>
      </c>
      <c r="K28" s="91" ph="1">
        <f>K27*18.322*LOOKUP(K29,密度!$A$2:$A$50,密度!$Q$2:$Q$50)</f>
        <v>97958.356067519999</v>
      </c>
      <c r="L28" s="91" ph="1">
        <f>L27*18.322*LOOKUP(L29,密度!$A$2:$A$50,密度!$Q$2:$Q$50)</f>
        <v>97250.673214800001</v>
      </c>
      <c r="M28" s="91" ph="1">
        <f>M27*18.322*LOOKUP(M29,密度!$A$2:$A$50,密度!$Q$2:$Q$50)</f>
        <v>94967.548090939992</v>
      </c>
      <c r="N28" s="91" ph="1">
        <f>N27*18.322*LOOKUP(N29,密度!$A$2:$A$50,密度!$Q$2:$Q$50)</f>
        <v>93311.846665239995</v>
      </c>
      <c r="O28" s="91" ph="1">
        <f>O27*18.322*LOOKUP(O29,密度!$A$2:$A$50,密度!$C$2:$C$50)</f>
        <v>71635.154057999986</v>
      </c>
      <c r="P28" s="91" ph="1">
        <f>P27*11.702*LOOKUP(P29,密度!$A$2:$A$50,密度!$B$2:$B$50)</f>
        <v>3898.3668336000001</v>
      </c>
      <c r="Q28" s="92" ph="1">
        <f>Q27*18.322*LOOKUP(Q29,密度!$A$2:$A$50,密度!$B$2:$B$50)</f>
        <v>43532.280489599994</v>
      </c>
      <c r="R28" s="91" ph="1">
        <f>R27*35.891*LOOKUP(R29,密度!$A$2:$A$50,密度!$C$2:$C$50)</f>
        <v>248752.73983119996</v>
      </c>
      <c r="S28" s="91" ph="1">
        <f>S27*35.891*LOOKUP(S29,密度!$A$2:$A$50,密度!$B$2:$B$50)</f>
        <v>68511.497228799999</v>
      </c>
      <c r="T28" s="91" ph="1">
        <f>T27*35.891*LOOKUP(T29,密度!$A$2:$A$50,密度!$Q$2:$Q$50)</f>
        <v>30828.958124789999</v>
      </c>
      <c r="U28" s="91" ph="1">
        <f>U27*35.891</f>
        <v>97479.955999999991</v>
      </c>
      <c r="V28" s="91" ph="1">
        <f>V27*47.051*LOOKUP(V29,密度!$A$2:$A$50,密度!$B$2:$B$50)</f>
        <v>355520.97422189999</v>
      </c>
      <c r="W28" s="91" ph="1">
        <f>W27*47.051*LOOKUP(W29,密度!$A$2:$A$50,密度!$B$2:$B$50)</f>
        <v>305022.72624570003</v>
      </c>
      <c r="X28" s="91" ph="1">
        <f>X27*47.051*LOOKUP(X29,密度!$A$2:$A$50,密度!$I$2:$I$50)</f>
        <v>321750.30811692</v>
      </c>
      <c r="Y28" s="91" ph="1">
        <f>Y27*47.051*LOOKUP(Y29,密度!$A$2:$A$50,密度!$L$2:$L$50)</f>
        <v>57946.035457999998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3" t="s" ph="1">
        <v>181</v>
      </c>
      <c r="D29" s="74">
        <v>25</v>
      </c>
      <c r="E29" s="74">
        <v>25</v>
      </c>
      <c r="F29" s="74">
        <v>18</v>
      </c>
      <c r="G29" s="74">
        <v>18</v>
      </c>
      <c r="H29" s="74">
        <v>19</v>
      </c>
      <c r="I29" s="74">
        <v>19</v>
      </c>
      <c r="J29" s="74">
        <v>18</v>
      </c>
      <c r="K29" s="74">
        <v>18</v>
      </c>
      <c r="L29" s="74">
        <v>19</v>
      </c>
      <c r="M29" s="74">
        <v>19</v>
      </c>
      <c r="N29" s="74">
        <v>19</v>
      </c>
      <c r="O29" s="74">
        <v>18</v>
      </c>
      <c r="P29" s="74">
        <v>18</v>
      </c>
      <c r="Q29" s="93">
        <v>18</v>
      </c>
      <c r="R29" s="74">
        <v>19</v>
      </c>
      <c r="S29" s="74">
        <v>19</v>
      </c>
      <c r="T29" s="74">
        <v>19</v>
      </c>
      <c r="U29" s="74">
        <v>18</v>
      </c>
      <c r="V29" s="74">
        <v>18</v>
      </c>
      <c r="W29" s="74">
        <v>18</v>
      </c>
      <c r="X29" s="74">
        <v>55</v>
      </c>
      <c r="Y29" s="74">
        <v>19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3" t="s" ph="1">
        <v>5</v>
      </c>
      <c r="F32" s="154" t="s" ph="1">
        <v>43</v>
      </c>
      <c r="G32" s="97" t="s" ph="1">
        <v>4</v>
      </c>
      <c r="H32" s="153" t="s" ph="1">
        <v>5</v>
      </c>
      <c r="I32" s="154" t="s" ph="1">
        <v>43</v>
      </c>
      <c r="J32" s="97" t="s" ph="1">
        <v>4</v>
      </c>
      <c r="K32" s="153" t="s" ph="1">
        <v>5</v>
      </c>
      <c r="L32" s="154" t="s" ph="1">
        <v>43</v>
      </c>
      <c r="M32" s="97" t="s" ph="1">
        <v>4</v>
      </c>
      <c r="N32" s="153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4" t="s" ph="1">
        <v>43</v>
      </c>
      <c r="AB32" s="97" t="s" ph="1">
        <v>86</v>
      </c>
      <c r="AC32" s="153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98018.343617200007</v>
      </c>
      <c r="E33" s="201" ph="1">
        <f>M10+I10</f>
        <v>124133.48861649999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27" ph="1">
        <v>0</v>
      </c>
      <c r="H33" s="201" ph="1">
        <f>N19</f>
        <v>16240.356982540001</v>
      </c>
      <c r="I33" s="205" ph="1">
        <v>0</v>
      </c>
      <c r="J33" s="209" ph="1">
        <f>F10+O28</f>
        <v>310171.97913300002</v>
      </c>
      <c r="K33" s="201" ph="1">
        <f>O10+K10+E28+R28</f>
        <v>323775.88231871999</v>
      </c>
      <c r="L33" s="211" ph="1">
        <f>BE27</f>
        <v>7100</v>
      </c>
      <c r="M33" s="209" ph="1">
        <f>G10+H10+W28+S28</f>
        <v>1024308.7062045</v>
      </c>
      <c r="N33" s="201" ph="1">
        <f>L10+P10++G28+H28+V28</f>
        <v>532424.35006109998</v>
      </c>
      <c r="O33" s="205" ph="1">
        <f>BE17</f>
        <v>2270</v>
      </c>
      <c r="P33" s="209" ph="1">
        <f>L19</f>
        <v>40290.365542840002</v>
      </c>
      <c r="Q33" s="201" ph="1">
        <f>J10+N10</f>
        <v>107821.725888</v>
      </c>
      <c r="R33" s="205" ph="1">
        <f>BE23</f>
        <v>890</v>
      </c>
      <c r="S33" s="209" ph="1">
        <f>E10+X28</f>
        <v>321750.30811692</v>
      </c>
      <c r="T33" s="201" ph="1">
        <f>X19</f>
        <v>8941.8720899999989</v>
      </c>
      <c r="U33" s="190" ph="1">
        <f>BE21</f>
        <v>730</v>
      </c>
      <c r="V33" s="203" ph="1">
        <f ca="1">P19+Q19+S19+M28+N28+J28</f>
        <v>360604.41740331205</v>
      </c>
      <c r="W33" s="203" ph="1">
        <f>D28+F28+V19+T28</f>
        <v>102147.99131246601</v>
      </c>
      <c r="X33" s="205" ph="1">
        <f>BE29+BE31</f>
        <v>10200</v>
      </c>
      <c r="Y33" s="207" ph="1">
        <f>+Q10+R10+S10+T10+U10+V10+W10+X10+Y10</f>
        <v>211470.57106559997</v>
      </c>
      <c r="Z33" s="188" ph="1">
        <f>D10+T19+U19+Y28+Z10</f>
        <v>236979.28967168002</v>
      </c>
      <c r="AA33" s="190" ph="1">
        <f>BE19</f>
        <v>1440</v>
      </c>
      <c r="AB33" s="192" ph="1">
        <f>I19</f>
        <v>15756.155383200001</v>
      </c>
      <c r="AC33" s="194" ph="1">
        <f>AD10</f>
        <v>13582.037900800002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73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5" t="s" ph="1">
        <v>187</v>
      </c>
      <c r="AA36" s="155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5" t="s" ph="1">
        <v>346</v>
      </c>
      <c r="AI37" s="155" t="s" ph="1">
        <v>213</v>
      </c>
      <c r="AJ37" s="155" t="s" ph="1">
        <v>214</v>
      </c>
      <c r="AK37" s="155" t="s" ph="1">
        <v>215</v>
      </c>
      <c r="AM37" s="155" t="s" ph="1">
        <v>214</v>
      </c>
      <c r="AN37" s="155" t="s" ph="1">
        <v>215</v>
      </c>
      <c r="AO37" s="155" t="s" ph="1">
        <v>216</v>
      </c>
      <c r="AP37" s="155" t="s" ph="1">
        <v>214</v>
      </c>
      <c r="AQ37" s="155" t="s" ph="1">
        <v>215</v>
      </c>
      <c r="AR37" s="155" t="s" ph="1">
        <v>216</v>
      </c>
      <c r="AS37" s="155" t="s" ph="1">
        <v>214</v>
      </c>
      <c r="AT37" s="155" t="s" ph="1">
        <v>215</v>
      </c>
      <c r="AU37" s="155" t="s" ph="1">
        <v>216</v>
      </c>
      <c r="AV37" s="155" t="s" ph="1">
        <v>214</v>
      </c>
      <c r="AW37" s="155" t="s" ph="1">
        <v>215</v>
      </c>
      <c r="AX37" s="155" t="s" ph="1">
        <v>216</v>
      </c>
      <c r="AY37" s="155" t="s" ph="1">
        <v>215</v>
      </c>
      <c r="AZ37" s="155" t="s" ph="1">
        <v>217</v>
      </c>
      <c r="BD37" s="155" t="s" ph="1">
        <v>309</v>
      </c>
      <c r="BE37" s="155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15" priority="96">
      <formula>ABS(D$7-D$10)&gt;=1000</formula>
    </cfRule>
  </conditionalFormatting>
  <conditionalFormatting sqref="E4 E6:E11">
    <cfRule type="expression" dxfId="2014" priority="95">
      <formula>ABS(E$7-E$10)&gt;=1000</formula>
    </cfRule>
  </conditionalFormatting>
  <conditionalFormatting sqref="F4:F11">
    <cfRule type="expression" dxfId="2013" priority="94">
      <formula>ABS(F$7-F$10)&gt;=1000</formula>
    </cfRule>
  </conditionalFormatting>
  <conditionalFormatting sqref="G4:G11">
    <cfRule type="expression" dxfId="2012" priority="93">
      <formula>ABS(G$7-G$10)&gt;=1000</formula>
    </cfRule>
  </conditionalFormatting>
  <conditionalFormatting sqref="H4:H11">
    <cfRule type="expression" dxfId="2011" priority="92">
      <formula>ABS(H$7-H$10)&gt;=1000</formula>
    </cfRule>
  </conditionalFormatting>
  <conditionalFormatting sqref="I4:I11">
    <cfRule type="expression" dxfId="2010" priority="91">
      <formula>ABS(I$7-I$10)&gt;=1000</formula>
    </cfRule>
  </conditionalFormatting>
  <conditionalFormatting sqref="J4:J11">
    <cfRule type="expression" dxfId="2009" priority="90">
      <formula>ABS(J$7-J$10)&gt;=1000</formula>
    </cfRule>
  </conditionalFormatting>
  <conditionalFormatting sqref="K4:K11">
    <cfRule type="expression" dxfId="2008" priority="89">
      <formula>ABS(K$7-K$10)&gt;=1000</formula>
    </cfRule>
  </conditionalFormatting>
  <conditionalFormatting sqref="L4:L11">
    <cfRule type="expression" dxfId="2007" priority="88">
      <formula>ABS(L$7-L$10)&gt;=1000</formula>
    </cfRule>
  </conditionalFormatting>
  <conditionalFormatting sqref="M4 M6:M11">
    <cfRule type="expression" dxfId="2006" priority="87">
      <formula>ABS(M$7-M$10)&gt;=1000</formula>
    </cfRule>
  </conditionalFormatting>
  <conditionalFormatting sqref="N4 N6:N11">
    <cfRule type="expression" dxfId="2005" priority="86">
      <formula>ABS(N$7-N$10)&gt;=1000</formula>
    </cfRule>
  </conditionalFormatting>
  <conditionalFormatting sqref="O4 O6:O11">
    <cfRule type="expression" dxfId="2004" priority="85">
      <formula>ABS(O$7-O$10)&gt;=1000</formula>
    </cfRule>
  </conditionalFormatting>
  <conditionalFormatting sqref="P4 P6:P11">
    <cfRule type="expression" dxfId="2003" priority="84">
      <formula>ABS(P$7-P$10)&gt;=1000</formula>
    </cfRule>
  </conditionalFormatting>
  <conditionalFormatting sqref="Q4:Q11">
    <cfRule type="expression" dxfId="2002" priority="83">
      <formula>ABS(Q$7-Q$10)&gt;=1000</formula>
    </cfRule>
  </conditionalFormatting>
  <conditionalFormatting sqref="R4:R11">
    <cfRule type="expression" dxfId="2001" priority="82">
      <formula>ABS(R$7-R$10)&gt;=1000</formula>
    </cfRule>
  </conditionalFormatting>
  <conditionalFormatting sqref="S4:S11">
    <cfRule type="expression" dxfId="2000" priority="81">
      <formula>ABS(S$7-S$10)&gt;=1000</formula>
    </cfRule>
  </conditionalFormatting>
  <conditionalFormatting sqref="T4:T9 T11">
    <cfRule type="expression" dxfId="1999" priority="80">
      <formula>ABS(T$7-T$10)&gt;=1000</formula>
    </cfRule>
  </conditionalFormatting>
  <conditionalFormatting sqref="U4:U9 U11">
    <cfRule type="expression" dxfId="1998" priority="79">
      <formula>ABS(U$7-U$10)&gt;=1000</formula>
    </cfRule>
  </conditionalFormatting>
  <conditionalFormatting sqref="V4:V9 V11">
    <cfRule type="expression" dxfId="1997" priority="78">
      <formula>ABS(V$7-V$10)&gt;=1000</formula>
    </cfRule>
  </conditionalFormatting>
  <conditionalFormatting sqref="W4:W9 W11">
    <cfRule type="expression" dxfId="1996" priority="77">
      <formula>ABS(W$7-W$10)&gt;=1000</formula>
    </cfRule>
  </conditionalFormatting>
  <conditionalFormatting sqref="X4:X9 X11">
    <cfRule type="expression" dxfId="1995" priority="76">
      <formula>ABS(X$7-X$10)&gt;=1000</formula>
    </cfRule>
  </conditionalFormatting>
  <conditionalFormatting sqref="Y4:Y9 Y11">
    <cfRule type="expression" dxfId="1994" priority="75">
      <formula>ABS(Y$7-Y$10)&gt;=1000</formula>
    </cfRule>
  </conditionalFormatting>
  <conditionalFormatting sqref="Z4:Z11">
    <cfRule type="expression" dxfId="1993" priority="74">
      <formula>ABS(Z$7-Z$10)&gt;=1000</formula>
    </cfRule>
  </conditionalFormatting>
  <conditionalFormatting sqref="AA4:AA11">
    <cfRule type="expression" dxfId="1992" priority="73">
      <formula>ABS(AA$7-AA$10)&gt;=1000</formula>
    </cfRule>
  </conditionalFormatting>
  <conditionalFormatting sqref="AB4:AB11">
    <cfRule type="expression" dxfId="1991" priority="72">
      <formula>ABS(AB$7-AB$10)&gt;=1000</formula>
    </cfRule>
  </conditionalFormatting>
  <conditionalFormatting sqref="AC4 AC6:AC11">
    <cfRule type="expression" dxfId="1990" priority="71">
      <formula>ABS(AC$7-AC$10)&gt;=1000</formula>
    </cfRule>
  </conditionalFormatting>
  <conditionalFormatting sqref="AD4:AD11">
    <cfRule type="expression" dxfId="1989" priority="70">
      <formula>ABS(AD$7-AD$10)&gt;=1000</formula>
    </cfRule>
  </conditionalFormatting>
  <conditionalFormatting sqref="AE4:AE11">
    <cfRule type="expression" dxfId="1988" priority="69">
      <formula>ABS(AE$7-AE$10)&gt;=1000</formula>
    </cfRule>
  </conditionalFormatting>
  <conditionalFormatting sqref="D13:D20">
    <cfRule type="expression" dxfId="1987" priority="68">
      <formula>ABS(D$16-D$19)&gt;=1000</formula>
    </cfRule>
  </conditionalFormatting>
  <conditionalFormatting sqref="E13:E20">
    <cfRule type="expression" dxfId="1986" priority="67">
      <formula>ABS(E$16-E$19)&gt;=1000</formula>
    </cfRule>
  </conditionalFormatting>
  <conditionalFormatting sqref="F13 F15:F20">
    <cfRule type="expression" dxfId="1985" priority="66">
      <formula>ABS(F$16-F$19)&gt;=1000</formula>
    </cfRule>
  </conditionalFormatting>
  <conditionalFormatting sqref="G13:G20">
    <cfRule type="expression" dxfId="1984" priority="65">
      <formula>ABS(G$16-G$19)&gt;=1000</formula>
    </cfRule>
  </conditionalFormatting>
  <conditionalFormatting sqref="H13:H20">
    <cfRule type="expression" dxfId="1983" priority="64">
      <formula>ABS(H$16-H$19)&gt;=1000</formula>
    </cfRule>
  </conditionalFormatting>
  <conditionalFormatting sqref="I13:I20">
    <cfRule type="expression" dxfId="1982" priority="63">
      <formula>ABS(I$16-I$19)&gt;=1000</formula>
    </cfRule>
  </conditionalFormatting>
  <conditionalFormatting sqref="J13:J20">
    <cfRule type="expression" dxfId="1981" priority="62">
      <formula>ABS(J$16-J$19)&gt;=1000</formula>
    </cfRule>
  </conditionalFormatting>
  <conditionalFormatting sqref="L13:L20">
    <cfRule type="expression" dxfId="1980" priority="61">
      <formula>ABS(L$16-L$19)&gt;=1000</formula>
    </cfRule>
  </conditionalFormatting>
  <conditionalFormatting sqref="M13 M15 M17:M18 M20">
    <cfRule type="expression" dxfId="1979" priority="60">
      <formula>ABS(M$16-M$19)&gt;=1000</formula>
    </cfRule>
  </conditionalFormatting>
  <conditionalFormatting sqref="N13:N20">
    <cfRule type="expression" dxfId="1978" priority="59">
      <formula>ABS(N$16-N$19)&gt;=1000</formula>
    </cfRule>
  </conditionalFormatting>
  <conditionalFormatting sqref="O13:O20">
    <cfRule type="expression" dxfId="1977" priority="58">
      <formula>ABS(O$16-O$19)&gt;=1000</formula>
    </cfRule>
  </conditionalFormatting>
  <conditionalFormatting sqref="P13:P20">
    <cfRule type="expression" dxfId="1976" priority="57">
      <formula>ABS(P$16-P$19)&gt;=1000</formula>
    </cfRule>
  </conditionalFormatting>
  <conditionalFormatting sqref="Q13 Q15:Q20">
    <cfRule type="expression" dxfId="1975" priority="56">
      <formula>ABS(Q$16-Q$19)&gt;=1000</formula>
    </cfRule>
  </conditionalFormatting>
  <conditionalFormatting sqref="R13:R20">
    <cfRule type="expression" dxfId="1974" priority="55">
      <formula>ABS(R$16-R$19)&gt;=1000</formula>
    </cfRule>
  </conditionalFormatting>
  <conditionalFormatting sqref="S13:S20">
    <cfRule type="expression" dxfId="1973" priority="54">
      <formula>ABS(S$16-S$19)&gt;=1000</formula>
    </cfRule>
  </conditionalFormatting>
  <conditionalFormatting sqref="T13:T20">
    <cfRule type="expression" dxfId="1972" priority="53">
      <formula>ABS(T$16-T$19)&gt;=1000</formula>
    </cfRule>
  </conditionalFormatting>
  <conditionalFormatting sqref="U13:U20">
    <cfRule type="expression" dxfId="1971" priority="52">
      <formula>ABS(U$16-U$19)&gt;=1000</formula>
    </cfRule>
  </conditionalFormatting>
  <conditionalFormatting sqref="V13:V20">
    <cfRule type="expression" dxfId="1970" priority="51">
      <formula>ABS(V$16-V$19)&gt;=1000</formula>
    </cfRule>
  </conditionalFormatting>
  <conditionalFormatting sqref="W13 W20 W15:W18">
    <cfRule type="expression" dxfId="1969" priority="50">
      <formula>ABS(W$16-W$19)&gt;=1000</formula>
    </cfRule>
  </conditionalFormatting>
  <conditionalFormatting sqref="X13 X15:X20 Y19">
    <cfRule type="expression" dxfId="1968" priority="49">
      <formula>ABS(X$16-X$19)&gt;=1000</formula>
    </cfRule>
  </conditionalFormatting>
  <conditionalFormatting sqref="Y13 Y15:Y18 Y20">
    <cfRule type="expression" dxfId="1967" priority="48">
      <formula>ABS(Y$16-Y$19)&gt;=1000</formula>
    </cfRule>
  </conditionalFormatting>
  <conditionalFormatting sqref="Z13:Z20">
    <cfRule type="expression" dxfId="1966" priority="47">
      <formula>ABS(Z$16-Z$19)&gt;=1000</formula>
    </cfRule>
  </conditionalFormatting>
  <conditionalFormatting sqref="AA13:AA20">
    <cfRule type="expression" dxfId="1965" priority="46">
      <formula>ABS(AA$16-AA$19)&gt;=1000</formula>
    </cfRule>
  </conditionalFormatting>
  <conditionalFormatting sqref="AB13 AB15:AB20">
    <cfRule type="expression" dxfId="1964" priority="45">
      <formula>ABS(AB$16-AB$19)&gt;=1000</formula>
    </cfRule>
  </conditionalFormatting>
  <conditionalFormatting sqref="AC13 AC15:AC20">
    <cfRule type="expression" dxfId="1963" priority="44">
      <formula>ABS(AC$16-AC$19)&gt;=1000</formula>
    </cfRule>
  </conditionalFormatting>
  <conditionalFormatting sqref="AD13:AD20">
    <cfRule type="expression" dxfId="1962" priority="43">
      <formula>ABS(AD$16-AD$19)&gt;=1000</formula>
    </cfRule>
  </conditionalFormatting>
  <conditionalFormatting sqref="AE13:AE20">
    <cfRule type="expression" dxfId="1961" priority="42">
      <formula>ABS(AE$16-AE$19)&gt;=1000</formula>
    </cfRule>
  </conditionalFormatting>
  <conditionalFormatting sqref="D22:D29">
    <cfRule type="expression" dxfId="1960" priority="41">
      <formula>ABS(D$25-D$28)&gt;=1000</formula>
    </cfRule>
  </conditionalFormatting>
  <conditionalFormatting sqref="E22:E29">
    <cfRule type="expression" dxfId="1959" priority="40">
      <formula>ABS(E$25-E$28)&gt;=1000</formula>
    </cfRule>
  </conditionalFormatting>
  <conditionalFormatting sqref="F22:F29">
    <cfRule type="expression" dxfId="1958" priority="39">
      <formula>ABS(F$25-F$28)&gt;=1000</formula>
    </cfRule>
  </conditionalFormatting>
  <conditionalFormatting sqref="G22:G29">
    <cfRule type="expression" dxfId="1957" priority="38">
      <formula>ABS(G$25-G$28)&gt;=1000</formula>
    </cfRule>
  </conditionalFormatting>
  <conditionalFormatting sqref="H22:H29">
    <cfRule type="expression" dxfId="1956" priority="37">
      <formula>ABS(H$25-H$28)&gt;=1000</formula>
    </cfRule>
  </conditionalFormatting>
  <conditionalFormatting sqref="I22 I24:I29">
    <cfRule type="expression" dxfId="1955" priority="36">
      <formula>ABS(I$25-I$28)&gt;=1000</formula>
    </cfRule>
  </conditionalFormatting>
  <conditionalFormatting sqref="J22:J29 K22">
    <cfRule type="expression" dxfId="1954" priority="35">
      <formula>ABS(J$25-J$28)&gt;=1000</formula>
    </cfRule>
  </conditionalFormatting>
  <conditionalFormatting sqref="K23:K29 L25 L28">
    <cfRule type="expression" dxfId="1953" priority="34">
      <formula>ABS(K$25-K$28)&gt;=1000</formula>
    </cfRule>
  </conditionalFormatting>
  <conditionalFormatting sqref="L22:L24 L26:L27 L29">
    <cfRule type="expression" dxfId="1952" priority="33">
      <formula>ABS(L$25-L$28)&gt;=1000</formula>
    </cfRule>
  </conditionalFormatting>
  <conditionalFormatting sqref="M22:M29">
    <cfRule type="expression" dxfId="1951" priority="32">
      <formula>ABS(M$25-M$28)&gt;=1000</formula>
    </cfRule>
  </conditionalFormatting>
  <conditionalFormatting sqref="N22:N29">
    <cfRule type="expression" dxfId="1950" priority="31">
      <formula>ABS(N$25-N$28)&gt;=1000</formula>
    </cfRule>
  </conditionalFormatting>
  <conditionalFormatting sqref="O22:O29">
    <cfRule type="expression" dxfId="1949" priority="30">
      <formula>ABS(O$25-O$28)&gt;=1000</formula>
    </cfRule>
  </conditionalFormatting>
  <conditionalFormatting sqref="P22:P29">
    <cfRule type="expression" dxfId="1948" priority="29">
      <formula>ABS(P$25-P$28)&gt;=1000</formula>
    </cfRule>
  </conditionalFormatting>
  <conditionalFormatting sqref="Q22:Q29">
    <cfRule type="expression" dxfId="1947" priority="28">
      <formula>ABS(Q$25-Q$28)&gt;=1000</formula>
    </cfRule>
  </conditionalFormatting>
  <conditionalFormatting sqref="R22:R29">
    <cfRule type="expression" dxfId="1946" priority="27">
      <formula>ABS(R$25-R$28)&gt;=1000</formula>
    </cfRule>
  </conditionalFormatting>
  <conditionalFormatting sqref="S22:S29">
    <cfRule type="expression" dxfId="1945" priority="26">
      <formula>ABS(S$25-S$28)&gt;=1000</formula>
    </cfRule>
  </conditionalFormatting>
  <conditionalFormatting sqref="T22:T29">
    <cfRule type="expression" dxfId="1944" priority="25">
      <formula>ABS(T$25-T$28)&gt;=1000</formula>
    </cfRule>
  </conditionalFormatting>
  <conditionalFormatting sqref="U22:U29">
    <cfRule type="expression" dxfId="1943" priority="24">
      <formula>ABS(U$25-U$28)&gt;=1000</formula>
    </cfRule>
  </conditionalFormatting>
  <conditionalFormatting sqref="V22:V29">
    <cfRule type="expression" dxfId="1942" priority="23">
      <formula>ABS(V$25-V$28)&gt;=1000</formula>
    </cfRule>
  </conditionalFormatting>
  <conditionalFormatting sqref="W22:W29">
    <cfRule type="expression" dxfId="1941" priority="22">
      <formula>ABS(W$25-W$28)&gt;=1000</formula>
    </cfRule>
  </conditionalFormatting>
  <conditionalFormatting sqref="X22:X29">
    <cfRule type="expression" dxfId="1940" priority="21">
      <formula>ABS(X$25-X$28)&gt;=1000</formula>
    </cfRule>
  </conditionalFormatting>
  <conditionalFormatting sqref="Y22:Y29">
    <cfRule type="expression" dxfId="1939" priority="20">
      <formula>ABS(Y$25-Y$28)&gt;=1000</formula>
    </cfRule>
  </conditionalFormatting>
  <conditionalFormatting sqref="I23">
    <cfRule type="expression" dxfId="1938" priority="19">
      <formula>ABS(I$25-I$28)&gt;=1000</formula>
    </cfRule>
  </conditionalFormatting>
  <conditionalFormatting sqref="F14">
    <cfRule type="expression" dxfId="1937" priority="18">
      <formula>ABS(F$16-F$19)&gt;=1000</formula>
    </cfRule>
  </conditionalFormatting>
  <conditionalFormatting sqref="Q14">
    <cfRule type="expression" dxfId="1936" priority="17">
      <formula>ABS(Q$16-Q$19)&gt;=1000</formula>
    </cfRule>
  </conditionalFormatting>
  <conditionalFormatting sqref="W14">
    <cfRule type="expression" dxfId="1935" priority="16">
      <formula>ABS(W$16-W$19)&gt;=1000</formula>
    </cfRule>
  </conditionalFormatting>
  <conditionalFormatting sqref="Y14">
    <cfRule type="expression" dxfId="1934" priority="15">
      <formula>ABS(Y$16-Y$19)&gt;=1000</formula>
    </cfRule>
  </conditionalFormatting>
  <conditionalFormatting sqref="X14">
    <cfRule type="expression" dxfId="1933" priority="14">
      <formula>ABS(X$16-X$19)&gt;=1000</formula>
    </cfRule>
  </conditionalFormatting>
  <conditionalFormatting sqref="T10:Y10">
    <cfRule type="expression" dxfId="1932" priority="13">
      <formula>ABS(T$7-T$10)&gt;=1000</formula>
    </cfRule>
  </conditionalFormatting>
  <conditionalFormatting sqref="W19">
    <cfRule type="expression" dxfId="1931" priority="12">
      <formula>ABS(W$16-W$19)&gt;=1000</formula>
    </cfRule>
  </conditionalFormatting>
  <conditionalFormatting sqref="AC5">
    <cfRule type="expression" dxfId="1930" priority="11">
      <formula>ABS(AC$7-AC$10)&gt;=1000</formula>
    </cfRule>
  </conditionalFormatting>
  <conditionalFormatting sqref="M14">
    <cfRule type="expression" dxfId="1929" priority="10">
      <formula>ABS(M$16-M$19)&gt;=1000</formula>
    </cfRule>
  </conditionalFormatting>
  <conditionalFormatting sqref="M16">
    <cfRule type="expression" dxfId="1928" priority="9">
      <formula>ABS(M$16-M$19)&gt;=1000</formula>
    </cfRule>
  </conditionalFormatting>
  <conditionalFormatting sqref="M19">
    <cfRule type="expression" dxfId="1927" priority="8">
      <formula>ABS(M$16-M$19)&gt;=1000</formula>
    </cfRule>
  </conditionalFormatting>
  <conditionalFormatting sqref="K13:K20">
    <cfRule type="expression" dxfId="1926" priority="7">
      <formula>ABS(K$16-K$19)&gt;=1000</formula>
    </cfRule>
  </conditionalFormatting>
  <conditionalFormatting sqref="E5">
    <cfRule type="expression" dxfId="1925" priority="6">
      <formula>ABS(E$7-E$10)&gt;=1000</formula>
    </cfRule>
  </conditionalFormatting>
  <conditionalFormatting sqref="AB14:AC14">
    <cfRule type="expression" dxfId="1924" priority="5">
      <formula>ABS(AB$16-AB$19)&gt;=1000</formula>
    </cfRule>
  </conditionalFormatting>
  <conditionalFormatting sqref="M5">
    <cfRule type="expression" dxfId="1923" priority="4">
      <formula>ABS(M$7-M$10)&gt;=1000</formula>
    </cfRule>
  </conditionalFormatting>
  <conditionalFormatting sqref="N5">
    <cfRule type="expression" dxfId="1922" priority="3">
      <formula>ABS(N$7-N$10)&gt;=1000</formula>
    </cfRule>
  </conditionalFormatting>
  <conditionalFormatting sqref="O5">
    <cfRule type="expression" dxfId="1921" priority="2">
      <formula>ABS(O$7-O$10)&gt;=1000</formula>
    </cfRule>
  </conditionalFormatting>
  <conditionalFormatting sqref="P5">
    <cfRule type="expression" dxfId="192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48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1">
    <pageSetUpPr fitToPage="1"/>
  </sheetPr>
  <dimension ref="A1:CU223"/>
  <sheetViews>
    <sheetView view="pageBreakPreview" topLeftCell="A7" zoomScale="70" zoomScaleNormal="100" zoomScaleSheetLayoutView="70" workbookViewId="0">
      <selection activeCell="AC35" sqref="AC35:AE3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45727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8" t="s" ph="1">
        <v>179</v>
      </c>
      <c r="D6" s="71">
        <v>2135</v>
      </c>
      <c r="E6" s="71">
        <v>0</v>
      </c>
      <c r="F6" s="71">
        <v>5952</v>
      </c>
      <c r="G6" s="71">
        <v>7687</v>
      </c>
      <c r="H6" s="71">
        <v>7880</v>
      </c>
      <c r="I6" s="71">
        <v>27.11</v>
      </c>
      <c r="J6" s="71">
        <v>7.81</v>
      </c>
      <c r="K6" s="71">
        <v>47.41</v>
      </c>
      <c r="L6" s="71">
        <v>41.41</v>
      </c>
      <c r="M6" s="71">
        <v>3386</v>
      </c>
      <c r="N6" s="71">
        <v>4031</v>
      </c>
      <c r="O6" s="71">
        <v>2099</v>
      </c>
      <c r="P6" s="71">
        <v>3190</v>
      </c>
      <c r="Q6" s="71">
        <v>6180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5400</v>
      </c>
      <c r="X6" s="71">
        <v>6211</v>
      </c>
      <c r="Y6" s="71">
        <v>5114</v>
      </c>
      <c r="Z6" s="71">
        <v>2482</v>
      </c>
      <c r="AA6" s="71">
        <v>1568</v>
      </c>
      <c r="AB6" s="71">
        <v>2092</v>
      </c>
      <c r="AC6" s="71">
        <v>5166</v>
      </c>
      <c r="AD6" s="71">
        <v>693</v>
      </c>
      <c r="AE6" s="71">
        <v>3562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67501.787723999994</v>
      </c>
      <c r="E7" s="73" ph="1">
        <f>E6*51.53*LOOKUP(E8,密度!$A$2:$A$50,密度!$B$2:$B$50)</f>
        <v>0</v>
      </c>
      <c r="F7" s="73" ph="1">
        <f>F6*33.183*LOOKUP(F8,密度!$A$2:$A$50,密度!$C$2:$C$50)</f>
        <v>220257.81688319996</v>
      </c>
      <c r="G7" s="73" ph="1">
        <f xml:space="preserve"> (G6+2)*51.53*LOOKUP(G8,密度!$A$2:$A$50,密度!$B$2:$B$50)</f>
        <v>311582.82328799996</v>
      </c>
      <c r="H7" s="73" ph="1">
        <f>(H6)*51.53*LOOKUP(H8,密度!$A$2:$A$50,密度!$B$2:$B$50)</f>
        <v>321353.03496000002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15339.224832800001</v>
      </c>
      <c r="L7" s="73" ph="1">
        <f>L6*290.8*0.777</f>
        <v>9356.6557560000001</v>
      </c>
      <c r="M7" s="73" ph="1">
        <f>M6*33.183*LOOKUP(M8,密度!$A$2:$A$50,密度!$D$2:$D$50)</f>
        <v>116166.56192820001</v>
      </c>
      <c r="N7" s="73" ph="1">
        <f>N6*33.183*LOOKUP(N8,密度!$A$2:$A$50,密度!$E$2:$E$50)</f>
        <v>105858.1966122</v>
      </c>
      <c r="O7" s="73" ph="1">
        <f>O6*20.428*LOOKUP(O8,密度!$A$2:$A$50,密度!$C$2:$C$50)</f>
        <v>47642.159129200001</v>
      </c>
      <c r="P7" s="73" ph="1">
        <f>P6*51.53*LOOKUP(P8,密度!$A$2:$A$50,密度!$B$2:$B$50)</f>
        <v>129531.99160000001</v>
      </c>
      <c r="Q7" s="73" ph="1">
        <f>Q6*1.5*1.5*3.1416*LOOKUP(W8,密度!$A$2:$A$50,密度!$L$2:$L$50)</f>
        <v>41237.646911999997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36032.895360000002</v>
      </c>
      <c r="X7" s="73" ph="1">
        <f>X6*1.5*1.5*3.1416*LOOKUP(X8,密度!$A$2:$A$50,密度!$L$2:$L$50)</f>
        <v>41883.533168399998</v>
      </c>
      <c r="Y7" s="73" ph="1">
        <f>Y6*1.5*1.5*3.1416*LOOKUP(Y8,密度!$A$2:$A$50,密度!$L$2:$L$50)</f>
        <v>34160.635277999994</v>
      </c>
      <c r="Z7" s="73" ph="1">
        <f>Z6*33.183*LOOKUP(Z8,密度!$A$2:$A$50,密度!$L$2:$L$50)</f>
        <v>77830.394669999994</v>
      </c>
      <c r="AA7" s="73" ph="1">
        <f>AA6*33.183*LOOKUP(AA8,密度!$A$2:$A$50,密度!$D$2:$D$50)</f>
        <v>53794.793001600003</v>
      </c>
      <c r="AB7" s="73" ph="1">
        <f>AB6*20.428*LOOKUP(AB8,密度!$A$2:$A$50,密度!$D$2:$D$50)</f>
        <v>44521.714716800008</v>
      </c>
      <c r="AC7" s="73" ph="1">
        <f>AC6*51.53*LOOKUP(AC8,密度!$A$2:$A$50,密度!$Q$2:$Q$50)</f>
        <v>254102.34706919998</v>
      </c>
      <c r="AD7" s="73" ph="1">
        <f>AD6*20.428*LOOKUP(AD8,密度!$A$2:$A$50,密度!$V$2:$V$50)</f>
        <v>13646.966256000002</v>
      </c>
      <c r="AE7" s="73" ph="1">
        <f>AE6*20.428</f>
        <v>72764.536000000007</v>
      </c>
    </row>
    <row r="8" spans="1:99" ph="1">
      <c r="B8" s="252" ph="1"/>
      <c r="C8" s="68" t="s" ph="1">
        <v>181</v>
      </c>
      <c r="D8" s="74">
        <v>17</v>
      </c>
      <c r="E8" s="74">
        <v>16</v>
      </c>
      <c r="F8" s="74">
        <v>16</v>
      </c>
      <c r="G8" s="74">
        <v>17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18</v>
      </c>
      <c r="O8" s="74">
        <v>22</v>
      </c>
      <c r="P8" s="74">
        <v>15</v>
      </c>
      <c r="Q8" s="74">
        <v>16</v>
      </c>
      <c r="R8" s="74">
        <v>23</v>
      </c>
      <c r="S8" s="74">
        <v>10</v>
      </c>
      <c r="T8" s="74">
        <v>12</v>
      </c>
      <c r="U8" s="74">
        <v>16</v>
      </c>
      <c r="V8" s="74">
        <v>23</v>
      </c>
      <c r="W8" s="74">
        <v>18</v>
      </c>
      <c r="X8" s="74">
        <v>8</v>
      </c>
      <c r="Y8" s="74">
        <v>17</v>
      </c>
      <c r="Z8" s="74">
        <v>17</v>
      </c>
      <c r="AA8" s="74">
        <v>17</v>
      </c>
      <c r="AB8" s="74">
        <v>8</v>
      </c>
      <c r="AC8" s="74">
        <v>15</v>
      </c>
      <c r="AD8" s="74">
        <v>19</v>
      </c>
      <c r="AE8" s="74">
        <v>20</v>
      </c>
    </row>
    <row r="9" spans="1:99" ph="1">
      <c r="B9" s="252" ph="1">
        <v>0.66666666666666663</v>
      </c>
      <c r="C9" s="158" t="s" ph="1">
        <v>182</v>
      </c>
      <c r="D9" s="71">
        <v>2132</v>
      </c>
      <c r="E9" s="71">
        <v>372</v>
      </c>
      <c r="F9" s="71">
        <v>5706</v>
      </c>
      <c r="G9" s="71">
        <v>7689</v>
      </c>
      <c r="H9" s="71">
        <v>7632</v>
      </c>
      <c r="I9" s="71">
        <v>27.01</v>
      </c>
      <c r="J9" s="71">
        <v>7.81</v>
      </c>
      <c r="K9" s="71">
        <v>17.11</v>
      </c>
      <c r="L9" s="71">
        <v>16.61</v>
      </c>
      <c r="M9" s="71">
        <v>3385</v>
      </c>
      <c r="N9" s="71">
        <v>4033</v>
      </c>
      <c r="O9" s="71">
        <v>2913</v>
      </c>
      <c r="P9" s="71">
        <v>3004</v>
      </c>
      <c r="Q9" s="71">
        <v>7183</v>
      </c>
      <c r="R9" s="71">
        <v>6183</v>
      </c>
      <c r="S9" s="71">
        <v>2824</v>
      </c>
      <c r="T9" s="71">
        <v>0</v>
      </c>
      <c r="U9" s="71">
        <v>0</v>
      </c>
      <c r="V9" s="71">
        <v>0</v>
      </c>
      <c r="W9" s="71">
        <v>1446</v>
      </c>
      <c r="X9" s="71">
        <v>6216</v>
      </c>
      <c r="Y9" s="71">
        <v>5118</v>
      </c>
      <c r="Z9" s="71">
        <v>3315</v>
      </c>
      <c r="AA9" s="71">
        <v>1566</v>
      </c>
      <c r="AB9" s="71">
        <v>2090</v>
      </c>
      <c r="AC9" s="71">
        <v>5496</v>
      </c>
      <c r="AD9" s="71">
        <v>692</v>
      </c>
      <c r="AE9" s="71">
        <v>3510</v>
      </c>
    </row>
    <row r="10" spans="1:99" s="72" customFormat="1" ht="22.5" ph="1">
      <c r="B10" s="252" ph="1"/>
      <c r="C10" s="158" t="s" ph="1">
        <v>180</v>
      </c>
      <c r="D10" s="73" ph="1">
        <f>D9*33.183*LOOKUP(D11,密度!$A$2:$A$50,密度!$Q$2:$Q$50)</f>
        <v>67235.731739280003</v>
      </c>
      <c r="E10" s="73" ph="1">
        <f>E9*51.53*LOOKUP(E11,密度!$A$2:$A$50,密度!$B$2:$B$50)</f>
        <v>15030.538356000001</v>
      </c>
      <c r="F10" s="73" ph="1">
        <f>F9*33.183*LOOKUP(F11,密度!$A$2:$A$50,密度!$C$2:$C$50)</f>
        <v>210662.1294948</v>
      </c>
      <c r="G10" s="73" ph="1">
        <f xml:space="preserve"> (G9+2)*51.53*LOOKUP(G11,密度!$A$2:$A$50,密度!$B$2:$B$50)</f>
        <v>311069.39382699999</v>
      </c>
      <c r="H10" s="73" ph="1">
        <f>(H9)*51.53*LOOKUP(H11,密度!$A$2:$A$50,密度!$B$2:$B$50)</f>
        <v>309273.00134399999</v>
      </c>
      <c r="I10" s="73" ph="1">
        <f>I9*290.8*1.0267</f>
        <v>8064.2233636000001</v>
      </c>
      <c r="J10" s="73" ph="1">
        <f>J9*290.8*0.7892</f>
        <v>1792.3900016000002</v>
      </c>
      <c r="K10" s="73" ph="1">
        <f>K9*290.8*1.1126</f>
        <v>5535.8392088000001</v>
      </c>
      <c r="L10" s="73" ph="1">
        <f>L9*290.8*0.777</f>
        <v>3753.0560760000003</v>
      </c>
      <c r="M10" s="73" ph="1">
        <f>M9*33.183*LOOKUP(M11,密度!$A$2:$A$50,密度!$D$2:$D$50)</f>
        <v>115750.35087749999</v>
      </c>
      <c r="N10" s="73" ph="1">
        <f>N9*33.183*LOOKUP(N11,密度!$A$2:$A$50,密度!$E$2:$E$50)</f>
        <v>105616.29917879999</v>
      </c>
      <c r="O10" s="73" ph="1">
        <f>O9*20.428*LOOKUP(O11,密度!$A$2:$A$50,密度!$C$2:$C$50)</f>
        <v>65808.530307600013</v>
      </c>
      <c r="P10" s="73" ph="1">
        <f>P9*51.53*LOOKUP(P11,密度!$A$2:$A$50,密度!$B$2:$B$50)</f>
        <v>121097.004676</v>
      </c>
      <c r="Q10" s="73" ph="1">
        <f>Q9*1.5*1.5*3.1416*LOOKUP(W11,密度!$A$2:$A$50,密度!$L$2:$L$50)</f>
        <v>47828.876079599999</v>
      </c>
      <c r="R10" s="73" ph="1">
        <f>R9*1.5*1.5*3.1416*LOOKUP(R11,密度!$A$2:$A$50,密度!$L$2:$L$50)</f>
        <v>40908.023956800003</v>
      </c>
      <c r="S10" s="73" ph="1">
        <f>S9*1.5*1.5*3.1416*LOOKUP(S11,密度!$A$2:$A$50,密度!$L$2:$L$50)</f>
        <v>18923.716627199999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9628.3662551999987</v>
      </c>
      <c r="X10" s="73" ph="1">
        <f>X9*1.5*1.5*3.1416*LOOKUP(X11,密度!$A$2:$A$50,密度!$L$2:$L$50)</f>
        <v>41829.3735552</v>
      </c>
      <c r="Y10" s="73" ph="1">
        <f>Y9*1.5*1.5*3.1416*LOOKUP(Y11,密度!$A$2:$A$50,密度!$L$2:$L$50)</f>
        <v>34151.177491199996</v>
      </c>
      <c r="Z10" s="73" ph="1">
        <f>Z9*33.183*LOOKUP(Z11,密度!$A$2:$A$50,密度!$L$2:$L$50)</f>
        <v>103511.547945</v>
      </c>
      <c r="AA10" s="73" ph="1">
        <f>AA9*33.183*LOOKUP(AA11,密度!$A$2:$A$50,密度!$D$2:$D$50)</f>
        <v>53549.497628999998</v>
      </c>
      <c r="AB10" s="73" ph="1">
        <f>AB9*20.428*LOOKUP(AB11,密度!$A$2:$A$50,密度!$D$2:$D$50)</f>
        <v>44363.875732</v>
      </c>
      <c r="AC10" s="73" ph="1">
        <f>AC9*51.53*LOOKUP(AC11,密度!$A$2:$A$50,密度!$Q$2:$Q$50)</f>
        <v>268960.64124720002</v>
      </c>
      <c r="AD10" s="73" ph="1">
        <f>AD9*20.428*LOOKUP(AD11,密度!$A$2:$A$50,密度!$V$2:$V$50)</f>
        <v>13536.802137600002</v>
      </c>
      <c r="AE10" s="73" ph="1">
        <f>AE9*20.428</f>
        <v>71702.28</v>
      </c>
    </row>
    <row r="11" spans="1:99" ph="1">
      <c r="A11" s="64" t="s" ph="1">
        <v>164</v>
      </c>
      <c r="B11" s="252" ph="1"/>
      <c r="C11" s="158" t="s" ph="1">
        <v>181</v>
      </c>
      <c r="D11" s="74">
        <v>20</v>
      </c>
      <c r="E11" s="74">
        <v>20</v>
      </c>
      <c r="F11" s="74">
        <v>20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20</v>
      </c>
      <c r="O11" s="74">
        <v>29</v>
      </c>
      <c r="P11" s="74">
        <v>22</v>
      </c>
      <c r="Q11" s="74">
        <v>19</v>
      </c>
      <c r="R11" s="74">
        <v>26</v>
      </c>
      <c r="S11" s="74">
        <v>14</v>
      </c>
      <c r="T11" s="74">
        <v>26</v>
      </c>
      <c r="U11" s="74">
        <v>23</v>
      </c>
      <c r="V11" s="74">
        <v>27</v>
      </c>
      <c r="W11" s="74">
        <v>20</v>
      </c>
      <c r="X11" s="74">
        <v>10</v>
      </c>
      <c r="Y11" s="74">
        <v>18</v>
      </c>
      <c r="Z11" s="74">
        <v>21</v>
      </c>
      <c r="AA11" s="74">
        <v>21</v>
      </c>
      <c r="AB11" s="74">
        <v>11</v>
      </c>
      <c r="AC11" s="74">
        <v>21</v>
      </c>
      <c r="AD11" s="74">
        <v>27</v>
      </c>
      <c r="AE11" s="74">
        <v>23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8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8" t="s" ph="1">
        <v>179</v>
      </c>
      <c r="D15" s="78">
        <v>2391</v>
      </c>
      <c r="E15" s="78">
        <v>5456</v>
      </c>
      <c r="F15" s="78">
        <v>1087</v>
      </c>
      <c r="G15" s="78">
        <v>1017</v>
      </c>
      <c r="H15" s="78">
        <v>110</v>
      </c>
      <c r="I15" s="78">
        <v>1689</v>
      </c>
      <c r="J15" s="78">
        <v>569</v>
      </c>
      <c r="K15" s="78">
        <v>766</v>
      </c>
      <c r="L15" s="78">
        <v>5614</v>
      </c>
      <c r="M15" s="78">
        <v>1503</v>
      </c>
      <c r="N15" s="78">
        <v>2036</v>
      </c>
      <c r="O15" s="78">
        <v>0</v>
      </c>
      <c r="P15" s="78">
        <v>2220</v>
      </c>
      <c r="Q15" s="78">
        <v>5182</v>
      </c>
      <c r="R15" s="78">
        <v>3492</v>
      </c>
      <c r="S15" s="78">
        <v>477</v>
      </c>
      <c r="T15" s="78">
        <v>6659</v>
      </c>
      <c r="U15" s="78">
        <v>1233</v>
      </c>
      <c r="V15" s="78">
        <v>401</v>
      </c>
      <c r="W15" s="71">
        <v>-596</v>
      </c>
      <c r="X15" s="78">
        <v>315</v>
      </c>
      <c r="Y15" s="106">
        <v>-9906</v>
      </c>
      <c r="Z15" s="78">
        <v>0</v>
      </c>
      <c r="AA15" s="78">
        <v>2498</v>
      </c>
      <c r="AB15" s="78" ph="1">
        <v>6858</v>
      </c>
      <c r="AC15" s="78" ph="1">
        <v>6505</v>
      </c>
      <c r="AD15" s="78">
        <v>26.51</v>
      </c>
      <c r="AE15" s="78">
        <v>41.41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8" t="s" ph="1">
        <v>180</v>
      </c>
      <c r="D16" s="73" ph="1">
        <f>D15*7.0686*LOOKUP(D17,密度!$A$2:$A$50,密度!$L$2:$L$50)</f>
        <v>15971.466356999999</v>
      </c>
      <c r="E16" s="73" ph="1">
        <f>E15*7.0686*LOOKUP(E17,密度!$A$2:$A$50,密度!$L$2:$L$50)</f>
        <v>36445.136112</v>
      </c>
      <c r="F16" s="73" ph="1">
        <f>F15*9.0746*LOOKUP(F17,密度!$A$2:$A$50,密度!$L$2:$L$50)</f>
        <v>9321.5652389999996</v>
      </c>
      <c r="G16" s="73" ph="1">
        <f>G15*9.0746*LOOKUP(G17,密度!$A$2:$A$50,密度!$B$2:$B$50)</f>
        <v>7264.9650470400011</v>
      </c>
      <c r="H16" s="73" ph="1">
        <f>H15*9.0746*LOOKUP(H17,密度!$A$2:$A$50,密度!$L$2:$L$50)</f>
        <v>948.29570000000001</v>
      </c>
      <c r="I16" s="73" ph="1">
        <f>I15*9.0746*LOOKUP(I17,密度!$A$2:$A$50,密度!$U$2:$U$50)</f>
        <v>15756.155383200001</v>
      </c>
      <c r="J16" s="73" ph="1">
        <f>J15*9.0746*LOOKUP(J17,密度!$A$2:$A$50,密度!$L$2:$L$50)</f>
        <v>4874.2943455999994</v>
      </c>
      <c r="K16" s="73" ph="1">
        <f>K15*9.0746*LOOKUP(K17,密度!$A$2:$A$50,密度!$C$2:$C$50)</f>
        <v>7751.9153427199999</v>
      </c>
      <c r="L16" s="73" ph="1">
        <f>L15*9.0746*LOOKUP(L17,密度!$A$2:$A$50,密度!$E$2:$E$50)</f>
        <v>40373.757487000003</v>
      </c>
      <c r="M16" s="73" ph="1">
        <f>M15*9.0746*LOOKUP(M17,密度!$A$2:$A$50,密度!$M$2:$M$50)</f>
        <v>12006.52068114</v>
      </c>
      <c r="N16" s="73" ph="1">
        <f>N15*9.0746*LOOKUP(N17,密度!$A$2:$A$50,密度!$M$2:$M$50)</f>
        <v>16264.322093680001</v>
      </c>
      <c r="O16" s="73" ph="1">
        <f>O15*9.0746*LOOKUP(O17,密度!$A$2:$A$50,密度!$G$2:$G$50)</f>
        <v>0</v>
      </c>
      <c r="P16" s="73" ph="1">
        <f ca="1">P15*9.0746*LOOKUP(P17,密度!$A$2:$A$51,密度!$Q$2:$Q$50)</f>
        <v>19178.824080120001</v>
      </c>
      <c r="Q16" s="73" ph="1">
        <f>Q15*9.0746*LOOKUP(Q17,密度!$A$2:$A$50,密度!$Q$2:$Q$50)</f>
        <v>44805.01715616</v>
      </c>
      <c r="R16" s="73" ph="1">
        <f>MAX(R15*9.0746*LOOKUP(R17,密度!$A$2:$A$50,密度!$B$2:$B$50),0)</f>
        <v>24897.656964239999</v>
      </c>
      <c r="S16" s="73" ph="1">
        <f>S15*9.0746*LOOKUP(S17,密度!$A$2:$A$50,密度!$Q$2:$Q$50)</f>
        <v>4127.7378931200001</v>
      </c>
      <c r="T16" s="73" ph="1">
        <f>T15*9.0746*LOOKUP(T17,密度!$A$2:$A$50,密度!$O$2:$O$50)</f>
        <v>56439.529147600006</v>
      </c>
      <c r="U16" s="73" ph="1">
        <f>U15*9.0746*LOOKUP(U17,密度!$A$2:$A$50,密度!$H$2:$H$50)</f>
        <v>10346.451470459999</v>
      </c>
      <c r="V16" s="73" ph="1">
        <f>MAX(5600*LOOKUP(V17,密度!$A$2:$A$50,密度!$Q$2:$Q$50)+V15*9.0476*LOOKUP(V17,密度!$A$2:$A$50,密度!$Q$2:$Q$50),0)</f>
        <v>8785.2316760760004</v>
      </c>
      <c r="W16" s="73" ph="1">
        <f>MAX(5600*LOOKUP(W17,密度!$A$2:$A$50,密度!$Q$2:$Q$50)+W15*9.0476*LOOKUP(W17,密度!$A$2:$A$50,密度!$Q$2:$Q$50),0)</f>
        <v>197.66621710400068</v>
      </c>
      <c r="X16" s="73" ph="1">
        <f>MAX(5600*LOOKUP(X17,密度!$A$2:$A$50,密度!$I$2:$I$50)+X15*9.0476*LOOKUP(X17,密度!$A$2:$A$50,密度!$I$2:$I$50),0)</f>
        <v>8858.1287102000006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17862.660430399999</v>
      </c>
      <c r="AB16" s="73" ph="1">
        <f>AB15*9.0746*LOOKUP(AB17,密度!$A$2:$A$50,密度!$L$2:$L$50)</f>
        <v>58748.5248192</v>
      </c>
      <c r="AC16" s="73" ph="1">
        <f>AC15*9.0746*LOOKUP(AC17,密度!$A$2:$A$50,密度!$L$2:$L$50)</f>
        <v>55901.668530999996</v>
      </c>
      <c r="AD16" s="73" ph="1">
        <f>AD15*268.68*LOOKUP(AD17,密度!$A$2:$A$50,密度!B2:B50)+IF(AD15&lt;=0,0,1566*LOOKUP(AD17,密度!$A$2:$A$50,密度!B2:B50))</f>
        <v>6773.7158212800005</v>
      </c>
      <c r="AE16" s="73" ph="1">
        <f>AE15*268.68*LOOKUP(AE17,密度!$A$2:$A$50,密度!B2:B50)+IF(AE15&lt;=0,0,1566*LOOKUP(AE17,密度!$A$2:$A$50,密度!B2:B50))</f>
        <v>9894.7134484800008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17</v>
      </c>
      <c r="E17" s="74">
        <v>17</v>
      </c>
      <c r="F17" s="74">
        <v>17</v>
      </c>
      <c r="G17" s="74">
        <v>16</v>
      </c>
      <c r="H17" s="74">
        <v>12</v>
      </c>
      <c r="I17" s="74">
        <v>15</v>
      </c>
      <c r="J17" s="74">
        <v>18</v>
      </c>
      <c r="K17" s="74">
        <v>16</v>
      </c>
      <c r="L17" s="74">
        <v>17</v>
      </c>
      <c r="M17" s="74">
        <v>18</v>
      </c>
      <c r="N17" s="74">
        <v>17</v>
      </c>
      <c r="O17" s="74">
        <v>18</v>
      </c>
      <c r="P17" s="74">
        <v>18</v>
      </c>
      <c r="Q17" s="74">
        <v>17</v>
      </c>
      <c r="R17" s="74">
        <v>18</v>
      </c>
      <c r="S17" s="74">
        <v>16</v>
      </c>
      <c r="T17" s="74">
        <v>16</v>
      </c>
      <c r="U17" s="74">
        <v>15</v>
      </c>
      <c r="V17" s="74">
        <v>18</v>
      </c>
      <c r="W17" s="74">
        <v>18</v>
      </c>
      <c r="X17" s="74">
        <v>20</v>
      </c>
      <c r="Y17" s="108">
        <v>20</v>
      </c>
      <c r="Z17" s="74">
        <v>17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924</v>
      </c>
      <c r="E18" s="71">
        <v>5463</v>
      </c>
      <c r="F18" s="71">
        <v>1087</v>
      </c>
      <c r="G18" s="71">
        <v>1052</v>
      </c>
      <c r="H18" s="71">
        <v>108</v>
      </c>
      <c r="I18" s="71">
        <v>1689</v>
      </c>
      <c r="J18" s="71">
        <v>582</v>
      </c>
      <c r="K18" s="71">
        <v>765</v>
      </c>
      <c r="L18" s="71">
        <v>5621</v>
      </c>
      <c r="M18" s="71">
        <v>2816</v>
      </c>
      <c r="N18" s="71">
        <v>4057</v>
      </c>
      <c r="O18" s="71">
        <v>0</v>
      </c>
      <c r="P18" s="71">
        <v>2219</v>
      </c>
      <c r="Q18" s="71">
        <v>5184</v>
      </c>
      <c r="R18" s="71">
        <v>3493</v>
      </c>
      <c r="S18" s="71">
        <v>1068</v>
      </c>
      <c r="T18" s="71">
        <v>5981</v>
      </c>
      <c r="U18" s="71">
        <v>3047</v>
      </c>
      <c r="V18" s="71">
        <v>401</v>
      </c>
      <c r="W18" s="71">
        <v>-596</v>
      </c>
      <c r="X18" s="71">
        <v>313</v>
      </c>
      <c r="Y18" s="109">
        <v>-9904</v>
      </c>
      <c r="Z18" s="71">
        <v>0</v>
      </c>
      <c r="AA18" s="71">
        <v>2498</v>
      </c>
      <c r="AB18" s="71">
        <v>6865</v>
      </c>
      <c r="AC18" s="71">
        <v>6510</v>
      </c>
      <c r="AD18" s="71">
        <v>49.01</v>
      </c>
      <c r="AE18" s="71">
        <v>41.41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8" t="s" ph="1">
        <v>180</v>
      </c>
      <c r="D19" s="73" ph="1">
        <f>D18*7.0686*LOOKUP(D20,密度!$A$2:$A$50,密度!$L$2:$L$50)</f>
        <v>6152.5659888</v>
      </c>
      <c r="E19" s="73" ph="1">
        <f>E18*7.0686*LOOKUP(E20,密度!$A$2:$A$50,密度!$L$2:$L$50)</f>
        <v>36337.431853800001</v>
      </c>
      <c r="F19" s="73" ph="1">
        <f>F18*9.0746*LOOKUP(F20,密度!$A$2:$A$50,密度!$L$2:$L$50)</f>
        <v>9262.3806977999993</v>
      </c>
      <c r="G19" s="73" ph="1">
        <f>G18*9.0746*LOOKUP(G20,密度!$A$2:$A$50,密度!$B$2:$B$50)</f>
        <v>7468.2106781599996</v>
      </c>
      <c r="H19" s="73" ph="1">
        <f>H18*9.0746*LOOKUP(H20,密度!$A$2:$A$50,密度!$L$2:$L$50)</f>
        <v>923.21350559999996</v>
      </c>
      <c r="I19" s="73" ph="1">
        <f>I18*9.0746*LOOKUP(I20,密度!$A$2:$A$50,密度!$U$2:$U$50)</f>
        <v>15756.155383200001</v>
      </c>
      <c r="J19" s="73" ph="1">
        <f>J18*9.0746*LOOKUP(J20,密度!$A$2:$A$50,密度!$L$2:$L$50)</f>
        <v>4948.6879164000002</v>
      </c>
      <c r="K19" s="73" ph="1">
        <f>K18*9.0746*LOOKUP(K20,密度!$A$2:$A$50,密度!$C$2:$C$50)</f>
        <v>7708.4734176000011</v>
      </c>
      <c r="L19" s="73" ph="1">
        <f>L18*9.0746*LOOKUP(L20,密度!$A$2:$A$50,密度!$E$2:$E$50)</f>
        <v>40311.880511980002</v>
      </c>
      <c r="M19" s="73" ph="1">
        <f>M18*9.0746*LOOKUP(M20,密度!$A$2:$A$50,密度!$M$2:$M$50)</f>
        <v>22464.58610176</v>
      </c>
      <c r="N19" s="73" ph="1">
        <f>N18*9.0746*LOOKUP(N20,密度!$A$2:$A$50,密度!$M$2:$M$50)</f>
        <v>32408.818631660004</v>
      </c>
      <c r="O19" s="73" ph="1">
        <f>O18*9.0746*LOOKUP(O20,密度!$A$2:$A$50,密度!$G$2:$G$50)</f>
        <v>0</v>
      </c>
      <c r="P19" s="73" ph="1">
        <f ca="1">P18*9.0746*LOOKUP(P20,密度!$A$2:$A$51,密度!$Q$2:$Q$50)</f>
        <v>19123.468203406002</v>
      </c>
      <c r="Q19" s="73" ph="1">
        <f>Q18*9.0746*LOOKUP(Q20,密度!$A$2:$A$50,密度!$Q$2:$Q$50)</f>
        <v>44708.466316031998</v>
      </c>
      <c r="R19" s="73" ph="1">
        <f>MAX(R18*9.0746*LOOKUP(R20,密度!$A$2:$A$50,密度!$B$2:$B$50),0)</f>
        <v>24768.487292919999</v>
      </c>
      <c r="S19" s="73" ph="1">
        <f>S18*9.0746*LOOKUP(S20,密度!$A$2:$A$50,密度!$Q$2:$Q$50)</f>
        <v>9161.7321312960012</v>
      </c>
      <c r="T19" s="73" ph="1">
        <f>T18*9.0746*LOOKUP(T20,密度!$A$2:$A$50,密度!$O$2:$O$50)</f>
        <v>50475.919818000002</v>
      </c>
      <c r="U19" s="73" ph="1">
        <f>U18*9.0746*LOOKUP(U20,密度!$A$2:$A$50,密度!$H$2:$H$50)</f>
        <v>25429.986612139997</v>
      </c>
      <c r="V19" s="73" ph="1">
        <f>MAX(5600*LOOKUP(V20,密度!$A$2:$A$50,密度!$Q$2:$Q$50)+V18*9.0476*LOOKUP(V20,密度!$A$2:$A$50,密度!$Q$2:$Q$50),0)</f>
        <v>8736.5996544240006</v>
      </c>
      <c r="W19" s="73" ph="1">
        <f>MAX(5600*LOOKUP(W20,密度!$A$2:$A$50,密度!$Q$2:$Q$50)+W18*9.0476*LOOKUP(W20,密度!$A$2:$A$50,密度!$Q$2:$Q$50),0)</f>
        <v>196.57200489600109</v>
      </c>
      <c r="X19" s="73" ph="1">
        <f>MAX(5600*LOOKUP(X20,密度!$A$2:$A$50,密度!$I$2:$I$50)+X18*9.0476*LOOKUP(X20,密度!$A$2:$A$50,密度!$I$2:$I$50),0)</f>
        <v>8810.4910561199995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17810.523223559998</v>
      </c>
      <c r="AB19" s="73" ph="1">
        <f>AB18*9.0746*LOOKUP(AB20,密度!$A$2:$A$50,密度!$L$2:$L$50)</f>
        <v>58746.192646999996</v>
      </c>
      <c r="AC19" s="73" ph="1">
        <f>AC18*9.0746*LOOKUP(AC20,密度!$A$2:$A$50,密度!$L$2:$L$50)</f>
        <v>55708.334177999997</v>
      </c>
      <c r="AD19" s="73" ph="1">
        <f>AD18*268.68*LOOKUP(AD20,密度!$A$2:$A$50,密度!B5:B53)+IF(AD18&lt;=0,0,1566*LOOKUP(AD20,密度!$A$2:$A$50,密度!B5:B53))</f>
        <v>11448.323283599999</v>
      </c>
      <c r="AE19" s="73" ph="1">
        <f>AE18*268.68*LOOKUP(AE20,密度!$A$2:$A$50,密度!B5:B53)+IF(AE18&lt;=0,0,1566*LOOKUP(AE20,密度!$A$2:$A$50,密度!B5:B53))</f>
        <v>9861.7141475999997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20</v>
      </c>
      <c r="E20" s="81">
        <v>21</v>
      </c>
      <c r="F20" s="81">
        <v>23</v>
      </c>
      <c r="G20" s="81">
        <v>22</v>
      </c>
      <c r="H20" s="81">
        <v>20</v>
      </c>
      <c r="I20" s="81">
        <v>21</v>
      </c>
      <c r="J20" s="81">
        <v>25</v>
      </c>
      <c r="K20" s="81">
        <v>23</v>
      </c>
      <c r="L20" s="81">
        <v>19</v>
      </c>
      <c r="M20" s="81">
        <v>21</v>
      </c>
      <c r="N20" s="81">
        <v>20</v>
      </c>
      <c r="O20" s="81">
        <v>23</v>
      </c>
      <c r="P20" s="81">
        <v>21</v>
      </c>
      <c r="Q20" s="81">
        <v>20</v>
      </c>
      <c r="R20" s="81">
        <v>23</v>
      </c>
      <c r="S20" s="81">
        <v>27</v>
      </c>
      <c r="T20" s="81">
        <v>22</v>
      </c>
      <c r="U20" s="81">
        <v>20</v>
      </c>
      <c r="V20" s="81">
        <v>25</v>
      </c>
      <c r="W20" s="81">
        <v>25</v>
      </c>
      <c r="X20" s="81">
        <v>23</v>
      </c>
      <c r="Y20" s="110">
        <v>23</v>
      </c>
      <c r="Z20" s="81">
        <v>34</v>
      </c>
      <c r="AA20" s="81">
        <v>18</v>
      </c>
      <c r="AB20" s="81">
        <v>19</v>
      </c>
      <c r="AC20" s="81">
        <v>19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647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8" t="s" ph="1">
        <v>179</v>
      </c>
      <c r="D24" s="71">
        <v>83</v>
      </c>
      <c r="E24" s="71">
        <v>98.51</v>
      </c>
      <c r="F24" s="71">
        <v>4020</v>
      </c>
      <c r="G24" s="71">
        <v>909</v>
      </c>
      <c r="H24" s="71">
        <v>2011</v>
      </c>
      <c r="I24" s="71">
        <v>5518</v>
      </c>
      <c r="J24" s="71">
        <v>4902</v>
      </c>
      <c r="K24" s="71">
        <v>5618</v>
      </c>
      <c r="L24" s="71">
        <v>5586</v>
      </c>
      <c r="M24" s="71">
        <v>5450</v>
      </c>
      <c r="N24" s="71">
        <v>5357</v>
      </c>
      <c r="O24" s="71">
        <v>3514</v>
      </c>
      <c r="P24" s="71">
        <v>678</v>
      </c>
      <c r="Q24" s="90">
        <v>3030</v>
      </c>
      <c r="R24" s="71">
        <v>6228</v>
      </c>
      <c r="S24" s="71">
        <v>2435</v>
      </c>
      <c r="T24" s="71">
        <v>905</v>
      </c>
      <c r="U24" s="71">
        <v>2900</v>
      </c>
      <c r="V24" s="71">
        <v>9615</v>
      </c>
      <c r="W24" s="71">
        <v>8470</v>
      </c>
      <c r="X24" s="71">
        <v>6617</v>
      </c>
      <c r="Y24" s="71">
        <v>1311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22595.313405600005</v>
      </c>
      <c r="E25" s="91" ph="1">
        <f>E24*268.68*LOOKUP(E26,密度!$A$2:$A$50,密度!$C$2:$C$50)+IF(E24&lt;=0,0,1566*LOOKUP(E26,密度!$A$2:$A$50,密度!$C$2:$C$50))</f>
        <v>31086.533114520003</v>
      </c>
      <c r="F25" s="91" ph="1">
        <f>F24*11.702*LOOKUP(F26,密度!$A$2:$A$50,密度!$Q$2:$Q$50)</f>
        <v>44903.508861600007</v>
      </c>
      <c r="G25" s="91" ph="1">
        <f>G24*18.322*LOOKUP(G26,密度!$A$2:$A$50,密度!$B$2:$B$50)</f>
        <v>13085.5962186</v>
      </c>
      <c r="H25" s="91" ph="1">
        <f>H24*18.322*LOOKUP(H26,密度!$A$2:$A$50,密度!$B$2:$B$50)</f>
        <v>28949.542349399999</v>
      </c>
      <c r="I25" s="91" ph="1">
        <f>I24*18.322*LOOKUP(I26,密度!$A$2:$A$50,密度!$Q$2:$Q$50)</f>
        <v>96328.838428799994</v>
      </c>
      <c r="J25" s="91" ph="1">
        <f>J24*18.322*LOOKUP(J26,密度!$A$2:$A$50,密度!$Q$2:$Q$50)</f>
        <v>85575.202243199994</v>
      </c>
      <c r="K25" s="91" ph="1">
        <f>K24*18.322*LOOKUP(K26,密度!$A$2:$A$50,密度!$Q$2:$Q$50)</f>
        <v>97993.241521960008</v>
      </c>
      <c r="L25" s="91" ph="1">
        <f>L24*18.322*LOOKUP(L26,密度!$A$2:$A$50,密度!$Q$2:$Q$50)</f>
        <v>97515.9281376</v>
      </c>
      <c r="M25" s="91" ph="1">
        <f>M24*18.322*LOOKUP(M26,密度!$A$2:$A$50,密度!$Q$2:$Q$50)</f>
        <v>95062.863348999992</v>
      </c>
      <c r="N25" s="91" ph="1">
        <f>N24*18.322*LOOKUP(N26,密度!$A$2:$A$50,密度!$Q$2:$Q$50)</f>
        <v>93440.689717539994</v>
      </c>
      <c r="O25" s="91" ph="1">
        <f>O24*18.322*LOOKUP(O26,密度!$A$2:$A$50,密度!$C$2:$C$50)</f>
        <v>71716.789561199985</v>
      </c>
      <c r="P25" s="91" ph="1">
        <f>P24*11.702*LOOKUP(P26,密度!$A$2:$A$50,密度!$B$2:$B$50)</f>
        <v>6233.7092291999998</v>
      </c>
      <c r="Q25" s="92" ph="1">
        <f>Q24*18.322*LOOKUP(Q26,密度!$A$2:$A$50,密度!$B$2:$B$50)</f>
        <v>43618.654061999994</v>
      </c>
      <c r="R25" s="91" ph="1">
        <f>R24*35.891*LOOKUP(R26,密度!$A$2:$A$50,密度!$C$2:$C$50)</f>
        <v>249123.23544600001</v>
      </c>
      <c r="S25" s="91" ph="1">
        <f>S24*35.891*LOOKUP(S26,密度!$A$2:$A$50,密度!$B$2:$B$50)</f>
        <v>68727.101643999995</v>
      </c>
      <c r="T25" s="91" ph="1">
        <f>T24*35.891*LOOKUP(T26,密度!$A$2:$A$50,密度!$Q$2:$Q$50)</f>
        <v>30948.235043999997</v>
      </c>
      <c r="U25" s="91" ph="1">
        <f>U24*35.891</f>
        <v>104083.9</v>
      </c>
      <c r="V25" s="91" ph="1">
        <f>V24*47.051*LOOKUP(V26,密度!$A$2:$A$50,密度!$B$2:$B$50)</f>
        <v>355447.03828049998</v>
      </c>
      <c r="W25" s="91" ph="1">
        <f>W24*47.051*LOOKUP(W26,密度!$A$2:$A$50,密度!$B$2:$B$50)</f>
        <v>313118.71182899998</v>
      </c>
      <c r="X25" s="91" ph="1">
        <f>X24*47.051*LOOKUP(X26,密度!$A$2:$A$50,密度!$I$2:$I$50)</f>
        <v>322432.49868387997</v>
      </c>
      <c r="Y25" s="91" ph="1">
        <f>Y24*47.051*LOOKUP(Y26,密度!$A$2:$A$50,密度!$L$2:$L$50)</f>
        <v>58291.248645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15</v>
      </c>
      <c r="G26" s="74">
        <v>18</v>
      </c>
      <c r="H26" s="74">
        <v>18</v>
      </c>
      <c r="I26" s="74">
        <v>17</v>
      </c>
      <c r="J26" s="74">
        <v>17</v>
      </c>
      <c r="K26" s="74">
        <v>18</v>
      </c>
      <c r="L26" s="74">
        <v>17</v>
      </c>
      <c r="M26" s="74">
        <v>18</v>
      </c>
      <c r="N26" s="74">
        <v>18</v>
      </c>
      <c r="O26" s="74">
        <v>18</v>
      </c>
      <c r="P26" s="74">
        <v>18</v>
      </c>
      <c r="Q26" s="93">
        <v>18</v>
      </c>
      <c r="R26" s="74">
        <v>17</v>
      </c>
      <c r="S26" s="74">
        <v>17</v>
      </c>
      <c r="T26" s="74">
        <v>17</v>
      </c>
      <c r="U26" s="74">
        <v>18</v>
      </c>
      <c r="V26" s="74">
        <v>18</v>
      </c>
      <c r="W26" s="74">
        <v>18</v>
      </c>
      <c r="X26" s="74">
        <v>55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8" t="s" ph="1">
        <v>182</v>
      </c>
      <c r="D27" s="71">
        <v>98.61</v>
      </c>
      <c r="E27" s="71">
        <v>95.11</v>
      </c>
      <c r="F27" s="71">
        <v>4020</v>
      </c>
      <c r="G27" s="71">
        <v>869</v>
      </c>
      <c r="H27" s="71">
        <v>1668</v>
      </c>
      <c r="I27" s="71">
        <v>5516</v>
      </c>
      <c r="J27" s="71">
        <v>4200</v>
      </c>
      <c r="K27" s="71">
        <v>5617</v>
      </c>
      <c r="L27" s="71">
        <v>5579</v>
      </c>
      <c r="M27" s="71">
        <v>5451</v>
      </c>
      <c r="N27" s="71">
        <v>5353</v>
      </c>
      <c r="O27" s="71">
        <v>3509</v>
      </c>
      <c r="P27" s="71">
        <v>674</v>
      </c>
      <c r="Q27" s="90">
        <v>3162</v>
      </c>
      <c r="R27" s="71">
        <v>5713</v>
      </c>
      <c r="S27" s="71">
        <v>3044</v>
      </c>
      <c r="T27" s="71">
        <v>902</v>
      </c>
      <c r="U27" s="71">
        <v>2978</v>
      </c>
      <c r="V27" s="71">
        <v>9613</v>
      </c>
      <c r="W27" s="71">
        <v>9892</v>
      </c>
      <c r="X27" s="71">
        <v>6623</v>
      </c>
      <c r="Y27" s="71">
        <v>263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8" t="s" ph="1">
        <v>180</v>
      </c>
      <c r="D28" s="91" ph="1">
        <f>D27*268.68*LOOKUP(D29,密度!$A$2:$A$50,密度!$Q$2:$Q$50)+IF(D27&lt;=0,0,1566*LOOKUP(D29,密度!$A$2:$A$50,密度!$Q$2:$Q$50))</f>
        <v>26566.030716552003</v>
      </c>
      <c r="E28" s="91" ph="1">
        <f>E27*268.68*LOOKUP(E29,密度!$A$2:$A$50,密度!$C$2:$C$50)+IF(E27&lt;=0,0,1566*LOOKUP(E29,密度!$A$2:$A$50,密度!$C$2:$C$50))</f>
        <v>30073.539657720001</v>
      </c>
      <c r="F28" s="91" ph="1">
        <f>F27*11.702*LOOKUP(F29,密度!$A$2:$A$50,密度!$Q$2:$Q$50)</f>
        <v>44747.799709200001</v>
      </c>
      <c r="G28" s="91" ph="1">
        <f>G27*18.322*LOOKUP(G29,密度!$A$2:$A$50,密度!$B$2:$B$50)</f>
        <v>12484.297493800001</v>
      </c>
      <c r="H28" s="91" ph="1">
        <f>H27*18.322*LOOKUP(H29,密度!$A$2:$A$50,密度!$B$2:$B$50)</f>
        <v>23962.955373599998</v>
      </c>
      <c r="I28" s="91" ph="1">
        <f>I27*18.322*LOOKUP(I29,密度!$A$2:$A$50,密度!$Q$2:$Q$50)</f>
        <v>95979.614512879998</v>
      </c>
      <c r="J28" s="91" ph="1">
        <f>J27*18.322*LOOKUP(J29,密度!$A$2:$A$50,密度!$Q$2:$Q$50)</f>
        <v>73080.924755999993</v>
      </c>
      <c r="K28" s="91" ph="1">
        <f>K27*18.322*LOOKUP(K29,密度!$A$2:$A$50,密度!$Q$2:$Q$50)</f>
        <v>97808.047876120007</v>
      </c>
      <c r="L28" s="91" ph="1">
        <f>L27*18.322*LOOKUP(L29,密度!$A$2:$A$50,密度!$Q$2:$Q$50)</f>
        <v>97146.359106439995</v>
      </c>
      <c r="M28" s="91" ph="1">
        <f>M27*18.322*LOOKUP(M29,密度!$A$2:$A$50,密度!$Q$2:$Q$50)</f>
        <v>94917.51272436</v>
      </c>
      <c r="N28" s="91" ph="1">
        <f>N27*18.322*LOOKUP(N29,密度!$A$2:$A$50,密度!$Q$2:$Q$50)</f>
        <v>93294.418229179995</v>
      </c>
      <c r="O28" s="91" ph="1">
        <f>O27*18.322*LOOKUP(O29,密度!$A$2:$A$50,密度!$C$2:$C$50)</f>
        <v>71569.740853599986</v>
      </c>
      <c r="P28" s="91" ph="1">
        <f>P27*11.702*LOOKUP(P29,密度!$A$2:$A$50,密度!$B$2:$B$50)</f>
        <v>6177.2143136000004</v>
      </c>
      <c r="Q28" s="92" ph="1">
        <f>Q27*18.322*LOOKUP(Q29,密度!$A$2:$A$50,密度!$B$2:$B$50)</f>
        <v>45426.1779924</v>
      </c>
      <c r="R28" s="91" ph="1">
        <f>R27*35.891*LOOKUP(R29,密度!$A$2:$A$50,密度!$C$2:$C$50)</f>
        <v>228133.38186580001</v>
      </c>
      <c r="S28" s="91" ph="1">
        <f>S27*35.891*LOOKUP(S29,密度!$A$2:$A$50,密度!$B$2:$B$50)</f>
        <v>85752.054919600007</v>
      </c>
      <c r="T28" s="91" ph="1">
        <f>T27*35.891*LOOKUP(T29,密度!$A$2:$A$50,密度!$Q$2:$Q$50)</f>
        <v>30794.81752886</v>
      </c>
      <c r="U28" s="91" ph="1">
        <f>U27*35.891</f>
        <v>106883.398</v>
      </c>
      <c r="V28" s="91" ph="1">
        <f>V27*47.051*LOOKUP(V29,密度!$A$2:$A$50,密度!$B$2:$B$50)</f>
        <v>354649.42031830002</v>
      </c>
      <c r="W28" s="91" ph="1">
        <f>W27*47.051*LOOKUP(W29,密度!$A$2:$A$50,密度!$B$2:$B$50)</f>
        <v>364523.5949344</v>
      </c>
      <c r="X28" s="91" ph="1">
        <f>X27*47.051*LOOKUP(X29,密度!$A$2:$A$50,密度!$I$2:$I$50)</f>
        <v>322724.86606971995</v>
      </c>
      <c r="Y28" s="91" ph="1">
        <f>Y27*47.051*LOOKUP(Y29,密度!$A$2:$A$50,密度!$L$2:$L$50)</f>
        <v>11656.697045999999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8" t="s" ph="1">
        <v>181</v>
      </c>
      <c r="D29" s="74">
        <v>25</v>
      </c>
      <c r="E29" s="74">
        <v>25</v>
      </c>
      <c r="F29" s="74">
        <v>19</v>
      </c>
      <c r="G29" s="74">
        <v>20</v>
      </c>
      <c r="H29" s="74">
        <v>20</v>
      </c>
      <c r="I29" s="74">
        <v>21</v>
      </c>
      <c r="J29" s="74">
        <v>21</v>
      </c>
      <c r="K29" s="74">
        <v>20</v>
      </c>
      <c r="L29" s="74">
        <v>20</v>
      </c>
      <c r="M29" s="74">
        <v>20</v>
      </c>
      <c r="N29" s="74">
        <v>19</v>
      </c>
      <c r="O29" s="74">
        <v>19</v>
      </c>
      <c r="P29" s="74">
        <v>21</v>
      </c>
      <c r="Q29" s="93">
        <v>20</v>
      </c>
      <c r="R29" s="74">
        <v>20</v>
      </c>
      <c r="S29" s="74">
        <v>19</v>
      </c>
      <c r="T29" s="74">
        <v>19</v>
      </c>
      <c r="U29" s="74">
        <v>20</v>
      </c>
      <c r="V29" s="74">
        <v>20</v>
      </c>
      <c r="W29" s="74">
        <v>21</v>
      </c>
      <c r="X29" s="74">
        <v>55</v>
      </c>
      <c r="Y29" s="74">
        <v>20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86</v>
      </c>
      <c r="AC32" s="158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97913.373361000005</v>
      </c>
      <c r="E33" s="201" ph="1">
        <f>M10+I10</f>
        <v>123814.5742411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27" ph="1">
        <v>0</v>
      </c>
      <c r="H33" s="201" ph="1">
        <f>N19</f>
        <v>32408.818631660004</v>
      </c>
      <c r="I33" s="205" ph="1">
        <v>0</v>
      </c>
      <c r="J33" s="209" ph="1">
        <f>F10+O28</f>
        <v>282231.87034839997</v>
      </c>
      <c r="K33" s="201" ph="1">
        <f>O10+K10+E28+R28</f>
        <v>329551.29103992</v>
      </c>
      <c r="L33" s="211" ph="1">
        <f>BE27</f>
        <v>7100</v>
      </c>
      <c r="M33" s="209" ph="1">
        <f>G10+H10+W28+S28</f>
        <v>1070618.0450249999</v>
      </c>
      <c r="N33" s="201" ph="1">
        <f>L10+P10++G28+H28+V28</f>
        <v>515946.73393770005</v>
      </c>
      <c r="O33" s="205" ph="1">
        <f>BE17</f>
        <v>2270</v>
      </c>
      <c r="P33" s="209" ph="1">
        <f>L19</f>
        <v>40311.880511980002</v>
      </c>
      <c r="Q33" s="201" ph="1">
        <f>J10+N10</f>
        <v>107408.68918039999</v>
      </c>
      <c r="R33" s="205" ph="1">
        <f>BE23</f>
        <v>890</v>
      </c>
      <c r="S33" s="209" ph="1">
        <f>E10+X28</f>
        <v>337755.40442571993</v>
      </c>
      <c r="T33" s="201" ph="1">
        <f>X19</f>
        <v>8810.4910561199995</v>
      </c>
      <c r="U33" s="190" ph="1">
        <f>BE21</f>
        <v>730</v>
      </c>
      <c r="V33" s="203" ph="1">
        <f ca="1">P19+Q19+S19+M28+N28+J28</f>
        <v>334286.52236027399</v>
      </c>
      <c r="W33" s="203" ph="1">
        <f>D28+F28+V19+T28</f>
        <v>110845.24760903601</v>
      </c>
      <c r="X33" s="205" ph="1">
        <f>BE29+BE31</f>
        <v>10200</v>
      </c>
      <c r="Y33" s="207" ph="1">
        <f>+Q10+R10+S10+T10+U10+V10+W10+X10+Y10</f>
        <v>193269.53396520001</v>
      </c>
      <c r="Z33" s="188" ph="1">
        <f>D10+T19+U19+Y28+Z10</f>
        <v>258309.88316041999</v>
      </c>
      <c r="AA33" s="190" ph="1">
        <f>BE19</f>
        <v>1440</v>
      </c>
      <c r="AB33" s="192" ph="1">
        <f>I19</f>
        <v>15756.155383200001</v>
      </c>
      <c r="AC33" s="194" ph="1">
        <f>AD10</f>
        <v>13536.802137600002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6" t="s" ph="1">
        <v>187</v>
      </c>
      <c r="AA36" s="156" ph="1"/>
      <c r="AB36" s="187" t="s" ph="1">
        <v>614</v>
      </c>
      <c r="AC36" s="187" ph="1"/>
      <c r="AD36" s="187" ph="1"/>
      <c r="AE36" s="187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346</v>
      </c>
      <c r="AI37" s="156" t="s" ph="1">
        <v>213</v>
      </c>
      <c r="AJ37" s="156" t="s" ph="1">
        <v>214</v>
      </c>
      <c r="AK37" s="156" t="s" ph="1">
        <v>215</v>
      </c>
      <c r="AM37" s="156" t="s" ph="1">
        <v>214</v>
      </c>
      <c r="AN37" s="156" t="s" ph="1">
        <v>215</v>
      </c>
      <c r="AO37" s="156" t="s" ph="1">
        <v>216</v>
      </c>
      <c r="AP37" s="156" t="s" ph="1">
        <v>214</v>
      </c>
      <c r="AQ37" s="156" t="s" ph="1">
        <v>215</v>
      </c>
      <c r="AR37" s="156" t="s" ph="1">
        <v>216</v>
      </c>
      <c r="AS37" s="156" t="s" ph="1">
        <v>214</v>
      </c>
      <c r="AT37" s="156" t="s" ph="1">
        <v>215</v>
      </c>
      <c r="AU37" s="156" t="s" ph="1">
        <v>216</v>
      </c>
      <c r="AV37" s="156" t="s" ph="1">
        <v>214</v>
      </c>
      <c r="AW37" s="156" t="s" ph="1">
        <v>215</v>
      </c>
      <c r="AX37" s="156" t="s" ph="1">
        <v>216</v>
      </c>
      <c r="AY37" s="156" t="s" ph="1">
        <v>215</v>
      </c>
      <c r="AZ37" s="156" t="s" ph="1">
        <v>217</v>
      </c>
      <c r="BD37" s="156" t="s" ph="1">
        <v>309</v>
      </c>
      <c r="BE37" s="156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89" priority="96">
      <formula>ABS(D$7-D$10)&gt;=1000</formula>
    </cfRule>
  </conditionalFormatting>
  <conditionalFormatting sqref="E4 E6:E11">
    <cfRule type="expression" dxfId="1888" priority="95">
      <formula>ABS(E$7-E$10)&gt;=1000</formula>
    </cfRule>
  </conditionalFormatting>
  <conditionalFormatting sqref="F4:F11">
    <cfRule type="expression" dxfId="1887" priority="94">
      <formula>ABS(F$7-F$10)&gt;=1000</formula>
    </cfRule>
  </conditionalFormatting>
  <conditionalFormatting sqref="G4:G11">
    <cfRule type="expression" dxfId="1886" priority="93">
      <formula>ABS(G$7-G$10)&gt;=1000</formula>
    </cfRule>
  </conditionalFormatting>
  <conditionalFormatting sqref="H4:H11">
    <cfRule type="expression" dxfId="1885" priority="92">
      <formula>ABS(H$7-H$10)&gt;=1000</formula>
    </cfRule>
  </conditionalFormatting>
  <conditionalFormatting sqref="I4:I11">
    <cfRule type="expression" dxfId="1884" priority="91">
      <formula>ABS(I$7-I$10)&gt;=1000</formula>
    </cfRule>
  </conditionalFormatting>
  <conditionalFormatting sqref="J4:J11">
    <cfRule type="expression" dxfId="1883" priority="90">
      <formula>ABS(J$7-J$10)&gt;=1000</formula>
    </cfRule>
  </conditionalFormatting>
  <conditionalFormatting sqref="K4:K11">
    <cfRule type="expression" dxfId="1882" priority="89">
      <formula>ABS(K$7-K$10)&gt;=1000</formula>
    </cfRule>
  </conditionalFormatting>
  <conditionalFormatting sqref="L4:L11">
    <cfRule type="expression" dxfId="1881" priority="88">
      <formula>ABS(L$7-L$10)&gt;=1000</formula>
    </cfRule>
  </conditionalFormatting>
  <conditionalFormatting sqref="M4 M6:M11">
    <cfRule type="expression" dxfId="1880" priority="87">
      <formula>ABS(M$7-M$10)&gt;=1000</formula>
    </cfRule>
  </conditionalFormatting>
  <conditionalFormatting sqref="N4 N6:N11">
    <cfRule type="expression" dxfId="1879" priority="86">
      <formula>ABS(N$7-N$10)&gt;=1000</formula>
    </cfRule>
  </conditionalFormatting>
  <conditionalFormatting sqref="O4 O6:O11">
    <cfRule type="expression" dxfId="1878" priority="85">
      <formula>ABS(O$7-O$10)&gt;=1000</formula>
    </cfRule>
  </conditionalFormatting>
  <conditionalFormatting sqref="P4 P6:P11">
    <cfRule type="expression" dxfId="1877" priority="84">
      <formula>ABS(P$7-P$10)&gt;=1000</formula>
    </cfRule>
  </conditionalFormatting>
  <conditionalFormatting sqref="Q4:Q11">
    <cfRule type="expression" dxfId="1876" priority="83">
      <formula>ABS(Q$7-Q$10)&gt;=1000</formula>
    </cfRule>
  </conditionalFormatting>
  <conditionalFormatting sqref="R4:R11">
    <cfRule type="expression" dxfId="1875" priority="82">
      <formula>ABS(R$7-R$10)&gt;=1000</formula>
    </cfRule>
  </conditionalFormatting>
  <conditionalFormatting sqref="S4:S11">
    <cfRule type="expression" dxfId="1874" priority="81">
      <formula>ABS(S$7-S$10)&gt;=1000</formula>
    </cfRule>
  </conditionalFormatting>
  <conditionalFormatting sqref="T4:T9 T11">
    <cfRule type="expression" dxfId="1873" priority="80">
      <formula>ABS(T$7-T$10)&gt;=1000</formula>
    </cfRule>
  </conditionalFormatting>
  <conditionalFormatting sqref="U4:U9 U11">
    <cfRule type="expression" dxfId="1872" priority="79">
      <formula>ABS(U$7-U$10)&gt;=1000</formula>
    </cfRule>
  </conditionalFormatting>
  <conditionalFormatting sqref="V4:V9 V11">
    <cfRule type="expression" dxfId="1871" priority="78">
      <formula>ABS(V$7-V$10)&gt;=1000</formula>
    </cfRule>
  </conditionalFormatting>
  <conditionalFormatting sqref="W4:W9 W11">
    <cfRule type="expression" dxfId="1870" priority="77">
      <formula>ABS(W$7-W$10)&gt;=1000</formula>
    </cfRule>
  </conditionalFormatting>
  <conditionalFormatting sqref="X4:X9 X11">
    <cfRule type="expression" dxfId="1869" priority="76">
      <formula>ABS(X$7-X$10)&gt;=1000</formula>
    </cfRule>
  </conditionalFormatting>
  <conditionalFormatting sqref="Y4:Y9 Y11">
    <cfRule type="expression" dxfId="1868" priority="75">
      <formula>ABS(Y$7-Y$10)&gt;=1000</formula>
    </cfRule>
  </conditionalFormatting>
  <conditionalFormatting sqref="Z4:Z11">
    <cfRule type="expression" dxfId="1867" priority="74">
      <formula>ABS(Z$7-Z$10)&gt;=1000</formula>
    </cfRule>
  </conditionalFormatting>
  <conditionalFormatting sqref="AA4:AA11">
    <cfRule type="expression" dxfId="1866" priority="73">
      <formula>ABS(AA$7-AA$10)&gt;=1000</formula>
    </cfRule>
  </conditionalFormatting>
  <conditionalFormatting sqref="AB4:AB11">
    <cfRule type="expression" dxfId="1865" priority="72">
      <formula>ABS(AB$7-AB$10)&gt;=1000</formula>
    </cfRule>
  </conditionalFormatting>
  <conditionalFormatting sqref="AC4 AC6:AC11">
    <cfRule type="expression" dxfId="1864" priority="71">
      <formula>ABS(AC$7-AC$10)&gt;=1000</formula>
    </cfRule>
  </conditionalFormatting>
  <conditionalFormatting sqref="AD4:AD11">
    <cfRule type="expression" dxfId="1863" priority="70">
      <formula>ABS(AD$7-AD$10)&gt;=1000</formula>
    </cfRule>
  </conditionalFormatting>
  <conditionalFormatting sqref="AE4:AE11">
    <cfRule type="expression" dxfId="1862" priority="69">
      <formula>ABS(AE$7-AE$10)&gt;=1000</formula>
    </cfRule>
  </conditionalFormatting>
  <conditionalFormatting sqref="D13:D20">
    <cfRule type="expression" dxfId="1861" priority="68">
      <formula>ABS(D$16-D$19)&gt;=1000</formula>
    </cfRule>
  </conditionalFormatting>
  <conditionalFormatting sqref="E13:E20">
    <cfRule type="expression" dxfId="1860" priority="67">
      <formula>ABS(E$16-E$19)&gt;=1000</formula>
    </cfRule>
  </conditionalFormatting>
  <conditionalFormatting sqref="F13 F15:F20">
    <cfRule type="expression" dxfId="1859" priority="66">
      <formula>ABS(F$16-F$19)&gt;=1000</formula>
    </cfRule>
  </conditionalFormatting>
  <conditionalFormatting sqref="G13:G20">
    <cfRule type="expression" dxfId="1858" priority="65">
      <formula>ABS(G$16-G$19)&gt;=1000</formula>
    </cfRule>
  </conditionalFormatting>
  <conditionalFormatting sqref="H13:H20">
    <cfRule type="expression" dxfId="1857" priority="64">
      <formula>ABS(H$16-H$19)&gt;=1000</formula>
    </cfRule>
  </conditionalFormatting>
  <conditionalFormatting sqref="I13:I20">
    <cfRule type="expression" dxfId="1856" priority="63">
      <formula>ABS(I$16-I$19)&gt;=1000</formula>
    </cfRule>
  </conditionalFormatting>
  <conditionalFormatting sqref="J13:J20">
    <cfRule type="expression" dxfId="1855" priority="62">
      <formula>ABS(J$16-J$19)&gt;=1000</formula>
    </cfRule>
  </conditionalFormatting>
  <conditionalFormatting sqref="L13:L20">
    <cfRule type="expression" dxfId="1854" priority="61">
      <formula>ABS(L$16-L$19)&gt;=1000</formula>
    </cfRule>
  </conditionalFormatting>
  <conditionalFormatting sqref="M13 M15 M17:M18 M20">
    <cfRule type="expression" dxfId="1853" priority="60">
      <formula>ABS(M$16-M$19)&gt;=1000</formula>
    </cfRule>
  </conditionalFormatting>
  <conditionalFormatting sqref="N13:N20">
    <cfRule type="expression" dxfId="1852" priority="59">
      <formula>ABS(N$16-N$19)&gt;=1000</formula>
    </cfRule>
  </conditionalFormatting>
  <conditionalFormatting sqref="O13:O20">
    <cfRule type="expression" dxfId="1851" priority="58">
      <formula>ABS(O$16-O$19)&gt;=1000</formula>
    </cfRule>
  </conditionalFormatting>
  <conditionalFormatting sqref="P13:P20">
    <cfRule type="expression" dxfId="1850" priority="57">
      <formula>ABS(P$16-P$19)&gt;=1000</formula>
    </cfRule>
  </conditionalFormatting>
  <conditionalFormatting sqref="Q13 Q15:Q20">
    <cfRule type="expression" dxfId="1849" priority="56">
      <formula>ABS(Q$16-Q$19)&gt;=1000</formula>
    </cfRule>
  </conditionalFormatting>
  <conditionalFormatting sqref="R13:R20">
    <cfRule type="expression" dxfId="1848" priority="55">
      <formula>ABS(R$16-R$19)&gt;=1000</formula>
    </cfRule>
  </conditionalFormatting>
  <conditionalFormatting sqref="S13:S20">
    <cfRule type="expression" dxfId="1847" priority="54">
      <formula>ABS(S$16-S$19)&gt;=1000</formula>
    </cfRule>
  </conditionalFormatting>
  <conditionalFormatting sqref="T13:T20">
    <cfRule type="expression" dxfId="1846" priority="53">
      <formula>ABS(T$16-T$19)&gt;=1000</formula>
    </cfRule>
  </conditionalFormatting>
  <conditionalFormatting sqref="U13:U20">
    <cfRule type="expression" dxfId="1845" priority="52">
      <formula>ABS(U$16-U$19)&gt;=1000</formula>
    </cfRule>
  </conditionalFormatting>
  <conditionalFormatting sqref="V13:V20">
    <cfRule type="expression" dxfId="1844" priority="51">
      <formula>ABS(V$16-V$19)&gt;=1000</formula>
    </cfRule>
  </conditionalFormatting>
  <conditionalFormatting sqref="W13 W20 W15:W18">
    <cfRule type="expression" dxfId="1843" priority="50">
      <formula>ABS(W$16-W$19)&gt;=1000</formula>
    </cfRule>
  </conditionalFormatting>
  <conditionalFormatting sqref="X13 X15:X20 Y19">
    <cfRule type="expression" dxfId="1842" priority="49">
      <formula>ABS(X$16-X$19)&gt;=1000</formula>
    </cfRule>
  </conditionalFormatting>
  <conditionalFormatting sqref="Y13 Y15:Y18 Y20">
    <cfRule type="expression" dxfId="1841" priority="48">
      <formula>ABS(Y$16-Y$19)&gt;=1000</formula>
    </cfRule>
  </conditionalFormatting>
  <conditionalFormatting sqref="Z13:Z20">
    <cfRule type="expression" dxfId="1840" priority="47">
      <formula>ABS(Z$16-Z$19)&gt;=1000</formula>
    </cfRule>
  </conditionalFormatting>
  <conditionalFormatting sqref="AA13:AA20">
    <cfRule type="expression" dxfId="1839" priority="46">
      <formula>ABS(AA$16-AA$19)&gt;=1000</formula>
    </cfRule>
  </conditionalFormatting>
  <conditionalFormatting sqref="AB13 AB15:AB20">
    <cfRule type="expression" dxfId="1838" priority="45">
      <formula>ABS(AB$16-AB$19)&gt;=1000</formula>
    </cfRule>
  </conditionalFormatting>
  <conditionalFormatting sqref="AC13 AC15:AC20">
    <cfRule type="expression" dxfId="1837" priority="44">
      <formula>ABS(AC$16-AC$19)&gt;=1000</formula>
    </cfRule>
  </conditionalFormatting>
  <conditionalFormatting sqref="AD13:AD20">
    <cfRule type="expression" dxfId="1836" priority="43">
      <formula>ABS(AD$16-AD$19)&gt;=1000</formula>
    </cfRule>
  </conditionalFormatting>
  <conditionalFormatting sqref="AE13:AE20">
    <cfRule type="expression" dxfId="1835" priority="42">
      <formula>ABS(AE$16-AE$19)&gt;=1000</formula>
    </cfRule>
  </conditionalFormatting>
  <conditionalFormatting sqref="D22:D29">
    <cfRule type="expression" dxfId="1834" priority="41">
      <formula>ABS(D$25-D$28)&gt;=1000</formula>
    </cfRule>
  </conditionalFormatting>
  <conditionalFormatting sqref="E22:E29">
    <cfRule type="expression" dxfId="1833" priority="40">
      <formula>ABS(E$25-E$28)&gt;=1000</formula>
    </cfRule>
  </conditionalFormatting>
  <conditionalFormatting sqref="F22:F29">
    <cfRule type="expression" dxfId="1832" priority="39">
      <formula>ABS(F$25-F$28)&gt;=1000</formula>
    </cfRule>
  </conditionalFormatting>
  <conditionalFormatting sqref="G22:G29">
    <cfRule type="expression" dxfId="1831" priority="38">
      <formula>ABS(G$25-G$28)&gt;=1000</formula>
    </cfRule>
  </conditionalFormatting>
  <conditionalFormatting sqref="H22:H29">
    <cfRule type="expression" dxfId="1830" priority="37">
      <formula>ABS(H$25-H$28)&gt;=1000</formula>
    </cfRule>
  </conditionalFormatting>
  <conditionalFormatting sqref="I22 I24:I29">
    <cfRule type="expression" dxfId="1829" priority="36">
      <formula>ABS(I$25-I$28)&gt;=1000</formula>
    </cfRule>
  </conditionalFormatting>
  <conditionalFormatting sqref="J22:J29 K22">
    <cfRule type="expression" dxfId="1828" priority="35">
      <formula>ABS(J$25-J$28)&gt;=1000</formula>
    </cfRule>
  </conditionalFormatting>
  <conditionalFormatting sqref="K23:K29 L25 L28">
    <cfRule type="expression" dxfId="1827" priority="34">
      <formula>ABS(K$25-K$28)&gt;=1000</formula>
    </cfRule>
  </conditionalFormatting>
  <conditionalFormatting sqref="L22:L24 L26:L27 L29">
    <cfRule type="expression" dxfId="1826" priority="33">
      <formula>ABS(L$25-L$28)&gt;=1000</formula>
    </cfRule>
  </conditionalFormatting>
  <conditionalFormatting sqref="M22:M29">
    <cfRule type="expression" dxfId="1825" priority="32">
      <formula>ABS(M$25-M$28)&gt;=1000</formula>
    </cfRule>
  </conditionalFormatting>
  <conditionalFormatting sqref="N22:N29">
    <cfRule type="expression" dxfId="1824" priority="31">
      <formula>ABS(N$25-N$28)&gt;=1000</formula>
    </cfRule>
  </conditionalFormatting>
  <conditionalFormatting sqref="O22:O29">
    <cfRule type="expression" dxfId="1823" priority="30">
      <formula>ABS(O$25-O$28)&gt;=1000</formula>
    </cfRule>
  </conditionalFormatting>
  <conditionalFormatting sqref="P22:P29">
    <cfRule type="expression" dxfId="1822" priority="29">
      <formula>ABS(P$25-P$28)&gt;=1000</formula>
    </cfRule>
  </conditionalFormatting>
  <conditionalFormatting sqref="Q22:Q29">
    <cfRule type="expression" dxfId="1821" priority="28">
      <formula>ABS(Q$25-Q$28)&gt;=1000</formula>
    </cfRule>
  </conditionalFormatting>
  <conditionalFormatting sqref="R22:R29">
    <cfRule type="expression" dxfId="1820" priority="27">
      <formula>ABS(R$25-R$28)&gt;=1000</formula>
    </cfRule>
  </conditionalFormatting>
  <conditionalFormatting sqref="S22:S29">
    <cfRule type="expression" dxfId="1819" priority="26">
      <formula>ABS(S$25-S$28)&gt;=1000</formula>
    </cfRule>
  </conditionalFormatting>
  <conditionalFormatting sqref="T22:T29">
    <cfRule type="expression" dxfId="1818" priority="25">
      <formula>ABS(T$25-T$28)&gt;=1000</formula>
    </cfRule>
  </conditionalFormatting>
  <conditionalFormatting sqref="U22:U29">
    <cfRule type="expression" dxfId="1817" priority="24">
      <formula>ABS(U$25-U$28)&gt;=1000</formula>
    </cfRule>
  </conditionalFormatting>
  <conditionalFormatting sqref="V22:V29">
    <cfRule type="expression" dxfId="1816" priority="23">
      <formula>ABS(V$25-V$28)&gt;=1000</formula>
    </cfRule>
  </conditionalFormatting>
  <conditionalFormatting sqref="W22:W29">
    <cfRule type="expression" dxfId="1815" priority="22">
      <formula>ABS(W$25-W$28)&gt;=1000</formula>
    </cfRule>
  </conditionalFormatting>
  <conditionalFormatting sqref="X22:X29">
    <cfRule type="expression" dxfId="1814" priority="21">
      <formula>ABS(X$25-X$28)&gt;=1000</formula>
    </cfRule>
  </conditionalFormatting>
  <conditionalFormatting sqref="Y22:Y29">
    <cfRule type="expression" dxfId="1813" priority="20">
      <formula>ABS(Y$25-Y$28)&gt;=1000</formula>
    </cfRule>
  </conditionalFormatting>
  <conditionalFormatting sqref="I23">
    <cfRule type="expression" dxfId="1812" priority="19">
      <formula>ABS(I$25-I$28)&gt;=1000</formula>
    </cfRule>
  </conditionalFormatting>
  <conditionalFormatting sqref="F14">
    <cfRule type="expression" dxfId="1811" priority="18">
      <formula>ABS(F$16-F$19)&gt;=1000</formula>
    </cfRule>
  </conditionalFormatting>
  <conditionalFormatting sqref="Q14">
    <cfRule type="expression" dxfId="1810" priority="17">
      <formula>ABS(Q$16-Q$19)&gt;=1000</formula>
    </cfRule>
  </conditionalFormatting>
  <conditionalFormatting sqref="W14">
    <cfRule type="expression" dxfId="1809" priority="16">
      <formula>ABS(W$16-W$19)&gt;=1000</formula>
    </cfRule>
  </conditionalFormatting>
  <conditionalFormatting sqref="Y14">
    <cfRule type="expression" dxfId="1808" priority="15">
      <formula>ABS(Y$16-Y$19)&gt;=1000</formula>
    </cfRule>
  </conditionalFormatting>
  <conditionalFormatting sqref="X14">
    <cfRule type="expression" dxfId="1807" priority="14">
      <formula>ABS(X$16-X$19)&gt;=1000</formula>
    </cfRule>
  </conditionalFormatting>
  <conditionalFormatting sqref="T10:Y10">
    <cfRule type="expression" dxfId="1806" priority="13">
      <formula>ABS(T$7-T$10)&gt;=1000</formula>
    </cfRule>
  </conditionalFormatting>
  <conditionalFormatting sqref="W19">
    <cfRule type="expression" dxfId="1805" priority="12">
      <formula>ABS(W$16-W$19)&gt;=1000</formula>
    </cfRule>
  </conditionalFormatting>
  <conditionalFormatting sqref="AC5">
    <cfRule type="expression" dxfId="1804" priority="11">
      <formula>ABS(AC$7-AC$10)&gt;=1000</formula>
    </cfRule>
  </conditionalFormatting>
  <conditionalFormatting sqref="M14">
    <cfRule type="expression" dxfId="1803" priority="10">
      <formula>ABS(M$16-M$19)&gt;=1000</formula>
    </cfRule>
  </conditionalFormatting>
  <conditionalFormatting sqref="M16">
    <cfRule type="expression" dxfId="1802" priority="9">
      <formula>ABS(M$16-M$19)&gt;=1000</formula>
    </cfRule>
  </conditionalFormatting>
  <conditionalFormatting sqref="M19">
    <cfRule type="expression" dxfId="1801" priority="8">
      <formula>ABS(M$16-M$19)&gt;=1000</formula>
    </cfRule>
  </conditionalFormatting>
  <conditionalFormatting sqref="K13:K20">
    <cfRule type="expression" dxfId="1800" priority="7">
      <formula>ABS(K$16-K$19)&gt;=1000</formula>
    </cfRule>
  </conditionalFormatting>
  <conditionalFormatting sqref="E5">
    <cfRule type="expression" dxfId="1799" priority="6">
      <formula>ABS(E$7-E$10)&gt;=1000</formula>
    </cfRule>
  </conditionalFormatting>
  <conditionalFormatting sqref="AB14:AC14">
    <cfRule type="expression" dxfId="1798" priority="5">
      <formula>ABS(AB$16-AB$19)&gt;=1000</formula>
    </cfRule>
  </conditionalFormatting>
  <conditionalFormatting sqref="M5">
    <cfRule type="expression" dxfId="1797" priority="4">
      <formula>ABS(M$7-M$10)&gt;=1000</formula>
    </cfRule>
  </conditionalFormatting>
  <conditionalFormatting sqref="N5">
    <cfRule type="expression" dxfId="1796" priority="3">
      <formula>ABS(N$7-N$10)&gt;=1000</formula>
    </cfRule>
  </conditionalFormatting>
  <conditionalFormatting sqref="O5">
    <cfRule type="expression" dxfId="1795" priority="2">
      <formula>ABS(O$7-O$10)&gt;=1000</formula>
    </cfRule>
  </conditionalFormatting>
  <conditionalFormatting sqref="P5">
    <cfRule type="expression" dxfId="179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2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45728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58" t="s" ph="1">
        <v>179</v>
      </c>
      <c r="D6" s="71">
        <v>2137</v>
      </c>
      <c r="E6" s="71">
        <v>362</v>
      </c>
      <c r="F6" s="71">
        <v>5205</v>
      </c>
      <c r="G6" s="71">
        <v>7689</v>
      </c>
      <c r="H6" s="71">
        <v>7046</v>
      </c>
      <c r="I6" s="71">
        <v>27.11</v>
      </c>
      <c r="J6" s="71">
        <v>7.71</v>
      </c>
      <c r="K6" s="71">
        <v>50.72</v>
      </c>
      <c r="L6" s="71">
        <v>47.52</v>
      </c>
      <c r="M6" s="71">
        <v>3388</v>
      </c>
      <c r="N6" s="71">
        <v>4036</v>
      </c>
      <c r="O6" s="71">
        <v>3253</v>
      </c>
      <c r="P6" s="71">
        <v>2724</v>
      </c>
      <c r="Q6" s="71">
        <v>7184</v>
      </c>
      <c r="R6" s="71">
        <v>6184</v>
      </c>
      <c r="S6" s="71">
        <v>2824</v>
      </c>
      <c r="T6" s="71">
        <v>0</v>
      </c>
      <c r="U6" s="71">
        <v>0</v>
      </c>
      <c r="V6" s="71">
        <v>0</v>
      </c>
      <c r="W6" s="71">
        <v>0</v>
      </c>
      <c r="X6" s="71">
        <v>3115</v>
      </c>
      <c r="Y6" s="71">
        <v>5119</v>
      </c>
      <c r="Z6" s="71">
        <v>3847</v>
      </c>
      <c r="AA6" s="71">
        <v>1568</v>
      </c>
      <c r="AB6" s="71">
        <v>2093</v>
      </c>
      <c r="AC6" s="71">
        <v>5505</v>
      </c>
      <c r="AD6" s="71">
        <v>694</v>
      </c>
      <c r="AE6" s="71">
        <v>3495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67509.000712709996</v>
      </c>
      <c r="E7" s="73" ph="1">
        <f>E6*51.53*LOOKUP(E8,密度!$A$2:$A$50,密度!$B$2:$B$50)</f>
        <v>14656.337802</v>
      </c>
      <c r="F7" s="73" ph="1">
        <f>F6*33.183*LOOKUP(F8,密度!$A$2:$A$50,密度!$C$2:$C$50)</f>
        <v>192390.03995849995</v>
      </c>
      <c r="G7" s="73" ph="1">
        <f xml:space="preserve"> (G6+2)*51.53*LOOKUP(G8,密度!$A$2:$A$50,密度!$B$2:$B$50)</f>
        <v>311386.44761099998</v>
      </c>
      <c r="H7" s="73" ph="1">
        <f>(H6)*51.53*LOOKUP(H8,密度!$A$2:$A$50,密度!$B$2:$B$50)</f>
        <v>286724.57608600002</v>
      </c>
      <c r="I7" s="73" ph="1">
        <f>I6*290.8*1.0267</f>
        <v>8094.0797995999992</v>
      </c>
      <c r="J7" s="73" ph="1">
        <f>J6*290.8*0.7892</f>
        <v>1769.4400656000003</v>
      </c>
      <c r="K7" s="73" ph="1">
        <f>K6*290.8*1.1126</f>
        <v>16410.155737600002</v>
      </c>
      <c r="L7" s="73" ph="1">
        <f>L6*290.8*0.777</f>
        <v>10737.220032000001</v>
      </c>
      <c r="M7" s="73" ph="1">
        <f>M6*33.183*LOOKUP(M8,密度!$A$2:$A$50,密度!$D$2:$D$50)</f>
        <v>116145.23853239999</v>
      </c>
      <c r="N7" s="73" ph="1">
        <f>N6*33.183*LOOKUP(N8,密度!$A$2:$A$50,密度!$E$2:$E$50)</f>
        <v>105842.1824964</v>
      </c>
      <c r="O7" s="73" ph="1">
        <f>O6*20.428*LOOKUP(O8,密度!$A$2:$A$50,密度!$C$2:$C$50)</f>
        <v>73688.937727600001</v>
      </c>
      <c r="P7" s="73" ph="1">
        <f>P6*51.53*LOOKUP(P8,密度!$A$2:$A$50,密度!$B$2:$B$50)</f>
        <v>110286.91760399999</v>
      </c>
      <c r="Q7" s="73" ph="1">
        <f>Q6*1.5*1.5*3.1416*LOOKUP(W8,密度!$A$2:$A$50,密度!$L$2:$L$50)</f>
        <v>47886.315523199992</v>
      </c>
      <c r="R7" s="73" ph="1">
        <f>R6*1.5*1.5*3.1416*LOOKUP(R8,密度!$A$2:$A$50,密度!$L$2:$L$50)</f>
        <v>41002.064611199996</v>
      </c>
      <c r="S7" s="73" ph="1">
        <f>S6*1.5*1.5*3.1416*LOOKUP(S8,密度!$A$2:$A$50,密度!$L$2:$L$50)</f>
        <v>18943.6783536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20961.791927999999</v>
      </c>
      <c r="Y7" s="73" ph="1">
        <f>Y6*1.5*1.5*3.1416*LOOKUP(Y8,密度!$A$2:$A$50,密度!$L$2:$L$50)</f>
        <v>34121.666086199999</v>
      </c>
      <c r="Z7" s="73" ph="1">
        <f>Z6*33.183*LOOKUP(Z8,密度!$A$2:$A$50,密度!$L$2:$L$50)</f>
        <v>120251.01094199999</v>
      </c>
      <c r="AA7" s="73" ph="1">
        <f>AA6*33.183*LOOKUP(AA8,密度!$A$2:$A$50,密度!$D$2:$D$50)</f>
        <v>53664.715641600007</v>
      </c>
      <c r="AB7" s="73" ph="1">
        <f>AB6*20.428*LOOKUP(AB8,密度!$A$2:$A$50,密度!$D$2:$D$50)</f>
        <v>44504.516383599999</v>
      </c>
      <c r="AC7" s="73" ph="1">
        <f>AC6*51.53*LOOKUP(AC8,密度!$A$2:$A$50,密度!$Q$2:$Q$50)</f>
        <v>270283.30092000001</v>
      </c>
      <c r="AD7" s="73" ph="1">
        <f>AD6*20.428*LOOKUP(AD8,密度!$A$2:$A$50,密度!$V$2:$V$50)</f>
        <v>13666.658848000001</v>
      </c>
      <c r="AE7" s="73" ph="1">
        <f>AE6*20.428</f>
        <v>71395.86</v>
      </c>
    </row>
    <row r="8" spans="1:99" ph="1">
      <c r="B8" s="252" ph="1"/>
      <c r="C8" s="68" t="s" ph="1">
        <v>181</v>
      </c>
      <c r="D8" s="74">
        <v>18</v>
      </c>
      <c r="E8" s="74">
        <v>18</v>
      </c>
      <c r="F8" s="74">
        <v>18</v>
      </c>
      <c r="G8" s="74">
        <v>18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25</v>
      </c>
      <c r="P8" s="74">
        <v>18</v>
      </c>
      <c r="Q8" s="74">
        <v>18</v>
      </c>
      <c r="R8" s="74">
        <v>24</v>
      </c>
      <c r="S8" s="74">
        <v>13</v>
      </c>
      <c r="T8" s="74">
        <v>15</v>
      </c>
      <c r="U8" s="74">
        <v>18</v>
      </c>
      <c r="V8" s="74">
        <v>25</v>
      </c>
      <c r="W8" s="74">
        <v>19</v>
      </c>
      <c r="X8" s="74">
        <v>10</v>
      </c>
      <c r="Y8" s="74">
        <v>19</v>
      </c>
      <c r="Z8" s="74">
        <v>20</v>
      </c>
      <c r="AA8" s="74">
        <v>20</v>
      </c>
      <c r="AB8" s="74">
        <v>9</v>
      </c>
      <c r="AC8" s="74">
        <v>17</v>
      </c>
      <c r="AD8" s="74">
        <v>16</v>
      </c>
      <c r="AE8" s="74">
        <v>21</v>
      </c>
    </row>
    <row r="9" spans="1:99" ph="1">
      <c r="B9" s="252" ph="1">
        <v>0.66666666666666663</v>
      </c>
      <c r="C9" s="158" t="s" ph="1">
        <v>182</v>
      </c>
      <c r="D9" s="71">
        <v>2134</v>
      </c>
      <c r="E9" s="71">
        <v>347</v>
      </c>
      <c r="F9" s="71">
        <v>4958</v>
      </c>
      <c r="G9" s="71">
        <v>8566</v>
      </c>
      <c r="H9" s="71">
        <v>6758</v>
      </c>
      <c r="I9" s="71">
        <v>27.01</v>
      </c>
      <c r="J9" s="71">
        <v>7.81</v>
      </c>
      <c r="K9" s="71">
        <v>20.91</v>
      </c>
      <c r="L9" s="71">
        <v>19.61</v>
      </c>
      <c r="M9" s="71">
        <v>3390</v>
      </c>
      <c r="N9" s="71">
        <v>3867</v>
      </c>
      <c r="O9" s="71">
        <v>3000</v>
      </c>
      <c r="P9" s="71">
        <v>2496</v>
      </c>
      <c r="Q9" s="71">
        <v>7196</v>
      </c>
      <c r="R9" s="71">
        <v>6192</v>
      </c>
      <c r="S9" s="71">
        <v>5369</v>
      </c>
      <c r="T9" s="71">
        <v>1997</v>
      </c>
      <c r="U9" s="71">
        <v>0</v>
      </c>
      <c r="V9" s="71">
        <v>0</v>
      </c>
      <c r="W9" s="71">
        <v>0</v>
      </c>
      <c r="X9" s="71">
        <v>0</v>
      </c>
      <c r="Y9" s="71">
        <v>3976</v>
      </c>
      <c r="Z9" s="71">
        <v>3843</v>
      </c>
      <c r="AA9" s="71">
        <v>1568</v>
      </c>
      <c r="AB9" s="71">
        <v>1934</v>
      </c>
      <c r="AC9" s="71">
        <v>5877</v>
      </c>
      <c r="AD9" s="71">
        <v>692</v>
      </c>
      <c r="AE9" s="71">
        <v>3310</v>
      </c>
    </row>
    <row r="10" spans="1:99" s="72" customFormat="1" ht="22.5" ph="1">
      <c r="B10" s="252" ph="1"/>
      <c r="C10" s="158" t="s" ph="1">
        <v>180</v>
      </c>
      <c r="D10" s="73" ph="1">
        <f>D9*33.183*LOOKUP(D11,密度!$A$2:$A$50,密度!$Q$2:$Q$50)</f>
        <v>67249.944018180002</v>
      </c>
      <c r="E10" s="73" ph="1">
        <f>E9*51.53*LOOKUP(E11,密度!$A$2:$A$50,密度!$B$2:$B$50)</f>
        <v>13830.883884999999</v>
      </c>
      <c r="F10" s="73" ph="1">
        <f>F9*33.183*LOOKUP(F11,密度!$A$2:$A$50,密度!$C$2:$C$50)</f>
        <v>183046.41395640001</v>
      </c>
      <c r="G10" s="73" ph="1">
        <f xml:space="preserve"> (G9+2)*51.53*LOOKUP(G11,密度!$A$2:$A$50,密度!$B$2:$B$50)</f>
        <v>346187.23826400004</v>
      </c>
      <c r="H10" s="73" ph="1">
        <f>(H9)*51.53*LOOKUP(H11,密度!$A$2:$A$50,密度!$B$2:$B$50)</f>
        <v>273054.780134</v>
      </c>
      <c r="I10" s="73" ph="1">
        <f>I9*290.8*1.0267</f>
        <v>8064.2233636000001</v>
      </c>
      <c r="J10" s="73" ph="1">
        <f>J9*290.8*0.7892</f>
        <v>1792.3900016000002</v>
      </c>
      <c r="K10" s="73" ph="1">
        <f>K9*290.8*1.1126</f>
        <v>6765.3067128000012</v>
      </c>
      <c r="L10" s="73" ph="1">
        <f>L9*290.8*0.777</f>
        <v>4430.9108759999999</v>
      </c>
      <c r="M10" s="73" ph="1">
        <f>M9*33.183*LOOKUP(M11,密度!$A$2:$A$50,密度!$D$2:$D$50)</f>
        <v>116022.567618</v>
      </c>
      <c r="N10" s="73" ph="1">
        <f>N9*33.183*LOOKUP(N11,密度!$A$2:$A$50,密度!$E$2:$E$50)</f>
        <v>101115.10486799999</v>
      </c>
      <c r="O10" s="73" ph="1">
        <f>O9*20.428*LOOKUP(O11,密度!$A$2:$A$50,密度!$C$2:$C$50)</f>
        <v>67534.968000000008</v>
      </c>
      <c r="P10" s="73" ph="1">
        <f>P9*51.53*LOOKUP(P11,密度!$A$2:$A$50,密度!$B$2:$B$50)</f>
        <v>100155.52185599999</v>
      </c>
      <c r="Q10" s="73" ph="1">
        <f>Q9*1.5*1.5*3.1416*LOOKUP(W11,密度!$A$2:$A$50,密度!$L$2:$L$50)</f>
        <v>46999.856534400002</v>
      </c>
      <c r="R10" s="73" ph="1">
        <f>R9*1.5*1.5*3.1416*LOOKUP(R11,密度!$A$2:$A$50,密度!$L$2:$L$50)</f>
        <v>40880.032300800005</v>
      </c>
      <c r="S10" s="73" ph="1">
        <f>S9*1.5*1.5*3.1416*LOOKUP(S11,密度!$A$2:$A$50,密度!$L$2:$L$50)</f>
        <v>35901.9424764</v>
      </c>
      <c r="T10" s="73" ph="1">
        <f>T9*1.5*1.5*3.1416*LOOKUP(T11,密度!$A$2:$A$50,密度!$L$2:$L$50)</f>
        <v>13325.498524799999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26474.677891199997</v>
      </c>
      <c r="Z10" s="73" ph="1">
        <f>Z9*33.183*LOOKUP(Z11,密度!$A$2:$A$50,密度!$L$2:$L$50)</f>
        <v>119743.41059099999</v>
      </c>
      <c r="AA10" s="73" ph="1">
        <f>AA9*33.183*LOOKUP(AA11,密度!$A$2:$A$50,密度!$D$2:$D$50)</f>
        <v>53420.170204800001</v>
      </c>
      <c r="AB10" s="73" ph="1">
        <f>AB9*20.428*LOOKUP(AB11,密度!$A$2:$A$50,密度!$D$2:$D$50)</f>
        <v>40985.341924800006</v>
      </c>
      <c r="AC10" s="73" ph="1">
        <f>AC9*51.53*LOOKUP(AC11,密度!$A$2:$A$50,密度!$Q$2:$Q$50)</f>
        <v>286712.45519940002</v>
      </c>
      <c r="AD10" s="73" ph="1">
        <f>AD9*20.428*LOOKUP(AD11,密度!$A$2:$A$50,密度!$V$2:$V$50)</f>
        <v>13536.802137600002</v>
      </c>
      <c r="AE10" s="73" ph="1">
        <f>AE9*20.428</f>
        <v>67616.680000000008</v>
      </c>
    </row>
    <row r="11" spans="1:99" ph="1">
      <c r="A11" s="64" t="s" ph="1">
        <v>164</v>
      </c>
      <c r="B11" s="252" ph="1"/>
      <c r="C11" s="158" t="s" ph="1">
        <v>181</v>
      </c>
      <c r="D11" s="74">
        <v>21</v>
      </c>
      <c r="E11" s="74">
        <v>32</v>
      </c>
      <c r="F11" s="74">
        <v>20</v>
      </c>
      <c r="G11" s="74">
        <v>20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21</v>
      </c>
      <c r="O11" s="74">
        <v>33</v>
      </c>
      <c r="P11" s="74">
        <v>26</v>
      </c>
      <c r="Q11" s="74">
        <v>21</v>
      </c>
      <c r="R11" s="74">
        <v>28</v>
      </c>
      <c r="S11" s="74">
        <v>16</v>
      </c>
      <c r="T11" s="74">
        <v>18</v>
      </c>
      <c r="U11" s="74">
        <v>26</v>
      </c>
      <c r="V11" s="74">
        <v>27</v>
      </c>
      <c r="W11" s="74">
        <v>38</v>
      </c>
      <c r="X11" s="74">
        <v>25</v>
      </c>
      <c r="Y11" s="74">
        <v>20</v>
      </c>
      <c r="Z11" s="74">
        <v>23</v>
      </c>
      <c r="AA11" s="74">
        <v>25</v>
      </c>
      <c r="AB11" s="74">
        <v>13</v>
      </c>
      <c r="AC11" s="74">
        <v>25</v>
      </c>
      <c r="AD11" s="74">
        <v>31</v>
      </c>
      <c r="AE11" s="74">
        <v>25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58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58" t="s" ph="1">
        <v>179</v>
      </c>
      <c r="D15" s="78">
        <v>924</v>
      </c>
      <c r="E15" s="78">
        <v>5465</v>
      </c>
      <c r="F15" s="78">
        <v>1188</v>
      </c>
      <c r="G15" s="78">
        <v>1105</v>
      </c>
      <c r="H15" s="78">
        <v>110</v>
      </c>
      <c r="I15" s="78">
        <v>1690</v>
      </c>
      <c r="J15" s="78">
        <v>583</v>
      </c>
      <c r="K15" s="78">
        <v>767</v>
      </c>
      <c r="L15" s="78">
        <v>5623</v>
      </c>
      <c r="M15" s="78">
        <v>5100</v>
      </c>
      <c r="N15" s="78">
        <v>1691</v>
      </c>
      <c r="O15" s="78">
        <v>0</v>
      </c>
      <c r="P15" s="78">
        <v>2222</v>
      </c>
      <c r="Q15" s="78">
        <v>5187</v>
      </c>
      <c r="R15" s="78">
        <v>3495</v>
      </c>
      <c r="S15" s="78">
        <v>0</v>
      </c>
      <c r="T15" s="78">
        <v>5168</v>
      </c>
      <c r="U15" s="78">
        <v>304</v>
      </c>
      <c r="V15" s="78">
        <v>401</v>
      </c>
      <c r="W15" s="71">
        <v>-596</v>
      </c>
      <c r="X15" s="78">
        <v>315</v>
      </c>
      <c r="Y15" s="106">
        <v>-9902</v>
      </c>
      <c r="Z15" s="78">
        <v>0</v>
      </c>
      <c r="AA15" s="78">
        <v>2501</v>
      </c>
      <c r="AB15" s="78" ph="1">
        <v>6868</v>
      </c>
      <c r="AC15" s="78" ph="1">
        <v>6513</v>
      </c>
      <c r="AD15" s="78">
        <v>84.41</v>
      </c>
      <c r="AE15" s="78">
        <v>15.41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58" t="s" ph="1">
        <v>180</v>
      </c>
      <c r="D16" s="73" ph="1">
        <f>D15*7.0686*LOOKUP(D17,密度!$A$2:$A$50,密度!$L$2:$L$50)</f>
        <v>6159.0973752</v>
      </c>
      <c r="E16" s="73" ph="1">
        <f>E15*7.0686*LOOKUP(E17,密度!$A$2:$A$50,密度!$L$2:$L$50)</f>
        <v>36427.994756999993</v>
      </c>
      <c r="F16" s="73" ph="1">
        <f>F15*9.0746*LOOKUP(F17,密度!$A$2:$A$50,密度!$L$2:$L$50)</f>
        <v>10166.1291864</v>
      </c>
      <c r="G16" s="73" ph="1">
        <f>G15*9.0746*LOOKUP(G17,密度!$A$2:$A$50,密度!$B$2:$B$50)</f>
        <v>7878.5541081000001</v>
      </c>
      <c r="H16" s="73" ph="1">
        <f>H15*9.0746*LOOKUP(H17,密度!$A$2:$A$50,密度!$L$2:$L$50)</f>
        <v>945.30108199999995</v>
      </c>
      <c r="I16" s="73" ph="1">
        <f>I15*9.0746*LOOKUP(I17,密度!$A$2:$A$50,密度!$U$2:$U$50)</f>
        <v>15765.484072000001</v>
      </c>
      <c r="J16" s="73" ph="1">
        <f>J15*9.0746*LOOKUP(J17,密度!$A$2:$A$50,密度!$L$2:$L$50)</f>
        <v>4994.2242591999993</v>
      </c>
      <c r="K16" s="73" ph="1">
        <f>K15*9.0746*LOOKUP(K17,密度!$A$2:$A$50,密度!$C$2:$C$50)</f>
        <v>7748.1149002399998</v>
      </c>
      <c r="L16" s="73" ph="1">
        <f>L15*9.0746*LOOKUP(L17,密度!$A$2:$A$50,密度!$E$2:$E$50)</f>
        <v>40326.223824740002</v>
      </c>
      <c r="M16" s="73" ph="1">
        <f>M15*9.0746*LOOKUP(M17,密度!$A$2:$A$50,密度!$M$2:$M$50)</f>
        <v>40740.688937999999</v>
      </c>
      <c r="N16" s="73" ph="1">
        <f>N15*9.0746*LOOKUP(N17,密度!$A$2:$A$50,密度!$M$2:$M$50)</f>
        <v>13508.33431258</v>
      </c>
      <c r="O16" s="73" ph="1">
        <f>O15*9.0746*LOOKUP(O17,密度!$A$2:$A$50,密度!$G$2:$G$50)</f>
        <v>0</v>
      </c>
      <c r="P16" s="73" ph="1">
        <f ca="1">P15*9.0746*LOOKUP(P17,密度!$A$2:$A$51,密度!$Q$2:$Q$50)</f>
        <v>19163.235369255999</v>
      </c>
      <c r="Q16" s="73" ph="1">
        <f>Q15*9.0746*LOOKUP(Q17,密度!$A$2:$A$50,密度!$Q$2:$Q$50)</f>
        <v>44774.348728746001</v>
      </c>
      <c r="R16" s="73" ph="1">
        <f>MAX(R15*9.0746*LOOKUP(R17,密度!$A$2:$A$50,密度!$B$2:$B$50),0)</f>
        <v>24868.301540700002</v>
      </c>
      <c r="S16" s="73" ph="1">
        <f>S15*9.0746*LOOKUP(S17,密度!$A$2:$A$50,密度!$Q$2:$Q$50)</f>
        <v>0</v>
      </c>
      <c r="T16" s="73" ph="1">
        <f>T15*9.0746*LOOKUP(T17,密度!$A$2:$A$50,密度!$O$2:$O$50)</f>
        <v>43802.295635200004</v>
      </c>
      <c r="U16" s="73" ph="1">
        <f>U15*9.0746*LOOKUP(U17,密度!$A$2:$A$50,密度!$H$2:$H$50)</f>
        <v>2542.6738812799999</v>
      </c>
      <c r="V16" s="73" ph="1">
        <f>MAX(5600*LOOKUP(V17,密度!$A$2:$A$50,密度!$Q$2:$Q$50)+V15*9.0476*LOOKUP(V17,密度!$A$2:$A$50,密度!$Q$2:$Q$50),0)</f>
        <v>8763.822512843999</v>
      </c>
      <c r="W16" s="73" ph="1">
        <f>MAX(5600*LOOKUP(W17,密度!$A$2:$A$50,密度!$Q$2:$Q$50)+W15*9.0476*LOOKUP(W17,密度!$A$2:$A$50,密度!$Q$2:$Q$50),0)</f>
        <v>197.18451457600077</v>
      </c>
      <c r="X16" s="73" ph="1">
        <f>MAX(5600*LOOKUP(X17,密度!$A$2:$A$50,密度!$I$2:$I$50)+X15*9.0476*LOOKUP(X17,密度!$A$2:$A$50,密度!$I$2:$I$50),0)</f>
        <v>8833.6237276000011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17654.88748134</v>
      </c>
      <c r="AB16" s="73" ph="1">
        <f>AB15*9.0746*LOOKUP(AB17,密度!$A$2:$A$50,密度!$L$2:$L$50)</f>
        <v>58771.864690399998</v>
      </c>
      <c r="AC16" s="73" ph="1">
        <f>AC15*9.0746*LOOKUP(AC17,密度!$A$2:$A$50,密度!$L$2:$L$50)</f>
        <v>55852.211961000001</v>
      </c>
      <c r="AD16" s="73" ph="1">
        <f>AD15*268.68*LOOKUP(AD17,密度!$A$2:$A$50,密度!B2:B50)+IF(AD15&lt;=0,0,1566*LOOKUP(AD17,密度!$A$2:$A$50,密度!B2:B50))</f>
        <v>18901.619352479996</v>
      </c>
      <c r="AE16" s="73" ph="1">
        <f>AE15*268.68*LOOKUP(AE17,密度!$A$2:$A$50,密度!B2:B50)+IF(AE15&lt;=0,0,1566*LOOKUP(AE17,密度!$A$2:$A$50,密度!B2:B50))</f>
        <v>4448.6773204799993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19</v>
      </c>
      <c r="E17" s="74">
        <v>19</v>
      </c>
      <c r="F17" s="74">
        <v>19</v>
      </c>
      <c r="G17" s="74">
        <v>18</v>
      </c>
      <c r="H17" s="74">
        <v>15</v>
      </c>
      <c r="I17" s="74">
        <v>17</v>
      </c>
      <c r="J17" s="74">
        <v>18</v>
      </c>
      <c r="K17" s="74">
        <v>19</v>
      </c>
      <c r="L17" s="74">
        <v>19</v>
      </c>
      <c r="M17" s="74">
        <v>20</v>
      </c>
      <c r="N17" s="74">
        <v>19</v>
      </c>
      <c r="O17" s="74">
        <v>20</v>
      </c>
      <c r="P17" s="74">
        <v>20</v>
      </c>
      <c r="Q17" s="74">
        <v>19</v>
      </c>
      <c r="R17" s="74">
        <v>20</v>
      </c>
      <c r="S17" s="74">
        <v>19</v>
      </c>
      <c r="T17" s="74">
        <v>18</v>
      </c>
      <c r="U17" s="74">
        <v>18</v>
      </c>
      <c r="V17" s="74">
        <v>21</v>
      </c>
      <c r="W17" s="74">
        <v>21</v>
      </c>
      <c r="X17" s="74">
        <v>22</v>
      </c>
      <c r="Y17" s="108">
        <v>22</v>
      </c>
      <c r="Z17" s="74">
        <v>19</v>
      </c>
      <c r="AA17" s="74">
        <v>27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0</v>
      </c>
      <c r="E18" s="71">
        <v>3523</v>
      </c>
      <c r="F18" s="71">
        <v>1088</v>
      </c>
      <c r="G18" s="71">
        <v>1138</v>
      </c>
      <c r="H18" s="71">
        <v>108</v>
      </c>
      <c r="I18" s="71">
        <v>1691</v>
      </c>
      <c r="J18" s="71">
        <v>593</v>
      </c>
      <c r="K18" s="71">
        <v>766</v>
      </c>
      <c r="L18" s="71">
        <v>5641</v>
      </c>
      <c r="M18" s="71">
        <v>3238</v>
      </c>
      <c r="N18" s="71">
        <v>1777</v>
      </c>
      <c r="O18" s="71">
        <v>0</v>
      </c>
      <c r="P18" s="71">
        <v>2226</v>
      </c>
      <c r="Q18" s="71">
        <v>5196</v>
      </c>
      <c r="R18" s="71">
        <v>3502</v>
      </c>
      <c r="S18" s="71">
        <v>0</v>
      </c>
      <c r="T18" s="71">
        <v>5177</v>
      </c>
      <c r="U18" s="71">
        <v>3049</v>
      </c>
      <c r="V18" s="71">
        <v>398</v>
      </c>
      <c r="W18" s="71">
        <v>-596</v>
      </c>
      <c r="X18" s="71">
        <v>292</v>
      </c>
      <c r="Y18" s="109">
        <v>-9906</v>
      </c>
      <c r="Z18" s="71">
        <v>0</v>
      </c>
      <c r="AA18" s="71">
        <v>2503</v>
      </c>
      <c r="AB18" s="71">
        <v>6884</v>
      </c>
      <c r="AC18" s="71">
        <v>6527</v>
      </c>
      <c r="AD18" s="71">
        <v>83.81</v>
      </c>
      <c r="AE18" s="71">
        <v>43.01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58" t="s" ph="1">
        <v>180</v>
      </c>
      <c r="D19" s="73" ph="1">
        <f>D18*7.0686*LOOKUP(D20,密度!$A$2:$A$50,密度!$L$2:$L$50)</f>
        <v>0</v>
      </c>
      <c r="E19" s="73" ph="1">
        <f>E18*7.0686*LOOKUP(E20,密度!$A$2:$A$50,密度!$L$2:$L$50)</f>
        <v>23408.517132000001</v>
      </c>
      <c r="F19" s="73" ph="1">
        <f>F18*9.0746*LOOKUP(F20,密度!$A$2:$A$50,密度!$L$2:$L$50)</f>
        <v>9300.5212415999995</v>
      </c>
      <c r="G19" s="73" ph="1">
        <f>G18*9.0746*LOOKUP(G20,密度!$A$2:$A$50,密度!$B$2:$B$50)</f>
        <v>8023.9972596000007</v>
      </c>
      <c r="H19" s="73" ph="1">
        <f>H18*9.0746*LOOKUP(H20,密度!$A$2:$A$50,密度!$L$2:$L$50)</f>
        <v>918.31322160000013</v>
      </c>
      <c r="I19" s="73" ph="1">
        <f>I18*9.0746*LOOKUP(I20,密度!$A$2:$A$50,密度!$U$2:$U$50)</f>
        <v>15728.777314999999</v>
      </c>
      <c r="J19" s="73" ph="1">
        <f>J18*9.0746*LOOKUP(J20,密度!$A$2:$A$50,密度!$L$2:$L$50)</f>
        <v>5026.0761051999998</v>
      </c>
      <c r="K19" s="73" ph="1">
        <f>K18*9.0746*LOOKUP(K20,密度!$A$2:$A$50,密度!$C$2:$C$50)</f>
        <v>7697.6964226399996</v>
      </c>
      <c r="L19" s="73" ph="1">
        <f>L18*9.0746*LOOKUP(L20,密度!$A$2:$A$50,密度!$E$2:$E$50)</f>
        <v>40399.004839119996</v>
      </c>
      <c r="M19" s="73" ph="1">
        <f>M18*9.0746*LOOKUP(M20,密度!$A$2:$A$50,密度!$M$2:$M$50)</f>
        <v>25684.165250680002</v>
      </c>
      <c r="N19" s="73" ph="1">
        <f>N18*9.0746*LOOKUP(N20,密度!$A$2:$A$50,密度!$M$2:$M$50)</f>
        <v>14158.2453676</v>
      </c>
      <c r="O19" s="73" ph="1">
        <f>O18*9.0746*LOOKUP(O20,密度!$A$2:$A$50,密度!$G$2:$G$50)</f>
        <v>0</v>
      </c>
      <c r="P19" s="73" ph="1">
        <f ca="1">P18*9.0746*LOOKUP(P20,密度!$A$2:$A$51,密度!$Q$2:$Q$50)</f>
        <v>19124.204425704</v>
      </c>
      <c r="Q19" s="73" ph="1">
        <f>Q18*9.0746*LOOKUP(Q20,密度!$A$2:$A$50,密度!$Q$2:$Q$50)</f>
        <v>44751.132544344</v>
      </c>
      <c r="R19" s="73" ph="1">
        <f>MAX(R18*9.0746*LOOKUP(R20,密度!$A$2:$A$50,密度!$B$2:$B$50),0)</f>
        <v>24775.102676319999</v>
      </c>
      <c r="S19" s="73" ph="1">
        <f>S18*9.0746*LOOKUP(S20,密度!$A$2:$A$50,密度!$Q$2:$Q$50)</f>
        <v>0</v>
      </c>
      <c r="T19" s="73" ph="1">
        <f>T18*9.0746*LOOKUP(T20,密度!$A$2:$A$50,密度!$O$2:$O$50)</f>
        <v>43502.743089200005</v>
      </c>
      <c r="U19" s="73" ph="1">
        <f>U18*9.0746*LOOKUP(U20,密度!$A$2:$A$50,密度!$H$2:$H$50)</f>
        <v>25394.108366119999</v>
      </c>
      <c r="V19" s="73" ph="1">
        <f>MAX(5600*LOOKUP(V20,密度!$A$2:$A$50,密度!$Q$2:$Q$50)+V18*9.0476*LOOKUP(V20,密度!$A$2:$A$50,密度!$Q$2:$Q$50),0)</f>
        <v>8691.3964769760005</v>
      </c>
      <c r="W19" s="73" ph="1">
        <f>MAX(5600*LOOKUP(W20,密度!$A$2:$A$50,密度!$Q$2:$Q$50)+W18*9.0476*LOOKUP(W20,密度!$A$2:$A$50,密度!$Q$2:$Q$50),0)</f>
        <v>196.13182844800122</v>
      </c>
      <c r="X19" s="73" ph="1">
        <f>MAX(5600*LOOKUP(X20,密度!$A$2:$A$50,密度!$I$2:$I$50)+X18*9.0476*LOOKUP(X20,密度!$A$2:$A$50,密度!$I$2:$I$50),0)</f>
        <v>8571.5751679999994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17809.830831579999</v>
      </c>
      <c r="AB19" s="73" ph="1">
        <f>AB18*9.0746*LOOKUP(AB20,密度!$A$2:$A$50,密度!$L$2:$L$50)</f>
        <v>58783.843162399993</v>
      </c>
      <c r="AC19" s="73" ph="1">
        <f>AC18*9.0746*LOOKUP(AC20,密度!$A$2:$A$50,密度!$L$2:$L$50)</f>
        <v>55794.579176399995</v>
      </c>
      <c r="AD19" s="73" ph="1">
        <f>AD18*268.68*LOOKUP(AD20,密度!$A$2:$A$50,密度!B5:B53)+IF(AD18&lt;=0,0,1566*LOOKUP(AD20,密度!$A$2:$A$50,密度!B5:B53))</f>
        <v>18713.323011600001</v>
      </c>
      <c r="AE19" s="73" ph="1">
        <f>AE18*268.68*LOOKUP(AE20,密度!$A$2:$A$50,密度!B5:B53)+IF(AE18&lt;=0,0,1566*LOOKUP(AE20,密度!$A$2:$A$50,密度!B5:B53))</f>
        <v>10195.737123599998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22</v>
      </c>
      <c r="E20" s="81">
        <v>22</v>
      </c>
      <c r="F20" s="81">
        <v>20</v>
      </c>
      <c r="G20" s="81">
        <v>28</v>
      </c>
      <c r="H20" s="81">
        <v>25</v>
      </c>
      <c r="I20" s="81">
        <v>25</v>
      </c>
      <c r="J20" s="81">
        <v>28</v>
      </c>
      <c r="K20" s="81">
        <v>27</v>
      </c>
      <c r="L20" s="81">
        <v>20</v>
      </c>
      <c r="M20" s="81">
        <v>26</v>
      </c>
      <c r="N20" s="81">
        <v>22</v>
      </c>
      <c r="O20" s="81">
        <v>19</v>
      </c>
      <c r="P20" s="81">
        <v>25</v>
      </c>
      <c r="Q20" s="81">
        <v>22</v>
      </c>
      <c r="R20" s="81">
        <v>25</v>
      </c>
      <c r="S20" s="81">
        <v>23</v>
      </c>
      <c r="T20" s="81">
        <v>25</v>
      </c>
      <c r="U20" s="81">
        <v>22</v>
      </c>
      <c r="V20" s="81">
        <v>28</v>
      </c>
      <c r="W20" s="81">
        <v>28</v>
      </c>
      <c r="X20" s="81">
        <v>27</v>
      </c>
      <c r="Y20" s="110">
        <v>27</v>
      </c>
      <c r="Z20" s="81">
        <v>40</v>
      </c>
      <c r="AA20" s="81">
        <v>20</v>
      </c>
      <c r="AB20" s="81">
        <v>21</v>
      </c>
      <c r="AC20" s="81">
        <v>20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653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58" t="s" ph="1">
        <v>179</v>
      </c>
      <c r="D24" s="71">
        <v>98.72</v>
      </c>
      <c r="E24" s="71">
        <v>95.22</v>
      </c>
      <c r="F24" s="71">
        <v>4023</v>
      </c>
      <c r="G24" s="71">
        <v>873</v>
      </c>
      <c r="H24" s="71">
        <v>2207</v>
      </c>
      <c r="I24" s="71">
        <v>5522</v>
      </c>
      <c r="J24" s="71">
        <v>3476</v>
      </c>
      <c r="K24" s="71">
        <v>5620</v>
      </c>
      <c r="L24" s="71">
        <v>5590</v>
      </c>
      <c r="M24" s="71">
        <v>5456</v>
      </c>
      <c r="N24" s="71">
        <v>5362</v>
      </c>
      <c r="O24" s="71">
        <v>3515</v>
      </c>
      <c r="P24" s="71">
        <v>830</v>
      </c>
      <c r="Q24" s="90">
        <v>3167</v>
      </c>
      <c r="R24" s="71">
        <v>3049</v>
      </c>
      <c r="S24" s="71">
        <v>5718</v>
      </c>
      <c r="T24" s="71">
        <v>905</v>
      </c>
      <c r="U24" s="71">
        <v>3025</v>
      </c>
      <c r="V24" s="71">
        <v>9620</v>
      </c>
      <c r="W24" s="71">
        <v>9901</v>
      </c>
      <c r="X24" s="71">
        <v>6159</v>
      </c>
      <c r="Y24" s="71">
        <v>622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26594.011427904003</v>
      </c>
      <c r="E25" s="91" ph="1">
        <f>E24*268.68*LOOKUP(E26,密度!$A$2:$A$50,密度!$C$2:$C$50)+IF(E24&lt;=0,0,1566*LOOKUP(E26,密度!$A$2:$A$50,密度!$C$2:$C$50))</f>
        <v>30106.312975440003</v>
      </c>
      <c r="F25" s="91" ph="1">
        <f>F24*11.702*LOOKUP(F26,密度!$A$2:$A$50,密度!$Q$2:$Q$50)</f>
        <v>44781.193589579998</v>
      </c>
      <c r="G25" s="91" ph="1">
        <f>G24*18.322*LOOKUP(G26,密度!$A$2:$A$50,密度!$B$2:$B$50)</f>
        <v>12554.5586994</v>
      </c>
      <c r="H25" s="91" ph="1">
        <f>H24*18.322*LOOKUP(H26,密度!$A$2:$A$50,密度!$B$2:$B$50)</f>
        <v>31738.729724599998</v>
      </c>
      <c r="I25" s="91" ph="1">
        <f>I24*18.322*LOOKUP(I26,密度!$A$2:$A$50,密度!$Q$2:$Q$50)</f>
        <v>96239.82392332</v>
      </c>
      <c r="J25" s="91" ph="1">
        <f>J24*18.322*LOOKUP(J26,密度!$A$2:$A$50,密度!$Q$2:$Q$50)</f>
        <v>60527.109563359998</v>
      </c>
      <c r="K25" s="91" ph="1">
        <f>K24*18.322*LOOKUP(K26,密度!$A$2:$A$50,密度!$Q$2:$Q$50)</f>
        <v>97947.810657199996</v>
      </c>
      <c r="L25" s="91" ph="1">
        <f>L24*18.322*LOOKUP(L26,密度!$A$2:$A$50,密度!$Q$2:$Q$50)</f>
        <v>97504.845159799996</v>
      </c>
      <c r="M25" s="91" ph="1">
        <f>M24*18.322*LOOKUP(M26,密度!$A$2:$A$50,密度!$Q$2:$Q$50)</f>
        <v>95004.577036160001</v>
      </c>
      <c r="N25" s="91" ph="1">
        <f>N24*18.322*LOOKUP(N26,密度!$A$2:$A$50,密度!$Q$2:$Q$50)</f>
        <v>93367.767974319999</v>
      </c>
      <c r="O25" s="91" ph="1">
        <f>O24*18.322*LOOKUP(O26,密度!$A$2:$A$50,密度!$C$2:$C$50)</f>
        <v>71737.198436999985</v>
      </c>
      <c r="P25" s="91" ph="1">
        <f>P24*11.702*LOOKUP(P26,密度!$A$2:$A$50,密度!$B$2:$B$50)</f>
        <v>7623.4668340000007</v>
      </c>
      <c r="Q25" s="92" ph="1">
        <f>Q24*18.322*LOOKUP(Q26,密度!$A$2:$A$50,密度!$B$2:$B$50)</f>
        <v>45544.430012600002</v>
      </c>
      <c r="R25" s="91" ph="1">
        <f>R24*35.891*LOOKUP(R26,密度!$A$2:$A$50,密度!$C$2:$C$50)</f>
        <v>121819.3227988</v>
      </c>
      <c r="S25" s="91" ph="1">
        <f>S24*35.891*LOOKUP(S26,密度!$A$2:$A$50,密度!$B$2:$B$50)</f>
        <v>160916.71706579998</v>
      </c>
      <c r="T25" s="91" ph="1">
        <f>T24*35.891*LOOKUP(T26,密度!$A$2:$A$50,密度!$Q$2:$Q$50)</f>
        <v>30869.630164899998</v>
      </c>
      <c r="U25" s="91" ph="1">
        <f>U24*35.891</f>
        <v>108570.27499999999</v>
      </c>
      <c r="V25" s="91" ph="1">
        <f>V24*47.051*LOOKUP(V26,密度!$A$2:$A$50,密度!$B$2:$B$50)</f>
        <v>355269.77363800001</v>
      </c>
      <c r="W25" s="91" ph="1">
        <f>W24*47.051*LOOKUP(W26,密度!$A$2:$A$50,密度!$B$2:$B$50)</f>
        <v>365647.19633990002</v>
      </c>
      <c r="X25" s="91" ph="1">
        <f>X24*47.051*LOOKUP(X26,密度!$A$2:$A$50,密度!$I$2:$I$50)</f>
        <v>300115.12156475999</v>
      </c>
      <c r="Y25" s="91" ph="1">
        <f>Y24*47.051*LOOKUP(Y26,密度!$A$2:$A$50,密度!$L$2:$L$50)</f>
        <v>27626.841568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19</v>
      </c>
      <c r="G26" s="74">
        <v>19</v>
      </c>
      <c r="H26" s="74">
        <v>19</v>
      </c>
      <c r="I26" s="74">
        <v>19</v>
      </c>
      <c r="J26" s="74">
        <v>20</v>
      </c>
      <c r="K26" s="74">
        <v>19</v>
      </c>
      <c r="L26" s="74">
        <v>18</v>
      </c>
      <c r="M26" s="74">
        <v>20</v>
      </c>
      <c r="N26" s="74">
        <v>20</v>
      </c>
      <c r="O26" s="74">
        <v>18</v>
      </c>
      <c r="P26" s="74">
        <v>19</v>
      </c>
      <c r="Q26" s="93">
        <v>19</v>
      </c>
      <c r="R26" s="74">
        <v>19</v>
      </c>
      <c r="S26" s="74">
        <v>20</v>
      </c>
      <c r="T26" s="74">
        <v>20</v>
      </c>
      <c r="U26" s="74">
        <v>18</v>
      </c>
      <c r="V26" s="74">
        <v>19</v>
      </c>
      <c r="W26" s="74">
        <v>19</v>
      </c>
      <c r="X26" s="74">
        <v>53</v>
      </c>
      <c r="Y26" s="74">
        <v>18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58" t="s" ph="1">
        <v>182</v>
      </c>
      <c r="D27" s="71">
        <v>98.91</v>
      </c>
      <c r="E27" s="71">
        <v>95.31</v>
      </c>
      <c r="F27" s="71">
        <v>4027</v>
      </c>
      <c r="G27" s="71">
        <v>24</v>
      </c>
      <c r="H27" s="71">
        <v>1886</v>
      </c>
      <c r="I27" s="71">
        <v>5524</v>
      </c>
      <c r="J27" s="71">
        <v>2864</v>
      </c>
      <c r="K27" s="71">
        <v>5622</v>
      </c>
      <c r="L27" s="71">
        <v>5588</v>
      </c>
      <c r="M27" s="71">
        <v>5459</v>
      </c>
      <c r="N27" s="71">
        <v>5360</v>
      </c>
      <c r="O27" s="71">
        <v>3511</v>
      </c>
      <c r="P27" s="71">
        <v>829</v>
      </c>
      <c r="Q27" s="90">
        <v>4079</v>
      </c>
      <c r="R27" s="71">
        <v>5714</v>
      </c>
      <c r="S27" s="71">
        <v>3658</v>
      </c>
      <c r="T27" s="71">
        <v>903</v>
      </c>
      <c r="U27" s="71">
        <v>2964</v>
      </c>
      <c r="V27" s="71">
        <v>9626</v>
      </c>
      <c r="W27" s="71">
        <v>10856</v>
      </c>
      <c r="X27" s="71">
        <v>6092</v>
      </c>
      <c r="Y27" s="71">
        <v>1231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58" t="s" ph="1">
        <v>180</v>
      </c>
      <c r="D28" s="91" ph="1">
        <f>D27*268.68*LOOKUP(D29,密度!$A$2:$A$50,密度!$Q$2:$Q$50)+IF(D27&lt;=0,0,1566*LOOKUP(D29,密度!$A$2:$A$50,密度!$Q$2:$Q$50))</f>
        <v>26642.341747512004</v>
      </c>
      <c r="E28" s="91" ph="1">
        <f>E27*268.68*LOOKUP(E29,密度!$A$2:$A$50,密度!$C$2:$C$50)+IF(E27&lt;=0,0,1566*LOOKUP(E29,密度!$A$2:$A$50,密度!$C$2:$C$50))</f>
        <v>30133.127508120004</v>
      </c>
      <c r="F28" s="91" ph="1">
        <f>F27*11.702*LOOKUP(F29,密度!$A$2:$A$50,密度!$Q$2:$Q$50)</f>
        <v>44724.873501859998</v>
      </c>
      <c r="G28" s="91" ph="1">
        <f>G27*18.322*LOOKUP(G29,密度!$A$2:$A$50,密度!$B$2:$B$50)</f>
        <v>344.39496959999997</v>
      </c>
      <c r="H28" s="91" ph="1">
        <f>H27*18.322*LOOKUP(H29,密度!$A$2:$A$50,密度!$B$2:$B$50)</f>
        <v>27094.8044572</v>
      </c>
      <c r="I28" s="91" ph="1">
        <f>I27*18.322*LOOKUP(I29,密度!$A$2:$A$50,密度!$Q$2:$Q$50)</f>
        <v>96058.08983751999</v>
      </c>
      <c r="J28" s="91" ph="1">
        <f>J27*18.322*LOOKUP(J29,密度!$A$2:$A$50,密度!$Q$2:$Q$50)</f>
        <v>49834.230595519999</v>
      </c>
      <c r="K28" s="91" ph="1">
        <f>K27*18.322*LOOKUP(K29,密度!$A$2:$A$50,密度!$Q$2:$Q$50)</f>
        <v>97824.037851960005</v>
      </c>
      <c r="L28" s="91" ph="1">
        <f>L27*18.322*LOOKUP(L29,密度!$A$2:$A$50,密度!$Q$2:$Q$50)</f>
        <v>97232.430365840002</v>
      </c>
      <c r="M28" s="91" ph="1">
        <f>M27*18.322*LOOKUP(M29,密度!$A$2:$A$50,密度!$Q$2:$Q$50)</f>
        <v>94927.79008382</v>
      </c>
      <c r="N28" s="91" ph="1">
        <f>N27*18.322*LOOKUP(N29,密度!$A$2:$A$50,密度!$Q$2:$Q$50)</f>
        <v>93332.942249600004</v>
      </c>
      <c r="O28" s="91" ph="1">
        <f>O27*18.322*LOOKUP(O29,密度!$A$2:$A$50,密度!$C$2:$C$50)</f>
        <v>71475.443016199992</v>
      </c>
      <c r="P28" s="91" ph="1">
        <f>P27*11.702*LOOKUP(P29,密度!$A$2:$A$50,密度!$B$2:$B$50)</f>
        <v>7562.8668568000003</v>
      </c>
      <c r="Q28" s="92" ph="1">
        <f>Q27*18.322*LOOKUP(Q29,密度!$A$2:$A$50,密度!$B$2:$B$50)</f>
        <v>58532.795041599995</v>
      </c>
      <c r="R28" s="91" ph="1">
        <f>R27*35.891*LOOKUP(R29,密度!$A$2:$A$50,密度!$C$2:$C$50)</f>
        <v>228029.75737060001</v>
      </c>
      <c r="S28" s="91" ph="1">
        <f>S27*35.891*LOOKUP(S29,密度!$A$2:$A$50,密度!$B$2:$B$50)</f>
        <v>102825.76252959999</v>
      </c>
      <c r="T28" s="91" ph="1">
        <f>T27*35.891*LOOKUP(T29,密度!$A$2:$A$50,密度!$Q$2:$Q$50)</f>
        <v>30779.047382369998</v>
      </c>
      <c r="U28" s="91" ph="1">
        <f>U27*35.891</f>
        <v>106380.924</v>
      </c>
      <c r="V28" s="91" ph="1">
        <f>V27*47.051*LOOKUP(V29,密度!$A$2:$A$50,密度!$B$2:$B$50)</f>
        <v>354721.40364320006</v>
      </c>
      <c r="W28" s="91" ph="1">
        <f>W27*47.051*LOOKUP(W29,密度!$A$2:$A$50,密度!$B$2:$B$50)</f>
        <v>398208.49741760001</v>
      </c>
      <c r="X28" s="91" ph="1">
        <f>X27*47.051*LOOKUP(X29,密度!$A$2:$A$50,密度!$I$2:$I$50)</f>
        <v>296850.35242288001</v>
      </c>
      <c r="Y28" s="91" ph="1">
        <f>Y27*47.051*LOOKUP(Y29,密度!$A$2:$A$50,密度!$L$2:$L$50)</f>
        <v>54154.995235000002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58" t="s" ph="1">
        <v>181</v>
      </c>
      <c r="D29" s="74">
        <v>25</v>
      </c>
      <c r="E29" s="74">
        <v>25</v>
      </c>
      <c r="F29" s="74">
        <v>22</v>
      </c>
      <c r="G29" s="74">
        <v>21</v>
      </c>
      <c r="H29" s="74">
        <v>20</v>
      </c>
      <c r="I29" s="74">
        <v>22</v>
      </c>
      <c r="J29" s="74">
        <v>21</v>
      </c>
      <c r="K29" s="74">
        <v>21</v>
      </c>
      <c r="L29" s="74">
        <v>21</v>
      </c>
      <c r="M29" s="74">
        <v>22</v>
      </c>
      <c r="N29" s="74">
        <v>20</v>
      </c>
      <c r="O29" s="74">
        <v>22</v>
      </c>
      <c r="P29" s="74">
        <v>25</v>
      </c>
      <c r="Q29" s="93">
        <v>21</v>
      </c>
      <c r="R29" s="74">
        <v>21</v>
      </c>
      <c r="S29" s="74">
        <v>21</v>
      </c>
      <c r="T29" s="74">
        <v>21</v>
      </c>
      <c r="U29" s="74">
        <v>22</v>
      </c>
      <c r="V29" s="74">
        <v>21</v>
      </c>
      <c r="W29" s="74">
        <v>25</v>
      </c>
      <c r="X29" s="74">
        <v>55</v>
      </c>
      <c r="Y29" s="74">
        <v>27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86</v>
      </c>
      <c r="AC32" s="158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94405.512129600014</v>
      </c>
      <c r="E33" s="201" ph="1">
        <f>M10+I10</f>
        <v>124086.7909816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27" ph="1">
        <v>0</v>
      </c>
      <c r="H33" s="201" ph="1">
        <f>N19</f>
        <v>14158.2453676</v>
      </c>
      <c r="I33" s="205" ph="1">
        <v>0</v>
      </c>
      <c r="J33" s="209" ph="1">
        <f>F10+O28</f>
        <v>254521.85697259998</v>
      </c>
      <c r="K33" s="201" ph="1">
        <f>O10+K10+E28+R28</f>
        <v>332463.15959152003</v>
      </c>
      <c r="L33" s="211" ph="1">
        <f>BE27</f>
        <v>7100</v>
      </c>
      <c r="M33" s="209" ph="1">
        <f>G10+H10+W28+S28</f>
        <v>1120276.2783452</v>
      </c>
      <c r="N33" s="201" ph="1">
        <f>L10+P10++G28+H28+V28</f>
        <v>486747.03580200009</v>
      </c>
      <c r="O33" s="205" ph="1">
        <f>BE17</f>
        <v>2270</v>
      </c>
      <c r="P33" s="209" ph="1">
        <f>L19</f>
        <v>40399.004839119996</v>
      </c>
      <c r="Q33" s="201" ph="1">
        <f>J10+N10</f>
        <v>102907.49486959999</v>
      </c>
      <c r="R33" s="205" ph="1">
        <f>BE23</f>
        <v>890</v>
      </c>
      <c r="S33" s="209" ph="1">
        <f>E10+X28</f>
        <v>310681.23630788003</v>
      </c>
      <c r="T33" s="201" ph="1">
        <f>X19</f>
        <v>8571.5751679999994</v>
      </c>
      <c r="U33" s="190" ph="1">
        <f>BE21</f>
        <v>730</v>
      </c>
      <c r="V33" s="203" ph="1">
        <f ca="1">P19+Q19+S19+M28+N28+J28</f>
        <v>301970.29989898799</v>
      </c>
      <c r="W33" s="203" ph="1">
        <f>D28+F28+V19+T28</f>
        <v>110837.65910871801</v>
      </c>
      <c r="X33" s="205" ph="1">
        <f>BE29+BE31</f>
        <v>10200</v>
      </c>
      <c r="Y33" s="207" ph="1">
        <f>+Q10+R10+S10+T10+U10+V10+W10+X10+Y10</f>
        <v>163582.00772759999</v>
      </c>
      <c r="Z33" s="188" ph="1">
        <f>D10+T19+U19+Y28+Z10</f>
        <v>310045.20129950001</v>
      </c>
      <c r="AA33" s="190" ph="1">
        <f>BE19</f>
        <v>1440</v>
      </c>
      <c r="AB33" s="192" ph="1">
        <f>I19</f>
        <v>15728.777314999999</v>
      </c>
      <c r="AC33" s="194" ph="1">
        <f>AD10</f>
        <v>13536.802137600002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6" t="s" ph="1">
        <v>187</v>
      </c>
      <c r="AA36" s="156" ph="1"/>
      <c r="AB36" s="187" t="s" ph="1">
        <v>614</v>
      </c>
      <c r="AC36" s="187" ph="1"/>
      <c r="AD36" s="187" ph="1"/>
      <c r="AE36" s="187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346</v>
      </c>
      <c r="AI37" s="156" t="s" ph="1">
        <v>213</v>
      </c>
      <c r="AJ37" s="156" t="s" ph="1">
        <v>214</v>
      </c>
      <c r="AK37" s="156" t="s" ph="1">
        <v>215</v>
      </c>
      <c r="AM37" s="156" t="s" ph="1">
        <v>214</v>
      </c>
      <c r="AN37" s="156" t="s" ph="1">
        <v>215</v>
      </c>
      <c r="AO37" s="156" t="s" ph="1">
        <v>216</v>
      </c>
      <c r="AP37" s="156" t="s" ph="1">
        <v>214</v>
      </c>
      <c r="AQ37" s="156" t="s" ph="1">
        <v>215</v>
      </c>
      <c r="AR37" s="156" t="s" ph="1">
        <v>216</v>
      </c>
      <c r="AS37" s="156" t="s" ph="1">
        <v>214</v>
      </c>
      <c r="AT37" s="156" t="s" ph="1">
        <v>215</v>
      </c>
      <c r="AU37" s="156" t="s" ph="1">
        <v>216</v>
      </c>
      <c r="AV37" s="156" t="s" ph="1">
        <v>214</v>
      </c>
      <c r="AW37" s="156" t="s" ph="1">
        <v>215</v>
      </c>
      <c r="AX37" s="156" t="s" ph="1">
        <v>216</v>
      </c>
      <c r="AY37" s="156" t="s" ph="1">
        <v>215</v>
      </c>
      <c r="AZ37" s="156" t="s" ph="1">
        <v>217</v>
      </c>
      <c r="BD37" s="156" t="s" ph="1">
        <v>309</v>
      </c>
      <c r="BE37" s="156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63" priority="96">
      <formula>ABS(D$7-D$10)&gt;=1000</formula>
    </cfRule>
  </conditionalFormatting>
  <conditionalFormatting sqref="E4 E6:E11">
    <cfRule type="expression" dxfId="1762" priority="95">
      <formula>ABS(E$7-E$10)&gt;=1000</formula>
    </cfRule>
  </conditionalFormatting>
  <conditionalFormatting sqref="F4:F11">
    <cfRule type="expression" dxfId="1761" priority="94">
      <formula>ABS(F$7-F$10)&gt;=1000</formula>
    </cfRule>
  </conditionalFormatting>
  <conditionalFormatting sqref="G4:G11">
    <cfRule type="expression" dxfId="1760" priority="93">
      <formula>ABS(G$7-G$10)&gt;=1000</formula>
    </cfRule>
  </conditionalFormatting>
  <conditionalFormatting sqref="H4:H11">
    <cfRule type="expression" dxfId="1759" priority="92">
      <formula>ABS(H$7-H$10)&gt;=1000</formula>
    </cfRule>
  </conditionalFormatting>
  <conditionalFormatting sqref="I4:I11">
    <cfRule type="expression" dxfId="1758" priority="91">
      <formula>ABS(I$7-I$10)&gt;=1000</formula>
    </cfRule>
  </conditionalFormatting>
  <conditionalFormatting sqref="J4:J11">
    <cfRule type="expression" dxfId="1757" priority="90">
      <formula>ABS(J$7-J$10)&gt;=1000</formula>
    </cfRule>
  </conditionalFormatting>
  <conditionalFormatting sqref="K4:K11">
    <cfRule type="expression" dxfId="1756" priority="89">
      <formula>ABS(K$7-K$10)&gt;=1000</formula>
    </cfRule>
  </conditionalFormatting>
  <conditionalFormatting sqref="L4:L11">
    <cfRule type="expression" dxfId="1755" priority="88">
      <formula>ABS(L$7-L$10)&gt;=1000</formula>
    </cfRule>
  </conditionalFormatting>
  <conditionalFormatting sqref="M4 M6:M11">
    <cfRule type="expression" dxfId="1754" priority="87">
      <formula>ABS(M$7-M$10)&gt;=1000</formula>
    </cfRule>
  </conditionalFormatting>
  <conditionalFormatting sqref="N4 N6:N11">
    <cfRule type="expression" dxfId="1753" priority="86">
      <formula>ABS(N$7-N$10)&gt;=1000</formula>
    </cfRule>
  </conditionalFormatting>
  <conditionalFormatting sqref="O4 O6:O11">
    <cfRule type="expression" dxfId="1752" priority="85">
      <formula>ABS(O$7-O$10)&gt;=1000</formula>
    </cfRule>
  </conditionalFormatting>
  <conditionalFormatting sqref="P4 P6:P11">
    <cfRule type="expression" dxfId="1751" priority="84">
      <formula>ABS(P$7-P$10)&gt;=1000</formula>
    </cfRule>
  </conditionalFormatting>
  <conditionalFormatting sqref="Q4:Q11">
    <cfRule type="expression" dxfId="1750" priority="83">
      <formula>ABS(Q$7-Q$10)&gt;=1000</formula>
    </cfRule>
  </conditionalFormatting>
  <conditionalFormatting sqref="R4:R11">
    <cfRule type="expression" dxfId="1749" priority="82">
      <formula>ABS(R$7-R$10)&gt;=1000</formula>
    </cfRule>
  </conditionalFormatting>
  <conditionalFormatting sqref="S4:S11">
    <cfRule type="expression" dxfId="1748" priority="81">
      <formula>ABS(S$7-S$10)&gt;=1000</formula>
    </cfRule>
  </conditionalFormatting>
  <conditionalFormatting sqref="T4:T9 T11">
    <cfRule type="expression" dxfId="1747" priority="80">
      <formula>ABS(T$7-T$10)&gt;=1000</formula>
    </cfRule>
  </conditionalFormatting>
  <conditionalFormatting sqref="U4:U9 U11">
    <cfRule type="expression" dxfId="1746" priority="79">
      <formula>ABS(U$7-U$10)&gt;=1000</formula>
    </cfRule>
  </conditionalFormatting>
  <conditionalFormatting sqref="V4:V9 V11">
    <cfRule type="expression" dxfId="1745" priority="78">
      <formula>ABS(V$7-V$10)&gt;=1000</formula>
    </cfRule>
  </conditionalFormatting>
  <conditionalFormatting sqref="W4:W9 W11">
    <cfRule type="expression" dxfId="1744" priority="77">
      <formula>ABS(W$7-W$10)&gt;=1000</formula>
    </cfRule>
  </conditionalFormatting>
  <conditionalFormatting sqref="X4:X9 X11">
    <cfRule type="expression" dxfId="1743" priority="76">
      <formula>ABS(X$7-X$10)&gt;=1000</formula>
    </cfRule>
  </conditionalFormatting>
  <conditionalFormatting sqref="Y4:Y9 Y11">
    <cfRule type="expression" dxfId="1742" priority="75">
      <formula>ABS(Y$7-Y$10)&gt;=1000</formula>
    </cfRule>
  </conditionalFormatting>
  <conditionalFormatting sqref="Z4:Z11">
    <cfRule type="expression" dxfId="1741" priority="74">
      <formula>ABS(Z$7-Z$10)&gt;=1000</formula>
    </cfRule>
  </conditionalFormatting>
  <conditionalFormatting sqref="AA4:AA11">
    <cfRule type="expression" dxfId="1740" priority="73">
      <formula>ABS(AA$7-AA$10)&gt;=1000</formula>
    </cfRule>
  </conditionalFormatting>
  <conditionalFormatting sqref="AB4:AB11">
    <cfRule type="expression" dxfId="1739" priority="72">
      <formula>ABS(AB$7-AB$10)&gt;=1000</formula>
    </cfRule>
  </conditionalFormatting>
  <conditionalFormatting sqref="AC4 AC6:AC11">
    <cfRule type="expression" dxfId="1738" priority="71">
      <formula>ABS(AC$7-AC$10)&gt;=1000</formula>
    </cfRule>
  </conditionalFormatting>
  <conditionalFormatting sqref="AD4:AD11">
    <cfRule type="expression" dxfId="1737" priority="70">
      <formula>ABS(AD$7-AD$10)&gt;=1000</formula>
    </cfRule>
  </conditionalFormatting>
  <conditionalFormatting sqref="AE4:AE11">
    <cfRule type="expression" dxfId="1736" priority="69">
      <formula>ABS(AE$7-AE$10)&gt;=1000</formula>
    </cfRule>
  </conditionalFormatting>
  <conditionalFormatting sqref="D13:D20">
    <cfRule type="expression" dxfId="1735" priority="68">
      <formula>ABS(D$16-D$19)&gt;=1000</formula>
    </cfRule>
  </conditionalFormatting>
  <conditionalFormatting sqref="E13:E20">
    <cfRule type="expression" dxfId="1734" priority="67">
      <formula>ABS(E$16-E$19)&gt;=1000</formula>
    </cfRule>
  </conditionalFormatting>
  <conditionalFormatting sqref="F13 F15:F20">
    <cfRule type="expression" dxfId="1733" priority="66">
      <formula>ABS(F$16-F$19)&gt;=1000</formula>
    </cfRule>
  </conditionalFormatting>
  <conditionalFormatting sqref="G13:G20">
    <cfRule type="expression" dxfId="1732" priority="65">
      <formula>ABS(G$16-G$19)&gt;=1000</formula>
    </cfRule>
  </conditionalFormatting>
  <conditionalFormatting sqref="H13:H20">
    <cfRule type="expression" dxfId="1731" priority="64">
      <formula>ABS(H$16-H$19)&gt;=1000</formula>
    </cfRule>
  </conditionalFormatting>
  <conditionalFormatting sqref="I13:I20">
    <cfRule type="expression" dxfId="1730" priority="63">
      <formula>ABS(I$16-I$19)&gt;=1000</formula>
    </cfRule>
  </conditionalFormatting>
  <conditionalFormatting sqref="J13:J20">
    <cfRule type="expression" dxfId="1729" priority="62">
      <formula>ABS(J$16-J$19)&gt;=1000</formula>
    </cfRule>
  </conditionalFormatting>
  <conditionalFormatting sqref="L13:L20">
    <cfRule type="expression" dxfId="1728" priority="61">
      <formula>ABS(L$16-L$19)&gt;=1000</formula>
    </cfRule>
  </conditionalFormatting>
  <conditionalFormatting sqref="M13 M15 M17:M18 M20">
    <cfRule type="expression" dxfId="1727" priority="60">
      <formula>ABS(M$16-M$19)&gt;=1000</formula>
    </cfRule>
  </conditionalFormatting>
  <conditionalFormatting sqref="N13:N20">
    <cfRule type="expression" dxfId="1726" priority="59">
      <formula>ABS(N$16-N$19)&gt;=1000</formula>
    </cfRule>
  </conditionalFormatting>
  <conditionalFormatting sqref="O13:O20">
    <cfRule type="expression" dxfId="1725" priority="58">
      <formula>ABS(O$16-O$19)&gt;=1000</formula>
    </cfRule>
  </conditionalFormatting>
  <conditionalFormatting sqref="P13:P20">
    <cfRule type="expression" dxfId="1724" priority="57">
      <formula>ABS(P$16-P$19)&gt;=1000</formula>
    </cfRule>
  </conditionalFormatting>
  <conditionalFormatting sqref="Q13 Q15:Q20">
    <cfRule type="expression" dxfId="1723" priority="56">
      <formula>ABS(Q$16-Q$19)&gt;=1000</formula>
    </cfRule>
  </conditionalFormatting>
  <conditionalFormatting sqref="R13:R20">
    <cfRule type="expression" dxfId="1722" priority="55">
      <formula>ABS(R$16-R$19)&gt;=1000</formula>
    </cfRule>
  </conditionalFormatting>
  <conditionalFormatting sqref="S13:S20">
    <cfRule type="expression" dxfId="1721" priority="54">
      <formula>ABS(S$16-S$19)&gt;=1000</formula>
    </cfRule>
  </conditionalFormatting>
  <conditionalFormatting sqref="T13:T20">
    <cfRule type="expression" dxfId="1720" priority="53">
      <formula>ABS(T$16-T$19)&gt;=1000</formula>
    </cfRule>
  </conditionalFormatting>
  <conditionalFormatting sqref="U13:U20">
    <cfRule type="expression" dxfId="1719" priority="52">
      <formula>ABS(U$16-U$19)&gt;=1000</formula>
    </cfRule>
  </conditionalFormatting>
  <conditionalFormatting sqref="V13:V20">
    <cfRule type="expression" dxfId="1718" priority="51">
      <formula>ABS(V$16-V$19)&gt;=1000</formula>
    </cfRule>
  </conditionalFormatting>
  <conditionalFormatting sqref="W13 W20 W15:W18">
    <cfRule type="expression" dxfId="1717" priority="50">
      <formula>ABS(W$16-W$19)&gt;=1000</formula>
    </cfRule>
  </conditionalFormatting>
  <conditionalFormatting sqref="X13 X15:X20 Y19">
    <cfRule type="expression" dxfId="1716" priority="49">
      <formula>ABS(X$16-X$19)&gt;=1000</formula>
    </cfRule>
  </conditionalFormatting>
  <conditionalFormatting sqref="Y13 Y15:Y18 Y20">
    <cfRule type="expression" dxfId="1715" priority="48">
      <formula>ABS(Y$16-Y$19)&gt;=1000</formula>
    </cfRule>
  </conditionalFormatting>
  <conditionalFormatting sqref="Z13:Z20">
    <cfRule type="expression" dxfId="1714" priority="47">
      <formula>ABS(Z$16-Z$19)&gt;=1000</formula>
    </cfRule>
  </conditionalFormatting>
  <conditionalFormatting sqref="AA13:AA20">
    <cfRule type="expression" dxfId="1713" priority="46">
      <formula>ABS(AA$16-AA$19)&gt;=1000</formula>
    </cfRule>
  </conditionalFormatting>
  <conditionalFormatting sqref="AB13 AB15:AB20">
    <cfRule type="expression" dxfId="1712" priority="45">
      <formula>ABS(AB$16-AB$19)&gt;=1000</formula>
    </cfRule>
  </conditionalFormatting>
  <conditionalFormatting sqref="AC13 AC15:AC20">
    <cfRule type="expression" dxfId="1711" priority="44">
      <formula>ABS(AC$16-AC$19)&gt;=1000</formula>
    </cfRule>
  </conditionalFormatting>
  <conditionalFormatting sqref="AD13:AD20">
    <cfRule type="expression" dxfId="1710" priority="43">
      <formula>ABS(AD$16-AD$19)&gt;=1000</formula>
    </cfRule>
  </conditionalFormatting>
  <conditionalFormatting sqref="AE13:AE20">
    <cfRule type="expression" dxfId="1709" priority="42">
      <formula>ABS(AE$16-AE$19)&gt;=1000</formula>
    </cfRule>
  </conditionalFormatting>
  <conditionalFormatting sqref="D22:D29">
    <cfRule type="expression" dxfId="1708" priority="41">
      <formula>ABS(D$25-D$28)&gt;=1000</formula>
    </cfRule>
  </conditionalFormatting>
  <conditionalFormatting sqref="E22:E29">
    <cfRule type="expression" dxfId="1707" priority="40">
      <formula>ABS(E$25-E$28)&gt;=1000</formula>
    </cfRule>
  </conditionalFormatting>
  <conditionalFormatting sqref="F22:F29">
    <cfRule type="expression" dxfId="1706" priority="39">
      <formula>ABS(F$25-F$28)&gt;=1000</formula>
    </cfRule>
  </conditionalFormatting>
  <conditionalFormatting sqref="G22:G29">
    <cfRule type="expression" dxfId="1705" priority="38">
      <formula>ABS(G$25-G$28)&gt;=1000</formula>
    </cfRule>
  </conditionalFormatting>
  <conditionalFormatting sqref="H22:H29">
    <cfRule type="expression" dxfId="1704" priority="37">
      <formula>ABS(H$25-H$28)&gt;=1000</formula>
    </cfRule>
  </conditionalFormatting>
  <conditionalFormatting sqref="I22 I24:I29">
    <cfRule type="expression" dxfId="1703" priority="36">
      <formula>ABS(I$25-I$28)&gt;=1000</formula>
    </cfRule>
  </conditionalFormatting>
  <conditionalFormatting sqref="J22:J29 K22">
    <cfRule type="expression" dxfId="1702" priority="35">
      <formula>ABS(J$25-J$28)&gt;=1000</formula>
    </cfRule>
  </conditionalFormatting>
  <conditionalFormatting sqref="K23:K29 L25 L28">
    <cfRule type="expression" dxfId="1701" priority="34">
      <formula>ABS(K$25-K$28)&gt;=1000</formula>
    </cfRule>
  </conditionalFormatting>
  <conditionalFormatting sqref="L22:L24 L26:L27 L29">
    <cfRule type="expression" dxfId="1700" priority="33">
      <formula>ABS(L$25-L$28)&gt;=1000</formula>
    </cfRule>
  </conditionalFormatting>
  <conditionalFormatting sqref="M22:M29">
    <cfRule type="expression" dxfId="1699" priority="32">
      <formula>ABS(M$25-M$28)&gt;=1000</formula>
    </cfRule>
  </conditionalFormatting>
  <conditionalFormatting sqref="N22:N29">
    <cfRule type="expression" dxfId="1698" priority="31">
      <formula>ABS(N$25-N$28)&gt;=1000</formula>
    </cfRule>
  </conditionalFormatting>
  <conditionalFormatting sqref="O22:O29">
    <cfRule type="expression" dxfId="1697" priority="30">
      <formula>ABS(O$25-O$28)&gt;=1000</formula>
    </cfRule>
  </conditionalFormatting>
  <conditionalFormatting sqref="P22:P29">
    <cfRule type="expression" dxfId="1696" priority="29">
      <formula>ABS(P$25-P$28)&gt;=1000</formula>
    </cfRule>
  </conditionalFormatting>
  <conditionalFormatting sqref="Q22:Q29">
    <cfRule type="expression" dxfId="1695" priority="28">
      <formula>ABS(Q$25-Q$28)&gt;=1000</formula>
    </cfRule>
  </conditionalFormatting>
  <conditionalFormatting sqref="R22:R29">
    <cfRule type="expression" dxfId="1694" priority="27">
      <formula>ABS(R$25-R$28)&gt;=1000</formula>
    </cfRule>
  </conditionalFormatting>
  <conditionalFormatting sqref="S22:S29">
    <cfRule type="expression" dxfId="1693" priority="26">
      <formula>ABS(S$25-S$28)&gt;=1000</formula>
    </cfRule>
  </conditionalFormatting>
  <conditionalFormatting sqref="T22:T29">
    <cfRule type="expression" dxfId="1692" priority="25">
      <formula>ABS(T$25-T$28)&gt;=1000</formula>
    </cfRule>
  </conditionalFormatting>
  <conditionalFormatting sqref="U22:U29">
    <cfRule type="expression" dxfId="1691" priority="24">
      <formula>ABS(U$25-U$28)&gt;=1000</formula>
    </cfRule>
  </conditionalFormatting>
  <conditionalFormatting sqref="V22:V29">
    <cfRule type="expression" dxfId="1690" priority="23">
      <formula>ABS(V$25-V$28)&gt;=1000</formula>
    </cfRule>
  </conditionalFormatting>
  <conditionalFormatting sqref="W22:W29">
    <cfRule type="expression" dxfId="1689" priority="22">
      <formula>ABS(W$25-W$28)&gt;=1000</formula>
    </cfRule>
  </conditionalFormatting>
  <conditionalFormatting sqref="X22:X29">
    <cfRule type="expression" dxfId="1688" priority="21">
      <formula>ABS(X$25-X$28)&gt;=1000</formula>
    </cfRule>
  </conditionalFormatting>
  <conditionalFormatting sqref="Y22:Y29">
    <cfRule type="expression" dxfId="1687" priority="20">
      <formula>ABS(Y$25-Y$28)&gt;=1000</formula>
    </cfRule>
  </conditionalFormatting>
  <conditionalFormatting sqref="I23">
    <cfRule type="expression" dxfId="1686" priority="19">
      <formula>ABS(I$25-I$28)&gt;=1000</formula>
    </cfRule>
  </conditionalFormatting>
  <conditionalFormatting sqref="F14">
    <cfRule type="expression" dxfId="1685" priority="18">
      <formula>ABS(F$16-F$19)&gt;=1000</formula>
    </cfRule>
  </conditionalFormatting>
  <conditionalFormatting sqref="Q14">
    <cfRule type="expression" dxfId="1684" priority="17">
      <formula>ABS(Q$16-Q$19)&gt;=1000</formula>
    </cfRule>
  </conditionalFormatting>
  <conditionalFormatting sqref="W14">
    <cfRule type="expression" dxfId="1683" priority="16">
      <formula>ABS(W$16-W$19)&gt;=1000</formula>
    </cfRule>
  </conditionalFormatting>
  <conditionalFormatting sqref="Y14">
    <cfRule type="expression" dxfId="1682" priority="15">
      <formula>ABS(Y$16-Y$19)&gt;=1000</formula>
    </cfRule>
  </conditionalFormatting>
  <conditionalFormatting sqref="X14">
    <cfRule type="expression" dxfId="1681" priority="14">
      <formula>ABS(X$16-X$19)&gt;=1000</formula>
    </cfRule>
  </conditionalFormatting>
  <conditionalFormatting sqref="T10:Y10">
    <cfRule type="expression" dxfId="1680" priority="13">
      <formula>ABS(T$7-T$10)&gt;=1000</formula>
    </cfRule>
  </conditionalFormatting>
  <conditionalFormatting sqref="W19">
    <cfRule type="expression" dxfId="1679" priority="12">
      <formula>ABS(W$16-W$19)&gt;=1000</formula>
    </cfRule>
  </conditionalFormatting>
  <conditionalFormatting sqref="AC5">
    <cfRule type="expression" dxfId="1678" priority="11">
      <formula>ABS(AC$7-AC$10)&gt;=1000</formula>
    </cfRule>
  </conditionalFormatting>
  <conditionalFormatting sqref="M14">
    <cfRule type="expression" dxfId="1677" priority="10">
      <formula>ABS(M$16-M$19)&gt;=1000</formula>
    </cfRule>
  </conditionalFormatting>
  <conditionalFormatting sqref="M16">
    <cfRule type="expression" dxfId="1676" priority="9">
      <formula>ABS(M$16-M$19)&gt;=1000</formula>
    </cfRule>
  </conditionalFormatting>
  <conditionalFormatting sqref="M19">
    <cfRule type="expression" dxfId="1675" priority="8">
      <formula>ABS(M$16-M$19)&gt;=1000</formula>
    </cfRule>
  </conditionalFormatting>
  <conditionalFormatting sqref="K13:K20">
    <cfRule type="expression" dxfId="1674" priority="7">
      <formula>ABS(K$16-K$19)&gt;=1000</formula>
    </cfRule>
  </conditionalFormatting>
  <conditionalFormatting sqref="E5">
    <cfRule type="expression" dxfId="1673" priority="6">
      <formula>ABS(E$7-E$10)&gt;=1000</formula>
    </cfRule>
  </conditionalFormatting>
  <conditionalFormatting sqref="AB14:AC14">
    <cfRule type="expression" dxfId="1672" priority="5">
      <formula>ABS(AB$16-AB$19)&gt;=1000</formula>
    </cfRule>
  </conditionalFormatting>
  <conditionalFormatting sqref="M5">
    <cfRule type="expression" dxfId="1671" priority="4">
      <formula>ABS(M$7-M$10)&gt;=1000</formula>
    </cfRule>
  </conditionalFormatting>
  <conditionalFormatting sqref="N5">
    <cfRule type="expression" dxfId="1670" priority="3">
      <formula>ABS(N$7-N$10)&gt;=1000</formula>
    </cfRule>
  </conditionalFormatting>
  <conditionalFormatting sqref="O5">
    <cfRule type="expression" dxfId="1669" priority="2">
      <formula>ABS(O$7-O$10)&gt;=1000</formula>
    </cfRule>
  </conditionalFormatting>
  <conditionalFormatting sqref="P5">
    <cfRule type="expression" dxfId="166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79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3">
    <pageSetUpPr fitToPage="1"/>
  </sheetPr>
  <dimension ref="A1:CU223"/>
  <sheetViews>
    <sheetView view="pageBreakPreview" zoomScale="70" zoomScaleNormal="100" zoomScaleSheetLayoutView="70" workbookViewId="0">
      <selection activeCell="X27" sqref="X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45729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1" t="s" ph="1">
        <v>179</v>
      </c>
      <c r="D6" s="71">
        <v>2139</v>
      </c>
      <c r="E6" s="71">
        <v>350</v>
      </c>
      <c r="F6" s="71">
        <v>4454</v>
      </c>
      <c r="G6" s="71">
        <v>8567</v>
      </c>
      <c r="H6" s="71">
        <v>6737</v>
      </c>
      <c r="I6" s="71">
        <v>27.15</v>
      </c>
      <c r="J6" s="71">
        <v>7.72</v>
      </c>
      <c r="K6" s="71">
        <v>56.83</v>
      </c>
      <c r="L6" s="71">
        <v>47.72</v>
      </c>
      <c r="M6" s="71">
        <v>3394</v>
      </c>
      <c r="N6" s="71">
        <v>3647</v>
      </c>
      <c r="O6" s="71">
        <v>3314</v>
      </c>
      <c r="P6" s="71">
        <v>2203</v>
      </c>
      <c r="Q6" s="71">
        <v>6472</v>
      </c>
      <c r="R6" s="71">
        <v>6197</v>
      </c>
      <c r="S6" s="71">
        <v>5372</v>
      </c>
      <c r="T6" s="71">
        <v>1998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3843</v>
      </c>
      <c r="AA6" s="71">
        <v>1570</v>
      </c>
      <c r="AB6" s="71">
        <v>1935</v>
      </c>
      <c r="AC6" s="71">
        <v>5896</v>
      </c>
      <c r="AD6" s="71">
        <v>693</v>
      </c>
      <c r="AE6" s="71">
        <v>3295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67456.486956060005</v>
      </c>
      <c r="E7" s="73" ph="1">
        <f>E6*51.53*LOOKUP(E8,密度!$A$2:$A$50,密度!$B$2:$B$50)</f>
        <v>14125.4036</v>
      </c>
      <c r="F7" s="73" ph="1">
        <f>F6*33.183*LOOKUP(F8,密度!$A$2:$A$50,密度!$C$2:$C$50)</f>
        <v>164439.03343320001</v>
      </c>
      <c r="G7" s="73" ph="1">
        <f xml:space="preserve"> (G6+2)*51.53*LOOKUP(G8,密度!$A$2:$A$50,密度!$B$2:$B$50)</f>
        <v>346227.64293700003</v>
      </c>
      <c r="H7" s="73" ph="1">
        <f>(H6)*51.53*LOOKUP(H8,密度!$A$2:$A$50,密度!$B$2:$B$50)</f>
        <v>272206.28200100001</v>
      </c>
      <c r="I7" s="73" ph="1">
        <f>I6*290.8*1.0267</f>
        <v>8106.0223740000001</v>
      </c>
      <c r="J7" s="73" ph="1">
        <f>J6*290.8*0.7892</f>
        <v>1771.7350592</v>
      </c>
      <c r="K7" s="73" ph="1">
        <f>K6*290.8*1.1126</f>
        <v>18387.010066400002</v>
      </c>
      <c r="L7" s="73" ph="1">
        <f>L6*290.8*0.777</f>
        <v>10782.410352000001</v>
      </c>
      <c r="M7" s="73" ph="1">
        <f>M6*33.183*LOOKUP(M8,密度!$A$2:$A$50,密度!$D$2:$D$50)</f>
        <v>115945.48350900001</v>
      </c>
      <c r="N7" s="73" ph="1">
        <f>N6*33.183*LOOKUP(N8,密度!$A$2:$A$50,密度!$E$2:$E$50)</f>
        <v>95217.277906800009</v>
      </c>
      <c r="O7" s="73" ph="1">
        <f>O6*20.428*LOOKUP(O8,密度!$A$2:$A$50,密度!$C$2:$C$50)</f>
        <v>74969.199300799999</v>
      </c>
      <c r="P7" s="73" ph="1">
        <f>P6*51.53*LOOKUP(P8,密度!$A$2:$A$50,密度!$B$2:$B$50)</f>
        <v>88909.326088000002</v>
      </c>
      <c r="Q7" s="73" ph="1">
        <f>Q6*1.5*1.5*3.1416*LOOKUP(W8,密度!$A$2:$A$50,密度!$L$2:$L$50)</f>
        <v>43003.100447999997</v>
      </c>
      <c r="R7" s="73" ph="1">
        <f>R6*1.5*1.5*3.1416*LOOKUP(R8,密度!$A$2:$A$50,密度!$L$2:$L$50)</f>
        <v>41000.650891199999</v>
      </c>
      <c r="S7" s="73" ph="1">
        <f>S6*1.5*1.5*3.1416*LOOKUP(S8,密度!$A$2:$A$50,密度!$L$2:$L$50)</f>
        <v>35959.9756824</v>
      </c>
      <c r="T7" s="73" ph="1">
        <f>T6*1.5*1.5*3.1416*LOOKUP(T8,密度!$A$2:$A$50,密度!$L$2:$L$50)</f>
        <v>13346.294345999999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120125.97739799999</v>
      </c>
      <c r="AA7" s="73" ph="1">
        <f>AA6*33.183*LOOKUP(AA8,密度!$A$2:$A$50,密度!$D$2:$D$50)</f>
        <v>53634.180645</v>
      </c>
      <c r="AB7" s="73" ph="1">
        <f>AB6*20.428*LOOKUP(AB8,密度!$A$2:$A$50,密度!$D$2:$D$50)</f>
        <v>41006.533932000006</v>
      </c>
      <c r="AC7" s="73" ph="1">
        <f>AC6*51.53*LOOKUP(AC8,密度!$A$2:$A$50,密度!$Q$2:$Q$50)</f>
        <v>288745.28793440002</v>
      </c>
      <c r="AD7" s="73" ph="1">
        <f>AD6*20.428*LOOKUP(AD8,密度!$A$2:$A$50,密度!$V$2:$V$50)</f>
        <v>13646.966256000002</v>
      </c>
      <c r="AE7" s="73" ph="1">
        <f>AE6*20.428</f>
        <v>67310.260000000009</v>
      </c>
    </row>
    <row r="8" spans="1:99" ph="1">
      <c r="B8" s="252" ph="1"/>
      <c r="C8" s="68" t="s" ph="1">
        <v>181</v>
      </c>
      <c r="D8" s="74">
        <v>20</v>
      </c>
      <c r="E8" s="74">
        <v>21</v>
      </c>
      <c r="F8" s="74">
        <v>20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27</v>
      </c>
      <c r="P8" s="74">
        <v>21</v>
      </c>
      <c r="Q8" s="74">
        <v>20</v>
      </c>
      <c r="R8" s="74">
        <v>26</v>
      </c>
      <c r="S8" s="74">
        <v>15</v>
      </c>
      <c r="T8" s="74">
        <v>17</v>
      </c>
      <c r="U8" s="74">
        <v>22</v>
      </c>
      <c r="V8" s="74">
        <v>27</v>
      </c>
      <c r="W8" s="74">
        <v>22</v>
      </c>
      <c r="X8" s="74">
        <v>14</v>
      </c>
      <c r="Y8" s="74">
        <v>21</v>
      </c>
      <c r="Z8" s="74">
        <v>20</v>
      </c>
      <c r="AA8" s="74">
        <v>22</v>
      </c>
      <c r="AB8" s="74">
        <v>13</v>
      </c>
      <c r="AC8" s="74">
        <v>20</v>
      </c>
      <c r="AD8" s="74">
        <v>20</v>
      </c>
      <c r="AE8" s="74">
        <v>23</v>
      </c>
    </row>
    <row r="9" spans="1:99" ph="1">
      <c r="B9" s="252" ph="1">
        <v>0.66666666666666663</v>
      </c>
      <c r="C9" s="161" t="s" ph="1">
        <v>182</v>
      </c>
      <c r="D9" s="71">
        <v>2140</v>
      </c>
      <c r="E9" s="71">
        <v>770</v>
      </c>
      <c r="F9" s="71">
        <v>4202</v>
      </c>
      <c r="G9" s="71">
        <v>9005</v>
      </c>
      <c r="H9" s="71">
        <v>6741</v>
      </c>
      <c r="I9" s="71">
        <v>27.15</v>
      </c>
      <c r="J9" s="71">
        <v>7.74</v>
      </c>
      <c r="K9" s="71">
        <v>14.29</v>
      </c>
      <c r="L9" s="71">
        <v>13.13</v>
      </c>
      <c r="M9" s="71">
        <v>3393</v>
      </c>
      <c r="N9" s="71">
        <v>3648</v>
      </c>
      <c r="O9" s="71">
        <v>3460</v>
      </c>
      <c r="P9" s="71">
        <v>2015</v>
      </c>
      <c r="Q9" s="71">
        <v>2565</v>
      </c>
      <c r="R9" s="71">
        <v>6198</v>
      </c>
      <c r="S9" s="71">
        <v>5372</v>
      </c>
      <c r="T9" s="71">
        <v>7141</v>
      </c>
      <c r="U9" s="71">
        <v>597</v>
      </c>
      <c r="V9" s="71">
        <v>0</v>
      </c>
      <c r="W9" s="71">
        <v>0</v>
      </c>
      <c r="X9" s="71">
        <v>0</v>
      </c>
      <c r="Y9" s="71">
        <v>0</v>
      </c>
      <c r="Z9" s="71">
        <v>1557</v>
      </c>
      <c r="AA9" s="71">
        <v>1570</v>
      </c>
      <c r="AB9" s="71">
        <v>1857</v>
      </c>
      <c r="AC9" s="71">
        <v>6226</v>
      </c>
      <c r="AD9" s="71">
        <v>693</v>
      </c>
      <c r="AE9" s="71">
        <v>3190</v>
      </c>
    </row>
    <row r="10" spans="1:99" s="72" customFormat="1" ht="22.5" ph="1">
      <c r="B10" s="252" ph="1"/>
      <c r="C10" s="161" t="s" ph="1">
        <v>180</v>
      </c>
      <c r="D10" s="73" ph="1">
        <f>D9*33.183*LOOKUP(D11,密度!$A$2:$A$50,密度!$Q$2:$Q$50)</f>
        <v>67488.023415599993</v>
      </c>
      <c r="E10" s="73" ph="1">
        <f>E9*51.53*LOOKUP(E11,密度!$A$2:$A$50,密度!$B$2:$B$50)</f>
        <v>31111.59821</v>
      </c>
      <c r="F10" s="73" ph="1">
        <f>F9*33.183*LOOKUP(F11,密度!$A$2:$A$50,密度!$C$2:$C$50)</f>
        <v>155316.60862739998</v>
      </c>
      <c r="G10" s="73" ph="1">
        <f xml:space="preserve"> (G9+2)*51.53*LOOKUP(G11,密度!$A$2:$A$50,密度!$B$2:$B$50)</f>
        <v>364296.19427900005</v>
      </c>
      <c r="H10" s="73" ph="1">
        <f>(H9)*51.53*LOOKUP(H11,密度!$A$2:$A$50,密度!$B$2:$B$50)</f>
        <v>272645.791677</v>
      </c>
      <c r="I10" s="73" ph="1">
        <f>I9*290.8*1.0267</f>
        <v>8106.0223740000001</v>
      </c>
      <c r="J10" s="73" ph="1">
        <f>J9*290.8*0.7892</f>
        <v>1776.3250464000002</v>
      </c>
      <c r="K10" s="73" ph="1">
        <f>K9*290.8*1.1126</f>
        <v>4623.4449032000002</v>
      </c>
      <c r="L10" s="73" ph="1">
        <f>L9*290.8*0.777</f>
        <v>2966.7445080000002</v>
      </c>
      <c r="M10" s="73" ph="1">
        <f>M9*33.183*LOOKUP(M11,密度!$A$2:$A$50,密度!$D$2:$D$50)</f>
        <v>116125.24245660001</v>
      </c>
      <c r="N10" s="73" ph="1">
        <f>N9*33.183*LOOKUP(N11,密度!$A$2:$A$50,密度!$E$2:$E$50)</f>
        <v>95388.648192000008</v>
      </c>
      <c r="O10" s="73" ph="1">
        <f>O9*20.428*LOOKUP(O11,密度!$A$2:$A$50,密度!$C$2:$C$50)</f>
        <v>78272.006512000007</v>
      </c>
      <c r="P10" s="73" ph="1">
        <f>P9*51.53*LOOKUP(P11,密度!$A$2:$A$50,密度!$B$2:$B$50)</f>
        <v>81415.416094999993</v>
      </c>
      <c r="Q10" s="73" ph="1">
        <f>Q9*1.5*1.5*3.1416*LOOKUP(W11,密度!$A$2:$A$50,密度!$L$2:$L$50)</f>
        <v>17061.232418999996</v>
      </c>
      <c r="R10" s="73" ph="1">
        <f>R9*1.5*1.5*3.1416*LOOKUP(R11,密度!$A$2:$A$50,密度!$L$2:$L$50)</f>
        <v>40963.455918000007</v>
      </c>
      <c r="S10" s="73" ph="1">
        <f>S9*1.5*1.5*3.1416*LOOKUP(S11,密度!$A$2:$A$50,密度!$L$2:$L$50)</f>
        <v>35959.9756824</v>
      </c>
      <c r="T10" s="73" ph="1">
        <f>T9*1.5*1.5*3.1416*LOOKUP(T11,密度!$A$2:$A$50,密度!$L$2:$L$50)</f>
        <v>47700.644607000002</v>
      </c>
      <c r="U10" s="73" ph="1">
        <f>U9*1.5*1.5*3.1416*LOOKUP(U11,密度!$A$2:$A$50,密度!$L$2:$L$50)</f>
        <v>3975.1968563999999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48772.638863999993</v>
      </c>
      <c r="AA10" s="73" ph="1">
        <f>AA9*33.183*LOOKUP(AA11,密度!$A$2:$A$50,密度!$D$2:$D$50)</f>
        <v>53733.165534</v>
      </c>
      <c r="AB10" s="73" ph="1">
        <f>AB9*20.428*LOOKUP(AB11,密度!$A$2:$A$50,密度!$D$2:$D$50)</f>
        <v>39387.698686800002</v>
      </c>
      <c r="AC10" s="73" ph="1">
        <f>AC9*51.53*LOOKUP(AC11,密度!$A$2:$A$50,密度!$Q$2:$Q$50)</f>
        <v>305429.35081780003</v>
      </c>
      <c r="AD10" s="73" ph="1">
        <f>AD9*20.428*LOOKUP(AD11,密度!$A$2:$A$50,密度!$V$2:$V$50)</f>
        <v>13646.966256000002</v>
      </c>
      <c r="AE10" s="73" ph="1">
        <f>AE9*20.428</f>
        <v>65165.32</v>
      </c>
    </row>
    <row r="11" spans="1:99" ph="1">
      <c r="A11" s="64" t="s" ph="1">
        <v>164</v>
      </c>
      <c r="B11" s="252" ph="1"/>
      <c r="C11" s="161" t="s" ph="1">
        <v>181</v>
      </c>
      <c r="D11" s="74">
        <v>20</v>
      </c>
      <c r="E11" s="74">
        <v>20</v>
      </c>
      <c r="F11" s="74">
        <v>18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21</v>
      </c>
      <c r="O11" s="74">
        <v>27</v>
      </c>
      <c r="P11" s="74">
        <v>20</v>
      </c>
      <c r="Q11" s="74">
        <v>21</v>
      </c>
      <c r="R11" s="74">
        <v>27</v>
      </c>
      <c r="S11" s="74">
        <v>15</v>
      </c>
      <c r="T11" s="74">
        <v>17</v>
      </c>
      <c r="U11" s="74">
        <v>20</v>
      </c>
      <c r="V11" s="74">
        <v>26</v>
      </c>
      <c r="W11" s="74">
        <v>21</v>
      </c>
      <c r="X11" s="74">
        <v>13</v>
      </c>
      <c r="Y11" s="74">
        <v>20</v>
      </c>
      <c r="Z11" s="74">
        <v>18</v>
      </c>
      <c r="AA11" s="74">
        <v>20</v>
      </c>
      <c r="AB11" s="74">
        <v>12</v>
      </c>
      <c r="AC11" s="74">
        <v>18</v>
      </c>
      <c r="AD11" s="74">
        <v>18</v>
      </c>
      <c r="AE11" s="74">
        <v>22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1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1" t="s" ph="1">
        <v>179</v>
      </c>
      <c r="D15" s="78">
        <v>0</v>
      </c>
      <c r="E15" s="78">
        <v>3480</v>
      </c>
      <c r="F15" s="78">
        <v>1090</v>
      </c>
      <c r="G15" s="78">
        <v>1189</v>
      </c>
      <c r="H15" s="78">
        <v>110</v>
      </c>
      <c r="I15" s="78">
        <v>1693</v>
      </c>
      <c r="J15" s="78">
        <v>594</v>
      </c>
      <c r="K15" s="78">
        <v>768</v>
      </c>
      <c r="L15" s="78">
        <v>5646</v>
      </c>
      <c r="M15" s="78">
        <v>3806</v>
      </c>
      <c r="N15" s="78">
        <v>1150</v>
      </c>
      <c r="O15" s="78">
        <v>0</v>
      </c>
      <c r="P15" s="78">
        <v>2229</v>
      </c>
      <c r="Q15" s="78">
        <v>5200</v>
      </c>
      <c r="R15" s="78">
        <v>3505</v>
      </c>
      <c r="S15" s="78">
        <v>0</v>
      </c>
      <c r="T15" s="78">
        <v>5184</v>
      </c>
      <c r="U15" s="78">
        <v>3052</v>
      </c>
      <c r="V15" s="78">
        <v>399</v>
      </c>
      <c r="W15" s="71">
        <v>-596</v>
      </c>
      <c r="X15" s="78">
        <v>293</v>
      </c>
      <c r="Y15" s="106">
        <v>-9905</v>
      </c>
      <c r="Z15" s="78">
        <v>0</v>
      </c>
      <c r="AA15" s="78">
        <v>2505</v>
      </c>
      <c r="AB15" s="78" ph="1">
        <v>6889</v>
      </c>
      <c r="AC15" s="78" ph="1">
        <v>6532</v>
      </c>
      <c r="AD15" s="78">
        <v>19.48</v>
      </c>
      <c r="AE15" s="78">
        <v>84.64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1" t="s" ph="1">
        <v>180</v>
      </c>
      <c r="D16" s="73" ph="1">
        <f>D15*7.0686*LOOKUP(D17,密度!$A$2:$A$50,密度!$L$2:$L$50)</f>
        <v>0</v>
      </c>
      <c r="E16" s="73" ph="1">
        <f>E15*7.0686*LOOKUP(E17,密度!$A$2:$A$50,密度!$L$2:$L$50)</f>
        <v>23122.804319999999</v>
      </c>
      <c r="F16" s="73" ph="1">
        <f>F15*9.0746*LOOKUP(F17,密度!$A$2:$A$50,密度!$L$2:$L$50)</f>
        <v>9287.9438460000001</v>
      </c>
      <c r="G16" s="73" ph="1">
        <f>G15*9.0746*LOOKUP(G17,密度!$A$2:$A$50,密度!$B$2:$B$50)</f>
        <v>8450.4925700799995</v>
      </c>
      <c r="H16" s="73" ph="1">
        <f>H15*9.0746*LOOKUP(H17,密度!$A$2:$A$50,密度!$L$2:$L$50)</f>
        <v>942.30646400000001</v>
      </c>
      <c r="I16" s="73" ph="1">
        <f>I15*9.0746*LOOKUP(I17,密度!$A$2:$A$50,密度!$U$2:$U$50)</f>
        <v>15793.4701384</v>
      </c>
      <c r="J16" s="73" ph="1">
        <f>J15*9.0746*LOOKUP(J17,密度!$A$2:$A$50,密度!$L$2:$L$50)</f>
        <v>5072.2839683999991</v>
      </c>
      <c r="K16" s="73" ph="1">
        <f>K15*9.0746*LOOKUP(K17,密度!$A$2:$A$50,密度!$C$2:$C$50)</f>
        <v>7743.5812300799998</v>
      </c>
      <c r="L16" s="73" ph="1">
        <f>L15*9.0746*LOOKUP(L17,密度!$A$2:$A$50,密度!$E$2:$E$50)</f>
        <v>40373.330980799998</v>
      </c>
      <c r="M16" s="73" ph="1">
        <f>M15*9.0746*LOOKUP(M17,密度!$A$2:$A$50,密度!$M$2:$M$50)</f>
        <v>30362.29215316</v>
      </c>
      <c r="N16" s="73" ph="1">
        <f>N15*9.0746*LOOKUP(N17,密度!$A$2:$A$50,密度!$M$2:$M$50)</f>
        <v>9186.6259370000007</v>
      </c>
      <c r="O16" s="73" ph="1">
        <f>O15*9.0746*LOOKUP(O17,密度!$A$2:$A$50,密度!$G$2:$G$50)</f>
        <v>0</v>
      </c>
      <c r="P16" s="73" ph="1">
        <f ca="1">P15*9.0746*LOOKUP(P17,密度!$A$2:$A$51,密度!$Q$2:$Q$50)</f>
        <v>19179.51011988</v>
      </c>
      <c r="Q16" s="73" ph="1">
        <f>Q15*9.0746*LOOKUP(Q17,密度!$A$2:$A$50,密度!$Q$2:$Q$50)</f>
        <v>44785.582992799995</v>
      </c>
      <c r="R16" s="73" ph="1">
        <f>MAX(R15*9.0746*LOOKUP(R17,密度!$A$2:$A$50,密度!$B$2:$B$50),0)</f>
        <v>24853.5780022</v>
      </c>
      <c r="S16" s="73" ph="1">
        <f>S15*9.0746*LOOKUP(S17,密度!$A$2:$A$50,密度!$Q$2:$Q$50)</f>
        <v>0</v>
      </c>
      <c r="T16" s="73" ph="1">
        <f>T15*9.0746*LOOKUP(T17,密度!$A$2:$A$50,密度!$O$2:$O$50)</f>
        <v>43749.735551999998</v>
      </c>
      <c r="U16" s="73" ph="1">
        <f>U15*9.0746*LOOKUP(U17,密度!$A$2:$A$50,密度!$H$2:$H$50)</f>
        <v>25419.094369760001</v>
      </c>
      <c r="V16" s="73" ph="1">
        <f>MAX(5600*LOOKUP(V17,密度!$A$2:$A$50,密度!$Q$2:$Q$50)+V15*9.0476*LOOKUP(V17,密度!$A$2:$A$50,密度!$Q$2:$Q$50),0)</f>
        <v>8746.6376823560004</v>
      </c>
      <c r="W16" s="73" ph="1">
        <f>MAX(5600*LOOKUP(W17,密度!$A$2:$A$50,密度!$Q$2:$Q$50)+W15*9.0476*LOOKUP(W17,密度!$A$2:$A$50,密度!$Q$2:$Q$50),0)</f>
        <v>197.18451457600077</v>
      </c>
      <c r="X16" s="73" ph="1">
        <f>MAX(5600*LOOKUP(X17,密度!$A$2:$A$50,密度!$I$2:$I$50)+X15*9.0476*LOOKUP(X17,密度!$A$2:$A$50,密度!$I$2:$I$50),0)</f>
        <v>8621.4143113199989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17842.247117700001</v>
      </c>
      <c r="AB16" s="73" ph="1">
        <f>AB15*9.0746*LOOKUP(AB17,密度!$A$2:$A$50,密度!$L$2:$L$50)</f>
        <v>58826.539155399994</v>
      </c>
      <c r="AC16" s="73" ph="1">
        <f>AC15*9.0746*LOOKUP(AC17,密度!$A$2:$A$50,密度!$L$2:$L$50)</f>
        <v>55896.595829599995</v>
      </c>
      <c r="AD16" s="73" ph="1">
        <f>AD15*268.68*LOOKUP(AD17,密度!$A$2:$A$50,密度!B2:B50)+IF(AD15&lt;=0,0,1566*LOOKUP(AD17,密度!$A$2:$A$50,密度!B2:B50))</f>
        <v>5301.1914374400003</v>
      </c>
      <c r="AE16" s="73" ph="1">
        <f>AE15*268.68*LOOKUP(AE17,密度!$A$2:$A$50,密度!B2:B50)+IF(AE15&lt;=0,0,1566*LOOKUP(AE17,密度!$A$2:$A$50,密度!B2:B50))</f>
        <v>18949.795825919999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22</v>
      </c>
      <c r="E17" s="74">
        <v>22</v>
      </c>
      <c r="F17" s="74">
        <v>23</v>
      </c>
      <c r="G17" s="74">
        <v>21</v>
      </c>
      <c r="H17" s="74">
        <v>18</v>
      </c>
      <c r="I17" s="74">
        <v>21</v>
      </c>
      <c r="J17" s="74">
        <v>21</v>
      </c>
      <c r="K17" s="74">
        <v>22</v>
      </c>
      <c r="L17" s="74">
        <v>21</v>
      </c>
      <c r="M17" s="74">
        <v>21</v>
      </c>
      <c r="N17" s="74">
        <v>20</v>
      </c>
      <c r="O17" s="74">
        <v>22</v>
      </c>
      <c r="P17" s="74">
        <v>23</v>
      </c>
      <c r="Q17" s="74">
        <v>22</v>
      </c>
      <c r="R17" s="74">
        <v>23</v>
      </c>
      <c r="S17" s="74">
        <v>22</v>
      </c>
      <c r="T17" s="74">
        <v>23</v>
      </c>
      <c r="U17" s="74">
        <v>22</v>
      </c>
      <c r="V17" s="74">
        <v>21</v>
      </c>
      <c r="W17" s="74">
        <v>21</v>
      </c>
      <c r="X17" s="74">
        <v>23</v>
      </c>
      <c r="Y17" s="108">
        <v>23</v>
      </c>
      <c r="Z17" s="74">
        <v>22</v>
      </c>
      <c r="AA17" s="74">
        <v>19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1044</v>
      </c>
      <c r="E18" s="71">
        <v>1078</v>
      </c>
      <c r="F18" s="71">
        <v>1090</v>
      </c>
      <c r="G18" s="71">
        <v>1231</v>
      </c>
      <c r="H18" s="71">
        <v>110</v>
      </c>
      <c r="I18" s="71">
        <v>1693</v>
      </c>
      <c r="J18" s="71">
        <v>599</v>
      </c>
      <c r="K18" s="71">
        <v>768</v>
      </c>
      <c r="L18" s="71">
        <v>5647</v>
      </c>
      <c r="M18" s="71">
        <v>3804</v>
      </c>
      <c r="N18" s="71">
        <v>1149</v>
      </c>
      <c r="O18" s="71">
        <v>0</v>
      </c>
      <c r="P18" s="71">
        <v>2228</v>
      </c>
      <c r="Q18" s="71">
        <v>5200</v>
      </c>
      <c r="R18" s="71">
        <v>3503</v>
      </c>
      <c r="S18" s="71">
        <v>4501</v>
      </c>
      <c r="T18" s="71">
        <v>6270</v>
      </c>
      <c r="U18" s="71">
        <v>4852</v>
      </c>
      <c r="V18" s="71">
        <v>399</v>
      </c>
      <c r="W18" s="71">
        <v>-596</v>
      </c>
      <c r="X18" s="71">
        <v>293</v>
      </c>
      <c r="Y18" s="109">
        <v>-9905</v>
      </c>
      <c r="Z18" s="71">
        <v>0</v>
      </c>
      <c r="AA18" s="71">
        <v>2507</v>
      </c>
      <c r="AB18" s="71">
        <v>6890</v>
      </c>
      <c r="AC18" s="71">
        <v>6533</v>
      </c>
      <c r="AD18" s="71">
        <v>46.73</v>
      </c>
      <c r="AE18" s="71">
        <v>84.32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1" t="s" ph="1">
        <v>180</v>
      </c>
      <c r="D19" s="73" ph="1">
        <f>D18*7.0686*LOOKUP(D20,密度!$A$2:$A$50,密度!$L$2:$L$50)</f>
        <v>6944.2209143999999</v>
      </c>
      <c r="E19" s="73" ph="1">
        <f>E18*7.0686*LOOKUP(E20,密度!$A$2:$A$50,密度!$L$2:$L$50)</f>
        <v>7170.3737027999996</v>
      </c>
      <c r="F19" s="73" ph="1">
        <f>F18*9.0746*LOOKUP(F20,密度!$A$2:$A$50,密度!$L$2:$L$50)</f>
        <v>9297.8351600000005</v>
      </c>
      <c r="G19" s="73" ph="1">
        <f>G18*9.0746*LOOKUP(G20,密度!$A$2:$A$50,密度!$B$2:$B$50)</f>
        <v>8767.9865077400009</v>
      </c>
      <c r="H19" s="73" ph="1">
        <f>H18*9.0746*LOOKUP(H20,密度!$A$2:$A$50,密度!$L$2:$L$50)</f>
        <v>942.30646400000001</v>
      </c>
      <c r="I19" s="73" ph="1">
        <f>I18*9.0746*LOOKUP(I20,密度!$A$2:$A$50,密度!$U$2:$U$50)</f>
        <v>15793.4701384</v>
      </c>
      <c r="J19" s="73" ph="1">
        <f>J18*9.0746*LOOKUP(J20,密度!$A$2:$A$50,密度!$L$2:$L$50)</f>
        <v>5114.9799614000003</v>
      </c>
      <c r="K19" s="73" ph="1">
        <f>K18*9.0746*LOOKUP(K20,密度!$A$2:$A$50,密度!$C$2:$C$50)</f>
        <v>7749.1566643200013</v>
      </c>
      <c r="L19" s="73" ph="1">
        <f>L18*9.0746*LOOKUP(L20,密度!$A$2:$A$50,密度!$E$2:$E$50)</f>
        <v>40380.481765600001</v>
      </c>
      <c r="M19" s="73" ph="1">
        <f>M18*9.0746*LOOKUP(M20,密度!$A$2:$A$50,密度!$M$2:$M$50)</f>
        <v>30346.337191440001</v>
      </c>
      <c r="N19" s="73" ph="1">
        <f>N18*9.0746*LOOKUP(N20,密度!$A$2:$A$50,密度!$M$2:$M$50)</f>
        <v>9178.6375666200001</v>
      </c>
      <c r="O19" s="73" ph="1">
        <f>O18*9.0746*LOOKUP(O20,密度!$A$2:$A$50,密度!$G$2:$G$50)</f>
        <v>0</v>
      </c>
      <c r="P19" s="73" ph="1">
        <f ca="1">P18*9.0746*LOOKUP(P20,密度!$A$2:$A$51,密度!$Q$2:$Q$50)</f>
        <v>19188.899789992</v>
      </c>
      <c r="Q19" s="73" ph="1">
        <f>Q18*9.0746*LOOKUP(Q20,密度!$A$2:$A$50,密度!$Q$2:$Q$50)</f>
        <v>44813.8957448</v>
      </c>
      <c r="R19" s="73" ph="1">
        <f>MAX(R18*9.0746*LOOKUP(R20,密度!$A$2:$A$50,密度!$B$2:$B$50),0)</f>
        <v>24868.005708740002</v>
      </c>
      <c r="S19" s="73" ph="1">
        <f>S18*9.0746*LOOKUP(S20,密度!$A$2:$A$50,密度!$Q$2:$Q$50)</f>
        <v>38789.873989874002</v>
      </c>
      <c r="T19" s="73" ph="1">
        <f>T18*9.0746*LOOKUP(T20,密度!$A$2:$A$50,密度!$O$2:$O$50)</f>
        <v>52914.90006</v>
      </c>
      <c r="U19" s="73" ph="1">
        <f>U18*9.0746*LOOKUP(U20,密度!$A$2:$A$50,密度!$H$2:$H$50)</f>
        <v>40454.726512959998</v>
      </c>
      <c r="V19" s="73" ph="1">
        <f>MAX(5600*LOOKUP(V20,密度!$A$2:$A$50,密度!$Q$2:$Q$50)+V18*9.0476*LOOKUP(V20,密度!$A$2:$A$50,密度!$Q$2:$Q$50),0)</f>
        <v>8752.9925771119997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8625.5397847200002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17856.492424780001</v>
      </c>
      <c r="AB19" s="73" ph="1">
        <f>AB18*9.0746*LOOKUP(AB20,密度!$A$2:$A$50,密度!$L$2:$L$50)</f>
        <v>58772.554359999995</v>
      </c>
      <c r="AC19" s="73" ph="1">
        <f>AC18*9.0746*LOOKUP(AC20,密度!$A$2:$A$50,密度!$L$2:$L$50)</f>
        <v>55905.153177399996</v>
      </c>
      <c r="AD19" s="73" ph="1">
        <f>AD18*268.68*LOOKUP(AD20,密度!$A$2:$A$50,密度!B5:B53)+IF(AD18&lt;=0,0,1566*LOOKUP(AD20,密度!$A$2:$A$50,密度!B5:B53))</f>
        <v>10972.340542799999</v>
      </c>
      <c r="AE19" s="73" ph="1">
        <f>AE18*268.68*LOOKUP(AE20,密度!$A$2:$A$50,密度!B5:B53)+IF(AE18&lt;=0,0,1566*LOOKUP(AE20,密度!$A$2:$A$50,密度!B5:B53))</f>
        <v>18819.792835199998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21</v>
      </c>
      <c r="E20" s="81">
        <v>21</v>
      </c>
      <c r="F20" s="81">
        <v>22</v>
      </c>
      <c r="G20" s="81">
        <v>19</v>
      </c>
      <c r="H20" s="81">
        <v>18</v>
      </c>
      <c r="I20" s="81">
        <v>20</v>
      </c>
      <c r="J20" s="81">
        <v>21</v>
      </c>
      <c r="K20" s="81">
        <v>21</v>
      </c>
      <c r="L20" s="81">
        <v>21</v>
      </c>
      <c r="M20" s="81">
        <v>21</v>
      </c>
      <c r="N20" s="81">
        <v>19</v>
      </c>
      <c r="O20" s="81">
        <v>20</v>
      </c>
      <c r="P20" s="81">
        <v>22</v>
      </c>
      <c r="Q20" s="81">
        <v>21</v>
      </c>
      <c r="R20" s="81">
        <v>22</v>
      </c>
      <c r="S20" s="81">
        <v>21</v>
      </c>
      <c r="T20" s="81">
        <v>22</v>
      </c>
      <c r="U20" s="81">
        <v>21</v>
      </c>
      <c r="V20" s="81">
        <v>20</v>
      </c>
      <c r="W20" s="81">
        <v>20</v>
      </c>
      <c r="X20" s="81">
        <v>22</v>
      </c>
      <c r="Y20" s="110">
        <v>22</v>
      </c>
      <c r="Z20" s="81">
        <v>21</v>
      </c>
      <c r="AA20" s="81">
        <v>19</v>
      </c>
      <c r="AB20" s="81">
        <v>22</v>
      </c>
      <c r="AC20" s="81">
        <v>19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654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1" t="s" ph="1">
        <v>179</v>
      </c>
      <c r="D24" s="71">
        <v>95.98</v>
      </c>
      <c r="E24" s="71">
        <v>95.39</v>
      </c>
      <c r="F24" s="71">
        <v>4031</v>
      </c>
      <c r="G24" s="71">
        <v>1085</v>
      </c>
      <c r="H24" s="71">
        <v>1889</v>
      </c>
      <c r="I24" s="71">
        <v>5532</v>
      </c>
      <c r="J24" s="71">
        <v>1755</v>
      </c>
      <c r="K24" s="71">
        <v>5629</v>
      </c>
      <c r="L24" s="71">
        <v>5601</v>
      </c>
      <c r="M24" s="71">
        <v>5467</v>
      </c>
      <c r="N24" s="71">
        <v>5371</v>
      </c>
      <c r="O24" s="71">
        <v>3517</v>
      </c>
      <c r="P24" s="71">
        <v>834</v>
      </c>
      <c r="Q24" s="90">
        <v>2654</v>
      </c>
      <c r="R24" s="71">
        <v>5722</v>
      </c>
      <c r="S24" s="71">
        <v>3663</v>
      </c>
      <c r="T24" s="71">
        <v>906</v>
      </c>
      <c r="U24" s="71">
        <v>3144</v>
      </c>
      <c r="V24" s="71">
        <v>9636</v>
      </c>
      <c r="W24" s="71">
        <v>10870</v>
      </c>
      <c r="X24" s="71">
        <v>5901</v>
      </c>
      <c r="Y24" s="71">
        <v>1928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25897.037345136006</v>
      </c>
      <c r="E25" s="91" ph="1">
        <f>E24*268.68*LOOKUP(E26,密度!$A$2:$A$50,密度!$C$2:$C$50)+IF(E24&lt;=0,0,1566*LOOKUP(E26,密度!$A$2:$A$50,密度!$C$2:$C$50))</f>
        <v>30156.962648280001</v>
      </c>
      <c r="F25" s="91" ph="1">
        <f>F24*11.702*LOOKUP(F26,密度!$A$2:$A$50,密度!$Q$2:$Q$50)</f>
        <v>44727.316528400006</v>
      </c>
      <c r="G25" s="91" ph="1">
        <f>G24*18.322*LOOKUP(G26,密度!$A$2:$A$50,密度!$B$2:$B$50)</f>
        <v>15515.848284999998</v>
      </c>
      <c r="H25" s="91" ph="1">
        <f>H24*18.322*LOOKUP(H26,密度!$A$2:$A$50,密度!$B$2:$B$50)</f>
        <v>27044.455601199999</v>
      </c>
      <c r="I25" s="91" ph="1">
        <f>I24*18.322*LOOKUP(I26,密度!$A$2:$A$50,密度!$Q$2:$Q$50)</f>
        <v>96106.995652799989</v>
      </c>
      <c r="J25" s="91" ph="1">
        <f>J24*18.322*LOOKUP(J26,密度!$A$2:$A$50,密度!$Q$2:$Q$50)</f>
        <v>30466.002071699997</v>
      </c>
      <c r="K25" s="91" ph="1">
        <f>K24*18.322*LOOKUP(K26,密度!$A$2:$A$50,密度!$Q$2:$Q$50)</f>
        <v>97716.880718860004</v>
      </c>
      <c r="L25" s="91" ph="1">
        <f>L24*18.322*LOOKUP(L26,密度!$A$2:$A$50,密度!$Q$2:$Q$50)</f>
        <v>97305.727160399998</v>
      </c>
      <c r="M25" s="91" ph="1">
        <f>M24*18.322*LOOKUP(M26,密度!$A$2:$A$50,密度!$Q$2:$Q$50)</f>
        <v>94977.755826799999</v>
      </c>
      <c r="N25" s="91" ph="1">
        <f>N24*18.322*LOOKUP(N26,密度!$A$2:$A$50,密度!$Q$2:$Q$50)</f>
        <v>93238.118021140006</v>
      </c>
      <c r="O25" s="91" ph="1">
        <f>O24*18.322*LOOKUP(O26,密度!$A$2:$A$50,密度!$C$2:$C$50)</f>
        <v>71552.481529600002</v>
      </c>
      <c r="P25" s="91" ph="1">
        <f>P24*11.702*LOOKUP(P26,密度!$A$2:$A$50,密度!$B$2:$B$50)</f>
        <v>7634.8318164000002</v>
      </c>
      <c r="Q25" s="92" ph="1">
        <f>Q24*18.322*LOOKUP(Q26,密度!$A$2:$A$50,密度!$B$2:$B$50)</f>
        <v>38084.343721599995</v>
      </c>
      <c r="R25" s="91" ph="1">
        <f>R24*35.891*LOOKUP(R26,密度!$A$2:$A$50,密度!$C$2:$C$50)</f>
        <v>228349.01499380002</v>
      </c>
      <c r="S25" s="91" ph="1">
        <f>S24*35.891*LOOKUP(S26,密度!$A$2:$A$50,密度!$B$2:$B$50)</f>
        <v>102966.31168560001</v>
      </c>
      <c r="T25" s="91" ph="1">
        <f>T24*35.891*LOOKUP(T26,密度!$A$2:$A$50,密度!$Q$2:$Q$50)</f>
        <v>30861.79300614</v>
      </c>
      <c r="U25" s="91" ph="1">
        <f>U24*35.891</f>
        <v>112841.30399999999</v>
      </c>
      <c r="V25" s="91" ph="1">
        <f>V24*47.051*LOOKUP(V26,密度!$A$2:$A$50,密度!$B$2:$B$50)</f>
        <v>355089.90707520006</v>
      </c>
      <c r="W25" s="91" ph="1">
        <f>W24*47.051*LOOKUP(W26,密度!$A$2:$A$50,密度!$B$2:$B$50)</f>
        <v>400102.930651</v>
      </c>
      <c r="X25" s="91" ph="1">
        <f>X24*47.051*LOOKUP(X26,密度!$A$2:$A$50,密度!$I$2:$I$50)</f>
        <v>287543.32397363998</v>
      </c>
      <c r="Y25" s="91" ph="1">
        <f>Y24*47.051*LOOKUP(Y26,密度!$A$2:$A$50,密度!$L$2:$L$50)</f>
        <v>85271.46832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24</v>
      </c>
      <c r="K26" s="74">
        <v>24</v>
      </c>
      <c r="L26" s="74">
        <v>23</v>
      </c>
      <c r="M26" s="74">
        <v>23</v>
      </c>
      <c r="N26" s="74">
        <v>24</v>
      </c>
      <c r="O26" s="74">
        <v>23</v>
      </c>
      <c r="P26" s="74">
        <v>22</v>
      </c>
      <c r="Q26" s="93">
        <v>21</v>
      </c>
      <c r="R26" s="74">
        <v>21</v>
      </c>
      <c r="S26" s="74">
        <v>21</v>
      </c>
      <c r="T26" s="74">
        <v>22</v>
      </c>
      <c r="U26" s="74">
        <v>22</v>
      </c>
      <c r="V26" s="74">
        <v>21</v>
      </c>
      <c r="W26" s="74">
        <v>22</v>
      </c>
      <c r="X26" s="74">
        <v>53</v>
      </c>
      <c r="Y26" s="74">
        <v>22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1" t="s" ph="1">
        <v>182</v>
      </c>
      <c r="D27" s="71">
        <v>98.96</v>
      </c>
      <c r="E27" s="71">
        <v>95.42</v>
      </c>
      <c r="F27" s="71">
        <v>4031</v>
      </c>
      <c r="G27" s="71">
        <v>997</v>
      </c>
      <c r="H27" s="71">
        <v>1457</v>
      </c>
      <c r="I27" s="71">
        <v>5533</v>
      </c>
      <c r="J27" s="71">
        <v>1140</v>
      </c>
      <c r="K27" s="71">
        <v>5630</v>
      </c>
      <c r="L27" s="71">
        <v>5603</v>
      </c>
      <c r="M27" s="71">
        <v>5468</v>
      </c>
      <c r="N27" s="71">
        <v>5372</v>
      </c>
      <c r="O27" s="71">
        <v>3518</v>
      </c>
      <c r="P27" s="71">
        <v>833</v>
      </c>
      <c r="Q27" s="90">
        <v>2293</v>
      </c>
      <c r="R27" s="71">
        <v>5722</v>
      </c>
      <c r="S27" s="71">
        <v>3664</v>
      </c>
      <c r="T27" s="71">
        <v>907</v>
      </c>
      <c r="U27" s="71">
        <v>3778</v>
      </c>
      <c r="V27" s="71">
        <v>9637</v>
      </c>
      <c r="W27" s="71">
        <v>10875</v>
      </c>
      <c r="X27" s="71">
        <v>5515</v>
      </c>
      <c r="Y27" s="71">
        <v>2528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1" t="s" ph="1">
        <v>180</v>
      </c>
      <c r="D28" s="91" ph="1">
        <f>D27*268.68*LOOKUP(D29,密度!$A$2:$A$50,密度!$Q$2:$Q$50)+IF(D27&lt;=0,0,1566*LOOKUP(D29,密度!$A$2:$A$50,密度!$Q$2:$Q$50))</f>
        <v>26655.060252671999</v>
      </c>
      <c r="E28" s="91" ph="1">
        <f>E27*268.68*LOOKUP(E29,密度!$A$2:$A$50,密度!$C$2:$C$50)+IF(E27&lt;=0,0,1566*LOOKUP(E29,密度!$A$2:$A$50,密度!$C$2:$C$50))</f>
        <v>30165.900825840003</v>
      </c>
      <c r="F28" s="91" ph="1">
        <f>F27*11.702*LOOKUP(F29,密度!$A$2:$A$50,密度!$Q$2:$Q$50)</f>
        <v>44870.243937260006</v>
      </c>
      <c r="G28" s="91" ph="1">
        <f>G27*18.322*LOOKUP(G29,密度!$A$2:$A$50,密度!$B$2:$B$50)</f>
        <v>14337.7949866</v>
      </c>
      <c r="H28" s="91" ph="1">
        <f>H27*18.322*LOOKUP(H29,密度!$A$2:$A$50,密度!$B$2:$B$50)</f>
        <v>20931.670251399999</v>
      </c>
      <c r="I28" s="91" ph="1">
        <f>I27*18.322*LOOKUP(I29,密度!$A$2:$A$50,密度!$Q$2:$Q$50)</f>
        <v>96345.367437879991</v>
      </c>
      <c r="J28" s="91" ph="1">
        <f>J27*18.322*LOOKUP(J29,密度!$A$2:$A$50,密度!$Q$2:$Q$50)</f>
        <v>19868.417108399997</v>
      </c>
      <c r="K28" s="91" ph="1">
        <f>K27*18.322*LOOKUP(K29,密度!$A$2:$A$50,密度!$Q$2:$Q$50)</f>
        <v>98122.095017800006</v>
      </c>
      <c r="L28" s="91" ph="1">
        <f>L27*18.322*LOOKUP(L29,密度!$A$2:$A$50,密度!$Q$2:$Q$50)</f>
        <v>97564.267803080002</v>
      </c>
      <c r="M28" s="91" ph="1">
        <f>M27*18.322*LOOKUP(M29,密度!$A$2:$A$50,密度!$Q$2:$Q$50)</f>
        <v>95298.688376079997</v>
      </c>
      <c r="N28" s="91" ph="1">
        <f>N27*18.322*LOOKUP(N29,密度!$A$2:$A$50,密度!$Q$2:$Q$50)</f>
        <v>93541.89659792</v>
      </c>
      <c r="O28" s="91" ph="1">
        <f>O27*18.322*LOOKUP(O29,密度!$A$2:$A$50,密度!$C$2:$C$50)</f>
        <v>71714.631229599996</v>
      </c>
      <c r="P28" s="91" ph="1">
        <f>P27*11.702*LOOKUP(P29,密度!$A$2:$A$50,密度!$B$2:$B$50)</f>
        <v>7643.2233206000001</v>
      </c>
      <c r="Q28" s="92" ph="1">
        <f>Q27*18.322*LOOKUP(Q29,密度!$A$2:$A$50,密度!$B$2:$B$50)</f>
        <v>32941.880498599996</v>
      </c>
      <c r="R28" s="91" ph="1">
        <f>R27*35.891*LOOKUP(R29,密度!$A$2:$A$50,密度!$C$2:$C$50)</f>
        <v>228492.77280520002</v>
      </c>
      <c r="S28" s="91" ph="1">
        <f>S27*35.891*LOOKUP(S29,密度!$A$2:$A$50,密度!$B$2:$B$50)</f>
        <v>103217.97937759999</v>
      </c>
      <c r="T28" s="91" ph="1">
        <f>T27*35.891*LOOKUP(T29,密度!$A$2:$A$50,密度!$Q$2:$Q$50)</f>
        <v>30965.520508509999</v>
      </c>
      <c r="U28" s="91" ph="1">
        <f>U27*35.891</f>
        <v>135596.198</v>
      </c>
      <c r="V28" s="91" ph="1">
        <f>V27*47.051*LOOKUP(V29,密度!$A$2:$A$50,密度!$B$2:$B$50)</f>
        <v>355897.58924630005</v>
      </c>
      <c r="W28" s="91" ph="1">
        <f>W27*47.051*LOOKUP(W29,密度!$A$2:$A$50,密度!$B$2:$B$50)</f>
        <v>401207.99396250001</v>
      </c>
      <c r="X28" s="91" ph="1">
        <f>X27*47.051*LOOKUP(X29,密度!$A$2:$A$50,密度!$I$2:$I$50)</f>
        <v>268734.3554846</v>
      </c>
      <c r="Y28" s="91" ph="1">
        <f>Y27*47.051*LOOKUP(Y29,密度!$A$2:$A$50,密度!$L$2:$L$50)</f>
        <v>112165.06710399999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1" t="s" ph="1">
        <v>181</v>
      </c>
      <c r="D29" s="74">
        <v>25</v>
      </c>
      <c r="E29" s="74">
        <v>25</v>
      </c>
      <c r="F29" s="74">
        <v>19</v>
      </c>
      <c r="G29" s="74">
        <v>19</v>
      </c>
      <c r="H29" s="74">
        <v>20</v>
      </c>
      <c r="I29" s="74">
        <v>20</v>
      </c>
      <c r="J29" s="74">
        <v>19</v>
      </c>
      <c r="K29" s="74">
        <v>19</v>
      </c>
      <c r="L29" s="74">
        <v>20</v>
      </c>
      <c r="M29" s="74">
        <v>19</v>
      </c>
      <c r="N29" s="74">
        <v>20</v>
      </c>
      <c r="O29" s="74">
        <v>20</v>
      </c>
      <c r="P29" s="74">
        <v>20</v>
      </c>
      <c r="Q29" s="93">
        <v>20</v>
      </c>
      <c r="R29" s="74">
        <v>20</v>
      </c>
      <c r="S29" s="74">
        <v>19</v>
      </c>
      <c r="T29" s="74">
        <v>19</v>
      </c>
      <c r="U29" s="74">
        <v>20</v>
      </c>
      <c r="V29" s="74">
        <v>19</v>
      </c>
      <c r="W29" s="74">
        <v>20</v>
      </c>
      <c r="X29" s="74">
        <v>57</v>
      </c>
      <c r="Y29" s="74">
        <v>19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86</v>
      </c>
      <c r="AC32" s="161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93120.864220799995</v>
      </c>
      <c r="E33" s="201" ph="1">
        <f>M10+I10</f>
        <v>124231.2648306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27" ph="1">
        <v>0</v>
      </c>
      <c r="H33" s="201" ph="1">
        <f>N19</f>
        <v>9178.6375666200001</v>
      </c>
      <c r="I33" s="205" ph="1">
        <v>0</v>
      </c>
      <c r="J33" s="209" ph="1">
        <f>F10+O28</f>
        <v>227031.23985699998</v>
      </c>
      <c r="K33" s="201" ph="1">
        <f>O10+K10+E28+R28</f>
        <v>341554.12504624005</v>
      </c>
      <c r="L33" s="211" ph="1">
        <f>BE27</f>
        <v>7100</v>
      </c>
      <c r="M33" s="209" ph="1">
        <f>G10+H10+W28+S28</f>
        <v>1141367.9592961001</v>
      </c>
      <c r="N33" s="201" ph="1">
        <f>L10+P10++G28+H28+V28</f>
        <v>475549.21508730005</v>
      </c>
      <c r="O33" s="205" ph="1">
        <f>BE17</f>
        <v>2270</v>
      </c>
      <c r="P33" s="209" ph="1">
        <f>L19</f>
        <v>40380.481765600001</v>
      </c>
      <c r="Q33" s="201" ph="1">
        <f>J10+N10</f>
        <v>97164.973238400009</v>
      </c>
      <c r="R33" s="205" ph="1">
        <f>BE23</f>
        <v>890</v>
      </c>
      <c r="S33" s="209" ph="1">
        <f>E10+X28</f>
        <v>299845.95369460003</v>
      </c>
      <c r="T33" s="201" ph="1">
        <f>X19</f>
        <v>8625.5397847200002</v>
      </c>
      <c r="U33" s="190" ph="1">
        <f>BE21</f>
        <v>730</v>
      </c>
      <c r="V33" s="203" ph="1">
        <f ca="1">P19+Q19+S19+M28+N28+J28</f>
        <v>311501.67160706595</v>
      </c>
      <c r="W33" s="203" ph="1">
        <f>D28+F28+V19+T28</f>
        <v>111243.81727555401</v>
      </c>
      <c r="X33" s="205" ph="1">
        <f>BE29+BE31</f>
        <v>10200</v>
      </c>
      <c r="Y33" s="207" ph="1">
        <f>+Q10+R10+S10+T10+U10+V10+W10+X10+Y10</f>
        <v>145660.50548279998</v>
      </c>
      <c r="Z33" s="188" ph="1">
        <f>D10+T19+U19+Y28+Z10</f>
        <v>321795.35595656</v>
      </c>
      <c r="AA33" s="190" ph="1">
        <f>BE19</f>
        <v>1440</v>
      </c>
      <c r="AB33" s="192" ph="1">
        <f>I19</f>
        <v>15793.4701384</v>
      </c>
      <c r="AC33" s="194" ph="1">
        <f>AD10</f>
        <v>13646.966256000002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59" t="s" ph="1">
        <v>187</v>
      </c>
      <c r="AA36" s="159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346</v>
      </c>
      <c r="AI37" s="159" t="s" ph="1">
        <v>213</v>
      </c>
      <c r="AJ37" s="159" t="s" ph="1">
        <v>214</v>
      </c>
      <c r="AK37" s="159" t="s" ph="1">
        <v>215</v>
      </c>
      <c r="AM37" s="159" t="s" ph="1">
        <v>214</v>
      </c>
      <c r="AN37" s="159" t="s" ph="1">
        <v>215</v>
      </c>
      <c r="AO37" s="159" t="s" ph="1">
        <v>216</v>
      </c>
      <c r="AP37" s="159" t="s" ph="1">
        <v>214</v>
      </c>
      <c r="AQ37" s="159" t="s" ph="1">
        <v>215</v>
      </c>
      <c r="AR37" s="159" t="s" ph="1">
        <v>216</v>
      </c>
      <c r="AS37" s="159" t="s" ph="1">
        <v>214</v>
      </c>
      <c r="AT37" s="159" t="s" ph="1">
        <v>215</v>
      </c>
      <c r="AU37" s="159" t="s" ph="1">
        <v>216</v>
      </c>
      <c r="AV37" s="159" t="s" ph="1">
        <v>214</v>
      </c>
      <c r="AW37" s="159" t="s" ph="1">
        <v>215</v>
      </c>
      <c r="AX37" s="159" t="s" ph="1">
        <v>216</v>
      </c>
      <c r="AY37" s="159" t="s" ph="1">
        <v>215</v>
      </c>
      <c r="AZ37" s="159" t="s" ph="1">
        <v>217</v>
      </c>
      <c r="BD37" s="159" t="s" ph="1">
        <v>309</v>
      </c>
      <c r="BE37" s="159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37" priority="96">
      <formula>ABS(D$7-D$10)&gt;=1000</formula>
    </cfRule>
  </conditionalFormatting>
  <conditionalFormatting sqref="E4 E6:E11">
    <cfRule type="expression" dxfId="1636" priority="95">
      <formula>ABS(E$7-E$10)&gt;=1000</formula>
    </cfRule>
  </conditionalFormatting>
  <conditionalFormatting sqref="F4:F11">
    <cfRule type="expression" dxfId="1635" priority="94">
      <formula>ABS(F$7-F$10)&gt;=1000</formula>
    </cfRule>
  </conditionalFormatting>
  <conditionalFormatting sqref="G4:G11">
    <cfRule type="expression" dxfId="1634" priority="93">
      <formula>ABS(G$7-G$10)&gt;=1000</formula>
    </cfRule>
  </conditionalFormatting>
  <conditionalFormatting sqref="H4:H11">
    <cfRule type="expression" dxfId="1633" priority="92">
      <formula>ABS(H$7-H$10)&gt;=1000</formula>
    </cfRule>
  </conditionalFormatting>
  <conditionalFormatting sqref="I4:I11">
    <cfRule type="expression" dxfId="1632" priority="91">
      <formula>ABS(I$7-I$10)&gt;=1000</formula>
    </cfRule>
  </conditionalFormatting>
  <conditionalFormatting sqref="J4:J11">
    <cfRule type="expression" dxfId="1631" priority="90">
      <formula>ABS(J$7-J$10)&gt;=1000</formula>
    </cfRule>
  </conditionalFormatting>
  <conditionalFormatting sqref="K4:K11">
    <cfRule type="expression" dxfId="1630" priority="89">
      <formula>ABS(K$7-K$10)&gt;=1000</formula>
    </cfRule>
  </conditionalFormatting>
  <conditionalFormatting sqref="L4:L11">
    <cfRule type="expression" dxfId="1629" priority="88">
      <formula>ABS(L$7-L$10)&gt;=1000</formula>
    </cfRule>
  </conditionalFormatting>
  <conditionalFormatting sqref="M4 M6:M11">
    <cfRule type="expression" dxfId="1628" priority="87">
      <formula>ABS(M$7-M$10)&gt;=1000</formula>
    </cfRule>
  </conditionalFormatting>
  <conditionalFormatting sqref="N4 N6:N11">
    <cfRule type="expression" dxfId="1627" priority="86">
      <formula>ABS(N$7-N$10)&gt;=1000</formula>
    </cfRule>
  </conditionalFormatting>
  <conditionalFormatting sqref="O4 O6:O11">
    <cfRule type="expression" dxfId="1626" priority="85">
      <formula>ABS(O$7-O$10)&gt;=1000</formula>
    </cfRule>
  </conditionalFormatting>
  <conditionalFormatting sqref="P4 P6:P11">
    <cfRule type="expression" dxfId="1625" priority="84">
      <formula>ABS(P$7-P$10)&gt;=1000</formula>
    </cfRule>
  </conditionalFormatting>
  <conditionalFormatting sqref="Q4:Q11">
    <cfRule type="expression" dxfId="1624" priority="83">
      <formula>ABS(Q$7-Q$10)&gt;=1000</formula>
    </cfRule>
  </conditionalFormatting>
  <conditionalFormatting sqref="R4:R11">
    <cfRule type="expression" dxfId="1623" priority="82">
      <formula>ABS(R$7-R$10)&gt;=1000</formula>
    </cfRule>
  </conditionalFormatting>
  <conditionalFormatting sqref="S4:S11">
    <cfRule type="expression" dxfId="1622" priority="81">
      <formula>ABS(S$7-S$10)&gt;=1000</formula>
    </cfRule>
  </conditionalFormatting>
  <conditionalFormatting sqref="T4:T9 T11">
    <cfRule type="expression" dxfId="1621" priority="80">
      <formula>ABS(T$7-T$10)&gt;=1000</formula>
    </cfRule>
  </conditionalFormatting>
  <conditionalFormatting sqref="U4:U9 U11">
    <cfRule type="expression" dxfId="1620" priority="79">
      <formula>ABS(U$7-U$10)&gt;=1000</formula>
    </cfRule>
  </conditionalFormatting>
  <conditionalFormatting sqref="V4:V9 V11">
    <cfRule type="expression" dxfId="1619" priority="78">
      <formula>ABS(V$7-V$10)&gt;=1000</formula>
    </cfRule>
  </conditionalFormatting>
  <conditionalFormatting sqref="W4:W9 W11">
    <cfRule type="expression" dxfId="1618" priority="77">
      <formula>ABS(W$7-W$10)&gt;=1000</formula>
    </cfRule>
  </conditionalFormatting>
  <conditionalFormatting sqref="X4:X9 X11">
    <cfRule type="expression" dxfId="1617" priority="76">
      <formula>ABS(X$7-X$10)&gt;=1000</formula>
    </cfRule>
  </conditionalFormatting>
  <conditionalFormatting sqref="Y4:Y9 Y11">
    <cfRule type="expression" dxfId="1616" priority="75">
      <formula>ABS(Y$7-Y$10)&gt;=1000</formula>
    </cfRule>
  </conditionalFormatting>
  <conditionalFormatting sqref="Z4:Z11">
    <cfRule type="expression" dxfId="1615" priority="74">
      <formula>ABS(Z$7-Z$10)&gt;=1000</formula>
    </cfRule>
  </conditionalFormatting>
  <conditionalFormatting sqref="AA4:AA11">
    <cfRule type="expression" dxfId="1614" priority="73">
      <formula>ABS(AA$7-AA$10)&gt;=1000</formula>
    </cfRule>
  </conditionalFormatting>
  <conditionalFormatting sqref="AB4:AB11">
    <cfRule type="expression" dxfId="1613" priority="72">
      <formula>ABS(AB$7-AB$10)&gt;=1000</formula>
    </cfRule>
  </conditionalFormatting>
  <conditionalFormatting sqref="AC4 AC6:AC11">
    <cfRule type="expression" dxfId="1612" priority="71">
      <formula>ABS(AC$7-AC$10)&gt;=1000</formula>
    </cfRule>
  </conditionalFormatting>
  <conditionalFormatting sqref="AD4:AD11">
    <cfRule type="expression" dxfId="1611" priority="70">
      <formula>ABS(AD$7-AD$10)&gt;=1000</formula>
    </cfRule>
  </conditionalFormatting>
  <conditionalFormatting sqref="AE4:AE11">
    <cfRule type="expression" dxfId="1610" priority="69">
      <formula>ABS(AE$7-AE$10)&gt;=1000</formula>
    </cfRule>
  </conditionalFormatting>
  <conditionalFormatting sqref="D13:D20">
    <cfRule type="expression" dxfId="1609" priority="68">
      <formula>ABS(D$16-D$19)&gt;=1000</formula>
    </cfRule>
  </conditionalFormatting>
  <conditionalFormatting sqref="E13:E20">
    <cfRule type="expression" dxfId="1608" priority="67">
      <formula>ABS(E$16-E$19)&gt;=1000</formula>
    </cfRule>
  </conditionalFormatting>
  <conditionalFormatting sqref="F13 F15:F20">
    <cfRule type="expression" dxfId="1607" priority="66">
      <formula>ABS(F$16-F$19)&gt;=1000</formula>
    </cfRule>
  </conditionalFormatting>
  <conditionalFormatting sqref="G13:G20">
    <cfRule type="expression" dxfId="1606" priority="65">
      <formula>ABS(G$16-G$19)&gt;=1000</formula>
    </cfRule>
  </conditionalFormatting>
  <conditionalFormatting sqref="H13:H20">
    <cfRule type="expression" dxfId="1605" priority="64">
      <formula>ABS(H$16-H$19)&gt;=1000</formula>
    </cfRule>
  </conditionalFormatting>
  <conditionalFormatting sqref="I13:I20">
    <cfRule type="expression" dxfId="1604" priority="63">
      <formula>ABS(I$16-I$19)&gt;=1000</formula>
    </cfRule>
  </conditionalFormatting>
  <conditionalFormatting sqref="J13:J20">
    <cfRule type="expression" dxfId="1603" priority="62">
      <formula>ABS(J$16-J$19)&gt;=1000</formula>
    </cfRule>
  </conditionalFormatting>
  <conditionalFormatting sqref="L13:L20">
    <cfRule type="expression" dxfId="1602" priority="61">
      <formula>ABS(L$16-L$19)&gt;=1000</formula>
    </cfRule>
  </conditionalFormatting>
  <conditionalFormatting sqref="M13 M15 M17:M18 M20">
    <cfRule type="expression" dxfId="1601" priority="60">
      <formula>ABS(M$16-M$19)&gt;=1000</formula>
    </cfRule>
  </conditionalFormatting>
  <conditionalFormatting sqref="N13:N20">
    <cfRule type="expression" dxfId="1600" priority="59">
      <formula>ABS(N$16-N$19)&gt;=1000</formula>
    </cfRule>
  </conditionalFormatting>
  <conditionalFormatting sqref="O13:O20">
    <cfRule type="expression" dxfId="1599" priority="58">
      <formula>ABS(O$16-O$19)&gt;=1000</formula>
    </cfRule>
  </conditionalFormatting>
  <conditionalFormatting sqref="P13:P20">
    <cfRule type="expression" dxfId="1598" priority="57">
      <formula>ABS(P$16-P$19)&gt;=1000</formula>
    </cfRule>
  </conditionalFormatting>
  <conditionalFormatting sqref="Q13 Q15:Q20">
    <cfRule type="expression" dxfId="1597" priority="56">
      <formula>ABS(Q$16-Q$19)&gt;=1000</formula>
    </cfRule>
  </conditionalFormatting>
  <conditionalFormatting sqref="R13:R20">
    <cfRule type="expression" dxfId="1596" priority="55">
      <formula>ABS(R$16-R$19)&gt;=1000</formula>
    </cfRule>
  </conditionalFormatting>
  <conditionalFormatting sqref="S13:S20">
    <cfRule type="expression" dxfId="1595" priority="54">
      <formula>ABS(S$16-S$19)&gt;=1000</formula>
    </cfRule>
  </conditionalFormatting>
  <conditionalFormatting sqref="T13:T20">
    <cfRule type="expression" dxfId="1594" priority="53">
      <formula>ABS(T$16-T$19)&gt;=1000</formula>
    </cfRule>
  </conditionalFormatting>
  <conditionalFormatting sqref="U13:U20">
    <cfRule type="expression" dxfId="1593" priority="52">
      <formula>ABS(U$16-U$19)&gt;=1000</formula>
    </cfRule>
  </conditionalFormatting>
  <conditionalFormatting sqref="V13:V20">
    <cfRule type="expression" dxfId="1592" priority="51">
      <formula>ABS(V$16-V$19)&gt;=1000</formula>
    </cfRule>
  </conditionalFormatting>
  <conditionalFormatting sqref="W13 W20 W15:W18">
    <cfRule type="expression" dxfId="1591" priority="50">
      <formula>ABS(W$16-W$19)&gt;=1000</formula>
    </cfRule>
  </conditionalFormatting>
  <conditionalFormatting sqref="X13 X15:X20 Y19">
    <cfRule type="expression" dxfId="1590" priority="49">
      <formula>ABS(X$16-X$19)&gt;=1000</formula>
    </cfRule>
  </conditionalFormatting>
  <conditionalFormatting sqref="Y13 Y15:Y18 Y20">
    <cfRule type="expression" dxfId="1589" priority="48">
      <formula>ABS(Y$16-Y$19)&gt;=1000</formula>
    </cfRule>
  </conditionalFormatting>
  <conditionalFormatting sqref="Z13:Z20">
    <cfRule type="expression" dxfId="1588" priority="47">
      <formula>ABS(Z$16-Z$19)&gt;=1000</formula>
    </cfRule>
  </conditionalFormatting>
  <conditionalFormatting sqref="AA13:AA20">
    <cfRule type="expression" dxfId="1587" priority="46">
      <formula>ABS(AA$16-AA$19)&gt;=1000</formula>
    </cfRule>
  </conditionalFormatting>
  <conditionalFormatting sqref="AB13 AB15:AB20">
    <cfRule type="expression" dxfId="1586" priority="45">
      <formula>ABS(AB$16-AB$19)&gt;=1000</formula>
    </cfRule>
  </conditionalFormatting>
  <conditionalFormatting sqref="AC13 AC15:AC20">
    <cfRule type="expression" dxfId="1585" priority="44">
      <formula>ABS(AC$16-AC$19)&gt;=1000</formula>
    </cfRule>
  </conditionalFormatting>
  <conditionalFormatting sqref="AD13:AD20">
    <cfRule type="expression" dxfId="1584" priority="43">
      <formula>ABS(AD$16-AD$19)&gt;=1000</formula>
    </cfRule>
  </conditionalFormatting>
  <conditionalFormatting sqref="AE13:AE20">
    <cfRule type="expression" dxfId="1583" priority="42">
      <formula>ABS(AE$16-AE$19)&gt;=1000</formula>
    </cfRule>
  </conditionalFormatting>
  <conditionalFormatting sqref="D22:D29">
    <cfRule type="expression" dxfId="1582" priority="41">
      <formula>ABS(D$25-D$28)&gt;=1000</formula>
    </cfRule>
  </conditionalFormatting>
  <conditionalFormatting sqref="E22:E29">
    <cfRule type="expression" dxfId="1581" priority="40">
      <formula>ABS(E$25-E$28)&gt;=1000</formula>
    </cfRule>
  </conditionalFormatting>
  <conditionalFormatting sqref="F22:F29">
    <cfRule type="expression" dxfId="1580" priority="39">
      <formula>ABS(F$25-F$28)&gt;=1000</formula>
    </cfRule>
  </conditionalFormatting>
  <conditionalFormatting sqref="G22:G29">
    <cfRule type="expression" dxfId="1579" priority="38">
      <formula>ABS(G$25-G$28)&gt;=1000</formula>
    </cfRule>
  </conditionalFormatting>
  <conditionalFormatting sqref="H22:H29">
    <cfRule type="expression" dxfId="1578" priority="37">
      <formula>ABS(H$25-H$28)&gt;=1000</formula>
    </cfRule>
  </conditionalFormatting>
  <conditionalFormatting sqref="I22 I24:I29">
    <cfRule type="expression" dxfId="1577" priority="36">
      <formula>ABS(I$25-I$28)&gt;=1000</formula>
    </cfRule>
  </conditionalFormatting>
  <conditionalFormatting sqref="J22:J29 K22">
    <cfRule type="expression" dxfId="1576" priority="35">
      <formula>ABS(J$25-J$28)&gt;=1000</formula>
    </cfRule>
  </conditionalFormatting>
  <conditionalFormatting sqref="K23:K29 L25 L28">
    <cfRule type="expression" dxfId="1575" priority="34">
      <formula>ABS(K$25-K$28)&gt;=1000</formula>
    </cfRule>
  </conditionalFormatting>
  <conditionalFormatting sqref="L22:L24 L26:L27 L29">
    <cfRule type="expression" dxfId="1574" priority="33">
      <formula>ABS(L$25-L$28)&gt;=1000</formula>
    </cfRule>
  </conditionalFormatting>
  <conditionalFormatting sqref="M22:M29">
    <cfRule type="expression" dxfId="1573" priority="32">
      <formula>ABS(M$25-M$28)&gt;=1000</formula>
    </cfRule>
  </conditionalFormatting>
  <conditionalFormatting sqref="N22:N29">
    <cfRule type="expression" dxfId="1572" priority="31">
      <formula>ABS(N$25-N$28)&gt;=1000</formula>
    </cfRule>
  </conditionalFormatting>
  <conditionalFormatting sqref="O22:O29">
    <cfRule type="expression" dxfId="1571" priority="30">
      <formula>ABS(O$25-O$28)&gt;=1000</formula>
    </cfRule>
  </conditionalFormatting>
  <conditionalFormatting sqref="P22:P29">
    <cfRule type="expression" dxfId="1570" priority="29">
      <formula>ABS(P$25-P$28)&gt;=1000</formula>
    </cfRule>
  </conditionalFormatting>
  <conditionalFormatting sqref="Q22:Q29">
    <cfRule type="expression" dxfId="1569" priority="28">
      <formula>ABS(Q$25-Q$28)&gt;=1000</formula>
    </cfRule>
  </conditionalFormatting>
  <conditionalFormatting sqref="R22:R29">
    <cfRule type="expression" dxfId="1568" priority="27">
      <formula>ABS(R$25-R$28)&gt;=1000</formula>
    </cfRule>
  </conditionalFormatting>
  <conditionalFormatting sqref="S22:S29">
    <cfRule type="expression" dxfId="1567" priority="26">
      <formula>ABS(S$25-S$28)&gt;=1000</formula>
    </cfRule>
  </conditionalFormatting>
  <conditionalFormatting sqref="T22:T29">
    <cfRule type="expression" dxfId="1566" priority="25">
      <formula>ABS(T$25-T$28)&gt;=1000</formula>
    </cfRule>
  </conditionalFormatting>
  <conditionalFormatting sqref="U22:U29">
    <cfRule type="expression" dxfId="1565" priority="24">
      <formula>ABS(U$25-U$28)&gt;=1000</formula>
    </cfRule>
  </conditionalFormatting>
  <conditionalFormatting sqref="V22:V29">
    <cfRule type="expression" dxfId="1564" priority="23">
      <formula>ABS(V$25-V$28)&gt;=1000</formula>
    </cfRule>
  </conditionalFormatting>
  <conditionalFormatting sqref="W22:W29">
    <cfRule type="expression" dxfId="1563" priority="22">
      <formula>ABS(W$25-W$28)&gt;=1000</formula>
    </cfRule>
  </conditionalFormatting>
  <conditionalFormatting sqref="X22:X29">
    <cfRule type="expression" dxfId="1562" priority="21">
      <formula>ABS(X$25-X$28)&gt;=1000</formula>
    </cfRule>
  </conditionalFormatting>
  <conditionalFormatting sqref="Y22:Y29">
    <cfRule type="expression" dxfId="1561" priority="20">
      <formula>ABS(Y$25-Y$28)&gt;=1000</formula>
    </cfRule>
  </conditionalFormatting>
  <conditionalFormatting sqref="I23">
    <cfRule type="expression" dxfId="1560" priority="19">
      <formula>ABS(I$25-I$28)&gt;=1000</formula>
    </cfRule>
  </conditionalFormatting>
  <conditionalFormatting sqref="F14">
    <cfRule type="expression" dxfId="1559" priority="18">
      <formula>ABS(F$16-F$19)&gt;=1000</formula>
    </cfRule>
  </conditionalFormatting>
  <conditionalFormatting sqref="Q14">
    <cfRule type="expression" dxfId="1558" priority="17">
      <formula>ABS(Q$16-Q$19)&gt;=1000</formula>
    </cfRule>
  </conditionalFormatting>
  <conditionalFormatting sqref="W14">
    <cfRule type="expression" dxfId="1557" priority="16">
      <formula>ABS(W$16-W$19)&gt;=1000</formula>
    </cfRule>
  </conditionalFormatting>
  <conditionalFormatting sqref="Y14">
    <cfRule type="expression" dxfId="1556" priority="15">
      <formula>ABS(Y$16-Y$19)&gt;=1000</formula>
    </cfRule>
  </conditionalFormatting>
  <conditionalFormatting sqref="X14">
    <cfRule type="expression" dxfId="1555" priority="14">
      <formula>ABS(X$16-X$19)&gt;=1000</formula>
    </cfRule>
  </conditionalFormatting>
  <conditionalFormatting sqref="T10:Y10">
    <cfRule type="expression" dxfId="1554" priority="13">
      <formula>ABS(T$7-T$10)&gt;=1000</formula>
    </cfRule>
  </conditionalFormatting>
  <conditionalFormatting sqref="W19">
    <cfRule type="expression" dxfId="1553" priority="12">
      <formula>ABS(W$16-W$19)&gt;=1000</formula>
    </cfRule>
  </conditionalFormatting>
  <conditionalFormatting sqref="AC5">
    <cfRule type="expression" dxfId="1552" priority="11">
      <formula>ABS(AC$7-AC$10)&gt;=1000</formula>
    </cfRule>
  </conditionalFormatting>
  <conditionalFormatting sqref="M14">
    <cfRule type="expression" dxfId="1551" priority="10">
      <formula>ABS(M$16-M$19)&gt;=1000</formula>
    </cfRule>
  </conditionalFormatting>
  <conditionalFormatting sqref="M16">
    <cfRule type="expression" dxfId="1550" priority="9">
      <formula>ABS(M$16-M$19)&gt;=1000</formula>
    </cfRule>
  </conditionalFormatting>
  <conditionalFormatting sqref="M19">
    <cfRule type="expression" dxfId="1549" priority="8">
      <formula>ABS(M$16-M$19)&gt;=1000</formula>
    </cfRule>
  </conditionalFormatting>
  <conditionalFormatting sqref="K13:K20">
    <cfRule type="expression" dxfId="1548" priority="7">
      <formula>ABS(K$16-K$19)&gt;=1000</formula>
    </cfRule>
  </conditionalFormatting>
  <conditionalFormatting sqref="E5">
    <cfRule type="expression" dxfId="1547" priority="6">
      <formula>ABS(E$7-E$10)&gt;=1000</formula>
    </cfRule>
  </conditionalFormatting>
  <conditionalFormatting sqref="AB14:AC14">
    <cfRule type="expression" dxfId="1546" priority="5">
      <formula>ABS(AB$16-AB$19)&gt;=1000</formula>
    </cfRule>
  </conditionalFormatting>
  <conditionalFormatting sqref="M5">
    <cfRule type="expression" dxfId="1545" priority="4">
      <formula>ABS(M$7-M$10)&gt;=1000</formula>
    </cfRule>
  </conditionalFormatting>
  <conditionalFormatting sqref="N5">
    <cfRule type="expression" dxfId="1544" priority="3">
      <formula>ABS(N$7-N$10)&gt;=1000</formula>
    </cfRule>
  </conditionalFormatting>
  <conditionalFormatting sqref="O5">
    <cfRule type="expression" dxfId="1543" priority="2">
      <formula>ABS(O$7-O$10)&gt;=1000</formula>
    </cfRule>
  </conditionalFormatting>
  <conditionalFormatting sqref="P5">
    <cfRule type="expression" dxfId="154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9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4">
    <pageSetUpPr fitToPage="1"/>
  </sheetPr>
  <dimension ref="A1:CU223"/>
  <sheetViews>
    <sheetView view="pageBreakPreview" zoomScale="70" zoomScaleNormal="100" zoomScaleSheetLayoutView="70" workbookViewId="0">
      <selection activeCell="X27" sqref="X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45730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2140</v>
      </c>
      <c r="E6" s="71">
        <v>772</v>
      </c>
      <c r="F6" s="71">
        <v>3685</v>
      </c>
      <c r="G6" s="71">
        <v>9005</v>
      </c>
      <c r="H6" s="71">
        <v>6737</v>
      </c>
      <c r="I6" s="71">
        <v>27.15</v>
      </c>
      <c r="J6" s="71">
        <v>7.77</v>
      </c>
      <c r="K6" s="71">
        <v>52.06</v>
      </c>
      <c r="L6" s="71">
        <v>44.96</v>
      </c>
      <c r="M6" s="71">
        <v>3393</v>
      </c>
      <c r="N6" s="71">
        <v>3647</v>
      </c>
      <c r="O6" s="71">
        <v>3764</v>
      </c>
      <c r="P6" s="71">
        <v>1372</v>
      </c>
      <c r="Q6" s="71">
        <v>0</v>
      </c>
      <c r="R6" s="71">
        <v>3211</v>
      </c>
      <c r="S6" s="71">
        <v>5368</v>
      </c>
      <c r="T6" s="71">
        <v>7133</v>
      </c>
      <c r="U6" s="71">
        <v>596</v>
      </c>
      <c r="V6" s="71">
        <v>0</v>
      </c>
      <c r="W6" s="71">
        <v>0</v>
      </c>
      <c r="X6" s="71">
        <v>0</v>
      </c>
      <c r="Y6" s="71">
        <v>0</v>
      </c>
      <c r="Z6" s="71">
        <v>1553</v>
      </c>
      <c r="AA6" s="71">
        <v>1571</v>
      </c>
      <c r="AB6" s="71">
        <v>1857</v>
      </c>
      <c r="AC6" s="71">
        <v>6226</v>
      </c>
      <c r="AD6" s="71">
        <v>693</v>
      </c>
      <c r="AE6" s="71">
        <v>3190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67548.383292600003</v>
      </c>
      <c r="E7" s="73" ph="1">
        <f>E6*51.53*LOOKUP(E8,密度!$A$2:$A$50,密度!$B$2:$B$50)</f>
        <v>31256.057412000002</v>
      </c>
      <c r="F7" s="73" ph="1">
        <f>F6*33.183*LOOKUP(F8,密度!$A$2:$A$50,密度!$C$2:$C$50)</f>
        <v>136206.97353449999</v>
      </c>
      <c r="G7" s="73" ph="1">
        <f xml:space="preserve"> (G6+2)*51.53*LOOKUP(G8,密度!$A$2:$A$50,密度!$B$2:$B$50)</f>
        <v>364667.49884700001</v>
      </c>
      <c r="H7" s="73" ph="1">
        <f>(H6)*51.53*LOOKUP(H8,密度!$A$2:$A$50,密度!$B$2:$B$50)</f>
        <v>272761.73417699995</v>
      </c>
      <c r="I7" s="73" ph="1">
        <f>I6*290.8*1.0267</f>
        <v>8106.0223740000001</v>
      </c>
      <c r="J7" s="73" ph="1">
        <f>J6*290.8*0.7892</f>
        <v>1783.2100272</v>
      </c>
      <c r="K7" s="73" ph="1">
        <f>K6*290.8*1.1126</f>
        <v>16843.7048048</v>
      </c>
      <c r="L7" s="73" ph="1">
        <f>L6*290.8*0.777</f>
        <v>10158.783936</v>
      </c>
      <c r="M7" s="73" ph="1">
        <f>M6*33.183*LOOKUP(M8,密度!$A$2:$A$50,密度!$D$2:$D$50)</f>
        <v>116316.64531889999</v>
      </c>
      <c r="N7" s="73" ph="1">
        <f>N6*33.183*LOOKUP(N8,密度!$A$2:$A$50,密度!$E$2:$E$50)</f>
        <v>95507.722069199997</v>
      </c>
      <c r="O7" s="73" ph="1">
        <f>O6*20.428*LOOKUP(O8,密度!$A$2:$A$50,密度!$C$2:$C$50)</f>
        <v>85202.908235200011</v>
      </c>
      <c r="P7" s="73" ph="1">
        <f>P6*51.53*LOOKUP(P8,密度!$A$2:$A$50,密度!$B$2:$B$50)</f>
        <v>55597.819424000001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21312.740849400001</v>
      </c>
      <c r="S7" s="73" ph="1">
        <f>S6*1.5*1.5*3.1416*LOOKUP(S8,密度!$A$2:$A$50,密度!$L$2:$L$50)</f>
        <v>35971.144070399998</v>
      </c>
      <c r="T7" s="73" ph="1">
        <f>T6*1.5*1.5*3.1416*LOOKUP(T8,密度!$A$2:$A$50,密度!$L$2:$L$50)</f>
        <v>47899.307609999996</v>
      </c>
      <c r="U7" s="73" ph="1">
        <f>U6*1.5*1.5*3.1416*LOOKUP(U8,密度!$A$2:$A$50,密度!$L$2:$L$50)</f>
        <v>4010.6670911999995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48750.406254000001</v>
      </c>
      <c r="AA7" s="73" ph="1">
        <f>AA6*33.183*LOOKUP(AA8,密度!$A$2:$A$50,密度!$D$2:$D$50)</f>
        <v>53856.012318299996</v>
      </c>
      <c r="AB7" s="73" ph="1">
        <f>AB6*20.428*LOOKUP(AB8,密度!$A$2:$A$50,密度!$D$2:$D$50)</f>
        <v>39452.187840000006</v>
      </c>
      <c r="AC7" s="73" ph="1">
        <f>AC6*51.53*LOOKUP(AC8,密度!$A$2:$A$50,密度!$Q$2:$Q$50)</f>
        <v>305939.46380800003</v>
      </c>
      <c r="AD7" s="73" ph="1">
        <f>AD6*20.428*LOOKUP(AD8,密度!$A$2:$A$50,密度!$V$2:$V$50)</f>
        <v>13646.966256000002</v>
      </c>
      <c r="AE7" s="73" ph="1">
        <f>AE6*20.428</f>
        <v>65165.32</v>
      </c>
    </row>
    <row r="8" spans="1:99" ph="1">
      <c r="B8" s="252" ph="1"/>
      <c r="C8" s="68" t="s" ph="1">
        <v>181</v>
      </c>
      <c r="D8" s="74">
        <v>19</v>
      </c>
      <c r="E8" s="74">
        <v>18</v>
      </c>
      <c r="F8" s="74">
        <v>18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26</v>
      </c>
      <c r="P8" s="74">
        <v>17</v>
      </c>
      <c r="Q8" s="74">
        <v>18</v>
      </c>
      <c r="R8" s="74">
        <v>23</v>
      </c>
      <c r="S8" s="74">
        <v>14</v>
      </c>
      <c r="T8" s="74">
        <v>12</v>
      </c>
      <c r="U8" s="74">
        <v>10</v>
      </c>
      <c r="V8" s="74">
        <v>24</v>
      </c>
      <c r="W8" s="74">
        <v>17</v>
      </c>
      <c r="X8" s="74">
        <v>10</v>
      </c>
      <c r="Y8" s="74">
        <v>18</v>
      </c>
      <c r="Z8" s="74">
        <v>16</v>
      </c>
      <c r="AA8" s="74">
        <v>18</v>
      </c>
      <c r="AB8" s="74">
        <v>10</v>
      </c>
      <c r="AC8" s="74">
        <v>16</v>
      </c>
      <c r="AD8" s="74">
        <v>16</v>
      </c>
      <c r="AE8" s="74">
        <v>21</v>
      </c>
    </row>
    <row r="9" spans="1:99" ph="1">
      <c r="B9" s="252" ph="1">
        <v>0.66666666666666663</v>
      </c>
      <c r="C9" s="162" t="s" ph="1">
        <v>182</v>
      </c>
      <c r="D9" s="71">
        <v>2138</v>
      </c>
      <c r="E9" s="71">
        <v>772</v>
      </c>
      <c r="F9" s="71">
        <v>3430</v>
      </c>
      <c r="G9" s="71">
        <v>9010</v>
      </c>
      <c r="H9" s="71">
        <v>6439</v>
      </c>
      <c r="I9" s="71">
        <v>27.11</v>
      </c>
      <c r="J9" s="71">
        <v>7.77</v>
      </c>
      <c r="K9" s="71">
        <v>13.51</v>
      </c>
      <c r="L9" s="71">
        <v>12.65</v>
      </c>
      <c r="M9" s="71">
        <v>3392</v>
      </c>
      <c r="N9" s="71">
        <v>3647</v>
      </c>
      <c r="O9" s="71">
        <v>3706</v>
      </c>
      <c r="P9" s="71">
        <v>1162</v>
      </c>
      <c r="Q9" s="71">
        <v>0</v>
      </c>
      <c r="R9" s="71">
        <v>0</v>
      </c>
      <c r="S9" s="71">
        <v>4636</v>
      </c>
      <c r="T9" s="71">
        <v>7136</v>
      </c>
      <c r="U9" s="71">
        <v>3361</v>
      </c>
      <c r="V9" s="71">
        <v>2016</v>
      </c>
      <c r="W9" s="71">
        <v>0</v>
      </c>
      <c r="X9" s="71">
        <v>0</v>
      </c>
      <c r="Y9" s="71">
        <v>0</v>
      </c>
      <c r="Z9" s="71">
        <v>36</v>
      </c>
      <c r="AA9" s="71">
        <v>1568</v>
      </c>
      <c r="AB9" s="71">
        <v>1524</v>
      </c>
      <c r="AC9" s="71">
        <v>6393</v>
      </c>
      <c r="AD9" s="71">
        <v>692</v>
      </c>
      <c r="AE9" s="71">
        <v>2950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67333.431118859997</v>
      </c>
      <c r="E10" s="73" ph="1">
        <f>E9*51.53*LOOKUP(E11,密度!$A$2:$A$50,密度!$B$2:$B$50)</f>
        <v>30977.589292000001</v>
      </c>
      <c r="F10" s="73" ph="1">
        <f>F9*33.183*LOOKUP(F11,密度!$A$2:$A$50,密度!$C$2:$C$50)</f>
        <v>126633.56189400001</v>
      </c>
      <c r="G10" s="73" ph="1">
        <f xml:space="preserve"> (G9+2)*51.53*LOOKUP(G11,密度!$A$2:$A$50,密度!$B$2:$B$50)</f>
        <v>363291.01402800001</v>
      </c>
      <c r="H10" s="73" ph="1">
        <f>(H9)*51.53*LOOKUP(H11,密度!$A$2:$A$50,密度!$B$2:$B$50)</f>
        <v>259568.44644099998</v>
      </c>
      <c r="I10" s="73" ph="1">
        <f>I9*290.8*1.0267</f>
        <v>8094.0797995999992</v>
      </c>
      <c r="J10" s="73" ph="1">
        <f>J9*290.8*0.7892</f>
        <v>1783.2100272</v>
      </c>
      <c r="K10" s="73" ph="1">
        <f>K9*290.8*1.1126</f>
        <v>4371.0805208000002</v>
      </c>
      <c r="L10" s="73" ph="1">
        <f>L9*290.8*0.777</f>
        <v>2858.2877400000002</v>
      </c>
      <c r="M10" s="73" ph="1">
        <f>M9*33.183*LOOKUP(M11,密度!$A$2:$A$50,密度!$D$2:$D$50)</f>
        <v>115775.85864960001</v>
      </c>
      <c r="N10" s="73" ph="1">
        <f>N9*33.183*LOOKUP(N11,密度!$A$2:$A$50,密度!$E$2:$E$50)</f>
        <v>95217.277906800009</v>
      </c>
      <c r="O10" s="73" ph="1">
        <f>O9*20.428*LOOKUP(O11,密度!$A$2:$A$50,密度!$C$2:$C$50)</f>
        <v>83587.180088800014</v>
      </c>
      <c r="P10" s="73" ph="1">
        <f>P9*51.53*LOOKUP(P11,密度!$A$2:$A$50,密度!$B$2:$B$50)</f>
        <v>46734.669730000001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31000.448001600002</v>
      </c>
      <c r="T10" s="73" ph="1">
        <f>T9*1.5*1.5*3.1416*LOOKUP(T11,密度!$A$2:$A$50,密度!$L$2:$L$50)</f>
        <v>47616.803942400002</v>
      </c>
      <c r="U10" s="73" ph="1">
        <f>U9*1.5*1.5*3.1416*LOOKUP(U11,密度!$A$2:$A$50,密度!$L$2:$L$50)</f>
        <v>22355.868288599995</v>
      </c>
      <c r="V10" s="73" ph="1">
        <f>V9*1.5*1.5*3.1416*LOOKUP(V11,密度!$A$2:$A$50,密度!$L$2:$L$50)</f>
        <v>13309.7779584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1125.3018959999999</v>
      </c>
      <c r="AA10" s="73" ph="1">
        <f>AA9*33.183*LOOKUP(AA11,密度!$A$2:$A$50,密度!$D$2:$D$50)</f>
        <v>53466.998054400006</v>
      </c>
      <c r="AB10" s="73" ph="1">
        <f>AB9*20.428*LOOKUP(AB11,密度!$A$2:$A$50,密度!$D$2:$D$50)</f>
        <v>32296.618972800003</v>
      </c>
      <c r="AC10" s="73" ph="1">
        <f>AC9*51.53*LOOKUP(AC11,密度!$A$2:$A$50,密度!$Q$2:$Q$50)</f>
        <v>312659.94302609999</v>
      </c>
      <c r="AD10" s="73" ph="1">
        <f>AD9*20.428*LOOKUP(AD11,密度!$A$2:$A$50,密度!$V$2:$V$50)</f>
        <v>13536.802137600002</v>
      </c>
      <c r="AE10" s="73" ph="1">
        <f>AE9*20.428</f>
        <v>60262.600000000006</v>
      </c>
    </row>
    <row r="11" spans="1:99" ph="1">
      <c r="A11" s="64" t="s" ph="1">
        <v>164</v>
      </c>
      <c r="B11" s="252" ph="1"/>
      <c r="C11" s="162" t="s" ph="1">
        <v>181</v>
      </c>
      <c r="D11" s="74">
        <v>22</v>
      </c>
      <c r="E11" s="74">
        <v>26</v>
      </c>
      <c r="F11" s="74">
        <v>20</v>
      </c>
      <c r="G11" s="74">
        <v>22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31</v>
      </c>
      <c r="P11" s="74">
        <v>24</v>
      </c>
      <c r="Q11" s="74">
        <v>27</v>
      </c>
      <c r="R11" s="74">
        <v>30</v>
      </c>
      <c r="S11" s="74">
        <v>16</v>
      </c>
      <c r="T11" s="74">
        <v>18</v>
      </c>
      <c r="U11" s="74">
        <v>21</v>
      </c>
      <c r="V11" s="74">
        <v>28</v>
      </c>
      <c r="W11" s="74">
        <v>32</v>
      </c>
      <c r="X11" s="74">
        <v>19</v>
      </c>
      <c r="Y11" s="74">
        <v>26</v>
      </c>
      <c r="Z11" s="74">
        <v>20</v>
      </c>
      <c r="AA11" s="74">
        <v>24</v>
      </c>
      <c r="AB11" s="74">
        <v>13</v>
      </c>
      <c r="AC11" s="74">
        <v>22</v>
      </c>
      <c r="AD11" s="74">
        <v>27</v>
      </c>
      <c r="AE11" s="74">
        <v>24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1043</v>
      </c>
      <c r="E15" s="78">
        <v>1075</v>
      </c>
      <c r="F15" s="78">
        <v>1090</v>
      </c>
      <c r="G15" s="78">
        <v>1281</v>
      </c>
      <c r="H15" s="78">
        <v>111</v>
      </c>
      <c r="I15" s="78">
        <v>1693</v>
      </c>
      <c r="J15" s="78">
        <v>598</v>
      </c>
      <c r="K15" s="78">
        <v>768</v>
      </c>
      <c r="L15" s="78">
        <v>5639</v>
      </c>
      <c r="M15" s="78">
        <v>3797</v>
      </c>
      <c r="N15" s="78">
        <v>1148</v>
      </c>
      <c r="O15" s="78">
        <v>12</v>
      </c>
      <c r="P15" s="78">
        <v>2225</v>
      </c>
      <c r="Q15" s="78">
        <v>5195</v>
      </c>
      <c r="R15" s="78">
        <v>3500</v>
      </c>
      <c r="S15" s="78">
        <v>4540</v>
      </c>
      <c r="T15" s="78">
        <v>6264</v>
      </c>
      <c r="U15" s="78">
        <v>4845</v>
      </c>
      <c r="V15" s="78">
        <v>398</v>
      </c>
      <c r="W15" s="71">
        <v>-596</v>
      </c>
      <c r="X15" s="78">
        <v>295</v>
      </c>
      <c r="Y15" s="106">
        <v>-9905</v>
      </c>
      <c r="Z15" s="78">
        <v>0</v>
      </c>
      <c r="AA15" s="78">
        <v>2505</v>
      </c>
      <c r="AB15" s="78" ph="1">
        <v>6883</v>
      </c>
      <c r="AC15" s="78" ph="1">
        <v>6528</v>
      </c>
      <c r="AD15" s="78">
        <v>84.55</v>
      </c>
      <c r="AE15" s="78">
        <v>19.690000000000001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6944.941911599999</v>
      </c>
      <c r="E16" s="73" ph="1">
        <f>E15*7.0686*LOOKUP(E17,密度!$A$2:$A$50,密度!$L$2:$L$50)</f>
        <v>7158.0177899999999</v>
      </c>
      <c r="F16" s="73" ph="1">
        <f>F15*9.0746*LOOKUP(F17,密度!$A$2:$A$50,密度!$L$2:$L$50)</f>
        <v>9317.6177879999996</v>
      </c>
      <c r="G16" s="73" ph="1">
        <f>G15*9.0746*LOOKUP(G17,密度!$A$2:$A$50,密度!$B$2:$B$50)</f>
        <v>9133.4188348200005</v>
      </c>
      <c r="H16" s="73" ph="1">
        <f>H15*9.0746*LOOKUP(H17,密度!$A$2:$A$50,密度!$L$2:$L$50)</f>
        <v>952.88744759999997</v>
      </c>
      <c r="I16" s="73" ph="1">
        <f>I15*9.0746*LOOKUP(I17,密度!$A$2:$A$50,密度!$U$2:$U$50)</f>
        <v>15793.4701384</v>
      </c>
      <c r="J16" s="73" ph="1">
        <f>J15*9.0746*LOOKUP(J17,密度!$A$2:$A$50,密度!$L$2:$L$50)</f>
        <v>5122.7205952000004</v>
      </c>
      <c r="K16" s="73" ph="1">
        <f>K15*9.0746*LOOKUP(K17,密度!$A$2:$A$50,密度!$C$2:$C$50)</f>
        <v>7763.0952499199993</v>
      </c>
      <c r="L16" s="73" ph="1">
        <f>L15*9.0746*LOOKUP(L17,密度!$A$2:$A$50,密度!$E$2:$E$50)</f>
        <v>40384.681490479998</v>
      </c>
      <c r="M16" s="73" ph="1">
        <f>M15*9.0746*LOOKUP(M17,密度!$A$2:$A$50,密度!$M$2:$M$50)</f>
        <v>30331.842332860004</v>
      </c>
      <c r="N16" s="73" ph="1">
        <f>N15*9.0746*LOOKUP(N17,密度!$A$2:$A$50,密度!$M$2:$M$50)</f>
        <v>9170.6491962400014</v>
      </c>
      <c r="O16" s="73" ph="1">
        <f>O15*9.0746*LOOKUP(O17,密度!$A$2:$A$50,密度!$G$2:$G$50)</f>
        <v>105.30165839999999</v>
      </c>
      <c r="P16" s="73" ph="1">
        <f ca="1">P15*9.0746*LOOKUP(P17,密度!$A$2:$A$51,密度!$Q$2:$Q$50)</f>
        <v>19175.176544650003</v>
      </c>
      <c r="Q16" s="73" ph="1">
        <f>Q15*9.0746*LOOKUP(Q17,密度!$A$2:$A$50,密度!$Q$2:$Q$50)</f>
        <v>44803.333817860002</v>
      </c>
      <c r="R16" s="73" ph="1">
        <f>MAX(R15*9.0746*LOOKUP(R17,密度!$A$2:$A$50,密度!$B$2:$B$50),0)</f>
        <v>24875.293520000003</v>
      </c>
      <c r="S16" s="73" ph="1">
        <f>S15*9.0746*LOOKUP(S17,密度!$A$2:$A$50,密度!$Q$2:$Q$50)</f>
        <v>39154.405299919999</v>
      </c>
      <c r="T16" s="73" ph="1">
        <f>T15*9.0746*LOOKUP(T17,密度!$A$2:$A$50,密度!$O$2:$O$50)</f>
        <v>52864.263792000005</v>
      </c>
      <c r="U16" s="73" ph="1">
        <f>U15*9.0746*LOOKUP(U17,密度!$A$2:$A$50,密度!$H$2:$H$50)</f>
        <v>40435.932108899993</v>
      </c>
      <c r="V16" s="73" ph="1">
        <f>MAX(5600*LOOKUP(V17,密度!$A$2:$A$50,密度!$Q$2:$Q$50)+V15*9.0476*LOOKUP(V17,密度!$A$2:$A$50,密度!$Q$2:$Q$50),0)</f>
        <v>8744.3939190239998</v>
      </c>
      <c r="W16" s="73" ph="1">
        <f>MAX(5600*LOOKUP(W17,密度!$A$2:$A$50,密度!$Q$2:$Q$50)+W15*9.0476*LOOKUP(W17,密度!$A$2:$A$50,密度!$Q$2:$Q$50),0)</f>
        <v>197.32777955200072</v>
      </c>
      <c r="X16" s="73" ph="1">
        <f>MAX(5600*LOOKUP(X17,密度!$A$2:$A$50,密度!$I$2:$I$50)+X15*9.0476*LOOKUP(X17,密度!$A$2:$A$50,密度!$I$2:$I$50),0)</f>
        <v>8677.5326748000007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17860.432616099999</v>
      </c>
      <c r="AB16" s="73" ph="1">
        <f>AB15*9.0746*LOOKUP(AB17,密度!$A$2:$A$50,密度!$L$2:$L$50)</f>
        <v>58775.303963799997</v>
      </c>
      <c r="AC16" s="73" ph="1">
        <f>AC15*9.0746*LOOKUP(AC17,密度!$A$2:$A$50,密度!$L$2:$L$50)</f>
        <v>55921.605427199996</v>
      </c>
      <c r="AD16" s="73" ph="1">
        <f>AD15*268.68*LOOKUP(AD17,密度!$A$2:$A$50,密度!B2:B50)+IF(AD15&lt;=0,0,1566*LOOKUP(AD17,密度!$A$2:$A$50,密度!B2:B50))</f>
        <v>18930.944162399999</v>
      </c>
      <c r="AE16" s="73" ph="1">
        <f>AE15*268.68*LOOKUP(AE17,密度!$A$2:$A$50,密度!B2:B50)+IF(AE15&lt;=0,0,1566*LOOKUP(AE17,密度!$A$2:$A$50,密度!B2:B50))</f>
        <v>5345.1786523200008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20</v>
      </c>
      <c r="E17" s="74">
        <v>20</v>
      </c>
      <c r="F17" s="74">
        <v>20</v>
      </c>
      <c r="G17" s="74">
        <v>18</v>
      </c>
      <c r="H17" s="74">
        <v>16</v>
      </c>
      <c r="I17" s="74">
        <v>17</v>
      </c>
      <c r="J17" s="74">
        <v>18</v>
      </c>
      <c r="K17" s="74">
        <v>18</v>
      </c>
      <c r="L17" s="74">
        <v>20</v>
      </c>
      <c r="M17" s="74">
        <v>20</v>
      </c>
      <c r="N17" s="74">
        <v>20</v>
      </c>
      <c r="O17" s="74">
        <v>19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20</v>
      </c>
      <c r="W17" s="74">
        <v>20</v>
      </c>
      <c r="X17" s="74">
        <v>19</v>
      </c>
      <c r="Y17" s="108">
        <v>19</v>
      </c>
      <c r="Z17" s="74">
        <v>18</v>
      </c>
      <c r="AA17" s="74">
        <v>18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440</v>
      </c>
      <c r="E18" s="71">
        <v>74</v>
      </c>
      <c r="F18" s="71">
        <v>1107</v>
      </c>
      <c r="G18" s="71">
        <v>1309</v>
      </c>
      <c r="H18" s="71">
        <v>110</v>
      </c>
      <c r="I18" s="71">
        <v>1692</v>
      </c>
      <c r="J18" s="71">
        <v>607</v>
      </c>
      <c r="K18" s="71">
        <v>767</v>
      </c>
      <c r="L18" s="71">
        <v>5644</v>
      </c>
      <c r="M18" s="71">
        <v>843</v>
      </c>
      <c r="N18" s="71">
        <v>1145</v>
      </c>
      <c r="O18" s="71">
        <v>20</v>
      </c>
      <c r="P18" s="71">
        <v>2224</v>
      </c>
      <c r="Q18" s="71">
        <v>5197</v>
      </c>
      <c r="R18" s="71">
        <v>3501</v>
      </c>
      <c r="S18" s="71">
        <v>6820</v>
      </c>
      <c r="T18" s="71">
        <v>4857</v>
      </c>
      <c r="U18" s="71">
        <v>4844</v>
      </c>
      <c r="V18" s="71">
        <v>396</v>
      </c>
      <c r="W18" s="71">
        <v>-596</v>
      </c>
      <c r="X18" s="71">
        <v>295</v>
      </c>
      <c r="Y18" s="109">
        <v>-9905</v>
      </c>
      <c r="Z18" s="71">
        <v>0</v>
      </c>
      <c r="AA18" s="71">
        <v>2505</v>
      </c>
      <c r="AB18" s="71">
        <v>6887</v>
      </c>
      <c r="AC18" s="71">
        <v>6532</v>
      </c>
      <c r="AD18" s="71">
        <v>64.92</v>
      </c>
      <c r="AE18" s="71">
        <v>50.3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2920.4627759999998</v>
      </c>
      <c r="E19" s="73" ph="1">
        <f>E18*7.0686*LOOKUP(E20,密度!$A$2:$A$50,密度!$L$2:$L$50)</f>
        <v>491.16873959999998</v>
      </c>
      <c r="F19" s="73" ph="1">
        <f>F18*9.0746*LOOKUP(F20,密度!$A$2:$A$50,密度!$L$2:$L$50)</f>
        <v>9402.6649392000018</v>
      </c>
      <c r="G19" s="73" ph="1">
        <f>G18*9.0746*LOOKUP(G20,密度!$A$2:$A$50,密度!$B$2:$B$50)</f>
        <v>9281.9782039599995</v>
      </c>
      <c r="H19" s="73" ph="1">
        <f>H18*9.0746*LOOKUP(H20,密度!$A$2:$A$50,密度!$L$2:$L$50)</f>
        <v>938.31363999999996</v>
      </c>
      <c r="I19" s="73" ph="1">
        <f>I18*9.0746*LOOKUP(I20,密度!$A$2:$A$50,密度!$U$2:$U$50)</f>
        <v>15738.07878</v>
      </c>
      <c r="J19" s="73" ph="1">
        <f>J18*9.0746*LOOKUP(J20,密度!$A$2:$A$50,密度!$L$2:$L$50)</f>
        <v>5155.7521392000008</v>
      </c>
      <c r="K19" s="73" ph="1">
        <f>K18*9.0746*LOOKUP(K20,密度!$A$2:$A$50,密度!$C$2:$C$50)</f>
        <v>7712.6177874200012</v>
      </c>
      <c r="L19" s="73" ph="1">
        <f>L18*9.0746*LOOKUP(L20,密度!$A$2:$A$50,密度!$E$2:$E$50)</f>
        <v>40236.108509439997</v>
      </c>
      <c r="M19" s="73" ph="1">
        <f>M18*9.0746*LOOKUP(M20,密度!$A$2:$A$50,密度!$M$2:$M$50)</f>
        <v>6708.9516006000003</v>
      </c>
      <c r="N19" s="73" ph="1">
        <f>N18*9.0746*LOOKUP(N20,密度!$A$2:$A$50,密度!$M$2:$M$50)</f>
        <v>9082.2634996999986</v>
      </c>
      <c r="O19" s="73" ph="1">
        <f>O18*9.0746*LOOKUP(O20,密度!$A$2:$A$50,密度!$G$2:$G$50)</f>
        <v>174.26861840000004</v>
      </c>
      <c r="P19" s="73" ph="1">
        <f ca="1">P18*9.0746*LOOKUP(P20,密度!$A$2:$A$51,密度!$Q$2:$Q$50)</f>
        <v>19121.754646688001</v>
      </c>
      <c r="Q19" s="73" ph="1">
        <f>Q18*9.0746*LOOKUP(Q20,密度!$A$2:$A$50,密度!$Q$2:$Q$50)</f>
        <v>44717.772136840002</v>
      </c>
      <c r="R19" s="73" ph="1">
        <f>MAX(R18*9.0746*LOOKUP(R20,密度!$A$2:$A$50,密度!$B$2:$B$50),0)</f>
        <v>24796.6212753</v>
      </c>
      <c r="S19" s="73" ph="1">
        <f>S18*9.0746*LOOKUP(S20,密度!$A$2:$A$50,密度!$Q$2:$Q$50)</f>
        <v>58682.93361040001</v>
      </c>
      <c r="T19" s="73" ph="1">
        <f>T18*9.0746*LOOKUP(T20,密度!$A$2:$A$50,密度!$O$2:$O$50)</f>
        <v>40990.058946000005</v>
      </c>
      <c r="U19" s="73" ph="1">
        <f>U18*9.0746*LOOKUP(U20,密度!$A$2:$A$50,密度!$H$2:$H$50)</f>
        <v>40295.714112079993</v>
      </c>
      <c r="V19" s="73" ph="1">
        <f>MAX(5600*LOOKUP(V20,密度!$A$2:$A$50,密度!$Q$2:$Q$50)+V18*9.0476*LOOKUP(V20,密度!$A$2:$A$50,密度!$Q$2:$Q$50),0)</f>
        <v>8707.1779907199998</v>
      </c>
      <c r="W19" s="73" ph="1">
        <f>MAX(5600*LOOKUP(W20,密度!$A$2:$A$50,密度!$Q$2:$Q$50)+W18*9.0476*LOOKUP(W20,密度!$A$2:$A$50,密度!$Q$2:$Q$50),0)</f>
        <v>196.87514528000065</v>
      </c>
      <c r="X19" s="73" ph="1">
        <f>MAX(5600*LOOKUP(X20,密度!$A$2:$A$50,密度!$I$2:$I$50)+X18*9.0476*LOOKUP(X20,密度!$A$2:$A$50,密度!$I$2:$I$50),0)</f>
        <v>8630.3991354000009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17803.602933599999</v>
      </c>
      <c r="AB19" s="73" ph="1">
        <f>AB18*9.0746*LOOKUP(AB20,密度!$A$2:$A$50,密度!$L$2:$L$50)</f>
        <v>58746.963987999996</v>
      </c>
      <c r="AC19" s="73" ph="1">
        <f>AC18*9.0746*LOOKUP(AC20,密度!$A$2:$A$50,密度!$L$2:$L$50)</f>
        <v>55778.045255199999</v>
      </c>
      <c r="AD19" s="73" ph="1">
        <f>AD18*268.68*LOOKUP(AD20,密度!$A$2:$A$50,密度!B5:B53)+IF(AD18&lt;=0,0,1566*LOOKUP(AD20,密度!$A$2:$A$50,密度!B5:B53))</f>
        <v>14769.7642512</v>
      </c>
      <c r="AE19" s="73" ph="1">
        <f>AE18*268.68*LOOKUP(AE20,密度!$A$2:$A$50,密度!B5:B53)+IF(AE18&lt;=0,0,1566*LOOKUP(AE20,密度!$A$2:$A$50,密度!B5:B53))</f>
        <v>11717.629308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23</v>
      </c>
      <c r="E20" s="81">
        <v>23</v>
      </c>
      <c r="F20" s="81">
        <v>26</v>
      </c>
      <c r="G20" s="81">
        <v>23</v>
      </c>
      <c r="H20" s="81">
        <v>22</v>
      </c>
      <c r="I20" s="81">
        <v>25</v>
      </c>
      <c r="J20" s="81">
        <v>26</v>
      </c>
      <c r="K20" s="81">
        <v>26</v>
      </c>
      <c r="L20" s="81">
        <v>23</v>
      </c>
      <c r="M20" s="81">
        <v>23</v>
      </c>
      <c r="N20" s="81">
        <v>26</v>
      </c>
      <c r="O20" s="81">
        <v>25</v>
      </c>
      <c r="P20" s="81">
        <v>24</v>
      </c>
      <c r="Q20" s="81">
        <v>23</v>
      </c>
      <c r="R20" s="81">
        <v>24</v>
      </c>
      <c r="S20" s="81">
        <v>23</v>
      </c>
      <c r="T20" s="81">
        <v>24</v>
      </c>
      <c r="U20" s="81">
        <v>23</v>
      </c>
      <c r="V20" s="81">
        <v>23</v>
      </c>
      <c r="W20" s="81">
        <v>23</v>
      </c>
      <c r="X20" s="81">
        <v>24</v>
      </c>
      <c r="Y20" s="110">
        <v>24</v>
      </c>
      <c r="Z20" s="81">
        <v>28</v>
      </c>
      <c r="AA20" s="81">
        <v>21</v>
      </c>
      <c r="AB20" s="81">
        <v>22</v>
      </c>
      <c r="AC20" s="81">
        <v>21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654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98.8</v>
      </c>
      <c r="E24" s="71">
        <v>95.38</v>
      </c>
      <c r="F24" s="71">
        <v>4028</v>
      </c>
      <c r="G24" s="71">
        <v>2125</v>
      </c>
      <c r="H24" s="71">
        <v>1455</v>
      </c>
      <c r="I24" s="71">
        <v>5530</v>
      </c>
      <c r="J24" s="71">
        <v>933</v>
      </c>
      <c r="K24" s="71">
        <v>5629</v>
      </c>
      <c r="L24" s="71">
        <v>5602</v>
      </c>
      <c r="M24" s="71">
        <v>4552</v>
      </c>
      <c r="N24" s="71">
        <v>5372</v>
      </c>
      <c r="O24" s="71">
        <v>3519</v>
      </c>
      <c r="P24" s="71">
        <v>833</v>
      </c>
      <c r="Q24" s="90">
        <v>668</v>
      </c>
      <c r="R24" s="71">
        <v>5723</v>
      </c>
      <c r="S24" s="71">
        <v>3665</v>
      </c>
      <c r="T24" s="71">
        <v>907</v>
      </c>
      <c r="U24" s="71">
        <v>3798</v>
      </c>
      <c r="V24" s="71">
        <v>9635</v>
      </c>
      <c r="W24" s="71">
        <v>10877</v>
      </c>
      <c r="X24" s="71">
        <v>6112</v>
      </c>
      <c r="Y24" s="71">
        <v>3319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26614.36103616</v>
      </c>
      <c r="E25" s="91" ph="1">
        <f>E24*268.68*LOOKUP(E26,密度!$A$2:$A$50,密度!$C$2:$C$50)+IF(E24&lt;=0,0,1566*LOOKUP(E26,密度!$A$2:$A$50,密度!$C$2:$C$50))</f>
        <v>30153.983255760002</v>
      </c>
      <c r="F25" s="91" ph="1">
        <f>F24*11.702*LOOKUP(F26,密度!$A$2:$A$50,密度!$Q$2:$Q$50)</f>
        <v>44764.261146640005</v>
      </c>
      <c r="G25" s="91" ph="1">
        <f>G24*18.322*LOOKUP(G26,密度!$A$2:$A$50,密度!$B$2:$B$50)</f>
        <v>30458.263774999999</v>
      </c>
      <c r="H25" s="91" ph="1">
        <f>H24*18.322*LOOKUP(H26,密度!$A$2:$A$50,密度!$B$2:$B$50)</f>
        <v>20878.945032</v>
      </c>
      <c r="I25" s="91" ph="1">
        <f>I24*18.322*LOOKUP(I26,密度!$A$2:$A$50,密度!$Q$2:$Q$50)</f>
        <v>96223.217595399998</v>
      </c>
      <c r="J25" s="91" ph="1">
        <f>J24*18.322*LOOKUP(J26,密度!$A$2:$A$50,密度!$Q$2:$Q$50)</f>
        <v>16224.148772339999</v>
      </c>
      <c r="K25" s="91" ph="1">
        <f>K24*18.322*LOOKUP(K26,密度!$A$2:$A$50,密度!$Q$2:$Q$50)</f>
        <v>97883.958670420005</v>
      </c>
      <c r="L25" s="91" ph="1">
        <f>L24*18.322*LOOKUP(L26,密度!$A$2:$A$50,密度!$Q$2:$Q$50)</f>
        <v>97476.033448360002</v>
      </c>
      <c r="M25" s="91" ph="1">
        <f>M24*18.322*LOOKUP(M26,密度!$A$2:$A$50,密度!$Q$2:$Q$50)</f>
        <v>79205.802259359989</v>
      </c>
      <c r="N25" s="91" ph="1">
        <f>N24*18.322*LOOKUP(N26,密度!$A$2:$A$50,密度!$Q$2:$Q$50)</f>
        <v>93473.982806960004</v>
      </c>
      <c r="O25" s="91" ph="1">
        <f>O24*18.322*LOOKUP(O26,密度!$A$2:$A$50,密度!$C$2:$C$50)</f>
        <v>71735.01628679999</v>
      </c>
      <c r="P25" s="91" ph="1">
        <f>P24*11.702*LOOKUP(P26,密度!$A$2:$A$50,密度!$B$2:$B$50)</f>
        <v>7643.2233206000001</v>
      </c>
      <c r="Q25" s="92" ph="1">
        <f>Q24*18.322*LOOKUP(Q26,密度!$A$2:$A$50,密度!$B$2:$B$50)</f>
        <v>9585.6599872000006</v>
      </c>
      <c r="R25" s="91" ph="1">
        <f>R24*35.891*LOOKUP(R26,密度!$A$2:$A$50,密度!$C$2:$C$50)</f>
        <v>228532.7051318</v>
      </c>
      <c r="S25" s="91" ph="1">
        <f>S24*35.891*LOOKUP(S26,密度!$A$2:$A$50,密度!$B$2:$B$50)</f>
        <v>103022.53134799999</v>
      </c>
      <c r="T25" s="91" ph="1">
        <f>T24*35.891*LOOKUP(T26,密度!$A$2:$A$50,密度!$Q$2:$Q$50)</f>
        <v>30915.388677530002</v>
      </c>
      <c r="U25" s="91" ph="1">
        <f>U24*35.891</f>
        <v>136314.01799999998</v>
      </c>
      <c r="V25" s="91" ph="1">
        <f>V24*47.051*LOOKUP(V26,密度!$A$2:$A$50,密度!$B$2:$B$50)</f>
        <v>355461.05947850004</v>
      </c>
      <c r="W25" s="91" ph="1">
        <f>W24*47.051*LOOKUP(W26,密度!$A$2:$A$50,密度!$B$2:$B$50)</f>
        <v>400821.18298640003</v>
      </c>
      <c r="X25" s="91" ph="1">
        <f>X24*47.051*LOOKUP(X26,密度!$A$2:$A$50,密度!$I$2:$I$50)</f>
        <v>296841.40144063998</v>
      </c>
      <c r="Y25" s="91" ph="1">
        <f>Y24*47.051*LOOKUP(Y26,密度!$A$2:$A$50,密度!$L$2:$L$50)</f>
        <v>147104.85739799999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21</v>
      </c>
      <c r="G26" s="74">
        <v>22</v>
      </c>
      <c r="H26" s="74">
        <v>21</v>
      </c>
      <c r="I26" s="74">
        <v>21</v>
      </c>
      <c r="J26" s="74">
        <v>22</v>
      </c>
      <c r="K26" s="74">
        <v>22</v>
      </c>
      <c r="L26" s="74">
        <v>21</v>
      </c>
      <c r="M26" s="74">
        <v>21</v>
      </c>
      <c r="N26" s="74">
        <v>21</v>
      </c>
      <c r="O26" s="74">
        <v>20</v>
      </c>
      <c r="P26" s="74">
        <v>20</v>
      </c>
      <c r="Q26" s="93">
        <v>21</v>
      </c>
      <c r="R26" s="74">
        <v>20</v>
      </c>
      <c r="S26" s="74">
        <v>21</v>
      </c>
      <c r="T26" s="74">
        <v>21</v>
      </c>
      <c r="U26" s="74">
        <v>20</v>
      </c>
      <c r="V26" s="74">
        <v>20</v>
      </c>
      <c r="W26" s="74">
        <v>21</v>
      </c>
      <c r="X26" s="74">
        <v>46</v>
      </c>
      <c r="Y26" s="74">
        <v>20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98.85</v>
      </c>
      <c r="E27" s="71">
        <v>3.2</v>
      </c>
      <c r="F27" s="71">
        <v>4028</v>
      </c>
      <c r="G27" s="71">
        <v>1957</v>
      </c>
      <c r="H27" s="71">
        <v>1412</v>
      </c>
      <c r="I27" s="71">
        <v>5530</v>
      </c>
      <c r="J27" s="71">
        <v>1058</v>
      </c>
      <c r="K27" s="71">
        <v>5629</v>
      </c>
      <c r="L27" s="71">
        <v>5597</v>
      </c>
      <c r="M27" s="71">
        <v>3887</v>
      </c>
      <c r="N27" s="71">
        <v>5369</v>
      </c>
      <c r="O27" s="71">
        <v>3514</v>
      </c>
      <c r="P27" s="71">
        <v>829</v>
      </c>
      <c r="Q27" s="90">
        <v>1146</v>
      </c>
      <c r="R27" s="71">
        <v>6403</v>
      </c>
      <c r="S27" s="71">
        <v>4281</v>
      </c>
      <c r="T27" s="71">
        <v>904</v>
      </c>
      <c r="U27" s="71">
        <v>3739</v>
      </c>
      <c r="V27" s="71">
        <v>9635</v>
      </c>
      <c r="W27" s="71">
        <v>10875</v>
      </c>
      <c r="X27" s="71">
        <v>6708</v>
      </c>
      <c r="Y27" s="71">
        <v>3922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26627.079541320003</v>
      </c>
      <c r="E28" s="91" ph="1">
        <f>E27*268.68*LOOKUP(E29,密度!$A$2:$A$50,密度!$C$2:$C$50)+IF(E27&lt;=0,0,1566*LOOKUP(E29,密度!$A$2:$A$50,密度!$C$2:$C$50))</f>
        <v>2689.9430063999998</v>
      </c>
      <c r="F28" s="91" ph="1">
        <f>F27*11.702*LOOKUP(F29,密度!$A$2:$A$50,密度!$Q$2:$Q$50)</f>
        <v>44694.029019200003</v>
      </c>
      <c r="G28" s="91" ph="1">
        <f>G27*18.322*LOOKUP(G29,密度!$A$2:$A$50,密度!$B$2:$B$50)</f>
        <v>28017.998735599995</v>
      </c>
      <c r="H28" s="91" ph="1">
        <f>H27*18.322*LOOKUP(H29,密度!$A$2:$A$50,密度!$B$2:$B$50)</f>
        <v>20192.053251999998</v>
      </c>
      <c r="I28" s="91" ph="1">
        <f>I27*18.322*LOOKUP(I29,密度!$A$2:$A$50,密度!$Q$2:$Q$50)</f>
        <v>96072.249811999995</v>
      </c>
      <c r="J28" s="91" ph="1">
        <f>J27*18.322*LOOKUP(J29,密度!$A$2:$A$50,密度!$Q$2:$Q$50)</f>
        <v>18366.398969720001</v>
      </c>
      <c r="K28" s="91" ph="1">
        <f>K27*18.322*LOOKUP(K29,密度!$A$2:$A$50,密度!$Q$2:$Q$50)</f>
        <v>97716.880718860004</v>
      </c>
      <c r="L28" s="91" ph="1">
        <f>L27*18.322*LOOKUP(L29,密度!$A$2:$A$50,密度!$Q$2:$Q$50)</f>
        <v>97161.375267979995</v>
      </c>
      <c r="M28" s="91" ph="1">
        <f>M27*18.322*LOOKUP(M29,密度!$A$2:$A$50,密度!$Q$2:$Q$50)</f>
        <v>67528.541594800001</v>
      </c>
      <c r="N28" s="91" ph="1">
        <f>N27*18.322*LOOKUP(N29,密度!$A$2:$A$50,密度!$Q$2:$Q$50)</f>
        <v>93203.398930459996</v>
      </c>
      <c r="O28" s="91" ph="1">
        <f>O27*18.322*LOOKUP(O29,密度!$A$2:$A$50,密度!$C$2:$C$50)</f>
        <v>71491.447283200003</v>
      </c>
      <c r="P28" s="91" ph="1">
        <f>P27*11.702*LOOKUP(P29,密度!$A$2:$A$50,密度!$B$2:$B$50)</f>
        <v>7589.0594434000004</v>
      </c>
      <c r="Q28" s="92" ph="1">
        <f>Q27*18.322*LOOKUP(Q29,密度!$A$2:$A$50,密度!$B$2:$B$50)</f>
        <v>16425.962487599998</v>
      </c>
      <c r="R28" s="91" ph="1">
        <f>R27*35.891*LOOKUP(R29,密度!$A$2:$A$50,密度!$C$2:$C$50)</f>
        <v>255181.1050592</v>
      </c>
      <c r="S28" s="91" ph="1">
        <f>S27*35.891*LOOKUP(S29,密度!$A$2:$A$50,密度!$B$2:$B$50)</f>
        <v>120061.61849939999</v>
      </c>
      <c r="T28" s="91" ph="1">
        <f>T27*35.891*LOOKUP(T29,密度!$A$2:$A$50,密度!$Q$2:$Q$50)</f>
        <v>30764.788964800002</v>
      </c>
      <c r="U28" s="91" ph="1">
        <f>U27*35.891</f>
        <v>134196.44899999999</v>
      </c>
      <c r="V28" s="91" ph="1">
        <f>V27*47.051*LOOKUP(V29,密度!$A$2:$A$50,密度!$B$2:$B$50)</f>
        <v>354645.05398550001</v>
      </c>
      <c r="W28" s="91" ph="1">
        <f>W27*47.051*LOOKUP(W29,密度!$A$2:$A$50,密度!$B$2:$B$50)</f>
        <v>400286.9706375</v>
      </c>
      <c r="X28" s="91" ph="1">
        <f>X27*47.051*LOOKUP(X29,密度!$A$2:$A$50,密度!$I$2:$I$50)</f>
        <v>324360.72959160001</v>
      </c>
      <c r="Y28" s="91" ph="1">
        <f>Y27*47.051*LOOKUP(Y29,密度!$A$2:$A$50,密度!$L$2:$L$50)</f>
        <v>173277.446658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23</v>
      </c>
      <c r="G29" s="74">
        <v>23</v>
      </c>
      <c r="H29" s="74">
        <v>24</v>
      </c>
      <c r="I29" s="74">
        <v>23</v>
      </c>
      <c r="J29" s="74">
        <v>24</v>
      </c>
      <c r="K29" s="74">
        <v>24</v>
      </c>
      <c r="L29" s="74">
        <v>24</v>
      </c>
      <c r="M29" s="74">
        <v>23</v>
      </c>
      <c r="N29" s="74">
        <v>24</v>
      </c>
      <c r="O29" s="74">
        <v>23</v>
      </c>
      <c r="P29" s="74">
        <v>22</v>
      </c>
      <c r="Q29" s="93">
        <v>22</v>
      </c>
      <c r="R29" s="74">
        <v>23</v>
      </c>
      <c r="S29" s="74">
        <v>23</v>
      </c>
      <c r="T29" s="74">
        <v>23</v>
      </c>
      <c r="U29" s="74">
        <v>22</v>
      </c>
      <c r="V29" s="74">
        <v>22</v>
      </c>
      <c r="W29" s="74">
        <v>22</v>
      </c>
      <c r="X29" s="74">
        <v>42</v>
      </c>
      <c r="Y29" s="74">
        <v>23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85763.617027200002</v>
      </c>
      <c r="E33" s="201" ph="1">
        <f>M10+I10</f>
        <v>123869.93844920001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27" ph="1">
        <v>0</v>
      </c>
      <c r="H33" s="201" ph="1">
        <f>N19</f>
        <v>9082.2634996999986</v>
      </c>
      <c r="I33" s="205" ph="1">
        <v>0</v>
      </c>
      <c r="J33" s="209" ph="1">
        <f>F10+O28</f>
        <v>198125.00917720003</v>
      </c>
      <c r="K33" s="201" ph="1">
        <f>O10+K10+E28+R28</f>
        <v>345829.30867519998</v>
      </c>
      <c r="L33" s="211" ph="1">
        <f>BE27</f>
        <v>7100</v>
      </c>
      <c r="M33" s="209" ph="1">
        <f>G10+H10+W28+S28</f>
        <v>1143208.0496059002</v>
      </c>
      <c r="N33" s="201" ph="1">
        <f>L10+P10++G28+H28+V28</f>
        <v>452448.06344310002</v>
      </c>
      <c r="O33" s="205" ph="1">
        <f>BE17</f>
        <v>2270</v>
      </c>
      <c r="P33" s="209" ph="1">
        <f>L19</f>
        <v>40236.108509439997</v>
      </c>
      <c r="Q33" s="201" ph="1">
        <f>J10+N10</f>
        <v>97000.487934000004</v>
      </c>
      <c r="R33" s="205" ph="1">
        <f>BE23</f>
        <v>890</v>
      </c>
      <c r="S33" s="209" ph="1">
        <f>E10+X28</f>
        <v>355338.3188836</v>
      </c>
      <c r="T33" s="201" ph="1">
        <f>X19</f>
        <v>8630.3991354000009</v>
      </c>
      <c r="U33" s="190" ph="1">
        <f>BE21</f>
        <v>730</v>
      </c>
      <c r="V33" s="203" ph="1">
        <f ca="1">P19+Q19+S19+M28+N28+J28</f>
        <v>301620.79988890799</v>
      </c>
      <c r="W33" s="203" ph="1">
        <f>D28+F28+V19+T28</f>
        <v>110793.07551604</v>
      </c>
      <c r="X33" s="205" ph="1">
        <f>BE29+BE31</f>
        <v>10200</v>
      </c>
      <c r="Y33" s="207" ph="1">
        <f>+Q10+R10+S10+T10+U10+V10+W10+X10+Y10</f>
        <v>114282.89819099999</v>
      </c>
      <c r="Z33" s="188" ph="1">
        <f>D10+T19+U19+Y28+Z10</f>
        <v>323021.95273094001</v>
      </c>
      <c r="AA33" s="190" ph="1">
        <f>BE19</f>
        <v>1440</v>
      </c>
      <c r="AB33" s="192" ph="1">
        <f>I19</f>
        <v>15738.07878</v>
      </c>
      <c r="AC33" s="194" ph="1">
        <f>AD10</f>
        <v>13536.802137600002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11" priority="96">
      <formula>ABS(D$7-D$10)&gt;=1000</formula>
    </cfRule>
  </conditionalFormatting>
  <conditionalFormatting sqref="E4 E6:E11">
    <cfRule type="expression" dxfId="1510" priority="95">
      <formula>ABS(E$7-E$10)&gt;=1000</formula>
    </cfRule>
  </conditionalFormatting>
  <conditionalFormatting sqref="F4:F11">
    <cfRule type="expression" dxfId="1509" priority="94">
      <formula>ABS(F$7-F$10)&gt;=1000</formula>
    </cfRule>
  </conditionalFormatting>
  <conditionalFormatting sqref="G4:G11">
    <cfRule type="expression" dxfId="1508" priority="93">
      <formula>ABS(G$7-G$10)&gt;=1000</formula>
    </cfRule>
  </conditionalFormatting>
  <conditionalFormatting sqref="H4:H11">
    <cfRule type="expression" dxfId="1507" priority="92">
      <formula>ABS(H$7-H$10)&gt;=1000</formula>
    </cfRule>
  </conditionalFormatting>
  <conditionalFormatting sqref="I4:I11">
    <cfRule type="expression" dxfId="1506" priority="91">
      <formula>ABS(I$7-I$10)&gt;=1000</formula>
    </cfRule>
  </conditionalFormatting>
  <conditionalFormatting sqref="J4:J11">
    <cfRule type="expression" dxfId="1505" priority="90">
      <formula>ABS(J$7-J$10)&gt;=1000</formula>
    </cfRule>
  </conditionalFormatting>
  <conditionalFormatting sqref="K4:K11">
    <cfRule type="expression" dxfId="1504" priority="89">
      <formula>ABS(K$7-K$10)&gt;=1000</formula>
    </cfRule>
  </conditionalFormatting>
  <conditionalFormatting sqref="L4:L11">
    <cfRule type="expression" dxfId="1503" priority="88">
      <formula>ABS(L$7-L$10)&gt;=1000</formula>
    </cfRule>
  </conditionalFormatting>
  <conditionalFormatting sqref="M4 M6:M11">
    <cfRule type="expression" dxfId="1502" priority="87">
      <formula>ABS(M$7-M$10)&gt;=1000</formula>
    </cfRule>
  </conditionalFormatting>
  <conditionalFormatting sqref="N4 N6:N11">
    <cfRule type="expression" dxfId="1501" priority="86">
      <formula>ABS(N$7-N$10)&gt;=1000</formula>
    </cfRule>
  </conditionalFormatting>
  <conditionalFormatting sqref="O4 O6:O11">
    <cfRule type="expression" dxfId="1500" priority="85">
      <formula>ABS(O$7-O$10)&gt;=1000</formula>
    </cfRule>
  </conditionalFormatting>
  <conditionalFormatting sqref="P4 P6:P11">
    <cfRule type="expression" dxfId="1499" priority="84">
      <formula>ABS(P$7-P$10)&gt;=1000</formula>
    </cfRule>
  </conditionalFormatting>
  <conditionalFormatting sqref="Q4:Q11">
    <cfRule type="expression" dxfId="1498" priority="83">
      <formula>ABS(Q$7-Q$10)&gt;=1000</formula>
    </cfRule>
  </conditionalFormatting>
  <conditionalFormatting sqref="R4:R11">
    <cfRule type="expression" dxfId="1497" priority="82">
      <formula>ABS(R$7-R$10)&gt;=1000</formula>
    </cfRule>
  </conditionalFormatting>
  <conditionalFormatting sqref="S4:S11">
    <cfRule type="expression" dxfId="1496" priority="81">
      <formula>ABS(S$7-S$10)&gt;=1000</formula>
    </cfRule>
  </conditionalFormatting>
  <conditionalFormatting sqref="T4:T9 T11">
    <cfRule type="expression" dxfId="1495" priority="80">
      <formula>ABS(T$7-T$10)&gt;=1000</formula>
    </cfRule>
  </conditionalFormatting>
  <conditionalFormatting sqref="U4:U9 U11">
    <cfRule type="expression" dxfId="1494" priority="79">
      <formula>ABS(U$7-U$10)&gt;=1000</formula>
    </cfRule>
  </conditionalFormatting>
  <conditionalFormatting sqref="V4:V9 V11">
    <cfRule type="expression" dxfId="1493" priority="78">
      <formula>ABS(V$7-V$10)&gt;=1000</formula>
    </cfRule>
  </conditionalFormatting>
  <conditionalFormatting sqref="W4:W9 W11">
    <cfRule type="expression" dxfId="1492" priority="77">
      <formula>ABS(W$7-W$10)&gt;=1000</formula>
    </cfRule>
  </conditionalFormatting>
  <conditionalFormatting sqref="X4:X9 X11">
    <cfRule type="expression" dxfId="1491" priority="76">
      <formula>ABS(X$7-X$10)&gt;=1000</formula>
    </cfRule>
  </conditionalFormatting>
  <conditionalFormatting sqref="Y4:Y9 Y11">
    <cfRule type="expression" dxfId="1490" priority="75">
      <formula>ABS(Y$7-Y$10)&gt;=1000</formula>
    </cfRule>
  </conditionalFormatting>
  <conditionalFormatting sqref="Z4:Z11">
    <cfRule type="expression" dxfId="1489" priority="74">
      <formula>ABS(Z$7-Z$10)&gt;=1000</formula>
    </cfRule>
  </conditionalFormatting>
  <conditionalFormatting sqref="AA4:AA11">
    <cfRule type="expression" dxfId="1488" priority="73">
      <formula>ABS(AA$7-AA$10)&gt;=1000</formula>
    </cfRule>
  </conditionalFormatting>
  <conditionalFormatting sqref="AB4:AB11">
    <cfRule type="expression" dxfId="1487" priority="72">
      <formula>ABS(AB$7-AB$10)&gt;=1000</formula>
    </cfRule>
  </conditionalFormatting>
  <conditionalFormatting sqref="AC4 AC6:AC11">
    <cfRule type="expression" dxfId="1486" priority="71">
      <formula>ABS(AC$7-AC$10)&gt;=1000</formula>
    </cfRule>
  </conditionalFormatting>
  <conditionalFormatting sqref="AD4:AD11">
    <cfRule type="expression" dxfId="1485" priority="70">
      <formula>ABS(AD$7-AD$10)&gt;=1000</formula>
    </cfRule>
  </conditionalFormatting>
  <conditionalFormatting sqref="AE4:AE11">
    <cfRule type="expression" dxfId="1484" priority="69">
      <formula>ABS(AE$7-AE$10)&gt;=1000</formula>
    </cfRule>
  </conditionalFormatting>
  <conditionalFormatting sqref="D13:D20">
    <cfRule type="expression" dxfId="1483" priority="68">
      <formula>ABS(D$16-D$19)&gt;=1000</formula>
    </cfRule>
  </conditionalFormatting>
  <conditionalFormatting sqref="E13:E20">
    <cfRule type="expression" dxfId="1482" priority="67">
      <formula>ABS(E$16-E$19)&gt;=1000</formula>
    </cfRule>
  </conditionalFormatting>
  <conditionalFormatting sqref="F13 F15:F20">
    <cfRule type="expression" dxfId="1481" priority="66">
      <formula>ABS(F$16-F$19)&gt;=1000</formula>
    </cfRule>
  </conditionalFormatting>
  <conditionalFormatting sqref="G13:G20">
    <cfRule type="expression" dxfId="1480" priority="65">
      <formula>ABS(G$16-G$19)&gt;=1000</formula>
    </cfRule>
  </conditionalFormatting>
  <conditionalFormatting sqref="H13:H20">
    <cfRule type="expression" dxfId="1479" priority="64">
      <formula>ABS(H$16-H$19)&gt;=1000</formula>
    </cfRule>
  </conditionalFormatting>
  <conditionalFormatting sqref="I13:I20">
    <cfRule type="expression" dxfId="1478" priority="63">
      <formula>ABS(I$16-I$19)&gt;=1000</formula>
    </cfRule>
  </conditionalFormatting>
  <conditionalFormatting sqref="J13:J20">
    <cfRule type="expression" dxfId="1477" priority="62">
      <formula>ABS(J$16-J$19)&gt;=1000</formula>
    </cfRule>
  </conditionalFormatting>
  <conditionalFormatting sqref="L13:L20">
    <cfRule type="expression" dxfId="1476" priority="61">
      <formula>ABS(L$16-L$19)&gt;=1000</formula>
    </cfRule>
  </conditionalFormatting>
  <conditionalFormatting sqref="M13 M15 M17:M18 M20">
    <cfRule type="expression" dxfId="1475" priority="60">
      <formula>ABS(M$16-M$19)&gt;=1000</formula>
    </cfRule>
  </conditionalFormatting>
  <conditionalFormatting sqref="N13:N20">
    <cfRule type="expression" dxfId="1474" priority="59">
      <formula>ABS(N$16-N$19)&gt;=1000</formula>
    </cfRule>
  </conditionalFormatting>
  <conditionalFormatting sqref="O13:O20">
    <cfRule type="expression" dxfId="1473" priority="58">
      <formula>ABS(O$16-O$19)&gt;=1000</formula>
    </cfRule>
  </conditionalFormatting>
  <conditionalFormatting sqref="P13:P20">
    <cfRule type="expression" dxfId="1472" priority="57">
      <formula>ABS(P$16-P$19)&gt;=1000</formula>
    </cfRule>
  </conditionalFormatting>
  <conditionalFormatting sqref="Q13 Q15:Q20">
    <cfRule type="expression" dxfId="1471" priority="56">
      <formula>ABS(Q$16-Q$19)&gt;=1000</formula>
    </cfRule>
  </conditionalFormatting>
  <conditionalFormatting sqref="R13:R20">
    <cfRule type="expression" dxfId="1470" priority="55">
      <formula>ABS(R$16-R$19)&gt;=1000</formula>
    </cfRule>
  </conditionalFormatting>
  <conditionalFormatting sqref="S13:S20">
    <cfRule type="expression" dxfId="1469" priority="54">
      <formula>ABS(S$16-S$19)&gt;=1000</formula>
    </cfRule>
  </conditionalFormatting>
  <conditionalFormatting sqref="T13:T20">
    <cfRule type="expression" dxfId="1468" priority="53">
      <formula>ABS(T$16-T$19)&gt;=1000</formula>
    </cfRule>
  </conditionalFormatting>
  <conditionalFormatting sqref="U13:U20">
    <cfRule type="expression" dxfId="1467" priority="52">
      <formula>ABS(U$16-U$19)&gt;=1000</formula>
    </cfRule>
  </conditionalFormatting>
  <conditionalFormatting sqref="V13:V20">
    <cfRule type="expression" dxfId="1466" priority="51">
      <formula>ABS(V$16-V$19)&gt;=1000</formula>
    </cfRule>
  </conditionalFormatting>
  <conditionalFormatting sqref="W13 W20 W15:W18">
    <cfRule type="expression" dxfId="1465" priority="50">
      <formula>ABS(W$16-W$19)&gt;=1000</formula>
    </cfRule>
  </conditionalFormatting>
  <conditionalFormatting sqref="X13 X15:X20 Y19">
    <cfRule type="expression" dxfId="1464" priority="49">
      <formula>ABS(X$16-X$19)&gt;=1000</formula>
    </cfRule>
  </conditionalFormatting>
  <conditionalFormatting sqref="Y13 Y15:Y18 Y20">
    <cfRule type="expression" dxfId="1463" priority="48">
      <formula>ABS(Y$16-Y$19)&gt;=1000</formula>
    </cfRule>
  </conditionalFormatting>
  <conditionalFormatting sqref="Z13:Z20">
    <cfRule type="expression" dxfId="1462" priority="47">
      <formula>ABS(Z$16-Z$19)&gt;=1000</formula>
    </cfRule>
  </conditionalFormatting>
  <conditionalFormatting sqref="AA13:AA20">
    <cfRule type="expression" dxfId="1461" priority="46">
      <formula>ABS(AA$16-AA$19)&gt;=1000</formula>
    </cfRule>
  </conditionalFormatting>
  <conditionalFormatting sqref="AB13 AB15:AB20">
    <cfRule type="expression" dxfId="1460" priority="45">
      <formula>ABS(AB$16-AB$19)&gt;=1000</formula>
    </cfRule>
  </conditionalFormatting>
  <conditionalFormatting sqref="AC13 AC15:AC20">
    <cfRule type="expression" dxfId="1459" priority="44">
      <formula>ABS(AC$16-AC$19)&gt;=1000</formula>
    </cfRule>
  </conditionalFormatting>
  <conditionalFormatting sqref="AD13:AD20">
    <cfRule type="expression" dxfId="1458" priority="43">
      <formula>ABS(AD$16-AD$19)&gt;=1000</formula>
    </cfRule>
  </conditionalFormatting>
  <conditionalFormatting sqref="AE13:AE20">
    <cfRule type="expression" dxfId="1457" priority="42">
      <formula>ABS(AE$16-AE$19)&gt;=1000</formula>
    </cfRule>
  </conditionalFormatting>
  <conditionalFormatting sqref="D22:D29">
    <cfRule type="expression" dxfId="1456" priority="41">
      <formula>ABS(D$25-D$28)&gt;=1000</formula>
    </cfRule>
  </conditionalFormatting>
  <conditionalFormatting sqref="E22:E29">
    <cfRule type="expression" dxfId="1455" priority="40">
      <formula>ABS(E$25-E$28)&gt;=1000</formula>
    </cfRule>
  </conditionalFormatting>
  <conditionalFormatting sqref="F22:F29">
    <cfRule type="expression" dxfId="1454" priority="39">
      <formula>ABS(F$25-F$28)&gt;=1000</formula>
    </cfRule>
  </conditionalFormatting>
  <conditionalFormatting sqref="G22:G29">
    <cfRule type="expression" dxfId="1453" priority="38">
      <formula>ABS(G$25-G$28)&gt;=1000</formula>
    </cfRule>
  </conditionalFormatting>
  <conditionalFormatting sqref="H22:H29">
    <cfRule type="expression" dxfId="1452" priority="37">
      <formula>ABS(H$25-H$28)&gt;=1000</formula>
    </cfRule>
  </conditionalFormatting>
  <conditionalFormatting sqref="I22 I24:I29">
    <cfRule type="expression" dxfId="1451" priority="36">
      <formula>ABS(I$25-I$28)&gt;=1000</formula>
    </cfRule>
  </conditionalFormatting>
  <conditionalFormatting sqref="J22:J29 K22">
    <cfRule type="expression" dxfId="1450" priority="35">
      <formula>ABS(J$25-J$28)&gt;=1000</formula>
    </cfRule>
  </conditionalFormatting>
  <conditionalFormatting sqref="K23:K29 L25 L28">
    <cfRule type="expression" dxfId="1449" priority="34">
      <formula>ABS(K$25-K$28)&gt;=1000</formula>
    </cfRule>
  </conditionalFormatting>
  <conditionalFormatting sqref="L22:L24 L26:L27 L29">
    <cfRule type="expression" dxfId="1448" priority="33">
      <formula>ABS(L$25-L$28)&gt;=1000</formula>
    </cfRule>
  </conditionalFormatting>
  <conditionalFormatting sqref="M22:M29">
    <cfRule type="expression" dxfId="1447" priority="32">
      <formula>ABS(M$25-M$28)&gt;=1000</formula>
    </cfRule>
  </conditionalFormatting>
  <conditionalFormatting sqref="N22:N29">
    <cfRule type="expression" dxfId="1446" priority="31">
      <formula>ABS(N$25-N$28)&gt;=1000</formula>
    </cfRule>
  </conditionalFormatting>
  <conditionalFormatting sqref="O22:O29">
    <cfRule type="expression" dxfId="1445" priority="30">
      <formula>ABS(O$25-O$28)&gt;=1000</formula>
    </cfRule>
  </conditionalFormatting>
  <conditionalFormatting sqref="P22:P29">
    <cfRule type="expression" dxfId="1444" priority="29">
      <formula>ABS(P$25-P$28)&gt;=1000</formula>
    </cfRule>
  </conditionalFormatting>
  <conditionalFormatting sqref="Q22:Q29">
    <cfRule type="expression" dxfId="1443" priority="28">
      <formula>ABS(Q$25-Q$28)&gt;=1000</formula>
    </cfRule>
  </conditionalFormatting>
  <conditionalFormatting sqref="R22:R29">
    <cfRule type="expression" dxfId="1442" priority="27">
      <formula>ABS(R$25-R$28)&gt;=1000</formula>
    </cfRule>
  </conditionalFormatting>
  <conditionalFormatting sqref="S22:S29">
    <cfRule type="expression" dxfId="1441" priority="26">
      <formula>ABS(S$25-S$28)&gt;=1000</formula>
    </cfRule>
  </conditionalFormatting>
  <conditionalFormatting sqref="T22:T29">
    <cfRule type="expression" dxfId="1440" priority="25">
      <formula>ABS(T$25-T$28)&gt;=1000</formula>
    </cfRule>
  </conditionalFormatting>
  <conditionalFormatting sqref="U22:U29">
    <cfRule type="expression" dxfId="1439" priority="24">
      <formula>ABS(U$25-U$28)&gt;=1000</formula>
    </cfRule>
  </conditionalFormatting>
  <conditionalFormatting sqref="V22:V29">
    <cfRule type="expression" dxfId="1438" priority="23">
      <formula>ABS(V$25-V$28)&gt;=1000</formula>
    </cfRule>
  </conditionalFormatting>
  <conditionalFormatting sqref="W22:W29">
    <cfRule type="expression" dxfId="1437" priority="22">
      <formula>ABS(W$25-W$28)&gt;=1000</formula>
    </cfRule>
  </conditionalFormatting>
  <conditionalFormatting sqref="X22:X29">
    <cfRule type="expression" dxfId="1436" priority="21">
      <formula>ABS(X$25-X$28)&gt;=1000</formula>
    </cfRule>
  </conditionalFormatting>
  <conditionalFormatting sqref="Y22:Y29">
    <cfRule type="expression" dxfId="1435" priority="20">
      <formula>ABS(Y$25-Y$28)&gt;=1000</formula>
    </cfRule>
  </conditionalFormatting>
  <conditionalFormatting sqref="I23">
    <cfRule type="expression" dxfId="1434" priority="19">
      <formula>ABS(I$25-I$28)&gt;=1000</formula>
    </cfRule>
  </conditionalFormatting>
  <conditionalFormatting sqref="F14">
    <cfRule type="expression" dxfId="1433" priority="18">
      <formula>ABS(F$16-F$19)&gt;=1000</formula>
    </cfRule>
  </conditionalFormatting>
  <conditionalFormatting sqref="Q14">
    <cfRule type="expression" dxfId="1432" priority="17">
      <formula>ABS(Q$16-Q$19)&gt;=1000</formula>
    </cfRule>
  </conditionalFormatting>
  <conditionalFormatting sqref="W14">
    <cfRule type="expression" dxfId="1431" priority="16">
      <formula>ABS(W$16-W$19)&gt;=1000</formula>
    </cfRule>
  </conditionalFormatting>
  <conditionalFormatting sqref="Y14">
    <cfRule type="expression" dxfId="1430" priority="15">
      <formula>ABS(Y$16-Y$19)&gt;=1000</formula>
    </cfRule>
  </conditionalFormatting>
  <conditionalFormatting sqref="X14">
    <cfRule type="expression" dxfId="1429" priority="14">
      <formula>ABS(X$16-X$19)&gt;=1000</formula>
    </cfRule>
  </conditionalFormatting>
  <conditionalFormatting sqref="T10:Y10">
    <cfRule type="expression" dxfId="1428" priority="13">
      <formula>ABS(T$7-T$10)&gt;=1000</formula>
    </cfRule>
  </conditionalFormatting>
  <conditionalFormatting sqref="W19">
    <cfRule type="expression" dxfId="1427" priority="12">
      <formula>ABS(W$16-W$19)&gt;=1000</formula>
    </cfRule>
  </conditionalFormatting>
  <conditionalFormatting sqref="AC5">
    <cfRule type="expression" dxfId="1426" priority="11">
      <formula>ABS(AC$7-AC$10)&gt;=1000</formula>
    </cfRule>
  </conditionalFormatting>
  <conditionalFormatting sqref="M14">
    <cfRule type="expression" dxfId="1425" priority="10">
      <formula>ABS(M$16-M$19)&gt;=1000</formula>
    </cfRule>
  </conditionalFormatting>
  <conditionalFormatting sqref="M16">
    <cfRule type="expression" dxfId="1424" priority="9">
      <formula>ABS(M$16-M$19)&gt;=1000</formula>
    </cfRule>
  </conditionalFormatting>
  <conditionalFormatting sqref="M19">
    <cfRule type="expression" dxfId="1423" priority="8">
      <formula>ABS(M$16-M$19)&gt;=1000</formula>
    </cfRule>
  </conditionalFormatting>
  <conditionalFormatting sqref="K13:K20">
    <cfRule type="expression" dxfId="1422" priority="7">
      <formula>ABS(K$16-K$19)&gt;=1000</formula>
    </cfRule>
  </conditionalFormatting>
  <conditionalFormatting sqref="E5">
    <cfRule type="expression" dxfId="1421" priority="6">
      <formula>ABS(E$7-E$10)&gt;=1000</formula>
    </cfRule>
  </conditionalFormatting>
  <conditionalFormatting sqref="AB14:AC14">
    <cfRule type="expression" dxfId="1420" priority="5">
      <formula>ABS(AB$16-AB$19)&gt;=1000</formula>
    </cfRule>
  </conditionalFormatting>
  <conditionalFormatting sqref="M5">
    <cfRule type="expression" dxfId="1419" priority="4">
      <formula>ABS(M$7-M$10)&gt;=1000</formula>
    </cfRule>
  </conditionalFormatting>
  <conditionalFormatting sqref="N5">
    <cfRule type="expression" dxfId="1418" priority="3">
      <formula>ABS(N$7-N$10)&gt;=1000</formula>
    </cfRule>
  </conditionalFormatting>
  <conditionalFormatting sqref="O5">
    <cfRule type="expression" dxfId="1417" priority="2">
      <formula>ABS(O$7-O$10)&gt;=1000</formula>
    </cfRule>
  </conditionalFormatting>
  <conditionalFormatting sqref="P5">
    <cfRule type="expression" dxfId="141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20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5">
    <pageSetUpPr fitToPage="1"/>
  </sheetPr>
  <dimension ref="A1:CU223"/>
  <sheetViews>
    <sheetView view="pageBreakPreview" zoomScale="70" zoomScaleNormal="100" zoomScaleSheetLayoutView="70" workbookViewId="0">
      <selection activeCell="X27" sqref="X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45733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2135</v>
      </c>
      <c r="E6" s="71">
        <v>772</v>
      </c>
      <c r="F6" s="71">
        <v>1589</v>
      </c>
      <c r="G6" s="71">
        <v>8999</v>
      </c>
      <c r="H6" s="71">
        <v>3936</v>
      </c>
      <c r="I6" s="71">
        <v>27.11</v>
      </c>
      <c r="J6" s="71">
        <v>7.81</v>
      </c>
      <c r="K6" s="71">
        <v>7.21</v>
      </c>
      <c r="L6" s="71">
        <v>60.31</v>
      </c>
      <c r="M6" s="71">
        <v>3388</v>
      </c>
      <c r="N6" s="71">
        <v>3635</v>
      </c>
      <c r="O6" s="71">
        <v>4844</v>
      </c>
      <c r="P6" s="71">
        <v>824</v>
      </c>
      <c r="Q6" s="71">
        <v>0</v>
      </c>
      <c r="R6" s="71">
        <v>0</v>
      </c>
      <c r="S6" s="71">
        <v>0</v>
      </c>
      <c r="T6" s="71">
        <v>2427</v>
      </c>
      <c r="U6" s="71">
        <v>5931</v>
      </c>
      <c r="V6" s="71">
        <v>4888</v>
      </c>
      <c r="W6" s="71">
        <v>3005</v>
      </c>
      <c r="X6" s="71">
        <v>2158</v>
      </c>
      <c r="Y6" s="71">
        <v>0</v>
      </c>
      <c r="Z6" s="71">
        <v>40</v>
      </c>
      <c r="AA6" s="71">
        <v>1570</v>
      </c>
      <c r="AB6" s="71">
        <v>1525</v>
      </c>
      <c r="AC6" s="71">
        <v>6378</v>
      </c>
      <c r="AD6" s="71">
        <v>693</v>
      </c>
      <c r="AE6" s="71">
        <v>2710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67558.464288000003</v>
      </c>
      <c r="E7" s="73" ph="1">
        <f>E6*51.53*LOOKUP(E8,密度!$A$2:$A$50,密度!$B$2:$B$50)</f>
        <v>31415.182052</v>
      </c>
      <c r="F7" s="73" ph="1">
        <f>F6*33.183*LOOKUP(F8,密度!$A$2:$A$50,密度!$C$2:$C$50)</f>
        <v>58833.664734599988</v>
      </c>
      <c r="G7" s="73" ph="1">
        <f xml:space="preserve"> (G6+2)*51.53*LOOKUP(G8,密度!$A$2:$A$50,密度!$B$2:$B$50)</f>
        <v>365120.30841600004</v>
      </c>
      <c r="H7" s="73" ph="1">
        <f>(H6)*51.53*LOOKUP(H8,密度!$A$2:$A$50,密度!$B$2:$B$50)</f>
        <v>160695.933984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2332.7528168000003</v>
      </c>
      <c r="L7" s="73" ph="1">
        <f>L6*290.8*0.777</f>
        <v>13627.140996000002</v>
      </c>
      <c r="M7" s="73" ph="1">
        <f>M6*33.183*LOOKUP(M8,密度!$A$2:$A$50,密度!$D$2:$D$50)</f>
        <v>116527.480146</v>
      </c>
      <c r="N7" s="73" ph="1">
        <f>N6*33.183*LOOKUP(N8,密度!$A$2:$A$50,密度!$E$2:$E$50)</f>
        <v>95458.830237000002</v>
      </c>
      <c r="O7" s="73" ph="1">
        <f>O6*20.428*LOOKUP(O8,密度!$A$2:$A$50,密度!$C$2:$C$50)</f>
        <v>110026.09866080001</v>
      </c>
      <c r="P7" s="73" ph="1">
        <f>P6*51.53*LOOKUP(P8,密度!$A$2:$A$50,密度!$B$2:$B$50)</f>
        <v>33603.413807999998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16297.71759</v>
      </c>
      <c r="U7" s="73" ph="1">
        <f>U6*1.5*1.5*3.1416*LOOKUP(U8,密度!$A$2:$A$50,密度!$L$2:$L$50)</f>
        <v>39701.901670200001</v>
      </c>
      <c r="V7" s="73" ph="1">
        <f>V6*1.5*1.5*3.1416*LOOKUP(V8,密度!$A$2:$A$50,密度!$L$2:$L$50)</f>
        <v>32512.7891088</v>
      </c>
      <c r="W7" s="73" ph="1">
        <f>W6*1.5*1.5*3.1416*LOOKUP(W8,密度!$A$2:$A$50,密度!$L$2:$L$50)</f>
        <v>20051.638992</v>
      </c>
      <c r="X7" s="73" ph="1">
        <f>X6*1.5*1.5*3.1416*LOOKUP(X8,密度!$A$2:$A$50,密度!$L$2:$L$50)</f>
        <v>14552.3530152</v>
      </c>
      <c r="Y7" s="73" ph="1">
        <f>Y6*1.5*1.5*3.1416*LOOKUP(Y8,密度!$A$2:$A$50,密度!$L$2:$L$50)</f>
        <v>0</v>
      </c>
      <c r="Z7" s="73" ph="1">
        <f>Z6*33.183*LOOKUP(Z8,密度!$A$2:$A$50,密度!$L$2:$L$50)</f>
        <v>1266.2632799999999</v>
      </c>
      <c r="AA7" s="73" ph="1">
        <f>AA6*33.183*LOOKUP(AA8,密度!$A$2:$A$50,密度!$D$2:$D$50)</f>
        <v>53998.861814999997</v>
      </c>
      <c r="AB7" s="73" ph="1">
        <f>AB6*20.428*LOOKUP(AB8,密度!$A$2:$A$50,密度!$D$2:$D$50)</f>
        <v>32510.957720000002</v>
      </c>
      <c r="AC7" s="73" ph="1">
        <f>AC6*51.53*LOOKUP(AC8,密度!$A$2:$A$50,密度!$Q$2:$Q$50)</f>
        <v>313717.53186360002</v>
      </c>
      <c r="AD7" s="73" ph="1">
        <f>AD6*20.428*LOOKUP(AD8,密度!$A$2:$A$50,密度!$V$2:$V$50)</f>
        <v>13646.966256000002</v>
      </c>
      <c r="AE7" s="73" ph="1">
        <f>AE6*20.428</f>
        <v>55359.880000000005</v>
      </c>
    </row>
    <row r="8" spans="1:99" ph="1">
      <c r="B8" s="252" ph="1"/>
      <c r="C8" s="68" t="s" ph="1">
        <v>181</v>
      </c>
      <c r="D8" s="74">
        <v>16</v>
      </c>
      <c r="E8" s="74">
        <v>13</v>
      </c>
      <c r="F8" s="74">
        <v>15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18</v>
      </c>
      <c r="O8" s="74">
        <v>21</v>
      </c>
      <c r="P8" s="74">
        <v>11</v>
      </c>
      <c r="Q8" s="74">
        <v>13</v>
      </c>
      <c r="R8" s="74">
        <v>20</v>
      </c>
      <c r="S8" s="74">
        <v>9</v>
      </c>
      <c r="T8" s="74">
        <v>12</v>
      </c>
      <c r="U8" s="74">
        <v>15</v>
      </c>
      <c r="V8" s="74">
        <v>21</v>
      </c>
      <c r="W8" s="74">
        <v>18</v>
      </c>
      <c r="X8" s="74">
        <v>8</v>
      </c>
      <c r="Y8" s="74">
        <v>13</v>
      </c>
      <c r="Z8" s="74">
        <v>8</v>
      </c>
      <c r="AA8" s="74">
        <v>14</v>
      </c>
      <c r="AB8" s="74">
        <v>6</v>
      </c>
      <c r="AC8" s="74">
        <v>12</v>
      </c>
      <c r="AD8" s="74">
        <v>11</v>
      </c>
      <c r="AE8" s="74">
        <v>16</v>
      </c>
    </row>
    <row r="9" spans="1:99" ph="1">
      <c r="B9" s="252" ph="1">
        <v>0.66666666666666663</v>
      </c>
      <c r="C9" s="162" t="s" ph="1">
        <v>182</v>
      </c>
      <c r="D9" s="71">
        <v>2134</v>
      </c>
      <c r="E9" s="71">
        <v>1224</v>
      </c>
      <c r="F9" s="71">
        <v>1588</v>
      </c>
      <c r="G9" s="71">
        <v>8997</v>
      </c>
      <c r="H9" s="71">
        <v>4887</v>
      </c>
      <c r="I9" s="71">
        <v>27.11</v>
      </c>
      <c r="J9" s="71">
        <v>7.81</v>
      </c>
      <c r="K9" s="71">
        <v>7.21</v>
      </c>
      <c r="L9" s="71">
        <v>27.51</v>
      </c>
      <c r="M9" s="71">
        <v>3387</v>
      </c>
      <c r="N9" s="71">
        <v>3633</v>
      </c>
      <c r="O9" s="71">
        <v>4842</v>
      </c>
      <c r="P9" s="71">
        <v>726</v>
      </c>
      <c r="Q9" s="71">
        <v>0</v>
      </c>
      <c r="R9" s="71">
        <v>0</v>
      </c>
      <c r="S9" s="71">
        <v>0</v>
      </c>
      <c r="T9" s="71">
        <v>0</v>
      </c>
      <c r="U9" s="71">
        <v>4998</v>
      </c>
      <c r="V9" s="71">
        <v>4885</v>
      </c>
      <c r="W9" s="71">
        <v>5545</v>
      </c>
      <c r="X9" s="71">
        <v>2157</v>
      </c>
      <c r="Y9" s="71">
        <v>0</v>
      </c>
      <c r="Z9" s="71">
        <v>60</v>
      </c>
      <c r="AA9" s="71">
        <v>1568</v>
      </c>
      <c r="AB9" s="71">
        <v>1524</v>
      </c>
      <c r="AC9" s="71">
        <v>6693</v>
      </c>
      <c r="AD9" s="71">
        <v>692</v>
      </c>
      <c r="AE9" s="71">
        <v>2553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67526.820979199998</v>
      </c>
      <c r="E10" s="73" ph="1">
        <f>E9*51.53*LOOKUP(E11,密度!$A$2:$A$50,密度!$B$2:$B$50)</f>
        <v>49701.303360000005</v>
      </c>
      <c r="F10" s="73" ph="1">
        <f>F9*33.183*LOOKUP(F11,密度!$A$2:$A$50,密度!$C$2:$C$50)</f>
        <v>58796.639143199995</v>
      </c>
      <c r="G10" s="73" ph="1">
        <f xml:space="preserve"> (G9+2)*51.53*LOOKUP(G11,密度!$A$2:$A$50,密度!$B$2:$B$50)</f>
        <v>365039.17958400003</v>
      </c>
      <c r="H10" s="73" ph="1">
        <f>(H9)*51.53*LOOKUP(H11,密度!$A$2:$A$50,密度!$B$2:$B$50)</f>
        <v>199522.61925300001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2332.7528168000003</v>
      </c>
      <c r="L10" s="73" ph="1">
        <f>L9*290.8*0.777</f>
        <v>6215.9285160000009</v>
      </c>
      <c r="M10" s="73" ph="1">
        <f>M9*33.183*LOOKUP(M11,密度!$A$2:$A$50,密度!$D$2:$D$50)</f>
        <v>116391.93422760001</v>
      </c>
      <c r="N10" s="73" ph="1">
        <f>N9*33.183*LOOKUP(N11,密度!$A$2:$A$50,密度!$E$2:$E$50)</f>
        <v>95538.91740749999</v>
      </c>
      <c r="O10" s="73" ph="1">
        <f>O9*20.428*LOOKUP(O11,密度!$A$2:$A$50,密度!$C$2:$C$50)</f>
        <v>109980.67087440002</v>
      </c>
      <c r="P10" s="73" ph="1">
        <f>P9*51.53*LOOKUP(P11,密度!$A$2:$A$50,密度!$B$2:$B$50)</f>
        <v>29576.962667999996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33456.433071600004</v>
      </c>
      <c r="V10" s="73" ph="1">
        <f>V9*1.5*1.5*3.1416*LOOKUP(V11,密度!$A$2:$A$50,密度!$L$2:$L$50)</f>
        <v>32492.834450999995</v>
      </c>
      <c r="W10" s="73" ph="1">
        <f>W9*1.5*1.5*3.1416*LOOKUP(W11,密度!$A$2:$A$50,密度!$L$2:$L$50)</f>
        <v>37078.836102000001</v>
      </c>
      <c r="X10" s="73" ph="1">
        <f>X9*1.5*1.5*3.1416*LOOKUP(X11,密度!$A$2:$A$50,密度!$L$2:$L$50)</f>
        <v>14560.856540999999</v>
      </c>
      <c r="Y10" s="73" ph="1">
        <f>Y9*1.5*1.5*3.1416*LOOKUP(Y11,密度!$A$2:$A$50,密度!$L$2:$L$50)</f>
        <v>0</v>
      </c>
      <c r="Z10" s="73" ph="1">
        <f>Z9*33.183*LOOKUP(Z11,密度!$A$2:$A$50,密度!$L$2:$L$50)</f>
        <v>1897.4039399999999</v>
      </c>
      <c r="AA10" s="73" ph="1">
        <f>AA9*33.183*LOOKUP(AA11,密度!$A$2:$A$50,密度!$D$2:$D$50)</f>
        <v>53976.901305600011</v>
      </c>
      <c r="AB10" s="73" ph="1">
        <f>AB9*20.428*LOOKUP(AB11,密度!$A$2:$A$50,密度!$D$2:$D$50)</f>
        <v>32489.639059200003</v>
      </c>
      <c r="AC10" s="73" ph="1">
        <f>AC9*51.53*LOOKUP(AC11,密度!$A$2:$A$50,密度!$Q$2:$Q$50)</f>
        <v>329211.57741660002</v>
      </c>
      <c r="AD10" s="73" ph="1">
        <f>AD9*20.428*LOOKUP(AD11,密度!$A$2:$A$50,密度!$V$2:$V$50)</f>
        <v>13627.273664</v>
      </c>
      <c r="AE10" s="73" ph="1">
        <f>AE9*20.428</f>
        <v>52152.684000000001</v>
      </c>
    </row>
    <row r="11" spans="1:99" ph="1">
      <c r="A11" s="64" t="s" ph="1">
        <v>164</v>
      </c>
      <c r="B11" s="252" ph="1"/>
      <c r="C11" s="162" t="s" ph="1">
        <v>181</v>
      </c>
      <c r="D11" s="74">
        <v>16</v>
      </c>
      <c r="E11" s="74">
        <v>15</v>
      </c>
      <c r="F11" s="74">
        <v>15</v>
      </c>
      <c r="G11" s="74">
        <v>16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17</v>
      </c>
      <c r="O11" s="74">
        <v>21</v>
      </c>
      <c r="P11" s="74">
        <v>12</v>
      </c>
      <c r="Q11" s="74">
        <v>14</v>
      </c>
      <c r="R11" s="74">
        <v>20</v>
      </c>
      <c r="S11" s="74">
        <v>9</v>
      </c>
      <c r="T11" s="74">
        <v>10</v>
      </c>
      <c r="U11" s="74">
        <v>15</v>
      </c>
      <c r="V11" s="74">
        <v>21</v>
      </c>
      <c r="W11" s="74">
        <v>16</v>
      </c>
      <c r="X11" s="74">
        <v>7</v>
      </c>
      <c r="Y11" s="74">
        <v>14</v>
      </c>
      <c r="Z11" s="74">
        <v>9</v>
      </c>
      <c r="AA11" s="74">
        <v>13</v>
      </c>
      <c r="AB11" s="74">
        <v>6</v>
      </c>
      <c r="AC11" s="74">
        <v>13</v>
      </c>
      <c r="AD11" s="74">
        <v>11</v>
      </c>
      <c r="AE11" s="74">
        <v>16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1454</v>
      </c>
      <c r="E15" s="78">
        <v>76</v>
      </c>
      <c r="F15" s="78">
        <v>1257</v>
      </c>
      <c r="G15" s="78">
        <v>124</v>
      </c>
      <c r="H15" s="78">
        <v>111</v>
      </c>
      <c r="I15" s="78">
        <v>1689</v>
      </c>
      <c r="J15" s="78">
        <v>618</v>
      </c>
      <c r="K15" s="78">
        <v>1137</v>
      </c>
      <c r="L15" s="78">
        <v>5606</v>
      </c>
      <c r="M15" s="78">
        <v>840</v>
      </c>
      <c r="N15" s="78">
        <v>2408</v>
      </c>
      <c r="O15" s="78">
        <v>0</v>
      </c>
      <c r="P15" s="78">
        <v>2217</v>
      </c>
      <c r="Q15" s="78">
        <v>5176</v>
      </c>
      <c r="R15" s="78">
        <v>3487</v>
      </c>
      <c r="S15" s="78">
        <v>6809</v>
      </c>
      <c r="T15" s="78">
        <v>3980</v>
      </c>
      <c r="U15" s="78">
        <v>4823</v>
      </c>
      <c r="V15" s="78">
        <v>391</v>
      </c>
      <c r="W15" s="71">
        <v>-596</v>
      </c>
      <c r="X15" s="78">
        <v>293</v>
      </c>
      <c r="Y15" s="106">
        <v>-9900</v>
      </c>
      <c r="Z15" s="78">
        <v>0</v>
      </c>
      <c r="AA15" s="78">
        <v>2495</v>
      </c>
      <c r="AB15" s="78" ph="1">
        <v>6851</v>
      </c>
      <c r="AC15" s="78" ph="1">
        <v>6498</v>
      </c>
      <c r="AD15" s="78">
        <v>5.51</v>
      </c>
      <c r="AE15" s="78">
        <v>27.71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9743.3016911999985</v>
      </c>
      <c r="E16" s="73" ph="1">
        <f>E15*7.0686*LOOKUP(E17,密度!$A$2:$A$50,密度!$L$2:$L$50)</f>
        <v>509.27849280000004</v>
      </c>
      <c r="F16" s="73" ph="1">
        <f>F15*9.0746*LOOKUP(F17,密度!$A$2:$A$50,密度!$L$2:$L$50)</f>
        <v>10836.433589999999</v>
      </c>
      <c r="G16" s="73" ph="1">
        <f>G15*9.0746*LOOKUP(G17,密度!$A$2:$A$50,密度!$B$2:$B$50)</f>
        <v>886.69731520000016</v>
      </c>
      <c r="H16" s="73" ph="1">
        <f>H15*9.0746*LOOKUP(H17,密度!$A$2:$A$50,密度!$L$2:$L$50)</f>
        <v>958.93113119999998</v>
      </c>
      <c r="I16" s="73" ph="1">
        <f>I15*9.0746*LOOKUP(I17,密度!$A$2:$A$50,密度!$U$2:$U$50)</f>
        <v>15756.155383200001</v>
      </c>
      <c r="J16" s="73" ph="1">
        <f>J15*9.0746*LOOKUP(J17,密度!$A$2:$A$50,密度!$L$2:$L$50)</f>
        <v>5316.4814544000001</v>
      </c>
      <c r="K16" s="73" ph="1">
        <f>K15*9.0746*LOOKUP(K17,密度!$A$2:$A$50,密度!$C$2:$C$50)</f>
        <v>11529.13229148</v>
      </c>
      <c r="L16" s="73" ph="1">
        <f>L15*9.0746*LOOKUP(L17,密度!$A$2:$A$50,密度!$E$2:$E$50)</f>
        <v>40601.108885560003</v>
      </c>
      <c r="M16" s="73" ph="1">
        <f>M15*9.0746*LOOKUP(M17,密度!$A$2:$A$50,密度!$M$2:$M$50)</f>
        <v>6710.2311191999997</v>
      </c>
      <c r="N16" s="73" ph="1">
        <f>N15*9.0746*LOOKUP(N17,密度!$A$2:$A$50,密度!$M$2:$M$50)</f>
        <v>19235.99587504</v>
      </c>
      <c r="O16" s="73" ph="1">
        <f>O15*9.0746*LOOKUP(O17,密度!$A$2:$A$50,密度!$G$2:$G$50)</f>
        <v>0</v>
      </c>
      <c r="P16" s="73" ph="1">
        <f ca="1">P15*9.0746*LOOKUP(P17,密度!$A$2:$A$51,密度!$Q$2:$Q$50)</f>
        <v>19168.800276960003</v>
      </c>
      <c r="Q16" s="73" ph="1">
        <f>Q15*9.0746*LOOKUP(Q17,密度!$A$2:$A$50,密度!$Q$2:$Q$50)</f>
        <v>44834.867508384006</v>
      </c>
      <c r="R16" s="73" ph="1">
        <f>MAX(R15*9.0746*LOOKUP(R17,密度!$A$2:$A$50,密度!$B$2:$B$50),0)</f>
        <v>24862.007398139998</v>
      </c>
      <c r="S16" s="73" ph="1">
        <f>S15*9.0746*LOOKUP(S17,密度!$A$2:$A$50,密度!$Q$2:$Q$50)</f>
        <v>58980.025669356</v>
      </c>
      <c r="T16" s="73" ph="1">
        <f>T15*9.0746*LOOKUP(T17,密度!$A$2:$A$50,密度!$O$2:$O$50)</f>
        <v>33733.192072000005</v>
      </c>
      <c r="U16" s="73" ph="1">
        <f>U15*9.0746*LOOKUP(U17,密度!$A$2:$A$50,密度!$H$2:$H$50)</f>
        <v>40558.689667859995</v>
      </c>
      <c r="V16" s="73" ph="1">
        <f>MAX(5600*LOOKUP(V17,密度!$A$2:$A$50,密度!$Q$2:$Q$50)+V15*9.0476*LOOKUP(V17,密度!$A$2:$A$50,密度!$Q$2:$Q$50),0)</f>
        <v>8713.6264217600001</v>
      </c>
      <c r="W16" s="73" ph="1">
        <f>MAX(5600*LOOKUP(W17,密度!$A$2:$A$50,密度!$Q$2:$Q$50)+W15*9.0476*LOOKUP(W17,密度!$A$2:$A$50,密度!$Q$2:$Q$50),0)</f>
        <v>197.99634944000081</v>
      </c>
      <c r="X16" s="73" ph="1">
        <f>MAX(5600*LOOKUP(X17,密度!$A$2:$A$50,密度!$I$2:$I$50)+X15*9.0476*LOOKUP(X17,密度!$A$2:$A$50,密度!$I$2:$I$50),0)</f>
        <v>8638.7412995999985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17861.585090300003</v>
      </c>
      <c r="AB16" s="73" ph="1">
        <f>AB15*9.0746*LOOKUP(AB17,密度!$A$2:$A$50,密度!$L$2:$L$50)</f>
        <v>58812.900031600002</v>
      </c>
      <c r="AC16" s="73" ph="1">
        <f>AC15*9.0746*LOOKUP(AC17,密度!$A$2:$A$50,密度!$L$2:$L$50)</f>
        <v>55959.446509199995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7025.07133488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14</v>
      </c>
      <c r="E17" s="74">
        <v>14</v>
      </c>
      <c r="F17" s="74">
        <v>12</v>
      </c>
      <c r="G17" s="74">
        <v>15</v>
      </c>
      <c r="H17" s="74">
        <v>10</v>
      </c>
      <c r="I17" s="74">
        <v>12</v>
      </c>
      <c r="J17" s="74">
        <v>14</v>
      </c>
      <c r="K17" s="74">
        <v>13</v>
      </c>
      <c r="L17" s="74">
        <v>13</v>
      </c>
      <c r="M17" s="74">
        <v>13</v>
      </c>
      <c r="N17" s="74">
        <v>15</v>
      </c>
      <c r="O17" s="74">
        <v>14</v>
      </c>
      <c r="P17" s="74">
        <v>17</v>
      </c>
      <c r="Q17" s="74">
        <v>14</v>
      </c>
      <c r="R17" s="74">
        <v>18</v>
      </c>
      <c r="S17" s="74">
        <v>15</v>
      </c>
      <c r="T17" s="74">
        <v>15</v>
      </c>
      <c r="U17" s="74">
        <v>13</v>
      </c>
      <c r="V17" s="74">
        <v>16</v>
      </c>
      <c r="W17" s="74">
        <v>16</v>
      </c>
      <c r="X17" s="74">
        <v>21</v>
      </c>
      <c r="Y17" s="108">
        <v>21</v>
      </c>
      <c r="Z17" s="74">
        <v>14</v>
      </c>
      <c r="AA17" s="74">
        <v>14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0</v>
      </c>
      <c r="E18" s="71">
        <v>76</v>
      </c>
      <c r="F18" s="71">
        <v>1271</v>
      </c>
      <c r="G18" s="71">
        <v>1555</v>
      </c>
      <c r="H18" s="71">
        <v>111</v>
      </c>
      <c r="I18" s="71">
        <v>1688</v>
      </c>
      <c r="J18" s="71">
        <v>624</v>
      </c>
      <c r="K18" s="71">
        <v>1288</v>
      </c>
      <c r="L18" s="71">
        <v>5603</v>
      </c>
      <c r="M18" s="71">
        <v>3208</v>
      </c>
      <c r="N18" s="71">
        <v>108</v>
      </c>
      <c r="O18" s="71">
        <v>13</v>
      </c>
      <c r="P18" s="71">
        <v>2217</v>
      </c>
      <c r="Q18" s="71">
        <v>5173</v>
      </c>
      <c r="R18" s="71">
        <v>3485</v>
      </c>
      <c r="S18" s="71">
        <v>6805</v>
      </c>
      <c r="T18" s="71">
        <v>3298</v>
      </c>
      <c r="U18" s="71">
        <v>6582</v>
      </c>
      <c r="V18" s="71">
        <v>388</v>
      </c>
      <c r="W18" s="71">
        <v>-596</v>
      </c>
      <c r="X18" s="71">
        <v>292</v>
      </c>
      <c r="Y18" s="109">
        <v>-9900</v>
      </c>
      <c r="Z18" s="71">
        <v>0</v>
      </c>
      <c r="AA18" s="71">
        <v>2494</v>
      </c>
      <c r="AB18" s="71">
        <v>6847</v>
      </c>
      <c r="AC18" s="71">
        <v>6494</v>
      </c>
      <c r="AD18" s="71">
        <v>5.51</v>
      </c>
      <c r="AE18" s="71">
        <v>44.21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0</v>
      </c>
      <c r="E19" s="73" ph="1">
        <f>E18*7.0686*LOOKUP(E20,密度!$A$2:$A$50,密度!$L$2:$L$50)</f>
        <v>508.74127920000001</v>
      </c>
      <c r="F19" s="73" ph="1">
        <f>F18*9.0746*LOOKUP(F20,密度!$A$2:$A$50,密度!$L$2:$L$50)</f>
        <v>10945.5919534</v>
      </c>
      <c r="G19" s="73" ph="1">
        <f>G18*9.0746*LOOKUP(G20,密度!$A$2:$A$50,密度!$B$2:$B$50)</f>
        <v>11119.470364000001</v>
      </c>
      <c r="H19" s="73" ph="1">
        <f>H18*9.0746*LOOKUP(H20,密度!$A$2:$A$50,密度!$L$2:$L$50)</f>
        <v>958.93113119999998</v>
      </c>
      <c r="I19" s="73" ph="1">
        <f>I18*9.0746*LOOKUP(I20,密度!$A$2:$A$50,密度!$U$2:$U$50)</f>
        <v>15746.826694400001</v>
      </c>
      <c r="J19" s="73" ph="1">
        <f>J18*9.0746*LOOKUP(J20,密度!$A$2:$A$50,密度!$L$2:$L$50)</f>
        <v>5368.0977791999994</v>
      </c>
      <c r="K19" s="73" ph="1">
        <f>K18*9.0746*LOOKUP(K20,密度!$A$2:$A$50,密度!$C$2:$C$50)</f>
        <v>13026.370509600001</v>
      </c>
      <c r="L19" s="73" ph="1">
        <f>L18*9.0746*LOOKUP(L20,密度!$A$2:$A$50,密度!$E$2:$E$50)</f>
        <v>40406.508625859999</v>
      </c>
      <c r="M19" s="73" ph="1">
        <f>M18*9.0746*LOOKUP(M20,密度!$A$2:$A$50,密度!$M$2:$M$50)</f>
        <v>25626.692179040001</v>
      </c>
      <c r="N19" s="73" ph="1">
        <f>N18*9.0746*LOOKUP(N20,密度!$A$2:$A$50,密度!$M$2:$M$50)</f>
        <v>862.74400104000006</v>
      </c>
      <c r="O19" s="73" ph="1">
        <f>O18*9.0746*LOOKUP(O20,密度!$A$2:$A$50,密度!$G$2:$G$50)</f>
        <v>114.69023955999999</v>
      </c>
      <c r="P19" s="73" ph="1">
        <f ca="1">P18*9.0746*LOOKUP(P20,密度!$A$2:$A$51,密度!$Q$2:$Q$50)</f>
        <v>19203.806272428003</v>
      </c>
      <c r="Q19" s="73" ph="1">
        <f>Q18*9.0746*LOOKUP(Q20,密度!$A$2:$A$50,密度!$Q$2:$Q$50)</f>
        <v>44808.881302332004</v>
      </c>
      <c r="R19" s="73" ph="1">
        <f>MAX(R18*9.0746*LOOKUP(R20,密度!$A$2:$A$50,密度!$B$2:$B$50),0)</f>
        <v>24895.185043199999</v>
      </c>
      <c r="S19" s="73" ph="1">
        <f>S18*9.0746*LOOKUP(S20,密度!$A$2:$A$50,密度!$Q$2:$Q$50)</f>
        <v>58945.377394620002</v>
      </c>
      <c r="T19" s="73" ph="1">
        <f>T18*9.0746*LOOKUP(T20,密度!$A$2:$A$50,密度!$O$2:$O$50)</f>
        <v>27952.780767200002</v>
      </c>
      <c r="U19" s="73" ph="1">
        <f>U18*9.0746*LOOKUP(U20,密度!$A$2:$A$50,密度!$H$2:$H$50)</f>
        <v>55410.609256440002</v>
      </c>
      <c r="V19" s="73" ph="1">
        <f>MAX(5600*LOOKUP(V20,密度!$A$2:$A$50,密度!$Q$2:$Q$50)+V18*9.0476*LOOKUP(V20,密度!$A$2:$A$50,密度!$Q$2:$Q$50),0)</f>
        <v>8696.3068883519991</v>
      </c>
      <c r="W19" s="73" ph="1">
        <f>MAX(5600*LOOKUP(W20,密度!$A$2:$A$50,密度!$Q$2:$Q$50)+W18*9.0476*LOOKUP(W20,密度!$A$2:$A$50,密度!$Q$2:$Q$50),0)</f>
        <v>198.19152201600082</v>
      </c>
      <c r="X19" s="73" ph="1">
        <f>MAX(5600*LOOKUP(X20,密度!$A$2:$A$50,密度!$I$2:$I$50)+X18*9.0476*LOOKUP(X20,密度!$A$2:$A$50,密度!$I$2:$I$50),0)</f>
        <v>8562.5090788799989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17872.531780279998</v>
      </c>
      <c r="AB19" s="73" ph="1">
        <f>AB18*9.0746*LOOKUP(AB20,密度!$A$2:$A$50,密度!$L$2:$L$50)</f>
        <v>58778.561745200001</v>
      </c>
      <c r="AC19" s="73" ph="1">
        <f>AC18*9.0746*LOOKUP(AC20,密度!$A$2:$A$50,密度!$L$2:$L$50)</f>
        <v>55924.999327600002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10446.2543556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15</v>
      </c>
      <c r="E20" s="81">
        <v>15</v>
      </c>
      <c r="F20" s="81">
        <v>13</v>
      </c>
      <c r="G20" s="81">
        <v>15</v>
      </c>
      <c r="H20" s="81">
        <v>10</v>
      </c>
      <c r="I20" s="81">
        <v>13</v>
      </c>
      <c r="J20" s="81">
        <v>14</v>
      </c>
      <c r="K20" s="81">
        <v>17</v>
      </c>
      <c r="L20" s="81">
        <v>15</v>
      </c>
      <c r="M20" s="81">
        <v>15</v>
      </c>
      <c r="N20" s="81">
        <v>12</v>
      </c>
      <c r="O20" s="81">
        <v>14</v>
      </c>
      <c r="P20" s="81">
        <v>15</v>
      </c>
      <c r="Q20" s="81">
        <v>15</v>
      </c>
      <c r="R20" s="81">
        <v>16</v>
      </c>
      <c r="S20" s="81">
        <v>15</v>
      </c>
      <c r="T20" s="81">
        <v>15</v>
      </c>
      <c r="U20" s="81">
        <v>12</v>
      </c>
      <c r="V20" s="81">
        <v>15</v>
      </c>
      <c r="W20" s="81">
        <v>15</v>
      </c>
      <c r="X20" s="81">
        <v>28</v>
      </c>
      <c r="Y20" s="110">
        <v>28</v>
      </c>
      <c r="Z20" s="81">
        <v>14</v>
      </c>
      <c r="AA20" s="81">
        <v>13</v>
      </c>
      <c r="AB20" s="81">
        <v>16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654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98.31</v>
      </c>
      <c r="E24" s="71">
        <v>95.31</v>
      </c>
      <c r="F24" s="71">
        <v>4018</v>
      </c>
      <c r="G24" s="71">
        <v>3031</v>
      </c>
      <c r="H24" s="71">
        <v>2188</v>
      </c>
      <c r="I24" s="71">
        <v>5515</v>
      </c>
      <c r="J24" s="71">
        <v>1732</v>
      </c>
      <c r="K24" s="71">
        <v>5615</v>
      </c>
      <c r="L24" s="71">
        <v>5587</v>
      </c>
      <c r="M24" s="71">
        <v>1380</v>
      </c>
      <c r="N24" s="71">
        <v>2497</v>
      </c>
      <c r="O24" s="71">
        <v>3517</v>
      </c>
      <c r="P24" s="71">
        <v>831</v>
      </c>
      <c r="Q24" s="90">
        <v>1840</v>
      </c>
      <c r="R24" s="71">
        <v>6859</v>
      </c>
      <c r="S24" s="71">
        <v>4271</v>
      </c>
      <c r="T24" s="71">
        <v>905</v>
      </c>
      <c r="U24" s="71">
        <v>3985</v>
      </c>
      <c r="V24" s="71">
        <v>9620</v>
      </c>
      <c r="W24" s="71">
        <v>10868</v>
      </c>
      <c r="X24" s="71">
        <v>6275</v>
      </c>
      <c r="Y24" s="71">
        <v>5110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26489.719685592005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44881.168807440001</v>
      </c>
      <c r="G25" s="91" ph="1">
        <f>G24*18.322*LOOKUP(G26,密度!$A$2:$A$50,密度!$B$2:$B$50)</f>
        <v>43716.350630399997</v>
      </c>
      <c r="H25" s="91" ph="1">
        <f>H24*18.322*LOOKUP(H26,密度!$A$2:$A$50,密度!$B$2:$B$50)</f>
        <v>31557.695539200002</v>
      </c>
      <c r="I25" s="91" ph="1">
        <f>I24*18.322*LOOKUP(I26,密度!$A$2:$A$50,密度!$Q$2:$Q$50)</f>
        <v>96276.466824000003</v>
      </c>
      <c r="J25" s="91" ph="1">
        <f>J24*18.322*LOOKUP(J26,密度!$A$2:$A$50,密度!$Q$2:$Q$50)</f>
        <v>30261.2601344</v>
      </c>
      <c r="K25" s="91" ph="1">
        <f>K24*18.322*LOOKUP(K26,密度!$A$2:$A$50,密度!$Q$2:$Q$50)</f>
        <v>98022.186984</v>
      </c>
      <c r="L25" s="91" ph="1">
        <f>L24*18.322*LOOKUP(L26,密度!$A$2:$A$50,密度!$Q$2:$Q$50)</f>
        <v>97615.277350399992</v>
      </c>
      <c r="M25" s="91" ph="1">
        <f>M24*18.322*LOOKUP(M26,密度!$A$2:$A$50,密度!$Q$2:$Q$50)</f>
        <v>24111.165696</v>
      </c>
      <c r="N25" s="91" ph="1">
        <f>N24*18.322*LOOKUP(N26,密度!$A$2:$A$50,密度!$Q$2:$Q$50)</f>
        <v>43590.632395200002</v>
      </c>
      <c r="O25" s="91" ph="1">
        <f>O24*18.322*LOOKUP(O26,密度!$A$2:$A$50,密度!$C$2:$C$50)</f>
        <v>71861.786204799995</v>
      </c>
      <c r="P25" s="91" ph="1">
        <f>P24*11.702*LOOKUP(P26,密度!$A$2:$A$50,密度!$B$2:$B$50)</f>
        <v>7655.0177663999993</v>
      </c>
      <c r="Q25" s="92" ph="1">
        <f>Q24*18.322*LOOKUP(Q26,密度!$A$2:$A$50,密度!$B$2:$B$50)</f>
        <v>26511.494271999996</v>
      </c>
      <c r="R25" s="91" ph="1">
        <f>R24*35.891*LOOKUP(R26,密度!$A$2:$A$50,密度!$C$2:$C$50)</f>
        <v>274535.88670879998</v>
      </c>
      <c r="S25" s="91" ph="1">
        <f>S24*35.891*LOOKUP(S26,密度!$A$2:$A$50,密度!$B$2:$B$50)</f>
        <v>120670.25089919999</v>
      </c>
      <c r="T25" s="91" ph="1">
        <f>T24*35.891*LOOKUP(T26,密度!$A$2:$A$50,密度!$Q$2:$Q$50)</f>
        <v>30948.235043999997</v>
      </c>
      <c r="U25" s="91" ph="1">
        <f>U24*35.891</f>
        <v>143025.63499999998</v>
      </c>
      <c r="V25" s="91" ph="1">
        <f>V24*47.051*LOOKUP(V26,密度!$A$2:$A$50,密度!$B$2:$B$50)</f>
        <v>356310.82406399999</v>
      </c>
      <c r="W25" s="91" ph="1">
        <f>W24*47.051*LOOKUP(W26,密度!$A$2:$A$50,密度!$B$2:$B$50)</f>
        <v>402534.93096960004</v>
      </c>
      <c r="X25" s="91" ph="1">
        <f>X24*47.051*LOOKUP(X26,密度!$A$2:$A$50,密度!$I$2:$I$50)</f>
        <v>305767.55769099999</v>
      </c>
      <c r="Y25" s="91" ph="1">
        <f>Y24*47.051*LOOKUP(Y26,密度!$A$2:$A$50,密度!$L$2:$L$50)</f>
        <v>227447.35706000001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15</v>
      </c>
      <c r="G26" s="74">
        <v>16</v>
      </c>
      <c r="H26" s="74">
        <v>16</v>
      </c>
      <c r="I26" s="74">
        <v>17</v>
      </c>
      <c r="J26" s="74">
        <v>16</v>
      </c>
      <c r="K26" s="74">
        <v>17</v>
      </c>
      <c r="L26" s="74">
        <v>16</v>
      </c>
      <c r="M26" s="74">
        <v>16</v>
      </c>
      <c r="N26" s="74">
        <v>17</v>
      </c>
      <c r="O26" s="74">
        <v>16</v>
      </c>
      <c r="P26" s="74">
        <v>16</v>
      </c>
      <c r="Q26" s="93">
        <v>17</v>
      </c>
      <c r="R26" s="74">
        <v>16</v>
      </c>
      <c r="S26" s="74">
        <v>16</v>
      </c>
      <c r="T26" s="74">
        <v>17</v>
      </c>
      <c r="U26" s="74">
        <v>17</v>
      </c>
      <c r="V26" s="74">
        <v>16</v>
      </c>
      <c r="W26" s="74">
        <v>16</v>
      </c>
      <c r="X26" s="74">
        <v>56</v>
      </c>
      <c r="Y26" s="74">
        <v>16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98.21</v>
      </c>
      <c r="E27" s="71">
        <v>95.21</v>
      </c>
      <c r="F27" s="71">
        <v>4015</v>
      </c>
      <c r="G27" s="71">
        <v>2590</v>
      </c>
      <c r="H27" s="71">
        <v>2153</v>
      </c>
      <c r="I27" s="71">
        <v>5513</v>
      </c>
      <c r="J27" s="71">
        <v>1974</v>
      </c>
      <c r="K27" s="71">
        <v>5612</v>
      </c>
      <c r="L27" s="71">
        <v>5584</v>
      </c>
      <c r="M27" s="71">
        <v>3952</v>
      </c>
      <c r="N27" s="71">
        <v>2058</v>
      </c>
      <c r="O27" s="71">
        <v>3515</v>
      </c>
      <c r="P27" s="71">
        <v>831</v>
      </c>
      <c r="Q27" s="90">
        <v>2003</v>
      </c>
      <c r="R27" s="71">
        <v>6342</v>
      </c>
      <c r="S27" s="71">
        <v>4269</v>
      </c>
      <c r="T27" s="71">
        <v>905</v>
      </c>
      <c r="U27" s="71">
        <v>4078</v>
      </c>
      <c r="V27" s="71">
        <v>9617</v>
      </c>
      <c r="W27" s="71">
        <v>10864</v>
      </c>
      <c r="X27" s="71">
        <v>6278</v>
      </c>
      <c r="Y27" s="71">
        <v>5079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26464.282675272003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44765.907383999998</v>
      </c>
      <c r="G28" s="91" ph="1">
        <f>G27*18.322*LOOKUP(G29,密度!$A$2:$A$50,密度!$B$2:$B$50)</f>
        <v>37355.773055999998</v>
      </c>
      <c r="H28" s="91" ph="1">
        <f>H27*18.322*LOOKUP(H29,密度!$A$2:$A$50,密度!$B$2:$B$50)</f>
        <v>31052.887795199997</v>
      </c>
      <c r="I28" s="91" ph="1">
        <f>I27*18.322*LOOKUP(I29,密度!$A$2:$A$50,密度!$Q$2:$Q$50)</f>
        <v>96322.359769600007</v>
      </c>
      <c r="J28" s="91" ph="1">
        <f>J27*18.322*LOOKUP(J29,密度!$A$2:$A$50,密度!$Q$2:$Q$50)</f>
        <v>34489.450060799994</v>
      </c>
      <c r="K28" s="91" ph="1">
        <f>K27*18.322*LOOKUP(K29,密度!$A$2:$A$50,密度!$Q$2:$Q$50)</f>
        <v>97969.815379199994</v>
      </c>
      <c r="L28" s="91" ph="1">
        <f>L27*18.322*LOOKUP(L29,密度!$A$2:$A$50,密度!$Q$2:$Q$50)</f>
        <v>97481.013734399996</v>
      </c>
      <c r="M28" s="91" ph="1">
        <f>M27*18.322*LOOKUP(M29,密度!$A$2:$A$50,密度!$Q$2:$Q$50)</f>
        <v>69048.787558399999</v>
      </c>
      <c r="N28" s="91" ph="1">
        <f>N27*18.322*LOOKUP(N29,密度!$A$2:$A$50,密度!$Q$2:$Q$50)</f>
        <v>35957.086233599999</v>
      </c>
      <c r="O28" s="91" ph="1">
        <f>O27*18.322*LOOKUP(O29,密度!$A$2:$A$50,密度!$C$2:$C$50)</f>
        <v>71820.920815999998</v>
      </c>
      <c r="P28" s="91" ph="1">
        <f>P27*11.702*LOOKUP(P29,密度!$A$2:$A$50,密度!$B$2:$B$50)</f>
        <v>7655.0177663999993</v>
      </c>
      <c r="Q28" s="92" ph="1">
        <f>Q27*18.322*LOOKUP(Q29,密度!$A$2:$A$50,密度!$B$2:$B$50)</f>
        <v>28889.426035200002</v>
      </c>
      <c r="R28" s="91" ph="1">
        <f>R27*35.891*LOOKUP(R29,密度!$A$2:$A$50,密度!$C$2:$C$50)</f>
        <v>253683.294669</v>
      </c>
      <c r="S28" s="91" ph="1">
        <f>S27*35.891*LOOKUP(S29,密度!$A$2:$A$50,密度!$B$2:$B$50)</f>
        <v>120491.1691656</v>
      </c>
      <c r="T28" s="91" ph="1">
        <f>T27*35.891*LOOKUP(T29,密度!$A$2:$A$50,密度!$Q$2:$Q$50)</f>
        <v>30974.220128000001</v>
      </c>
      <c r="U28" s="91" ph="1">
        <f>U27*35.891</f>
        <v>146363.49799999999</v>
      </c>
      <c r="V28" s="91" ph="1">
        <f>V27*47.051*LOOKUP(V29,密度!$A$2:$A$50,密度!$B$2:$B$50)</f>
        <v>356199.7084224</v>
      </c>
      <c r="W28" s="91" ph="1">
        <f>W27*47.051*LOOKUP(W29,密度!$A$2:$A$50,密度!$B$2:$B$50)</f>
        <v>401620.03368479997</v>
      </c>
      <c r="X28" s="91" ph="1">
        <f>X27*47.051*LOOKUP(X29,密度!$A$2:$A$50,密度!$I$2:$I$50)</f>
        <v>305913.74138391996</v>
      </c>
      <c r="Y28" s="91" ph="1">
        <f>Y27*47.051*LOOKUP(Y29,密度!$A$2:$A$50,密度!$L$2:$L$50)</f>
        <v>225589.59537599998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17</v>
      </c>
      <c r="G29" s="74">
        <v>16</v>
      </c>
      <c r="H29" s="74">
        <v>16</v>
      </c>
      <c r="I29" s="74">
        <v>16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16</v>
      </c>
      <c r="Q29" s="93">
        <v>16</v>
      </c>
      <c r="R29" s="74">
        <v>17</v>
      </c>
      <c r="S29" s="74">
        <v>17</v>
      </c>
      <c r="T29" s="74">
        <v>16</v>
      </c>
      <c r="U29" s="74">
        <v>16</v>
      </c>
      <c r="V29" s="74">
        <v>16</v>
      </c>
      <c r="W29" s="74">
        <v>18</v>
      </c>
      <c r="X29" s="74">
        <v>58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86466.540364800021</v>
      </c>
      <c r="E33" s="201" ph="1">
        <f>M10+I10</f>
        <v>124486.01402720001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27" ph="1">
        <v>0</v>
      </c>
      <c r="H33" s="201" ph="1">
        <f>N19</f>
        <v>862.74400104000006</v>
      </c>
      <c r="I33" s="205" ph="1">
        <v>0</v>
      </c>
      <c r="J33" s="209" ph="1">
        <f>F10+O28</f>
        <v>130617.55995919999</v>
      </c>
      <c r="K33" s="201" ph="1">
        <f>O10+K10+E28+R28</f>
        <v>396100.05194312002</v>
      </c>
      <c r="L33" s="211" ph="1">
        <f>BE27</f>
        <v>7100</v>
      </c>
      <c r="M33" s="209" ph="1">
        <f>G10+H10+W28+S28</f>
        <v>1086673.0016874</v>
      </c>
      <c r="N33" s="201" ph="1">
        <f>L10+P10++G28+H28+V28</f>
        <v>460401.2604576</v>
      </c>
      <c r="O33" s="205" ph="1">
        <f>BE17</f>
        <v>2270</v>
      </c>
      <c r="P33" s="209" ph="1">
        <f>L19</f>
        <v>40406.508625859999</v>
      </c>
      <c r="Q33" s="201" ph="1">
        <f>J10+N10</f>
        <v>97331.307409099987</v>
      </c>
      <c r="R33" s="205" ph="1">
        <f>BE23</f>
        <v>890</v>
      </c>
      <c r="S33" s="209" ph="1">
        <f>E10+X28</f>
        <v>355615.04474391998</v>
      </c>
      <c r="T33" s="201" ph="1">
        <f>X19</f>
        <v>8562.5090788799989</v>
      </c>
      <c r="U33" s="190" ph="1">
        <f>BE21</f>
        <v>730</v>
      </c>
      <c r="V33" s="203" ph="1">
        <f ca="1">P19+Q19+S19+M28+N28+J28</f>
        <v>262453.38882217999</v>
      </c>
      <c r="W33" s="203" ph="1">
        <f>D28+F28+V19+T28</f>
        <v>110900.71707562401</v>
      </c>
      <c r="X33" s="205" ph="1">
        <f>BE29+BE31</f>
        <v>10200</v>
      </c>
      <c r="Y33" s="207" ph="1">
        <f>+Q10+R10+S10+T10+U10+V10+W10+X10+Y10</f>
        <v>117588.9601656</v>
      </c>
      <c r="Z33" s="188" ph="1">
        <f>D10+T19+U19+Y28+Z10</f>
        <v>378377.21031883999</v>
      </c>
      <c r="AA33" s="190" ph="1">
        <f>BE19</f>
        <v>1440</v>
      </c>
      <c r="AB33" s="192" ph="1">
        <f>I19</f>
        <v>15746.826694400001</v>
      </c>
      <c r="AC33" s="194" ph="1">
        <f>AD10</f>
        <v>13627.273664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85" priority="96">
      <formula>ABS(D$7-D$10)&gt;=1000</formula>
    </cfRule>
  </conditionalFormatting>
  <conditionalFormatting sqref="E4 E6:E11">
    <cfRule type="expression" dxfId="1384" priority="95">
      <formula>ABS(E$7-E$10)&gt;=1000</formula>
    </cfRule>
  </conditionalFormatting>
  <conditionalFormatting sqref="F4:F11">
    <cfRule type="expression" dxfId="1383" priority="94">
      <formula>ABS(F$7-F$10)&gt;=1000</formula>
    </cfRule>
  </conditionalFormatting>
  <conditionalFormatting sqref="G4:G11">
    <cfRule type="expression" dxfId="1382" priority="93">
      <formula>ABS(G$7-G$10)&gt;=1000</formula>
    </cfRule>
  </conditionalFormatting>
  <conditionalFormatting sqref="H4:H11">
    <cfRule type="expression" dxfId="1381" priority="92">
      <formula>ABS(H$7-H$10)&gt;=1000</formula>
    </cfRule>
  </conditionalFormatting>
  <conditionalFormatting sqref="I4:I11">
    <cfRule type="expression" dxfId="1380" priority="91">
      <formula>ABS(I$7-I$10)&gt;=1000</formula>
    </cfRule>
  </conditionalFormatting>
  <conditionalFormatting sqref="J4:J11">
    <cfRule type="expression" dxfId="1379" priority="90">
      <formula>ABS(J$7-J$10)&gt;=1000</formula>
    </cfRule>
  </conditionalFormatting>
  <conditionalFormatting sqref="K4:K11">
    <cfRule type="expression" dxfId="1378" priority="89">
      <formula>ABS(K$7-K$10)&gt;=1000</formula>
    </cfRule>
  </conditionalFormatting>
  <conditionalFormatting sqref="L4:L11">
    <cfRule type="expression" dxfId="1377" priority="88">
      <formula>ABS(L$7-L$10)&gt;=1000</formula>
    </cfRule>
  </conditionalFormatting>
  <conditionalFormatting sqref="M4 M6:M11">
    <cfRule type="expression" dxfId="1376" priority="87">
      <formula>ABS(M$7-M$10)&gt;=1000</formula>
    </cfRule>
  </conditionalFormatting>
  <conditionalFormatting sqref="N4 N6:N11">
    <cfRule type="expression" dxfId="1375" priority="86">
      <formula>ABS(N$7-N$10)&gt;=1000</formula>
    </cfRule>
  </conditionalFormatting>
  <conditionalFormatting sqref="O4 O6:O11">
    <cfRule type="expression" dxfId="1374" priority="85">
      <formula>ABS(O$7-O$10)&gt;=1000</formula>
    </cfRule>
  </conditionalFormatting>
  <conditionalFormatting sqref="P4 P6:P11">
    <cfRule type="expression" dxfId="1373" priority="84">
      <formula>ABS(P$7-P$10)&gt;=1000</formula>
    </cfRule>
  </conditionalFormatting>
  <conditionalFormatting sqref="Q4:Q11">
    <cfRule type="expression" dxfId="1372" priority="83">
      <formula>ABS(Q$7-Q$10)&gt;=1000</formula>
    </cfRule>
  </conditionalFormatting>
  <conditionalFormatting sqref="R4:R11">
    <cfRule type="expression" dxfId="1371" priority="82">
      <formula>ABS(R$7-R$10)&gt;=1000</formula>
    </cfRule>
  </conditionalFormatting>
  <conditionalFormatting sqref="S4:S11">
    <cfRule type="expression" dxfId="1370" priority="81">
      <formula>ABS(S$7-S$10)&gt;=1000</formula>
    </cfRule>
  </conditionalFormatting>
  <conditionalFormatting sqref="T4:T9 T11">
    <cfRule type="expression" dxfId="1369" priority="80">
      <formula>ABS(T$7-T$10)&gt;=1000</formula>
    </cfRule>
  </conditionalFormatting>
  <conditionalFormatting sqref="U4:U9 U11">
    <cfRule type="expression" dxfId="1368" priority="79">
      <formula>ABS(U$7-U$10)&gt;=1000</formula>
    </cfRule>
  </conditionalFormatting>
  <conditionalFormatting sqref="V4:V9 V11">
    <cfRule type="expression" dxfId="1367" priority="78">
      <formula>ABS(V$7-V$10)&gt;=1000</formula>
    </cfRule>
  </conditionalFormatting>
  <conditionalFormatting sqref="W4:W9 W11">
    <cfRule type="expression" dxfId="1366" priority="77">
      <formula>ABS(W$7-W$10)&gt;=1000</formula>
    </cfRule>
  </conditionalFormatting>
  <conditionalFormatting sqref="X4:X9 X11">
    <cfRule type="expression" dxfId="1365" priority="76">
      <formula>ABS(X$7-X$10)&gt;=1000</formula>
    </cfRule>
  </conditionalFormatting>
  <conditionalFormatting sqref="Y4:Y9 Y11">
    <cfRule type="expression" dxfId="1364" priority="75">
      <formula>ABS(Y$7-Y$10)&gt;=1000</formula>
    </cfRule>
  </conditionalFormatting>
  <conditionalFormatting sqref="Z4:Z11">
    <cfRule type="expression" dxfId="1363" priority="74">
      <formula>ABS(Z$7-Z$10)&gt;=1000</formula>
    </cfRule>
  </conditionalFormatting>
  <conditionalFormatting sqref="AA4:AA11">
    <cfRule type="expression" dxfId="1362" priority="73">
      <formula>ABS(AA$7-AA$10)&gt;=1000</formula>
    </cfRule>
  </conditionalFormatting>
  <conditionalFormatting sqref="AB4:AB11">
    <cfRule type="expression" dxfId="1361" priority="72">
      <formula>ABS(AB$7-AB$10)&gt;=1000</formula>
    </cfRule>
  </conditionalFormatting>
  <conditionalFormatting sqref="AC4 AC6:AC11">
    <cfRule type="expression" dxfId="1360" priority="71">
      <formula>ABS(AC$7-AC$10)&gt;=1000</formula>
    </cfRule>
  </conditionalFormatting>
  <conditionalFormatting sqref="AD4:AD11">
    <cfRule type="expression" dxfId="1359" priority="70">
      <formula>ABS(AD$7-AD$10)&gt;=1000</formula>
    </cfRule>
  </conditionalFormatting>
  <conditionalFormatting sqref="AE4:AE11">
    <cfRule type="expression" dxfId="1358" priority="69">
      <formula>ABS(AE$7-AE$10)&gt;=1000</formula>
    </cfRule>
  </conditionalFormatting>
  <conditionalFormatting sqref="D13:D20">
    <cfRule type="expression" dxfId="1357" priority="68">
      <formula>ABS(D$16-D$19)&gt;=1000</formula>
    </cfRule>
  </conditionalFormatting>
  <conditionalFormatting sqref="E13:E20">
    <cfRule type="expression" dxfId="1356" priority="67">
      <formula>ABS(E$16-E$19)&gt;=1000</formula>
    </cfRule>
  </conditionalFormatting>
  <conditionalFormatting sqref="F13 F15:F20">
    <cfRule type="expression" dxfId="1355" priority="66">
      <formula>ABS(F$16-F$19)&gt;=1000</formula>
    </cfRule>
  </conditionalFormatting>
  <conditionalFormatting sqref="G13:G20">
    <cfRule type="expression" dxfId="1354" priority="65">
      <formula>ABS(G$16-G$19)&gt;=1000</formula>
    </cfRule>
  </conditionalFormatting>
  <conditionalFormatting sqref="H13:H20">
    <cfRule type="expression" dxfId="1353" priority="64">
      <formula>ABS(H$16-H$19)&gt;=1000</formula>
    </cfRule>
  </conditionalFormatting>
  <conditionalFormatting sqref="I13:I20">
    <cfRule type="expression" dxfId="1352" priority="63">
      <formula>ABS(I$16-I$19)&gt;=1000</formula>
    </cfRule>
  </conditionalFormatting>
  <conditionalFormatting sqref="J13:J20">
    <cfRule type="expression" dxfId="1351" priority="62">
      <formula>ABS(J$16-J$19)&gt;=1000</formula>
    </cfRule>
  </conditionalFormatting>
  <conditionalFormatting sqref="L13:L20">
    <cfRule type="expression" dxfId="1350" priority="61">
      <formula>ABS(L$16-L$19)&gt;=1000</formula>
    </cfRule>
  </conditionalFormatting>
  <conditionalFormatting sqref="M13 M15 M17:M18 M20">
    <cfRule type="expression" dxfId="1349" priority="60">
      <formula>ABS(M$16-M$19)&gt;=1000</formula>
    </cfRule>
  </conditionalFormatting>
  <conditionalFormatting sqref="N13:N20">
    <cfRule type="expression" dxfId="1348" priority="59">
      <formula>ABS(N$16-N$19)&gt;=1000</formula>
    </cfRule>
  </conditionalFormatting>
  <conditionalFormatting sqref="O13:O20">
    <cfRule type="expression" dxfId="1347" priority="58">
      <formula>ABS(O$16-O$19)&gt;=1000</formula>
    </cfRule>
  </conditionalFormatting>
  <conditionalFormatting sqref="P13:P20">
    <cfRule type="expression" dxfId="1346" priority="57">
      <formula>ABS(P$16-P$19)&gt;=1000</formula>
    </cfRule>
  </conditionalFormatting>
  <conditionalFormatting sqref="Q13 Q15:Q20">
    <cfRule type="expression" dxfId="1345" priority="56">
      <formula>ABS(Q$16-Q$19)&gt;=1000</formula>
    </cfRule>
  </conditionalFormatting>
  <conditionalFormatting sqref="R13:R20">
    <cfRule type="expression" dxfId="1344" priority="55">
      <formula>ABS(R$16-R$19)&gt;=1000</formula>
    </cfRule>
  </conditionalFormatting>
  <conditionalFormatting sqref="S13:S20">
    <cfRule type="expression" dxfId="1343" priority="54">
      <formula>ABS(S$16-S$19)&gt;=1000</formula>
    </cfRule>
  </conditionalFormatting>
  <conditionalFormatting sqref="T13:T20">
    <cfRule type="expression" dxfId="1342" priority="53">
      <formula>ABS(T$16-T$19)&gt;=1000</formula>
    </cfRule>
  </conditionalFormatting>
  <conditionalFormatting sqref="U13:U20">
    <cfRule type="expression" dxfId="1341" priority="52">
      <formula>ABS(U$16-U$19)&gt;=1000</formula>
    </cfRule>
  </conditionalFormatting>
  <conditionalFormatting sqref="V13:V20">
    <cfRule type="expression" dxfId="1340" priority="51">
      <formula>ABS(V$16-V$19)&gt;=1000</formula>
    </cfRule>
  </conditionalFormatting>
  <conditionalFormatting sqref="W13 W20 W15:W18">
    <cfRule type="expression" dxfId="1339" priority="50">
      <formula>ABS(W$16-W$19)&gt;=1000</formula>
    </cfRule>
  </conditionalFormatting>
  <conditionalFormatting sqref="X13 X15:X20 Y19">
    <cfRule type="expression" dxfId="1338" priority="49">
      <formula>ABS(X$16-X$19)&gt;=1000</formula>
    </cfRule>
  </conditionalFormatting>
  <conditionalFormatting sqref="Y13 Y15:Y18 Y20">
    <cfRule type="expression" dxfId="1337" priority="48">
      <formula>ABS(Y$16-Y$19)&gt;=1000</formula>
    </cfRule>
  </conditionalFormatting>
  <conditionalFormatting sqref="Z13:Z20">
    <cfRule type="expression" dxfId="1336" priority="47">
      <formula>ABS(Z$16-Z$19)&gt;=1000</formula>
    </cfRule>
  </conditionalFormatting>
  <conditionalFormatting sqref="AA13:AA20">
    <cfRule type="expression" dxfId="1335" priority="46">
      <formula>ABS(AA$16-AA$19)&gt;=1000</formula>
    </cfRule>
  </conditionalFormatting>
  <conditionalFormatting sqref="AB13 AB15:AB20">
    <cfRule type="expression" dxfId="1334" priority="45">
      <formula>ABS(AB$16-AB$19)&gt;=1000</formula>
    </cfRule>
  </conditionalFormatting>
  <conditionalFormatting sqref="AC13 AC15:AC20">
    <cfRule type="expression" dxfId="1333" priority="44">
      <formula>ABS(AC$16-AC$19)&gt;=1000</formula>
    </cfRule>
  </conditionalFormatting>
  <conditionalFormatting sqref="AD13:AD20">
    <cfRule type="expression" dxfId="1332" priority="43">
      <formula>ABS(AD$16-AD$19)&gt;=1000</formula>
    </cfRule>
  </conditionalFormatting>
  <conditionalFormatting sqref="AE13:AE20">
    <cfRule type="expression" dxfId="1331" priority="42">
      <formula>ABS(AE$16-AE$19)&gt;=1000</formula>
    </cfRule>
  </conditionalFormatting>
  <conditionalFormatting sqref="D22:D29">
    <cfRule type="expression" dxfId="1330" priority="41">
      <formula>ABS(D$25-D$28)&gt;=1000</formula>
    </cfRule>
  </conditionalFormatting>
  <conditionalFormatting sqref="E22:E29">
    <cfRule type="expression" dxfId="1329" priority="40">
      <formula>ABS(E$25-E$28)&gt;=1000</formula>
    </cfRule>
  </conditionalFormatting>
  <conditionalFormatting sqref="F22:F29">
    <cfRule type="expression" dxfId="1328" priority="39">
      <formula>ABS(F$25-F$28)&gt;=1000</formula>
    </cfRule>
  </conditionalFormatting>
  <conditionalFormatting sqref="G22:G29">
    <cfRule type="expression" dxfId="1327" priority="38">
      <formula>ABS(G$25-G$28)&gt;=1000</formula>
    </cfRule>
  </conditionalFormatting>
  <conditionalFormatting sqref="H22:H29">
    <cfRule type="expression" dxfId="1326" priority="37">
      <formula>ABS(H$25-H$28)&gt;=1000</formula>
    </cfRule>
  </conditionalFormatting>
  <conditionalFormatting sqref="I22 I24:I29">
    <cfRule type="expression" dxfId="1325" priority="36">
      <formula>ABS(I$25-I$28)&gt;=1000</formula>
    </cfRule>
  </conditionalFormatting>
  <conditionalFormatting sqref="J22:J29 K22">
    <cfRule type="expression" dxfId="1324" priority="35">
      <formula>ABS(J$25-J$28)&gt;=1000</formula>
    </cfRule>
  </conditionalFormatting>
  <conditionalFormatting sqref="K23:K29 L25 L28">
    <cfRule type="expression" dxfId="1323" priority="34">
      <formula>ABS(K$25-K$28)&gt;=1000</formula>
    </cfRule>
  </conditionalFormatting>
  <conditionalFormatting sqref="L22:L24 L26:L27 L29">
    <cfRule type="expression" dxfId="1322" priority="33">
      <formula>ABS(L$25-L$28)&gt;=1000</formula>
    </cfRule>
  </conditionalFormatting>
  <conditionalFormatting sqref="M22:M29">
    <cfRule type="expression" dxfId="1321" priority="32">
      <formula>ABS(M$25-M$28)&gt;=1000</formula>
    </cfRule>
  </conditionalFormatting>
  <conditionalFormatting sqref="N22:N29">
    <cfRule type="expression" dxfId="1320" priority="31">
      <formula>ABS(N$25-N$28)&gt;=1000</formula>
    </cfRule>
  </conditionalFormatting>
  <conditionalFormatting sqref="O22:O29">
    <cfRule type="expression" dxfId="1319" priority="30">
      <formula>ABS(O$25-O$28)&gt;=1000</formula>
    </cfRule>
  </conditionalFormatting>
  <conditionalFormatting sqref="P22:P29">
    <cfRule type="expression" dxfId="1318" priority="29">
      <formula>ABS(P$25-P$28)&gt;=1000</formula>
    </cfRule>
  </conditionalFormatting>
  <conditionalFormatting sqref="Q22:Q29">
    <cfRule type="expression" dxfId="1317" priority="28">
      <formula>ABS(Q$25-Q$28)&gt;=1000</formula>
    </cfRule>
  </conditionalFormatting>
  <conditionalFormatting sqref="R22:R29">
    <cfRule type="expression" dxfId="1316" priority="27">
      <formula>ABS(R$25-R$28)&gt;=1000</formula>
    </cfRule>
  </conditionalFormatting>
  <conditionalFormatting sqref="S22:S29">
    <cfRule type="expression" dxfId="1315" priority="26">
      <formula>ABS(S$25-S$28)&gt;=1000</formula>
    </cfRule>
  </conditionalFormatting>
  <conditionalFormatting sqref="T22:T29">
    <cfRule type="expression" dxfId="1314" priority="25">
      <formula>ABS(T$25-T$28)&gt;=1000</formula>
    </cfRule>
  </conditionalFormatting>
  <conditionalFormatting sqref="U22:U29">
    <cfRule type="expression" dxfId="1313" priority="24">
      <formula>ABS(U$25-U$28)&gt;=1000</formula>
    </cfRule>
  </conditionalFormatting>
  <conditionalFormatting sqref="V22:V29">
    <cfRule type="expression" dxfId="1312" priority="23">
      <formula>ABS(V$25-V$28)&gt;=1000</formula>
    </cfRule>
  </conditionalFormatting>
  <conditionalFormatting sqref="W22:W29">
    <cfRule type="expression" dxfId="1311" priority="22">
      <formula>ABS(W$25-W$28)&gt;=1000</formula>
    </cfRule>
  </conditionalFormatting>
  <conditionalFormatting sqref="X22:X29">
    <cfRule type="expression" dxfId="1310" priority="21">
      <formula>ABS(X$25-X$28)&gt;=1000</formula>
    </cfRule>
  </conditionalFormatting>
  <conditionalFormatting sqref="Y22:Y29">
    <cfRule type="expression" dxfId="1309" priority="20">
      <formula>ABS(Y$25-Y$28)&gt;=1000</formula>
    </cfRule>
  </conditionalFormatting>
  <conditionalFormatting sqref="I23">
    <cfRule type="expression" dxfId="1308" priority="19">
      <formula>ABS(I$25-I$28)&gt;=1000</formula>
    </cfRule>
  </conditionalFormatting>
  <conditionalFormatting sqref="F14">
    <cfRule type="expression" dxfId="1307" priority="18">
      <formula>ABS(F$16-F$19)&gt;=1000</formula>
    </cfRule>
  </conditionalFormatting>
  <conditionalFormatting sqref="Q14">
    <cfRule type="expression" dxfId="1306" priority="17">
      <formula>ABS(Q$16-Q$19)&gt;=1000</formula>
    </cfRule>
  </conditionalFormatting>
  <conditionalFormatting sqref="W14">
    <cfRule type="expression" dxfId="1305" priority="16">
      <formula>ABS(W$16-W$19)&gt;=1000</formula>
    </cfRule>
  </conditionalFormatting>
  <conditionalFormatting sqref="Y14">
    <cfRule type="expression" dxfId="1304" priority="15">
      <formula>ABS(Y$16-Y$19)&gt;=1000</formula>
    </cfRule>
  </conditionalFormatting>
  <conditionalFormatting sqref="X14">
    <cfRule type="expression" dxfId="1303" priority="14">
      <formula>ABS(X$16-X$19)&gt;=1000</formula>
    </cfRule>
  </conditionalFormatting>
  <conditionalFormatting sqref="T10:Y10">
    <cfRule type="expression" dxfId="1302" priority="13">
      <formula>ABS(T$7-T$10)&gt;=1000</formula>
    </cfRule>
  </conditionalFormatting>
  <conditionalFormatting sqref="W19">
    <cfRule type="expression" dxfId="1301" priority="12">
      <formula>ABS(W$16-W$19)&gt;=1000</formula>
    </cfRule>
  </conditionalFormatting>
  <conditionalFormatting sqref="AC5">
    <cfRule type="expression" dxfId="1300" priority="11">
      <formula>ABS(AC$7-AC$10)&gt;=1000</formula>
    </cfRule>
  </conditionalFormatting>
  <conditionalFormatting sqref="M14">
    <cfRule type="expression" dxfId="1299" priority="10">
      <formula>ABS(M$16-M$19)&gt;=1000</formula>
    </cfRule>
  </conditionalFormatting>
  <conditionalFormatting sqref="M16">
    <cfRule type="expression" dxfId="1298" priority="9">
      <formula>ABS(M$16-M$19)&gt;=1000</formula>
    </cfRule>
  </conditionalFormatting>
  <conditionalFormatting sqref="M19">
    <cfRule type="expression" dxfId="1297" priority="8">
      <formula>ABS(M$16-M$19)&gt;=1000</formula>
    </cfRule>
  </conditionalFormatting>
  <conditionalFormatting sqref="K13:K20">
    <cfRule type="expression" dxfId="1296" priority="7">
      <formula>ABS(K$16-K$19)&gt;=1000</formula>
    </cfRule>
  </conditionalFormatting>
  <conditionalFormatting sqref="E5">
    <cfRule type="expression" dxfId="1295" priority="6">
      <formula>ABS(E$7-E$10)&gt;=1000</formula>
    </cfRule>
  </conditionalFormatting>
  <conditionalFormatting sqref="AB14:AC14">
    <cfRule type="expression" dxfId="1294" priority="5">
      <formula>ABS(AB$16-AB$19)&gt;=1000</formula>
    </cfRule>
  </conditionalFormatting>
  <conditionalFormatting sqref="M5">
    <cfRule type="expression" dxfId="1293" priority="4">
      <formula>ABS(M$7-M$10)&gt;=1000</formula>
    </cfRule>
  </conditionalFormatting>
  <conditionalFormatting sqref="N5">
    <cfRule type="expression" dxfId="1292" priority="3">
      <formula>ABS(N$7-N$10)&gt;=1000</formula>
    </cfRule>
  </conditionalFormatting>
  <conditionalFormatting sqref="O5">
    <cfRule type="expression" dxfId="1291" priority="2">
      <formula>ABS(O$7-O$10)&gt;=1000</formula>
    </cfRule>
  </conditionalFormatting>
  <conditionalFormatting sqref="P5">
    <cfRule type="expression" dxfId="129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30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6">
    <pageSetUpPr fitToPage="1"/>
  </sheetPr>
  <dimension ref="A1:CU223"/>
  <sheetViews>
    <sheetView view="pageBreakPreview" zoomScale="70" zoomScaleNormal="100" zoomScaleSheetLayoutView="70" workbookViewId="0">
      <selection activeCell="K19" sqref="K1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45734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2132</v>
      </c>
      <c r="E6" s="71">
        <v>1224</v>
      </c>
      <c r="F6" s="71">
        <v>1587</v>
      </c>
      <c r="G6" s="71">
        <v>8989</v>
      </c>
      <c r="H6" s="71">
        <v>4306</v>
      </c>
      <c r="I6" s="71">
        <v>27.04</v>
      </c>
      <c r="J6" s="71">
        <v>7.76</v>
      </c>
      <c r="K6" s="71">
        <v>7.22</v>
      </c>
      <c r="L6" s="71">
        <v>63.97</v>
      </c>
      <c r="M6" s="71">
        <v>3384</v>
      </c>
      <c r="N6" s="71">
        <v>3628</v>
      </c>
      <c r="O6" s="71">
        <v>4838</v>
      </c>
      <c r="P6" s="71">
        <v>681</v>
      </c>
      <c r="Q6" s="71">
        <v>0</v>
      </c>
      <c r="R6" s="71">
        <v>0</v>
      </c>
      <c r="S6" s="71">
        <v>0</v>
      </c>
      <c r="T6" s="71">
        <v>0</v>
      </c>
      <c r="U6" s="71">
        <v>1652</v>
      </c>
      <c r="V6" s="71">
        <v>4881</v>
      </c>
      <c r="W6" s="71">
        <v>5539</v>
      </c>
      <c r="X6" s="71">
        <v>2156</v>
      </c>
      <c r="Y6" s="71">
        <v>0</v>
      </c>
      <c r="Z6" s="71">
        <v>582</v>
      </c>
      <c r="AA6" s="71">
        <v>1567</v>
      </c>
      <c r="AB6" s="71">
        <v>1523</v>
      </c>
      <c r="AC6" s="71">
        <v>6689</v>
      </c>
      <c r="AD6" s="71">
        <v>692</v>
      </c>
      <c r="AE6" s="71">
        <v>2890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67530.03574824</v>
      </c>
      <c r="E7" s="73" ph="1">
        <f>E6*51.53*LOOKUP(E8,密度!$A$2:$A$50,密度!$B$2:$B$50)</f>
        <v>49758.068808000004</v>
      </c>
      <c r="F7" s="73" ph="1">
        <f>F6*33.183*LOOKUP(F8,密度!$A$2:$A$50,密度!$C$2:$C$50)</f>
        <v>58759.613551799994</v>
      </c>
      <c r="G7" s="73" ph="1">
        <f xml:space="preserve"> (G6+2)*51.53*LOOKUP(G8,密度!$A$2:$A$50,密度!$B$2:$B$50)</f>
        <v>364714.66425600002</v>
      </c>
      <c r="H7" s="73" ph="1">
        <f>(H6)*51.53*LOOKUP(H8,密度!$A$2:$A$50,密度!$B$2:$B$50)</f>
        <v>174670.37529599998</v>
      </c>
      <c r="I7" s="73" ph="1">
        <f>I6*290.8*1.0267</f>
        <v>8073.1802943999992</v>
      </c>
      <c r="J7" s="73" ph="1">
        <f>J6*290.8*0.7892</f>
        <v>1780.9150336000002</v>
      </c>
      <c r="K7" s="73" ph="1">
        <f>K6*290.8*1.1126</f>
        <v>2335.9882576</v>
      </c>
      <c r="L7" s="73" ph="1">
        <f>L6*290.8*0.777</f>
        <v>14454.123851999999</v>
      </c>
      <c r="M7" s="73" ph="1">
        <f>M6*33.183*LOOKUP(M8,密度!$A$2:$A$50,密度!$D$2:$D$50)</f>
        <v>116389.90342799999</v>
      </c>
      <c r="N7" s="73" ph="1">
        <f>N6*33.183*LOOKUP(N8,密度!$A$2:$A$50,密度!$E$2:$E$50)</f>
        <v>95539.856486399993</v>
      </c>
      <c r="O7" s="73" ph="1">
        <f>O6*20.428*LOOKUP(O8,密度!$A$2:$A$50,密度!$C$2:$C$50)</f>
        <v>109810.7507704</v>
      </c>
      <c r="P7" s="73" ph="1">
        <f>P6*51.53*LOOKUP(P8,密度!$A$2:$A$50,密度!$B$2:$B$50)</f>
        <v>27743.679858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11058.428858399999</v>
      </c>
      <c r="V7" s="73" ph="1">
        <f>V6*1.5*1.5*3.1416*LOOKUP(V8,密度!$A$2:$A$50,密度!$L$2:$L$50)</f>
        <v>32466.228240600001</v>
      </c>
      <c r="W7" s="73" ph="1">
        <f>W6*1.5*1.5*3.1416*LOOKUP(W8,密度!$A$2:$A$50,密度!$L$2:$L$50)</f>
        <v>36999.561752999994</v>
      </c>
      <c r="X7" s="73" ph="1">
        <f>X6*1.5*1.5*3.1416*LOOKUP(X8,密度!$A$2:$A$50,密度!$L$2:$L$50)</f>
        <v>14538.866126399998</v>
      </c>
      <c r="Y7" s="73" ph="1">
        <f>Y6*1.5*1.5*3.1416*LOOKUP(Y8,密度!$A$2:$A$50,密度!$L$2:$L$50)</f>
        <v>0</v>
      </c>
      <c r="Z7" s="73" ph="1">
        <f>Z6*33.183*LOOKUP(Z8,密度!$A$2:$A$50,密度!$L$2:$L$50)</f>
        <v>18385.505712000002</v>
      </c>
      <c r="AA7" s="73" ph="1">
        <f>AA6*33.183*LOOKUP(AA8,密度!$A$2:$A$50,密度!$D$2:$D$50)</f>
        <v>53942.477261400003</v>
      </c>
      <c r="AB7" s="73" ph="1">
        <f>AB6*20.428*LOOKUP(AB8,密度!$A$2:$A$50,密度!$D$2:$D$50)</f>
        <v>32440.319738800001</v>
      </c>
      <c r="AC7" s="73" ph="1">
        <f>AC6*51.53*LOOKUP(AC8,密度!$A$2:$A$50,密度!$Q$2:$Q$50)</f>
        <v>329014.82763180003</v>
      </c>
      <c r="AD7" s="73" ph="1">
        <f>AD6*20.428*LOOKUP(AD8,密度!$A$2:$A$50,密度!$V$2:$V$50)</f>
        <v>13627.273664</v>
      </c>
      <c r="AE7" s="73" ph="1">
        <f>AE6*20.428</f>
        <v>59036.920000000006</v>
      </c>
    </row>
    <row r="8" spans="1:99" ph="1">
      <c r="B8" s="252" ph="1"/>
      <c r="C8" s="68" t="s" ph="1">
        <v>181</v>
      </c>
      <c r="D8" s="74">
        <v>15</v>
      </c>
      <c r="E8" s="74">
        <v>14</v>
      </c>
      <c r="F8" s="74">
        <v>15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16</v>
      </c>
      <c r="O8" s="74">
        <v>22</v>
      </c>
      <c r="P8" s="74">
        <v>12</v>
      </c>
      <c r="Q8" s="74">
        <v>13</v>
      </c>
      <c r="R8" s="74">
        <v>20</v>
      </c>
      <c r="S8" s="74">
        <v>10</v>
      </c>
      <c r="T8" s="74">
        <v>10</v>
      </c>
      <c r="U8" s="74">
        <v>15</v>
      </c>
      <c r="V8" s="74">
        <v>21</v>
      </c>
      <c r="W8" s="74">
        <v>17</v>
      </c>
      <c r="X8" s="74">
        <v>8</v>
      </c>
      <c r="Y8" s="74">
        <v>14</v>
      </c>
      <c r="Z8" s="74">
        <v>10</v>
      </c>
      <c r="AA8" s="74">
        <v>13</v>
      </c>
      <c r="AB8" s="74">
        <v>7</v>
      </c>
      <c r="AC8" s="74">
        <v>12</v>
      </c>
      <c r="AD8" s="74">
        <v>12</v>
      </c>
      <c r="AE8" s="74">
        <v>18</v>
      </c>
    </row>
    <row r="9" spans="1:99" ph="1">
      <c r="B9" s="252" ph="1">
        <v>0.66666666666666663</v>
      </c>
      <c r="C9" s="162" t="s" ph="1">
        <v>182</v>
      </c>
      <c r="D9" s="71">
        <v>2131</v>
      </c>
      <c r="E9" s="71">
        <v>1649</v>
      </c>
      <c r="F9" s="71">
        <v>1586</v>
      </c>
      <c r="G9" s="71">
        <v>8988</v>
      </c>
      <c r="H9" s="71">
        <v>3995</v>
      </c>
      <c r="I9" s="71">
        <v>27.02</v>
      </c>
      <c r="J9" s="71">
        <v>7.76</v>
      </c>
      <c r="K9" s="71">
        <v>7.15</v>
      </c>
      <c r="L9" s="71">
        <v>26.95</v>
      </c>
      <c r="M9" s="71">
        <v>3382</v>
      </c>
      <c r="N9" s="71">
        <v>3627</v>
      </c>
      <c r="O9" s="71">
        <v>4838</v>
      </c>
      <c r="P9" s="71">
        <v>615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1814</v>
      </c>
      <c r="W9" s="71">
        <v>6992</v>
      </c>
      <c r="X9" s="71">
        <v>3103</v>
      </c>
      <c r="Y9" s="71">
        <v>2037</v>
      </c>
      <c r="Z9" s="71">
        <v>1575</v>
      </c>
      <c r="AA9" s="71">
        <v>1567</v>
      </c>
      <c r="AB9" s="71">
        <v>1522</v>
      </c>
      <c r="AC9" s="71">
        <v>6695</v>
      </c>
      <c r="AD9" s="71">
        <v>691</v>
      </c>
      <c r="AE9" s="71">
        <v>2960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67431.891052799998</v>
      </c>
      <c r="E10" s="73" ph="1">
        <f>E9*51.53*LOOKUP(E11,密度!$A$2:$A$50,密度!$B$2:$B$50)</f>
        <v>66890.721984000003</v>
      </c>
      <c r="F10" s="73" ph="1">
        <f>F9*33.183*LOOKUP(F11,密度!$A$2:$A$50,密度!$C$2:$C$50)</f>
        <v>58691.011017599994</v>
      </c>
      <c r="G10" s="73" ph="1">
        <f xml:space="preserve"> (G9+2)*51.53*LOOKUP(G11,密度!$A$2:$A$50,密度!$B$2:$B$50)</f>
        <v>364303.49608000001</v>
      </c>
      <c r="H10" s="73" ph="1">
        <f>(H9)*51.53*LOOKUP(H11,密度!$A$2:$A$50,密度!$B$2:$B$50)</f>
        <v>161890.15204000002</v>
      </c>
      <c r="I10" s="73" ph="1">
        <f>I9*290.8*1.0267</f>
        <v>8067.2090072000001</v>
      </c>
      <c r="J10" s="73" ph="1">
        <f>J9*290.8*0.7892</f>
        <v>1780.9150336000002</v>
      </c>
      <c r="K10" s="73" ph="1">
        <f>K9*290.8*1.1126</f>
        <v>2313.3401720000002</v>
      </c>
      <c r="L10" s="73" ph="1">
        <f>L9*290.8*0.777</f>
        <v>6089.3956200000002</v>
      </c>
      <c r="M10" s="73" ph="1">
        <f>M9*33.183*LOOKUP(M11,密度!$A$2:$A$50,密度!$D$2:$D$50)</f>
        <v>116130.3327288</v>
      </c>
      <c r="N10" s="73" ph="1">
        <f>N9*33.183*LOOKUP(N11,密度!$A$2:$A$50,密度!$E$2:$E$50)</f>
        <v>95381.132242499996</v>
      </c>
      <c r="O10" s="73" ph="1">
        <f>O9*20.428*LOOKUP(O11,密度!$A$2:$A$50,密度!$C$2:$C$50)</f>
        <v>109889.81530160001</v>
      </c>
      <c r="P10" s="73" ph="1">
        <f>P9*51.53*LOOKUP(P11,密度!$A$2:$A$50,密度!$B$2:$B$50)</f>
        <v>24972.4686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12053.093975999998</v>
      </c>
      <c r="W10" s="73" ph="1">
        <f>W9*1.5*1.5*3.1416*LOOKUP(W11,密度!$A$2:$A$50,密度!$L$2:$L$50)</f>
        <v>46754.774035199996</v>
      </c>
      <c r="X10" s="73" ph="1">
        <f>X9*1.5*1.5*3.1416*LOOKUP(X11,密度!$A$2:$A$50,密度!$L$2:$L$50)</f>
        <v>20902.974107399998</v>
      </c>
      <c r="Y10" s="73" ph="1">
        <f>Y9*1.5*1.5*3.1416*LOOKUP(Y11,密度!$A$2:$A$50,密度!$L$2:$L$50)</f>
        <v>13606.807599</v>
      </c>
      <c r="Z10" s="73" ph="1">
        <f>Z9*33.183*LOOKUP(Z11,密度!$A$2:$A$50,密度!$L$2:$L$50)</f>
        <v>49336.484399999994</v>
      </c>
      <c r="AA10" s="73" ph="1">
        <f>AA9*33.183*LOOKUP(AA11,密度!$A$2:$A$50,密度!$D$2:$D$50)</f>
        <v>53807.283082799993</v>
      </c>
      <c r="AB10" s="73" ph="1">
        <f>AB9*20.428*LOOKUP(AB11,密度!$A$2:$A$50,密度!$D$2:$D$50)</f>
        <v>32391.037188800005</v>
      </c>
      <c r="AC10" s="73" ph="1">
        <f>AC9*51.53*LOOKUP(AC11,密度!$A$2:$A$50,密度!$Q$2:$Q$50)</f>
        <v>329309.95230900007</v>
      </c>
      <c r="AD10" s="73" ph="1">
        <f>AD9*20.428*LOOKUP(AD11,密度!$A$2:$A$50,密度!$V$2:$V$50)</f>
        <v>13607.581072000001</v>
      </c>
      <c r="AE10" s="73" ph="1">
        <f>AE9*20.428</f>
        <v>60466.880000000005</v>
      </c>
    </row>
    <row r="11" spans="1:99" ph="1">
      <c r="A11" s="64" t="s" ph="1">
        <v>164</v>
      </c>
      <c r="B11" s="252" ph="1"/>
      <c r="C11" s="162" t="s" ph="1">
        <v>181</v>
      </c>
      <c r="D11" s="74">
        <v>16</v>
      </c>
      <c r="E11" s="74">
        <v>16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21</v>
      </c>
      <c r="P11" s="74">
        <v>15</v>
      </c>
      <c r="Q11" s="74">
        <v>16</v>
      </c>
      <c r="R11" s="74">
        <v>22</v>
      </c>
      <c r="S11" s="74">
        <v>12</v>
      </c>
      <c r="T11" s="74">
        <v>14</v>
      </c>
      <c r="U11" s="74">
        <v>16</v>
      </c>
      <c r="V11" s="74">
        <v>22</v>
      </c>
      <c r="W11" s="74">
        <v>16</v>
      </c>
      <c r="X11" s="74">
        <v>9</v>
      </c>
      <c r="Y11" s="74">
        <v>17</v>
      </c>
      <c r="Z11" s="74">
        <v>18</v>
      </c>
      <c r="AA11" s="74">
        <v>16</v>
      </c>
      <c r="AB11" s="74">
        <v>8</v>
      </c>
      <c r="AC11" s="74">
        <v>14</v>
      </c>
      <c r="AD11" s="74">
        <v>15</v>
      </c>
      <c r="AE11" s="74">
        <v>19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0</v>
      </c>
      <c r="E15" s="78">
        <v>75</v>
      </c>
      <c r="F15" s="78">
        <v>1302</v>
      </c>
      <c r="G15" s="78">
        <v>1610</v>
      </c>
      <c r="H15" s="78">
        <v>111</v>
      </c>
      <c r="I15" s="78">
        <v>1687</v>
      </c>
      <c r="J15" s="78">
        <v>624</v>
      </c>
      <c r="K15" s="78">
        <v>1286</v>
      </c>
      <c r="L15" s="78">
        <v>5592</v>
      </c>
      <c r="M15" s="78">
        <v>3242</v>
      </c>
      <c r="N15" s="78">
        <v>13</v>
      </c>
      <c r="O15" s="78">
        <v>14</v>
      </c>
      <c r="P15" s="78">
        <v>2214</v>
      </c>
      <c r="Q15" s="78">
        <v>5168</v>
      </c>
      <c r="R15" s="78">
        <v>3480</v>
      </c>
      <c r="S15" s="78">
        <v>6799</v>
      </c>
      <c r="T15" s="78">
        <v>2609</v>
      </c>
      <c r="U15" s="78">
        <v>6575</v>
      </c>
      <c r="V15" s="78">
        <v>388</v>
      </c>
      <c r="W15" s="71">
        <v>-596</v>
      </c>
      <c r="X15" s="78">
        <v>292</v>
      </c>
      <c r="Y15" s="106">
        <v>-9900</v>
      </c>
      <c r="Z15" s="78">
        <v>0</v>
      </c>
      <c r="AA15" s="78">
        <v>2492</v>
      </c>
      <c r="AB15" s="78" ph="1">
        <v>6839</v>
      </c>
      <c r="AC15" s="78" ph="1">
        <v>6487</v>
      </c>
      <c r="AD15" s="78">
        <v>5.48</v>
      </c>
      <c r="AE15" s="78">
        <v>78.010000000000005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0</v>
      </c>
      <c r="E16" s="73" ph="1">
        <f>E15*7.0686*LOOKUP(E17,密度!$A$2:$A$50,密度!$L$2:$L$50)</f>
        <v>502.04731499999997</v>
      </c>
      <c r="F16" s="73" ph="1">
        <f>F15*9.0746*LOOKUP(F17,密度!$A$2:$A$50,密度!$L$2:$L$50)</f>
        <v>11188.927352399998</v>
      </c>
      <c r="G16" s="73" ph="1">
        <f>G15*9.0746*LOOKUP(G17,密度!$A$2:$A$50,密度!$B$2:$B$50)</f>
        <v>11525.9126234</v>
      </c>
      <c r="H16" s="73" ph="1">
        <f>H15*9.0746*LOOKUP(H17,密度!$A$2:$A$50,密度!$L$2:$L$50)</f>
        <v>956.91656999999998</v>
      </c>
      <c r="I16" s="73" ph="1">
        <f>I15*9.0746*LOOKUP(I17,密度!$A$2:$A$50,密度!$U$2:$U$50)</f>
        <v>15737.4980056</v>
      </c>
      <c r="J16" s="73" ph="1">
        <f>J15*9.0746*LOOKUP(J17,密度!$A$2:$A$50,密度!$L$2:$L$50)</f>
        <v>5362.4352288</v>
      </c>
      <c r="K16" s="73" ph="1">
        <f>K15*9.0746*LOOKUP(K17,密度!$A$2:$A$50,密度!$C$2:$C$50)</f>
        <v>13021.31414248</v>
      </c>
      <c r="L16" s="73" ph="1">
        <f>L15*9.0746*LOOKUP(L17,密度!$A$2:$A$50,密度!$E$2:$E$50)</f>
        <v>40327.181195040001</v>
      </c>
      <c r="M16" s="73" ph="1">
        <f>M15*9.0746*LOOKUP(M17,密度!$A$2:$A$50,密度!$M$2:$M$50)</f>
        <v>25898.296771960002</v>
      </c>
      <c r="N16" s="73" ph="1">
        <f>N15*9.0746*LOOKUP(N17,密度!$A$2:$A$50,密度!$M$2:$M$50)</f>
        <v>103.84881494</v>
      </c>
      <c r="O16" s="73" ph="1">
        <f>O15*9.0746*LOOKUP(O17,密度!$A$2:$A$50,密度!$G$2:$G$50)</f>
        <v>123.38552127999999</v>
      </c>
      <c r="P16" s="73" ph="1">
        <f ca="1">P15*9.0746*LOOKUP(P17,密度!$A$2:$A$51,密度!$Q$2:$Q$50)</f>
        <v>19177.820066376004</v>
      </c>
      <c r="Q16" s="73" ph="1">
        <f>Q15*9.0746*LOOKUP(Q17,密度!$A$2:$A$50,密度!$Q$2:$Q$50)</f>
        <v>44765.570958912002</v>
      </c>
      <c r="R16" s="73" ph="1">
        <f>MAX(R15*9.0746*LOOKUP(R17,密度!$A$2:$A$50,密度!$B$2:$B$50),0)</f>
        <v>24913.152751200003</v>
      </c>
      <c r="S16" s="73" ph="1">
        <f>S15*9.0746*LOOKUP(S17,密度!$A$2:$A$50,密度!$Q$2:$Q$50)</f>
        <v>58893.404982516004</v>
      </c>
      <c r="T16" s="73" ph="1">
        <f>T15*9.0746*LOOKUP(T17,密度!$A$2:$A$50,密度!$O$2:$O$50)</f>
        <v>22113.039727600004</v>
      </c>
      <c r="U16" s="73" ph="1">
        <f>U15*9.0746*LOOKUP(U17,密度!$A$2:$A$50,密度!$H$2:$H$50)</f>
        <v>55172.683226499998</v>
      </c>
      <c r="V16" s="73" ph="1">
        <f>MAX(5600*LOOKUP(V17,密度!$A$2:$A$50,密度!$Q$2:$Q$50)+V15*9.0476*LOOKUP(V17,密度!$A$2:$A$50,密度!$Q$2:$Q$50),0)</f>
        <v>8680.4546726400004</v>
      </c>
      <c r="W16" s="73" ph="1">
        <f>MAX(5600*LOOKUP(W17,密度!$A$2:$A$50,密度!$Q$2:$Q$50)+W15*9.0476*LOOKUP(W17,密度!$A$2:$A$50,密度!$Q$2:$Q$50),0)</f>
        <v>197.83024512000156</v>
      </c>
      <c r="X16" s="73" ph="1">
        <f>MAX(5600*LOOKUP(X17,密度!$A$2:$A$50,密度!$I$2:$I$50)+X15*9.0476*LOOKUP(X17,密度!$A$2:$A$50,密度!$I$2:$I$50),0)</f>
        <v>8543.5527107199996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17840.108234480002</v>
      </c>
      <c r="AB16" s="73" ph="1">
        <f>AB15*9.0746*LOOKUP(AB17,密度!$A$2:$A$50,密度!$L$2:$L$50)</f>
        <v>58771.946361800001</v>
      </c>
      <c r="AC16" s="73" ph="1">
        <f>AC15*9.0746*LOOKUP(AC17,密度!$A$2:$A$50,密度!$L$2:$L$50)</f>
        <v>55805.849829599996</v>
      </c>
      <c r="AD16" s="73" ph="1">
        <f>AD15*268.68*LOOKUP(AD17,密度!$A$2:$A$50,密度!B2:B50)+IF(AD15&lt;=0,0,1566*LOOKUP(AD17,密度!$A$2:$A$50,密度!B2:B50))</f>
        <v>2368.7104454399996</v>
      </c>
      <c r="AE16" s="73" ph="1">
        <f>AE15*268.68*LOOKUP(AE17,密度!$A$2:$A$50,密度!B2:B50)+IF(AE15&lt;=0,0,1566*LOOKUP(AE17,密度!$A$2:$A$50,密度!B2:B50))</f>
        <v>17561.056613279998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15</v>
      </c>
      <c r="E17" s="74">
        <v>15</v>
      </c>
      <c r="F17" s="74">
        <v>15</v>
      </c>
      <c r="G17" s="74">
        <v>14</v>
      </c>
      <c r="H17" s="74">
        <v>12</v>
      </c>
      <c r="I17" s="74">
        <v>13</v>
      </c>
      <c r="J17" s="74">
        <v>15</v>
      </c>
      <c r="K17" s="74">
        <v>15</v>
      </c>
      <c r="L17" s="74">
        <v>15</v>
      </c>
      <c r="M17" s="74">
        <v>15</v>
      </c>
      <c r="N17" s="74">
        <v>14</v>
      </c>
      <c r="O17" s="74">
        <v>15</v>
      </c>
      <c r="P17" s="74">
        <v>14</v>
      </c>
      <c r="Q17" s="74">
        <v>15</v>
      </c>
      <c r="R17" s="74">
        <v>14</v>
      </c>
      <c r="S17" s="74">
        <v>15</v>
      </c>
      <c r="T17" s="74">
        <v>14</v>
      </c>
      <c r="U17" s="74">
        <v>15</v>
      </c>
      <c r="V17" s="74">
        <v>17</v>
      </c>
      <c r="W17" s="74">
        <v>17</v>
      </c>
      <c r="X17" s="74">
        <v>30</v>
      </c>
      <c r="Y17" s="108">
        <v>30</v>
      </c>
      <c r="Z17" s="74">
        <v>14</v>
      </c>
      <c r="AA17" s="74">
        <v>14</v>
      </c>
      <c r="AB17" s="74">
        <v>15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0</v>
      </c>
      <c r="E18" s="71">
        <v>75</v>
      </c>
      <c r="F18" s="71">
        <v>1306</v>
      </c>
      <c r="G18" s="71">
        <v>1639</v>
      </c>
      <c r="H18" s="71">
        <v>111</v>
      </c>
      <c r="I18" s="71">
        <v>1687</v>
      </c>
      <c r="J18" s="71">
        <v>631</v>
      </c>
      <c r="K18" s="71">
        <v>1286</v>
      </c>
      <c r="L18" s="71">
        <v>5594</v>
      </c>
      <c r="M18" s="71">
        <v>294</v>
      </c>
      <c r="N18" s="71">
        <v>2090</v>
      </c>
      <c r="O18" s="71">
        <v>0</v>
      </c>
      <c r="P18" s="71">
        <v>2214</v>
      </c>
      <c r="Q18" s="71">
        <v>5167</v>
      </c>
      <c r="R18" s="71">
        <v>3483</v>
      </c>
      <c r="S18" s="71">
        <v>6799</v>
      </c>
      <c r="T18" s="71">
        <v>2216</v>
      </c>
      <c r="U18" s="71">
        <v>6574</v>
      </c>
      <c r="V18" s="71">
        <v>388</v>
      </c>
      <c r="W18" s="71">
        <v>-596</v>
      </c>
      <c r="X18" s="71">
        <v>292</v>
      </c>
      <c r="Y18" s="109">
        <v>-9900</v>
      </c>
      <c r="Z18" s="71">
        <v>0</v>
      </c>
      <c r="AA18" s="71">
        <v>2492</v>
      </c>
      <c r="AB18" s="71">
        <v>6840</v>
      </c>
      <c r="AC18" s="71">
        <v>6489</v>
      </c>
      <c r="AD18" s="71">
        <v>14.6</v>
      </c>
      <c r="AE18" s="71">
        <v>84.45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0</v>
      </c>
      <c r="E19" s="73" ph="1">
        <f>E18*7.0686*LOOKUP(E20,密度!$A$2:$A$50,密度!$L$2:$L$50)</f>
        <v>501.51716999999996</v>
      </c>
      <c r="F19" s="73" ph="1">
        <f>F18*9.0746*LOOKUP(F20,密度!$A$2:$A$50,密度!$L$2:$L$50)</f>
        <v>11211.450509600001</v>
      </c>
      <c r="G19" s="73" ph="1">
        <f>G18*9.0746*LOOKUP(G20,密度!$A$2:$A$50,密度!$B$2:$B$50)</f>
        <v>11708.237671680001</v>
      </c>
      <c r="H19" s="73" ph="1">
        <f>H18*9.0746*LOOKUP(H20,密度!$A$2:$A$50,密度!$L$2:$L$50)</f>
        <v>954.90200879999998</v>
      </c>
      <c r="I19" s="73" ph="1">
        <f>I18*9.0746*LOOKUP(I20,密度!$A$2:$A$50,密度!$U$2:$U$50)</f>
        <v>15737.4980056</v>
      </c>
      <c r="J19" s="73" ph="1">
        <f>J18*9.0746*LOOKUP(J20,密度!$A$2:$A$50,密度!$L$2:$L$50)</f>
        <v>5405.4125344000004</v>
      </c>
      <c r="K19" s="73" ph="1">
        <f>K18*9.0746*LOOKUP(K20,密度!$A$2:$A$50,密度!$C$2:$C$50)</f>
        <v>12999.14126484</v>
      </c>
      <c r="L19" s="73" ph="1">
        <f>L18*9.0746*LOOKUP(L20,密度!$A$2:$A$50,密度!$E$2:$E$50)</f>
        <v>40285.76472064</v>
      </c>
      <c r="M19" s="73" ph="1">
        <f>M18*9.0746*LOOKUP(M20,密度!$A$2:$A$50,密度!$M$2:$M$50)</f>
        <v>2348.5808917200002</v>
      </c>
      <c r="N19" s="73" ph="1">
        <f>N18*9.0746*LOOKUP(N20,密度!$A$2:$A$50,密度!$M$2:$M$50)</f>
        <v>16695.6940942</v>
      </c>
      <c r="O19" s="73" ph="1">
        <f>O18*9.0746*LOOKUP(O20,密度!$A$2:$A$50,密度!$G$2:$G$50)</f>
        <v>0</v>
      </c>
      <c r="P19" s="73" ph="1">
        <f ca="1">P18*9.0746*LOOKUP(P20,密度!$A$2:$A$51,密度!$Q$2:$Q$50)</f>
        <v>19177.820066376004</v>
      </c>
      <c r="Q19" s="73" ph="1">
        <f>Q18*9.0746*LOOKUP(Q20,密度!$A$2:$A$50,密度!$Q$2:$Q$50)</f>
        <v>44712.83373952</v>
      </c>
      <c r="R19" s="73" ph="1">
        <f>MAX(R18*9.0746*LOOKUP(R20,密度!$A$2:$A$50,密度!$B$2:$B$50),0)</f>
        <v>24906.183458400003</v>
      </c>
      <c r="S19" s="73" ph="1">
        <f>S18*9.0746*LOOKUP(S20,密度!$A$2:$A$50,密度!$Q$2:$Q$50)</f>
        <v>58835.408669439996</v>
      </c>
      <c r="T19" s="73" ph="1">
        <f>T18*9.0746*LOOKUP(T20,密度!$A$2:$A$50,密度!$O$2:$O$50)</f>
        <v>18782.098902400001</v>
      </c>
      <c r="U19" s="73" ph="1">
        <f>U18*9.0746*LOOKUP(U20,密度!$A$2:$A$50,密度!$H$2:$H$50)</f>
        <v>55104.635523479999</v>
      </c>
      <c r="V19" s="73" ph="1">
        <f>MAX(5600*LOOKUP(V20,密度!$A$2:$A$50,密度!$Q$2:$Q$50)+V18*9.0476*LOOKUP(V20,密度!$A$2:$A$50,密度!$Q$2:$Q$50),0)</f>
        <v>8687.74304768</v>
      </c>
      <c r="W19" s="73" ph="1">
        <f>MAX(5600*LOOKUP(W20,密度!$A$2:$A$50,密度!$Q$2:$Q$50)+W18*9.0476*LOOKUP(W20,密度!$A$2:$A$50,密度!$Q$2:$Q$50),0)</f>
        <v>197.99634944000081</v>
      </c>
      <c r="X19" s="73" ph="1">
        <f>MAX(5600*LOOKUP(X20,密度!$A$2:$A$50,密度!$I$2:$I$50)+X18*9.0476*LOOKUP(X20,密度!$A$2:$A$50,密度!$I$2:$I$50),0)</f>
        <v>8534.5690405919995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17819.755721600002</v>
      </c>
      <c r="AB19" s="73" ph="1">
        <f>AB18*9.0746*LOOKUP(AB20,密度!$A$2:$A$50,密度!$L$2:$L$50)</f>
        <v>58780.540007999996</v>
      </c>
      <c r="AC19" s="73" ph="1">
        <f>AC18*9.0746*LOOKUP(AC20,密度!$A$2:$A$50,密度!$L$2:$L$50)</f>
        <v>55764.170191799996</v>
      </c>
      <c r="AD19" s="73" ph="1">
        <f>AD18*268.68*LOOKUP(AD20,密度!$A$2:$A$50,密度!B5:B53)+IF(AD18&lt;=0,0,1566*LOOKUP(AD20,密度!$A$2:$A$50,密度!B5:B53))</f>
        <v>4264.7416560000001</v>
      </c>
      <c r="AE19" s="73" ph="1">
        <f>AE18*268.68*LOOKUP(AE20,密度!$A$2:$A$50,密度!B5:B53)+IF(AE18&lt;=0,0,1566*LOOKUP(AE20,密度!$A$2:$A$50,密度!B5:B53))</f>
        <v>18846.932202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16</v>
      </c>
      <c r="E20" s="81">
        <v>16</v>
      </c>
      <c r="F20" s="81">
        <v>16</v>
      </c>
      <c r="G20" s="81">
        <v>16</v>
      </c>
      <c r="H20" s="81">
        <v>14</v>
      </c>
      <c r="I20" s="81">
        <v>17</v>
      </c>
      <c r="J20" s="81">
        <v>18</v>
      </c>
      <c r="K20" s="81">
        <v>18</v>
      </c>
      <c r="L20" s="81">
        <v>16</v>
      </c>
      <c r="M20" s="81">
        <v>16</v>
      </c>
      <c r="N20" s="81">
        <v>16</v>
      </c>
      <c r="O20" s="81">
        <v>18</v>
      </c>
      <c r="P20" s="81">
        <v>15</v>
      </c>
      <c r="Q20" s="81">
        <v>16</v>
      </c>
      <c r="R20" s="81">
        <v>15</v>
      </c>
      <c r="S20" s="81">
        <v>16</v>
      </c>
      <c r="T20" s="81">
        <v>15</v>
      </c>
      <c r="U20" s="81">
        <v>16</v>
      </c>
      <c r="V20" s="81">
        <v>16</v>
      </c>
      <c r="W20" s="81">
        <v>16</v>
      </c>
      <c r="X20" s="81">
        <v>31</v>
      </c>
      <c r="Y20" s="110">
        <v>31</v>
      </c>
      <c r="Z20" s="81">
        <v>18</v>
      </c>
      <c r="AA20" s="81">
        <v>15</v>
      </c>
      <c r="AB20" s="81">
        <v>15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655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98.12</v>
      </c>
      <c r="E24" s="71">
        <v>95.09</v>
      </c>
      <c r="F24" s="71">
        <v>4011</v>
      </c>
      <c r="G24" s="71">
        <v>2586</v>
      </c>
      <c r="H24" s="71">
        <v>2150</v>
      </c>
      <c r="I24" s="71">
        <v>5507</v>
      </c>
      <c r="J24" s="71">
        <v>2462</v>
      </c>
      <c r="K24" s="71">
        <v>5607</v>
      </c>
      <c r="L24" s="71">
        <v>5579</v>
      </c>
      <c r="M24" s="71">
        <v>2796</v>
      </c>
      <c r="N24" s="71">
        <v>1996</v>
      </c>
      <c r="O24" s="71">
        <v>3514</v>
      </c>
      <c r="P24" s="71">
        <v>831</v>
      </c>
      <c r="Q24" s="90">
        <v>2003</v>
      </c>
      <c r="R24" s="71">
        <v>6341</v>
      </c>
      <c r="S24" s="71">
        <v>4266</v>
      </c>
      <c r="T24" s="71">
        <v>904</v>
      </c>
      <c r="U24" s="71">
        <v>4111</v>
      </c>
      <c r="V24" s="71">
        <v>9608</v>
      </c>
      <c r="W24" s="71">
        <v>10855</v>
      </c>
      <c r="X24" s="71">
        <v>6285</v>
      </c>
      <c r="Y24" s="71">
        <v>5221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26441.389365984003</v>
      </c>
      <c r="E25" s="91" ph="1">
        <f>E24*268.68*LOOKUP(E26,密度!$A$2:$A$50,密度!$C$2:$C$50)+IF(E24&lt;=0,0,1566*LOOKUP(E26,密度!$A$2:$A$50,密度!$C$2:$C$50))</f>
        <v>30067.580872680002</v>
      </c>
      <c r="F25" s="91" ph="1">
        <f>F24*11.702*LOOKUP(F26,密度!$A$2:$A$50,密度!$Q$2:$Q$50)</f>
        <v>44758.858099199999</v>
      </c>
      <c r="G25" s="91" ph="1">
        <f>G24*18.322*LOOKUP(G26,密度!$A$2:$A$50,密度!$B$2:$B$50)</f>
        <v>37298.080742399994</v>
      </c>
      <c r="H25" s="91" ph="1">
        <f>H24*18.322*LOOKUP(H26,密度!$A$2:$A$50,密度!$B$2:$B$50)</f>
        <v>31009.618559999995</v>
      </c>
      <c r="I25" s="91" ph="1">
        <f>I24*18.322*LOOKUP(I26,密度!$A$2:$A$50,密度!$Q$2:$Q$50)</f>
        <v>96136.809211200001</v>
      </c>
      <c r="J25" s="91" ph="1">
        <f>J24*18.322*LOOKUP(J26,密度!$A$2:$A$50,密度!$Q$2:$Q$50)</f>
        <v>42979.630339199997</v>
      </c>
      <c r="K25" s="91" ph="1">
        <f>K24*18.322*LOOKUP(K26,密度!$A$2:$A$50,密度!$Q$2:$Q$50)</f>
        <v>97882.529371199998</v>
      </c>
      <c r="L25" s="91" ph="1">
        <f>L24*18.322*LOOKUP(L26,密度!$A$2:$A$50,密度!$Q$2:$Q$50)</f>
        <v>97393.727726399986</v>
      </c>
      <c r="M25" s="91" ph="1">
        <f>M24*18.322*LOOKUP(M26,密度!$A$2:$A$50,密度!$Q$2:$Q$50)</f>
        <v>48851.318323200001</v>
      </c>
      <c r="N25" s="91" ph="1">
        <f>N24*18.322*LOOKUP(N26,密度!$A$2:$A$50,密度!$Q$2:$Q$50)</f>
        <v>34844.5743936</v>
      </c>
      <c r="O25" s="91" ph="1">
        <f>O24*18.322*LOOKUP(O26,密度!$A$2:$A$50,密度!$C$2:$C$50)</f>
        <v>71800.488121599992</v>
      </c>
      <c r="P25" s="91" ph="1">
        <f>P24*11.702*LOOKUP(P26,密度!$A$2:$A$50,密度!$B$2:$B$50)</f>
        <v>7647.2382767999989</v>
      </c>
      <c r="Q25" s="92" ph="1">
        <f>Q24*18.322*LOOKUP(Q26,密度!$A$2:$A$50,密度!$B$2:$B$50)</f>
        <v>28889.426035200002</v>
      </c>
      <c r="R25" s="91" ph="1">
        <f>R24*35.891*LOOKUP(R26,密度!$A$2:$A$50,密度!$C$2:$C$50)</f>
        <v>253802.60353119997</v>
      </c>
      <c r="S25" s="91" ph="1">
        <f>S24*35.891*LOOKUP(S26,密度!$A$2:$A$50,密度!$B$2:$B$50)</f>
        <v>120528.98392319999</v>
      </c>
      <c r="T25" s="91" ph="1">
        <f>T24*35.891*LOOKUP(T26,密度!$A$2:$A$50,密度!$Q$2:$Q$50)</f>
        <v>30914.038099199999</v>
      </c>
      <c r="U25" s="91" ph="1">
        <f>U24*35.891</f>
        <v>147547.90099999998</v>
      </c>
      <c r="V25" s="91" ph="1">
        <f>V24*47.051*LOOKUP(V26,密度!$A$2:$A$50,密度!$B$2:$B$50)</f>
        <v>355866.36149760004</v>
      </c>
      <c r="W25" s="91" ph="1">
        <f>W24*47.051*LOOKUP(W26,密度!$A$2:$A$50,密度!$B$2:$B$50)</f>
        <v>401644.838972</v>
      </c>
      <c r="X25" s="91" ph="1">
        <f>X24*47.051*LOOKUP(X26,密度!$A$2:$A$50,密度!$I$2:$I$50)</f>
        <v>306254.83666740003</v>
      </c>
      <c r="Y25" s="91" ph="1">
        <f>Y24*47.051*LOOKUP(Y26,密度!$A$2:$A$50,密度!$L$2:$L$50)</f>
        <v>232142.34109499998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16</v>
      </c>
      <c r="G26" s="74">
        <v>16</v>
      </c>
      <c r="H26" s="74">
        <v>16</v>
      </c>
      <c r="I26" s="74">
        <v>17</v>
      </c>
      <c r="J26" s="74">
        <v>17</v>
      </c>
      <c r="K26" s="74">
        <v>17</v>
      </c>
      <c r="L26" s="74">
        <v>17</v>
      </c>
      <c r="M26" s="74">
        <v>16</v>
      </c>
      <c r="N26" s="74">
        <v>17</v>
      </c>
      <c r="O26" s="74">
        <v>16</v>
      </c>
      <c r="P26" s="74">
        <v>17</v>
      </c>
      <c r="Q26" s="93">
        <v>16</v>
      </c>
      <c r="R26" s="74">
        <v>16</v>
      </c>
      <c r="S26" s="74">
        <v>16</v>
      </c>
      <c r="T26" s="74">
        <v>17</v>
      </c>
      <c r="U26" s="74">
        <v>17</v>
      </c>
      <c r="V26" s="74">
        <v>16</v>
      </c>
      <c r="W26" s="74">
        <v>17</v>
      </c>
      <c r="X26" s="74">
        <v>59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98.16</v>
      </c>
      <c r="E27" s="71">
        <v>95.06</v>
      </c>
      <c r="F27" s="71">
        <v>3122</v>
      </c>
      <c r="G27" s="71">
        <v>2143</v>
      </c>
      <c r="H27" s="71">
        <v>1802</v>
      </c>
      <c r="I27" s="71">
        <v>5507</v>
      </c>
      <c r="J27" s="71">
        <v>2488</v>
      </c>
      <c r="K27" s="71">
        <v>5606</v>
      </c>
      <c r="L27" s="71">
        <v>5578</v>
      </c>
      <c r="M27" s="71">
        <v>5007</v>
      </c>
      <c r="N27" s="71">
        <v>1987</v>
      </c>
      <c r="O27" s="71">
        <v>3512</v>
      </c>
      <c r="P27" s="71">
        <v>828</v>
      </c>
      <c r="Q27" s="90">
        <v>2289</v>
      </c>
      <c r="R27" s="71">
        <v>6338</v>
      </c>
      <c r="S27" s="71">
        <v>3791</v>
      </c>
      <c r="T27" s="71">
        <v>903</v>
      </c>
      <c r="U27" s="71">
        <v>4155</v>
      </c>
      <c r="V27" s="71">
        <v>9607</v>
      </c>
      <c r="W27" s="71">
        <v>10853</v>
      </c>
      <c r="X27" s="71">
        <v>6399</v>
      </c>
      <c r="Y27" s="71">
        <v>4162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26451.564170112</v>
      </c>
      <c r="E28" s="91" ph="1">
        <f>E27*268.68*LOOKUP(E29,密度!$A$2:$A$50,密度!$C$2:$C$50)+IF(E27&lt;=0,0,1566*LOOKUP(E29,密度!$A$2:$A$50,密度!$C$2:$C$50))</f>
        <v>30058.642695120005</v>
      </c>
      <c r="F28" s="91" ph="1">
        <f>F27*11.702*LOOKUP(F29,密度!$A$2:$A$50,密度!$Q$2:$Q$50)</f>
        <v>34809.256003199996</v>
      </c>
      <c r="G28" s="91" ph="1">
        <f>G27*18.322*LOOKUP(G29,密度!$A$2:$A$50,密度!$B$2:$B$50)</f>
        <v>30908.657011199997</v>
      </c>
      <c r="H28" s="91" ph="1">
        <f>H27*18.322*LOOKUP(H29,密度!$A$2:$A$50,密度!$B$2:$B$50)</f>
        <v>25990.3872768</v>
      </c>
      <c r="I28" s="91" ph="1">
        <f>I27*18.322*LOOKUP(I29,密度!$A$2:$A$50,密度!$Q$2:$Q$50)</f>
        <v>96217.528614399998</v>
      </c>
      <c r="J28" s="91" ph="1">
        <f>J27*18.322*LOOKUP(J29,密度!$A$2:$A$50,密度!$Q$2:$Q$50)</f>
        <v>43433.517580799999</v>
      </c>
      <c r="K28" s="91" ph="1">
        <f>K27*18.322*LOOKUP(K29,密度!$A$2:$A$50,密度!$Q$2:$Q$50)</f>
        <v>97947.242675200003</v>
      </c>
      <c r="L28" s="91" ph="1">
        <f>L27*18.322*LOOKUP(L29,密度!$A$2:$A$50,密度!$Q$2:$Q$50)</f>
        <v>97458.030617600001</v>
      </c>
      <c r="M28" s="91" ph="1">
        <f>M27*18.322*LOOKUP(M29,密度!$A$2:$A$50,密度!$Q$2:$Q$50)</f>
        <v>87408.208411200001</v>
      </c>
      <c r="N28" s="91" ph="1">
        <f>N27*18.322*LOOKUP(N29,密度!$A$2:$A$50,密度!$Q$2:$Q$50)</f>
        <v>34687.459579199996</v>
      </c>
      <c r="O28" s="91" ph="1">
        <f>O27*18.322*LOOKUP(O29,密度!$A$2:$A$50,密度!$C$2:$C$50)</f>
        <v>71675.971809599985</v>
      </c>
      <c r="P28" s="91" ph="1">
        <f>P27*11.702*LOOKUP(P29,密度!$A$2:$A$50,密度!$B$2:$B$50)</f>
        <v>7619.6309183999992</v>
      </c>
      <c r="Q28" s="92" ph="1">
        <f>Q27*18.322*LOOKUP(Q29,密度!$A$2:$A$50,密度!$B$2:$B$50)</f>
        <v>32980.8752112</v>
      </c>
      <c r="R28" s="91" ph="1">
        <f>R27*35.891*LOOKUP(R29,密度!$A$2:$A$50,密度!$C$2:$C$50)</f>
        <v>253523.292591</v>
      </c>
      <c r="S28" s="91" ph="1">
        <f>S27*35.891*LOOKUP(S29,密度!$A$2:$A$50,密度!$B$2:$B$50)</f>
        <v>106904.52703169998</v>
      </c>
      <c r="T28" s="91" ph="1">
        <f>T27*35.891*LOOKUP(T29,密度!$A$2:$A$50,密度!$Q$2:$Q$50)</f>
        <v>30879.841154399997</v>
      </c>
      <c r="U28" s="91" ph="1">
        <f>U27*35.891</f>
        <v>149127.10499999998</v>
      </c>
      <c r="V28" s="91" ph="1">
        <f>V27*47.051*LOOKUP(V29,密度!$A$2:$A$50,密度!$B$2:$B$50)</f>
        <v>355151.29451489996</v>
      </c>
      <c r="W28" s="91" ph="1">
        <f>W27*47.051*LOOKUP(W29,密度!$A$2:$A$50,密度!$B$2:$B$50)</f>
        <v>401213.38600709999</v>
      </c>
      <c r="X28" s="91" ph="1">
        <f>X27*47.051*LOOKUP(X29,密度!$A$2:$A$50,密度!$I$2:$I$50)</f>
        <v>311123.35608264001</v>
      </c>
      <c r="Y28" s="91" ph="1">
        <f>Y27*47.051*LOOKUP(Y29,密度!$A$2:$A$50,密度!$L$2:$L$50)</f>
        <v>184859.991328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17</v>
      </c>
      <c r="G29" s="74">
        <v>16</v>
      </c>
      <c r="H29" s="74">
        <v>16</v>
      </c>
      <c r="I29" s="74">
        <v>16</v>
      </c>
      <c r="J29" s="74">
        <v>17</v>
      </c>
      <c r="K29" s="74">
        <v>16</v>
      </c>
      <c r="L29" s="74">
        <v>16</v>
      </c>
      <c r="M29" s="74">
        <v>17</v>
      </c>
      <c r="N29" s="74">
        <v>17</v>
      </c>
      <c r="O29" s="74">
        <v>18</v>
      </c>
      <c r="P29" s="74">
        <v>17</v>
      </c>
      <c r="Q29" s="93">
        <v>17</v>
      </c>
      <c r="R29" s="74">
        <v>17</v>
      </c>
      <c r="S29" s="74">
        <v>18</v>
      </c>
      <c r="T29" s="74">
        <v>17</v>
      </c>
      <c r="U29" s="74">
        <v>17</v>
      </c>
      <c r="V29" s="74">
        <v>18</v>
      </c>
      <c r="W29" s="74">
        <v>18</v>
      </c>
      <c r="X29" s="74">
        <v>47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86198.320271599994</v>
      </c>
      <c r="E33" s="201" ph="1">
        <f>M10+I10</f>
        <v>124197.541736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27" ph="1">
        <v>0</v>
      </c>
      <c r="H33" s="201" ph="1">
        <f>N19</f>
        <v>16695.6940942</v>
      </c>
      <c r="I33" s="205" ph="1">
        <v>0</v>
      </c>
      <c r="J33" s="209" ph="1">
        <f>F10+O28</f>
        <v>130366.98282719997</v>
      </c>
      <c r="K33" s="201" ph="1">
        <f>O10+K10+E28+R28</f>
        <v>395785.09075972001</v>
      </c>
      <c r="L33" s="211" ph="1">
        <f>BE27</f>
        <v>7100</v>
      </c>
      <c r="M33" s="209" ph="1">
        <f>G10+H10+W28+S28</f>
        <v>1034311.5611588</v>
      </c>
      <c r="N33" s="201" ph="1">
        <f>L10+P10++G28+H28+V28</f>
        <v>443112.20302289992</v>
      </c>
      <c r="O33" s="205" ph="1">
        <f>BE17</f>
        <v>2270</v>
      </c>
      <c r="P33" s="209" ph="1">
        <f>L19</f>
        <v>40285.76472064</v>
      </c>
      <c r="Q33" s="201" ph="1">
        <f>J10+N10</f>
        <v>97162.047276099998</v>
      </c>
      <c r="R33" s="205" ph="1">
        <f>BE23</f>
        <v>890</v>
      </c>
      <c r="S33" s="209" ph="1">
        <f>E10+X28</f>
        <v>378014.07806664001</v>
      </c>
      <c r="T33" s="201" ph="1">
        <f>X19</f>
        <v>8534.5690405919995</v>
      </c>
      <c r="U33" s="190" ph="1">
        <f>BE21</f>
        <v>730</v>
      </c>
      <c r="V33" s="203" ph="1">
        <f ca="1">P19+Q19+S19+M28+N28+J28</f>
        <v>288255.248046536</v>
      </c>
      <c r="W33" s="203" ph="1">
        <f>D28+F28+V19+T28</f>
        <v>100828.40437539198</v>
      </c>
      <c r="X33" s="205" ph="1">
        <f>BE29+BE31</f>
        <v>10200</v>
      </c>
      <c r="Y33" s="207" ph="1">
        <f>+Q10+R10+S10+T10+U10+V10+W10+X10+Y10</f>
        <v>93317.649717599998</v>
      </c>
      <c r="Z33" s="188" ph="1">
        <f>D10+T19+U19+Y28+Z10</f>
        <v>375515.10120668</v>
      </c>
      <c r="AA33" s="190" ph="1">
        <f>BE19</f>
        <v>1440</v>
      </c>
      <c r="AB33" s="192" ph="1">
        <f>I19</f>
        <v>15737.4980056</v>
      </c>
      <c r="AC33" s="194" ph="1">
        <f>AD10</f>
        <v>13607.581072000001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59" priority="96">
      <formula>ABS(D$7-D$10)&gt;=1000</formula>
    </cfRule>
  </conditionalFormatting>
  <conditionalFormatting sqref="E4 E6:E11">
    <cfRule type="expression" dxfId="1258" priority="95">
      <formula>ABS(E$7-E$10)&gt;=1000</formula>
    </cfRule>
  </conditionalFormatting>
  <conditionalFormatting sqref="F4:F11">
    <cfRule type="expression" dxfId="1257" priority="94">
      <formula>ABS(F$7-F$10)&gt;=1000</formula>
    </cfRule>
  </conditionalFormatting>
  <conditionalFormatting sqref="G4:G11">
    <cfRule type="expression" dxfId="1256" priority="93">
      <formula>ABS(G$7-G$10)&gt;=1000</formula>
    </cfRule>
  </conditionalFormatting>
  <conditionalFormatting sqref="H4:H11">
    <cfRule type="expression" dxfId="1255" priority="92">
      <formula>ABS(H$7-H$10)&gt;=1000</formula>
    </cfRule>
  </conditionalFormatting>
  <conditionalFormatting sqref="I4:I11">
    <cfRule type="expression" dxfId="1254" priority="91">
      <formula>ABS(I$7-I$10)&gt;=1000</formula>
    </cfRule>
  </conditionalFormatting>
  <conditionalFormatting sqref="J4:J11">
    <cfRule type="expression" dxfId="1253" priority="90">
      <formula>ABS(J$7-J$10)&gt;=1000</formula>
    </cfRule>
  </conditionalFormatting>
  <conditionalFormatting sqref="K4:K11">
    <cfRule type="expression" dxfId="1252" priority="89">
      <formula>ABS(K$7-K$10)&gt;=1000</formula>
    </cfRule>
  </conditionalFormatting>
  <conditionalFormatting sqref="L4:L11">
    <cfRule type="expression" dxfId="1251" priority="88">
      <formula>ABS(L$7-L$10)&gt;=1000</formula>
    </cfRule>
  </conditionalFormatting>
  <conditionalFormatting sqref="M4 M6:M11">
    <cfRule type="expression" dxfId="1250" priority="87">
      <formula>ABS(M$7-M$10)&gt;=1000</formula>
    </cfRule>
  </conditionalFormatting>
  <conditionalFormatting sqref="N4 N6:N11">
    <cfRule type="expression" dxfId="1249" priority="86">
      <formula>ABS(N$7-N$10)&gt;=1000</formula>
    </cfRule>
  </conditionalFormatting>
  <conditionalFormatting sqref="O4 O6:O11">
    <cfRule type="expression" dxfId="1248" priority="85">
      <formula>ABS(O$7-O$10)&gt;=1000</formula>
    </cfRule>
  </conditionalFormatting>
  <conditionalFormatting sqref="P4 P6:P11">
    <cfRule type="expression" dxfId="1247" priority="84">
      <formula>ABS(P$7-P$10)&gt;=1000</formula>
    </cfRule>
  </conditionalFormatting>
  <conditionalFormatting sqref="Q4:Q11">
    <cfRule type="expression" dxfId="1246" priority="83">
      <formula>ABS(Q$7-Q$10)&gt;=1000</formula>
    </cfRule>
  </conditionalFormatting>
  <conditionalFormatting sqref="R4:R11">
    <cfRule type="expression" dxfId="1245" priority="82">
      <formula>ABS(R$7-R$10)&gt;=1000</formula>
    </cfRule>
  </conditionalFormatting>
  <conditionalFormatting sqref="S4:S11">
    <cfRule type="expression" dxfId="1244" priority="81">
      <formula>ABS(S$7-S$10)&gt;=1000</formula>
    </cfRule>
  </conditionalFormatting>
  <conditionalFormatting sqref="T4:T9 T11">
    <cfRule type="expression" dxfId="1243" priority="80">
      <formula>ABS(T$7-T$10)&gt;=1000</formula>
    </cfRule>
  </conditionalFormatting>
  <conditionalFormatting sqref="U4:U9 U11">
    <cfRule type="expression" dxfId="1242" priority="79">
      <formula>ABS(U$7-U$10)&gt;=1000</formula>
    </cfRule>
  </conditionalFormatting>
  <conditionalFormatting sqref="V4:V9 V11">
    <cfRule type="expression" dxfId="1241" priority="78">
      <formula>ABS(V$7-V$10)&gt;=1000</formula>
    </cfRule>
  </conditionalFormatting>
  <conditionalFormatting sqref="W4:W9 W11">
    <cfRule type="expression" dxfId="1240" priority="77">
      <formula>ABS(W$7-W$10)&gt;=1000</formula>
    </cfRule>
  </conditionalFormatting>
  <conditionalFormatting sqref="X4:X9 X11">
    <cfRule type="expression" dxfId="1239" priority="76">
      <formula>ABS(X$7-X$10)&gt;=1000</formula>
    </cfRule>
  </conditionalFormatting>
  <conditionalFormatting sqref="Y4:Y9 Y11">
    <cfRule type="expression" dxfId="1238" priority="75">
      <formula>ABS(Y$7-Y$10)&gt;=1000</formula>
    </cfRule>
  </conditionalFormatting>
  <conditionalFormatting sqref="Z4:Z11">
    <cfRule type="expression" dxfId="1237" priority="74">
      <formula>ABS(Z$7-Z$10)&gt;=1000</formula>
    </cfRule>
  </conditionalFormatting>
  <conditionalFormatting sqref="AA4:AA11">
    <cfRule type="expression" dxfId="1236" priority="73">
      <formula>ABS(AA$7-AA$10)&gt;=1000</formula>
    </cfRule>
  </conditionalFormatting>
  <conditionalFormatting sqref="AB4:AB11">
    <cfRule type="expression" dxfId="1235" priority="72">
      <formula>ABS(AB$7-AB$10)&gt;=1000</formula>
    </cfRule>
  </conditionalFormatting>
  <conditionalFormatting sqref="AC4 AC6:AC11">
    <cfRule type="expression" dxfId="1234" priority="71">
      <formula>ABS(AC$7-AC$10)&gt;=1000</formula>
    </cfRule>
  </conditionalFormatting>
  <conditionalFormatting sqref="AD4:AD11">
    <cfRule type="expression" dxfId="1233" priority="70">
      <formula>ABS(AD$7-AD$10)&gt;=1000</formula>
    </cfRule>
  </conditionalFormatting>
  <conditionalFormatting sqref="AE4:AE11">
    <cfRule type="expression" dxfId="1232" priority="69">
      <formula>ABS(AE$7-AE$10)&gt;=1000</formula>
    </cfRule>
  </conditionalFormatting>
  <conditionalFormatting sqref="D13:D20">
    <cfRule type="expression" dxfId="1231" priority="68">
      <formula>ABS(D$16-D$19)&gt;=1000</formula>
    </cfRule>
  </conditionalFormatting>
  <conditionalFormatting sqref="E13:E20">
    <cfRule type="expression" dxfId="1230" priority="67">
      <formula>ABS(E$16-E$19)&gt;=1000</formula>
    </cfRule>
  </conditionalFormatting>
  <conditionalFormatting sqref="F13 F15:F20">
    <cfRule type="expression" dxfId="1229" priority="66">
      <formula>ABS(F$16-F$19)&gt;=1000</formula>
    </cfRule>
  </conditionalFormatting>
  <conditionalFormatting sqref="G13:G20">
    <cfRule type="expression" dxfId="1228" priority="65">
      <formula>ABS(G$16-G$19)&gt;=1000</formula>
    </cfRule>
  </conditionalFormatting>
  <conditionalFormatting sqref="H13:H20">
    <cfRule type="expression" dxfId="1227" priority="64">
      <formula>ABS(H$16-H$19)&gt;=1000</formula>
    </cfRule>
  </conditionalFormatting>
  <conditionalFormatting sqref="I13:I20">
    <cfRule type="expression" dxfId="1226" priority="63">
      <formula>ABS(I$16-I$19)&gt;=1000</formula>
    </cfRule>
  </conditionalFormatting>
  <conditionalFormatting sqref="J13:J20">
    <cfRule type="expression" dxfId="1225" priority="62">
      <formula>ABS(J$16-J$19)&gt;=1000</formula>
    </cfRule>
  </conditionalFormatting>
  <conditionalFormatting sqref="L13:L20">
    <cfRule type="expression" dxfId="1224" priority="61">
      <formula>ABS(L$16-L$19)&gt;=1000</formula>
    </cfRule>
  </conditionalFormatting>
  <conditionalFormatting sqref="M13 M15 M17:M18 M20">
    <cfRule type="expression" dxfId="1223" priority="60">
      <formula>ABS(M$16-M$19)&gt;=1000</formula>
    </cfRule>
  </conditionalFormatting>
  <conditionalFormatting sqref="N13:N20">
    <cfRule type="expression" dxfId="1222" priority="59">
      <formula>ABS(N$16-N$19)&gt;=1000</formula>
    </cfRule>
  </conditionalFormatting>
  <conditionalFormatting sqref="O13:O20">
    <cfRule type="expression" dxfId="1221" priority="58">
      <formula>ABS(O$16-O$19)&gt;=1000</formula>
    </cfRule>
  </conditionalFormatting>
  <conditionalFormatting sqref="P13:P20">
    <cfRule type="expression" dxfId="1220" priority="57">
      <formula>ABS(P$16-P$19)&gt;=1000</formula>
    </cfRule>
  </conditionalFormatting>
  <conditionalFormatting sqref="Q13 Q15:Q20">
    <cfRule type="expression" dxfId="1219" priority="56">
      <formula>ABS(Q$16-Q$19)&gt;=1000</formula>
    </cfRule>
  </conditionalFormatting>
  <conditionalFormatting sqref="R13:R20">
    <cfRule type="expression" dxfId="1218" priority="55">
      <formula>ABS(R$16-R$19)&gt;=1000</formula>
    </cfRule>
  </conditionalFormatting>
  <conditionalFormatting sqref="S13:S20">
    <cfRule type="expression" dxfId="1217" priority="54">
      <formula>ABS(S$16-S$19)&gt;=1000</formula>
    </cfRule>
  </conditionalFormatting>
  <conditionalFormatting sqref="T13:T20">
    <cfRule type="expression" dxfId="1216" priority="53">
      <formula>ABS(T$16-T$19)&gt;=1000</formula>
    </cfRule>
  </conditionalFormatting>
  <conditionalFormatting sqref="U13:U20">
    <cfRule type="expression" dxfId="1215" priority="52">
      <formula>ABS(U$16-U$19)&gt;=1000</formula>
    </cfRule>
  </conditionalFormatting>
  <conditionalFormatting sqref="V13:V20">
    <cfRule type="expression" dxfId="1214" priority="51">
      <formula>ABS(V$16-V$19)&gt;=1000</formula>
    </cfRule>
  </conditionalFormatting>
  <conditionalFormatting sqref="W13 W20 W15:W18">
    <cfRule type="expression" dxfId="1213" priority="50">
      <formula>ABS(W$16-W$19)&gt;=1000</formula>
    </cfRule>
  </conditionalFormatting>
  <conditionalFormatting sqref="X13 X15:X20 Y19">
    <cfRule type="expression" dxfId="1212" priority="49">
      <formula>ABS(X$16-X$19)&gt;=1000</formula>
    </cfRule>
  </conditionalFormatting>
  <conditionalFormatting sqref="Y13 Y15:Y18 Y20">
    <cfRule type="expression" dxfId="1211" priority="48">
      <formula>ABS(Y$16-Y$19)&gt;=1000</formula>
    </cfRule>
  </conditionalFormatting>
  <conditionalFormatting sqref="Z13:Z20">
    <cfRule type="expression" dxfId="1210" priority="47">
      <formula>ABS(Z$16-Z$19)&gt;=1000</formula>
    </cfRule>
  </conditionalFormatting>
  <conditionalFormatting sqref="AA13:AA20">
    <cfRule type="expression" dxfId="1209" priority="46">
      <formula>ABS(AA$16-AA$19)&gt;=1000</formula>
    </cfRule>
  </conditionalFormatting>
  <conditionalFormatting sqref="AB13 AB15:AB20">
    <cfRule type="expression" dxfId="1208" priority="45">
      <formula>ABS(AB$16-AB$19)&gt;=1000</formula>
    </cfRule>
  </conditionalFormatting>
  <conditionalFormatting sqref="AC13 AC15:AC20">
    <cfRule type="expression" dxfId="1207" priority="44">
      <formula>ABS(AC$16-AC$19)&gt;=1000</formula>
    </cfRule>
  </conditionalFormatting>
  <conditionalFormatting sqref="AD13:AD20">
    <cfRule type="expression" dxfId="1206" priority="43">
      <formula>ABS(AD$16-AD$19)&gt;=1000</formula>
    </cfRule>
  </conditionalFormatting>
  <conditionalFormatting sqref="AE13:AE20">
    <cfRule type="expression" dxfId="1205" priority="42">
      <formula>ABS(AE$16-AE$19)&gt;=1000</formula>
    </cfRule>
  </conditionalFormatting>
  <conditionalFormatting sqref="D22:D29">
    <cfRule type="expression" dxfId="1204" priority="41">
      <formula>ABS(D$25-D$28)&gt;=1000</formula>
    </cfRule>
  </conditionalFormatting>
  <conditionalFormatting sqref="E22:E29">
    <cfRule type="expression" dxfId="1203" priority="40">
      <formula>ABS(E$25-E$28)&gt;=1000</formula>
    </cfRule>
  </conditionalFormatting>
  <conditionalFormatting sqref="F22:F29">
    <cfRule type="expression" dxfId="1202" priority="39">
      <formula>ABS(F$25-F$28)&gt;=1000</formula>
    </cfRule>
  </conditionalFormatting>
  <conditionalFormatting sqref="G22:G29">
    <cfRule type="expression" dxfId="1201" priority="38">
      <formula>ABS(G$25-G$28)&gt;=1000</formula>
    </cfRule>
  </conditionalFormatting>
  <conditionalFormatting sqref="H22:H29">
    <cfRule type="expression" dxfId="1200" priority="37">
      <formula>ABS(H$25-H$28)&gt;=1000</formula>
    </cfRule>
  </conditionalFormatting>
  <conditionalFormatting sqref="I22 I24:I29">
    <cfRule type="expression" dxfId="1199" priority="36">
      <formula>ABS(I$25-I$28)&gt;=1000</formula>
    </cfRule>
  </conditionalFormatting>
  <conditionalFormatting sqref="J22:J29 K22">
    <cfRule type="expression" dxfId="1198" priority="35">
      <formula>ABS(J$25-J$28)&gt;=1000</formula>
    </cfRule>
  </conditionalFormatting>
  <conditionalFormatting sqref="K23:K29 L25 L28">
    <cfRule type="expression" dxfId="1197" priority="34">
      <formula>ABS(K$25-K$28)&gt;=1000</formula>
    </cfRule>
  </conditionalFormatting>
  <conditionalFormatting sqref="L22:L24 L26:L27 L29">
    <cfRule type="expression" dxfId="1196" priority="33">
      <formula>ABS(L$25-L$28)&gt;=1000</formula>
    </cfRule>
  </conditionalFormatting>
  <conditionalFormatting sqref="M22:M29">
    <cfRule type="expression" dxfId="1195" priority="32">
      <formula>ABS(M$25-M$28)&gt;=1000</formula>
    </cfRule>
  </conditionalFormatting>
  <conditionalFormatting sqref="N22:N29">
    <cfRule type="expression" dxfId="1194" priority="31">
      <formula>ABS(N$25-N$28)&gt;=1000</formula>
    </cfRule>
  </conditionalFormatting>
  <conditionalFormatting sqref="O22:O29">
    <cfRule type="expression" dxfId="1193" priority="30">
      <formula>ABS(O$25-O$28)&gt;=1000</formula>
    </cfRule>
  </conditionalFormatting>
  <conditionalFormatting sqref="P22:P29">
    <cfRule type="expression" dxfId="1192" priority="29">
      <formula>ABS(P$25-P$28)&gt;=1000</formula>
    </cfRule>
  </conditionalFormatting>
  <conditionalFormatting sqref="Q22:Q29">
    <cfRule type="expression" dxfId="1191" priority="28">
      <formula>ABS(Q$25-Q$28)&gt;=1000</formula>
    </cfRule>
  </conditionalFormatting>
  <conditionalFormatting sqref="R22:R29">
    <cfRule type="expression" dxfId="1190" priority="27">
      <formula>ABS(R$25-R$28)&gt;=1000</formula>
    </cfRule>
  </conditionalFormatting>
  <conditionalFormatting sqref="S22:S29">
    <cfRule type="expression" dxfId="1189" priority="26">
      <formula>ABS(S$25-S$28)&gt;=1000</formula>
    </cfRule>
  </conditionalFormatting>
  <conditionalFormatting sqref="T22:T29">
    <cfRule type="expression" dxfId="1188" priority="25">
      <formula>ABS(T$25-T$28)&gt;=1000</formula>
    </cfRule>
  </conditionalFormatting>
  <conditionalFormatting sqref="U22:U29">
    <cfRule type="expression" dxfId="1187" priority="24">
      <formula>ABS(U$25-U$28)&gt;=1000</formula>
    </cfRule>
  </conditionalFormatting>
  <conditionalFormatting sqref="V22:V29">
    <cfRule type="expression" dxfId="1186" priority="23">
      <formula>ABS(V$25-V$28)&gt;=1000</formula>
    </cfRule>
  </conditionalFormatting>
  <conditionalFormatting sqref="W22:W29">
    <cfRule type="expression" dxfId="1185" priority="22">
      <formula>ABS(W$25-W$28)&gt;=1000</formula>
    </cfRule>
  </conditionalFormatting>
  <conditionalFormatting sqref="X22:X29">
    <cfRule type="expression" dxfId="1184" priority="21">
      <formula>ABS(X$25-X$28)&gt;=1000</formula>
    </cfRule>
  </conditionalFormatting>
  <conditionalFormatting sqref="Y22:Y29">
    <cfRule type="expression" dxfId="1183" priority="20">
      <formula>ABS(Y$25-Y$28)&gt;=1000</formula>
    </cfRule>
  </conditionalFormatting>
  <conditionalFormatting sqref="I23">
    <cfRule type="expression" dxfId="1182" priority="19">
      <formula>ABS(I$25-I$28)&gt;=1000</formula>
    </cfRule>
  </conditionalFormatting>
  <conditionalFormatting sqref="F14">
    <cfRule type="expression" dxfId="1181" priority="18">
      <formula>ABS(F$16-F$19)&gt;=1000</formula>
    </cfRule>
  </conditionalFormatting>
  <conditionalFormatting sqref="Q14">
    <cfRule type="expression" dxfId="1180" priority="17">
      <formula>ABS(Q$16-Q$19)&gt;=1000</formula>
    </cfRule>
  </conditionalFormatting>
  <conditionalFormatting sqref="W14">
    <cfRule type="expression" dxfId="1179" priority="16">
      <formula>ABS(W$16-W$19)&gt;=1000</formula>
    </cfRule>
  </conditionalFormatting>
  <conditionalFormatting sqref="Y14">
    <cfRule type="expression" dxfId="1178" priority="15">
      <formula>ABS(Y$16-Y$19)&gt;=1000</formula>
    </cfRule>
  </conditionalFormatting>
  <conditionalFormatting sqref="X14">
    <cfRule type="expression" dxfId="1177" priority="14">
      <formula>ABS(X$16-X$19)&gt;=1000</formula>
    </cfRule>
  </conditionalFormatting>
  <conditionalFormatting sqref="T10:Y10">
    <cfRule type="expression" dxfId="1176" priority="13">
      <formula>ABS(T$7-T$10)&gt;=1000</formula>
    </cfRule>
  </conditionalFormatting>
  <conditionalFormatting sqref="W19">
    <cfRule type="expression" dxfId="1175" priority="12">
      <formula>ABS(W$16-W$19)&gt;=1000</formula>
    </cfRule>
  </conditionalFormatting>
  <conditionalFormatting sqref="AC5">
    <cfRule type="expression" dxfId="1174" priority="11">
      <formula>ABS(AC$7-AC$10)&gt;=1000</formula>
    </cfRule>
  </conditionalFormatting>
  <conditionalFormatting sqref="M14">
    <cfRule type="expression" dxfId="1173" priority="10">
      <formula>ABS(M$16-M$19)&gt;=1000</formula>
    </cfRule>
  </conditionalFormatting>
  <conditionalFormatting sqref="M16">
    <cfRule type="expression" dxfId="1172" priority="9">
      <formula>ABS(M$16-M$19)&gt;=1000</formula>
    </cfRule>
  </conditionalFormatting>
  <conditionalFormatting sqref="M19">
    <cfRule type="expression" dxfId="1171" priority="8">
      <formula>ABS(M$16-M$19)&gt;=1000</formula>
    </cfRule>
  </conditionalFormatting>
  <conditionalFormatting sqref="K13:K20">
    <cfRule type="expression" dxfId="1170" priority="7">
      <formula>ABS(K$16-K$19)&gt;=1000</formula>
    </cfRule>
  </conditionalFormatting>
  <conditionalFormatting sqref="E5">
    <cfRule type="expression" dxfId="1169" priority="6">
      <formula>ABS(E$7-E$10)&gt;=1000</formula>
    </cfRule>
  </conditionalFormatting>
  <conditionalFormatting sqref="AB14:AC14">
    <cfRule type="expression" dxfId="1168" priority="5">
      <formula>ABS(AB$16-AB$19)&gt;=1000</formula>
    </cfRule>
  </conditionalFormatting>
  <conditionalFormatting sqref="M5">
    <cfRule type="expression" dxfId="1167" priority="4">
      <formula>ABS(M$7-M$10)&gt;=1000</formula>
    </cfRule>
  </conditionalFormatting>
  <conditionalFormatting sqref="N5">
    <cfRule type="expression" dxfId="1166" priority="3">
      <formula>ABS(N$7-N$10)&gt;=1000</formula>
    </cfRule>
  </conditionalFormatting>
  <conditionalFormatting sqref="O5">
    <cfRule type="expression" dxfId="1165" priority="2">
      <formula>ABS(O$7-O$10)&gt;=1000</formula>
    </cfRule>
  </conditionalFormatting>
  <conditionalFormatting sqref="P5">
    <cfRule type="expression" dxfId="116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40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7">
    <pageSetUpPr fitToPage="1"/>
  </sheetPr>
  <dimension ref="A1:CU223"/>
  <sheetViews>
    <sheetView view="pageBreakPreview" topLeftCell="A13" zoomScale="70" zoomScaleNormal="100" zoomScaleSheetLayoutView="70" workbookViewId="0">
      <selection activeCell="C4" sqref="C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45735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2130</v>
      </c>
      <c r="E6" s="71">
        <v>1647</v>
      </c>
      <c r="F6" s="71">
        <v>2409</v>
      </c>
      <c r="G6" s="71">
        <v>8985</v>
      </c>
      <c r="H6" s="71">
        <v>3378</v>
      </c>
      <c r="I6" s="71">
        <v>27.02</v>
      </c>
      <c r="J6" s="71">
        <v>7.77</v>
      </c>
      <c r="K6" s="71">
        <v>7.15</v>
      </c>
      <c r="L6" s="71">
        <v>62.96</v>
      </c>
      <c r="M6" s="71">
        <v>3382</v>
      </c>
      <c r="N6" s="71">
        <v>3445</v>
      </c>
      <c r="O6" s="71">
        <v>4834</v>
      </c>
      <c r="P6" s="71">
        <v>858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5982</v>
      </c>
      <c r="X6" s="71">
        <v>3104</v>
      </c>
      <c r="Y6" s="71">
        <v>2035</v>
      </c>
      <c r="Z6" s="71">
        <v>2212</v>
      </c>
      <c r="AA6" s="71">
        <v>1567</v>
      </c>
      <c r="AB6" s="71">
        <v>1522</v>
      </c>
      <c r="AC6" s="71">
        <v>6692</v>
      </c>
      <c r="AD6" s="71">
        <v>691</v>
      </c>
      <c r="AE6" s="71">
        <v>3330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67466.686746599997</v>
      </c>
      <c r="E7" s="73" ph="1">
        <f>E6*51.53*LOOKUP(E8,密度!$A$2:$A$50,密度!$B$2:$B$50)</f>
        <v>66953.87199900001</v>
      </c>
      <c r="F7" s="73" ph="1">
        <f>F6*33.183*LOOKUP(F8,密度!$A$2:$A$50,密度!$C$2:$C$50)</f>
        <v>89146.686974399985</v>
      </c>
      <c r="G7" s="73" ph="1">
        <f xml:space="preserve"> (G6+2)*51.53*LOOKUP(G8,密度!$A$2:$A$50,密度!$B$2:$B$50)</f>
        <v>364552.40659199998</v>
      </c>
      <c r="H7" s="73" ph="1">
        <f>(H6)*51.53*LOOKUP(H8,密度!$A$2:$A$50,密度!$B$2:$B$50)</f>
        <v>137026.59724800001</v>
      </c>
      <c r="I7" s="73" ph="1">
        <f>I6*290.8*1.0267</f>
        <v>8067.2090072000001</v>
      </c>
      <c r="J7" s="73" ph="1">
        <f>J6*290.8*0.7892</f>
        <v>1783.2100272</v>
      </c>
      <c r="K7" s="73" ph="1">
        <f>K6*290.8*1.1126</f>
        <v>2313.3401720000002</v>
      </c>
      <c r="L7" s="73" ph="1">
        <f>L6*290.8*0.777</f>
        <v>14225.912736</v>
      </c>
      <c r="M7" s="73" ph="1">
        <f>M6*33.183*LOOKUP(M8,密度!$A$2:$A$50,密度!$D$2:$D$50)</f>
        <v>116321.11506900001</v>
      </c>
      <c r="N7" s="73" ph="1">
        <f>N6*33.183*LOOKUP(N8,密度!$A$2:$A$50,密度!$E$2:$E$50)</f>
        <v>90594.982237499993</v>
      </c>
      <c r="O7" s="73" ph="1">
        <f>O6*20.428*LOOKUP(O8,密度!$A$2:$A$50,密度!$C$2:$C$50)</f>
        <v>109798.95972880002</v>
      </c>
      <c r="P7" s="73" ph="1">
        <f>P6*51.53*LOOKUP(P8,密度!$A$2:$A$50,密度!$B$2:$B$50)</f>
        <v>34914.800777999997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40001.009479199995</v>
      </c>
      <c r="X7" s="73" ph="1">
        <f>X6*1.5*1.5*3.1416*LOOKUP(X8,密度!$A$2:$A$50,密度!$L$2:$L$50)</f>
        <v>20931.651417599998</v>
      </c>
      <c r="Y7" s="73" ph="1">
        <f>Y6*1.5*1.5*3.1416*LOOKUP(Y8,密度!$A$2:$A$50,密度!$L$2:$L$50)</f>
        <v>13622.217146999999</v>
      </c>
      <c r="Z7" s="73" ph="1">
        <f>Z6*33.183*LOOKUP(Z8,密度!$A$2:$A$50,密度!$L$2:$L$50)</f>
        <v>69363.752219999995</v>
      </c>
      <c r="AA7" s="73" ph="1">
        <f>AA6*33.183*LOOKUP(AA8,密度!$A$2:$A$50,密度!$D$2:$D$50)</f>
        <v>53895.679276499999</v>
      </c>
      <c r="AB7" s="73" ph="1">
        <f>AB6*20.428*LOOKUP(AB8,密度!$A$2:$A$50,密度!$D$2:$D$50)</f>
        <v>32419.019463199998</v>
      </c>
      <c r="AC7" s="73" ph="1">
        <f>AC6*51.53*LOOKUP(AC8,密度!$A$2:$A$50,密度!$Q$2:$Q$50)</f>
        <v>329162.38997040002</v>
      </c>
      <c r="AD7" s="73" ph="1">
        <f>AD6*20.428*LOOKUP(AD8,密度!$A$2:$A$50,密度!$V$2:$V$50)</f>
        <v>13607.581072000001</v>
      </c>
      <c r="AE7" s="73" ph="1">
        <f>AE6*20.428</f>
        <v>68025.240000000005</v>
      </c>
    </row>
    <row r="8" spans="1:99" ph="1">
      <c r="B8" s="252" ph="1"/>
      <c r="C8" s="68" t="s" ph="1">
        <v>181</v>
      </c>
      <c r="D8" s="74">
        <v>15</v>
      </c>
      <c r="E8" s="74">
        <v>14</v>
      </c>
      <c r="F8" s="74">
        <v>16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17</v>
      </c>
      <c r="O8" s="74">
        <v>21</v>
      </c>
      <c r="P8" s="74">
        <v>13</v>
      </c>
      <c r="Q8" s="74">
        <v>13</v>
      </c>
      <c r="R8" s="74">
        <v>20</v>
      </c>
      <c r="S8" s="74">
        <v>9</v>
      </c>
      <c r="T8" s="74">
        <v>9</v>
      </c>
      <c r="U8" s="74">
        <v>14</v>
      </c>
      <c r="V8" s="74">
        <v>20</v>
      </c>
      <c r="W8" s="74">
        <v>16</v>
      </c>
      <c r="X8" s="74">
        <v>8</v>
      </c>
      <c r="Y8" s="74">
        <v>15</v>
      </c>
      <c r="Z8" s="74">
        <v>17</v>
      </c>
      <c r="AA8" s="74">
        <v>14</v>
      </c>
      <c r="AB8" s="74">
        <v>7</v>
      </c>
      <c r="AC8" s="74">
        <v>12</v>
      </c>
      <c r="AD8" s="74">
        <v>12</v>
      </c>
      <c r="AE8" s="74">
        <v>19</v>
      </c>
    </row>
    <row r="9" spans="1:99" ph="1">
      <c r="B9" s="252" ph="1">
        <v>0.66666666666666663</v>
      </c>
      <c r="C9" s="162" t="s" ph="1">
        <v>182</v>
      </c>
      <c r="D9" s="71">
        <v>2160</v>
      </c>
      <c r="E9" s="71">
        <v>2080</v>
      </c>
      <c r="F9" s="71">
        <v>2406</v>
      </c>
      <c r="G9" s="71">
        <v>8987</v>
      </c>
      <c r="H9" s="71">
        <v>3924</v>
      </c>
      <c r="I9" s="71">
        <v>27.01</v>
      </c>
      <c r="J9" s="71">
        <v>7.82</v>
      </c>
      <c r="K9" s="71">
        <v>7.23</v>
      </c>
      <c r="L9" s="71">
        <v>24.76</v>
      </c>
      <c r="M9" s="71">
        <v>3383</v>
      </c>
      <c r="N9" s="71">
        <v>3451</v>
      </c>
      <c r="O9" s="71">
        <v>4835</v>
      </c>
      <c r="P9" s="71">
        <v>736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1045</v>
      </c>
      <c r="X9" s="71">
        <v>6210</v>
      </c>
      <c r="Y9" s="71">
        <v>4676</v>
      </c>
      <c r="Z9" s="71">
        <v>3200</v>
      </c>
      <c r="AA9" s="71">
        <v>1564</v>
      </c>
      <c r="AB9" s="71">
        <v>1520</v>
      </c>
      <c r="AC9" s="71">
        <v>6691</v>
      </c>
      <c r="AD9" s="71">
        <v>689</v>
      </c>
      <c r="AE9" s="71">
        <v>3310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68235.583312799994</v>
      </c>
      <c r="E10" s="73" ph="1">
        <f>E9*51.53*LOOKUP(E11,密度!$A$2:$A$50,密度!$B$2:$B$50)</f>
        <v>84041.719840000005</v>
      </c>
      <c r="F10" s="73" ph="1">
        <f>F9*33.183*LOOKUP(F11,密度!$A$2:$A$50,密度!$C$2:$C$50)</f>
        <v>88931.880142199981</v>
      </c>
      <c r="G10" s="73" ph="1">
        <f xml:space="preserve"> (G9+2)*51.53*LOOKUP(G11,密度!$A$2:$A$50,密度!$B$2:$B$50)</f>
        <v>363938.73066899995</v>
      </c>
      <c r="H10" s="73" ph="1">
        <f>(H9)*51.53*LOOKUP(H11,密度!$A$2:$A$50,密度!$B$2:$B$50)</f>
        <v>158871.46280399998</v>
      </c>
      <c r="I10" s="73" ph="1">
        <f>I9*290.8*1.0267</f>
        <v>8064.2233636000001</v>
      </c>
      <c r="J10" s="73" ph="1">
        <f>J9*290.8*0.7892</f>
        <v>1794.6849952</v>
      </c>
      <c r="K10" s="73" ph="1">
        <f>K9*290.8*1.1126</f>
        <v>2339.2236984000006</v>
      </c>
      <c r="L10" s="73" ph="1">
        <f>L9*290.8*0.777</f>
        <v>5594.5616160000009</v>
      </c>
      <c r="M10" s="73" ph="1">
        <f>M9*33.183*LOOKUP(M11,密度!$A$2:$A$50,密度!$D$2:$D$50)</f>
        <v>115973.83174589998</v>
      </c>
      <c r="N10" s="73" ph="1">
        <f>N9*33.183*LOOKUP(N11,密度!$A$2:$A$50,密度!$E$2:$E$50)</f>
        <v>90626.801416199989</v>
      </c>
      <c r="O10" s="73" ph="1">
        <f>O9*20.428*LOOKUP(O11,密度!$A$2:$A$50,密度!$C$2:$C$50)</f>
        <v>109446.34997800001</v>
      </c>
      <c r="P10" s="73" ph="1">
        <f>P9*51.53*LOOKUP(P11,密度!$A$2:$A$50,密度!$B$2:$B$50)</f>
        <v>29768.180192000003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6980.4192149999999</v>
      </c>
      <c r="X10" s="73" ph="1">
        <f>X9*1.5*1.5*3.1416*LOOKUP(X11,密度!$A$2:$A$50,密度!$L$2:$L$50)</f>
        <v>41788.997711999997</v>
      </c>
      <c r="Y10" s="73" ph="1">
        <f>Y9*1.5*1.5*3.1416*LOOKUP(Y11,密度!$A$2:$A$50,密度!$L$2:$L$50)</f>
        <v>31201.818278399998</v>
      </c>
      <c r="Z10" s="73" ph="1">
        <f>Z9*33.183*LOOKUP(Z11,密度!$A$2:$A$50,密度!$L$2:$L$50)</f>
        <v>100026.8352</v>
      </c>
      <c r="AA10" s="73" ph="1">
        <f>AA9*33.183*LOOKUP(AA11,密度!$A$2:$A$50,密度!$D$2:$D$50)</f>
        <v>53569.334426399997</v>
      </c>
      <c r="AB10" s="73" ph="1">
        <f>AB9*20.428*LOOKUP(AB11,密度!$A$2:$A$50,密度!$D$2:$D$50)</f>
        <v>32292.582400000003</v>
      </c>
      <c r="AC10" s="73" ph="1">
        <f>AC9*51.53*LOOKUP(AC11,密度!$A$2:$A$50,密度!$Q$2:$Q$50)</f>
        <v>328513.27274399996</v>
      </c>
      <c r="AD10" s="73" ph="1">
        <f>AD9*20.428*LOOKUP(AD11,密度!$A$2:$A$50,密度!$V$2:$V$50)</f>
        <v>13523.156233599999</v>
      </c>
      <c r="AE10" s="73" ph="1">
        <f>AE9*20.428</f>
        <v>67616.680000000008</v>
      </c>
    </row>
    <row r="11" spans="1:99" ph="1">
      <c r="A11" s="64" t="s" ph="1">
        <v>164</v>
      </c>
      <c r="B11" s="252" ph="1"/>
      <c r="C11" s="162" t="s" ph="1">
        <v>181</v>
      </c>
      <c r="D11" s="74">
        <v>18</v>
      </c>
      <c r="E11" s="74">
        <v>20</v>
      </c>
      <c r="F11" s="74">
        <v>18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26</v>
      </c>
      <c r="P11" s="74">
        <v>19</v>
      </c>
      <c r="Q11" s="74">
        <v>28</v>
      </c>
      <c r="R11" s="74">
        <v>26</v>
      </c>
      <c r="S11" s="74">
        <v>16</v>
      </c>
      <c r="T11" s="74">
        <v>26</v>
      </c>
      <c r="U11" s="74">
        <v>20</v>
      </c>
      <c r="V11" s="74">
        <v>26</v>
      </c>
      <c r="W11" s="74">
        <v>17</v>
      </c>
      <c r="X11" s="74">
        <v>10</v>
      </c>
      <c r="Y11" s="74">
        <v>18</v>
      </c>
      <c r="Z11" s="74">
        <v>20</v>
      </c>
      <c r="AA11" s="74">
        <v>19</v>
      </c>
      <c r="AB11" s="74">
        <v>10</v>
      </c>
      <c r="AC11" s="74">
        <v>17</v>
      </c>
      <c r="AD11" s="74">
        <v>23</v>
      </c>
      <c r="AE11" s="74">
        <v>22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0</v>
      </c>
      <c r="E15" s="78">
        <v>75</v>
      </c>
      <c r="F15" s="78">
        <v>1307</v>
      </c>
      <c r="G15" s="78">
        <v>1696</v>
      </c>
      <c r="H15" s="78">
        <v>111</v>
      </c>
      <c r="I15" s="78">
        <v>1686</v>
      </c>
      <c r="J15" s="78">
        <v>632</v>
      </c>
      <c r="K15" s="78">
        <v>1285</v>
      </c>
      <c r="L15" s="78">
        <v>5587</v>
      </c>
      <c r="M15" s="78">
        <v>294</v>
      </c>
      <c r="N15" s="78">
        <v>3272</v>
      </c>
      <c r="O15" s="78">
        <v>14</v>
      </c>
      <c r="P15" s="78">
        <v>2213</v>
      </c>
      <c r="Q15" s="78">
        <v>5165</v>
      </c>
      <c r="R15" s="78">
        <v>3480</v>
      </c>
      <c r="S15" s="78">
        <v>6796</v>
      </c>
      <c r="T15" s="78">
        <v>2213</v>
      </c>
      <c r="U15" s="78">
        <v>6569</v>
      </c>
      <c r="V15" s="78">
        <v>386</v>
      </c>
      <c r="W15" s="71">
        <v>-596</v>
      </c>
      <c r="X15" s="78">
        <v>291</v>
      </c>
      <c r="Y15" s="106">
        <v>-9900</v>
      </c>
      <c r="Z15" s="78">
        <v>0</v>
      </c>
      <c r="AA15" s="78">
        <v>2491</v>
      </c>
      <c r="AB15" s="78" ph="1">
        <v>6835</v>
      </c>
      <c r="AC15" s="78" ph="1">
        <v>6483</v>
      </c>
      <c r="AD15" s="78">
        <v>47.73</v>
      </c>
      <c r="AE15" s="78">
        <v>5.72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0</v>
      </c>
      <c r="E16" s="73" ph="1">
        <f>E15*7.0686*LOOKUP(E17,密度!$A$2:$A$50,密度!$L$2:$L$50)</f>
        <v>502.04731499999997</v>
      </c>
      <c r="F16" s="73" ph="1">
        <f>F15*9.0746*LOOKUP(F17,密度!$A$2:$A$50,密度!$L$2:$L$50)</f>
        <v>11243.7560856</v>
      </c>
      <c r="G16" s="73" ph="1">
        <f>G15*9.0746*LOOKUP(G17,密度!$A$2:$A$50,密度!$B$2:$B$50)</f>
        <v>12127.7310208</v>
      </c>
      <c r="H16" s="73" ph="1">
        <f>H15*9.0746*LOOKUP(H17,密度!$A$2:$A$50,密度!$L$2:$L$50)</f>
        <v>956.91656999999998</v>
      </c>
      <c r="I16" s="73" ph="1">
        <f>I15*9.0746*LOOKUP(I17,密度!$A$2:$A$50,密度!$U$2:$U$50)</f>
        <v>15728.169316800002</v>
      </c>
      <c r="J16" s="73" ph="1">
        <f>J15*9.0746*LOOKUP(J17,密度!$A$2:$A$50,密度!$L$2:$L$50)</f>
        <v>5436.9195455999998</v>
      </c>
      <c r="K16" s="73" ph="1">
        <f>K15*9.0746*LOOKUP(K17,密度!$A$2:$A$50,密度!$C$2:$C$50)</f>
        <v>13020.517392600001</v>
      </c>
      <c r="L16" s="73" ph="1">
        <f>L15*9.0746*LOOKUP(L17,密度!$A$2:$A$50,密度!$E$2:$E$50)</f>
        <v>40407.732789400005</v>
      </c>
      <c r="M16" s="73" ph="1">
        <f>M15*9.0746*LOOKUP(M17,密度!$A$2:$A$50,密度!$M$2:$M$50)</f>
        <v>2348.5808917200002</v>
      </c>
      <c r="N16" s="73" ph="1">
        <f>N15*9.0746*LOOKUP(N17,密度!$A$2:$A$50,密度!$M$2:$M$50)</f>
        <v>26137.947883359997</v>
      </c>
      <c r="O16" s="73" ph="1">
        <f>O15*9.0746*LOOKUP(O17,密度!$A$2:$A$50,密度!$G$2:$G$50)</f>
        <v>123.38552127999999</v>
      </c>
      <c r="P16" s="73" ph="1">
        <f ca="1">P15*9.0746*LOOKUP(P17,密度!$A$2:$A$51,密度!$Q$2:$Q$50)</f>
        <v>19169.157997692004</v>
      </c>
      <c r="Q16" s="73" ph="1">
        <f>Q15*9.0746*LOOKUP(Q17,密度!$A$2:$A$50,密度!$Q$2:$Q$50)</f>
        <v>44739.584752860006</v>
      </c>
      <c r="R16" s="73" ph="1">
        <f>MAX(R15*9.0746*LOOKUP(R17,密度!$A$2:$A$50,密度!$B$2:$B$50),0)</f>
        <v>24913.152751200003</v>
      </c>
      <c r="S16" s="73" ph="1">
        <f>S15*9.0746*LOOKUP(S17,密度!$A$2:$A$50,密度!$Q$2:$Q$50)</f>
        <v>58867.418776464001</v>
      </c>
      <c r="T16" s="73" ph="1">
        <f>T15*9.0746*LOOKUP(T17,密度!$A$2:$A$50,密度!$O$2:$O$50)</f>
        <v>18756.671873200001</v>
      </c>
      <c r="U16" s="73" ph="1">
        <f>U15*9.0746*LOOKUP(U17,密度!$A$2:$A$50,密度!$H$2:$H$50)</f>
        <v>55122.335530780001</v>
      </c>
      <c r="V16" s="73" ph="1">
        <f>MAX(5600*LOOKUP(V17,密度!$A$2:$A$50,密度!$Q$2:$Q$50)+V15*9.0476*LOOKUP(V17,密度!$A$2:$A$50,密度!$Q$2:$Q$50),0)</f>
        <v>8679.0342961440001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8506.923229764001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17851.033145419999</v>
      </c>
      <c r="AB16" s="73" ph="1">
        <f>AB15*9.0746*LOOKUP(AB17,密度!$A$2:$A$50,密度!$L$2:$L$50)</f>
        <v>58737.571776999997</v>
      </c>
      <c r="AC16" s="73" ph="1">
        <f>AC15*9.0746*LOOKUP(AC17,密度!$A$2:$A$50,密度!$L$2:$L$50)</f>
        <v>55830.269578200001</v>
      </c>
      <c r="AD16" s="73" ph="1">
        <f>AD15*268.68*LOOKUP(AD17,密度!$A$2:$A$50,密度!B2:B50)+IF(AD15&lt;=0,0,1566*LOOKUP(AD17,密度!$A$2:$A$50,密度!B2:B50))</f>
        <v>11218.51915344</v>
      </c>
      <c r="AE16" s="73" ph="1">
        <f>AE15*268.68*LOOKUP(AE17,密度!$A$2:$A$50,密度!B2:B50)+IF(AE15&lt;=0,0,1566*LOOKUP(AE17,密度!$A$2:$A$50,密度!B2:B50))</f>
        <v>2418.9815481599999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15</v>
      </c>
      <c r="E17" s="74">
        <v>15</v>
      </c>
      <c r="F17" s="74">
        <v>14</v>
      </c>
      <c r="G17" s="74">
        <v>15</v>
      </c>
      <c r="H17" s="74">
        <v>12</v>
      </c>
      <c r="I17" s="74">
        <v>13</v>
      </c>
      <c r="J17" s="74">
        <v>14</v>
      </c>
      <c r="K17" s="74">
        <v>14</v>
      </c>
      <c r="L17" s="74">
        <v>14</v>
      </c>
      <c r="M17" s="74">
        <v>14</v>
      </c>
      <c r="N17" s="74">
        <v>14</v>
      </c>
      <c r="O17" s="74">
        <v>15</v>
      </c>
      <c r="P17" s="74">
        <v>14</v>
      </c>
      <c r="Q17" s="74">
        <v>15</v>
      </c>
      <c r="R17" s="74">
        <v>14</v>
      </c>
      <c r="S17" s="74">
        <v>15</v>
      </c>
      <c r="T17" s="74">
        <v>14</v>
      </c>
      <c r="U17" s="74">
        <v>15</v>
      </c>
      <c r="V17" s="74">
        <v>15</v>
      </c>
      <c r="W17" s="74">
        <v>15</v>
      </c>
      <c r="X17" s="74">
        <v>33</v>
      </c>
      <c r="Y17" s="108">
        <v>33</v>
      </c>
      <c r="Z17" s="74">
        <v>14</v>
      </c>
      <c r="AA17" s="74">
        <v>13</v>
      </c>
      <c r="AB17" s="74">
        <v>15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1041</v>
      </c>
      <c r="E18" s="71">
        <v>75</v>
      </c>
      <c r="F18" s="71">
        <v>1307</v>
      </c>
      <c r="G18" s="71">
        <v>3826</v>
      </c>
      <c r="H18" s="71">
        <v>2237</v>
      </c>
      <c r="I18" s="71">
        <v>1687</v>
      </c>
      <c r="J18" s="71">
        <v>734</v>
      </c>
      <c r="K18" s="71">
        <v>1285</v>
      </c>
      <c r="L18" s="71">
        <v>5605</v>
      </c>
      <c r="M18" s="71">
        <v>1323</v>
      </c>
      <c r="N18" s="71">
        <v>4280</v>
      </c>
      <c r="O18" s="71">
        <v>0</v>
      </c>
      <c r="P18" s="71">
        <v>2215</v>
      </c>
      <c r="Q18" s="71">
        <v>5172</v>
      </c>
      <c r="R18" s="71">
        <v>3486</v>
      </c>
      <c r="S18" s="71">
        <v>6805</v>
      </c>
      <c r="T18" s="71">
        <v>1813</v>
      </c>
      <c r="U18" s="71">
        <v>6575</v>
      </c>
      <c r="V18" s="71">
        <v>386</v>
      </c>
      <c r="W18" s="71">
        <v>-596</v>
      </c>
      <c r="X18" s="71">
        <v>261</v>
      </c>
      <c r="Y18" s="109">
        <v>-9900</v>
      </c>
      <c r="Z18" s="71">
        <v>0</v>
      </c>
      <c r="AA18" s="71">
        <v>2492</v>
      </c>
      <c r="AB18" s="71">
        <v>6848</v>
      </c>
      <c r="AC18" s="71">
        <v>6494</v>
      </c>
      <c r="AD18" s="71">
        <v>64.319999999999993</v>
      </c>
      <c r="AE18" s="71">
        <v>5.63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6938.9830817999991</v>
      </c>
      <c r="E19" s="73" ph="1">
        <f>E18*7.0686*LOOKUP(E20,密度!$A$2:$A$50,密度!$L$2:$L$50)</f>
        <v>499.92673499999995</v>
      </c>
      <c r="F19" s="73" ph="1">
        <f>F18*9.0746*LOOKUP(F20,密度!$A$2:$A$50,密度!$L$2:$L$50)</f>
        <v>11148.872068000001</v>
      </c>
      <c r="G19" s="73" ph="1">
        <f>G18*9.0746*LOOKUP(G20,密度!$A$2:$A$50,密度!$B$2:$B$50)</f>
        <v>27279.047979719999</v>
      </c>
      <c r="H19" s="73" ph="1">
        <f>H18*9.0746*LOOKUP(H20,密度!$A$2:$A$50,密度!$L$2:$L$50)</f>
        <v>18960.088106800002</v>
      </c>
      <c r="I19" s="73" ph="1">
        <f>I18*9.0746*LOOKUP(I20,密度!$A$2:$A$50,密度!$U$2:$U$50)</f>
        <v>15737.4980056</v>
      </c>
      <c r="J19" s="73" ph="1">
        <f>J18*9.0746*LOOKUP(J20,密度!$A$2:$A$50,密度!$L$2:$L$50)</f>
        <v>6261.1110159999998</v>
      </c>
      <c r="K19" s="73" ph="1">
        <f>K18*9.0746*LOOKUP(K20,密度!$A$2:$A$50,密度!$C$2:$C$50)</f>
        <v>12956.382657100001</v>
      </c>
      <c r="L19" s="73" ph="1">
        <f>L18*9.0746*LOOKUP(L20,密度!$A$2:$A$50,密度!$E$2:$E$50)</f>
        <v>40197.134009900001</v>
      </c>
      <c r="M19" s="73" ph="1">
        <f>M18*9.0746*LOOKUP(M20,密度!$A$2:$A$50,密度!$M$2:$M$50)</f>
        <v>10568.614012739999</v>
      </c>
      <c r="N19" s="73" ph="1">
        <f>N18*9.0746*LOOKUP(N20,密度!$A$2:$A$50,密度!$M$2:$M$50)</f>
        <v>34190.225226399998</v>
      </c>
      <c r="O19" s="73" ph="1">
        <f>O18*9.0746*LOOKUP(O20,密度!$A$2:$A$50,密度!$G$2:$G$50)</f>
        <v>0</v>
      </c>
      <c r="P19" s="73" ph="1">
        <f ca="1">P18*9.0746*LOOKUP(P20,密度!$A$2:$A$51,密度!$Q$2:$Q$50)</f>
        <v>19119.950343970002</v>
      </c>
      <c r="Q19" s="73" ph="1">
        <f>Q18*9.0746*LOOKUP(Q20,密度!$A$2:$A$50,密度!$Q$2:$Q$50)</f>
        <v>44644.868252376</v>
      </c>
      <c r="R19" s="73" ph="1">
        <f>MAX(R18*9.0746*LOOKUP(R20,密度!$A$2:$A$50,密度!$B$2:$B$50),0)</f>
        <v>24829.57024044</v>
      </c>
      <c r="S19" s="73" ph="1">
        <f>S18*9.0746*LOOKUP(S20,密度!$A$2:$A$50,密度!$Q$2:$Q$50)</f>
        <v>58740.976113190001</v>
      </c>
      <c r="T19" s="73" ph="1">
        <f>T18*9.0746*LOOKUP(T20,密度!$A$2:$A$50,密度!$O$2:$O$50)</f>
        <v>15366.401313200002</v>
      </c>
      <c r="U19" s="73" ph="1">
        <f>U18*9.0746*LOOKUP(U20,密度!$A$2:$A$50,密度!$H$2:$H$50)</f>
        <v>54934.0212465</v>
      </c>
      <c r="V19" s="73" ph="1">
        <f>MAX(5600*LOOKUP(V20,密度!$A$2:$A$50,密度!$Q$2:$Q$50)+V18*9.0476*LOOKUP(V20,密度!$A$2:$A$50,密度!$Q$2:$Q$50),0)</f>
        <v>8641.2100219679996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8208.7850312519986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17819.755721600002</v>
      </c>
      <c r="AB19" s="73" ph="1">
        <f>AB18*9.0746*LOOKUP(AB20,密度!$A$2:$A$50,密度!$L$2:$L$50)</f>
        <v>58725.003455999999</v>
      </c>
      <c r="AC19" s="73" ph="1">
        <f>AC18*9.0746*LOOKUP(AC20,密度!$A$2:$A$50,密度!$L$2:$L$50)</f>
        <v>55807.138422800002</v>
      </c>
      <c r="AD19" s="73" ph="1">
        <f>AD18*268.68*LOOKUP(AD20,密度!$A$2:$A$50,密度!B5:B53)+IF(AD18&lt;=0,0,1566*LOOKUP(AD20,密度!$A$2:$A$50,密度!B5:B53))</f>
        <v>14644.505635199999</v>
      </c>
      <c r="AE19" s="73" ph="1">
        <f>AE18*268.68*LOOKUP(AE20,密度!$A$2:$A$50,密度!B5:B53)+IF(AE18&lt;=0,0,1566*LOOKUP(AE20,密度!$A$2:$A$50,密度!B5:B53))</f>
        <v>2392.1253468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19</v>
      </c>
      <c r="E20" s="81">
        <v>19</v>
      </c>
      <c r="F20" s="81">
        <v>22</v>
      </c>
      <c r="G20" s="81">
        <v>18</v>
      </c>
      <c r="H20" s="81">
        <v>28</v>
      </c>
      <c r="I20" s="81">
        <v>20</v>
      </c>
      <c r="J20" s="81">
        <v>22</v>
      </c>
      <c r="K20" s="81">
        <v>22</v>
      </c>
      <c r="L20" s="81">
        <v>19</v>
      </c>
      <c r="M20" s="81">
        <v>19</v>
      </c>
      <c r="N20" s="81">
        <v>18</v>
      </c>
      <c r="O20" s="81">
        <v>16</v>
      </c>
      <c r="P20" s="81">
        <v>19</v>
      </c>
      <c r="Q20" s="81">
        <v>19</v>
      </c>
      <c r="R20" s="81">
        <v>19</v>
      </c>
      <c r="S20" s="81">
        <v>19</v>
      </c>
      <c r="T20" s="81">
        <v>19</v>
      </c>
      <c r="U20" s="81">
        <v>19</v>
      </c>
      <c r="V20" s="81">
        <v>20</v>
      </c>
      <c r="W20" s="81">
        <v>20</v>
      </c>
      <c r="X20" s="81">
        <v>35</v>
      </c>
      <c r="Y20" s="110">
        <v>35</v>
      </c>
      <c r="Z20" s="81">
        <v>25</v>
      </c>
      <c r="AA20" s="81">
        <v>15</v>
      </c>
      <c r="AB20" s="81">
        <v>17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656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98.12</v>
      </c>
      <c r="E24" s="71">
        <v>95.04</v>
      </c>
      <c r="F24" s="71">
        <v>1344</v>
      </c>
      <c r="G24" s="71">
        <v>3275</v>
      </c>
      <c r="H24" s="71">
        <v>1803</v>
      </c>
      <c r="I24" s="71">
        <v>5504</v>
      </c>
      <c r="J24" s="71">
        <v>2488</v>
      </c>
      <c r="K24" s="71">
        <v>5604</v>
      </c>
      <c r="L24" s="71">
        <v>5576</v>
      </c>
      <c r="M24" s="71">
        <v>5010</v>
      </c>
      <c r="N24" s="71">
        <v>1987</v>
      </c>
      <c r="O24" s="71">
        <v>3512</v>
      </c>
      <c r="P24" s="71">
        <v>830</v>
      </c>
      <c r="Q24" s="90">
        <v>2291</v>
      </c>
      <c r="R24" s="71">
        <v>6339</v>
      </c>
      <c r="S24" s="71">
        <v>3792</v>
      </c>
      <c r="T24" s="71">
        <v>904</v>
      </c>
      <c r="U24" s="71">
        <v>4388</v>
      </c>
      <c r="V24" s="71">
        <v>9603</v>
      </c>
      <c r="W24" s="71">
        <v>10847</v>
      </c>
      <c r="X24" s="71">
        <v>6409</v>
      </c>
      <c r="Y24" s="71">
        <v>4157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26441.389365984003</v>
      </c>
      <c r="E25" s="91" ph="1">
        <f>E24*268.68*LOOKUP(E26,密度!$A$2:$A$50,密度!$C$2:$C$50)+IF(E24&lt;=0,0,1566*LOOKUP(E26,密度!$A$2:$A$50,密度!$C$2:$C$50))</f>
        <v>30052.683910080006</v>
      </c>
      <c r="F25" s="91" ph="1">
        <f>F24*11.702*LOOKUP(F26,密度!$A$2:$A$50,密度!$Q$2:$Q$50)</f>
        <v>15012.516395520001</v>
      </c>
      <c r="G25" s="91" ph="1">
        <f>G24*18.322*LOOKUP(G26,密度!$A$2:$A$50,密度!$B$2:$B$50)</f>
        <v>47283.585399999996</v>
      </c>
      <c r="H25" s="91" ph="1">
        <f>H24*18.322*LOOKUP(H26,密度!$A$2:$A$50,密度!$B$2:$B$50)</f>
        <v>26031.238008</v>
      </c>
      <c r="I25" s="91" ph="1">
        <f>I24*18.322*LOOKUP(I26,密度!$A$2:$A$50,密度!$Q$2:$Q$50)</f>
        <v>96165.113036800001</v>
      </c>
      <c r="J25" s="91" ph="1">
        <f>J24*18.322*LOOKUP(J26,密度!$A$2:$A$50,密度!$Q$2:$Q$50)</f>
        <v>43469.985689599998</v>
      </c>
      <c r="K25" s="91" ph="1">
        <f>K24*18.322*LOOKUP(K26,密度!$A$2:$A$50,密度!$Q$2:$Q$50)</f>
        <v>97912.298956800005</v>
      </c>
      <c r="L25" s="91" ph="1">
        <f>L24*18.322*LOOKUP(L26,密度!$A$2:$A$50,密度!$Q$2:$Q$50)</f>
        <v>97519.120562879994</v>
      </c>
      <c r="M25" s="91" ph="1">
        <f>M24*18.322*LOOKUP(M26,密度!$A$2:$A$50,密度!$Q$2:$Q$50)</f>
        <v>87534.014592000007</v>
      </c>
      <c r="N25" s="91" ph="1">
        <f>N24*18.322*LOOKUP(N26,密度!$A$2:$A$50,密度!$Q$2:$Q$50)</f>
        <v>34750.805695560004</v>
      </c>
      <c r="O25" s="91" ph="1">
        <f>O24*18.322*LOOKUP(O26,密度!$A$2:$A$50,密度!$C$2:$C$50)</f>
        <v>71798.230851199987</v>
      </c>
      <c r="P25" s="91" ph="1">
        <f>P24*11.702*LOOKUP(P26,密度!$A$2:$A$50,密度!$B$2:$B$50)</f>
        <v>7645.8059519999997</v>
      </c>
      <c r="Q25" s="92" ph="1">
        <f>Q24*18.322*LOOKUP(Q26,密度!$A$2:$A$50,密度!$B$2:$B$50)</f>
        <v>33043.272614399997</v>
      </c>
      <c r="R25" s="91" ph="1">
        <f>R24*35.891*LOOKUP(R26,密度!$A$2:$A$50,密度!$C$2:$C$50)</f>
        <v>253563.2931105</v>
      </c>
      <c r="S25" s="91" ph="1">
        <f>S24*35.891*LOOKUP(S26,密度!$A$2:$A$50,密度!$B$2:$B$50)</f>
        <v>107136.8745984</v>
      </c>
      <c r="T25" s="91" ph="1">
        <f>T24*35.891*LOOKUP(T26,密度!$A$2:$A$50,密度!$Q$2:$Q$50)</f>
        <v>30939.994470400001</v>
      </c>
      <c r="U25" s="91" ph="1">
        <f>U24*35.891</f>
        <v>157489.70799999998</v>
      </c>
      <c r="V25" s="91" ph="1">
        <f>V24*47.051*LOOKUP(V26,密度!$A$2:$A$50,密度!$B$2:$B$50)</f>
        <v>355681.16876160004</v>
      </c>
      <c r="W25" s="91" ph="1">
        <f>W24*47.051*LOOKUP(W26,密度!$A$2:$A$50,密度!$B$2:$B$50)</f>
        <v>401348.83172080002</v>
      </c>
      <c r="X25" s="91" ph="1">
        <f>X24*47.051*LOOKUP(X26,密度!$A$2:$A$50,密度!$I$2:$I$50)</f>
        <v>312297.09597475996</v>
      </c>
      <c r="Y25" s="91" ph="1">
        <f>Y24*47.051*LOOKUP(Y26,密度!$A$2:$A$50,密度!$L$2:$L$50)</f>
        <v>184833.50161500002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16</v>
      </c>
      <c r="J26" s="74">
        <v>16</v>
      </c>
      <c r="K26" s="74">
        <v>16</v>
      </c>
      <c r="L26" s="74">
        <v>15</v>
      </c>
      <c r="M26" s="74">
        <v>16</v>
      </c>
      <c r="N26" s="74">
        <v>15</v>
      </c>
      <c r="O26" s="74">
        <v>15</v>
      </c>
      <c r="P26" s="74">
        <v>16</v>
      </c>
      <c r="Q26" s="93">
        <v>16</v>
      </c>
      <c r="R26" s="74">
        <v>17</v>
      </c>
      <c r="S26" s="74">
        <v>16</v>
      </c>
      <c r="T26" s="74">
        <v>16</v>
      </c>
      <c r="U26" s="74">
        <v>17</v>
      </c>
      <c r="V26" s="74">
        <v>16</v>
      </c>
      <c r="W26" s="74">
        <v>17</v>
      </c>
      <c r="X26" s="74">
        <v>57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3.28</v>
      </c>
      <c r="E27" s="71">
        <v>95.08</v>
      </c>
      <c r="F27" s="71">
        <v>2641</v>
      </c>
      <c r="G27" s="71">
        <v>2834</v>
      </c>
      <c r="H27" s="71">
        <v>1777</v>
      </c>
      <c r="I27" s="71">
        <v>5506</v>
      </c>
      <c r="J27" s="71">
        <v>2487</v>
      </c>
      <c r="K27" s="71">
        <v>5606</v>
      </c>
      <c r="L27" s="71">
        <v>5575</v>
      </c>
      <c r="M27" s="71">
        <v>5012</v>
      </c>
      <c r="N27" s="71">
        <v>4195</v>
      </c>
      <c r="O27" s="71">
        <v>3509</v>
      </c>
      <c r="P27" s="71">
        <v>828</v>
      </c>
      <c r="Q27" s="90">
        <v>2425</v>
      </c>
      <c r="R27" s="71">
        <v>6335</v>
      </c>
      <c r="S27" s="71">
        <v>3619</v>
      </c>
      <c r="T27" s="71">
        <v>902</v>
      </c>
      <c r="U27" s="71">
        <v>4113</v>
      </c>
      <c r="V27" s="71">
        <v>9602</v>
      </c>
      <c r="W27" s="71">
        <v>10847</v>
      </c>
      <c r="X27" s="71">
        <v>7014</v>
      </c>
      <c r="Y27" s="71">
        <v>3137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2316.9287784959997</v>
      </c>
      <c r="E28" s="91" ph="1">
        <f>E27*268.68*LOOKUP(E29,密度!$A$2:$A$50,密度!$C$2:$C$50)+IF(E27&lt;=0,0,1566*LOOKUP(E29,密度!$A$2:$A$50,密度!$C$2:$C$50))</f>
        <v>30064.601480160003</v>
      </c>
      <c r="F28" s="91" ph="1">
        <f>F27*11.702*LOOKUP(F29,密度!$A$2:$A$50,密度!$Q$2:$Q$50)</f>
        <v>29446.266849600001</v>
      </c>
      <c r="G28" s="91" ph="1">
        <f>G27*18.322*LOOKUP(G29,密度!$A$2:$A$50,密度!$B$2:$B$50)</f>
        <v>40833.464547199997</v>
      </c>
      <c r="H28" s="91" ph="1">
        <f>H27*18.322*LOOKUP(H29,密度!$A$2:$A$50,密度!$B$2:$B$50)</f>
        <v>25580.973025799998</v>
      </c>
      <c r="I28" s="91" ph="1">
        <f>I27*18.322*LOOKUP(I29,密度!$A$2:$A$50,密度!$Q$2:$Q$50)</f>
        <v>96039.656073320002</v>
      </c>
      <c r="J28" s="91" ph="1">
        <f>J27*18.322*LOOKUP(J29,密度!$A$2:$A$50,密度!$Q$2:$Q$50)</f>
        <v>43416.060379199997</v>
      </c>
      <c r="K28" s="91" ph="1">
        <f>K27*18.322*LOOKUP(K29,密度!$A$2:$A$50,密度!$Q$2:$Q$50)</f>
        <v>97783.928795319996</v>
      </c>
      <c r="L28" s="91" ph="1">
        <f>L27*18.322*LOOKUP(L29,密度!$A$2:$A$50,密度!$Q$2:$Q$50)</f>
        <v>97323.898919999992</v>
      </c>
      <c r="M28" s="91" ph="1">
        <f>M27*18.322*LOOKUP(M29,密度!$A$2:$A$50,密度!$Q$2:$Q$50)</f>
        <v>87495.494419199997</v>
      </c>
      <c r="N28" s="91" ph="1">
        <f>N27*18.322*LOOKUP(N29,密度!$A$2:$A$50,密度!$Q$2:$Q$50)</f>
        <v>73232.960711999986</v>
      </c>
      <c r="O28" s="91" ph="1">
        <f>O27*18.322*LOOKUP(O29,密度!$A$2:$A$50,密度!$C$2:$C$50)</f>
        <v>71614.745182199986</v>
      </c>
      <c r="P28" s="91" ph="1">
        <f>P27*11.702*LOOKUP(P29,密度!$A$2:$A$50,密度!$B$2:$B$50)</f>
        <v>7612.8484391999991</v>
      </c>
      <c r="Q28" s="92" ph="1">
        <f>Q27*18.322*LOOKUP(Q29,密度!$A$2:$A$50,密度!$B$2:$B$50)</f>
        <v>34940.420440000002</v>
      </c>
      <c r="R28" s="91" ph="1">
        <f>R27*35.891*LOOKUP(R29,密度!$A$2:$A$50,密度!$C$2:$C$50)</f>
        <v>253266.86934149996</v>
      </c>
      <c r="S28" s="91" ph="1">
        <f>S27*35.891*LOOKUP(S29,密度!$A$2:$A$50,密度!$B$2:$B$50)</f>
        <v>102054.2029353</v>
      </c>
      <c r="T28" s="91" ph="1">
        <f>T27*35.891*LOOKUP(T29,密度!$A$2:$A$50,密度!$Q$2:$Q$50)</f>
        <v>30845.644209599996</v>
      </c>
      <c r="U28" s="91" ph="1">
        <f>U27*35.891</f>
        <v>147619.68299999999</v>
      </c>
      <c r="V28" s="91" ph="1">
        <f>V27*47.051*LOOKUP(V29,密度!$A$2:$A$50,密度!$B$2:$B$50)</f>
        <v>355282.70325279998</v>
      </c>
      <c r="W28" s="91" ph="1">
        <f>W27*47.051*LOOKUP(W29,密度!$A$2:$A$50,密度!$B$2:$B$50)</f>
        <v>401348.83172080002</v>
      </c>
      <c r="X28" s="91" ph="1">
        <f>X27*47.051*LOOKUP(X29,密度!$A$2:$A$50,密度!$I$2:$I$50)</f>
        <v>341025.03821904009</v>
      </c>
      <c r="Y28" s="91" ph="1">
        <f>Y27*47.051*LOOKUP(Y29,密度!$A$2:$A$50,密度!$L$2:$L$50)</f>
        <v>139333.44372799998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17</v>
      </c>
      <c r="G29" s="74">
        <v>17</v>
      </c>
      <c r="H29" s="74">
        <v>18</v>
      </c>
      <c r="I29" s="74">
        <v>18</v>
      </c>
      <c r="J29" s="74">
        <v>17</v>
      </c>
      <c r="K29" s="74">
        <v>18</v>
      </c>
      <c r="L29" s="74">
        <v>17</v>
      </c>
      <c r="M29" s="74">
        <v>17</v>
      </c>
      <c r="N29" s="74">
        <v>17</v>
      </c>
      <c r="O29" s="74">
        <v>18</v>
      </c>
      <c r="P29" s="74">
        <v>18</v>
      </c>
      <c r="Q29" s="93">
        <v>17</v>
      </c>
      <c r="R29" s="74">
        <v>18</v>
      </c>
      <c r="S29" s="74">
        <v>18</v>
      </c>
      <c r="T29" s="74">
        <v>17</v>
      </c>
      <c r="U29" s="74">
        <v>18</v>
      </c>
      <c r="V29" s="74">
        <v>17</v>
      </c>
      <c r="W29" s="74">
        <v>17</v>
      </c>
      <c r="X29" s="74">
        <v>47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85861.916826400004</v>
      </c>
      <c r="E33" s="201" ph="1">
        <f>M10+I10</f>
        <v>124038.05510949998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27" ph="1">
        <v>0</v>
      </c>
      <c r="H33" s="201" ph="1">
        <f>N19</f>
        <v>34190.225226399998</v>
      </c>
      <c r="I33" s="205" ph="1">
        <v>0</v>
      </c>
      <c r="J33" s="209" ph="1">
        <f>F10+O28</f>
        <v>160546.62532439997</v>
      </c>
      <c r="K33" s="201" ph="1">
        <f>O10+K10+E28+R28</f>
        <v>395117.04449806002</v>
      </c>
      <c r="L33" s="211" ph="1">
        <f>BE27</f>
        <v>7100</v>
      </c>
      <c r="M33" s="209" ph="1">
        <f>G10+H10+W28+S28</f>
        <v>1026213.2281290999</v>
      </c>
      <c r="N33" s="201" ph="1">
        <f>L10+P10++G28+H28+V28</f>
        <v>457059.88263379998</v>
      </c>
      <c r="O33" s="205" ph="1">
        <f>BE17</f>
        <v>2270</v>
      </c>
      <c r="P33" s="209" ph="1">
        <f>L19</f>
        <v>40197.134009900001</v>
      </c>
      <c r="Q33" s="201" ph="1">
        <f>J10+N10</f>
        <v>92421.486411399994</v>
      </c>
      <c r="R33" s="205" ph="1">
        <f>BE23</f>
        <v>890</v>
      </c>
      <c r="S33" s="209" ph="1">
        <f>E10+X28</f>
        <v>425066.75805904006</v>
      </c>
      <c r="T33" s="201" ph="1">
        <f>X19</f>
        <v>8208.7850312519986</v>
      </c>
      <c r="U33" s="190" ph="1">
        <f>BE21</f>
        <v>730</v>
      </c>
      <c r="V33" s="203" ph="1">
        <f ca="1">P19+Q19+S19+M28+N28+J28</f>
        <v>326650.31021993596</v>
      </c>
      <c r="W33" s="203" ph="1">
        <f>D28+F28+V19+T28</f>
        <v>71250.049859663995</v>
      </c>
      <c r="X33" s="205" ph="1">
        <f>BE29+BE31</f>
        <v>10200</v>
      </c>
      <c r="Y33" s="207" ph="1">
        <f>+Q10+R10+S10+T10+U10+V10+W10+X10+Y10</f>
        <v>79971.235205399993</v>
      </c>
      <c r="Z33" s="188" ph="1">
        <f>D10+T19+U19+Y28+Z10</f>
        <v>377896.28480049991</v>
      </c>
      <c r="AA33" s="190" ph="1">
        <f>BE19</f>
        <v>1440</v>
      </c>
      <c r="AB33" s="192" ph="1">
        <f>I19</f>
        <v>15737.4980056</v>
      </c>
      <c r="AC33" s="194" ph="1">
        <f>AD10</f>
        <v>13523.156233599999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33" priority="96">
      <formula>ABS(D$7-D$10)&gt;=1000</formula>
    </cfRule>
  </conditionalFormatting>
  <conditionalFormatting sqref="E4 E6:E11">
    <cfRule type="expression" dxfId="1132" priority="95">
      <formula>ABS(E$7-E$10)&gt;=1000</formula>
    </cfRule>
  </conditionalFormatting>
  <conditionalFormatting sqref="F4:F11">
    <cfRule type="expression" dxfId="1131" priority="94">
      <formula>ABS(F$7-F$10)&gt;=1000</formula>
    </cfRule>
  </conditionalFormatting>
  <conditionalFormatting sqref="G4:G11">
    <cfRule type="expression" dxfId="1130" priority="93">
      <formula>ABS(G$7-G$10)&gt;=1000</formula>
    </cfRule>
  </conditionalFormatting>
  <conditionalFormatting sqref="H4:H11">
    <cfRule type="expression" dxfId="1129" priority="92">
      <formula>ABS(H$7-H$10)&gt;=1000</formula>
    </cfRule>
  </conditionalFormatting>
  <conditionalFormatting sqref="I4:I11">
    <cfRule type="expression" dxfId="1128" priority="91">
      <formula>ABS(I$7-I$10)&gt;=1000</formula>
    </cfRule>
  </conditionalFormatting>
  <conditionalFormatting sqref="J4:J11">
    <cfRule type="expression" dxfId="1127" priority="90">
      <formula>ABS(J$7-J$10)&gt;=1000</formula>
    </cfRule>
  </conditionalFormatting>
  <conditionalFormatting sqref="K4:K11">
    <cfRule type="expression" dxfId="1126" priority="89">
      <formula>ABS(K$7-K$10)&gt;=1000</formula>
    </cfRule>
  </conditionalFormatting>
  <conditionalFormatting sqref="L4:L11">
    <cfRule type="expression" dxfId="1125" priority="88">
      <formula>ABS(L$7-L$10)&gt;=1000</formula>
    </cfRule>
  </conditionalFormatting>
  <conditionalFormatting sqref="M4 M6:M11">
    <cfRule type="expression" dxfId="1124" priority="87">
      <formula>ABS(M$7-M$10)&gt;=1000</formula>
    </cfRule>
  </conditionalFormatting>
  <conditionalFormatting sqref="N4 N6:N11">
    <cfRule type="expression" dxfId="1123" priority="86">
      <formula>ABS(N$7-N$10)&gt;=1000</formula>
    </cfRule>
  </conditionalFormatting>
  <conditionalFormatting sqref="O4 O6:O11">
    <cfRule type="expression" dxfId="1122" priority="85">
      <formula>ABS(O$7-O$10)&gt;=1000</formula>
    </cfRule>
  </conditionalFormatting>
  <conditionalFormatting sqref="P4 P6:P11">
    <cfRule type="expression" dxfId="1121" priority="84">
      <formula>ABS(P$7-P$10)&gt;=1000</formula>
    </cfRule>
  </conditionalFormatting>
  <conditionalFormatting sqref="Q4:Q11">
    <cfRule type="expression" dxfId="1120" priority="83">
      <formula>ABS(Q$7-Q$10)&gt;=1000</formula>
    </cfRule>
  </conditionalFormatting>
  <conditionalFormatting sqref="R4:R11">
    <cfRule type="expression" dxfId="1119" priority="82">
      <formula>ABS(R$7-R$10)&gt;=1000</formula>
    </cfRule>
  </conditionalFormatting>
  <conditionalFormatting sqref="S4:S11">
    <cfRule type="expression" dxfId="1118" priority="81">
      <formula>ABS(S$7-S$10)&gt;=1000</formula>
    </cfRule>
  </conditionalFormatting>
  <conditionalFormatting sqref="T4:T9 T11">
    <cfRule type="expression" dxfId="1117" priority="80">
      <formula>ABS(T$7-T$10)&gt;=1000</formula>
    </cfRule>
  </conditionalFormatting>
  <conditionalFormatting sqref="U4:U9 U11">
    <cfRule type="expression" dxfId="1116" priority="79">
      <formula>ABS(U$7-U$10)&gt;=1000</formula>
    </cfRule>
  </conditionalFormatting>
  <conditionalFormatting sqref="V4:V9 V11">
    <cfRule type="expression" dxfId="1115" priority="78">
      <formula>ABS(V$7-V$10)&gt;=1000</formula>
    </cfRule>
  </conditionalFormatting>
  <conditionalFormatting sqref="W4:W9 W11">
    <cfRule type="expression" dxfId="1114" priority="77">
      <formula>ABS(W$7-W$10)&gt;=1000</formula>
    </cfRule>
  </conditionalFormatting>
  <conditionalFormatting sqref="X4:X9 X11">
    <cfRule type="expression" dxfId="1113" priority="76">
      <formula>ABS(X$7-X$10)&gt;=1000</formula>
    </cfRule>
  </conditionalFormatting>
  <conditionalFormatting sqref="Y4:Y9 Y11">
    <cfRule type="expression" dxfId="1112" priority="75">
      <formula>ABS(Y$7-Y$10)&gt;=1000</formula>
    </cfRule>
  </conditionalFormatting>
  <conditionalFormatting sqref="Z4:Z11">
    <cfRule type="expression" dxfId="1111" priority="74">
      <formula>ABS(Z$7-Z$10)&gt;=1000</formula>
    </cfRule>
  </conditionalFormatting>
  <conditionalFormatting sqref="AA4:AA11">
    <cfRule type="expression" dxfId="1110" priority="73">
      <formula>ABS(AA$7-AA$10)&gt;=1000</formula>
    </cfRule>
  </conditionalFormatting>
  <conditionalFormatting sqref="AB4:AB11">
    <cfRule type="expression" dxfId="1109" priority="72">
      <formula>ABS(AB$7-AB$10)&gt;=1000</formula>
    </cfRule>
  </conditionalFormatting>
  <conditionalFormatting sqref="AC4 AC6:AC11">
    <cfRule type="expression" dxfId="1108" priority="71">
      <formula>ABS(AC$7-AC$10)&gt;=1000</formula>
    </cfRule>
  </conditionalFormatting>
  <conditionalFormatting sqref="AD4:AD11">
    <cfRule type="expression" dxfId="1107" priority="70">
      <formula>ABS(AD$7-AD$10)&gt;=1000</formula>
    </cfRule>
  </conditionalFormatting>
  <conditionalFormatting sqref="AE4:AE11">
    <cfRule type="expression" dxfId="1106" priority="69">
      <formula>ABS(AE$7-AE$10)&gt;=1000</formula>
    </cfRule>
  </conditionalFormatting>
  <conditionalFormatting sqref="D13:D20">
    <cfRule type="expression" dxfId="1105" priority="68">
      <formula>ABS(D$16-D$19)&gt;=1000</formula>
    </cfRule>
  </conditionalFormatting>
  <conditionalFormatting sqref="E13:E20">
    <cfRule type="expression" dxfId="1104" priority="67">
      <formula>ABS(E$16-E$19)&gt;=1000</formula>
    </cfRule>
  </conditionalFormatting>
  <conditionalFormatting sqref="F13 F15:F20">
    <cfRule type="expression" dxfId="1103" priority="66">
      <formula>ABS(F$16-F$19)&gt;=1000</formula>
    </cfRule>
  </conditionalFormatting>
  <conditionalFormatting sqref="G13:G20">
    <cfRule type="expression" dxfId="1102" priority="65">
      <formula>ABS(G$16-G$19)&gt;=1000</formula>
    </cfRule>
  </conditionalFormatting>
  <conditionalFormatting sqref="H13:H20">
    <cfRule type="expression" dxfId="1101" priority="64">
      <formula>ABS(H$16-H$19)&gt;=1000</formula>
    </cfRule>
  </conditionalFormatting>
  <conditionalFormatting sqref="I13:I20">
    <cfRule type="expression" dxfId="1100" priority="63">
      <formula>ABS(I$16-I$19)&gt;=1000</formula>
    </cfRule>
  </conditionalFormatting>
  <conditionalFormatting sqref="J13:J20">
    <cfRule type="expression" dxfId="1099" priority="62">
      <formula>ABS(J$16-J$19)&gt;=1000</formula>
    </cfRule>
  </conditionalFormatting>
  <conditionalFormatting sqref="L13:L20">
    <cfRule type="expression" dxfId="1098" priority="61">
      <formula>ABS(L$16-L$19)&gt;=1000</formula>
    </cfRule>
  </conditionalFormatting>
  <conditionalFormatting sqref="M13 M15 M17:M18 M20">
    <cfRule type="expression" dxfId="1097" priority="60">
      <formula>ABS(M$16-M$19)&gt;=1000</formula>
    </cfRule>
  </conditionalFormatting>
  <conditionalFormatting sqref="N13:N20">
    <cfRule type="expression" dxfId="1096" priority="59">
      <formula>ABS(N$16-N$19)&gt;=1000</formula>
    </cfRule>
  </conditionalFormatting>
  <conditionalFormatting sqref="O13:O20">
    <cfRule type="expression" dxfId="1095" priority="58">
      <formula>ABS(O$16-O$19)&gt;=1000</formula>
    </cfRule>
  </conditionalFormatting>
  <conditionalFormatting sqref="P13:P20">
    <cfRule type="expression" dxfId="1094" priority="57">
      <formula>ABS(P$16-P$19)&gt;=1000</formula>
    </cfRule>
  </conditionalFormatting>
  <conditionalFormatting sqref="Q13 Q15:Q20">
    <cfRule type="expression" dxfId="1093" priority="56">
      <formula>ABS(Q$16-Q$19)&gt;=1000</formula>
    </cfRule>
  </conditionalFormatting>
  <conditionalFormatting sqref="R13:R20">
    <cfRule type="expression" dxfId="1092" priority="55">
      <formula>ABS(R$16-R$19)&gt;=1000</formula>
    </cfRule>
  </conditionalFormatting>
  <conditionalFormatting sqref="S13:S20">
    <cfRule type="expression" dxfId="1091" priority="54">
      <formula>ABS(S$16-S$19)&gt;=1000</formula>
    </cfRule>
  </conditionalFormatting>
  <conditionalFormatting sqref="T13:T20">
    <cfRule type="expression" dxfId="1090" priority="53">
      <formula>ABS(T$16-T$19)&gt;=1000</formula>
    </cfRule>
  </conditionalFormatting>
  <conditionalFormatting sqref="U13:U20">
    <cfRule type="expression" dxfId="1089" priority="52">
      <formula>ABS(U$16-U$19)&gt;=1000</formula>
    </cfRule>
  </conditionalFormatting>
  <conditionalFormatting sqref="V13:V20">
    <cfRule type="expression" dxfId="1088" priority="51">
      <formula>ABS(V$16-V$19)&gt;=1000</formula>
    </cfRule>
  </conditionalFormatting>
  <conditionalFormatting sqref="W13 W20 W15:W18">
    <cfRule type="expression" dxfId="1087" priority="50">
      <formula>ABS(W$16-W$19)&gt;=1000</formula>
    </cfRule>
  </conditionalFormatting>
  <conditionalFormatting sqref="X13 X15:X20 Y19">
    <cfRule type="expression" dxfId="1086" priority="49">
      <formula>ABS(X$16-X$19)&gt;=1000</formula>
    </cfRule>
  </conditionalFormatting>
  <conditionalFormatting sqref="Y13 Y15:Y18 Y20">
    <cfRule type="expression" dxfId="1085" priority="48">
      <formula>ABS(Y$16-Y$19)&gt;=1000</formula>
    </cfRule>
  </conditionalFormatting>
  <conditionalFormatting sqref="Z13:Z20">
    <cfRule type="expression" dxfId="1084" priority="47">
      <formula>ABS(Z$16-Z$19)&gt;=1000</formula>
    </cfRule>
  </conditionalFormatting>
  <conditionalFormatting sqref="AA13:AA20">
    <cfRule type="expression" dxfId="1083" priority="46">
      <formula>ABS(AA$16-AA$19)&gt;=1000</formula>
    </cfRule>
  </conditionalFormatting>
  <conditionalFormatting sqref="AB13 AB15:AB20">
    <cfRule type="expression" dxfId="1082" priority="45">
      <formula>ABS(AB$16-AB$19)&gt;=1000</formula>
    </cfRule>
  </conditionalFormatting>
  <conditionalFormatting sqref="AC13 AC15:AC20">
    <cfRule type="expression" dxfId="1081" priority="44">
      <formula>ABS(AC$16-AC$19)&gt;=1000</formula>
    </cfRule>
  </conditionalFormatting>
  <conditionalFormatting sqref="AD13:AD20">
    <cfRule type="expression" dxfId="1080" priority="43">
      <formula>ABS(AD$16-AD$19)&gt;=1000</formula>
    </cfRule>
  </conditionalFormatting>
  <conditionalFormatting sqref="AE13:AE20">
    <cfRule type="expression" dxfId="1079" priority="42">
      <formula>ABS(AE$16-AE$19)&gt;=1000</formula>
    </cfRule>
  </conditionalFormatting>
  <conditionalFormatting sqref="D22:D29">
    <cfRule type="expression" dxfId="1078" priority="41">
      <formula>ABS(D$25-D$28)&gt;=1000</formula>
    </cfRule>
  </conditionalFormatting>
  <conditionalFormatting sqref="E22:E29">
    <cfRule type="expression" dxfId="1077" priority="40">
      <formula>ABS(E$25-E$28)&gt;=1000</formula>
    </cfRule>
  </conditionalFormatting>
  <conditionalFormatting sqref="F22:F29">
    <cfRule type="expression" dxfId="1076" priority="39">
      <formula>ABS(F$25-F$28)&gt;=1000</formula>
    </cfRule>
  </conditionalFormatting>
  <conditionalFormatting sqref="G22:G29">
    <cfRule type="expression" dxfId="1075" priority="38">
      <formula>ABS(G$25-G$28)&gt;=1000</formula>
    </cfRule>
  </conditionalFormatting>
  <conditionalFormatting sqref="H22:H29">
    <cfRule type="expression" dxfId="1074" priority="37">
      <formula>ABS(H$25-H$28)&gt;=1000</formula>
    </cfRule>
  </conditionalFormatting>
  <conditionalFormatting sqref="I22 I24:I29">
    <cfRule type="expression" dxfId="1073" priority="36">
      <formula>ABS(I$25-I$28)&gt;=1000</formula>
    </cfRule>
  </conditionalFormatting>
  <conditionalFormatting sqref="J22:J29 K22">
    <cfRule type="expression" dxfId="1072" priority="35">
      <formula>ABS(J$25-J$28)&gt;=1000</formula>
    </cfRule>
  </conditionalFormatting>
  <conditionalFormatting sqref="K23:K29 L25 L28">
    <cfRule type="expression" dxfId="1071" priority="34">
      <formula>ABS(K$25-K$28)&gt;=1000</formula>
    </cfRule>
  </conditionalFormatting>
  <conditionalFormatting sqref="L22:L24 L26:L27 L29">
    <cfRule type="expression" dxfId="1070" priority="33">
      <formula>ABS(L$25-L$28)&gt;=1000</formula>
    </cfRule>
  </conditionalFormatting>
  <conditionalFormatting sqref="M22:M29">
    <cfRule type="expression" dxfId="1069" priority="32">
      <formula>ABS(M$25-M$28)&gt;=1000</formula>
    </cfRule>
  </conditionalFormatting>
  <conditionalFormatting sqref="N22:N29">
    <cfRule type="expression" dxfId="1068" priority="31">
      <formula>ABS(N$25-N$28)&gt;=1000</formula>
    </cfRule>
  </conditionalFormatting>
  <conditionalFormatting sqref="O22:O29">
    <cfRule type="expression" dxfId="1067" priority="30">
      <formula>ABS(O$25-O$28)&gt;=1000</formula>
    </cfRule>
  </conditionalFormatting>
  <conditionalFormatting sqref="P22:P29">
    <cfRule type="expression" dxfId="1066" priority="29">
      <formula>ABS(P$25-P$28)&gt;=1000</formula>
    </cfRule>
  </conditionalFormatting>
  <conditionalFormatting sqref="Q22:Q29">
    <cfRule type="expression" dxfId="1065" priority="28">
      <formula>ABS(Q$25-Q$28)&gt;=1000</formula>
    </cfRule>
  </conditionalFormatting>
  <conditionalFormatting sqref="R22:R29">
    <cfRule type="expression" dxfId="1064" priority="27">
      <formula>ABS(R$25-R$28)&gt;=1000</formula>
    </cfRule>
  </conditionalFormatting>
  <conditionalFormatting sqref="S22:S29">
    <cfRule type="expression" dxfId="1063" priority="26">
      <formula>ABS(S$25-S$28)&gt;=1000</formula>
    </cfRule>
  </conditionalFormatting>
  <conditionalFormatting sqref="T22:T29">
    <cfRule type="expression" dxfId="1062" priority="25">
      <formula>ABS(T$25-T$28)&gt;=1000</formula>
    </cfRule>
  </conditionalFormatting>
  <conditionalFormatting sqref="U22:U29">
    <cfRule type="expression" dxfId="1061" priority="24">
      <formula>ABS(U$25-U$28)&gt;=1000</formula>
    </cfRule>
  </conditionalFormatting>
  <conditionalFormatting sqref="V22:V29">
    <cfRule type="expression" dxfId="1060" priority="23">
      <formula>ABS(V$25-V$28)&gt;=1000</formula>
    </cfRule>
  </conditionalFormatting>
  <conditionalFormatting sqref="W22:W29">
    <cfRule type="expression" dxfId="1059" priority="22">
      <formula>ABS(W$25-W$28)&gt;=1000</formula>
    </cfRule>
  </conditionalFormatting>
  <conditionalFormatting sqref="X22:X29">
    <cfRule type="expression" dxfId="1058" priority="21">
      <formula>ABS(X$25-X$28)&gt;=1000</formula>
    </cfRule>
  </conditionalFormatting>
  <conditionalFormatting sqref="Y22:Y29">
    <cfRule type="expression" dxfId="1057" priority="20">
      <formula>ABS(Y$25-Y$28)&gt;=1000</formula>
    </cfRule>
  </conditionalFormatting>
  <conditionalFormatting sqref="I23">
    <cfRule type="expression" dxfId="1056" priority="19">
      <formula>ABS(I$25-I$28)&gt;=1000</formula>
    </cfRule>
  </conditionalFormatting>
  <conditionalFormatting sqref="F14">
    <cfRule type="expression" dxfId="1055" priority="18">
      <formula>ABS(F$16-F$19)&gt;=1000</formula>
    </cfRule>
  </conditionalFormatting>
  <conditionalFormatting sqref="Q14">
    <cfRule type="expression" dxfId="1054" priority="17">
      <formula>ABS(Q$16-Q$19)&gt;=1000</formula>
    </cfRule>
  </conditionalFormatting>
  <conditionalFormatting sqref="W14">
    <cfRule type="expression" dxfId="1053" priority="16">
      <formula>ABS(W$16-W$19)&gt;=1000</formula>
    </cfRule>
  </conditionalFormatting>
  <conditionalFormatting sqref="Y14">
    <cfRule type="expression" dxfId="1052" priority="15">
      <formula>ABS(Y$16-Y$19)&gt;=1000</formula>
    </cfRule>
  </conditionalFormatting>
  <conditionalFormatting sqref="X14">
    <cfRule type="expression" dxfId="1051" priority="14">
      <formula>ABS(X$16-X$19)&gt;=1000</formula>
    </cfRule>
  </conditionalFormatting>
  <conditionalFormatting sqref="T10:Y10">
    <cfRule type="expression" dxfId="1050" priority="13">
      <formula>ABS(T$7-T$10)&gt;=1000</formula>
    </cfRule>
  </conditionalFormatting>
  <conditionalFormatting sqref="W19">
    <cfRule type="expression" dxfId="1049" priority="12">
      <formula>ABS(W$16-W$19)&gt;=1000</formula>
    </cfRule>
  </conditionalFormatting>
  <conditionalFormatting sqref="AC5">
    <cfRule type="expression" dxfId="1048" priority="11">
      <formula>ABS(AC$7-AC$10)&gt;=1000</formula>
    </cfRule>
  </conditionalFormatting>
  <conditionalFormatting sqref="M14">
    <cfRule type="expression" dxfId="1047" priority="10">
      <formula>ABS(M$16-M$19)&gt;=1000</formula>
    </cfRule>
  </conditionalFormatting>
  <conditionalFormatting sqref="M16">
    <cfRule type="expression" dxfId="1046" priority="9">
      <formula>ABS(M$16-M$19)&gt;=1000</formula>
    </cfRule>
  </conditionalFormatting>
  <conditionalFormatting sqref="M19">
    <cfRule type="expression" dxfId="1045" priority="8">
      <formula>ABS(M$16-M$19)&gt;=1000</formula>
    </cfRule>
  </conditionalFormatting>
  <conditionalFormatting sqref="K13:K20">
    <cfRule type="expression" dxfId="1044" priority="7">
      <formula>ABS(K$16-K$19)&gt;=1000</formula>
    </cfRule>
  </conditionalFormatting>
  <conditionalFormatting sqref="E5">
    <cfRule type="expression" dxfId="1043" priority="6">
      <formula>ABS(E$7-E$10)&gt;=1000</formula>
    </cfRule>
  </conditionalFormatting>
  <conditionalFormatting sqref="AB14:AC14">
    <cfRule type="expression" dxfId="1042" priority="5">
      <formula>ABS(AB$16-AB$19)&gt;=1000</formula>
    </cfRule>
  </conditionalFormatting>
  <conditionalFormatting sqref="M5">
    <cfRule type="expression" dxfId="1041" priority="4">
      <formula>ABS(M$7-M$10)&gt;=1000</formula>
    </cfRule>
  </conditionalFormatting>
  <conditionalFormatting sqref="N5">
    <cfRule type="expression" dxfId="1040" priority="3">
      <formula>ABS(N$7-N$10)&gt;=1000</formula>
    </cfRule>
  </conditionalFormatting>
  <conditionalFormatting sqref="O5">
    <cfRule type="expression" dxfId="1039" priority="2">
      <formula>ABS(O$7-O$10)&gt;=1000</formula>
    </cfRule>
  </conditionalFormatting>
  <conditionalFormatting sqref="P5">
    <cfRule type="expression" dxfId="103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50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8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45736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2161</v>
      </c>
      <c r="E6" s="71">
        <v>2080</v>
      </c>
      <c r="F6" s="71">
        <v>2407</v>
      </c>
      <c r="G6" s="71">
        <v>8985</v>
      </c>
      <c r="H6" s="71">
        <v>3628</v>
      </c>
      <c r="I6" s="71">
        <v>27.11</v>
      </c>
      <c r="J6" s="71">
        <v>7.81</v>
      </c>
      <c r="K6" s="71">
        <v>7.31</v>
      </c>
      <c r="L6" s="71">
        <v>65.11</v>
      </c>
      <c r="M6" s="71">
        <v>3384</v>
      </c>
      <c r="N6" s="71">
        <v>3291</v>
      </c>
      <c r="O6" s="71">
        <v>4535</v>
      </c>
      <c r="P6" s="71">
        <v>680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6044</v>
      </c>
      <c r="Y6" s="71">
        <v>4070</v>
      </c>
      <c r="Z6" s="71">
        <v>3451</v>
      </c>
      <c r="AA6" s="71">
        <v>1567</v>
      </c>
      <c r="AB6" s="71">
        <v>1522</v>
      </c>
      <c r="AC6" s="71">
        <v>6693</v>
      </c>
      <c r="AD6" s="71">
        <v>692</v>
      </c>
      <c r="AE6" s="71">
        <v>3315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68448.596272020004</v>
      </c>
      <c r="E7" s="73" ph="1">
        <f>E6*51.53*LOOKUP(E8,密度!$A$2:$A$50,密度!$B$2:$B$50)</f>
        <v>84459.731200000009</v>
      </c>
      <c r="F7" s="73" ph="1">
        <f>F6*33.183*LOOKUP(F8,密度!$A$2:$A$50,密度!$C$2:$C$50)</f>
        <v>89120.598499799991</v>
      </c>
      <c r="G7" s="73" ph="1">
        <f xml:space="preserve"> (G6+2)*51.53*LOOKUP(G8,密度!$A$2:$A$50,密度!$B$2:$B$50)</f>
        <v>364922.88668</v>
      </c>
      <c r="H7" s="73" ph="1">
        <f>(H6)*51.53*LOOKUP(H8,密度!$A$2:$A$50,密度!$B$2:$B$50)</f>
        <v>148121.150532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2365.1072248</v>
      </c>
      <c r="L7" s="73" ph="1">
        <f>L6*290.8*0.777</f>
        <v>14711.708676000002</v>
      </c>
      <c r="M7" s="73" ph="1">
        <f>M6*33.183*LOOKUP(M8,密度!$A$2:$A$50,密度!$D$2:$D$50)</f>
        <v>116288.8412832</v>
      </c>
      <c r="N7" s="73" ph="1">
        <f>N6*33.183*LOOKUP(N8,密度!$A$2:$A$50,密度!$E$2:$E$50)</f>
        <v>86545.16300249999</v>
      </c>
      <c r="O7" s="73" ph="1">
        <f>O6*20.428*LOOKUP(O8,密度!$A$2:$A$50,密度!$C$2:$C$50)</f>
        <v>103007.50566200003</v>
      </c>
      <c r="P7" s="73" ph="1">
        <f>P6*51.53*LOOKUP(P8,密度!$A$2:$A$50,密度!$B$2:$B$50)</f>
        <v>27702.94024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40842.823190399999</v>
      </c>
      <c r="Y7" s="73" ph="1">
        <f>Y6*1.5*1.5*3.1416*LOOKUP(Y8,密度!$A$2:$A$50,密度!$L$2:$L$50)</f>
        <v>27215.665091999999</v>
      </c>
      <c r="Z7" s="73" ph="1">
        <f>Z6*33.183*LOOKUP(Z8,密度!$A$2:$A$50,密度!$L$2:$L$50)</f>
        <v>108330.74821799999</v>
      </c>
      <c r="AA7" s="73" ph="1">
        <f>AA6*33.183*LOOKUP(AA8,密度!$A$2:$A$50,密度!$D$2:$D$50)</f>
        <v>53848.881291600002</v>
      </c>
      <c r="AB7" s="73" ph="1">
        <f>AB6*20.428*LOOKUP(AB8,密度!$A$2:$A$50,密度!$D$2:$D$50)</f>
        <v>32447.001737600003</v>
      </c>
      <c r="AC7" s="73" ph="1">
        <f>AC6*51.53*LOOKUP(AC8,密度!$A$2:$A$50,密度!$Q$2:$Q$50)</f>
        <v>329211.57741660002</v>
      </c>
      <c r="AD7" s="73" ph="1">
        <f>AD6*20.428*LOOKUP(AD8,密度!$A$2:$A$50,密度!$V$2:$V$50)</f>
        <v>13627.273664</v>
      </c>
      <c r="AE7" s="73" ph="1">
        <f>AE6*20.428</f>
        <v>67718.820000000007</v>
      </c>
    </row>
    <row r="8" spans="1:99" ph="1">
      <c r="B8" s="252" ph="1"/>
      <c r="C8" s="68" t="s" ph="1">
        <v>181</v>
      </c>
      <c r="D8" s="74">
        <v>15</v>
      </c>
      <c r="E8" s="74">
        <v>15</v>
      </c>
      <c r="F8" s="74">
        <v>15</v>
      </c>
      <c r="G8" s="74">
        <v>15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21</v>
      </c>
      <c r="P8" s="74">
        <v>12</v>
      </c>
      <c r="Q8" s="74">
        <v>13</v>
      </c>
      <c r="R8" s="74">
        <v>20</v>
      </c>
      <c r="S8" s="74">
        <v>9</v>
      </c>
      <c r="T8" s="74">
        <v>10</v>
      </c>
      <c r="U8" s="74">
        <v>14</v>
      </c>
      <c r="V8" s="74">
        <v>20</v>
      </c>
      <c r="W8" s="74">
        <v>15</v>
      </c>
      <c r="X8" s="74">
        <v>6</v>
      </c>
      <c r="Y8" s="74">
        <v>16</v>
      </c>
      <c r="Z8" s="74">
        <v>16</v>
      </c>
      <c r="AA8" s="74">
        <v>15</v>
      </c>
      <c r="AB8" s="74">
        <v>6</v>
      </c>
      <c r="AC8" s="74">
        <v>13</v>
      </c>
      <c r="AD8" s="74">
        <v>11</v>
      </c>
      <c r="AE8" s="74">
        <v>17</v>
      </c>
    </row>
    <row r="9" spans="1:99" ph="1">
      <c r="B9" s="252" ph="1">
        <v>0.66666666666666663</v>
      </c>
      <c r="C9" s="162" t="s" ph="1">
        <v>182</v>
      </c>
      <c r="D9" s="71">
        <v>2160</v>
      </c>
      <c r="E9" s="71">
        <v>2518</v>
      </c>
      <c r="F9" s="71">
        <v>3216</v>
      </c>
      <c r="G9" s="71">
        <v>8987</v>
      </c>
      <c r="H9" s="71">
        <v>4726</v>
      </c>
      <c r="I9" s="71">
        <v>27.01</v>
      </c>
      <c r="J9" s="71">
        <v>7.81</v>
      </c>
      <c r="K9" s="71">
        <v>7.31</v>
      </c>
      <c r="L9" s="71">
        <v>24.81</v>
      </c>
      <c r="M9" s="71">
        <v>3385</v>
      </c>
      <c r="N9" s="71">
        <v>3295</v>
      </c>
      <c r="O9" s="71">
        <v>4835</v>
      </c>
      <c r="P9" s="71">
        <v>973</v>
      </c>
      <c r="Q9" s="71">
        <v>2731</v>
      </c>
      <c r="R9" s="71">
        <v>2662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1582</v>
      </c>
      <c r="Y9" s="71">
        <v>4679</v>
      </c>
      <c r="Z9" s="71">
        <v>4445</v>
      </c>
      <c r="AA9" s="71">
        <v>1564</v>
      </c>
      <c r="AB9" s="71">
        <v>1401</v>
      </c>
      <c r="AC9" s="71">
        <v>6692</v>
      </c>
      <c r="AD9" s="71">
        <v>689</v>
      </c>
      <c r="AE9" s="71">
        <v>3085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68235.583312799994</v>
      </c>
      <c r="E10" s="73" ph="1">
        <f>E9*51.53*LOOKUP(E11,密度!$A$2:$A$50,密度!$B$2:$B$50)</f>
        <v>101738.966614</v>
      </c>
      <c r="F10" s="73" ph="1">
        <f>F9*33.183*LOOKUP(F11,密度!$A$2:$A$50,密度!$C$2:$C$50)</f>
        <v>118796.83896960001</v>
      </c>
      <c r="G10" s="73" ph="1">
        <f xml:space="preserve"> (G9+2)*51.53*LOOKUP(G11,密度!$A$2:$A$50,密度!$B$2:$B$50)</f>
        <v>363568.16813300003</v>
      </c>
      <c r="H10" s="73" ph="1">
        <f>(H9)*51.53*LOOKUP(H11,密度!$A$2:$A$50,密度!$B$2:$B$50)</f>
        <v>192730.259292</v>
      </c>
      <c r="I10" s="73" ph="1">
        <f>I9*290.8*1.0267</f>
        <v>8064.2233636000001</v>
      </c>
      <c r="J10" s="73" ph="1">
        <f>J9*290.8*0.7892</f>
        <v>1792.3900016000002</v>
      </c>
      <c r="K10" s="73" ph="1">
        <f>K9*290.8*1.1126</f>
        <v>2365.1072248</v>
      </c>
      <c r="L10" s="73" ph="1">
        <f>L9*290.8*0.777</f>
        <v>5605.8591959999994</v>
      </c>
      <c r="M10" s="73" ph="1">
        <f>M9*33.183*LOOKUP(M11,密度!$A$2:$A$50,密度!$D$2:$D$50)</f>
        <v>115941.302451</v>
      </c>
      <c r="N10" s="73" ph="1">
        <f>N9*33.183*LOOKUP(N11,密度!$A$2:$A$50,密度!$E$2:$E$50)</f>
        <v>86530.081328999993</v>
      </c>
      <c r="O10" s="73" ph="1">
        <f>O9*20.428*LOOKUP(O11,密度!$A$2:$A$50,密度!$C$2:$C$50)</f>
        <v>109525.36548200001</v>
      </c>
      <c r="P10" s="73" ph="1">
        <f>P9*51.53*LOOKUP(P11,密度!$A$2:$A$50,密度!$B$2:$B$50)</f>
        <v>39353.857781000006</v>
      </c>
      <c r="Q10" s="73" ph="1">
        <f>Q9*1.5*1.5*3.1416*LOOKUP(W11,密度!$A$2:$A$50,密度!$L$2:$L$50)</f>
        <v>17972.346684600001</v>
      </c>
      <c r="R10" s="73" ph="1">
        <f>R9*1.5*1.5*3.1416*LOOKUP(R11,密度!$A$2:$A$50,密度!$L$2:$L$50)</f>
        <v>17631.1665684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10645.763990399999</v>
      </c>
      <c r="Y10" s="73" ph="1">
        <f>Y9*1.5*1.5*3.1416*LOOKUP(Y11,密度!$A$2:$A$50,密度!$L$2:$L$50)</f>
        <v>31221.836553599995</v>
      </c>
      <c r="Z10" s="73" ph="1">
        <f>Z9*33.183*LOOKUP(Z11,密度!$A$2:$A$50,密度!$L$2:$L$50)</f>
        <v>139091.02420499999</v>
      </c>
      <c r="AA10" s="73" ph="1">
        <f>AA9*33.183*LOOKUP(AA11,密度!$A$2:$A$50,密度!$D$2:$D$50)</f>
        <v>53527.815856800007</v>
      </c>
      <c r="AB10" s="73" ph="1">
        <f>AB9*20.428*LOOKUP(AB11,密度!$A$2:$A$50,密度!$D$2:$D$50)</f>
        <v>29764.413120000001</v>
      </c>
      <c r="AC10" s="73" ph="1">
        <f>AC9*51.53*LOOKUP(AC11,密度!$A$2:$A$50,密度!$Q$2:$Q$50)</f>
        <v>328289.94790760003</v>
      </c>
      <c r="AD10" s="73" ph="1">
        <f>AD9*20.428*LOOKUP(AD11,密度!$A$2:$A$50,密度!$V$2:$V$50)</f>
        <v>13523.156233599999</v>
      </c>
      <c r="AE10" s="73" ph="1">
        <f>AE9*20.428</f>
        <v>63020.380000000005</v>
      </c>
    </row>
    <row r="11" spans="1:99" ph="1">
      <c r="A11" s="64" t="s" ph="1">
        <v>164</v>
      </c>
      <c r="B11" s="252" ph="1"/>
      <c r="C11" s="162" t="s" ph="1">
        <v>181</v>
      </c>
      <c r="D11" s="74">
        <v>18</v>
      </c>
      <c r="E11" s="74">
        <v>20</v>
      </c>
      <c r="F11" s="74">
        <v>19</v>
      </c>
      <c r="G11" s="74">
        <v>19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18</v>
      </c>
      <c r="O11" s="74">
        <v>25</v>
      </c>
      <c r="P11" s="74">
        <v>19</v>
      </c>
      <c r="Q11" s="74">
        <v>18</v>
      </c>
      <c r="R11" s="74">
        <v>25</v>
      </c>
      <c r="S11" s="74">
        <v>15</v>
      </c>
      <c r="T11" s="74">
        <v>24</v>
      </c>
      <c r="U11" s="74">
        <v>21</v>
      </c>
      <c r="V11" s="74">
        <v>27</v>
      </c>
      <c r="W11" s="74">
        <v>31</v>
      </c>
      <c r="X11" s="74">
        <v>10</v>
      </c>
      <c r="Y11" s="74">
        <v>18</v>
      </c>
      <c r="Z11" s="74">
        <v>19</v>
      </c>
      <c r="AA11" s="74">
        <v>20</v>
      </c>
      <c r="AB11" s="74">
        <v>10</v>
      </c>
      <c r="AC11" s="74">
        <v>18</v>
      </c>
      <c r="AD11" s="74">
        <v>23</v>
      </c>
      <c r="AE11" s="74">
        <v>20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1042</v>
      </c>
      <c r="E15" s="78">
        <v>75</v>
      </c>
      <c r="F15" s="78">
        <v>1307</v>
      </c>
      <c r="G15" s="78">
        <v>3862</v>
      </c>
      <c r="H15" s="78">
        <v>2217</v>
      </c>
      <c r="I15" s="78">
        <v>1687</v>
      </c>
      <c r="J15" s="78">
        <v>744</v>
      </c>
      <c r="K15" s="78">
        <v>1285</v>
      </c>
      <c r="L15" s="78">
        <v>5598</v>
      </c>
      <c r="M15" s="78">
        <v>4514</v>
      </c>
      <c r="N15" s="78">
        <v>1121</v>
      </c>
      <c r="O15" s="78">
        <v>0</v>
      </c>
      <c r="P15" s="78">
        <v>2216</v>
      </c>
      <c r="Q15" s="78">
        <v>5070</v>
      </c>
      <c r="R15" s="78">
        <v>3483</v>
      </c>
      <c r="S15" s="78">
        <v>6802</v>
      </c>
      <c r="T15" s="78">
        <v>1814</v>
      </c>
      <c r="U15" s="78">
        <v>6573</v>
      </c>
      <c r="V15" s="78">
        <v>384</v>
      </c>
      <c r="W15" s="71">
        <v>-596</v>
      </c>
      <c r="X15" s="78">
        <v>292</v>
      </c>
      <c r="Y15" s="106">
        <v>-9901</v>
      </c>
      <c r="Z15" s="78">
        <v>0</v>
      </c>
      <c r="AA15" s="78">
        <v>2491</v>
      </c>
      <c r="AB15" s="78" ph="1">
        <v>6844</v>
      </c>
      <c r="AC15" s="78" ph="1">
        <v>6491</v>
      </c>
      <c r="AD15" s="78">
        <v>8451</v>
      </c>
      <c r="AE15" s="78">
        <v>19.21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6975.1106964000001</v>
      </c>
      <c r="E16" s="73" ph="1">
        <f>E15*7.0686*LOOKUP(E17,密度!$A$2:$A$50,密度!$L$2:$L$50)</f>
        <v>502.04731499999997</v>
      </c>
      <c r="F16" s="73" ph="1">
        <f>F15*9.0746*LOOKUP(F17,密度!$A$2:$A$50,密度!$L$2:$L$50)</f>
        <v>11255.616587800001</v>
      </c>
      <c r="G16" s="73" ph="1">
        <f>G15*9.0746*LOOKUP(G17,密度!$A$2:$A$50,密度!$B$2:$B$50)</f>
        <v>27616.330897600001</v>
      </c>
      <c r="H16" s="73" ph="1">
        <f>H15*9.0746*LOOKUP(H17,密度!$A$2:$A$50,密度!$L$2:$L$50)</f>
        <v>18911.284908000001</v>
      </c>
      <c r="I16" s="73" ph="1">
        <f>I15*9.0746*LOOKUP(I17,密度!$A$2:$A$50,密度!$U$2:$U$50)</f>
        <v>15737.4980056</v>
      </c>
      <c r="J16" s="73" ph="1">
        <f>J15*9.0746*LOOKUP(J17,密度!$A$2:$A$50,密度!$L$2:$L$50)</f>
        <v>6407.1757776000004</v>
      </c>
      <c r="K16" s="73" ph="1">
        <f>K15*9.0746*LOOKUP(K17,密度!$A$2:$A$50,密度!$C$2:$C$50)</f>
        <v>13004.1921872</v>
      </c>
      <c r="L16" s="73" ph="1">
        <f>L15*9.0746*LOOKUP(L17,密度!$A$2:$A$50,密度!$E$2:$E$50)</f>
        <v>40370.450702759998</v>
      </c>
      <c r="M16" s="73" ph="1">
        <f>M15*9.0746*LOOKUP(M17,密度!$A$2:$A$50,密度!$M$2:$M$50)</f>
        <v>36059.503895319998</v>
      </c>
      <c r="N16" s="73" ph="1">
        <f>N15*9.0746*LOOKUP(N17,密度!$A$2:$A$50,密度!$M$2:$M$50)</f>
        <v>8954.963195979999</v>
      </c>
      <c r="O16" s="73" ph="1">
        <f>O15*9.0746*LOOKUP(O17,密度!$A$2:$A$50,密度!$G$2:$G$50)</f>
        <v>0</v>
      </c>
      <c r="P16" s="73" ph="1">
        <f ca="1">P15*9.0746*LOOKUP(P17,密度!$A$2:$A$51,密度!$Q$2:$Q$50)</f>
        <v>19195.144203744003</v>
      </c>
      <c r="Q16" s="73" ph="1">
        <f>Q15*9.0746*LOOKUP(Q17,密度!$A$2:$A$50,密度!$Q$2:$Q$50)</f>
        <v>43916.688227880004</v>
      </c>
      <c r="R16" s="73" ph="1">
        <f>MAX(R15*9.0746*LOOKUP(R17,密度!$A$2:$A$50,密度!$B$2:$B$50),0)</f>
        <v>24906.183458400003</v>
      </c>
      <c r="S16" s="73" ph="1">
        <f>S15*9.0746*LOOKUP(S17,密度!$A$2:$A$50,密度!$Q$2:$Q$50)</f>
        <v>58919.391188567999</v>
      </c>
      <c r="T16" s="73" ph="1">
        <f>T15*9.0746*LOOKUP(T17,密度!$A$2:$A$50,密度!$O$2:$O$50)</f>
        <v>15374.876989600001</v>
      </c>
      <c r="U16" s="73" ph="1">
        <f>U15*9.0746*LOOKUP(U17,密度!$A$2:$A$50,密度!$H$2:$H$50)</f>
        <v>55334.842698660002</v>
      </c>
      <c r="V16" s="73" ph="1">
        <f>MAX(5600*LOOKUP(V17,密度!$A$2:$A$50,密度!$Q$2:$Q$50)+V15*9.0476*LOOKUP(V17,密度!$A$2:$A$50,密度!$Q$2:$Q$50),0)</f>
        <v>8661.7617039359993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8497.9750081439997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17851.033145419999</v>
      </c>
      <c r="AB16" s="73" ph="1">
        <f>AB15*9.0746*LOOKUP(AB17,密度!$A$2:$A$50,密度!$L$2:$L$50)</f>
        <v>58752.808030399996</v>
      </c>
      <c r="AC16" s="73" ph="1">
        <f>AC15*9.0746*LOOKUP(AC17,密度!$A$2:$A$50,密度!$L$2:$L$50)</f>
        <v>55899.163941400002</v>
      </c>
      <c r="AD16" s="73" ph="1">
        <f>AD15*268.68*LOOKUP(AD17,密度!$A$2:$A$50,密度!B2:B50)+IF(AD15&lt;=0,0,1566*LOOKUP(AD17,密度!$A$2:$A$50,密度!B2:B50))</f>
        <v>1771392.058128</v>
      </c>
      <c r="AE16" s="73" ph="1">
        <f>AE15*268.68*LOOKUP(AE17,密度!$A$2:$A$50,密度!B2:B50)+IF(AE15&lt;=0,0,1566*LOOKUP(AE17,密度!$A$2:$A$50,密度!B2:B50))</f>
        <v>5244.6364468800002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15</v>
      </c>
      <c r="E17" s="74">
        <v>15</v>
      </c>
      <c r="F17" s="74">
        <v>13</v>
      </c>
      <c r="G17" s="74">
        <v>15</v>
      </c>
      <c r="H17" s="74">
        <v>22</v>
      </c>
      <c r="I17" s="74">
        <v>12</v>
      </c>
      <c r="J17" s="74">
        <v>13</v>
      </c>
      <c r="K17" s="74">
        <v>16</v>
      </c>
      <c r="L17" s="74">
        <v>15</v>
      </c>
      <c r="M17" s="74">
        <v>16</v>
      </c>
      <c r="N17" s="74">
        <v>11</v>
      </c>
      <c r="O17" s="74">
        <v>15</v>
      </c>
      <c r="P17" s="74">
        <v>15</v>
      </c>
      <c r="Q17" s="74">
        <v>15</v>
      </c>
      <c r="R17" s="74">
        <v>15</v>
      </c>
      <c r="S17" s="74">
        <v>15</v>
      </c>
      <c r="T17" s="74">
        <v>15</v>
      </c>
      <c r="U17" s="74">
        <v>12</v>
      </c>
      <c r="V17" s="74">
        <v>15</v>
      </c>
      <c r="W17" s="74">
        <v>15</v>
      </c>
      <c r="X17" s="74">
        <v>35</v>
      </c>
      <c r="Y17" s="108">
        <v>35</v>
      </c>
      <c r="Z17" s="74">
        <v>14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1043</v>
      </c>
      <c r="E18" s="71">
        <v>74</v>
      </c>
      <c r="F18" s="71">
        <v>1307</v>
      </c>
      <c r="G18" s="71">
        <v>3896</v>
      </c>
      <c r="H18" s="71">
        <v>2213</v>
      </c>
      <c r="I18" s="71">
        <v>1688</v>
      </c>
      <c r="J18" s="71">
        <v>750</v>
      </c>
      <c r="K18" s="71">
        <v>1285</v>
      </c>
      <c r="L18" s="71">
        <v>5615</v>
      </c>
      <c r="M18" s="71">
        <v>6296</v>
      </c>
      <c r="N18" s="71">
        <v>331</v>
      </c>
      <c r="O18" s="71">
        <v>0</v>
      </c>
      <c r="P18" s="71">
        <v>2218</v>
      </c>
      <c r="Q18" s="71">
        <v>5177</v>
      </c>
      <c r="R18" s="71">
        <v>3489</v>
      </c>
      <c r="S18" s="71">
        <v>6813</v>
      </c>
      <c r="T18" s="71">
        <v>1237</v>
      </c>
      <c r="U18" s="71">
        <v>6580</v>
      </c>
      <c r="V18" s="71">
        <v>386</v>
      </c>
      <c r="W18" s="71">
        <v>-596</v>
      </c>
      <c r="X18" s="71">
        <v>292</v>
      </c>
      <c r="Y18" s="109">
        <v>-9901</v>
      </c>
      <c r="Z18" s="71">
        <v>0</v>
      </c>
      <c r="AA18" s="71">
        <v>2494</v>
      </c>
      <c r="AB18" s="71">
        <v>6857</v>
      </c>
      <c r="AC18" s="71">
        <v>6502</v>
      </c>
      <c r="AD18" s="71">
        <v>84.11</v>
      </c>
      <c r="AE18" s="71">
        <v>35.71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6959.6870111999997</v>
      </c>
      <c r="E19" s="73" ph="1">
        <f>E18*7.0686*LOOKUP(E20,密度!$A$2:$A$50,密度!$L$2:$L$50)</f>
        <v>493.78412159999999</v>
      </c>
      <c r="F19" s="73" ph="1">
        <f>F18*9.0746*LOOKUP(F20,密度!$A$2:$A$50,密度!$L$2:$L$50)</f>
        <v>11172.593072400001</v>
      </c>
      <c r="G19" s="73" ph="1">
        <f>G18*9.0746*LOOKUP(G20,密度!$A$2:$A$50,密度!$B$2:$B$50)</f>
        <v>27778.141905119999</v>
      </c>
      <c r="H19" s="73" ph="1">
        <f>H18*9.0746*LOOKUP(H20,密度!$A$2:$A$50,密度!$L$2:$L$50)</f>
        <v>18877.164412000002</v>
      </c>
      <c r="I19" s="73" ph="1">
        <f>I18*9.0746*LOOKUP(I20,密度!$A$2:$A$50,密度!$U$2:$U$50)</f>
        <v>15746.826694400001</v>
      </c>
      <c r="J19" s="73" ph="1">
        <f>J18*9.0746*LOOKUP(J20,密度!$A$2:$A$50,密度!$L$2:$L$50)</f>
        <v>6411.2048999999997</v>
      </c>
      <c r="K19" s="73" ph="1">
        <f>K18*9.0746*LOOKUP(K20,密度!$A$2:$A$50,密度!$C$2:$C$50)</f>
        <v>12973.873948600001</v>
      </c>
      <c r="L19" s="73" ph="1">
        <f>L18*9.0746*LOOKUP(L20,密度!$A$2:$A$50,密度!$E$2:$E$50)</f>
        <v>40324.899840600003</v>
      </c>
      <c r="M19" s="73" ph="1">
        <f>M18*9.0746*LOOKUP(M20,密度!$A$2:$A$50,密度!$M$2:$M$50)</f>
        <v>50294.77991248</v>
      </c>
      <c r="N19" s="73" ph="1">
        <f>N18*9.0746*LOOKUP(N20,密度!$A$2:$A$50,密度!$M$2:$M$50)</f>
        <v>2644.15059578</v>
      </c>
      <c r="O19" s="73" ph="1">
        <f>O18*9.0746*LOOKUP(O20,密度!$A$2:$A$50,密度!$G$2:$G$50)</f>
        <v>0</v>
      </c>
      <c r="P19" s="73" ph="1">
        <f ca="1">P18*9.0746*LOOKUP(P20,密度!$A$2:$A$51,密度!$Q$2:$Q$50)</f>
        <v>19128.738095864002</v>
      </c>
      <c r="Q19" s="73" ph="1">
        <f>Q18*9.0746*LOOKUP(Q20,密度!$A$2:$A$50,密度!$Q$2:$Q$50)</f>
        <v>44724.672190442005</v>
      </c>
      <c r="R19" s="73" ph="1">
        <f>MAX(R18*9.0746*LOOKUP(R20,密度!$A$2:$A$50,密度!$B$2:$B$50),0)</f>
        <v>24825.609177540002</v>
      </c>
      <c r="S19" s="73" ph="1">
        <f>S18*9.0746*LOOKUP(S20,密度!$A$2:$A$50,密度!$Q$2:$Q$50)</f>
        <v>58858.256062098008</v>
      </c>
      <c r="T19" s="73" ph="1">
        <f>T18*9.0746*LOOKUP(T20,密度!$A$2:$A$50,密度!$O$2:$O$50)</f>
        <v>10439.510586000002</v>
      </c>
      <c r="U19" s="73" ph="1">
        <f>U18*9.0746*LOOKUP(U20,密度!$A$2:$A$50,密度!$H$2:$H$50)</f>
        <v>55035.5070356</v>
      </c>
      <c r="V19" s="73" ph="1">
        <f>MAX(5600*LOOKUP(V20,密度!$A$2:$A$50,密度!$Q$2:$Q$50)+V18*9.0476*LOOKUP(V20,密度!$A$2:$A$50,密度!$Q$2:$Q$50),0)</f>
        <v>8656.0305909359995</v>
      </c>
      <c r="W19" s="73" ph="1">
        <f>MAX(5600*LOOKUP(W20,密度!$A$2:$A$50,密度!$Q$2:$Q$50)+W18*9.0476*LOOKUP(W20,密度!$A$2:$A$50,密度!$Q$2:$Q$50),0)</f>
        <v>197.66621710400068</v>
      </c>
      <c r="X19" s="73" ph="1">
        <f>MAX(5600*LOOKUP(X20,密度!$A$2:$A$50,密度!$I$2:$I$50)+X18*9.0476*LOOKUP(X20,密度!$A$2:$A$50,密度!$I$2:$I$50),0)</f>
        <v>8488.8265000319989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17815.951649279999</v>
      </c>
      <c r="AB19" s="73" ph="1">
        <f>AB18*9.0746*LOOKUP(AB20,密度!$A$2:$A$50,密度!$L$2:$L$50)</f>
        <v>58739.958396800001</v>
      </c>
      <c r="AC19" s="73" ph="1">
        <f>AC18*9.0746*LOOKUP(AC20,密度!$A$2:$A$50,密度!$L$2:$L$50)</f>
        <v>55816.884543200002</v>
      </c>
      <c r="AD19" s="73" ph="1">
        <f>AD18*268.68*LOOKUP(AD20,密度!$A$2:$A$50,密度!B5:B53)+IF(AD18&lt;=0,0,1566*LOOKUP(AD20,密度!$A$2:$A$50,密度!B5:B53))</f>
        <v>18775.952319600001</v>
      </c>
      <c r="AE19" s="73" ph="1">
        <f>AE18*268.68*LOOKUP(AE20,密度!$A$2:$A$50,密度!B5:B53)+IF(AE18&lt;=0,0,1566*LOOKUP(AE20,密度!$A$2:$A$50,密度!B5:B53))</f>
        <v>8671.7572956000004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18</v>
      </c>
      <c r="E20" s="81">
        <v>18</v>
      </c>
      <c r="F20" s="81">
        <v>20</v>
      </c>
      <c r="G20" s="81">
        <v>18</v>
      </c>
      <c r="H20" s="81">
        <v>22</v>
      </c>
      <c r="I20" s="81">
        <v>20</v>
      </c>
      <c r="J20" s="81">
        <v>20</v>
      </c>
      <c r="K20" s="81">
        <v>20</v>
      </c>
      <c r="L20" s="81">
        <v>18</v>
      </c>
      <c r="M20" s="81">
        <v>20</v>
      </c>
      <c r="N20" s="81">
        <v>20</v>
      </c>
      <c r="O20" s="81">
        <v>21</v>
      </c>
      <c r="P20" s="81">
        <v>20</v>
      </c>
      <c r="Q20" s="81">
        <v>18</v>
      </c>
      <c r="R20" s="81">
        <v>20</v>
      </c>
      <c r="S20" s="81">
        <v>18</v>
      </c>
      <c r="T20" s="81">
        <v>23</v>
      </c>
      <c r="U20" s="81">
        <v>18</v>
      </c>
      <c r="V20" s="81">
        <v>18</v>
      </c>
      <c r="W20" s="81">
        <v>18</v>
      </c>
      <c r="X20" s="81">
        <v>36</v>
      </c>
      <c r="Y20" s="110">
        <v>36</v>
      </c>
      <c r="Z20" s="81">
        <v>25</v>
      </c>
      <c r="AA20" s="81">
        <v>16</v>
      </c>
      <c r="AB20" s="81">
        <v>18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656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3.51</v>
      </c>
      <c r="E24" s="71">
        <v>95.11</v>
      </c>
      <c r="F24" s="71">
        <v>823</v>
      </c>
      <c r="G24" s="71">
        <v>2835</v>
      </c>
      <c r="H24" s="71">
        <v>1780</v>
      </c>
      <c r="I24" s="71">
        <v>5508</v>
      </c>
      <c r="J24" s="71">
        <v>2489</v>
      </c>
      <c r="K24" s="71">
        <v>5607</v>
      </c>
      <c r="L24" s="71">
        <v>5580</v>
      </c>
      <c r="M24" s="71">
        <v>5013</v>
      </c>
      <c r="N24" s="71">
        <v>4220</v>
      </c>
      <c r="O24" s="71">
        <v>3512</v>
      </c>
      <c r="P24" s="71">
        <v>831</v>
      </c>
      <c r="Q24" s="90">
        <v>2429</v>
      </c>
      <c r="R24" s="71">
        <v>6337</v>
      </c>
      <c r="S24" s="71">
        <v>3621</v>
      </c>
      <c r="T24" s="71">
        <v>904</v>
      </c>
      <c r="U24" s="71">
        <v>4297</v>
      </c>
      <c r="V24" s="71">
        <v>9603</v>
      </c>
      <c r="W24" s="71">
        <v>10846</v>
      </c>
      <c r="X24" s="71">
        <v>6537</v>
      </c>
      <c r="Y24" s="71">
        <v>3141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2375.433902232</v>
      </c>
      <c r="E25" s="91" ph="1">
        <f>E24*268.68*LOOKUP(E26,密度!$A$2:$A$50,密度!$C$2:$C$50)+IF(E24&lt;=0,0,1566*LOOKUP(E26,密度!$A$2:$A$50,密度!$C$2:$C$50))</f>
        <v>30073.539657720001</v>
      </c>
      <c r="F25" s="91" ph="1">
        <f>F24*11.702*LOOKUP(F26,密度!$A$2:$A$50,密度!$Q$2:$Q$50)</f>
        <v>9192.9322868399995</v>
      </c>
      <c r="G25" s="91" ph="1">
        <f>G24*18.322*LOOKUP(G26,密度!$A$2:$A$50,密度!$B$2:$B$50)</f>
        <v>40930.98156</v>
      </c>
      <c r="H25" s="91" ph="1">
        <f>H24*18.322*LOOKUP(H26,密度!$A$2:$A$50,密度!$B$2:$B$50)</f>
        <v>25699.17008</v>
      </c>
      <c r="I25" s="91" ph="1">
        <f>I24*18.322*LOOKUP(I26,密度!$A$2:$A$50,密度!$Q$2:$Q$50)</f>
        <v>96329.862995040006</v>
      </c>
      <c r="J25" s="91" ph="1">
        <f>J24*18.322*LOOKUP(J26,密度!$A$2:$A$50,密度!$Q$2:$Q$50)</f>
        <v>43530.324799319998</v>
      </c>
      <c r="K25" s="91" ph="1">
        <f>K24*18.322*LOOKUP(K26,密度!$A$2:$A$50,密度!$Q$2:$Q$50)</f>
        <v>98061.282101160003</v>
      </c>
      <c r="L25" s="91" ph="1">
        <f>L24*18.322*LOOKUP(L26,密度!$A$2:$A$50,密度!$Q$2:$Q$50)</f>
        <v>97589.0768904</v>
      </c>
      <c r="M25" s="91" ph="1">
        <f>M24*18.322*LOOKUP(M26,密度!$A$2:$A$50,密度!$Q$2:$Q$50)</f>
        <v>87672.76746444001</v>
      </c>
      <c r="N25" s="91" ph="1">
        <f>N24*18.322*LOOKUP(N26,密度!$A$2:$A$50,密度!$Q$2:$Q$50)</f>
        <v>73731.245823999998</v>
      </c>
      <c r="O25" s="91" ph="1">
        <f>O24*18.322*LOOKUP(O26,密度!$A$2:$A$50,密度!$C$2:$C$50)</f>
        <v>71759.622732799995</v>
      </c>
      <c r="P25" s="91" ph="1">
        <f>P24*11.702*LOOKUP(P26,密度!$A$2:$A$50,密度!$B$2:$B$50)</f>
        <v>7662.7972559999998</v>
      </c>
      <c r="Q25" s="92" ph="1">
        <f>Q24*18.322*LOOKUP(Q26,密度!$A$2:$A$50,密度!$B$2:$B$50)</f>
        <v>35069.260743999999</v>
      </c>
      <c r="R25" s="91" ph="1">
        <f>R24*35.891*LOOKUP(R26,密度!$A$2:$A$50,密度!$C$2:$C$50)</f>
        <v>253642.50095839999</v>
      </c>
      <c r="S25" s="91" ph="1">
        <f>S24*35.891*LOOKUP(S26,密度!$A$2:$A$50,密度!$B$2:$B$50)</f>
        <v>102305.5440192</v>
      </c>
      <c r="T25" s="91" ph="1">
        <f>T24*35.891*LOOKUP(T26,密度!$A$2:$A$50,密度!$Q$2:$Q$50)</f>
        <v>30970.493206560001</v>
      </c>
      <c r="U25" s="91" ph="1">
        <f>U24*35.891</f>
        <v>154223.62699999998</v>
      </c>
      <c r="V25" s="91" ph="1">
        <f>V24*47.051*LOOKUP(V26,密度!$A$2:$A$50,密度!$B$2:$B$50)</f>
        <v>355681.16876160004</v>
      </c>
      <c r="W25" s="91" ph="1">
        <f>W24*47.051*LOOKUP(W26,密度!$A$2:$A$50,密度!$B$2:$B$50)</f>
        <v>401720.08293119998</v>
      </c>
      <c r="X25" s="91" ph="1">
        <f>X24*47.051*LOOKUP(X26,密度!$A$2:$A$50,密度!$I$2:$I$50)</f>
        <v>318534.26687267993</v>
      </c>
      <c r="Y25" s="91" ph="1">
        <f>Y24*47.051*LOOKUP(Y26,密度!$A$2:$A$50,密度!$L$2:$L$50)</f>
        <v>139658.89549499998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14</v>
      </c>
      <c r="J26" s="74">
        <v>14</v>
      </c>
      <c r="K26" s="74">
        <v>15</v>
      </c>
      <c r="L26" s="74">
        <v>15</v>
      </c>
      <c r="M26" s="74">
        <v>14</v>
      </c>
      <c r="N26" s="74">
        <v>16</v>
      </c>
      <c r="O26" s="74">
        <v>16</v>
      </c>
      <c r="P26" s="74">
        <v>15</v>
      </c>
      <c r="Q26" s="93">
        <v>15</v>
      </c>
      <c r="R26" s="74">
        <v>16</v>
      </c>
      <c r="S26" s="74">
        <v>16</v>
      </c>
      <c r="T26" s="74">
        <v>15</v>
      </c>
      <c r="U26" s="74">
        <v>17</v>
      </c>
      <c r="V26" s="74">
        <v>16</v>
      </c>
      <c r="W26" s="74">
        <v>16</v>
      </c>
      <c r="X26" s="74">
        <v>53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3.42</v>
      </c>
      <c r="E27" s="71">
        <v>95.12</v>
      </c>
      <c r="F27" s="71">
        <v>0</v>
      </c>
      <c r="G27" s="71">
        <v>2376</v>
      </c>
      <c r="H27" s="71">
        <v>1735</v>
      </c>
      <c r="I27" s="71">
        <v>5510</v>
      </c>
      <c r="J27" s="71">
        <v>2445</v>
      </c>
      <c r="K27" s="71">
        <v>2509</v>
      </c>
      <c r="L27" s="71">
        <v>5577</v>
      </c>
      <c r="M27" s="71">
        <v>5014</v>
      </c>
      <c r="N27" s="71">
        <v>4217</v>
      </c>
      <c r="O27" s="71">
        <v>3509</v>
      </c>
      <c r="P27" s="71">
        <v>828</v>
      </c>
      <c r="Q27" s="90">
        <v>2590</v>
      </c>
      <c r="R27" s="71">
        <v>6335</v>
      </c>
      <c r="S27" s="71">
        <v>3403</v>
      </c>
      <c r="T27" s="71">
        <v>903</v>
      </c>
      <c r="U27" s="71">
        <v>3293</v>
      </c>
      <c r="V27" s="71">
        <v>9605</v>
      </c>
      <c r="W27" s="71">
        <v>11322</v>
      </c>
      <c r="X27" s="71">
        <v>6765</v>
      </c>
      <c r="Y27" s="71">
        <v>2081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2352.5405929439999</v>
      </c>
      <c r="E28" s="91" ph="1">
        <f>E27*268.68*LOOKUP(E29,密度!$A$2:$A$50,密度!$C$2:$C$50)+IF(E27&lt;=0,0,1566*LOOKUP(E29,密度!$A$2:$A$50,密度!$C$2:$C$50))</f>
        <v>30076.519050240004</v>
      </c>
      <c r="F28" s="91" ph="1">
        <f>F27*11.702*LOOKUP(F29,密度!$A$2:$A$50,密度!$Q$2:$Q$50)</f>
        <v>0</v>
      </c>
      <c r="G28" s="91" ph="1">
        <f>G27*18.322*LOOKUP(G29,密度!$A$2:$A$50,密度!$B$2:$B$50)</f>
        <v>34203.934670399998</v>
      </c>
      <c r="H28" s="91" ph="1">
        <f>H27*18.322*LOOKUP(H29,密度!$A$2:$A$50,密度!$B$2:$B$50)</f>
        <v>24950.927082999999</v>
      </c>
      <c r="I28" s="91" ph="1">
        <f>I27*18.322*LOOKUP(I29,密度!$A$2:$A$50,密度!$Q$2:$Q$50)</f>
        <v>96030.682690600006</v>
      </c>
      <c r="J28" s="91" ph="1">
        <f>J27*18.322*LOOKUP(J29,密度!$A$2:$A$50,密度!$Q$2:$Q$50)</f>
        <v>42647.468052900003</v>
      </c>
      <c r="K28" s="91" ph="1">
        <f>K27*18.322*LOOKUP(K29,密度!$A$2:$A$50,密度!$Q$2:$Q$50)</f>
        <v>43763.802594979999</v>
      </c>
      <c r="L28" s="91" ph="1">
        <f>L27*18.322*LOOKUP(L29,密度!$A$2:$A$50,密度!$Q$2:$Q$50)</f>
        <v>97198.387906620002</v>
      </c>
      <c r="M28" s="91" ph="1">
        <f>M27*18.322*LOOKUP(M29,密度!$A$2:$A$50,密度!$Q$2:$Q$50)</f>
        <v>87308.091873040001</v>
      </c>
      <c r="N28" s="91" ph="1">
        <f>N27*18.322*LOOKUP(N29,密度!$A$2:$A$50,密度!$Q$2:$Q$50)</f>
        <v>73555.980686740004</v>
      </c>
      <c r="O28" s="91" ph="1">
        <f>O27*18.322*LOOKUP(O29,密度!$A$2:$A$50,密度!$C$2:$C$50)</f>
        <v>71614.745182199986</v>
      </c>
      <c r="P28" s="91" ph="1">
        <f>P27*11.702*LOOKUP(P29,密度!$A$2:$A$50,密度!$B$2:$B$50)</f>
        <v>7605.0970343999998</v>
      </c>
      <c r="Q28" s="92" ph="1">
        <f>Q27*18.322*LOOKUP(Q29,密度!$A$2:$A$50,密度!$B$2:$B$50)</f>
        <v>37284.592085999997</v>
      </c>
      <c r="R28" s="91" ph="1">
        <f>R27*35.891*LOOKUP(R29,密度!$A$2:$A$50,密度!$C$2:$C$50)</f>
        <v>253266.86934149996</v>
      </c>
      <c r="S28" s="91" ph="1">
        <f>S27*35.891*LOOKUP(S29,密度!$A$2:$A$50,密度!$B$2:$B$50)</f>
        <v>95963.098256099984</v>
      </c>
      <c r="T28" s="91" ph="1">
        <f>T27*35.891*LOOKUP(T29,密度!$A$2:$A$50,密度!$Q$2:$Q$50)</f>
        <v>30828.958124789999</v>
      </c>
      <c r="U28" s="91" ph="1">
        <f>U27*35.891</f>
        <v>118189.06299999999</v>
      </c>
      <c r="V28" s="91" ph="1">
        <f>V27*47.051*LOOKUP(V29,密度!$A$2:$A$50,密度!$B$2:$B$50)</f>
        <v>354354.27880550001</v>
      </c>
      <c r="W28" s="91" ph="1">
        <f>W27*47.051*LOOKUP(W29,密度!$A$2:$A$50,密度!$B$2:$B$50)</f>
        <v>417699.02599020005</v>
      </c>
      <c r="X28" s="91" ph="1">
        <f>X27*47.051*LOOKUP(X29,密度!$A$2:$A$50,密度!$I$2:$I$50)</f>
        <v>329281.36551750003</v>
      </c>
      <c r="Y28" s="91" ph="1">
        <f>Y27*47.051*LOOKUP(Y29,密度!$A$2:$A$50,密度!$L$2:$L$50)</f>
        <v>92136.256271000006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18</v>
      </c>
      <c r="G29" s="74">
        <v>18</v>
      </c>
      <c r="H29" s="74">
        <v>19</v>
      </c>
      <c r="I29" s="74">
        <v>19</v>
      </c>
      <c r="J29" s="74">
        <v>18</v>
      </c>
      <c r="K29" s="74">
        <v>18</v>
      </c>
      <c r="L29" s="74">
        <v>19</v>
      </c>
      <c r="M29" s="74">
        <v>20</v>
      </c>
      <c r="N29" s="74">
        <v>18</v>
      </c>
      <c r="O29" s="74">
        <v>18</v>
      </c>
      <c r="P29" s="74">
        <v>19</v>
      </c>
      <c r="Q29" s="93">
        <v>18</v>
      </c>
      <c r="R29" s="74">
        <v>18</v>
      </c>
      <c r="S29" s="74">
        <v>18</v>
      </c>
      <c r="T29" s="74">
        <v>19</v>
      </c>
      <c r="U29" s="74">
        <v>19</v>
      </c>
      <c r="V29" s="74">
        <v>20</v>
      </c>
      <c r="W29" s="74">
        <v>20</v>
      </c>
      <c r="X29" s="74">
        <v>48</v>
      </c>
      <c r="Y29" s="74">
        <v>21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83292.228976800005</v>
      </c>
      <c r="E33" s="201" ph="1">
        <f>M10+I10</f>
        <v>124005.5258146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27" ph="1">
        <v>0</v>
      </c>
      <c r="H33" s="201" ph="1">
        <f>N19</f>
        <v>2644.15059578</v>
      </c>
      <c r="I33" s="205" ph="1">
        <v>0</v>
      </c>
      <c r="J33" s="209" ph="1">
        <f>F10+O28</f>
        <v>190411.58415179999</v>
      </c>
      <c r="K33" s="201" ph="1">
        <f>O10+K10+E28+R28</f>
        <v>395233.86109853996</v>
      </c>
      <c r="L33" s="211" ph="1">
        <f>BE27</f>
        <v>7100</v>
      </c>
      <c r="M33" s="209" ph="1">
        <f>G10+H10+W28+S28</f>
        <v>1069960.5516713001</v>
      </c>
      <c r="N33" s="201" ph="1">
        <f>L10+P10++G28+H28+V28</f>
        <v>458468.85753590002</v>
      </c>
      <c r="O33" s="205" ph="1">
        <f>BE17</f>
        <v>2270</v>
      </c>
      <c r="P33" s="209" ph="1">
        <f>L19</f>
        <v>40324.899840600003</v>
      </c>
      <c r="Q33" s="201" ph="1">
        <f>J10+N10</f>
        <v>88322.47133059999</v>
      </c>
      <c r="R33" s="205" ph="1">
        <f>BE23</f>
        <v>890</v>
      </c>
      <c r="S33" s="209" ph="1">
        <f>E10+X28</f>
        <v>431020.33213150001</v>
      </c>
      <c r="T33" s="201" ph="1">
        <f>X19</f>
        <v>8488.8265000319989</v>
      </c>
      <c r="U33" s="190" ph="1">
        <f>BE21</f>
        <v>730</v>
      </c>
      <c r="V33" s="203" ph="1">
        <f ca="1">P19+Q19+S19+M28+N28+J28</f>
        <v>326223.20696108404</v>
      </c>
      <c r="W33" s="203" ph="1">
        <f>D28+F28+V19+T28</f>
        <v>41837.529308669997</v>
      </c>
      <c r="X33" s="205" ph="1">
        <f>BE29+BE31</f>
        <v>10200</v>
      </c>
      <c r="Y33" s="207" ph="1">
        <f>+Q10+R10+S10+T10+U10+V10+W10+X10+Y10</f>
        <v>77471.113796999984</v>
      </c>
      <c r="Z33" s="188" ph="1">
        <f>D10+T19+U19+Y28+Z10</f>
        <v>364937.88141040003</v>
      </c>
      <c r="AA33" s="190" ph="1">
        <f>BE19</f>
        <v>1440</v>
      </c>
      <c r="AB33" s="192" ph="1">
        <f>I19</f>
        <v>15746.826694400001</v>
      </c>
      <c r="AC33" s="194" ph="1">
        <f>AD10</f>
        <v>13523.156233599999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614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07" priority="96">
      <formula>ABS(D$7-D$10)&gt;=1000</formula>
    </cfRule>
  </conditionalFormatting>
  <conditionalFormatting sqref="E4 E6:E11">
    <cfRule type="expression" dxfId="1006" priority="95">
      <formula>ABS(E$7-E$10)&gt;=1000</formula>
    </cfRule>
  </conditionalFormatting>
  <conditionalFormatting sqref="F4:F11">
    <cfRule type="expression" dxfId="1005" priority="94">
      <formula>ABS(F$7-F$10)&gt;=1000</formula>
    </cfRule>
  </conditionalFormatting>
  <conditionalFormatting sqref="G4:G11">
    <cfRule type="expression" dxfId="1004" priority="93">
      <formula>ABS(G$7-G$10)&gt;=1000</formula>
    </cfRule>
  </conditionalFormatting>
  <conditionalFormatting sqref="H4:H11">
    <cfRule type="expression" dxfId="1003" priority="92">
      <formula>ABS(H$7-H$10)&gt;=1000</formula>
    </cfRule>
  </conditionalFormatting>
  <conditionalFormatting sqref="I4:I11">
    <cfRule type="expression" dxfId="1002" priority="91">
      <formula>ABS(I$7-I$10)&gt;=1000</formula>
    </cfRule>
  </conditionalFormatting>
  <conditionalFormatting sqref="J4:J11">
    <cfRule type="expression" dxfId="1001" priority="90">
      <formula>ABS(J$7-J$10)&gt;=1000</formula>
    </cfRule>
  </conditionalFormatting>
  <conditionalFormatting sqref="K4:K11">
    <cfRule type="expression" dxfId="1000" priority="89">
      <formula>ABS(K$7-K$10)&gt;=1000</formula>
    </cfRule>
  </conditionalFormatting>
  <conditionalFormatting sqref="L4:L11">
    <cfRule type="expression" dxfId="999" priority="88">
      <formula>ABS(L$7-L$10)&gt;=1000</formula>
    </cfRule>
  </conditionalFormatting>
  <conditionalFormatting sqref="M4 M6:M11">
    <cfRule type="expression" dxfId="998" priority="87">
      <formula>ABS(M$7-M$10)&gt;=1000</formula>
    </cfRule>
  </conditionalFormatting>
  <conditionalFormatting sqref="N4 N6:N11">
    <cfRule type="expression" dxfId="997" priority="86">
      <formula>ABS(N$7-N$10)&gt;=1000</formula>
    </cfRule>
  </conditionalFormatting>
  <conditionalFormatting sqref="O4 O6:O11">
    <cfRule type="expression" dxfId="996" priority="85">
      <formula>ABS(O$7-O$10)&gt;=1000</formula>
    </cfRule>
  </conditionalFormatting>
  <conditionalFormatting sqref="P4 P6:P11">
    <cfRule type="expression" dxfId="995" priority="84">
      <formula>ABS(P$7-P$10)&gt;=1000</formula>
    </cfRule>
  </conditionalFormatting>
  <conditionalFormatting sqref="Q4:Q11">
    <cfRule type="expression" dxfId="994" priority="83">
      <formula>ABS(Q$7-Q$10)&gt;=1000</formula>
    </cfRule>
  </conditionalFormatting>
  <conditionalFormatting sqref="R4:R11">
    <cfRule type="expression" dxfId="993" priority="82">
      <formula>ABS(R$7-R$10)&gt;=1000</formula>
    </cfRule>
  </conditionalFormatting>
  <conditionalFormatting sqref="S4:S11">
    <cfRule type="expression" dxfId="992" priority="81">
      <formula>ABS(S$7-S$10)&gt;=1000</formula>
    </cfRule>
  </conditionalFormatting>
  <conditionalFormatting sqref="T4:T9 T11">
    <cfRule type="expression" dxfId="991" priority="80">
      <formula>ABS(T$7-T$10)&gt;=1000</formula>
    </cfRule>
  </conditionalFormatting>
  <conditionalFormatting sqref="U4:U9 U11">
    <cfRule type="expression" dxfId="990" priority="79">
      <formula>ABS(U$7-U$10)&gt;=1000</formula>
    </cfRule>
  </conditionalFormatting>
  <conditionalFormatting sqref="V4:V9 V11">
    <cfRule type="expression" dxfId="989" priority="78">
      <formula>ABS(V$7-V$10)&gt;=1000</formula>
    </cfRule>
  </conditionalFormatting>
  <conditionalFormatting sqref="W4:W9 W11">
    <cfRule type="expression" dxfId="988" priority="77">
      <formula>ABS(W$7-W$10)&gt;=1000</formula>
    </cfRule>
  </conditionalFormatting>
  <conditionalFormatting sqref="X4:X9 X11">
    <cfRule type="expression" dxfId="987" priority="76">
      <formula>ABS(X$7-X$10)&gt;=1000</formula>
    </cfRule>
  </conditionalFormatting>
  <conditionalFormatting sqref="Y4:Y9 Y11">
    <cfRule type="expression" dxfId="986" priority="75">
      <formula>ABS(Y$7-Y$10)&gt;=1000</formula>
    </cfRule>
  </conditionalFormatting>
  <conditionalFormatting sqref="Z4:Z11">
    <cfRule type="expression" dxfId="985" priority="74">
      <formula>ABS(Z$7-Z$10)&gt;=1000</formula>
    </cfRule>
  </conditionalFormatting>
  <conditionalFormatting sqref="AA4:AA11">
    <cfRule type="expression" dxfId="984" priority="73">
      <formula>ABS(AA$7-AA$10)&gt;=1000</formula>
    </cfRule>
  </conditionalFormatting>
  <conditionalFormatting sqref="AB4:AB11">
    <cfRule type="expression" dxfId="983" priority="72">
      <formula>ABS(AB$7-AB$10)&gt;=1000</formula>
    </cfRule>
  </conditionalFormatting>
  <conditionalFormatting sqref="AC4 AC6:AC11">
    <cfRule type="expression" dxfId="982" priority="71">
      <formula>ABS(AC$7-AC$10)&gt;=1000</formula>
    </cfRule>
  </conditionalFormatting>
  <conditionalFormatting sqref="AD4:AD11">
    <cfRule type="expression" dxfId="981" priority="70">
      <formula>ABS(AD$7-AD$10)&gt;=1000</formula>
    </cfRule>
  </conditionalFormatting>
  <conditionalFormatting sqref="AE4:AE11">
    <cfRule type="expression" dxfId="980" priority="69">
      <formula>ABS(AE$7-AE$10)&gt;=1000</formula>
    </cfRule>
  </conditionalFormatting>
  <conditionalFormatting sqref="D13:D20">
    <cfRule type="expression" dxfId="979" priority="68">
      <formula>ABS(D$16-D$19)&gt;=1000</formula>
    </cfRule>
  </conditionalFormatting>
  <conditionalFormatting sqref="E13:E20">
    <cfRule type="expression" dxfId="978" priority="67">
      <formula>ABS(E$16-E$19)&gt;=1000</formula>
    </cfRule>
  </conditionalFormatting>
  <conditionalFormatting sqref="F13 F15:F20">
    <cfRule type="expression" dxfId="977" priority="66">
      <formula>ABS(F$16-F$19)&gt;=1000</formula>
    </cfRule>
  </conditionalFormatting>
  <conditionalFormatting sqref="G13:G20">
    <cfRule type="expression" dxfId="976" priority="65">
      <formula>ABS(G$16-G$19)&gt;=1000</formula>
    </cfRule>
  </conditionalFormatting>
  <conditionalFormatting sqref="H13:H20">
    <cfRule type="expression" dxfId="975" priority="64">
      <formula>ABS(H$16-H$19)&gt;=1000</formula>
    </cfRule>
  </conditionalFormatting>
  <conditionalFormatting sqref="I13:I20">
    <cfRule type="expression" dxfId="974" priority="63">
      <formula>ABS(I$16-I$19)&gt;=1000</formula>
    </cfRule>
  </conditionalFormatting>
  <conditionalFormatting sqref="J13:J20">
    <cfRule type="expression" dxfId="973" priority="62">
      <formula>ABS(J$16-J$19)&gt;=1000</formula>
    </cfRule>
  </conditionalFormatting>
  <conditionalFormatting sqref="L13:L20">
    <cfRule type="expression" dxfId="972" priority="61">
      <formula>ABS(L$16-L$19)&gt;=1000</formula>
    </cfRule>
  </conditionalFormatting>
  <conditionalFormatting sqref="M13 M15 M17:M18 M20">
    <cfRule type="expression" dxfId="971" priority="60">
      <formula>ABS(M$16-M$19)&gt;=1000</formula>
    </cfRule>
  </conditionalFormatting>
  <conditionalFormatting sqref="N13:N20">
    <cfRule type="expression" dxfId="970" priority="59">
      <formula>ABS(N$16-N$19)&gt;=1000</formula>
    </cfRule>
  </conditionalFormatting>
  <conditionalFormatting sqref="O13:O20">
    <cfRule type="expression" dxfId="969" priority="58">
      <formula>ABS(O$16-O$19)&gt;=1000</formula>
    </cfRule>
  </conditionalFormatting>
  <conditionalFormatting sqref="P13:P20">
    <cfRule type="expression" dxfId="968" priority="57">
      <formula>ABS(P$16-P$19)&gt;=1000</formula>
    </cfRule>
  </conditionalFormatting>
  <conditionalFormatting sqref="Q13 Q15:Q20">
    <cfRule type="expression" dxfId="967" priority="56">
      <formula>ABS(Q$16-Q$19)&gt;=1000</formula>
    </cfRule>
  </conditionalFormatting>
  <conditionalFormatting sqref="R13:R20">
    <cfRule type="expression" dxfId="966" priority="55">
      <formula>ABS(R$16-R$19)&gt;=1000</formula>
    </cfRule>
  </conditionalFormatting>
  <conditionalFormatting sqref="S13:S20">
    <cfRule type="expression" dxfId="965" priority="54">
      <formula>ABS(S$16-S$19)&gt;=1000</formula>
    </cfRule>
  </conditionalFormatting>
  <conditionalFormatting sqref="T13:T20">
    <cfRule type="expression" dxfId="964" priority="53">
      <formula>ABS(T$16-T$19)&gt;=1000</formula>
    </cfRule>
  </conditionalFormatting>
  <conditionalFormatting sqref="U13:U20">
    <cfRule type="expression" dxfId="963" priority="52">
      <formula>ABS(U$16-U$19)&gt;=1000</formula>
    </cfRule>
  </conditionalFormatting>
  <conditionalFormatting sqref="V13:V20">
    <cfRule type="expression" dxfId="962" priority="51">
      <formula>ABS(V$16-V$19)&gt;=1000</formula>
    </cfRule>
  </conditionalFormatting>
  <conditionalFormatting sqref="W13 W20 W15:W18">
    <cfRule type="expression" dxfId="961" priority="50">
      <formula>ABS(W$16-W$19)&gt;=1000</formula>
    </cfRule>
  </conditionalFormatting>
  <conditionalFormatting sqref="X13 X15:X20 Y19">
    <cfRule type="expression" dxfId="960" priority="49">
      <formula>ABS(X$16-X$19)&gt;=1000</formula>
    </cfRule>
  </conditionalFormatting>
  <conditionalFormatting sqref="Y13 Y15:Y18 Y20">
    <cfRule type="expression" dxfId="959" priority="48">
      <formula>ABS(Y$16-Y$19)&gt;=1000</formula>
    </cfRule>
  </conditionalFormatting>
  <conditionalFormatting sqref="Z13:Z20">
    <cfRule type="expression" dxfId="958" priority="47">
      <formula>ABS(Z$16-Z$19)&gt;=1000</formula>
    </cfRule>
  </conditionalFormatting>
  <conditionalFormatting sqref="AA13:AA20">
    <cfRule type="expression" dxfId="957" priority="46">
      <formula>ABS(AA$16-AA$19)&gt;=1000</formula>
    </cfRule>
  </conditionalFormatting>
  <conditionalFormatting sqref="AB13 AB15:AB20">
    <cfRule type="expression" dxfId="956" priority="45">
      <formula>ABS(AB$16-AB$19)&gt;=1000</formula>
    </cfRule>
  </conditionalFormatting>
  <conditionalFormatting sqref="AC13 AC15:AC20">
    <cfRule type="expression" dxfId="955" priority="44">
      <formula>ABS(AC$16-AC$19)&gt;=1000</formula>
    </cfRule>
  </conditionalFormatting>
  <conditionalFormatting sqref="AD13:AD20">
    <cfRule type="expression" dxfId="954" priority="43">
      <formula>ABS(AD$16-AD$19)&gt;=1000</formula>
    </cfRule>
  </conditionalFormatting>
  <conditionalFormatting sqref="AE13:AE20">
    <cfRule type="expression" dxfId="953" priority="42">
      <formula>ABS(AE$16-AE$19)&gt;=1000</formula>
    </cfRule>
  </conditionalFormatting>
  <conditionalFormatting sqref="D22:D29">
    <cfRule type="expression" dxfId="952" priority="41">
      <formula>ABS(D$25-D$28)&gt;=1000</formula>
    </cfRule>
  </conditionalFormatting>
  <conditionalFormatting sqref="E22:E29">
    <cfRule type="expression" dxfId="951" priority="40">
      <formula>ABS(E$25-E$28)&gt;=1000</formula>
    </cfRule>
  </conditionalFormatting>
  <conditionalFormatting sqref="F22:F29">
    <cfRule type="expression" dxfId="950" priority="39">
      <formula>ABS(F$25-F$28)&gt;=1000</formula>
    </cfRule>
  </conditionalFormatting>
  <conditionalFormatting sqref="G22:G29">
    <cfRule type="expression" dxfId="949" priority="38">
      <formula>ABS(G$25-G$28)&gt;=1000</formula>
    </cfRule>
  </conditionalFormatting>
  <conditionalFormatting sqref="H22:H29">
    <cfRule type="expression" dxfId="948" priority="37">
      <formula>ABS(H$25-H$28)&gt;=1000</formula>
    </cfRule>
  </conditionalFormatting>
  <conditionalFormatting sqref="I22 I24:I29">
    <cfRule type="expression" dxfId="947" priority="36">
      <formula>ABS(I$25-I$28)&gt;=1000</formula>
    </cfRule>
  </conditionalFormatting>
  <conditionalFormatting sqref="J22:J29 K22">
    <cfRule type="expression" dxfId="946" priority="35">
      <formula>ABS(J$25-J$28)&gt;=1000</formula>
    </cfRule>
  </conditionalFormatting>
  <conditionalFormatting sqref="K23:K29 L25 L28">
    <cfRule type="expression" dxfId="945" priority="34">
      <formula>ABS(K$25-K$28)&gt;=1000</formula>
    </cfRule>
  </conditionalFormatting>
  <conditionalFormatting sqref="L22:L24 L26:L27 L29">
    <cfRule type="expression" dxfId="944" priority="33">
      <formula>ABS(L$25-L$28)&gt;=1000</formula>
    </cfRule>
  </conditionalFormatting>
  <conditionalFormatting sqref="M22:M29">
    <cfRule type="expression" dxfId="943" priority="32">
      <formula>ABS(M$25-M$28)&gt;=1000</formula>
    </cfRule>
  </conditionalFormatting>
  <conditionalFormatting sqref="N22:N29">
    <cfRule type="expression" dxfId="942" priority="31">
      <formula>ABS(N$25-N$28)&gt;=1000</formula>
    </cfRule>
  </conditionalFormatting>
  <conditionalFormatting sqref="O22:O29">
    <cfRule type="expression" dxfId="941" priority="30">
      <formula>ABS(O$25-O$28)&gt;=1000</formula>
    </cfRule>
  </conditionalFormatting>
  <conditionalFormatting sqref="P22:P29">
    <cfRule type="expression" dxfId="940" priority="29">
      <formula>ABS(P$25-P$28)&gt;=1000</formula>
    </cfRule>
  </conditionalFormatting>
  <conditionalFormatting sqref="Q22:Q29">
    <cfRule type="expression" dxfId="939" priority="28">
      <formula>ABS(Q$25-Q$28)&gt;=1000</formula>
    </cfRule>
  </conditionalFormatting>
  <conditionalFormatting sqref="R22:R29">
    <cfRule type="expression" dxfId="938" priority="27">
      <formula>ABS(R$25-R$28)&gt;=1000</formula>
    </cfRule>
  </conditionalFormatting>
  <conditionalFormatting sqref="S22:S29">
    <cfRule type="expression" dxfId="937" priority="26">
      <formula>ABS(S$25-S$28)&gt;=1000</formula>
    </cfRule>
  </conditionalFormatting>
  <conditionalFormatting sqref="T22:T29">
    <cfRule type="expression" dxfId="936" priority="25">
      <formula>ABS(T$25-T$28)&gt;=1000</formula>
    </cfRule>
  </conditionalFormatting>
  <conditionalFormatting sqref="U22:U29">
    <cfRule type="expression" dxfId="935" priority="24">
      <formula>ABS(U$25-U$28)&gt;=1000</formula>
    </cfRule>
  </conditionalFormatting>
  <conditionalFormatting sqref="V22:V29">
    <cfRule type="expression" dxfId="934" priority="23">
      <formula>ABS(V$25-V$28)&gt;=1000</formula>
    </cfRule>
  </conditionalFormatting>
  <conditionalFormatting sqref="W22:W29">
    <cfRule type="expression" dxfId="933" priority="22">
      <formula>ABS(W$25-W$28)&gt;=1000</formula>
    </cfRule>
  </conditionalFormatting>
  <conditionalFormatting sqref="X22:X29">
    <cfRule type="expression" dxfId="932" priority="21">
      <formula>ABS(X$25-X$28)&gt;=1000</formula>
    </cfRule>
  </conditionalFormatting>
  <conditionalFormatting sqref="Y22:Y29">
    <cfRule type="expression" dxfId="931" priority="20">
      <formula>ABS(Y$25-Y$28)&gt;=1000</formula>
    </cfRule>
  </conditionalFormatting>
  <conditionalFormatting sqref="I23">
    <cfRule type="expression" dxfId="930" priority="19">
      <formula>ABS(I$25-I$28)&gt;=1000</formula>
    </cfRule>
  </conditionalFormatting>
  <conditionalFormatting sqref="F14">
    <cfRule type="expression" dxfId="929" priority="18">
      <formula>ABS(F$16-F$19)&gt;=1000</formula>
    </cfRule>
  </conditionalFormatting>
  <conditionalFormatting sqref="Q14">
    <cfRule type="expression" dxfId="928" priority="17">
      <formula>ABS(Q$16-Q$19)&gt;=1000</formula>
    </cfRule>
  </conditionalFormatting>
  <conditionalFormatting sqref="W14">
    <cfRule type="expression" dxfId="927" priority="16">
      <formula>ABS(W$16-W$19)&gt;=1000</formula>
    </cfRule>
  </conditionalFormatting>
  <conditionalFormatting sqref="Y14">
    <cfRule type="expression" dxfId="926" priority="15">
      <formula>ABS(Y$16-Y$19)&gt;=1000</formula>
    </cfRule>
  </conditionalFormatting>
  <conditionalFormatting sqref="X14">
    <cfRule type="expression" dxfId="925" priority="14">
      <formula>ABS(X$16-X$19)&gt;=1000</formula>
    </cfRule>
  </conditionalFormatting>
  <conditionalFormatting sqref="T10:Y10">
    <cfRule type="expression" dxfId="924" priority="13">
      <formula>ABS(T$7-T$10)&gt;=1000</formula>
    </cfRule>
  </conditionalFormatting>
  <conditionalFormatting sqref="W19">
    <cfRule type="expression" dxfId="923" priority="12">
      <formula>ABS(W$16-W$19)&gt;=1000</formula>
    </cfRule>
  </conditionalFormatting>
  <conditionalFormatting sqref="AC5">
    <cfRule type="expression" dxfId="922" priority="11">
      <formula>ABS(AC$7-AC$10)&gt;=1000</formula>
    </cfRule>
  </conditionalFormatting>
  <conditionalFormatting sqref="M14">
    <cfRule type="expression" dxfId="921" priority="10">
      <formula>ABS(M$16-M$19)&gt;=1000</formula>
    </cfRule>
  </conditionalFormatting>
  <conditionalFormatting sqref="M16">
    <cfRule type="expression" dxfId="920" priority="9">
      <formula>ABS(M$16-M$19)&gt;=1000</formula>
    </cfRule>
  </conditionalFormatting>
  <conditionalFormatting sqref="M19">
    <cfRule type="expression" dxfId="919" priority="8">
      <formula>ABS(M$16-M$19)&gt;=1000</formula>
    </cfRule>
  </conditionalFormatting>
  <conditionalFormatting sqref="K13:K20">
    <cfRule type="expression" dxfId="918" priority="7">
      <formula>ABS(K$16-K$19)&gt;=1000</formula>
    </cfRule>
  </conditionalFormatting>
  <conditionalFormatting sqref="E5">
    <cfRule type="expression" dxfId="917" priority="6">
      <formula>ABS(E$7-E$10)&gt;=1000</formula>
    </cfRule>
  </conditionalFormatting>
  <conditionalFormatting sqref="AB14:AC14">
    <cfRule type="expression" dxfId="916" priority="5">
      <formula>ABS(AB$16-AB$19)&gt;=1000</formula>
    </cfRule>
  </conditionalFormatting>
  <conditionalFormatting sqref="M5">
    <cfRule type="expression" dxfId="915" priority="4">
      <formula>ABS(M$7-M$10)&gt;=1000</formula>
    </cfRule>
  </conditionalFormatting>
  <conditionalFormatting sqref="N5">
    <cfRule type="expression" dxfId="914" priority="3">
      <formula>ABS(N$7-N$10)&gt;=1000</formula>
    </cfRule>
  </conditionalFormatting>
  <conditionalFormatting sqref="O5">
    <cfRule type="expression" dxfId="913" priority="2">
      <formula>ABS(O$7-O$10)&gt;=1000</formula>
    </cfRule>
  </conditionalFormatting>
  <conditionalFormatting sqref="P5">
    <cfRule type="expression" dxfId="91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60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99">
    <pageSetUpPr fitToPage="1"/>
  </sheetPr>
  <dimension ref="A1:CU223"/>
  <sheetViews>
    <sheetView view="pageBreakPreview" topLeftCell="A10" zoomScale="70" zoomScaleNormal="100" zoomScaleSheetLayoutView="70" workbookViewId="0">
      <selection activeCell="Y14" sqref="Y1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45737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2" t="s" ph="1">
        <v>179</v>
      </c>
      <c r="D6" s="71">
        <v>2162</v>
      </c>
      <c r="E6" s="71">
        <v>2520</v>
      </c>
      <c r="F6" s="71">
        <v>3216</v>
      </c>
      <c r="G6" s="71">
        <v>8987</v>
      </c>
      <c r="H6" s="71">
        <v>4116</v>
      </c>
      <c r="I6" s="71">
        <v>27.09</v>
      </c>
      <c r="J6" s="71">
        <v>7.78</v>
      </c>
      <c r="K6" s="71">
        <v>7.27</v>
      </c>
      <c r="L6" s="71">
        <v>52.54</v>
      </c>
      <c r="M6" s="71">
        <v>3385</v>
      </c>
      <c r="N6" s="71">
        <v>3072</v>
      </c>
      <c r="O6" s="71">
        <v>4835</v>
      </c>
      <c r="P6" s="71">
        <v>1096</v>
      </c>
      <c r="Q6" s="71">
        <v>2731</v>
      </c>
      <c r="R6" s="71">
        <v>2662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2131</v>
      </c>
      <c r="Z6" s="71">
        <v>4910</v>
      </c>
      <c r="AA6" s="71">
        <v>1568</v>
      </c>
      <c r="AB6" s="71">
        <v>1403</v>
      </c>
      <c r="AC6" s="71">
        <v>6695</v>
      </c>
      <c r="AD6" s="71">
        <v>692</v>
      </c>
      <c r="AE6" s="71">
        <v>3075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68412.833625599989</v>
      </c>
      <c r="E7" s="73" ph="1">
        <f>E6*51.53*LOOKUP(E8,密度!$A$2:$A$50,密度!$B$2:$B$50)</f>
        <v>102326.21280000001</v>
      </c>
      <c r="F7" s="73" ph="1">
        <f>F6*33.183*LOOKUP(F8,密度!$A$2:$A$50,密度!$C$2:$C$50)</f>
        <v>118935.57045600002</v>
      </c>
      <c r="G7" s="73" ph="1">
        <f xml:space="preserve"> (G6+2)*51.53*LOOKUP(G8,密度!$A$2:$A$50,密度!$B$2:$B$50)</f>
        <v>364633.535424</v>
      </c>
      <c r="H7" s="73" ph="1">
        <f>(H6)*51.53*LOOKUP(H8,密度!$A$2:$A$50,密度!$B$2:$B$50)</f>
        <v>166963.136256</v>
      </c>
      <c r="I7" s="73" ph="1">
        <f>I6*290.8*1.0267</f>
        <v>8088.1085123999992</v>
      </c>
      <c r="J7" s="73" ph="1">
        <f>J6*290.8*0.7892</f>
        <v>1785.5050208</v>
      </c>
      <c r="K7" s="73" ph="1">
        <f>K6*290.8*1.1126</f>
        <v>2352.1654616000001</v>
      </c>
      <c r="L7" s="73" ph="1">
        <f>L6*290.8*0.777</f>
        <v>11871.497063999999</v>
      </c>
      <c r="M7" s="73" ph="1">
        <f>M6*33.183*LOOKUP(M8,密度!$A$2:$A$50,密度!$D$2:$D$50)</f>
        <v>116233.346034</v>
      </c>
      <c r="N7" s="73" ph="1">
        <f>N6*33.183*LOOKUP(N8,密度!$A$2:$A$50,密度!$E$2:$E$50)</f>
        <v>80786.004480000003</v>
      </c>
      <c r="O7" s="73" ph="1">
        <f>O6*20.428*LOOKUP(O8,密度!$A$2:$A$50,密度!$C$2:$C$50)</f>
        <v>109742.65811800001</v>
      </c>
      <c r="P7" s="73" ph="1">
        <f>P6*51.53*LOOKUP(P8,密度!$A$2:$A$50,密度!$B$2:$B$50)</f>
        <v>44554.610632000004</v>
      </c>
      <c r="Q7" s="73" ph="1">
        <f>Q6*1.5*1.5*3.1416*LOOKUP(W8,密度!$A$2:$A$50,密度!$L$2:$L$50)</f>
        <v>18261.911883600002</v>
      </c>
      <c r="R7" s="73" ph="1">
        <f>R6*1.5*1.5*3.1416*LOOKUP(R8,密度!$A$2:$A$50,密度!$L$2:$L$50)</f>
        <v>17687.616407999998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14234.711336999999</v>
      </c>
      <c r="Z7" s="73" ph="1">
        <f>Z6*33.183*LOOKUP(Z8,密度!$A$2:$A$50,密度!$L$2:$L$50)</f>
        <v>153967.46085</v>
      </c>
      <c r="AA7" s="73" ph="1">
        <f>AA6*33.183*LOOKUP(AA8,密度!$A$2:$A$50,密度!$D$2:$D$50)</f>
        <v>53883.245606400007</v>
      </c>
      <c r="AB7" s="73" ph="1">
        <f>AB6*20.428*LOOKUP(AB8,密度!$A$2:$A$50,密度!$D$2:$D$50)</f>
        <v>29858.492231200002</v>
      </c>
      <c r="AC7" s="73" ph="1">
        <f>AC6*51.53*LOOKUP(AC8,密度!$A$2:$A$50,密度!$Q$2:$Q$50)</f>
        <v>329309.95230900007</v>
      </c>
      <c r="AD7" s="73" ph="1">
        <f>AD6*20.428*LOOKUP(AD8,密度!$A$2:$A$50,密度!$V$2:$V$50)</f>
        <v>13627.273664</v>
      </c>
      <c r="AE7" s="73" ph="1">
        <f>AE6*20.428</f>
        <v>62816.100000000006</v>
      </c>
    </row>
    <row r="8" spans="1:99" ph="1">
      <c r="B8" s="252" ph="1"/>
      <c r="C8" s="68" t="s" ph="1">
        <v>181</v>
      </c>
      <c r="D8" s="74">
        <v>16</v>
      </c>
      <c r="E8" s="74">
        <v>15</v>
      </c>
      <c r="F8" s="74">
        <v>17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22</v>
      </c>
      <c r="P8" s="74">
        <v>14</v>
      </c>
      <c r="Q8" s="74">
        <v>16</v>
      </c>
      <c r="R8" s="74">
        <v>22</v>
      </c>
      <c r="S8" s="74">
        <v>9</v>
      </c>
      <c r="T8" s="74">
        <v>10</v>
      </c>
      <c r="U8" s="74">
        <v>15</v>
      </c>
      <c r="V8" s="74">
        <v>21</v>
      </c>
      <c r="W8" s="74">
        <v>16</v>
      </c>
      <c r="X8" s="74">
        <v>8</v>
      </c>
      <c r="Y8" s="74">
        <v>17</v>
      </c>
      <c r="Z8" s="74">
        <v>17</v>
      </c>
      <c r="AA8" s="74">
        <v>15</v>
      </c>
      <c r="AB8" s="74">
        <v>8</v>
      </c>
      <c r="AC8" s="74">
        <v>13</v>
      </c>
      <c r="AD8" s="74">
        <v>13</v>
      </c>
      <c r="AE8" s="74">
        <v>19</v>
      </c>
    </row>
    <row r="9" spans="1:99" ph="1">
      <c r="B9" s="252" ph="1">
        <v>0.66666666666666663</v>
      </c>
      <c r="C9" s="162" t="s" ph="1">
        <v>182</v>
      </c>
      <c r="D9" s="71">
        <v>2161</v>
      </c>
      <c r="E9" s="71">
        <v>2520</v>
      </c>
      <c r="F9" s="71">
        <v>3216</v>
      </c>
      <c r="G9" s="71">
        <v>8991</v>
      </c>
      <c r="H9" s="71">
        <v>5599</v>
      </c>
      <c r="I9" s="71">
        <v>27.05</v>
      </c>
      <c r="J9" s="71">
        <v>7.82</v>
      </c>
      <c r="K9" s="71">
        <v>7.33</v>
      </c>
      <c r="L9" s="71">
        <v>14.3</v>
      </c>
      <c r="M9" s="71">
        <v>3386</v>
      </c>
      <c r="N9" s="71">
        <v>3077</v>
      </c>
      <c r="O9" s="71">
        <v>4837</v>
      </c>
      <c r="P9" s="71">
        <v>996</v>
      </c>
      <c r="Q9" s="71">
        <v>5385</v>
      </c>
      <c r="R9" s="71">
        <v>4866</v>
      </c>
      <c r="S9" s="71">
        <v>2224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3381</v>
      </c>
      <c r="AA9" s="71">
        <v>1566</v>
      </c>
      <c r="AB9" s="71">
        <v>1207</v>
      </c>
      <c r="AC9" s="71">
        <v>6695</v>
      </c>
      <c r="AD9" s="71">
        <v>689</v>
      </c>
      <c r="AE9" s="71">
        <v>2875</v>
      </c>
    </row>
    <row r="10" spans="1:99" s="72" customFormat="1" ht="22.5" ph="1">
      <c r="B10" s="252" ph="1"/>
      <c r="C10" s="162" t="s" ph="1">
        <v>180</v>
      </c>
      <c r="D10" s="73" ph="1">
        <f>D9*33.183*LOOKUP(D11,密度!$A$2:$A$50,密度!$Q$2:$Q$50)</f>
        <v>68267.173860630006</v>
      </c>
      <c r="E10" s="73" ph="1">
        <f>E9*51.53*LOOKUP(E11,密度!$A$2:$A$50,密度!$B$2:$B$50)</f>
        <v>101586.03588000001</v>
      </c>
      <c r="F10" s="73" ph="1">
        <f>F9*33.183*LOOKUP(F11,密度!$A$2:$A$50,密度!$C$2:$C$50)</f>
        <v>118732.8090528</v>
      </c>
      <c r="G10" s="73" ph="1">
        <f xml:space="preserve"> (G9+2)*51.53*LOOKUP(G11,密度!$A$2:$A$50,密度!$B$2:$B$50)</f>
        <v>362942.15592800005</v>
      </c>
      <c r="H10" s="73" ph="1">
        <f>(H9)*51.53*LOOKUP(H11,密度!$A$2:$A$50,密度!$B$2:$B$50)</f>
        <v>225966.09930400003</v>
      </c>
      <c r="I10" s="73" ph="1">
        <f>I9*290.8*1.0267</f>
        <v>8076.1659380000001</v>
      </c>
      <c r="J10" s="73" ph="1">
        <f>J9*290.8*0.7892</f>
        <v>1794.6849952</v>
      </c>
      <c r="K10" s="73" ph="1">
        <f>K9*290.8*1.1126</f>
        <v>2371.5781064000003</v>
      </c>
      <c r="L10" s="73" ph="1">
        <f>L9*290.8*0.777</f>
        <v>3231.1078800000005</v>
      </c>
      <c r="M10" s="73" ph="1">
        <f>M9*33.183*LOOKUP(M11,密度!$A$2:$A$50,密度!$D$2:$D$50)</f>
        <v>115885.66783320002</v>
      </c>
      <c r="N10" s="73" ph="1">
        <f>N9*33.183*LOOKUP(N11,密度!$A$2:$A$50,密度!$E$2:$E$50)</f>
        <v>80692.863117300003</v>
      </c>
      <c r="O10" s="73" ph="1">
        <f>O9*20.428*LOOKUP(O11,密度!$A$2:$A$50,密度!$C$2:$C$50)</f>
        <v>109422.45534640001</v>
      </c>
      <c r="P10" s="73" ph="1">
        <f>P9*51.53*LOOKUP(P11,密度!$A$2:$A$50,密度!$B$2:$B$50)</f>
        <v>40196.862816000001</v>
      </c>
      <c r="Q10" s="73" ph="1">
        <f>Q9*1.5*1.5*3.1416*LOOKUP(W11,密度!$A$2:$A$50,密度!$L$2:$L$50)</f>
        <v>35476.031051999998</v>
      </c>
      <c r="R10" s="73" ph="1">
        <f>R9*1.5*1.5*3.1416*LOOKUP(R11,密度!$A$2:$A$50,密度!$L$2:$L$50)</f>
        <v>32194.475913600003</v>
      </c>
      <c r="S10" s="73" ph="1">
        <f>S9*1.5*1.5*3.1416*LOOKUP(S11,密度!$A$2:$A$50,密度!$L$2:$L$50)</f>
        <v>14903.0969472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105796.79478899999</v>
      </c>
      <c r="AA10" s="73" ph="1">
        <f>AA9*33.183*LOOKUP(AA11,密度!$A$2:$A$50,密度!$D$2:$D$50)</f>
        <v>53549.497628999998</v>
      </c>
      <c r="AB10" s="73" ph="1">
        <f>AB9*20.428*LOOKUP(AB11,密度!$A$2:$A$50,密度!$D$2:$D$50)</f>
        <v>25578.752690400004</v>
      </c>
      <c r="AC10" s="73" ph="1">
        <f>AC9*51.53*LOOKUP(AC11,密度!$A$2:$A$50,密度!$Q$2:$Q$50)</f>
        <v>327874.77997300006</v>
      </c>
      <c r="AD10" s="73" ph="1">
        <f>AD9*20.428*LOOKUP(AD11,密度!$A$2:$A$50,密度!$V$2:$V$50)</f>
        <v>13523.156233599999</v>
      </c>
      <c r="AE10" s="73" ph="1">
        <f>AE9*20.428</f>
        <v>58730.5</v>
      </c>
    </row>
    <row r="11" spans="1:99" ph="1">
      <c r="A11" s="64" t="s" ph="1">
        <v>164</v>
      </c>
      <c r="B11" s="252" ph="1"/>
      <c r="C11" s="162" t="s" ph="1">
        <v>181</v>
      </c>
      <c r="D11" s="74">
        <v>18</v>
      </c>
      <c r="E11" s="74">
        <v>22</v>
      </c>
      <c r="F11" s="74">
        <v>20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19</v>
      </c>
      <c r="O11" s="74">
        <v>27</v>
      </c>
      <c r="P11" s="74">
        <v>21</v>
      </c>
      <c r="Q11" s="74">
        <v>18</v>
      </c>
      <c r="R11" s="74">
        <v>26</v>
      </c>
      <c r="S11" s="74">
        <v>14</v>
      </c>
      <c r="T11" s="74">
        <v>25</v>
      </c>
      <c r="U11" s="74">
        <v>25</v>
      </c>
      <c r="V11" s="74">
        <v>26</v>
      </c>
      <c r="W11" s="74">
        <v>30</v>
      </c>
      <c r="X11" s="74">
        <v>19</v>
      </c>
      <c r="Y11" s="74">
        <v>22</v>
      </c>
      <c r="Z11" s="74">
        <v>19</v>
      </c>
      <c r="AA11" s="74">
        <v>21</v>
      </c>
      <c r="AB11" s="74">
        <v>13</v>
      </c>
      <c r="AC11" s="74">
        <v>20</v>
      </c>
      <c r="AD11" s="74">
        <v>25</v>
      </c>
      <c r="AE11" s="74">
        <v>22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2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633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2" t="s" ph="1">
        <v>179</v>
      </c>
      <c r="D15" s="78">
        <v>1043</v>
      </c>
      <c r="E15" s="78">
        <v>76</v>
      </c>
      <c r="F15" s="78">
        <v>1308</v>
      </c>
      <c r="G15" s="78">
        <v>4258</v>
      </c>
      <c r="H15" s="78">
        <v>2204</v>
      </c>
      <c r="I15" s="78">
        <v>1688</v>
      </c>
      <c r="J15" s="78">
        <v>749</v>
      </c>
      <c r="K15" s="78">
        <v>1285</v>
      </c>
      <c r="L15" s="78">
        <v>5608</v>
      </c>
      <c r="M15" s="78">
        <v>6419</v>
      </c>
      <c r="N15" s="78">
        <v>165</v>
      </c>
      <c r="O15" s="78">
        <v>0</v>
      </c>
      <c r="P15" s="78">
        <v>2219</v>
      </c>
      <c r="Q15" s="78">
        <v>5176</v>
      </c>
      <c r="R15" s="78">
        <v>3486</v>
      </c>
      <c r="S15" s="78">
        <v>6810</v>
      </c>
      <c r="T15" s="78">
        <v>1237</v>
      </c>
      <c r="U15" s="78">
        <v>6578</v>
      </c>
      <c r="V15" s="78">
        <v>386</v>
      </c>
      <c r="W15" s="71">
        <v>-596</v>
      </c>
      <c r="X15" s="78">
        <v>293</v>
      </c>
      <c r="Y15" s="106">
        <v>-9900</v>
      </c>
      <c r="Z15" s="78">
        <v>0</v>
      </c>
      <c r="AA15" s="78">
        <v>2493</v>
      </c>
      <c r="AB15" s="78" ph="1">
        <v>6853</v>
      </c>
      <c r="AC15" s="78" ph="1">
        <v>6498</v>
      </c>
      <c r="AD15" s="78">
        <v>5.42</v>
      </c>
      <c r="AE15" s="78">
        <v>69.84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2" t="s" ph="1">
        <v>180</v>
      </c>
      <c r="D16" s="73" ph="1">
        <f>D15*7.0686*LOOKUP(D17,密度!$A$2:$A$50,密度!$L$2:$L$50)</f>
        <v>6967.0595609999991</v>
      </c>
      <c r="E16" s="73" ph="1">
        <f>E15*7.0686*LOOKUP(E17,密度!$A$2:$A$50,密度!$L$2:$L$50)</f>
        <v>507.66685200000001</v>
      </c>
      <c r="F16" s="73" ph="1">
        <f>F15*9.0746*LOOKUP(F17,密度!$A$2:$A$50,密度!$L$2:$L$50)</f>
        <v>11252.3588064</v>
      </c>
      <c r="G16" s="73" ph="1">
        <f>G15*9.0746*LOOKUP(G17,密度!$A$2:$A$50,密度!$B$2:$B$50)</f>
        <v>30448.041678400004</v>
      </c>
      <c r="H16" s="73" ph="1">
        <f>H15*9.0746*LOOKUP(H17,密度!$A$2:$A$50,密度!$L$2:$L$50)</f>
        <v>18880.394969600002</v>
      </c>
      <c r="I16" s="73" ph="1">
        <f>I15*9.0746*LOOKUP(I17,密度!$A$2:$A$50,密度!$U$2:$U$50)</f>
        <v>15746.826694400001</v>
      </c>
      <c r="J16" s="73" ph="1">
        <f>J15*9.0746*LOOKUP(J17,密度!$A$2:$A$50,密度!$L$2:$L$50)</f>
        <v>6436.6410037999995</v>
      </c>
      <c r="K16" s="73" ph="1">
        <f>K15*9.0746*LOOKUP(K17,密度!$A$2:$A$50,密度!$C$2:$C$50)</f>
        <v>13004.1921872</v>
      </c>
      <c r="L16" s="73" ph="1">
        <f>L15*9.0746*LOOKUP(L17,密度!$A$2:$A$50,密度!$E$2:$E$50)</f>
        <v>40386.587156479996</v>
      </c>
      <c r="M16" s="73" ph="1">
        <f>M15*9.0746*LOOKUP(M17,密度!$A$2:$A$50,密度!$M$2:$M$50)</f>
        <v>51277.349469219997</v>
      </c>
      <c r="N16" s="73" ph="1">
        <f>N15*9.0746*LOOKUP(N17,密度!$A$2:$A$50,密度!$M$2:$M$50)</f>
        <v>1318.0811126999999</v>
      </c>
      <c r="O16" s="73" ph="1">
        <f>O15*9.0746*LOOKUP(O17,密度!$A$2:$A$50,密度!$G$2:$G$50)</f>
        <v>0</v>
      </c>
      <c r="P16" s="73" ph="1">
        <f ca="1">P15*9.0746*LOOKUP(P17,密度!$A$2:$A$51,密度!$Q$2:$Q$50)</f>
        <v>19202.202064640001</v>
      </c>
      <c r="Q16" s="73" ph="1">
        <f>Q15*9.0746*LOOKUP(Q17,密度!$A$2:$A$50,密度!$Q$2:$Q$50)</f>
        <v>44753.139482879997</v>
      </c>
      <c r="R16" s="73" ph="1">
        <f>MAX(R15*9.0746*LOOKUP(R17,密度!$A$2:$A$50,密度!$B$2:$B$50),0)</f>
        <v>24902.328568320001</v>
      </c>
      <c r="S16" s="73" ph="1">
        <f>S15*9.0746*LOOKUP(S17,密度!$A$2:$A$50,密度!$Q$2:$Q$50)</f>
        <v>58881.159172799998</v>
      </c>
      <c r="T16" s="73" ph="1">
        <f>T15*9.0746*LOOKUP(T17,密度!$A$2:$A$50,密度!$O$2:$O$50)</f>
        <v>10484.411706800001</v>
      </c>
      <c r="U16" s="73" ph="1">
        <f>U15*9.0746*LOOKUP(U17,密度!$A$2:$A$50,密度!$H$2:$H$50)</f>
        <v>55078.471636759998</v>
      </c>
      <c r="V16" s="73" ph="1">
        <f>MAX(5600*LOOKUP(V17,密度!$A$2:$A$50,密度!$Q$2:$Q$50)+V15*9.0476*LOOKUP(V17,密度!$A$2:$A$50,密度!$Q$2:$Q$50),0)</f>
        <v>8679.0342961440001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8552.9314528799987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17847.267186420002</v>
      </c>
      <c r="AB16" s="73" ph="1">
        <f>AB15*9.0746*LOOKUP(AB17,密度!$A$2:$A$50,密度!$L$2:$L$50)</f>
        <v>58767.880940999996</v>
      </c>
      <c r="AC16" s="73" ph="1">
        <f>AC15*9.0746*LOOKUP(AC17,密度!$A$2:$A$50,密度!$L$2:$L$50)</f>
        <v>55900.479758399997</v>
      </c>
      <c r="AD16" s="73" ph="1">
        <f>AD15*268.68*LOOKUP(AD17,密度!$A$2:$A$50,密度!B2:B50)+IF(AD15&lt;=0,0,1566*LOOKUP(AD17,密度!$A$2:$A$50,密度!B2:B50))</f>
        <v>2356.14266976</v>
      </c>
      <c r="AE16" s="73" ph="1">
        <f>AE15*268.68*LOOKUP(AE17,密度!$A$2:$A$50,密度!B2:B50)+IF(AE15&lt;=0,0,1566*LOOKUP(AE17,密度!$A$2:$A$50,密度!B2:B50))</f>
        <v>15849.744491520001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17</v>
      </c>
      <c r="E17" s="74">
        <v>17</v>
      </c>
      <c r="F17" s="74">
        <v>14</v>
      </c>
      <c r="G17" s="74">
        <v>15</v>
      </c>
      <c r="H17" s="74">
        <v>18</v>
      </c>
      <c r="I17" s="74">
        <v>14</v>
      </c>
      <c r="J17" s="74">
        <v>15</v>
      </c>
      <c r="K17" s="74">
        <v>16</v>
      </c>
      <c r="L17" s="74">
        <v>16</v>
      </c>
      <c r="M17" s="74">
        <v>16</v>
      </c>
      <c r="N17" s="74">
        <v>13</v>
      </c>
      <c r="O17" s="74">
        <v>15</v>
      </c>
      <c r="P17" s="74">
        <v>16</v>
      </c>
      <c r="Q17" s="74">
        <v>17</v>
      </c>
      <c r="R17" s="74">
        <v>16</v>
      </c>
      <c r="S17" s="74">
        <v>17</v>
      </c>
      <c r="T17" s="74">
        <v>16</v>
      </c>
      <c r="U17" s="74">
        <v>17</v>
      </c>
      <c r="V17" s="74">
        <v>14</v>
      </c>
      <c r="W17" s="74">
        <v>14</v>
      </c>
      <c r="X17" s="74">
        <v>30</v>
      </c>
      <c r="Y17" s="108">
        <v>30</v>
      </c>
      <c r="Z17" s="74">
        <v>15</v>
      </c>
      <c r="AA17" s="74">
        <v>14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2138</v>
      </c>
      <c r="E18" s="71">
        <v>75</v>
      </c>
      <c r="F18" s="71">
        <v>1350</v>
      </c>
      <c r="G18" s="71">
        <v>4300</v>
      </c>
      <c r="H18" s="71">
        <v>4496</v>
      </c>
      <c r="I18" s="71">
        <v>1689</v>
      </c>
      <c r="J18" s="71">
        <v>756</v>
      </c>
      <c r="K18" s="71">
        <v>1285</v>
      </c>
      <c r="L18" s="71">
        <v>5625</v>
      </c>
      <c r="M18" s="71">
        <v>4355</v>
      </c>
      <c r="N18" s="71">
        <v>207</v>
      </c>
      <c r="O18" s="71">
        <v>26</v>
      </c>
      <c r="P18" s="71">
        <v>2221</v>
      </c>
      <c r="Q18" s="71">
        <v>5182</v>
      </c>
      <c r="R18" s="71">
        <v>3494</v>
      </c>
      <c r="S18" s="71">
        <v>6822</v>
      </c>
      <c r="T18" s="71">
        <v>6630</v>
      </c>
      <c r="U18" s="71">
        <v>2755</v>
      </c>
      <c r="V18" s="71">
        <v>538</v>
      </c>
      <c r="W18" s="71">
        <v>-596</v>
      </c>
      <c r="X18" s="71">
        <v>293</v>
      </c>
      <c r="Y18" s="109">
        <v>-9900</v>
      </c>
      <c r="Z18" s="71">
        <v>0</v>
      </c>
      <c r="AA18" s="71">
        <v>2486</v>
      </c>
      <c r="AB18" s="71">
        <v>6867</v>
      </c>
      <c r="AC18" s="71">
        <v>6511</v>
      </c>
      <c r="AD18" s="71">
        <v>5.49</v>
      </c>
      <c r="AE18" s="71">
        <v>82.49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2" t="s" ph="1">
        <v>180</v>
      </c>
      <c r="D19" s="73" ph="1">
        <f>D18*7.0686*LOOKUP(D20,密度!$A$2:$A$50,密度!$L$2:$L$50)</f>
        <v>14190.7941252</v>
      </c>
      <c r="E19" s="73" ph="1">
        <f>E18*7.0686*LOOKUP(E20,密度!$A$2:$A$50,密度!$L$2:$L$50)</f>
        <v>497.80615499999993</v>
      </c>
      <c r="F19" s="73" ph="1">
        <f>F18*9.0746*LOOKUP(F20,密度!$A$2:$A$50,密度!$L$2:$L$50)</f>
        <v>11503.41669</v>
      </c>
      <c r="G19" s="73" ph="1">
        <f>G18*9.0746*LOOKUP(G20,密度!$A$2:$A$50,密度!$B$2:$B$50)</f>
        <v>30627.410222000002</v>
      </c>
      <c r="H19" s="73" ph="1">
        <f>H18*9.0746*LOOKUP(H20,密度!$A$2:$A$50,密度!$L$2:$L$50)</f>
        <v>38229.039299199998</v>
      </c>
      <c r="I19" s="73" ph="1">
        <f>I18*9.0746*LOOKUP(I20,密度!$A$2:$A$50,密度!$U$2:$U$50)</f>
        <v>15756.155383200001</v>
      </c>
      <c r="J19" s="73" ph="1">
        <f>J18*9.0746*LOOKUP(J20,密度!$A$2:$A$50,密度!$L$2:$L$50)</f>
        <v>6448.7737440000001</v>
      </c>
      <c r="K19" s="73" ph="1">
        <f>K18*9.0746*LOOKUP(K20,密度!$A$2:$A$50,密度!$C$2:$C$50)</f>
        <v>12948.220054400001</v>
      </c>
      <c r="L19" s="73" ph="1">
        <f>L18*9.0746*LOOKUP(L20,密度!$A$2:$A$50,密度!$E$2:$E$50)</f>
        <v>40284.41805</v>
      </c>
      <c r="M19" s="73" ph="1">
        <f>M18*9.0746*LOOKUP(M20,密度!$A$2:$A$50,密度!$M$2:$M$50)</f>
        <v>34789.353004900004</v>
      </c>
      <c r="N19" s="73" ph="1">
        <f>N18*9.0746*LOOKUP(N20,密度!$A$2:$A$50,密度!$M$2:$M$50)</f>
        <v>1649.2722515999999</v>
      </c>
      <c r="O19" s="73" ph="1">
        <f>O18*9.0746*LOOKUP(O20,密度!$A$2:$A$50,密度!$G$2:$G$50)</f>
        <v>226.78514352000002</v>
      </c>
      <c r="P19" s="73" ph="1">
        <f ca="1">P18*9.0746*LOOKUP(P20,密度!$A$2:$A$51,密度!$Q$2:$Q$50)</f>
        <v>19128.611505194</v>
      </c>
      <c r="Q19" s="73" ph="1">
        <f>Q18*9.0746*LOOKUP(Q20,密度!$A$2:$A$50,密度!$Q$2:$Q$50)</f>
        <v>44588.704101039999</v>
      </c>
      <c r="R19" s="73" ph="1">
        <f>MAX(R18*9.0746*LOOKUP(R20,密度!$A$2:$A$50,密度!$B$2:$B$50),0)</f>
        <v>24804.11417252</v>
      </c>
      <c r="S19" s="73" ph="1">
        <f>S18*9.0746*LOOKUP(S20,密度!$A$2:$A$50,密度!$Q$2:$Q$50)</f>
        <v>58700.142681840007</v>
      </c>
      <c r="T19" s="73" ph="1">
        <f>T18*9.0746*LOOKUP(T20,密度!$A$2:$A$50,密度!$O$2:$O$50)</f>
        <v>55953.076140000005</v>
      </c>
      <c r="U19" s="73" ph="1">
        <f>U18*9.0746*LOOKUP(U20,密度!$A$2:$A$50,密度!$H$2:$H$50)</f>
        <v>22917.979434100002</v>
      </c>
      <c r="V19" s="73" ph="1">
        <f>MAX(5600*LOOKUP(V20,密度!$A$2:$A$50,密度!$Q$2:$Q$50)+V18*9.0476*LOOKUP(V20,密度!$A$2:$A$50,密度!$Q$2:$Q$50),0)</f>
        <v>9940.9834012720003</v>
      </c>
      <c r="W19" s="73" ph="1">
        <f>MAX(5600*LOOKUP(W20,密度!$A$2:$A$50,密度!$Q$2:$Q$50)+W18*9.0476*LOOKUP(W20,密度!$A$2:$A$50,密度!$Q$2:$Q$50),0)</f>
        <v>197.18451457600077</v>
      </c>
      <c r="X19" s="73" ph="1">
        <f>MAX(5600*LOOKUP(X20,密度!$A$2:$A$50,密度!$I$2:$I$50)+X18*9.0476*LOOKUP(X20,密度!$A$2:$A$50,密度!$I$2:$I$50),0)</f>
        <v>8534.779369920001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17740.75588384</v>
      </c>
      <c r="AB19" s="73" ph="1">
        <f>AB18*9.0746*LOOKUP(AB20,密度!$A$2:$A$50,密度!$L$2:$L$50)</f>
        <v>58700.992064399994</v>
      </c>
      <c r="AC19" s="73" ph="1">
        <f>AC18*9.0746*LOOKUP(AC20,密度!$A$2:$A$50,密度!$L$2:$L$50)</f>
        <v>55835.060966999998</v>
      </c>
      <c r="AD19" s="73" ph="1">
        <f>AD18*268.68*LOOKUP(AD20,密度!$A$2:$A$50,密度!B5:B53)+IF(AD18&lt;=0,0,1566*LOOKUP(AD20,密度!$A$2:$A$50,密度!B5:B53))</f>
        <v>2362.8983364000001</v>
      </c>
      <c r="AE19" s="73" ph="1">
        <f>AE18*268.68*LOOKUP(AE20,密度!$A$2:$A$50,密度!B5:B53)+IF(AE18&lt;=0,0,1566*LOOKUP(AE20,密度!$A$2:$A$50,密度!B5:B53))</f>
        <v>18437.754056399997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23</v>
      </c>
      <c r="E20" s="81">
        <v>23</v>
      </c>
      <c r="F20" s="81">
        <v>23</v>
      </c>
      <c r="G20" s="81">
        <v>19</v>
      </c>
      <c r="H20" s="81">
        <v>25</v>
      </c>
      <c r="I20" s="81">
        <v>22</v>
      </c>
      <c r="J20" s="81">
        <v>22</v>
      </c>
      <c r="K20" s="81">
        <v>23</v>
      </c>
      <c r="L20" s="81">
        <v>20</v>
      </c>
      <c r="M20" s="81">
        <v>20</v>
      </c>
      <c r="N20" s="81">
        <v>22</v>
      </c>
      <c r="O20" s="81">
        <v>24</v>
      </c>
      <c r="P20" s="81">
        <v>22</v>
      </c>
      <c r="Q20" s="81">
        <v>23</v>
      </c>
      <c r="R20" s="81">
        <v>22</v>
      </c>
      <c r="S20" s="81">
        <v>23</v>
      </c>
      <c r="T20" s="81">
        <v>22</v>
      </c>
      <c r="U20" s="81">
        <v>23</v>
      </c>
      <c r="V20" s="81">
        <v>21</v>
      </c>
      <c r="W20" s="81">
        <v>21</v>
      </c>
      <c r="X20" s="81">
        <v>32</v>
      </c>
      <c r="Y20" s="110">
        <v>32</v>
      </c>
      <c r="Z20" s="81">
        <v>28</v>
      </c>
      <c r="AA20" s="81">
        <v>17</v>
      </c>
      <c r="AB20" s="81">
        <v>20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656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2" t="s" ph="1">
        <v>179</v>
      </c>
      <c r="D24" s="71">
        <v>3.32</v>
      </c>
      <c r="E24" s="71">
        <v>95.14</v>
      </c>
      <c r="F24" s="71">
        <v>0</v>
      </c>
      <c r="G24" s="71">
        <v>3044</v>
      </c>
      <c r="H24" s="71">
        <v>1739</v>
      </c>
      <c r="I24" s="71">
        <v>5512</v>
      </c>
      <c r="J24" s="71">
        <v>1277</v>
      </c>
      <c r="K24" s="71">
        <v>5611</v>
      </c>
      <c r="L24" s="71">
        <v>5583</v>
      </c>
      <c r="M24" s="71">
        <v>5017</v>
      </c>
      <c r="N24" s="71">
        <v>4220</v>
      </c>
      <c r="O24" s="71">
        <v>3514</v>
      </c>
      <c r="P24" s="71">
        <v>832</v>
      </c>
      <c r="Q24" s="90">
        <v>2760</v>
      </c>
      <c r="R24" s="71">
        <v>6338</v>
      </c>
      <c r="S24" s="71">
        <v>3339</v>
      </c>
      <c r="T24" s="71">
        <v>905</v>
      </c>
      <c r="U24" s="71">
        <v>3434</v>
      </c>
      <c r="V24" s="71">
        <v>9607</v>
      </c>
      <c r="W24" s="71">
        <v>11325</v>
      </c>
      <c r="X24" s="71">
        <v>6772</v>
      </c>
      <c r="Y24" s="71">
        <v>2337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2327.103582624</v>
      </c>
      <c r="E25" s="91" ph="1">
        <f>E24*268.68*LOOKUP(E26,密度!$A$2:$A$50,密度!$C$2:$C$50)+IF(E24&lt;=0,0,1566*LOOKUP(E26,密度!$A$2:$A$50,密度!$C$2:$C$50))</f>
        <v>30082.477835280002</v>
      </c>
      <c r="F25" s="91" ph="1">
        <f>F24*11.702*LOOKUP(F26,密度!$A$2:$A$50,密度!$Q$2:$Q$50)</f>
        <v>0</v>
      </c>
      <c r="G25" s="91" ph="1">
        <f>G24*18.322*LOOKUP(G26,密度!$A$2:$A$50,密度!$B$2:$B$50)</f>
        <v>43820.192397599996</v>
      </c>
      <c r="H25" s="91" ph="1">
        <f>H24*18.322*LOOKUP(H26,密度!$A$2:$A$50,密度!$B$2:$B$50)</f>
        <v>25056.243771199999</v>
      </c>
      <c r="I25" s="91" ph="1">
        <f>I24*18.322*LOOKUP(I26,密度!$A$2:$A$50,密度!$Q$2:$Q$50)</f>
        <v>96224.095219199997</v>
      </c>
      <c r="J25" s="91" ph="1">
        <f>J24*18.322*LOOKUP(J26,密度!$A$2:$A$50,密度!$Q$2:$Q$50)</f>
        <v>22274.362659940001</v>
      </c>
      <c r="K25" s="91" ph="1">
        <f>K24*18.322*LOOKUP(K26,密度!$A$2:$A$50,密度!$Q$2:$Q$50)</f>
        <v>97871.142431419998</v>
      </c>
      <c r="L25" s="91" ph="1">
        <f>L24*18.322*LOOKUP(L26,密度!$A$2:$A$50,密度!$Q$2:$Q$50)</f>
        <v>97382.74606926</v>
      </c>
      <c r="M25" s="91" ph="1">
        <f>M24*18.322*LOOKUP(M26,密度!$A$2:$A$50,密度!$Q$2:$Q$50)</f>
        <v>87582.780427200007</v>
      </c>
      <c r="N25" s="91" ph="1">
        <f>N24*18.322*LOOKUP(N26,密度!$A$2:$A$50,密度!$Q$2:$Q$50)</f>
        <v>73608.308868399996</v>
      </c>
      <c r="O25" s="91" ph="1">
        <f>O24*18.322*LOOKUP(O26,密度!$A$2:$A$50,密度!$C$2:$C$50)</f>
        <v>71755.419666000002</v>
      </c>
      <c r="P25" s="91" ph="1">
        <f>P24*11.702*LOOKUP(P26,密度!$A$2:$A$50,密度!$B$2:$B$50)</f>
        <v>7649.6254847999999</v>
      </c>
      <c r="Q25" s="92" ph="1">
        <f>Q24*18.322*LOOKUP(Q26,密度!$A$2:$A$50,密度!$B$2:$B$50)</f>
        <v>39731.843304000002</v>
      </c>
      <c r="R25" s="91" ph="1">
        <f>R24*35.891*LOOKUP(R26,密度!$A$2:$A$50,密度!$C$2:$C$50)</f>
        <v>253523.292591</v>
      </c>
      <c r="S25" s="91" ph="1">
        <f>S24*35.891*LOOKUP(S26,密度!$A$2:$A$50,密度!$B$2:$B$50)</f>
        <v>94242.214533599996</v>
      </c>
      <c r="T25" s="91" ph="1">
        <f>T24*35.891*LOOKUP(T26,密度!$A$2:$A$50,密度!$Q$2:$Q$50)</f>
        <v>30922.574773550001</v>
      </c>
      <c r="U25" s="91" ph="1">
        <f>U24*35.891</f>
        <v>123249.69399999999</v>
      </c>
      <c r="V25" s="91" ph="1">
        <f>V24*47.051*LOOKUP(V26,密度!$A$2:$A$50,密度!$B$2:$B$50)</f>
        <v>355467.70778479998</v>
      </c>
      <c r="W25" s="91" ph="1">
        <f>W24*47.051*LOOKUP(W26,密度!$A$2:$A$50,密度!$B$2:$B$50)</f>
        <v>418662.26817750005</v>
      </c>
      <c r="X25" s="91" ph="1">
        <f>X24*47.051*LOOKUP(X26,密度!$A$2:$A$50,密度!$I$2:$I$50)</f>
        <v>329985.32281808002</v>
      </c>
      <c r="Y25" s="91" ph="1">
        <f>Y24*47.051*LOOKUP(Y26,密度!$A$2:$A$50,密度!$L$2:$L$50)</f>
        <v>103910.48671500001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17</v>
      </c>
      <c r="G26" s="74">
        <v>18</v>
      </c>
      <c r="H26" s="74">
        <v>17</v>
      </c>
      <c r="I26" s="74">
        <v>17</v>
      </c>
      <c r="J26" s="74">
        <v>18</v>
      </c>
      <c r="K26" s="74">
        <v>18</v>
      </c>
      <c r="L26" s="74">
        <v>18</v>
      </c>
      <c r="M26" s="74">
        <v>17</v>
      </c>
      <c r="N26" s="74">
        <v>18</v>
      </c>
      <c r="O26" s="74">
        <v>17</v>
      </c>
      <c r="P26" s="74">
        <v>18</v>
      </c>
      <c r="Q26" s="93">
        <v>18</v>
      </c>
      <c r="R26" s="74">
        <v>17</v>
      </c>
      <c r="S26" s="74">
        <v>17</v>
      </c>
      <c r="T26" s="74">
        <v>18</v>
      </c>
      <c r="U26" s="74">
        <v>18</v>
      </c>
      <c r="V26" s="74">
        <v>17</v>
      </c>
      <c r="W26" s="74">
        <v>18</v>
      </c>
      <c r="X26" s="74">
        <v>56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2" t="s" ph="1">
        <v>182</v>
      </c>
      <c r="D27" s="71">
        <v>3.28</v>
      </c>
      <c r="E27" s="71">
        <v>95.18</v>
      </c>
      <c r="F27" s="71">
        <v>0</v>
      </c>
      <c r="G27" s="71">
        <v>2622</v>
      </c>
      <c r="H27" s="71">
        <v>1675</v>
      </c>
      <c r="I27" s="71">
        <v>3861</v>
      </c>
      <c r="J27" s="71">
        <v>1494</v>
      </c>
      <c r="K27" s="71">
        <v>5614</v>
      </c>
      <c r="L27" s="71">
        <v>5582</v>
      </c>
      <c r="M27" s="71">
        <v>5494</v>
      </c>
      <c r="N27" s="71">
        <v>5336</v>
      </c>
      <c r="O27" s="71">
        <v>3509</v>
      </c>
      <c r="P27" s="71">
        <v>829</v>
      </c>
      <c r="Q27" s="90">
        <v>3212</v>
      </c>
      <c r="R27" s="71">
        <v>6335</v>
      </c>
      <c r="S27" s="71">
        <v>3955</v>
      </c>
      <c r="T27" s="71">
        <v>1744</v>
      </c>
      <c r="U27" s="71">
        <v>3523</v>
      </c>
      <c r="V27" s="71">
        <v>9609</v>
      </c>
      <c r="W27" s="71">
        <v>11328</v>
      </c>
      <c r="X27" s="71">
        <v>6775</v>
      </c>
      <c r="Y27" s="71">
        <v>2765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2" t="s" ph="1">
        <v>180</v>
      </c>
      <c r="D28" s="91" ph="1">
        <f>D27*268.68*LOOKUP(D29,密度!$A$2:$A$50,密度!$Q$2:$Q$50)+IF(D27&lt;=0,0,1566*LOOKUP(D29,密度!$A$2:$A$50,密度!$Q$2:$Q$50))</f>
        <v>2316.9287784959997</v>
      </c>
      <c r="E28" s="91" ph="1">
        <f>E27*268.68*LOOKUP(E29,密度!$A$2:$A$50,密度!$C$2:$C$50)+IF(E27&lt;=0,0,1566*LOOKUP(E29,密度!$A$2:$A$50,密度!$C$2:$C$50))</f>
        <v>30094.395405360006</v>
      </c>
      <c r="F28" s="91" ph="1">
        <f>F27*11.702*LOOKUP(F29,密度!$A$2:$A$50,密度!$Q$2:$Q$50)</f>
        <v>0</v>
      </c>
      <c r="G28" s="91" ph="1">
        <f>G27*18.322*LOOKUP(G29,密度!$A$2:$A$50,密度!$B$2:$B$50)</f>
        <v>37745.251138799998</v>
      </c>
      <c r="H28" s="91" ph="1">
        <f>H27*18.322*LOOKUP(H29,密度!$A$2:$A$50,密度!$B$2:$B$50)</f>
        <v>24112.622294999997</v>
      </c>
      <c r="I28" s="91" ph="1">
        <f>I27*18.322*LOOKUP(I29,密度!$A$2:$A$50,密度!$Q$2:$Q$50)</f>
        <v>67291.191627659995</v>
      </c>
      <c r="J28" s="91" ph="1">
        <f>J27*18.322*LOOKUP(J29,密度!$A$2:$A$50,密度!$Q$2:$Q$50)</f>
        <v>26038.083473639999</v>
      </c>
      <c r="K28" s="91" ph="1">
        <f>K27*18.322*LOOKUP(K29,密度!$A$2:$A$50,密度!$Q$2:$Q$50)</f>
        <v>97843.240040839999</v>
      </c>
      <c r="L28" s="91" ph="1">
        <f>L27*18.322*LOOKUP(L29,密度!$A$2:$A$50,密度!$Q$2:$Q$50)</f>
        <v>97285.53008692</v>
      </c>
      <c r="M28" s="91" ph="1">
        <f>M27*18.322*LOOKUP(M29,密度!$A$2:$A$50,密度!$Q$2:$Q$50)</f>
        <v>95830.343346680005</v>
      </c>
      <c r="N28" s="91" ph="1">
        <f>N27*18.322*LOOKUP(N29,密度!$A$2:$A$50,密度!$Q$2:$Q$50)</f>
        <v>93074.392445919992</v>
      </c>
      <c r="O28" s="91" ph="1">
        <f>O27*18.322*LOOKUP(O29,密度!$A$2:$A$50,密度!$C$2:$C$50)</f>
        <v>71614.745182199986</v>
      </c>
      <c r="P28" s="91" ph="1">
        <f>P27*11.702*LOOKUP(P29,密度!$A$2:$A$50,密度!$B$2:$B$50)</f>
        <v>7614.2819342000012</v>
      </c>
      <c r="Q28" s="92" ph="1">
        <f>Q27*18.322*LOOKUP(Q29,密度!$A$2:$A$50,密度!$B$2:$B$50)</f>
        <v>46238.652424799991</v>
      </c>
      <c r="R28" s="91" ph="1">
        <f>R27*35.891*LOOKUP(R29,密度!$A$2:$A$50,密度!$C$2:$C$50)</f>
        <v>253107.71070199998</v>
      </c>
      <c r="S28" s="91" ph="1">
        <f>S27*35.891*LOOKUP(S29,密度!$A$2:$A$50,密度!$B$2:$B$50)</f>
        <v>111529.25465849999</v>
      </c>
      <c r="T28" s="91" ph="1">
        <f>T27*35.891*LOOKUP(T29,密度!$A$2:$A$50,密度!$Q$2:$Q$50)</f>
        <v>59541.199301919994</v>
      </c>
      <c r="U28" s="91" ph="1">
        <f>U27*35.891</f>
        <v>126443.99299999999</v>
      </c>
      <c r="V28" s="91" ph="1">
        <f>V27*47.051*LOOKUP(V29,密度!$A$2:$A$50,密度!$B$2:$B$50)</f>
        <v>355225.23045629996</v>
      </c>
      <c r="W28" s="91" ph="1">
        <f>W27*47.051*LOOKUP(W29,密度!$A$2:$A$50,密度!$B$2:$B$50)</f>
        <v>418773.1720896</v>
      </c>
      <c r="X28" s="91" ph="1">
        <f>X27*47.051*LOOKUP(X29,密度!$A$2:$A$50,密度!$I$2:$I$50)</f>
        <v>330131.50651099999</v>
      </c>
      <c r="Y28" s="91" ph="1">
        <f>Y27*47.051*LOOKUP(Y29,密度!$A$2:$A$50,密度!$L$2:$L$50)</f>
        <v>122810.63815999999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2" t="s" ph="1">
        <v>181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19</v>
      </c>
      <c r="J29" s="74">
        <v>19</v>
      </c>
      <c r="K29" s="74">
        <v>19</v>
      </c>
      <c r="L29" s="74">
        <v>19</v>
      </c>
      <c r="M29" s="74">
        <v>18</v>
      </c>
      <c r="N29" s="74">
        <v>18</v>
      </c>
      <c r="O29" s="74">
        <v>18</v>
      </c>
      <c r="P29" s="74">
        <v>19</v>
      </c>
      <c r="Q29" s="93">
        <v>18</v>
      </c>
      <c r="R29" s="74">
        <v>19</v>
      </c>
      <c r="S29" s="74">
        <v>18</v>
      </c>
      <c r="T29" s="74">
        <v>19</v>
      </c>
      <c r="U29" s="74">
        <v>19</v>
      </c>
      <c r="V29" s="74">
        <v>18</v>
      </c>
      <c r="W29" s="74">
        <v>18</v>
      </c>
      <c r="X29" s="74">
        <v>57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86</v>
      </c>
      <c r="AC32" s="162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79128.250319400002</v>
      </c>
      <c r="E33" s="201" ph="1">
        <f>M10+I10</f>
        <v>123961.83377120002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27" ph="1">
        <v>0</v>
      </c>
      <c r="H33" s="201" ph="1">
        <f>N19</f>
        <v>1649.2722515999999</v>
      </c>
      <c r="I33" s="205" ph="1">
        <v>0</v>
      </c>
      <c r="J33" s="209" ph="1">
        <f>F10+O28</f>
        <v>190347.55423499999</v>
      </c>
      <c r="K33" s="201" ph="1">
        <f>O10+K10+E28+R28</f>
        <v>394996.13956015999</v>
      </c>
      <c r="L33" s="211" ph="1">
        <f>BE27</f>
        <v>7100</v>
      </c>
      <c r="M33" s="209" ph="1">
        <f>G10+H10+W28+S28</f>
        <v>1119210.6819801</v>
      </c>
      <c r="N33" s="201" ph="1">
        <f>L10+P10++G28+H28+V28</f>
        <v>460511.07458609995</v>
      </c>
      <c r="O33" s="205" ph="1">
        <f>BE17</f>
        <v>2270</v>
      </c>
      <c r="P33" s="209" ph="1">
        <f>L19</f>
        <v>40284.41805</v>
      </c>
      <c r="Q33" s="201" ph="1">
        <f>J10+N10</f>
        <v>82487.548112500008</v>
      </c>
      <c r="R33" s="205" ph="1">
        <f>BE23</f>
        <v>890</v>
      </c>
      <c r="S33" s="209" ph="1">
        <f>E10+X28</f>
        <v>431717.54239099997</v>
      </c>
      <c r="T33" s="201" ph="1">
        <f>X19</f>
        <v>8534.779369920001</v>
      </c>
      <c r="U33" s="190" ph="1">
        <f>BE21</f>
        <v>730</v>
      </c>
      <c r="V33" s="203" ph="1">
        <f ca="1">P19+Q19+S19+M28+N28+J28</f>
        <v>337360.277554314</v>
      </c>
      <c r="W33" s="203" ph="1">
        <f>D28+F28+V19+T28</f>
        <v>71799.111481688</v>
      </c>
      <c r="X33" s="205" ph="1">
        <f>BE29+BE31</f>
        <v>10200</v>
      </c>
      <c r="Y33" s="207" ph="1">
        <f>+Q10+R10+S10+T10+U10+V10+W10+X10+Y10</f>
        <v>82573.603912799997</v>
      </c>
      <c r="Z33" s="188" ph="1">
        <f>D10+T19+U19+Y28+Z10</f>
        <v>375745.66238373</v>
      </c>
      <c r="AA33" s="190" ph="1">
        <f>BE19</f>
        <v>1440</v>
      </c>
      <c r="AB33" s="192" ph="1">
        <f>I19</f>
        <v>15756.155383200001</v>
      </c>
      <c r="AC33" s="194" ph="1">
        <f>AD10</f>
        <v>13523.156233599999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4" t="s" ph="1">
        <v>187</v>
      </c>
      <c r="AA36" s="16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346</v>
      </c>
      <c r="AI37" s="164" t="s" ph="1">
        <v>213</v>
      </c>
      <c r="AJ37" s="164" t="s" ph="1">
        <v>214</v>
      </c>
      <c r="AK37" s="164" t="s" ph="1">
        <v>215</v>
      </c>
      <c r="AM37" s="164" t="s" ph="1">
        <v>214</v>
      </c>
      <c r="AN37" s="164" t="s" ph="1">
        <v>215</v>
      </c>
      <c r="AO37" s="164" t="s" ph="1">
        <v>216</v>
      </c>
      <c r="AP37" s="164" t="s" ph="1">
        <v>214</v>
      </c>
      <c r="AQ37" s="164" t="s" ph="1">
        <v>215</v>
      </c>
      <c r="AR37" s="164" t="s" ph="1">
        <v>216</v>
      </c>
      <c r="AS37" s="164" t="s" ph="1">
        <v>214</v>
      </c>
      <c r="AT37" s="164" t="s" ph="1">
        <v>215</v>
      </c>
      <c r="AU37" s="164" t="s" ph="1">
        <v>216</v>
      </c>
      <c r="AV37" s="164" t="s" ph="1">
        <v>214</v>
      </c>
      <c r="AW37" s="164" t="s" ph="1">
        <v>215</v>
      </c>
      <c r="AX37" s="164" t="s" ph="1">
        <v>216</v>
      </c>
      <c r="AY37" s="164" t="s" ph="1">
        <v>215</v>
      </c>
      <c r="AZ37" s="164" t="s" ph="1">
        <v>217</v>
      </c>
      <c r="BD37" s="164" t="s" ph="1">
        <v>309</v>
      </c>
      <c r="BE37" s="16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81" priority="96">
      <formula>ABS(D$7-D$10)&gt;=1000</formula>
    </cfRule>
  </conditionalFormatting>
  <conditionalFormatting sqref="E4 E6:E11">
    <cfRule type="expression" dxfId="880" priority="95">
      <formula>ABS(E$7-E$10)&gt;=1000</formula>
    </cfRule>
  </conditionalFormatting>
  <conditionalFormatting sqref="F4:F11">
    <cfRule type="expression" dxfId="879" priority="94">
      <formula>ABS(F$7-F$10)&gt;=1000</formula>
    </cfRule>
  </conditionalFormatting>
  <conditionalFormatting sqref="G4:G11">
    <cfRule type="expression" dxfId="878" priority="93">
      <formula>ABS(G$7-G$10)&gt;=1000</formula>
    </cfRule>
  </conditionalFormatting>
  <conditionalFormatting sqref="H4:H11">
    <cfRule type="expression" dxfId="877" priority="92">
      <formula>ABS(H$7-H$10)&gt;=1000</formula>
    </cfRule>
  </conditionalFormatting>
  <conditionalFormatting sqref="I4:I11">
    <cfRule type="expression" dxfId="876" priority="91">
      <formula>ABS(I$7-I$10)&gt;=1000</formula>
    </cfRule>
  </conditionalFormatting>
  <conditionalFormatting sqref="J4:J11">
    <cfRule type="expression" dxfId="875" priority="90">
      <formula>ABS(J$7-J$10)&gt;=1000</formula>
    </cfRule>
  </conditionalFormatting>
  <conditionalFormatting sqref="K4:K11">
    <cfRule type="expression" dxfId="874" priority="89">
      <formula>ABS(K$7-K$10)&gt;=1000</formula>
    </cfRule>
  </conditionalFormatting>
  <conditionalFormatting sqref="L4:L11">
    <cfRule type="expression" dxfId="873" priority="88">
      <formula>ABS(L$7-L$10)&gt;=1000</formula>
    </cfRule>
  </conditionalFormatting>
  <conditionalFormatting sqref="M4 M6:M11">
    <cfRule type="expression" dxfId="872" priority="87">
      <formula>ABS(M$7-M$10)&gt;=1000</formula>
    </cfRule>
  </conditionalFormatting>
  <conditionalFormatting sqref="N4 N6:N11">
    <cfRule type="expression" dxfId="871" priority="86">
      <formula>ABS(N$7-N$10)&gt;=1000</formula>
    </cfRule>
  </conditionalFormatting>
  <conditionalFormatting sqref="O4 O6:O11">
    <cfRule type="expression" dxfId="870" priority="85">
      <formula>ABS(O$7-O$10)&gt;=1000</formula>
    </cfRule>
  </conditionalFormatting>
  <conditionalFormatting sqref="P4 P6:P11">
    <cfRule type="expression" dxfId="869" priority="84">
      <formula>ABS(P$7-P$10)&gt;=1000</formula>
    </cfRule>
  </conditionalFormatting>
  <conditionalFormatting sqref="Q4:Q11">
    <cfRule type="expression" dxfId="868" priority="83">
      <formula>ABS(Q$7-Q$10)&gt;=1000</formula>
    </cfRule>
  </conditionalFormatting>
  <conditionalFormatting sqref="R4:R11">
    <cfRule type="expression" dxfId="867" priority="82">
      <formula>ABS(R$7-R$10)&gt;=1000</formula>
    </cfRule>
  </conditionalFormatting>
  <conditionalFormatting sqref="S4:S11">
    <cfRule type="expression" dxfId="866" priority="81">
      <formula>ABS(S$7-S$10)&gt;=1000</formula>
    </cfRule>
  </conditionalFormatting>
  <conditionalFormatting sqref="T4:T9 T11">
    <cfRule type="expression" dxfId="865" priority="80">
      <formula>ABS(T$7-T$10)&gt;=1000</formula>
    </cfRule>
  </conditionalFormatting>
  <conditionalFormatting sqref="U4:U9 U11">
    <cfRule type="expression" dxfId="864" priority="79">
      <formula>ABS(U$7-U$10)&gt;=1000</formula>
    </cfRule>
  </conditionalFormatting>
  <conditionalFormatting sqref="V4:V9 V11">
    <cfRule type="expression" dxfId="863" priority="78">
      <formula>ABS(V$7-V$10)&gt;=1000</formula>
    </cfRule>
  </conditionalFormatting>
  <conditionalFormatting sqref="W4:W9 W11">
    <cfRule type="expression" dxfId="862" priority="77">
      <formula>ABS(W$7-W$10)&gt;=1000</formula>
    </cfRule>
  </conditionalFormatting>
  <conditionalFormatting sqref="X4:X9 X11">
    <cfRule type="expression" dxfId="861" priority="76">
      <formula>ABS(X$7-X$10)&gt;=1000</formula>
    </cfRule>
  </conditionalFormatting>
  <conditionalFormatting sqref="Y4:Y9 Y11">
    <cfRule type="expression" dxfId="860" priority="75">
      <formula>ABS(Y$7-Y$10)&gt;=1000</formula>
    </cfRule>
  </conditionalFormatting>
  <conditionalFormatting sqref="Z4:Z11">
    <cfRule type="expression" dxfId="859" priority="74">
      <formula>ABS(Z$7-Z$10)&gt;=1000</formula>
    </cfRule>
  </conditionalFormatting>
  <conditionalFormatting sqref="AA4:AA11">
    <cfRule type="expression" dxfId="858" priority="73">
      <formula>ABS(AA$7-AA$10)&gt;=1000</formula>
    </cfRule>
  </conditionalFormatting>
  <conditionalFormatting sqref="AB4:AB11">
    <cfRule type="expression" dxfId="857" priority="72">
      <formula>ABS(AB$7-AB$10)&gt;=1000</formula>
    </cfRule>
  </conditionalFormatting>
  <conditionalFormatting sqref="AC4 AC6:AC11">
    <cfRule type="expression" dxfId="856" priority="71">
      <formula>ABS(AC$7-AC$10)&gt;=1000</formula>
    </cfRule>
  </conditionalFormatting>
  <conditionalFormatting sqref="AD4:AD11">
    <cfRule type="expression" dxfId="855" priority="70">
      <formula>ABS(AD$7-AD$10)&gt;=1000</formula>
    </cfRule>
  </conditionalFormatting>
  <conditionalFormatting sqref="AE4:AE11">
    <cfRule type="expression" dxfId="854" priority="69">
      <formula>ABS(AE$7-AE$10)&gt;=1000</formula>
    </cfRule>
  </conditionalFormatting>
  <conditionalFormatting sqref="D13:D20">
    <cfRule type="expression" dxfId="853" priority="68">
      <formula>ABS(D$16-D$19)&gt;=1000</formula>
    </cfRule>
  </conditionalFormatting>
  <conditionalFormatting sqref="E13:E20">
    <cfRule type="expression" dxfId="852" priority="67">
      <formula>ABS(E$16-E$19)&gt;=1000</formula>
    </cfRule>
  </conditionalFormatting>
  <conditionalFormatting sqref="F13 F15:F20">
    <cfRule type="expression" dxfId="851" priority="66">
      <formula>ABS(F$16-F$19)&gt;=1000</formula>
    </cfRule>
  </conditionalFormatting>
  <conditionalFormatting sqref="G13:G20">
    <cfRule type="expression" dxfId="850" priority="65">
      <formula>ABS(G$16-G$19)&gt;=1000</formula>
    </cfRule>
  </conditionalFormatting>
  <conditionalFormatting sqref="H13:H20">
    <cfRule type="expression" dxfId="849" priority="64">
      <formula>ABS(H$16-H$19)&gt;=1000</formula>
    </cfRule>
  </conditionalFormatting>
  <conditionalFormatting sqref="I13:I20">
    <cfRule type="expression" dxfId="848" priority="63">
      <formula>ABS(I$16-I$19)&gt;=1000</formula>
    </cfRule>
  </conditionalFormatting>
  <conditionalFormatting sqref="J13:J20">
    <cfRule type="expression" dxfId="847" priority="62">
      <formula>ABS(J$16-J$19)&gt;=1000</formula>
    </cfRule>
  </conditionalFormatting>
  <conditionalFormatting sqref="L13:L20">
    <cfRule type="expression" dxfId="846" priority="61">
      <formula>ABS(L$16-L$19)&gt;=1000</formula>
    </cfRule>
  </conditionalFormatting>
  <conditionalFormatting sqref="M13 M15 M17:M18 M20">
    <cfRule type="expression" dxfId="845" priority="60">
      <formula>ABS(M$16-M$19)&gt;=1000</formula>
    </cfRule>
  </conditionalFormatting>
  <conditionalFormatting sqref="N13:N20">
    <cfRule type="expression" dxfId="844" priority="59">
      <formula>ABS(N$16-N$19)&gt;=1000</formula>
    </cfRule>
  </conditionalFormatting>
  <conditionalFormatting sqref="O13:O20">
    <cfRule type="expression" dxfId="843" priority="58">
      <formula>ABS(O$16-O$19)&gt;=1000</formula>
    </cfRule>
  </conditionalFormatting>
  <conditionalFormatting sqref="P13:P20">
    <cfRule type="expression" dxfId="842" priority="57">
      <formula>ABS(P$16-P$19)&gt;=1000</formula>
    </cfRule>
  </conditionalFormatting>
  <conditionalFormatting sqref="Q13 Q15:Q20">
    <cfRule type="expression" dxfId="841" priority="56">
      <formula>ABS(Q$16-Q$19)&gt;=1000</formula>
    </cfRule>
  </conditionalFormatting>
  <conditionalFormatting sqref="R13:R20">
    <cfRule type="expression" dxfId="840" priority="55">
      <formula>ABS(R$16-R$19)&gt;=1000</formula>
    </cfRule>
  </conditionalFormatting>
  <conditionalFormatting sqref="S13:S20">
    <cfRule type="expression" dxfId="839" priority="54">
      <formula>ABS(S$16-S$19)&gt;=1000</formula>
    </cfRule>
  </conditionalFormatting>
  <conditionalFormatting sqref="T13:T20">
    <cfRule type="expression" dxfId="838" priority="53">
      <formula>ABS(T$16-T$19)&gt;=1000</formula>
    </cfRule>
  </conditionalFormatting>
  <conditionalFormatting sqref="U13:U20">
    <cfRule type="expression" dxfId="837" priority="52">
      <formula>ABS(U$16-U$19)&gt;=1000</formula>
    </cfRule>
  </conditionalFormatting>
  <conditionalFormatting sqref="V13:V20">
    <cfRule type="expression" dxfId="836" priority="51">
      <formula>ABS(V$16-V$19)&gt;=1000</formula>
    </cfRule>
  </conditionalFormatting>
  <conditionalFormatting sqref="W13 W20 W15:W18">
    <cfRule type="expression" dxfId="835" priority="50">
      <formula>ABS(W$16-W$19)&gt;=1000</formula>
    </cfRule>
  </conditionalFormatting>
  <conditionalFormatting sqref="X13 X15:X20 Y19">
    <cfRule type="expression" dxfId="834" priority="49">
      <formula>ABS(X$16-X$19)&gt;=1000</formula>
    </cfRule>
  </conditionalFormatting>
  <conditionalFormatting sqref="Y13 Y15:Y18 Y20">
    <cfRule type="expression" dxfId="833" priority="48">
      <formula>ABS(Y$16-Y$19)&gt;=1000</formula>
    </cfRule>
  </conditionalFormatting>
  <conditionalFormatting sqref="Z13:Z20">
    <cfRule type="expression" dxfId="832" priority="47">
      <formula>ABS(Z$16-Z$19)&gt;=1000</formula>
    </cfRule>
  </conditionalFormatting>
  <conditionalFormatting sqref="AA13:AA20">
    <cfRule type="expression" dxfId="831" priority="46">
      <formula>ABS(AA$16-AA$19)&gt;=1000</formula>
    </cfRule>
  </conditionalFormatting>
  <conditionalFormatting sqref="AB13 AB15:AB20">
    <cfRule type="expression" dxfId="830" priority="45">
      <formula>ABS(AB$16-AB$19)&gt;=1000</formula>
    </cfRule>
  </conditionalFormatting>
  <conditionalFormatting sqref="AC13 AC15:AC20">
    <cfRule type="expression" dxfId="829" priority="44">
      <formula>ABS(AC$16-AC$19)&gt;=1000</formula>
    </cfRule>
  </conditionalFormatting>
  <conditionalFormatting sqref="AD13:AD20">
    <cfRule type="expression" dxfId="828" priority="43">
      <formula>ABS(AD$16-AD$19)&gt;=1000</formula>
    </cfRule>
  </conditionalFormatting>
  <conditionalFormatting sqref="AE13:AE20">
    <cfRule type="expression" dxfId="827" priority="42">
      <formula>ABS(AE$16-AE$19)&gt;=1000</formula>
    </cfRule>
  </conditionalFormatting>
  <conditionalFormatting sqref="D22:D29">
    <cfRule type="expression" dxfId="826" priority="41">
      <formula>ABS(D$25-D$28)&gt;=1000</formula>
    </cfRule>
  </conditionalFormatting>
  <conditionalFormatting sqref="E22:E29">
    <cfRule type="expression" dxfId="825" priority="40">
      <formula>ABS(E$25-E$28)&gt;=1000</formula>
    </cfRule>
  </conditionalFormatting>
  <conditionalFormatting sqref="F22:F29">
    <cfRule type="expression" dxfId="824" priority="39">
      <formula>ABS(F$25-F$28)&gt;=1000</formula>
    </cfRule>
  </conditionalFormatting>
  <conditionalFormatting sqref="G22:G29">
    <cfRule type="expression" dxfId="823" priority="38">
      <formula>ABS(G$25-G$28)&gt;=1000</formula>
    </cfRule>
  </conditionalFormatting>
  <conditionalFormatting sqref="H22:H29">
    <cfRule type="expression" dxfId="822" priority="37">
      <formula>ABS(H$25-H$28)&gt;=1000</formula>
    </cfRule>
  </conditionalFormatting>
  <conditionalFormatting sqref="I22 I24:I29">
    <cfRule type="expression" dxfId="821" priority="36">
      <formula>ABS(I$25-I$28)&gt;=1000</formula>
    </cfRule>
  </conditionalFormatting>
  <conditionalFormatting sqref="J22:J29 K22">
    <cfRule type="expression" dxfId="820" priority="35">
      <formula>ABS(J$25-J$28)&gt;=1000</formula>
    </cfRule>
  </conditionalFormatting>
  <conditionalFormatting sqref="K23:K29 L25 L28">
    <cfRule type="expression" dxfId="819" priority="34">
      <formula>ABS(K$25-K$28)&gt;=1000</formula>
    </cfRule>
  </conditionalFormatting>
  <conditionalFormatting sqref="L22:L24 L26:L27 L29">
    <cfRule type="expression" dxfId="818" priority="33">
      <formula>ABS(L$25-L$28)&gt;=1000</formula>
    </cfRule>
  </conditionalFormatting>
  <conditionalFormatting sqref="M22:M29">
    <cfRule type="expression" dxfId="817" priority="32">
      <formula>ABS(M$25-M$28)&gt;=1000</formula>
    </cfRule>
  </conditionalFormatting>
  <conditionalFormatting sqref="N22:N29">
    <cfRule type="expression" dxfId="816" priority="31">
      <formula>ABS(N$25-N$28)&gt;=1000</formula>
    </cfRule>
  </conditionalFormatting>
  <conditionalFormatting sqref="O22:O29">
    <cfRule type="expression" dxfId="815" priority="30">
      <formula>ABS(O$25-O$28)&gt;=1000</formula>
    </cfRule>
  </conditionalFormatting>
  <conditionalFormatting sqref="P22:P29">
    <cfRule type="expression" dxfId="814" priority="29">
      <formula>ABS(P$25-P$28)&gt;=1000</formula>
    </cfRule>
  </conditionalFormatting>
  <conditionalFormatting sqref="Q22:Q29">
    <cfRule type="expression" dxfId="813" priority="28">
      <formula>ABS(Q$25-Q$28)&gt;=1000</formula>
    </cfRule>
  </conditionalFormatting>
  <conditionalFormatting sqref="R22:R29">
    <cfRule type="expression" dxfId="812" priority="27">
      <formula>ABS(R$25-R$28)&gt;=1000</formula>
    </cfRule>
  </conditionalFormatting>
  <conditionalFormatting sqref="S22:S29">
    <cfRule type="expression" dxfId="811" priority="26">
      <formula>ABS(S$25-S$28)&gt;=1000</formula>
    </cfRule>
  </conditionalFormatting>
  <conditionalFormatting sqref="T22:T29">
    <cfRule type="expression" dxfId="810" priority="25">
      <formula>ABS(T$25-T$28)&gt;=1000</formula>
    </cfRule>
  </conditionalFormatting>
  <conditionalFormatting sqref="U22:U29">
    <cfRule type="expression" dxfId="809" priority="24">
      <formula>ABS(U$25-U$28)&gt;=1000</formula>
    </cfRule>
  </conditionalFormatting>
  <conditionalFormatting sqref="V22:V29">
    <cfRule type="expression" dxfId="808" priority="23">
      <formula>ABS(V$25-V$28)&gt;=1000</formula>
    </cfRule>
  </conditionalFormatting>
  <conditionalFormatting sqref="W22:W29">
    <cfRule type="expression" dxfId="807" priority="22">
      <formula>ABS(W$25-W$28)&gt;=1000</formula>
    </cfRule>
  </conditionalFormatting>
  <conditionalFormatting sqref="X22:X29">
    <cfRule type="expression" dxfId="806" priority="21">
      <formula>ABS(X$25-X$28)&gt;=1000</formula>
    </cfRule>
  </conditionalFormatting>
  <conditionalFormatting sqref="Y22:Y29">
    <cfRule type="expression" dxfId="805" priority="20">
      <formula>ABS(Y$25-Y$28)&gt;=1000</formula>
    </cfRule>
  </conditionalFormatting>
  <conditionalFormatting sqref="I23">
    <cfRule type="expression" dxfId="804" priority="19">
      <formula>ABS(I$25-I$28)&gt;=1000</formula>
    </cfRule>
  </conditionalFormatting>
  <conditionalFormatting sqref="F14">
    <cfRule type="expression" dxfId="803" priority="18">
      <formula>ABS(F$16-F$19)&gt;=1000</formula>
    </cfRule>
  </conditionalFormatting>
  <conditionalFormatting sqref="Q14">
    <cfRule type="expression" dxfId="802" priority="17">
      <formula>ABS(Q$16-Q$19)&gt;=1000</formula>
    </cfRule>
  </conditionalFormatting>
  <conditionalFormatting sqref="W14">
    <cfRule type="expression" dxfId="801" priority="16">
      <formula>ABS(W$16-W$19)&gt;=1000</formula>
    </cfRule>
  </conditionalFormatting>
  <conditionalFormatting sqref="Y14">
    <cfRule type="expression" dxfId="800" priority="15">
      <formula>ABS(Y$16-Y$19)&gt;=1000</formula>
    </cfRule>
  </conditionalFormatting>
  <conditionalFormatting sqref="X14">
    <cfRule type="expression" dxfId="799" priority="14">
      <formula>ABS(X$16-X$19)&gt;=1000</formula>
    </cfRule>
  </conditionalFormatting>
  <conditionalFormatting sqref="T10:Y10">
    <cfRule type="expression" dxfId="798" priority="13">
      <formula>ABS(T$7-T$10)&gt;=1000</formula>
    </cfRule>
  </conditionalFormatting>
  <conditionalFormatting sqref="W19">
    <cfRule type="expression" dxfId="797" priority="12">
      <formula>ABS(W$16-W$19)&gt;=1000</formula>
    </cfRule>
  </conditionalFormatting>
  <conditionalFormatting sqref="AC5">
    <cfRule type="expression" dxfId="796" priority="11">
      <formula>ABS(AC$7-AC$10)&gt;=1000</formula>
    </cfRule>
  </conditionalFormatting>
  <conditionalFormatting sqref="M14">
    <cfRule type="expression" dxfId="795" priority="10">
      <formula>ABS(M$16-M$19)&gt;=1000</formula>
    </cfRule>
  </conditionalFormatting>
  <conditionalFormatting sqref="M16">
    <cfRule type="expression" dxfId="794" priority="9">
      <formula>ABS(M$16-M$19)&gt;=1000</formula>
    </cfRule>
  </conditionalFormatting>
  <conditionalFormatting sqref="M19">
    <cfRule type="expression" dxfId="793" priority="8">
      <formula>ABS(M$16-M$19)&gt;=1000</formula>
    </cfRule>
  </conditionalFormatting>
  <conditionalFormatting sqref="K13:K20">
    <cfRule type="expression" dxfId="792" priority="7">
      <formula>ABS(K$16-K$19)&gt;=1000</formula>
    </cfRule>
  </conditionalFormatting>
  <conditionalFormatting sqref="E5">
    <cfRule type="expression" dxfId="791" priority="6">
      <formula>ABS(E$7-E$10)&gt;=1000</formula>
    </cfRule>
  </conditionalFormatting>
  <conditionalFormatting sqref="AB14:AC14">
    <cfRule type="expression" dxfId="790" priority="5">
      <formula>ABS(AB$16-AB$19)&gt;=1000</formula>
    </cfRule>
  </conditionalFormatting>
  <conditionalFormatting sqref="M5">
    <cfRule type="expression" dxfId="789" priority="4">
      <formula>ABS(M$7-M$10)&gt;=1000</formula>
    </cfRule>
  </conditionalFormatting>
  <conditionalFormatting sqref="N5">
    <cfRule type="expression" dxfId="788" priority="3">
      <formula>ABS(N$7-N$10)&gt;=1000</formula>
    </cfRule>
  </conditionalFormatting>
  <conditionalFormatting sqref="O5">
    <cfRule type="expression" dxfId="787" priority="2">
      <formula>ABS(O$7-O$10)&gt;=1000</formula>
    </cfRule>
  </conditionalFormatting>
  <conditionalFormatting sqref="P5">
    <cfRule type="expression" dxfId="78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0">
    <pageSetUpPr fitToPage="1"/>
  </sheetPr>
  <dimension ref="A1:CU223"/>
  <sheetViews>
    <sheetView view="pageBreakPreview" topLeftCell="A4" zoomScale="70" zoomScaleNormal="100" zoomScaleSheetLayoutView="70" workbookViewId="0">
      <selection activeCell="L24" sqref="L2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45740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7" t="s" ph="1">
        <v>179</v>
      </c>
      <c r="D6" s="71">
        <v>879</v>
      </c>
      <c r="E6" s="71">
        <v>2520</v>
      </c>
      <c r="F6" s="71">
        <v>3216</v>
      </c>
      <c r="G6" s="71">
        <v>8997</v>
      </c>
      <c r="H6" s="71">
        <v>3876</v>
      </c>
      <c r="I6" s="71">
        <v>27.14</v>
      </c>
      <c r="J6" s="71">
        <v>7.78</v>
      </c>
      <c r="K6" s="71">
        <v>7.15</v>
      </c>
      <c r="L6" s="71">
        <v>38.58</v>
      </c>
      <c r="M6" s="71">
        <v>3391</v>
      </c>
      <c r="N6" s="71">
        <v>3081</v>
      </c>
      <c r="O6" s="71">
        <v>4841</v>
      </c>
      <c r="P6" s="71">
        <v>2436</v>
      </c>
      <c r="Q6" s="71">
        <v>0</v>
      </c>
      <c r="R6" s="71">
        <v>7154</v>
      </c>
      <c r="S6" s="71">
        <v>7171</v>
      </c>
      <c r="T6" s="71">
        <v>4673</v>
      </c>
      <c r="U6" s="71">
        <v>2275</v>
      </c>
      <c r="V6" s="71">
        <v>0</v>
      </c>
      <c r="W6" s="71">
        <v>2341</v>
      </c>
      <c r="X6" s="71">
        <v>0</v>
      </c>
      <c r="Y6" s="71">
        <v>0</v>
      </c>
      <c r="Z6" s="71">
        <v>3368</v>
      </c>
      <c r="AA6" s="71">
        <v>1571</v>
      </c>
      <c r="AB6" s="71">
        <v>1211</v>
      </c>
      <c r="AC6" s="71">
        <v>6704</v>
      </c>
      <c r="AD6" s="71">
        <v>693</v>
      </c>
      <c r="AE6" s="71">
        <v>1970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27791.134149599999</v>
      </c>
      <c r="E7" s="73" ph="1">
        <f>E6*51.53*LOOKUP(E8,密度!$A$2:$A$50,密度!$B$2:$B$50)</f>
        <v>102118.44384000001</v>
      </c>
      <c r="F7" s="73" ph="1">
        <f>F6*33.183*LOOKUP(F8,密度!$A$2:$A$50,密度!$C$2:$C$50)</f>
        <v>118871.5405392</v>
      </c>
      <c r="G7" s="73" ph="1">
        <f xml:space="preserve"> (G6+2)*51.53*LOOKUP(G8,密度!$A$2:$A$50,密度!$B$2:$B$50)</f>
        <v>364343.60187900002</v>
      </c>
      <c r="H7" s="73" ph="1">
        <f>(H6)*51.53*LOOKUP(H8,密度!$A$2:$A$50,密度!$B$2:$B$50)</f>
        <v>156928.080996</v>
      </c>
      <c r="I7" s="73" ph="1">
        <f>I6*290.8*1.0267</f>
        <v>8103.0367304000001</v>
      </c>
      <c r="J7" s="73" ph="1">
        <f>J6*290.8*0.7892</f>
        <v>1785.5050208</v>
      </c>
      <c r="K7" s="73" ph="1">
        <f>K6*290.8*1.1126</f>
        <v>2313.3401720000002</v>
      </c>
      <c r="L7" s="73" ph="1">
        <f>L6*290.8*0.777</f>
        <v>8717.2127280000004</v>
      </c>
      <c r="M7" s="73" ph="1">
        <f>M6*33.183*LOOKUP(M8,密度!$A$2:$A$50,密度!$D$2:$D$50)</f>
        <v>116248.08260429998</v>
      </c>
      <c r="N7" s="73" ph="1">
        <f>N6*33.183*LOOKUP(N8,密度!$A$2:$A$50,密度!$E$2:$E$50)</f>
        <v>80685.300711600008</v>
      </c>
      <c r="O7" s="73" ph="1">
        <f>O6*20.428*LOOKUP(O8,密度!$A$2:$A$50,密度!$C$2:$C$50)</f>
        <v>109730.50550079999</v>
      </c>
      <c r="P7" s="73" ph="1">
        <f>P6*51.53*LOOKUP(P8,密度!$A$2:$A$50,密度!$B$2:$B$50)</f>
        <v>98425.78342800001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47534.638535999999</v>
      </c>
      <c r="S7" s="73" ph="1">
        <f>S6*1.5*1.5*3.1416*LOOKUP(S8,密度!$A$2:$A$50,密度!$L$2:$L$50)</f>
        <v>48053.106208799996</v>
      </c>
      <c r="T7" s="73" ph="1">
        <f>T6*1.5*1.5*3.1416*LOOKUP(T8,密度!$A$2:$A$50,密度!$L$2:$L$50)</f>
        <v>31280.894706599996</v>
      </c>
      <c r="U7" s="73" ph="1">
        <f>U6*1.5*1.5*3.1416*LOOKUP(U8,密度!$A$2:$A$50,密度!$L$2:$L$50)</f>
        <v>15164.444294999999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15604.379821799999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105725.28542399999</v>
      </c>
      <c r="AA7" s="73" ph="1">
        <f>AA6*33.183*LOOKUP(AA8,密度!$A$2:$A$50,密度!$D$2:$D$50)</f>
        <v>53856.012318299996</v>
      </c>
      <c r="AB7" s="73" ph="1">
        <f>AB6*20.428*LOOKUP(AB8,密度!$A$2:$A$50,密度!$D$2:$D$50)</f>
        <v>25727.840320000003</v>
      </c>
      <c r="AC7" s="73" ph="1">
        <f>AC6*51.53*LOOKUP(AC8,密度!$A$2:$A$50,密度!$Q$2:$Q$50)</f>
        <v>329427.90963200002</v>
      </c>
      <c r="AD7" s="73" ph="1">
        <f>AD6*20.428*LOOKUP(AD8,密度!$A$2:$A$50,密度!$V$2:$V$50)</f>
        <v>13646.966256000002</v>
      </c>
      <c r="AE7" s="73" ph="1">
        <f>AE6*20.428</f>
        <v>40243.160000000003</v>
      </c>
    </row>
    <row r="8" spans="1:99" ph="1">
      <c r="B8" s="252" ph="1"/>
      <c r="C8" s="68" t="s" ph="1">
        <v>181</v>
      </c>
      <c r="D8" s="74">
        <v>17</v>
      </c>
      <c r="E8" s="74">
        <v>17</v>
      </c>
      <c r="F8" s="74">
        <v>18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24</v>
      </c>
      <c r="P8" s="74">
        <v>20</v>
      </c>
      <c r="Q8" s="74">
        <v>17</v>
      </c>
      <c r="R8" s="74">
        <v>22</v>
      </c>
      <c r="S8" s="74">
        <v>14</v>
      </c>
      <c r="T8" s="74">
        <v>15</v>
      </c>
      <c r="U8" s="74">
        <v>19</v>
      </c>
      <c r="V8" s="74">
        <v>22</v>
      </c>
      <c r="W8" s="74">
        <v>19</v>
      </c>
      <c r="X8" s="74">
        <v>9</v>
      </c>
      <c r="Y8" s="74">
        <v>16</v>
      </c>
      <c r="Z8" s="74">
        <v>16</v>
      </c>
      <c r="AA8" s="74">
        <v>18</v>
      </c>
      <c r="AB8" s="74">
        <v>10</v>
      </c>
      <c r="AC8" s="74">
        <v>16</v>
      </c>
      <c r="AD8" s="74">
        <v>14</v>
      </c>
      <c r="AE8" s="74">
        <v>23</v>
      </c>
    </row>
    <row r="9" spans="1:99" ph="1">
      <c r="B9" s="252" ph="1">
        <v>0.66666666666666663</v>
      </c>
      <c r="C9" s="167" t="s" ph="1">
        <v>182</v>
      </c>
      <c r="D9" s="71">
        <v>182</v>
      </c>
      <c r="E9" s="71">
        <v>2520</v>
      </c>
      <c r="F9" s="71">
        <v>3217</v>
      </c>
      <c r="G9" s="71">
        <v>9010</v>
      </c>
      <c r="H9" s="71">
        <v>5233</v>
      </c>
      <c r="I9" s="71">
        <v>27.09</v>
      </c>
      <c r="J9" s="71">
        <v>7.79</v>
      </c>
      <c r="K9" s="71">
        <v>7.23</v>
      </c>
      <c r="L9" s="71">
        <v>38.43</v>
      </c>
      <c r="M9" s="71">
        <v>3392</v>
      </c>
      <c r="N9" s="71">
        <v>3085</v>
      </c>
      <c r="O9" s="71">
        <v>3859</v>
      </c>
      <c r="P9" s="71">
        <v>2759</v>
      </c>
      <c r="Q9" s="71">
        <v>0</v>
      </c>
      <c r="R9" s="71">
        <v>3298</v>
      </c>
      <c r="S9" s="71">
        <v>7184</v>
      </c>
      <c r="T9" s="71">
        <v>7168</v>
      </c>
      <c r="U9" s="71">
        <v>4362</v>
      </c>
      <c r="V9" s="71">
        <v>2042</v>
      </c>
      <c r="W9" s="71">
        <v>4389</v>
      </c>
      <c r="X9" s="71">
        <v>0</v>
      </c>
      <c r="Y9" s="71">
        <v>0</v>
      </c>
      <c r="Z9" s="71">
        <v>1838</v>
      </c>
      <c r="AA9" s="71">
        <v>1570</v>
      </c>
      <c r="AB9" s="71">
        <v>1209</v>
      </c>
      <c r="AC9" s="71">
        <v>6708</v>
      </c>
      <c r="AD9" s="71">
        <v>691</v>
      </c>
      <c r="AE9" s="71">
        <v>1970</v>
      </c>
    </row>
    <row r="10" spans="1:99" s="72" customFormat="1" ht="22.5" ph="1">
      <c r="B10" s="252" ph="1"/>
      <c r="C10" s="167" t="s" ph="1">
        <v>180</v>
      </c>
      <c r="D10" s="73" ph="1">
        <f>D9*33.183*LOOKUP(D11,密度!$A$2:$A$50,密度!$Q$2:$Q$50)</f>
        <v>5713.3646551800002</v>
      </c>
      <c r="E10" s="73" ph="1">
        <f>E9*51.53*LOOKUP(E11,密度!$A$2:$A$50,密度!$B$2:$B$50)</f>
        <v>101469.16584</v>
      </c>
      <c r="F10" s="73" ph="1">
        <f>F9*33.183*LOOKUP(F11,密度!$A$2:$A$50,密度!$C$2:$C$50)</f>
        <v>118609.6038921</v>
      </c>
      <c r="G10" s="73" ph="1">
        <f xml:space="preserve"> (G9+2)*51.53*LOOKUP(G11,密度!$A$2:$A$50,密度!$B$2:$B$50)</f>
        <v>362873.06450400001</v>
      </c>
      <c r="H10" s="73" ph="1">
        <f>(H9)*51.53*LOOKUP(H11,密度!$A$2:$A$50,密度!$B$2:$B$50)</f>
        <v>210709.581286</v>
      </c>
      <c r="I10" s="73" ph="1">
        <f>I9*290.8*1.0267</f>
        <v>8088.1085123999992</v>
      </c>
      <c r="J10" s="73" ph="1">
        <f>J9*290.8*0.7892</f>
        <v>1787.8000144</v>
      </c>
      <c r="K10" s="73" ph="1">
        <f>K9*290.8*1.1126</f>
        <v>2339.2236984000006</v>
      </c>
      <c r="L10" s="73" ph="1">
        <f>L9*290.8*0.777</f>
        <v>8683.3199879999993</v>
      </c>
      <c r="M10" s="73" ph="1">
        <f>M9*33.183*LOOKUP(M11,密度!$A$2:$A$50,密度!$D$2:$D$50)</f>
        <v>115663.30191360001</v>
      </c>
      <c r="N10" s="73" ph="1">
        <f>N9*33.183*LOOKUP(N11,密度!$A$2:$A$50,密度!$E$2:$E$50)</f>
        <v>80421.52240799999</v>
      </c>
      <c r="O10" s="73" ph="1">
        <f>O9*20.428*LOOKUP(O11,密度!$A$2:$A$50,密度!$C$2:$C$50)</f>
        <v>87179.923946800016</v>
      </c>
      <c r="P10" s="73" ph="1">
        <f>P9*51.53*LOOKUP(P11,密度!$A$2:$A$50,密度!$B$2:$B$50)</f>
        <v>110467.07678999999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21773.6347752</v>
      </c>
      <c r="S10" s="73" ph="1">
        <f>S9*1.5*1.5*3.1416*LOOKUP(S11,密度!$A$2:$A$50,密度!$L$2:$L$50)</f>
        <v>48038.657990399995</v>
      </c>
      <c r="T10" s="73" ph="1">
        <f>T9*1.5*1.5*3.1416*LOOKUP(T11,密度!$A$2:$A$50,密度!$L$2:$L$50)</f>
        <v>47830.332211199995</v>
      </c>
      <c r="U10" s="73" ph="1">
        <f>U9*1.5*1.5*3.1416*LOOKUP(U11,密度!$A$2:$A$50,密度!$L$2:$L$50)</f>
        <v>29044.905674399997</v>
      </c>
      <c r="V10" s="73" ph="1">
        <f>V9*1.5*1.5*3.1416*LOOKUP(V11,密度!$A$2:$A$50,密度!$L$2:$L$50)</f>
        <v>13524.734084400001</v>
      </c>
      <c r="W10" s="73" ph="1">
        <f>W9*1.5*1.5*3.1416*LOOKUP(W11,密度!$A$2:$A$50,密度!$L$2:$L$50)</f>
        <v>29131.616190599998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57452.913467999999</v>
      </c>
      <c r="AA10" s="73" ph="1">
        <f>AA9*33.183*LOOKUP(AA11,密度!$A$2:$A$50,密度!$D$2:$D$50)</f>
        <v>53488.308176999992</v>
      </c>
      <c r="AB10" s="73" ph="1">
        <f>AB9*20.428*LOOKUP(AB11,密度!$A$2:$A$50,密度!$D$2:$D$50)</f>
        <v>25576.681291200002</v>
      </c>
      <c r="AC10" s="73" ph="1">
        <f>AC9*51.53*LOOKUP(AC11,密度!$A$2:$A$50,密度!$Q$2:$Q$50)</f>
        <v>327757.88416800002</v>
      </c>
      <c r="AD10" s="73" ph="1">
        <f>AD9*20.428*LOOKUP(AD11,密度!$A$2:$A$50,密度!$V$2:$V$50)</f>
        <v>13517.240284800002</v>
      </c>
      <c r="AE10" s="73" ph="1">
        <f>AE9*20.428</f>
        <v>40243.160000000003</v>
      </c>
    </row>
    <row r="11" spans="1:99" ph="1">
      <c r="A11" s="64" t="s" ph="1">
        <v>164</v>
      </c>
      <c r="B11" s="252" ph="1"/>
      <c r="C11" s="167" t="s" ph="1">
        <v>181</v>
      </c>
      <c r="D11" s="74">
        <v>26</v>
      </c>
      <c r="E11" s="74">
        <v>23</v>
      </c>
      <c r="F11" s="74">
        <v>22</v>
      </c>
      <c r="G11" s="74">
        <v>23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23</v>
      </c>
      <c r="O11" s="74">
        <v>29</v>
      </c>
      <c r="P11" s="74">
        <v>28</v>
      </c>
      <c r="Q11" s="74">
        <v>35</v>
      </c>
      <c r="R11" s="74">
        <v>28</v>
      </c>
      <c r="S11" s="74">
        <v>16</v>
      </c>
      <c r="T11" s="74">
        <v>18</v>
      </c>
      <c r="U11" s="74">
        <v>20</v>
      </c>
      <c r="V11" s="74">
        <v>25</v>
      </c>
      <c r="W11" s="74">
        <v>23</v>
      </c>
      <c r="X11" s="74">
        <v>19</v>
      </c>
      <c r="Y11" s="74">
        <v>27</v>
      </c>
      <c r="Z11" s="74">
        <v>20</v>
      </c>
      <c r="AA11" s="74">
        <v>25</v>
      </c>
      <c r="AB11" s="74">
        <v>15</v>
      </c>
      <c r="AC11" s="74">
        <v>23</v>
      </c>
      <c r="AD11" s="74">
        <v>29</v>
      </c>
      <c r="AE11" s="74">
        <v>27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7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7" t="s" ph="1">
        <v>179</v>
      </c>
      <c r="D15" s="78">
        <v>3229</v>
      </c>
      <c r="E15" s="78">
        <v>76</v>
      </c>
      <c r="F15" s="78">
        <v>1436</v>
      </c>
      <c r="G15" s="78">
        <v>4482</v>
      </c>
      <c r="H15" s="78">
        <v>4503</v>
      </c>
      <c r="I15" s="78">
        <v>1691</v>
      </c>
      <c r="J15" s="78">
        <v>1084</v>
      </c>
      <c r="K15" s="78">
        <v>1287</v>
      </c>
      <c r="L15" s="78">
        <v>5634</v>
      </c>
      <c r="M15" s="78">
        <v>4553</v>
      </c>
      <c r="N15" s="78">
        <v>12</v>
      </c>
      <c r="O15" s="78">
        <v>0</v>
      </c>
      <c r="P15" s="78">
        <v>4194</v>
      </c>
      <c r="Q15" s="78">
        <v>4160</v>
      </c>
      <c r="R15" s="78">
        <v>3498</v>
      </c>
      <c r="S15" s="78">
        <v>6830</v>
      </c>
      <c r="T15" s="78">
        <v>6651</v>
      </c>
      <c r="U15" s="78">
        <v>2762</v>
      </c>
      <c r="V15" s="78">
        <v>1100</v>
      </c>
      <c r="W15" s="71">
        <v>-596</v>
      </c>
      <c r="X15" s="78">
        <v>293</v>
      </c>
      <c r="Y15" s="106">
        <v>-9900</v>
      </c>
      <c r="Z15" s="78">
        <v>0</v>
      </c>
      <c r="AA15" s="78">
        <v>2498</v>
      </c>
      <c r="AB15" s="78" ph="1">
        <v>6879</v>
      </c>
      <c r="AC15" s="78" ph="1">
        <v>6524</v>
      </c>
      <c r="AD15" s="78">
        <v>81.02</v>
      </c>
      <c r="AE15" s="78">
        <v>4.74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7" t="s" ph="1">
        <v>180</v>
      </c>
      <c r="D16" s="73" ph="1">
        <f>D15*7.0686*LOOKUP(D17,密度!$A$2:$A$50,密度!$L$2:$L$50)</f>
        <v>21432.214326599998</v>
      </c>
      <c r="E16" s="73" ph="1">
        <f>E15*7.0686*LOOKUP(E17,密度!$A$2:$A$50,密度!$L$2:$L$50)</f>
        <v>504.4435704</v>
      </c>
      <c r="F16" s="73" ph="1">
        <f>F15*9.0746*LOOKUP(F17,密度!$A$2:$A$50,密度!$L$2:$L$50)</f>
        <v>12301.3825664</v>
      </c>
      <c r="G16" s="73" ph="1">
        <f>G15*9.0746*LOOKUP(G17,密度!$A$2:$A$50,密度!$B$2:$B$50)</f>
        <v>31956.271052039996</v>
      </c>
      <c r="H16" s="73" ph="1">
        <f>H15*9.0746*LOOKUP(H17,密度!$A$2:$A$50,密度!$L$2:$L$50)</f>
        <v>38615.462991</v>
      </c>
      <c r="I16" s="73" ph="1">
        <f>I15*9.0746*LOOKUP(I17,密度!$A$2:$A$50,密度!$U$2:$U$50)</f>
        <v>15774.812760800001</v>
      </c>
      <c r="J16" s="73" ph="1">
        <f>J15*9.0746*LOOKUP(J17,密度!$A$2:$A$50,密度!$L$2:$L$50)</f>
        <v>9295.8387480000001</v>
      </c>
      <c r="K16" s="73" ph="1">
        <f>K15*9.0746*LOOKUP(K17,密度!$A$2:$A$50,密度!$C$2:$C$50)</f>
        <v>13016.256867900001</v>
      </c>
      <c r="L16" s="73" ph="1">
        <f>L15*9.0746*LOOKUP(L17,密度!$A$2:$A$50,密度!$E$2:$E$50)</f>
        <v>40405.112044920003</v>
      </c>
      <c r="M16" s="73" ph="1">
        <f>M15*9.0746*LOOKUP(M17,密度!$A$2:$A$50,密度!$M$2:$M$50)</f>
        <v>36371.050340139998</v>
      </c>
      <c r="N16" s="73" ph="1">
        <f>N15*9.0746*LOOKUP(N17,密度!$A$2:$A$50,密度!$M$2:$M$50)</f>
        <v>95.860444560000005</v>
      </c>
      <c r="O16" s="73" ph="1">
        <f>O15*9.0746*LOOKUP(O17,密度!$A$2:$A$50,密度!$G$2:$G$50)</f>
        <v>0</v>
      </c>
      <c r="P16" s="73" ph="1">
        <f ca="1">P15*9.0746*LOOKUP(P17,密度!$A$2:$A$51,密度!$Q$2:$Q$50)</f>
        <v>36059.639832828005</v>
      </c>
      <c r="Q16" s="73" ph="1">
        <f>Q15*9.0746*LOOKUP(Q17,密度!$A$2:$A$50,密度!$Q$2:$Q$50)</f>
        <v>35794.868595200001</v>
      </c>
      <c r="R16" s="73" ph="1">
        <f>MAX(R15*9.0746*LOOKUP(R17,密度!$A$2:$A$50,密度!$B$2:$B$50),0)</f>
        <v>24775.3730994</v>
      </c>
      <c r="S16" s="73" ph="1">
        <f>S15*9.0746*LOOKUP(S17,密度!$A$2:$A$50,密度!$Q$2:$Q$50)</f>
        <v>58768.978967600007</v>
      </c>
      <c r="T16" s="73" ph="1">
        <f>T15*9.0746*LOOKUP(T17,密度!$A$2:$A$50,密度!$O$2:$O$50)</f>
        <v>56130.303078000004</v>
      </c>
      <c r="U16" s="73" ph="1">
        <f>U15*9.0746*LOOKUP(U17,密度!$A$2:$A$50,密度!$H$2:$H$50)</f>
        <v>22976.21023484</v>
      </c>
      <c r="V16" s="73" ph="1">
        <f>MAX(5600*LOOKUP(V17,密度!$A$2:$A$50,密度!$Q$2:$Q$50)+V15*9.0476*LOOKUP(V17,密度!$A$2:$A$50,密度!$Q$2:$Q$50),0)</f>
        <v>14806.0022436</v>
      </c>
      <c r="W16" s="73" ph="1">
        <f>MAX(5600*LOOKUP(W17,密度!$A$2:$A$50,密度!$Q$2:$Q$50)+W15*9.0476*LOOKUP(W17,密度!$A$2:$A$50,密度!$Q$2:$Q$50),0)</f>
        <v>197.66621710400068</v>
      </c>
      <c r="X16" s="73" ph="1">
        <f>MAX(5600*LOOKUP(X17,密度!$A$2:$A$50,密度!$I$2:$I$50)+X15*9.0476*LOOKUP(X17,密度!$A$2:$A$50,密度!$I$2:$I$50),0)</f>
        <v>8625.5397847200002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17826.39106912</v>
      </c>
      <c r="AB16" s="73" ph="1">
        <f>AB15*9.0746*LOOKUP(AB17,密度!$A$2:$A$50,密度!$L$2:$L$50)</f>
        <v>58803.571342799994</v>
      </c>
      <c r="AC16" s="73" ph="1">
        <f>AC15*9.0746*LOOKUP(AC17,密度!$A$2:$A$50,密度!$L$2:$L$50)</f>
        <v>55946.542427999993</v>
      </c>
      <c r="AD16" s="73" ph="1">
        <f>AD15*268.68*LOOKUP(AD17,密度!$A$2:$A$50,密度!B2:B50)+IF(AD15&lt;=0,0,1566*LOOKUP(AD17,密度!$A$2:$A$50,密度!B2:B50))</f>
        <v>18191.540026559996</v>
      </c>
      <c r="AE16" s="73" ph="1">
        <f>AE15*268.68*LOOKUP(AE17,密度!$A$2:$A$50,密度!B2:B50)+IF(AE15&lt;=0,0,1566*LOOKUP(AE17,密度!$A$2:$A$50,密度!B2:B50))</f>
        <v>2213.7078787199998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23</v>
      </c>
      <c r="E17" s="74">
        <v>23</v>
      </c>
      <c r="F17" s="74">
        <v>18</v>
      </c>
      <c r="G17" s="74">
        <v>18</v>
      </c>
      <c r="H17" s="74">
        <v>17</v>
      </c>
      <c r="I17" s="74">
        <v>16</v>
      </c>
      <c r="J17" s="74">
        <v>17</v>
      </c>
      <c r="K17" s="74">
        <v>17</v>
      </c>
      <c r="L17" s="74">
        <v>19</v>
      </c>
      <c r="M17" s="74">
        <v>19</v>
      </c>
      <c r="N17" s="74">
        <v>14</v>
      </c>
      <c r="O17" s="74">
        <v>17</v>
      </c>
      <c r="P17" s="74">
        <v>24</v>
      </c>
      <c r="Q17" s="74">
        <v>23</v>
      </c>
      <c r="R17" s="74">
        <v>24</v>
      </c>
      <c r="S17" s="74">
        <v>23</v>
      </c>
      <c r="T17" s="74">
        <v>24</v>
      </c>
      <c r="U17" s="74">
        <v>23</v>
      </c>
      <c r="V17" s="74">
        <v>18</v>
      </c>
      <c r="W17" s="74">
        <v>18</v>
      </c>
      <c r="X17" s="74">
        <v>22</v>
      </c>
      <c r="Y17" s="108">
        <v>22</v>
      </c>
      <c r="Z17" s="74">
        <v>18</v>
      </c>
      <c r="AA17" s="74">
        <v>17</v>
      </c>
      <c r="AB17" s="74">
        <v>20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3215</v>
      </c>
      <c r="E18" s="71">
        <v>75</v>
      </c>
      <c r="F18" s="71">
        <v>1806</v>
      </c>
      <c r="G18" s="71">
        <v>4504</v>
      </c>
      <c r="H18" s="71">
        <v>4522</v>
      </c>
      <c r="I18" s="71">
        <v>1301</v>
      </c>
      <c r="J18" s="71">
        <v>1158</v>
      </c>
      <c r="K18" s="71">
        <v>1896</v>
      </c>
      <c r="L18" s="71">
        <v>5649</v>
      </c>
      <c r="M18" s="71">
        <v>1598</v>
      </c>
      <c r="N18" s="71">
        <v>1680</v>
      </c>
      <c r="O18" s="71">
        <v>0</v>
      </c>
      <c r="P18" s="71">
        <v>6791</v>
      </c>
      <c r="Q18" s="71">
        <v>4162</v>
      </c>
      <c r="R18" s="71">
        <v>3504</v>
      </c>
      <c r="S18" s="71">
        <v>6842</v>
      </c>
      <c r="T18" s="71">
        <v>5378</v>
      </c>
      <c r="U18" s="71">
        <v>2763</v>
      </c>
      <c r="V18" s="71">
        <v>1100</v>
      </c>
      <c r="W18" s="71">
        <v>-596</v>
      </c>
      <c r="X18" s="71">
        <v>293</v>
      </c>
      <c r="Y18" s="109">
        <v>-9900</v>
      </c>
      <c r="Z18" s="71">
        <v>0</v>
      </c>
      <c r="AA18" s="71">
        <v>4239</v>
      </c>
      <c r="AB18" s="71">
        <v>6893</v>
      </c>
      <c r="AC18" s="71">
        <v>6537</v>
      </c>
      <c r="AD18" s="71">
        <v>83.82</v>
      </c>
      <c r="AE18" s="71">
        <v>42.19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7" t="s" ph="1">
        <v>180</v>
      </c>
      <c r="D19" s="73" ph="1">
        <f>D18*7.0686*LOOKUP(D20,密度!$A$2:$A$50,密度!$L$2:$L$50)</f>
        <v>21316.564961999997</v>
      </c>
      <c r="E19" s="73" ph="1">
        <f>E18*7.0686*LOOKUP(E20,密度!$A$2:$A$50,密度!$L$2:$L$50)</f>
        <v>497.27600999999993</v>
      </c>
      <c r="F19" s="73" ph="1">
        <f>F18*9.0746*LOOKUP(F20,密度!$A$2:$A$50,密度!$L$2:$L$50)</f>
        <v>15323.460306000003</v>
      </c>
      <c r="G19" s="73" ph="1">
        <f>G18*9.0746*LOOKUP(G20,密度!$A$2:$A$50,密度!$B$2:$B$50)</f>
        <v>31937.379549760004</v>
      </c>
      <c r="H19" s="73" ph="1">
        <f>H18*9.0746*LOOKUP(H20,密度!$A$2:$A$50,密度!$L$2:$L$50)</f>
        <v>38655.291410400001</v>
      </c>
      <c r="I19" s="73" ph="1">
        <f>I18*9.0746*LOOKUP(I20,密度!$A$2:$A$50,密度!$U$2:$U$50)</f>
        <v>12077.593855799998</v>
      </c>
      <c r="J19" s="73" ph="1">
        <f>J18*9.0746*LOOKUP(J20,密度!$A$2:$A$50,密度!$L$2:$L$50)</f>
        <v>9825.3416580000012</v>
      </c>
      <c r="K19" s="73" ph="1">
        <f>K18*9.0746*LOOKUP(K20,密度!$A$2:$A$50,密度!$C$2:$C$50)</f>
        <v>19053.306027840001</v>
      </c>
      <c r="L19" s="73" ph="1">
        <f>L18*9.0746*LOOKUP(L20,密度!$A$2:$A$50,密度!$E$2:$E$50)</f>
        <v>40092.335084339997</v>
      </c>
      <c r="M19" s="73" ph="1">
        <f>M18*9.0746*LOOKUP(M20,密度!$A$2:$A$50,密度!$M$2:$M$50)</f>
        <v>12675.50836028</v>
      </c>
      <c r="N19" s="73" ph="1">
        <f>N18*9.0746*LOOKUP(N20,密度!$A$2:$A$50,密度!$M$2:$M$50)</f>
        <v>13385.397983999999</v>
      </c>
      <c r="O19" s="73" ph="1">
        <f>O18*9.0746*LOOKUP(O20,密度!$A$2:$A$50,密度!$G$2:$G$50)</f>
        <v>0</v>
      </c>
      <c r="P19" s="73" ph="1">
        <f ca="1">P18*9.0746*LOOKUP(P20,密度!$A$2:$A$51,密度!$Q$2:$Q$50)</f>
        <v>58343.428685963998</v>
      </c>
      <c r="Q19" s="73" ph="1">
        <f>Q18*9.0746*LOOKUP(Q20,密度!$A$2:$A$50,密度!$Q$2:$Q$50)</f>
        <v>35784.506672444004</v>
      </c>
      <c r="R19" s="73" ph="1">
        <f>MAX(R18*9.0746*LOOKUP(R20,密度!$A$2:$A$50,密度!$B$2:$B$50),0)</f>
        <v>24789.25179264</v>
      </c>
      <c r="S19" s="73" ph="1">
        <f>S18*9.0746*LOOKUP(S20,密度!$A$2:$A$50,密度!$Q$2:$Q$50)</f>
        <v>58826.908854604008</v>
      </c>
      <c r="T19" s="73" ph="1">
        <f>T18*9.0746*LOOKUP(T20,密度!$A$2:$A$50,密度!$O$2:$O$50)</f>
        <v>45191.762088800002</v>
      </c>
      <c r="U19" s="73" ph="1">
        <f>U18*9.0746*LOOKUP(U20,密度!$A$2:$A$50,密度!$H$2:$H$50)</f>
        <v>22959.45580086</v>
      </c>
      <c r="V19" s="73" ph="1">
        <f>MAX(5600*LOOKUP(V20,密度!$A$2:$A$50,密度!$Q$2:$Q$50)+V18*9.0476*LOOKUP(V20,密度!$A$2:$A$50,密度!$Q$2:$Q$50),0)</f>
        <v>14724.0413064</v>
      </c>
      <c r="W19" s="73" ph="1">
        <f>MAX(5600*LOOKUP(W20,密度!$A$2:$A$50,密度!$Q$2:$Q$50)+W18*9.0476*LOOKUP(W20,密度!$A$2:$A$50,密度!$Q$2:$Q$50),0)</f>
        <v>196.57200489600109</v>
      </c>
      <c r="X19" s="73" ph="1">
        <f>MAX(5600*LOOKUP(X20,密度!$A$2:$A$50,密度!$I$2:$I$50)+X18*9.0476*LOOKUP(X20,密度!$A$2:$A$50,密度!$I$2:$I$50),0)</f>
        <v>8589.2356187999994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30092.913559620003</v>
      </c>
      <c r="AB19" s="73" ph="1">
        <f>AB18*9.0746*LOOKUP(AB20,密度!$A$2:$A$50,密度!$L$2:$L$50)</f>
        <v>58798.144731999993</v>
      </c>
      <c r="AC19" s="73" ph="1">
        <f>AC18*9.0746*LOOKUP(AC20,密度!$A$2:$A$50,密度!$L$2:$L$50)</f>
        <v>55761.420587999994</v>
      </c>
      <c r="AD19" s="73" ph="1">
        <f>AD18*268.68*LOOKUP(AD20,密度!$A$2:$A$50,密度!B5:B53)+IF(AD18&lt;=0,0,1566*LOOKUP(AD20,密度!$A$2:$A$50,密度!B5:B53))</f>
        <v>18715.410655199998</v>
      </c>
      <c r="AE19" s="73" ph="1">
        <f>AE18*268.68*LOOKUP(AE20,密度!$A$2:$A$50,密度!B5:B53)+IF(AE18&lt;=0,0,1566*LOOKUP(AE20,密度!$A$2:$A$50,密度!B5:B53))</f>
        <v>10024.550348399998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24</v>
      </c>
      <c r="E20" s="81">
        <v>24</v>
      </c>
      <c r="F20" s="81">
        <v>27</v>
      </c>
      <c r="G20" s="81">
        <v>23</v>
      </c>
      <c r="H20" s="81">
        <v>20</v>
      </c>
      <c r="I20" s="81">
        <v>27</v>
      </c>
      <c r="J20" s="81">
        <v>27</v>
      </c>
      <c r="K20" s="81">
        <v>27</v>
      </c>
      <c r="L20" s="81">
        <v>26</v>
      </c>
      <c r="M20" s="81">
        <v>26</v>
      </c>
      <c r="N20" s="81">
        <v>22</v>
      </c>
      <c r="O20" s="81">
        <v>27</v>
      </c>
      <c r="P20" s="81">
        <v>25</v>
      </c>
      <c r="Q20" s="81">
        <v>24</v>
      </c>
      <c r="R20" s="81">
        <v>25</v>
      </c>
      <c r="S20" s="81">
        <v>24</v>
      </c>
      <c r="T20" s="81">
        <v>25</v>
      </c>
      <c r="U20" s="81">
        <v>24</v>
      </c>
      <c r="V20" s="81">
        <v>25</v>
      </c>
      <c r="W20" s="81">
        <v>25</v>
      </c>
      <c r="X20" s="81">
        <v>26</v>
      </c>
      <c r="Y20" s="110">
        <v>26</v>
      </c>
      <c r="Z20" s="81">
        <v>35</v>
      </c>
      <c r="AA20" s="81">
        <v>22</v>
      </c>
      <c r="AB20" s="81">
        <v>22</v>
      </c>
      <c r="AC20" s="81">
        <v>22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658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7" t="s" ph="1">
        <v>179</v>
      </c>
      <c r="D24" s="71">
        <v>3.16</v>
      </c>
      <c r="E24" s="71">
        <v>95.31</v>
      </c>
      <c r="F24" s="71">
        <v>0</v>
      </c>
      <c r="G24" s="71">
        <v>2777</v>
      </c>
      <c r="H24" s="71">
        <v>1728</v>
      </c>
      <c r="I24" s="71">
        <v>5501</v>
      </c>
      <c r="J24" s="71">
        <v>1563</v>
      </c>
      <c r="K24" s="71">
        <v>5624</v>
      </c>
      <c r="L24" s="71">
        <v>5597</v>
      </c>
      <c r="M24" s="71">
        <v>4275</v>
      </c>
      <c r="N24" s="71">
        <v>5349</v>
      </c>
      <c r="O24" s="71">
        <v>3516</v>
      </c>
      <c r="P24" s="71">
        <v>834</v>
      </c>
      <c r="Q24" s="90">
        <v>2900</v>
      </c>
      <c r="R24" s="71">
        <v>6342</v>
      </c>
      <c r="S24" s="71">
        <v>1582</v>
      </c>
      <c r="T24" s="71">
        <v>1748</v>
      </c>
      <c r="U24" s="71">
        <v>2604</v>
      </c>
      <c r="V24" s="71">
        <v>9623</v>
      </c>
      <c r="W24" s="71">
        <v>11347</v>
      </c>
      <c r="X24" s="71">
        <v>6761</v>
      </c>
      <c r="Y24" s="71">
        <v>3490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2286.4043661119999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0</v>
      </c>
      <c r="G25" s="91" ph="1">
        <f>G24*18.322*LOOKUP(G26,密度!$A$2:$A$50,密度!$B$2:$B$50)</f>
        <v>39895.160115399995</v>
      </c>
      <c r="H25" s="91" ph="1">
        <f>H24*18.322*LOOKUP(H26,密度!$A$2:$A$50,密度!$B$2:$B$50)</f>
        <v>24824.932185599999</v>
      </c>
      <c r="I25" s="91" ph="1">
        <f>I24*18.322*LOOKUP(I26,密度!$A$2:$A$50,密度!$Q$2:$Q$50)</f>
        <v>95873.826766059996</v>
      </c>
      <c r="J25" s="91" ph="1">
        <f>J24*18.322*LOOKUP(J26,密度!$A$2:$A$50,密度!$Q$2:$Q$50)</f>
        <v>27216.303868679999</v>
      </c>
      <c r="K25" s="91" ph="1">
        <f>K24*18.322*LOOKUP(K26,密度!$A$2:$A$50,密度!$Q$2:$Q$50)</f>
        <v>98017.524401440009</v>
      </c>
      <c r="L25" s="91" ph="1">
        <f>L24*18.322*LOOKUP(L26,密度!$A$2:$A$50,密度!$Q$2:$Q$50)</f>
        <v>97459.790628920004</v>
      </c>
      <c r="M25" s="91" ph="1">
        <f>M24*18.322*LOOKUP(M26,密度!$A$2:$A$50,密度!$Q$2:$Q$50)</f>
        <v>74506.564156500011</v>
      </c>
      <c r="N25" s="91" ph="1">
        <f>N24*18.322*LOOKUP(N26,密度!$A$2:$A$50,密度!$Q$2:$Q$50)</f>
        <v>93141.400763639991</v>
      </c>
      <c r="O25" s="91" ph="1">
        <f>O24*18.322*LOOKUP(O26,密度!$A$2:$A$50,密度!$C$2:$C$50)</f>
        <v>71673.861115199994</v>
      </c>
      <c r="P25" s="91" ph="1">
        <f>P24*11.702*LOOKUP(P26,密度!$A$2:$A$50,密度!$B$2:$B$50)</f>
        <v>7652.3988588000011</v>
      </c>
      <c r="Q25" s="92" ph="1">
        <f>Q24*18.322*LOOKUP(Q26,密度!$A$2:$A$50,密度!$B$2:$B$50)</f>
        <v>41704.719619999996</v>
      </c>
      <c r="R25" s="91" ph="1">
        <f>R24*35.891*LOOKUP(R26,密度!$A$2:$A$50,密度!$C$2:$C$50)</f>
        <v>253387.38773039996</v>
      </c>
      <c r="S25" s="91" ph="1">
        <f>S24*35.891*LOOKUP(S26,密度!$A$2:$A$50,密度!$B$2:$B$50)</f>
        <v>44520.854564200003</v>
      </c>
      <c r="T25" s="91" ph="1">
        <f>T24*35.891*LOOKUP(T26,密度!$A$2:$A$50,密度!$Q$2:$Q$50)</f>
        <v>59624.434837839995</v>
      </c>
      <c r="U25" s="91" ph="1">
        <f>U24*35.891</f>
        <v>93460.16399999999</v>
      </c>
      <c r="V25" s="91" ph="1">
        <f>V24*47.051*LOOKUP(V26,密度!$A$2:$A$50,密度!$B$2:$B$50)</f>
        <v>355018.34720930003</v>
      </c>
      <c r="W25" s="91" ph="1">
        <f>W24*47.051*LOOKUP(W26,密度!$A$2:$A$50,密度!$B$2:$B$50)</f>
        <v>419048.45337530004</v>
      </c>
      <c r="X25" s="91" ph="1">
        <f>X24*47.051*LOOKUP(X26,密度!$A$2:$A$50,密度!$I$2:$I$50)</f>
        <v>329449.31594403996</v>
      </c>
      <c r="Y25" s="91" ph="1">
        <f>Y24*47.051*LOOKUP(Y26,密度!$A$2:$A$50,密度!$L$2:$L$50)</f>
        <v>154848.13457000002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19</v>
      </c>
      <c r="G26" s="74">
        <v>20</v>
      </c>
      <c r="H26" s="74">
        <v>20</v>
      </c>
      <c r="I26" s="74">
        <v>19</v>
      </c>
      <c r="J26" s="74">
        <v>20</v>
      </c>
      <c r="K26" s="74">
        <v>19</v>
      </c>
      <c r="L26" s="74">
        <v>20</v>
      </c>
      <c r="M26" s="74">
        <v>19</v>
      </c>
      <c r="N26" s="74">
        <v>20</v>
      </c>
      <c r="O26" s="74">
        <v>20</v>
      </c>
      <c r="P26" s="74">
        <v>20</v>
      </c>
      <c r="Q26" s="93">
        <v>19</v>
      </c>
      <c r="R26" s="74">
        <v>19</v>
      </c>
      <c r="S26" s="74">
        <v>20</v>
      </c>
      <c r="T26" s="74">
        <v>20</v>
      </c>
      <c r="U26" s="74">
        <v>20</v>
      </c>
      <c r="V26" s="74">
        <v>20</v>
      </c>
      <c r="W26" s="74">
        <v>19</v>
      </c>
      <c r="X26" s="74">
        <v>50</v>
      </c>
      <c r="Y26" s="74">
        <v>19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7" t="s" ph="1">
        <v>182</v>
      </c>
      <c r="D27" s="71">
        <v>3.11</v>
      </c>
      <c r="E27" s="71">
        <v>95.33</v>
      </c>
      <c r="F27" s="71">
        <v>0</v>
      </c>
      <c r="G27" s="71">
        <v>2317</v>
      </c>
      <c r="H27" s="71">
        <v>1656</v>
      </c>
      <c r="I27" s="71">
        <v>5504</v>
      </c>
      <c r="J27" s="71">
        <v>1561</v>
      </c>
      <c r="K27" s="71">
        <v>5627</v>
      </c>
      <c r="L27" s="71">
        <v>5595</v>
      </c>
      <c r="M27" s="71">
        <v>4276</v>
      </c>
      <c r="N27" s="71">
        <v>5348</v>
      </c>
      <c r="O27" s="71">
        <v>3512</v>
      </c>
      <c r="P27" s="71">
        <v>831</v>
      </c>
      <c r="Q27" s="90">
        <v>2537</v>
      </c>
      <c r="R27" s="71">
        <v>6339</v>
      </c>
      <c r="S27" s="71">
        <v>1823</v>
      </c>
      <c r="T27" s="71">
        <v>1748</v>
      </c>
      <c r="U27" s="71">
        <v>2155</v>
      </c>
      <c r="V27" s="71">
        <v>9629</v>
      </c>
      <c r="W27" s="71">
        <v>11353</v>
      </c>
      <c r="X27" s="71">
        <v>7358</v>
      </c>
      <c r="Y27" s="71">
        <v>4132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7" t="s" ph="1">
        <v>180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30139.086293160002</v>
      </c>
      <c r="F28" s="91" ph="1">
        <f>F27*11.702*LOOKUP(F29,密度!$A$2:$A$50,密度!$Q$2:$Q$50)</f>
        <v>0</v>
      </c>
      <c r="G28" s="91" ph="1">
        <f>G27*18.322*LOOKUP(G29,密度!$A$2:$A$50,密度!$B$2:$B$50)</f>
        <v>33210.257490199998</v>
      </c>
      <c r="H28" s="91" ph="1">
        <f>H27*18.322*LOOKUP(H29,密度!$A$2:$A$50,密度!$B$2:$B$50)</f>
        <v>23763.2529024</v>
      </c>
      <c r="I28" s="91" ph="1">
        <f>I27*18.322*LOOKUP(I29,密度!$A$2:$A$50,密度!$Q$2:$Q$50)</f>
        <v>95770.811870720005</v>
      </c>
      <c r="J28" s="91" ph="1">
        <f>J27*18.322*LOOKUP(J29,密度!$A$2:$A$50,密度!$Q$2:$Q$50)</f>
        <v>27144.583315780001</v>
      </c>
      <c r="K28" s="91" ph="1">
        <f>K27*18.322*LOOKUP(K29,密度!$A$2:$A$50,密度!$Q$2:$Q$50)</f>
        <v>97849.180216459994</v>
      </c>
      <c r="L28" s="91" ph="1">
        <f>L27*18.322*LOOKUP(L29,密度!$A$2:$A$50,密度!$Q$2:$Q$50)</f>
        <v>97292.724953099998</v>
      </c>
      <c r="M28" s="91" ph="1">
        <f>M27*18.322*LOOKUP(M29,密度!$A$2:$A$50,密度!$Q$2:$Q$50)</f>
        <v>74356.33456648</v>
      </c>
      <c r="N28" s="91" ph="1">
        <f>N27*18.322*LOOKUP(N29,密度!$A$2:$A$50,密度!$Q$2:$Q$50)</f>
        <v>92997.585889039998</v>
      </c>
      <c r="O28" s="91" ph="1">
        <f>O27*18.322*LOOKUP(O29,密度!$A$2:$A$50,密度!$C$2:$C$50)</f>
        <v>71547.278081600001</v>
      </c>
      <c r="P28" s="91" ph="1">
        <f>P27*11.702*LOOKUP(P29,密度!$A$2:$A$50,密度!$B$2:$B$50)</f>
        <v>7616.1203183999996</v>
      </c>
      <c r="Q28" s="92" ph="1">
        <f>Q27*18.322*LOOKUP(Q29,密度!$A$2:$A$50,密度!$B$2:$B$50)</f>
        <v>36447.252867399999</v>
      </c>
      <c r="R28" s="91" ph="1">
        <f>R27*35.891*LOOKUP(R29,密度!$A$2:$A$50,密度!$C$2:$C$50)</f>
        <v>252971.75918310002</v>
      </c>
      <c r="S28" s="91" ph="1">
        <f>S27*35.891*LOOKUP(S29,密度!$A$2:$A$50,密度!$B$2:$B$50)</f>
        <v>51244.222277599998</v>
      </c>
      <c r="T28" s="91" ph="1">
        <f>T27*35.891*LOOKUP(T29,密度!$A$2:$A$50,密度!$Q$2:$Q$50)</f>
        <v>59624.434837839995</v>
      </c>
      <c r="U28" s="91" ph="1">
        <f>U27*35.891</f>
        <v>77345.104999999996</v>
      </c>
      <c r="V28" s="91" ph="1">
        <f>V27*47.051*LOOKUP(V29,密度!$A$2:$A$50,密度!$B$2:$B$50)</f>
        <v>354831.95467280003</v>
      </c>
      <c r="W28" s="91" ph="1">
        <f>W27*47.051*LOOKUP(W29,密度!$A$2:$A$50,密度!$B$2:$B$50)</f>
        <v>418361.94634960004</v>
      </c>
      <c r="X28" s="91" ph="1">
        <f>X27*47.051*LOOKUP(X29,密度!$A$2:$A$50,密度!$I$2:$I$50)</f>
        <v>356171.8542304</v>
      </c>
      <c r="Y28" s="91" ph="1">
        <f>Y27*47.051*LOOKUP(Y29,密度!$A$2:$A$50,密度!$L$2:$L$50)</f>
        <v>182944.262812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7" t="s" ph="1">
        <v>181</v>
      </c>
      <c r="D29" s="74">
        <v>25</v>
      </c>
      <c r="E29" s="74">
        <v>25</v>
      </c>
      <c r="F29" s="74">
        <v>21</v>
      </c>
      <c r="G29" s="74">
        <v>22</v>
      </c>
      <c r="H29" s="74">
        <v>21</v>
      </c>
      <c r="I29" s="74">
        <v>21</v>
      </c>
      <c r="J29" s="74">
        <v>22</v>
      </c>
      <c r="K29" s="74">
        <v>22</v>
      </c>
      <c r="L29" s="74">
        <v>22</v>
      </c>
      <c r="M29" s="74">
        <v>22</v>
      </c>
      <c r="N29" s="74">
        <v>22</v>
      </c>
      <c r="O29" s="74">
        <v>21</v>
      </c>
      <c r="P29" s="74">
        <v>21</v>
      </c>
      <c r="Q29" s="93">
        <v>20</v>
      </c>
      <c r="R29" s="74">
        <v>21</v>
      </c>
      <c r="S29" s="74">
        <v>21</v>
      </c>
      <c r="T29" s="74">
        <v>20</v>
      </c>
      <c r="U29" s="74">
        <v>20</v>
      </c>
      <c r="V29" s="74">
        <v>21</v>
      </c>
      <c r="W29" s="74">
        <v>21</v>
      </c>
      <c r="X29" s="74">
        <v>43</v>
      </c>
      <c r="Y29" s="74">
        <v>21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7" t="s" ph="1">
        <v>5</v>
      </c>
      <c r="F32" s="166" t="s" ph="1">
        <v>43</v>
      </c>
      <c r="G32" s="97" t="s" ph="1">
        <v>4</v>
      </c>
      <c r="H32" s="167" t="s" ph="1">
        <v>5</v>
      </c>
      <c r="I32" s="166" t="s" ph="1">
        <v>43</v>
      </c>
      <c r="J32" s="97" t="s" ph="1">
        <v>4</v>
      </c>
      <c r="K32" s="167" t="s" ph="1">
        <v>5</v>
      </c>
      <c r="L32" s="166" t="s" ph="1">
        <v>43</v>
      </c>
      <c r="M32" s="97" t="s" ph="1">
        <v>4</v>
      </c>
      <c r="N32" s="167" t="s" ph="1">
        <v>5</v>
      </c>
      <c r="O32" s="16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7" t="s" ph="1">
        <v>5</v>
      </c>
      <c r="U32" s="99" t="s" ph="1">
        <v>43</v>
      </c>
      <c r="V32" s="97" t="s" ph="1">
        <v>4</v>
      </c>
      <c r="W32" s="167" t="s" ph="1">
        <v>5</v>
      </c>
      <c r="X32" s="99" t="s" ph="1">
        <v>43</v>
      </c>
      <c r="Y32" s="100" t="s" ph="1">
        <v>4</v>
      </c>
      <c r="Z32" s="167" t="s" ph="1">
        <v>5</v>
      </c>
      <c r="AA32" s="166" t="s" ph="1">
        <v>43</v>
      </c>
      <c r="AB32" s="97" t="s" ph="1">
        <v>86</v>
      </c>
      <c r="AC32" s="167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79064.989468199987</v>
      </c>
      <c r="E33" s="201" ph="1">
        <f>M10+I10</f>
        <v>123751.410426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27" ph="1">
        <v>0</v>
      </c>
      <c r="H33" s="201" ph="1">
        <f>N19</f>
        <v>13385.397983999999</v>
      </c>
      <c r="I33" s="205" ph="1">
        <v>0</v>
      </c>
      <c r="J33" s="209" ph="1">
        <f>F10+O28</f>
        <v>190156.88197370002</v>
      </c>
      <c r="K33" s="201" ph="1">
        <f>O10+K10+E28+R28</f>
        <v>372629.99312146002</v>
      </c>
      <c r="L33" s="211" ph="1">
        <f>BE27</f>
        <v>7100</v>
      </c>
      <c r="M33" s="209" ph="1">
        <f>G10+H10+W28+S28</f>
        <v>1043188.8144172</v>
      </c>
      <c r="N33" s="201" ph="1">
        <f>L10+P10++G28+H28+V28</f>
        <v>530955.86184340005</v>
      </c>
      <c r="O33" s="205" ph="1">
        <f>BE17</f>
        <v>2270</v>
      </c>
      <c r="P33" s="209" ph="1">
        <f>L19</f>
        <v>40092.335084339997</v>
      </c>
      <c r="Q33" s="201" ph="1">
        <f>J10+N10</f>
        <v>82209.322422399986</v>
      </c>
      <c r="R33" s="205" ph="1">
        <f>BE23</f>
        <v>890</v>
      </c>
      <c r="S33" s="209" ph="1">
        <f>E10+X28</f>
        <v>457641.02007039997</v>
      </c>
      <c r="T33" s="201" ph="1">
        <f>X19</f>
        <v>8589.2356187999994</v>
      </c>
      <c r="U33" s="190" ph="1">
        <f>BE21</f>
        <v>730</v>
      </c>
      <c r="V33" s="203" ph="1">
        <f ca="1">P19+Q19+S19+M28+N28+J28</f>
        <v>347453.34798431193</v>
      </c>
      <c r="W33" s="203" ph="1">
        <f>D28+F28+V19+T28</f>
        <v>76622.162005191989</v>
      </c>
      <c r="X33" s="205" ph="1">
        <f>BE29+BE31</f>
        <v>10200</v>
      </c>
      <c r="Y33" s="207" ph="1">
        <f>+Q10+R10+S10+T10+U10+V10+W10+X10+Y10</f>
        <v>189343.88092619998</v>
      </c>
      <c r="Z33" s="188" ph="1">
        <f>D10+T19+U19+Y28+Z10</f>
        <v>314261.75882484001</v>
      </c>
      <c r="AA33" s="190" ph="1">
        <f>BE19</f>
        <v>1440</v>
      </c>
      <c r="AB33" s="192" ph="1">
        <f>I19</f>
        <v>12077.593855799998</v>
      </c>
      <c r="AC33" s="194" ph="1">
        <f>AD10</f>
        <v>13517.240284800002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65" t="s" ph="1">
        <v>187</v>
      </c>
      <c r="AA36" s="165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346</v>
      </c>
      <c r="AI37" s="165" t="s" ph="1">
        <v>213</v>
      </c>
      <c r="AJ37" s="165" t="s" ph="1">
        <v>214</v>
      </c>
      <c r="AK37" s="165" t="s" ph="1">
        <v>215</v>
      </c>
      <c r="AM37" s="165" t="s" ph="1">
        <v>214</v>
      </c>
      <c r="AN37" s="165" t="s" ph="1">
        <v>215</v>
      </c>
      <c r="AO37" s="165" t="s" ph="1">
        <v>216</v>
      </c>
      <c r="AP37" s="165" t="s" ph="1">
        <v>214</v>
      </c>
      <c r="AQ37" s="165" t="s" ph="1">
        <v>215</v>
      </c>
      <c r="AR37" s="165" t="s" ph="1">
        <v>216</v>
      </c>
      <c r="AS37" s="165" t="s" ph="1">
        <v>214</v>
      </c>
      <c r="AT37" s="165" t="s" ph="1">
        <v>215</v>
      </c>
      <c r="AU37" s="165" t="s" ph="1">
        <v>216</v>
      </c>
      <c r="AV37" s="165" t="s" ph="1">
        <v>214</v>
      </c>
      <c r="AW37" s="165" t="s" ph="1">
        <v>215</v>
      </c>
      <c r="AX37" s="165" t="s" ph="1">
        <v>216</v>
      </c>
      <c r="AY37" s="165" t="s" ph="1">
        <v>215</v>
      </c>
      <c r="AZ37" s="165" t="s" ph="1">
        <v>217</v>
      </c>
      <c r="BD37" s="165" t="s" ph="1">
        <v>309</v>
      </c>
      <c r="BE37" s="165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55" priority="96">
      <formula>ABS(D$7-D$10)&gt;=1000</formula>
    </cfRule>
  </conditionalFormatting>
  <conditionalFormatting sqref="E4 E6:E11">
    <cfRule type="expression" dxfId="754" priority="95">
      <formula>ABS(E$7-E$10)&gt;=1000</formula>
    </cfRule>
  </conditionalFormatting>
  <conditionalFormatting sqref="F4:F11">
    <cfRule type="expression" dxfId="753" priority="94">
      <formula>ABS(F$7-F$10)&gt;=1000</formula>
    </cfRule>
  </conditionalFormatting>
  <conditionalFormatting sqref="G4:G11">
    <cfRule type="expression" dxfId="752" priority="93">
      <formula>ABS(G$7-G$10)&gt;=1000</formula>
    </cfRule>
  </conditionalFormatting>
  <conditionalFormatting sqref="H4:H11">
    <cfRule type="expression" dxfId="751" priority="92">
      <formula>ABS(H$7-H$10)&gt;=1000</formula>
    </cfRule>
  </conditionalFormatting>
  <conditionalFormatting sqref="I4:I11">
    <cfRule type="expression" dxfId="750" priority="91">
      <formula>ABS(I$7-I$10)&gt;=1000</formula>
    </cfRule>
  </conditionalFormatting>
  <conditionalFormatting sqref="J4:J11">
    <cfRule type="expression" dxfId="749" priority="90">
      <formula>ABS(J$7-J$10)&gt;=1000</formula>
    </cfRule>
  </conditionalFormatting>
  <conditionalFormatting sqref="K4:K11">
    <cfRule type="expression" dxfId="748" priority="89">
      <formula>ABS(K$7-K$10)&gt;=1000</formula>
    </cfRule>
  </conditionalFormatting>
  <conditionalFormatting sqref="L4:L11">
    <cfRule type="expression" dxfId="747" priority="88">
      <formula>ABS(L$7-L$10)&gt;=1000</formula>
    </cfRule>
  </conditionalFormatting>
  <conditionalFormatting sqref="M4 M6:M11">
    <cfRule type="expression" dxfId="746" priority="87">
      <formula>ABS(M$7-M$10)&gt;=1000</formula>
    </cfRule>
  </conditionalFormatting>
  <conditionalFormatting sqref="N4 N6:N11">
    <cfRule type="expression" dxfId="745" priority="86">
      <formula>ABS(N$7-N$10)&gt;=1000</formula>
    </cfRule>
  </conditionalFormatting>
  <conditionalFormatting sqref="O4 O6:O11">
    <cfRule type="expression" dxfId="744" priority="85">
      <formula>ABS(O$7-O$10)&gt;=1000</formula>
    </cfRule>
  </conditionalFormatting>
  <conditionalFormatting sqref="P4 P6:P11">
    <cfRule type="expression" dxfId="743" priority="84">
      <formula>ABS(P$7-P$10)&gt;=1000</formula>
    </cfRule>
  </conditionalFormatting>
  <conditionalFormatting sqref="Q4:Q11">
    <cfRule type="expression" dxfId="742" priority="83">
      <formula>ABS(Q$7-Q$10)&gt;=1000</formula>
    </cfRule>
  </conditionalFormatting>
  <conditionalFormatting sqref="R4:R11">
    <cfRule type="expression" dxfId="741" priority="82">
      <formula>ABS(R$7-R$10)&gt;=1000</formula>
    </cfRule>
  </conditionalFormatting>
  <conditionalFormatting sqref="S4:S11">
    <cfRule type="expression" dxfId="740" priority="81">
      <formula>ABS(S$7-S$10)&gt;=1000</formula>
    </cfRule>
  </conditionalFormatting>
  <conditionalFormatting sqref="T4:T9 T11">
    <cfRule type="expression" dxfId="739" priority="80">
      <formula>ABS(T$7-T$10)&gt;=1000</formula>
    </cfRule>
  </conditionalFormatting>
  <conditionalFormatting sqref="U4:U9 U11">
    <cfRule type="expression" dxfId="738" priority="79">
      <formula>ABS(U$7-U$10)&gt;=1000</formula>
    </cfRule>
  </conditionalFormatting>
  <conditionalFormatting sqref="V4:V9 V11">
    <cfRule type="expression" dxfId="737" priority="78">
      <formula>ABS(V$7-V$10)&gt;=1000</formula>
    </cfRule>
  </conditionalFormatting>
  <conditionalFormatting sqref="W4:W9 W11">
    <cfRule type="expression" dxfId="736" priority="77">
      <formula>ABS(W$7-W$10)&gt;=1000</formula>
    </cfRule>
  </conditionalFormatting>
  <conditionalFormatting sqref="X4:X9 X11">
    <cfRule type="expression" dxfId="735" priority="76">
      <formula>ABS(X$7-X$10)&gt;=1000</formula>
    </cfRule>
  </conditionalFormatting>
  <conditionalFormatting sqref="Y4:Y9 Y11">
    <cfRule type="expression" dxfId="734" priority="75">
      <formula>ABS(Y$7-Y$10)&gt;=1000</formula>
    </cfRule>
  </conditionalFormatting>
  <conditionalFormatting sqref="Z4:Z11">
    <cfRule type="expression" dxfId="733" priority="74">
      <formula>ABS(Z$7-Z$10)&gt;=1000</formula>
    </cfRule>
  </conditionalFormatting>
  <conditionalFormatting sqref="AA4:AA11">
    <cfRule type="expression" dxfId="732" priority="73">
      <formula>ABS(AA$7-AA$10)&gt;=1000</formula>
    </cfRule>
  </conditionalFormatting>
  <conditionalFormatting sqref="AB4:AB11">
    <cfRule type="expression" dxfId="731" priority="72">
      <formula>ABS(AB$7-AB$10)&gt;=1000</formula>
    </cfRule>
  </conditionalFormatting>
  <conditionalFormatting sqref="AC4 AC6:AC11">
    <cfRule type="expression" dxfId="730" priority="71">
      <formula>ABS(AC$7-AC$10)&gt;=1000</formula>
    </cfRule>
  </conditionalFormatting>
  <conditionalFormatting sqref="AD4:AD11">
    <cfRule type="expression" dxfId="729" priority="70">
      <formula>ABS(AD$7-AD$10)&gt;=1000</formula>
    </cfRule>
  </conditionalFormatting>
  <conditionalFormatting sqref="AE4:AE11">
    <cfRule type="expression" dxfId="728" priority="69">
      <formula>ABS(AE$7-AE$10)&gt;=1000</formula>
    </cfRule>
  </conditionalFormatting>
  <conditionalFormatting sqref="D13:D20">
    <cfRule type="expression" dxfId="727" priority="68">
      <formula>ABS(D$16-D$19)&gt;=1000</formula>
    </cfRule>
  </conditionalFormatting>
  <conditionalFormatting sqref="E13:E20">
    <cfRule type="expression" dxfId="726" priority="67">
      <formula>ABS(E$16-E$19)&gt;=1000</formula>
    </cfRule>
  </conditionalFormatting>
  <conditionalFormatting sqref="F13 F15:F20">
    <cfRule type="expression" dxfId="725" priority="66">
      <formula>ABS(F$16-F$19)&gt;=1000</formula>
    </cfRule>
  </conditionalFormatting>
  <conditionalFormatting sqref="G13:G20">
    <cfRule type="expression" dxfId="724" priority="65">
      <formula>ABS(G$16-G$19)&gt;=1000</formula>
    </cfRule>
  </conditionalFormatting>
  <conditionalFormatting sqref="H13:H20">
    <cfRule type="expression" dxfId="723" priority="64">
      <formula>ABS(H$16-H$19)&gt;=1000</formula>
    </cfRule>
  </conditionalFormatting>
  <conditionalFormatting sqref="I13:I20">
    <cfRule type="expression" dxfId="722" priority="63">
      <formula>ABS(I$16-I$19)&gt;=1000</formula>
    </cfRule>
  </conditionalFormatting>
  <conditionalFormatting sqref="J13:J20">
    <cfRule type="expression" dxfId="721" priority="62">
      <formula>ABS(J$16-J$19)&gt;=1000</formula>
    </cfRule>
  </conditionalFormatting>
  <conditionalFormatting sqref="L13:L20">
    <cfRule type="expression" dxfId="720" priority="61">
      <formula>ABS(L$16-L$19)&gt;=1000</formula>
    </cfRule>
  </conditionalFormatting>
  <conditionalFormatting sqref="M13 M15 M17:M18 M20">
    <cfRule type="expression" dxfId="719" priority="60">
      <formula>ABS(M$16-M$19)&gt;=1000</formula>
    </cfRule>
  </conditionalFormatting>
  <conditionalFormatting sqref="N13:N20">
    <cfRule type="expression" dxfId="718" priority="59">
      <formula>ABS(N$16-N$19)&gt;=1000</formula>
    </cfRule>
  </conditionalFormatting>
  <conditionalFormatting sqref="O13:O20">
    <cfRule type="expression" dxfId="717" priority="58">
      <formula>ABS(O$16-O$19)&gt;=1000</formula>
    </cfRule>
  </conditionalFormatting>
  <conditionalFormatting sqref="P13:P20">
    <cfRule type="expression" dxfId="716" priority="57">
      <formula>ABS(P$16-P$19)&gt;=1000</formula>
    </cfRule>
  </conditionalFormatting>
  <conditionalFormatting sqref="Q13 Q15:Q20">
    <cfRule type="expression" dxfId="715" priority="56">
      <formula>ABS(Q$16-Q$19)&gt;=1000</formula>
    </cfRule>
  </conditionalFormatting>
  <conditionalFormatting sqref="R13:R20">
    <cfRule type="expression" dxfId="714" priority="55">
      <formula>ABS(R$16-R$19)&gt;=1000</formula>
    </cfRule>
  </conditionalFormatting>
  <conditionalFormatting sqref="S13:S20">
    <cfRule type="expression" dxfId="713" priority="54">
      <formula>ABS(S$16-S$19)&gt;=1000</formula>
    </cfRule>
  </conditionalFormatting>
  <conditionalFormatting sqref="T13:T20">
    <cfRule type="expression" dxfId="712" priority="53">
      <formula>ABS(T$16-T$19)&gt;=1000</formula>
    </cfRule>
  </conditionalFormatting>
  <conditionalFormatting sqref="U13:U20">
    <cfRule type="expression" dxfId="711" priority="52">
      <formula>ABS(U$16-U$19)&gt;=1000</formula>
    </cfRule>
  </conditionalFormatting>
  <conditionalFormatting sqref="V13:V20">
    <cfRule type="expression" dxfId="710" priority="51">
      <formula>ABS(V$16-V$19)&gt;=1000</formula>
    </cfRule>
  </conditionalFormatting>
  <conditionalFormatting sqref="W13 W20 W15:W18">
    <cfRule type="expression" dxfId="709" priority="50">
      <formula>ABS(W$16-W$19)&gt;=1000</formula>
    </cfRule>
  </conditionalFormatting>
  <conditionalFormatting sqref="X13 X15:X20 Y19">
    <cfRule type="expression" dxfId="708" priority="49">
      <formula>ABS(X$16-X$19)&gt;=1000</formula>
    </cfRule>
  </conditionalFormatting>
  <conditionalFormatting sqref="Y13 Y15:Y18 Y20">
    <cfRule type="expression" dxfId="707" priority="48">
      <formula>ABS(Y$16-Y$19)&gt;=1000</formula>
    </cfRule>
  </conditionalFormatting>
  <conditionalFormatting sqref="Z13:Z20">
    <cfRule type="expression" dxfId="706" priority="47">
      <formula>ABS(Z$16-Z$19)&gt;=1000</formula>
    </cfRule>
  </conditionalFormatting>
  <conditionalFormatting sqref="AA13:AA20">
    <cfRule type="expression" dxfId="705" priority="46">
      <formula>ABS(AA$16-AA$19)&gt;=1000</formula>
    </cfRule>
  </conditionalFormatting>
  <conditionalFormatting sqref="AB13 AB15:AB20">
    <cfRule type="expression" dxfId="704" priority="45">
      <formula>ABS(AB$16-AB$19)&gt;=1000</formula>
    </cfRule>
  </conditionalFormatting>
  <conditionalFormatting sqref="AC13 AC15:AC20">
    <cfRule type="expression" dxfId="703" priority="44">
      <formula>ABS(AC$16-AC$19)&gt;=1000</formula>
    </cfRule>
  </conditionalFormatting>
  <conditionalFormatting sqref="AD13:AD20">
    <cfRule type="expression" dxfId="702" priority="43">
      <formula>ABS(AD$16-AD$19)&gt;=1000</formula>
    </cfRule>
  </conditionalFormatting>
  <conditionalFormatting sqref="AE13:AE20">
    <cfRule type="expression" dxfId="701" priority="42">
      <formula>ABS(AE$16-AE$19)&gt;=1000</formula>
    </cfRule>
  </conditionalFormatting>
  <conditionalFormatting sqref="D22:D29">
    <cfRule type="expression" dxfId="700" priority="41">
      <formula>ABS(D$25-D$28)&gt;=1000</formula>
    </cfRule>
  </conditionalFormatting>
  <conditionalFormatting sqref="E22:E29">
    <cfRule type="expression" dxfId="699" priority="40">
      <formula>ABS(E$25-E$28)&gt;=1000</formula>
    </cfRule>
  </conditionalFormatting>
  <conditionalFormatting sqref="F22:F29">
    <cfRule type="expression" dxfId="698" priority="39">
      <formula>ABS(F$25-F$28)&gt;=1000</formula>
    </cfRule>
  </conditionalFormatting>
  <conditionalFormatting sqref="G22:G29">
    <cfRule type="expression" dxfId="697" priority="38">
      <formula>ABS(G$25-G$28)&gt;=1000</formula>
    </cfRule>
  </conditionalFormatting>
  <conditionalFormatting sqref="H22:H29">
    <cfRule type="expression" dxfId="696" priority="37">
      <formula>ABS(H$25-H$28)&gt;=1000</formula>
    </cfRule>
  </conditionalFormatting>
  <conditionalFormatting sqref="I22 I24:I29">
    <cfRule type="expression" dxfId="695" priority="36">
      <formula>ABS(I$25-I$28)&gt;=1000</formula>
    </cfRule>
  </conditionalFormatting>
  <conditionalFormatting sqref="J22:J29 K22">
    <cfRule type="expression" dxfId="694" priority="35">
      <formula>ABS(J$25-J$28)&gt;=1000</formula>
    </cfRule>
  </conditionalFormatting>
  <conditionalFormatting sqref="K23:K29 L25 L28">
    <cfRule type="expression" dxfId="693" priority="34">
      <formula>ABS(K$25-K$28)&gt;=1000</formula>
    </cfRule>
  </conditionalFormatting>
  <conditionalFormatting sqref="L22:L24 L26:L27 L29">
    <cfRule type="expression" dxfId="692" priority="33">
      <formula>ABS(L$25-L$28)&gt;=1000</formula>
    </cfRule>
  </conditionalFormatting>
  <conditionalFormatting sqref="M22:M29">
    <cfRule type="expression" dxfId="691" priority="32">
      <formula>ABS(M$25-M$28)&gt;=1000</formula>
    </cfRule>
  </conditionalFormatting>
  <conditionalFormatting sqref="N22:N29">
    <cfRule type="expression" dxfId="690" priority="31">
      <formula>ABS(N$25-N$28)&gt;=1000</formula>
    </cfRule>
  </conditionalFormatting>
  <conditionalFormatting sqref="O22:O29">
    <cfRule type="expression" dxfId="689" priority="30">
      <formula>ABS(O$25-O$28)&gt;=1000</formula>
    </cfRule>
  </conditionalFormatting>
  <conditionalFormatting sqref="P22:P29">
    <cfRule type="expression" dxfId="688" priority="29">
      <formula>ABS(P$25-P$28)&gt;=1000</formula>
    </cfRule>
  </conditionalFormatting>
  <conditionalFormatting sqref="Q22:Q29">
    <cfRule type="expression" dxfId="687" priority="28">
      <formula>ABS(Q$25-Q$28)&gt;=1000</formula>
    </cfRule>
  </conditionalFormatting>
  <conditionalFormatting sqref="R22:R29">
    <cfRule type="expression" dxfId="686" priority="27">
      <formula>ABS(R$25-R$28)&gt;=1000</formula>
    </cfRule>
  </conditionalFormatting>
  <conditionalFormatting sqref="S22:S29">
    <cfRule type="expression" dxfId="685" priority="26">
      <formula>ABS(S$25-S$28)&gt;=1000</formula>
    </cfRule>
  </conditionalFormatting>
  <conditionalFormatting sqref="T22:T29">
    <cfRule type="expression" dxfId="684" priority="25">
      <formula>ABS(T$25-T$28)&gt;=1000</formula>
    </cfRule>
  </conditionalFormatting>
  <conditionalFormatting sqref="U22:U29">
    <cfRule type="expression" dxfId="683" priority="24">
      <formula>ABS(U$25-U$28)&gt;=1000</formula>
    </cfRule>
  </conditionalFormatting>
  <conditionalFormatting sqref="V22:V29">
    <cfRule type="expression" dxfId="682" priority="23">
      <formula>ABS(V$25-V$28)&gt;=1000</formula>
    </cfRule>
  </conditionalFormatting>
  <conditionalFormatting sqref="W22:W29">
    <cfRule type="expression" dxfId="681" priority="22">
      <formula>ABS(W$25-W$28)&gt;=1000</formula>
    </cfRule>
  </conditionalFormatting>
  <conditionalFormatting sqref="X22:X29">
    <cfRule type="expression" dxfId="680" priority="21">
      <formula>ABS(X$25-X$28)&gt;=1000</formula>
    </cfRule>
  </conditionalFormatting>
  <conditionalFormatting sqref="Y22:Y29">
    <cfRule type="expression" dxfId="679" priority="20">
      <formula>ABS(Y$25-Y$28)&gt;=1000</formula>
    </cfRule>
  </conditionalFormatting>
  <conditionalFormatting sqref="I23">
    <cfRule type="expression" dxfId="678" priority="19">
      <formula>ABS(I$25-I$28)&gt;=1000</formula>
    </cfRule>
  </conditionalFormatting>
  <conditionalFormatting sqref="F14">
    <cfRule type="expression" dxfId="677" priority="18">
      <formula>ABS(F$16-F$19)&gt;=1000</formula>
    </cfRule>
  </conditionalFormatting>
  <conditionalFormatting sqref="Q14">
    <cfRule type="expression" dxfId="676" priority="17">
      <formula>ABS(Q$16-Q$19)&gt;=1000</formula>
    </cfRule>
  </conditionalFormatting>
  <conditionalFormatting sqref="W14">
    <cfRule type="expression" dxfId="675" priority="16">
      <formula>ABS(W$16-W$19)&gt;=1000</formula>
    </cfRule>
  </conditionalFormatting>
  <conditionalFormatting sqref="Y14">
    <cfRule type="expression" dxfId="674" priority="15">
      <formula>ABS(Y$16-Y$19)&gt;=1000</formula>
    </cfRule>
  </conditionalFormatting>
  <conditionalFormatting sqref="X14">
    <cfRule type="expression" dxfId="673" priority="14">
      <formula>ABS(X$16-X$19)&gt;=1000</formula>
    </cfRule>
  </conditionalFormatting>
  <conditionalFormatting sqref="T10:Y10">
    <cfRule type="expression" dxfId="672" priority="13">
      <formula>ABS(T$7-T$10)&gt;=1000</formula>
    </cfRule>
  </conditionalFormatting>
  <conditionalFormatting sqref="W19">
    <cfRule type="expression" dxfId="671" priority="12">
      <formula>ABS(W$16-W$19)&gt;=1000</formula>
    </cfRule>
  </conditionalFormatting>
  <conditionalFormatting sqref="AC5">
    <cfRule type="expression" dxfId="670" priority="11">
      <formula>ABS(AC$7-AC$10)&gt;=1000</formula>
    </cfRule>
  </conditionalFormatting>
  <conditionalFormatting sqref="M14">
    <cfRule type="expression" dxfId="669" priority="10">
      <formula>ABS(M$16-M$19)&gt;=1000</formula>
    </cfRule>
  </conditionalFormatting>
  <conditionalFormatting sqref="M16">
    <cfRule type="expression" dxfId="668" priority="9">
      <formula>ABS(M$16-M$19)&gt;=1000</formula>
    </cfRule>
  </conditionalFormatting>
  <conditionalFormatting sqref="M19">
    <cfRule type="expression" dxfId="667" priority="8">
      <formula>ABS(M$16-M$19)&gt;=1000</formula>
    </cfRule>
  </conditionalFormatting>
  <conditionalFormatting sqref="K13:K20">
    <cfRule type="expression" dxfId="666" priority="7">
      <formula>ABS(K$16-K$19)&gt;=1000</formula>
    </cfRule>
  </conditionalFormatting>
  <conditionalFormatting sqref="E5">
    <cfRule type="expression" dxfId="665" priority="6">
      <formula>ABS(E$7-E$10)&gt;=1000</formula>
    </cfRule>
  </conditionalFormatting>
  <conditionalFormatting sqref="AB14:AC14">
    <cfRule type="expression" dxfId="664" priority="5">
      <formula>ABS(AB$16-AB$19)&gt;=1000</formula>
    </cfRule>
  </conditionalFormatting>
  <conditionalFormatting sqref="M5">
    <cfRule type="expression" dxfId="663" priority="4">
      <formula>ABS(M$7-M$10)&gt;=1000</formula>
    </cfRule>
  </conditionalFormatting>
  <conditionalFormatting sqref="N5">
    <cfRule type="expression" dxfId="662" priority="3">
      <formula>ABS(N$7-N$10)&gt;=1000</formula>
    </cfRule>
  </conditionalFormatting>
  <conditionalFormatting sqref="O5">
    <cfRule type="expression" dxfId="661" priority="2">
      <formula>ABS(O$7-O$10)&gt;=1000</formula>
    </cfRule>
  </conditionalFormatting>
  <conditionalFormatting sqref="P5">
    <cfRule type="expression" dxfId="66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9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1">
    <pageSetUpPr fitToPage="1"/>
  </sheetPr>
  <dimension ref="A1:CU223"/>
  <sheetViews>
    <sheetView view="pageBreakPreview" topLeftCell="A4" zoomScale="70" zoomScaleNormal="100" zoomScaleSheetLayoutView="70" workbookViewId="0">
      <selection activeCell="D4" sqref="D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45741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68" t="s" ph="1">
        <v>179</v>
      </c>
      <c r="D6" s="71">
        <v>287</v>
      </c>
      <c r="E6" s="71">
        <v>2520</v>
      </c>
      <c r="F6" s="71">
        <v>3216</v>
      </c>
      <c r="G6" s="71">
        <v>9005</v>
      </c>
      <c r="H6" s="71">
        <v>5615</v>
      </c>
      <c r="I6" s="71">
        <v>27.15</v>
      </c>
      <c r="J6" s="71">
        <v>7.75</v>
      </c>
      <c r="K6" s="71">
        <v>7.24</v>
      </c>
      <c r="L6" s="71">
        <v>38.6</v>
      </c>
      <c r="M6" s="71">
        <v>3395</v>
      </c>
      <c r="N6" s="71">
        <v>3083</v>
      </c>
      <c r="O6" s="71">
        <v>3858</v>
      </c>
      <c r="P6" s="71">
        <v>3170</v>
      </c>
      <c r="Q6" s="71">
        <v>0</v>
      </c>
      <c r="R6" s="71">
        <v>0</v>
      </c>
      <c r="S6" s="71">
        <v>5213</v>
      </c>
      <c r="T6" s="71">
        <v>7168</v>
      </c>
      <c r="U6" s="71">
        <v>4361</v>
      </c>
      <c r="V6" s="71">
        <v>2039</v>
      </c>
      <c r="W6" s="71">
        <v>4388</v>
      </c>
      <c r="X6" s="71">
        <v>0</v>
      </c>
      <c r="Y6" s="71">
        <v>0</v>
      </c>
      <c r="Z6" s="71">
        <v>2263</v>
      </c>
      <c r="AA6" s="71">
        <v>1571</v>
      </c>
      <c r="AB6" s="71">
        <v>1211</v>
      </c>
      <c r="AC6" s="71">
        <v>6520</v>
      </c>
      <c r="AD6" s="71">
        <v>693</v>
      </c>
      <c r="AE6" s="71">
        <v>1970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9059.0588808299999</v>
      </c>
      <c r="E7" s="73" ph="1">
        <f>E6*51.53*LOOKUP(E8,密度!$A$2:$A$50,密度!$B$2:$B$50)</f>
        <v>101923.66044000001</v>
      </c>
      <c r="F7" s="73" ph="1">
        <f>F6*33.183*LOOKUP(F8,密度!$A$2:$A$50,密度!$C$2:$C$50)</f>
        <v>118796.83896960001</v>
      </c>
      <c r="G7" s="73" ph="1">
        <f xml:space="preserve"> (G6+2)*51.53*LOOKUP(G8,密度!$A$2:$A$50,密度!$B$2:$B$50)</f>
        <v>363924.88971100003</v>
      </c>
      <c r="H7" s="73" ph="1">
        <f>(H6)*51.53*LOOKUP(H8,密度!$A$2:$A$50,密度!$B$2:$B$50)</f>
        <v>226872.23889500002</v>
      </c>
      <c r="I7" s="73" ph="1">
        <f>I6*290.8*1.0267</f>
        <v>8106.0223740000001</v>
      </c>
      <c r="J7" s="73" ph="1">
        <f>J6*290.8*0.7892</f>
        <v>1778.6200400000002</v>
      </c>
      <c r="K7" s="73" ph="1">
        <f>K6*290.8*1.1126</f>
        <v>2342.4591392000002</v>
      </c>
      <c r="L7" s="73" ph="1">
        <f>L6*290.8*0.777</f>
        <v>8721.7317600000006</v>
      </c>
      <c r="M7" s="73" ph="1">
        <f>M6*33.183*LOOKUP(M8,密度!$A$2:$A$50,密度!$D$2:$D$50)</f>
        <v>116193.69234900002</v>
      </c>
      <c r="N7" s="73" ph="1">
        <f>N6*33.183*LOOKUP(N8,密度!$A$2:$A$50,密度!$E$2:$E$50)</f>
        <v>80492.149105200006</v>
      </c>
      <c r="O7" s="73" ph="1">
        <f>O6*20.428*LOOKUP(O8,密度!$A$2:$A$50,密度!$C$2:$C$50)</f>
        <v>87393.766293599998</v>
      </c>
      <c r="P7" s="73" ph="1">
        <f>P6*51.53*LOOKUP(P8,密度!$A$2:$A$50,密度!$B$2:$B$50)</f>
        <v>127788.78323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34895.635374599995</v>
      </c>
      <c r="T7" s="73" ph="1">
        <f>T6*1.5*1.5*3.1416*LOOKUP(T8,密度!$A$2:$A$50,密度!$L$2:$L$50)</f>
        <v>47931.667660799991</v>
      </c>
      <c r="U7" s="73" ph="1">
        <f>U6*1.5*1.5*3.1416*LOOKUP(U8,密度!$A$2:$A$50,密度!$L$2:$L$50)</f>
        <v>29007.420888599998</v>
      </c>
      <c r="V7" s="73" ph="1">
        <f>V6*1.5*1.5*3.1416*LOOKUP(V8,密度!$A$2:$A$50,密度!$L$2:$L$50)</f>
        <v>13504.864249799999</v>
      </c>
      <c r="W7" s="73" ph="1">
        <f>W6*1.5*1.5*3.1416*LOOKUP(W8,密度!$A$2:$A$50,密度!$L$2:$L$50)</f>
        <v>29187.012808799998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70963.006905000002</v>
      </c>
      <c r="AA7" s="73" ph="1">
        <f>AA6*33.183*LOOKUP(AA8,密度!$A$2:$A$50,密度!$D$2:$D$50)</f>
        <v>53767.390480200011</v>
      </c>
      <c r="AB7" s="73" ph="1">
        <f>AB6*20.428*LOOKUP(AB8,密度!$A$2:$A$50,密度!$D$2:$D$50)</f>
        <v>25663.520719200002</v>
      </c>
      <c r="AC7" s="73" ph="1">
        <f>AC6*51.53*LOOKUP(AC8,密度!$A$2:$A$50,密度!$Q$2:$Q$50)</f>
        <v>319852.13095600007</v>
      </c>
      <c r="AD7" s="73" ph="1">
        <f>AD6*20.428*LOOKUP(AD8,密度!$A$2:$A$50,密度!$V$2:$V$50)</f>
        <v>13646.966256000002</v>
      </c>
      <c r="AE7" s="73" ph="1">
        <f>AE6*20.428</f>
        <v>40243.160000000003</v>
      </c>
    </row>
    <row r="8" spans="1:99" ph="1">
      <c r="B8" s="252" ph="1"/>
      <c r="C8" s="68" t="s" ph="1">
        <v>181</v>
      </c>
      <c r="D8" s="74">
        <v>19</v>
      </c>
      <c r="E8" s="74">
        <v>19</v>
      </c>
      <c r="F8" s="74">
        <v>19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25</v>
      </c>
      <c r="P8" s="74">
        <v>22</v>
      </c>
      <c r="Q8" s="74">
        <v>18</v>
      </c>
      <c r="R8" s="74">
        <v>24</v>
      </c>
      <c r="S8" s="74">
        <v>15</v>
      </c>
      <c r="T8" s="74">
        <v>16</v>
      </c>
      <c r="U8" s="74">
        <v>21</v>
      </c>
      <c r="V8" s="74">
        <v>25</v>
      </c>
      <c r="W8" s="74">
        <v>21</v>
      </c>
      <c r="X8" s="74">
        <v>11</v>
      </c>
      <c r="Y8" s="74">
        <v>18</v>
      </c>
      <c r="Z8" s="74">
        <v>17</v>
      </c>
      <c r="AA8" s="74">
        <v>20</v>
      </c>
      <c r="AB8" s="74">
        <v>13</v>
      </c>
      <c r="AC8" s="74">
        <v>18</v>
      </c>
      <c r="AD8" s="74">
        <v>17</v>
      </c>
      <c r="AE8" s="74">
        <v>23</v>
      </c>
    </row>
    <row r="9" spans="1:99" ph="1">
      <c r="B9" s="252" ph="1">
        <v>0.66666666666666663</v>
      </c>
      <c r="C9" s="168" t="s" ph="1">
        <v>182</v>
      </c>
      <c r="D9" s="71">
        <v>594</v>
      </c>
      <c r="E9" s="71">
        <v>2951</v>
      </c>
      <c r="F9" s="71">
        <v>3219</v>
      </c>
      <c r="G9" s="71">
        <v>9018</v>
      </c>
      <c r="H9" s="71">
        <v>6624</v>
      </c>
      <c r="I9" s="71">
        <v>15.97</v>
      </c>
      <c r="J9" s="71">
        <v>7.77</v>
      </c>
      <c r="K9" s="71">
        <v>7.24</v>
      </c>
      <c r="L9" s="71">
        <v>34.090000000000003</v>
      </c>
      <c r="M9" s="71">
        <v>3396</v>
      </c>
      <c r="N9" s="71">
        <v>3068</v>
      </c>
      <c r="O9" s="71">
        <v>2848</v>
      </c>
      <c r="P9" s="71">
        <v>3169</v>
      </c>
      <c r="Q9" s="71">
        <v>0</v>
      </c>
      <c r="R9" s="71">
        <v>0</v>
      </c>
      <c r="S9" s="71">
        <v>1134</v>
      </c>
      <c r="T9" s="71">
        <v>7178</v>
      </c>
      <c r="U9" s="71">
        <v>7026</v>
      </c>
      <c r="V9" s="71">
        <v>5083</v>
      </c>
      <c r="W9" s="71">
        <v>7015</v>
      </c>
      <c r="X9" s="71">
        <v>0</v>
      </c>
      <c r="Y9" s="71">
        <v>0</v>
      </c>
      <c r="Z9" s="71">
        <v>3114</v>
      </c>
      <c r="AA9" s="71">
        <v>1571</v>
      </c>
      <c r="AB9" s="71">
        <v>1201</v>
      </c>
      <c r="AC9" s="71">
        <v>6287</v>
      </c>
      <c r="AD9" s="71">
        <v>1034</v>
      </c>
      <c r="AE9" s="71">
        <v>1970</v>
      </c>
    </row>
    <row r="10" spans="1:99" s="72" customFormat="1" ht="22.5" ph="1">
      <c r="B10" s="252" ph="1"/>
      <c r="C10" s="168" t="s" ph="1">
        <v>180</v>
      </c>
      <c r="D10" s="73" ph="1">
        <f>D9*33.183*LOOKUP(D11,密度!$A$2:$A$50,密度!$Q$2:$Q$50)</f>
        <v>18619.123323240001</v>
      </c>
      <c r="E10" s="73" ph="1">
        <f>E9*51.53*LOOKUP(E11,密度!$A$2:$A$50,密度!$B$2:$B$50)</f>
        <v>118413.03886099999</v>
      </c>
      <c r="F10" s="73" ph="1">
        <f>F9*33.183*LOOKUP(F11,密度!$A$2:$A$50,密度!$C$2:$C$50)</f>
        <v>118683.34315470001</v>
      </c>
      <c r="G10" s="73" ph="1">
        <f xml:space="preserve"> (G9+2)*51.53*LOOKUP(G11,密度!$A$2:$A$50,密度!$B$2:$B$50)</f>
        <v>362776.86830000003</v>
      </c>
      <c r="H10" s="73" ph="1">
        <f>(H9)*51.53*LOOKUP(H11,密度!$A$2:$A$50,密度!$B$2:$B$50)</f>
        <v>266411.74896</v>
      </c>
      <c r="I10" s="73" ph="1">
        <f>I9*290.8*1.0267</f>
        <v>4768.0728291999994</v>
      </c>
      <c r="J10" s="73" ph="1">
        <f>J9*290.8*0.7892</f>
        <v>1783.2100272</v>
      </c>
      <c r="K10" s="73" ph="1">
        <f>K9*290.8*1.1126</f>
        <v>2342.4591392000002</v>
      </c>
      <c r="L10" s="73" ph="1">
        <f>L9*290.8*0.777</f>
        <v>7702.6900440000009</v>
      </c>
      <c r="M10" s="73" ph="1">
        <f>M9*33.183*LOOKUP(M11,密度!$A$2:$A$50,密度!$D$2:$D$50)</f>
        <v>115698.27679559999</v>
      </c>
      <c r="N10" s="73" ph="1">
        <f>N9*33.183*LOOKUP(N11,密度!$A$2:$A$50,密度!$E$2:$E$50)</f>
        <v>79856.190273600005</v>
      </c>
      <c r="O10" s="73" ph="1">
        <f>O9*20.428*LOOKUP(O11,密度!$A$2:$A$50,密度!$C$2:$C$50)</f>
        <v>64293.5510144</v>
      </c>
      <c r="P10" s="73" ph="1">
        <f>P9*51.53*LOOKUP(P11,密度!$A$2:$A$50,密度!$B$2:$B$50)</f>
        <v>127029.95760300002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7558.8922332000002</v>
      </c>
      <c r="T10" s="73" ph="1">
        <f>T9*1.5*1.5*3.1416*LOOKUP(T11,密度!$A$2:$A$50,密度!$L$2:$L$50)</f>
        <v>47897.059795199995</v>
      </c>
      <c r="U10" s="73" ph="1">
        <f>U9*1.5*1.5*3.1416*LOOKUP(U11,密度!$A$2:$A$50,密度!$L$2:$L$50)</f>
        <v>46684.144583999994</v>
      </c>
      <c r="V10" s="73" ph="1">
        <f>V9*1.5*1.5*3.1416*LOOKUP(V11,密度!$A$2:$A$50,密度!$L$2:$L$50)</f>
        <v>33594.263703000004</v>
      </c>
      <c r="W10" s="73" ph="1">
        <f>W9*1.5*1.5*3.1416*LOOKUP(W11,密度!$A$2:$A$50,密度!$L$2:$L$50)</f>
        <v>46511.882802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96925.286555999992</v>
      </c>
      <c r="AA10" s="73" ph="1">
        <f>AA9*33.183*LOOKUP(AA11,密度!$A$2:$A$50,密度!$D$2:$D$50)</f>
        <v>53423.329226399997</v>
      </c>
      <c r="AB10" s="73" ph="1">
        <f>AB9*20.428*LOOKUP(AB11,密度!$A$2:$A$50,密度!$D$2:$D$50)</f>
        <v>25304.396479200004</v>
      </c>
      <c r="AC10" s="73" ph="1">
        <f>AC9*51.53*LOOKUP(AC11,密度!$A$2:$A$50,密度!$Q$2:$Q$50)</f>
        <v>306714.51520139998</v>
      </c>
      <c r="AD10" s="73" ph="1">
        <f>AD9*20.428*LOOKUP(AD11,密度!$A$2:$A$50,密度!$V$2:$V$50)</f>
        <v>20226.9557952</v>
      </c>
      <c r="AE10" s="73" ph="1">
        <f>AE9*20.428</f>
        <v>40243.160000000003</v>
      </c>
    </row>
    <row r="11" spans="1:99" ph="1">
      <c r="A11" s="64" t="s" ph="1">
        <v>164</v>
      </c>
      <c r="B11" s="252" ph="1"/>
      <c r="C11" s="168" t="s" ph="1">
        <v>181</v>
      </c>
      <c r="D11" s="74">
        <v>28</v>
      </c>
      <c r="E11" s="74">
        <v>26</v>
      </c>
      <c r="F11" s="74">
        <v>22</v>
      </c>
      <c r="G11" s="74">
        <v>24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24</v>
      </c>
      <c r="O11" s="74">
        <v>30</v>
      </c>
      <c r="P11" s="74">
        <v>27</v>
      </c>
      <c r="Q11" s="74">
        <v>36</v>
      </c>
      <c r="R11" s="74">
        <v>34</v>
      </c>
      <c r="S11" s="74">
        <v>19</v>
      </c>
      <c r="T11" s="74">
        <v>18</v>
      </c>
      <c r="U11" s="74">
        <v>22</v>
      </c>
      <c r="V11" s="74">
        <v>27</v>
      </c>
      <c r="W11" s="74">
        <v>24</v>
      </c>
      <c r="X11" s="74">
        <v>27</v>
      </c>
      <c r="Y11" s="74">
        <v>28</v>
      </c>
      <c r="Z11" s="74">
        <v>24</v>
      </c>
      <c r="AA11" s="74">
        <v>27</v>
      </c>
      <c r="AB11" s="74">
        <v>20</v>
      </c>
      <c r="AC11" s="74">
        <v>25</v>
      </c>
      <c r="AD11" s="74">
        <v>45</v>
      </c>
      <c r="AE11" s="74">
        <v>27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68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68" t="s" ph="1">
        <v>179</v>
      </c>
      <c r="D15" s="78">
        <v>3215</v>
      </c>
      <c r="E15" s="78">
        <v>76</v>
      </c>
      <c r="F15" s="78">
        <v>1805</v>
      </c>
      <c r="G15" s="78">
        <v>4547</v>
      </c>
      <c r="H15" s="78">
        <v>4517</v>
      </c>
      <c r="I15" s="78">
        <v>868</v>
      </c>
      <c r="J15" s="78">
        <v>1200</v>
      </c>
      <c r="K15" s="78">
        <v>1897</v>
      </c>
      <c r="L15" s="78">
        <v>5640</v>
      </c>
      <c r="M15" s="78">
        <v>1594</v>
      </c>
      <c r="N15" s="78">
        <v>1681</v>
      </c>
      <c r="O15" s="78">
        <v>0</v>
      </c>
      <c r="P15" s="78">
        <v>6976</v>
      </c>
      <c r="Q15" s="78">
        <v>4655</v>
      </c>
      <c r="R15" s="78">
        <v>3503</v>
      </c>
      <c r="S15" s="78">
        <v>6841</v>
      </c>
      <c r="T15" s="78">
        <v>4694</v>
      </c>
      <c r="U15" s="78">
        <v>2765</v>
      </c>
      <c r="V15" s="78">
        <v>1100</v>
      </c>
      <c r="W15" s="71">
        <v>-596</v>
      </c>
      <c r="X15" s="78">
        <v>294</v>
      </c>
      <c r="Y15" s="106">
        <v>-9905</v>
      </c>
      <c r="Z15" s="78">
        <v>0</v>
      </c>
      <c r="AA15" s="78">
        <v>4237</v>
      </c>
      <c r="AB15" s="78" ph="1">
        <v>6891</v>
      </c>
      <c r="AC15" s="78" ph="1">
        <v>6535</v>
      </c>
      <c r="AD15" s="78">
        <v>32.54</v>
      </c>
      <c r="AE15" s="78">
        <v>84.33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68" t="s" ph="1">
        <v>180</v>
      </c>
      <c r="D16" s="73" ph="1">
        <f>D15*7.0686*LOOKUP(D17,密度!$A$2:$A$50,密度!$L$2:$L$50)</f>
        <v>21384.741608999997</v>
      </c>
      <c r="E16" s="73" ph="1">
        <f>E15*7.0686*LOOKUP(E17,密度!$A$2:$A$50,密度!$L$2:$L$50)</f>
        <v>505.5179976</v>
      </c>
      <c r="F16" s="73" ph="1">
        <f>F15*9.0746*LOOKUP(F17,密度!$A$2:$A$50,密度!$L$2:$L$50)</f>
        <v>15429.633125999999</v>
      </c>
      <c r="G16" s="73" ph="1">
        <f>G15*9.0746*LOOKUP(G17,密度!$A$2:$A$50,密度!$B$2:$B$50)</f>
        <v>32353.695881420001</v>
      </c>
      <c r="H16" s="73" ph="1">
        <f>H15*9.0746*LOOKUP(H17,密度!$A$2:$A$50,密度!$L$2:$L$50)</f>
        <v>38653.540012600002</v>
      </c>
      <c r="I16" s="73" ph="1">
        <f>I15*9.0746*LOOKUP(I17,密度!$A$2:$A$50,密度!$U$2:$U$50)</f>
        <v>8097.3018784000005</v>
      </c>
      <c r="J16" s="73" ph="1">
        <f>J15*9.0746*LOOKUP(J17,密度!$A$2:$A$50,密度!$L$2:$L$50)</f>
        <v>10257.92784</v>
      </c>
      <c r="K16" s="73" ph="1">
        <f>K15*9.0746*LOOKUP(K17,密度!$A$2:$A$50,密度!$C$2:$C$50)</f>
        <v>19152.870724120003</v>
      </c>
      <c r="L16" s="73" ph="1">
        <f>L15*9.0746*LOOKUP(L17,密度!$A$2:$A$50,密度!$E$2:$E$50)</f>
        <v>40330.426272000004</v>
      </c>
      <c r="M16" s="73" ph="1">
        <f>M15*9.0746*LOOKUP(M17,密度!$A$2:$A$50,密度!$M$2:$M$50)</f>
        <v>12716.10449084</v>
      </c>
      <c r="N16" s="73" ph="1">
        <f>N15*9.0746*LOOKUP(N17,密度!$A$2:$A$50,密度!$M$2:$M$50)</f>
        <v>13428.45060878</v>
      </c>
      <c r="O16" s="73" ph="1">
        <f>O15*9.0746*LOOKUP(O17,密度!$A$2:$A$50,密度!$G$2:$G$50)</f>
        <v>0</v>
      </c>
      <c r="P16" s="73" ph="1">
        <f ca="1">P15*9.0746*LOOKUP(P17,密度!$A$2:$A$51,密度!$Q$2:$Q$50)</f>
        <v>60081.582107263996</v>
      </c>
      <c r="Q16" s="73" ph="1">
        <f>Q15*9.0746*LOOKUP(Q17,密度!$A$2:$A$50,密度!$Q$2:$Q$50)</f>
        <v>40117.05474847</v>
      </c>
      <c r="R16" s="73" ph="1">
        <f>MAX(R15*9.0746*LOOKUP(R17,密度!$A$2:$A$50,密度!$B$2:$B$50),0)</f>
        <v>24868.005708740002</v>
      </c>
      <c r="S16" s="73" ph="1">
        <f>S15*9.0746*LOOKUP(S17,密度!$A$2:$A$50,密度!$Q$2:$Q$50)</f>
        <v>58956.127075034005</v>
      </c>
      <c r="T16" s="73" ph="1">
        <f>T15*9.0746*LOOKUP(T17,密度!$A$2:$A$50,密度!$O$2:$O$50)</f>
        <v>39614.440332000006</v>
      </c>
      <c r="U16" s="73" ph="1">
        <f>U15*9.0746*LOOKUP(U17,密度!$A$2:$A$50,密度!$H$2:$H$50)</f>
        <v>23053.857957199998</v>
      </c>
      <c r="V16" s="73" ph="1">
        <f>MAX(5600*LOOKUP(V17,密度!$A$2:$A$50,密度!$Q$2:$Q$50)+V15*9.0476*LOOKUP(V17,密度!$A$2:$A$50,密度!$Q$2:$Q$50),0)</f>
        <v>14780.651896799998</v>
      </c>
      <c r="W16" s="73" ph="1">
        <f>MAX(5600*LOOKUP(W17,密度!$A$2:$A$50,密度!$Q$2:$Q$50)+W15*9.0476*LOOKUP(W17,密度!$A$2:$A$50,密度!$Q$2:$Q$50),0)</f>
        <v>197.32777955200072</v>
      </c>
      <c r="X16" s="73" ph="1">
        <f>MAX(5600*LOOKUP(X17,密度!$A$2:$A$50,密度!$I$2:$I$50)+X15*9.0476*LOOKUP(X17,密度!$A$2:$A$50,密度!$I$2:$I$50),0)</f>
        <v>8630.8681485599991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30178.683048980005</v>
      </c>
      <c r="AB16" s="73" ph="1">
        <f>AB15*9.0746*LOOKUP(AB17,密度!$A$2:$A$50,密度!$L$2:$L$50)</f>
        <v>58781.084483999999</v>
      </c>
      <c r="AC16" s="73" ph="1">
        <f>AC15*9.0746*LOOKUP(AC17,密度!$A$2:$A$50,密度!$L$2:$L$50)</f>
        <v>55922.267872999997</v>
      </c>
      <c r="AD16" s="73" ph="1">
        <f>AD15*268.68*LOOKUP(AD17,密度!$A$2:$A$50,密度!B2:B50)+IF(AD15&lt;=0,0,1566*LOOKUP(AD17,密度!$A$2:$A$50,密度!B2:B50))</f>
        <v>8036.7772771199998</v>
      </c>
      <c r="AE16" s="73" ph="1">
        <f>AE15*268.68*LOOKUP(AE17,密度!$A$2:$A$50,密度!B2:B50)+IF(AE15&lt;=0,0,1566*LOOKUP(AE17,密度!$A$2:$A$50,密度!B2:B50))</f>
        <v>18884.862318239997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21</v>
      </c>
      <c r="E17" s="74">
        <v>21</v>
      </c>
      <c r="F17" s="74">
        <v>20</v>
      </c>
      <c r="G17" s="74">
        <v>20</v>
      </c>
      <c r="H17" s="74">
        <v>19</v>
      </c>
      <c r="I17" s="74">
        <v>17</v>
      </c>
      <c r="J17" s="74">
        <v>20</v>
      </c>
      <c r="K17" s="74">
        <v>20</v>
      </c>
      <c r="L17" s="74">
        <v>21</v>
      </c>
      <c r="M17" s="74">
        <v>21</v>
      </c>
      <c r="N17" s="74">
        <v>19</v>
      </c>
      <c r="O17" s="74">
        <v>20</v>
      </c>
      <c r="P17" s="74">
        <v>22</v>
      </c>
      <c r="Q17" s="74">
        <v>21</v>
      </c>
      <c r="R17" s="74">
        <v>22</v>
      </c>
      <c r="S17" s="74">
        <v>21</v>
      </c>
      <c r="T17" s="74">
        <v>22</v>
      </c>
      <c r="U17" s="74">
        <v>21</v>
      </c>
      <c r="V17" s="74">
        <v>20</v>
      </c>
      <c r="W17" s="74">
        <v>20</v>
      </c>
      <c r="X17" s="74">
        <v>23</v>
      </c>
      <c r="Y17" s="108">
        <v>23</v>
      </c>
      <c r="Z17" s="74">
        <v>19</v>
      </c>
      <c r="AA17" s="74">
        <v>19</v>
      </c>
      <c r="AB17" s="74">
        <v>22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4205</v>
      </c>
      <c r="E18" s="71">
        <v>74</v>
      </c>
      <c r="F18" s="71">
        <v>1988</v>
      </c>
      <c r="G18" s="71">
        <v>4569</v>
      </c>
      <c r="H18" s="71">
        <v>4521</v>
      </c>
      <c r="I18" s="71">
        <v>6</v>
      </c>
      <c r="J18" s="71">
        <v>1201</v>
      </c>
      <c r="K18" s="71">
        <v>1898</v>
      </c>
      <c r="L18" s="71">
        <v>5656</v>
      </c>
      <c r="M18" s="71">
        <v>1599</v>
      </c>
      <c r="N18" s="71">
        <v>7</v>
      </c>
      <c r="O18" s="71">
        <v>201</v>
      </c>
      <c r="P18" s="71">
        <v>6978</v>
      </c>
      <c r="Q18" s="71">
        <v>4660</v>
      </c>
      <c r="R18" s="71">
        <v>3509</v>
      </c>
      <c r="S18" s="71">
        <v>6854</v>
      </c>
      <c r="T18" s="71">
        <v>3840</v>
      </c>
      <c r="U18" s="71">
        <v>3767</v>
      </c>
      <c r="V18" s="71">
        <v>1097</v>
      </c>
      <c r="W18" s="71">
        <v>-596</v>
      </c>
      <c r="X18" s="71">
        <v>294</v>
      </c>
      <c r="Y18" s="109">
        <v>-9905</v>
      </c>
      <c r="Z18" s="71">
        <v>0</v>
      </c>
      <c r="AA18" s="71">
        <v>4243</v>
      </c>
      <c r="AB18" s="71">
        <v>6904</v>
      </c>
      <c r="AC18" s="71">
        <v>6548</v>
      </c>
      <c r="AD18" s="71">
        <v>70.239999999999995</v>
      </c>
      <c r="AE18" s="71">
        <v>5.22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68" t="s" ph="1">
        <v>180</v>
      </c>
      <c r="D19" s="73" ph="1">
        <f>D18*7.0686*LOOKUP(D20,密度!$A$2:$A$50,密度!$L$2:$L$50)</f>
        <v>27761.714442</v>
      </c>
      <c r="E19" s="73" ph="1">
        <f>E18*7.0686*LOOKUP(E20,密度!$A$2:$A$50,密度!$L$2:$L$50)</f>
        <v>488.55335760000008</v>
      </c>
      <c r="F19" s="73" ph="1">
        <f>F18*9.0746*LOOKUP(F20,密度!$A$2:$A$50,密度!$L$2:$L$50)</f>
        <v>16867.684988000001</v>
      </c>
      <c r="G19" s="73" ph="1">
        <f>G18*9.0746*LOOKUP(G20,密度!$A$2:$A$50,密度!$B$2:$B$50)</f>
        <v>32398.28755836</v>
      </c>
      <c r="H19" s="73" ph="1">
        <f>H18*9.0746*LOOKUP(H20,密度!$A$2:$A$50,密度!$L$2:$L$50)</f>
        <v>38564.690604000003</v>
      </c>
      <c r="I19" s="73" ph="1">
        <f>I18*9.0746*LOOKUP(I20,密度!$A$2:$A$50,密度!$U$2:$U$50)</f>
        <v>55.6454472</v>
      </c>
      <c r="J19" s="73" ph="1">
        <f>J18*9.0746*LOOKUP(J20,密度!$A$2:$A$50,密度!$L$2:$L$50)</f>
        <v>10168.388761800001</v>
      </c>
      <c r="K19" s="73" ph="1">
        <f>K18*9.0746*LOOKUP(K20,密度!$A$2:$A$50,密度!$C$2:$C$50)</f>
        <v>19059.625579280004</v>
      </c>
      <c r="L19" s="73" ph="1">
        <f>L18*9.0746*LOOKUP(L20,密度!$A$2:$A$50,密度!$E$2:$E$50)</f>
        <v>40198.47432832</v>
      </c>
      <c r="M19" s="73" ph="1">
        <f>M18*9.0746*LOOKUP(M20,密度!$A$2:$A$50,密度!$M$2:$M$50)</f>
        <v>12697.950753540001</v>
      </c>
      <c r="N19" s="73" ph="1">
        <f>N18*9.0746*LOOKUP(N20,密度!$A$2:$A$50,密度!$M$2:$M$50)</f>
        <v>55.461232819999999</v>
      </c>
      <c r="O19" s="73" ph="1">
        <f>O18*9.0746*LOOKUP(O20,密度!$A$2:$A$50,密度!$G$2:$G$50)</f>
        <v>1745.5628322</v>
      </c>
      <c r="P19" s="73" ph="1">
        <f ca="1">P18*9.0746*LOOKUP(P20,密度!$A$2:$A$51,密度!$Q$2:$Q$50)</f>
        <v>59772.062928084</v>
      </c>
      <c r="Q19" s="73" ph="1">
        <f>Q18*9.0746*LOOKUP(Q20,密度!$A$2:$A$50,密度!$Q$2:$Q$50)</f>
        <v>39945.746718319999</v>
      </c>
      <c r="R19" s="73" ph="1">
        <f>MAX(R18*9.0746*LOOKUP(R20,密度!$A$2:$A$50,密度!$B$2:$B$50),0)</f>
        <v>24716.35916068</v>
      </c>
      <c r="S19" s="73" ph="1">
        <f>S18*9.0746*LOOKUP(S20,密度!$A$2:$A$50,密度!$Q$2:$Q$50)</f>
        <v>58752.821460808002</v>
      </c>
      <c r="T19" s="73" ph="1">
        <f>T18*9.0746*LOOKUP(T20,密度!$A$2:$A$50,密度!$O$2:$O$50)</f>
        <v>32267.825664</v>
      </c>
      <c r="U19" s="73" ph="1">
        <f>U18*9.0746*LOOKUP(U20,密度!$A$2:$A$50,密度!$H$2:$H$50)</f>
        <v>31175.824598399999</v>
      </c>
      <c r="V19" s="73" ph="1">
        <f>MAX(5600*LOOKUP(V20,密度!$A$2:$A$50,密度!$Q$2:$Q$50)+V18*9.0476*LOOKUP(V20,密度!$A$2:$A$50,密度!$Q$2:$Q$50),0)</f>
        <v>14676.298323504001</v>
      </c>
      <c r="W19" s="73" ph="1">
        <f>MAX(5600*LOOKUP(W20,密度!$A$2:$A$50,密度!$Q$2:$Q$50)+W18*9.0476*LOOKUP(W20,密度!$A$2:$A$50,密度!$Q$2:$Q$50),0)</f>
        <v>196.27716972800135</v>
      </c>
      <c r="X19" s="73" ph="1">
        <f>MAX(5600*LOOKUP(X20,密度!$A$2:$A$50,密度!$I$2:$I$50)+X18*9.0476*LOOKUP(X20,密度!$A$2:$A$50,密度!$I$2:$I$50),0)</f>
        <v>8598.6541703999992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30086.656622920003</v>
      </c>
      <c r="AB19" s="73" ph="1">
        <f>AB18*9.0746*LOOKUP(AB20,密度!$A$2:$A$50,密度!$L$2:$L$50)</f>
        <v>58829.325057599999</v>
      </c>
      <c r="AC19" s="73" ph="1">
        <f>AC18*9.0746*LOOKUP(AC20,密度!$A$2:$A$50,密度!$L$2:$L$50)</f>
        <v>55795.831471199999</v>
      </c>
      <c r="AD19" s="73" ph="1">
        <f>AD18*268.68*LOOKUP(AD20,密度!$A$2:$A$50,密度!B5:B53)+IF(AD18&lt;=0,0,1566*LOOKUP(AD20,密度!$A$2:$A$50,密度!B5:B53))</f>
        <v>15880.390646399997</v>
      </c>
      <c r="AE19" s="73" ph="1">
        <f>AE18*268.68*LOOKUP(AE20,密度!$A$2:$A$50,密度!B5:B53)+IF(AE18&lt;=0,0,1566*LOOKUP(AE20,密度!$A$2:$A$50,密度!B5:B53))</f>
        <v>2306.5319591999996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28</v>
      </c>
      <c r="E20" s="81">
        <v>28</v>
      </c>
      <c r="F20" s="81">
        <v>27</v>
      </c>
      <c r="G20" s="81">
        <v>23</v>
      </c>
      <c r="H20" s="81">
        <v>22</v>
      </c>
      <c r="I20" s="81">
        <v>28</v>
      </c>
      <c r="J20" s="81">
        <v>29</v>
      </c>
      <c r="K20" s="81">
        <v>28</v>
      </c>
      <c r="L20" s="81">
        <v>25</v>
      </c>
      <c r="M20" s="81">
        <v>25</v>
      </c>
      <c r="N20" s="81">
        <v>27</v>
      </c>
      <c r="O20" s="81">
        <v>28</v>
      </c>
      <c r="P20" s="81">
        <v>29</v>
      </c>
      <c r="Q20" s="81">
        <v>28</v>
      </c>
      <c r="R20" s="81">
        <v>29</v>
      </c>
      <c r="S20" s="81">
        <v>28</v>
      </c>
      <c r="T20" s="81">
        <v>29</v>
      </c>
      <c r="U20" s="81">
        <v>28</v>
      </c>
      <c r="V20" s="81">
        <v>27</v>
      </c>
      <c r="W20" s="81">
        <v>27</v>
      </c>
      <c r="X20" s="81">
        <v>26</v>
      </c>
      <c r="Y20" s="110">
        <v>26</v>
      </c>
      <c r="Z20" s="81">
        <v>35</v>
      </c>
      <c r="AA20" s="81">
        <v>23</v>
      </c>
      <c r="AB20" s="81">
        <v>23</v>
      </c>
      <c r="AC20" s="81">
        <v>23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653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68" t="s" ph="1">
        <v>179</v>
      </c>
      <c r="D24" s="71">
        <v>3.15</v>
      </c>
      <c r="E24" s="71">
        <v>95.4</v>
      </c>
      <c r="F24" s="71">
        <v>0</v>
      </c>
      <c r="G24" s="71">
        <v>2993</v>
      </c>
      <c r="H24" s="71">
        <v>625</v>
      </c>
      <c r="I24" s="71">
        <v>5505</v>
      </c>
      <c r="J24" s="71">
        <v>1565</v>
      </c>
      <c r="K24" s="71">
        <v>5630</v>
      </c>
      <c r="L24" s="71">
        <v>5603</v>
      </c>
      <c r="M24" s="71">
        <v>4281</v>
      </c>
      <c r="N24" s="71">
        <v>5353</v>
      </c>
      <c r="O24" s="71">
        <v>3518</v>
      </c>
      <c r="P24" s="71">
        <v>835</v>
      </c>
      <c r="Q24" s="90">
        <v>1007</v>
      </c>
      <c r="R24" s="71">
        <v>6343</v>
      </c>
      <c r="S24" s="71">
        <v>1130</v>
      </c>
      <c r="T24" s="71">
        <v>1750</v>
      </c>
      <c r="U24" s="71">
        <v>2341</v>
      </c>
      <c r="V24" s="71">
        <v>9632</v>
      </c>
      <c r="W24" s="71">
        <v>11358</v>
      </c>
      <c r="X24" s="71">
        <v>7354</v>
      </c>
      <c r="Y24" s="71">
        <v>4588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2283.8606650800002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42850.214724400001</v>
      </c>
      <c r="H25" s="91" ph="1">
        <f>H24*18.322*LOOKUP(H26,密度!$A$2:$A$50,密度!$B$2:$B$50)</f>
        <v>8948.0067500000005</v>
      </c>
      <c r="I25" s="91" ph="1">
        <f>I24*18.322*LOOKUP(I26,密度!$A$2:$A$50,密度!$Q$2:$Q$50)</f>
        <v>95727.694524899998</v>
      </c>
      <c r="J25" s="91" ph="1">
        <f>J24*18.322*LOOKUP(J26,密度!$A$2:$A$50,密度!$Q$2:$Q$50)</f>
        <v>27214.1402237</v>
      </c>
      <c r="K25" s="91" ph="1">
        <f>K24*18.322*LOOKUP(K26,密度!$A$2:$A$50,密度!$Q$2:$Q$50)</f>
        <v>97809.541852000009</v>
      </c>
      <c r="L25" s="91" ph="1">
        <f>L24*18.322*LOOKUP(L26,密度!$A$2:$A$50,密度!$Q$2:$Q$50)</f>
        <v>97340.473001200007</v>
      </c>
      <c r="M25" s="91" ph="1">
        <f>M24*18.322*LOOKUP(M26,密度!$A$2:$A$50,密度!$Q$2:$Q$50)</f>
        <v>74443.280701380005</v>
      </c>
      <c r="N25" s="91" ph="1">
        <f>N24*18.322*LOOKUP(N26,密度!$A$2:$A$50,密度!$Q$2:$Q$50)</f>
        <v>93084.532023940003</v>
      </c>
      <c r="O25" s="91" ph="1">
        <f>O24*18.322*LOOKUP(O26,密度!$A$2:$A$50,密度!$C$2:$C$50)</f>
        <v>71572.826278399996</v>
      </c>
      <c r="P25" s="91" ph="1">
        <f>P24*11.702*LOOKUP(P26,密度!$A$2:$A$50,密度!$B$2:$B$50)</f>
        <v>7652.7803439999998</v>
      </c>
      <c r="Q25" s="92" ph="1">
        <f>Q24*18.322*LOOKUP(Q26,密度!$A$2:$A$50,密度!$B$2:$B$50)</f>
        <v>14433.633704200001</v>
      </c>
      <c r="R25" s="91" ph="1">
        <f>R24*35.891*LOOKUP(R26,密度!$A$2:$A$50,密度!$C$2:$C$50)</f>
        <v>253131.3879947</v>
      </c>
      <c r="S25" s="91" ph="1">
        <f>S24*35.891*LOOKUP(S26,密度!$A$2:$A$50,密度!$B$2:$B$50)</f>
        <v>31764.109255999996</v>
      </c>
      <c r="T25" s="91" ph="1">
        <f>T24*35.891*LOOKUP(T26,密度!$A$2:$A$50,密度!$Q$2:$Q$50)</f>
        <v>59611.631082499996</v>
      </c>
      <c r="U25" s="91" ph="1">
        <f>U24*35.891</f>
        <v>84020.830999999991</v>
      </c>
      <c r="V25" s="91" ph="1">
        <f>V24*47.051*LOOKUP(V26,密度!$A$2:$A$50,密度!$B$2:$B$50)</f>
        <v>354534.62999360001</v>
      </c>
      <c r="W25" s="91" ph="1">
        <f>W24*47.051*LOOKUP(W26,密度!$A$2:$A$50,密度!$B$2:$B$50)</f>
        <v>418546.19806560001</v>
      </c>
      <c r="X25" s="91" ph="1">
        <f>X24*47.051*LOOKUP(X26,密度!$A$2:$A$50,密度!$I$2:$I$50)</f>
        <v>355978.22995519999</v>
      </c>
      <c r="Y25" s="91" ph="1">
        <f>Y24*47.051*LOOKUP(Y26,密度!$A$2:$A$50,密度!$L$2:$L$50)</f>
        <v>203133.658708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22</v>
      </c>
      <c r="J26" s="74">
        <v>22</v>
      </c>
      <c r="K26" s="74">
        <v>23</v>
      </c>
      <c r="L26" s="74">
        <v>23</v>
      </c>
      <c r="M26" s="74">
        <v>22</v>
      </c>
      <c r="N26" s="74">
        <v>22</v>
      </c>
      <c r="O26" s="74">
        <v>23</v>
      </c>
      <c r="P26" s="74">
        <v>21</v>
      </c>
      <c r="Q26" s="93">
        <v>22</v>
      </c>
      <c r="R26" s="74">
        <v>21</v>
      </c>
      <c r="S26" s="74">
        <v>21</v>
      </c>
      <c r="T26" s="74">
        <v>22</v>
      </c>
      <c r="U26" s="74">
        <v>22</v>
      </c>
      <c r="V26" s="74">
        <v>22</v>
      </c>
      <c r="W26" s="74">
        <v>21</v>
      </c>
      <c r="X26" s="74">
        <v>43</v>
      </c>
      <c r="Y26" s="74">
        <v>21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68" t="s" ph="1">
        <v>182</v>
      </c>
      <c r="D27" s="71">
        <v>3.09</v>
      </c>
      <c r="E27" s="71">
        <v>95.4</v>
      </c>
      <c r="F27" s="71">
        <v>0</v>
      </c>
      <c r="G27" s="71">
        <v>2540</v>
      </c>
      <c r="H27" s="71">
        <v>622</v>
      </c>
      <c r="I27" s="71">
        <v>5508</v>
      </c>
      <c r="J27" s="71">
        <v>1889</v>
      </c>
      <c r="K27" s="71">
        <v>5633</v>
      </c>
      <c r="L27" s="71">
        <v>5601</v>
      </c>
      <c r="M27" s="71">
        <v>4995</v>
      </c>
      <c r="N27" s="71">
        <v>5353</v>
      </c>
      <c r="O27" s="71">
        <v>3513</v>
      </c>
      <c r="P27" s="71">
        <v>832</v>
      </c>
      <c r="Q27" s="90">
        <v>603</v>
      </c>
      <c r="R27" s="71">
        <v>6341</v>
      </c>
      <c r="S27" s="71">
        <v>791</v>
      </c>
      <c r="T27" s="71">
        <v>1749</v>
      </c>
      <c r="U27" s="71">
        <v>2529</v>
      </c>
      <c r="V27" s="71">
        <v>9636</v>
      </c>
      <c r="W27" s="71">
        <v>11299</v>
      </c>
      <c r="X27" s="71">
        <v>7354</v>
      </c>
      <c r="Y27" s="71">
        <v>2992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68" t="s" ph="1">
        <v>180</v>
      </c>
      <c r="D28" s="91" ph="1">
        <f>D27*268.68*LOOKUP(D29,密度!$A$2:$A$50,密度!$Q$2:$Q$50)+IF(D27&lt;=0,0,1566*LOOKUP(D29,密度!$A$2:$A$50,密度!$Q$2:$Q$50))</f>
        <v>2268.5984588880001</v>
      </c>
      <c r="E28" s="91" ph="1">
        <f>E27*268.68*LOOKUP(E29,密度!$A$2:$A$50,密度!$C$2:$C$50)+IF(E27&lt;=0,0,1566*LOOKUP(E29,密度!$A$2:$A$50,密度!$C$2:$C$50))</f>
        <v>30159.942040800004</v>
      </c>
      <c r="F28" s="91" ph="1">
        <f>F27*11.702*LOOKUP(F29,密度!$A$2:$A$50,密度!$Q$2:$Q$50)</f>
        <v>0</v>
      </c>
      <c r="G28" s="91" ph="1">
        <f>G27*18.322*LOOKUP(G29,密度!$A$2:$A$50,密度!$B$2:$B$50)</f>
        <v>36364.699431999994</v>
      </c>
      <c r="H28" s="91" ph="1">
        <f>H27*18.322*LOOKUP(H29,密度!$A$2:$A$50,密度!$B$2:$B$50)</f>
        <v>8905.0563175999996</v>
      </c>
      <c r="I28" s="91" ph="1">
        <f>I27*18.322*LOOKUP(I29,密度!$A$2:$A$50,密度!$Q$2:$Q$50)</f>
        <v>95690.045563200008</v>
      </c>
      <c r="J28" s="91" ph="1">
        <f>J27*18.322*LOOKUP(J29,密度!$A$2:$A$50,密度!$Q$2:$Q$50)</f>
        <v>32817.446635600005</v>
      </c>
      <c r="K28" s="91" ph="1">
        <f>K27*18.322*LOOKUP(K29,密度!$A$2:$A$50,密度!$Q$2:$Q$50)</f>
        <v>97953.515578339997</v>
      </c>
      <c r="L28" s="91" ph="1">
        <f>L27*18.322*LOOKUP(L29,密度!$A$2:$A$50,密度!$Q$2:$Q$50)</f>
        <v>97305.727160399998</v>
      </c>
      <c r="M28" s="91" ph="1">
        <f>M27*18.322*LOOKUP(M29,密度!$A$2:$A$50,密度!$Q$2:$Q$50)</f>
        <v>86859.1887651</v>
      </c>
      <c r="N28" s="91" ph="1">
        <f>N27*18.322*LOOKUP(N29,密度!$A$2:$A$50,密度!$Q$2:$Q$50)</f>
        <v>93084.532023940003</v>
      </c>
      <c r="O28" s="91" ph="1">
        <f>O27*18.322*LOOKUP(O29,密度!$A$2:$A$50,密度!$C$2:$C$50)</f>
        <v>71516.158164599998</v>
      </c>
      <c r="P28" s="91" ph="1">
        <f>P27*11.702*LOOKUP(P29,密度!$A$2:$A$50,密度!$B$2:$B$50)</f>
        <v>7616.5228672000003</v>
      </c>
      <c r="Q28" s="92" ph="1">
        <f>Q27*18.322*LOOKUP(Q29,密度!$A$2:$A$50,密度!$B$2:$B$50)</f>
        <v>8633.036912399999</v>
      </c>
      <c r="R28" s="91" ph="1">
        <f>R27*35.891*LOOKUP(R29,密度!$A$2:$A$50,密度!$C$2:$C$50)</f>
        <v>252710.19634239998</v>
      </c>
      <c r="S28" s="91" ph="1">
        <f>S27*35.891*LOOKUP(S29,密度!$A$2:$A$50,密度!$B$2:$B$50)</f>
        <v>22209.325676299999</v>
      </c>
      <c r="T28" s="91" ph="1">
        <f>T27*35.891*LOOKUP(T29,密度!$A$2:$A$50,密度!$Q$2:$Q$50)</f>
        <v>59521.6990038</v>
      </c>
      <c r="U28" s="91" ph="1">
        <f>U27*35.891</f>
        <v>90768.338999999993</v>
      </c>
      <c r="V28" s="91" ph="1">
        <f>V27*47.051*LOOKUP(V29,密度!$A$2:$A$50,密度!$B$2:$B$50)</f>
        <v>354681.86198280001</v>
      </c>
      <c r="W28" s="91" ph="1">
        <f>W27*47.051*LOOKUP(W29,密度!$A$2:$A$50,密度!$B$2:$B$50)</f>
        <v>415893.56149270007</v>
      </c>
      <c r="X28" s="91" ph="1">
        <f>X27*47.051*LOOKUP(X29,密度!$A$2:$A$50,密度!$I$2:$I$50)</f>
        <v>355978.22995519999</v>
      </c>
      <c r="Y28" s="91" ph="1">
        <f>Y27*47.051*LOOKUP(Y29,密度!$A$2:$A$50,密度!$L$2:$L$50)</f>
        <v>132329.99648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68" t="s" ph="1">
        <v>181</v>
      </c>
      <c r="D29" s="74">
        <v>25</v>
      </c>
      <c r="E29" s="74">
        <v>25</v>
      </c>
      <c r="F29" s="74">
        <v>22</v>
      </c>
      <c r="G29" s="74">
        <v>23</v>
      </c>
      <c r="H29" s="74">
        <v>23</v>
      </c>
      <c r="I29" s="74">
        <v>23</v>
      </c>
      <c r="J29" s="74">
        <v>23</v>
      </c>
      <c r="K29" s="74">
        <v>22</v>
      </c>
      <c r="L29" s="74">
        <v>23</v>
      </c>
      <c r="M29" s="74">
        <v>22</v>
      </c>
      <c r="N29" s="74">
        <v>22</v>
      </c>
      <c r="O29" s="74">
        <v>22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43</v>
      </c>
      <c r="Y29" s="74">
        <v>22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68" t="s" ph="1">
        <v>5</v>
      </c>
      <c r="F32" s="169" t="s" ph="1">
        <v>43</v>
      </c>
      <c r="G32" s="97" t="s" ph="1">
        <v>4</v>
      </c>
      <c r="H32" s="168" t="s" ph="1">
        <v>5</v>
      </c>
      <c r="I32" s="169" t="s" ph="1">
        <v>43</v>
      </c>
      <c r="J32" s="97" t="s" ph="1">
        <v>4</v>
      </c>
      <c r="K32" s="168" t="s" ph="1">
        <v>5</v>
      </c>
      <c r="L32" s="169" t="s" ph="1">
        <v>43</v>
      </c>
      <c r="M32" s="97" t="s" ph="1">
        <v>4</v>
      </c>
      <c r="N32" s="168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8" t="s" ph="1">
        <v>5</v>
      </c>
      <c r="U32" s="99" t="s" ph="1">
        <v>43</v>
      </c>
      <c r="V32" s="97" t="s" ph="1">
        <v>4</v>
      </c>
      <c r="W32" s="168" t="s" ph="1">
        <v>5</v>
      </c>
      <c r="X32" s="99" t="s" ph="1">
        <v>43</v>
      </c>
      <c r="Y32" s="100" t="s" ph="1">
        <v>4</v>
      </c>
      <c r="Z32" s="168" t="s" ph="1">
        <v>5</v>
      </c>
      <c r="AA32" s="169" t="s" ph="1">
        <v>43</v>
      </c>
      <c r="AB32" s="97" t="s" ph="1">
        <v>86</v>
      </c>
      <c r="AC32" s="168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78727.725705599994</v>
      </c>
      <c r="E33" s="201" ph="1">
        <f>M10+I10</f>
        <v>120466.34962479999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27" ph="1">
        <v>0</v>
      </c>
      <c r="H33" s="201" ph="1">
        <f>N19</f>
        <v>55.461232819999999</v>
      </c>
      <c r="I33" s="205" ph="1">
        <v>0</v>
      </c>
      <c r="J33" s="209" ph="1">
        <f>F10+O28</f>
        <v>190199.5013193</v>
      </c>
      <c r="K33" s="201" ph="1">
        <f>O10+K10+E28+R28</f>
        <v>349506.1485368</v>
      </c>
      <c r="L33" s="211" ph="1">
        <f>BE27</f>
        <v>7100</v>
      </c>
      <c r="M33" s="209" ph="1">
        <f>G10+H10+W28+S28</f>
        <v>1067291.5044290002</v>
      </c>
      <c r="N33" s="201" ph="1">
        <f>L10+P10++G28+H28+V28</f>
        <v>534684.26537939999</v>
      </c>
      <c r="O33" s="205" ph="1">
        <f>BE17</f>
        <v>2270</v>
      </c>
      <c r="P33" s="209" ph="1">
        <f>L19</f>
        <v>40198.47432832</v>
      </c>
      <c r="Q33" s="201" ph="1">
        <f>J10+N10</f>
        <v>81639.4003008</v>
      </c>
      <c r="R33" s="205" ph="1">
        <f>BE23</f>
        <v>890</v>
      </c>
      <c r="S33" s="209" ph="1">
        <f>E10+X28</f>
        <v>474391.26881619997</v>
      </c>
      <c r="T33" s="201" ph="1">
        <f>X19</f>
        <v>8598.6541703999992</v>
      </c>
      <c r="U33" s="190" ph="1">
        <f>BE21</f>
        <v>730</v>
      </c>
      <c r="V33" s="203" ph="1">
        <f ca="1">P19+Q19+S19+M28+N28+J28</f>
        <v>371231.79853185202</v>
      </c>
      <c r="W33" s="203" ph="1">
        <f>D28+F28+V19+T28</f>
        <v>76466.595786192003</v>
      </c>
      <c r="X33" s="205" ph="1">
        <f>BE29+BE31</f>
        <v>10200</v>
      </c>
      <c r="Y33" s="207" ph="1">
        <f>+Q10+R10+S10+T10+U10+V10+W10+X10+Y10</f>
        <v>182246.24311740001</v>
      </c>
      <c r="Z33" s="188" ph="1">
        <f>D10+T19+U19+Y28+Z10</f>
        <v>311318.05662163999</v>
      </c>
      <c r="AA33" s="190" ph="1">
        <f>BE19</f>
        <v>1440</v>
      </c>
      <c r="AB33" s="192" ph="1">
        <f>I19</f>
        <v>55.6454472</v>
      </c>
      <c r="AC33" s="194" ph="1">
        <f>AD10</f>
        <v>20226.9557952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70" t="s" ph="1">
        <v>187</v>
      </c>
      <c r="AA36" s="170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7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0" t="s" ph="1">
        <v>346</v>
      </c>
      <c r="AI37" s="170" t="s" ph="1">
        <v>213</v>
      </c>
      <c r="AJ37" s="170" t="s" ph="1">
        <v>214</v>
      </c>
      <c r="AK37" s="170" t="s" ph="1">
        <v>215</v>
      </c>
      <c r="AM37" s="170" t="s" ph="1">
        <v>214</v>
      </c>
      <c r="AN37" s="170" t="s" ph="1">
        <v>215</v>
      </c>
      <c r="AO37" s="170" t="s" ph="1">
        <v>216</v>
      </c>
      <c r="AP37" s="170" t="s" ph="1">
        <v>214</v>
      </c>
      <c r="AQ37" s="170" t="s" ph="1">
        <v>215</v>
      </c>
      <c r="AR37" s="170" t="s" ph="1">
        <v>216</v>
      </c>
      <c r="AS37" s="170" t="s" ph="1">
        <v>214</v>
      </c>
      <c r="AT37" s="170" t="s" ph="1">
        <v>215</v>
      </c>
      <c r="AU37" s="170" t="s" ph="1">
        <v>216</v>
      </c>
      <c r="AV37" s="170" t="s" ph="1">
        <v>214</v>
      </c>
      <c r="AW37" s="170" t="s" ph="1">
        <v>215</v>
      </c>
      <c r="AX37" s="170" t="s" ph="1">
        <v>216</v>
      </c>
      <c r="AY37" s="170" t="s" ph="1">
        <v>215</v>
      </c>
      <c r="AZ37" s="170" t="s" ph="1">
        <v>217</v>
      </c>
      <c r="BD37" s="170" t="s" ph="1">
        <v>309</v>
      </c>
      <c r="BE37" s="170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29" priority="96">
      <formula>ABS(D$7-D$10)&gt;=1000</formula>
    </cfRule>
  </conditionalFormatting>
  <conditionalFormatting sqref="E4 E6:E11">
    <cfRule type="expression" dxfId="628" priority="95">
      <formula>ABS(E$7-E$10)&gt;=1000</formula>
    </cfRule>
  </conditionalFormatting>
  <conditionalFormatting sqref="F4:F11">
    <cfRule type="expression" dxfId="627" priority="94">
      <formula>ABS(F$7-F$10)&gt;=1000</formula>
    </cfRule>
  </conditionalFormatting>
  <conditionalFormatting sqref="G4:G11">
    <cfRule type="expression" dxfId="626" priority="93">
      <formula>ABS(G$7-G$10)&gt;=1000</formula>
    </cfRule>
  </conditionalFormatting>
  <conditionalFormatting sqref="H4:H11">
    <cfRule type="expression" dxfId="625" priority="92">
      <formula>ABS(H$7-H$10)&gt;=1000</formula>
    </cfRule>
  </conditionalFormatting>
  <conditionalFormatting sqref="I4:I11">
    <cfRule type="expression" dxfId="624" priority="91">
      <formula>ABS(I$7-I$10)&gt;=1000</formula>
    </cfRule>
  </conditionalFormatting>
  <conditionalFormatting sqref="J4:J11">
    <cfRule type="expression" dxfId="623" priority="90">
      <formula>ABS(J$7-J$10)&gt;=1000</formula>
    </cfRule>
  </conditionalFormatting>
  <conditionalFormatting sqref="K4:K11">
    <cfRule type="expression" dxfId="622" priority="89">
      <formula>ABS(K$7-K$10)&gt;=1000</formula>
    </cfRule>
  </conditionalFormatting>
  <conditionalFormatting sqref="L4:L11">
    <cfRule type="expression" dxfId="621" priority="88">
      <formula>ABS(L$7-L$10)&gt;=1000</formula>
    </cfRule>
  </conditionalFormatting>
  <conditionalFormatting sqref="M4 M6:M11">
    <cfRule type="expression" dxfId="620" priority="87">
      <formula>ABS(M$7-M$10)&gt;=1000</formula>
    </cfRule>
  </conditionalFormatting>
  <conditionalFormatting sqref="N4 N6:N11">
    <cfRule type="expression" dxfId="619" priority="86">
      <formula>ABS(N$7-N$10)&gt;=1000</formula>
    </cfRule>
  </conditionalFormatting>
  <conditionalFormatting sqref="O4 O6:O11">
    <cfRule type="expression" dxfId="618" priority="85">
      <formula>ABS(O$7-O$10)&gt;=1000</formula>
    </cfRule>
  </conditionalFormatting>
  <conditionalFormatting sqref="P4 P6:P11">
    <cfRule type="expression" dxfId="617" priority="84">
      <formula>ABS(P$7-P$10)&gt;=1000</formula>
    </cfRule>
  </conditionalFormatting>
  <conditionalFormatting sqref="Q4:Q11">
    <cfRule type="expression" dxfId="616" priority="83">
      <formula>ABS(Q$7-Q$10)&gt;=1000</formula>
    </cfRule>
  </conditionalFormatting>
  <conditionalFormatting sqref="R4:R11">
    <cfRule type="expression" dxfId="615" priority="82">
      <formula>ABS(R$7-R$10)&gt;=1000</formula>
    </cfRule>
  </conditionalFormatting>
  <conditionalFormatting sqref="S4:S11">
    <cfRule type="expression" dxfId="614" priority="81">
      <formula>ABS(S$7-S$10)&gt;=1000</formula>
    </cfRule>
  </conditionalFormatting>
  <conditionalFormatting sqref="T4:T9 T11">
    <cfRule type="expression" dxfId="613" priority="80">
      <formula>ABS(T$7-T$10)&gt;=1000</formula>
    </cfRule>
  </conditionalFormatting>
  <conditionalFormatting sqref="U4:U9 U11">
    <cfRule type="expression" dxfId="612" priority="79">
      <formula>ABS(U$7-U$10)&gt;=1000</formula>
    </cfRule>
  </conditionalFormatting>
  <conditionalFormatting sqref="V4:V9 V11">
    <cfRule type="expression" dxfId="611" priority="78">
      <formula>ABS(V$7-V$10)&gt;=1000</formula>
    </cfRule>
  </conditionalFormatting>
  <conditionalFormatting sqref="W4:W9 W11">
    <cfRule type="expression" dxfId="610" priority="77">
      <formula>ABS(W$7-W$10)&gt;=1000</formula>
    </cfRule>
  </conditionalFormatting>
  <conditionalFormatting sqref="X4:X9 X11">
    <cfRule type="expression" dxfId="609" priority="76">
      <formula>ABS(X$7-X$10)&gt;=1000</formula>
    </cfRule>
  </conditionalFormatting>
  <conditionalFormatting sqref="Y4:Y9 Y11">
    <cfRule type="expression" dxfId="608" priority="75">
      <formula>ABS(Y$7-Y$10)&gt;=1000</formula>
    </cfRule>
  </conditionalFormatting>
  <conditionalFormatting sqref="Z4:Z11">
    <cfRule type="expression" dxfId="607" priority="74">
      <formula>ABS(Z$7-Z$10)&gt;=1000</formula>
    </cfRule>
  </conditionalFormatting>
  <conditionalFormatting sqref="AA4:AA11">
    <cfRule type="expression" dxfId="606" priority="73">
      <formula>ABS(AA$7-AA$10)&gt;=1000</formula>
    </cfRule>
  </conditionalFormatting>
  <conditionalFormatting sqref="AB4:AB11">
    <cfRule type="expression" dxfId="605" priority="72">
      <formula>ABS(AB$7-AB$10)&gt;=1000</formula>
    </cfRule>
  </conditionalFormatting>
  <conditionalFormatting sqref="AC4 AC6:AC11">
    <cfRule type="expression" dxfId="604" priority="71">
      <formula>ABS(AC$7-AC$10)&gt;=1000</formula>
    </cfRule>
  </conditionalFormatting>
  <conditionalFormatting sqref="AD4:AD11">
    <cfRule type="expression" dxfId="603" priority="70">
      <formula>ABS(AD$7-AD$10)&gt;=1000</formula>
    </cfRule>
  </conditionalFormatting>
  <conditionalFormatting sqref="AE4:AE11">
    <cfRule type="expression" dxfId="602" priority="69">
      <formula>ABS(AE$7-AE$10)&gt;=1000</formula>
    </cfRule>
  </conditionalFormatting>
  <conditionalFormatting sqref="D13:D20">
    <cfRule type="expression" dxfId="601" priority="68">
      <formula>ABS(D$16-D$19)&gt;=1000</formula>
    </cfRule>
  </conditionalFormatting>
  <conditionalFormatting sqref="E13:E20">
    <cfRule type="expression" dxfId="600" priority="67">
      <formula>ABS(E$16-E$19)&gt;=1000</formula>
    </cfRule>
  </conditionalFormatting>
  <conditionalFormatting sqref="F13 F15:F20">
    <cfRule type="expression" dxfId="599" priority="66">
      <formula>ABS(F$16-F$19)&gt;=1000</formula>
    </cfRule>
  </conditionalFormatting>
  <conditionalFormatting sqref="G13:G20">
    <cfRule type="expression" dxfId="598" priority="65">
      <formula>ABS(G$16-G$19)&gt;=1000</formula>
    </cfRule>
  </conditionalFormatting>
  <conditionalFormatting sqref="H13:H20">
    <cfRule type="expression" dxfId="597" priority="64">
      <formula>ABS(H$16-H$19)&gt;=1000</formula>
    </cfRule>
  </conditionalFormatting>
  <conditionalFormatting sqref="I13:I20">
    <cfRule type="expression" dxfId="596" priority="63">
      <formula>ABS(I$16-I$19)&gt;=1000</formula>
    </cfRule>
  </conditionalFormatting>
  <conditionalFormatting sqref="J13:J20">
    <cfRule type="expression" dxfId="595" priority="62">
      <formula>ABS(J$16-J$19)&gt;=1000</formula>
    </cfRule>
  </conditionalFormatting>
  <conditionalFormatting sqref="L13:L20">
    <cfRule type="expression" dxfId="594" priority="61">
      <formula>ABS(L$16-L$19)&gt;=1000</formula>
    </cfRule>
  </conditionalFormatting>
  <conditionalFormatting sqref="M13 M15 M17:M18 M20">
    <cfRule type="expression" dxfId="593" priority="60">
      <formula>ABS(M$16-M$19)&gt;=1000</formula>
    </cfRule>
  </conditionalFormatting>
  <conditionalFormatting sqref="N13:N20">
    <cfRule type="expression" dxfId="592" priority="59">
      <formula>ABS(N$16-N$19)&gt;=1000</formula>
    </cfRule>
  </conditionalFormatting>
  <conditionalFormatting sqref="O13:O20">
    <cfRule type="expression" dxfId="591" priority="58">
      <formula>ABS(O$16-O$19)&gt;=1000</formula>
    </cfRule>
  </conditionalFormatting>
  <conditionalFormatting sqref="P13:P20">
    <cfRule type="expression" dxfId="590" priority="57">
      <formula>ABS(P$16-P$19)&gt;=1000</formula>
    </cfRule>
  </conditionalFormatting>
  <conditionalFormatting sqref="Q13 Q15:Q20">
    <cfRule type="expression" dxfId="589" priority="56">
      <formula>ABS(Q$16-Q$19)&gt;=1000</formula>
    </cfRule>
  </conditionalFormatting>
  <conditionalFormatting sqref="R13:R20">
    <cfRule type="expression" dxfId="588" priority="55">
      <formula>ABS(R$16-R$19)&gt;=1000</formula>
    </cfRule>
  </conditionalFormatting>
  <conditionalFormatting sqref="S13:S20">
    <cfRule type="expression" dxfId="587" priority="54">
      <formula>ABS(S$16-S$19)&gt;=1000</formula>
    </cfRule>
  </conditionalFormatting>
  <conditionalFormatting sqref="T13:T20">
    <cfRule type="expression" dxfId="586" priority="53">
      <formula>ABS(T$16-T$19)&gt;=1000</formula>
    </cfRule>
  </conditionalFormatting>
  <conditionalFormatting sqref="U13:U20">
    <cfRule type="expression" dxfId="585" priority="52">
      <formula>ABS(U$16-U$19)&gt;=1000</formula>
    </cfRule>
  </conditionalFormatting>
  <conditionalFormatting sqref="V13:V20">
    <cfRule type="expression" dxfId="584" priority="51">
      <formula>ABS(V$16-V$19)&gt;=1000</formula>
    </cfRule>
  </conditionalFormatting>
  <conditionalFormatting sqref="W13 W20 W15:W18">
    <cfRule type="expression" dxfId="583" priority="50">
      <formula>ABS(W$16-W$19)&gt;=1000</formula>
    </cfRule>
  </conditionalFormatting>
  <conditionalFormatting sqref="X13 X15:X20 Y19">
    <cfRule type="expression" dxfId="582" priority="49">
      <formula>ABS(X$16-X$19)&gt;=1000</formula>
    </cfRule>
  </conditionalFormatting>
  <conditionalFormatting sqref="Y13 Y15:Y18 Y20">
    <cfRule type="expression" dxfId="581" priority="48">
      <formula>ABS(Y$16-Y$19)&gt;=1000</formula>
    </cfRule>
  </conditionalFormatting>
  <conditionalFormatting sqref="Z13:Z20">
    <cfRule type="expression" dxfId="580" priority="47">
      <formula>ABS(Z$16-Z$19)&gt;=1000</formula>
    </cfRule>
  </conditionalFormatting>
  <conditionalFormatting sqref="AA13:AA20">
    <cfRule type="expression" dxfId="579" priority="46">
      <formula>ABS(AA$16-AA$19)&gt;=1000</formula>
    </cfRule>
  </conditionalFormatting>
  <conditionalFormatting sqref="AB13 AB15:AB20">
    <cfRule type="expression" dxfId="578" priority="45">
      <formula>ABS(AB$16-AB$19)&gt;=1000</formula>
    </cfRule>
  </conditionalFormatting>
  <conditionalFormatting sqref="AC13 AC15:AC20">
    <cfRule type="expression" dxfId="577" priority="44">
      <formula>ABS(AC$16-AC$19)&gt;=1000</formula>
    </cfRule>
  </conditionalFormatting>
  <conditionalFormatting sqref="AD13:AD20">
    <cfRule type="expression" dxfId="576" priority="43">
      <formula>ABS(AD$16-AD$19)&gt;=1000</formula>
    </cfRule>
  </conditionalFormatting>
  <conditionalFormatting sqref="AE13:AE20">
    <cfRule type="expression" dxfId="575" priority="42">
      <formula>ABS(AE$16-AE$19)&gt;=1000</formula>
    </cfRule>
  </conditionalFormatting>
  <conditionalFormatting sqref="D22:D29">
    <cfRule type="expression" dxfId="574" priority="41">
      <formula>ABS(D$25-D$28)&gt;=1000</formula>
    </cfRule>
  </conditionalFormatting>
  <conditionalFormatting sqref="E22:E29">
    <cfRule type="expression" dxfId="573" priority="40">
      <formula>ABS(E$25-E$28)&gt;=1000</formula>
    </cfRule>
  </conditionalFormatting>
  <conditionalFormatting sqref="F22:F29">
    <cfRule type="expression" dxfId="572" priority="39">
      <formula>ABS(F$25-F$28)&gt;=1000</formula>
    </cfRule>
  </conditionalFormatting>
  <conditionalFormatting sqref="G22:G29">
    <cfRule type="expression" dxfId="571" priority="38">
      <formula>ABS(G$25-G$28)&gt;=1000</formula>
    </cfRule>
  </conditionalFormatting>
  <conditionalFormatting sqref="H22:H29">
    <cfRule type="expression" dxfId="570" priority="37">
      <formula>ABS(H$25-H$28)&gt;=1000</formula>
    </cfRule>
  </conditionalFormatting>
  <conditionalFormatting sqref="I22 I24:I29">
    <cfRule type="expression" dxfId="569" priority="36">
      <formula>ABS(I$25-I$28)&gt;=1000</formula>
    </cfRule>
  </conditionalFormatting>
  <conditionalFormatting sqref="J22:J29 K22">
    <cfRule type="expression" dxfId="568" priority="35">
      <formula>ABS(J$25-J$28)&gt;=1000</formula>
    </cfRule>
  </conditionalFormatting>
  <conditionalFormatting sqref="K23:K29 L25 L28">
    <cfRule type="expression" dxfId="567" priority="34">
      <formula>ABS(K$25-K$28)&gt;=1000</formula>
    </cfRule>
  </conditionalFormatting>
  <conditionalFormatting sqref="L22:L24 L26:L27 L29">
    <cfRule type="expression" dxfId="566" priority="33">
      <formula>ABS(L$25-L$28)&gt;=1000</formula>
    </cfRule>
  </conditionalFormatting>
  <conditionalFormatting sqref="M22:M29">
    <cfRule type="expression" dxfId="565" priority="32">
      <formula>ABS(M$25-M$28)&gt;=1000</formula>
    </cfRule>
  </conditionalFormatting>
  <conditionalFormatting sqref="N22:N29">
    <cfRule type="expression" dxfId="564" priority="31">
      <formula>ABS(N$25-N$28)&gt;=1000</formula>
    </cfRule>
  </conditionalFormatting>
  <conditionalFormatting sqref="O22:O29">
    <cfRule type="expression" dxfId="563" priority="30">
      <formula>ABS(O$25-O$28)&gt;=1000</formula>
    </cfRule>
  </conditionalFormatting>
  <conditionalFormatting sqref="P22:P29">
    <cfRule type="expression" dxfId="562" priority="29">
      <formula>ABS(P$25-P$28)&gt;=1000</formula>
    </cfRule>
  </conditionalFormatting>
  <conditionalFormatting sqref="Q22:Q29">
    <cfRule type="expression" dxfId="561" priority="28">
      <formula>ABS(Q$25-Q$28)&gt;=1000</formula>
    </cfRule>
  </conditionalFormatting>
  <conditionalFormatting sqref="R22:R29">
    <cfRule type="expression" dxfId="560" priority="27">
      <formula>ABS(R$25-R$28)&gt;=1000</formula>
    </cfRule>
  </conditionalFormatting>
  <conditionalFormatting sqref="S22:S29">
    <cfRule type="expression" dxfId="559" priority="26">
      <formula>ABS(S$25-S$28)&gt;=1000</formula>
    </cfRule>
  </conditionalFormatting>
  <conditionalFormatting sqref="T22:T29">
    <cfRule type="expression" dxfId="558" priority="25">
      <formula>ABS(T$25-T$28)&gt;=1000</formula>
    </cfRule>
  </conditionalFormatting>
  <conditionalFormatting sqref="U22:U29">
    <cfRule type="expression" dxfId="557" priority="24">
      <formula>ABS(U$25-U$28)&gt;=1000</formula>
    </cfRule>
  </conditionalFormatting>
  <conditionalFormatting sqref="V22:V29">
    <cfRule type="expression" dxfId="556" priority="23">
      <formula>ABS(V$25-V$28)&gt;=1000</formula>
    </cfRule>
  </conditionalFormatting>
  <conditionalFormatting sqref="W22:W29">
    <cfRule type="expression" dxfId="555" priority="22">
      <formula>ABS(W$25-W$28)&gt;=1000</formula>
    </cfRule>
  </conditionalFormatting>
  <conditionalFormatting sqref="X22:X29">
    <cfRule type="expression" dxfId="554" priority="21">
      <formula>ABS(X$25-X$28)&gt;=1000</formula>
    </cfRule>
  </conditionalFormatting>
  <conditionalFormatting sqref="Y22:Y29">
    <cfRule type="expression" dxfId="553" priority="20">
      <formula>ABS(Y$25-Y$28)&gt;=1000</formula>
    </cfRule>
  </conditionalFormatting>
  <conditionalFormatting sqref="I23">
    <cfRule type="expression" dxfId="552" priority="19">
      <formula>ABS(I$25-I$28)&gt;=1000</formula>
    </cfRule>
  </conditionalFormatting>
  <conditionalFormatting sqref="F14">
    <cfRule type="expression" dxfId="551" priority="18">
      <formula>ABS(F$16-F$19)&gt;=1000</formula>
    </cfRule>
  </conditionalFormatting>
  <conditionalFormatting sqref="Q14">
    <cfRule type="expression" dxfId="550" priority="17">
      <formula>ABS(Q$16-Q$19)&gt;=1000</formula>
    </cfRule>
  </conditionalFormatting>
  <conditionalFormatting sqref="W14">
    <cfRule type="expression" dxfId="549" priority="16">
      <formula>ABS(W$16-W$19)&gt;=1000</formula>
    </cfRule>
  </conditionalFormatting>
  <conditionalFormatting sqref="Y14">
    <cfRule type="expression" dxfId="548" priority="15">
      <formula>ABS(Y$16-Y$19)&gt;=1000</formula>
    </cfRule>
  </conditionalFormatting>
  <conditionalFormatting sqref="X14">
    <cfRule type="expression" dxfId="547" priority="14">
      <formula>ABS(X$16-X$19)&gt;=1000</formula>
    </cfRule>
  </conditionalFormatting>
  <conditionalFormatting sqref="T10:Y10">
    <cfRule type="expression" dxfId="546" priority="13">
      <formula>ABS(T$7-T$10)&gt;=1000</formula>
    </cfRule>
  </conditionalFormatting>
  <conditionalFormatting sqref="W19">
    <cfRule type="expression" dxfId="545" priority="12">
      <formula>ABS(W$16-W$19)&gt;=1000</formula>
    </cfRule>
  </conditionalFormatting>
  <conditionalFormatting sqref="AC5">
    <cfRule type="expression" dxfId="544" priority="11">
      <formula>ABS(AC$7-AC$10)&gt;=1000</formula>
    </cfRule>
  </conditionalFormatting>
  <conditionalFormatting sqref="M14">
    <cfRule type="expression" dxfId="543" priority="10">
      <formula>ABS(M$16-M$19)&gt;=1000</formula>
    </cfRule>
  </conditionalFormatting>
  <conditionalFormatting sqref="M16">
    <cfRule type="expression" dxfId="542" priority="9">
      <formula>ABS(M$16-M$19)&gt;=1000</formula>
    </cfRule>
  </conditionalFormatting>
  <conditionalFormatting sqref="M19">
    <cfRule type="expression" dxfId="541" priority="8">
      <formula>ABS(M$16-M$19)&gt;=1000</formula>
    </cfRule>
  </conditionalFormatting>
  <conditionalFormatting sqref="K13:K20">
    <cfRule type="expression" dxfId="540" priority="7">
      <formula>ABS(K$16-K$19)&gt;=1000</formula>
    </cfRule>
  </conditionalFormatting>
  <conditionalFormatting sqref="E5">
    <cfRule type="expression" dxfId="539" priority="6">
      <formula>ABS(E$7-E$10)&gt;=1000</formula>
    </cfRule>
  </conditionalFormatting>
  <conditionalFormatting sqref="AB14:AC14">
    <cfRule type="expression" dxfId="538" priority="5">
      <formula>ABS(AB$16-AB$19)&gt;=1000</formula>
    </cfRule>
  </conditionalFormatting>
  <conditionalFormatting sqref="M5">
    <cfRule type="expression" dxfId="537" priority="4">
      <formula>ABS(M$7-M$10)&gt;=1000</formula>
    </cfRule>
  </conditionalFormatting>
  <conditionalFormatting sqref="N5">
    <cfRule type="expression" dxfId="536" priority="3">
      <formula>ABS(N$7-N$10)&gt;=1000</formula>
    </cfRule>
  </conditionalFormatting>
  <conditionalFormatting sqref="O5">
    <cfRule type="expression" dxfId="535" priority="2">
      <formula>ABS(O$7-O$10)&gt;=1000</formula>
    </cfRule>
  </conditionalFormatting>
  <conditionalFormatting sqref="P5">
    <cfRule type="expression" dxfId="53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1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2">
    <pageSetUpPr fitToPage="1"/>
  </sheetPr>
  <dimension ref="A1:CU223"/>
  <sheetViews>
    <sheetView view="pageBreakPreview" topLeftCell="A13" zoomScale="70" zoomScaleNormal="100" zoomScaleSheetLayoutView="70" workbookViewId="0">
      <selection activeCell="W27" sqref="W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45742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657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73" t="s" ph="1">
        <v>179</v>
      </c>
      <c r="D6" s="71">
        <v>1080</v>
      </c>
      <c r="E6" s="71">
        <v>2957</v>
      </c>
      <c r="F6" s="71">
        <v>3216</v>
      </c>
      <c r="G6" s="71">
        <v>9016</v>
      </c>
      <c r="H6" s="71">
        <v>6925</v>
      </c>
      <c r="I6" s="71">
        <v>16.059999999999999</v>
      </c>
      <c r="J6" s="71">
        <v>7.74</v>
      </c>
      <c r="K6" s="71">
        <v>7.23</v>
      </c>
      <c r="L6" s="71">
        <v>62.3</v>
      </c>
      <c r="M6" s="71">
        <v>3398</v>
      </c>
      <c r="N6" s="71">
        <v>3068</v>
      </c>
      <c r="O6" s="71">
        <v>2849</v>
      </c>
      <c r="P6" s="71">
        <v>3454</v>
      </c>
      <c r="Q6" s="71">
        <v>0</v>
      </c>
      <c r="R6" s="71">
        <v>0</v>
      </c>
      <c r="S6" s="71">
        <v>0</v>
      </c>
      <c r="T6" s="71">
        <v>4524</v>
      </c>
      <c r="U6" s="71">
        <v>7026</v>
      </c>
      <c r="V6" s="71">
        <v>5078</v>
      </c>
      <c r="W6" s="71">
        <v>7014</v>
      </c>
      <c r="X6" s="71">
        <v>0</v>
      </c>
      <c r="Y6" s="71">
        <v>0</v>
      </c>
      <c r="Z6" s="71">
        <v>3765</v>
      </c>
      <c r="AA6" s="71">
        <v>1571</v>
      </c>
      <c r="AB6" s="71">
        <v>1205</v>
      </c>
      <c r="AC6" s="71">
        <v>5823</v>
      </c>
      <c r="AD6" s="71">
        <v>1029</v>
      </c>
      <c r="AE6" s="71">
        <v>1970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33903.482569200001</v>
      </c>
      <c r="E7" s="73" ph="1">
        <f>E6*51.53*LOOKUP(E8,密度!$A$2:$A$50,密度!$B$2:$B$50)</f>
        <v>119339.48127199999</v>
      </c>
      <c r="F7" s="73" ph="1">
        <f>F6*33.183*LOOKUP(F8,密度!$A$2:$A$50,密度!$C$2:$C$50)</f>
        <v>118732.8090528</v>
      </c>
      <c r="G7" s="73" ph="1">
        <f xml:space="preserve"> (G6+2)*51.53*LOOKUP(G8,密度!$A$2:$A$50,密度!$B$2:$B$50)</f>
        <v>363951.11332800001</v>
      </c>
      <c r="H7" s="73" ph="1">
        <f>(H6)*51.53*LOOKUP(H8,密度!$A$2:$A$50,密度!$B$2:$B$50)</f>
        <v>279481.1998</v>
      </c>
      <c r="I7" s="73" ph="1">
        <f>I6*290.8*1.0267</f>
        <v>4794.9436215999995</v>
      </c>
      <c r="J7" s="73" ph="1">
        <f>J6*290.8*0.7892</f>
        <v>1776.3250464000002</v>
      </c>
      <c r="K7" s="73" ph="1">
        <f>K6*290.8*1.1126</f>
        <v>2339.2236984000006</v>
      </c>
      <c r="L7" s="73" ph="1">
        <f>L6*290.8*0.777</f>
        <v>14076.784680000001</v>
      </c>
      <c r="M7" s="73" ph="1">
        <f>M6*33.183*LOOKUP(M8,密度!$A$2:$A$50,密度!$D$2:$D$50)</f>
        <v>116082.13110300001</v>
      </c>
      <c r="N7" s="73" ph="1">
        <f>N6*33.183*LOOKUP(N8,密度!$A$2:$A$50,密度!$E$2:$E$50)</f>
        <v>79978.356806399999</v>
      </c>
      <c r="O7" s="73" ph="1">
        <f>O6*20.428*LOOKUP(O8,密度!$A$2:$A$50,密度!$C$2:$C$50)</f>
        <v>64449.984552800001</v>
      </c>
      <c r="P7" s="73" ph="1">
        <f>P6*51.53*LOOKUP(P8,密度!$A$2:$A$50,密度!$B$2:$B$50)</f>
        <v>139077.18206799999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30219.537347999998</v>
      </c>
      <c r="U7" s="73" ph="1">
        <f>U6*1.5*1.5*3.1416*LOOKUP(U8,密度!$A$2:$A$50,密度!$L$2:$L$50)</f>
        <v>46733.808567599997</v>
      </c>
      <c r="V7" s="73" ph="1">
        <f>V6*1.5*1.5*3.1416*LOOKUP(V8,密度!$A$2:$A$50,密度!$L$2:$L$50)</f>
        <v>33561.217998</v>
      </c>
      <c r="W7" s="73" ph="1">
        <f>W6*1.5*1.5*3.1416*LOOKUP(W8,密度!$A$2:$A$50,密度!$L$2:$L$50)</f>
        <v>46554.8316156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117437.95529999999</v>
      </c>
      <c r="AA7" s="73" ph="1">
        <f>AA6*33.183*LOOKUP(AA8,密度!$A$2:$A$50,密度!$D$2:$D$50)</f>
        <v>53668.34254350001</v>
      </c>
      <c r="AB7" s="73" ph="1">
        <f>AB6*20.428*LOOKUP(AB8,密度!$A$2:$A$50,密度!$D$2:$D$50)</f>
        <v>25536.368676000006</v>
      </c>
      <c r="AC7" s="73" ph="1">
        <f>AC6*51.53*LOOKUP(AC8,密度!$A$2:$A$50,密度!$Q$2:$Q$50)</f>
        <v>285170.25299220002</v>
      </c>
      <c r="AD7" s="73" ph="1">
        <f>AD6*20.428*LOOKUP(AD8,密度!$A$2:$A$50,密度!$V$2:$V$50)</f>
        <v>20129.1465312</v>
      </c>
      <c r="AE7" s="73" ph="1">
        <f>AE6*20.428</f>
        <v>40243.160000000003</v>
      </c>
    </row>
    <row r="8" spans="1:99" ph="1">
      <c r="B8" s="252" ph="1"/>
      <c r="C8" s="68" t="s" ph="1">
        <v>181</v>
      </c>
      <c r="D8" s="74">
        <v>26</v>
      </c>
      <c r="E8" s="74">
        <v>21</v>
      </c>
      <c r="F8" s="74">
        <v>20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27</v>
      </c>
      <c r="P8" s="74">
        <v>23</v>
      </c>
      <c r="Q8" s="74">
        <v>20</v>
      </c>
      <c r="R8" s="74">
        <v>27</v>
      </c>
      <c r="S8" s="74">
        <v>15</v>
      </c>
      <c r="T8" s="74">
        <v>17</v>
      </c>
      <c r="U8" s="74">
        <v>21</v>
      </c>
      <c r="V8" s="74">
        <v>27</v>
      </c>
      <c r="W8" s="74">
        <v>23</v>
      </c>
      <c r="X8" s="74">
        <v>13</v>
      </c>
      <c r="Y8" s="74">
        <v>21</v>
      </c>
      <c r="Z8" s="74">
        <v>22</v>
      </c>
      <c r="AA8" s="74">
        <v>22</v>
      </c>
      <c r="AB8" s="74">
        <v>13</v>
      </c>
      <c r="AC8" s="74">
        <v>20</v>
      </c>
      <c r="AD8" s="74">
        <v>32</v>
      </c>
      <c r="AE8" s="74">
        <v>24</v>
      </c>
    </row>
    <row r="9" spans="1:99" ph="1">
      <c r="B9" s="252" ph="1">
        <v>0.66666666666666663</v>
      </c>
      <c r="C9" s="173" t="s" ph="1">
        <v>182</v>
      </c>
      <c r="D9" s="71">
        <v>1354</v>
      </c>
      <c r="E9" s="71">
        <v>3382</v>
      </c>
      <c r="F9" s="71">
        <v>3220</v>
      </c>
      <c r="G9" s="71">
        <v>8761</v>
      </c>
      <c r="H9" s="71">
        <v>7805</v>
      </c>
      <c r="I9" s="71">
        <v>16.010000000000002</v>
      </c>
      <c r="J9" s="71">
        <v>7.75</v>
      </c>
      <c r="K9" s="71">
        <v>7.35</v>
      </c>
      <c r="L9" s="71">
        <v>37.020000000000003</v>
      </c>
      <c r="M9" s="71">
        <v>3285</v>
      </c>
      <c r="N9" s="71">
        <v>3072</v>
      </c>
      <c r="O9" s="71">
        <v>1950</v>
      </c>
      <c r="P9" s="71">
        <v>3281</v>
      </c>
      <c r="Q9" s="71">
        <v>0</v>
      </c>
      <c r="R9" s="71">
        <v>0</v>
      </c>
      <c r="S9" s="71">
        <v>0</v>
      </c>
      <c r="T9" s="71">
        <v>433</v>
      </c>
      <c r="U9" s="71">
        <v>7035</v>
      </c>
      <c r="V9" s="71">
        <v>7090</v>
      </c>
      <c r="W9" s="71">
        <v>7026</v>
      </c>
      <c r="X9" s="71">
        <v>4623</v>
      </c>
      <c r="Y9" s="71">
        <v>2087</v>
      </c>
      <c r="Z9" s="71">
        <v>4598</v>
      </c>
      <c r="AA9" s="71">
        <v>1573</v>
      </c>
      <c r="AB9" s="71">
        <v>1126</v>
      </c>
      <c r="AC9" s="71">
        <v>5581</v>
      </c>
      <c r="AD9" s="71">
        <v>1366</v>
      </c>
      <c r="AE9" s="71">
        <v>2150</v>
      </c>
    </row>
    <row r="10" spans="1:99" s="72" customFormat="1" ht="22.5" ph="1">
      <c r="B10" s="252" ph="1"/>
      <c r="C10" s="173" t="s" ph="1">
        <v>180</v>
      </c>
      <c r="D10" s="73" ph="1">
        <f>D9*33.183*LOOKUP(D11,密度!$A$2:$A$50,密度!$Q$2:$Q$50)</f>
        <v>42410.56912326</v>
      </c>
      <c r="E10" s="73" ph="1">
        <f>E9*51.53*LOOKUP(E11,密度!$A$2:$A$50,密度!$B$2:$B$50)</f>
        <v>135568.102434</v>
      </c>
      <c r="F10" s="73" ph="1">
        <f>F9*33.183*LOOKUP(F11,密度!$A$2:$A$50,密度!$C$2:$C$50)</f>
        <v>118645.41830400001</v>
      </c>
      <c r="G10" s="73" ph="1">
        <f xml:space="preserve"> (G9+2)*51.53*LOOKUP(G11,密度!$A$2:$A$50,密度!$B$2:$B$50)</f>
        <v>352034.141244</v>
      </c>
      <c r="H10" s="73" ph="1">
        <f>(H9)*51.53*LOOKUP(H11,密度!$A$2:$A$50,密度!$B$2:$B$50)</f>
        <v>313548.61034000001</v>
      </c>
      <c r="I10" s="73" ph="1">
        <f>I9*290.8*1.0267</f>
        <v>4780.0154036000004</v>
      </c>
      <c r="J10" s="73" ph="1">
        <f>J9*290.8*0.7892</f>
        <v>1778.6200400000002</v>
      </c>
      <c r="K10" s="73" ph="1">
        <f>K9*290.8*1.1126</f>
        <v>2378.048988</v>
      </c>
      <c r="L10" s="73" ph="1">
        <f>L9*290.8*0.777</f>
        <v>8364.7282320000013</v>
      </c>
      <c r="M10" s="73" ph="1">
        <f>M9*33.183*LOOKUP(M11,密度!$A$2:$A$50,密度!$D$2:$D$50)</f>
        <v>111709.507644</v>
      </c>
      <c r="N10" s="73" ph="1">
        <f>N9*33.183*LOOKUP(N11,密度!$A$2:$A$50,密度!$E$2:$E$50)</f>
        <v>79960.305254400009</v>
      </c>
      <c r="O10" s="73" ph="1">
        <f>O9*20.428*LOOKUP(O11,密度!$A$2:$A$50,密度!$C$2:$C$50)</f>
        <v>43937.563799999996</v>
      </c>
      <c r="P10" s="73" ph="1">
        <f>P9*51.53*LOOKUP(P11,密度!$A$2:$A$50,密度!$B$2:$B$50)</f>
        <v>131367.33561000001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2849.5152377999998</v>
      </c>
      <c r="U10" s="73" ph="1">
        <f>U9*1.5*1.5*3.1416*LOOKUP(U11,密度!$A$2:$A$50,密度!$L$2:$L$50)</f>
        <v>46694.217339000003</v>
      </c>
      <c r="V10" s="73" ph="1">
        <f>V9*1.5*1.5*3.1416*LOOKUP(V11,密度!$A$2:$A$50,密度!$L$2:$L$50)</f>
        <v>46808.693315999997</v>
      </c>
      <c r="W10" s="73" ph="1">
        <f>W9*1.5*1.5*3.1416*LOOKUP(W11,密度!$A$2:$A$50,密度!$L$2:$L$50)</f>
        <v>46584.816616799995</v>
      </c>
      <c r="X10" s="73" ph="1">
        <f>X9*1.5*1.5*3.1416*LOOKUP(X11,密度!$A$2:$A$50,密度!$L$2:$L$50)</f>
        <v>30913.5183588</v>
      </c>
      <c r="Y10" s="73" ph="1">
        <f>Y9*1.5*1.5*3.1416*LOOKUP(Y11,密度!$A$2:$A$50,密度!$L$2:$L$50)</f>
        <v>13822.781603400001</v>
      </c>
      <c r="Z10" s="73" ph="1">
        <f>Z9*33.183*LOOKUP(Z11,密度!$A$2:$A$50,密度!$L$2:$L$50)</f>
        <v>142963.18165800002</v>
      </c>
      <c r="AA10" s="73" ph="1">
        <f>AA9*33.183*LOOKUP(AA11,密度!$A$2:$A$50,密度!$D$2:$D$50)</f>
        <v>53444.3639301</v>
      </c>
      <c r="AB10" s="73" ph="1">
        <f>AB9*20.428*LOOKUP(AB11,密度!$A$2:$A$50,密度!$D$2:$D$50)</f>
        <v>23763.291816799996</v>
      </c>
      <c r="AC10" s="73" ph="1">
        <f>AC9*51.53*LOOKUP(AC11,密度!$A$2:$A$50,密度!$Q$2:$Q$50)</f>
        <v>272067.75544789998</v>
      </c>
      <c r="AD10" s="73" ph="1">
        <f>AD9*20.428*LOOKUP(AD11,密度!$A$2:$A$50,密度!$V$2:$V$50)</f>
        <v>26721.4909248</v>
      </c>
      <c r="AE10" s="73" ph="1">
        <f>AE9*20.428</f>
        <v>43920.200000000004</v>
      </c>
    </row>
    <row r="11" spans="1:99" ph="1">
      <c r="A11" s="64" t="s" ph="1">
        <v>164</v>
      </c>
      <c r="B11" s="252" ph="1"/>
      <c r="C11" s="173" t="s" ph="1">
        <v>181</v>
      </c>
      <c r="D11" s="74">
        <v>29</v>
      </c>
      <c r="E11" s="74">
        <v>27</v>
      </c>
      <c r="F11" s="74">
        <v>23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24</v>
      </c>
      <c r="O11" s="74">
        <v>32</v>
      </c>
      <c r="P11" s="74">
        <v>28</v>
      </c>
      <c r="Q11" s="74">
        <v>33</v>
      </c>
      <c r="R11" s="74">
        <v>34</v>
      </c>
      <c r="S11" s="74">
        <v>22</v>
      </c>
      <c r="T11" s="74">
        <v>31</v>
      </c>
      <c r="U11" s="74">
        <v>23</v>
      </c>
      <c r="V11" s="74">
        <v>28</v>
      </c>
      <c r="W11" s="74">
        <v>24</v>
      </c>
      <c r="X11" s="74">
        <v>16</v>
      </c>
      <c r="Y11" s="74">
        <v>25</v>
      </c>
      <c r="Z11" s="74">
        <v>25</v>
      </c>
      <c r="AA11" s="74">
        <v>28</v>
      </c>
      <c r="AB11" s="74">
        <v>18</v>
      </c>
      <c r="AC11" s="74">
        <v>26</v>
      </c>
      <c r="AD11" s="74">
        <v>48</v>
      </c>
      <c r="AE11" s="74">
        <v>32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73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73" t="s" ph="1">
        <v>179</v>
      </c>
      <c r="D15" s="78">
        <v>4202</v>
      </c>
      <c r="E15" s="78">
        <v>76</v>
      </c>
      <c r="F15" s="78">
        <v>2143</v>
      </c>
      <c r="G15" s="78">
        <v>4637</v>
      </c>
      <c r="H15" s="78">
        <v>4518</v>
      </c>
      <c r="I15" s="78">
        <v>4</v>
      </c>
      <c r="J15" s="78">
        <v>1201</v>
      </c>
      <c r="K15" s="78">
        <v>1899</v>
      </c>
      <c r="L15" s="78">
        <v>5649</v>
      </c>
      <c r="M15" s="78">
        <v>1595</v>
      </c>
      <c r="N15" s="78">
        <v>9</v>
      </c>
      <c r="O15" s="78">
        <v>857</v>
      </c>
      <c r="P15" s="78">
        <v>6958</v>
      </c>
      <c r="Q15" s="78">
        <v>4660</v>
      </c>
      <c r="R15" s="78">
        <v>3507</v>
      </c>
      <c r="S15" s="78">
        <v>6851</v>
      </c>
      <c r="T15" s="78">
        <v>2983</v>
      </c>
      <c r="U15" s="78">
        <v>4551</v>
      </c>
      <c r="V15" s="78">
        <v>1098</v>
      </c>
      <c r="W15" s="71">
        <v>-596</v>
      </c>
      <c r="X15" s="78">
        <v>294</v>
      </c>
      <c r="Y15" s="106">
        <v>-9905</v>
      </c>
      <c r="Z15" s="78">
        <v>0</v>
      </c>
      <c r="AA15" s="78">
        <v>4242</v>
      </c>
      <c r="AB15" s="78" ph="1">
        <v>6901</v>
      </c>
      <c r="AC15" s="78" ph="1">
        <v>6546</v>
      </c>
      <c r="AD15" s="78">
        <v>13.44</v>
      </c>
      <c r="AE15" s="78">
        <v>84.7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73" t="s" ph="1">
        <v>180</v>
      </c>
      <c r="D16" s="73" ph="1">
        <f>D15*7.0686*LOOKUP(D17,密度!$A$2:$A$50,密度!$L$2:$L$50)</f>
        <v>27831.014996400001</v>
      </c>
      <c r="E16" s="73" ph="1">
        <f>E15*7.0686*LOOKUP(E17,密度!$A$2:$A$50,密度!$L$2:$L$50)</f>
        <v>503.36914320000005</v>
      </c>
      <c r="F16" s="73" ph="1">
        <f>F15*9.0746*LOOKUP(F17,密度!$A$2:$A$50,密度!$L$2:$L$50)</f>
        <v>18241.161996399998</v>
      </c>
      <c r="G16" s="73" ph="1">
        <f>G15*9.0746*LOOKUP(G17,密度!$A$2:$A$50,密度!$B$2:$B$50)</f>
        <v>32918.339272459998</v>
      </c>
      <c r="H16" s="73" ph="1">
        <f>H15*9.0746*LOOKUP(H17,密度!$A$2:$A$50,密度!$L$2:$L$50)</f>
        <v>38621.098317600001</v>
      </c>
      <c r="I16" s="73" ph="1">
        <f>I15*9.0746*LOOKUP(I17,密度!$A$2:$A$50,密度!$U$2:$U$50)</f>
        <v>37.3147552</v>
      </c>
      <c r="J16" s="73" ph="1">
        <f>J15*9.0746*LOOKUP(J17,密度!$A$2:$A$50,密度!$L$2:$L$50)</f>
        <v>10244.678924</v>
      </c>
      <c r="K16" s="73" ph="1">
        <f>K15*9.0746*LOOKUP(K17,密度!$A$2:$A$50,密度!$C$2:$C$50)</f>
        <v>19147.214525940002</v>
      </c>
      <c r="L16" s="73" ph="1">
        <f>L15*9.0746*LOOKUP(L17,密度!$A$2:$A$50,密度!$E$2:$E$50)</f>
        <v>40210.238639759998</v>
      </c>
      <c r="M16" s="73" ph="1">
        <f>M15*9.0746*LOOKUP(M17,密度!$A$2:$A$50,密度!$M$2:$M$50)</f>
        <v>12677.765213300001</v>
      </c>
      <c r="N16" s="73" ph="1">
        <f>N15*9.0746*LOOKUP(N17,密度!$A$2:$A$50,密度!$M$2:$M$50)</f>
        <v>71.89533342</v>
      </c>
      <c r="O16" s="73" ph="1">
        <f>O15*9.0746*LOOKUP(O17,密度!$A$2:$A$50,密度!$G$2:$G$50)</f>
        <v>7495.4072543600005</v>
      </c>
      <c r="P16" s="73" ph="1">
        <f ca="1">P15*9.0746*LOOKUP(P17,密度!$A$2:$A$51,密度!$Q$2:$Q$50)</f>
        <v>59733.343424803999</v>
      </c>
      <c r="Q16" s="73" ph="1">
        <f>Q15*9.0746*LOOKUP(Q17,密度!$A$2:$A$50,密度!$Q$2:$Q$50)</f>
        <v>40035.396506639998</v>
      </c>
      <c r="R16" s="73" ph="1">
        <f>MAX(R15*9.0746*LOOKUP(R17,密度!$A$2:$A$50,密度!$B$2:$B$50),0)</f>
        <v>24781.833307140001</v>
      </c>
      <c r="S16" s="73" ph="1">
        <f>S15*9.0746*LOOKUP(S17,密度!$A$2:$A$50,密度!$Q$2:$Q$50)</f>
        <v>58858.905894204006</v>
      </c>
      <c r="T16" s="73" ph="1">
        <f>T15*9.0746*LOOKUP(T17,密度!$A$2:$A$50,密度!$O$2:$O$50)</f>
        <v>25066.386446800003</v>
      </c>
      <c r="U16" s="73" ph="1">
        <f>U15*9.0746*LOOKUP(U17,密度!$A$2:$A$50,密度!$H$2:$H$50)</f>
        <v>37775.742157619999</v>
      </c>
      <c r="V16" s="73" ph="1">
        <f>MAX(5600*LOOKUP(V17,密度!$A$2:$A$50,密度!$Q$2:$Q$50)+V15*9.0476*LOOKUP(V17,密度!$A$2:$A$50,密度!$Q$2:$Q$50),0)</f>
        <v>14763.454580623998</v>
      </c>
      <c r="W16" s="73" ph="1">
        <f>MAX(5600*LOOKUP(W17,密度!$A$2:$A$50,密度!$Q$2:$Q$50)+W15*9.0476*LOOKUP(W17,密度!$A$2:$A$50,密度!$Q$2:$Q$50),0)</f>
        <v>197.32777955200072</v>
      </c>
      <c r="X16" s="73" ph="1">
        <f>MAX(5600*LOOKUP(X17,密度!$A$2:$A$50,密度!$I$2:$I$50)+X15*9.0476*LOOKUP(X17,密度!$A$2:$A$50,密度!$I$2:$I$50),0)</f>
        <v>8630.8681485599991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30148.855746240002</v>
      </c>
      <c r="AB16" s="73" ph="1">
        <f>AB15*9.0746*LOOKUP(AB17,密度!$A$2:$A$50,密度!$L$2:$L$50)</f>
        <v>58803.761909400004</v>
      </c>
      <c r="AC16" s="73" ph="1">
        <f>AC15*9.0746*LOOKUP(AC17,密度!$A$2:$A$50,密度!$L$2:$L$50)</f>
        <v>55897.594035599999</v>
      </c>
      <c r="AD16" s="73" ph="1">
        <f>AD15*268.68*LOOKUP(AD17,密度!$A$2:$A$50,密度!B2:B50)+IF(AD15&lt;=0,0,1566*LOOKUP(AD17,密度!$A$2:$A$50,密度!B2:B50))</f>
        <v>4036.0353523199997</v>
      </c>
      <c r="AE16" s="73" ph="1">
        <f>AE15*268.68*LOOKUP(AE17,密度!$A$2:$A$50,密度!B2:B50)+IF(AE15&lt;=0,0,1566*LOOKUP(AE17,密度!$A$2:$A$50,密度!B2:B50))</f>
        <v>18962.363601599998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25</v>
      </c>
      <c r="E17" s="74">
        <v>25</v>
      </c>
      <c r="F17" s="74">
        <v>24</v>
      </c>
      <c r="G17" s="74">
        <v>22</v>
      </c>
      <c r="H17" s="74">
        <v>20</v>
      </c>
      <c r="I17" s="74">
        <v>20</v>
      </c>
      <c r="J17" s="74">
        <v>22</v>
      </c>
      <c r="K17" s="74">
        <v>22</v>
      </c>
      <c r="L17" s="74">
        <v>24</v>
      </c>
      <c r="M17" s="74">
        <v>24</v>
      </c>
      <c r="N17" s="74">
        <v>20</v>
      </c>
      <c r="O17" s="74">
        <v>22</v>
      </c>
      <c r="P17" s="74">
        <v>26</v>
      </c>
      <c r="Q17" s="74">
        <v>25</v>
      </c>
      <c r="R17" s="74">
        <v>26</v>
      </c>
      <c r="S17" s="74">
        <v>25</v>
      </c>
      <c r="T17" s="74">
        <v>26</v>
      </c>
      <c r="U17" s="74">
        <v>25</v>
      </c>
      <c r="V17" s="74">
        <v>20</v>
      </c>
      <c r="W17" s="74">
        <v>20</v>
      </c>
      <c r="X17" s="74">
        <v>23</v>
      </c>
      <c r="Y17" s="108">
        <v>23</v>
      </c>
      <c r="Z17" s="74">
        <v>21</v>
      </c>
      <c r="AA17" s="74">
        <v>21</v>
      </c>
      <c r="AB17" s="74">
        <v>23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4211</v>
      </c>
      <c r="E18" s="71">
        <v>75</v>
      </c>
      <c r="F18" s="71">
        <v>2299</v>
      </c>
      <c r="G18" s="71">
        <v>3851</v>
      </c>
      <c r="H18" s="71">
        <v>4523</v>
      </c>
      <c r="I18" s="71">
        <v>5</v>
      </c>
      <c r="J18" s="71">
        <v>1206</v>
      </c>
      <c r="K18" s="71">
        <v>1899</v>
      </c>
      <c r="L18" s="71">
        <v>5665</v>
      </c>
      <c r="M18" s="71">
        <v>1600</v>
      </c>
      <c r="N18" s="71">
        <v>1020</v>
      </c>
      <c r="O18" s="71">
        <v>1223</v>
      </c>
      <c r="P18" s="71">
        <v>6965</v>
      </c>
      <c r="Q18" s="71">
        <v>4665</v>
      </c>
      <c r="R18" s="71">
        <v>3513</v>
      </c>
      <c r="S18" s="71">
        <v>6863</v>
      </c>
      <c r="T18" s="71">
        <v>2984</v>
      </c>
      <c r="U18" s="71">
        <v>4554</v>
      </c>
      <c r="V18" s="71">
        <v>1097</v>
      </c>
      <c r="W18" s="71">
        <v>-596</v>
      </c>
      <c r="X18" s="71">
        <v>294</v>
      </c>
      <c r="Y18" s="109">
        <v>-9905</v>
      </c>
      <c r="Z18" s="71">
        <v>0</v>
      </c>
      <c r="AA18" s="71">
        <v>4247</v>
      </c>
      <c r="AB18" s="71">
        <v>6915</v>
      </c>
      <c r="AC18" s="71">
        <v>6558</v>
      </c>
      <c r="AD18" s="71">
        <v>62.38</v>
      </c>
      <c r="AE18" s="71">
        <v>84.19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73" t="s" ph="1">
        <v>180</v>
      </c>
      <c r="D19" s="73" ph="1">
        <f>D18*7.0686*LOOKUP(D20,密度!$A$2:$A$50,密度!$L$2:$L$50)</f>
        <v>27801.326876400002</v>
      </c>
      <c r="E19" s="73" ph="1">
        <f>E18*7.0686*LOOKUP(E20,密度!$A$2:$A$50,密度!$L$2:$L$50)</f>
        <v>495.15543000000002</v>
      </c>
      <c r="F19" s="73" ph="1">
        <f>F18*9.0746*LOOKUP(F20,密度!$A$2:$A$50,密度!$L$2:$L$50)</f>
        <v>19485.580043600003</v>
      </c>
      <c r="G19" s="73" ph="1">
        <f>G18*9.0746*LOOKUP(G20,密度!$A$2:$A$50,密度!$B$2:$B$50)</f>
        <v>27212.671818019997</v>
      </c>
      <c r="H19" s="73" ph="1">
        <f>H18*9.0746*LOOKUP(H20,密度!$A$2:$A$50,密度!$L$2:$L$50)</f>
        <v>38581.750851999997</v>
      </c>
      <c r="I19" s="73" ph="1">
        <f>I18*9.0746*LOOKUP(I20,密度!$A$2:$A$50,密度!$U$2:$U$50)</f>
        <v>46.280460000000005</v>
      </c>
      <c r="J19" s="73" ph="1">
        <f>J18*9.0746*LOOKUP(J20,密度!$A$2:$A$50,密度!$L$2:$L$50)</f>
        <v>10199.777803200001</v>
      </c>
      <c r="K19" s="73" ph="1">
        <f>K18*9.0746*LOOKUP(K20,密度!$A$2:$A$50,密度!$C$2:$C$50)</f>
        <v>19043.818533540001</v>
      </c>
      <c r="L19" s="73" ph="1">
        <f>L18*9.0746*LOOKUP(L20,密度!$A$2:$A$50,密度!$E$2:$E$50)</f>
        <v>40149.342629000006</v>
      </c>
      <c r="M19" s="73" ph="1">
        <f>M18*9.0746*LOOKUP(M20,密度!$A$2:$A$50,密度!$M$2:$M$50)</f>
        <v>12676.853216</v>
      </c>
      <c r="N19" s="73" ph="1">
        <f>N18*9.0746*LOOKUP(N20,密度!$A$2:$A$50,密度!$M$2:$M$50)</f>
        <v>8071.3122240000002</v>
      </c>
      <c r="O19" s="73" ph="1">
        <f>O18*9.0746*LOOKUP(O20,密度!$A$2:$A$50,密度!$G$2:$G$50)</f>
        <v>10608.803601220001</v>
      </c>
      <c r="P19" s="73" ph="1">
        <f ca="1">P18*9.0746*LOOKUP(P20,密度!$A$2:$A$51,密度!$Q$2:$Q$50)</f>
        <v>59660.707694770004</v>
      </c>
      <c r="Q19" s="73" ph="1">
        <f>Q18*9.0746*LOOKUP(Q20,密度!$A$2:$A$50,密度!$Q$2:$Q$50)</f>
        <v>39988.606961580001</v>
      </c>
      <c r="R19" s="73" ph="1">
        <f>MAX(R18*9.0746*LOOKUP(R20,密度!$A$2:$A$50,密度!$B$2:$B$50),0)</f>
        <v>24744.533978760002</v>
      </c>
      <c r="S19" s="73" ph="1">
        <f>S18*9.0746*LOOKUP(S20,密度!$A$2:$A$50,密度!$Q$2:$Q$50)</f>
        <v>58829.969898676005</v>
      </c>
      <c r="T19" s="73" ph="1">
        <f>T18*9.0746*LOOKUP(T20,密度!$A$2:$A$50,密度!$O$2:$O$50)</f>
        <v>25074.789526400004</v>
      </c>
      <c r="U19" s="73" ph="1">
        <f>U18*9.0746*LOOKUP(U20,密度!$A$2:$A$50,密度!$H$2:$H$50)</f>
        <v>37689.064300800004</v>
      </c>
      <c r="V19" s="73" ph="1">
        <f>MAX(5600*LOOKUP(V20,密度!$A$2:$A$50,密度!$Q$2:$Q$50)+V18*9.0476*LOOKUP(V20,密度!$A$2:$A$50,密度!$Q$2:$Q$50),0)</f>
        <v>14676.298323504001</v>
      </c>
      <c r="W19" s="73" ph="1">
        <f>MAX(5600*LOOKUP(W20,密度!$A$2:$A$50,密度!$Q$2:$Q$50)+W18*9.0476*LOOKUP(W20,密度!$A$2:$A$50,密度!$Q$2:$Q$50),0)</f>
        <v>196.27716972800135</v>
      </c>
      <c r="X19" s="73" ph="1">
        <f>MAX(5600*LOOKUP(X20,密度!$A$2:$A$50,密度!$I$2:$I$50)+X18*9.0476*LOOKUP(X20,密度!$A$2:$A$50,密度!$I$2:$I$50),0)</f>
        <v>8581.308182159999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30115.02019268</v>
      </c>
      <c r="AB19" s="73" ph="1">
        <f>AB18*9.0746*LOOKUP(AB20,密度!$A$2:$A$50,密度!$L$2:$L$50)</f>
        <v>58797.554883000004</v>
      </c>
      <c r="AC19" s="73" ph="1">
        <f>AC18*9.0746*LOOKUP(AC20,密度!$A$2:$A$50,密度!$L$2:$L$50)</f>
        <v>55881.041965199998</v>
      </c>
      <c r="AD19" s="73" ph="1">
        <f>AD18*268.68*LOOKUP(AD20,密度!$A$2:$A$50,密度!B5:B53)+IF(AD18&lt;=0,0,1566*LOOKUP(AD20,密度!$A$2:$A$50,密度!B5:B53))</f>
        <v>14239.502776800002</v>
      </c>
      <c r="AE19" s="73" ph="1">
        <f>AE18*268.68*LOOKUP(AE20,密度!$A$2:$A$50,密度!B5:B53)+IF(AE18&lt;=0,0,1566*LOOKUP(AE20,密度!$A$2:$A$50,密度!B5:B53))</f>
        <v>18792.6534684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28</v>
      </c>
      <c r="E20" s="81">
        <v>28</v>
      </c>
      <c r="F20" s="81">
        <v>28</v>
      </c>
      <c r="G20" s="81">
        <v>26</v>
      </c>
      <c r="H20" s="81">
        <v>22</v>
      </c>
      <c r="I20" s="81">
        <v>30</v>
      </c>
      <c r="J20" s="81">
        <v>30</v>
      </c>
      <c r="K20" s="81">
        <v>30</v>
      </c>
      <c r="L20" s="81">
        <v>27</v>
      </c>
      <c r="M20" s="81">
        <v>27</v>
      </c>
      <c r="N20" s="81">
        <v>28</v>
      </c>
      <c r="O20" s="81">
        <v>29</v>
      </c>
      <c r="P20" s="81">
        <v>29</v>
      </c>
      <c r="Q20" s="81">
        <v>28</v>
      </c>
      <c r="R20" s="81">
        <v>29</v>
      </c>
      <c r="S20" s="81">
        <v>28</v>
      </c>
      <c r="T20" s="81">
        <v>29</v>
      </c>
      <c r="U20" s="81">
        <v>28</v>
      </c>
      <c r="V20" s="81">
        <v>27</v>
      </c>
      <c r="W20" s="81">
        <v>27</v>
      </c>
      <c r="X20" s="81">
        <v>28</v>
      </c>
      <c r="Y20" s="110">
        <v>28</v>
      </c>
      <c r="Z20" s="81">
        <v>36</v>
      </c>
      <c r="AA20" s="81">
        <v>23</v>
      </c>
      <c r="AB20" s="81">
        <v>25</v>
      </c>
      <c r="AC20" s="81">
        <v>23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659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73" t="s" ph="1">
        <v>179</v>
      </c>
      <c r="D24" s="71">
        <v>3.14</v>
      </c>
      <c r="E24" s="71">
        <v>95.47</v>
      </c>
      <c r="F24" s="71">
        <v>0</v>
      </c>
      <c r="G24" s="71">
        <v>3281</v>
      </c>
      <c r="H24" s="71">
        <v>624</v>
      </c>
      <c r="I24" s="71">
        <v>5510</v>
      </c>
      <c r="J24" s="71">
        <v>2694</v>
      </c>
      <c r="K24" s="71">
        <v>5636</v>
      </c>
      <c r="L24" s="71">
        <v>5610</v>
      </c>
      <c r="M24" s="71">
        <v>5413</v>
      </c>
      <c r="N24" s="71">
        <v>5359</v>
      </c>
      <c r="O24" s="71">
        <v>3519</v>
      </c>
      <c r="P24" s="71">
        <v>835</v>
      </c>
      <c r="Q24" s="90">
        <v>706</v>
      </c>
      <c r="R24" s="71">
        <v>6346</v>
      </c>
      <c r="S24" s="71">
        <v>83</v>
      </c>
      <c r="T24" s="71">
        <v>1751</v>
      </c>
      <c r="U24" s="71">
        <v>2996</v>
      </c>
      <c r="V24" s="71">
        <v>9641</v>
      </c>
      <c r="W24" s="71">
        <v>10626</v>
      </c>
      <c r="X24" s="71">
        <v>7351</v>
      </c>
      <c r="Y24" s="71">
        <v>2985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2281.316964048</v>
      </c>
      <c r="E25" s="91" ph="1">
        <f>E24*268.68*LOOKUP(E26,密度!$A$2:$A$50,密度!$C$2:$C$50)+IF(E24&lt;=0,0,1566*LOOKUP(E26,密度!$A$2:$A$50,密度!$C$2:$C$50))</f>
        <v>30180.797788440002</v>
      </c>
      <c r="F25" s="91" ph="1">
        <f>F24*11.702*LOOKUP(F26,密度!$A$2:$A$50,密度!$Q$2:$Q$50)</f>
        <v>0</v>
      </c>
      <c r="G25" s="91" ph="1">
        <f>G24*18.322*LOOKUP(G26,密度!$A$2:$A$50,密度!$B$2:$B$50)</f>
        <v>47027.559268599995</v>
      </c>
      <c r="H25" s="91" ph="1">
        <f>H24*18.322*LOOKUP(H26,密度!$A$2:$A$50,密度!$B$2:$B$50)</f>
        <v>8943.9795744000003</v>
      </c>
      <c r="I25" s="91" ph="1">
        <f>I24*18.322*LOOKUP(I26,密度!$A$2:$A$50,密度!$Q$2:$Q$50)</f>
        <v>95875.213191800009</v>
      </c>
      <c r="J25" s="91" ph="1">
        <f>J24*18.322*LOOKUP(J26,密度!$A$2:$A$50,密度!$Q$2:$Q$50)</f>
        <v>46846.577484120004</v>
      </c>
      <c r="K25" s="91" ph="1">
        <f>K24*18.322*LOOKUP(K26,密度!$A$2:$A$50,密度!$Q$2:$Q$50)</f>
        <v>98067.640934480005</v>
      </c>
      <c r="L25" s="91" ph="1">
        <f>L24*18.322*LOOKUP(L26,密度!$A$2:$A$50,密度!$Q$2:$Q$50)</f>
        <v>97615.235209799997</v>
      </c>
      <c r="M25" s="91" ph="1">
        <f>M24*18.322*LOOKUP(M26,密度!$A$2:$A$50,密度!$Q$2:$Q$50)</f>
        <v>94127.885642739988</v>
      </c>
      <c r="N25" s="91" ph="1">
        <f>N24*18.322*LOOKUP(N26,密度!$A$2:$A$50,密度!$Q$2:$Q$50)</f>
        <v>93188.867385819991</v>
      </c>
      <c r="O25" s="91" ph="1">
        <f>O24*18.322*LOOKUP(O26,密度!$A$2:$A$50,密度!$C$2:$C$50)</f>
        <v>71638.303609799987</v>
      </c>
      <c r="P25" s="91" ph="1">
        <f>P24*11.702*LOOKUP(P26,密度!$A$2:$A$50,密度!$B$2:$B$50)</f>
        <v>7652.7803439999998</v>
      </c>
      <c r="Q25" s="92" ph="1">
        <f>Q24*18.322*LOOKUP(Q26,密度!$A$2:$A$50,密度!$B$2:$B$50)</f>
        <v>10130.952022399999</v>
      </c>
      <c r="R25" s="91" ph="1">
        <f>R24*35.891*LOOKUP(R26,密度!$A$2:$A$50,密度!$C$2:$C$50)</f>
        <v>253410.54460359999</v>
      </c>
      <c r="S25" s="91" ph="1">
        <f>S24*35.891*LOOKUP(S26,密度!$A$2:$A$50,密度!$B$2:$B$50)</f>
        <v>2335.7970473</v>
      </c>
      <c r="T25" s="91" ph="1">
        <f>T24*35.891*LOOKUP(T26,密度!$A$2:$A$50,密度!$Q$2:$Q$50)</f>
        <v>59683.401956289999</v>
      </c>
      <c r="U25" s="91" ph="1">
        <f>U24*35.891</f>
        <v>107529.436</v>
      </c>
      <c r="V25" s="91" ph="1">
        <f>V24*47.051*LOOKUP(V26,密度!$A$2:$A$50,密度!$B$2:$B$50)</f>
        <v>355682.41561309999</v>
      </c>
      <c r="W25" s="91" ph="1">
        <f>W24*47.051*LOOKUP(W26,密度!$A$2:$A$50,密度!$B$2:$B$50)</f>
        <v>391571.74684320006</v>
      </c>
      <c r="X25" s="91" ph="1">
        <f>X24*47.051*LOOKUP(X26,密度!$A$2:$A$50,密度!$I$2:$I$50)</f>
        <v>355452.55265770003</v>
      </c>
      <c r="Y25" s="91" ph="1">
        <f>Y24*47.051*LOOKUP(Y26,密度!$A$2:$A$50,密度!$L$2:$L$50)</f>
        <v>132160.84813500001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21</v>
      </c>
      <c r="G26" s="74">
        <v>22</v>
      </c>
      <c r="H26" s="74">
        <v>22</v>
      </c>
      <c r="I26" s="74">
        <v>21</v>
      </c>
      <c r="J26" s="74">
        <v>22</v>
      </c>
      <c r="K26" s="74">
        <v>21</v>
      </c>
      <c r="L26" s="74">
        <v>21</v>
      </c>
      <c r="M26" s="74">
        <v>22</v>
      </c>
      <c r="N26" s="74">
        <v>22</v>
      </c>
      <c r="O26" s="74">
        <v>22</v>
      </c>
      <c r="P26" s="74">
        <v>21</v>
      </c>
      <c r="Q26" s="93">
        <v>21</v>
      </c>
      <c r="R26" s="74">
        <v>20</v>
      </c>
      <c r="S26" s="74">
        <v>20</v>
      </c>
      <c r="T26" s="74">
        <v>21</v>
      </c>
      <c r="U26" s="74">
        <v>21</v>
      </c>
      <c r="V26" s="74">
        <v>20</v>
      </c>
      <c r="W26" s="74">
        <v>21</v>
      </c>
      <c r="X26" s="74">
        <v>42</v>
      </c>
      <c r="Y26" s="74">
        <v>21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73" t="s" ph="1">
        <v>182</v>
      </c>
      <c r="D27" s="71">
        <v>3.25</v>
      </c>
      <c r="E27" s="71">
        <v>95.49</v>
      </c>
      <c r="F27" s="71">
        <v>0</v>
      </c>
      <c r="G27" s="71">
        <v>2815</v>
      </c>
      <c r="H27" s="71">
        <v>284</v>
      </c>
      <c r="I27" s="71">
        <v>5515</v>
      </c>
      <c r="J27" s="71">
        <v>3823</v>
      </c>
      <c r="K27" s="71">
        <v>5640</v>
      </c>
      <c r="L27" s="71">
        <v>5608</v>
      </c>
      <c r="M27" s="71">
        <v>5416</v>
      </c>
      <c r="N27" s="71">
        <v>5359</v>
      </c>
      <c r="O27" s="71">
        <v>3516</v>
      </c>
      <c r="P27" s="71">
        <v>833</v>
      </c>
      <c r="Q27" s="90">
        <v>999</v>
      </c>
      <c r="R27" s="71">
        <v>6344</v>
      </c>
      <c r="S27" s="71">
        <v>60</v>
      </c>
      <c r="T27" s="71">
        <v>1751</v>
      </c>
      <c r="U27" s="71">
        <v>3072</v>
      </c>
      <c r="V27" s="71">
        <v>9646</v>
      </c>
      <c r="W27" s="71">
        <v>10287</v>
      </c>
      <c r="X27" s="71">
        <v>6868</v>
      </c>
      <c r="Y27" s="71">
        <v>1593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73" t="s" ph="1">
        <v>180</v>
      </c>
      <c r="D28" s="91" ph="1">
        <f>D27*268.68*LOOKUP(D29,密度!$A$2:$A$50,密度!$Q$2:$Q$50)+IF(D27&lt;=0,0,1566*LOOKUP(D29,密度!$A$2:$A$50,密度!$Q$2:$Q$50))</f>
        <v>2309.2976754000001</v>
      </c>
      <c r="E28" s="91" ph="1">
        <f>E27*268.68*LOOKUP(E29,密度!$A$2:$A$50,密度!$C$2:$C$50)+IF(E27&lt;=0,0,1566*LOOKUP(E29,密度!$A$2:$A$50,密度!$C$2:$C$50))</f>
        <v>30186.756573480001</v>
      </c>
      <c r="F28" s="91" ph="1">
        <f>F27*11.702*LOOKUP(F29,密度!$A$2:$A$50,密度!$Q$2:$Q$50)</f>
        <v>0</v>
      </c>
      <c r="G28" s="91" ph="1">
        <f>G27*18.322*LOOKUP(G29,密度!$A$2:$A$50,密度!$B$2:$B$50)</f>
        <v>40255.403614999996</v>
      </c>
      <c r="H28" s="91" ph="1">
        <f>H27*18.322*LOOKUP(H29,密度!$A$2:$A$50,密度!$B$2:$B$50)</f>
        <v>4061.2911639999993</v>
      </c>
      <c r="I28" s="91" ph="1">
        <f>I27*18.322*LOOKUP(I29,密度!$A$2:$A$50,密度!$Q$2:$Q$50)</f>
        <v>95811.656006000005</v>
      </c>
      <c r="J28" s="91" ph="1">
        <f>J27*18.322*LOOKUP(J29,密度!$A$2:$A$50,密度!$Q$2:$Q$50)</f>
        <v>66365.541834820004</v>
      </c>
      <c r="K28" s="91" ph="1">
        <f>K27*18.322*LOOKUP(K29,密度!$A$2:$A$50,密度!$Q$2:$Q$50)</f>
        <v>97907.835717599999</v>
      </c>
      <c r="L28" s="91" ph="1">
        <f>L27*18.322*LOOKUP(L29,密度!$A$2:$A$50,密度!$Q$2:$Q$50)</f>
        <v>97352.330266720004</v>
      </c>
      <c r="M28" s="91" ph="1">
        <f>M27*18.322*LOOKUP(M29,密度!$A$2:$A$50,密度!$Q$2:$Q$50)</f>
        <v>94091.736886400002</v>
      </c>
      <c r="N28" s="91" ph="1">
        <f>N27*18.322*LOOKUP(N29,密度!$A$2:$A$50,密度!$Q$2:$Q$50)</f>
        <v>93101.480423600005</v>
      </c>
      <c r="O28" s="91" ph="1">
        <f>O27*18.322*LOOKUP(O29,密度!$A$2:$A$50,密度!$C$2:$C$50)</f>
        <v>71480.60065919999</v>
      </c>
      <c r="P28" s="91" ph="1">
        <f>P27*11.702*LOOKUP(P29,密度!$A$2:$A$50,密度!$B$2:$B$50)</f>
        <v>7608.1313629999995</v>
      </c>
      <c r="Q28" s="92" ph="1">
        <f>Q27*18.322*LOOKUP(Q29,密度!$A$2:$A$50,密度!$B$2:$B$50)</f>
        <v>14286.020678999999</v>
      </c>
      <c r="R28" s="91" ph="1">
        <f>R27*35.891*LOOKUP(R29,密度!$A$2:$A$50,密度!$C$2:$C$50)</f>
        <v>252829.75644160001</v>
      </c>
      <c r="S28" s="91" ph="1">
        <f>S27*35.891*LOOKUP(S29,密度!$A$2:$A$50,密度!$B$2:$B$50)</f>
        <v>1682.7136439999999</v>
      </c>
      <c r="T28" s="91" ph="1">
        <f>T27*35.891*LOOKUP(T29,密度!$A$2:$A$50,密度!$Q$2:$Q$50)</f>
        <v>59543.885743269995</v>
      </c>
      <c r="U28" s="91" ph="1">
        <f>U27*35.891</f>
        <v>110257.152</v>
      </c>
      <c r="V28" s="91" ph="1">
        <f>V27*47.051*LOOKUP(V29,密度!$A$2:$A$50,密度!$B$2:$B$50)</f>
        <v>354641.47340439999</v>
      </c>
      <c r="W28" s="91" ph="1">
        <f>W27*47.051*LOOKUP(W29,密度!$A$2:$A$50,密度!$B$2:$B$50)</f>
        <v>378208.25595180003</v>
      </c>
      <c r="X28" s="91" ph="1">
        <f>X27*47.051*LOOKUP(X29,密度!$A$2:$A$50,密度!$I$2:$I$50)</f>
        <v>334663.20099152002</v>
      </c>
      <c r="Y28" s="91" ph="1">
        <f>Y27*47.051*LOOKUP(Y29,密度!$A$2:$A$50,密度!$L$2:$L$50)</f>
        <v>70380.156176999997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73" t="s" ph="1">
        <v>181</v>
      </c>
      <c r="D29" s="74">
        <v>25</v>
      </c>
      <c r="E29" s="74">
        <v>25</v>
      </c>
      <c r="F29" s="74">
        <v>23</v>
      </c>
      <c r="G29" s="74">
        <v>24</v>
      </c>
      <c r="H29" s="74">
        <v>24</v>
      </c>
      <c r="I29" s="74">
        <v>23</v>
      </c>
      <c r="J29" s="74">
        <v>24</v>
      </c>
      <c r="K29" s="74">
        <v>24</v>
      </c>
      <c r="L29" s="74">
        <v>24</v>
      </c>
      <c r="M29" s="74">
        <v>23</v>
      </c>
      <c r="N29" s="74">
        <v>23</v>
      </c>
      <c r="O29" s="74">
        <v>24</v>
      </c>
      <c r="P29" s="74">
        <v>24</v>
      </c>
      <c r="Q29" s="93">
        <v>24</v>
      </c>
      <c r="R29" s="74">
        <v>23</v>
      </c>
      <c r="S29" s="74">
        <v>23</v>
      </c>
      <c r="T29" s="74">
        <v>24</v>
      </c>
      <c r="U29" s="74">
        <v>23</v>
      </c>
      <c r="V29" s="74">
        <v>23</v>
      </c>
      <c r="W29" s="74">
        <v>23</v>
      </c>
      <c r="X29" s="74">
        <v>49</v>
      </c>
      <c r="Y29" s="74">
        <v>23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73" t="s" ph="1">
        <v>5</v>
      </c>
      <c r="F32" s="172" t="s" ph="1">
        <v>43</v>
      </c>
      <c r="G32" s="97" t="s" ph="1">
        <v>4</v>
      </c>
      <c r="H32" s="173" t="s" ph="1">
        <v>5</v>
      </c>
      <c r="I32" s="172" t="s" ph="1">
        <v>43</v>
      </c>
      <c r="J32" s="97" t="s" ph="1">
        <v>4</v>
      </c>
      <c r="K32" s="173" t="s" ph="1">
        <v>5</v>
      </c>
      <c r="L32" s="172" t="s" ph="1">
        <v>43</v>
      </c>
      <c r="M32" s="97" t="s" ph="1">
        <v>4</v>
      </c>
      <c r="N32" s="173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3" t="s" ph="1">
        <v>5</v>
      </c>
      <c r="U32" s="99" t="s" ph="1">
        <v>43</v>
      </c>
      <c r="V32" s="97" t="s" ph="1">
        <v>4</v>
      </c>
      <c r="W32" s="173" t="s" ph="1">
        <v>5</v>
      </c>
      <c r="X32" s="99" t="s" ph="1">
        <v>43</v>
      </c>
      <c r="Y32" s="100" t="s" ph="1">
        <v>4</v>
      </c>
      <c r="Z32" s="173" t="s" ph="1">
        <v>5</v>
      </c>
      <c r="AA32" s="172" t="s" ph="1">
        <v>43</v>
      </c>
      <c r="AB32" s="97" t="s" ph="1">
        <v>86</v>
      </c>
      <c r="AC32" s="173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77207.655746899996</v>
      </c>
      <c r="E33" s="201" ph="1">
        <f>M10+I10</f>
        <v>116489.5230476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27" ph="1">
        <v>0</v>
      </c>
      <c r="H33" s="201" ph="1">
        <f>N19</f>
        <v>8071.3122240000002</v>
      </c>
      <c r="I33" s="205" ph="1">
        <v>0</v>
      </c>
      <c r="J33" s="209" ph="1">
        <f>F10+O28</f>
        <v>190126.01896319998</v>
      </c>
      <c r="K33" s="201" ph="1">
        <f>O10+K10+E28+R28</f>
        <v>329332.12580308004</v>
      </c>
      <c r="L33" s="211" ph="1">
        <f>BE27</f>
        <v>7100</v>
      </c>
      <c r="M33" s="209" ph="1">
        <f>G10+H10+W28+S28</f>
        <v>1045473.7211798</v>
      </c>
      <c r="N33" s="201" ph="1">
        <f>L10+P10++G28+H28+V28</f>
        <v>538690.23202540004</v>
      </c>
      <c r="O33" s="205" ph="1">
        <f>BE17</f>
        <v>2270</v>
      </c>
      <c r="P33" s="209" ph="1">
        <f>L19</f>
        <v>40149.342629000006</v>
      </c>
      <c r="Q33" s="201" ph="1">
        <f>J10+N10</f>
        <v>81738.925294400004</v>
      </c>
      <c r="R33" s="205" ph="1">
        <f>BE23</f>
        <v>890</v>
      </c>
      <c r="S33" s="209" ph="1">
        <f>E10+X28</f>
        <v>470231.30342552002</v>
      </c>
      <c r="T33" s="201" ph="1">
        <f>X19</f>
        <v>8581.308182159999</v>
      </c>
      <c r="U33" s="190" ph="1">
        <f>BE21</f>
        <v>730</v>
      </c>
      <c r="V33" s="203" ph="1">
        <f ca="1">P19+Q19+S19+M28+N28+J28</f>
        <v>412038.04369984602</v>
      </c>
      <c r="W33" s="203" ph="1">
        <f>D28+F28+V19+T28</f>
        <v>76529.481742174001</v>
      </c>
      <c r="X33" s="205" ph="1">
        <f>BE29+BE31</f>
        <v>10200</v>
      </c>
      <c r="Y33" s="207" ph="1">
        <f>+Q10+R10+S10+T10+U10+V10+W10+X10+Y10</f>
        <v>187673.54247180003</v>
      </c>
      <c r="Z33" s="188" ph="1">
        <f>D10+T19+U19+Y28+Z10</f>
        <v>318517.76078546001</v>
      </c>
      <c r="AA33" s="190" ph="1">
        <f>BE19</f>
        <v>1440</v>
      </c>
      <c r="AB33" s="192" ph="1">
        <f>I19</f>
        <v>46.280460000000005</v>
      </c>
      <c r="AC33" s="194" ph="1">
        <f>AD10</f>
        <v>26721.4909248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71" t="s" ph="1">
        <v>187</v>
      </c>
      <c r="AA36" s="171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7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1" t="s" ph="1">
        <v>346</v>
      </c>
      <c r="AI37" s="171" t="s" ph="1">
        <v>213</v>
      </c>
      <c r="AJ37" s="171" t="s" ph="1">
        <v>214</v>
      </c>
      <c r="AK37" s="171" t="s" ph="1">
        <v>215</v>
      </c>
      <c r="AM37" s="171" t="s" ph="1">
        <v>214</v>
      </c>
      <c r="AN37" s="171" t="s" ph="1">
        <v>215</v>
      </c>
      <c r="AO37" s="171" t="s" ph="1">
        <v>216</v>
      </c>
      <c r="AP37" s="171" t="s" ph="1">
        <v>214</v>
      </c>
      <c r="AQ37" s="171" t="s" ph="1">
        <v>215</v>
      </c>
      <c r="AR37" s="171" t="s" ph="1">
        <v>216</v>
      </c>
      <c r="AS37" s="171" t="s" ph="1">
        <v>214</v>
      </c>
      <c r="AT37" s="171" t="s" ph="1">
        <v>215</v>
      </c>
      <c r="AU37" s="171" t="s" ph="1">
        <v>216</v>
      </c>
      <c r="AV37" s="171" t="s" ph="1">
        <v>214</v>
      </c>
      <c r="AW37" s="171" t="s" ph="1">
        <v>215</v>
      </c>
      <c r="AX37" s="171" t="s" ph="1">
        <v>216</v>
      </c>
      <c r="AY37" s="171" t="s" ph="1">
        <v>215</v>
      </c>
      <c r="AZ37" s="171" t="s" ph="1">
        <v>217</v>
      </c>
      <c r="BD37" s="171" t="s" ph="1">
        <v>309</v>
      </c>
      <c r="BE37" s="171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3" priority="96">
      <formula>ABS(D$7-D$10)&gt;=1000</formula>
    </cfRule>
  </conditionalFormatting>
  <conditionalFormatting sqref="E4 E6:E11">
    <cfRule type="expression" dxfId="502" priority="95">
      <formula>ABS(E$7-E$10)&gt;=1000</formula>
    </cfRule>
  </conditionalFormatting>
  <conditionalFormatting sqref="F4:F11">
    <cfRule type="expression" dxfId="501" priority="94">
      <formula>ABS(F$7-F$10)&gt;=1000</formula>
    </cfRule>
  </conditionalFormatting>
  <conditionalFormatting sqref="G4:G11">
    <cfRule type="expression" dxfId="500" priority="93">
      <formula>ABS(G$7-G$10)&gt;=1000</formula>
    </cfRule>
  </conditionalFormatting>
  <conditionalFormatting sqref="H4:H11">
    <cfRule type="expression" dxfId="499" priority="92">
      <formula>ABS(H$7-H$10)&gt;=1000</formula>
    </cfRule>
  </conditionalFormatting>
  <conditionalFormatting sqref="I4:I11">
    <cfRule type="expression" dxfId="498" priority="91">
      <formula>ABS(I$7-I$10)&gt;=1000</formula>
    </cfRule>
  </conditionalFormatting>
  <conditionalFormatting sqref="J4:J11">
    <cfRule type="expression" dxfId="497" priority="90">
      <formula>ABS(J$7-J$10)&gt;=1000</formula>
    </cfRule>
  </conditionalFormatting>
  <conditionalFormatting sqref="K4:K11">
    <cfRule type="expression" dxfId="496" priority="89">
      <formula>ABS(K$7-K$10)&gt;=1000</formula>
    </cfRule>
  </conditionalFormatting>
  <conditionalFormatting sqref="L4:L11">
    <cfRule type="expression" dxfId="495" priority="88">
      <formula>ABS(L$7-L$10)&gt;=1000</formula>
    </cfRule>
  </conditionalFormatting>
  <conditionalFormatting sqref="M4 M6:M11">
    <cfRule type="expression" dxfId="494" priority="87">
      <formula>ABS(M$7-M$10)&gt;=1000</formula>
    </cfRule>
  </conditionalFormatting>
  <conditionalFormatting sqref="N4 N6:N11">
    <cfRule type="expression" dxfId="493" priority="86">
      <formula>ABS(N$7-N$10)&gt;=1000</formula>
    </cfRule>
  </conditionalFormatting>
  <conditionalFormatting sqref="O4 O6:O11">
    <cfRule type="expression" dxfId="492" priority="85">
      <formula>ABS(O$7-O$10)&gt;=1000</formula>
    </cfRule>
  </conditionalFormatting>
  <conditionalFormatting sqref="P4 P6:P11">
    <cfRule type="expression" dxfId="491" priority="84">
      <formula>ABS(P$7-P$10)&gt;=1000</formula>
    </cfRule>
  </conditionalFormatting>
  <conditionalFormatting sqref="Q4:Q11">
    <cfRule type="expression" dxfId="490" priority="83">
      <formula>ABS(Q$7-Q$10)&gt;=1000</formula>
    </cfRule>
  </conditionalFormatting>
  <conditionalFormatting sqref="R4:R11">
    <cfRule type="expression" dxfId="489" priority="82">
      <formula>ABS(R$7-R$10)&gt;=1000</formula>
    </cfRule>
  </conditionalFormatting>
  <conditionalFormatting sqref="S4:S11">
    <cfRule type="expression" dxfId="488" priority="81">
      <formula>ABS(S$7-S$10)&gt;=1000</formula>
    </cfRule>
  </conditionalFormatting>
  <conditionalFormatting sqref="T4:T9 T11">
    <cfRule type="expression" dxfId="487" priority="80">
      <formula>ABS(T$7-T$10)&gt;=1000</formula>
    </cfRule>
  </conditionalFormatting>
  <conditionalFormatting sqref="U4:U9 U11">
    <cfRule type="expression" dxfId="486" priority="79">
      <formula>ABS(U$7-U$10)&gt;=1000</formula>
    </cfRule>
  </conditionalFormatting>
  <conditionalFormatting sqref="V4:V9 V11">
    <cfRule type="expression" dxfId="485" priority="78">
      <formula>ABS(V$7-V$10)&gt;=1000</formula>
    </cfRule>
  </conditionalFormatting>
  <conditionalFormatting sqref="W4:W9 W11">
    <cfRule type="expression" dxfId="484" priority="77">
      <formula>ABS(W$7-W$10)&gt;=1000</formula>
    </cfRule>
  </conditionalFormatting>
  <conditionalFormatting sqref="X4:X9 X11">
    <cfRule type="expression" dxfId="483" priority="76">
      <formula>ABS(X$7-X$10)&gt;=1000</formula>
    </cfRule>
  </conditionalFormatting>
  <conditionalFormatting sqref="Y4:Y9 Y11">
    <cfRule type="expression" dxfId="482" priority="75">
      <formula>ABS(Y$7-Y$10)&gt;=1000</formula>
    </cfRule>
  </conditionalFormatting>
  <conditionalFormatting sqref="Z4:Z11">
    <cfRule type="expression" dxfId="481" priority="74">
      <formula>ABS(Z$7-Z$10)&gt;=1000</formula>
    </cfRule>
  </conditionalFormatting>
  <conditionalFormatting sqref="AA4:AA11">
    <cfRule type="expression" dxfId="480" priority="73">
      <formula>ABS(AA$7-AA$10)&gt;=1000</formula>
    </cfRule>
  </conditionalFormatting>
  <conditionalFormatting sqref="AB4:AB11">
    <cfRule type="expression" dxfId="479" priority="72">
      <formula>ABS(AB$7-AB$10)&gt;=1000</formula>
    </cfRule>
  </conditionalFormatting>
  <conditionalFormatting sqref="AC4 AC6:AC11">
    <cfRule type="expression" dxfId="478" priority="71">
      <formula>ABS(AC$7-AC$10)&gt;=1000</formula>
    </cfRule>
  </conditionalFormatting>
  <conditionalFormatting sqref="AD4:AD11">
    <cfRule type="expression" dxfId="477" priority="70">
      <formula>ABS(AD$7-AD$10)&gt;=1000</formula>
    </cfRule>
  </conditionalFormatting>
  <conditionalFormatting sqref="AE4:AE11">
    <cfRule type="expression" dxfId="476" priority="69">
      <formula>ABS(AE$7-AE$10)&gt;=1000</formula>
    </cfRule>
  </conditionalFormatting>
  <conditionalFormatting sqref="D13:D20">
    <cfRule type="expression" dxfId="475" priority="68">
      <formula>ABS(D$16-D$19)&gt;=1000</formula>
    </cfRule>
  </conditionalFormatting>
  <conditionalFormatting sqref="E13:E20">
    <cfRule type="expression" dxfId="474" priority="67">
      <formula>ABS(E$16-E$19)&gt;=1000</formula>
    </cfRule>
  </conditionalFormatting>
  <conditionalFormatting sqref="F13 F15:F20">
    <cfRule type="expression" dxfId="473" priority="66">
      <formula>ABS(F$16-F$19)&gt;=1000</formula>
    </cfRule>
  </conditionalFormatting>
  <conditionalFormatting sqref="G13:G20">
    <cfRule type="expression" dxfId="472" priority="65">
      <formula>ABS(G$16-G$19)&gt;=1000</formula>
    </cfRule>
  </conditionalFormatting>
  <conditionalFormatting sqref="H13:H20">
    <cfRule type="expression" dxfId="471" priority="64">
      <formula>ABS(H$16-H$19)&gt;=1000</formula>
    </cfRule>
  </conditionalFormatting>
  <conditionalFormatting sqref="I13:I20">
    <cfRule type="expression" dxfId="470" priority="63">
      <formula>ABS(I$16-I$19)&gt;=1000</formula>
    </cfRule>
  </conditionalFormatting>
  <conditionalFormatting sqref="J13:J20">
    <cfRule type="expression" dxfId="469" priority="62">
      <formula>ABS(J$16-J$19)&gt;=1000</formula>
    </cfRule>
  </conditionalFormatting>
  <conditionalFormatting sqref="L13:L20">
    <cfRule type="expression" dxfId="468" priority="61">
      <formula>ABS(L$16-L$19)&gt;=1000</formula>
    </cfRule>
  </conditionalFormatting>
  <conditionalFormatting sqref="M13 M15 M17:M18 M20">
    <cfRule type="expression" dxfId="467" priority="60">
      <formula>ABS(M$16-M$19)&gt;=1000</formula>
    </cfRule>
  </conditionalFormatting>
  <conditionalFormatting sqref="N13:N20">
    <cfRule type="expression" dxfId="466" priority="59">
      <formula>ABS(N$16-N$19)&gt;=1000</formula>
    </cfRule>
  </conditionalFormatting>
  <conditionalFormatting sqref="O13:O20">
    <cfRule type="expression" dxfId="465" priority="58">
      <formula>ABS(O$16-O$19)&gt;=1000</formula>
    </cfRule>
  </conditionalFormatting>
  <conditionalFormatting sqref="P13:P20">
    <cfRule type="expression" dxfId="464" priority="57">
      <formula>ABS(P$16-P$19)&gt;=1000</formula>
    </cfRule>
  </conditionalFormatting>
  <conditionalFormatting sqref="Q13 Q15:Q20">
    <cfRule type="expression" dxfId="463" priority="56">
      <formula>ABS(Q$16-Q$19)&gt;=1000</formula>
    </cfRule>
  </conditionalFormatting>
  <conditionalFormatting sqref="R13:R20">
    <cfRule type="expression" dxfId="462" priority="55">
      <formula>ABS(R$16-R$19)&gt;=1000</formula>
    </cfRule>
  </conditionalFormatting>
  <conditionalFormatting sqref="S13:S20">
    <cfRule type="expression" dxfId="461" priority="54">
      <formula>ABS(S$16-S$19)&gt;=1000</formula>
    </cfRule>
  </conditionalFormatting>
  <conditionalFormatting sqref="T13:T20">
    <cfRule type="expression" dxfId="460" priority="53">
      <formula>ABS(T$16-T$19)&gt;=1000</formula>
    </cfRule>
  </conditionalFormatting>
  <conditionalFormatting sqref="U13:U20">
    <cfRule type="expression" dxfId="459" priority="52">
      <formula>ABS(U$16-U$19)&gt;=1000</formula>
    </cfRule>
  </conditionalFormatting>
  <conditionalFormatting sqref="V13:V20">
    <cfRule type="expression" dxfId="458" priority="51">
      <formula>ABS(V$16-V$19)&gt;=1000</formula>
    </cfRule>
  </conditionalFormatting>
  <conditionalFormatting sqref="W13 W20 W15:W18">
    <cfRule type="expression" dxfId="457" priority="50">
      <formula>ABS(W$16-W$19)&gt;=1000</formula>
    </cfRule>
  </conditionalFormatting>
  <conditionalFormatting sqref="X13 X15:X20 Y19">
    <cfRule type="expression" dxfId="456" priority="49">
      <formula>ABS(X$16-X$19)&gt;=1000</formula>
    </cfRule>
  </conditionalFormatting>
  <conditionalFormatting sqref="Y13 Y15:Y18 Y20">
    <cfRule type="expression" dxfId="455" priority="48">
      <formula>ABS(Y$16-Y$19)&gt;=1000</formula>
    </cfRule>
  </conditionalFormatting>
  <conditionalFormatting sqref="Z13:Z20">
    <cfRule type="expression" dxfId="454" priority="47">
      <formula>ABS(Z$16-Z$19)&gt;=1000</formula>
    </cfRule>
  </conditionalFormatting>
  <conditionalFormatting sqref="AA13:AA20">
    <cfRule type="expression" dxfId="453" priority="46">
      <formula>ABS(AA$16-AA$19)&gt;=1000</formula>
    </cfRule>
  </conditionalFormatting>
  <conditionalFormatting sqref="AB13 AB15:AB20">
    <cfRule type="expression" dxfId="452" priority="45">
      <formula>ABS(AB$16-AB$19)&gt;=1000</formula>
    </cfRule>
  </conditionalFormatting>
  <conditionalFormatting sqref="AC13 AC15:AC20">
    <cfRule type="expression" dxfId="451" priority="44">
      <formula>ABS(AC$16-AC$19)&gt;=1000</formula>
    </cfRule>
  </conditionalFormatting>
  <conditionalFormatting sqref="AD13:AD20">
    <cfRule type="expression" dxfId="450" priority="43">
      <formula>ABS(AD$16-AD$19)&gt;=1000</formula>
    </cfRule>
  </conditionalFormatting>
  <conditionalFormatting sqref="AE13:AE20">
    <cfRule type="expression" dxfId="449" priority="42">
      <formula>ABS(AE$16-AE$19)&gt;=1000</formula>
    </cfRule>
  </conditionalFormatting>
  <conditionalFormatting sqref="D22:D29">
    <cfRule type="expression" dxfId="448" priority="41">
      <formula>ABS(D$25-D$28)&gt;=1000</formula>
    </cfRule>
  </conditionalFormatting>
  <conditionalFormatting sqref="E22:E29">
    <cfRule type="expression" dxfId="447" priority="40">
      <formula>ABS(E$25-E$28)&gt;=1000</formula>
    </cfRule>
  </conditionalFormatting>
  <conditionalFormatting sqref="F22:F29">
    <cfRule type="expression" dxfId="446" priority="39">
      <formula>ABS(F$25-F$28)&gt;=1000</formula>
    </cfRule>
  </conditionalFormatting>
  <conditionalFormatting sqref="G22:G29">
    <cfRule type="expression" dxfId="445" priority="38">
      <formula>ABS(G$25-G$28)&gt;=1000</formula>
    </cfRule>
  </conditionalFormatting>
  <conditionalFormatting sqref="H22:H29">
    <cfRule type="expression" dxfId="444" priority="37">
      <formula>ABS(H$25-H$28)&gt;=1000</formula>
    </cfRule>
  </conditionalFormatting>
  <conditionalFormatting sqref="I22 I24:I29">
    <cfRule type="expression" dxfId="443" priority="36">
      <formula>ABS(I$25-I$28)&gt;=1000</formula>
    </cfRule>
  </conditionalFormatting>
  <conditionalFormatting sqref="J22:J29 K22">
    <cfRule type="expression" dxfId="442" priority="35">
      <formula>ABS(J$25-J$28)&gt;=1000</formula>
    </cfRule>
  </conditionalFormatting>
  <conditionalFormatting sqref="K23:K29 L25 L28">
    <cfRule type="expression" dxfId="441" priority="34">
      <formula>ABS(K$25-K$28)&gt;=1000</formula>
    </cfRule>
  </conditionalFormatting>
  <conditionalFormatting sqref="L22:L24 L26:L27 L29">
    <cfRule type="expression" dxfId="440" priority="33">
      <formula>ABS(L$25-L$28)&gt;=1000</formula>
    </cfRule>
  </conditionalFormatting>
  <conditionalFormatting sqref="M22:M29">
    <cfRule type="expression" dxfId="439" priority="32">
      <formula>ABS(M$25-M$28)&gt;=1000</formula>
    </cfRule>
  </conditionalFormatting>
  <conditionalFormatting sqref="N22:N29">
    <cfRule type="expression" dxfId="438" priority="31">
      <formula>ABS(N$25-N$28)&gt;=1000</formula>
    </cfRule>
  </conditionalFormatting>
  <conditionalFormatting sqref="O22:O29">
    <cfRule type="expression" dxfId="437" priority="30">
      <formula>ABS(O$25-O$28)&gt;=1000</formula>
    </cfRule>
  </conditionalFormatting>
  <conditionalFormatting sqref="P22:P29">
    <cfRule type="expression" dxfId="436" priority="29">
      <formula>ABS(P$25-P$28)&gt;=1000</formula>
    </cfRule>
  </conditionalFormatting>
  <conditionalFormatting sqref="Q22:Q29">
    <cfRule type="expression" dxfId="435" priority="28">
      <formula>ABS(Q$25-Q$28)&gt;=1000</formula>
    </cfRule>
  </conditionalFormatting>
  <conditionalFormatting sqref="R22:R29">
    <cfRule type="expression" dxfId="434" priority="27">
      <formula>ABS(R$25-R$28)&gt;=1000</formula>
    </cfRule>
  </conditionalFormatting>
  <conditionalFormatting sqref="S22:S29">
    <cfRule type="expression" dxfId="433" priority="26">
      <formula>ABS(S$25-S$28)&gt;=1000</formula>
    </cfRule>
  </conditionalFormatting>
  <conditionalFormatting sqref="T22:T29">
    <cfRule type="expression" dxfId="432" priority="25">
      <formula>ABS(T$25-T$28)&gt;=1000</formula>
    </cfRule>
  </conditionalFormatting>
  <conditionalFormatting sqref="U22:U29">
    <cfRule type="expression" dxfId="431" priority="24">
      <formula>ABS(U$25-U$28)&gt;=1000</formula>
    </cfRule>
  </conditionalFormatting>
  <conditionalFormatting sqref="V22:V29">
    <cfRule type="expression" dxfId="430" priority="23">
      <formula>ABS(V$25-V$28)&gt;=1000</formula>
    </cfRule>
  </conditionalFormatting>
  <conditionalFormatting sqref="W22:W29">
    <cfRule type="expression" dxfId="429" priority="22">
      <formula>ABS(W$25-W$28)&gt;=1000</formula>
    </cfRule>
  </conditionalFormatting>
  <conditionalFormatting sqref="X22:X29">
    <cfRule type="expression" dxfId="428" priority="21">
      <formula>ABS(X$25-X$28)&gt;=1000</formula>
    </cfRule>
  </conditionalFormatting>
  <conditionalFormatting sqref="Y22:Y29">
    <cfRule type="expression" dxfId="427" priority="20">
      <formula>ABS(Y$25-Y$28)&gt;=1000</formula>
    </cfRule>
  </conditionalFormatting>
  <conditionalFormatting sqref="I23">
    <cfRule type="expression" dxfId="426" priority="19">
      <formula>ABS(I$25-I$28)&gt;=1000</formula>
    </cfRule>
  </conditionalFormatting>
  <conditionalFormatting sqref="F14">
    <cfRule type="expression" dxfId="425" priority="18">
      <formula>ABS(F$16-F$19)&gt;=1000</formula>
    </cfRule>
  </conditionalFormatting>
  <conditionalFormatting sqref="Q14">
    <cfRule type="expression" dxfId="424" priority="17">
      <formula>ABS(Q$16-Q$19)&gt;=1000</formula>
    </cfRule>
  </conditionalFormatting>
  <conditionalFormatting sqref="W14">
    <cfRule type="expression" dxfId="423" priority="16">
      <formula>ABS(W$16-W$19)&gt;=1000</formula>
    </cfRule>
  </conditionalFormatting>
  <conditionalFormatting sqref="Y14">
    <cfRule type="expression" dxfId="422" priority="15">
      <formula>ABS(Y$16-Y$19)&gt;=1000</formula>
    </cfRule>
  </conditionalFormatting>
  <conditionalFormatting sqref="X14">
    <cfRule type="expression" dxfId="421" priority="14">
      <formula>ABS(X$16-X$19)&gt;=1000</formula>
    </cfRule>
  </conditionalFormatting>
  <conditionalFormatting sqref="T10:Y10">
    <cfRule type="expression" dxfId="420" priority="13">
      <formula>ABS(T$7-T$10)&gt;=1000</formula>
    </cfRule>
  </conditionalFormatting>
  <conditionalFormatting sqref="W19">
    <cfRule type="expression" dxfId="419" priority="12">
      <formula>ABS(W$16-W$19)&gt;=1000</formula>
    </cfRule>
  </conditionalFormatting>
  <conditionalFormatting sqref="AC5">
    <cfRule type="expression" dxfId="418" priority="11">
      <formula>ABS(AC$7-AC$10)&gt;=1000</formula>
    </cfRule>
  </conditionalFormatting>
  <conditionalFormatting sqref="M14">
    <cfRule type="expression" dxfId="417" priority="10">
      <formula>ABS(M$16-M$19)&gt;=1000</formula>
    </cfRule>
  </conditionalFormatting>
  <conditionalFormatting sqref="M16">
    <cfRule type="expression" dxfId="416" priority="9">
      <formula>ABS(M$16-M$19)&gt;=1000</formula>
    </cfRule>
  </conditionalFormatting>
  <conditionalFormatting sqref="M19">
    <cfRule type="expression" dxfId="415" priority="8">
      <formula>ABS(M$16-M$19)&gt;=1000</formula>
    </cfRule>
  </conditionalFormatting>
  <conditionalFormatting sqref="K13:K20">
    <cfRule type="expression" dxfId="414" priority="7">
      <formula>ABS(K$16-K$19)&gt;=1000</formula>
    </cfRule>
  </conditionalFormatting>
  <conditionalFormatting sqref="E5">
    <cfRule type="expression" dxfId="413" priority="6">
      <formula>ABS(E$7-E$10)&gt;=1000</formula>
    </cfRule>
  </conditionalFormatting>
  <conditionalFormatting sqref="AB14:AC14">
    <cfRule type="expression" dxfId="412" priority="5">
      <formula>ABS(AB$16-AB$19)&gt;=1000</formula>
    </cfRule>
  </conditionalFormatting>
  <conditionalFormatting sqref="M5">
    <cfRule type="expression" dxfId="411" priority="4">
      <formula>ABS(M$7-M$10)&gt;=1000</formula>
    </cfRule>
  </conditionalFormatting>
  <conditionalFormatting sqref="N5">
    <cfRule type="expression" dxfId="410" priority="3">
      <formula>ABS(N$7-N$10)&gt;=1000</formula>
    </cfRule>
  </conditionalFormatting>
  <conditionalFormatting sqref="O5">
    <cfRule type="expression" dxfId="409" priority="2">
      <formula>ABS(O$7-O$10)&gt;=1000</formula>
    </cfRule>
  </conditionalFormatting>
  <conditionalFormatting sqref="P5">
    <cfRule type="expression" dxfId="40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32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3">
    <pageSetUpPr fitToPage="1"/>
  </sheetPr>
  <dimension ref="A1:CU223"/>
  <sheetViews>
    <sheetView view="pageBreakPreview" topLeftCell="A10" zoomScale="70" zoomScaleNormal="100" zoomScaleSheetLayoutView="70" workbookViewId="0">
      <selection activeCell="W27" sqref="W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45743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657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73" t="s" ph="1">
        <v>179</v>
      </c>
      <c r="D6" s="71">
        <v>1884</v>
      </c>
      <c r="E6" s="71">
        <v>3388</v>
      </c>
      <c r="F6" s="71">
        <v>3219</v>
      </c>
      <c r="G6" s="71">
        <v>8244</v>
      </c>
      <c r="H6" s="71">
        <v>8220</v>
      </c>
      <c r="I6" s="71">
        <v>16.05</v>
      </c>
      <c r="J6" s="71">
        <v>7.72</v>
      </c>
      <c r="K6" s="71">
        <v>7.28</v>
      </c>
      <c r="L6" s="71">
        <v>62.14</v>
      </c>
      <c r="M6" s="71">
        <v>3287</v>
      </c>
      <c r="N6" s="71">
        <v>2848</v>
      </c>
      <c r="O6" s="71">
        <v>1952</v>
      </c>
      <c r="P6" s="71">
        <v>3291</v>
      </c>
      <c r="Q6" s="71">
        <v>0</v>
      </c>
      <c r="R6" s="71">
        <v>0</v>
      </c>
      <c r="S6" s="71">
        <v>0</v>
      </c>
      <c r="T6" s="71">
        <v>0</v>
      </c>
      <c r="U6" s="71">
        <v>3121</v>
      </c>
      <c r="V6" s="71">
        <v>7090</v>
      </c>
      <c r="W6" s="71">
        <v>7025</v>
      </c>
      <c r="X6" s="71">
        <v>4624</v>
      </c>
      <c r="Y6" s="71">
        <v>2087</v>
      </c>
      <c r="Z6" s="71">
        <v>5529</v>
      </c>
      <c r="AA6" s="71">
        <v>1573</v>
      </c>
      <c r="AB6" s="71">
        <v>1128</v>
      </c>
      <c r="AC6" s="71">
        <v>5103</v>
      </c>
      <c r="AD6" s="71">
        <v>1357</v>
      </c>
      <c r="AE6" s="71">
        <v>2145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59054.593166639999</v>
      </c>
      <c r="E7" s="73" ph="1">
        <f>E6*51.53*LOOKUP(E8,密度!$A$2:$A$50,密度!$B$2:$B$50)</f>
        <v>136419.656296</v>
      </c>
      <c r="F7" s="73" ph="1">
        <f>F6*33.183*LOOKUP(F8,密度!$A$2:$A$50,密度!$C$2:$C$50)</f>
        <v>118683.34315470001</v>
      </c>
      <c r="G7" s="73" ph="1">
        <f xml:space="preserve"> (G6+2)*51.53*LOOKUP(G8,密度!$A$2:$A$50,密度!$B$2:$B$50)</f>
        <v>332029.65933200001</v>
      </c>
      <c r="H7" s="73" ph="1">
        <f>(H6)*51.53*LOOKUP(H8,密度!$A$2:$A$50,密度!$B$2:$B$50)</f>
        <v>330982.75524000003</v>
      </c>
      <c r="I7" s="73" ph="1">
        <f>I6*290.8*1.0267</f>
        <v>4791.9579779999995</v>
      </c>
      <c r="J7" s="73" ph="1">
        <f>J6*290.8*0.7892</f>
        <v>1771.7350592</v>
      </c>
      <c r="K7" s="73" ph="1">
        <f>K6*290.8*1.1126</f>
        <v>2355.4009024000006</v>
      </c>
      <c r="L7" s="73" ph="1">
        <f>L6*290.8*0.777</f>
        <v>14040.632424000001</v>
      </c>
      <c r="M7" s="73" ph="1">
        <f>M6*33.183*LOOKUP(M8,密度!$A$2:$A$50,密度!$D$2:$D$50)</f>
        <v>112082.9225796</v>
      </c>
      <c r="N7" s="73" ph="1">
        <f>N6*33.183*LOOKUP(N8,密度!$A$2:$A$50,密度!$E$2:$E$50)</f>
        <v>74129.866329599987</v>
      </c>
      <c r="O7" s="73" ph="1">
        <f>O6*20.428*LOOKUP(O8,密度!$A$2:$A$50,密度!$C$2:$C$50)</f>
        <v>44126.179609599996</v>
      </c>
      <c r="P7" s="73" ph="1">
        <f>P6*51.53*LOOKUP(P8,密度!$A$2:$A$50,密度!$B$2:$B$50)</f>
        <v>132361.272015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20715.373463399996</v>
      </c>
      <c r="V7" s="73" ph="1">
        <f>V6*1.5*1.5*3.1416*LOOKUP(V8,密度!$A$2:$A$50,密度!$L$2:$L$50)</f>
        <v>46858.809690000002</v>
      </c>
      <c r="W7" s="73" ph="1">
        <f>W6*1.5*1.5*3.1416*LOOKUP(W8,密度!$A$2:$A$50,密度!$L$2:$L$50)</f>
        <v>46578.186269999998</v>
      </c>
      <c r="X7" s="73" ph="1">
        <f>X6*1.5*1.5*3.1416*LOOKUP(X8,密度!$A$2:$A$50,密度!$L$2:$L$50)</f>
        <v>30952.890460799998</v>
      </c>
      <c r="Y7" s="73" ph="1">
        <f>Y6*1.5*1.5*3.1416*LOOKUP(Y8,密度!$A$2:$A$50,密度!$L$2:$L$50)</f>
        <v>13852.2859398</v>
      </c>
      <c r="Z7" s="73" ph="1">
        <f>Z6*33.183*LOOKUP(Z8,密度!$A$2:$A$50,密度!$L$2:$L$50)</f>
        <v>172460.67857999998</v>
      </c>
      <c r="AA7" s="73" ph="1">
        <f>AA6*33.183*LOOKUP(AA8,密度!$A$2:$A$50,密度!$D$2:$D$50)</f>
        <v>53689.689167399993</v>
      </c>
      <c r="AB7" s="73" ph="1">
        <f>AB6*20.428*LOOKUP(AB8,密度!$A$2:$A$50,密度!$D$2:$D$50)</f>
        <v>23883.845615999999</v>
      </c>
      <c r="AC7" s="73" ph="1">
        <f>AC6*51.53*LOOKUP(AC8,密度!$A$2:$A$50,密度!$Q$2:$Q$50)</f>
        <v>249728.19364710004</v>
      </c>
      <c r="AD7" s="73" ph="1">
        <f>AD6*20.428*LOOKUP(AD8,密度!$A$2:$A$50,密度!$V$2:$V$50)</f>
        <v>26545.434249600003</v>
      </c>
      <c r="AE7" s="73" ph="1">
        <f>AE6*20.428</f>
        <v>43818.060000000005</v>
      </c>
    </row>
    <row r="8" spans="1:99" ph="1">
      <c r="B8" s="252" ph="1"/>
      <c r="C8" s="68" t="s" ph="1">
        <v>181</v>
      </c>
      <c r="D8" s="74">
        <v>28</v>
      </c>
      <c r="E8" s="74">
        <v>23</v>
      </c>
      <c r="F8" s="74">
        <v>22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24</v>
      </c>
      <c r="O8" s="74">
        <v>28</v>
      </c>
      <c r="P8" s="74">
        <v>24</v>
      </c>
      <c r="Q8" s="74">
        <v>22</v>
      </c>
      <c r="R8" s="74">
        <v>28</v>
      </c>
      <c r="S8" s="74">
        <v>17</v>
      </c>
      <c r="T8" s="74">
        <v>19</v>
      </c>
      <c r="U8" s="74">
        <v>23</v>
      </c>
      <c r="V8" s="74">
        <v>27</v>
      </c>
      <c r="W8" s="74">
        <v>24</v>
      </c>
      <c r="X8" s="74">
        <v>15</v>
      </c>
      <c r="Y8" s="74">
        <v>23</v>
      </c>
      <c r="Z8" s="74">
        <v>22</v>
      </c>
      <c r="AA8" s="74">
        <v>23</v>
      </c>
      <c r="AB8" s="74">
        <v>14</v>
      </c>
      <c r="AC8" s="74">
        <v>21</v>
      </c>
      <c r="AD8" s="74">
        <v>37</v>
      </c>
      <c r="AE8" s="74">
        <v>30</v>
      </c>
    </row>
    <row r="9" spans="1:99" ph="1">
      <c r="B9" s="252" ph="1">
        <v>0.66666666666666663</v>
      </c>
      <c r="C9" s="173" t="s" ph="1">
        <v>182</v>
      </c>
      <c r="D9" s="71">
        <v>2154</v>
      </c>
      <c r="E9" s="71">
        <v>3820</v>
      </c>
      <c r="F9" s="71">
        <v>3223</v>
      </c>
      <c r="G9" s="71">
        <v>8872</v>
      </c>
      <c r="H9" s="71">
        <v>9130</v>
      </c>
      <c r="I9" s="71">
        <v>16.03</v>
      </c>
      <c r="J9" s="71">
        <v>7.74</v>
      </c>
      <c r="K9" s="71">
        <v>7.29</v>
      </c>
      <c r="L9" s="71">
        <v>33.979999999999997</v>
      </c>
      <c r="M9" s="71">
        <v>2734</v>
      </c>
      <c r="N9" s="71">
        <v>2852</v>
      </c>
      <c r="O9" s="71">
        <v>1024</v>
      </c>
      <c r="P9" s="71">
        <v>3153</v>
      </c>
      <c r="Q9" s="71">
        <v>2528</v>
      </c>
      <c r="R9" s="71">
        <v>0</v>
      </c>
      <c r="S9" s="71">
        <v>0</v>
      </c>
      <c r="T9" s="71">
        <v>0</v>
      </c>
      <c r="U9" s="71">
        <v>0</v>
      </c>
      <c r="V9" s="71">
        <v>6298</v>
      </c>
      <c r="W9" s="71">
        <v>7037</v>
      </c>
      <c r="X9" s="71">
        <v>7091</v>
      </c>
      <c r="Y9" s="71">
        <v>2239</v>
      </c>
      <c r="Z9" s="71">
        <v>6385</v>
      </c>
      <c r="AA9" s="71">
        <v>1574</v>
      </c>
      <c r="AB9" s="71">
        <v>971</v>
      </c>
      <c r="AC9" s="71">
        <v>4859</v>
      </c>
      <c r="AD9" s="71">
        <v>1354</v>
      </c>
      <c r="AE9" s="71">
        <v>2015</v>
      </c>
    </row>
    <row r="10" spans="1:99" s="72" customFormat="1" ht="22.5" ph="1">
      <c r="B10" s="252" ph="1"/>
      <c r="C10" s="173" t="s" ph="1">
        <v>180</v>
      </c>
      <c r="D10" s="73" ph="1">
        <f>D9*33.183*LOOKUP(D11,密度!$A$2:$A$50,密度!$Q$2:$Q$50)</f>
        <v>67468.51247526001</v>
      </c>
      <c r="E10" s="73" ph="1">
        <f>E9*51.53*LOOKUP(E11,密度!$A$2:$A$50,密度!$B$2:$B$50)</f>
        <v>152948.2542</v>
      </c>
      <c r="F10" s="73" ph="1">
        <f>F9*33.183*LOOKUP(F11,密度!$A$2:$A$50,密度!$C$2:$C$50)</f>
        <v>118755.95751360001</v>
      </c>
      <c r="G10" s="73" ph="1">
        <f xml:space="preserve"> (G9+2)*51.53*LOOKUP(G11,密度!$A$2:$A$50,密度!$B$2:$B$50)</f>
        <v>356081.77121400001</v>
      </c>
      <c r="H10" s="73" ph="1">
        <f>(H9)*51.53*LOOKUP(H11,密度!$A$2:$A$50,密度!$B$2:$B$50)</f>
        <v>366354.13243</v>
      </c>
      <c r="I10" s="73" ph="1">
        <f>I9*290.8*1.0267</f>
        <v>4785.9866908000004</v>
      </c>
      <c r="J10" s="73" ph="1">
        <f>J9*290.8*0.7892</f>
        <v>1776.3250464000002</v>
      </c>
      <c r="K10" s="73" ph="1">
        <f>K9*290.8*1.1126</f>
        <v>2358.6363432000003</v>
      </c>
      <c r="L10" s="73" ph="1">
        <f>L9*290.8*0.777</f>
        <v>7677.835368</v>
      </c>
      <c r="M10" s="73" ph="1">
        <f>M9*33.183*LOOKUP(M11,密度!$A$2:$A$50,密度!$D$2:$D$50)</f>
        <v>93062.957907600008</v>
      </c>
      <c r="N10" s="73" ph="1">
        <f>N9*33.183*LOOKUP(N11,密度!$A$2:$A$50,密度!$E$2:$E$50)</f>
        <v>74016.314103600002</v>
      </c>
      <c r="O10" s="73" ph="1">
        <f>O9*20.428*LOOKUP(O11,密度!$A$2:$A$50,密度!$C$2:$C$50)</f>
        <v>23028.925644800001</v>
      </c>
      <c r="P10" s="73" ph="1">
        <f>P9*51.53*LOOKUP(P11,密度!$A$2:$A$50,密度!$B$2:$B$50)</f>
        <v>126112.388658</v>
      </c>
      <c r="Q10" s="73" ph="1">
        <f>Q9*1.5*1.5*3.1416*LOOKUP(W11,密度!$A$2:$A$50,密度!$L$2:$L$50)</f>
        <v>16725.7778688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41624.370018000009</v>
      </c>
      <c r="W10" s="73" ph="1">
        <f>W9*1.5*1.5*3.1416*LOOKUP(W11,密度!$A$2:$A$50,密度!$L$2:$L$50)</f>
        <v>46558.266955200001</v>
      </c>
      <c r="X10" s="73" ph="1">
        <f>X9*1.5*1.5*3.1416*LOOKUP(X11,密度!$A$2:$A$50,密度!$L$2:$L$50)</f>
        <v>47316.529814399997</v>
      </c>
      <c r="Y10" s="73" ph="1">
        <f>Y9*1.5*1.5*3.1416*LOOKUP(Y11,密度!$A$2:$A$50,密度!$L$2:$L$50)</f>
        <v>14829.519889800002</v>
      </c>
      <c r="Z10" s="73" ph="1">
        <f>Z9*33.183*LOOKUP(Z11,密度!$A$2:$A$50,密度!$L$2:$L$50)</f>
        <v>198313.55387999999</v>
      </c>
      <c r="AA10" s="73" ph="1">
        <f>AA9*33.183*LOOKUP(AA11,密度!$A$2:$A$50,密度!$D$2:$D$50)</f>
        <v>53478.340003800004</v>
      </c>
      <c r="AB10" s="73" ph="1">
        <f>AB9*20.428*LOOKUP(AB11,密度!$A$2:$A$50,密度!$D$2:$D$50)</f>
        <v>20440.573433999998</v>
      </c>
      <c r="AC10" s="73" ph="1">
        <f>AC9*51.53*LOOKUP(AC11,密度!$A$2:$A$50,密度!$Q$2:$Q$50)</f>
        <v>236871.03094810003</v>
      </c>
      <c r="AD10" s="73" ph="1">
        <f>AD9*20.428*LOOKUP(AD11,密度!$A$2:$A$50,密度!$V$2:$V$50)</f>
        <v>26486.748691200002</v>
      </c>
      <c r="AE10" s="73" ph="1">
        <f>AE9*20.428</f>
        <v>41162.42</v>
      </c>
    </row>
    <row r="11" spans="1:99" ph="1">
      <c r="A11" s="64" t="s" ph="1">
        <v>164</v>
      </c>
      <c r="B11" s="252" ph="1"/>
      <c r="C11" s="173" t="s" ph="1">
        <v>181</v>
      </c>
      <c r="D11" s="74">
        <v>29</v>
      </c>
      <c r="E11" s="74">
        <v>28</v>
      </c>
      <c r="F11" s="74">
        <v>23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34</v>
      </c>
      <c r="P11" s="74">
        <v>29</v>
      </c>
      <c r="Q11" s="74">
        <v>26</v>
      </c>
      <c r="R11" s="74">
        <v>34</v>
      </c>
      <c r="S11" s="74">
        <v>23</v>
      </c>
      <c r="T11" s="74">
        <v>33</v>
      </c>
      <c r="U11" s="74">
        <v>28</v>
      </c>
      <c r="V11" s="74">
        <v>27</v>
      </c>
      <c r="W11" s="74">
        <v>26</v>
      </c>
      <c r="X11" s="74">
        <v>18</v>
      </c>
      <c r="Y11" s="74">
        <v>25</v>
      </c>
      <c r="Z11" s="74">
        <v>26</v>
      </c>
      <c r="AA11" s="74">
        <v>28</v>
      </c>
      <c r="AB11" s="74">
        <v>21</v>
      </c>
      <c r="AC11" s="74">
        <v>26</v>
      </c>
      <c r="AD11" s="74">
        <v>37</v>
      </c>
      <c r="AE11" s="74">
        <v>30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73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73" t="s" ph="1">
        <v>179</v>
      </c>
      <c r="D15" s="78">
        <v>4209</v>
      </c>
      <c r="E15" s="78">
        <v>76</v>
      </c>
      <c r="F15" s="78">
        <v>2434</v>
      </c>
      <c r="G15" s="78">
        <v>3891</v>
      </c>
      <c r="H15" s="78">
        <v>4522</v>
      </c>
      <c r="I15" s="78">
        <v>4</v>
      </c>
      <c r="J15" s="78">
        <v>1207</v>
      </c>
      <c r="K15" s="78">
        <v>1900</v>
      </c>
      <c r="L15" s="78">
        <v>5660</v>
      </c>
      <c r="M15" s="78">
        <v>1597</v>
      </c>
      <c r="N15" s="78">
        <v>1023</v>
      </c>
      <c r="O15" s="78">
        <v>1930</v>
      </c>
      <c r="P15" s="78">
        <v>6954</v>
      </c>
      <c r="Q15" s="78">
        <v>4667</v>
      </c>
      <c r="R15" s="78">
        <v>3512</v>
      </c>
      <c r="S15" s="78">
        <v>6860</v>
      </c>
      <c r="T15" s="78">
        <v>2986</v>
      </c>
      <c r="U15" s="78">
        <v>4553</v>
      </c>
      <c r="V15" s="78">
        <v>1098</v>
      </c>
      <c r="W15" s="71">
        <v>-596</v>
      </c>
      <c r="X15" s="78">
        <v>294</v>
      </c>
      <c r="Y15" s="106">
        <v>-9905</v>
      </c>
      <c r="Z15" s="78">
        <v>0</v>
      </c>
      <c r="AA15" s="78">
        <v>4247</v>
      </c>
      <c r="AB15" s="78" ph="1">
        <v>6913</v>
      </c>
      <c r="AC15" s="78" ph="1">
        <v>6556</v>
      </c>
      <c r="AD15" s="78">
        <v>5.13</v>
      </c>
      <c r="AE15" s="78">
        <v>81.28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73" t="s" ph="1">
        <v>180</v>
      </c>
      <c r="D16" s="73" ph="1">
        <f>D15*7.0686*LOOKUP(D17,密度!$A$2:$A$50,密度!$L$2:$L$50)</f>
        <v>27907.129681199996</v>
      </c>
      <c r="E16" s="73" ph="1">
        <f>E15*7.0686*LOOKUP(E17,密度!$A$2:$A$50,密度!$L$2:$L$50)</f>
        <v>503.90635680000003</v>
      </c>
      <c r="F16" s="73" ph="1">
        <f>F15*9.0746*LOOKUP(F17,密度!$A$2:$A$50,密度!$L$2:$L$50)</f>
        <v>20696.059086800004</v>
      </c>
      <c r="G16" s="73" ph="1">
        <f>G15*9.0746*LOOKUP(G17,密度!$A$2:$A$50,密度!$B$2:$B$50)</f>
        <v>27590.662484040004</v>
      </c>
      <c r="H16" s="73" ph="1">
        <f>H15*9.0746*LOOKUP(H17,密度!$A$2:$A$50,密度!$L$2:$L$50)</f>
        <v>38614.256069199997</v>
      </c>
      <c r="I16" s="73" ph="1">
        <f>I15*9.0746*LOOKUP(I17,密度!$A$2:$A$50,密度!$U$2:$U$50)</f>
        <v>37.3147552</v>
      </c>
      <c r="J16" s="73" ph="1">
        <f>J15*9.0746*LOOKUP(J17,密度!$A$2:$A$50,密度!$L$2:$L$50)</f>
        <v>10273.9535836</v>
      </c>
      <c r="K16" s="73" ph="1">
        <f>K15*9.0746*LOOKUP(K17,密度!$A$2:$A$50,密度!$C$2:$C$50)</f>
        <v>19131.434703999999</v>
      </c>
      <c r="L16" s="73" ph="1">
        <f>L15*9.0746*LOOKUP(L17,密度!$A$2:$A$50,密度!$E$2:$E$50)</f>
        <v>40288.537918400005</v>
      </c>
      <c r="M16" s="73" ph="1">
        <f>M15*9.0746*LOOKUP(M17,密度!$A$2:$A$50,密度!$M$2:$M$50)</f>
        <v>12693.662097580002</v>
      </c>
      <c r="N16" s="73" ph="1">
        <f>N15*9.0746*LOOKUP(N17,密度!$A$2:$A$50,密度!$M$2:$M$50)</f>
        <v>8160.9629197800004</v>
      </c>
      <c r="O16" s="73" ph="1">
        <f>O15*9.0746*LOOKUP(O17,密度!$A$2:$A$50,密度!$G$2:$G$50)</f>
        <v>16851.9496316</v>
      </c>
      <c r="P16" s="73" ph="1">
        <f ca="1">P15*9.0746*LOOKUP(P17,密度!$A$2:$A$51,密度!$Q$2:$Q$50)</f>
        <v>59743.808435015999</v>
      </c>
      <c r="Q16" s="73" ph="1">
        <f>Q15*9.0746*LOOKUP(Q17,密度!$A$2:$A$50,密度!$Q$2:$Q$50)</f>
        <v>40126.451859754001</v>
      </c>
      <c r="R16" s="73" ph="1">
        <f>MAX(R15*9.0746*LOOKUP(R17,密度!$A$2:$A$50,密度!$B$2:$B$50),0)</f>
        <v>24845.848257919999</v>
      </c>
      <c r="S16" s="73" ph="1">
        <f>S15*9.0746*LOOKUP(S17,密度!$A$2:$A$50,密度!$Q$2:$Q$50)</f>
        <v>58981.671257320006</v>
      </c>
      <c r="T16" s="73" ph="1">
        <f>T15*9.0746*LOOKUP(T17,密度!$A$2:$A$50,密度!$O$2:$O$50)</f>
        <v>25091.595685600001</v>
      </c>
      <c r="U16" s="73" ph="1">
        <f>U15*9.0746*LOOKUP(U17,密度!$A$2:$A$50,密度!$H$2:$H$50)</f>
        <v>37833.659884659995</v>
      </c>
      <c r="V16" s="73" ph="1">
        <f>MAX(5600*LOOKUP(V17,密度!$A$2:$A$50,密度!$Q$2:$Q$50)+V15*9.0476*LOOKUP(V17,密度!$A$2:$A$50,密度!$Q$2:$Q$50),0)</f>
        <v>14743.415379031998</v>
      </c>
      <c r="W16" s="73" ph="1">
        <f>MAX(5600*LOOKUP(W17,密度!$A$2:$A$50,密度!$Q$2:$Q$50)+W15*9.0476*LOOKUP(W17,密度!$A$2:$A$50,密度!$Q$2:$Q$50),0)</f>
        <v>197.05993633600065</v>
      </c>
      <c r="X16" s="73" ph="1">
        <f>MAX(5600*LOOKUP(X17,密度!$A$2:$A$50,密度!$I$2:$I$50)+X15*9.0476*LOOKUP(X17,密度!$A$2:$A$50,密度!$I$2:$I$50),0)</f>
        <v>8630.8681485599991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30149.706036260002</v>
      </c>
      <c r="AB16" s="73" ph="1">
        <f>AB15*9.0746*LOOKUP(AB17,密度!$A$2:$A$50,密度!$L$2:$L$50)</f>
        <v>58843.281792399997</v>
      </c>
      <c r="AC16" s="73" ph="1">
        <f>AC15*9.0746*LOOKUP(AC17,密度!$A$2:$A$50,密度!$L$2:$L$50)</f>
        <v>55923.492943999998</v>
      </c>
      <c r="AD16" s="73" ph="1">
        <f>AD15*268.68*LOOKUP(AD17,密度!$A$2:$A$50,密度!B2:B50)+IF(AD15&lt;=0,0,1566*LOOKUP(AD17,密度!$A$2:$A$50,密度!B2:B50))</f>
        <v>2295.39842064</v>
      </c>
      <c r="AE16" s="73" ph="1">
        <f>AE15*268.68*LOOKUP(AE17,密度!$A$2:$A$50,密度!B2:B50)+IF(AE15&lt;=0,0,1566*LOOKUP(AE17,密度!$A$2:$A$50,密度!B2:B50))</f>
        <v>18246.000387839998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24</v>
      </c>
      <c r="E17" s="74">
        <v>24</v>
      </c>
      <c r="F17" s="74">
        <v>25</v>
      </c>
      <c r="G17" s="74">
        <v>23</v>
      </c>
      <c r="H17" s="74">
        <v>21</v>
      </c>
      <c r="I17" s="74">
        <v>22</v>
      </c>
      <c r="J17" s="74">
        <v>24</v>
      </c>
      <c r="K17" s="74">
        <v>24</v>
      </c>
      <c r="L17" s="74">
        <v>24</v>
      </c>
      <c r="M17" s="74">
        <v>24</v>
      </c>
      <c r="N17" s="74">
        <v>21</v>
      </c>
      <c r="O17" s="74">
        <v>23</v>
      </c>
      <c r="P17" s="74">
        <v>25</v>
      </c>
      <c r="Q17" s="74">
        <v>24</v>
      </c>
      <c r="R17" s="74">
        <v>25</v>
      </c>
      <c r="S17" s="74">
        <v>24</v>
      </c>
      <c r="T17" s="74">
        <v>25</v>
      </c>
      <c r="U17" s="74">
        <v>24</v>
      </c>
      <c r="V17" s="74">
        <v>22</v>
      </c>
      <c r="W17" s="74">
        <v>22</v>
      </c>
      <c r="X17" s="74">
        <v>23</v>
      </c>
      <c r="Y17" s="108">
        <v>23</v>
      </c>
      <c r="Z17" s="74">
        <v>23</v>
      </c>
      <c r="AA17" s="74">
        <v>22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5221</v>
      </c>
      <c r="E18" s="71">
        <v>75</v>
      </c>
      <c r="F18" s="71">
        <v>2505</v>
      </c>
      <c r="G18" s="71">
        <v>3922</v>
      </c>
      <c r="H18" s="71">
        <v>4526</v>
      </c>
      <c r="I18" s="71">
        <v>5</v>
      </c>
      <c r="J18" s="71">
        <v>1214</v>
      </c>
      <c r="K18" s="71">
        <v>1901</v>
      </c>
      <c r="L18" s="71">
        <v>5674</v>
      </c>
      <c r="M18" s="71">
        <v>1600</v>
      </c>
      <c r="N18" s="71">
        <v>1023</v>
      </c>
      <c r="O18" s="71">
        <v>2258</v>
      </c>
      <c r="P18" s="71">
        <v>6961</v>
      </c>
      <c r="Q18" s="71">
        <v>2909</v>
      </c>
      <c r="R18" s="71">
        <v>3518</v>
      </c>
      <c r="S18" s="71">
        <v>6872</v>
      </c>
      <c r="T18" s="71">
        <v>2992</v>
      </c>
      <c r="U18" s="71">
        <v>4557</v>
      </c>
      <c r="V18" s="71">
        <v>1097</v>
      </c>
      <c r="W18" s="71">
        <v>-596</v>
      </c>
      <c r="X18" s="71">
        <v>294</v>
      </c>
      <c r="Y18" s="109">
        <v>-9905</v>
      </c>
      <c r="Z18" s="71">
        <v>0</v>
      </c>
      <c r="AA18" s="71">
        <v>4252</v>
      </c>
      <c r="AB18" s="71">
        <v>6924</v>
      </c>
      <c r="AC18" s="71">
        <v>6567</v>
      </c>
      <c r="AD18" s="71">
        <v>52.35</v>
      </c>
      <c r="AE18" s="71">
        <v>84.12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73" t="s" ph="1">
        <v>180</v>
      </c>
      <c r="D19" s="73" ph="1">
        <f>D18*7.0686*LOOKUP(D20,密度!$A$2:$A$50,密度!$L$2:$L$50)</f>
        <v>34469.420000400001</v>
      </c>
      <c r="E19" s="73" ph="1">
        <f>E18*7.0686*LOOKUP(E20,密度!$A$2:$A$50,密度!$L$2:$L$50)</f>
        <v>495.15543000000002</v>
      </c>
      <c r="F19" s="73" ph="1">
        <f>F18*9.0746*LOOKUP(F20,密度!$A$2:$A$50,密度!$L$2:$L$50)</f>
        <v>21231.569382000001</v>
      </c>
      <c r="G19" s="73" ph="1">
        <f>G18*9.0746*LOOKUP(G20,密度!$A$2:$A$50,密度!$B$2:$B$50)</f>
        <v>27714.385580439997</v>
      </c>
      <c r="H19" s="73" ph="1">
        <f>H18*9.0746*LOOKUP(H20,密度!$A$2:$A$50,密度!$L$2:$L$50)</f>
        <v>38566.269584399997</v>
      </c>
      <c r="I19" s="73" ph="1">
        <f>I18*9.0746*LOOKUP(I20,密度!$A$2:$A$50,密度!$U$2:$U$50)</f>
        <v>46.280460000000005</v>
      </c>
      <c r="J19" s="73" ph="1">
        <f>J18*9.0746*LOOKUP(J20,密度!$A$2:$A$50,密度!$L$2:$L$50)</f>
        <v>10267.438020800002</v>
      </c>
      <c r="K19" s="73" ph="1">
        <f>K18*9.0746*LOOKUP(K20,密度!$A$2:$A$50,密度!$C$2:$C$50)</f>
        <v>19063.87521446</v>
      </c>
      <c r="L19" s="73" ph="1">
        <f>L18*9.0746*LOOKUP(L20,密度!$A$2:$A$50,密度!$E$2:$E$50)</f>
        <v>40213.127992400005</v>
      </c>
      <c r="M19" s="73" ph="1">
        <f>M18*9.0746*LOOKUP(M20,密度!$A$2:$A$50,密度!$M$2:$M$50)</f>
        <v>12676.853216</v>
      </c>
      <c r="N19" s="73" ph="1">
        <f>N18*9.0746*LOOKUP(N20,密度!$A$2:$A$50,密度!$M$2:$M$50)</f>
        <v>8105.2630249800004</v>
      </c>
      <c r="O19" s="73" ph="1">
        <f>O18*9.0746*LOOKUP(O20,密度!$A$2:$A$50,密度!$G$2:$G$50)</f>
        <v>19609.3575876</v>
      </c>
      <c r="P19" s="73" ph="1">
        <f ca="1">P18*9.0746*LOOKUP(P20,密度!$A$2:$A$51,密度!$Q$2:$Q$50)</f>
        <v>59626.444546058003</v>
      </c>
      <c r="Q19" s="73" ph="1">
        <f>Q18*9.0746*LOOKUP(Q20,密度!$A$2:$A$50,密度!$Q$2:$Q$50)</f>
        <v>24936.089528667999</v>
      </c>
      <c r="R19" s="73" ph="1">
        <f>MAX(R18*9.0746*LOOKUP(R20,密度!$A$2:$A$50,密度!$B$2:$B$50),0)</f>
        <v>24779.752501359999</v>
      </c>
      <c r="S19" s="73" ph="1">
        <f>S18*9.0746*LOOKUP(S20,密度!$A$2:$A$50,密度!$Q$2:$Q$50)</f>
        <v>58907.118336544001</v>
      </c>
      <c r="T19" s="73" ph="1">
        <f>T18*9.0746*LOOKUP(T20,密度!$A$2:$A$50,密度!$O$2:$O$50)</f>
        <v>25142.014163200001</v>
      </c>
      <c r="U19" s="73" ph="1">
        <f>U18*9.0746*LOOKUP(U20,密度!$A$2:$A$50,密度!$H$2:$H$50)</f>
        <v>37713.892406400002</v>
      </c>
      <c r="V19" s="73" ph="1">
        <f>MAX(5600*LOOKUP(V20,密度!$A$2:$A$50,密度!$Q$2:$Q$50)+V18*9.0476*LOOKUP(V20,密度!$A$2:$A$50,密度!$Q$2:$Q$50),0)</f>
        <v>14676.298323504001</v>
      </c>
      <c r="W19" s="73" ph="1">
        <f>MAX(5600*LOOKUP(W20,密度!$A$2:$A$50,密度!$Q$2:$Q$50)+W18*9.0476*LOOKUP(W20,密度!$A$2:$A$50,密度!$Q$2:$Q$50),0)</f>
        <v>196.27716972800135</v>
      </c>
      <c r="X19" s="73" ph="1">
        <f>MAX(5600*LOOKUP(X20,密度!$A$2:$A$50,密度!$I$2:$I$50)+X18*9.0476*LOOKUP(X20,密度!$A$2:$A$50,密度!$I$2:$I$50),0)</f>
        <v>8581.308182159999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30115.747975599999</v>
      </c>
      <c r="AB19" s="73" ph="1">
        <f>AB18*9.0746*LOOKUP(AB20,密度!$A$2:$A$50,密度!$L$2:$L$50)</f>
        <v>58811.248454400004</v>
      </c>
      <c r="AC19" s="73" ph="1">
        <f>AC18*9.0746*LOOKUP(AC20,密度!$A$2:$A$50,密度!$L$2:$L$50)</f>
        <v>55898.138511600002</v>
      </c>
      <c r="AD19" s="73" ph="1">
        <f>AD18*268.68*LOOKUP(AD20,密度!$A$2:$A$50,密度!B5:B53)+IF(AD18&lt;=0,0,1566*LOOKUP(AD20,密度!$A$2:$A$50,密度!B5:B53))</f>
        <v>12145.596246000001</v>
      </c>
      <c r="AE19" s="73" ph="1">
        <f>AE18*268.68*LOOKUP(AE20,密度!$A$2:$A$50,密度!B5:B53)+IF(AE18&lt;=0,0,1566*LOOKUP(AE20,密度!$A$2:$A$50,密度!B5:B53))</f>
        <v>18778.039963200001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28</v>
      </c>
      <c r="E20" s="81">
        <v>28</v>
      </c>
      <c r="F20" s="81">
        <v>28</v>
      </c>
      <c r="G20" s="81">
        <v>26</v>
      </c>
      <c r="H20" s="81">
        <v>23</v>
      </c>
      <c r="I20" s="81">
        <v>30</v>
      </c>
      <c r="J20" s="81">
        <v>30</v>
      </c>
      <c r="K20" s="81">
        <v>30</v>
      </c>
      <c r="L20" s="81">
        <v>27</v>
      </c>
      <c r="M20" s="81">
        <v>27</v>
      </c>
      <c r="N20" s="81">
        <v>27</v>
      </c>
      <c r="O20" s="81">
        <v>28</v>
      </c>
      <c r="P20" s="81">
        <v>29</v>
      </c>
      <c r="Q20" s="81">
        <v>28</v>
      </c>
      <c r="R20" s="81">
        <v>29</v>
      </c>
      <c r="S20" s="81">
        <v>28</v>
      </c>
      <c r="T20" s="81">
        <v>29</v>
      </c>
      <c r="U20" s="81">
        <v>28</v>
      </c>
      <c r="V20" s="81">
        <v>27</v>
      </c>
      <c r="W20" s="81">
        <v>27</v>
      </c>
      <c r="X20" s="81">
        <v>28</v>
      </c>
      <c r="Y20" s="110">
        <v>28</v>
      </c>
      <c r="Z20" s="81">
        <v>34</v>
      </c>
      <c r="AA20" s="81">
        <v>24</v>
      </c>
      <c r="AB20" s="81">
        <v>26</v>
      </c>
      <c r="AC20" s="81">
        <v>24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660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73" t="s" ph="1">
        <v>179</v>
      </c>
      <c r="D24" s="71">
        <v>3.34</v>
      </c>
      <c r="E24" s="71">
        <v>95.54</v>
      </c>
      <c r="F24" s="71">
        <v>0</v>
      </c>
      <c r="G24" s="71">
        <v>2816</v>
      </c>
      <c r="H24" s="71">
        <v>2604</v>
      </c>
      <c r="I24" s="71">
        <v>5517</v>
      </c>
      <c r="J24" s="71">
        <v>3824</v>
      </c>
      <c r="K24" s="71">
        <v>5643</v>
      </c>
      <c r="L24" s="71">
        <v>5617</v>
      </c>
      <c r="M24" s="71">
        <v>5418</v>
      </c>
      <c r="N24" s="71">
        <v>5366</v>
      </c>
      <c r="O24" s="71">
        <v>3521</v>
      </c>
      <c r="P24" s="71">
        <v>836</v>
      </c>
      <c r="Q24" s="90">
        <v>1002</v>
      </c>
      <c r="R24" s="71">
        <v>6349</v>
      </c>
      <c r="S24" s="71">
        <v>63</v>
      </c>
      <c r="T24" s="71">
        <v>1754</v>
      </c>
      <c r="U24" s="71">
        <v>3430</v>
      </c>
      <c r="V24" s="71">
        <v>9646</v>
      </c>
      <c r="W24" s="71">
        <v>9602</v>
      </c>
      <c r="X24" s="71">
        <v>6865</v>
      </c>
      <c r="Y24" s="71">
        <v>1390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2332.1909846879998</v>
      </c>
      <c r="E25" s="91" ph="1">
        <f>E24*268.68*LOOKUP(E26,密度!$A$2:$A$50,密度!$C$2:$C$50)+IF(E24&lt;=0,0,1566*LOOKUP(E26,密度!$A$2:$A$50,密度!$C$2:$C$50))</f>
        <v>30201.653536080004</v>
      </c>
      <c r="F25" s="91" ph="1">
        <f>F24*11.702*LOOKUP(F26,密度!$A$2:$A$50,密度!$Q$2:$Q$50)</f>
        <v>0</v>
      </c>
      <c r="G25" s="91" ph="1">
        <f>G24*18.322*LOOKUP(G26,密度!$A$2:$A$50,密度!$B$2:$B$50)</f>
        <v>40269.703935999998</v>
      </c>
      <c r="H25" s="91" ph="1">
        <f>H24*18.322*LOOKUP(H26,密度!$A$2:$A$50,密度!$B$2:$B$50)</f>
        <v>37280.9753232</v>
      </c>
      <c r="I25" s="91" ph="1">
        <f>I24*18.322*LOOKUP(I26,密度!$A$2:$A$50,密度!$Q$2:$Q$50)</f>
        <v>95846.401846799999</v>
      </c>
      <c r="J25" s="91" ph="1">
        <f>J24*18.322*LOOKUP(J26,密度!$A$2:$A$50,密度!$Q$2:$Q$50)</f>
        <v>66382.901380159994</v>
      </c>
      <c r="K25" s="91" ph="1">
        <f>K24*18.322*LOOKUP(K26,密度!$A$2:$A$50,密度!$Q$2:$Q$50)</f>
        <v>98035.389817200004</v>
      </c>
      <c r="L25" s="91" ph="1">
        <f>L24*18.322*LOOKUP(L26,密度!$A$2:$A$50,密度!$Q$2:$Q$50)</f>
        <v>97508.566174780004</v>
      </c>
      <c r="M25" s="91" ph="1">
        <f>M24*18.322*LOOKUP(M26,密度!$A$2:$A$50,密度!$Q$2:$Q$50)</f>
        <v>94126.482727199997</v>
      </c>
      <c r="N25" s="91" ph="1">
        <f>N24*18.322*LOOKUP(N26,密度!$A$2:$A$50,密度!$Q$2:$Q$50)</f>
        <v>93151.320294439996</v>
      </c>
      <c r="O25" s="91" ph="1">
        <f>O24*18.322*LOOKUP(O26,密度!$A$2:$A$50,密度!$C$2:$C$50)</f>
        <v>71582.251115199993</v>
      </c>
      <c r="P25" s="91" ph="1">
        <f>P24*11.702*LOOKUP(P26,密度!$A$2:$A$50,密度!$B$2:$B$50)</f>
        <v>7653.1407655999992</v>
      </c>
      <c r="Q25" s="92" ph="1">
        <f>Q24*18.322*LOOKUP(Q26,密度!$A$2:$A$50,密度!$B$2:$B$50)</f>
        <v>14345.444421599999</v>
      </c>
      <c r="R25" s="91" ph="1">
        <f>R24*35.891*LOOKUP(R26,密度!$A$2:$A$50,密度!$C$2:$C$50)</f>
        <v>253188.53364489999</v>
      </c>
      <c r="S25" s="91" ph="1">
        <f>S24*35.891*LOOKUP(S26,密度!$A$2:$A$50,密度!$B$2:$B$50)</f>
        <v>1768.8843458999997</v>
      </c>
      <c r="T25" s="91" ph="1">
        <f>T24*35.891*LOOKUP(T26,密度!$A$2:$A$50,密度!$Q$2:$Q$50)</f>
        <v>59691.858234799998</v>
      </c>
      <c r="U25" s="91" ph="1">
        <f>U24*35.891</f>
        <v>123106.12999999999</v>
      </c>
      <c r="V25" s="91" ph="1">
        <f>V24*47.051*LOOKUP(V26,密度!$A$2:$A$50,密度!$B$2:$B$50)</f>
        <v>355049.94195579999</v>
      </c>
      <c r="W25" s="91" ph="1">
        <f>W24*47.051*LOOKUP(W26,密度!$A$2:$A$50,密度!$B$2:$B$50)</f>
        <v>353023.7847428</v>
      </c>
      <c r="X25" s="91" ph="1">
        <f>X24*47.051*LOOKUP(X26,密度!$A$2:$A$50,密度!$I$2:$I$50)</f>
        <v>333780.56563640002</v>
      </c>
      <c r="Y25" s="91" ph="1">
        <f>Y24*47.051*LOOKUP(Y26,密度!$A$2:$A$50,密度!$L$2:$L$50)</f>
        <v>61476.836599999995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24</v>
      </c>
      <c r="K26" s="74">
        <v>23</v>
      </c>
      <c r="L26" s="74">
        <v>24</v>
      </c>
      <c r="M26" s="74">
        <v>23</v>
      </c>
      <c r="N26" s="74">
        <v>24</v>
      </c>
      <c r="O26" s="74">
        <v>24</v>
      </c>
      <c r="P26" s="74">
        <v>22</v>
      </c>
      <c r="Q26" s="93">
        <v>23</v>
      </c>
      <c r="R26" s="74">
        <v>22</v>
      </c>
      <c r="S26" s="74">
        <v>22</v>
      </c>
      <c r="T26" s="74">
        <v>23</v>
      </c>
      <c r="U26" s="74">
        <v>23</v>
      </c>
      <c r="V26" s="74">
        <v>22</v>
      </c>
      <c r="W26" s="74">
        <v>23</v>
      </c>
      <c r="X26" s="74">
        <v>47</v>
      </c>
      <c r="Y26" s="74">
        <v>22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73" t="s" ph="1">
        <v>182</v>
      </c>
      <c r="D27" s="71">
        <v>3.34</v>
      </c>
      <c r="E27" s="71">
        <v>95.56</v>
      </c>
      <c r="F27" s="71">
        <v>0</v>
      </c>
      <c r="G27" s="71">
        <v>2258</v>
      </c>
      <c r="H27" s="71">
        <v>2148</v>
      </c>
      <c r="I27" s="71">
        <v>4578</v>
      </c>
      <c r="J27" s="71">
        <v>3826</v>
      </c>
      <c r="K27" s="71">
        <v>5647</v>
      </c>
      <c r="L27" s="71">
        <v>5617</v>
      </c>
      <c r="M27" s="71">
        <v>5422</v>
      </c>
      <c r="N27" s="71">
        <v>5367</v>
      </c>
      <c r="O27" s="71">
        <v>3519</v>
      </c>
      <c r="P27" s="71">
        <v>834</v>
      </c>
      <c r="Q27" s="90">
        <v>1765</v>
      </c>
      <c r="R27" s="71">
        <v>6350</v>
      </c>
      <c r="S27" s="71">
        <v>60</v>
      </c>
      <c r="T27" s="71">
        <v>1754</v>
      </c>
      <c r="U27" s="71">
        <v>3837</v>
      </c>
      <c r="V27" s="71">
        <v>9652</v>
      </c>
      <c r="W27" s="71">
        <v>9259</v>
      </c>
      <c r="X27" s="71">
        <v>6862</v>
      </c>
      <c r="Y27" s="71">
        <v>349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73" t="s" ph="1">
        <v>180</v>
      </c>
      <c r="D28" s="91" ph="1">
        <f>D27*268.68*LOOKUP(D29,密度!$A$2:$A$50,密度!$Q$2:$Q$50)+IF(D27&lt;=0,0,1566*LOOKUP(D29,密度!$A$2:$A$50,密度!$Q$2:$Q$50))</f>
        <v>2332.1909846879998</v>
      </c>
      <c r="E28" s="91" ph="1">
        <f>E27*268.68*LOOKUP(E29,密度!$A$2:$A$50,密度!$C$2:$C$50)+IF(E27&lt;=0,0,1566*LOOKUP(E29,密度!$A$2:$A$50,密度!$C$2:$C$50))</f>
        <v>30207.612321120003</v>
      </c>
      <c r="F28" s="91" ph="1">
        <f>F27*11.702*LOOKUP(F29,密度!$A$2:$A$50,密度!$Q$2:$Q$50)</f>
        <v>0</v>
      </c>
      <c r="G28" s="91" ph="1">
        <f>G27*18.322*LOOKUP(G29,密度!$A$2:$A$50,密度!$B$2:$B$50)</f>
        <v>32252.8908496</v>
      </c>
      <c r="H28" s="91" ph="1">
        <f>H27*18.322*LOOKUP(H29,密度!$A$2:$A$50,密度!$B$2:$B$50)</f>
        <v>30681.669417599995</v>
      </c>
      <c r="I28" s="91" ph="1">
        <f>I27*18.322*LOOKUP(I29,密度!$A$2:$A$50,密度!$Q$2:$Q$50)</f>
        <v>79410.767541840003</v>
      </c>
      <c r="J28" s="91" ph="1">
        <f>J27*18.322*LOOKUP(J29,密度!$A$2:$A$50,密度!$Q$2:$Q$50)</f>
        <v>66366.447491279992</v>
      </c>
      <c r="K28" s="91" ph="1">
        <f>K27*18.322*LOOKUP(K29,密度!$A$2:$A$50,密度!$Q$2:$Q$50)</f>
        <v>98029.352534980004</v>
      </c>
      <c r="L28" s="91" ph="1">
        <f>L27*18.322*LOOKUP(L29,密度!$A$2:$A$50,密度!$Q$2:$Q$50)</f>
        <v>97508.566174780004</v>
      </c>
      <c r="M28" s="91" ph="1">
        <f>M27*18.322*LOOKUP(M29,密度!$A$2:$A$50,密度!$Q$2:$Q$50)</f>
        <v>94123.454833479991</v>
      </c>
      <c r="N28" s="91" ph="1">
        <f>N27*18.322*LOOKUP(N29,密度!$A$2:$A$50,密度!$Q$2:$Q$50)</f>
        <v>93096.895892760003</v>
      </c>
      <c r="O28" s="91" ph="1">
        <f>O27*18.322*LOOKUP(O29,密度!$A$2:$A$50,密度!$C$2:$C$50)</f>
        <v>71541.590932799983</v>
      </c>
      <c r="P28" s="91" ph="1">
        <f>P27*11.702*LOOKUP(P29,密度!$A$2:$A$50,密度!$B$2:$B$50)</f>
        <v>7617.2647740000002</v>
      </c>
      <c r="Q28" s="92" ph="1">
        <f>Q27*18.322*LOOKUP(Q29,密度!$A$2:$A$50,密度!$B$2:$B$50)</f>
        <v>25269.171061999998</v>
      </c>
      <c r="R28" s="91" ph="1">
        <f>R27*35.891*LOOKUP(R29,密度!$A$2:$A$50,密度!$C$2:$C$50)</f>
        <v>252886.55035999996</v>
      </c>
      <c r="S28" s="91" ph="1">
        <f>S27*35.891*LOOKUP(S29,密度!$A$2:$A$50,密度!$B$2:$B$50)</f>
        <v>1680.7755299999999</v>
      </c>
      <c r="T28" s="91" ph="1">
        <f>T27*35.891*LOOKUP(T29,密度!$A$2:$A$50,密度!$Q$2:$Q$50)</f>
        <v>59645.902680580002</v>
      </c>
      <c r="U28" s="91" ph="1">
        <f>U27*35.891</f>
        <v>137713.76699999999</v>
      </c>
      <c r="V28" s="91" ph="1">
        <f>V27*47.051*LOOKUP(V29,密度!$A$2:$A$50,密度!$B$2:$B$50)</f>
        <v>354453.34468600003</v>
      </c>
      <c r="W28" s="91" ph="1">
        <f>W27*47.051*LOOKUP(W29,密度!$A$2:$A$50,密度!$B$2:$B$50)</f>
        <v>340021.0856245</v>
      </c>
      <c r="X28" s="91" ph="1">
        <f>X27*47.051*LOOKUP(X29,密度!$A$2:$A$50,密度!$I$2:$I$50)</f>
        <v>333634.70377232</v>
      </c>
      <c r="Y28" s="91" ph="1">
        <f>Y27*47.051*LOOKUP(Y29,密度!$A$2:$A$50,密度!$L$2:$L$50)</f>
        <v>15402.709461999999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73" t="s" ph="1">
        <v>181</v>
      </c>
      <c r="D29" s="74">
        <v>25</v>
      </c>
      <c r="E29" s="74">
        <v>25</v>
      </c>
      <c r="F29" s="74">
        <v>25</v>
      </c>
      <c r="G29" s="74">
        <v>25</v>
      </c>
      <c r="H29" s="74">
        <v>25</v>
      </c>
      <c r="I29" s="74">
        <v>25</v>
      </c>
      <c r="J29" s="74">
        <v>25</v>
      </c>
      <c r="K29" s="74">
        <v>24</v>
      </c>
      <c r="L29" s="74">
        <v>24</v>
      </c>
      <c r="M29" s="74">
        <v>24</v>
      </c>
      <c r="N29" s="74">
        <v>25</v>
      </c>
      <c r="O29" s="74">
        <v>24</v>
      </c>
      <c r="P29" s="74">
        <v>24</v>
      </c>
      <c r="Q29" s="93">
        <v>23</v>
      </c>
      <c r="R29" s="74">
        <v>24</v>
      </c>
      <c r="S29" s="74">
        <v>24</v>
      </c>
      <c r="T29" s="74">
        <v>24</v>
      </c>
      <c r="U29" s="74">
        <v>23</v>
      </c>
      <c r="V29" s="74">
        <v>24</v>
      </c>
      <c r="W29" s="74">
        <v>24</v>
      </c>
      <c r="X29" s="74">
        <v>47</v>
      </c>
      <c r="Y29" s="74">
        <v>24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73" t="s" ph="1">
        <v>5</v>
      </c>
      <c r="F32" s="172" t="s" ph="1">
        <v>43</v>
      </c>
      <c r="G32" s="97" t="s" ph="1">
        <v>4</v>
      </c>
      <c r="H32" s="173" t="s" ph="1">
        <v>5</v>
      </c>
      <c r="I32" s="172" t="s" ph="1">
        <v>43</v>
      </c>
      <c r="J32" s="97" t="s" ph="1">
        <v>4</v>
      </c>
      <c r="K32" s="173" t="s" ph="1">
        <v>5</v>
      </c>
      <c r="L32" s="172" t="s" ph="1">
        <v>43</v>
      </c>
      <c r="M32" s="97" t="s" ph="1">
        <v>4</v>
      </c>
      <c r="N32" s="173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3" t="s" ph="1">
        <v>5</v>
      </c>
      <c r="U32" s="99" t="s" ph="1">
        <v>43</v>
      </c>
      <c r="V32" s="97" t="s" ph="1">
        <v>4</v>
      </c>
      <c r="W32" s="173" t="s" ph="1">
        <v>5</v>
      </c>
      <c r="X32" s="99" t="s" ph="1">
        <v>43</v>
      </c>
      <c r="Y32" s="100" t="s" ph="1">
        <v>4</v>
      </c>
      <c r="Z32" s="173" t="s" ph="1">
        <v>5</v>
      </c>
      <c r="AA32" s="172" t="s" ph="1">
        <v>43</v>
      </c>
      <c r="AB32" s="97" t="s" ph="1">
        <v>86</v>
      </c>
      <c r="AC32" s="173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73918.913437800002</v>
      </c>
      <c r="E33" s="201" ph="1">
        <f>M10+I10</f>
        <v>97848.944598400005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27" ph="1">
        <v>0</v>
      </c>
      <c r="H33" s="201" ph="1">
        <f>N19</f>
        <v>8105.2630249800004</v>
      </c>
      <c r="I33" s="205" ph="1">
        <v>0</v>
      </c>
      <c r="J33" s="209" ph="1">
        <f>F10+O28</f>
        <v>190297.54844639997</v>
      </c>
      <c r="K33" s="201" ph="1">
        <f>O10+K10+E28+R28</f>
        <v>308481.72466911998</v>
      </c>
      <c r="L33" s="211" ph="1">
        <f>BE27</f>
        <v>7100</v>
      </c>
      <c r="M33" s="209" ph="1">
        <f>G10+H10+W28+S28</f>
        <v>1064137.7647984999</v>
      </c>
      <c r="N33" s="201" ph="1">
        <f>L10+P10++G28+H28+V28</f>
        <v>551178.12897920003</v>
      </c>
      <c r="O33" s="205" ph="1">
        <f>BE17</f>
        <v>2270</v>
      </c>
      <c r="P33" s="209" ph="1">
        <f>L19</f>
        <v>40213.127992400005</v>
      </c>
      <c r="Q33" s="201" ph="1">
        <f>J10+N10</f>
        <v>75792.639150000003</v>
      </c>
      <c r="R33" s="205" ph="1">
        <f>BE23</f>
        <v>890</v>
      </c>
      <c r="S33" s="209" ph="1">
        <f>E10+X28</f>
        <v>486582.95797232003</v>
      </c>
      <c r="T33" s="201" ph="1">
        <f>X19</f>
        <v>8581.308182159999</v>
      </c>
      <c r="U33" s="190" ph="1">
        <f>BE21</f>
        <v>730</v>
      </c>
      <c r="V33" s="203" ph="1">
        <f ca="1">P19+Q19+S19+M28+N28+J28</f>
        <v>397056.45062879001</v>
      </c>
      <c r="W33" s="203" ph="1">
        <f>D28+F28+V19+T28</f>
        <v>76654.391988771997</v>
      </c>
      <c r="X33" s="205" ph="1">
        <f>BE29+BE31</f>
        <v>10200</v>
      </c>
      <c r="Y33" s="207" ph="1">
        <f>+Q10+R10+S10+T10+U10+V10+W10+X10+Y10</f>
        <v>167054.4645462</v>
      </c>
      <c r="Z33" s="188" ph="1">
        <f>D10+T19+U19+Y28+Z10</f>
        <v>344040.68238686002</v>
      </c>
      <c r="AA33" s="190" ph="1">
        <f>BE19</f>
        <v>1440</v>
      </c>
      <c r="AB33" s="192" ph="1">
        <f>I19</f>
        <v>46.280460000000005</v>
      </c>
      <c r="AC33" s="194" ph="1">
        <f>AD10</f>
        <v>26486.748691200002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71" t="s" ph="1">
        <v>187</v>
      </c>
      <c r="AA36" s="171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7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1" t="s" ph="1">
        <v>346</v>
      </c>
      <c r="AI37" s="171" t="s" ph="1">
        <v>213</v>
      </c>
      <c r="AJ37" s="171" t="s" ph="1">
        <v>214</v>
      </c>
      <c r="AK37" s="171" t="s" ph="1">
        <v>215</v>
      </c>
      <c r="AM37" s="171" t="s" ph="1">
        <v>214</v>
      </c>
      <c r="AN37" s="171" t="s" ph="1">
        <v>215</v>
      </c>
      <c r="AO37" s="171" t="s" ph="1">
        <v>216</v>
      </c>
      <c r="AP37" s="171" t="s" ph="1">
        <v>214</v>
      </c>
      <c r="AQ37" s="171" t="s" ph="1">
        <v>215</v>
      </c>
      <c r="AR37" s="171" t="s" ph="1">
        <v>216</v>
      </c>
      <c r="AS37" s="171" t="s" ph="1">
        <v>214</v>
      </c>
      <c r="AT37" s="171" t="s" ph="1">
        <v>215</v>
      </c>
      <c r="AU37" s="171" t="s" ph="1">
        <v>216</v>
      </c>
      <c r="AV37" s="171" t="s" ph="1">
        <v>214</v>
      </c>
      <c r="AW37" s="171" t="s" ph="1">
        <v>215</v>
      </c>
      <c r="AX37" s="171" t="s" ph="1">
        <v>216</v>
      </c>
      <c r="AY37" s="171" t="s" ph="1">
        <v>215</v>
      </c>
      <c r="AZ37" s="171" t="s" ph="1">
        <v>217</v>
      </c>
      <c r="BD37" s="171" t="s" ph="1">
        <v>309</v>
      </c>
      <c r="BE37" s="171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77" priority="96">
      <formula>ABS(D$7-D$10)&gt;=1000</formula>
    </cfRule>
  </conditionalFormatting>
  <conditionalFormatting sqref="E4 E6:E11">
    <cfRule type="expression" dxfId="376" priority="95">
      <formula>ABS(E$7-E$10)&gt;=1000</formula>
    </cfRule>
  </conditionalFormatting>
  <conditionalFormatting sqref="F4:F11">
    <cfRule type="expression" dxfId="375" priority="94">
      <formula>ABS(F$7-F$10)&gt;=1000</formula>
    </cfRule>
  </conditionalFormatting>
  <conditionalFormatting sqref="G4:G11">
    <cfRule type="expression" dxfId="374" priority="93">
      <formula>ABS(G$7-G$10)&gt;=1000</formula>
    </cfRule>
  </conditionalFormatting>
  <conditionalFormatting sqref="H4:H11">
    <cfRule type="expression" dxfId="373" priority="92">
      <formula>ABS(H$7-H$10)&gt;=1000</formula>
    </cfRule>
  </conditionalFormatting>
  <conditionalFormatting sqref="I4:I11">
    <cfRule type="expression" dxfId="372" priority="91">
      <formula>ABS(I$7-I$10)&gt;=1000</formula>
    </cfRule>
  </conditionalFormatting>
  <conditionalFormatting sqref="J4:J11">
    <cfRule type="expression" dxfId="371" priority="90">
      <formula>ABS(J$7-J$10)&gt;=1000</formula>
    </cfRule>
  </conditionalFormatting>
  <conditionalFormatting sqref="K4:K11">
    <cfRule type="expression" dxfId="370" priority="89">
      <formula>ABS(K$7-K$10)&gt;=1000</formula>
    </cfRule>
  </conditionalFormatting>
  <conditionalFormatting sqref="L4:L11">
    <cfRule type="expression" dxfId="369" priority="88">
      <formula>ABS(L$7-L$10)&gt;=1000</formula>
    </cfRule>
  </conditionalFormatting>
  <conditionalFormatting sqref="M4 M6:M11">
    <cfRule type="expression" dxfId="368" priority="87">
      <formula>ABS(M$7-M$10)&gt;=1000</formula>
    </cfRule>
  </conditionalFormatting>
  <conditionalFormatting sqref="N4 N6:N11">
    <cfRule type="expression" dxfId="367" priority="86">
      <formula>ABS(N$7-N$10)&gt;=1000</formula>
    </cfRule>
  </conditionalFormatting>
  <conditionalFormatting sqref="O4 O6:O11">
    <cfRule type="expression" dxfId="366" priority="85">
      <formula>ABS(O$7-O$10)&gt;=1000</formula>
    </cfRule>
  </conditionalFormatting>
  <conditionalFormatting sqref="P4 P6:P11">
    <cfRule type="expression" dxfId="365" priority="84">
      <formula>ABS(P$7-P$10)&gt;=1000</formula>
    </cfRule>
  </conditionalFormatting>
  <conditionalFormatting sqref="Q4:Q11">
    <cfRule type="expression" dxfId="364" priority="83">
      <formula>ABS(Q$7-Q$10)&gt;=1000</formula>
    </cfRule>
  </conditionalFormatting>
  <conditionalFormatting sqref="R4:R11">
    <cfRule type="expression" dxfId="363" priority="82">
      <formula>ABS(R$7-R$10)&gt;=1000</formula>
    </cfRule>
  </conditionalFormatting>
  <conditionalFormatting sqref="S4:S11">
    <cfRule type="expression" dxfId="362" priority="81">
      <formula>ABS(S$7-S$10)&gt;=1000</formula>
    </cfRule>
  </conditionalFormatting>
  <conditionalFormatting sqref="T4:T9 T11">
    <cfRule type="expression" dxfId="361" priority="80">
      <formula>ABS(T$7-T$10)&gt;=1000</formula>
    </cfRule>
  </conditionalFormatting>
  <conditionalFormatting sqref="U4:U9 U11">
    <cfRule type="expression" dxfId="360" priority="79">
      <formula>ABS(U$7-U$10)&gt;=1000</formula>
    </cfRule>
  </conditionalFormatting>
  <conditionalFormatting sqref="V4:V9 V11">
    <cfRule type="expression" dxfId="359" priority="78">
      <formula>ABS(V$7-V$10)&gt;=1000</formula>
    </cfRule>
  </conditionalFormatting>
  <conditionalFormatting sqref="W4:W9 W11">
    <cfRule type="expression" dxfId="358" priority="77">
      <formula>ABS(W$7-W$10)&gt;=1000</formula>
    </cfRule>
  </conditionalFormatting>
  <conditionalFormatting sqref="X4:X9 X11">
    <cfRule type="expression" dxfId="357" priority="76">
      <formula>ABS(X$7-X$10)&gt;=1000</formula>
    </cfRule>
  </conditionalFormatting>
  <conditionalFormatting sqref="Y4:Y9 Y11">
    <cfRule type="expression" dxfId="356" priority="75">
      <formula>ABS(Y$7-Y$10)&gt;=1000</formula>
    </cfRule>
  </conditionalFormatting>
  <conditionalFormatting sqref="Z4:Z11">
    <cfRule type="expression" dxfId="355" priority="74">
      <formula>ABS(Z$7-Z$10)&gt;=1000</formula>
    </cfRule>
  </conditionalFormatting>
  <conditionalFormatting sqref="AA4:AA11">
    <cfRule type="expression" dxfId="354" priority="73">
      <formula>ABS(AA$7-AA$10)&gt;=1000</formula>
    </cfRule>
  </conditionalFormatting>
  <conditionalFormatting sqref="AB4:AB11">
    <cfRule type="expression" dxfId="353" priority="72">
      <formula>ABS(AB$7-AB$10)&gt;=1000</formula>
    </cfRule>
  </conditionalFormatting>
  <conditionalFormatting sqref="AC4 AC6:AC11">
    <cfRule type="expression" dxfId="352" priority="71">
      <formula>ABS(AC$7-AC$10)&gt;=1000</formula>
    </cfRule>
  </conditionalFormatting>
  <conditionalFormatting sqref="AD4:AD11">
    <cfRule type="expression" dxfId="351" priority="70">
      <formula>ABS(AD$7-AD$10)&gt;=1000</formula>
    </cfRule>
  </conditionalFormatting>
  <conditionalFormatting sqref="AE4:AE11">
    <cfRule type="expression" dxfId="350" priority="69">
      <formula>ABS(AE$7-AE$10)&gt;=1000</formula>
    </cfRule>
  </conditionalFormatting>
  <conditionalFormatting sqref="D13:D20">
    <cfRule type="expression" dxfId="349" priority="68">
      <formula>ABS(D$16-D$19)&gt;=1000</formula>
    </cfRule>
  </conditionalFormatting>
  <conditionalFormatting sqref="E13:E20">
    <cfRule type="expression" dxfId="348" priority="67">
      <formula>ABS(E$16-E$19)&gt;=1000</formula>
    </cfRule>
  </conditionalFormatting>
  <conditionalFormatting sqref="F13 F15:F20">
    <cfRule type="expression" dxfId="347" priority="66">
      <formula>ABS(F$16-F$19)&gt;=1000</formula>
    </cfRule>
  </conditionalFormatting>
  <conditionalFormatting sqref="G13:G20">
    <cfRule type="expression" dxfId="346" priority="65">
      <formula>ABS(G$16-G$19)&gt;=1000</formula>
    </cfRule>
  </conditionalFormatting>
  <conditionalFormatting sqref="H13:H20">
    <cfRule type="expression" dxfId="345" priority="64">
      <formula>ABS(H$16-H$19)&gt;=1000</formula>
    </cfRule>
  </conditionalFormatting>
  <conditionalFormatting sqref="I13:I20">
    <cfRule type="expression" dxfId="344" priority="63">
      <formula>ABS(I$16-I$19)&gt;=1000</formula>
    </cfRule>
  </conditionalFormatting>
  <conditionalFormatting sqref="J13:J20">
    <cfRule type="expression" dxfId="343" priority="62">
      <formula>ABS(J$16-J$19)&gt;=1000</formula>
    </cfRule>
  </conditionalFormatting>
  <conditionalFormatting sqref="L13:L20">
    <cfRule type="expression" dxfId="342" priority="61">
      <formula>ABS(L$16-L$19)&gt;=1000</formula>
    </cfRule>
  </conditionalFormatting>
  <conditionalFormatting sqref="M13 M15 M17:M18 M20">
    <cfRule type="expression" dxfId="341" priority="60">
      <formula>ABS(M$16-M$19)&gt;=1000</formula>
    </cfRule>
  </conditionalFormatting>
  <conditionalFormatting sqref="N13:N20">
    <cfRule type="expression" dxfId="340" priority="59">
      <formula>ABS(N$16-N$19)&gt;=1000</formula>
    </cfRule>
  </conditionalFormatting>
  <conditionalFormatting sqref="O13:O20">
    <cfRule type="expression" dxfId="339" priority="58">
      <formula>ABS(O$16-O$19)&gt;=1000</formula>
    </cfRule>
  </conditionalFormatting>
  <conditionalFormatting sqref="P13:P20">
    <cfRule type="expression" dxfId="338" priority="57">
      <formula>ABS(P$16-P$19)&gt;=1000</formula>
    </cfRule>
  </conditionalFormatting>
  <conditionalFormatting sqref="Q13 Q15:Q20">
    <cfRule type="expression" dxfId="337" priority="56">
      <formula>ABS(Q$16-Q$19)&gt;=1000</formula>
    </cfRule>
  </conditionalFormatting>
  <conditionalFormatting sqref="R13:R20">
    <cfRule type="expression" dxfId="336" priority="55">
      <formula>ABS(R$16-R$19)&gt;=1000</formula>
    </cfRule>
  </conditionalFormatting>
  <conditionalFormatting sqref="S13:S20">
    <cfRule type="expression" dxfId="335" priority="54">
      <formula>ABS(S$16-S$19)&gt;=1000</formula>
    </cfRule>
  </conditionalFormatting>
  <conditionalFormatting sqref="T13:T20">
    <cfRule type="expression" dxfId="334" priority="53">
      <formula>ABS(T$16-T$19)&gt;=1000</formula>
    </cfRule>
  </conditionalFormatting>
  <conditionalFormatting sqref="U13:U20">
    <cfRule type="expression" dxfId="333" priority="52">
      <formula>ABS(U$16-U$19)&gt;=1000</formula>
    </cfRule>
  </conditionalFormatting>
  <conditionalFormatting sqref="V13:V20">
    <cfRule type="expression" dxfId="332" priority="51">
      <formula>ABS(V$16-V$19)&gt;=1000</formula>
    </cfRule>
  </conditionalFormatting>
  <conditionalFormatting sqref="W13 W20 W15:W18">
    <cfRule type="expression" dxfId="331" priority="50">
      <formula>ABS(W$16-W$19)&gt;=1000</formula>
    </cfRule>
  </conditionalFormatting>
  <conditionalFormatting sqref="X13 X15:X20 Y19">
    <cfRule type="expression" dxfId="330" priority="49">
      <formula>ABS(X$16-X$19)&gt;=1000</formula>
    </cfRule>
  </conditionalFormatting>
  <conditionalFormatting sqref="Y13 Y15:Y18 Y20">
    <cfRule type="expression" dxfId="329" priority="48">
      <formula>ABS(Y$16-Y$19)&gt;=1000</formula>
    </cfRule>
  </conditionalFormatting>
  <conditionalFormatting sqref="Z13:Z20">
    <cfRule type="expression" dxfId="328" priority="47">
      <formula>ABS(Z$16-Z$19)&gt;=1000</formula>
    </cfRule>
  </conditionalFormatting>
  <conditionalFormatting sqref="AA13:AA20">
    <cfRule type="expression" dxfId="327" priority="46">
      <formula>ABS(AA$16-AA$19)&gt;=1000</formula>
    </cfRule>
  </conditionalFormatting>
  <conditionalFormatting sqref="AB13 AB15:AB20">
    <cfRule type="expression" dxfId="326" priority="45">
      <formula>ABS(AB$16-AB$19)&gt;=1000</formula>
    </cfRule>
  </conditionalFormatting>
  <conditionalFormatting sqref="AC13 AC15:AC20">
    <cfRule type="expression" dxfId="325" priority="44">
      <formula>ABS(AC$16-AC$19)&gt;=1000</formula>
    </cfRule>
  </conditionalFormatting>
  <conditionalFormatting sqref="AD13:AD20">
    <cfRule type="expression" dxfId="324" priority="43">
      <formula>ABS(AD$16-AD$19)&gt;=1000</formula>
    </cfRule>
  </conditionalFormatting>
  <conditionalFormatting sqref="AE13:AE20">
    <cfRule type="expression" dxfId="323" priority="42">
      <formula>ABS(AE$16-AE$19)&gt;=1000</formula>
    </cfRule>
  </conditionalFormatting>
  <conditionalFormatting sqref="D22:D29">
    <cfRule type="expression" dxfId="322" priority="41">
      <formula>ABS(D$25-D$28)&gt;=1000</formula>
    </cfRule>
  </conditionalFormatting>
  <conditionalFormatting sqref="E22:E29">
    <cfRule type="expression" dxfId="321" priority="40">
      <formula>ABS(E$25-E$28)&gt;=1000</formula>
    </cfRule>
  </conditionalFormatting>
  <conditionalFormatting sqref="F22:F29">
    <cfRule type="expression" dxfId="320" priority="39">
      <formula>ABS(F$25-F$28)&gt;=1000</formula>
    </cfRule>
  </conditionalFormatting>
  <conditionalFormatting sqref="G22:G29">
    <cfRule type="expression" dxfId="319" priority="38">
      <formula>ABS(G$25-G$28)&gt;=1000</formula>
    </cfRule>
  </conditionalFormatting>
  <conditionalFormatting sqref="H22:H29">
    <cfRule type="expression" dxfId="318" priority="37">
      <formula>ABS(H$25-H$28)&gt;=1000</formula>
    </cfRule>
  </conditionalFormatting>
  <conditionalFormatting sqref="I22 I24:I29">
    <cfRule type="expression" dxfId="317" priority="36">
      <formula>ABS(I$25-I$28)&gt;=1000</formula>
    </cfRule>
  </conditionalFormatting>
  <conditionalFormatting sqref="J22:J29 K22">
    <cfRule type="expression" dxfId="316" priority="35">
      <formula>ABS(J$25-J$28)&gt;=1000</formula>
    </cfRule>
  </conditionalFormatting>
  <conditionalFormatting sqref="K23:K29 L25 L28">
    <cfRule type="expression" dxfId="315" priority="34">
      <formula>ABS(K$25-K$28)&gt;=1000</formula>
    </cfRule>
  </conditionalFormatting>
  <conditionalFormatting sqref="L22:L24 L26:L27 L29">
    <cfRule type="expression" dxfId="314" priority="33">
      <formula>ABS(L$25-L$28)&gt;=1000</formula>
    </cfRule>
  </conditionalFormatting>
  <conditionalFormatting sqref="M22:M29">
    <cfRule type="expression" dxfId="313" priority="32">
      <formula>ABS(M$25-M$28)&gt;=1000</formula>
    </cfRule>
  </conditionalFormatting>
  <conditionalFormatting sqref="N22:N29">
    <cfRule type="expression" dxfId="312" priority="31">
      <formula>ABS(N$25-N$28)&gt;=1000</formula>
    </cfRule>
  </conditionalFormatting>
  <conditionalFormatting sqref="O22:O29">
    <cfRule type="expression" dxfId="311" priority="30">
      <formula>ABS(O$25-O$28)&gt;=1000</formula>
    </cfRule>
  </conditionalFormatting>
  <conditionalFormatting sqref="P22:P29">
    <cfRule type="expression" dxfId="310" priority="29">
      <formula>ABS(P$25-P$28)&gt;=1000</formula>
    </cfRule>
  </conditionalFormatting>
  <conditionalFormatting sqref="Q22:Q29">
    <cfRule type="expression" dxfId="309" priority="28">
      <formula>ABS(Q$25-Q$28)&gt;=1000</formula>
    </cfRule>
  </conditionalFormatting>
  <conditionalFormatting sqref="R22:R29">
    <cfRule type="expression" dxfId="308" priority="27">
      <formula>ABS(R$25-R$28)&gt;=1000</formula>
    </cfRule>
  </conditionalFormatting>
  <conditionalFormatting sqref="S22:S29">
    <cfRule type="expression" dxfId="307" priority="26">
      <formula>ABS(S$25-S$28)&gt;=1000</formula>
    </cfRule>
  </conditionalFormatting>
  <conditionalFormatting sqref="T22:T29">
    <cfRule type="expression" dxfId="306" priority="25">
      <formula>ABS(T$25-T$28)&gt;=1000</formula>
    </cfRule>
  </conditionalFormatting>
  <conditionalFormatting sqref="U22:U29">
    <cfRule type="expression" dxfId="305" priority="24">
      <formula>ABS(U$25-U$28)&gt;=1000</formula>
    </cfRule>
  </conditionalFormatting>
  <conditionalFormatting sqref="V22:V29">
    <cfRule type="expression" dxfId="304" priority="23">
      <formula>ABS(V$25-V$28)&gt;=1000</formula>
    </cfRule>
  </conditionalFormatting>
  <conditionalFormatting sqref="W22:W29">
    <cfRule type="expression" dxfId="303" priority="22">
      <formula>ABS(W$25-W$28)&gt;=1000</formula>
    </cfRule>
  </conditionalFormatting>
  <conditionalFormatting sqref="X22:X29">
    <cfRule type="expression" dxfId="302" priority="21">
      <formula>ABS(X$25-X$28)&gt;=1000</formula>
    </cfRule>
  </conditionalFormatting>
  <conditionalFormatting sqref="Y22:Y29">
    <cfRule type="expression" dxfId="301" priority="20">
      <formula>ABS(Y$25-Y$28)&gt;=1000</formula>
    </cfRule>
  </conditionalFormatting>
  <conditionalFormatting sqref="I23">
    <cfRule type="expression" dxfId="300" priority="19">
      <formula>ABS(I$25-I$28)&gt;=1000</formula>
    </cfRule>
  </conditionalFormatting>
  <conditionalFormatting sqref="F14">
    <cfRule type="expression" dxfId="299" priority="18">
      <formula>ABS(F$16-F$19)&gt;=1000</formula>
    </cfRule>
  </conditionalFormatting>
  <conditionalFormatting sqref="Q14">
    <cfRule type="expression" dxfId="298" priority="17">
      <formula>ABS(Q$16-Q$19)&gt;=1000</formula>
    </cfRule>
  </conditionalFormatting>
  <conditionalFormatting sqref="W14">
    <cfRule type="expression" dxfId="297" priority="16">
      <formula>ABS(W$16-W$19)&gt;=1000</formula>
    </cfRule>
  </conditionalFormatting>
  <conditionalFormatting sqref="Y14">
    <cfRule type="expression" dxfId="296" priority="15">
      <formula>ABS(Y$16-Y$19)&gt;=1000</formula>
    </cfRule>
  </conditionalFormatting>
  <conditionalFormatting sqref="X14">
    <cfRule type="expression" dxfId="295" priority="14">
      <formula>ABS(X$16-X$19)&gt;=1000</formula>
    </cfRule>
  </conditionalFormatting>
  <conditionalFormatting sqref="T10:Y10">
    <cfRule type="expression" dxfId="294" priority="13">
      <formula>ABS(T$7-T$10)&gt;=1000</formula>
    </cfRule>
  </conditionalFormatting>
  <conditionalFormatting sqref="W19">
    <cfRule type="expression" dxfId="293" priority="12">
      <formula>ABS(W$16-W$19)&gt;=1000</formula>
    </cfRule>
  </conditionalFormatting>
  <conditionalFormatting sqref="AC5">
    <cfRule type="expression" dxfId="292" priority="11">
      <formula>ABS(AC$7-AC$10)&gt;=1000</formula>
    </cfRule>
  </conditionalFormatting>
  <conditionalFormatting sqref="M14">
    <cfRule type="expression" dxfId="291" priority="10">
      <formula>ABS(M$16-M$19)&gt;=1000</formula>
    </cfRule>
  </conditionalFormatting>
  <conditionalFormatting sqref="M16">
    <cfRule type="expression" dxfId="290" priority="9">
      <formula>ABS(M$16-M$19)&gt;=1000</formula>
    </cfRule>
  </conditionalFormatting>
  <conditionalFormatting sqref="M19">
    <cfRule type="expression" dxfId="289" priority="8">
      <formula>ABS(M$16-M$19)&gt;=1000</formula>
    </cfRule>
  </conditionalFormatting>
  <conditionalFormatting sqref="K13:K20">
    <cfRule type="expression" dxfId="288" priority="7">
      <formula>ABS(K$16-K$19)&gt;=1000</formula>
    </cfRule>
  </conditionalFormatting>
  <conditionalFormatting sqref="E5">
    <cfRule type="expression" dxfId="287" priority="6">
      <formula>ABS(E$7-E$10)&gt;=1000</formula>
    </cfRule>
  </conditionalFormatting>
  <conditionalFormatting sqref="AB14:AC14">
    <cfRule type="expression" dxfId="286" priority="5">
      <formula>ABS(AB$16-AB$19)&gt;=1000</formula>
    </cfRule>
  </conditionalFormatting>
  <conditionalFormatting sqref="M5">
    <cfRule type="expression" dxfId="285" priority="4">
      <formula>ABS(M$7-M$10)&gt;=1000</formula>
    </cfRule>
  </conditionalFormatting>
  <conditionalFormatting sqref="N5">
    <cfRule type="expression" dxfId="284" priority="3">
      <formula>ABS(N$7-N$10)&gt;=1000</formula>
    </cfRule>
  </conditionalFormatting>
  <conditionalFormatting sqref="O5">
    <cfRule type="expression" dxfId="283" priority="2">
      <formula>ABS(O$7-O$10)&gt;=1000</formula>
    </cfRule>
  </conditionalFormatting>
  <conditionalFormatting sqref="P5">
    <cfRule type="expression" dxfId="28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4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4">
    <pageSetUpPr fitToPage="1"/>
  </sheetPr>
  <dimension ref="A1:CU223"/>
  <sheetViews>
    <sheetView view="pageBreakPreview" topLeftCell="A4" zoomScale="70" zoomScaleNormal="100" zoomScaleSheetLayoutView="70" workbookViewId="0">
      <selection activeCell="D4" sqref="D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45744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657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76" t="s" ph="1">
        <v>179</v>
      </c>
      <c r="D6" s="71">
        <v>2686</v>
      </c>
      <c r="E6" s="71">
        <v>3824</v>
      </c>
      <c r="F6" s="71">
        <v>3220</v>
      </c>
      <c r="G6" s="71">
        <v>8341</v>
      </c>
      <c r="H6" s="71">
        <v>9130</v>
      </c>
      <c r="I6" s="71">
        <v>16.059999999999999</v>
      </c>
      <c r="J6" s="71">
        <v>7.72</v>
      </c>
      <c r="K6" s="71">
        <v>7.3</v>
      </c>
      <c r="L6" s="71">
        <v>32.18</v>
      </c>
      <c r="M6" s="71">
        <v>2735</v>
      </c>
      <c r="N6" s="71">
        <v>2852</v>
      </c>
      <c r="O6" s="71">
        <v>1025</v>
      </c>
      <c r="P6" s="71">
        <v>3281</v>
      </c>
      <c r="Q6" s="71">
        <v>2529</v>
      </c>
      <c r="R6" s="71">
        <v>0</v>
      </c>
      <c r="S6" s="71">
        <v>0</v>
      </c>
      <c r="T6" s="71">
        <v>0</v>
      </c>
      <c r="U6" s="71">
        <v>0</v>
      </c>
      <c r="V6" s="71">
        <v>1755</v>
      </c>
      <c r="W6" s="71">
        <v>7034</v>
      </c>
      <c r="X6" s="71">
        <v>7091</v>
      </c>
      <c r="Y6" s="71">
        <v>2239</v>
      </c>
      <c r="Z6" s="71">
        <v>6390</v>
      </c>
      <c r="AA6" s="71">
        <v>1574</v>
      </c>
      <c r="AB6" s="71">
        <v>974</v>
      </c>
      <c r="AC6" s="71">
        <v>4380</v>
      </c>
      <c r="AD6" s="71">
        <v>1351</v>
      </c>
      <c r="AE6" s="71">
        <v>2015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84193.544185560007</v>
      </c>
      <c r="E7" s="73" ph="1">
        <f>E6*51.53*LOOKUP(E8,密度!$A$2:$A$50,密度!$B$2:$B$50)</f>
        <v>153975.432608</v>
      </c>
      <c r="F7" s="73" ph="1">
        <f>F6*33.183*LOOKUP(F8,密度!$A$2:$A$50,密度!$C$2:$C$50)</f>
        <v>118645.41830400001</v>
      </c>
      <c r="G7" s="73" ph="1">
        <f xml:space="preserve"> (G6+2)*51.53*LOOKUP(G8,密度!$A$2:$A$50,密度!$B$2:$B$50)</f>
        <v>336322.34021700005</v>
      </c>
      <c r="H7" s="73" ph="1">
        <f>(H6)*51.53*LOOKUP(H8,密度!$A$2:$A$50,密度!$B$2:$B$50)</f>
        <v>368047.82047000004</v>
      </c>
      <c r="I7" s="73" ph="1">
        <f>I6*290.8*1.0267</f>
        <v>4794.9436215999995</v>
      </c>
      <c r="J7" s="73" ph="1">
        <f>J6*290.8*0.7892</f>
        <v>1771.7350592</v>
      </c>
      <c r="K7" s="73" ph="1">
        <f>K6*290.8*1.1126</f>
        <v>2361.8717840000004</v>
      </c>
      <c r="L7" s="73" ph="1">
        <f>L6*290.8*0.777</f>
        <v>7271.122488</v>
      </c>
      <c r="M7" s="73" ph="1">
        <f>M6*33.183*LOOKUP(M8,密度!$A$2:$A$50,密度!$D$2:$D$50)</f>
        <v>93260.356938000012</v>
      </c>
      <c r="N7" s="73" ph="1">
        <f>N6*33.183*LOOKUP(N8,密度!$A$2:$A$50,密度!$E$2:$E$50)</f>
        <v>74233.981310399991</v>
      </c>
      <c r="O7" s="73" ph="1">
        <f>O6*20.428*LOOKUP(O8,密度!$A$2:$A$50,密度!$C$2:$C$50)</f>
        <v>23139.357370000002</v>
      </c>
      <c r="P7" s="73" ph="1">
        <f>P6*51.53*LOOKUP(P8,密度!$A$2:$A$50,密度!$B$2:$B$50)</f>
        <v>131959.080365</v>
      </c>
      <c r="Q7" s="73" ph="1">
        <f>Q6*1.5*1.5*3.1416*LOOKUP(W8,密度!$A$2:$A$50,密度!$L$2:$L$50)</f>
        <v>16750.270567799998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11599.042455000001</v>
      </c>
      <c r="W7" s="73" ph="1">
        <f>W6*1.5*1.5*3.1416*LOOKUP(W8,密度!$A$2:$A$50,密度!$L$2:$L$50)</f>
        <v>46588.138858799997</v>
      </c>
      <c r="X7" s="73" ph="1">
        <f>X6*1.5*1.5*3.1416*LOOKUP(X8,密度!$A$2:$A$50,密度!$L$2:$L$50)</f>
        <v>47416.776699599999</v>
      </c>
      <c r="Y7" s="73" ph="1">
        <f>Y6*1.5*1.5*3.1416*LOOKUP(Y8,密度!$A$2:$A$50,密度!$L$2:$L$50)</f>
        <v>14845.3464852</v>
      </c>
      <c r="Z7" s="73" ph="1">
        <f>Z6*33.183*LOOKUP(Z8,密度!$A$2:$A$50,密度!$L$2:$L$50)</f>
        <v>199104.96842999998</v>
      </c>
      <c r="AA7" s="73" ph="1">
        <f>AA6*33.183*LOOKUP(AA8,密度!$A$2:$A$50,密度!$D$2:$D$50)</f>
        <v>53624.584121399996</v>
      </c>
      <c r="AB7" s="73" ph="1">
        <f>AB6*20.428*LOOKUP(AB8,密度!$A$2:$A$50,密度!$D$2:$D$50)</f>
        <v>20605.200643200002</v>
      </c>
      <c r="AC7" s="73" ph="1">
        <f>AC6*51.53*LOOKUP(AC8,密度!$A$2:$A$50,密度!$Q$2:$Q$50)</f>
        <v>214010.06748</v>
      </c>
      <c r="AD7" s="73" ph="1">
        <f>AD6*20.428*LOOKUP(AD8,密度!$A$2:$A$50,密度!$V$2:$V$50)</f>
        <v>26428.063132800002</v>
      </c>
      <c r="AE7" s="73" ph="1">
        <f>AE6*20.428</f>
        <v>41162.42</v>
      </c>
    </row>
    <row r="8" spans="1:99" ph="1">
      <c r="B8" s="252" ph="1"/>
      <c r="C8" s="68" t="s" ph="1">
        <v>181</v>
      </c>
      <c r="D8" s="74">
        <v>28</v>
      </c>
      <c r="E8" s="74">
        <v>23</v>
      </c>
      <c r="F8" s="74">
        <v>23</v>
      </c>
      <c r="G8" s="74">
        <v>22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24</v>
      </c>
      <c r="O8" s="74">
        <v>30</v>
      </c>
      <c r="P8" s="74">
        <v>24</v>
      </c>
      <c r="Q8" s="74">
        <v>23</v>
      </c>
      <c r="R8" s="74">
        <v>29</v>
      </c>
      <c r="S8" s="74">
        <v>18</v>
      </c>
      <c r="T8" s="74">
        <v>18</v>
      </c>
      <c r="U8" s="74">
        <v>24</v>
      </c>
      <c r="V8" s="74">
        <v>27</v>
      </c>
      <c r="W8" s="74">
        <v>25</v>
      </c>
      <c r="X8" s="74">
        <v>16</v>
      </c>
      <c r="Y8" s="74">
        <v>24</v>
      </c>
      <c r="Z8" s="74">
        <v>23</v>
      </c>
      <c r="AA8" s="74">
        <v>25</v>
      </c>
      <c r="AB8" s="74">
        <v>15</v>
      </c>
      <c r="AC8" s="74">
        <v>23</v>
      </c>
      <c r="AD8" s="74">
        <v>31</v>
      </c>
      <c r="AE8" s="74">
        <v>28</v>
      </c>
    </row>
    <row r="9" spans="1:99" ph="1">
      <c r="B9" s="252" ph="1">
        <v>0.66666666666666663</v>
      </c>
      <c r="C9" s="176" t="s" ph="1">
        <v>182</v>
      </c>
      <c r="D9" s="71">
        <v>2944</v>
      </c>
      <c r="E9" s="71">
        <v>4255</v>
      </c>
      <c r="F9" s="71">
        <v>3220</v>
      </c>
      <c r="G9" s="71">
        <v>8960</v>
      </c>
      <c r="H9" s="71">
        <v>9131</v>
      </c>
      <c r="I9" s="71">
        <v>16.09</v>
      </c>
      <c r="J9" s="71">
        <v>7.73</v>
      </c>
      <c r="K9" s="71">
        <v>7.2</v>
      </c>
      <c r="L9" s="71">
        <v>40.270000000000003</v>
      </c>
      <c r="M9" s="71">
        <v>2735</v>
      </c>
      <c r="N9" s="71">
        <v>2852</v>
      </c>
      <c r="O9" s="71">
        <v>75</v>
      </c>
      <c r="P9" s="71">
        <v>3096</v>
      </c>
      <c r="Q9" s="71">
        <v>6675</v>
      </c>
      <c r="R9" s="71">
        <v>7170</v>
      </c>
      <c r="S9" s="71">
        <v>499</v>
      </c>
      <c r="T9" s="71">
        <v>0</v>
      </c>
      <c r="U9" s="71">
        <v>0</v>
      </c>
      <c r="V9" s="71">
        <v>0</v>
      </c>
      <c r="W9" s="71">
        <v>6012</v>
      </c>
      <c r="X9" s="71">
        <v>7092</v>
      </c>
      <c r="Y9" s="71">
        <v>2239</v>
      </c>
      <c r="Z9" s="71">
        <v>4863</v>
      </c>
      <c r="AA9" s="71">
        <v>1571</v>
      </c>
      <c r="AB9" s="71">
        <v>848</v>
      </c>
      <c r="AC9" s="71">
        <v>4382</v>
      </c>
      <c r="AD9" s="71">
        <v>1351</v>
      </c>
      <c r="AE9" s="71">
        <v>2018</v>
      </c>
    </row>
    <row r="10" spans="1:99" s="72" customFormat="1" ht="22.5" ph="1">
      <c r="B10" s="252" ph="1"/>
      <c r="C10" s="176" t="s" ph="1">
        <v>180</v>
      </c>
      <c r="D10" s="73" ph="1">
        <f>D9*33.183*LOOKUP(D11,密度!$A$2:$A$50,密度!$Q$2:$Q$50)</f>
        <v>92349.021680639999</v>
      </c>
      <c r="E10" s="73" ph="1">
        <f>E9*51.53*LOOKUP(E11,密度!$A$2:$A$50,密度!$B$2:$B$50)</f>
        <v>171329.88120999999</v>
      </c>
      <c r="F10" s="73" ph="1">
        <f>F9*33.183*LOOKUP(F11,密度!$A$2:$A$50,密度!$C$2:$C$50)</f>
        <v>118805.692194</v>
      </c>
      <c r="G10" s="73" ph="1">
        <f xml:space="preserve"> (G9+2)*51.53*LOOKUP(G11,密度!$A$2:$A$50,密度!$B$2:$B$50)</f>
        <v>360859.787404</v>
      </c>
      <c r="H10" s="73" ph="1">
        <f>(H9)*51.53*LOOKUP(H11,密度!$A$2:$A$50,密度!$B$2:$B$50)</f>
        <v>367664.664002</v>
      </c>
      <c r="I10" s="73" ph="1">
        <f>I9*290.8*1.0267</f>
        <v>4803.9005523999995</v>
      </c>
      <c r="J10" s="73" ph="1">
        <f>J9*290.8*0.7892</f>
        <v>1774.0300528</v>
      </c>
      <c r="K10" s="73" ph="1">
        <f>K9*290.8*1.1126</f>
        <v>2329.5173760000002</v>
      </c>
      <c r="L10" s="73" ph="1">
        <f>L9*290.8*0.777</f>
        <v>9099.0709320000005</v>
      </c>
      <c r="M10" s="73" ph="1">
        <f>M9*33.183*LOOKUP(M11,密度!$A$2:$A$50,密度!$D$2:$D$50)</f>
        <v>93432.792397500016</v>
      </c>
      <c r="N10" s="73" ph="1">
        <f>N9*33.183*LOOKUP(N11,密度!$A$2:$A$50,密度!$E$2:$E$50)</f>
        <v>74347.546809599997</v>
      </c>
      <c r="O10" s="73" ph="1">
        <f>O9*20.428*LOOKUP(O11,密度!$A$2:$A$50,密度!$C$2:$C$50)</f>
        <v>1691.5916100000002</v>
      </c>
      <c r="P10" s="73" ph="1">
        <f>P9*51.53*LOOKUP(P11,密度!$A$2:$A$50,密度!$B$2:$B$50)</f>
        <v>124518.53483999999</v>
      </c>
      <c r="Q10" s="73" ph="1">
        <f>Q9*1.5*1.5*3.1416*LOOKUP(W11,密度!$A$2:$A$50,密度!$L$2:$L$50)</f>
        <v>44210.381985</v>
      </c>
      <c r="R10" s="73" ph="1">
        <f>R9*1.5*1.5*3.1416*LOOKUP(R11,密度!$A$2:$A$50,密度!$L$2:$L$50)</f>
        <v>47336.859108000004</v>
      </c>
      <c r="S10" s="73" ph="1">
        <f>S9*1.5*1.5*3.1416*LOOKUP(S11,密度!$A$2:$A$50,密度!$L$2:$L$50)</f>
        <v>3333.2336729999997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39819.148538399997</v>
      </c>
      <c r="X10" s="73" ph="1">
        <f>X9*1.5*1.5*3.1416*LOOKUP(X11,密度!$A$2:$A$50,密度!$L$2:$L$50)</f>
        <v>47423.463595199995</v>
      </c>
      <c r="Y10" s="73" ph="1">
        <f>Y9*1.5*1.5*3.1416*LOOKUP(Y11,密度!$A$2:$A$50,密度!$L$2:$L$50)</f>
        <v>14845.3464852</v>
      </c>
      <c r="Z10" s="73" ph="1">
        <f>Z9*33.183*LOOKUP(Z11,密度!$A$2:$A$50,密度!$L$2:$L$50)</f>
        <v>151848.162189</v>
      </c>
      <c r="AA10" s="73" ph="1">
        <f>AA9*33.183*LOOKUP(AA11,密度!$A$2:$A$50,密度!$D$2:$D$50)</f>
        <v>53569.294606800009</v>
      </c>
      <c r="AB10" s="73" ph="1">
        <f>AB9*20.428*LOOKUP(AB11,密度!$A$2:$A$50,密度!$D$2:$D$50)</f>
        <v>17955.231455999998</v>
      </c>
      <c r="AC10" s="73" ph="1">
        <f>AC9*51.53*LOOKUP(AC11,密度!$A$2:$A$50,密度!$Q$2:$Q$50)</f>
        <v>214308.7549414</v>
      </c>
      <c r="AD10" s="73" ph="1">
        <f>AD9*20.428*LOOKUP(AD11,密度!$A$2:$A$50,密度!$V$2:$V$50)</f>
        <v>26428.063132800002</v>
      </c>
      <c r="AE10" s="73" ph="1">
        <f>AE9*20.428</f>
        <v>41223.704000000005</v>
      </c>
    </row>
    <row r="11" spans="1:99" ph="1">
      <c r="A11" s="64" t="s" ph="1">
        <v>164</v>
      </c>
      <c r="B11" s="252" ph="1"/>
      <c r="C11" s="176" t="s" ph="1">
        <v>181</v>
      </c>
      <c r="D11" s="74">
        <v>27</v>
      </c>
      <c r="E11" s="74">
        <v>23</v>
      </c>
      <c r="F11" s="74">
        <v>21</v>
      </c>
      <c r="G11" s="74">
        <v>23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31</v>
      </c>
      <c r="P11" s="74">
        <v>24</v>
      </c>
      <c r="Q11" s="74">
        <v>23</v>
      </c>
      <c r="R11" s="74">
        <v>28</v>
      </c>
      <c r="S11" s="74">
        <v>17</v>
      </c>
      <c r="T11" s="74">
        <v>22</v>
      </c>
      <c r="U11" s="74">
        <v>22</v>
      </c>
      <c r="V11" s="74">
        <v>27</v>
      </c>
      <c r="W11" s="74">
        <v>25</v>
      </c>
      <c r="X11" s="74">
        <v>16</v>
      </c>
      <c r="Y11" s="74">
        <v>24</v>
      </c>
      <c r="Z11" s="74">
        <v>21</v>
      </c>
      <c r="AA11" s="74">
        <v>24</v>
      </c>
      <c r="AB11" s="74">
        <v>14</v>
      </c>
      <c r="AC11" s="74">
        <v>22</v>
      </c>
      <c r="AD11" s="74">
        <v>31</v>
      </c>
      <c r="AE11" s="74">
        <v>27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76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76" t="s" ph="1">
        <v>179</v>
      </c>
      <c r="D15" s="78">
        <v>5216</v>
      </c>
      <c r="E15" s="78">
        <v>76</v>
      </c>
      <c r="F15" s="78">
        <v>2636</v>
      </c>
      <c r="G15" s="78">
        <v>3955</v>
      </c>
      <c r="H15" s="78">
        <v>4525</v>
      </c>
      <c r="I15" s="78">
        <v>3</v>
      </c>
      <c r="J15" s="78">
        <v>1214</v>
      </c>
      <c r="K15" s="78">
        <v>1901</v>
      </c>
      <c r="L15" s="78">
        <v>5667</v>
      </c>
      <c r="M15" s="78">
        <v>1597</v>
      </c>
      <c r="N15" s="78">
        <v>1832</v>
      </c>
      <c r="O15" s="78">
        <v>2944</v>
      </c>
      <c r="P15" s="78">
        <v>6953</v>
      </c>
      <c r="Q15" s="78">
        <v>2907</v>
      </c>
      <c r="R15" s="78">
        <v>3514</v>
      </c>
      <c r="S15" s="78">
        <v>6868</v>
      </c>
      <c r="T15" s="78">
        <v>2994</v>
      </c>
      <c r="U15" s="78">
        <v>4556</v>
      </c>
      <c r="V15" s="78">
        <v>1098</v>
      </c>
      <c r="W15" s="71">
        <v>-596</v>
      </c>
      <c r="X15" s="78">
        <v>294</v>
      </c>
      <c r="Y15" s="106">
        <v>-9905</v>
      </c>
      <c r="Z15" s="78">
        <v>0</v>
      </c>
      <c r="AA15" s="78">
        <v>4252</v>
      </c>
      <c r="AB15" s="78" ph="1">
        <v>6920</v>
      </c>
      <c r="AC15" s="78" ph="1">
        <v>6565</v>
      </c>
      <c r="AD15" s="78">
        <v>22.63</v>
      </c>
      <c r="AE15" s="78">
        <v>78.17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76" t="s" ph="1">
        <v>180</v>
      </c>
      <c r="D16" s="73" ph="1">
        <f>D15*7.0686*LOOKUP(D17,密度!$A$2:$A$50,密度!$L$2:$L$50)</f>
        <v>34547.019091200003</v>
      </c>
      <c r="E16" s="73" ph="1">
        <f>E15*7.0686*LOOKUP(E17,密度!$A$2:$A$50,密度!$L$2:$L$50)</f>
        <v>503.36914320000005</v>
      </c>
      <c r="F16" s="73" ph="1">
        <f>F15*9.0746*LOOKUP(F17,密度!$A$2:$A$50,密度!$L$2:$L$50)</f>
        <v>22437.565572799998</v>
      </c>
      <c r="G16" s="73" ph="1">
        <f>G15*9.0746*LOOKUP(G17,密度!$A$2:$A$50,密度!$B$2:$B$50)</f>
        <v>28012.178561499997</v>
      </c>
      <c r="H16" s="73" ph="1">
        <f>H15*9.0746*LOOKUP(H17,密度!$A$2:$A$50,密度!$L$2:$L$50)</f>
        <v>38639.873664999999</v>
      </c>
      <c r="I16" s="73" ph="1">
        <f>I15*9.0746*LOOKUP(I17,密度!$A$2:$A$50,密度!$U$2:$U$50)</f>
        <v>27.958842599999997</v>
      </c>
      <c r="J16" s="73" ph="1">
        <f>J15*9.0746*LOOKUP(J17,密度!$A$2:$A$50,密度!$L$2:$L$50)</f>
        <v>10333.537407200001</v>
      </c>
      <c r="K16" s="73" ph="1">
        <f>K15*9.0746*LOOKUP(K17,密度!$A$2:$A$50,密度!$C$2:$C$50)</f>
        <v>19141.503880159999</v>
      </c>
      <c r="L16" s="73" ph="1">
        <f>L15*9.0746*LOOKUP(L17,密度!$A$2:$A$50,密度!$E$2:$E$50)</f>
        <v>40338.364732080001</v>
      </c>
      <c r="M16" s="73" ph="1">
        <f>M15*9.0746*LOOKUP(M17,密度!$A$2:$A$50,密度!$M$2:$M$50)</f>
        <v>12693.662097580002</v>
      </c>
      <c r="N16" s="73" ph="1">
        <f>N15*9.0746*LOOKUP(N17,密度!$A$2:$A$50,密度!$M$2:$M$50)</f>
        <v>14596.4578016</v>
      </c>
      <c r="O16" s="73" ph="1">
        <f>O15*9.0746*LOOKUP(O17,密度!$A$2:$A$50,密度!$G$2:$G$50)</f>
        <v>25652.34062848</v>
      </c>
      <c r="P16" s="73" ph="1">
        <f ca="1">P15*9.0746*LOOKUP(P17,密度!$A$2:$A$51,密度!$Q$2:$Q$50)</f>
        <v>59690.419205614002</v>
      </c>
      <c r="Q16" s="73" ph="1">
        <f>Q15*9.0746*LOOKUP(Q17,密度!$A$2:$A$50,密度!$Q$2:$Q$50)</f>
        <v>24974.870739228001</v>
      </c>
      <c r="R16" s="73" ph="1">
        <f>MAX(R15*9.0746*LOOKUP(R17,密度!$A$2:$A$50,密度!$B$2:$B$50),0)</f>
        <v>24831.29804428</v>
      </c>
      <c r="S16" s="73" ph="1">
        <f>S15*9.0746*LOOKUP(S17,密度!$A$2:$A$50,密度!$Q$2:$Q$50)</f>
        <v>59004.957769872002</v>
      </c>
      <c r="T16" s="73" ph="1">
        <f>T15*9.0746*LOOKUP(T17,密度!$A$2:$A$50,密度!$O$2:$O$50)</f>
        <v>25158.820322400003</v>
      </c>
      <c r="U16" s="73" ph="1">
        <f>U15*9.0746*LOOKUP(U17,密度!$A$2:$A$50,密度!$H$2:$H$50)</f>
        <v>37817.244840719999</v>
      </c>
      <c r="V16" s="73" ph="1">
        <f>MAX(5600*LOOKUP(V17,密度!$A$2:$A$50,密度!$Q$2:$Q$50)+V15*9.0476*LOOKUP(V17,密度!$A$2:$A$50,密度!$Q$2:$Q$50),0)</f>
        <v>14729.58988336</v>
      </c>
      <c r="W16" s="73" ph="1">
        <f>MAX(5600*LOOKUP(W17,密度!$A$2:$A$50,密度!$Q$2:$Q$50)+W15*9.0476*LOOKUP(W17,密度!$A$2:$A$50,密度!$Q$2:$Q$50),0)</f>
        <v>196.87514528000065</v>
      </c>
      <c r="X16" s="73" ph="1">
        <f>MAX(5600*LOOKUP(X17,密度!$A$2:$A$50,密度!$I$2:$I$50)+X15*9.0476*LOOKUP(X17,密度!$A$2:$A$50,密度!$I$2:$I$50),0)</f>
        <v>8620.9561552800005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30150.474654880003</v>
      </c>
      <c r="AB16" s="73" ph="1">
        <f>AB15*9.0746*LOOKUP(AB17,密度!$A$2:$A$50,密度!$L$2:$L$50)</f>
        <v>58840.069384000009</v>
      </c>
      <c r="AC16" s="73" ph="1">
        <f>AC15*9.0746*LOOKUP(AC17,密度!$A$2:$A$50,密度!$L$2:$L$50)</f>
        <v>55940.689311000002</v>
      </c>
      <c r="AD16" s="73" ph="1">
        <f>AD15*268.68*LOOKUP(AD17,密度!$A$2:$A$50,密度!B2:B50)+IF(AD15&lt;=0,0,1566*LOOKUP(AD17,密度!$A$2:$A$50,密度!B2:B50))</f>
        <v>5960.99966064</v>
      </c>
      <c r="AE16" s="73" ph="1">
        <f>AE15*268.68*LOOKUP(AE17,密度!$A$2:$A$50,密度!B2:B50)+IF(AE15&lt;=0,0,1566*LOOKUP(AE17,密度!$A$2:$A$50,密度!B2:B50))</f>
        <v>17594.570681759997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25</v>
      </c>
      <c r="E17" s="74">
        <v>25</v>
      </c>
      <c r="F17" s="74">
        <v>24</v>
      </c>
      <c r="G17" s="74">
        <v>24</v>
      </c>
      <c r="H17" s="74">
        <v>21</v>
      </c>
      <c r="I17" s="74">
        <v>23</v>
      </c>
      <c r="J17" s="74">
        <v>24</v>
      </c>
      <c r="K17" s="74">
        <v>24</v>
      </c>
      <c r="L17" s="74">
        <v>24</v>
      </c>
      <c r="M17" s="74">
        <v>24</v>
      </c>
      <c r="N17" s="74">
        <v>22</v>
      </c>
      <c r="O17" s="74">
        <v>25</v>
      </c>
      <c r="P17" s="74">
        <v>26</v>
      </c>
      <c r="Q17" s="74">
        <v>25</v>
      </c>
      <c r="R17" s="74">
        <v>26</v>
      </c>
      <c r="S17" s="74">
        <v>25</v>
      </c>
      <c r="T17" s="74">
        <v>26</v>
      </c>
      <c r="U17" s="74">
        <v>25</v>
      </c>
      <c r="V17" s="74">
        <v>23</v>
      </c>
      <c r="W17" s="74">
        <v>23</v>
      </c>
      <c r="X17" s="74">
        <v>24</v>
      </c>
      <c r="Y17" s="108">
        <v>24</v>
      </c>
      <c r="Z17" s="74">
        <v>23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5218</v>
      </c>
      <c r="E18" s="71">
        <v>76</v>
      </c>
      <c r="F18" s="71">
        <v>2703</v>
      </c>
      <c r="G18" s="71">
        <v>3972</v>
      </c>
      <c r="H18" s="71">
        <v>4525</v>
      </c>
      <c r="I18" s="71">
        <v>3</v>
      </c>
      <c r="J18" s="71">
        <v>1214</v>
      </c>
      <c r="K18" s="71">
        <v>1902</v>
      </c>
      <c r="L18" s="71">
        <v>5671</v>
      </c>
      <c r="M18" s="71">
        <v>1599</v>
      </c>
      <c r="N18" s="71">
        <v>1833</v>
      </c>
      <c r="O18" s="71">
        <v>3287</v>
      </c>
      <c r="P18" s="71">
        <v>6952</v>
      </c>
      <c r="Q18" s="71">
        <v>2906</v>
      </c>
      <c r="R18" s="71">
        <v>3516</v>
      </c>
      <c r="S18" s="71">
        <v>6868</v>
      </c>
      <c r="T18" s="71">
        <v>1781</v>
      </c>
      <c r="U18" s="71">
        <v>4556</v>
      </c>
      <c r="V18" s="71">
        <v>1096</v>
      </c>
      <c r="W18" s="71">
        <v>-596</v>
      </c>
      <c r="X18" s="71">
        <v>294</v>
      </c>
      <c r="Y18" s="109">
        <v>-9905</v>
      </c>
      <c r="Z18" s="71">
        <v>0</v>
      </c>
      <c r="AA18" s="71">
        <v>4251</v>
      </c>
      <c r="AB18" s="71">
        <v>6921</v>
      </c>
      <c r="AC18" s="71">
        <v>6564</v>
      </c>
      <c r="AD18" s="71">
        <v>53.85</v>
      </c>
      <c r="AE18" s="71">
        <v>83.68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76" t="s" ph="1">
        <v>180</v>
      </c>
      <c r="D19" s="73" ph="1">
        <f>D18*7.0686*LOOKUP(D20,密度!$A$2:$A$50,密度!$L$2:$L$50)</f>
        <v>34634.033557199997</v>
      </c>
      <c r="E19" s="73" ph="1">
        <f>E18*7.0686*LOOKUP(E20,密度!$A$2:$A$50,密度!$L$2:$L$50)</f>
        <v>504.4435704</v>
      </c>
      <c r="F19" s="73" ph="1">
        <f>F18*9.0746*LOOKUP(F20,密度!$A$2:$A$50,密度!$L$2:$L$50)</f>
        <v>23007.867884399999</v>
      </c>
      <c r="G19" s="73" ph="1">
        <f>G18*9.0746*LOOKUP(G20,密度!$A$2:$A$50,密度!$B$2:$B$50)</f>
        <v>28132.584891600003</v>
      </c>
      <c r="H19" s="73" ph="1">
        <f>H18*9.0746*LOOKUP(H20,密度!$A$2:$A$50,密度!$L$2:$L$50)</f>
        <v>38598.811099999999</v>
      </c>
      <c r="I19" s="73" ph="1">
        <f>I18*9.0746*LOOKUP(I20,密度!$A$2:$A$50,密度!$U$2:$U$50)</f>
        <v>27.986066400000002</v>
      </c>
      <c r="J19" s="73" ph="1">
        <f>J18*9.0746*LOOKUP(J20,密度!$A$2:$A$50,密度!$L$2:$L$50)</f>
        <v>10333.537407200001</v>
      </c>
      <c r="K19" s="73" ph="1">
        <f>K18*9.0746*LOOKUP(K20,密度!$A$2:$A$50,密度!$C$2:$C$50)</f>
        <v>19151.573056320001</v>
      </c>
      <c r="L19" s="73" ph="1">
        <f>L18*9.0746*LOOKUP(L20,密度!$A$2:$A$50,密度!$E$2:$E$50)</f>
        <v>40248.474466860003</v>
      </c>
      <c r="M19" s="73" ph="1">
        <f>M18*9.0746*LOOKUP(M20,密度!$A$2:$A$50,密度!$M$2:$M$50)</f>
        <v>12683.440468140001</v>
      </c>
      <c r="N19" s="73" ph="1">
        <f>N18*9.0746*LOOKUP(N20,密度!$A$2:$A$50,密度!$M$2:$M$50)</f>
        <v>14587.7915586</v>
      </c>
      <c r="O19" s="73" ph="1">
        <f>O18*9.0746*LOOKUP(O20,密度!$A$2:$A$50,密度!$G$2:$G$50)</f>
        <v>28641.047434040003</v>
      </c>
      <c r="P19" s="73" ph="1">
        <f ca="1">P18*9.0746*LOOKUP(P20,密度!$A$2:$A$51,密度!$Q$2:$Q$50)</f>
        <v>59772.679093424005</v>
      </c>
      <c r="Q19" s="73" ph="1">
        <f>Q18*9.0746*LOOKUP(Q20,密度!$A$2:$A$50,密度!$Q$2:$Q$50)</f>
        <v>25004.780802320001</v>
      </c>
      <c r="R19" s="73" ph="1">
        <f>MAX(R18*9.0746*LOOKUP(R20,密度!$A$2:$A$50,密度!$B$2:$B$50),0)</f>
        <v>24902.862154800001</v>
      </c>
      <c r="S19" s="73" ph="1">
        <f>S18*9.0746*LOOKUP(S20,密度!$A$2:$A$50,密度!$Q$2:$Q$50)</f>
        <v>59095.951324960006</v>
      </c>
      <c r="T19" s="73" ph="1">
        <f>T18*9.0746*LOOKUP(T20,密度!$A$2:$A$50,密度!$O$2:$O$50)</f>
        <v>15030.532218</v>
      </c>
      <c r="U19" s="73" ph="1">
        <f>U18*9.0746*LOOKUP(U20,密度!$A$2:$A$50,密度!$H$2:$H$50)</f>
        <v>37899.93259592</v>
      </c>
      <c r="V19" s="73" ph="1">
        <f>MAX(5600*LOOKUP(V20,密度!$A$2:$A$50,密度!$Q$2:$Q$50)+V18*9.0476*LOOKUP(V20,密度!$A$2:$A$50,密度!$Q$2:$Q$50),0)</f>
        <v>14726.241405663997</v>
      </c>
      <c r="W19" s="73" ph="1">
        <f>MAX(5600*LOOKUP(W20,密度!$A$2:$A$50,密度!$Q$2:$Q$50)+W18*9.0476*LOOKUP(W20,密度!$A$2:$A$50,密度!$Q$2:$Q$50),0)</f>
        <v>197.05993633600065</v>
      </c>
      <c r="X19" s="73" ph="1">
        <f>MAX(5600*LOOKUP(X20,密度!$A$2:$A$50,密度!$I$2:$I$50)+X18*9.0476*LOOKUP(X20,密度!$A$2:$A$50,密度!$I$2:$I$50),0)</f>
        <v>8630.8681485599991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30178.102274580004</v>
      </c>
      <c r="AB19" s="73" ph="1">
        <f>AB18*9.0746*LOOKUP(AB20,密度!$A$2:$A$50,密度!$L$2:$L$50)</f>
        <v>58974.182897400002</v>
      </c>
      <c r="AC19" s="73" ph="1">
        <f>AC18*9.0746*LOOKUP(AC20,密度!$A$2:$A$50,密度!$L$2:$L$50)</f>
        <v>55991.733935999997</v>
      </c>
      <c r="AD19" s="73" ph="1">
        <f>AD18*268.68*LOOKUP(AD20,密度!$A$2:$A$50,密度!B5:B53)+IF(AD18&lt;=0,0,1566*LOOKUP(AD20,密度!$A$2:$A$50,密度!B5:B53))</f>
        <v>12458.742786000001</v>
      </c>
      <c r="AE19" s="73" ph="1">
        <f>AE18*268.68*LOOKUP(AE20,密度!$A$2:$A$50,密度!B5:B53)+IF(AE18&lt;=0,0,1566*LOOKUP(AE20,密度!$A$2:$A$50,密度!B5:B53))</f>
        <v>18686.183644799999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23</v>
      </c>
      <c r="E20" s="81">
        <v>23</v>
      </c>
      <c r="F20" s="81">
        <v>24</v>
      </c>
      <c r="G20" s="81">
        <v>24</v>
      </c>
      <c r="H20" s="81">
        <v>22</v>
      </c>
      <c r="I20" s="81">
        <v>22</v>
      </c>
      <c r="J20" s="81">
        <v>24</v>
      </c>
      <c r="K20" s="81">
        <v>24</v>
      </c>
      <c r="L20" s="81">
        <v>26</v>
      </c>
      <c r="M20" s="81">
        <v>26</v>
      </c>
      <c r="N20" s="81">
        <v>23</v>
      </c>
      <c r="O20" s="81">
        <v>25</v>
      </c>
      <c r="P20" s="81">
        <v>24</v>
      </c>
      <c r="Q20" s="81">
        <v>23</v>
      </c>
      <c r="R20" s="81">
        <v>24</v>
      </c>
      <c r="S20" s="81">
        <v>23</v>
      </c>
      <c r="T20" s="81">
        <v>24</v>
      </c>
      <c r="U20" s="81">
        <v>23</v>
      </c>
      <c r="V20" s="81">
        <v>22</v>
      </c>
      <c r="W20" s="81">
        <v>22</v>
      </c>
      <c r="X20" s="81">
        <v>23</v>
      </c>
      <c r="Y20" s="110">
        <v>23</v>
      </c>
      <c r="Z20" s="81">
        <v>22</v>
      </c>
      <c r="AA20" s="81">
        <v>22</v>
      </c>
      <c r="AB20" s="81">
        <v>23</v>
      </c>
      <c r="AC20" s="81">
        <v>22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651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76" t="s" ph="1">
        <v>179</v>
      </c>
      <c r="D24" s="71">
        <v>3.35</v>
      </c>
      <c r="E24" s="71">
        <v>95.59</v>
      </c>
      <c r="F24" s="71">
        <v>0</v>
      </c>
      <c r="G24" s="71">
        <v>3922</v>
      </c>
      <c r="H24" s="71">
        <v>2149</v>
      </c>
      <c r="I24" s="71">
        <v>4579</v>
      </c>
      <c r="J24" s="71">
        <v>3827</v>
      </c>
      <c r="K24" s="71">
        <v>5613</v>
      </c>
      <c r="L24" s="71">
        <v>5623</v>
      </c>
      <c r="M24" s="71">
        <v>5425</v>
      </c>
      <c r="N24" s="71">
        <v>5371</v>
      </c>
      <c r="O24" s="71">
        <v>3524</v>
      </c>
      <c r="P24" s="71">
        <v>837</v>
      </c>
      <c r="Q24" s="90">
        <v>1773</v>
      </c>
      <c r="R24" s="71">
        <v>6353</v>
      </c>
      <c r="S24" s="71">
        <v>64</v>
      </c>
      <c r="T24" s="71">
        <v>1756</v>
      </c>
      <c r="U24" s="71">
        <v>4078</v>
      </c>
      <c r="V24" s="71">
        <v>9657</v>
      </c>
      <c r="W24" s="71">
        <v>8567</v>
      </c>
      <c r="X24" s="71">
        <v>6860</v>
      </c>
      <c r="Y24" s="71">
        <v>1029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2334.73468572</v>
      </c>
      <c r="E25" s="91" ph="1">
        <f>E24*268.68*LOOKUP(E26,密度!$A$2:$A$50,密度!$C$2:$C$50)+IF(E24&lt;=0,0,1566*LOOKUP(E26,密度!$A$2:$A$50,密度!$C$2:$C$50))</f>
        <v>30216.550498680004</v>
      </c>
      <c r="F25" s="91" ph="1">
        <f>F24*11.702*LOOKUP(F26,密度!$A$2:$A$50,密度!$Q$2:$Q$50)</f>
        <v>0</v>
      </c>
      <c r="G25" s="91" ph="1">
        <f>G24*18.322*LOOKUP(G26,密度!$A$2:$A$50,密度!$B$2:$B$50)</f>
        <v>55956.512970799988</v>
      </c>
      <c r="H25" s="91" ph="1">
        <f>H24*18.322*LOOKUP(H26,密度!$A$2:$A$50,密度!$B$2:$B$50)</f>
        <v>30660.516668599994</v>
      </c>
      <c r="I25" s="91" ph="1">
        <f>I24*18.322*LOOKUP(I26,密度!$A$2:$A$50,密度!$Q$2:$Q$50)</f>
        <v>79368.547241139997</v>
      </c>
      <c r="J25" s="91" ph="1">
        <f>J24*18.322*LOOKUP(J26,密度!$A$2:$A$50,密度!$Q$2:$Q$50)</f>
        <v>66383.79366155999</v>
      </c>
      <c r="K25" s="91" ph="1">
        <f>K24*18.322*LOOKUP(K26,密度!$A$2:$A$50,密度!$Q$2:$Q$50)</f>
        <v>97364.053781640003</v>
      </c>
      <c r="L25" s="91" ph="1">
        <f>L24*18.322*LOOKUP(L26,密度!$A$2:$A$50,密度!$Q$2:$Q$50)</f>
        <v>97537.515484440009</v>
      </c>
      <c r="M25" s="91" ph="1">
        <f>M24*18.322*LOOKUP(M26,密度!$A$2:$A$50,密度!$Q$2:$Q$50)</f>
        <v>94102.973768999989</v>
      </c>
      <c r="N25" s="91" ph="1">
        <f>N24*18.322*LOOKUP(N26,密度!$A$2:$A$50,密度!$Q$2:$Q$50)</f>
        <v>93096.411275860009</v>
      </c>
      <c r="O25" s="91" ph="1">
        <f>O24*18.322*LOOKUP(O26,密度!$A$2:$A$50,密度!$C$2:$C$50)</f>
        <v>71598.0446792</v>
      </c>
      <c r="P25" s="91" ph="1">
        <f>P24*11.702*LOOKUP(P26,密度!$A$2:$A$50,密度!$B$2:$B$50)</f>
        <v>7635.8498903999998</v>
      </c>
      <c r="Q25" s="92" ph="1">
        <f>Q24*18.322*LOOKUP(Q26,密度!$A$2:$A$50,密度!$B$2:$B$50)</f>
        <v>25354.469132999999</v>
      </c>
      <c r="R25" s="91" ph="1">
        <f>R24*35.891*LOOKUP(R26,密度!$A$2:$A$50,密度!$C$2:$C$50)</f>
        <v>253006.02432079997</v>
      </c>
      <c r="S25" s="91" ph="1">
        <f>S24*35.891*LOOKUP(S26,密度!$A$2:$A$50,密度!$B$2:$B$50)</f>
        <v>1792.8272319999999</v>
      </c>
      <c r="T25" s="91" ph="1">
        <f>T24*35.891*LOOKUP(T26,密度!$A$2:$A$50,密度!$Q$2:$Q$50)</f>
        <v>59667.906017039997</v>
      </c>
      <c r="U25" s="91" ph="1">
        <f>U24*35.891</f>
        <v>146363.49799999999</v>
      </c>
      <c r="V25" s="91" ph="1">
        <f>V24*47.051*LOOKUP(V26,密度!$A$2:$A$50,密度!$B$2:$B$50)</f>
        <v>354636.96121350001</v>
      </c>
      <c r="W25" s="91" ph="1">
        <f>W24*47.051*LOOKUP(W26,密度!$A$2:$A$50,密度!$B$2:$B$50)</f>
        <v>314608.55821849999</v>
      </c>
      <c r="X25" s="91" ph="1">
        <f>X24*47.051*LOOKUP(X26,密度!$A$2:$A$50,密度!$I$2:$I$50)</f>
        <v>333169.50488919998</v>
      </c>
      <c r="Y25" s="91" ph="1">
        <f>Y24*47.051*LOOKUP(Y26,密度!$A$2:$A$50,密度!$L$2:$L$50)</f>
        <v>45413.719301999998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26</v>
      </c>
      <c r="J26" s="74">
        <v>25</v>
      </c>
      <c r="K26" s="74">
        <v>25</v>
      </c>
      <c r="L26" s="74">
        <v>25</v>
      </c>
      <c r="M26" s="74">
        <v>25</v>
      </c>
      <c r="N26" s="74">
        <v>26</v>
      </c>
      <c r="O26" s="74">
        <v>25</v>
      </c>
      <c r="P26" s="74">
        <v>25</v>
      </c>
      <c r="Q26" s="93">
        <v>24</v>
      </c>
      <c r="R26" s="74">
        <v>24</v>
      </c>
      <c r="S26" s="74">
        <v>24</v>
      </c>
      <c r="T26" s="74">
        <v>25</v>
      </c>
      <c r="U26" s="74">
        <v>25</v>
      </c>
      <c r="V26" s="74">
        <v>24</v>
      </c>
      <c r="W26" s="74">
        <v>24</v>
      </c>
      <c r="X26" s="74">
        <v>46</v>
      </c>
      <c r="Y26" s="74">
        <v>24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76" t="s" ph="1">
        <v>182</v>
      </c>
      <c r="D27" s="71">
        <v>3.35</v>
      </c>
      <c r="E27" s="71">
        <v>95.61</v>
      </c>
      <c r="F27" s="71">
        <v>0</v>
      </c>
      <c r="G27" s="71">
        <v>3455</v>
      </c>
      <c r="H27" s="71">
        <v>1599</v>
      </c>
      <c r="I27" s="71">
        <v>4578</v>
      </c>
      <c r="J27" s="71">
        <v>4949</v>
      </c>
      <c r="K27" s="71">
        <v>4901</v>
      </c>
      <c r="L27" s="71">
        <v>5623</v>
      </c>
      <c r="M27" s="71">
        <v>5424</v>
      </c>
      <c r="N27" s="71">
        <v>5372</v>
      </c>
      <c r="O27" s="71">
        <v>3523</v>
      </c>
      <c r="P27" s="71">
        <v>837</v>
      </c>
      <c r="Q27" s="90">
        <v>2219</v>
      </c>
      <c r="R27" s="71">
        <v>6354</v>
      </c>
      <c r="S27" s="71">
        <v>64</v>
      </c>
      <c r="T27" s="71">
        <v>1755</v>
      </c>
      <c r="U27" s="71">
        <v>4628</v>
      </c>
      <c r="V27" s="71">
        <v>9660</v>
      </c>
      <c r="W27" s="71">
        <v>8234</v>
      </c>
      <c r="X27" s="71">
        <v>6860</v>
      </c>
      <c r="Y27" s="71">
        <v>1349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76" t="s" ph="1">
        <v>180</v>
      </c>
      <c r="D28" s="91" ph="1">
        <f>D27*268.68*LOOKUP(D29,密度!$A$2:$A$50,密度!$Q$2:$Q$50)+IF(D27&lt;=0,0,1566*LOOKUP(D29,密度!$A$2:$A$50,密度!$Q$2:$Q$50))</f>
        <v>2334.73468572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0</v>
      </c>
      <c r="G28" s="91" ph="1">
        <f>G27*18.322*LOOKUP(G29,密度!$A$2:$A$50,密度!$B$2:$B$50)</f>
        <v>49350.636795999992</v>
      </c>
      <c r="H28" s="91" ph="1">
        <f>H27*18.322*LOOKUP(H29,密度!$A$2:$A$50,密度!$B$2:$B$50)</f>
        <v>22866.213278999996</v>
      </c>
      <c r="I28" s="91" ph="1">
        <f>I27*18.322*LOOKUP(I29,密度!$A$2:$A$50,密度!$Q$2:$Q$50)</f>
        <v>79471.998566519993</v>
      </c>
      <c r="J28" s="91" ph="1">
        <f>J27*18.322*LOOKUP(J29,密度!$A$2:$A$50,密度!$Q$2:$Q$50)</f>
        <v>85912.38988766</v>
      </c>
      <c r="K28" s="91" ph="1">
        <f>K27*18.322*LOOKUP(K29,密度!$A$2:$A$50,密度!$Q$2:$Q$50)</f>
        <v>85013.580542280004</v>
      </c>
      <c r="L28" s="91" ph="1">
        <f>L27*18.322*LOOKUP(L29,密度!$A$2:$A$50,密度!$Q$2:$Q$50)</f>
        <v>97612.723446820004</v>
      </c>
      <c r="M28" s="91" ph="1">
        <f>M27*18.322*LOOKUP(M29,密度!$A$2:$A$50,密度!$Q$2:$Q$50)</f>
        <v>94158.173924160001</v>
      </c>
      <c r="N28" s="91" ph="1">
        <f>N27*18.322*LOOKUP(N29,密度!$A$2:$A$50,密度!$Q$2:$Q$50)</f>
        <v>93183.626744160007</v>
      </c>
      <c r="O28" s="91" ph="1">
        <f>O27*18.322*LOOKUP(O29,密度!$A$2:$A$50,密度!$C$2:$C$50)</f>
        <v>71577.727413399989</v>
      </c>
      <c r="P28" s="91" ph="1">
        <f>P27*11.702*LOOKUP(P29,密度!$A$2:$A$50,密度!$B$2:$B$50)</f>
        <v>7644.6650070000005</v>
      </c>
      <c r="Q28" s="92" ph="1">
        <f>Q27*18.322*LOOKUP(Q29,密度!$A$2:$A$50,密度!$B$2:$B$50)</f>
        <v>31732.412298999996</v>
      </c>
      <c r="R28" s="91" ph="1">
        <f>R27*35.891*LOOKUP(R29,密度!$A$2:$A$50,密度!$C$2:$C$50)</f>
        <v>252886.21298459999</v>
      </c>
      <c r="S28" s="91" ph="1">
        <f>S27*35.891*LOOKUP(S29,密度!$A$2:$A$50,密度!$B$2:$B$50)</f>
        <v>1790.7599103999999</v>
      </c>
      <c r="T28" s="91" ph="1">
        <f>T27*35.891*LOOKUP(T29,密度!$A$2:$A$50,密度!$Q$2:$Q$50)</f>
        <v>59679.90832635</v>
      </c>
      <c r="U28" s="91" ph="1">
        <f>U27*35.891</f>
        <v>166103.54799999998</v>
      </c>
      <c r="V28" s="91" ph="1">
        <f>V27*47.051*LOOKUP(V29,密度!$A$2:$A$50,密度!$B$2:$B$50)</f>
        <v>354747.13112999999</v>
      </c>
      <c r="W28" s="91" ph="1">
        <f>W27*47.051*LOOKUP(W29,密度!$A$2:$A$50,密度!$B$2:$B$50)</f>
        <v>302379.69748699997</v>
      </c>
      <c r="X28" s="91" ph="1">
        <f>X27*47.051*LOOKUP(X29,密度!$A$2:$A$50,密度!$I$2:$I$50)</f>
        <v>332808.00264599995</v>
      </c>
      <c r="Y28" s="91" ph="1">
        <f>Y27*47.051*LOOKUP(Y29,密度!$A$2:$A$50,密度!$L$2:$L$50)</f>
        <v>59536.547461999995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76" t="s" ph="1">
        <v>181</v>
      </c>
      <c r="D29" s="74">
        <v>25</v>
      </c>
      <c r="E29" s="74">
        <v>25</v>
      </c>
      <c r="F29" s="74">
        <v>24</v>
      </c>
      <c r="G29" s="74">
        <v>25</v>
      </c>
      <c r="H29" s="74">
        <v>24</v>
      </c>
      <c r="I29" s="74">
        <v>24</v>
      </c>
      <c r="J29" s="74">
        <v>24</v>
      </c>
      <c r="K29" s="74">
        <v>25</v>
      </c>
      <c r="L29" s="74">
        <v>24</v>
      </c>
      <c r="M29" s="74">
        <v>24</v>
      </c>
      <c r="N29" s="74">
        <v>25</v>
      </c>
      <c r="O29" s="74">
        <v>25</v>
      </c>
      <c r="P29" s="74">
        <v>24</v>
      </c>
      <c r="Q29" s="93">
        <v>24</v>
      </c>
      <c r="R29" s="74">
        <v>25</v>
      </c>
      <c r="S29" s="74">
        <v>25</v>
      </c>
      <c r="T29" s="74">
        <v>24</v>
      </c>
      <c r="U29" s="74">
        <v>24</v>
      </c>
      <c r="V29" s="74">
        <v>24</v>
      </c>
      <c r="W29" s="74">
        <v>24</v>
      </c>
      <c r="X29" s="74">
        <v>45</v>
      </c>
      <c r="Y29" s="74">
        <v>24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76" t="s" ph="1">
        <v>5</v>
      </c>
      <c r="F32" s="175" t="s" ph="1">
        <v>43</v>
      </c>
      <c r="G32" s="97" t="s" ph="1">
        <v>4</v>
      </c>
      <c r="H32" s="176" t="s" ph="1">
        <v>5</v>
      </c>
      <c r="I32" s="175" t="s" ph="1">
        <v>43</v>
      </c>
      <c r="J32" s="97" t="s" ph="1">
        <v>4</v>
      </c>
      <c r="K32" s="176" t="s" ph="1">
        <v>5</v>
      </c>
      <c r="L32" s="175" t="s" ph="1">
        <v>43</v>
      </c>
      <c r="M32" s="97" t="s" ph="1">
        <v>4</v>
      </c>
      <c r="N32" s="176" t="s" ph="1">
        <v>5</v>
      </c>
      <c r="O32" s="17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6" t="s" ph="1">
        <v>5</v>
      </c>
      <c r="U32" s="99" t="s" ph="1">
        <v>43</v>
      </c>
      <c r="V32" s="97" t="s" ph="1">
        <v>4</v>
      </c>
      <c r="W32" s="176" t="s" ph="1">
        <v>5</v>
      </c>
      <c r="X32" s="99" t="s" ph="1">
        <v>43</v>
      </c>
      <c r="Y32" s="100" t="s" ph="1">
        <v>4</v>
      </c>
      <c r="Z32" s="176" t="s" ph="1">
        <v>5</v>
      </c>
      <c r="AA32" s="175" t="s" ph="1">
        <v>43</v>
      </c>
      <c r="AB32" s="97" t="s" ph="1">
        <v>86</v>
      </c>
      <c r="AC32" s="176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71524.526062800011</v>
      </c>
      <c r="E33" s="201" ph="1">
        <f>M10+I10</f>
        <v>98236.692949900011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27" ph="1">
        <v>0</v>
      </c>
      <c r="H33" s="201" ph="1">
        <f>N19</f>
        <v>14587.7915586</v>
      </c>
      <c r="I33" s="205" ph="1">
        <v>0</v>
      </c>
      <c r="J33" s="209" ph="1">
        <f>F10+O28</f>
        <v>190383.41960739999</v>
      </c>
      <c r="K33" s="201" ph="1">
        <f>O10+K10+E28+R28</f>
        <v>287129.83125431999</v>
      </c>
      <c r="L33" s="211" ph="1">
        <f>BE27</f>
        <v>7100</v>
      </c>
      <c r="M33" s="209" ph="1">
        <f>G10+H10+W28+S28+V28+E10</f>
        <v>1558771.9211433998</v>
      </c>
      <c r="N33" s="201" ph="1">
        <f>L10+P10++G28+H28</f>
        <v>205834.45584699998</v>
      </c>
      <c r="O33" s="205" ph="1">
        <f>BE17</f>
        <v>2270</v>
      </c>
      <c r="P33" s="209" ph="1">
        <f>L19</f>
        <v>40248.474466860003</v>
      </c>
      <c r="Q33" s="201" ph="1">
        <f>J10+N10</f>
        <v>76121.57686239999</v>
      </c>
      <c r="R33" s="205" ph="1">
        <f>BE23</f>
        <v>890</v>
      </c>
      <c r="S33" s="209" ph="1">
        <f>E10+X28</f>
        <v>504137.88385599991</v>
      </c>
      <c r="T33" s="201" ph="1">
        <f>X19</f>
        <v>8630.8681485599991</v>
      </c>
      <c r="U33" s="190" ph="1">
        <f>BE21</f>
        <v>730</v>
      </c>
      <c r="V33" s="203" ph="1">
        <f ca="1">P19+Q19+S19+M28+N28+J28</f>
        <v>417127.60177668399</v>
      </c>
      <c r="W33" s="203" ph="1">
        <f>D28+F28+V19+T28</f>
        <v>76740.884417733992</v>
      </c>
      <c r="X33" s="205" ph="1">
        <f>BE29+BE31</f>
        <v>10200</v>
      </c>
      <c r="Y33" s="207" ph="1">
        <f>+Q10+R10+S10+T10+U10+V10+W10+X10+Y10</f>
        <v>196968.43338479998</v>
      </c>
      <c r="Z33" s="188" ph="1">
        <f>D10+T19+U19+Y28+Z10</f>
        <v>356664.19614556001</v>
      </c>
      <c r="AA33" s="190" ph="1">
        <f>BE19</f>
        <v>1440</v>
      </c>
      <c r="AB33" s="192" ph="1">
        <f>I19</f>
        <v>27.986066400000002</v>
      </c>
      <c r="AC33" s="194" ph="1">
        <f>AD10</f>
        <v>26428.063132800002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74" t="s" ph="1">
        <v>187</v>
      </c>
      <c r="AA36" s="17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7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4" t="s" ph="1">
        <v>346</v>
      </c>
      <c r="AI37" s="174" t="s" ph="1">
        <v>213</v>
      </c>
      <c r="AJ37" s="174" t="s" ph="1">
        <v>214</v>
      </c>
      <c r="AK37" s="174" t="s" ph="1">
        <v>215</v>
      </c>
      <c r="AM37" s="174" t="s" ph="1">
        <v>214</v>
      </c>
      <c r="AN37" s="174" t="s" ph="1">
        <v>215</v>
      </c>
      <c r="AO37" s="174" t="s" ph="1">
        <v>216</v>
      </c>
      <c r="AP37" s="174" t="s" ph="1">
        <v>214</v>
      </c>
      <c r="AQ37" s="174" t="s" ph="1">
        <v>215</v>
      </c>
      <c r="AR37" s="174" t="s" ph="1">
        <v>216</v>
      </c>
      <c r="AS37" s="174" t="s" ph="1">
        <v>214</v>
      </c>
      <c r="AT37" s="174" t="s" ph="1">
        <v>215</v>
      </c>
      <c r="AU37" s="174" t="s" ph="1">
        <v>216</v>
      </c>
      <c r="AV37" s="174" t="s" ph="1">
        <v>214</v>
      </c>
      <c r="AW37" s="174" t="s" ph="1">
        <v>215</v>
      </c>
      <c r="AX37" s="174" t="s" ph="1">
        <v>216</v>
      </c>
      <c r="AY37" s="174" t="s" ph="1">
        <v>215</v>
      </c>
      <c r="AZ37" s="174" t="s" ph="1">
        <v>217</v>
      </c>
      <c r="BD37" s="174" t="s" ph="1">
        <v>309</v>
      </c>
      <c r="BE37" s="17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1" priority="96">
      <formula>ABS(D$7-D$10)&gt;=1000</formula>
    </cfRule>
  </conditionalFormatting>
  <conditionalFormatting sqref="E4 E6:E11">
    <cfRule type="expression" dxfId="250" priority="95">
      <formula>ABS(E$7-E$10)&gt;=1000</formula>
    </cfRule>
  </conditionalFormatting>
  <conditionalFormatting sqref="F4:F11">
    <cfRule type="expression" dxfId="249" priority="94">
      <formula>ABS(F$7-F$10)&gt;=1000</formula>
    </cfRule>
  </conditionalFormatting>
  <conditionalFormatting sqref="G4:G11">
    <cfRule type="expression" dxfId="248" priority="93">
      <formula>ABS(G$7-G$10)&gt;=1000</formula>
    </cfRule>
  </conditionalFormatting>
  <conditionalFormatting sqref="H4:H11">
    <cfRule type="expression" dxfId="247" priority="92">
      <formula>ABS(H$7-H$10)&gt;=1000</formula>
    </cfRule>
  </conditionalFormatting>
  <conditionalFormatting sqref="I4:I11">
    <cfRule type="expression" dxfId="246" priority="91">
      <formula>ABS(I$7-I$10)&gt;=1000</formula>
    </cfRule>
  </conditionalFormatting>
  <conditionalFormatting sqref="J4:J11">
    <cfRule type="expression" dxfId="245" priority="90">
      <formula>ABS(J$7-J$10)&gt;=1000</formula>
    </cfRule>
  </conditionalFormatting>
  <conditionalFormatting sqref="K4:K11">
    <cfRule type="expression" dxfId="244" priority="89">
      <formula>ABS(K$7-K$10)&gt;=1000</formula>
    </cfRule>
  </conditionalFormatting>
  <conditionalFormatting sqref="L4:L11">
    <cfRule type="expression" dxfId="243" priority="88">
      <formula>ABS(L$7-L$10)&gt;=1000</formula>
    </cfRule>
  </conditionalFormatting>
  <conditionalFormatting sqref="M4 M6:M11">
    <cfRule type="expression" dxfId="242" priority="87">
      <formula>ABS(M$7-M$10)&gt;=1000</formula>
    </cfRule>
  </conditionalFormatting>
  <conditionalFormatting sqref="N4 N6:N11">
    <cfRule type="expression" dxfId="241" priority="86">
      <formula>ABS(N$7-N$10)&gt;=1000</formula>
    </cfRule>
  </conditionalFormatting>
  <conditionalFormatting sqref="O4 O6:O11">
    <cfRule type="expression" dxfId="240" priority="85">
      <formula>ABS(O$7-O$10)&gt;=1000</formula>
    </cfRule>
  </conditionalFormatting>
  <conditionalFormatting sqref="P4 P6:P11">
    <cfRule type="expression" dxfId="239" priority="84">
      <formula>ABS(P$7-P$10)&gt;=1000</formula>
    </cfRule>
  </conditionalFormatting>
  <conditionalFormatting sqref="Q4:Q11">
    <cfRule type="expression" dxfId="238" priority="83">
      <formula>ABS(Q$7-Q$10)&gt;=1000</formula>
    </cfRule>
  </conditionalFormatting>
  <conditionalFormatting sqref="R4:R11">
    <cfRule type="expression" dxfId="237" priority="82">
      <formula>ABS(R$7-R$10)&gt;=1000</formula>
    </cfRule>
  </conditionalFormatting>
  <conditionalFormatting sqref="S4:S11">
    <cfRule type="expression" dxfId="236" priority="81">
      <formula>ABS(S$7-S$10)&gt;=1000</formula>
    </cfRule>
  </conditionalFormatting>
  <conditionalFormatting sqref="T4:T9 T11">
    <cfRule type="expression" dxfId="235" priority="80">
      <formula>ABS(T$7-T$10)&gt;=1000</formula>
    </cfRule>
  </conditionalFormatting>
  <conditionalFormatting sqref="U4:U9 U11">
    <cfRule type="expression" dxfId="234" priority="79">
      <formula>ABS(U$7-U$10)&gt;=1000</formula>
    </cfRule>
  </conditionalFormatting>
  <conditionalFormatting sqref="V4:V9 V11">
    <cfRule type="expression" dxfId="233" priority="78">
      <formula>ABS(V$7-V$10)&gt;=1000</formula>
    </cfRule>
  </conditionalFormatting>
  <conditionalFormatting sqref="W4:W9 W11">
    <cfRule type="expression" dxfId="232" priority="77">
      <formula>ABS(W$7-W$10)&gt;=1000</formula>
    </cfRule>
  </conditionalFormatting>
  <conditionalFormatting sqref="X4:X9 X11">
    <cfRule type="expression" dxfId="231" priority="76">
      <formula>ABS(X$7-X$10)&gt;=1000</formula>
    </cfRule>
  </conditionalFormatting>
  <conditionalFormatting sqref="Y4:Y9 Y11">
    <cfRule type="expression" dxfId="230" priority="75">
      <formula>ABS(Y$7-Y$10)&gt;=1000</formula>
    </cfRule>
  </conditionalFormatting>
  <conditionalFormatting sqref="Z4:Z11">
    <cfRule type="expression" dxfId="229" priority="74">
      <formula>ABS(Z$7-Z$10)&gt;=1000</formula>
    </cfRule>
  </conditionalFormatting>
  <conditionalFormatting sqref="AA4:AA11">
    <cfRule type="expression" dxfId="228" priority="73">
      <formula>ABS(AA$7-AA$10)&gt;=1000</formula>
    </cfRule>
  </conditionalFormatting>
  <conditionalFormatting sqref="AB4:AB11">
    <cfRule type="expression" dxfId="227" priority="72">
      <formula>ABS(AB$7-AB$10)&gt;=1000</formula>
    </cfRule>
  </conditionalFormatting>
  <conditionalFormatting sqref="AC4 AC6:AC11">
    <cfRule type="expression" dxfId="226" priority="71">
      <formula>ABS(AC$7-AC$10)&gt;=1000</formula>
    </cfRule>
  </conditionalFormatting>
  <conditionalFormatting sqref="AD4:AD11">
    <cfRule type="expression" dxfId="225" priority="70">
      <formula>ABS(AD$7-AD$10)&gt;=1000</formula>
    </cfRule>
  </conditionalFormatting>
  <conditionalFormatting sqref="AE4:AE11">
    <cfRule type="expression" dxfId="224" priority="69">
      <formula>ABS(AE$7-AE$10)&gt;=1000</formula>
    </cfRule>
  </conditionalFormatting>
  <conditionalFormatting sqref="D13:D20">
    <cfRule type="expression" dxfId="223" priority="68">
      <formula>ABS(D$16-D$19)&gt;=1000</formula>
    </cfRule>
  </conditionalFormatting>
  <conditionalFormatting sqref="E13:E20">
    <cfRule type="expression" dxfId="222" priority="67">
      <formula>ABS(E$16-E$19)&gt;=1000</formula>
    </cfRule>
  </conditionalFormatting>
  <conditionalFormatting sqref="F13 F15:F20">
    <cfRule type="expression" dxfId="221" priority="66">
      <formula>ABS(F$16-F$19)&gt;=1000</formula>
    </cfRule>
  </conditionalFormatting>
  <conditionalFormatting sqref="G13:G20">
    <cfRule type="expression" dxfId="220" priority="65">
      <formula>ABS(G$16-G$19)&gt;=1000</formula>
    </cfRule>
  </conditionalFormatting>
  <conditionalFormatting sqref="H13:H20">
    <cfRule type="expression" dxfId="219" priority="64">
      <formula>ABS(H$16-H$19)&gt;=1000</formula>
    </cfRule>
  </conditionalFormatting>
  <conditionalFormatting sqref="I13:I20">
    <cfRule type="expression" dxfId="218" priority="63">
      <formula>ABS(I$16-I$19)&gt;=1000</formula>
    </cfRule>
  </conditionalFormatting>
  <conditionalFormatting sqref="J13:J20">
    <cfRule type="expression" dxfId="217" priority="62">
      <formula>ABS(J$16-J$19)&gt;=1000</formula>
    </cfRule>
  </conditionalFormatting>
  <conditionalFormatting sqref="L13:L20">
    <cfRule type="expression" dxfId="216" priority="61">
      <formula>ABS(L$16-L$19)&gt;=1000</formula>
    </cfRule>
  </conditionalFormatting>
  <conditionalFormatting sqref="M13 M15 M17:M18 M20">
    <cfRule type="expression" dxfId="215" priority="60">
      <formula>ABS(M$16-M$19)&gt;=1000</formula>
    </cfRule>
  </conditionalFormatting>
  <conditionalFormatting sqref="N13:N20">
    <cfRule type="expression" dxfId="214" priority="59">
      <formula>ABS(N$16-N$19)&gt;=1000</formula>
    </cfRule>
  </conditionalFormatting>
  <conditionalFormatting sqref="O13:O20">
    <cfRule type="expression" dxfId="213" priority="58">
      <formula>ABS(O$16-O$19)&gt;=1000</formula>
    </cfRule>
  </conditionalFormatting>
  <conditionalFormatting sqref="P13:P20">
    <cfRule type="expression" dxfId="212" priority="57">
      <formula>ABS(P$16-P$19)&gt;=1000</formula>
    </cfRule>
  </conditionalFormatting>
  <conditionalFormatting sqref="Q13 Q15:Q20">
    <cfRule type="expression" dxfId="211" priority="56">
      <formula>ABS(Q$16-Q$19)&gt;=1000</formula>
    </cfRule>
  </conditionalFormatting>
  <conditionalFormatting sqref="R13:R20">
    <cfRule type="expression" dxfId="210" priority="55">
      <formula>ABS(R$16-R$19)&gt;=1000</formula>
    </cfRule>
  </conditionalFormatting>
  <conditionalFormatting sqref="S13:S20">
    <cfRule type="expression" dxfId="209" priority="54">
      <formula>ABS(S$16-S$19)&gt;=1000</formula>
    </cfRule>
  </conditionalFormatting>
  <conditionalFormatting sqref="T13:T20">
    <cfRule type="expression" dxfId="208" priority="53">
      <formula>ABS(T$16-T$19)&gt;=1000</formula>
    </cfRule>
  </conditionalFormatting>
  <conditionalFormatting sqref="U13:U20">
    <cfRule type="expression" dxfId="207" priority="52">
      <formula>ABS(U$16-U$19)&gt;=1000</formula>
    </cfRule>
  </conditionalFormatting>
  <conditionalFormatting sqref="V13:V20">
    <cfRule type="expression" dxfId="206" priority="51">
      <formula>ABS(V$16-V$19)&gt;=1000</formula>
    </cfRule>
  </conditionalFormatting>
  <conditionalFormatting sqref="W13 W20 W15:W18">
    <cfRule type="expression" dxfId="205" priority="50">
      <formula>ABS(W$16-W$19)&gt;=1000</formula>
    </cfRule>
  </conditionalFormatting>
  <conditionalFormatting sqref="X13 X15:X20 Y19">
    <cfRule type="expression" dxfId="204" priority="49">
      <formula>ABS(X$16-X$19)&gt;=1000</formula>
    </cfRule>
  </conditionalFormatting>
  <conditionalFormatting sqref="Y13 Y15:Y18 Y20">
    <cfRule type="expression" dxfId="203" priority="48">
      <formula>ABS(Y$16-Y$19)&gt;=1000</formula>
    </cfRule>
  </conditionalFormatting>
  <conditionalFormatting sqref="Z13:Z20">
    <cfRule type="expression" dxfId="202" priority="47">
      <formula>ABS(Z$16-Z$19)&gt;=1000</formula>
    </cfRule>
  </conditionalFormatting>
  <conditionalFormatting sqref="AA13:AA20">
    <cfRule type="expression" dxfId="201" priority="46">
      <formula>ABS(AA$16-AA$19)&gt;=1000</formula>
    </cfRule>
  </conditionalFormatting>
  <conditionalFormatting sqref="AB13 AB15:AB20">
    <cfRule type="expression" dxfId="200" priority="45">
      <formula>ABS(AB$16-AB$19)&gt;=1000</formula>
    </cfRule>
  </conditionalFormatting>
  <conditionalFormatting sqref="AC13 AC15:AC20">
    <cfRule type="expression" dxfId="199" priority="44">
      <formula>ABS(AC$16-AC$19)&gt;=1000</formula>
    </cfRule>
  </conditionalFormatting>
  <conditionalFormatting sqref="AD13:AD20">
    <cfRule type="expression" dxfId="198" priority="43">
      <formula>ABS(AD$16-AD$19)&gt;=1000</formula>
    </cfRule>
  </conditionalFormatting>
  <conditionalFormatting sqref="AE13:AE20">
    <cfRule type="expression" dxfId="197" priority="42">
      <formula>ABS(AE$16-AE$19)&gt;=1000</formula>
    </cfRule>
  </conditionalFormatting>
  <conditionalFormatting sqref="D22:D29">
    <cfRule type="expression" dxfId="196" priority="41">
      <formula>ABS(D$25-D$28)&gt;=1000</formula>
    </cfRule>
  </conditionalFormatting>
  <conditionalFormatting sqref="E22:E29">
    <cfRule type="expression" dxfId="195" priority="40">
      <formula>ABS(E$25-E$28)&gt;=1000</formula>
    </cfRule>
  </conditionalFormatting>
  <conditionalFormatting sqref="F22:F29">
    <cfRule type="expression" dxfId="194" priority="39">
      <formula>ABS(F$25-F$28)&gt;=1000</formula>
    </cfRule>
  </conditionalFormatting>
  <conditionalFormatting sqref="G22:G29">
    <cfRule type="expression" dxfId="193" priority="38">
      <formula>ABS(G$25-G$28)&gt;=1000</formula>
    </cfRule>
  </conditionalFormatting>
  <conditionalFormatting sqref="H22:H29">
    <cfRule type="expression" dxfId="192" priority="37">
      <formula>ABS(H$25-H$28)&gt;=1000</formula>
    </cfRule>
  </conditionalFormatting>
  <conditionalFormatting sqref="I22 I24:I29">
    <cfRule type="expression" dxfId="191" priority="36">
      <formula>ABS(I$25-I$28)&gt;=1000</formula>
    </cfRule>
  </conditionalFormatting>
  <conditionalFormatting sqref="J22:J29 K22">
    <cfRule type="expression" dxfId="190" priority="35">
      <formula>ABS(J$25-J$28)&gt;=1000</formula>
    </cfRule>
  </conditionalFormatting>
  <conditionalFormatting sqref="K23:K29 L25 L28">
    <cfRule type="expression" dxfId="189" priority="34">
      <formula>ABS(K$25-K$28)&gt;=1000</formula>
    </cfRule>
  </conditionalFormatting>
  <conditionalFormatting sqref="L22:L24 L26:L27 L29">
    <cfRule type="expression" dxfId="188" priority="33">
      <formula>ABS(L$25-L$28)&gt;=1000</formula>
    </cfRule>
  </conditionalFormatting>
  <conditionalFormatting sqref="M22:M29">
    <cfRule type="expression" dxfId="187" priority="32">
      <formula>ABS(M$25-M$28)&gt;=1000</formula>
    </cfRule>
  </conditionalFormatting>
  <conditionalFormatting sqref="N22:N29">
    <cfRule type="expression" dxfId="186" priority="31">
      <formula>ABS(N$25-N$28)&gt;=1000</formula>
    </cfRule>
  </conditionalFormatting>
  <conditionalFormatting sqref="O22:O29">
    <cfRule type="expression" dxfId="185" priority="30">
      <formula>ABS(O$25-O$28)&gt;=1000</formula>
    </cfRule>
  </conditionalFormatting>
  <conditionalFormatting sqref="P22:P29">
    <cfRule type="expression" dxfId="184" priority="29">
      <formula>ABS(P$25-P$28)&gt;=1000</formula>
    </cfRule>
  </conditionalFormatting>
  <conditionalFormatting sqref="Q22:Q29">
    <cfRule type="expression" dxfId="183" priority="28">
      <formula>ABS(Q$25-Q$28)&gt;=1000</formula>
    </cfRule>
  </conditionalFormatting>
  <conditionalFormatting sqref="R22:R29">
    <cfRule type="expression" dxfId="182" priority="27">
      <formula>ABS(R$25-R$28)&gt;=1000</formula>
    </cfRule>
  </conditionalFormatting>
  <conditionalFormatting sqref="S22:S29">
    <cfRule type="expression" dxfId="181" priority="26">
      <formula>ABS(S$25-S$28)&gt;=1000</formula>
    </cfRule>
  </conditionalFormatting>
  <conditionalFormatting sqref="T22:T29">
    <cfRule type="expression" dxfId="180" priority="25">
      <formula>ABS(T$25-T$28)&gt;=1000</formula>
    </cfRule>
  </conditionalFormatting>
  <conditionalFormatting sqref="U22:U29">
    <cfRule type="expression" dxfId="179" priority="24">
      <formula>ABS(U$25-U$28)&gt;=1000</formula>
    </cfRule>
  </conditionalFormatting>
  <conditionalFormatting sqref="V22:V29">
    <cfRule type="expression" dxfId="178" priority="23">
      <formula>ABS(V$25-V$28)&gt;=1000</formula>
    </cfRule>
  </conditionalFormatting>
  <conditionalFormatting sqref="W22:W29">
    <cfRule type="expression" dxfId="177" priority="22">
      <formula>ABS(W$25-W$28)&gt;=1000</formula>
    </cfRule>
  </conditionalFormatting>
  <conditionalFormatting sqref="X22:X29">
    <cfRule type="expression" dxfId="176" priority="21">
      <formula>ABS(X$25-X$28)&gt;=1000</formula>
    </cfRule>
  </conditionalFormatting>
  <conditionalFormatting sqref="Y22:Y29">
    <cfRule type="expression" dxfId="175" priority="20">
      <formula>ABS(Y$25-Y$28)&gt;=1000</formula>
    </cfRule>
  </conditionalFormatting>
  <conditionalFormatting sqref="I23">
    <cfRule type="expression" dxfId="174" priority="19">
      <formula>ABS(I$25-I$28)&gt;=1000</formula>
    </cfRule>
  </conditionalFormatting>
  <conditionalFormatting sqref="F14">
    <cfRule type="expression" dxfId="173" priority="18">
      <formula>ABS(F$16-F$19)&gt;=1000</formula>
    </cfRule>
  </conditionalFormatting>
  <conditionalFormatting sqref="Q14">
    <cfRule type="expression" dxfId="172" priority="17">
      <formula>ABS(Q$16-Q$19)&gt;=1000</formula>
    </cfRule>
  </conditionalFormatting>
  <conditionalFormatting sqref="W14">
    <cfRule type="expression" dxfId="171" priority="16">
      <formula>ABS(W$16-W$19)&gt;=1000</formula>
    </cfRule>
  </conditionalFormatting>
  <conditionalFormatting sqref="Y14">
    <cfRule type="expression" dxfId="170" priority="15">
      <formula>ABS(Y$16-Y$19)&gt;=1000</formula>
    </cfRule>
  </conditionalFormatting>
  <conditionalFormatting sqref="X14">
    <cfRule type="expression" dxfId="169" priority="14">
      <formula>ABS(X$16-X$19)&gt;=1000</formula>
    </cfRule>
  </conditionalFormatting>
  <conditionalFormatting sqref="T10:Y10">
    <cfRule type="expression" dxfId="168" priority="13">
      <formula>ABS(T$7-T$10)&gt;=1000</formula>
    </cfRule>
  </conditionalFormatting>
  <conditionalFormatting sqref="W19">
    <cfRule type="expression" dxfId="167" priority="12">
      <formula>ABS(W$16-W$19)&gt;=1000</formula>
    </cfRule>
  </conditionalFormatting>
  <conditionalFormatting sqref="AC5">
    <cfRule type="expression" dxfId="166" priority="11">
      <formula>ABS(AC$7-AC$10)&gt;=1000</formula>
    </cfRule>
  </conditionalFormatting>
  <conditionalFormatting sqref="M14">
    <cfRule type="expression" dxfId="165" priority="10">
      <formula>ABS(M$16-M$19)&gt;=1000</formula>
    </cfRule>
  </conditionalFormatting>
  <conditionalFormatting sqref="M16">
    <cfRule type="expression" dxfId="164" priority="9">
      <formula>ABS(M$16-M$19)&gt;=1000</formula>
    </cfRule>
  </conditionalFormatting>
  <conditionalFormatting sqref="M19">
    <cfRule type="expression" dxfId="163" priority="8">
      <formula>ABS(M$16-M$19)&gt;=1000</formula>
    </cfRule>
  </conditionalFormatting>
  <conditionalFormatting sqref="K13:K20">
    <cfRule type="expression" dxfId="162" priority="7">
      <formula>ABS(K$16-K$19)&gt;=1000</formula>
    </cfRule>
  </conditionalFormatting>
  <conditionalFormatting sqref="E5">
    <cfRule type="expression" dxfId="161" priority="6">
      <formula>ABS(E$7-E$10)&gt;=1000</formula>
    </cfRule>
  </conditionalFormatting>
  <conditionalFormatting sqref="AB14:AC14">
    <cfRule type="expression" dxfId="160" priority="5">
      <formula>ABS(AB$16-AB$19)&gt;=1000</formula>
    </cfRule>
  </conditionalFormatting>
  <conditionalFormatting sqref="M5">
    <cfRule type="expression" dxfId="159" priority="4">
      <formula>ABS(M$7-M$10)&gt;=1000</formula>
    </cfRule>
  </conditionalFormatting>
  <conditionalFormatting sqref="N5">
    <cfRule type="expression" dxfId="158" priority="3">
      <formula>ABS(N$7-N$10)&gt;=1000</formula>
    </cfRule>
  </conditionalFormatting>
  <conditionalFormatting sqref="O5">
    <cfRule type="expression" dxfId="157" priority="2">
      <formula>ABS(O$7-O$10)&gt;=1000</formula>
    </cfRule>
  </conditionalFormatting>
  <conditionalFormatting sqref="P5">
    <cfRule type="expression" dxfId="15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63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5">
    <pageSetUpPr fitToPage="1"/>
  </sheetPr>
  <dimension ref="A1:CU223"/>
  <sheetViews>
    <sheetView tabSelected="1" view="pageBreakPreview" topLeftCell="A4" zoomScale="70" zoomScaleNormal="100" zoomScaleSheetLayoutView="70" workbookViewId="0">
      <selection activeCell="D4" sqref="D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53" t="s" ph="1">
        <v>163</v>
      </c>
      <c r="C1" s="253" ph="1"/>
      <c r="D1" s="253" ph="1"/>
      <c r="E1" s="253" ph="1"/>
      <c r="F1" s="253" ph="1"/>
      <c r="G1" s="253" ph="1"/>
      <c r="H1" s="253" ph="1"/>
      <c r="I1" s="253" ph="1"/>
      <c r="J1" s="253" ph="1"/>
      <c r="K1" s="253" ph="1"/>
      <c r="L1" s="253" ph="1"/>
      <c r="M1" s="253" ph="1"/>
      <c r="N1" s="253" ph="1"/>
      <c r="O1" s="253" ph="1"/>
      <c r="P1" s="253" ph="1"/>
      <c r="Q1" s="253" ph="1"/>
      <c r="R1" s="253" ph="1"/>
      <c r="S1" s="253" ph="1"/>
      <c r="T1" s="253" ph="1"/>
      <c r="U1" s="253" ph="1"/>
      <c r="V1" s="253" ph="1"/>
      <c r="W1" s="253" ph="1"/>
      <c r="X1" s="253" ph="1"/>
      <c r="Y1" s="253" ph="1"/>
      <c r="Z1" s="253" ph="1"/>
      <c r="AA1" s="253" ph="1"/>
      <c r="AB1" s="253" ph="1"/>
      <c r="AC1" s="253" ph="1"/>
      <c r="AD1" s="253" ph="1"/>
      <c r="AE1" s="253" ph="1"/>
    </row>
    <row r="2" spans="1:99" s="66" customFormat="1" ht="24" customHeight="1" ph="1">
      <c r="B2" s="254" t="s" ph="1">
        <v>83</v>
      </c>
      <c r="C2" s="254" ph="1"/>
      <c r="D2" s="254" ph="1"/>
      <c r="E2" s="254" ph="1"/>
      <c r="F2" s="254" ph="1"/>
      <c r="G2" s="254" ph="1"/>
      <c r="H2" s="254" ph="1"/>
      <c r="I2" s="254" ph="1"/>
      <c r="J2" s="254" ph="1"/>
      <c r="K2" s="254" ph="1"/>
      <c r="L2" s="254" ph="1"/>
      <c r="M2" s="254" ph="1"/>
      <c r="N2" s="254" ph="1"/>
      <c r="O2" s="254" ph="1"/>
      <c r="P2" s="254" ph="1"/>
      <c r="Q2" s="254" ph="1"/>
      <c r="R2" s="254" ph="1"/>
      <c r="S2" s="254" ph="1"/>
      <c r="T2" s="254" ph="1"/>
      <c r="U2" s="254" ph="1"/>
      <c r="V2" s="254" ph="1"/>
      <c r="W2" s="254" ph="1"/>
      <c r="X2" s="254" ph="1"/>
      <c r="Y2" s="254" ph="1"/>
      <c r="Z2" s="254" ph="1"/>
      <c r="AA2" s="254" ph="1"/>
      <c r="AB2" s="254" ph="1"/>
      <c r="AC2" s="254" ph="1"/>
      <c r="AD2" s="254" ph="1"/>
      <c r="AE2" s="254" ph="1"/>
    </row>
    <row r="3" spans="1:99" ht="21" customHeight="1" ph="1">
      <c r="B3" s="255" ph="1">
        <v>45747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</row>
    <row r="4" spans="1:99" s="69" customFormat="1" ph="1">
      <c r="A4" s="65" ph="1"/>
      <c r="B4" s="234" t="s" ph="1">
        <v>37</v>
      </c>
      <c r="C4" s="67" t="s" ph="1">
        <v>178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112</v>
      </c>
      <c r="J4" s="68" t="s" ph="1">
        <v>48</v>
      </c>
      <c r="K4" s="68" t="s" ph="1">
        <v>113</v>
      </c>
      <c r="L4" s="68" t="s" ph="1">
        <v>114</v>
      </c>
      <c r="M4" s="68" t="s" ph="1">
        <v>49</v>
      </c>
      <c r="N4" s="68" t="s" ph="1">
        <v>50</v>
      </c>
      <c r="O4" s="68" t="s" ph="1">
        <v>115</v>
      </c>
      <c r="P4" s="68" t="s" ph="1">
        <v>116</v>
      </c>
      <c r="Q4" s="68" t="s" ph="1">
        <v>117</v>
      </c>
      <c r="R4" s="68" t="s" ph="1">
        <v>118</v>
      </c>
      <c r="S4" s="68" t="s" ph="1">
        <v>119</v>
      </c>
      <c r="T4" s="68" t="s" ph="1">
        <v>120</v>
      </c>
      <c r="U4" s="68" t="s" ph="1">
        <v>121</v>
      </c>
      <c r="V4" s="68" t="s" ph="1">
        <v>122</v>
      </c>
      <c r="W4" s="68" t="s" ph="1">
        <v>123</v>
      </c>
      <c r="X4" s="68" t="s" ph="1">
        <v>124</v>
      </c>
      <c r="Y4" s="68" t="s" ph="1">
        <v>125</v>
      </c>
      <c r="Z4" s="68" t="s" ph="1">
        <v>51</v>
      </c>
      <c r="AA4" s="68" t="s" ph="1">
        <v>126</v>
      </c>
      <c r="AB4" s="68" t="s" ph="1">
        <v>127</v>
      </c>
      <c r="AC4" s="68" t="s" ph="1">
        <v>128</v>
      </c>
      <c r="AD4" s="68" t="s" ph="1">
        <v>40</v>
      </c>
      <c r="AE4" s="68" t="s" ph="1">
        <v>129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4" ph="1"/>
      <c r="C5" s="67" t="s" ph="1">
        <v>36</v>
      </c>
      <c r="D5" s="70" t="s" ph="1">
        <v>162</v>
      </c>
      <c r="E5" s="70" t="s" ph="1">
        <v>657</v>
      </c>
      <c r="F5" s="70" t="s" ph="1">
        <v>1</v>
      </c>
      <c r="G5" s="70" t="s" ph="1">
        <v>7</v>
      </c>
      <c r="H5" s="70" t="s" ph="1">
        <v>7</v>
      </c>
      <c r="I5" s="70" t="s" ph="1">
        <v>616</v>
      </c>
      <c r="J5" s="70" t="s" ph="1">
        <v>617</v>
      </c>
      <c r="K5" s="70" t="s" ph="1">
        <v>619</v>
      </c>
      <c r="L5" s="70" t="s" ph="1">
        <v>621</v>
      </c>
      <c r="M5" s="70" t="s" ph="1">
        <v>616</v>
      </c>
      <c r="N5" s="70" t="s" ph="1">
        <v>617</v>
      </c>
      <c r="O5" s="70" t="s" ph="1">
        <v>619</v>
      </c>
      <c r="P5" s="70" t="s" ph="1">
        <v>621</v>
      </c>
      <c r="Q5" s="70" t="s" ph="1">
        <v>615</v>
      </c>
      <c r="R5" s="70" t="s" ph="1">
        <v>615</v>
      </c>
      <c r="S5" s="70" t="s" ph="1">
        <v>615</v>
      </c>
      <c r="T5" s="70" t="s" ph="1">
        <v>615</v>
      </c>
      <c r="U5" s="70" t="s" ph="1">
        <v>615</v>
      </c>
      <c r="V5" s="70" t="s" ph="1">
        <v>615</v>
      </c>
      <c r="W5" s="70" t="s" ph="1">
        <v>615</v>
      </c>
      <c r="X5" s="70" t="s" ph="1">
        <v>615</v>
      </c>
      <c r="Y5" s="70" t="s" ph="1">
        <v>615</v>
      </c>
      <c r="Z5" s="70" t="s" ph="1">
        <v>622</v>
      </c>
      <c r="AA5" s="70" t="s" ph="1">
        <v>54</v>
      </c>
      <c r="AB5" s="70" t="s" ph="1">
        <v>54</v>
      </c>
      <c r="AC5" s="70" t="s" ph="1">
        <v>623</v>
      </c>
      <c r="AD5" s="70" t="s" ph="1">
        <v>72</v>
      </c>
      <c r="AE5" s="70" t="s" ph="1">
        <v>613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2" ph="1">
        <v>0.33333333333333331</v>
      </c>
      <c r="C6" s="176" t="s" ph="1">
        <v>179</v>
      </c>
      <c r="D6" s="71">
        <v>4981</v>
      </c>
      <c r="E6" s="71">
        <v>4246</v>
      </c>
      <c r="F6" s="71">
        <v>3216</v>
      </c>
      <c r="G6" s="71">
        <v>8158</v>
      </c>
      <c r="H6" s="71">
        <v>9106</v>
      </c>
      <c r="I6" s="71">
        <v>16.03</v>
      </c>
      <c r="J6" s="71">
        <v>7.76</v>
      </c>
      <c r="K6" s="71">
        <v>7.11</v>
      </c>
      <c r="L6" s="71">
        <v>39.6</v>
      </c>
      <c r="M6" s="71">
        <v>2723</v>
      </c>
      <c r="N6" s="71">
        <v>2829</v>
      </c>
      <c r="O6" s="71">
        <v>73</v>
      </c>
      <c r="P6" s="71">
        <v>4014</v>
      </c>
      <c r="Q6" s="71">
        <v>6619</v>
      </c>
      <c r="R6" s="71">
        <v>7118</v>
      </c>
      <c r="S6" s="71">
        <v>5152</v>
      </c>
      <c r="T6" s="71">
        <v>7100</v>
      </c>
      <c r="U6" s="71">
        <v>2489</v>
      </c>
      <c r="V6" s="71">
        <v>0</v>
      </c>
      <c r="W6" s="71">
        <v>0</v>
      </c>
      <c r="X6" s="71">
        <v>497</v>
      </c>
      <c r="Y6" s="71">
        <v>2219</v>
      </c>
      <c r="Z6" s="71">
        <v>4821</v>
      </c>
      <c r="AA6" s="71">
        <v>1570</v>
      </c>
      <c r="AB6" s="71">
        <v>843</v>
      </c>
      <c r="AC6" s="71">
        <v>4362</v>
      </c>
      <c r="AD6" s="71">
        <v>1335</v>
      </c>
      <c r="AE6" s="71">
        <v>1960</v>
      </c>
    </row>
    <row r="7" spans="1:99" s="72" customFormat="1" ht="22.5" ph="1">
      <c r="B7" s="252" ph="1"/>
      <c r="C7" s="68" t="s" ph="1">
        <v>180</v>
      </c>
      <c r="D7" s="73" ph="1">
        <f>D6*33.183*LOOKUP(D8,密度!$A$2:$A$50,密度!$Q$2:$Q$50)</f>
        <v>157352.51874122999</v>
      </c>
      <c r="E7" s="73" ph="1">
        <f>E6*51.53*LOOKUP(E8,密度!$A$2:$A$50,密度!$B$2:$B$50)</f>
        <v>172411.54744000002</v>
      </c>
      <c r="F7" s="73" ph="1">
        <f>F6*33.183*LOOKUP(F8,密度!$A$2:$A$50,密度!$C$2:$C$50)</f>
        <v>119010.2720256</v>
      </c>
      <c r="G7" s="73" ph="1">
        <f xml:space="preserve"> (G6+2)*51.53*LOOKUP(G8,密度!$A$2:$A$50,密度!$B$2:$B$50)</f>
        <v>330669.24672</v>
      </c>
      <c r="H7" s="73" ph="1">
        <f>(H6)*51.53*LOOKUP(H8,密度!$A$2:$A$50,密度!$B$2:$B$50)</f>
        <v>369004.18635199999</v>
      </c>
      <c r="I7" s="73" ph="1">
        <f>I6*290.8*1.0267</f>
        <v>4785.9866908000004</v>
      </c>
      <c r="J7" s="73" ph="1">
        <f>J6*290.8*0.7892</f>
        <v>1780.9150336000002</v>
      </c>
      <c r="K7" s="73" ph="1">
        <f>K6*290.8*1.1126</f>
        <v>2300.3984088000002</v>
      </c>
      <c r="L7" s="73" ph="1">
        <f>L6*290.8*0.777</f>
        <v>8947.6833600000009</v>
      </c>
      <c r="M7" s="73" ph="1">
        <f>M6*33.183*LOOKUP(M8,密度!$A$2:$A$50,密度!$D$2:$D$50)</f>
        <v>93574.029200400008</v>
      </c>
      <c r="N7" s="73" ph="1">
        <f>N6*33.183*LOOKUP(N8,密度!$A$2:$A$50,密度!$E$2:$E$50)</f>
        <v>74395.705297499997</v>
      </c>
      <c r="O7" s="73" ph="1">
        <f>O6*20.428*LOOKUP(O8,密度!$A$2:$A$50,密度!$C$2:$C$50)</f>
        <v>1660.0528208000001</v>
      </c>
      <c r="P7" s="73" ph="1">
        <f>P6*51.53*LOOKUP(P8,密度!$A$2:$A$50,密度!$B$2:$B$50)</f>
        <v>163177.19623800003</v>
      </c>
      <c r="Q7" s="73" ph="1">
        <f>Q6*1.5*1.5*3.1416*LOOKUP(W8,密度!$A$2:$A$50,密度!$L$2:$L$50)</f>
        <v>44354.136103199999</v>
      </c>
      <c r="R7" s="73" ph="1">
        <f>R6*1.5*1.5*3.1416*LOOKUP(R8,密度!$A$2:$A$50,密度!$L$2:$L$50)</f>
        <v>47345.751406799995</v>
      </c>
      <c r="S7" s="73" ph="1">
        <f>S6*1.5*1.5*3.1416*LOOKUP(S8,密度!$A$2:$A$50,密度!$L$2:$L$50)</f>
        <v>34669.390694399997</v>
      </c>
      <c r="T7" s="73" ph="1">
        <f>T6*1.5*1.5*3.1416*LOOKUP(T8,密度!$A$2:$A$50,密度!$L$2:$L$50)</f>
        <v>47677.706999999995</v>
      </c>
      <c r="U7" s="73" ph="1">
        <f>U6*1.5*1.5*3.1416*LOOKUP(U8,密度!$A$2:$A$50,密度!$L$2:$L$50)</f>
        <v>16626.089402999998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3355.0049609999996</v>
      </c>
      <c r="Y7" s="73" ph="1">
        <f>Y6*1.5*1.5*3.1416*LOOKUP(Y8,密度!$A$2:$A$50,密度!$L$2:$L$50)</f>
        <v>14853.906559799998</v>
      </c>
      <c r="Z7" s="73" ph="1">
        <f>Z6*33.183*LOOKUP(Z8,密度!$A$2:$A$50,密度!$L$2:$L$50)</f>
        <v>151816.50560699997</v>
      </c>
      <c r="AA7" s="73" ph="1">
        <f>AA6*33.183*LOOKUP(AA8,密度!$A$2:$A$50,密度!$D$2:$D$50)</f>
        <v>53951.974236000002</v>
      </c>
      <c r="AB7" s="73" ph="1">
        <f>AB6*20.428*LOOKUP(AB8,密度!$A$2:$A$50,密度!$D$2:$D$50)</f>
        <v>17971.631054400001</v>
      </c>
      <c r="AC7" s="73" ph="1">
        <f>AC6*51.53*LOOKUP(AC8,密度!$A$2:$A$50,密度!$Q$2:$Q$50)</f>
        <v>214555.64032440004</v>
      </c>
      <c r="AD7" s="73" ph="1">
        <f>AD6*20.428*LOOKUP(AD8,密度!$A$2:$A$50,密度!$V$2:$V$50)</f>
        <v>26289.61032</v>
      </c>
      <c r="AE7" s="73" ph="1">
        <f>AE6*20.428</f>
        <v>40038.880000000005</v>
      </c>
    </row>
    <row r="8" spans="1:99" ph="1">
      <c r="B8" s="252" ph="1"/>
      <c r="C8" s="68" t="s" ph="1">
        <v>181</v>
      </c>
      <c r="D8" s="74">
        <v>18</v>
      </c>
      <c r="E8" s="74">
        <v>15</v>
      </c>
      <c r="F8" s="74">
        <v>16</v>
      </c>
      <c r="G8" s="74">
        <v>17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19</v>
      </c>
      <c r="P8" s="74">
        <v>14</v>
      </c>
      <c r="Q8" s="74">
        <v>14</v>
      </c>
      <c r="R8" s="74">
        <v>21</v>
      </c>
      <c r="S8" s="74">
        <v>10</v>
      </c>
      <c r="T8" s="74">
        <v>12</v>
      </c>
      <c r="U8" s="74">
        <v>17</v>
      </c>
      <c r="V8" s="74">
        <v>18</v>
      </c>
      <c r="W8" s="74">
        <v>14</v>
      </c>
      <c r="X8" s="74">
        <v>7</v>
      </c>
      <c r="Y8" s="74">
        <v>15</v>
      </c>
      <c r="Z8" s="74">
        <v>13</v>
      </c>
      <c r="AA8" s="74">
        <v>15</v>
      </c>
      <c r="AB8" s="74">
        <v>6</v>
      </c>
      <c r="AC8" s="74">
        <v>13</v>
      </c>
      <c r="AD8" s="74">
        <v>15</v>
      </c>
      <c r="AE8" s="74">
        <v>18</v>
      </c>
    </row>
    <row r="9" spans="1:99" ph="1">
      <c r="B9" s="252" ph="1">
        <v>0.66666666666666663</v>
      </c>
      <c r="C9" s="176" t="s" ph="1">
        <v>182</v>
      </c>
      <c r="D9" s="71">
        <v>5246</v>
      </c>
      <c r="E9" s="71">
        <v>4243</v>
      </c>
      <c r="F9" s="71">
        <v>3215</v>
      </c>
      <c r="G9" s="71">
        <v>7889</v>
      </c>
      <c r="H9" s="71">
        <v>8864</v>
      </c>
      <c r="I9" s="71">
        <v>16.02</v>
      </c>
      <c r="J9" s="71">
        <v>7.76</v>
      </c>
      <c r="K9" s="71">
        <v>7.08</v>
      </c>
      <c r="L9" s="71">
        <v>38.57</v>
      </c>
      <c r="M9" s="71">
        <v>2723</v>
      </c>
      <c r="N9" s="71">
        <v>2828</v>
      </c>
      <c r="O9" s="71">
        <v>74</v>
      </c>
      <c r="P9" s="71">
        <v>3894</v>
      </c>
      <c r="Q9" s="71">
        <v>6042</v>
      </c>
      <c r="R9" s="71">
        <v>7118</v>
      </c>
      <c r="S9" s="71">
        <v>5153</v>
      </c>
      <c r="T9" s="71">
        <v>7100</v>
      </c>
      <c r="U9" s="71">
        <v>7030</v>
      </c>
      <c r="V9" s="71">
        <v>3135</v>
      </c>
      <c r="W9" s="71">
        <v>0</v>
      </c>
      <c r="X9" s="71">
        <v>0</v>
      </c>
      <c r="Y9" s="71">
        <v>0</v>
      </c>
      <c r="Z9" s="71">
        <v>3305</v>
      </c>
      <c r="AA9" s="71">
        <v>1568</v>
      </c>
      <c r="AB9" s="71">
        <v>842</v>
      </c>
      <c r="AC9" s="71">
        <v>4360</v>
      </c>
      <c r="AD9" s="71">
        <v>1334</v>
      </c>
      <c r="AE9" s="71">
        <v>1835</v>
      </c>
    </row>
    <row r="10" spans="1:99" s="72" customFormat="1" ht="22.5" ph="1">
      <c r="B10" s="252" ph="1"/>
      <c r="C10" s="176" t="s" ph="1">
        <v>180</v>
      </c>
      <c r="D10" s="73" ph="1">
        <f>D9*33.183*LOOKUP(D11,密度!$A$2:$A$50,密度!$Q$2:$Q$50)</f>
        <v>165724.01391618</v>
      </c>
      <c r="E10" s="73" ph="1">
        <f>E9*51.53*LOOKUP(E11,密度!$A$2:$A$50,密度!$B$2:$B$50)</f>
        <v>172114.81708800001</v>
      </c>
      <c r="F10" s="73" ph="1">
        <f>F9*33.183*LOOKUP(F11,密度!$A$2:$A$50,密度!$C$2:$C$50)</f>
        <v>118973.266344</v>
      </c>
      <c r="G10" s="73" ph="1">
        <f xml:space="preserve"> (G9+2)*51.53*LOOKUP(G11,密度!$A$2:$A$50,密度!$B$2:$B$50)</f>
        <v>319768.508072</v>
      </c>
      <c r="H10" s="73" ph="1">
        <f>(H9)*51.53*LOOKUP(H11,密度!$A$2:$A$50,密度!$B$2:$B$50)</f>
        <v>359197.57388799998</v>
      </c>
      <c r="I10" s="73" ph="1">
        <f>I9*290.8*1.0267</f>
        <v>4783.0010471999994</v>
      </c>
      <c r="J10" s="73" ph="1">
        <f>J9*290.8*0.7892</f>
        <v>1780.9150336000002</v>
      </c>
      <c r="K10" s="73" ph="1">
        <f>K9*290.8*1.1126</f>
        <v>2290.6920863999999</v>
      </c>
      <c r="L10" s="73" ph="1">
        <f>L9*290.8*0.777</f>
        <v>8714.9532120000003</v>
      </c>
      <c r="M10" s="73" ph="1">
        <f>M9*33.183*LOOKUP(M11,密度!$A$2:$A$50,密度!$D$2:$D$50)</f>
        <v>93420.421775099996</v>
      </c>
      <c r="N10" s="73" ph="1">
        <f>N9*33.183*LOOKUP(N11,密度!$A$2:$A$50,密度!$E$2:$E$50)</f>
        <v>74266.1820936</v>
      </c>
      <c r="O10" s="73" ph="1">
        <f>O9*20.428*LOOKUP(O11,密度!$A$2:$A$50,密度!$C$2:$C$50)</f>
        <v>1681.8862672</v>
      </c>
      <c r="P10" s="73" ph="1">
        <f>P9*51.53*LOOKUP(P11,密度!$A$2:$A$50,密度!$B$2:$B$50)</f>
        <v>157957.83590400001</v>
      </c>
      <c r="Q10" s="73" ph="1">
        <f>Q9*1.5*1.5*3.1416*LOOKUP(W11,密度!$A$2:$A$50,密度!$L$2:$L$50)</f>
        <v>40359.514733999997</v>
      </c>
      <c r="R10" s="73" ph="1">
        <f>R9*1.5*1.5*3.1416*LOOKUP(R11,密度!$A$2:$A$50,密度!$L$2:$L$50)</f>
        <v>47295.437111999992</v>
      </c>
      <c r="S10" s="73" ph="1">
        <f>S9*1.5*1.5*3.1416*LOOKUP(S11,密度!$A$2:$A$50,密度!$L$2:$L$50)</f>
        <v>34603.271009999997</v>
      </c>
      <c r="T10" s="73" ph="1">
        <f>T9*1.5*1.5*3.1416*LOOKUP(T11,密度!$A$2:$A$50,密度!$L$2:$L$50)</f>
        <v>47677.706999999995</v>
      </c>
      <c r="U10" s="73" ph="1">
        <f>U9*1.5*1.5*3.1416*LOOKUP(U11,密度!$A$2:$A$50,密度!$L$2:$L$50)</f>
        <v>46959.183810000002</v>
      </c>
      <c r="V10" s="73" ph="1">
        <f>V9*1.5*1.5*3.1416*LOOKUP(V11,密度!$A$2:$A$50,密度!$L$2:$L$50)</f>
        <v>20830.457339999997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103966.98462</v>
      </c>
      <c r="AA10" s="73" ph="1">
        <f>AA9*33.183*LOOKUP(AA11,密度!$A$2:$A$50,密度!$D$2:$D$50)</f>
        <v>53841.620851200001</v>
      </c>
      <c r="AB10" s="73" ph="1">
        <f>AB9*20.428*LOOKUP(AB11,密度!$A$2:$A$50,密度!$D$2:$D$50)</f>
        <v>17919.3517168</v>
      </c>
      <c r="AC10" s="73" ph="1">
        <f>AC9*51.53*LOOKUP(AC11,密度!$A$2:$A$50,密度!$Q$2:$Q$50)</f>
        <v>214457.26543200001</v>
      </c>
      <c r="AD10" s="73" ph="1">
        <f>AD9*20.428*LOOKUP(AD11,密度!$A$2:$A$50,密度!$V$2:$V$50)</f>
        <v>26269.917728</v>
      </c>
      <c r="AE10" s="73" ph="1">
        <f>AE9*20.428</f>
        <v>37485.380000000005</v>
      </c>
    </row>
    <row r="11" spans="1:99" ph="1">
      <c r="A11" s="64" t="s" ph="1">
        <v>164</v>
      </c>
      <c r="B11" s="252" ph="1"/>
      <c r="C11" s="176" t="s" ph="1">
        <v>181</v>
      </c>
      <c r="D11" s="74">
        <v>18</v>
      </c>
      <c r="E11" s="74">
        <v>16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20</v>
      </c>
      <c r="P11" s="74">
        <v>16</v>
      </c>
      <c r="Q11" s="74">
        <v>15</v>
      </c>
      <c r="R11" s="74">
        <v>22</v>
      </c>
      <c r="S11" s="74">
        <v>12</v>
      </c>
      <c r="T11" s="74">
        <v>12</v>
      </c>
      <c r="U11" s="74">
        <v>17</v>
      </c>
      <c r="V11" s="74">
        <v>22</v>
      </c>
      <c r="W11" s="74">
        <v>17</v>
      </c>
      <c r="X11" s="74">
        <v>8</v>
      </c>
      <c r="Y11" s="74">
        <v>16</v>
      </c>
      <c r="Z11" s="74">
        <v>14</v>
      </c>
      <c r="AA11" s="74">
        <v>16</v>
      </c>
      <c r="AB11" s="74">
        <v>8</v>
      </c>
      <c r="AC11" s="74">
        <v>14</v>
      </c>
      <c r="AD11" s="74">
        <v>12</v>
      </c>
      <c r="AE11" s="74">
        <v>19</v>
      </c>
    </row>
    <row r="12" spans="1:99" ht="9.9499999999999993" customHeight="1" ph="1"/>
    <row r="13" spans="1:99" s="72" customFormat="1" ht="29.25" customHeight="1" ph="1">
      <c r="B13" s="229" t="s" ph="1">
        <v>37</v>
      </c>
      <c r="C13" s="176" t="s" ph="1">
        <v>178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130</v>
      </c>
      <c r="I13" s="76" t="s" ph="1">
        <v>59</v>
      </c>
      <c r="J13" s="76" t="s" ph="1">
        <v>131</v>
      </c>
      <c r="K13" s="76" t="s" ph="1">
        <v>55</v>
      </c>
      <c r="L13" s="76" t="s" ph="1">
        <v>60</v>
      </c>
      <c r="M13" s="76" t="s" ph="1">
        <v>61</v>
      </c>
      <c r="N13" s="76" t="s" ph="1">
        <v>132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133</v>
      </c>
      <c r="W13" s="76" t="s" ph="1">
        <v>134</v>
      </c>
      <c r="X13" s="76" t="s" ph="1">
        <v>135</v>
      </c>
      <c r="Y13" s="105" t="s" ph="1">
        <v>68</v>
      </c>
      <c r="Z13" s="76" t="s" ph="1">
        <v>75</v>
      </c>
      <c r="AA13" s="76" t="s" ph="1">
        <v>136</v>
      </c>
      <c r="AB13" s="76" t="s" ph="1">
        <v>137</v>
      </c>
      <c r="AC13" s="76" t="s" ph="1">
        <v>138</v>
      </c>
      <c r="AD13" s="76" t="s" ph="1">
        <v>139</v>
      </c>
      <c r="AE13" s="76" t="s" ph="1">
        <v>140</v>
      </c>
      <c r="AG13" s="72" t="s" ph="1">
        <v>329</v>
      </c>
      <c r="AH13" s="72" t="s" ph="1">
        <v>192</v>
      </c>
      <c r="AI13" s="72" t="s" ph="1">
        <v>193</v>
      </c>
      <c r="AJ13" s="72" t="s" ph="1">
        <v>194</v>
      </c>
      <c r="AK13" s="72" t="s" ph="1">
        <v>195</v>
      </c>
      <c r="AL13" s="72" t="s" ph="1">
        <v>196</v>
      </c>
      <c r="AM13" s="72" t="s" ph="1">
        <v>197</v>
      </c>
      <c r="AN13" s="72" t="s" ph="1">
        <v>198</v>
      </c>
      <c r="AO13" s="72" t="s" ph="1">
        <v>199</v>
      </c>
      <c r="AP13" s="72" t="s" ph="1">
        <v>200</v>
      </c>
      <c r="AQ13" s="72" t="s" ph="1">
        <v>201</v>
      </c>
      <c r="AR13" s="72" t="s" ph="1">
        <v>202</v>
      </c>
      <c r="AS13" s="72" t="s" ph="1">
        <v>203</v>
      </c>
      <c r="AT13" s="72" t="s" ph="1">
        <v>204</v>
      </c>
      <c r="AU13" s="72" t="s" ph="1">
        <v>205</v>
      </c>
      <c r="AV13" s="72" t="s" ph="1">
        <v>206</v>
      </c>
      <c r="AW13" s="72" t="s" ph="1">
        <v>207</v>
      </c>
      <c r="AX13" s="72" t="s" ph="1">
        <v>208</v>
      </c>
      <c r="AY13" s="72" t="s" ph="1">
        <v>330</v>
      </c>
      <c r="AZ13" s="72" t="s" ph="1">
        <v>209</v>
      </c>
      <c r="BA13" s="72" t="s" ph="1">
        <v>210</v>
      </c>
      <c r="BB13" s="72" t="s" ph="1">
        <v>595</v>
      </c>
      <c r="BC13" s="72" t="s" ph="1">
        <v>211</v>
      </c>
      <c r="BD13" s="72" t="s" ph="1">
        <v>331</v>
      </c>
      <c r="BE13" s="72" t="s" ph="1">
        <v>332</v>
      </c>
      <c r="BF13" s="72" t="s" ph="1">
        <v>333</v>
      </c>
      <c r="BG13" s="72" t="s" ph="1">
        <v>334</v>
      </c>
      <c r="BH13" s="72" t="s" ph="1">
        <v>335</v>
      </c>
    </row>
    <row r="14" spans="1:99" s="72" customFormat="1" ht="24" ph="1">
      <c r="B14" s="230" ph="1"/>
      <c r="C14" s="67" t="s" ph="1">
        <v>36</v>
      </c>
      <c r="D14" s="77" t="s" ph="1">
        <v>624</v>
      </c>
      <c r="E14" s="77" t="s" ph="1">
        <v>624</v>
      </c>
      <c r="F14" s="142" t="s" ph="1">
        <v>610</v>
      </c>
      <c r="G14" s="77" t="s" ph="1">
        <v>626</v>
      </c>
      <c r="H14" s="77" t="s" ph="1">
        <v>627</v>
      </c>
      <c r="I14" s="143" t="s" ph="1">
        <v>628</v>
      </c>
      <c r="J14" s="77" t="s" ph="1">
        <v>629</v>
      </c>
      <c r="K14" s="77" t="s" ph="1">
        <v>188</v>
      </c>
      <c r="L14" s="77" t="s" ph="1">
        <v>41</v>
      </c>
      <c r="M14" s="104" t="s" ph="1">
        <v>630</v>
      </c>
      <c r="N14" s="104" t="s" ph="1">
        <v>631</v>
      </c>
      <c r="O14" s="104" t="s" ph="1">
        <v>629</v>
      </c>
      <c r="P14" s="77" t="s" ph="1">
        <v>632</v>
      </c>
      <c r="Q14" s="77" t="s" ph="1">
        <v>632</v>
      </c>
      <c r="R14" s="88" t="s" ph="1">
        <v>657</v>
      </c>
      <c r="S14" s="77" t="s" ph="1">
        <v>71</v>
      </c>
      <c r="T14" s="77" t="s" ph="1">
        <v>635</v>
      </c>
      <c r="U14" s="77" t="s" ph="1">
        <v>611</v>
      </c>
      <c r="V14" s="77" t="s" ph="1">
        <v>111</v>
      </c>
      <c r="W14" s="77" t="s" ph="1">
        <v>632</v>
      </c>
      <c r="X14" s="77" t="s" ph="1">
        <v>636</v>
      </c>
      <c r="Y14" s="141" t="s" ph="1">
        <v>0</v>
      </c>
      <c r="Z14" s="77" t="s" ph="1">
        <v>54</v>
      </c>
      <c r="AA14" s="77" t="s" ph="1">
        <v>621</v>
      </c>
      <c r="AB14" s="77" t="s" ph="1">
        <v>609</v>
      </c>
      <c r="AC14" s="77" t="s" ph="1">
        <v>609</v>
      </c>
      <c r="AD14" s="77" t="s" ph="1">
        <v>620</v>
      </c>
      <c r="AE14" s="77" t="s" ph="1">
        <v>620</v>
      </c>
      <c r="AG14" s="72" t="s" ph="1">
        <v>212</v>
      </c>
      <c r="AI14" s="72" t="s" ph="1">
        <v>213</v>
      </c>
      <c r="AJ14" s="72" t="s" ph="1">
        <v>336</v>
      </c>
      <c r="AK14" s="72" t="s" ph="1">
        <v>214</v>
      </c>
      <c r="AM14" s="72" t="s" ph="1">
        <v>216</v>
      </c>
      <c r="AN14" s="72" t="s" ph="1">
        <v>214</v>
      </c>
      <c r="AO14" s="72" t="s" ph="1">
        <v>215</v>
      </c>
      <c r="AP14" s="72" t="s" ph="1">
        <v>216</v>
      </c>
      <c r="AQ14" s="72" t="s" ph="1">
        <v>214</v>
      </c>
      <c r="AR14" s="72" t="s" ph="1">
        <v>215</v>
      </c>
      <c r="AS14" s="72" t="s" ph="1">
        <v>216</v>
      </c>
      <c r="AT14" s="72" t="s" ph="1">
        <v>214</v>
      </c>
      <c r="AU14" s="72" t="s" ph="1">
        <v>215</v>
      </c>
      <c r="AV14" s="72" t="s" ph="1">
        <v>216</v>
      </c>
      <c r="AW14" s="72" t="s" ph="1">
        <v>214</v>
      </c>
      <c r="AX14" s="72" t="s" ph="1">
        <v>215</v>
      </c>
      <c r="AY14" s="72" t="s" ph="1">
        <v>216</v>
      </c>
      <c r="AZ14" s="72" t="s" ph="1">
        <v>215</v>
      </c>
    </row>
    <row r="15" spans="1:99" ph="1">
      <c r="B15" s="231" ph="1">
        <v>0.33333333333333331</v>
      </c>
      <c r="C15" s="176" t="s" ph="1">
        <v>179</v>
      </c>
      <c r="D15" s="78">
        <v>5163</v>
      </c>
      <c r="E15" s="78">
        <v>1075</v>
      </c>
      <c r="F15" s="78">
        <v>3310</v>
      </c>
      <c r="G15" s="78">
        <v>4121</v>
      </c>
      <c r="H15" s="78">
        <v>4487</v>
      </c>
      <c r="I15" s="78">
        <v>3</v>
      </c>
      <c r="J15" s="78">
        <v>1210</v>
      </c>
      <c r="K15" s="78">
        <v>1894</v>
      </c>
      <c r="L15" s="78">
        <v>5597</v>
      </c>
      <c r="M15" s="78">
        <v>3148</v>
      </c>
      <c r="N15" s="78">
        <v>1625</v>
      </c>
      <c r="O15" s="78">
        <v>6041</v>
      </c>
      <c r="P15" s="78">
        <v>6879</v>
      </c>
      <c r="Q15" s="78">
        <v>2880</v>
      </c>
      <c r="R15" s="78">
        <v>3483</v>
      </c>
      <c r="S15" s="78">
        <v>6805</v>
      </c>
      <c r="T15" s="78">
        <v>1091</v>
      </c>
      <c r="U15" s="78">
        <v>6290</v>
      </c>
      <c r="V15" s="78">
        <v>1090</v>
      </c>
      <c r="W15" s="71">
        <v>-596</v>
      </c>
      <c r="X15" s="78">
        <v>291</v>
      </c>
      <c r="Y15" s="106">
        <v>-9900</v>
      </c>
      <c r="Z15" s="78">
        <v>0</v>
      </c>
      <c r="AA15" s="78">
        <v>4213</v>
      </c>
      <c r="AB15" s="78" ph="1">
        <v>6847</v>
      </c>
      <c r="AC15" s="78" ph="1">
        <v>6495</v>
      </c>
      <c r="AD15" s="78">
        <v>7.59</v>
      </c>
      <c r="AE15" s="78">
        <v>84.62</v>
      </c>
      <c r="AG15" s="64" t="s" ph="1">
        <v>218</v>
      </c>
      <c r="AH15" s="64" ph="1">
        <v>1</v>
      </c>
      <c r="AI15" s="64" t="s" ph="1">
        <v>337</v>
      </c>
      <c r="AK15" s="64" t="s" ph="1">
        <v>591</v>
      </c>
      <c r="AM15" s="64" t="s" ph="1">
        <v>339</v>
      </c>
      <c r="AZ15" s="64" t="s" ph="1">
        <v>220</v>
      </c>
      <c r="BA15" s="64" ph="1">
        <v>0</v>
      </c>
    </row>
    <row r="16" spans="1:99" s="72" customFormat="1" ht="22.5" ph="1">
      <c r="B16" s="232" ph="1"/>
      <c r="C16" s="176" t="s" ph="1">
        <v>180</v>
      </c>
      <c r="D16" s="73" ph="1">
        <f>D15*7.0686*LOOKUP(D17,密度!$A$2:$A$50,密度!$L$2:$L$50)</f>
        <v>34560.9371646</v>
      </c>
      <c r="E16" s="73" ph="1">
        <f>E15*7.0686*LOOKUP(E17,密度!$A$2:$A$50,密度!$L$2:$L$50)</f>
        <v>7196.0115149999992</v>
      </c>
      <c r="F16" s="73" ph="1">
        <f>F15*9.0746*LOOKUP(F17,密度!$A$2:$A$50,密度!$L$2:$L$50)</f>
        <v>28384.895069999999</v>
      </c>
      <c r="G16" s="73" ph="1">
        <f>G15*9.0746*LOOKUP(G17,密度!$A$2:$A$50,密度!$B$2:$B$50)</f>
        <v>29468.3841608</v>
      </c>
      <c r="H16" s="73" ph="1">
        <f>H15*9.0746*LOOKUP(H17,密度!$A$2:$A$50,密度!$L$2:$L$50)</f>
        <v>38600.408229599998</v>
      </c>
      <c r="I16" s="73" ph="1">
        <f>I15*9.0746*LOOKUP(I17,密度!$A$2:$A$50,密度!$U$2:$U$50)</f>
        <v>27.986066400000002</v>
      </c>
      <c r="J16" s="73" ph="1">
        <f>J15*9.0746*LOOKUP(J17,密度!$A$2:$A$50,密度!$L$2:$L$50)</f>
        <v>10409.292168</v>
      </c>
      <c r="K16" s="73" ph="1">
        <f>K15*9.0746*LOOKUP(K17,密度!$A$2:$A$50,密度!$C$2:$C$50)</f>
        <v>19177.580859919999</v>
      </c>
      <c r="L16" s="73" ph="1">
        <f>L15*9.0746*LOOKUP(L17,密度!$A$2:$A$50,密度!$E$2:$E$50)</f>
        <v>40363.239118140002</v>
      </c>
      <c r="M16" s="73" ph="1">
        <f>M15*9.0746*LOOKUP(M17,密度!$A$2:$A$50,密度!$M$2:$M$50)</f>
        <v>25147.38995624</v>
      </c>
      <c r="N16" s="73" ph="1">
        <f>N15*9.0746*LOOKUP(N17,密度!$A$2:$A$50,密度!$M$2:$M$50)</f>
        <v>12981.1018675</v>
      </c>
      <c r="O16" s="73" ph="1">
        <f>O15*9.0746*LOOKUP(O17,密度!$A$2:$A$50,密度!$G$2:$G$50)</f>
        <v>53240.852432319996</v>
      </c>
      <c r="P16" s="73" ph="1">
        <f ca="1">P15*9.0746*LOOKUP(P17,密度!$A$2:$A$51,密度!$Q$2:$Q$50)</f>
        <v>59586.370477236</v>
      </c>
      <c r="Q16" s="73" ph="1">
        <f>Q15*9.0746*LOOKUP(Q17,密度!$A$2:$A$50,密度!$Q$2:$Q$50)</f>
        <v>24946.757809920004</v>
      </c>
      <c r="R16" s="73" ph="1">
        <f>MAX(R15*9.0746*LOOKUP(R17,密度!$A$2:$A$50,密度!$B$2:$B$50),0)</f>
        <v>24934.629607020001</v>
      </c>
      <c r="S16" s="73" ph="1">
        <f>S15*9.0746*LOOKUP(S17,密度!$A$2:$A$50,密度!$Q$2:$Q$50)</f>
        <v>58945.377394620002</v>
      </c>
      <c r="T16" s="73" ph="1">
        <f>T15*9.0746*LOOKUP(T17,密度!$A$2:$A$50,密度!$O$2:$O$50)</f>
        <v>9246.9629524000011</v>
      </c>
      <c r="U16" s="73" ph="1">
        <f>U15*9.0746*LOOKUP(U17,密度!$A$2:$A$50,密度!$H$2:$H$50)</f>
        <v>52781.167679800004</v>
      </c>
      <c r="V16" s="73" ph="1">
        <f>MAX(5600*LOOKUP(V17,密度!$A$2:$A$50,密度!$Q$2:$Q$50)+V15*9.0476*LOOKUP(V17,密度!$A$2:$A$50,密度!$Q$2:$Q$50),0)</f>
        <v>14758.986753360001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8649.4338909599992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30160.664523219999</v>
      </c>
      <c r="AB16" s="73" ph="1">
        <f>AB15*9.0746*LOOKUP(AB17,密度!$A$2:$A$50,密度!$L$2:$L$50)</f>
        <v>58778.561745200001</v>
      </c>
      <c r="AC16" s="73" ph="1">
        <f>AC15*9.0746*LOOKUP(AC17,密度!$A$2:$A$50,密度!$L$2:$L$50)</f>
        <v>55874.671596</v>
      </c>
      <c r="AD16" s="73" ph="1">
        <f>AD15*268.68*LOOKUP(AD17,密度!$A$2:$A$50,密度!B2:B50)+IF(AD15&lt;=0,0,1566*LOOKUP(AD17,密度!$A$2:$A$50,密度!B2:B50))</f>
        <v>2810.6772235199996</v>
      </c>
      <c r="AE16" s="73" ph="1">
        <f>AE15*268.68*LOOKUP(AE17,密度!$A$2:$A$50,密度!B2:B50)+IF(AE15&lt;=0,0,1566*LOOKUP(AE17,密度!$A$2:$A$50,密度!B2:B50))</f>
        <v>18945.606567359999</v>
      </c>
      <c r="AH16" s="72" ph="1">
        <v>2</v>
      </c>
      <c r="AI16" s="72" t="s" ph="1">
        <v>341</v>
      </c>
      <c r="AZ16" s="72" t="s" ph="1">
        <v>220</v>
      </c>
      <c r="BA16" s="72" ph="1">
        <v>0</v>
      </c>
    </row>
    <row r="17" spans="1:57" ph="1">
      <c r="A17" s="64" t="s" ph="1">
        <v>74</v>
      </c>
      <c r="B17" s="233" ph="1"/>
      <c r="C17" s="79" t="s" ph="1">
        <v>181</v>
      </c>
      <c r="D17" s="74">
        <v>15</v>
      </c>
      <c r="E17" s="74">
        <v>15</v>
      </c>
      <c r="F17" s="74">
        <v>17</v>
      </c>
      <c r="G17" s="74">
        <v>15</v>
      </c>
      <c r="H17" s="74">
        <v>14</v>
      </c>
      <c r="I17" s="74">
        <v>14</v>
      </c>
      <c r="J17" s="74">
        <v>14</v>
      </c>
      <c r="K17" s="74">
        <v>15</v>
      </c>
      <c r="L17" s="74">
        <v>15</v>
      </c>
      <c r="M17" s="74">
        <v>15</v>
      </c>
      <c r="N17" s="74">
        <v>14</v>
      </c>
      <c r="O17" s="74">
        <v>15</v>
      </c>
      <c r="P17" s="74">
        <v>14</v>
      </c>
      <c r="Q17" s="74">
        <v>15</v>
      </c>
      <c r="R17" s="74">
        <v>14</v>
      </c>
      <c r="S17" s="74">
        <v>15</v>
      </c>
      <c r="T17" s="74">
        <v>14</v>
      </c>
      <c r="U17" s="74">
        <v>15</v>
      </c>
      <c r="V17" s="74">
        <v>15</v>
      </c>
      <c r="W17" s="74">
        <v>15</v>
      </c>
      <c r="X17" s="74">
        <v>18</v>
      </c>
      <c r="Y17" s="108">
        <v>18</v>
      </c>
      <c r="Z17" s="74">
        <v>15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342</v>
      </c>
      <c r="AK17" s="64" t="s" ph="1">
        <v>574</v>
      </c>
      <c r="AL17" s="64" ph="1">
        <v>80</v>
      </c>
      <c r="AM17" s="64" t="s" ph="1">
        <v>339</v>
      </c>
      <c r="AZ17" s="64" t="s" ph="1">
        <v>220</v>
      </c>
      <c r="BA17" s="64" ph="1">
        <v>80</v>
      </c>
      <c r="BD17" s="64" t="s" ph="1">
        <v>218</v>
      </c>
      <c r="BE17" s="64" ph="1">
        <v>2270</v>
      </c>
    </row>
    <row r="18" spans="1:57" ph="1">
      <c r="B18" s="231" ph="1">
        <v>0.66666666666666663</v>
      </c>
      <c r="C18" s="79" t="s" ph="1">
        <v>182</v>
      </c>
      <c r="D18" s="71">
        <v>5163</v>
      </c>
      <c r="E18" s="71">
        <v>2008</v>
      </c>
      <c r="F18" s="71">
        <v>3391</v>
      </c>
      <c r="G18" s="71">
        <v>4141</v>
      </c>
      <c r="H18" s="71">
        <v>4486</v>
      </c>
      <c r="I18" s="71">
        <v>2</v>
      </c>
      <c r="J18" s="71">
        <v>1223</v>
      </c>
      <c r="K18" s="71">
        <v>1894</v>
      </c>
      <c r="L18" s="71">
        <v>5595</v>
      </c>
      <c r="M18" s="71">
        <v>190</v>
      </c>
      <c r="N18" s="71">
        <v>1624</v>
      </c>
      <c r="O18" s="71">
        <v>6481</v>
      </c>
      <c r="P18" s="71">
        <v>6879</v>
      </c>
      <c r="Q18" s="71">
        <v>2881</v>
      </c>
      <c r="R18" s="71">
        <v>3486</v>
      </c>
      <c r="S18" s="71">
        <v>6806</v>
      </c>
      <c r="T18" s="71">
        <v>1092</v>
      </c>
      <c r="U18" s="71">
        <v>6288</v>
      </c>
      <c r="V18" s="71">
        <v>1089</v>
      </c>
      <c r="W18" s="71">
        <v>-596</v>
      </c>
      <c r="X18" s="71">
        <v>291</v>
      </c>
      <c r="Y18" s="109">
        <v>-9900</v>
      </c>
      <c r="Z18" s="71">
        <v>0</v>
      </c>
      <c r="AA18" s="71">
        <v>4214</v>
      </c>
      <c r="AB18" s="71">
        <v>6847</v>
      </c>
      <c r="AC18" s="71">
        <v>6496</v>
      </c>
      <c r="AD18" s="71">
        <v>41.45</v>
      </c>
      <c r="AE18" s="71">
        <v>84.13</v>
      </c>
      <c r="AH18" s="64" ph="1">
        <v>4</v>
      </c>
      <c r="AI18" s="64" t="s" ph="1">
        <v>344</v>
      </c>
      <c r="AJ18" s="64" t="s" ph="1">
        <v>592</v>
      </c>
      <c r="AK18" s="64" t="s" ph="1">
        <v>591</v>
      </c>
      <c r="AL18" s="64" ph="1">
        <v>740</v>
      </c>
      <c r="AM18" s="64" t="s" ph="1">
        <v>343</v>
      </c>
      <c r="AZ18" s="64" t="s" ph="1">
        <v>220</v>
      </c>
      <c r="BA18" s="64" ph="1">
        <v>740</v>
      </c>
    </row>
    <row r="19" spans="1:57" s="72" customFormat="1" ht="22.5" ph="1">
      <c r="B19" s="232" ph="1"/>
      <c r="C19" s="176" t="s" ph="1">
        <v>180</v>
      </c>
      <c r="D19" s="73" ph="1">
        <f>D18*7.0686*LOOKUP(D20,密度!$A$2:$A$50,密度!$L$2:$L$50)</f>
        <v>34451.451619199994</v>
      </c>
      <c r="E19" s="73" ph="1">
        <f>E18*7.0686*LOOKUP(E20,密度!$A$2:$A$50,密度!$L$2:$L$50)</f>
        <v>13398.8988672</v>
      </c>
      <c r="F19" s="73" ph="1">
        <f>F18*9.0746*LOOKUP(F20,密度!$A$2:$A$50,密度!$L$2:$L$50)</f>
        <v>29079.510327</v>
      </c>
      <c r="G19" s="73" ph="1">
        <f>G18*9.0746*LOOKUP(G20,密度!$A$2:$A$50,密度!$B$2:$B$50)</f>
        <v>29551.275187040002</v>
      </c>
      <c r="H19" s="73" ph="1">
        <f>H18*9.0746*LOOKUP(H20,密度!$A$2:$A$50,密度!$L$2:$L$50)</f>
        <v>38632.514164399996</v>
      </c>
      <c r="I19" s="73" ph="1">
        <f>I18*9.0746*LOOKUP(I20,密度!$A$2:$A$50,密度!$U$2:$U$50)</f>
        <v>18.6573776</v>
      </c>
      <c r="J19" s="73" ph="1">
        <f>J18*9.0746*LOOKUP(J20,密度!$A$2:$A$50,密度!$L$2:$L$50)</f>
        <v>10487.832831</v>
      </c>
      <c r="K19" s="73" ph="1">
        <f>K18*9.0746*LOOKUP(K20,密度!$A$2:$A$50,密度!$C$2:$C$50)</f>
        <v>19155.237379800004</v>
      </c>
      <c r="L19" s="73" ph="1">
        <f>L18*9.0746*LOOKUP(L20,密度!$A$2:$A$50,密度!$E$2:$E$50)</f>
        <v>40237.116697500001</v>
      </c>
      <c r="M19" s="73" ph="1">
        <f>M18*9.0746*LOOKUP(M20,密度!$A$2:$A$50,密度!$M$2:$M$50)</f>
        <v>1517.7903721999999</v>
      </c>
      <c r="N19" s="73" ph="1">
        <f>N18*9.0746*LOOKUP(N20,密度!$A$2:$A$50,密度!$M$2:$M$50)</f>
        <v>12973.113497120001</v>
      </c>
      <c r="O19" s="73" ph="1">
        <f>O18*9.0746*LOOKUP(O20,密度!$A$2:$A$50,密度!$G$2:$G$50)</f>
        <v>56989.295639399999</v>
      </c>
      <c r="P19" s="73" ph="1">
        <f ca="1">P18*9.0746*LOOKUP(P20,密度!$A$2:$A$51,密度!$Q$2:$Q$50)</f>
        <v>59477.752415520001</v>
      </c>
      <c r="Q19" s="73" ph="1">
        <f>Q18*9.0746*LOOKUP(Q20,密度!$A$2:$A$50,密度!$Q$2:$Q$50)</f>
        <v>24889.275754426002</v>
      </c>
      <c r="R19" s="73" ph="1">
        <f>MAX(R18*9.0746*LOOKUP(R20,密度!$A$2:$A$50,密度!$B$2:$B$50),0)</f>
        <v>24877.021323839999</v>
      </c>
      <c r="S19" s="73" ph="1">
        <f>S18*9.0746*LOOKUP(S20,密度!$A$2:$A$50,密度!$Q$2:$Q$50)</f>
        <v>58797.782292475997</v>
      </c>
      <c r="T19" s="73" ph="1">
        <f>T18*9.0746*LOOKUP(T20,密度!$A$2:$A$50,密度!$O$2:$O$50)</f>
        <v>9255.4386288000005</v>
      </c>
      <c r="U19" s="73" ph="1">
        <f>U18*9.0746*LOOKUP(U20,密度!$A$2:$A$50,密度!$H$2:$H$50)</f>
        <v>52593.201860159999</v>
      </c>
      <c r="V19" s="73" ph="1">
        <f>MAX(5600*LOOKUP(V20,密度!$A$2:$A$50,密度!$Q$2:$Q$50)+V18*9.0476*LOOKUP(V20,密度!$A$2:$A$50,密度!$Q$2:$Q$50),0)</f>
        <v>14723.462521919999</v>
      </c>
      <c r="W19" s="73" ph="1">
        <f>MAX(5600*LOOKUP(W20,密度!$A$2:$A$50,密度!$Q$2:$Q$50)+W18*9.0476*LOOKUP(W20,密度!$A$2:$A$50,密度!$Q$2:$Q$50),0)</f>
        <v>197.83024512000156</v>
      </c>
      <c r="X19" s="73" ph="1">
        <f>MAX(5600*LOOKUP(X20,密度!$A$2:$A$50,密度!$I$2:$I$50)+X18*9.0476*LOOKUP(X20,密度!$A$2:$A$50,密度!$I$2:$I$50),0)</f>
        <v>8649.4338909599992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30167.823475159999</v>
      </c>
      <c r="AB19" s="73" ph="1">
        <f>AB18*9.0746*LOOKUP(AB20,密度!$A$2:$A$50,密度!$L$2:$L$50)</f>
        <v>58716.427959000001</v>
      </c>
      <c r="AC19" s="73" ph="1">
        <f>AC18*9.0746*LOOKUP(AC20,密度!$A$2:$A$50,密度!$L$2:$L$50)</f>
        <v>55883.274316800002</v>
      </c>
      <c r="AD19" s="73" ph="1">
        <f>AD18*268.68*LOOKUP(AD20,密度!$A$2:$A$50,密度!B5:B53)+IF(AD18&lt;=0,0,1566*LOOKUP(AD20,密度!$A$2:$A$50,密度!B5:B53))</f>
        <v>9870.064722000001</v>
      </c>
      <c r="AE19" s="73" ph="1">
        <f>AE18*268.68*LOOKUP(AE20,密度!$A$2:$A$50,密度!B5:B53)+IF(AE18&lt;=0,0,1566*LOOKUP(AE20,密度!$A$2:$A$50,密度!B5:B53))</f>
        <v>18780.127606800001</v>
      </c>
      <c r="AH19" s="72" ph="1">
        <v>5</v>
      </c>
      <c r="AI19" s="72" t="s" ph="1">
        <v>345</v>
      </c>
      <c r="AZ19" s="72" t="s" ph="1">
        <v>220</v>
      </c>
      <c r="BA19" s="72" ph="1">
        <v>0</v>
      </c>
      <c r="BD19" s="72" t="s" ph="1">
        <v>346</v>
      </c>
      <c r="BE19" s="72" ph="1">
        <v>1440</v>
      </c>
    </row>
    <row r="20" spans="1:57" ph="1">
      <c r="A20" s="72" ph="1"/>
      <c r="B20" s="232" ph="1"/>
      <c r="C20" s="80" t="s" ph="1">
        <v>181</v>
      </c>
      <c r="D20" s="81">
        <v>18</v>
      </c>
      <c r="E20" s="81">
        <v>18</v>
      </c>
      <c r="F20" s="81">
        <v>17</v>
      </c>
      <c r="G20" s="81">
        <v>17</v>
      </c>
      <c r="H20" s="81">
        <v>13</v>
      </c>
      <c r="I20" s="81">
        <v>16</v>
      </c>
      <c r="J20" s="81">
        <v>17</v>
      </c>
      <c r="K20" s="81">
        <v>17</v>
      </c>
      <c r="L20" s="81">
        <v>17</v>
      </c>
      <c r="M20" s="81">
        <v>17</v>
      </c>
      <c r="N20" s="81">
        <v>15</v>
      </c>
      <c r="O20" s="81">
        <v>17</v>
      </c>
      <c r="P20" s="81">
        <v>17</v>
      </c>
      <c r="Q20" s="81">
        <v>18</v>
      </c>
      <c r="R20" s="81">
        <v>17</v>
      </c>
      <c r="S20" s="81">
        <v>18</v>
      </c>
      <c r="T20" s="81">
        <v>17</v>
      </c>
      <c r="U20" s="81">
        <v>18</v>
      </c>
      <c r="V20" s="81">
        <v>17</v>
      </c>
      <c r="W20" s="81">
        <v>17</v>
      </c>
      <c r="X20" s="81">
        <v>18</v>
      </c>
      <c r="Y20" s="110">
        <v>18</v>
      </c>
      <c r="Z20" s="81">
        <v>18</v>
      </c>
      <c r="AA20" s="81">
        <v>14</v>
      </c>
      <c r="AB20" s="81">
        <v>17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347</v>
      </c>
      <c r="AZ20" s="64" t="s" ph="1">
        <v>220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348</v>
      </c>
      <c r="AZ21" s="64" t="s" ph="1">
        <v>220</v>
      </c>
      <c r="BA21" s="64" ph="1">
        <v>0</v>
      </c>
      <c r="BD21" s="64" t="s" ph="1">
        <v>236</v>
      </c>
      <c r="BE21" s="64" ph="1">
        <v>730</v>
      </c>
    </row>
    <row r="22" spans="1:57" ph="1">
      <c r="A22" s="72" ph="1"/>
      <c r="B22" s="230" t="s" ph="1">
        <v>37</v>
      </c>
      <c r="C22" s="85" t="s" ph="1">
        <v>178</v>
      </c>
      <c r="D22" s="86" t="s" ph="1">
        <v>87</v>
      </c>
      <c r="E22" s="86" t="s" ph="1">
        <v>88</v>
      </c>
      <c r="F22" s="86" t="s" ph="1">
        <v>89</v>
      </c>
      <c r="G22" s="86" t="s" ph="1">
        <v>90</v>
      </c>
      <c r="H22" s="86" t="s" ph="1">
        <v>91</v>
      </c>
      <c r="I22" s="86" t="s" ph="1">
        <v>92</v>
      </c>
      <c r="J22" s="86" t="s" ph="1">
        <v>93</v>
      </c>
      <c r="K22" s="86" t="s" ph="1">
        <v>94</v>
      </c>
      <c r="L22" s="86" t="s" ph="1">
        <v>95</v>
      </c>
      <c r="M22" s="86" t="s" ph="1">
        <v>96</v>
      </c>
      <c r="N22" s="86" t="s" ph="1">
        <v>97</v>
      </c>
      <c r="O22" s="86" t="s" ph="1">
        <v>98</v>
      </c>
      <c r="P22" s="86" t="s" ph="1">
        <v>99</v>
      </c>
      <c r="Q22" s="87" t="s" ph="1">
        <v>100</v>
      </c>
      <c r="R22" s="86" t="s" ph="1">
        <v>101</v>
      </c>
      <c r="S22" s="86" t="s" ph="1">
        <v>102</v>
      </c>
      <c r="T22" s="86" t="s" ph="1">
        <v>103</v>
      </c>
      <c r="U22" s="86" t="s" ph="1">
        <v>104</v>
      </c>
      <c r="V22" s="86" t="s" ph="1">
        <v>105</v>
      </c>
      <c r="W22" s="86" t="s" ph="1">
        <v>106</v>
      </c>
      <c r="X22" s="86" t="s" ph="1">
        <v>107</v>
      </c>
      <c r="Y22" s="86" t="s" ph="1">
        <v>109</v>
      </c>
      <c r="Z22" s="240" t="s" ph="1">
        <v>69</v>
      </c>
      <c r="AA22" s="241"/>
      <c r="AB22" s="241"/>
      <c r="AC22" s="241"/>
      <c r="AD22" s="241"/>
      <c r="AE22" s="242"/>
      <c r="AH22" s="64" ph="1">
        <v>8</v>
      </c>
      <c r="AI22" s="64" t="s" ph="1">
        <v>349</v>
      </c>
      <c r="AZ22" s="64" t="s" ph="1">
        <v>220</v>
      </c>
      <c r="BA22" s="64" ph="1">
        <v>0</v>
      </c>
    </row>
    <row r="23" spans="1:57" ph="1">
      <c r="A23" s="72" ph="1"/>
      <c r="B23" s="234" ph="1"/>
      <c r="C23" s="67" t="s" ph="1">
        <v>36</v>
      </c>
      <c r="D23" s="88" t="s" ph="1">
        <v>111</v>
      </c>
      <c r="E23" s="88" t="s" ph="1">
        <v>108</v>
      </c>
      <c r="F23" s="88" t="s" ph="1">
        <v>111</v>
      </c>
      <c r="G23" s="88" t="s" ph="1">
        <v>637</v>
      </c>
      <c r="H23" s="88" t="s" ph="1">
        <v>637</v>
      </c>
      <c r="I23" s="88" t="s" ph="1">
        <v>638</v>
      </c>
      <c r="J23" s="88" t="s" ph="1">
        <v>639</v>
      </c>
      <c r="K23" s="88" t="s" ph="1">
        <v>640</v>
      </c>
      <c r="L23" s="88" t="s" ph="1">
        <v>640</v>
      </c>
      <c r="M23" s="88" t="s" ph="1">
        <v>634</v>
      </c>
      <c r="N23" s="88" t="s" ph="1">
        <v>634</v>
      </c>
      <c r="O23" s="88" t="s" ph="1">
        <v>322</v>
      </c>
      <c r="P23" s="88" t="s" ph="1">
        <v>625</v>
      </c>
      <c r="Q23" s="89" t="s" ph="1">
        <v>625</v>
      </c>
      <c r="R23" s="88" t="s" ph="1">
        <v>618</v>
      </c>
      <c r="S23" s="88" t="s" ph="1">
        <v>641</v>
      </c>
      <c r="T23" s="88" t="s" ph="1">
        <v>608</v>
      </c>
      <c r="U23" s="88" t="s" ph="1">
        <v>612</v>
      </c>
      <c r="V23" s="88" t="s" ph="1">
        <v>642</v>
      </c>
      <c r="W23" s="88" t="s" ph="1">
        <v>642</v>
      </c>
      <c r="X23" s="88" t="s" ph="1">
        <v>191</v>
      </c>
      <c r="Y23" s="88" t="s" ph="1">
        <v>643</v>
      </c>
      <c r="Z23" s="243" t="s" ph="1">
        <v>648</v>
      </c>
      <c r="AA23" s="244"/>
      <c r="AB23" s="244"/>
      <c r="AC23" s="244"/>
      <c r="AD23" s="244"/>
      <c r="AE23" s="245"/>
      <c r="AH23" s="64" ph="1">
        <v>9</v>
      </c>
      <c r="AI23" s="64" t="s" ph="1">
        <v>350</v>
      </c>
      <c r="AZ23" s="64" t="s" ph="1">
        <v>220</v>
      </c>
      <c r="BA23" s="64" ph="1">
        <v>0</v>
      </c>
      <c r="BD23" s="64" t="s" ph="1">
        <v>242</v>
      </c>
      <c r="BE23" s="64" ph="1">
        <v>890</v>
      </c>
    </row>
    <row r="24" spans="1:57" ph="1">
      <c r="A24" s="72" ph="1"/>
      <c r="B24" s="252" ph="1">
        <v>0.33333333333333331</v>
      </c>
      <c r="C24" s="176" t="s" ph="1">
        <v>179</v>
      </c>
      <c r="D24" s="71">
        <v>3.27</v>
      </c>
      <c r="E24" s="71">
        <v>95.1</v>
      </c>
      <c r="F24" s="71">
        <v>0</v>
      </c>
      <c r="G24" s="71">
        <v>3186</v>
      </c>
      <c r="H24" s="71">
        <v>3415</v>
      </c>
      <c r="I24" s="71">
        <v>4546</v>
      </c>
      <c r="J24" s="71">
        <v>4918</v>
      </c>
      <c r="K24" s="71">
        <v>90</v>
      </c>
      <c r="L24" s="71">
        <v>4958</v>
      </c>
      <c r="M24" s="71">
        <v>5390</v>
      </c>
      <c r="N24" s="71">
        <v>5342</v>
      </c>
      <c r="O24" s="71">
        <v>3516</v>
      </c>
      <c r="P24" s="71">
        <v>833</v>
      </c>
      <c r="Q24" s="90">
        <v>3277</v>
      </c>
      <c r="R24" s="71">
        <v>6344</v>
      </c>
      <c r="S24" s="71">
        <v>67</v>
      </c>
      <c r="T24" s="71">
        <v>1748</v>
      </c>
      <c r="U24" s="71">
        <v>5271</v>
      </c>
      <c r="V24" s="71">
        <v>9616</v>
      </c>
      <c r="W24" s="71">
        <v>5461</v>
      </c>
      <c r="X24" s="71">
        <v>6843</v>
      </c>
      <c r="Y24" s="71">
        <v>3216</v>
      </c>
      <c r="Z24" s="246"/>
      <c r="AA24" s="247"/>
      <c r="AB24" s="247"/>
      <c r="AC24" s="247"/>
      <c r="AD24" s="247"/>
      <c r="AE24" s="248"/>
      <c r="AH24" s="64" ph="1">
        <v>10</v>
      </c>
      <c r="AI24" s="64" t="s" ph="1">
        <v>351</v>
      </c>
      <c r="AZ24" s="64" t="s" ph="1">
        <v>220</v>
      </c>
      <c r="BA24" s="64" ph="1">
        <v>0</v>
      </c>
    </row>
    <row r="25" spans="1:57" ph="1">
      <c r="A25" s="72" ph="1"/>
      <c r="B25" s="252" ph="1"/>
      <c r="C25" s="68" t="s" ph="1">
        <v>180</v>
      </c>
      <c r="D25" s="91" ph="1">
        <f>D24*268.68*LOOKUP(D26,密度!$A$2:$A$50,密度!$Q$2:$Q$50)+IF(D24&lt;=0,0,1566*LOOKUP(D26,密度!$A$2:$A$50,密度!$Q$2:$Q$50))</f>
        <v>2314.385077464</v>
      </c>
      <c r="E25" s="91" ph="1">
        <f>E24*268.68*LOOKUP(E26,密度!$A$2:$A$50,密度!$C$2:$C$50)+IF(E24&lt;=0,0,1566*LOOKUP(E26,密度!$A$2:$A$50,密度!$C$2:$C$50))</f>
        <v>30070.560265200002</v>
      </c>
      <c r="F25" s="91" ph="1">
        <f>F24*11.702*LOOKUP(F26,密度!$A$2:$A$50,密度!$Q$2:$Q$50)</f>
        <v>0</v>
      </c>
      <c r="G25" s="91" ph="1">
        <f>G24*18.322*LOOKUP(G26,密度!$A$2:$A$50,密度!$B$2:$B$50)</f>
        <v>45905.228668800002</v>
      </c>
      <c r="H25" s="91" ph="1">
        <f>H24*18.322*LOOKUP(H26,密度!$A$2:$A$50,密度!$B$2:$B$50)</f>
        <v>49204.757031999994</v>
      </c>
      <c r="I25" s="91" ph="1">
        <f>I24*18.322*LOOKUP(I26,密度!$A$2:$A$50,密度!$Q$2:$Q$50)</f>
        <v>79294.637942119996</v>
      </c>
      <c r="J25" s="91" ph="1">
        <f>J24*18.322*LOOKUP(J26,密度!$A$2:$A$50,密度!$Q$2:$Q$50)</f>
        <v>85783.33246795999</v>
      </c>
      <c r="K25" s="91" ph="1">
        <f>K24*18.322*LOOKUP(K26,密度!$A$2:$A$50,密度!$Q$2:$Q$50)</f>
        <v>1569.8454498000001</v>
      </c>
      <c r="L25" s="91" ph="1">
        <f>L24*18.322*LOOKUP(L26,密度!$A$2:$A$50,密度!$Q$2:$Q$50)</f>
        <v>86481.041556759999</v>
      </c>
      <c r="M25" s="91" ph="1">
        <f>M24*18.322*LOOKUP(M26,密度!$A$2:$A$50,密度!$Q$2:$Q$50)</f>
        <v>94094.316623999999</v>
      </c>
      <c r="N25" s="91" ph="1">
        <f>N24*18.322*LOOKUP(N26,密度!$A$2:$A$50,密度!$Q$2:$Q$50)</f>
        <v>93179.048809240005</v>
      </c>
      <c r="O25" s="91" ph="1">
        <f>O24*18.322*LOOKUP(O26,密度!$A$2:$A$50,密度!$C$2:$C$50)</f>
        <v>71796.259403999997</v>
      </c>
      <c r="P25" s="91" ph="1">
        <f>P24*11.702*LOOKUP(P26,密度!$A$2:$A$50,密度!$B$2:$B$50)</f>
        <v>7665.6431823999992</v>
      </c>
      <c r="Q25" s="92" ph="1">
        <f>Q24*18.322*LOOKUP(Q26,密度!$A$2:$A$50,密度!$B$2:$B$50)</f>
        <v>47174.366125799992</v>
      </c>
      <c r="R25" s="91" ph="1">
        <f>R24*35.891*LOOKUP(R26,密度!$A$2:$A$50,密度!$C$2:$C$50)</f>
        <v>253626.68020559996</v>
      </c>
      <c r="S25" s="91" ph="1">
        <f>S24*35.891*LOOKUP(S26,密度!$A$2:$A$50,密度!$B$2:$B$50)</f>
        <v>1891.0537207999996</v>
      </c>
      <c r="T25" s="91" ph="1">
        <f>T24*35.891*LOOKUP(T26,密度!$A$2:$A$50,密度!$Q$2:$Q$50)</f>
        <v>59726.696910679995</v>
      </c>
      <c r="U25" s="91" ph="1">
        <f>U24*35.891</f>
        <v>189181.46099999998</v>
      </c>
      <c r="V25" s="91" ph="1">
        <f>V24*47.051*LOOKUP(V26,密度!$A$2:$A$50,密度!$B$2:$B$50)</f>
        <v>355800.71594240004</v>
      </c>
      <c r="W25" s="91" ph="1">
        <f>W24*47.051*LOOKUP(W26,密度!$A$2:$A$50,密度!$B$2:$B$50)</f>
        <v>201882.08799269999</v>
      </c>
      <c r="X25" s="91" ph="1">
        <f>X24*47.051*LOOKUP(X26,密度!$A$2:$A$50,密度!$I$2:$I$50)</f>
        <v>330502.19781450002</v>
      </c>
      <c r="Y25" s="91" ph="1">
        <f>Y24*47.051*LOOKUP(Y26,密度!$A$2:$A$50,密度!$L$2:$L$50)</f>
        <v>142993.63511999999</v>
      </c>
      <c r="Z25" s="246"/>
      <c r="AA25" s="247"/>
      <c r="AB25" s="247"/>
      <c r="AC25" s="247"/>
      <c r="AD25" s="247"/>
      <c r="AE25" s="248"/>
      <c r="AH25" s="64" ph="1">
        <v>11</v>
      </c>
      <c r="AI25" s="64" t="s" ph="1">
        <v>352</v>
      </c>
      <c r="AZ25" s="64" t="s" ph="1">
        <v>220</v>
      </c>
      <c r="BA25" s="64" ph="1">
        <v>0</v>
      </c>
      <c r="BD25" s="64" t="s" ph="1">
        <v>245</v>
      </c>
      <c r="BE25" s="64" ph="1">
        <v>8920</v>
      </c>
    </row>
    <row r="26" spans="1:57" ph="1">
      <c r="A26" s="72" ph="1"/>
      <c r="B26" s="252" ph="1"/>
      <c r="C26" s="68" t="s" ph="1">
        <v>181</v>
      </c>
      <c r="D26" s="74">
        <v>25</v>
      </c>
      <c r="E26" s="74">
        <v>25</v>
      </c>
      <c r="F26" s="74">
        <v>17</v>
      </c>
      <c r="G26" s="74">
        <v>17</v>
      </c>
      <c r="H26" s="74">
        <v>17</v>
      </c>
      <c r="I26" s="74">
        <v>18</v>
      </c>
      <c r="J26" s="74">
        <v>18</v>
      </c>
      <c r="K26" s="74">
        <v>18</v>
      </c>
      <c r="L26" s="74">
        <v>18</v>
      </c>
      <c r="M26" s="74">
        <v>17</v>
      </c>
      <c r="N26" s="74">
        <v>18</v>
      </c>
      <c r="O26" s="74">
        <v>17</v>
      </c>
      <c r="P26" s="74">
        <v>17</v>
      </c>
      <c r="Q26" s="93">
        <v>18</v>
      </c>
      <c r="R26" s="74">
        <v>18</v>
      </c>
      <c r="S26" s="74">
        <v>17</v>
      </c>
      <c r="T26" s="74">
        <v>18</v>
      </c>
      <c r="U26" s="74">
        <v>18</v>
      </c>
      <c r="V26" s="74">
        <v>17</v>
      </c>
      <c r="W26" s="74">
        <v>18</v>
      </c>
      <c r="X26" s="74">
        <v>41</v>
      </c>
      <c r="Y26" s="74">
        <v>17</v>
      </c>
      <c r="Z26" s="246"/>
      <c r="AA26" s="247"/>
      <c r="AB26" s="247"/>
      <c r="AC26" s="247"/>
      <c r="AD26" s="247"/>
      <c r="AE26" s="248"/>
      <c r="AH26" s="64" ph="1">
        <v>12</v>
      </c>
      <c r="AI26" s="64" t="s" ph="1">
        <v>353</v>
      </c>
      <c r="AZ26" s="64" t="s" ph="1">
        <v>220</v>
      </c>
      <c r="BA26" s="64" ph="1">
        <v>0</v>
      </c>
    </row>
    <row r="27" spans="1:57" ph="1">
      <c r="A27" s="72" ph="1"/>
      <c r="B27" s="252" ph="1">
        <v>0.66666666666666663</v>
      </c>
      <c r="C27" s="176" t="s" ph="1">
        <v>182</v>
      </c>
      <c r="D27" s="71">
        <v>3.26</v>
      </c>
      <c r="E27" s="71">
        <v>95.08</v>
      </c>
      <c r="F27" s="71">
        <v>0</v>
      </c>
      <c r="G27" s="71">
        <v>2731</v>
      </c>
      <c r="H27" s="71">
        <v>3258</v>
      </c>
      <c r="I27" s="71">
        <v>4546</v>
      </c>
      <c r="J27" s="71">
        <v>4916</v>
      </c>
      <c r="K27" s="71">
        <v>88</v>
      </c>
      <c r="L27" s="71">
        <v>4285</v>
      </c>
      <c r="M27" s="71">
        <v>5389</v>
      </c>
      <c r="N27" s="71">
        <v>5340</v>
      </c>
      <c r="O27" s="71">
        <v>3514</v>
      </c>
      <c r="P27" s="71">
        <v>832</v>
      </c>
      <c r="Q27" s="90">
        <v>3970</v>
      </c>
      <c r="R27" s="71">
        <v>6341</v>
      </c>
      <c r="S27" s="71">
        <v>64</v>
      </c>
      <c r="T27" s="71">
        <v>1747</v>
      </c>
      <c r="U27" s="71">
        <v>5500</v>
      </c>
      <c r="V27" s="71">
        <v>9614</v>
      </c>
      <c r="W27" s="71">
        <v>6927</v>
      </c>
      <c r="X27" s="71">
        <v>6361</v>
      </c>
      <c r="Y27" s="71">
        <v>3686</v>
      </c>
      <c r="Z27" s="246"/>
      <c r="AA27" s="247"/>
      <c r="AB27" s="247"/>
      <c r="AC27" s="247"/>
      <c r="AD27" s="247"/>
      <c r="AE27" s="248"/>
      <c r="AH27" s="64" ph="1">
        <v>13</v>
      </c>
      <c r="AI27" s="64" t="s" ph="1">
        <v>354</v>
      </c>
      <c r="AZ27" s="64" t="s" ph="1">
        <v>220</v>
      </c>
      <c r="BA27" s="64" ph="1">
        <v>0</v>
      </c>
      <c r="BD27" s="64" t="s" ph="1">
        <v>299</v>
      </c>
      <c r="BE27" s="64" ph="1">
        <v>7100</v>
      </c>
    </row>
    <row r="28" spans="1:57" ph="1">
      <c r="A28" s="72" ph="1"/>
      <c r="B28" s="252" ph="1"/>
      <c r="C28" s="176" t="s" ph="1">
        <v>180</v>
      </c>
      <c r="D28" s="91" ph="1">
        <f>D27*268.68*LOOKUP(D29,密度!$A$2:$A$50,密度!$Q$2:$Q$50)+IF(D27&lt;=0,0,1566*LOOKUP(D29,密度!$A$2:$A$50,密度!$Q$2:$Q$50))</f>
        <v>2311.8413764319998</v>
      </c>
      <c r="E28" s="91" ph="1">
        <f>E27*268.68*LOOKUP(E29,密度!$A$2:$A$50,密度!$C$2:$C$50)+IF(E27&lt;=0,0,1566*LOOKUP(E29,密度!$A$2:$A$50,密度!$C$2:$C$50))</f>
        <v>30064.601480160003</v>
      </c>
      <c r="F28" s="91" ph="1">
        <f>F27*11.702*LOOKUP(F29,密度!$A$2:$A$50,密度!$Q$2:$Q$50)</f>
        <v>0</v>
      </c>
      <c r="G28" s="91" ph="1">
        <f>G27*18.322*LOOKUP(G29,密度!$A$2:$A$50,密度!$B$2:$B$50)</f>
        <v>39349.3972048</v>
      </c>
      <c r="H28" s="91" ph="1">
        <f>H27*18.322*LOOKUP(H29,密度!$A$2:$A$50,密度!$B$2:$B$50)</f>
        <v>46942.634966400001</v>
      </c>
      <c r="I28" s="91" ph="1">
        <f>I27*18.322*LOOKUP(I29,密度!$A$2:$A$50,密度!$Q$2:$Q$50)</f>
        <v>79360.438473599992</v>
      </c>
      <c r="J28" s="91" ph="1">
        <f>J27*18.322*LOOKUP(J29,密度!$A$2:$A$50,密度!$Q$2:$Q$50)</f>
        <v>85748.447013519995</v>
      </c>
      <c r="K28" s="91" ph="1">
        <f>K27*18.322*LOOKUP(K29,密度!$A$2:$A$50,密度!$Q$2:$Q$50)</f>
        <v>1534.95999536</v>
      </c>
      <c r="L28" s="91" ph="1">
        <f>L27*18.322*LOOKUP(L29,密度!$A$2:$A$50,密度!$Q$2:$Q$50)</f>
        <v>74804.108855999992</v>
      </c>
      <c r="M28" s="91" ph="1">
        <f>M27*18.322*LOOKUP(M29,密度!$A$2:$A$50,密度!$Q$2:$Q$50)</f>
        <v>94076.859422399997</v>
      </c>
      <c r="N28" s="91" ph="1">
        <f>N27*18.322*LOOKUP(N29,密度!$A$2:$A$50,密度!$Q$2:$Q$50)</f>
        <v>93144.163354799995</v>
      </c>
      <c r="O28" s="91" ph="1">
        <f>O27*18.322*LOOKUP(O29,密度!$A$2:$A$50,密度!$C$2:$C$50)</f>
        <v>71755.419666000002</v>
      </c>
      <c r="P28" s="91" ph="1">
        <f>P27*11.702*LOOKUP(P29,密度!$A$2:$A$50,密度!$B$2:$B$50)</f>
        <v>7656.4407295999999</v>
      </c>
      <c r="Q28" s="92" ph="1">
        <f>Q27*18.322*LOOKUP(Q29,密度!$A$2:$A$50,密度!$B$2:$B$50)</f>
        <v>57150.513737999994</v>
      </c>
      <c r="R28" s="91" ph="1">
        <f>R27*35.891*LOOKUP(R29,密度!$A$2:$A$50,密度!$C$2:$C$50)</f>
        <v>253643.2941495</v>
      </c>
      <c r="S28" s="91" ph="1">
        <f>S27*35.891*LOOKUP(S29,密度!$A$2:$A$50,密度!$B$2:$B$50)</f>
        <v>1804.7717567999998</v>
      </c>
      <c r="T28" s="91" ph="1">
        <f>T27*35.891*LOOKUP(T29,密度!$A$2:$A$50,密度!$Q$2:$Q$50)</f>
        <v>59742.062565599997</v>
      </c>
      <c r="U28" s="91" ph="1">
        <f>U27*35.891</f>
        <v>197400.5</v>
      </c>
      <c r="V28" s="91" ph="1">
        <f>V27*47.051*LOOKUP(V29,密度!$A$2:$A$50,密度!$B$2:$B$50)</f>
        <v>355410.07030979998</v>
      </c>
      <c r="W28" s="91" ph="1">
        <f>W27*47.051*LOOKUP(W29,密度!$A$2:$A$50,密度!$B$2:$B$50)</f>
        <v>256077.13303889998</v>
      </c>
      <c r="X28" s="91" ph="1">
        <f>X27*47.051*LOOKUP(X29,密度!$A$2:$A$50,密度!$I$2:$I$50)</f>
        <v>309958.15688804002</v>
      </c>
      <c r="Y28" s="91" ph="1">
        <f>Y27*47.051*LOOKUP(Y29,密度!$A$2:$A$50,密度!$L$2:$L$50)</f>
        <v>163717.90678399999</v>
      </c>
      <c r="Z28" s="246"/>
      <c r="AA28" s="247"/>
      <c r="AB28" s="247"/>
      <c r="AC28" s="247"/>
      <c r="AD28" s="247"/>
      <c r="AE28" s="248"/>
      <c r="AH28" s="64" ph="1">
        <v>14</v>
      </c>
      <c r="AI28" s="64" t="s" ph="1">
        <v>355</v>
      </c>
      <c r="AZ28" s="64" t="s" ph="1">
        <v>220</v>
      </c>
      <c r="BA28" s="64" ph="1">
        <v>0</v>
      </c>
    </row>
    <row r="29" spans="1:57" ph="1">
      <c r="A29" s="72" ph="1"/>
      <c r="B29" s="252" ph="1"/>
      <c r="C29" s="176" t="s" ph="1">
        <v>181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17</v>
      </c>
      <c r="J29" s="74">
        <v>18</v>
      </c>
      <c r="K29" s="74">
        <v>18</v>
      </c>
      <c r="L29" s="74">
        <v>17</v>
      </c>
      <c r="M29" s="74">
        <v>17</v>
      </c>
      <c r="N29" s="74">
        <v>18</v>
      </c>
      <c r="O29" s="74">
        <v>17</v>
      </c>
      <c r="P29" s="74">
        <v>17</v>
      </c>
      <c r="Q29" s="93">
        <v>18</v>
      </c>
      <c r="R29" s="74">
        <v>17</v>
      </c>
      <c r="S29" s="74">
        <v>18</v>
      </c>
      <c r="T29" s="74">
        <v>17</v>
      </c>
      <c r="U29" s="74">
        <v>18</v>
      </c>
      <c r="V29" s="74">
        <v>18</v>
      </c>
      <c r="W29" s="74">
        <v>18</v>
      </c>
      <c r="X29" s="74">
        <v>49</v>
      </c>
      <c r="Y29" s="74">
        <v>18</v>
      </c>
      <c r="Z29" s="249"/>
      <c r="AA29" s="250"/>
      <c r="AB29" s="250"/>
      <c r="AC29" s="250"/>
      <c r="AD29" s="250"/>
      <c r="AE29" s="251"/>
      <c r="AH29" s="64" ph="1">
        <v>15</v>
      </c>
      <c r="AI29" s="64" t="s" ph="1">
        <v>356</v>
      </c>
      <c r="AZ29" s="64" t="s" ph="1">
        <v>220</v>
      </c>
      <c r="BA29" s="64" ph="1">
        <v>0</v>
      </c>
      <c r="BD29" s="64" t="s" ph="1">
        <v>357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358</v>
      </c>
      <c r="AZ30" s="64" t="s" ph="1">
        <v>220</v>
      </c>
      <c r="BA30" s="64" ph="1">
        <v>0</v>
      </c>
    </row>
    <row r="31" spans="1:57" ht="28.5" ph="1">
      <c r="A31" s="64"/>
      <c r="B31" s="235" t="s" ph="1">
        <v>35</v>
      </c>
      <c r="C31" s="236" ph="1"/>
      <c r="D31" s="239" t="s" ph="1">
        <v>9</v>
      </c>
      <c r="E31" s="214" ph="1"/>
      <c r="F31" s="215" ph="1"/>
      <c r="G31" s="239" t="s" ph="1">
        <v>18</v>
      </c>
      <c r="H31" s="214" ph="1"/>
      <c r="I31" s="215" ph="1"/>
      <c r="J31" s="213" t="s" ph="1">
        <v>1</v>
      </c>
      <c r="K31" s="214" ph="1"/>
      <c r="L31" s="215" ph="1"/>
      <c r="M31" s="213" t="s" ph="1">
        <v>7</v>
      </c>
      <c r="N31" s="214" ph="1"/>
      <c r="O31" s="215" ph="1"/>
      <c r="P31" s="213" t="s" ph="1">
        <v>41</v>
      </c>
      <c r="Q31" s="214"/>
      <c r="R31" s="215"/>
      <c r="S31" s="213" t="s" ph="1">
        <v>2</v>
      </c>
      <c r="T31" s="214"/>
      <c r="U31" s="215"/>
      <c r="V31" s="213" t="s" ph="1">
        <v>71</v>
      </c>
      <c r="W31" s="214" ph="1"/>
      <c r="X31" s="215" ph="1"/>
      <c r="Y31" s="213" t="s" ph="1">
        <v>3</v>
      </c>
      <c r="Z31" s="214" ph="1"/>
      <c r="AA31" s="215" ph="1"/>
      <c r="AB31" s="216" t="s">
        <v>42</v>
      </c>
      <c r="AC31" s="217"/>
      <c r="AD31" s="217"/>
      <c r="AE31" s="218"/>
      <c r="AH31" s="64" ph="1">
        <v>17</v>
      </c>
      <c r="AI31" s="64" t="s" ph="1">
        <v>359</v>
      </c>
      <c r="AZ31" s="64" t="s" ph="1">
        <v>220</v>
      </c>
      <c r="BA31" s="64" ph="1">
        <v>0</v>
      </c>
      <c r="BD31" s="64" t="s" ph="1">
        <v>360</v>
      </c>
      <c r="BE31" s="64" ph="1">
        <v>9310</v>
      </c>
    </row>
    <row r="32" spans="1:57" ph="1">
      <c r="A32" s="64"/>
      <c r="B32" s="237" ph="1"/>
      <c r="C32" s="238" ph="1"/>
      <c r="D32" s="96" t="s" ph="1">
        <v>4</v>
      </c>
      <c r="E32" s="176" t="s" ph="1">
        <v>5</v>
      </c>
      <c r="F32" s="175" t="s" ph="1">
        <v>43</v>
      </c>
      <c r="G32" s="97" t="s" ph="1">
        <v>4</v>
      </c>
      <c r="H32" s="176" t="s" ph="1">
        <v>5</v>
      </c>
      <c r="I32" s="175" t="s" ph="1">
        <v>43</v>
      </c>
      <c r="J32" s="97" t="s" ph="1">
        <v>4</v>
      </c>
      <c r="K32" s="176" t="s" ph="1">
        <v>5</v>
      </c>
      <c r="L32" s="175" t="s" ph="1">
        <v>43</v>
      </c>
      <c r="M32" s="97" t="s" ph="1">
        <v>4</v>
      </c>
      <c r="N32" s="176" t="s" ph="1">
        <v>5</v>
      </c>
      <c r="O32" s="17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6" t="s" ph="1">
        <v>5</v>
      </c>
      <c r="U32" s="99" t="s" ph="1">
        <v>43</v>
      </c>
      <c r="V32" s="97" t="s" ph="1">
        <v>4</v>
      </c>
      <c r="W32" s="176" t="s" ph="1">
        <v>5</v>
      </c>
      <c r="X32" s="99" t="s" ph="1">
        <v>43</v>
      </c>
      <c r="Y32" s="100" t="s" ph="1">
        <v>4</v>
      </c>
      <c r="Z32" s="176" t="s" ph="1">
        <v>5</v>
      </c>
      <c r="AA32" s="175" t="s" ph="1">
        <v>43</v>
      </c>
      <c r="AB32" s="97" t="s" ph="1">
        <v>86</v>
      </c>
      <c r="AC32" s="176" t="s" ph="1">
        <v>85</v>
      </c>
      <c r="AD32" s="219" t="s" ph="1">
        <v>84</v>
      </c>
      <c r="AE32" s="220"/>
      <c r="AH32" s="64" ph="1">
        <v>18</v>
      </c>
      <c r="AI32" s="64" t="s" ph="1">
        <v>361</v>
      </c>
      <c r="AZ32" s="64" t="s" ph="1">
        <v>220</v>
      </c>
      <c r="BA32" s="64" ph="1">
        <v>0</v>
      </c>
    </row>
    <row r="33" spans="1:57" ph="1">
      <c r="A33" s="64"/>
      <c r="B33" s="221" t="s" ph="1">
        <v>183</v>
      </c>
      <c r="C33" s="222" ph="1"/>
      <c r="D33" s="201" ph="1">
        <f>AA10+AB10+Z19</f>
        <v>71760.972567999997</v>
      </c>
      <c r="E33" s="201" ph="1">
        <f>M10+I10</f>
        <v>98203.422822299995</v>
      </c>
      <c r="F33" s="22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27" ph="1">
        <v>0</v>
      </c>
      <c r="H33" s="201" ph="1">
        <f>N19</f>
        <v>12973.113497120001</v>
      </c>
      <c r="I33" s="205" ph="1">
        <v>0</v>
      </c>
      <c r="J33" s="209" ph="1">
        <f>F10+O28</f>
        <v>190728.68601</v>
      </c>
      <c r="K33" s="201" ph="1">
        <f>O10+K10+E28+R28</f>
        <v>287680.47398325999</v>
      </c>
      <c r="L33" s="211" ph="1">
        <f>BE27</f>
        <v>7100</v>
      </c>
      <c r="M33" s="209" ph="1">
        <f>G10+H10+W28+S28+V28+E10</f>
        <v>1464372.8741535</v>
      </c>
      <c r="N33" s="201" ph="1">
        <f>L10+P10++G28+H28</f>
        <v>252964.82128719997</v>
      </c>
      <c r="O33" s="205" ph="1">
        <f>BE17</f>
        <v>2270</v>
      </c>
      <c r="P33" s="209" ph="1">
        <f>L19</f>
        <v>40237.116697500001</v>
      </c>
      <c r="Q33" s="201" ph="1">
        <f>J10+N10</f>
        <v>76047.097127200002</v>
      </c>
      <c r="R33" s="205" ph="1">
        <f>BE23</f>
        <v>890</v>
      </c>
      <c r="S33" s="209" ph="1">
        <f>E10+X28</f>
        <v>482072.97397604003</v>
      </c>
      <c r="T33" s="201" ph="1">
        <f>X19</f>
        <v>8649.4338909599992</v>
      </c>
      <c r="U33" s="190" ph="1">
        <f>BE21</f>
        <v>730</v>
      </c>
      <c r="V33" s="203" ph="1">
        <f ca="1">P19+Q19+S19+M28+N28+J28</f>
        <v>416134.28025314194</v>
      </c>
      <c r="W33" s="203" ph="1">
        <f>D28+F28+V19+T28</f>
        <v>76777.366463951999</v>
      </c>
      <c r="X33" s="205" ph="1">
        <f>BE29+BE31</f>
        <v>10200</v>
      </c>
      <c r="Y33" s="207" ph="1">
        <f>+Q10+R10+S10+T10+U10+V10+W10+X10+Y10</f>
        <v>237725.57100599995</v>
      </c>
      <c r="Z33" s="188" ph="1">
        <f>D10+T19+U19+Y28+Z10</f>
        <v>495257.54580914002</v>
      </c>
      <c r="AA33" s="190" ph="1">
        <f>BE19</f>
        <v>1440</v>
      </c>
      <c r="AB33" s="192" ph="1">
        <f>I19</f>
        <v>18.6573776</v>
      </c>
      <c r="AC33" s="194" ph="1">
        <f>AD10</f>
        <v>26269.917728</v>
      </c>
      <c r="AD33" s="196" ph="1">
        <v>0</v>
      </c>
      <c r="AE33" s="197"/>
      <c r="AH33" s="64" ph="1">
        <v>19</v>
      </c>
      <c r="AI33" s="64" t="s" ph="1">
        <v>362</v>
      </c>
      <c r="AJ33" s="64" t="s" ph="1">
        <v>596</v>
      </c>
      <c r="AK33" s="64" t="s" ph="1">
        <v>593</v>
      </c>
      <c r="AL33" s="64" ph="1">
        <v>730</v>
      </c>
      <c r="AM33" s="64" t="s" ph="1">
        <v>343</v>
      </c>
      <c r="AZ33" s="64" t="s" ph="1">
        <v>220</v>
      </c>
      <c r="BA33" s="64" ph="1">
        <v>730</v>
      </c>
      <c r="BD33" s="64" t="s" ph="1">
        <v>294</v>
      </c>
      <c r="BE33" s="64" ph="1">
        <v>3880</v>
      </c>
    </row>
    <row r="34" spans="1:57" ph="1">
      <c r="A34" s="64"/>
      <c r="B34" s="223" ph="1"/>
      <c r="C34" s="224" ph="1"/>
      <c r="D34" s="202" ph="1"/>
      <c r="E34" s="202" ph="1"/>
      <c r="F34" s="226" ph="1"/>
      <c r="G34" s="228" ph="1"/>
      <c r="H34" s="202" ph="1"/>
      <c r="I34" s="206" ph="1"/>
      <c r="J34" s="210" ph="1"/>
      <c r="K34" s="202" ph="1"/>
      <c r="L34" s="212" ph="1"/>
      <c r="M34" s="210" ph="1"/>
      <c r="N34" s="202" ph="1"/>
      <c r="O34" s="206" ph="1"/>
      <c r="P34" s="210" ph="1"/>
      <c r="Q34" s="202" ph="1"/>
      <c r="R34" s="206" ph="1"/>
      <c r="S34" s="210" ph="1"/>
      <c r="T34" s="202"/>
      <c r="U34" s="191"/>
      <c r="V34" s="204" ph="1"/>
      <c r="W34" s="204" ph="1"/>
      <c r="X34" s="206" ph="1"/>
      <c r="Y34" s="208" ph="1"/>
      <c r="Z34" s="189" ph="1"/>
      <c r="AA34" s="191" ph="1"/>
      <c r="AB34" s="193"/>
      <c r="AC34" s="195"/>
      <c r="AD34" s="198"/>
      <c r="AE34" s="199"/>
      <c r="AH34" s="64" ph="1">
        <v>20</v>
      </c>
      <c r="AI34" s="64" t="s" ph="1">
        <v>363</v>
      </c>
      <c r="AJ34" s="64" t="s" ph="1">
        <v>597</v>
      </c>
      <c r="AK34" s="64" t="s" ph="1">
        <v>593</v>
      </c>
      <c r="AL34" s="64" ph="1">
        <v>720</v>
      </c>
      <c r="AM34" s="64" t="s" ph="1">
        <v>343</v>
      </c>
      <c r="AZ34" s="64" t="s" ph="1">
        <v>220</v>
      </c>
      <c r="BA34" s="64" ph="1">
        <v>720</v>
      </c>
    </row>
    <row r="35" spans="1:57" ph="1">
      <c r="A35" s="64"/>
      <c r="AC35" s="200" t="s" ph="1">
        <v>652</v>
      </c>
      <c r="AD35" s="200"/>
      <c r="AE35" s="200"/>
      <c r="AH35" s="64" ph="1">
        <v>21</v>
      </c>
      <c r="AI35" s="64" t="s" ph="1">
        <v>364</v>
      </c>
      <c r="AZ35" s="64" t="s" ph="1">
        <v>220</v>
      </c>
      <c r="BA35" s="64" ph="1">
        <v>0</v>
      </c>
      <c r="BD35" s="64" t="s" ph="1">
        <v>365</v>
      </c>
      <c r="BE35" s="64" ph="1">
        <v>2030</v>
      </c>
    </row>
    <row r="36" spans="1:57" ht="28.5" ph="1">
      <c r="A36" s="64"/>
      <c r="B36" s="103" t="s" ph="1">
        <v>184</v>
      </c>
      <c r="I36" s="186" t="s" ph="1">
        <v>185</v>
      </c>
      <c r="J36" s="186" ph="1"/>
      <c r="K36" s="101" ph="1"/>
      <c r="P36" s="101" ph="1"/>
      <c r="R36" s="186" t="s" ph="1">
        <v>186</v>
      </c>
      <c r="S36" s="186" ph="1"/>
      <c r="Y36" s="102" ph="1"/>
      <c r="Z36" s="174" t="s" ph="1">
        <v>187</v>
      </c>
      <c r="AA36" s="174" ph="1"/>
      <c r="AB36" s="187" t="s" ph="1">
        <v>645</v>
      </c>
      <c r="AC36" s="187" ph="1"/>
      <c r="AD36" s="187" ph="1"/>
      <c r="AE36" s="187" ph="1"/>
      <c r="BA36" s="64" ph="1">
        <v>2270</v>
      </c>
    </row>
    <row r="37" spans="1:57" s="17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4" t="s" ph="1">
        <v>346</v>
      </c>
      <c r="AI37" s="174" t="s" ph="1">
        <v>213</v>
      </c>
      <c r="AJ37" s="174" t="s" ph="1">
        <v>214</v>
      </c>
      <c r="AK37" s="174" t="s" ph="1">
        <v>215</v>
      </c>
      <c r="AM37" s="174" t="s" ph="1">
        <v>214</v>
      </c>
      <c r="AN37" s="174" t="s" ph="1">
        <v>215</v>
      </c>
      <c r="AO37" s="174" t="s" ph="1">
        <v>216</v>
      </c>
      <c r="AP37" s="174" t="s" ph="1">
        <v>214</v>
      </c>
      <c r="AQ37" s="174" t="s" ph="1">
        <v>215</v>
      </c>
      <c r="AR37" s="174" t="s" ph="1">
        <v>216</v>
      </c>
      <c r="AS37" s="174" t="s" ph="1">
        <v>214</v>
      </c>
      <c r="AT37" s="174" t="s" ph="1">
        <v>215</v>
      </c>
      <c r="AU37" s="174" t="s" ph="1">
        <v>216</v>
      </c>
      <c r="AV37" s="174" t="s" ph="1">
        <v>214</v>
      </c>
      <c r="AW37" s="174" t="s" ph="1">
        <v>215</v>
      </c>
      <c r="AX37" s="174" t="s" ph="1">
        <v>216</v>
      </c>
      <c r="AY37" s="174" t="s" ph="1">
        <v>215</v>
      </c>
      <c r="AZ37" s="174" t="s" ph="1">
        <v>217</v>
      </c>
      <c r="BD37" s="174" t="s" ph="1">
        <v>309</v>
      </c>
      <c r="BE37" s="174" ph="1">
        <v>0</v>
      </c>
    </row>
    <row r="38" spans="1:57" ph="1">
      <c r="AE38" s="64" ph="1"/>
      <c r="AH38" s="64" ph="1">
        <v>1</v>
      </c>
      <c r="AI38" s="64" t="s" ph="1">
        <v>366</v>
      </c>
      <c r="AY38" s="64" t="s" ph="1">
        <v>220</v>
      </c>
      <c r="AZ38" s="64" t="s" ph="1">
        <v>371</v>
      </c>
    </row>
    <row r="39" spans="1:57" ph="1">
      <c r="AH39" s="64" ph="1">
        <v>2</v>
      </c>
      <c r="AI39" s="64" t="s" ph="1">
        <v>368</v>
      </c>
      <c r="AJ39" s="64" t="s" ph="1">
        <v>340</v>
      </c>
      <c r="AK39" s="64" t="s" ph="1">
        <v>369</v>
      </c>
      <c r="AM39" s="64" t="s" ph="1">
        <v>574</v>
      </c>
      <c r="AN39" s="64" t="s" ph="1">
        <v>232</v>
      </c>
      <c r="AO39" s="64" t="s" ph="1">
        <v>367</v>
      </c>
      <c r="AY39" s="64" t="s" ph="1">
        <v>220</v>
      </c>
      <c r="AZ39" s="64" t="s" ph="1">
        <v>503</v>
      </c>
    </row>
    <row r="40" spans="1:57" ph="1">
      <c r="AH40" s="64" ph="1">
        <v>3</v>
      </c>
      <c r="AI40" s="64" t="s" ph="1">
        <v>370</v>
      </c>
      <c r="AJ40" s="64" t="s" ph="1">
        <v>574</v>
      </c>
      <c r="AK40" s="64" t="s" ph="1">
        <v>575</v>
      </c>
      <c r="AY40" s="64" t="s" ph="1">
        <v>220</v>
      </c>
      <c r="AZ40" s="64" t="s" ph="1">
        <v>575</v>
      </c>
    </row>
    <row r="41" spans="1:57" ph="1">
      <c r="AH41" s="64" ph="1">
        <v>4</v>
      </c>
      <c r="AI41" s="64" t="s" ph="1">
        <v>372</v>
      </c>
      <c r="AJ41" s="64" t="s" ph="1">
        <v>576</v>
      </c>
      <c r="AK41" s="64" t="s" ph="1">
        <v>577</v>
      </c>
      <c r="AM41" s="64" t="s" ph="1">
        <v>578</v>
      </c>
      <c r="AY41" s="64" t="s" ph="1">
        <v>220</v>
      </c>
      <c r="AZ41" s="64" t="s" ph="1">
        <v>577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373</v>
      </c>
      <c r="AY42" s="64" t="s" ph="1">
        <v>220</v>
      </c>
      <c r="AZ42" s="64" t="s" ph="1">
        <v>371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374</v>
      </c>
      <c r="AY43" s="64" t="s" ph="1">
        <v>220</v>
      </c>
      <c r="AZ43" s="64" t="s" ph="1">
        <v>371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375</v>
      </c>
      <c r="AV44" s="64" t="s" ph="1">
        <v>221</v>
      </c>
      <c r="AY44" s="64" t="s" ph="1">
        <v>220</v>
      </c>
      <c r="AZ44" s="64" t="s" ph="1">
        <v>371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376</v>
      </c>
      <c r="AV45" s="64" t="s" ph="1">
        <v>221</v>
      </c>
      <c r="AY45" s="64" t="s" ph="1">
        <v>220</v>
      </c>
      <c r="AZ45" s="64" t="s" ph="1">
        <v>371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377</v>
      </c>
      <c r="AV46" s="64" t="s" ph="1">
        <v>221</v>
      </c>
      <c r="AY46" s="64" t="s" ph="1">
        <v>220</v>
      </c>
      <c r="AZ46" s="64" t="s" ph="1">
        <v>371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378</v>
      </c>
      <c r="AV47" s="64" t="s" ph="1">
        <v>221</v>
      </c>
      <c r="AY47" s="64" t="s" ph="1">
        <v>220</v>
      </c>
      <c r="AZ47" s="64" t="s" ph="1">
        <v>371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236</v>
      </c>
      <c r="AI49" s="64" t="s" ph="1">
        <v>213</v>
      </c>
      <c r="AJ49" s="64" t="s" ph="1">
        <v>214</v>
      </c>
      <c r="AK49" s="64" t="s" ph="1">
        <v>215</v>
      </c>
      <c r="AM49" s="64" t="s" ph="1">
        <v>214</v>
      </c>
      <c r="AN49" s="64" t="s" ph="1">
        <v>215</v>
      </c>
      <c r="AO49" s="64" t="s" ph="1">
        <v>216</v>
      </c>
      <c r="AP49" s="64" t="s" ph="1">
        <v>214</v>
      </c>
      <c r="AQ49" s="64" t="s" ph="1">
        <v>215</v>
      </c>
      <c r="AR49" s="64" t="s" ph="1">
        <v>216</v>
      </c>
      <c r="AS49" s="64" t="s" ph="1">
        <v>214</v>
      </c>
      <c r="AT49" s="64" t="s" ph="1">
        <v>215</v>
      </c>
      <c r="AU49" s="64" t="s" ph="1">
        <v>216</v>
      </c>
      <c r="AV49" s="64" t="s" ph="1">
        <v>214</v>
      </c>
      <c r="AW49" s="64" t="s" ph="1">
        <v>215</v>
      </c>
      <c r="AX49" s="64" t="s" ph="1">
        <v>216</v>
      </c>
      <c r="AY49" s="64" t="s" ph="1">
        <v>215</v>
      </c>
      <c r="AZ49" s="64" t="s" ph="1">
        <v>217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379</v>
      </c>
      <c r="AY50" s="64" t="s" ph="1">
        <v>220</v>
      </c>
      <c r="AZ50" s="64" t="s" ph="1">
        <v>371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380</v>
      </c>
      <c r="AY51" s="64" t="s" ph="1">
        <v>220</v>
      </c>
      <c r="AZ51" s="64" t="s" ph="1">
        <v>371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381</v>
      </c>
      <c r="AJ52" s="64" t="s" ph="1">
        <v>338</v>
      </c>
      <c r="AK52" s="64" t="s" ph="1">
        <v>232</v>
      </c>
      <c r="AM52" s="64" t="s" ph="1">
        <v>340</v>
      </c>
      <c r="AN52" s="64" t="s" ph="1">
        <v>304</v>
      </c>
      <c r="AO52" s="64" t="s" ph="1">
        <v>237</v>
      </c>
      <c r="AP52" s="64" t="s" ph="1">
        <v>574</v>
      </c>
      <c r="AQ52" s="64" t="s" ph="1">
        <v>286</v>
      </c>
      <c r="AR52" s="64" t="s" ph="1">
        <v>237</v>
      </c>
      <c r="AY52" s="64" t="s" ph="1">
        <v>220</v>
      </c>
      <c r="AZ52" s="64" t="s" ph="1">
        <v>580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382</v>
      </c>
      <c r="AY53" s="64" t="s" ph="1">
        <v>220</v>
      </c>
      <c r="AZ53" s="64" t="s" ph="1">
        <v>371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383</v>
      </c>
      <c r="AJ54" s="64" t="s" ph="1">
        <v>338</v>
      </c>
      <c r="AK54" s="64" t="s" ph="1">
        <v>223</v>
      </c>
      <c r="AM54" s="64" t="s" ph="1">
        <v>340</v>
      </c>
      <c r="AN54" s="64" t="s" ph="1">
        <v>228</v>
      </c>
      <c r="AO54" s="64" t="s" ph="1">
        <v>237</v>
      </c>
      <c r="AP54" s="64" t="s" ph="1">
        <v>574</v>
      </c>
      <c r="AQ54" s="64" t="s" ph="1">
        <v>244</v>
      </c>
      <c r="AR54" s="64" t="s" ph="1">
        <v>237</v>
      </c>
      <c r="AY54" s="64" t="s" ph="1">
        <v>220</v>
      </c>
      <c r="AZ54" s="64" t="s" ph="1">
        <v>238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384</v>
      </c>
      <c r="AY55" s="64" t="s" ph="1">
        <v>220</v>
      </c>
      <c r="AZ55" s="64" t="s" ph="1">
        <v>371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385</v>
      </c>
      <c r="AY56" s="64" t="s" ph="1">
        <v>220</v>
      </c>
      <c r="AZ56" s="64" t="s" ph="1">
        <v>371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386</v>
      </c>
      <c r="AY57" s="64" t="s" ph="1">
        <v>220</v>
      </c>
      <c r="AZ57" s="64" t="s" ph="1">
        <v>371</v>
      </c>
    </row>
    <row r="58" spans="16:52" ph="1">
      <c r="P58" s="64"/>
      <c r="AN58" s="64" t="s" ph="1">
        <v>221</v>
      </c>
      <c r="AZ58" s="64" t="s" ph="1">
        <v>581</v>
      </c>
    </row>
    <row r="59" spans="16:52" ph="1">
      <c r="V59" s="64"/>
      <c r="AG59" s="64" t="s" ph="1">
        <v>239</v>
      </c>
      <c r="AI59" s="64" t="s" ph="1">
        <v>213</v>
      </c>
      <c r="AJ59" s="64" t="s" ph="1">
        <v>214</v>
      </c>
      <c r="AK59" s="64" t="s" ph="1">
        <v>215</v>
      </c>
      <c r="AM59" s="64" t="s" ph="1">
        <v>214</v>
      </c>
      <c r="AN59" s="64" t="s" ph="1">
        <v>215</v>
      </c>
      <c r="AO59" s="64" t="s" ph="1">
        <v>216</v>
      </c>
      <c r="AP59" s="64" t="s" ph="1">
        <v>214</v>
      </c>
      <c r="AQ59" s="64" t="s" ph="1">
        <v>215</v>
      </c>
      <c r="AR59" s="64" t="s" ph="1">
        <v>216</v>
      </c>
      <c r="AS59" s="64" t="s" ph="1">
        <v>214</v>
      </c>
      <c r="AT59" s="64" t="s" ph="1">
        <v>215</v>
      </c>
      <c r="AU59" s="64" t="s" ph="1">
        <v>216</v>
      </c>
      <c r="AV59" s="64" t="s" ph="1">
        <v>214</v>
      </c>
      <c r="AW59" s="64" t="s" ph="1">
        <v>215</v>
      </c>
      <c r="AX59" s="64" t="s" ph="1">
        <v>216</v>
      </c>
      <c r="AY59" s="64" t="s" ph="1">
        <v>215</v>
      </c>
      <c r="AZ59" s="64" t="s" ph="1">
        <v>217</v>
      </c>
    </row>
    <row r="60" spans="16:52" ph="1">
      <c r="R60" s="64"/>
      <c r="S60" s="64"/>
      <c r="T60" s="64"/>
      <c r="AH60" s="64" ph="1">
        <v>1</v>
      </c>
      <c r="AI60" s="64" t="s" ph="1">
        <v>387</v>
      </c>
      <c r="AY60" s="64" t="s" ph="1">
        <v>220</v>
      </c>
      <c r="AZ60" s="64" t="s" ph="1">
        <v>371</v>
      </c>
    </row>
    <row r="61" spans="16:52" ph="1">
      <c r="AH61" s="64" ph="1">
        <v>2</v>
      </c>
      <c r="AI61" s="64" t="s" ph="1">
        <v>388</v>
      </c>
      <c r="AS61" s="64" t="s" ph="1">
        <v>221</v>
      </c>
      <c r="AY61" s="64" t="s" ph="1">
        <v>220</v>
      </c>
      <c r="AZ61" s="64" t="s" ph="1">
        <v>371</v>
      </c>
    </row>
    <row r="62" spans="16:52" ph="1">
      <c r="AZ62" s="64" t="s" ph="1">
        <v>389</v>
      </c>
    </row>
    <row r="63" spans="16:52" ph="1">
      <c r="AG63" s="64" t="s" ph="1">
        <v>242</v>
      </c>
      <c r="AI63" s="64" t="s" ph="1">
        <v>213</v>
      </c>
      <c r="AJ63" s="64" t="s" ph="1">
        <v>214</v>
      </c>
      <c r="AK63" s="64" t="s" ph="1">
        <v>215</v>
      </c>
      <c r="AM63" s="64" t="s" ph="1">
        <v>214</v>
      </c>
      <c r="AN63" s="64" t="s" ph="1">
        <v>215</v>
      </c>
      <c r="AO63" s="64" t="s" ph="1">
        <v>216</v>
      </c>
      <c r="AP63" s="64" t="s" ph="1">
        <v>214</v>
      </c>
      <c r="AQ63" s="64" t="s" ph="1">
        <v>215</v>
      </c>
      <c r="AR63" s="64" t="s" ph="1">
        <v>216</v>
      </c>
      <c r="AS63" s="64" t="s" ph="1">
        <v>214</v>
      </c>
      <c r="AT63" s="64" t="s" ph="1">
        <v>215</v>
      </c>
      <c r="AU63" s="64" t="s" ph="1">
        <v>216</v>
      </c>
      <c r="AV63" s="64" t="s" ph="1">
        <v>214</v>
      </c>
      <c r="AW63" s="64" t="s" ph="1">
        <v>215</v>
      </c>
      <c r="AX63" s="64" t="s" ph="1">
        <v>216</v>
      </c>
      <c r="AY63" s="64" t="s" ph="1">
        <v>215</v>
      </c>
      <c r="AZ63" s="64" t="s" ph="1">
        <v>217</v>
      </c>
    </row>
    <row r="64" spans="16:52" ph="1">
      <c r="AH64" s="64" ph="1">
        <v>1</v>
      </c>
      <c r="AI64" s="64" t="s" ph="1">
        <v>390</v>
      </c>
      <c r="AJ64" s="64" t="s" ph="1">
        <v>391</v>
      </c>
      <c r="AK64" s="64" t="s" ph="1">
        <v>392</v>
      </c>
      <c r="AY64" s="64" t="s" ph="1">
        <v>220</v>
      </c>
      <c r="AZ64" s="64" t="s" ph="1">
        <v>392</v>
      </c>
    </row>
    <row r="65" spans="33:52" ph="1">
      <c r="AH65" s="64" ph="1">
        <v>2</v>
      </c>
      <c r="AI65" s="64" t="s" ph="1">
        <v>393</v>
      </c>
      <c r="AY65" s="64" t="s" ph="1">
        <v>220</v>
      </c>
      <c r="AZ65" s="64" t="s" ph="1">
        <v>371</v>
      </c>
    </row>
    <row r="66" spans="33:52" ph="1">
      <c r="AH66" s="64" ph="1">
        <v>3</v>
      </c>
      <c r="AI66" s="64" t="s" ph="1">
        <v>394</v>
      </c>
      <c r="AY66" s="64" t="s" ph="1">
        <v>220</v>
      </c>
      <c r="AZ66" s="64" t="s" ph="1">
        <v>371</v>
      </c>
    </row>
    <row r="67" spans="33:52" ph="1">
      <c r="AH67" s="64" ph="1">
        <v>4</v>
      </c>
      <c r="AI67" s="64" t="s" ph="1">
        <v>395</v>
      </c>
      <c r="AY67" s="64" t="s" ph="1">
        <v>220</v>
      </c>
      <c r="AZ67" s="64" t="s" ph="1">
        <v>371</v>
      </c>
    </row>
    <row r="68" spans="33:52" ph="1">
      <c r="AH68" s="64" ph="1">
        <v>5</v>
      </c>
      <c r="AI68" s="64" t="s" ph="1">
        <v>396</v>
      </c>
      <c r="AY68" s="64" t="s" ph="1">
        <v>220</v>
      </c>
      <c r="AZ68" s="64" t="s" ph="1">
        <v>371</v>
      </c>
    </row>
    <row r="69" spans="33:52" ph="1">
      <c r="AH69" s="64" ph="1">
        <v>6</v>
      </c>
      <c r="AI69" s="64" t="s" ph="1">
        <v>397</v>
      </c>
      <c r="AY69" s="64" t="s" ph="1">
        <v>220</v>
      </c>
      <c r="AZ69" s="64" t="s" ph="1">
        <v>371</v>
      </c>
    </row>
    <row r="70" spans="33:52" ph="1">
      <c r="AI70" s="64" t="s" ph="1">
        <v>398</v>
      </c>
      <c r="AY70" s="64" t="s" ph="1">
        <v>220</v>
      </c>
      <c r="AZ70" s="64" t="s" ph="1">
        <v>371</v>
      </c>
    </row>
    <row r="71" spans="33:52" ph="1">
      <c r="AH71" s="64" ph="1">
        <v>7</v>
      </c>
      <c r="AI71" s="64" t="s" ph="1">
        <v>399</v>
      </c>
      <c r="AJ71" s="64" t="s" ph="1">
        <v>338</v>
      </c>
      <c r="AK71" s="64" t="s" ph="1">
        <v>232</v>
      </c>
      <c r="AM71" s="64" t="s" ph="1">
        <v>340</v>
      </c>
      <c r="AN71" s="64" t="s" ph="1">
        <v>232</v>
      </c>
      <c r="AO71" s="64" t="s" ph="1">
        <v>400</v>
      </c>
      <c r="AP71" s="64" t="s" ph="1">
        <v>574</v>
      </c>
      <c r="AQ71" s="64" t="s" ph="1">
        <v>223</v>
      </c>
      <c r="AR71" s="64" t="s" ph="1">
        <v>400</v>
      </c>
      <c r="AY71" s="64" t="s" ph="1">
        <v>220</v>
      </c>
      <c r="AZ71" s="64" t="s" ph="1">
        <v>582</v>
      </c>
    </row>
    <row r="72" spans="33:52" ph="1">
      <c r="AZ72" s="64" t="s" ph="1">
        <v>583</v>
      </c>
    </row>
    <row r="73" spans="33:52" ph="1">
      <c r="AG73" s="64" t="s" ph="1">
        <v>245</v>
      </c>
      <c r="AI73" s="64" t="s" ph="1">
        <v>213</v>
      </c>
      <c r="AJ73" s="64" t="s" ph="1">
        <v>214</v>
      </c>
      <c r="AK73" s="64" t="s" ph="1">
        <v>215</v>
      </c>
      <c r="AM73" s="64" t="s" ph="1">
        <v>214</v>
      </c>
      <c r="AN73" s="64" t="s" ph="1">
        <v>215</v>
      </c>
      <c r="AO73" s="64" t="s" ph="1">
        <v>216</v>
      </c>
      <c r="AP73" s="64" t="s" ph="1">
        <v>214</v>
      </c>
      <c r="AQ73" s="64" t="s" ph="1">
        <v>215</v>
      </c>
      <c r="AR73" s="64" t="s" ph="1">
        <v>216</v>
      </c>
      <c r="AS73" s="64" t="s" ph="1">
        <v>214</v>
      </c>
      <c r="AT73" s="64" t="s" ph="1">
        <v>215</v>
      </c>
      <c r="AU73" s="64" t="s" ph="1">
        <v>216</v>
      </c>
      <c r="AV73" s="64" t="s" ph="1">
        <v>214</v>
      </c>
      <c r="AW73" s="64" t="s" ph="1">
        <v>215</v>
      </c>
      <c r="AX73" s="64" t="s" ph="1">
        <v>216</v>
      </c>
      <c r="AY73" s="64" t="s" ph="1">
        <v>215</v>
      </c>
      <c r="AZ73" s="64" t="s" ph="1">
        <v>217</v>
      </c>
    </row>
    <row r="74" spans="33:52" ph="1">
      <c r="AH74" s="64" ph="1">
        <v>1</v>
      </c>
      <c r="AI74" s="64" t="s" ph="1">
        <v>401</v>
      </c>
      <c r="AJ74" s="64" t="s" ph="1">
        <v>246</v>
      </c>
      <c r="AK74" s="64" t="s" ph="1">
        <v>228</v>
      </c>
      <c r="AM74" s="64" t="s" ph="1">
        <v>248</v>
      </c>
      <c r="AN74" s="64" t="s" ph="1">
        <v>258</v>
      </c>
      <c r="AO74" s="64" t="s" ph="1">
        <v>247</v>
      </c>
      <c r="AP74" s="64" t="s" ph="1">
        <v>249</v>
      </c>
      <c r="AQ74" s="64" t="s" ph="1">
        <v>226</v>
      </c>
      <c r="AR74" s="64" t="s" ph="1">
        <v>247</v>
      </c>
      <c r="AS74" s="64" t="s" ph="1">
        <v>219</v>
      </c>
      <c r="AT74" s="64" t="s" ph="1">
        <v>221</v>
      </c>
      <c r="AV74" s="64" t="s" ph="1">
        <v>402</v>
      </c>
      <c r="AW74" s="64" t="s" ph="1">
        <v>403</v>
      </c>
      <c r="AX74" s="64" t="s" ph="1">
        <v>404</v>
      </c>
      <c r="AY74" s="64" t="s" ph="1">
        <v>220</v>
      </c>
      <c r="AZ74" s="64" t="s" ph="1">
        <v>405</v>
      </c>
    </row>
    <row r="75" spans="33:52" ph="1">
      <c r="AJ75" s="64" t="s" ph="1">
        <v>251</v>
      </c>
      <c r="AK75" s="64" t="s" ph="1">
        <v>304</v>
      </c>
      <c r="AM75" s="64" t="s" ph="1">
        <v>249</v>
      </c>
      <c r="AN75" s="64" t="s" ph="1">
        <v>229</v>
      </c>
      <c r="AO75" s="64" t="s" ph="1">
        <v>247</v>
      </c>
      <c r="AS75" s="64" t="s" ph="1">
        <v>219</v>
      </c>
      <c r="AT75" s="64" t="s" ph="1">
        <v>250</v>
      </c>
    </row>
    <row r="76" spans="33:52" ph="1">
      <c r="AJ76" s="64" t="s" ph="1">
        <v>251</v>
      </c>
      <c r="AK76" s="64" t="s" ph="1">
        <v>244</v>
      </c>
      <c r="AM76" s="64" t="s" ph="1">
        <v>249</v>
      </c>
      <c r="AN76" s="64" t="s" ph="1">
        <v>232</v>
      </c>
      <c r="AO76" s="64" t="s" ph="1">
        <v>247</v>
      </c>
      <c r="AS76" s="64" t="s" ph="1">
        <v>219</v>
      </c>
      <c r="AT76" s="64" t="s" ph="1">
        <v>250</v>
      </c>
    </row>
    <row r="77" spans="33:52" ph="1">
      <c r="AJ77" s="64" t="s" ph="1">
        <v>287</v>
      </c>
      <c r="AK77" s="64" t="s" ph="1">
        <v>244</v>
      </c>
      <c r="AM77" s="64" t="s" ph="1">
        <v>288</v>
      </c>
      <c r="AN77" s="64" t="s" ph="1">
        <v>227</v>
      </c>
      <c r="AO77" s="64" t="s" ph="1">
        <v>247</v>
      </c>
      <c r="AS77" s="64" t="s" ph="1">
        <v>219</v>
      </c>
      <c r="AT77" s="64" t="s" ph="1">
        <v>289</v>
      </c>
    </row>
    <row r="78" spans="33:52" ph="1">
      <c r="AH78" s="64" ph="1">
        <v>2</v>
      </c>
      <c r="AI78" s="64" t="s" ph="1">
        <v>253</v>
      </c>
      <c r="AJ78" s="64" t="s" ph="1">
        <v>254</v>
      </c>
      <c r="AK78" s="64" t="s" ph="1">
        <v>223</v>
      </c>
      <c r="AM78" s="64" t="s" ph="1">
        <v>255</v>
      </c>
      <c r="AN78" s="64" t="s" ph="1">
        <v>258</v>
      </c>
      <c r="AO78" s="64" t="s" ph="1">
        <v>247</v>
      </c>
      <c r="AP78" s="64" t="s" ph="1">
        <v>256</v>
      </c>
      <c r="AQ78" s="64" t="s" ph="1">
        <v>302</v>
      </c>
      <c r="AR78" s="64" t="s" ph="1">
        <v>247</v>
      </c>
      <c r="AS78" s="64" t="s" ph="1">
        <v>257</v>
      </c>
      <c r="AT78" s="64" t="s" ph="1">
        <v>258</v>
      </c>
      <c r="AU78" s="64" t="s" ph="1">
        <v>247</v>
      </c>
      <c r="AV78" s="64" t="s" ph="1">
        <v>259</v>
      </c>
      <c r="AW78" s="64" t="s" ph="1">
        <v>247</v>
      </c>
      <c r="AY78" s="64" t="s" ph="1">
        <v>220</v>
      </c>
      <c r="AZ78" s="64" t="s" ph="1">
        <v>406</v>
      </c>
    </row>
    <row r="79" spans="33:52" ph="1">
      <c r="AJ79" s="64" t="s" ph="1">
        <v>249</v>
      </c>
      <c r="AK79" s="64" t="s" ph="1">
        <v>260</v>
      </c>
      <c r="AM79" s="64" t="s" ph="1">
        <v>261</v>
      </c>
      <c r="AN79" s="64" t="s" ph="1">
        <v>229</v>
      </c>
      <c r="AO79" s="64" t="s" ph="1">
        <v>247</v>
      </c>
      <c r="AP79" s="64" t="s" ph="1">
        <v>262</v>
      </c>
      <c r="AQ79" s="64" t="s" ph="1">
        <v>227</v>
      </c>
      <c r="AR79" s="64" t="s" ph="1">
        <v>263</v>
      </c>
      <c r="AS79" s="64" t="s" ph="1">
        <v>219</v>
      </c>
      <c r="AT79" s="64" t="s" ph="1">
        <v>264</v>
      </c>
      <c r="AV79" s="64" t="s" ph="1">
        <v>407</v>
      </c>
      <c r="AW79" s="64" t="s" ph="1">
        <v>306</v>
      </c>
      <c r="AX79" s="64" t="s" ph="1">
        <v>404</v>
      </c>
    </row>
    <row r="80" spans="33:52" ph="1">
      <c r="AH80" s="64" ph="1">
        <v>3</v>
      </c>
      <c r="AI80" s="64" t="s" ph="1">
        <v>265</v>
      </c>
      <c r="AJ80" s="64" t="s" ph="1">
        <v>266</v>
      </c>
      <c r="AK80" s="64" t="s" ph="1">
        <v>267</v>
      </c>
      <c r="AM80" s="64" t="s" ph="1">
        <v>268</v>
      </c>
      <c r="AN80" s="64" t="s" ph="1">
        <v>258</v>
      </c>
      <c r="AO80" s="64" t="s" ph="1">
        <v>247</v>
      </c>
      <c r="AP80" s="64" t="s" ph="1">
        <v>269</v>
      </c>
      <c r="AQ80" s="64" t="s" ph="1">
        <v>232</v>
      </c>
      <c r="AR80" s="64" t="s" ph="1">
        <v>247</v>
      </c>
      <c r="AS80" s="64" t="s" ph="1">
        <v>270</v>
      </c>
      <c r="AT80" s="64" t="s" ph="1">
        <v>231</v>
      </c>
      <c r="AU80" s="64" t="s" ph="1">
        <v>247</v>
      </c>
      <c r="AV80" s="64" t="s" ph="1">
        <v>271</v>
      </c>
      <c r="AW80" s="64" t="s" ph="1">
        <v>247</v>
      </c>
      <c r="AY80" s="64" t="s" ph="1">
        <v>220</v>
      </c>
      <c r="AZ80" s="64" t="s" ph="1">
        <v>408</v>
      </c>
    </row>
    <row r="81" spans="34:52" ph="1">
      <c r="AJ81" s="64" t="s" ph="1">
        <v>272</v>
      </c>
      <c r="AK81" s="64" t="s" ph="1">
        <v>226</v>
      </c>
      <c r="AM81" s="64" t="s" ph="1">
        <v>273</v>
      </c>
      <c r="AN81" s="64" t="s" ph="1">
        <v>229</v>
      </c>
      <c r="AO81" s="64" t="s" ph="1">
        <v>247</v>
      </c>
      <c r="AP81" s="64" t="s" ph="1">
        <v>274</v>
      </c>
      <c r="AQ81" s="64" t="s" ph="1">
        <v>258</v>
      </c>
      <c r="AR81" s="64" t="s" ph="1">
        <v>247</v>
      </c>
      <c r="AS81" s="64" t="s" ph="1">
        <v>275</v>
      </c>
      <c r="AT81" s="64" t="s" ph="1">
        <v>276</v>
      </c>
      <c r="AU81" s="64" t="s" ph="1">
        <v>247</v>
      </c>
      <c r="AV81" s="64" t="s" ph="1">
        <v>277</v>
      </c>
    </row>
    <row r="82" spans="34:52" ph="1">
      <c r="AJ82" s="64" t="s" ph="1">
        <v>278</v>
      </c>
      <c r="AK82" s="64" t="s" ph="1">
        <v>226</v>
      </c>
      <c r="AM82" s="64" t="s" ph="1">
        <v>279</v>
      </c>
      <c r="AN82" s="64" t="s" ph="1">
        <v>276</v>
      </c>
      <c r="AO82" s="64" t="s" ph="1">
        <v>280</v>
      </c>
      <c r="AP82" s="64" t="s" ph="1">
        <v>281</v>
      </c>
      <c r="AQ82" s="64" t="s" ph="1">
        <v>258</v>
      </c>
      <c r="AR82" s="64" t="s" ph="1">
        <v>247</v>
      </c>
      <c r="AS82" s="64" t="s" ph="1">
        <v>282</v>
      </c>
      <c r="AT82" s="64" t="s" ph="1">
        <v>233</v>
      </c>
      <c r="AU82" s="64" t="s" ph="1">
        <v>247</v>
      </c>
      <c r="AV82" s="64" t="s" ph="1">
        <v>407</v>
      </c>
      <c r="AW82" s="64" t="s" ph="1">
        <v>307</v>
      </c>
      <c r="AX82" s="64" t="s" ph="1">
        <v>404</v>
      </c>
    </row>
    <row r="83" spans="34:52" ph="1">
      <c r="AJ83" s="64" t="s" ph="1">
        <v>283</v>
      </c>
      <c r="AK83" s="64" t="s" ph="1">
        <v>300</v>
      </c>
      <c r="AM83" s="64" t="s" ph="1">
        <v>284</v>
      </c>
      <c r="AN83" s="64" t="s" ph="1">
        <v>232</v>
      </c>
      <c r="AO83" s="64" t="s" ph="1">
        <v>263</v>
      </c>
      <c r="AP83" s="64" t="s" ph="1">
        <v>285</v>
      </c>
      <c r="AQ83" s="64" t="s" ph="1">
        <v>286</v>
      </c>
      <c r="AR83" s="64" t="s" ph="1">
        <v>263</v>
      </c>
      <c r="AS83" s="64" t="s" ph="1">
        <v>409</v>
      </c>
      <c r="AT83" s="64" t="s" ph="1">
        <v>258</v>
      </c>
      <c r="AU83" s="64" t="s" ph="1">
        <v>263</v>
      </c>
      <c r="AV83" s="64" t="s" ph="1">
        <v>410</v>
      </c>
      <c r="AW83" s="64" t="s" ph="1">
        <v>307</v>
      </c>
      <c r="AX83" s="64" t="s" ph="1">
        <v>411</v>
      </c>
    </row>
    <row r="84" spans="34:52" ph="1">
      <c r="AH84" s="64" ph="1">
        <v>4</v>
      </c>
      <c r="AI84" s="64" t="s" ph="1">
        <v>290</v>
      </c>
      <c r="AJ84" s="64" t="s" ph="1">
        <v>230</v>
      </c>
      <c r="AK84" s="64" t="s" ph="1">
        <v>233</v>
      </c>
      <c r="AM84" s="64" t="s" ph="1">
        <v>234</v>
      </c>
      <c r="AN84" s="64" t="s" ph="1">
        <v>227</v>
      </c>
      <c r="AO84" s="64" t="s" ph="1">
        <v>263</v>
      </c>
      <c r="AP84" s="64" t="s" ph="1">
        <v>292</v>
      </c>
      <c r="AQ84" s="64" t="s" ph="1">
        <v>226</v>
      </c>
      <c r="AR84" s="64" t="s" ph="1">
        <v>263</v>
      </c>
      <c r="AS84" s="64" t="s" ph="1">
        <v>292</v>
      </c>
      <c r="AT84" s="64" t="s" ph="1">
        <v>228</v>
      </c>
      <c r="AU84" s="64" t="s" ph="1">
        <v>263</v>
      </c>
      <c r="AY84" s="64" t="s" ph="1">
        <v>220</v>
      </c>
      <c r="AZ84" s="64" t="s" ph="1">
        <v>412</v>
      </c>
    </row>
    <row r="85" spans="34:52" ph="1">
      <c r="AJ85" s="64" t="s" ph="1">
        <v>222</v>
      </c>
      <c r="AK85" s="64" t="s" ph="1">
        <v>226</v>
      </c>
      <c r="AM85" s="64" t="s" ph="1">
        <v>413</v>
      </c>
      <c r="AN85" s="64" t="s" ph="1">
        <v>233</v>
      </c>
      <c r="AO85" s="64" t="s" ph="1">
        <v>263</v>
      </c>
      <c r="AP85" s="64" t="s" ph="1">
        <v>414</v>
      </c>
      <c r="AQ85" s="64" t="s" ph="1">
        <v>229</v>
      </c>
      <c r="AR85" s="64" t="s" ph="1">
        <v>263</v>
      </c>
      <c r="AS85" s="64" t="s" ph="1">
        <v>415</v>
      </c>
      <c r="AT85" s="64" t="s" ph="1">
        <v>229</v>
      </c>
      <c r="AU85" s="64" t="s" ph="1">
        <v>263</v>
      </c>
    </row>
    <row r="86" spans="34:52" ph="1">
      <c r="AJ86" s="64" t="s" ph="1">
        <v>416</v>
      </c>
      <c r="AK86" s="64" t="s" ph="1">
        <v>235</v>
      </c>
      <c r="AM86" s="64" t="s" ph="1">
        <v>417</v>
      </c>
      <c r="AN86" s="64" t="s" ph="1">
        <v>276</v>
      </c>
      <c r="AO86" s="64" t="s" ph="1">
        <v>263</v>
      </c>
      <c r="AP86" s="64" t="s" ph="1">
        <v>418</v>
      </c>
      <c r="AQ86" s="64" t="s" ph="1">
        <v>223</v>
      </c>
      <c r="AR86" s="64" t="s" ph="1">
        <v>263</v>
      </c>
      <c r="AS86" s="64" t="s" ph="1">
        <v>419</v>
      </c>
      <c r="AT86" s="64" t="s" ph="1">
        <v>241</v>
      </c>
      <c r="AU86" s="64" t="s" ph="1">
        <v>263</v>
      </c>
    </row>
    <row r="87" spans="34:52" ph="1">
      <c r="AJ87" s="64" t="s" ph="1">
        <v>420</v>
      </c>
      <c r="AK87" s="64" t="s" ph="1">
        <v>276</v>
      </c>
      <c r="AM87" s="64" t="s" ph="1">
        <v>407</v>
      </c>
      <c r="AN87" s="64" t="s" ph="1">
        <v>421</v>
      </c>
      <c r="AO87" s="64" t="s" ph="1">
        <v>404</v>
      </c>
    </row>
    <row r="88" spans="34:52" ph="1">
      <c r="AH88" s="64" ph="1">
        <v>5</v>
      </c>
      <c r="AI88" s="64" t="s" ph="1">
        <v>293</v>
      </c>
      <c r="AJ88" s="64" t="s" ph="1">
        <v>422</v>
      </c>
      <c r="AK88" s="64" t="s" ph="1">
        <v>276</v>
      </c>
      <c r="AM88" s="64" t="s" ph="1">
        <v>423</v>
      </c>
      <c r="AN88" s="64" t="s" ph="1">
        <v>276</v>
      </c>
      <c r="AO88" s="64" t="s" ph="1">
        <v>263</v>
      </c>
      <c r="AP88" s="64" t="s" ph="1">
        <v>424</v>
      </c>
      <c r="AQ88" s="64" t="s" ph="1">
        <v>226</v>
      </c>
      <c r="AR88" s="64" t="s" ph="1">
        <v>263</v>
      </c>
      <c r="AS88" s="64" t="s" ph="1">
        <v>425</v>
      </c>
      <c r="AT88" s="64" t="s" ph="1">
        <v>276</v>
      </c>
      <c r="AU88" s="64" t="s" ph="1">
        <v>263</v>
      </c>
      <c r="AV88" s="64" t="s" ph="1">
        <v>426</v>
      </c>
      <c r="AW88" s="64" t="s" ph="1">
        <v>231</v>
      </c>
      <c r="AX88" s="64" t="s" ph="1">
        <v>263</v>
      </c>
      <c r="AY88" s="64" t="s" ph="1">
        <v>220</v>
      </c>
      <c r="AZ88" s="64" t="s" ph="1">
        <v>427</v>
      </c>
    </row>
    <row r="89" spans="34:52" ph="1">
      <c r="AJ89" s="64" t="s" ph="1">
        <v>428</v>
      </c>
      <c r="AK89" s="64" t="s" ph="1">
        <v>229</v>
      </c>
      <c r="AM89" s="64" t="s" ph="1">
        <v>429</v>
      </c>
      <c r="AN89" s="64" t="s" ph="1">
        <v>232</v>
      </c>
      <c r="AO89" s="64" t="s" ph="1">
        <v>263</v>
      </c>
      <c r="AP89" s="64" t="s" ph="1">
        <v>430</v>
      </c>
      <c r="AQ89" s="64" t="s" ph="1">
        <v>241</v>
      </c>
      <c r="AR89" s="64" t="s" ph="1">
        <v>263</v>
      </c>
      <c r="AS89" s="64" t="s" ph="1">
        <v>431</v>
      </c>
      <c r="AT89" s="64" t="s" ph="1">
        <v>276</v>
      </c>
      <c r="AU89" s="64" t="s" ph="1">
        <v>263</v>
      </c>
      <c r="AV89" s="64" t="s" ph="1">
        <v>432</v>
      </c>
      <c r="AW89" s="64" t="s" ph="1">
        <v>258</v>
      </c>
      <c r="AX89" s="64" t="s" ph="1">
        <v>291</v>
      </c>
    </row>
    <row r="90" spans="34:52" ph="1">
      <c r="AJ90" s="64" t="s" ph="1">
        <v>433</v>
      </c>
      <c r="AK90" s="64" t="s" ph="1">
        <v>232</v>
      </c>
      <c r="AM90" s="64" t="s" ph="1">
        <v>434</v>
      </c>
      <c r="AN90" s="64" t="s" ph="1">
        <v>229</v>
      </c>
      <c r="AO90" s="64" t="s" ph="1">
        <v>263</v>
      </c>
      <c r="AP90" s="64" t="s" ph="1">
        <v>435</v>
      </c>
      <c r="AQ90" s="64" t="s" ph="1">
        <v>298</v>
      </c>
      <c r="AR90" s="64" t="s" ph="1">
        <v>263</v>
      </c>
      <c r="AS90" s="64" t="s" ph="1">
        <v>436</v>
      </c>
      <c r="AT90" s="64" t="s" ph="1">
        <v>286</v>
      </c>
      <c r="AU90" s="64" t="s" ph="1">
        <v>263</v>
      </c>
      <c r="AV90" s="64" t="s" ph="1">
        <v>437</v>
      </c>
      <c r="AW90" s="64" t="s" ph="1">
        <v>223</v>
      </c>
      <c r="AX90" s="64" t="s" ph="1">
        <v>263</v>
      </c>
    </row>
    <row r="91" spans="34:52" ph="1">
      <c r="AJ91" s="64" t="s" ph="1">
        <v>438</v>
      </c>
      <c r="AK91" s="64" t="s" ph="1">
        <v>276</v>
      </c>
      <c r="AM91" s="64" t="s" ph="1">
        <v>439</v>
      </c>
      <c r="AN91" s="64" t="s" ph="1">
        <v>243</v>
      </c>
      <c r="AO91" s="64" t="s" ph="1">
        <v>263</v>
      </c>
      <c r="AP91" s="64" t="s" ph="1">
        <v>440</v>
      </c>
      <c r="AQ91" s="64" t="s" ph="1">
        <v>223</v>
      </c>
      <c r="AS91" s="64" t="s" ph="1">
        <v>407</v>
      </c>
      <c r="AT91" s="64" t="s" ph="1">
        <v>403</v>
      </c>
      <c r="AU91" s="64" t="s" ph="1">
        <v>404</v>
      </c>
    </row>
    <row r="92" spans="34:52" ph="1">
      <c r="AH92" s="64" ph="1">
        <v>6</v>
      </c>
      <c r="AI92" s="64" t="s" ph="1">
        <v>441</v>
      </c>
      <c r="AJ92" s="64" t="s" ph="1">
        <v>442</v>
      </c>
      <c r="AK92" s="64" t="s" ph="1">
        <v>371</v>
      </c>
      <c r="AM92" s="64" t="s" ph="1">
        <v>443</v>
      </c>
      <c r="AN92" s="64" t="s" ph="1">
        <v>231</v>
      </c>
      <c r="AO92" s="64" t="s" ph="1">
        <v>263</v>
      </c>
      <c r="AP92" s="64" t="s" ph="1">
        <v>444</v>
      </c>
      <c r="AQ92" s="64" t="s" ph="1">
        <v>303</v>
      </c>
      <c r="AR92" s="64" t="s" ph="1">
        <v>263</v>
      </c>
      <c r="AS92" s="64" t="s" ph="1">
        <v>445</v>
      </c>
      <c r="AT92" s="64" t="s" ph="1">
        <v>276</v>
      </c>
      <c r="AU92" s="64" t="s" ph="1">
        <v>263</v>
      </c>
      <c r="AV92" s="64" t="s" ph="1">
        <v>446</v>
      </c>
      <c r="AW92" s="64" t="s" ph="1">
        <v>232</v>
      </c>
      <c r="AX92" s="64" t="s" ph="1">
        <v>263</v>
      </c>
      <c r="AY92" s="64" t="s" ph="1">
        <v>220</v>
      </c>
      <c r="AZ92" s="64" t="s" ph="1">
        <v>427</v>
      </c>
    </row>
    <row r="93" spans="34:52" ph="1">
      <c r="AJ93" s="64" t="s" ph="1">
        <v>447</v>
      </c>
      <c r="AK93" s="64" t="s" ph="1">
        <v>226</v>
      </c>
      <c r="AM93" s="64" t="s" ph="1">
        <v>448</v>
      </c>
      <c r="AN93" s="64" t="s" ph="1">
        <v>231</v>
      </c>
      <c r="AO93" s="64" t="s" ph="1">
        <v>263</v>
      </c>
      <c r="AP93" s="64" t="s" ph="1">
        <v>449</v>
      </c>
      <c r="AQ93" s="64" t="s" ph="1">
        <v>235</v>
      </c>
      <c r="AR93" s="64" t="s" ph="1">
        <v>263</v>
      </c>
      <c r="AS93" s="64" t="s" ph="1">
        <v>450</v>
      </c>
      <c r="AT93" s="64" t="s" ph="1">
        <v>241</v>
      </c>
      <c r="AU93" s="64" t="s" ph="1">
        <v>263</v>
      </c>
      <c r="AV93" s="64" t="s" ph="1">
        <v>451</v>
      </c>
      <c r="AW93" s="64" t="s" ph="1">
        <v>235</v>
      </c>
      <c r="AX93" s="64" t="s" ph="1">
        <v>263</v>
      </c>
    </row>
    <row r="94" spans="34:52" ph="1">
      <c r="AJ94" s="64" t="s" ph="1">
        <v>452</v>
      </c>
      <c r="AK94" s="64" t="s" ph="1">
        <v>298</v>
      </c>
      <c r="AM94" s="64" t="s" ph="1">
        <v>453</v>
      </c>
      <c r="AN94" s="64" t="s" ph="1">
        <v>235</v>
      </c>
      <c r="AO94" s="64" t="s" ph="1">
        <v>263</v>
      </c>
      <c r="AP94" s="64" t="s" ph="1">
        <v>454</v>
      </c>
      <c r="AQ94" s="64" t="s" ph="1">
        <v>243</v>
      </c>
      <c r="AR94" s="64" t="s" ph="1">
        <v>263</v>
      </c>
      <c r="AS94" s="64" t="s" ph="1">
        <v>455</v>
      </c>
      <c r="AT94" s="64" t="s" ph="1">
        <v>229</v>
      </c>
      <c r="AU94" s="64" t="s" ph="1">
        <v>263</v>
      </c>
      <c r="AV94" s="64" t="s" ph="1">
        <v>456</v>
      </c>
      <c r="AW94" s="64" t="s" ph="1">
        <v>229</v>
      </c>
      <c r="AX94" s="64" t="s" ph="1">
        <v>263</v>
      </c>
    </row>
    <row r="95" spans="34:52" ph="1">
      <c r="AJ95" s="64" t="s" ph="1">
        <v>457</v>
      </c>
      <c r="AK95" s="64" t="s" ph="1">
        <v>303</v>
      </c>
    </row>
    <row r="96" spans="34:52" ph="1">
      <c r="AH96" s="64" ph="1">
        <v>7</v>
      </c>
      <c r="AI96" s="64" t="s" ph="1">
        <v>458</v>
      </c>
      <c r="AJ96" s="64" t="s" ph="1">
        <v>457</v>
      </c>
      <c r="AK96" s="64" t="s" ph="1">
        <v>258</v>
      </c>
      <c r="AM96" s="64" t="s" ph="1">
        <v>459</v>
      </c>
      <c r="AN96" s="64" t="s" ph="1">
        <v>232</v>
      </c>
      <c r="AO96" s="64" t="s" ph="1">
        <v>263</v>
      </c>
      <c r="AP96" s="64" t="s" ph="1">
        <v>460</v>
      </c>
      <c r="AQ96" s="64" t="s" ph="1">
        <v>276</v>
      </c>
      <c r="AR96" s="64" t="s" ph="1">
        <v>291</v>
      </c>
      <c r="AS96" s="64" t="s" ph="1">
        <v>461</v>
      </c>
      <c r="AT96" s="64" t="s" ph="1">
        <v>235</v>
      </c>
      <c r="AU96" s="64" t="s" ph="1">
        <v>291</v>
      </c>
      <c r="AV96" s="64" t="s" ph="1">
        <v>462</v>
      </c>
      <c r="AW96" s="64" t="s" ph="1">
        <v>231</v>
      </c>
      <c r="AX96" s="64" t="s" ph="1">
        <v>291</v>
      </c>
      <c r="AY96" s="64" t="s" ph="1">
        <v>220</v>
      </c>
      <c r="AZ96" s="64" t="s" ph="1">
        <v>463</v>
      </c>
    </row>
    <row r="97" spans="33:52" ph="1">
      <c r="AJ97" s="64" t="s" ph="1">
        <v>464</v>
      </c>
      <c r="AK97" s="64" t="s" ph="1">
        <v>286</v>
      </c>
      <c r="AM97" s="64" t="s" ph="1">
        <v>465</v>
      </c>
      <c r="AN97" s="64" t="s" ph="1">
        <v>229</v>
      </c>
      <c r="AO97" s="64" t="s" ph="1">
        <v>263</v>
      </c>
      <c r="AP97" s="64" t="s" ph="1">
        <v>466</v>
      </c>
      <c r="AQ97" s="64" t="s" ph="1">
        <v>223</v>
      </c>
      <c r="AR97" s="64" t="s" ph="1">
        <v>291</v>
      </c>
      <c r="AS97" s="64" t="s" ph="1">
        <v>467</v>
      </c>
      <c r="AT97" s="64" t="s" ph="1">
        <v>226</v>
      </c>
      <c r="AU97" s="64" t="s" ph="1">
        <v>291</v>
      </c>
      <c r="AV97" s="64" t="s" ph="1">
        <v>468</v>
      </c>
      <c r="AW97" s="64" t="s" ph="1">
        <v>232</v>
      </c>
      <c r="AX97" s="64" t="s" ph="1">
        <v>291</v>
      </c>
    </row>
    <row r="98" spans="33:52" ph="1">
      <c r="AJ98" s="64" t="s" ph="1">
        <v>469</v>
      </c>
      <c r="AK98" s="64" t="s" ph="1">
        <v>235</v>
      </c>
      <c r="AM98" s="64" t="s" ph="1">
        <v>470</v>
      </c>
      <c r="AN98" s="64" t="s" ph="1">
        <v>243</v>
      </c>
      <c r="AO98" s="64" t="s" ph="1">
        <v>263</v>
      </c>
      <c r="AP98" s="64" t="s" ph="1">
        <v>471</v>
      </c>
      <c r="AQ98" s="64" t="s" ph="1">
        <v>223</v>
      </c>
      <c r="AR98" s="64" t="s" ph="1">
        <v>291</v>
      </c>
      <c r="AS98" s="64" t="s" ph="1">
        <v>472</v>
      </c>
      <c r="AT98" s="64" t="s" ph="1">
        <v>303</v>
      </c>
      <c r="AU98" s="64" t="s" ph="1">
        <v>291</v>
      </c>
      <c r="AV98" s="64" t="s" ph="1">
        <v>473</v>
      </c>
      <c r="AW98" s="64" t="s" ph="1">
        <v>226</v>
      </c>
      <c r="AX98" s="64" t="s" ph="1">
        <v>291</v>
      </c>
    </row>
    <row r="99" spans="33:52" ph="1">
      <c r="AH99" s="64" ph="1">
        <v>8</v>
      </c>
      <c r="AI99" s="64" t="s" ph="1">
        <v>474</v>
      </c>
      <c r="AJ99" s="64" t="s" ph="1">
        <v>475</v>
      </c>
      <c r="AK99" s="64" t="s" ph="1">
        <v>371</v>
      </c>
      <c r="AM99" s="64" t="s" ph="1">
        <v>476</v>
      </c>
      <c r="AN99" s="64" t="s" ph="1">
        <v>258</v>
      </c>
      <c r="AO99" s="64" t="s" ph="1">
        <v>263</v>
      </c>
      <c r="AP99" s="64" t="s" ph="1">
        <v>477</v>
      </c>
      <c r="AQ99" s="64" t="s" ph="1">
        <v>228</v>
      </c>
      <c r="AR99" s="64" t="s" ph="1">
        <v>291</v>
      </c>
      <c r="AS99" s="64" t="s" ph="1">
        <v>478</v>
      </c>
      <c r="AT99" s="64" t="s" ph="1">
        <v>243</v>
      </c>
      <c r="AU99" s="64" t="s" ph="1">
        <v>291</v>
      </c>
      <c r="AV99" s="64" t="s" ph="1">
        <v>479</v>
      </c>
      <c r="AW99" s="64" t="s" ph="1">
        <v>228</v>
      </c>
      <c r="AX99" s="64" t="s" ph="1">
        <v>291</v>
      </c>
      <c r="AY99" s="64" t="s" ph="1">
        <v>220</v>
      </c>
      <c r="AZ99" s="64" t="s" ph="1">
        <v>480</v>
      </c>
    </row>
    <row r="100" spans="33:52" ph="1">
      <c r="AJ100" s="64" t="s" ph="1">
        <v>481</v>
      </c>
      <c r="AK100" s="64" t="s" ph="1">
        <v>226</v>
      </c>
      <c r="AM100" s="64" t="s" ph="1">
        <v>482</v>
      </c>
      <c r="AN100" s="64" t="s" ph="1">
        <v>298</v>
      </c>
      <c r="AO100" s="64" t="s" ph="1">
        <v>263</v>
      </c>
      <c r="AP100" s="64" t="s" ph="1">
        <v>483</v>
      </c>
      <c r="AQ100" s="64" t="s" ph="1">
        <v>304</v>
      </c>
      <c r="AR100" s="64" t="s" ph="1">
        <v>291</v>
      </c>
      <c r="AS100" s="64" t="s" ph="1">
        <v>484</v>
      </c>
      <c r="AT100" s="64" t="s" ph="1">
        <v>371</v>
      </c>
      <c r="AU100" s="64" t="s" ph="1">
        <v>263</v>
      </c>
      <c r="AV100" s="64" t="s" ph="1">
        <v>485</v>
      </c>
      <c r="AW100" s="64" t="s" ph="1">
        <v>371</v>
      </c>
      <c r="AX100" s="64" t="s" ph="1">
        <v>263</v>
      </c>
    </row>
    <row r="101" spans="33:52" ph="1">
      <c r="AJ101" s="64" t="s" ph="1">
        <v>486</v>
      </c>
      <c r="AK101" s="64" t="s" ph="1">
        <v>371</v>
      </c>
      <c r="AM101" s="64" t="s" ph="1">
        <v>487</v>
      </c>
      <c r="AN101" s="64" t="s" ph="1">
        <v>229</v>
      </c>
      <c r="AO101" s="64" t="s" ph="1">
        <v>263</v>
      </c>
      <c r="AP101" s="64" t="s" ph="1">
        <v>488</v>
      </c>
      <c r="AQ101" s="64" t="s" ph="1">
        <v>241</v>
      </c>
      <c r="AR101" s="64" t="s" ph="1">
        <v>291</v>
      </c>
      <c r="AS101" s="64" t="s" ph="1">
        <v>489</v>
      </c>
      <c r="AT101" s="64" t="s" ph="1">
        <v>298</v>
      </c>
      <c r="AU101" s="64" t="s" ph="1">
        <v>291</v>
      </c>
      <c r="AV101" s="64" t="s" ph="1">
        <v>490</v>
      </c>
      <c r="AW101" s="64" t="s" ph="1">
        <v>229</v>
      </c>
      <c r="AX101" s="64" t="s" ph="1">
        <v>263</v>
      </c>
    </row>
    <row r="102" spans="33:52" ph="1">
      <c r="AJ102" s="64" t="s" ph="1">
        <v>491</v>
      </c>
      <c r="AK102" s="64" t="s" ph="1">
        <v>226</v>
      </c>
      <c r="AM102" s="64" t="s" ph="1">
        <v>492</v>
      </c>
      <c r="AN102" s="64" t="s" ph="1">
        <v>235</v>
      </c>
      <c r="AO102" s="64" t="s" ph="1">
        <v>263</v>
      </c>
      <c r="AP102" s="64" t="s" ph="1">
        <v>493</v>
      </c>
      <c r="AQ102" s="64" t="s" ph="1">
        <v>241</v>
      </c>
      <c r="AR102" s="64" t="s" ph="1">
        <v>263</v>
      </c>
      <c r="AS102" s="64" t="s" ph="1">
        <v>494</v>
      </c>
      <c r="AT102" s="64" t="s" ph="1">
        <v>258</v>
      </c>
      <c r="AU102" s="64" t="s" ph="1">
        <v>263</v>
      </c>
      <c r="AV102" s="64" t="s" ph="1">
        <v>495</v>
      </c>
      <c r="AW102" s="64" t="s" ph="1">
        <v>276</v>
      </c>
      <c r="AX102" s="64" t="s" ph="1">
        <v>263</v>
      </c>
    </row>
    <row r="103" spans="33:52" ph="1">
      <c r="AH103" s="64" ph="1">
        <v>9</v>
      </c>
      <c r="AI103" s="64" t="s" ph="1">
        <v>496</v>
      </c>
      <c r="AJ103" s="64" t="s" ph="1">
        <v>497</v>
      </c>
      <c r="AK103" s="64" t="s" ph="1">
        <v>371</v>
      </c>
      <c r="AM103" s="64" t="s" ph="1">
        <v>498</v>
      </c>
      <c r="AN103" s="64" t="s" ph="1">
        <v>286</v>
      </c>
      <c r="AO103" s="64" t="s" ph="1">
        <v>263</v>
      </c>
      <c r="AP103" s="64" t="s" ph="1">
        <v>340</v>
      </c>
      <c r="AQ103" s="64" t="s" ph="1">
        <v>229</v>
      </c>
      <c r="AR103" s="64" t="s" ph="1">
        <v>263</v>
      </c>
      <c r="AS103" s="64" t="s" ph="1">
        <v>574</v>
      </c>
      <c r="AT103" s="64" t="s" ph="1">
        <v>371</v>
      </c>
      <c r="AU103" s="64" t="s" ph="1">
        <v>263</v>
      </c>
      <c r="AY103" s="64" t="s" ph="1">
        <v>220</v>
      </c>
      <c r="AZ103" s="64" t="s" ph="1">
        <v>228</v>
      </c>
    </row>
    <row r="104" spans="33:52" ph="1">
      <c r="AZ104" s="64" t="s" ph="1">
        <v>499</v>
      </c>
    </row>
    <row r="105" spans="33:52" ph="1">
      <c r="AG105" s="64" t="s" ph="1">
        <v>299</v>
      </c>
      <c r="AI105" s="64" t="s" ph="1">
        <v>213</v>
      </c>
      <c r="AJ105" s="64" t="s" ph="1">
        <v>214</v>
      </c>
      <c r="AK105" s="64" t="s" ph="1">
        <v>215</v>
      </c>
      <c r="AM105" s="64" t="s" ph="1">
        <v>214</v>
      </c>
      <c r="AN105" s="64" t="s" ph="1">
        <v>215</v>
      </c>
      <c r="AO105" s="64" t="s" ph="1">
        <v>216</v>
      </c>
      <c r="AP105" s="64" t="s" ph="1">
        <v>214</v>
      </c>
      <c r="AQ105" s="64" t="s" ph="1">
        <v>215</v>
      </c>
      <c r="AR105" s="64" t="s" ph="1">
        <v>216</v>
      </c>
      <c r="AS105" s="64" t="s" ph="1">
        <v>214</v>
      </c>
      <c r="AT105" s="64" t="s" ph="1">
        <v>215</v>
      </c>
      <c r="AU105" s="64" t="s" ph="1">
        <v>216</v>
      </c>
      <c r="AV105" s="64" t="s" ph="1">
        <v>214</v>
      </c>
      <c r="AW105" s="64" t="s" ph="1">
        <v>215</v>
      </c>
      <c r="AX105" s="64" t="s" ph="1">
        <v>216</v>
      </c>
      <c r="AZ105" s="64" t="s" ph="1">
        <v>217</v>
      </c>
    </row>
    <row r="106" spans="33:52" ph="1">
      <c r="AH106" s="64" ph="1">
        <v>1</v>
      </c>
      <c r="AI106" s="64" t="s" ph="1">
        <v>500</v>
      </c>
      <c r="AJ106" s="64" t="s" ph="1">
        <v>574</v>
      </c>
      <c r="AK106" s="64" t="s" ph="1">
        <v>235</v>
      </c>
      <c r="AZ106" s="64" t="s" ph="1">
        <v>235</v>
      </c>
    </row>
    <row r="107" spans="33:52" ph="1">
      <c r="AH107" s="64" ph="1">
        <v>2</v>
      </c>
      <c r="AI107" s="64" t="s" ph="1">
        <v>501</v>
      </c>
      <c r="AJ107" s="64" t="s" ph="1">
        <v>502</v>
      </c>
      <c r="AK107" s="64" t="s" ph="1">
        <v>232</v>
      </c>
      <c r="AM107" s="64" t="s" ph="1">
        <v>338</v>
      </c>
      <c r="AN107" s="64" t="s" ph="1">
        <v>503</v>
      </c>
      <c r="AO107" s="64" t="s" ph="1">
        <v>504</v>
      </c>
      <c r="AP107" s="64" t="s" ph="1">
        <v>340</v>
      </c>
      <c r="AQ107" s="64" t="s" ph="1">
        <v>308</v>
      </c>
      <c r="AR107" s="64" t="s" ph="1">
        <v>504</v>
      </c>
      <c r="AS107" s="64" t="s" ph="1">
        <v>574</v>
      </c>
      <c r="AT107" s="64" t="s" ph="1">
        <v>503</v>
      </c>
      <c r="AU107" s="64" t="s" ph="1">
        <v>504</v>
      </c>
      <c r="AY107" s="64" t="s" ph="1">
        <v>220</v>
      </c>
      <c r="AZ107" s="64" t="s" ph="1">
        <v>584</v>
      </c>
    </row>
    <row r="108" spans="33:52" ph="1">
      <c r="AH108" s="64" ph="1">
        <v>3</v>
      </c>
      <c r="AI108" s="64" t="s" ph="1">
        <v>505</v>
      </c>
      <c r="AY108" s="64" t="s" ph="1">
        <v>220</v>
      </c>
      <c r="AZ108" s="64" t="s" ph="1">
        <v>371</v>
      </c>
    </row>
    <row r="109" spans="33:52" ph="1">
      <c r="AH109" s="64" ph="1">
        <v>4</v>
      </c>
      <c r="AI109" s="64" t="s" ph="1">
        <v>506</v>
      </c>
      <c r="AY109" s="64" t="s" ph="1">
        <v>220</v>
      </c>
      <c r="AZ109" s="64" t="s" ph="1">
        <v>371</v>
      </c>
    </row>
    <row r="110" spans="33:52" ph="1">
      <c r="AH110" s="64" ph="1">
        <v>5</v>
      </c>
      <c r="AI110" s="64" t="s" ph="1">
        <v>507</v>
      </c>
      <c r="AY110" s="64" t="s" ph="1">
        <v>220</v>
      </c>
      <c r="AZ110" s="64" t="s" ph="1">
        <v>371</v>
      </c>
    </row>
    <row r="111" spans="33:52" ph="1">
      <c r="AH111" s="64" ph="1">
        <v>6</v>
      </c>
      <c r="AI111" s="64" t="s" ph="1">
        <v>585</v>
      </c>
      <c r="AJ111" s="64" t="s" ph="1">
        <v>490</v>
      </c>
      <c r="AK111" s="64" t="s" ph="1">
        <v>229</v>
      </c>
      <c r="AM111" s="64" t="s" ph="1">
        <v>491</v>
      </c>
      <c r="AN111" s="64" t="s" ph="1">
        <v>223</v>
      </c>
      <c r="AO111" s="64" t="s" ph="1">
        <v>504</v>
      </c>
      <c r="AP111" s="64" t="s" ph="1">
        <v>492</v>
      </c>
      <c r="AQ111" s="64" t="s" ph="1">
        <v>232</v>
      </c>
      <c r="AR111" s="64" t="s" ph="1">
        <v>504</v>
      </c>
      <c r="AS111" s="64" t="s" ph="1">
        <v>493</v>
      </c>
      <c r="AT111" s="64" t="s" ph="1">
        <v>241</v>
      </c>
      <c r="AU111" s="64" t="s" ph="1">
        <v>504</v>
      </c>
      <c r="AV111" s="64" t="s" ph="1">
        <v>494</v>
      </c>
      <c r="AW111" s="64" t="s" ph="1">
        <v>231</v>
      </c>
      <c r="AX111" s="64" t="s" ph="1">
        <v>504</v>
      </c>
      <c r="AY111" s="64" t="s" ph="1">
        <v>220</v>
      </c>
      <c r="AZ111" s="64" t="s" ph="1">
        <v>508</v>
      </c>
    </row>
    <row r="112" spans="33:52" ph="1">
      <c r="AJ112" s="64" t="s" ph="1">
        <v>495</v>
      </c>
      <c r="AK112" s="64" t="s" ph="1">
        <v>276</v>
      </c>
      <c r="AM112" s="64" t="s" ph="1">
        <v>497</v>
      </c>
      <c r="AN112" s="64" t="s" ph="1">
        <v>300</v>
      </c>
      <c r="AO112" s="64" t="s" ph="1">
        <v>504</v>
      </c>
      <c r="AP112" s="64" t="s" ph="1">
        <v>498</v>
      </c>
      <c r="AQ112" s="64" t="s" ph="1">
        <v>509</v>
      </c>
      <c r="AR112" s="64" t="s" ph="1">
        <v>504</v>
      </c>
      <c r="AS112" s="64" t="s" ph="1">
        <v>510</v>
      </c>
      <c r="AT112" s="64" t="s" ph="1">
        <v>252</v>
      </c>
      <c r="AU112" s="64" t="s" ph="1">
        <v>504</v>
      </c>
      <c r="AV112" s="64" t="s" ph="1">
        <v>511</v>
      </c>
      <c r="AW112" s="64" t="s" ph="1">
        <v>298</v>
      </c>
      <c r="AX112" s="64" t="s" ph="1">
        <v>504</v>
      </c>
    </row>
    <row r="113" spans="33:52" ph="1">
      <c r="AH113" s="64" ph="1">
        <v>7</v>
      </c>
      <c r="AI113" s="64" t="s" ph="1">
        <v>512</v>
      </c>
      <c r="AJ113" s="64" t="s" ph="1">
        <v>593</v>
      </c>
      <c r="AK113" s="64" t="s" ph="1">
        <v>598</v>
      </c>
      <c r="AY113" s="64" t="s" ph="1">
        <v>220</v>
      </c>
      <c r="AZ113" s="64" t="s" ph="1">
        <v>598</v>
      </c>
    </row>
    <row r="114" spans="33:52" ph="1">
      <c r="AH114" s="64" ph="1">
        <v>8</v>
      </c>
      <c r="AI114" s="64" t="s" ph="1">
        <v>513</v>
      </c>
      <c r="AJ114" s="64" t="s" ph="1">
        <v>593</v>
      </c>
      <c r="AK114" s="64" t="s" ph="1">
        <v>599</v>
      </c>
      <c r="AY114" s="64" t="s" ph="1">
        <v>220</v>
      </c>
      <c r="AZ114" s="64" t="s" ph="1">
        <v>599</v>
      </c>
    </row>
    <row r="115" spans="33:52" ph="1">
      <c r="AH115" s="64" ph="1">
        <v>9</v>
      </c>
      <c r="AI115" s="64" t="s" ph="1">
        <v>514</v>
      </c>
      <c r="AJ115" s="64" t="s" ph="1">
        <v>593</v>
      </c>
      <c r="AK115" s="64" t="s" ph="1">
        <v>599</v>
      </c>
      <c r="AY115" s="64" t="s" ph="1">
        <v>220</v>
      </c>
      <c r="AZ115" s="64" t="s" ph="1">
        <v>599</v>
      </c>
    </row>
    <row r="116" spans="33:52" ph="1">
      <c r="AH116" s="64" ph="1">
        <v>10</v>
      </c>
      <c r="AI116" s="64" t="s" ph="1">
        <v>515</v>
      </c>
      <c r="AJ116" s="64" t="s" ph="1">
        <v>593</v>
      </c>
      <c r="AK116" s="64" t="s" ph="1">
        <v>599</v>
      </c>
      <c r="AY116" s="64" t="s" ph="1">
        <v>220</v>
      </c>
      <c r="AZ116" s="64" t="s" ph="1">
        <v>599</v>
      </c>
    </row>
    <row r="117" spans="33:52" ph="1">
      <c r="AH117" s="64" ph="1">
        <v>11</v>
      </c>
      <c r="AI117" s="64" t="s" ph="1">
        <v>516</v>
      </c>
      <c r="AJ117" s="64" t="s" ph="1">
        <v>593</v>
      </c>
      <c r="AK117" s="64" t="s" ph="1">
        <v>599</v>
      </c>
      <c r="AY117" s="64" t="s" ph="1">
        <v>220</v>
      </c>
      <c r="AZ117" s="64" t="s" ph="1">
        <v>599</v>
      </c>
    </row>
    <row r="118" spans="33:52" ph="1">
      <c r="AZ118" s="64" t="s" ph="1">
        <v>600</v>
      </c>
    </row>
    <row r="119" spans="33:52" ph="1">
      <c r="AI119" s="64" t="s" ph="1">
        <v>213</v>
      </c>
      <c r="AJ119" s="64" t="s" ph="1">
        <v>214</v>
      </c>
      <c r="AK119" s="64" t="s" ph="1">
        <v>215</v>
      </c>
      <c r="AM119" s="64" t="s" ph="1">
        <v>214</v>
      </c>
      <c r="AN119" s="64" t="s" ph="1">
        <v>215</v>
      </c>
      <c r="AO119" s="64" t="s" ph="1">
        <v>216</v>
      </c>
      <c r="AP119" s="64" t="s" ph="1">
        <v>214</v>
      </c>
      <c r="AQ119" s="64" t="s" ph="1">
        <v>215</v>
      </c>
      <c r="AR119" s="64" t="s" ph="1">
        <v>216</v>
      </c>
      <c r="AS119" s="64" t="s" ph="1">
        <v>214</v>
      </c>
      <c r="AT119" s="64" t="s" ph="1">
        <v>215</v>
      </c>
      <c r="AU119" s="64" t="s" ph="1">
        <v>216</v>
      </c>
      <c r="AV119" s="64" t="s" ph="1">
        <v>214</v>
      </c>
      <c r="AW119" s="64" t="s" ph="1">
        <v>215</v>
      </c>
      <c r="AX119" s="64" t="s" ph="1">
        <v>216</v>
      </c>
      <c r="AY119" s="64" t="s" ph="1">
        <v>215</v>
      </c>
      <c r="AZ119" s="64" t="s" ph="1">
        <v>217</v>
      </c>
    </row>
    <row r="120" spans="33:52" ph="1">
      <c r="AG120" s="64" t="s" ph="1">
        <v>357</v>
      </c>
      <c r="AH120" s="64" ph="1">
        <v>1</v>
      </c>
      <c r="AI120" s="64" t="s" ph="1">
        <v>517</v>
      </c>
      <c r="AJ120" s="64" t="s" ph="1">
        <v>591</v>
      </c>
      <c r="AK120" s="64" t="s" ph="1">
        <v>371</v>
      </c>
      <c r="AY120" s="64" t="s" ph="1">
        <v>220</v>
      </c>
      <c r="AZ120" s="64" t="s" ph="1">
        <v>371</v>
      </c>
    </row>
    <row r="121" spans="33:52" ph="1">
      <c r="AH121" s="64" ph="1">
        <v>2</v>
      </c>
      <c r="AI121" s="64" t="s" ph="1">
        <v>518</v>
      </c>
      <c r="AY121" s="64" t="s" ph="1">
        <v>220</v>
      </c>
      <c r="AZ121" s="64" t="s" ph="1">
        <v>371</v>
      </c>
    </row>
    <row r="122" spans="33:52" ph="1">
      <c r="AH122" s="64" ph="1">
        <v>3</v>
      </c>
      <c r="AI122" s="64" t="s" ph="1">
        <v>519</v>
      </c>
      <c r="AJ122" s="64" t="s" ph="1">
        <v>574</v>
      </c>
      <c r="AK122" s="64" t="s" ph="1">
        <v>586</v>
      </c>
      <c r="AM122" s="64" t="s" ph="1">
        <v>601</v>
      </c>
      <c r="AN122" s="64" t="s" ph="1">
        <v>594</v>
      </c>
      <c r="AO122" s="64" t="s" ph="1">
        <v>92</v>
      </c>
      <c r="AY122" s="64" t="s" ph="1">
        <v>220</v>
      </c>
      <c r="AZ122" s="64" t="s" ph="1">
        <v>583</v>
      </c>
    </row>
    <row r="123" spans="33:52" ph="1">
      <c r="AY123" s="64" t="s" ph="1">
        <v>220</v>
      </c>
      <c r="AZ123" s="64" t="s" ph="1">
        <v>583</v>
      </c>
    </row>
    <row r="124" spans="33:52" ph="1">
      <c r="AG124" s="64" t="s" ph="1">
        <v>360</v>
      </c>
      <c r="AH124" s="64" ph="1">
        <v>4</v>
      </c>
      <c r="AI124" s="64" t="s" ph="1">
        <v>520</v>
      </c>
      <c r="AJ124" s="64" t="s" ph="1">
        <v>521</v>
      </c>
      <c r="AK124" s="64" t="s" ph="1">
        <v>522</v>
      </c>
      <c r="AY124" s="64" t="s" ph="1">
        <v>220</v>
      </c>
      <c r="AZ124" s="64" t="s" ph="1">
        <v>522</v>
      </c>
    </row>
    <row r="125" spans="33:52" ph="1">
      <c r="AH125" s="64" ph="1">
        <v>5</v>
      </c>
      <c r="AI125" s="64" t="s" ph="1">
        <v>523</v>
      </c>
      <c r="AJ125" s="64" t="s" ph="1">
        <v>521</v>
      </c>
      <c r="AK125" s="64" t="s" ph="1">
        <v>522</v>
      </c>
      <c r="AY125" s="64" t="s" ph="1">
        <v>220</v>
      </c>
      <c r="AZ125" s="64" t="s" ph="1">
        <v>522</v>
      </c>
    </row>
    <row r="126" spans="33:52" ph="1">
      <c r="AH126" s="64" ph="1">
        <v>6</v>
      </c>
      <c r="AI126" s="64" t="s" ph="1">
        <v>524</v>
      </c>
      <c r="AJ126" s="64" t="s" ph="1">
        <v>593</v>
      </c>
      <c r="AK126" s="64" t="s" ph="1">
        <v>602</v>
      </c>
      <c r="AY126" s="64" t="s" ph="1">
        <v>220</v>
      </c>
      <c r="AZ126" s="64" t="s" ph="1">
        <v>602</v>
      </c>
    </row>
    <row r="127" spans="33:52" ph="1">
      <c r="AH127" s="64" ph="1">
        <v>7</v>
      </c>
      <c r="AI127" s="64" t="s" ph="1">
        <v>525</v>
      </c>
      <c r="AJ127" s="64" t="s" ph="1">
        <v>593</v>
      </c>
      <c r="AK127" s="64" t="s" ph="1">
        <v>603</v>
      </c>
      <c r="AY127" s="64" t="s" ph="1">
        <v>220</v>
      </c>
      <c r="AZ127" s="64" t="s" ph="1">
        <v>603</v>
      </c>
    </row>
    <row r="128" spans="33:52" ph="1">
      <c r="AH128" s="64" ph="1">
        <v>8</v>
      </c>
      <c r="AI128" s="64" t="s" ph="1">
        <v>526</v>
      </c>
      <c r="AY128" s="64" t="s" ph="1">
        <v>220</v>
      </c>
      <c r="AZ128" s="64" t="s" ph="1">
        <v>371</v>
      </c>
    </row>
    <row r="129" spans="33:52" ph="1">
      <c r="AH129" s="64" ph="1">
        <v>9</v>
      </c>
      <c r="AI129" s="64" t="s" ph="1">
        <v>527</v>
      </c>
      <c r="AY129" s="64" t="s" ph="1">
        <v>220</v>
      </c>
      <c r="AZ129" s="64" t="s" ph="1">
        <v>371</v>
      </c>
    </row>
    <row r="130" spans="33:52" ph="1">
      <c r="AH130" s="64" ph="1">
        <v>10</v>
      </c>
      <c r="AI130" s="64" t="s" ph="1">
        <v>528</v>
      </c>
      <c r="AY130" s="64" t="s" ph="1">
        <v>220</v>
      </c>
      <c r="AZ130" s="64" t="s" ph="1">
        <v>371</v>
      </c>
    </row>
    <row r="131" spans="33:52" ph="1">
      <c r="AH131" s="64" ph="1">
        <v>11</v>
      </c>
      <c r="AI131" s="64" t="s" ph="1">
        <v>529</v>
      </c>
      <c r="AJ131" s="64" t="s" ph="1">
        <v>587</v>
      </c>
      <c r="AK131" s="64" t="s" ph="1">
        <v>583</v>
      </c>
      <c r="AY131" s="64" t="s" ph="1">
        <v>220</v>
      </c>
      <c r="AZ131" s="64" t="s" ph="1">
        <v>583</v>
      </c>
    </row>
    <row r="132" spans="33:52" ph="1">
      <c r="AH132" s="64" ph="1">
        <v>12</v>
      </c>
      <c r="AI132" s="64" t="s" ph="1">
        <v>530</v>
      </c>
      <c r="AJ132" s="64" t="s" ph="1">
        <v>587</v>
      </c>
      <c r="AK132" s="64" t="s" ph="1">
        <v>522</v>
      </c>
      <c r="AY132" s="64" t="s" ph="1">
        <v>220</v>
      </c>
      <c r="AZ132" s="64" t="s" ph="1">
        <v>522</v>
      </c>
    </row>
    <row r="133" spans="33:52" ph="1">
      <c r="AH133" s="64" ph="1">
        <v>13</v>
      </c>
      <c r="AI133" s="64" t="s" ph="1">
        <v>531</v>
      </c>
      <c r="AJ133" s="64" t="s" ph="1">
        <v>587</v>
      </c>
      <c r="AK133" s="64" t="s" ph="1">
        <v>588</v>
      </c>
      <c r="AY133" s="64" t="s" ph="1">
        <v>220</v>
      </c>
      <c r="AZ133" s="64" t="s" ph="1">
        <v>588</v>
      </c>
    </row>
    <row r="134" spans="33:52" ph="1">
      <c r="AH134" s="64" ph="1">
        <v>14</v>
      </c>
      <c r="AI134" s="64" t="s" ph="1">
        <v>532</v>
      </c>
      <c r="AJ134" s="64" t="s" ph="1">
        <v>587</v>
      </c>
      <c r="AK134" s="64" t="s" ph="1">
        <v>589</v>
      </c>
      <c r="AY134" s="64" t="s" ph="1">
        <v>220</v>
      </c>
      <c r="AZ134" s="64" t="s" ph="1">
        <v>589</v>
      </c>
    </row>
    <row r="135" spans="33:52" ph="1">
      <c r="AH135" s="64" ph="1">
        <v>15</v>
      </c>
      <c r="AI135" s="64" t="s" ph="1">
        <v>533</v>
      </c>
      <c r="AJ135" s="64" t="s" ph="1">
        <v>587</v>
      </c>
      <c r="AK135" s="64" t="s" ph="1">
        <v>590</v>
      </c>
      <c r="AY135" s="64" t="s" ph="1">
        <v>220</v>
      </c>
      <c r="AZ135" s="64" t="s" ph="1">
        <v>590</v>
      </c>
    </row>
    <row r="136" spans="33:52" ph="1">
      <c r="AZ136" s="64" t="s" ph="1">
        <v>604</v>
      </c>
    </row>
    <row r="137" spans="33:52" ph="1">
      <c r="AG137" s="64" t="s" ph="1">
        <v>294</v>
      </c>
      <c r="AI137" s="64" t="s" ph="1">
        <v>213</v>
      </c>
      <c r="AJ137" s="64" t="s" ph="1">
        <v>214</v>
      </c>
      <c r="AK137" s="64" t="s" ph="1">
        <v>215</v>
      </c>
      <c r="AM137" s="64" t="s" ph="1">
        <v>214</v>
      </c>
      <c r="AN137" s="64" t="s" ph="1">
        <v>215</v>
      </c>
      <c r="AO137" s="64" t="s" ph="1">
        <v>216</v>
      </c>
      <c r="AP137" s="64" t="s" ph="1">
        <v>214</v>
      </c>
      <c r="AQ137" s="64" t="s" ph="1">
        <v>215</v>
      </c>
      <c r="AR137" s="64" t="s" ph="1">
        <v>216</v>
      </c>
      <c r="AS137" s="64" t="s" ph="1">
        <v>214</v>
      </c>
      <c r="AT137" s="64" t="s" ph="1">
        <v>215</v>
      </c>
      <c r="AU137" s="64" t="s" ph="1">
        <v>216</v>
      </c>
      <c r="AV137" s="64" t="s" ph="1">
        <v>214</v>
      </c>
      <c r="AW137" s="64" t="s" ph="1">
        <v>215</v>
      </c>
      <c r="AX137" s="64" t="s" ph="1">
        <v>216</v>
      </c>
      <c r="AY137" s="64" t="s" ph="1">
        <v>215</v>
      </c>
      <c r="AZ137" s="64" t="s" ph="1">
        <v>217</v>
      </c>
    </row>
    <row r="138" spans="33:52" ph="1">
      <c r="AH138" s="64" ph="1">
        <v>1</v>
      </c>
      <c r="AI138" s="64" t="s" ph="1">
        <v>534</v>
      </c>
      <c r="AJ138" s="64" t="s" ph="1">
        <v>535</v>
      </c>
      <c r="AK138" s="64" t="s" ph="1">
        <v>536</v>
      </c>
      <c r="AY138" s="64" t="s" ph="1">
        <v>220</v>
      </c>
      <c r="AZ138" s="64" t="s" ph="1">
        <v>536</v>
      </c>
    </row>
    <row r="139" spans="33:52" ph="1">
      <c r="AH139" s="64" ph="1">
        <v>2</v>
      </c>
      <c r="AI139" s="64" t="s" ph="1">
        <v>537</v>
      </c>
      <c r="AJ139" s="64" t="s" ph="1">
        <v>593</v>
      </c>
      <c r="AK139" s="64" t="s" ph="1">
        <v>605</v>
      </c>
      <c r="AY139" s="64" t="s" ph="1">
        <v>220</v>
      </c>
      <c r="AZ139" s="64" t="s" ph="1">
        <v>605</v>
      </c>
    </row>
    <row r="140" spans="33:52" ph="1">
      <c r="AH140" s="64" ph="1">
        <v>3</v>
      </c>
      <c r="AI140" s="64" t="s" ph="1">
        <v>538</v>
      </c>
      <c r="AJ140" s="64" t="s" ph="1">
        <v>491</v>
      </c>
      <c r="AK140" s="64" t="s" ph="1">
        <v>303</v>
      </c>
      <c r="AM140" s="64" t="s" ph="1">
        <v>492</v>
      </c>
      <c r="AN140" s="64" t="s" ph="1">
        <v>223</v>
      </c>
      <c r="AO140" s="64" t="s" ph="1">
        <v>539</v>
      </c>
      <c r="AP140" s="64" t="s" ph="1">
        <v>493</v>
      </c>
      <c r="AQ140" s="64" t="s" ph="1">
        <v>240</v>
      </c>
      <c r="AR140" s="64" t="s" ph="1">
        <v>539</v>
      </c>
      <c r="AS140" s="64" t="s" ph="1">
        <v>494</v>
      </c>
      <c r="AT140" s="64" t="s" ph="1">
        <v>233</v>
      </c>
      <c r="AU140" s="64" t="s" ph="1">
        <v>539</v>
      </c>
      <c r="AV140" s="64" t="s" ph="1">
        <v>495</v>
      </c>
      <c r="AW140" s="64" t="s" ph="1">
        <v>226</v>
      </c>
      <c r="AX140" s="64" t="s" ph="1">
        <v>539</v>
      </c>
      <c r="AY140" s="64" t="s" ph="1">
        <v>220</v>
      </c>
      <c r="AZ140" s="64" t="s" ph="1">
        <v>295</v>
      </c>
    </row>
    <row r="141" spans="33:52" ph="1">
      <c r="AJ141" s="64" t="s" ph="1">
        <v>497</v>
      </c>
      <c r="AK141" s="64" t="s" ph="1">
        <v>226</v>
      </c>
      <c r="AM141" s="64" t="s" ph="1">
        <v>498</v>
      </c>
      <c r="AN141" s="64" t="s" ph="1">
        <v>229</v>
      </c>
      <c r="AO141" s="64" t="s" ph="1">
        <v>539</v>
      </c>
      <c r="AP141" s="64" t="s" ph="1">
        <v>510</v>
      </c>
      <c r="AQ141" s="64" t="s" ph="1">
        <v>298</v>
      </c>
      <c r="AR141" s="64" t="s" ph="1">
        <v>539</v>
      </c>
      <c r="AS141" s="64" t="s" ph="1">
        <v>502</v>
      </c>
      <c r="AT141" s="64" t="s" ph="1">
        <v>226</v>
      </c>
      <c r="AU141" s="64" t="s" ph="1">
        <v>539</v>
      </c>
      <c r="AV141" s="64" t="s" ph="1">
        <v>338</v>
      </c>
      <c r="AW141" s="64" t="s" ph="1">
        <v>232</v>
      </c>
      <c r="AX141" s="64" t="s" ph="1">
        <v>539</v>
      </c>
    </row>
    <row r="142" spans="33:52" ph="1">
      <c r="AJ142" s="64" t="s" ph="1">
        <v>540</v>
      </c>
      <c r="AK142" s="64" t="s" ph="1">
        <v>243</v>
      </c>
    </row>
    <row r="143" spans="33:52" ph="1">
      <c r="AH143" s="64" ph="1">
        <v>4</v>
      </c>
      <c r="AI143" s="64" t="s" ph="1">
        <v>541</v>
      </c>
      <c r="AJ143" s="64" t="s" ph="1">
        <v>521</v>
      </c>
      <c r="AK143" s="64" t="s" ph="1">
        <v>542</v>
      </c>
      <c r="AY143" s="64" t="s" ph="1">
        <v>220</v>
      </c>
      <c r="AZ143" s="64" t="s" ph="1">
        <v>542</v>
      </c>
    </row>
    <row r="144" spans="33:52" ph="1">
      <c r="AH144" s="64" ph="1">
        <v>5</v>
      </c>
      <c r="AI144" s="64" t="s" ph="1">
        <v>543</v>
      </c>
      <c r="AY144" s="64" t="s" ph="1">
        <v>220</v>
      </c>
      <c r="AZ144" s="64" t="s" ph="1">
        <v>371</v>
      </c>
    </row>
    <row r="145" spans="33:52" ph="1">
      <c r="AH145" s="64" ph="1">
        <v>6</v>
      </c>
      <c r="AI145" s="64" t="s" ph="1">
        <v>544</v>
      </c>
      <c r="AY145" s="64" t="s" ph="1">
        <v>220</v>
      </c>
      <c r="AZ145" s="64" t="s" ph="1">
        <v>371</v>
      </c>
    </row>
    <row r="146" spans="33:52" ph="1">
      <c r="AH146" s="64" ph="1">
        <v>7</v>
      </c>
      <c r="AI146" s="64" t="s" ph="1">
        <v>545</v>
      </c>
      <c r="AY146" s="64" t="s" ph="1">
        <v>220</v>
      </c>
      <c r="AZ146" s="64" t="s" ph="1">
        <v>371</v>
      </c>
    </row>
    <row r="147" spans="33:52" ph="1">
      <c r="AH147" s="64" ph="1">
        <v>8</v>
      </c>
      <c r="AI147" s="64" t="s" ph="1">
        <v>546</v>
      </c>
      <c r="AY147" s="64" t="s" ph="1">
        <v>220</v>
      </c>
      <c r="AZ147" s="64" t="s" ph="1">
        <v>371</v>
      </c>
    </row>
    <row r="148" spans="33:52" ph="1">
      <c r="AH148" s="64" ph="1">
        <v>9</v>
      </c>
      <c r="AI148" s="64" t="s" ph="1">
        <v>547</v>
      </c>
      <c r="AY148" s="64" t="s" ph="1">
        <v>220</v>
      </c>
      <c r="AZ148" s="64" t="s" ph="1">
        <v>371</v>
      </c>
    </row>
    <row r="149" spans="33:52" ph="1">
      <c r="AH149" s="64" ph="1">
        <v>10</v>
      </c>
      <c r="AI149" s="64" t="s" ph="1">
        <v>548</v>
      </c>
      <c r="AY149" s="64" t="s" ph="1">
        <v>220</v>
      </c>
      <c r="AZ149" s="64" t="s" ph="1">
        <v>371</v>
      </c>
    </row>
    <row r="150" spans="33:52" ph="1">
      <c r="AH150" s="64" ph="1">
        <v>11</v>
      </c>
      <c r="AI150" s="64" t="s" ph="1">
        <v>549</v>
      </c>
      <c r="AY150" s="64" t="s" ph="1">
        <v>220</v>
      </c>
      <c r="AZ150" s="64" t="s" ph="1">
        <v>371</v>
      </c>
    </row>
    <row r="151" spans="33:52" ph="1">
      <c r="AH151" s="64" ph="1">
        <v>12</v>
      </c>
      <c r="AI151" s="64" t="s" ph="1">
        <v>550</v>
      </c>
      <c r="AY151" s="64" t="s" ph="1">
        <v>220</v>
      </c>
      <c r="AZ151" s="64" t="s" ph="1">
        <v>371</v>
      </c>
    </row>
    <row r="152" spans="33:52" ph="1">
      <c r="AH152" s="64" ph="1">
        <v>13</v>
      </c>
      <c r="AI152" s="64" t="s" ph="1">
        <v>551</v>
      </c>
      <c r="AY152" s="64" t="s" ph="1">
        <v>220</v>
      </c>
      <c r="AZ152" s="64" t="s" ph="1">
        <v>371</v>
      </c>
    </row>
    <row r="153" spans="33:52" ph="1">
      <c r="AH153" s="64" ph="1">
        <v>14</v>
      </c>
      <c r="AI153" s="64" t="s" ph="1">
        <v>552</v>
      </c>
      <c r="AY153" s="64" t="s" ph="1">
        <v>220</v>
      </c>
      <c r="AZ153" s="64" t="s" ph="1">
        <v>371</v>
      </c>
    </row>
    <row r="154" spans="33:52" ph="1">
      <c r="AH154" s="64" ph="1">
        <v>15</v>
      </c>
      <c r="AI154" s="64" t="s" ph="1">
        <v>553</v>
      </c>
      <c r="AY154" s="64" t="s" ph="1">
        <v>220</v>
      </c>
      <c r="AZ154" s="64" t="s" ph="1">
        <v>371</v>
      </c>
    </row>
    <row r="155" spans="33:52" ph="1">
      <c r="AH155" s="64" ph="1">
        <v>16</v>
      </c>
      <c r="AI155" s="64" t="s" ph="1">
        <v>554</v>
      </c>
      <c r="AJ155" s="64" t="s" ph="1">
        <v>340</v>
      </c>
      <c r="AK155" s="64" t="s" ph="1">
        <v>235</v>
      </c>
      <c r="AM155" s="64" t="s" ph="1">
        <v>574</v>
      </c>
      <c r="AN155" s="64" t="s" ph="1">
        <v>286</v>
      </c>
      <c r="AO155" s="64" t="s" ph="1">
        <v>539</v>
      </c>
      <c r="AY155" s="64" t="s" ph="1">
        <v>220</v>
      </c>
      <c r="AZ155" s="64" t="s" ph="1">
        <v>227</v>
      </c>
    </row>
    <row r="156" spans="33:52" ph="1">
      <c r="AZ156" s="64" t="s" ph="1">
        <v>606</v>
      </c>
    </row>
    <row r="157" spans="33:52" ph="1">
      <c r="AG157" s="64" t="s" ph="1">
        <v>555</v>
      </c>
      <c r="AI157" s="64" t="s" ph="1">
        <v>213</v>
      </c>
      <c r="AJ157" s="64" t="s" ph="1">
        <v>214</v>
      </c>
      <c r="AK157" s="64" t="s" ph="1">
        <v>215</v>
      </c>
      <c r="AM157" s="64" t="s" ph="1">
        <v>214</v>
      </c>
      <c r="AN157" s="64" t="s" ph="1">
        <v>215</v>
      </c>
      <c r="AO157" s="64" t="s" ph="1">
        <v>216</v>
      </c>
      <c r="AP157" s="64" t="s" ph="1">
        <v>214</v>
      </c>
      <c r="AQ157" s="64" t="s" ph="1">
        <v>215</v>
      </c>
      <c r="AR157" s="64" t="s" ph="1">
        <v>216</v>
      </c>
      <c r="AS157" s="64" t="s" ph="1">
        <v>214</v>
      </c>
      <c r="AT157" s="64" t="s" ph="1">
        <v>215</v>
      </c>
      <c r="AU157" s="64" t="s" ph="1">
        <v>216</v>
      </c>
      <c r="AV157" s="64" t="s" ph="1">
        <v>214</v>
      </c>
      <c r="AW157" s="64" t="s" ph="1">
        <v>215</v>
      </c>
      <c r="AX157" s="64" t="s" ph="1">
        <v>216</v>
      </c>
      <c r="AY157" s="64" t="s" ph="1">
        <v>215</v>
      </c>
      <c r="AZ157" s="64" t="s" ph="1">
        <v>217</v>
      </c>
    </row>
    <row r="158" spans="33:52" ph="1">
      <c r="AH158" s="64" ph="1">
        <v>1</v>
      </c>
      <c r="AI158" s="64" t="s" ph="1">
        <v>556</v>
      </c>
      <c r="AY158" s="64" t="s" ph="1">
        <v>220</v>
      </c>
      <c r="AZ158" s="64" t="s" ph="1">
        <v>371</v>
      </c>
    </row>
    <row r="159" spans="33:52" ph="1">
      <c r="AH159" s="64" ph="1">
        <v>2</v>
      </c>
      <c r="AI159" s="64" t="s" ph="1">
        <v>557</v>
      </c>
      <c r="AY159" s="64" t="s" ph="1">
        <v>220</v>
      </c>
      <c r="AZ159" s="64" t="s" ph="1">
        <v>371</v>
      </c>
    </row>
    <row r="160" spans="33:52" ph="1">
      <c r="AZ160" s="64" t="s" ph="1">
        <v>389</v>
      </c>
    </row>
    <row r="161" spans="33:52" ph="1">
      <c r="AG161" s="64" t="s" ph="1">
        <v>365</v>
      </c>
      <c r="AI161" s="64" t="s" ph="1">
        <v>213</v>
      </c>
      <c r="AJ161" s="64" t="s" ph="1">
        <v>214</v>
      </c>
      <c r="AK161" s="64" t="s" ph="1">
        <v>215</v>
      </c>
      <c r="AM161" s="64" t="s" ph="1">
        <v>214</v>
      </c>
      <c r="AN161" s="64" t="s" ph="1">
        <v>215</v>
      </c>
      <c r="AO161" s="64" t="s" ph="1">
        <v>216</v>
      </c>
      <c r="AP161" s="64" t="s" ph="1">
        <v>214</v>
      </c>
      <c r="AQ161" s="64" t="s" ph="1">
        <v>215</v>
      </c>
      <c r="AR161" s="64" t="s" ph="1">
        <v>216</v>
      </c>
      <c r="AS161" s="64" t="s" ph="1">
        <v>214</v>
      </c>
      <c r="AT161" s="64" t="s" ph="1">
        <v>215</v>
      </c>
      <c r="AU161" s="64" t="s" ph="1">
        <v>216</v>
      </c>
      <c r="AV161" s="64" t="s" ph="1">
        <v>214</v>
      </c>
      <c r="AW161" s="64" t="s" ph="1">
        <v>215</v>
      </c>
      <c r="AX161" s="64" t="s" ph="1">
        <v>216</v>
      </c>
      <c r="AY161" s="64" t="s" ph="1">
        <v>215</v>
      </c>
      <c r="AZ161" s="64" t="s" ph="1">
        <v>217</v>
      </c>
    </row>
    <row r="162" spans="33:52" ph="1">
      <c r="AH162" s="64" ph="1">
        <v>1</v>
      </c>
      <c r="AI162" s="64" t="s" ph="1">
        <v>558</v>
      </c>
      <c r="AJ162" s="64" t="s" ph="1">
        <v>559</v>
      </c>
      <c r="AK162" s="64" t="s" ph="1">
        <v>503</v>
      </c>
      <c r="AM162" s="64" t="s" ph="1">
        <v>560</v>
      </c>
      <c r="AN162" s="64" t="s" ph="1">
        <v>224</v>
      </c>
      <c r="AO162" s="64" t="s" ph="1">
        <v>561</v>
      </c>
      <c r="AY162" s="64" t="s" ph="1">
        <v>220</v>
      </c>
      <c r="AZ162" s="64" t="s" ph="1">
        <v>296</v>
      </c>
    </row>
    <row r="163" spans="33:52" ph="1">
      <c r="AH163" s="64" ph="1">
        <v>2</v>
      </c>
      <c r="AI163" s="64" t="s" ph="1">
        <v>562</v>
      </c>
      <c r="AJ163" s="64" t="s" ph="1">
        <v>559</v>
      </c>
      <c r="AK163" s="64" t="s" ph="1">
        <v>392</v>
      </c>
      <c r="AY163" s="64" t="s" ph="1">
        <v>220</v>
      </c>
      <c r="AZ163" s="64" t="s" ph="1">
        <v>392</v>
      </c>
    </row>
    <row r="164" spans="33:52" ph="1">
      <c r="AH164" s="64" ph="1">
        <v>3</v>
      </c>
      <c r="AI164" s="64" t="s" ph="1">
        <v>563</v>
      </c>
      <c r="AJ164" s="64" t="s" ph="1">
        <v>559</v>
      </c>
      <c r="AK164" s="64" t="s" ph="1">
        <v>296</v>
      </c>
      <c r="AY164" s="64" t="s" ph="1">
        <v>220</v>
      </c>
      <c r="AZ164" s="64" t="s" ph="1">
        <v>296</v>
      </c>
    </row>
    <row r="165" spans="33:52" ph="1">
      <c r="AH165" s="64" ph="1">
        <v>4</v>
      </c>
      <c r="AI165" s="64" t="s" ph="1">
        <v>564</v>
      </c>
      <c r="AY165" s="64" t="s" ph="1">
        <v>220</v>
      </c>
      <c r="AZ165" s="64" t="s" ph="1">
        <v>371</v>
      </c>
    </row>
    <row r="166" spans="33:52" ph="1">
      <c r="AH166" s="64" ph="1">
        <v>5</v>
      </c>
      <c r="AI166" s="64" t="s" ph="1">
        <v>565</v>
      </c>
      <c r="AY166" s="64" t="s" ph="1">
        <v>220</v>
      </c>
      <c r="AZ166" s="64" t="s" ph="1">
        <v>371</v>
      </c>
    </row>
    <row r="167" spans="33:52" ph="1">
      <c r="AZ167" s="64" t="s" ph="1">
        <v>566</v>
      </c>
    </row>
    <row r="168" spans="33:52" ph="1">
      <c r="AG168" s="64" t="s" ph="1">
        <v>309</v>
      </c>
      <c r="AI168" s="64" t="s" ph="1">
        <v>213</v>
      </c>
      <c r="AJ168" s="64" t="s" ph="1">
        <v>214</v>
      </c>
      <c r="AK168" s="64" t="s" ph="1">
        <v>215</v>
      </c>
      <c r="AM168" s="64" t="s" ph="1">
        <v>214</v>
      </c>
      <c r="AN168" s="64" t="s" ph="1">
        <v>215</v>
      </c>
      <c r="AO168" s="64" t="s" ph="1">
        <v>216</v>
      </c>
      <c r="AP168" s="64" t="s" ph="1">
        <v>214</v>
      </c>
      <c r="AQ168" s="64" t="s" ph="1">
        <v>215</v>
      </c>
      <c r="AR168" s="64" t="s" ph="1">
        <v>216</v>
      </c>
      <c r="AS168" s="64" t="s" ph="1">
        <v>214</v>
      </c>
      <c r="AT168" s="64" t="s" ph="1">
        <v>215</v>
      </c>
      <c r="AU168" s="64" t="s" ph="1">
        <v>216</v>
      </c>
      <c r="AV168" s="64" t="s" ph="1">
        <v>214</v>
      </c>
      <c r="AW168" s="64" t="s" ph="1">
        <v>215</v>
      </c>
      <c r="AX168" s="64" t="s" ph="1">
        <v>216</v>
      </c>
      <c r="AY168" s="64" t="s" ph="1">
        <v>215</v>
      </c>
      <c r="AZ168" s="64" t="s" ph="1">
        <v>217</v>
      </c>
    </row>
    <row r="169" spans="33:52" ph="1">
      <c r="AH169" s="64" ph="1">
        <v>1</v>
      </c>
      <c r="AI169" s="64" t="s" ph="1">
        <v>567</v>
      </c>
      <c r="AY169" s="64" t="s" ph="1">
        <v>220</v>
      </c>
      <c r="AZ169" s="64" t="s" ph="1">
        <v>371</v>
      </c>
    </row>
    <row r="170" spans="33:52" ph="1">
      <c r="AH170" s="64" ph="1">
        <v>2</v>
      </c>
      <c r="AI170" s="64" t="s" ph="1">
        <v>568</v>
      </c>
      <c r="AY170" s="64" t="s" ph="1">
        <v>220</v>
      </c>
      <c r="AZ170" s="64" t="s" ph="1">
        <v>371</v>
      </c>
    </row>
    <row r="171" spans="33:52" ph="1">
      <c r="AH171" s="64" ph="1">
        <v>3</v>
      </c>
      <c r="AI171" s="64" t="s" ph="1">
        <v>569</v>
      </c>
      <c r="AY171" s="64" t="s" ph="1">
        <v>220</v>
      </c>
      <c r="AZ171" s="64" t="s" ph="1">
        <v>371</v>
      </c>
    </row>
    <row r="172" spans="33:52" ph="1">
      <c r="AH172" s="64" ph="1">
        <v>4</v>
      </c>
      <c r="AI172" s="64" t="s" ph="1">
        <v>570</v>
      </c>
      <c r="AY172" s="64" t="s" ph="1">
        <v>220</v>
      </c>
      <c r="AZ172" s="64" t="s" ph="1">
        <v>371</v>
      </c>
    </row>
    <row r="173" spans="33:52" ph="1">
      <c r="AH173" s="64" ph="1">
        <v>5</v>
      </c>
      <c r="AI173" s="64" t="s" ph="1">
        <v>571</v>
      </c>
      <c r="AY173" s="64" t="s" ph="1">
        <v>220</v>
      </c>
      <c r="AZ173" s="64" t="s" ph="1">
        <v>371</v>
      </c>
    </row>
    <row r="174" spans="33:52" ph="1">
      <c r="AZ174" s="64" t="s" ph="1">
        <v>389</v>
      </c>
    </row>
    <row r="175" spans="33:52" ph="1">
      <c r="AJ175" s="64" t="s" ph="1">
        <v>310</v>
      </c>
    </row>
    <row r="176" spans="33:52" ph="1">
      <c r="AJ176" s="64" t="s" ph="1">
        <v>311</v>
      </c>
      <c r="AK176" s="64" t="s" ph="1">
        <v>312</v>
      </c>
      <c r="AM176" s="64" t="s" ph="1">
        <v>313</v>
      </c>
      <c r="AO176" s="64" t="s" ph="1">
        <v>314</v>
      </c>
      <c r="AP176" s="64" t="s" ph="1">
        <v>315</v>
      </c>
      <c r="AQ176" s="64" t="s" ph="1">
        <v>305</v>
      </c>
      <c r="AR176" s="64" t="s" ph="1">
        <v>225</v>
      </c>
    </row>
    <row r="177" spans="36:56" ph="1">
      <c r="AJ177" s="64" t="s" ph="1">
        <v>607</v>
      </c>
      <c r="AK177" s="64" t="s" ph="1">
        <v>316</v>
      </c>
      <c r="AO177" s="64" t="s" ph="1">
        <v>316</v>
      </c>
      <c r="AP177" s="64" t="s" ph="1">
        <v>316</v>
      </c>
      <c r="AQ177" s="64" t="s" ph="1">
        <v>317</v>
      </c>
      <c r="AR177" s="64" t="s" ph="1">
        <v>318</v>
      </c>
    </row>
    <row r="179" spans="36:56" ph="1">
      <c r="AJ179" s="64" t="s" ph="1">
        <v>319</v>
      </c>
      <c r="AK179" s="64" t="s" ph="1">
        <v>320</v>
      </c>
      <c r="AM179" s="64" t="s" ph="1">
        <v>321</v>
      </c>
      <c r="AN179" s="64" t="s" ph="1">
        <v>297</v>
      </c>
      <c r="AO179" s="64" t="s" ph="1">
        <v>322</v>
      </c>
      <c r="AP179" s="64" t="s" ph="1">
        <v>301</v>
      </c>
      <c r="AQ179" s="64" t="s" ph="1">
        <v>323</v>
      </c>
      <c r="AR179" s="64" t="s" ph="1">
        <v>324</v>
      </c>
    </row>
    <row r="180" spans="36:56" ph="1">
      <c r="AJ180" s="64" t="s" ph="1">
        <v>316</v>
      </c>
      <c r="AK180" s="64" t="s" ph="1">
        <v>316</v>
      </c>
      <c r="AL180" s="64" ph="1">
        <v>116</v>
      </c>
      <c r="AM180" s="64" t="s" ph="1">
        <v>316</v>
      </c>
      <c r="AN180" s="64" t="s" ph="1">
        <v>325</v>
      </c>
      <c r="AO180" s="64" t="s" ph="1">
        <v>316</v>
      </c>
      <c r="AP180" s="64" t="s" ph="1">
        <v>326</v>
      </c>
      <c r="AQ180" s="64" t="s" ph="1">
        <v>327</v>
      </c>
      <c r="AR180" s="64" t="s" ph="1">
        <v>328</v>
      </c>
    </row>
    <row r="189" spans="36:56" ph="1">
      <c r="BD189" s="64" t="s" ph="1">
        <v>572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" priority="96">
      <formula>ABS(D$7-D$10)&gt;=1000</formula>
    </cfRule>
  </conditionalFormatting>
  <conditionalFormatting sqref="E4 E6:E11">
    <cfRule type="expression" dxfId="124" priority="95">
      <formula>ABS(E$7-E$10)&gt;=1000</formula>
    </cfRule>
  </conditionalFormatting>
  <conditionalFormatting sqref="F4:F11">
    <cfRule type="expression" dxfId="123" priority="94">
      <formula>ABS(F$7-F$10)&gt;=1000</formula>
    </cfRule>
  </conditionalFormatting>
  <conditionalFormatting sqref="G4:G11">
    <cfRule type="expression" dxfId="122" priority="93">
      <formula>ABS(G$7-G$10)&gt;=1000</formula>
    </cfRule>
  </conditionalFormatting>
  <conditionalFormatting sqref="H4:H11">
    <cfRule type="expression" dxfId="121" priority="92">
      <formula>ABS(H$7-H$10)&gt;=1000</formula>
    </cfRule>
  </conditionalFormatting>
  <conditionalFormatting sqref="I4:I11">
    <cfRule type="expression" dxfId="120" priority="91">
      <formula>ABS(I$7-I$10)&gt;=1000</formula>
    </cfRule>
  </conditionalFormatting>
  <conditionalFormatting sqref="J4:J11">
    <cfRule type="expression" dxfId="119" priority="90">
      <formula>ABS(J$7-J$10)&gt;=1000</formula>
    </cfRule>
  </conditionalFormatting>
  <conditionalFormatting sqref="K4:K11">
    <cfRule type="expression" dxfId="118" priority="89">
      <formula>ABS(K$7-K$10)&gt;=1000</formula>
    </cfRule>
  </conditionalFormatting>
  <conditionalFormatting sqref="L4:L11">
    <cfRule type="expression" dxfId="117" priority="88">
      <formula>ABS(L$7-L$10)&gt;=1000</formula>
    </cfRule>
  </conditionalFormatting>
  <conditionalFormatting sqref="M4 M6:M11">
    <cfRule type="expression" dxfId="116" priority="87">
      <formula>ABS(M$7-M$10)&gt;=1000</formula>
    </cfRule>
  </conditionalFormatting>
  <conditionalFormatting sqref="N4 N6:N11">
    <cfRule type="expression" dxfId="115" priority="86">
      <formula>ABS(N$7-N$10)&gt;=1000</formula>
    </cfRule>
  </conditionalFormatting>
  <conditionalFormatting sqref="O4 O6:O11">
    <cfRule type="expression" dxfId="114" priority="85">
      <formula>ABS(O$7-O$10)&gt;=1000</formula>
    </cfRule>
  </conditionalFormatting>
  <conditionalFormatting sqref="P4 P6:P11">
    <cfRule type="expression" dxfId="113" priority="84">
      <formula>ABS(P$7-P$10)&gt;=1000</formula>
    </cfRule>
  </conditionalFormatting>
  <conditionalFormatting sqref="Q4:Q11">
    <cfRule type="expression" dxfId="112" priority="83">
      <formula>ABS(Q$7-Q$10)&gt;=1000</formula>
    </cfRule>
  </conditionalFormatting>
  <conditionalFormatting sqref="R4:R11">
    <cfRule type="expression" dxfId="111" priority="82">
      <formula>ABS(R$7-R$10)&gt;=1000</formula>
    </cfRule>
  </conditionalFormatting>
  <conditionalFormatting sqref="S4:S11">
    <cfRule type="expression" dxfId="110" priority="81">
      <formula>ABS(S$7-S$10)&gt;=1000</formula>
    </cfRule>
  </conditionalFormatting>
  <conditionalFormatting sqref="T4:T9 T11">
    <cfRule type="expression" dxfId="109" priority="80">
      <formula>ABS(T$7-T$10)&gt;=1000</formula>
    </cfRule>
  </conditionalFormatting>
  <conditionalFormatting sqref="U4:U9 U11">
    <cfRule type="expression" dxfId="108" priority="79">
      <formula>ABS(U$7-U$10)&gt;=1000</formula>
    </cfRule>
  </conditionalFormatting>
  <conditionalFormatting sqref="V4:V9 V11">
    <cfRule type="expression" dxfId="107" priority="78">
      <formula>ABS(V$7-V$10)&gt;=1000</formula>
    </cfRule>
  </conditionalFormatting>
  <conditionalFormatting sqref="W4:W9 W11">
    <cfRule type="expression" dxfId="106" priority="77">
      <formula>ABS(W$7-W$10)&gt;=1000</formula>
    </cfRule>
  </conditionalFormatting>
  <conditionalFormatting sqref="X4:X9 X11">
    <cfRule type="expression" dxfId="105" priority="76">
      <formula>ABS(X$7-X$10)&gt;=1000</formula>
    </cfRule>
  </conditionalFormatting>
  <conditionalFormatting sqref="Y4:Y9 Y11">
    <cfRule type="expression" dxfId="104" priority="75">
      <formula>ABS(Y$7-Y$10)&gt;=1000</formula>
    </cfRule>
  </conditionalFormatting>
  <conditionalFormatting sqref="Z4:Z11">
    <cfRule type="expression" dxfId="103" priority="74">
      <formula>ABS(Z$7-Z$10)&gt;=1000</formula>
    </cfRule>
  </conditionalFormatting>
  <conditionalFormatting sqref="AA4:AA11">
    <cfRule type="expression" dxfId="102" priority="73">
      <formula>ABS(AA$7-AA$10)&gt;=1000</formula>
    </cfRule>
  </conditionalFormatting>
  <conditionalFormatting sqref="AB4:AB11">
    <cfRule type="expression" dxfId="101" priority="72">
      <formula>ABS(AB$7-AB$10)&gt;=1000</formula>
    </cfRule>
  </conditionalFormatting>
  <conditionalFormatting sqref="AC4 AC6:AC11">
    <cfRule type="expression" dxfId="100" priority="71">
      <formula>ABS(AC$7-AC$10)&gt;=1000</formula>
    </cfRule>
  </conditionalFormatting>
  <conditionalFormatting sqref="AD4:AD11">
    <cfRule type="expression" dxfId="99" priority="70">
      <formula>ABS(AD$7-AD$10)&gt;=1000</formula>
    </cfRule>
  </conditionalFormatting>
  <conditionalFormatting sqref="AE4:AE11">
    <cfRule type="expression" dxfId="98" priority="69">
      <formula>ABS(AE$7-AE$10)&gt;=1000</formula>
    </cfRule>
  </conditionalFormatting>
  <conditionalFormatting sqref="D13:D20">
    <cfRule type="expression" dxfId="97" priority="68">
      <formula>ABS(D$16-D$19)&gt;=1000</formula>
    </cfRule>
  </conditionalFormatting>
  <conditionalFormatting sqref="E13:E20">
    <cfRule type="expression" dxfId="96" priority="67">
      <formula>ABS(E$16-E$19)&gt;=1000</formula>
    </cfRule>
  </conditionalFormatting>
  <conditionalFormatting sqref="F13 F15:F20">
    <cfRule type="expression" dxfId="95" priority="66">
      <formula>ABS(F$16-F$19)&gt;=1000</formula>
    </cfRule>
  </conditionalFormatting>
  <conditionalFormatting sqref="G13:G20">
    <cfRule type="expression" dxfId="94" priority="65">
      <formula>ABS(G$16-G$19)&gt;=1000</formula>
    </cfRule>
  </conditionalFormatting>
  <conditionalFormatting sqref="H13:H20">
    <cfRule type="expression" dxfId="93" priority="64">
      <formula>ABS(H$16-H$19)&gt;=1000</formula>
    </cfRule>
  </conditionalFormatting>
  <conditionalFormatting sqref="I13:I20">
    <cfRule type="expression" dxfId="92" priority="63">
      <formula>ABS(I$16-I$19)&gt;=1000</formula>
    </cfRule>
  </conditionalFormatting>
  <conditionalFormatting sqref="J13:J20">
    <cfRule type="expression" dxfId="91" priority="62">
      <formula>ABS(J$16-J$19)&gt;=1000</formula>
    </cfRule>
  </conditionalFormatting>
  <conditionalFormatting sqref="L13:L20">
    <cfRule type="expression" dxfId="90" priority="61">
      <formula>ABS(L$16-L$19)&gt;=1000</formula>
    </cfRule>
  </conditionalFormatting>
  <conditionalFormatting sqref="M13 M15 M17:M18 M20">
    <cfRule type="expression" dxfId="89" priority="60">
      <formula>ABS(M$16-M$19)&gt;=1000</formula>
    </cfRule>
  </conditionalFormatting>
  <conditionalFormatting sqref="N13:N20">
    <cfRule type="expression" dxfId="88" priority="59">
      <formula>ABS(N$16-N$19)&gt;=1000</formula>
    </cfRule>
  </conditionalFormatting>
  <conditionalFormatting sqref="O13:O20">
    <cfRule type="expression" dxfId="87" priority="58">
      <formula>ABS(O$16-O$19)&gt;=1000</formula>
    </cfRule>
  </conditionalFormatting>
  <conditionalFormatting sqref="P13:P20">
    <cfRule type="expression" dxfId="86" priority="57">
      <formula>ABS(P$16-P$19)&gt;=1000</formula>
    </cfRule>
  </conditionalFormatting>
  <conditionalFormatting sqref="Q13 Q15:Q20">
    <cfRule type="expression" dxfId="85" priority="56">
      <formula>ABS(Q$16-Q$19)&gt;=1000</formula>
    </cfRule>
  </conditionalFormatting>
  <conditionalFormatting sqref="R13:R20">
    <cfRule type="expression" dxfId="84" priority="55">
      <formula>ABS(R$16-R$19)&gt;=1000</formula>
    </cfRule>
  </conditionalFormatting>
  <conditionalFormatting sqref="S13:S20">
    <cfRule type="expression" dxfId="83" priority="54">
      <formula>ABS(S$16-S$19)&gt;=1000</formula>
    </cfRule>
  </conditionalFormatting>
  <conditionalFormatting sqref="T13:T20">
    <cfRule type="expression" dxfId="82" priority="53">
      <formula>ABS(T$16-T$19)&gt;=1000</formula>
    </cfRule>
  </conditionalFormatting>
  <conditionalFormatting sqref="U13:U20">
    <cfRule type="expression" dxfId="81" priority="52">
      <formula>ABS(U$16-U$19)&gt;=1000</formula>
    </cfRule>
  </conditionalFormatting>
  <conditionalFormatting sqref="V13:V20">
    <cfRule type="expression" dxfId="80" priority="51">
      <formula>ABS(V$16-V$19)&gt;=1000</formula>
    </cfRule>
  </conditionalFormatting>
  <conditionalFormatting sqref="W13 W20 W15:W18">
    <cfRule type="expression" dxfId="79" priority="50">
      <formula>ABS(W$16-W$19)&gt;=1000</formula>
    </cfRule>
  </conditionalFormatting>
  <conditionalFormatting sqref="X13 X15:X20 Y19">
    <cfRule type="expression" dxfId="78" priority="49">
      <formula>ABS(X$16-X$19)&gt;=1000</formula>
    </cfRule>
  </conditionalFormatting>
  <conditionalFormatting sqref="Y13 Y15:Y18 Y20">
    <cfRule type="expression" dxfId="77" priority="48">
      <formula>ABS(Y$16-Y$19)&gt;=1000</formula>
    </cfRule>
  </conditionalFormatting>
  <conditionalFormatting sqref="Z13:Z20">
    <cfRule type="expression" dxfId="76" priority="47">
      <formula>ABS(Z$16-Z$19)&gt;=1000</formula>
    </cfRule>
  </conditionalFormatting>
  <conditionalFormatting sqref="AA13:AA20">
    <cfRule type="expression" dxfId="75" priority="46">
      <formula>ABS(AA$16-AA$19)&gt;=1000</formula>
    </cfRule>
  </conditionalFormatting>
  <conditionalFormatting sqref="AB13 AB15:AB20">
    <cfRule type="expression" dxfId="74" priority="45">
      <formula>ABS(AB$16-AB$19)&gt;=1000</formula>
    </cfRule>
  </conditionalFormatting>
  <conditionalFormatting sqref="AC13 AC15:AC20">
    <cfRule type="expression" dxfId="73" priority="44">
      <formula>ABS(AC$16-AC$19)&gt;=1000</formula>
    </cfRule>
  </conditionalFormatting>
  <conditionalFormatting sqref="AD13:AD20">
    <cfRule type="expression" dxfId="72" priority="43">
      <formula>ABS(AD$16-AD$19)&gt;=1000</formula>
    </cfRule>
  </conditionalFormatting>
  <conditionalFormatting sqref="AE13:AE20">
    <cfRule type="expression" dxfId="71" priority="42">
      <formula>ABS(AE$16-AE$19)&gt;=1000</formula>
    </cfRule>
  </conditionalFormatting>
  <conditionalFormatting sqref="D22:D29">
    <cfRule type="expression" dxfId="70" priority="41">
      <formula>ABS(D$25-D$28)&gt;=1000</formula>
    </cfRule>
  </conditionalFormatting>
  <conditionalFormatting sqref="E22:E29">
    <cfRule type="expression" dxfId="69" priority="40">
      <formula>ABS(E$25-E$28)&gt;=1000</formula>
    </cfRule>
  </conditionalFormatting>
  <conditionalFormatting sqref="F22:F29">
    <cfRule type="expression" dxfId="68" priority="39">
      <formula>ABS(F$25-F$28)&gt;=1000</formula>
    </cfRule>
  </conditionalFormatting>
  <conditionalFormatting sqref="G22:G29">
    <cfRule type="expression" dxfId="67" priority="38">
      <formula>ABS(G$25-G$28)&gt;=1000</formula>
    </cfRule>
  </conditionalFormatting>
  <conditionalFormatting sqref="H22:H29">
    <cfRule type="expression" dxfId="66" priority="37">
      <formula>ABS(H$25-H$28)&gt;=1000</formula>
    </cfRule>
  </conditionalFormatting>
  <conditionalFormatting sqref="I22 I24:I29">
    <cfRule type="expression" dxfId="65" priority="36">
      <formula>ABS(I$25-I$28)&gt;=1000</formula>
    </cfRule>
  </conditionalFormatting>
  <conditionalFormatting sqref="J22:J29 K22">
    <cfRule type="expression" dxfId="64" priority="35">
      <formula>ABS(J$25-J$28)&gt;=1000</formula>
    </cfRule>
  </conditionalFormatting>
  <conditionalFormatting sqref="K23:K29 L25 L28">
    <cfRule type="expression" dxfId="63" priority="34">
      <formula>ABS(K$25-K$28)&gt;=1000</formula>
    </cfRule>
  </conditionalFormatting>
  <conditionalFormatting sqref="L22:L24 L26:L27 L29">
    <cfRule type="expression" dxfId="62" priority="33">
      <formula>ABS(L$25-L$28)&gt;=1000</formula>
    </cfRule>
  </conditionalFormatting>
  <conditionalFormatting sqref="M22:M29">
    <cfRule type="expression" dxfId="61" priority="32">
      <formula>ABS(M$25-M$28)&gt;=1000</formula>
    </cfRule>
  </conditionalFormatting>
  <conditionalFormatting sqref="N22:N29">
    <cfRule type="expression" dxfId="60" priority="31">
      <formula>ABS(N$25-N$28)&gt;=1000</formula>
    </cfRule>
  </conditionalFormatting>
  <conditionalFormatting sqref="O22:O29">
    <cfRule type="expression" dxfId="59" priority="30">
      <formula>ABS(O$25-O$28)&gt;=1000</formula>
    </cfRule>
  </conditionalFormatting>
  <conditionalFormatting sqref="P22:P29">
    <cfRule type="expression" dxfId="58" priority="29">
      <formula>ABS(P$25-P$28)&gt;=1000</formula>
    </cfRule>
  </conditionalFormatting>
  <conditionalFormatting sqref="Q22:Q29">
    <cfRule type="expression" dxfId="57" priority="28">
      <formula>ABS(Q$25-Q$28)&gt;=1000</formula>
    </cfRule>
  </conditionalFormatting>
  <conditionalFormatting sqref="R22:R29">
    <cfRule type="expression" dxfId="56" priority="27">
      <formula>ABS(R$25-R$28)&gt;=1000</formula>
    </cfRule>
  </conditionalFormatting>
  <conditionalFormatting sqref="S22:S29">
    <cfRule type="expression" dxfId="55" priority="26">
      <formula>ABS(S$25-S$28)&gt;=1000</formula>
    </cfRule>
  </conditionalFormatting>
  <conditionalFormatting sqref="T22:T29">
    <cfRule type="expression" dxfId="54" priority="25">
      <formula>ABS(T$25-T$28)&gt;=1000</formula>
    </cfRule>
  </conditionalFormatting>
  <conditionalFormatting sqref="U22:U29">
    <cfRule type="expression" dxfId="53" priority="24">
      <formula>ABS(U$25-U$28)&gt;=1000</formula>
    </cfRule>
  </conditionalFormatting>
  <conditionalFormatting sqref="V22:V29">
    <cfRule type="expression" dxfId="52" priority="23">
      <formula>ABS(V$25-V$28)&gt;=1000</formula>
    </cfRule>
  </conditionalFormatting>
  <conditionalFormatting sqref="W22:W29">
    <cfRule type="expression" dxfId="51" priority="22">
      <formula>ABS(W$25-W$28)&gt;=1000</formula>
    </cfRule>
  </conditionalFormatting>
  <conditionalFormatting sqref="X22:X29">
    <cfRule type="expression" dxfId="50" priority="21">
      <formula>ABS(X$25-X$28)&gt;=1000</formula>
    </cfRule>
  </conditionalFormatting>
  <conditionalFormatting sqref="Y22:Y29">
    <cfRule type="expression" dxfId="49" priority="20">
      <formula>ABS(Y$25-Y$28)&gt;=1000</formula>
    </cfRule>
  </conditionalFormatting>
  <conditionalFormatting sqref="I23">
    <cfRule type="expression" dxfId="48" priority="19">
      <formula>ABS(I$25-I$28)&gt;=1000</formula>
    </cfRule>
  </conditionalFormatting>
  <conditionalFormatting sqref="F14">
    <cfRule type="expression" dxfId="47" priority="18">
      <formula>ABS(F$16-F$19)&gt;=1000</formula>
    </cfRule>
  </conditionalFormatting>
  <conditionalFormatting sqref="Q14">
    <cfRule type="expression" dxfId="46" priority="17">
      <formula>ABS(Q$16-Q$19)&gt;=1000</formula>
    </cfRule>
  </conditionalFormatting>
  <conditionalFormatting sqref="W14">
    <cfRule type="expression" dxfId="45" priority="16">
      <formula>ABS(W$16-W$19)&gt;=1000</formula>
    </cfRule>
  </conditionalFormatting>
  <conditionalFormatting sqref="Y14">
    <cfRule type="expression" dxfId="44" priority="15">
      <formula>ABS(Y$16-Y$19)&gt;=1000</formula>
    </cfRule>
  </conditionalFormatting>
  <conditionalFormatting sqref="X14">
    <cfRule type="expression" dxfId="43" priority="14">
      <formula>ABS(X$16-X$19)&gt;=1000</formula>
    </cfRule>
  </conditionalFormatting>
  <conditionalFormatting sqref="T10:Y10">
    <cfRule type="expression" dxfId="42" priority="13">
      <formula>ABS(T$7-T$10)&gt;=1000</formula>
    </cfRule>
  </conditionalFormatting>
  <conditionalFormatting sqref="W19">
    <cfRule type="expression" dxfId="41" priority="12">
      <formula>ABS(W$16-W$19)&gt;=1000</formula>
    </cfRule>
  </conditionalFormatting>
  <conditionalFormatting sqref="AC5">
    <cfRule type="expression" dxfId="40" priority="11">
      <formula>ABS(AC$7-AC$10)&gt;=1000</formula>
    </cfRule>
  </conditionalFormatting>
  <conditionalFormatting sqref="M14">
    <cfRule type="expression" dxfId="39" priority="10">
      <formula>ABS(M$16-M$19)&gt;=1000</formula>
    </cfRule>
  </conditionalFormatting>
  <conditionalFormatting sqref="M16">
    <cfRule type="expression" dxfId="38" priority="9">
      <formula>ABS(M$16-M$19)&gt;=1000</formula>
    </cfRule>
  </conditionalFormatting>
  <conditionalFormatting sqref="M19">
    <cfRule type="expression" dxfId="37" priority="8">
      <formula>ABS(M$16-M$19)&gt;=1000</formula>
    </cfRule>
  </conditionalFormatting>
  <conditionalFormatting sqref="K13:K20">
    <cfRule type="expression" dxfId="36" priority="7">
      <formula>ABS(K$16-K$19)&gt;=1000</formula>
    </cfRule>
  </conditionalFormatting>
  <conditionalFormatting sqref="E5">
    <cfRule type="expression" dxfId="35" priority="6">
      <formula>ABS(E$7-E$10)&gt;=1000</formula>
    </cfRule>
  </conditionalFormatting>
  <conditionalFormatting sqref="AB14:AC14">
    <cfRule type="expression" dxfId="34" priority="5">
      <formula>ABS(AB$16-AB$19)&gt;=1000</formula>
    </cfRule>
  </conditionalFormatting>
  <conditionalFormatting sqref="M5">
    <cfRule type="expression" dxfId="33" priority="4">
      <formula>ABS(M$7-M$10)&gt;=1000</formula>
    </cfRule>
  </conditionalFormatting>
  <conditionalFormatting sqref="N5">
    <cfRule type="expression" dxfId="32" priority="3">
      <formula>ABS(N$7-N$10)&gt;=1000</formula>
    </cfRule>
  </conditionalFormatting>
  <conditionalFormatting sqref="O5">
    <cfRule type="expression" dxfId="31" priority="2">
      <formula>ABS(O$7-O$10)&gt;=1000</formula>
    </cfRule>
  </conditionalFormatting>
  <conditionalFormatting sqref="P5">
    <cfRule type="expression" dxfId="3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2.27</vt:lpstr>
      <vt:lpstr>3.1</vt:lpstr>
      <vt:lpstr>3.3</vt:lpstr>
      <vt:lpstr>3.4</vt:lpstr>
      <vt:lpstr>3.5</vt:lpstr>
      <vt:lpstr>3.6</vt:lpstr>
      <vt:lpstr>3.7</vt:lpstr>
      <vt:lpstr>3.10</vt:lpstr>
      <vt:lpstr>3.11</vt:lpstr>
      <vt:lpstr>3.12</vt:lpstr>
      <vt:lpstr>3.13</vt:lpstr>
      <vt:lpstr>3.14</vt:lpstr>
      <vt:lpstr>3.17</vt:lpstr>
      <vt:lpstr>3.18</vt:lpstr>
      <vt:lpstr>3.19</vt:lpstr>
      <vt:lpstr>3.20</vt:lpstr>
      <vt:lpstr>3.21</vt:lpstr>
      <vt:lpstr>3.24</vt:lpstr>
      <vt:lpstr>3.25</vt:lpstr>
      <vt:lpstr>3.26</vt:lpstr>
      <vt:lpstr>3.27</vt:lpstr>
      <vt:lpstr>3.28</vt:lpstr>
      <vt:lpstr>3.31</vt:lpstr>
      <vt:lpstr>'2.27'!Print_Area</vt:lpstr>
      <vt:lpstr>'3.1'!Print_Area</vt:lpstr>
      <vt:lpstr>'3.10'!Print_Area</vt:lpstr>
      <vt:lpstr>'3.11'!Print_Area</vt:lpstr>
      <vt:lpstr>'3.12'!Print_Area</vt:lpstr>
      <vt:lpstr>'3.13'!Print_Area</vt:lpstr>
      <vt:lpstr>'3.14'!Print_Area</vt:lpstr>
      <vt:lpstr>'3.17'!Print_Area</vt:lpstr>
      <vt:lpstr>'3.18'!Print_Area</vt:lpstr>
      <vt:lpstr>'3.19'!Print_Area</vt:lpstr>
      <vt:lpstr>'3.20'!Print_Area</vt:lpstr>
      <vt:lpstr>'3.21'!Print_Area</vt:lpstr>
      <vt:lpstr>'3.24'!Print_Area</vt:lpstr>
      <vt:lpstr>'3.25'!Print_Area</vt:lpstr>
      <vt:lpstr>'3.26'!Print_Area</vt:lpstr>
      <vt:lpstr>'3.27'!Print_Area</vt:lpstr>
      <vt:lpstr>'3.28'!Print_Area</vt:lpstr>
      <vt:lpstr>'3.3'!Print_Area</vt:lpstr>
      <vt:lpstr>'3.31'!Print_Area</vt:lpstr>
      <vt:lpstr>'3.4'!Print_Area</vt:lpstr>
      <vt:lpstr>'3.5'!Print_Area</vt:lpstr>
      <vt:lpstr>'3.6'!Print_Area</vt:lpstr>
      <vt:lpstr>'3.7'!Print_Area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C769</cp:lastModifiedBy>
  <cp:lastPrinted>2025-03-31T07:28:06Z</cp:lastPrinted>
  <dcterms:created xsi:type="dcterms:W3CDTF">2006-09-16T00:00:00Z</dcterms:created>
  <dcterms:modified xsi:type="dcterms:W3CDTF">2025-04-01T23:56:15Z</dcterms:modified>
</cp:coreProperties>
</file>