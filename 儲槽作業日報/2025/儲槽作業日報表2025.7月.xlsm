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4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5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7.xml" ContentType="application/vnd.openxmlformats-officedocument.drawing+xml"/>
  <Override PartName="/xl/ctrlProps/ctrlProp6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8.xml" ContentType="application/vnd.openxmlformats-officedocument.drawing+xml"/>
  <Override PartName="/xl/ctrlProps/ctrlProp7.xml" ContentType="application/vnd.ms-excel.controlproperties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9.xml" ContentType="application/vnd.openxmlformats-officedocument.drawing+xml"/>
  <Override PartName="/xl/ctrlProps/ctrlProp8.xml" ContentType="application/vnd.ms-excel.controlproperties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drawings/drawing10.xml" ContentType="application/vnd.openxmlformats-officedocument.drawing+xml"/>
  <Override PartName="/xl/ctrlProps/ctrlProp9.xml" ContentType="application/vnd.ms-excel.controlproperties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11.xml" ContentType="application/vnd.openxmlformats-officedocument.drawing+xml"/>
  <Override PartName="/xl/ctrlProps/ctrlProp10.xml" ContentType="application/vnd.ms-excel.controlproperties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drawings/drawing12.xml" ContentType="application/vnd.openxmlformats-officedocument.drawing+xml"/>
  <Override PartName="/xl/ctrlProps/ctrlProp11.xml" ContentType="application/vnd.ms-excel.controlproperties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13.xml" ContentType="application/vnd.openxmlformats-officedocument.drawing+xml"/>
  <Override PartName="/xl/ctrlProps/ctrlProp12.xml" ContentType="application/vnd.ms-excel.controlproperties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drawings/drawing14.xml" ContentType="application/vnd.openxmlformats-officedocument.drawing+xml"/>
  <Override PartName="/xl/ctrlProps/ctrlProp13.xml" ContentType="application/vnd.ms-excel.controlproperties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drawings/drawing15.xml" ContentType="application/vnd.openxmlformats-officedocument.drawing+xml"/>
  <Override PartName="/xl/ctrlProps/ctrlProp14.xml" ContentType="application/vnd.ms-excel.controlproperties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drawings/drawing16.xml" ContentType="application/vnd.openxmlformats-officedocument.drawing+xml"/>
  <Override PartName="/xl/ctrlProps/ctrlProp15.xml" ContentType="application/vnd.ms-excel.controlproperties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drawings/drawing17.xml" ContentType="application/vnd.openxmlformats-officedocument.drawing+xml"/>
  <Override PartName="/xl/ctrlProps/ctrlProp16.xml" ContentType="application/vnd.ms-excel.controlproperties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drawings/drawing18.xml" ContentType="application/vnd.openxmlformats-officedocument.drawing+xml"/>
  <Override PartName="/xl/ctrlProps/ctrlProp17.xml" ContentType="application/vnd.ms-excel.controlproperties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drawings/drawing19.xml" ContentType="application/vnd.openxmlformats-officedocument.drawing+xml"/>
  <Override PartName="/xl/ctrlProps/ctrlProp18.xml" ContentType="application/vnd.ms-excel.controlproperties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drawings/drawing20.xml" ContentType="application/vnd.openxmlformats-officedocument.drawing+xml"/>
  <Override PartName="/xl/ctrlProps/ctrlProp19.xml" ContentType="application/vnd.ms-excel.controlproperties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drawings/drawing21.xml" ContentType="application/vnd.openxmlformats-officedocument.drawing+xml"/>
  <Override PartName="/xl/ctrlProps/ctrlProp20.xml" ContentType="application/vnd.ms-excel.controlproperties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drawings/drawing22.xml" ContentType="application/vnd.openxmlformats-officedocument.drawing+xml"/>
  <Override PartName="/xl/ctrlProps/ctrlProp21.xml" ContentType="application/vnd.ms-excel.controlproperties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drawings/drawing23.xml" ContentType="application/vnd.openxmlformats-officedocument.drawing+xml"/>
  <Override PartName="/xl/ctrlProps/ctrlProp22.xml" ContentType="application/vnd.ms-excel.controlproperties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drawings/drawing24.xml" ContentType="application/vnd.openxmlformats-officedocument.drawing+xml"/>
  <Override PartName="/xl/ctrlProps/ctrlProp23.xml" ContentType="application/vnd.ms-excel.controlproperties+xml"/>
  <Override PartName="/xl/tables/table23.xml" ContentType="application/vnd.openxmlformats-officedocument.spreadsheetml.table+xml"/>
  <Override PartName="/xl/queryTables/queryTable2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!儲槽作業日報\儲槽作業日報\2025\"/>
    </mc:Choice>
  </mc:AlternateContent>
  <bookViews>
    <workbookView xWindow="0" yWindow="0" windowWidth="2166" windowHeight="1210" firstSheet="8" activeTab="24"/>
  </bookViews>
  <sheets>
    <sheet name="新增" sheetId="1727" r:id="rId1"/>
    <sheet name="密度" sheetId="13" r:id="rId2"/>
    <sheet name="6.30" sheetId="1921" r:id="rId3"/>
    <sheet name="7.1" sheetId="1923" r:id="rId4"/>
    <sheet name="7.2" sheetId="1924" r:id="rId5"/>
    <sheet name="7.3" sheetId="1925" r:id="rId6"/>
    <sheet name="7.4" sheetId="1926" r:id="rId7"/>
    <sheet name="7.8" sheetId="1927" r:id="rId8"/>
    <sheet name="7.9" sheetId="1928" r:id="rId9"/>
    <sheet name="7.10" sheetId="1929" r:id="rId10"/>
    <sheet name="7.11" sheetId="1930" r:id="rId11"/>
    <sheet name="7.14" sheetId="1931" r:id="rId12"/>
    <sheet name="7.15" sheetId="1932" r:id="rId13"/>
    <sheet name="7.16" sheetId="1933" r:id="rId14"/>
    <sheet name="7.17" sheetId="1934" r:id="rId15"/>
    <sheet name="7.18" sheetId="1935" r:id="rId16"/>
    <sheet name="7.21" sheetId="1936" r:id="rId17"/>
    <sheet name="7.22" sheetId="1937" r:id="rId18"/>
    <sheet name="7.23" sheetId="1938" r:id="rId19"/>
    <sheet name="7.24" sheetId="1939" r:id="rId20"/>
    <sheet name="7.25" sheetId="1940" r:id="rId21"/>
    <sheet name="7.28" sheetId="1941" r:id="rId22"/>
    <sheet name="7.29" sheetId="1942" r:id="rId23"/>
    <sheet name="7.30" sheetId="1943" r:id="rId24"/>
    <sheet name="7.31" sheetId="1944" r:id="rId25"/>
  </sheets>
  <definedNames>
    <definedName name="_xlnm.Print_Area" localSheetId="2">'6.30'!$B$1:$AE$36</definedName>
    <definedName name="_xlnm.Print_Area" localSheetId="3">'7.1'!$B$1:$AE$36</definedName>
    <definedName name="_xlnm.Print_Area" localSheetId="9">'7.10'!$B$1:$AE$36</definedName>
    <definedName name="_xlnm.Print_Area" localSheetId="10">'7.11'!$B$1:$AE$36</definedName>
    <definedName name="_xlnm.Print_Area" localSheetId="11">'7.14'!$B$1:$AE$36</definedName>
    <definedName name="_xlnm.Print_Area" localSheetId="12">'7.15'!$B$1:$AE$36</definedName>
    <definedName name="_xlnm.Print_Area" localSheetId="13">'7.16'!$B$1:$AE$36</definedName>
    <definedName name="_xlnm.Print_Area" localSheetId="14">'7.17'!$B$1:$AE$36</definedName>
    <definedName name="_xlnm.Print_Area" localSheetId="15">'7.18'!$B$1:$AE$36</definedName>
    <definedName name="_xlnm.Print_Area" localSheetId="4">'7.2'!$B$1:$AE$36</definedName>
    <definedName name="_xlnm.Print_Area" localSheetId="16">'7.21'!$B$1:$AE$36</definedName>
    <definedName name="_xlnm.Print_Area" localSheetId="17">'7.22'!$B$1:$AE$36</definedName>
    <definedName name="_xlnm.Print_Area" localSheetId="18">'7.23'!$B$1:$AE$36</definedName>
    <definedName name="_xlnm.Print_Area" localSheetId="19">'7.24'!$B$1:$AE$36</definedName>
    <definedName name="_xlnm.Print_Area" localSheetId="20">'7.25'!$B$1:$AE$36</definedName>
    <definedName name="_xlnm.Print_Area" localSheetId="21">'7.28'!$B$1:$AE$36</definedName>
    <definedName name="_xlnm.Print_Area" localSheetId="22">'7.29'!$B$1:$AE$36</definedName>
    <definedName name="_xlnm.Print_Area" localSheetId="5">'7.3'!$B$1:$AE$36</definedName>
    <definedName name="_xlnm.Print_Area" localSheetId="23">'7.30'!$B$1:$AE$36</definedName>
    <definedName name="_xlnm.Print_Area" localSheetId="24">'7.31'!$B$1:$AE$36</definedName>
    <definedName name="_xlnm.Print_Area" localSheetId="6">'7.4'!$B$1:$AE$36</definedName>
    <definedName name="_xlnm.Print_Area" localSheetId="7">'7.8'!$B$1:$AE$36</definedName>
    <definedName name="_xlnm.Print_Area" localSheetId="8">'7.9'!$B$1:$AE$36</definedName>
    <definedName name="_xlnm.Print_Area" localSheetId="1">密度!$A$1:$W$51</definedName>
    <definedName name="_xlnm.Print_Area" localSheetId="0">新增!$A$1:$M$45</definedName>
    <definedName name="Z_512059F6_F0DC_4056_8FD0_37088AB81F9E_.wvu.PrintArea" localSheetId="2" hidden="1">'6.30'!$B$3:$AE$36</definedName>
    <definedName name="Z_512059F6_F0DC_4056_8FD0_37088AB81F9E_.wvu.PrintArea" localSheetId="3" hidden="1">'7.1'!$B$3:$AE$36</definedName>
    <definedName name="Z_512059F6_F0DC_4056_8FD0_37088AB81F9E_.wvu.PrintArea" localSheetId="9" hidden="1">'7.10'!$B$3:$AE$36</definedName>
    <definedName name="Z_512059F6_F0DC_4056_8FD0_37088AB81F9E_.wvu.PrintArea" localSheetId="10" hidden="1">'7.11'!$B$3:$AE$36</definedName>
    <definedName name="Z_512059F6_F0DC_4056_8FD0_37088AB81F9E_.wvu.PrintArea" localSheetId="11" hidden="1">'7.14'!$B$3:$AE$36</definedName>
    <definedName name="Z_512059F6_F0DC_4056_8FD0_37088AB81F9E_.wvu.PrintArea" localSheetId="12" hidden="1">'7.15'!$B$3:$AE$36</definedName>
    <definedName name="Z_512059F6_F0DC_4056_8FD0_37088AB81F9E_.wvu.PrintArea" localSheetId="13" hidden="1">'7.16'!$B$3:$AE$36</definedName>
    <definedName name="Z_512059F6_F0DC_4056_8FD0_37088AB81F9E_.wvu.PrintArea" localSheetId="14" hidden="1">'7.17'!$B$3:$AE$36</definedName>
    <definedName name="Z_512059F6_F0DC_4056_8FD0_37088AB81F9E_.wvu.PrintArea" localSheetId="15" hidden="1">'7.18'!$B$3:$AE$36</definedName>
    <definedName name="Z_512059F6_F0DC_4056_8FD0_37088AB81F9E_.wvu.PrintArea" localSheetId="4" hidden="1">'7.2'!$B$3:$AE$36</definedName>
    <definedName name="Z_512059F6_F0DC_4056_8FD0_37088AB81F9E_.wvu.PrintArea" localSheetId="16" hidden="1">'7.21'!$B$3:$AE$36</definedName>
    <definedName name="Z_512059F6_F0DC_4056_8FD0_37088AB81F9E_.wvu.PrintArea" localSheetId="17" hidden="1">'7.22'!$B$3:$AE$36</definedName>
    <definedName name="Z_512059F6_F0DC_4056_8FD0_37088AB81F9E_.wvu.PrintArea" localSheetId="18" hidden="1">'7.23'!$B$3:$AE$36</definedName>
    <definedName name="Z_512059F6_F0DC_4056_8FD0_37088AB81F9E_.wvu.PrintArea" localSheetId="19" hidden="1">'7.24'!$B$3:$AE$36</definedName>
    <definedName name="Z_512059F6_F0DC_4056_8FD0_37088AB81F9E_.wvu.PrintArea" localSheetId="20" hidden="1">'7.25'!$B$3:$AE$36</definedName>
    <definedName name="Z_512059F6_F0DC_4056_8FD0_37088AB81F9E_.wvu.PrintArea" localSheetId="21" hidden="1">'7.28'!$B$3:$AE$36</definedName>
    <definedName name="Z_512059F6_F0DC_4056_8FD0_37088AB81F9E_.wvu.PrintArea" localSheetId="22" hidden="1">'7.29'!$B$3:$AE$36</definedName>
    <definedName name="Z_512059F6_F0DC_4056_8FD0_37088AB81F9E_.wvu.PrintArea" localSheetId="5" hidden="1">'7.3'!$B$3:$AE$36</definedName>
    <definedName name="Z_512059F6_F0DC_4056_8FD0_37088AB81F9E_.wvu.PrintArea" localSheetId="23" hidden="1">'7.30'!$B$3:$AE$36</definedName>
    <definedName name="Z_512059F6_F0DC_4056_8FD0_37088AB81F9E_.wvu.PrintArea" localSheetId="24" hidden="1">'7.31'!$B$3:$AE$36</definedName>
    <definedName name="Z_512059F6_F0DC_4056_8FD0_37088AB81F9E_.wvu.PrintArea" localSheetId="6" hidden="1">'7.4'!$B$3:$AE$36</definedName>
    <definedName name="Z_512059F6_F0DC_4056_8FD0_37088AB81F9E_.wvu.PrintArea" localSheetId="7" hidden="1">'7.8'!$B$3:$AE$36</definedName>
    <definedName name="Z_512059F6_F0DC_4056_8FD0_37088AB81F9E_.wvu.PrintArea" localSheetId="8" hidden="1">'7.9'!$B$3:$AE$36</definedName>
    <definedName name="Z_68643476_8805_447E_8170_A582EA1D0343_.wvu.PrintArea" localSheetId="2" hidden="1">'6.30'!$B$3:$AE$36</definedName>
    <definedName name="Z_68643476_8805_447E_8170_A582EA1D0343_.wvu.PrintArea" localSheetId="3" hidden="1">'7.1'!$B$3:$AE$36</definedName>
    <definedName name="Z_68643476_8805_447E_8170_A582EA1D0343_.wvu.PrintArea" localSheetId="9" hidden="1">'7.10'!$B$3:$AE$36</definedName>
    <definedName name="Z_68643476_8805_447E_8170_A582EA1D0343_.wvu.PrintArea" localSheetId="10" hidden="1">'7.11'!$B$3:$AE$36</definedName>
    <definedName name="Z_68643476_8805_447E_8170_A582EA1D0343_.wvu.PrintArea" localSheetId="11" hidden="1">'7.14'!$B$3:$AE$36</definedName>
    <definedName name="Z_68643476_8805_447E_8170_A582EA1D0343_.wvu.PrintArea" localSheetId="12" hidden="1">'7.15'!$B$3:$AE$36</definedName>
    <definedName name="Z_68643476_8805_447E_8170_A582EA1D0343_.wvu.PrintArea" localSheetId="13" hidden="1">'7.16'!$B$3:$AE$36</definedName>
    <definedName name="Z_68643476_8805_447E_8170_A582EA1D0343_.wvu.PrintArea" localSheetId="14" hidden="1">'7.17'!$B$3:$AE$36</definedName>
    <definedName name="Z_68643476_8805_447E_8170_A582EA1D0343_.wvu.PrintArea" localSheetId="15" hidden="1">'7.18'!$B$3:$AE$36</definedName>
    <definedName name="Z_68643476_8805_447E_8170_A582EA1D0343_.wvu.PrintArea" localSheetId="4" hidden="1">'7.2'!$B$3:$AE$36</definedName>
    <definedName name="Z_68643476_8805_447E_8170_A582EA1D0343_.wvu.PrintArea" localSheetId="16" hidden="1">'7.21'!$B$3:$AE$36</definedName>
    <definedName name="Z_68643476_8805_447E_8170_A582EA1D0343_.wvu.PrintArea" localSheetId="17" hidden="1">'7.22'!$B$3:$AE$36</definedName>
    <definedName name="Z_68643476_8805_447E_8170_A582EA1D0343_.wvu.PrintArea" localSheetId="18" hidden="1">'7.23'!$B$3:$AE$36</definedName>
    <definedName name="Z_68643476_8805_447E_8170_A582EA1D0343_.wvu.PrintArea" localSheetId="19" hidden="1">'7.24'!$B$3:$AE$36</definedName>
    <definedName name="Z_68643476_8805_447E_8170_A582EA1D0343_.wvu.PrintArea" localSheetId="20" hidden="1">'7.25'!$B$3:$AE$36</definedName>
    <definedName name="Z_68643476_8805_447E_8170_A582EA1D0343_.wvu.PrintArea" localSheetId="21" hidden="1">'7.28'!$B$3:$AE$36</definedName>
    <definedName name="Z_68643476_8805_447E_8170_A582EA1D0343_.wvu.PrintArea" localSheetId="22" hidden="1">'7.29'!$B$3:$AE$36</definedName>
    <definedName name="Z_68643476_8805_447E_8170_A582EA1D0343_.wvu.PrintArea" localSheetId="5" hidden="1">'7.3'!$B$3:$AE$36</definedName>
    <definedName name="Z_68643476_8805_447E_8170_A582EA1D0343_.wvu.PrintArea" localSheetId="23" hidden="1">'7.30'!$B$3:$AE$36</definedName>
    <definedName name="Z_68643476_8805_447E_8170_A582EA1D0343_.wvu.PrintArea" localSheetId="24" hidden="1">'7.31'!$B$3:$AE$36</definedName>
    <definedName name="Z_68643476_8805_447E_8170_A582EA1D0343_.wvu.PrintArea" localSheetId="6" hidden="1">'7.4'!$B$3:$AE$36</definedName>
    <definedName name="Z_68643476_8805_447E_8170_A582EA1D0343_.wvu.PrintArea" localSheetId="7" hidden="1">'7.8'!$B$3:$AE$36</definedName>
    <definedName name="Z_68643476_8805_447E_8170_A582EA1D0343_.wvu.PrintArea" localSheetId="8" hidden="1">'7.9'!$B$3:$AE$36</definedName>
    <definedName name="Z_8E5926ED_4EBD_4129_B8FF_799CC47580D7_.wvu.PrintArea" localSheetId="2" hidden="1">'6.30'!$B$3:$AE$36</definedName>
    <definedName name="Z_8E5926ED_4EBD_4129_B8FF_799CC47580D7_.wvu.PrintArea" localSheetId="3" hidden="1">'7.1'!$B$3:$AE$36</definedName>
    <definedName name="Z_8E5926ED_4EBD_4129_B8FF_799CC47580D7_.wvu.PrintArea" localSheetId="9" hidden="1">'7.10'!$B$3:$AE$36</definedName>
    <definedName name="Z_8E5926ED_4EBD_4129_B8FF_799CC47580D7_.wvu.PrintArea" localSheetId="10" hidden="1">'7.11'!$B$3:$AE$36</definedName>
    <definedName name="Z_8E5926ED_4EBD_4129_B8FF_799CC47580D7_.wvu.PrintArea" localSheetId="11" hidden="1">'7.14'!$B$3:$AE$36</definedName>
    <definedName name="Z_8E5926ED_4EBD_4129_B8FF_799CC47580D7_.wvu.PrintArea" localSheetId="12" hidden="1">'7.15'!$B$3:$AE$36</definedName>
    <definedName name="Z_8E5926ED_4EBD_4129_B8FF_799CC47580D7_.wvu.PrintArea" localSheetId="13" hidden="1">'7.16'!$B$3:$AE$36</definedName>
    <definedName name="Z_8E5926ED_4EBD_4129_B8FF_799CC47580D7_.wvu.PrintArea" localSheetId="14" hidden="1">'7.17'!$B$3:$AE$36</definedName>
    <definedName name="Z_8E5926ED_4EBD_4129_B8FF_799CC47580D7_.wvu.PrintArea" localSheetId="15" hidden="1">'7.18'!$B$3:$AE$36</definedName>
    <definedName name="Z_8E5926ED_4EBD_4129_B8FF_799CC47580D7_.wvu.PrintArea" localSheetId="4" hidden="1">'7.2'!$B$3:$AE$36</definedName>
    <definedName name="Z_8E5926ED_4EBD_4129_B8FF_799CC47580D7_.wvu.PrintArea" localSheetId="16" hidden="1">'7.21'!$B$3:$AE$36</definedName>
    <definedName name="Z_8E5926ED_4EBD_4129_B8FF_799CC47580D7_.wvu.PrintArea" localSheetId="17" hidden="1">'7.22'!$B$3:$AE$36</definedName>
    <definedName name="Z_8E5926ED_4EBD_4129_B8FF_799CC47580D7_.wvu.PrintArea" localSheetId="18" hidden="1">'7.23'!$B$3:$AE$36</definedName>
    <definedName name="Z_8E5926ED_4EBD_4129_B8FF_799CC47580D7_.wvu.PrintArea" localSheetId="19" hidden="1">'7.24'!$B$3:$AE$36</definedName>
    <definedName name="Z_8E5926ED_4EBD_4129_B8FF_799CC47580D7_.wvu.PrintArea" localSheetId="20" hidden="1">'7.25'!$B$3:$AE$36</definedName>
    <definedName name="Z_8E5926ED_4EBD_4129_B8FF_799CC47580D7_.wvu.PrintArea" localSheetId="21" hidden="1">'7.28'!$B$3:$AE$36</definedName>
    <definedName name="Z_8E5926ED_4EBD_4129_B8FF_799CC47580D7_.wvu.PrintArea" localSheetId="22" hidden="1">'7.29'!$B$3:$AE$36</definedName>
    <definedName name="Z_8E5926ED_4EBD_4129_B8FF_799CC47580D7_.wvu.PrintArea" localSheetId="5" hidden="1">'7.3'!$B$3:$AE$36</definedName>
    <definedName name="Z_8E5926ED_4EBD_4129_B8FF_799CC47580D7_.wvu.PrintArea" localSheetId="23" hidden="1">'7.30'!$B$3:$AE$36</definedName>
    <definedName name="Z_8E5926ED_4EBD_4129_B8FF_799CC47580D7_.wvu.PrintArea" localSheetId="24" hidden="1">'7.31'!$B$3:$AE$36</definedName>
    <definedName name="Z_8E5926ED_4EBD_4129_B8FF_799CC47580D7_.wvu.PrintArea" localSheetId="6" hidden="1">'7.4'!$B$3:$AE$36</definedName>
    <definedName name="Z_8E5926ED_4EBD_4129_B8FF_799CC47580D7_.wvu.PrintArea" localSheetId="7" hidden="1">'7.8'!$B$3:$AE$36</definedName>
    <definedName name="Z_8E5926ED_4EBD_4129_B8FF_799CC47580D7_.wvu.PrintArea" localSheetId="8" hidden="1">'7.9'!$B$3:$AE$36</definedName>
    <definedName name="Z_8FA8B620_C56C_11DB_A857_00055D5FD5FF_.wvu.PrintArea" localSheetId="2" hidden="1">'6.30'!$B$3:$AE$36</definedName>
    <definedName name="Z_8FA8B620_C56C_11DB_A857_00055D5FD5FF_.wvu.PrintArea" localSheetId="3" hidden="1">'7.1'!$B$3:$AE$36</definedName>
    <definedName name="Z_8FA8B620_C56C_11DB_A857_00055D5FD5FF_.wvu.PrintArea" localSheetId="9" hidden="1">'7.10'!$B$3:$AE$36</definedName>
    <definedName name="Z_8FA8B620_C56C_11DB_A857_00055D5FD5FF_.wvu.PrintArea" localSheetId="10" hidden="1">'7.11'!$B$3:$AE$36</definedName>
    <definedName name="Z_8FA8B620_C56C_11DB_A857_00055D5FD5FF_.wvu.PrintArea" localSheetId="11" hidden="1">'7.14'!$B$3:$AE$36</definedName>
    <definedName name="Z_8FA8B620_C56C_11DB_A857_00055D5FD5FF_.wvu.PrintArea" localSheetId="12" hidden="1">'7.15'!$B$3:$AE$36</definedName>
    <definedName name="Z_8FA8B620_C56C_11DB_A857_00055D5FD5FF_.wvu.PrintArea" localSheetId="13" hidden="1">'7.16'!$B$3:$AE$36</definedName>
    <definedName name="Z_8FA8B620_C56C_11DB_A857_00055D5FD5FF_.wvu.PrintArea" localSheetId="14" hidden="1">'7.17'!$B$3:$AE$36</definedName>
    <definedName name="Z_8FA8B620_C56C_11DB_A857_00055D5FD5FF_.wvu.PrintArea" localSheetId="15" hidden="1">'7.18'!$B$3:$AE$36</definedName>
    <definedName name="Z_8FA8B620_C56C_11DB_A857_00055D5FD5FF_.wvu.PrintArea" localSheetId="4" hidden="1">'7.2'!$B$3:$AE$36</definedName>
    <definedName name="Z_8FA8B620_C56C_11DB_A857_00055D5FD5FF_.wvu.PrintArea" localSheetId="16" hidden="1">'7.21'!$B$3:$AE$36</definedName>
    <definedName name="Z_8FA8B620_C56C_11DB_A857_00055D5FD5FF_.wvu.PrintArea" localSheetId="17" hidden="1">'7.22'!$B$3:$AE$36</definedName>
    <definedName name="Z_8FA8B620_C56C_11DB_A857_00055D5FD5FF_.wvu.PrintArea" localSheetId="18" hidden="1">'7.23'!$B$3:$AE$36</definedName>
    <definedName name="Z_8FA8B620_C56C_11DB_A857_00055D5FD5FF_.wvu.PrintArea" localSheetId="19" hidden="1">'7.24'!$B$3:$AE$36</definedName>
    <definedName name="Z_8FA8B620_C56C_11DB_A857_00055D5FD5FF_.wvu.PrintArea" localSheetId="20" hidden="1">'7.25'!$B$3:$AE$36</definedName>
    <definedName name="Z_8FA8B620_C56C_11DB_A857_00055D5FD5FF_.wvu.PrintArea" localSheetId="21" hidden="1">'7.28'!$B$3:$AE$36</definedName>
    <definedName name="Z_8FA8B620_C56C_11DB_A857_00055D5FD5FF_.wvu.PrintArea" localSheetId="22" hidden="1">'7.29'!$B$3:$AE$36</definedName>
    <definedName name="Z_8FA8B620_C56C_11DB_A857_00055D5FD5FF_.wvu.PrintArea" localSheetId="5" hidden="1">'7.3'!$B$3:$AE$36</definedName>
    <definedName name="Z_8FA8B620_C56C_11DB_A857_00055D5FD5FF_.wvu.PrintArea" localSheetId="23" hidden="1">'7.30'!$B$3:$AE$36</definedName>
    <definedName name="Z_8FA8B620_C56C_11DB_A857_00055D5FD5FF_.wvu.PrintArea" localSheetId="24" hidden="1">'7.31'!$B$3:$AE$36</definedName>
    <definedName name="Z_8FA8B620_C56C_11DB_A857_00055D5FD5FF_.wvu.PrintArea" localSheetId="6" hidden="1">'7.4'!$B$3:$AE$36</definedName>
    <definedName name="Z_8FA8B620_C56C_11DB_A857_00055D5FD5FF_.wvu.PrintArea" localSheetId="7" hidden="1">'7.8'!$B$3:$AE$36</definedName>
    <definedName name="Z_8FA8B620_C56C_11DB_A857_00055D5FD5FF_.wvu.PrintArea" localSheetId="8" hidden="1">'7.9'!$B$3:$AE$36</definedName>
    <definedName name="Z_A3DB5619_047E_4CE2_8C39_700CFD25F2CB_.wvu.PrintArea" localSheetId="2" hidden="1">'6.30'!$B$3:$AE$36</definedName>
    <definedName name="Z_A3DB5619_047E_4CE2_8C39_700CFD25F2CB_.wvu.PrintArea" localSheetId="3" hidden="1">'7.1'!$B$3:$AE$36</definedName>
    <definedName name="Z_A3DB5619_047E_4CE2_8C39_700CFD25F2CB_.wvu.PrintArea" localSheetId="9" hidden="1">'7.10'!$B$3:$AE$36</definedName>
    <definedName name="Z_A3DB5619_047E_4CE2_8C39_700CFD25F2CB_.wvu.PrintArea" localSheetId="10" hidden="1">'7.11'!$B$3:$AE$36</definedName>
    <definedName name="Z_A3DB5619_047E_4CE2_8C39_700CFD25F2CB_.wvu.PrintArea" localSheetId="11" hidden="1">'7.14'!$B$3:$AE$36</definedName>
    <definedName name="Z_A3DB5619_047E_4CE2_8C39_700CFD25F2CB_.wvu.PrintArea" localSheetId="12" hidden="1">'7.15'!$B$3:$AE$36</definedName>
    <definedName name="Z_A3DB5619_047E_4CE2_8C39_700CFD25F2CB_.wvu.PrintArea" localSheetId="13" hidden="1">'7.16'!$B$3:$AE$36</definedName>
    <definedName name="Z_A3DB5619_047E_4CE2_8C39_700CFD25F2CB_.wvu.PrintArea" localSheetId="14" hidden="1">'7.17'!$B$3:$AE$36</definedName>
    <definedName name="Z_A3DB5619_047E_4CE2_8C39_700CFD25F2CB_.wvu.PrintArea" localSheetId="15" hidden="1">'7.18'!$B$3:$AE$36</definedName>
    <definedName name="Z_A3DB5619_047E_4CE2_8C39_700CFD25F2CB_.wvu.PrintArea" localSheetId="4" hidden="1">'7.2'!$B$3:$AE$36</definedName>
    <definedName name="Z_A3DB5619_047E_4CE2_8C39_700CFD25F2CB_.wvu.PrintArea" localSheetId="16" hidden="1">'7.21'!$B$3:$AE$36</definedName>
    <definedName name="Z_A3DB5619_047E_4CE2_8C39_700CFD25F2CB_.wvu.PrintArea" localSheetId="17" hidden="1">'7.22'!$B$3:$AE$36</definedName>
    <definedName name="Z_A3DB5619_047E_4CE2_8C39_700CFD25F2CB_.wvu.PrintArea" localSheetId="18" hidden="1">'7.23'!$B$3:$AE$36</definedName>
    <definedName name="Z_A3DB5619_047E_4CE2_8C39_700CFD25F2CB_.wvu.PrintArea" localSheetId="19" hidden="1">'7.24'!$B$3:$AE$36</definedName>
    <definedName name="Z_A3DB5619_047E_4CE2_8C39_700CFD25F2CB_.wvu.PrintArea" localSheetId="20" hidden="1">'7.25'!$B$3:$AE$36</definedName>
    <definedName name="Z_A3DB5619_047E_4CE2_8C39_700CFD25F2CB_.wvu.PrintArea" localSheetId="21" hidden="1">'7.28'!$B$3:$AE$36</definedName>
    <definedName name="Z_A3DB5619_047E_4CE2_8C39_700CFD25F2CB_.wvu.PrintArea" localSheetId="22" hidden="1">'7.29'!$B$3:$AE$36</definedName>
    <definedName name="Z_A3DB5619_047E_4CE2_8C39_700CFD25F2CB_.wvu.PrintArea" localSheetId="5" hidden="1">'7.3'!$B$3:$AE$36</definedName>
    <definedName name="Z_A3DB5619_047E_4CE2_8C39_700CFD25F2CB_.wvu.PrintArea" localSheetId="23" hidden="1">'7.30'!$B$3:$AE$36</definedName>
    <definedName name="Z_A3DB5619_047E_4CE2_8C39_700CFD25F2CB_.wvu.PrintArea" localSheetId="24" hidden="1">'7.31'!$B$3:$AE$36</definedName>
    <definedName name="Z_A3DB5619_047E_4CE2_8C39_700CFD25F2CB_.wvu.PrintArea" localSheetId="6" hidden="1">'7.4'!$B$3:$AE$36</definedName>
    <definedName name="Z_A3DB5619_047E_4CE2_8C39_700CFD25F2CB_.wvu.PrintArea" localSheetId="7" hidden="1">'7.8'!$B$3:$AE$36</definedName>
    <definedName name="Z_A3DB5619_047E_4CE2_8C39_700CFD25F2CB_.wvu.PrintArea" localSheetId="8" hidden="1">'7.9'!$B$3:$AE$36</definedName>
    <definedName name="Z_D903F940_B812_11DB_B168_0010B575B8B2_.wvu.PrintArea" localSheetId="2" hidden="1">'6.30'!$B$3:$AE$36</definedName>
    <definedName name="Z_D903F940_B812_11DB_B168_0010B575B8B2_.wvu.PrintArea" localSheetId="3" hidden="1">'7.1'!$B$3:$AE$36</definedName>
    <definedName name="Z_D903F940_B812_11DB_B168_0010B575B8B2_.wvu.PrintArea" localSheetId="9" hidden="1">'7.10'!$B$3:$AE$36</definedName>
    <definedName name="Z_D903F940_B812_11DB_B168_0010B575B8B2_.wvu.PrintArea" localSheetId="10" hidden="1">'7.11'!$B$3:$AE$36</definedName>
    <definedName name="Z_D903F940_B812_11DB_B168_0010B575B8B2_.wvu.PrintArea" localSheetId="11" hidden="1">'7.14'!$B$3:$AE$36</definedName>
    <definedName name="Z_D903F940_B812_11DB_B168_0010B575B8B2_.wvu.PrintArea" localSheetId="12" hidden="1">'7.15'!$B$3:$AE$36</definedName>
    <definedName name="Z_D903F940_B812_11DB_B168_0010B575B8B2_.wvu.PrintArea" localSheetId="13" hidden="1">'7.16'!$B$3:$AE$36</definedName>
    <definedName name="Z_D903F940_B812_11DB_B168_0010B575B8B2_.wvu.PrintArea" localSheetId="14" hidden="1">'7.17'!$B$3:$AE$36</definedName>
    <definedName name="Z_D903F940_B812_11DB_B168_0010B575B8B2_.wvu.PrintArea" localSheetId="15" hidden="1">'7.18'!$B$3:$AE$36</definedName>
    <definedName name="Z_D903F940_B812_11DB_B168_0010B575B8B2_.wvu.PrintArea" localSheetId="4" hidden="1">'7.2'!$B$3:$AE$36</definedName>
    <definedName name="Z_D903F940_B812_11DB_B168_0010B575B8B2_.wvu.PrintArea" localSheetId="16" hidden="1">'7.21'!$B$3:$AE$36</definedName>
    <definedName name="Z_D903F940_B812_11DB_B168_0010B575B8B2_.wvu.PrintArea" localSheetId="17" hidden="1">'7.22'!$B$3:$AE$36</definedName>
    <definedName name="Z_D903F940_B812_11DB_B168_0010B575B8B2_.wvu.PrintArea" localSheetId="18" hidden="1">'7.23'!$B$3:$AE$36</definedName>
    <definedName name="Z_D903F940_B812_11DB_B168_0010B575B8B2_.wvu.PrintArea" localSheetId="19" hidden="1">'7.24'!$B$3:$AE$36</definedName>
    <definedName name="Z_D903F940_B812_11DB_B168_0010B575B8B2_.wvu.PrintArea" localSheetId="20" hidden="1">'7.25'!$B$3:$AE$36</definedName>
    <definedName name="Z_D903F940_B812_11DB_B168_0010B575B8B2_.wvu.PrintArea" localSheetId="21" hidden="1">'7.28'!$B$3:$AE$36</definedName>
    <definedName name="Z_D903F940_B812_11DB_B168_0010B575B8B2_.wvu.PrintArea" localSheetId="22" hidden="1">'7.29'!$B$3:$AE$36</definedName>
    <definedName name="Z_D903F940_B812_11DB_B168_0010B575B8B2_.wvu.PrintArea" localSheetId="5" hidden="1">'7.3'!$B$3:$AE$36</definedName>
    <definedName name="Z_D903F940_B812_11DB_B168_0010B575B8B2_.wvu.PrintArea" localSheetId="23" hidden="1">'7.30'!$B$3:$AE$36</definedName>
    <definedName name="Z_D903F940_B812_11DB_B168_0010B575B8B2_.wvu.PrintArea" localSheetId="24" hidden="1">'7.31'!$B$3:$AE$36</definedName>
    <definedName name="Z_D903F940_B812_11DB_B168_0010B575B8B2_.wvu.PrintArea" localSheetId="6" hidden="1">'7.4'!$B$3:$AE$36</definedName>
    <definedName name="Z_D903F940_B812_11DB_B168_0010B575B8B2_.wvu.PrintArea" localSheetId="7" hidden="1">'7.8'!$B$3:$AE$36</definedName>
    <definedName name="Z_D903F940_B812_11DB_B168_0010B575B8B2_.wvu.PrintArea" localSheetId="8" hidden="1">'7.9'!$B$3:$AE$36</definedName>
    <definedName name="取樣回收每月庫存表" localSheetId="2" hidden="1">'6.30'!#REF!</definedName>
    <definedName name="取樣回收每月庫存表" localSheetId="3" hidden="1">'7.1'!#REF!</definedName>
    <definedName name="取樣回收每月庫存表" localSheetId="9" hidden="1">'7.10'!#REF!</definedName>
    <definedName name="取樣回收每月庫存表" localSheetId="10" hidden="1">'7.11'!#REF!</definedName>
    <definedName name="取樣回收每月庫存表" localSheetId="11" hidden="1">'7.14'!#REF!</definedName>
    <definedName name="取樣回收每月庫存表" localSheetId="12" hidden="1">'7.15'!#REF!</definedName>
    <definedName name="取樣回收每月庫存表" localSheetId="13" hidden="1">'7.16'!#REF!</definedName>
    <definedName name="取樣回收每月庫存表" localSheetId="14" hidden="1">'7.17'!#REF!</definedName>
    <definedName name="取樣回收每月庫存表" localSheetId="15" hidden="1">'7.18'!#REF!</definedName>
    <definedName name="取樣回收每月庫存表" localSheetId="4" hidden="1">'7.2'!#REF!</definedName>
    <definedName name="取樣回收每月庫存表" localSheetId="16" hidden="1">'7.21'!#REF!</definedName>
    <definedName name="取樣回收每月庫存表" localSheetId="17" hidden="1">'7.22'!#REF!</definedName>
    <definedName name="取樣回收每月庫存表" localSheetId="18" hidden="1">'7.23'!#REF!</definedName>
    <definedName name="取樣回收每月庫存表" localSheetId="19" hidden="1">'7.24'!#REF!</definedName>
    <definedName name="取樣回收每月庫存表" localSheetId="20" hidden="1">'7.25'!#REF!</definedName>
    <definedName name="取樣回收每月庫存表" localSheetId="21" hidden="1">'7.28'!#REF!</definedName>
    <definedName name="取樣回收每月庫存表" localSheetId="22" hidden="1">'7.29'!#REF!</definedName>
    <definedName name="取樣回收每月庫存表" localSheetId="5" hidden="1">'7.3'!#REF!</definedName>
    <definedName name="取樣回收每月庫存表" localSheetId="23" hidden="1">'7.30'!#REF!</definedName>
    <definedName name="取樣回收每月庫存表" localSheetId="24" hidden="1">'7.31'!#REF!</definedName>
    <definedName name="取樣回收每月庫存表" localSheetId="6" hidden="1">'7.4'!#REF!</definedName>
    <definedName name="取樣回收每月庫存表" localSheetId="7" hidden="1">'7.8'!#REF!</definedName>
    <definedName name="取樣回收每月庫存表" localSheetId="8" hidden="1">'7.9'!#REF!</definedName>
    <definedName name="取樣回收每月庫存表_0620更新" localSheetId="2" hidden="1">'6.30'!$AG$13:$BH$189</definedName>
    <definedName name="取樣回收每月庫存表_0620更新" localSheetId="3" hidden="1">'7.1'!$AG$13:$BH$189</definedName>
    <definedName name="取樣回收每月庫存表_0620更新" localSheetId="9" hidden="1">'7.10'!$AG$13:$BH$189</definedName>
    <definedName name="取樣回收每月庫存表_0620更新" localSheetId="10" hidden="1">'7.11'!$AG$13:$BH$189</definedName>
    <definedName name="取樣回收每月庫存表_0620更新" localSheetId="11" hidden="1">'7.14'!$AG$13:$BH$189</definedName>
    <definedName name="取樣回收每月庫存表_0620更新" localSheetId="12" hidden="1">'7.15'!$AG$13:$BH$189</definedName>
    <definedName name="取樣回收每月庫存表_0620更新" localSheetId="13" hidden="1">'7.16'!$AG$13:$BH$189</definedName>
    <definedName name="取樣回收每月庫存表_0620更新" localSheetId="14" hidden="1">'7.17'!$AG$13:$BH$189</definedName>
    <definedName name="取樣回收每月庫存表_0620更新" localSheetId="15" hidden="1">'7.18'!$AG$13:$BH$189</definedName>
    <definedName name="取樣回收每月庫存表_0620更新" localSheetId="4" hidden="1">'7.2'!$AG$13:$BH$189</definedName>
    <definedName name="取樣回收每月庫存表_0620更新" localSheetId="16" hidden="1">'7.21'!$AG$13:$BH$189</definedName>
    <definedName name="取樣回收每月庫存表_0620更新" localSheetId="17" hidden="1">'7.22'!$AG$13:$BH$189</definedName>
    <definedName name="取樣回收每月庫存表_0620更新" localSheetId="18" hidden="1">'7.23'!$AG$13:$BH$189</definedName>
    <definedName name="取樣回收每月庫存表_0620更新" localSheetId="19" hidden="1">'7.24'!$AG$13:$BH$189</definedName>
    <definedName name="取樣回收每月庫存表_0620更新" localSheetId="20" hidden="1">'7.25'!$AG$13:$BH$189</definedName>
    <definedName name="取樣回收每月庫存表_0620更新" localSheetId="21" hidden="1">'7.28'!$AG$13:$BH$189</definedName>
    <definedName name="取樣回收每月庫存表_0620更新" localSheetId="22" hidden="1">'7.29'!$AG$13:$BH$189</definedName>
    <definedName name="取樣回收每月庫存表_0620更新" localSheetId="5" hidden="1">'7.3'!$AG$13:$BH$189</definedName>
    <definedName name="取樣回收每月庫存表_0620更新" localSheetId="23" hidden="1">'7.30'!$AG$13:$BH$189</definedName>
    <definedName name="取樣回收每月庫存表_0620更新" localSheetId="24" hidden="1">'7.31'!$AG$13:$BH$189</definedName>
    <definedName name="取樣回收每月庫存表_0620更新" localSheetId="6" hidden="1">'7.4'!$AG$13:$BH$189</definedName>
    <definedName name="取樣回收每月庫存表_0620更新" localSheetId="7" hidden="1">'7.8'!$AG$13:$BH$189</definedName>
    <definedName name="取樣回收每月庫存表_0620更新" localSheetId="8" hidden="1">'7.9'!$AG$13:$BH$189</definedName>
    <definedName name="複本_14_取樣回收每月庫存表" localSheetId="2" hidden="1">'6.30'!#REF!</definedName>
    <definedName name="複本_14_取樣回收每月庫存表" localSheetId="3" hidden="1">'7.1'!#REF!</definedName>
    <definedName name="複本_14_取樣回收每月庫存表" localSheetId="9" hidden="1">'7.10'!#REF!</definedName>
    <definedName name="複本_14_取樣回收每月庫存表" localSheetId="10" hidden="1">'7.11'!#REF!</definedName>
    <definedName name="複本_14_取樣回收每月庫存表" localSheetId="11" hidden="1">'7.14'!#REF!</definedName>
    <definedName name="複本_14_取樣回收每月庫存表" localSheetId="12" hidden="1">'7.15'!#REF!</definedName>
    <definedName name="複本_14_取樣回收每月庫存表" localSheetId="13" hidden="1">'7.16'!#REF!</definedName>
    <definedName name="複本_14_取樣回收每月庫存表" localSheetId="14" hidden="1">'7.17'!#REF!</definedName>
    <definedName name="複本_14_取樣回收每月庫存表" localSheetId="15" hidden="1">'7.18'!#REF!</definedName>
    <definedName name="複本_14_取樣回收每月庫存表" localSheetId="4" hidden="1">'7.2'!#REF!</definedName>
    <definedName name="複本_14_取樣回收每月庫存表" localSheetId="16" hidden="1">'7.21'!#REF!</definedName>
    <definedName name="複本_14_取樣回收每月庫存表" localSheetId="17" hidden="1">'7.22'!#REF!</definedName>
    <definedName name="複本_14_取樣回收每月庫存表" localSheetId="18" hidden="1">'7.23'!#REF!</definedName>
    <definedName name="複本_14_取樣回收每月庫存表" localSheetId="19" hidden="1">'7.24'!#REF!</definedName>
    <definedName name="複本_14_取樣回收每月庫存表" localSheetId="20" hidden="1">'7.25'!#REF!</definedName>
    <definedName name="複本_14_取樣回收每月庫存表" localSheetId="21" hidden="1">'7.28'!#REF!</definedName>
    <definedName name="複本_14_取樣回收每月庫存表" localSheetId="22" hidden="1">'7.29'!#REF!</definedName>
    <definedName name="複本_14_取樣回收每月庫存表" localSheetId="5" hidden="1">'7.3'!#REF!</definedName>
    <definedName name="複本_14_取樣回收每月庫存表" localSheetId="23" hidden="1">'7.30'!#REF!</definedName>
    <definedName name="複本_14_取樣回收每月庫存表" localSheetId="24" hidden="1">'7.31'!#REF!</definedName>
    <definedName name="複本_14_取樣回收每月庫存表" localSheetId="6" hidden="1">'7.4'!#REF!</definedName>
    <definedName name="複本_14_取樣回收每月庫存表" localSheetId="7" hidden="1">'7.8'!#REF!</definedName>
    <definedName name="複本_14_取樣回收每月庫存表" localSheetId="8" hidden="1">'7.9'!#REF!</definedName>
  </definedNames>
  <calcPr calcId="162913"/>
</workbook>
</file>

<file path=xl/calcChain.xml><?xml version="1.0" encoding="utf-8"?>
<calcChain xmlns="http://schemas.openxmlformats.org/spreadsheetml/2006/main">
  <c r="AA33" i="1944" l="1"/>
  <c r="X33" i="1944"/>
  <c r="U33" i="1944"/>
  <c r="R33" i="1944"/>
  <c r="O33" i="1944"/>
  <c r="L33" i="1944"/>
  <c r="F33" i="1944"/>
  <c r="Y28" i="1944"/>
  <c r="X28" i="1944"/>
  <c r="W28" i="1944"/>
  <c r="V28" i="1944"/>
  <c r="U28" i="1944"/>
  <c r="T28" i="1944"/>
  <c r="S28" i="1944"/>
  <c r="R28" i="1944"/>
  <c r="Q28" i="1944"/>
  <c r="P28" i="1944"/>
  <c r="O28" i="1944"/>
  <c r="N28" i="1944"/>
  <c r="M28" i="1944"/>
  <c r="L28" i="1944"/>
  <c r="K28" i="1944"/>
  <c r="J28" i="1944"/>
  <c r="I28" i="1944"/>
  <c r="H28" i="1944"/>
  <c r="G28" i="1944"/>
  <c r="F28" i="1944"/>
  <c r="E28" i="1944"/>
  <c r="D28" i="1944"/>
  <c r="Y25" i="1944"/>
  <c r="X25" i="1944"/>
  <c r="W25" i="1944"/>
  <c r="V25" i="1944"/>
  <c r="U25" i="1944"/>
  <c r="T25" i="1944"/>
  <c r="S25" i="1944"/>
  <c r="R25" i="1944"/>
  <c r="Q25" i="1944"/>
  <c r="P25" i="1944"/>
  <c r="O25" i="1944"/>
  <c r="N25" i="1944"/>
  <c r="M25" i="1944"/>
  <c r="L25" i="1944"/>
  <c r="K25" i="1944"/>
  <c r="J25" i="1944"/>
  <c r="I25" i="1944"/>
  <c r="H25" i="1944"/>
  <c r="G25" i="1944"/>
  <c r="F25" i="1944"/>
  <c r="E25" i="1944"/>
  <c r="D25" i="1944"/>
  <c r="AE19" i="1944"/>
  <c r="AD19" i="1944"/>
  <c r="AC19" i="1944"/>
  <c r="AB19" i="1944"/>
  <c r="AA19" i="1944"/>
  <c r="Z19" i="1944"/>
  <c r="Y19" i="1944"/>
  <c r="X19" i="1944"/>
  <c r="T33" i="1944" s="1"/>
  <c r="W19" i="1944"/>
  <c r="V19" i="1944"/>
  <c r="U19" i="1944"/>
  <c r="T19" i="1944"/>
  <c r="S19" i="1944"/>
  <c r="R19" i="1944"/>
  <c r="Q19" i="1944"/>
  <c r="P19" i="1944"/>
  <c r="O19" i="1944"/>
  <c r="N19" i="1944"/>
  <c r="H33" i="1944" s="1"/>
  <c r="M19" i="1944"/>
  <c r="L19" i="1944"/>
  <c r="P33" i="1944" s="1"/>
  <c r="K19" i="1944"/>
  <c r="J19" i="1944"/>
  <c r="I19" i="1944"/>
  <c r="AB33" i="1944" s="1"/>
  <c r="H19" i="1944"/>
  <c r="G19" i="1944"/>
  <c r="F19" i="1944"/>
  <c r="E19" i="1944"/>
  <c r="D19" i="1944"/>
  <c r="AE16" i="1944"/>
  <c r="AD16" i="1944"/>
  <c r="AC16" i="1944"/>
  <c r="AB16" i="1944"/>
  <c r="AA16" i="1944"/>
  <c r="Z16" i="1944"/>
  <c r="X16" i="1944"/>
  <c r="W16" i="1944"/>
  <c r="V16" i="1944"/>
  <c r="U16" i="1944"/>
  <c r="T16" i="1944"/>
  <c r="S16" i="1944"/>
  <c r="R16" i="1944"/>
  <c r="Q16" i="1944"/>
  <c r="P16" i="1944"/>
  <c r="O16" i="1944"/>
  <c r="N16" i="1944"/>
  <c r="M16" i="1944"/>
  <c r="L16" i="1944"/>
  <c r="K16" i="1944"/>
  <c r="J16" i="1944"/>
  <c r="I16" i="1944"/>
  <c r="H16" i="1944"/>
  <c r="G16" i="1944"/>
  <c r="F16" i="1944"/>
  <c r="E16" i="1944"/>
  <c r="D16" i="1944"/>
  <c r="AE10" i="1944"/>
  <c r="AD10" i="1944"/>
  <c r="AC33" i="1944" s="1"/>
  <c r="AC10" i="1944"/>
  <c r="AB10" i="1944"/>
  <c r="AA10" i="1944"/>
  <c r="Z10" i="1944"/>
  <c r="Y10" i="1944"/>
  <c r="X10" i="1944"/>
  <c r="W10" i="1944"/>
  <c r="V10" i="1944"/>
  <c r="U10" i="1944"/>
  <c r="T10" i="1944"/>
  <c r="S10" i="1944"/>
  <c r="R10" i="1944"/>
  <c r="Q10" i="1944"/>
  <c r="P10" i="1944"/>
  <c r="O10" i="1944"/>
  <c r="N10" i="1944"/>
  <c r="Q33" i="1944" s="1"/>
  <c r="M10" i="1944"/>
  <c r="L10" i="1944"/>
  <c r="K10" i="1944"/>
  <c r="J10" i="1944"/>
  <c r="I10" i="1944"/>
  <c r="H10" i="1944"/>
  <c r="G10" i="1944"/>
  <c r="F10" i="1944"/>
  <c r="E10" i="1944"/>
  <c r="D10" i="1944"/>
  <c r="AE7" i="1944"/>
  <c r="AD7" i="1944"/>
  <c r="AC7" i="1944"/>
  <c r="AB7" i="1944"/>
  <c r="AA7" i="1944"/>
  <c r="Z7" i="1944"/>
  <c r="Y7" i="1944"/>
  <c r="X7" i="1944"/>
  <c r="W7" i="1944"/>
  <c r="V7" i="1944"/>
  <c r="U7" i="1944"/>
  <c r="T7" i="1944"/>
  <c r="S7" i="1944"/>
  <c r="R7" i="1944"/>
  <c r="Q7" i="1944"/>
  <c r="P7" i="1944"/>
  <c r="O7" i="1944"/>
  <c r="N7" i="1944"/>
  <c r="M7" i="1944"/>
  <c r="L7" i="1944"/>
  <c r="K7" i="1944"/>
  <c r="J7" i="1944"/>
  <c r="I7" i="1944"/>
  <c r="H7" i="1944"/>
  <c r="G7" i="1944"/>
  <c r="F7" i="1944"/>
  <c r="E7" i="1944"/>
  <c r="D7" i="1944"/>
  <c r="S33" i="1944" l="1"/>
  <c r="J33" i="1944"/>
  <c r="K33" i="1944"/>
  <c r="W33" i="1944"/>
  <c r="D33" i="1944"/>
  <c r="Z33" i="1944"/>
  <c r="Y33" i="1944"/>
  <c r="N33" i="1944"/>
  <c r="E33" i="1944"/>
  <c r="M33" i="1944"/>
  <c r="V33" i="1944"/>
  <c r="AA33" i="1943"/>
  <c r="X33" i="1943"/>
  <c r="U33" i="1943"/>
  <c r="R33" i="1943"/>
  <c r="O33" i="1943"/>
  <c r="L33" i="1943"/>
  <c r="F33" i="1943"/>
  <c r="Y28" i="1943"/>
  <c r="X28" i="1943"/>
  <c r="W28" i="1943"/>
  <c r="V28" i="1943"/>
  <c r="U28" i="1943"/>
  <c r="T28" i="1943"/>
  <c r="S28" i="1943"/>
  <c r="R28" i="1943"/>
  <c r="Q28" i="1943"/>
  <c r="P28" i="1943"/>
  <c r="O28" i="1943"/>
  <c r="N28" i="1943"/>
  <c r="M28" i="1943"/>
  <c r="L28" i="1943"/>
  <c r="K28" i="1943"/>
  <c r="J28" i="1943"/>
  <c r="I28" i="1943"/>
  <c r="H28" i="1943"/>
  <c r="G28" i="1943"/>
  <c r="F28" i="1943"/>
  <c r="E28" i="1943"/>
  <c r="D28" i="1943"/>
  <c r="Y25" i="1943"/>
  <c r="X25" i="1943"/>
  <c r="W25" i="1943"/>
  <c r="V25" i="1943"/>
  <c r="U25" i="1943"/>
  <c r="T25" i="1943"/>
  <c r="S25" i="1943"/>
  <c r="R25" i="1943"/>
  <c r="Q25" i="1943"/>
  <c r="P25" i="1943"/>
  <c r="O25" i="1943"/>
  <c r="N25" i="1943"/>
  <c r="M25" i="1943"/>
  <c r="L25" i="1943"/>
  <c r="K25" i="1943"/>
  <c r="J25" i="1943"/>
  <c r="I25" i="1943"/>
  <c r="H25" i="1943"/>
  <c r="G25" i="1943"/>
  <c r="F25" i="1943"/>
  <c r="E25" i="1943"/>
  <c r="D25" i="1943"/>
  <c r="AE19" i="1943"/>
  <c r="AD19" i="1943"/>
  <c r="AC19" i="1943"/>
  <c r="AB19" i="1943"/>
  <c r="AA19" i="1943"/>
  <c r="Z19" i="1943"/>
  <c r="Y19" i="1943"/>
  <c r="X19" i="1943"/>
  <c r="T33" i="1943" s="1"/>
  <c r="W19" i="1943"/>
  <c r="V19" i="1943"/>
  <c r="U19" i="1943"/>
  <c r="T19" i="1943"/>
  <c r="S19" i="1943"/>
  <c r="R19" i="1943"/>
  <c r="Q19" i="1943"/>
  <c r="P19" i="1943"/>
  <c r="O19" i="1943"/>
  <c r="N19" i="1943"/>
  <c r="H33" i="1943" s="1"/>
  <c r="M19" i="1943"/>
  <c r="L19" i="1943"/>
  <c r="P33" i="1943" s="1"/>
  <c r="K19" i="1943"/>
  <c r="J19" i="1943"/>
  <c r="I19" i="1943"/>
  <c r="AB33" i="1943" s="1"/>
  <c r="H19" i="1943"/>
  <c r="G19" i="1943"/>
  <c r="F19" i="1943"/>
  <c r="E19" i="1943"/>
  <c r="D19" i="1943"/>
  <c r="AE16" i="1943"/>
  <c r="AD16" i="1943"/>
  <c r="AC16" i="1943"/>
  <c r="AB16" i="1943"/>
  <c r="AA16" i="1943"/>
  <c r="Z16" i="1943"/>
  <c r="X16" i="1943"/>
  <c r="W16" i="1943"/>
  <c r="V16" i="1943"/>
  <c r="U16" i="1943"/>
  <c r="T16" i="1943"/>
  <c r="S16" i="1943"/>
  <c r="R16" i="1943"/>
  <c r="Q16" i="1943"/>
  <c r="P16" i="1943"/>
  <c r="O16" i="1943"/>
  <c r="N16" i="1943"/>
  <c r="M16" i="1943"/>
  <c r="L16" i="1943"/>
  <c r="K16" i="1943"/>
  <c r="J16" i="1943"/>
  <c r="I16" i="1943"/>
  <c r="H16" i="1943"/>
  <c r="G16" i="1943"/>
  <c r="F16" i="1943"/>
  <c r="E16" i="1943"/>
  <c r="D16" i="1943"/>
  <c r="AE10" i="1943"/>
  <c r="AD10" i="1943"/>
  <c r="AC33" i="1943" s="1"/>
  <c r="AC10" i="1943"/>
  <c r="AB10" i="1943"/>
  <c r="AA10" i="1943"/>
  <c r="Z10" i="1943"/>
  <c r="Y10" i="1943"/>
  <c r="X10" i="1943"/>
  <c r="W10" i="1943"/>
  <c r="V10" i="1943"/>
  <c r="U10" i="1943"/>
  <c r="T10" i="1943"/>
  <c r="S10" i="1943"/>
  <c r="R10" i="1943"/>
  <c r="Q10" i="1943"/>
  <c r="P10" i="1943"/>
  <c r="O10" i="1943"/>
  <c r="N10" i="1943"/>
  <c r="M10" i="1943"/>
  <c r="L10" i="1943"/>
  <c r="N33" i="1943" s="1"/>
  <c r="K10" i="1943"/>
  <c r="J10" i="1943"/>
  <c r="I10" i="1943"/>
  <c r="H10" i="1943"/>
  <c r="G10" i="1943"/>
  <c r="F10" i="1943"/>
  <c r="J33" i="1943" s="1"/>
  <c r="E10" i="1943"/>
  <c r="S33" i="1943" s="1"/>
  <c r="D10" i="1943"/>
  <c r="AE7" i="1943"/>
  <c r="AD7" i="1943"/>
  <c r="AC7" i="1943"/>
  <c r="AB7" i="1943"/>
  <c r="AA7" i="1943"/>
  <c r="Z7" i="1943"/>
  <c r="Y7" i="1943"/>
  <c r="X7" i="1943"/>
  <c r="W7" i="1943"/>
  <c r="V7" i="1943"/>
  <c r="U7" i="1943"/>
  <c r="T7" i="1943"/>
  <c r="S7" i="1943"/>
  <c r="R7" i="1943"/>
  <c r="Q7" i="1943"/>
  <c r="P7" i="1943"/>
  <c r="O7" i="1943"/>
  <c r="N7" i="1943"/>
  <c r="M7" i="1943"/>
  <c r="L7" i="1943"/>
  <c r="K7" i="1943"/>
  <c r="J7" i="1943"/>
  <c r="I7" i="1943"/>
  <c r="H7" i="1943"/>
  <c r="G7" i="1943"/>
  <c r="F7" i="1943"/>
  <c r="E7" i="1943"/>
  <c r="D7" i="1943"/>
  <c r="K33" i="1943" l="1"/>
  <c r="W33" i="1943"/>
  <c r="Z33" i="1943"/>
  <c r="D33" i="1943"/>
  <c r="Y33" i="1943"/>
  <c r="Q33" i="1943"/>
  <c r="E33" i="1943"/>
  <c r="M33" i="1943"/>
  <c r="V33" i="1943"/>
  <c r="AA33" i="1942"/>
  <c r="X33" i="1942"/>
  <c r="U33" i="1942"/>
  <c r="R33" i="1942"/>
  <c r="O33" i="1942"/>
  <c r="L33" i="1942"/>
  <c r="F33" i="1942"/>
  <c r="Y28" i="1942"/>
  <c r="X28" i="1942"/>
  <c r="W28" i="1942"/>
  <c r="V28" i="1942"/>
  <c r="U28" i="1942"/>
  <c r="T28" i="1942"/>
  <c r="S28" i="1942"/>
  <c r="R28" i="1942"/>
  <c r="Q28" i="1942"/>
  <c r="P28" i="1942"/>
  <c r="O28" i="1942"/>
  <c r="N28" i="1942"/>
  <c r="M28" i="1942"/>
  <c r="L28" i="1942"/>
  <c r="K28" i="1942"/>
  <c r="J28" i="1942"/>
  <c r="I28" i="1942"/>
  <c r="H28" i="1942"/>
  <c r="G28" i="1942"/>
  <c r="F28" i="1942"/>
  <c r="E28" i="1942"/>
  <c r="D28" i="1942"/>
  <c r="Y25" i="1942"/>
  <c r="X25" i="1942"/>
  <c r="W25" i="1942"/>
  <c r="V25" i="1942"/>
  <c r="U25" i="1942"/>
  <c r="T25" i="1942"/>
  <c r="S25" i="1942"/>
  <c r="R25" i="1942"/>
  <c r="Q25" i="1942"/>
  <c r="P25" i="1942"/>
  <c r="O25" i="1942"/>
  <c r="N25" i="1942"/>
  <c r="M25" i="1942"/>
  <c r="L25" i="1942"/>
  <c r="K25" i="1942"/>
  <c r="J25" i="1942"/>
  <c r="I25" i="1942"/>
  <c r="H25" i="1942"/>
  <c r="G25" i="1942"/>
  <c r="F25" i="1942"/>
  <c r="E25" i="1942"/>
  <c r="D25" i="1942"/>
  <c r="AE19" i="1942"/>
  <c r="AD19" i="1942"/>
  <c r="AC19" i="1942"/>
  <c r="AB19" i="1942"/>
  <c r="AA19" i="1942"/>
  <c r="Z19" i="1942"/>
  <c r="Y19" i="1942"/>
  <c r="X19" i="1942"/>
  <c r="T33" i="1942" s="1"/>
  <c r="W19" i="1942"/>
  <c r="V19" i="1942"/>
  <c r="U19" i="1942"/>
  <c r="T19" i="1942"/>
  <c r="S19" i="1942"/>
  <c r="R19" i="1942"/>
  <c r="Q19" i="1942"/>
  <c r="P19" i="1942"/>
  <c r="O19" i="1942"/>
  <c r="N19" i="1942"/>
  <c r="H33" i="1942" s="1"/>
  <c r="M19" i="1942"/>
  <c r="L19" i="1942"/>
  <c r="P33" i="1942" s="1"/>
  <c r="K19" i="1942"/>
  <c r="J19" i="1942"/>
  <c r="I19" i="1942"/>
  <c r="AB33" i="1942" s="1"/>
  <c r="H19" i="1942"/>
  <c r="G19" i="1942"/>
  <c r="F19" i="1942"/>
  <c r="E19" i="1942"/>
  <c r="D19" i="1942"/>
  <c r="AE16" i="1942"/>
  <c r="AD16" i="1942"/>
  <c r="AC16" i="1942"/>
  <c r="AB16" i="1942"/>
  <c r="AA16" i="1942"/>
  <c r="Z16" i="1942"/>
  <c r="X16" i="1942"/>
  <c r="W16" i="1942"/>
  <c r="V16" i="1942"/>
  <c r="U16" i="1942"/>
  <c r="T16" i="1942"/>
  <c r="S16" i="1942"/>
  <c r="R16" i="1942"/>
  <c r="Q16" i="1942"/>
  <c r="P16" i="1942"/>
  <c r="O16" i="1942"/>
  <c r="N16" i="1942"/>
  <c r="M16" i="1942"/>
  <c r="L16" i="1942"/>
  <c r="K16" i="1942"/>
  <c r="J16" i="1942"/>
  <c r="I16" i="1942"/>
  <c r="H16" i="1942"/>
  <c r="G16" i="1942"/>
  <c r="F16" i="1942"/>
  <c r="E16" i="1942"/>
  <c r="D16" i="1942"/>
  <c r="AE10" i="1942"/>
  <c r="AD10" i="1942"/>
  <c r="AC33" i="1942" s="1"/>
  <c r="AC10" i="1942"/>
  <c r="AB10" i="1942"/>
  <c r="AA10" i="1942"/>
  <c r="D33" i="1942" s="1"/>
  <c r="Z10" i="1942"/>
  <c r="Y10" i="1942"/>
  <c r="X10" i="1942"/>
  <c r="W10" i="1942"/>
  <c r="V10" i="1942"/>
  <c r="U10" i="1942"/>
  <c r="T10" i="1942"/>
  <c r="S10" i="1942"/>
  <c r="R10" i="1942"/>
  <c r="Q10" i="1942"/>
  <c r="P10" i="1942"/>
  <c r="O10" i="1942"/>
  <c r="N10" i="1942"/>
  <c r="Q33" i="1942" s="1"/>
  <c r="M10" i="1942"/>
  <c r="L10" i="1942"/>
  <c r="N33" i="1942" s="1"/>
  <c r="K10" i="1942"/>
  <c r="J10" i="1942"/>
  <c r="I10" i="1942"/>
  <c r="H10" i="1942"/>
  <c r="G10" i="1942"/>
  <c r="F10" i="1942"/>
  <c r="J33" i="1942" s="1"/>
  <c r="E10" i="1942"/>
  <c r="S33" i="1942" s="1"/>
  <c r="D10" i="1942"/>
  <c r="AE7" i="1942"/>
  <c r="AD7" i="1942"/>
  <c r="AC7" i="1942"/>
  <c r="AB7" i="1942"/>
  <c r="AA7" i="1942"/>
  <c r="Z7" i="1942"/>
  <c r="Y7" i="1942"/>
  <c r="X7" i="1942"/>
  <c r="W7" i="1942"/>
  <c r="V7" i="1942"/>
  <c r="U7" i="1942"/>
  <c r="T7" i="1942"/>
  <c r="S7" i="1942"/>
  <c r="R7" i="1942"/>
  <c r="Q7" i="1942"/>
  <c r="P7" i="1942"/>
  <c r="O7" i="1942"/>
  <c r="N7" i="1942"/>
  <c r="M7" i="1942"/>
  <c r="L7" i="1942"/>
  <c r="K7" i="1942"/>
  <c r="J7" i="1942"/>
  <c r="I7" i="1942"/>
  <c r="H7" i="1942"/>
  <c r="G7" i="1942"/>
  <c r="F7" i="1942"/>
  <c r="E7" i="1942"/>
  <c r="D7" i="1942"/>
  <c r="K33" i="1942" l="1"/>
  <c r="W33" i="1942"/>
  <c r="Z33" i="1942"/>
  <c r="Y33" i="1942"/>
  <c r="E33" i="1942"/>
  <c r="M33" i="1942"/>
  <c r="V33" i="1942"/>
  <c r="AA33" i="1941"/>
  <c r="X33" i="1941"/>
  <c r="U33" i="1941"/>
  <c r="R33" i="1941"/>
  <c r="O33" i="1941"/>
  <c r="L33" i="1941"/>
  <c r="F33" i="1941"/>
  <c r="Y28" i="1941"/>
  <c r="X28" i="1941"/>
  <c r="W28" i="1941"/>
  <c r="V28" i="1941"/>
  <c r="U28" i="1941"/>
  <c r="T28" i="1941"/>
  <c r="S28" i="1941"/>
  <c r="R28" i="1941"/>
  <c r="Q28" i="1941"/>
  <c r="P28" i="1941"/>
  <c r="O28" i="1941"/>
  <c r="N28" i="1941"/>
  <c r="M28" i="1941"/>
  <c r="L28" i="1941"/>
  <c r="K28" i="1941"/>
  <c r="J28" i="1941"/>
  <c r="I28" i="1941"/>
  <c r="H28" i="1941"/>
  <c r="G28" i="1941"/>
  <c r="F28" i="1941"/>
  <c r="E28" i="1941"/>
  <c r="D28" i="1941"/>
  <c r="Y25" i="1941"/>
  <c r="X25" i="1941"/>
  <c r="W25" i="1941"/>
  <c r="V25" i="1941"/>
  <c r="U25" i="1941"/>
  <c r="T25" i="1941"/>
  <c r="S25" i="1941"/>
  <c r="R25" i="1941"/>
  <c r="Q25" i="1941"/>
  <c r="P25" i="1941"/>
  <c r="O25" i="1941"/>
  <c r="N25" i="1941"/>
  <c r="M25" i="1941"/>
  <c r="L25" i="1941"/>
  <c r="K25" i="1941"/>
  <c r="J25" i="1941"/>
  <c r="I25" i="1941"/>
  <c r="H25" i="1941"/>
  <c r="G25" i="1941"/>
  <c r="F25" i="1941"/>
  <c r="E25" i="1941"/>
  <c r="D25" i="1941"/>
  <c r="AE19" i="1941"/>
  <c r="AD19" i="1941"/>
  <c r="AC19" i="1941"/>
  <c r="AB19" i="1941"/>
  <c r="AA19" i="1941"/>
  <c r="Z19" i="1941"/>
  <c r="Y19" i="1941"/>
  <c r="X19" i="1941"/>
  <c r="T33" i="1941" s="1"/>
  <c r="W19" i="1941"/>
  <c r="V19" i="1941"/>
  <c r="U19" i="1941"/>
  <c r="T19" i="1941"/>
  <c r="S19" i="1941"/>
  <c r="R19" i="1941"/>
  <c r="Q19" i="1941"/>
  <c r="P19" i="1941"/>
  <c r="O19" i="1941"/>
  <c r="N19" i="1941"/>
  <c r="H33" i="1941" s="1"/>
  <c r="M19" i="1941"/>
  <c r="L19" i="1941"/>
  <c r="P33" i="1941" s="1"/>
  <c r="K19" i="1941"/>
  <c r="J19" i="1941"/>
  <c r="I19" i="1941"/>
  <c r="AB33" i="1941" s="1"/>
  <c r="H19" i="1941"/>
  <c r="G19" i="1941"/>
  <c r="F19" i="1941"/>
  <c r="E19" i="1941"/>
  <c r="D19" i="1941"/>
  <c r="AE16" i="1941"/>
  <c r="AD16" i="1941"/>
  <c r="AC16" i="1941"/>
  <c r="AB16" i="1941"/>
  <c r="AA16" i="1941"/>
  <c r="Z16" i="1941"/>
  <c r="X16" i="1941"/>
  <c r="W16" i="1941"/>
  <c r="V16" i="1941"/>
  <c r="U16" i="1941"/>
  <c r="T16" i="1941"/>
  <c r="S16" i="1941"/>
  <c r="R16" i="1941"/>
  <c r="Q16" i="1941"/>
  <c r="P16" i="1941"/>
  <c r="O16" i="1941"/>
  <c r="N16" i="1941"/>
  <c r="M16" i="1941"/>
  <c r="L16" i="1941"/>
  <c r="K16" i="1941"/>
  <c r="J16" i="1941"/>
  <c r="I16" i="1941"/>
  <c r="H16" i="1941"/>
  <c r="G16" i="1941"/>
  <c r="F16" i="1941"/>
  <c r="E16" i="1941"/>
  <c r="D16" i="1941"/>
  <c r="AE10" i="1941"/>
  <c r="AD10" i="1941"/>
  <c r="AC33" i="1941" s="1"/>
  <c r="AC10" i="1941"/>
  <c r="AB10" i="1941"/>
  <c r="AA10" i="1941"/>
  <c r="D33" i="1941" s="1"/>
  <c r="Z10" i="1941"/>
  <c r="Y10" i="1941"/>
  <c r="X10" i="1941"/>
  <c r="W10" i="1941"/>
  <c r="V10" i="1941"/>
  <c r="U10" i="1941"/>
  <c r="T10" i="1941"/>
  <c r="S10" i="1941"/>
  <c r="R10" i="1941"/>
  <c r="Q10" i="1941"/>
  <c r="P10" i="1941"/>
  <c r="O10" i="1941"/>
  <c r="N10" i="1941"/>
  <c r="Q33" i="1941" s="1"/>
  <c r="M10" i="1941"/>
  <c r="L10" i="1941"/>
  <c r="N33" i="1941" s="1"/>
  <c r="K10" i="1941"/>
  <c r="J10" i="1941"/>
  <c r="I10" i="1941"/>
  <c r="H10" i="1941"/>
  <c r="G10" i="1941"/>
  <c r="F10" i="1941"/>
  <c r="J33" i="1941" s="1"/>
  <c r="E10" i="1941"/>
  <c r="S33" i="1941" s="1"/>
  <c r="D10" i="1941"/>
  <c r="AE7" i="1941"/>
  <c r="AD7" i="1941"/>
  <c r="AC7" i="1941"/>
  <c r="AB7" i="1941"/>
  <c r="AA7" i="1941"/>
  <c r="Z7" i="1941"/>
  <c r="Y7" i="1941"/>
  <c r="X7" i="1941"/>
  <c r="W7" i="1941"/>
  <c r="V7" i="1941"/>
  <c r="U7" i="1941"/>
  <c r="T7" i="1941"/>
  <c r="S7" i="1941"/>
  <c r="R7" i="1941"/>
  <c r="Q7" i="1941"/>
  <c r="P7" i="1941"/>
  <c r="O7" i="1941"/>
  <c r="N7" i="1941"/>
  <c r="M7" i="1941"/>
  <c r="L7" i="1941"/>
  <c r="K7" i="1941"/>
  <c r="J7" i="1941"/>
  <c r="I7" i="1941"/>
  <c r="H7" i="1941"/>
  <c r="G7" i="1941"/>
  <c r="F7" i="1941"/>
  <c r="E7" i="1941"/>
  <c r="D7" i="1941"/>
  <c r="K33" i="1941" l="1"/>
  <c r="W33" i="1941"/>
  <c r="Z33" i="1941"/>
  <c r="Y33" i="1941"/>
  <c r="E33" i="1941"/>
  <c r="M33" i="1941"/>
  <c r="V33" i="1941"/>
  <c r="AA33" i="1940"/>
  <c r="X33" i="1940"/>
  <c r="U33" i="1940"/>
  <c r="R33" i="1940"/>
  <c r="O33" i="1940"/>
  <c r="L33" i="1940"/>
  <c r="F33" i="1940"/>
  <c r="Y28" i="1940"/>
  <c r="X28" i="1940"/>
  <c r="W28" i="1940"/>
  <c r="V28" i="1940"/>
  <c r="U28" i="1940"/>
  <c r="T28" i="1940"/>
  <c r="S28" i="1940"/>
  <c r="R28" i="1940"/>
  <c r="Q28" i="1940"/>
  <c r="P28" i="1940"/>
  <c r="O28" i="1940"/>
  <c r="N28" i="1940"/>
  <c r="M28" i="1940"/>
  <c r="L28" i="1940"/>
  <c r="K28" i="1940"/>
  <c r="J28" i="1940"/>
  <c r="I28" i="1940"/>
  <c r="H28" i="1940"/>
  <c r="G28" i="1940"/>
  <c r="F28" i="1940"/>
  <c r="E28" i="1940"/>
  <c r="D28" i="1940"/>
  <c r="Y25" i="1940"/>
  <c r="X25" i="1940"/>
  <c r="W25" i="1940"/>
  <c r="V25" i="1940"/>
  <c r="U25" i="1940"/>
  <c r="T25" i="1940"/>
  <c r="S25" i="1940"/>
  <c r="R25" i="1940"/>
  <c r="Q25" i="1940"/>
  <c r="P25" i="1940"/>
  <c r="O25" i="1940"/>
  <c r="N25" i="1940"/>
  <c r="M25" i="1940"/>
  <c r="L25" i="1940"/>
  <c r="K25" i="1940"/>
  <c r="J25" i="1940"/>
  <c r="I25" i="1940"/>
  <c r="H25" i="1940"/>
  <c r="G25" i="1940"/>
  <c r="F25" i="1940"/>
  <c r="E25" i="1940"/>
  <c r="D25" i="1940"/>
  <c r="AE19" i="1940"/>
  <c r="AD19" i="1940"/>
  <c r="AC19" i="1940"/>
  <c r="AB19" i="1940"/>
  <c r="AA19" i="1940"/>
  <c r="Z19" i="1940"/>
  <c r="Y19" i="1940"/>
  <c r="X19" i="1940"/>
  <c r="T33" i="1940" s="1"/>
  <c r="W19" i="1940"/>
  <c r="V19" i="1940"/>
  <c r="U19" i="1940"/>
  <c r="T19" i="1940"/>
  <c r="S19" i="1940"/>
  <c r="R19" i="1940"/>
  <c r="Q19" i="1940"/>
  <c r="P19" i="1940"/>
  <c r="O19" i="1940"/>
  <c r="N19" i="1940"/>
  <c r="H33" i="1940" s="1"/>
  <c r="M19" i="1940"/>
  <c r="L19" i="1940"/>
  <c r="P33" i="1940" s="1"/>
  <c r="K19" i="1940"/>
  <c r="J19" i="1940"/>
  <c r="I19" i="1940"/>
  <c r="AB33" i="1940" s="1"/>
  <c r="H19" i="1940"/>
  <c r="G19" i="1940"/>
  <c r="F19" i="1940"/>
  <c r="E19" i="1940"/>
  <c r="D19" i="1940"/>
  <c r="AE16" i="1940"/>
  <c r="AD16" i="1940"/>
  <c r="AC16" i="1940"/>
  <c r="AB16" i="1940"/>
  <c r="AA16" i="1940"/>
  <c r="Z16" i="1940"/>
  <c r="X16" i="1940"/>
  <c r="W16" i="1940"/>
  <c r="V16" i="1940"/>
  <c r="U16" i="1940"/>
  <c r="T16" i="1940"/>
  <c r="S16" i="1940"/>
  <c r="R16" i="1940"/>
  <c r="Q16" i="1940"/>
  <c r="P16" i="1940"/>
  <c r="O16" i="1940"/>
  <c r="N16" i="1940"/>
  <c r="M16" i="1940"/>
  <c r="L16" i="1940"/>
  <c r="K16" i="1940"/>
  <c r="J16" i="1940"/>
  <c r="I16" i="1940"/>
  <c r="H16" i="1940"/>
  <c r="G16" i="1940"/>
  <c r="F16" i="1940"/>
  <c r="E16" i="1940"/>
  <c r="D16" i="1940"/>
  <c r="AE10" i="1940"/>
  <c r="AD10" i="1940"/>
  <c r="AC33" i="1940" s="1"/>
  <c r="AC10" i="1940"/>
  <c r="AB10" i="1940"/>
  <c r="AA10" i="1940"/>
  <c r="Z10" i="1940"/>
  <c r="Y10" i="1940"/>
  <c r="X10" i="1940"/>
  <c r="W10" i="1940"/>
  <c r="V10" i="1940"/>
  <c r="U10" i="1940"/>
  <c r="T10" i="1940"/>
  <c r="S10" i="1940"/>
  <c r="R10" i="1940"/>
  <c r="Q10" i="1940"/>
  <c r="P10" i="1940"/>
  <c r="O10" i="1940"/>
  <c r="N10" i="1940"/>
  <c r="M10" i="1940"/>
  <c r="L10" i="1940"/>
  <c r="N33" i="1940" s="1"/>
  <c r="K10" i="1940"/>
  <c r="J10" i="1940"/>
  <c r="I10" i="1940"/>
  <c r="H10" i="1940"/>
  <c r="G10" i="1940"/>
  <c r="F10" i="1940"/>
  <c r="J33" i="1940" s="1"/>
  <c r="E10" i="1940"/>
  <c r="S33" i="1940" s="1"/>
  <c r="D10" i="1940"/>
  <c r="AE7" i="1940"/>
  <c r="AD7" i="1940"/>
  <c r="AC7" i="1940"/>
  <c r="AB7" i="1940"/>
  <c r="AA7" i="1940"/>
  <c r="Z7" i="1940"/>
  <c r="Y7" i="1940"/>
  <c r="X7" i="1940"/>
  <c r="W7" i="1940"/>
  <c r="V7" i="1940"/>
  <c r="U7" i="1940"/>
  <c r="T7" i="1940"/>
  <c r="S7" i="1940"/>
  <c r="R7" i="1940"/>
  <c r="Q7" i="1940"/>
  <c r="P7" i="1940"/>
  <c r="O7" i="1940"/>
  <c r="N7" i="1940"/>
  <c r="M7" i="1940"/>
  <c r="L7" i="1940"/>
  <c r="K7" i="1940"/>
  <c r="J7" i="1940"/>
  <c r="I7" i="1940"/>
  <c r="H7" i="1940"/>
  <c r="G7" i="1940"/>
  <c r="F7" i="1940"/>
  <c r="E7" i="1940"/>
  <c r="D7" i="1940"/>
  <c r="K33" i="1940" l="1"/>
  <c r="W33" i="1940"/>
  <c r="Z33" i="1940"/>
  <c r="D33" i="1940"/>
  <c r="Y33" i="1940"/>
  <c r="Q33" i="1940"/>
  <c r="E33" i="1940"/>
  <c r="M33" i="1940"/>
  <c r="V33" i="1940"/>
  <c r="AA33" i="1939"/>
  <c r="X33" i="1939"/>
  <c r="U33" i="1939"/>
  <c r="R33" i="1939"/>
  <c r="O33" i="1939"/>
  <c r="N33" i="1939"/>
  <c r="L33" i="1939"/>
  <c r="F33" i="1939"/>
  <c r="Y28" i="1939"/>
  <c r="X28" i="1939"/>
  <c r="W28" i="1939"/>
  <c r="V28" i="1939"/>
  <c r="U28" i="1939"/>
  <c r="T28" i="1939"/>
  <c r="S28" i="1939"/>
  <c r="R28" i="1939"/>
  <c r="Q28" i="1939"/>
  <c r="P28" i="1939"/>
  <c r="O28" i="1939"/>
  <c r="N28" i="1939"/>
  <c r="M28" i="1939"/>
  <c r="L28" i="1939"/>
  <c r="K28" i="1939"/>
  <c r="J28" i="1939"/>
  <c r="I28" i="1939"/>
  <c r="H28" i="1939"/>
  <c r="G28" i="1939"/>
  <c r="F28" i="1939"/>
  <c r="E28" i="1939"/>
  <c r="D28" i="1939"/>
  <c r="Y25" i="1939"/>
  <c r="X25" i="1939"/>
  <c r="W25" i="1939"/>
  <c r="V25" i="1939"/>
  <c r="U25" i="1939"/>
  <c r="T25" i="1939"/>
  <c r="S25" i="1939"/>
  <c r="R25" i="1939"/>
  <c r="Q25" i="1939"/>
  <c r="P25" i="1939"/>
  <c r="O25" i="1939"/>
  <c r="N25" i="1939"/>
  <c r="M25" i="1939"/>
  <c r="L25" i="1939"/>
  <c r="K25" i="1939"/>
  <c r="J25" i="1939"/>
  <c r="I25" i="1939"/>
  <c r="H25" i="1939"/>
  <c r="G25" i="1939"/>
  <c r="F25" i="1939"/>
  <c r="E25" i="1939"/>
  <c r="D25" i="1939"/>
  <c r="AE19" i="1939"/>
  <c r="AD19" i="1939"/>
  <c r="AC19" i="1939"/>
  <c r="AB19" i="1939"/>
  <c r="AA19" i="1939"/>
  <c r="Z19" i="1939"/>
  <c r="Y19" i="1939"/>
  <c r="X19" i="1939"/>
  <c r="T33" i="1939" s="1"/>
  <c r="W19" i="1939"/>
  <c r="V19" i="1939"/>
  <c r="U19" i="1939"/>
  <c r="T19" i="1939"/>
  <c r="S19" i="1939"/>
  <c r="R19" i="1939"/>
  <c r="Q19" i="1939"/>
  <c r="P19" i="1939"/>
  <c r="O19" i="1939"/>
  <c r="N19" i="1939"/>
  <c r="H33" i="1939" s="1"/>
  <c r="M19" i="1939"/>
  <c r="L19" i="1939"/>
  <c r="P33" i="1939" s="1"/>
  <c r="K19" i="1939"/>
  <c r="J19" i="1939"/>
  <c r="I19" i="1939"/>
  <c r="AB33" i="1939" s="1"/>
  <c r="H19" i="1939"/>
  <c r="G19" i="1939"/>
  <c r="F19" i="1939"/>
  <c r="E19" i="1939"/>
  <c r="D19" i="1939"/>
  <c r="AE16" i="1939"/>
  <c r="AD16" i="1939"/>
  <c r="AC16" i="1939"/>
  <c r="AB16" i="1939"/>
  <c r="AA16" i="1939"/>
  <c r="Z16" i="1939"/>
  <c r="X16" i="1939"/>
  <c r="W16" i="1939"/>
  <c r="V16" i="1939"/>
  <c r="U16" i="1939"/>
  <c r="T16" i="1939"/>
  <c r="S16" i="1939"/>
  <c r="R16" i="1939"/>
  <c r="Q16" i="1939"/>
  <c r="P16" i="1939"/>
  <c r="O16" i="1939"/>
  <c r="N16" i="1939"/>
  <c r="M16" i="1939"/>
  <c r="L16" i="1939"/>
  <c r="K16" i="1939"/>
  <c r="J16" i="1939"/>
  <c r="I16" i="1939"/>
  <c r="H16" i="1939"/>
  <c r="G16" i="1939"/>
  <c r="F16" i="1939"/>
  <c r="E16" i="1939"/>
  <c r="D16" i="1939"/>
  <c r="AE10" i="1939"/>
  <c r="AD10" i="1939"/>
  <c r="AC33" i="1939" s="1"/>
  <c r="AC10" i="1939"/>
  <c r="AB10" i="1939"/>
  <c r="AA10" i="1939"/>
  <c r="Z10" i="1939"/>
  <c r="Y10" i="1939"/>
  <c r="X10" i="1939"/>
  <c r="W10" i="1939"/>
  <c r="V10" i="1939"/>
  <c r="U10" i="1939"/>
  <c r="T10" i="1939"/>
  <c r="S10" i="1939"/>
  <c r="R10" i="1939"/>
  <c r="Q10" i="1939"/>
  <c r="P10" i="1939"/>
  <c r="O10" i="1939"/>
  <c r="N10" i="1939"/>
  <c r="Q33" i="1939" s="1"/>
  <c r="M10" i="1939"/>
  <c r="L10" i="1939"/>
  <c r="K10" i="1939"/>
  <c r="J10" i="1939"/>
  <c r="I10" i="1939"/>
  <c r="H10" i="1939"/>
  <c r="G10" i="1939"/>
  <c r="F10" i="1939"/>
  <c r="J33" i="1939" s="1"/>
  <c r="E10" i="1939"/>
  <c r="S33" i="1939" s="1"/>
  <c r="D10" i="1939"/>
  <c r="AE7" i="1939"/>
  <c r="AD7" i="1939"/>
  <c r="AC7" i="1939"/>
  <c r="AB7" i="1939"/>
  <c r="AA7" i="1939"/>
  <c r="Z7" i="1939"/>
  <c r="Y7" i="1939"/>
  <c r="X7" i="1939"/>
  <c r="W7" i="1939"/>
  <c r="V7" i="1939"/>
  <c r="U7" i="1939"/>
  <c r="T7" i="1939"/>
  <c r="S7" i="1939"/>
  <c r="R7" i="1939"/>
  <c r="Q7" i="1939"/>
  <c r="P7" i="1939"/>
  <c r="O7" i="1939"/>
  <c r="N7" i="1939"/>
  <c r="M7" i="1939"/>
  <c r="L7" i="1939"/>
  <c r="K7" i="1939"/>
  <c r="J7" i="1939"/>
  <c r="I7" i="1939"/>
  <c r="H7" i="1939"/>
  <c r="G7" i="1939"/>
  <c r="F7" i="1939"/>
  <c r="E7" i="1939"/>
  <c r="D7" i="1939"/>
  <c r="V33" i="1939" l="1"/>
  <c r="K33" i="1939"/>
  <c r="W33" i="1939"/>
  <c r="D33" i="1939"/>
  <c r="Z33" i="1939"/>
  <c r="Y33" i="1939"/>
  <c r="E33" i="1939"/>
  <c r="M33" i="1939"/>
  <c r="AA33" i="1938"/>
  <c r="X33" i="1938"/>
  <c r="U33" i="1938"/>
  <c r="R33" i="1938"/>
  <c r="O33" i="1938"/>
  <c r="L33" i="1938"/>
  <c r="F33" i="1938"/>
  <c r="Y28" i="1938"/>
  <c r="X28" i="1938"/>
  <c r="W28" i="1938"/>
  <c r="V28" i="1938"/>
  <c r="U28" i="1938"/>
  <c r="T28" i="1938"/>
  <c r="S28" i="1938"/>
  <c r="R28" i="1938"/>
  <c r="Q28" i="1938"/>
  <c r="P28" i="1938"/>
  <c r="O28" i="1938"/>
  <c r="N28" i="1938"/>
  <c r="M28" i="1938"/>
  <c r="L28" i="1938"/>
  <c r="K28" i="1938"/>
  <c r="J28" i="1938"/>
  <c r="I28" i="1938"/>
  <c r="H28" i="1938"/>
  <c r="G28" i="1938"/>
  <c r="F28" i="1938"/>
  <c r="E28" i="1938"/>
  <c r="D28" i="1938"/>
  <c r="Y25" i="1938"/>
  <c r="X25" i="1938"/>
  <c r="W25" i="1938"/>
  <c r="V25" i="1938"/>
  <c r="U25" i="1938"/>
  <c r="T25" i="1938"/>
  <c r="S25" i="1938"/>
  <c r="R25" i="1938"/>
  <c r="Q25" i="1938"/>
  <c r="P25" i="1938"/>
  <c r="O25" i="1938"/>
  <c r="N25" i="1938"/>
  <c r="M25" i="1938"/>
  <c r="L25" i="1938"/>
  <c r="K25" i="1938"/>
  <c r="J25" i="1938"/>
  <c r="I25" i="1938"/>
  <c r="H25" i="1938"/>
  <c r="G25" i="1938"/>
  <c r="F25" i="1938"/>
  <c r="E25" i="1938"/>
  <c r="D25" i="1938"/>
  <c r="AE19" i="1938"/>
  <c r="AD19" i="1938"/>
  <c r="AC19" i="1938"/>
  <c r="AB19" i="1938"/>
  <c r="AA19" i="1938"/>
  <c r="Z19" i="1938"/>
  <c r="Y19" i="1938"/>
  <c r="X19" i="1938"/>
  <c r="T33" i="1938" s="1"/>
  <c r="W19" i="1938"/>
  <c r="V19" i="1938"/>
  <c r="U19" i="1938"/>
  <c r="T19" i="1938"/>
  <c r="S19" i="1938"/>
  <c r="R19" i="1938"/>
  <c r="Q19" i="1938"/>
  <c r="P19" i="1938"/>
  <c r="O19" i="1938"/>
  <c r="N19" i="1938"/>
  <c r="H33" i="1938" s="1"/>
  <c r="M19" i="1938"/>
  <c r="L19" i="1938"/>
  <c r="P33" i="1938" s="1"/>
  <c r="K19" i="1938"/>
  <c r="J19" i="1938"/>
  <c r="I19" i="1938"/>
  <c r="AB33" i="1938" s="1"/>
  <c r="H19" i="1938"/>
  <c r="G19" i="1938"/>
  <c r="F19" i="1938"/>
  <c r="E19" i="1938"/>
  <c r="D19" i="1938"/>
  <c r="AE16" i="1938"/>
  <c r="AD16" i="1938"/>
  <c r="AC16" i="1938"/>
  <c r="AB16" i="1938"/>
  <c r="AA16" i="1938"/>
  <c r="Z16" i="1938"/>
  <c r="X16" i="1938"/>
  <c r="W16" i="1938"/>
  <c r="V16" i="1938"/>
  <c r="U16" i="1938"/>
  <c r="T16" i="1938"/>
  <c r="S16" i="1938"/>
  <c r="R16" i="1938"/>
  <c r="Q16" i="1938"/>
  <c r="P16" i="1938"/>
  <c r="O16" i="1938"/>
  <c r="N16" i="1938"/>
  <c r="M16" i="1938"/>
  <c r="L16" i="1938"/>
  <c r="K16" i="1938"/>
  <c r="J16" i="1938"/>
  <c r="I16" i="1938"/>
  <c r="H16" i="1938"/>
  <c r="G16" i="1938"/>
  <c r="F16" i="1938"/>
  <c r="E16" i="1938"/>
  <c r="D16" i="1938"/>
  <c r="AE10" i="1938"/>
  <c r="AD10" i="1938"/>
  <c r="AC33" i="1938" s="1"/>
  <c r="AC10" i="1938"/>
  <c r="AB10" i="1938"/>
  <c r="AA10" i="1938"/>
  <c r="Z10" i="1938"/>
  <c r="Y10" i="1938"/>
  <c r="X10" i="1938"/>
  <c r="W10" i="1938"/>
  <c r="V10" i="1938"/>
  <c r="U10" i="1938"/>
  <c r="T10" i="1938"/>
  <c r="S10" i="1938"/>
  <c r="R10" i="1938"/>
  <c r="Q10" i="1938"/>
  <c r="P10" i="1938"/>
  <c r="O10" i="1938"/>
  <c r="N10" i="1938"/>
  <c r="M10" i="1938"/>
  <c r="L10" i="1938"/>
  <c r="N33" i="1938" s="1"/>
  <c r="K10" i="1938"/>
  <c r="J10" i="1938"/>
  <c r="I10" i="1938"/>
  <c r="H10" i="1938"/>
  <c r="G10" i="1938"/>
  <c r="F10" i="1938"/>
  <c r="E10" i="1938"/>
  <c r="S33" i="1938" s="1"/>
  <c r="D10" i="1938"/>
  <c r="AE7" i="1938"/>
  <c r="AD7" i="1938"/>
  <c r="AC7" i="1938"/>
  <c r="AB7" i="1938"/>
  <c r="AA7" i="1938"/>
  <c r="Z7" i="1938"/>
  <c r="Y7" i="1938"/>
  <c r="X7" i="1938"/>
  <c r="W7" i="1938"/>
  <c r="V7" i="1938"/>
  <c r="U7" i="1938"/>
  <c r="T7" i="1938"/>
  <c r="S7" i="1938"/>
  <c r="R7" i="1938"/>
  <c r="Q7" i="1938"/>
  <c r="P7" i="1938"/>
  <c r="O7" i="1938"/>
  <c r="N7" i="1938"/>
  <c r="M7" i="1938"/>
  <c r="L7" i="1938"/>
  <c r="K7" i="1938"/>
  <c r="J7" i="1938"/>
  <c r="I7" i="1938"/>
  <c r="H7" i="1938"/>
  <c r="G7" i="1938"/>
  <c r="F7" i="1938"/>
  <c r="E7" i="1938"/>
  <c r="D7" i="1938"/>
  <c r="J33" i="1938" l="1"/>
  <c r="K33" i="1938"/>
  <c r="W33" i="1938"/>
  <c r="Z33" i="1938"/>
  <c r="D33" i="1938"/>
  <c r="Y33" i="1938"/>
  <c r="Q33" i="1938"/>
  <c r="E33" i="1938"/>
  <c r="M33" i="1938"/>
  <c r="V33" i="1938"/>
  <c r="AA33" i="1937"/>
  <c r="X33" i="1937"/>
  <c r="U33" i="1937"/>
  <c r="R33" i="1937"/>
  <c r="O33" i="1937"/>
  <c r="L33" i="1937"/>
  <c r="F33" i="1937"/>
  <c r="Y28" i="1937"/>
  <c r="X28" i="1937"/>
  <c r="W28" i="1937"/>
  <c r="V28" i="1937"/>
  <c r="U28" i="1937"/>
  <c r="T28" i="1937"/>
  <c r="S28" i="1937"/>
  <c r="R28" i="1937"/>
  <c r="Q28" i="1937"/>
  <c r="P28" i="1937"/>
  <c r="O28" i="1937"/>
  <c r="N28" i="1937"/>
  <c r="M28" i="1937"/>
  <c r="L28" i="1937"/>
  <c r="K28" i="1937"/>
  <c r="J28" i="1937"/>
  <c r="I28" i="1937"/>
  <c r="H28" i="1937"/>
  <c r="G28" i="1937"/>
  <c r="F28" i="1937"/>
  <c r="E28" i="1937"/>
  <c r="D28" i="1937"/>
  <c r="Y25" i="1937"/>
  <c r="X25" i="1937"/>
  <c r="W25" i="1937"/>
  <c r="V25" i="1937"/>
  <c r="U25" i="1937"/>
  <c r="T25" i="1937"/>
  <c r="S25" i="1937"/>
  <c r="R25" i="1937"/>
  <c r="Q25" i="1937"/>
  <c r="P25" i="1937"/>
  <c r="O25" i="1937"/>
  <c r="N25" i="1937"/>
  <c r="M25" i="1937"/>
  <c r="L25" i="1937"/>
  <c r="K25" i="1937"/>
  <c r="J25" i="1937"/>
  <c r="I25" i="1937"/>
  <c r="H25" i="1937"/>
  <c r="G25" i="1937"/>
  <c r="F25" i="1937"/>
  <c r="E25" i="1937"/>
  <c r="D25" i="1937"/>
  <c r="AE19" i="1937"/>
  <c r="AD19" i="1937"/>
  <c r="AC19" i="1937"/>
  <c r="AB19" i="1937"/>
  <c r="AA19" i="1937"/>
  <c r="Z19" i="1937"/>
  <c r="Y19" i="1937"/>
  <c r="X19" i="1937"/>
  <c r="T33" i="1937" s="1"/>
  <c r="W19" i="1937"/>
  <c r="V19" i="1937"/>
  <c r="U19" i="1937"/>
  <c r="T19" i="1937"/>
  <c r="S19" i="1937"/>
  <c r="R19" i="1937"/>
  <c r="Q19" i="1937"/>
  <c r="P19" i="1937"/>
  <c r="O19" i="1937"/>
  <c r="N19" i="1937"/>
  <c r="H33" i="1937" s="1"/>
  <c r="M19" i="1937"/>
  <c r="L19" i="1937"/>
  <c r="P33" i="1937" s="1"/>
  <c r="K19" i="1937"/>
  <c r="J19" i="1937"/>
  <c r="I19" i="1937"/>
  <c r="AB33" i="1937" s="1"/>
  <c r="H19" i="1937"/>
  <c r="G19" i="1937"/>
  <c r="F19" i="1937"/>
  <c r="E19" i="1937"/>
  <c r="D19" i="1937"/>
  <c r="AE16" i="1937"/>
  <c r="AD16" i="1937"/>
  <c r="AC16" i="1937"/>
  <c r="AB16" i="1937"/>
  <c r="AA16" i="1937"/>
  <c r="Z16" i="1937"/>
  <c r="X16" i="1937"/>
  <c r="W16" i="1937"/>
  <c r="V16" i="1937"/>
  <c r="U16" i="1937"/>
  <c r="T16" i="1937"/>
  <c r="S16" i="1937"/>
  <c r="R16" i="1937"/>
  <c r="Q16" i="1937"/>
  <c r="P16" i="1937"/>
  <c r="O16" i="1937"/>
  <c r="N16" i="1937"/>
  <c r="M16" i="1937"/>
  <c r="L16" i="1937"/>
  <c r="K16" i="1937"/>
  <c r="J16" i="1937"/>
  <c r="I16" i="1937"/>
  <c r="H16" i="1937"/>
  <c r="G16" i="1937"/>
  <c r="F16" i="1937"/>
  <c r="E16" i="1937"/>
  <c r="D16" i="1937"/>
  <c r="AE10" i="1937"/>
  <c r="AD10" i="1937"/>
  <c r="AC33" i="1937" s="1"/>
  <c r="AC10" i="1937"/>
  <c r="AB10" i="1937"/>
  <c r="AA10" i="1937"/>
  <c r="Z10" i="1937"/>
  <c r="Y10" i="1937"/>
  <c r="X10" i="1937"/>
  <c r="W10" i="1937"/>
  <c r="V10" i="1937"/>
  <c r="U10" i="1937"/>
  <c r="T10" i="1937"/>
  <c r="S10" i="1937"/>
  <c r="R10" i="1937"/>
  <c r="Q10" i="1937"/>
  <c r="P10" i="1937"/>
  <c r="O10" i="1937"/>
  <c r="N10" i="1937"/>
  <c r="M10" i="1937"/>
  <c r="E33" i="1937" s="1"/>
  <c r="L10" i="1937"/>
  <c r="N33" i="1937" s="1"/>
  <c r="K10" i="1937"/>
  <c r="J10" i="1937"/>
  <c r="Q33" i="1937" s="1"/>
  <c r="I10" i="1937"/>
  <c r="H10" i="1937"/>
  <c r="G10" i="1937"/>
  <c r="F10" i="1937"/>
  <c r="J33" i="1937" s="1"/>
  <c r="E10" i="1937"/>
  <c r="S33" i="1937" s="1"/>
  <c r="D10" i="1937"/>
  <c r="AE7" i="1937"/>
  <c r="AD7" i="1937"/>
  <c r="AC7" i="1937"/>
  <c r="AB7" i="1937"/>
  <c r="AA7" i="1937"/>
  <c r="Z7" i="1937"/>
  <c r="Y7" i="1937"/>
  <c r="X7" i="1937"/>
  <c r="W7" i="1937"/>
  <c r="V7" i="1937"/>
  <c r="U7" i="1937"/>
  <c r="T7" i="1937"/>
  <c r="S7" i="1937"/>
  <c r="R7" i="1937"/>
  <c r="Q7" i="1937"/>
  <c r="P7" i="1937"/>
  <c r="O7" i="1937"/>
  <c r="N7" i="1937"/>
  <c r="M7" i="1937"/>
  <c r="L7" i="1937"/>
  <c r="K7" i="1937"/>
  <c r="J7" i="1937"/>
  <c r="I7" i="1937"/>
  <c r="H7" i="1937"/>
  <c r="G7" i="1937"/>
  <c r="F7" i="1937"/>
  <c r="E7" i="1937"/>
  <c r="D7" i="1937"/>
  <c r="W33" i="1937" l="1"/>
  <c r="D33" i="1937"/>
  <c r="Z33" i="1937"/>
  <c r="Y33" i="1937"/>
  <c r="K33" i="1937"/>
  <c r="M33" i="1937"/>
  <c r="V33" i="1937"/>
  <c r="AA33" i="1936"/>
  <c r="X33" i="1936"/>
  <c r="U33" i="1936"/>
  <c r="R33" i="1936"/>
  <c r="O33" i="1936"/>
  <c r="L33" i="1936"/>
  <c r="F33" i="1936"/>
  <c r="Y28" i="1936"/>
  <c r="X28" i="1936"/>
  <c r="W28" i="1936"/>
  <c r="V28" i="1936"/>
  <c r="U28" i="1936"/>
  <c r="T28" i="1936"/>
  <c r="S28" i="1936"/>
  <c r="R28" i="1936"/>
  <c r="Q28" i="1936"/>
  <c r="P28" i="1936"/>
  <c r="O28" i="1936"/>
  <c r="N28" i="1936"/>
  <c r="M28" i="1936"/>
  <c r="L28" i="1936"/>
  <c r="K28" i="1936"/>
  <c r="J28" i="1936"/>
  <c r="I28" i="1936"/>
  <c r="H28" i="1936"/>
  <c r="G28" i="1936"/>
  <c r="F28" i="1936"/>
  <c r="E28" i="1936"/>
  <c r="D28" i="1936"/>
  <c r="Y25" i="1936"/>
  <c r="X25" i="1936"/>
  <c r="W25" i="1936"/>
  <c r="V25" i="1936"/>
  <c r="U25" i="1936"/>
  <c r="T25" i="1936"/>
  <c r="S25" i="1936"/>
  <c r="R25" i="1936"/>
  <c r="Q25" i="1936"/>
  <c r="P25" i="1936"/>
  <c r="O25" i="1936"/>
  <c r="N25" i="1936"/>
  <c r="M25" i="1936"/>
  <c r="L25" i="1936"/>
  <c r="K25" i="1936"/>
  <c r="J25" i="1936"/>
  <c r="I25" i="1936"/>
  <c r="H25" i="1936"/>
  <c r="G25" i="1936"/>
  <c r="F25" i="1936"/>
  <c r="E25" i="1936"/>
  <c r="D25" i="1936"/>
  <c r="AE19" i="1936"/>
  <c r="AD19" i="1936"/>
  <c r="AC19" i="1936"/>
  <c r="AB19" i="1936"/>
  <c r="AA19" i="1936"/>
  <c r="Z19" i="1936"/>
  <c r="Y19" i="1936"/>
  <c r="X19" i="1936"/>
  <c r="T33" i="1936" s="1"/>
  <c r="W19" i="1936"/>
  <c r="V19" i="1936"/>
  <c r="U19" i="1936"/>
  <c r="T19" i="1936"/>
  <c r="S19" i="1936"/>
  <c r="R19" i="1936"/>
  <c r="Q19" i="1936"/>
  <c r="P19" i="1936"/>
  <c r="O19" i="1936"/>
  <c r="N19" i="1936"/>
  <c r="H33" i="1936" s="1"/>
  <c r="M19" i="1936"/>
  <c r="L19" i="1936"/>
  <c r="P33" i="1936" s="1"/>
  <c r="K19" i="1936"/>
  <c r="J19" i="1936"/>
  <c r="I19" i="1936"/>
  <c r="AB33" i="1936" s="1"/>
  <c r="H19" i="1936"/>
  <c r="G19" i="1936"/>
  <c r="F19" i="1936"/>
  <c r="E19" i="1936"/>
  <c r="D19" i="1936"/>
  <c r="AE16" i="1936"/>
  <c r="AD16" i="1936"/>
  <c r="AC16" i="1936"/>
  <c r="AB16" i="1936"/>
  <c r="AA16" i="1936"/>
  <c r="Z16" i="1936"/>
  <c r="X16" i="1936"/>
  <c r="W16" i="1936"/>
  <c r="V16" i="1936"/>
  <c r="U16" i="1936"/>
  <c r="T16" i="1936"/>
  <c r="S16" i="1936"/>
  <c r="R16" i="1936"/>
  <c r="Q16" i="1936"/>
  <c r="P16" i="1936"/>
  <c r="O16" i="1936"/>
  <c r="N16" i="1936"/>
  <c r="M16" i="1936"/>
  <c r="L16" i="1936"/>
  <c r="K16" i="1936"/>
  <c r="J16" i="1936"/>
  <c r="I16" i="1936"/>
  <c r="H16" i="1936"/>
  <c r="G16" i="1936"/>
  <c r="F16" i="1936"/>
  <c r="E16" i="1936"/>
  <c r="D16" i="1936"/>
  <c r="AE10" i="1936"/>
  <c r="AD10" i="1936"/>
  <c r="AC33" i="1936" s="1"/>
  <c r="AC10" i="1936"/>
  <c r="AB10" i="1936"/>
  <c r="AA10" i="1936"/>
  <c r="Z10" i="1936"/>
  <c r="Y10" i="1936"/>
  <c r="X10" i="1936"/>
  <c r="W10" i="1936"/>
  <c r="V10" i="1936"/>
  <c r="U10" i="1936"/>
  <c r="T10" i="1936"/>
  <c r="S10" i="1936"/>
  <c r="R10" i="1936"/>
  <c r="Q10" i="1936"/>
  <c r="P10" i="1936"/>
  <c r="O10" i="1936"/>
  <c r="N10" i="1936"/>
  <c r="M10" i="1936"/>
  <c r="E33" i="1936" s="1"/>
  <c r="L10" i="1936"/>
  <c r="N33" i="1936" s="1"/>
  <c r="K10" i="1936"/>
  <c r="J10" i="1936"/>
  <c r="I10" i="1936"/>
  <c r="H10" i="1936"/>
  <c r="G10" i="1936"/>
  <c r="F10" i="1936"/>
  <c r="J33" i="1936" s="1"/>
  <c r="E10" i="1936"/>
  <c r="S33" i="1936" s="1"/>
  <c r="D10" i="1936"/>
  <c r="AE7" i="1936"/>
  <c r="AD7" i="1936"/>
  <c r="AC7" i="1936"/>
  <c r="AB7" i="1936"/>
  <c r="AA7" i="1936"/>
  <c r="Z7" i="1936"/>
  <c r="Y7" i="1936"/>
  <c r="X7" i="1936"/>
  <c r="W7" i="1936"/>
  <c r="V7" i="1936"/>
  <c r="U7" i="1936"/>
  <c r="T7" i="1936"/>
  <c r="S7" i="1936"/>
  <c r="R7" i="1936"/>
  <c r="Q7" i="1936"/>
  <c r="P7" i="1936"/>
  <c r="O7" i="1936"/>
  <c r="N7" i="1936"/>
  <c r="M7" i="1936"/>
  <c r="L7" i="1936"/>
  <c r="K7" i="1936"/>
  <c r="J7" i="1936"/>
  <c r="I7" i="1936"/>
  <c r="H7" i="1936"/>
  <c r="G7" i="1936"/>
  <c r="F7" i="1936"/>
  <c r="E7" i="1936"/>
  <c r="D7" i="1936"/>
  <c r="W33" i="1936" l="1"/>
  <c r="Z33" i="1936"/>
  <c r="V33" i="1936"/>
  <c r="D33" i="1936"/>
  <c r="Y33" i="1936"/>
  <c r="Q33" i="1936"/>
  <c r="K33" i="1936"/>
  <c r="M33" i="1936"/>
  <c r="AA33" i="1935"/>
  <c r="X33" i="1935"/>
  <c r="U33" i="1935"/>
  <c r="R33" i="1935"/>
  <c r="O33" i="1935"/>
  <c r="L33" i="1935"/>
  <c r="F33" i="1935"/>
  <c r="Y28" i="1935"/>
  <c r="X28" i="1935"/>
  <c r="W28" i="1935"/>
  <c r="V28" i="1935"/>
  <c r="U28" i="1935"/>
  <c r="T28" i="1935"/>
  <c r="S28" i="1935"/>
  <c r="R28" i="1935"/>
  <c r="Q28" i="1935"/>
  <c r="P28" i="1935"/>
  <c r="O28" i="1935"/>
  <c r="N28" i="1935"/>
  <c r="M28" i="1935"/>
  <c r="L28" i="1935"/>
  <c r="K28" i="1935"/>
  <c r="J28" i="1935"/>
  <c r="I28" i="1935"/>
  <c r="H28" i="1935"/>
  <c r="G28" i="1935"/>
  <c r="F28" i="1935"/>
  <c r="E28" i="1935"/>
  <c r="D28" i="1935"/>
  <c r="Y25" i="1935"/>
  <c r="X25" i="1935"/>
  <c r="W25" i="1935"/>
  <c r="V25" i="1935"/>
  <c r="U25" i="1935"/>
  <c r="T25" i="1935"/>
  <c r="S25" i="1935"/>
  <c r="R25" i="1935"/>
  <c r="Q25" i="1935"/>
  <c r="P25" i="1935"/>
  <c r="O25" i="1935"/>
  <c r="N25" i="1935"/>
  <c r="M25" i="1935"/>
  <c r="L25" i="1935"/>
  <c r="K25" i="1935"/>
  <c r="J25" i="1935"/>
  <c r="I25" i="1935"/>
  <c r="H25" i="1935"/>
  <c r="G25" i="1935"/>
  <c r="F25" i="1935"/>
  <c r="E25" i="1935"/>
  <c r="D25" i="1935"/>
  <c r="AE19" i="1935"/>
  <c r="AD19" i="1935"/>
  <c r="AC19" i="1935"/>
  <c r="AB19" i="1935"/>
  <c r="AA19" i="1935"/>
  <c r="Z19" i="1935"/>
  <c r="Y19" i="1935"/>
  <c r="X19" i="1935"/>
  <c r="T33" i="1935" s="1"/>
  <c r="W19" i="1935"/>
  <c r="V19" i="1935"/>
  <c r="U19" i="1935"/>
  <c r="T19" i="1935"/>
  <c r="S19" i="1935"/>
  <c r="R19" i="1935"/>
  <c r="Q19" i="1935"/>
  <c r="P19" i="1935"/>
  <c r="O19" i="1935"/>
  <c r="N19" i="1935"/>
  <c r="H33" i="1935" s="1"/>
  <c r="M19" i="1935"/>
  <c r="L19" i="1935"/>
  <c r="P33" i="1935" s="1"/>
  <c r="K19" i="1935"/>
  <c r="J19" i="1935"/>
  <c r="I19" i="1935"/>
  <c r="AB33" i="1935" s="1"/>
  <c r="H19" i="1935"/>
  <c r="G19" i="1935"/>
  <c r="F19" i="1935"/>
  <c r="E19" i="1935"/>
  <c r="D19" i="1935"/>
  <c r="AE16" i="1935"/>
  <c r="AD16" i="1935"/>
  <c r="AC16" i="1935"/>
  <c r="AB16" i="1935"/>
  <c r="AA16" i="1935"/>
  <c r="Z16" i="1935"/>
  <c r="X16" i="1935"/>
  <c r="W16" i="1935"/>
  <c r="V16" i="1935"/>
  <c r="U16" i="1935"/>
  <c r="T16" i="1935"/>
  <c r="S16" i="1935"/>
  <c r="R16" i="1935"/>
  <c r="Q16" i="1935"/>
  <c r="P16" i="1935"/>
  <c r="O16" i="1935"/>
  <c r="N16" i="1935"/>
  <c r="M16" i="1935"/>
  <c r="L16" i="1935"/>
  <c r="K16" i="1935"/>
  <c r="J16" i="1935"/>
  <c r="I16" i="1935"/>
  <c r="H16" i="1935"/>
  <c r="G16" i="1935"/>
  <c r="F16" i="1935"/>
  <c r="E16" i="1935"/>
  <c r="D16" i="1935"/>
  <c r="AE10" i="1935"/>
  <c r="AD10" i="1935"/>
  <c r="AC33" i="1935" s="1"/>
  <c r="AC10" i="1935"/>
  <c r="AB10" i="1935"/>
  <c r="AA10" i="1935"/>
  <c r="Z10" i="1935"/>
  <c r="Y10" i="1935"/>
  <c r="X10" i="1935"/>
  <c r="W10" i="1935"/>
  <c r="V10" i="1935"/>
  <c r="U10" i="1935"/>
  <c r="T10" i="1935"/>
  <c r="S10" i="1935"/>
  <c r="R10" i="1935"/>
  <c r="Q10" i="1935"/>
  <c r="P10" i="1935"/>
  <c r="O10" i="1935"/>
  <c r="N10" i="1935"/>
  <c r="M10" i="1935"/>
  <c r="E33" i="1935" s="1"/>
  <c r="L10" i="1935"/>
  <c r="N33" i="1935" s="1"/>
  <c r="K10" i="1935"/>
  <c r="J10" i="1935"/>
  <c r="Q33" i="1935" s="1"/>
  <c r="I10" i="1935"/>
  <c r="H10" i="1935"/>
  <c r="G10" i="1935"/>
  <c r="F10" i="1935"/>
  <c r="J33" i="1935" s="1"/>
  <c r="E10" i="1935"/>
  <c r="S33" i="1935" s="1"/>
  <c r="D10" i="1935"/>
  <c r="AE7" i="1935"/>
  <c r="AD7" i="1935"/>
  <c r="AC7" i="1935"/>
  <c r="AB7" i="1935"/>
  <c r="AA7" i="1935"/>
  <c r="Z7" i="1935"/>
  <c r="Y7" i="1935"/>
  <c r="X7" i="1935"/>
  <c r="W7" i="1935"/>
  <c r="V7" i="1935"/>
  <c r="U7" i="1935"/>
  <c r="T7" i="1935"/>
  <c r="S7" i="1935"/>
  <c r="R7" i="1935"/>
  <c r="Q7" i="1935"/>
  <c r="P7" i="1935"/>
  <c r="O7" i="1935"/>
  <c r="N7" i="1935"/>
  <c r="M7" i="1935"/>
  <c r="L7" i="1935"/>
  <c r="K7" i="1935"/>
  <c r="J7" i="1935"/>
  <c r="I7" i="1935"/>
  <c r="H7" i="1935"/>
  <c r="G7" i="1935"/>
  <c r="F7" i="1935"/>
  <c r="E7" i="1935"/>
  <c r="D7" i="1935"/>
  <c r="W33" i="1935" l="1"/>
  <c r="V33" i="1935"/>
  <c r="D33" i="1935"/>
  <c r="Y33" i="1935"/>
  <c r="K33" i="1935"/>
  <c r="Z33" i="1935"/>
  <c r="M33" i="1935"/>
  <c r="AA33" i="1934"/>
  <c r="X33" i="1934"/>
  <c r="U33" i="1934"/>
  <c r="R33" i="1934"/>
  <c r="O33" i="1934"/>
  <c r="L33" i="1934"/>
  <c r="F33" i="1934"/>
  <c r="Y28" i="1934"/>
  <c r="X28" i="1934"/>
  <c r="W28" i="1934"/>
  <c r="V28" i="1934"/>
  <c r="U28" i="1934"/>
  <c r="T28" i="1934"/>
  <c r="S28" i="1934"/>
  <c r="R28" i="1934"/>
  <c r="Q28" i="1934"/>
  <c r="P28" i="1934"/>
  <c r="O28" i="1934"/>
  <c r="N28" i="1934"/>
  <c r="M28" i="1934"/>
  <c r="L28" i="1934"/>
  <c r="K28" i="1934"/>
  <c r="J28" i="1934"/>
  <c r="I28" i="1934"/>
  <c r="H28" i="1934"/>
  <c r="G28" i="1934"/>
  <c r="F28" i="1934"/>
  <c r="E28" i="1934"/>
  <c r="D28" i="1934"/>
  <c r="Y25" i="1934"/>
  <c r="X25" i="1934"/>
  <c r="W25" i="1934"/>
  <c r="V25" i="1934"/>
  <c r="U25" i="1934"/>
  <c r="T25" i="1934"/>
  <c r="S25" i="1934"/>
  <c r="R25" i="1934"/>
  <c r="Q25" i="1934"/>
  <c r="P25" i="1934"/>
  <c r="O25" i="1934"/>
  <c r="N25" i="1934"/>
  <c r="M25" i="1934"/>
  <c r="L25" i="1934"/>
  <c r="K25" i="1934"/>
  <c r="J25" i="1934"/>
  <c r="I25" i="1934"/>
  <c r="H25" i="1934"/>
  <c r="G25" i="1934"/>
  <c r="F25" i="1934"/>
  <c r="E25" i="1934"/>
  <c r="D25" i="1934"/>
  <c r="AE19" i="1934"/>
  <c r="AD19" i="1934"/>
  <c r="AC19" i="1934"/>
  <c r="AB19" i="1934"/>
  <c r="AA19" i="1934"/>
  <c r="Z19" i="1934"/>
  <c r="Y19" i="1934"/>
  <c r="X19" i="1934"/>
  <c r="T33" i="1934" s="1"/>
  <c r="W19" i="1934"/>
  <c r="V19" i="1934"/>
  <c r="U19" i="1934"/>
  <c r="T19" i="1934"/>
  <c r="S19" i="1934"/>
  <c r="R19" i="1934"/>
  <c r="Q19" i="1934"/>
  <c r="P19" i="1934"/>
  <c r="O19" i="1934"/>
  <c r="N19" i="1934"/>
  <c r="H33" i="1934" s="1"/>
  <c r="M19" i="1934"/>
  <c r="L19" i="1934"/>
  <c r="P33" i="1934" s="1"/>
  <c r="K19" i="1934"/>
  <c r="J19" i="1934"/>
  <c r="I19" i="1934"/>
  <c r="AB33" i="1934" s="1"/>
  <c r="H19" i="1934"/>
  <c r="G19" i="1934"/>
  <c r="F19" i="1934"/>
  <c r="E19" i="1934"/>
  <c r="D19" i="1934"/>
  <c r="AE16" i="1934"/>
  <c r="AD16" i="1934"/>
  <c r="AC16" i="1934"/>
  <c r="AB16" i="1934"/>
  <c r="AA16" i="1934"/>
  <c r="Z16" i="1934"/>
  <c r="X16" i="1934"/>
  <c r="W16" i="1934"/>
  <c r="V16" i="1934"/>
  <c r="U16" i="1934"/>
  <c r="T16" i="1934"/>
  <c r="S16" i="1934"/>
  <c r="R16" i="1934"/>
  <c r="Q16" i="1934"/>
  <c r="P16" i="1934"/>
  <c r="O16" i="1934"/>
  <c r="N16" i="1934"/>
  <c r="M16" i="1934"/>
  <c r="L16" i="1934"/>
  <c r="K16" i="1934"/>
  <c r="J16" i="1934"/>
  <c r="I16" i="1934"/>
  <c r="H16" i="1934"/>
  <c r="G16" i="1934"/>
  <c r="F16" i="1934"/>
  <c r="E16" i="1934"/>
  <c r="D16" i="1934"/>
  <c r="AE10" i="1934"/>
  <c r="AD10" i="1934"/>
  <c r="AC33" i="1934" s="1"/>
  <c r="AC10" i="1934"/>
  <c r="AB10" i="1934"/>
  <c r="AA10" i="1934"/>
  <c r="Z10" i="1934"/>
  <c r="Y10" i="1934"/>
  <c r="X10" i="1934"/>
  <c r="W10" i="1934"/>
  <c r="V10" i="1934"/>
  <c r="U10" i="1934"/>
  <c r="T10" i="1934"/>
  <c r="S10" i="1934"/>
  <c r="R10" i="1934"/>
  <c r="Q10" i="1934"/>
  <c r="P10" i="1934"/>
  <c r="O10" i="1934"/>
  <c r="N10" i="1934"/>
  <c r="Q33" i="1934" s="1"/>
  <c r="M10" i="1934"/>
  <c r="L10" i="1934"/>
  <c r="N33" i="1934" s="1"/>
  <c r="K10" i="1934"/>
  <c r="J10" i="1934"/>
  <c r="I10" i="1934"/>
  <c r="H10" i="1934"/>
  <c r="G10" i="1934"/>
  <c r="F10" i="1934"/>
  <c r="J33" i="1934" s="1"/>
  <c r="E10" i="1934"/>
  <c r="S33" i="1934" s="1"/>
  <c r="D10" i="1934"/>
  <c r="AE7" i="1934"/>
  <c r="AD7" i="1934"/>
  <c r="AC7" i="1934"/>
  <c r="AB7" i="1934"/>
  <c r="AA7" i="1934"/>
  <c r="Z7" i="1934"/>
  <c r="Y7" i="1934"/>
  <c r="X7" i="1934"/>
  <c r="W7" i="1934"/>
  <c r="V7" i="1934"/>
  <c r="U7" i="1934"/>
  <c r="T7" i="1934"/>
  <c r="S7" i="1934"/>
  <c r="R7" i="1934"/>
  <c r="Q7" i="1934"/>
  <c r="P7" i="1934"/>
  <c r="O7" i="1934"/>
  <c r="N7" i="1934"/>
  <c r="M7" i="1934"/>
  <c r="L7" i="1934"/>
  <c r="K7" i="1934"/>
  <c r="J7" i="1934"/>
  <c r="I7" i="1934"/>
  <c r="H7" i="1934"/>
  <c r="G7" i="1934"/>
  <c r="F7" i="1934"/>
  <c r="E7" i="1934"/>
  <c r="D7" i="1934"/>
  <c r="K33" i="1934" l="1"/>
  <c r="W33" i="1934"/>
  <c r="Z33" i="1934"/>
  <c r="D33" i="1934"/>
  <c r="Y33" i="1934"/>
  <c r="E33" i="1934"/>
  <c r="M33" i="1934"/>
  <c r="V33" i="1934"/>
  <c r="AA33" i="1933"/>
  <c r="X33" i="1933"/>
  <c r="U33" i="1933"/>
  <c r="R33" i="1933"/>
  <c r="O33" i="1933"/>
  <c r="L33" i="1933"/>
  <c r="F33" i="1933"/>
  <c r="Y28" i="1933"/>
  <c r="X28" i="1933"/>
  <c r="W28" i="1933"/>
  <c r="V28" i="1933"/>
  <c r="U28" i="1933"/>
  <c r="T28" i="1933"/>
  <c r="S28" i="1933"/>
  <c r="R28" i="1933"/>
  <c r="Q28" i="1933"/>
  <c r="P28" i="1933"/>
  <c r="O28" i="1933"/>
  <c r="N28" i="1933"/>
  <c r="M28" i="1933"/>
  <c r="L28" i="1933"/>
  <c r="K28" i="1933"/>
  <c r="J28" i="1933"/>
  <c r="I28" i="1933"/>
  <c r="H28" i="1933"/>
  <c r="G28" i="1933"/>
  <c r="F28" i="1933"/>
  <c r="E28" i="1933"/>
  <c r="D28" i="1933"/>
  <c r="Y25" i="1933"/>
  <c r="X25" i="1933"/>
  <c r="W25" i="1933"/>
  <c r="V25" i="1933"/>
  <c r="U25" i="1933"/>
  <c r="T25" i="1933"/>
  <c r="S25" i="1933"/>
  <c r="R25" i="1933"/>
  <c r="Q25" i="1933"/>
  <c r="P25" i="1933"/>
  <c r="O25" i="1933"/>
  <c r="N25" i="1933"/>
  <c r="M25" i="1933"/>
  <c r="L25" i="1933"/>
  <c r="K25" i="1933"/>
  <c r="J25" i="1933"/>
  <c r="I25" i="1933"/>
  <c r="H25" i="1933"/>
  <c r="G25" i="1933"/>
  <c r="F25" i="1933"/>
  <c r="E25" i="1933"/>
  <c r="D25" i="1933"/>
  <c r="AE19" i="1933"/>
  <c r="AD19" i="1933"/>
  <c r="AC19" i="1933"/>
  <c r="AB19" i="1933"/>
  <c r="AA19" i="1933"/>
  <c r="Z19" i="1933"/>
  <c r="Y19" i="1933"/>
  <c r="X19" i="1933"/>
  <c r="T33" i="1933" s="1"/>
  <c r="W19" i="1933"/>
  <c r="V19" i="1933"/>
  <c r="U19" i="1933"/>
  <c r="T19" i="1933"/>
  <c r="S19" i="1933"/>
  <c r="R19" i="1933"/>
  <c r="Q19" i="1933"/>
  <c r="P19" i="1933"/>
  <c r="O19" i="1933"/>
  <c r="N19" i="1933"/>
  <c r="H33" i="1933" s="1"/>
  <c r="M19" i="1933"/>
  <c r="L19" i="1933"/>
  <c r="P33" i="1933" s="1"/>
  <c r="K19" i="1933"/>
  <c r="J19" i="1933"/>
  <c r="I19" i="1933"/>
  <c r="AB33" i="1933" s="1"/>
  <c r="H19" i="1933"/>
  <c r="G19" i="1933"/>
  <c r="F19" i="1933"/>
  <c r="E19" i="1933"/>
  <c r="D19" i="1933"/>
  <c r="AE16" i="1933"/>
  <c r="AD16" i="1933"/>
  <c r="AC16" i="1933"/>
  <c r="AB16" i="1933"/>
  <c r="AA16" i="1933"/>
  <c r="Z16" i="1933"/>
  <c r="X16" i="1933"/>
  <c r="W16" i="1933"/>
  <c r="V16" i="1933"/>
  <c r="U16" i="1933"/>
  <c r="T16" i="1933"/>
  <c r="S16" i="1933"/>
  <c r="R16" i="1933"/>
  <c r="Q16" i="1933"/>
  <c r="P16" i="1933"/>
  <c r="O16" i="1933"/>
  <c r="N16" i="1933"/>
  <c r="M16" i="1933"/>
  <c r="L16" i="1933"/>
  <c r="K16" i="1933"/>
  <c r="J16" i="1933"/>
  <c r="I16" i="1933"/>
  <c r="H16" i="1933"/>
  <c r="G16" i="1933"/>
  <c r="F16" i="1933"/>
  <c r="E16" i="1933"/>
  <c r="D16" i="1933"/>
  <c r="AE10" i="1933"/>
  <c r="AD10" i="1933"/>
  <c r="AC33" i="1933" s="1"/>
  <c r="AC10" i="1933"/>
  <c r="AB10" i="1933"/>
  <c r="AA10" i="1933"/>
  <c r="D33" i="1933" s="1"/>
  <c r="Z10" i="1933"/>
  <c r="Y10" i="1933"/>
  <c r="X10" i="1933"/>
  <c r="W10" i="1933"/>
  <c r="V10" i="1933"/>
  <c r="U10" i="1933"/>
  <c r="T10" i="1933"/>
  <c r="S10" i="1933"/>
  <c r="R10" i="1933"/>
  <c r="Q10" i="1933"/>
  <c r="P10" i="1933"/>
  <c r="O10" i="1933"/>
  <c r="N10" i="1933"/>
  <c r="Q33" i="1933" s="1"/>
  <c r="M10" i="1933"/>
  <c r="L10" i="1933"/>
  <c r="K10" i="1933"/>
  <c r="J10" i="1933"/>
  <c r="I10" i="1933"/>
  <c r="H10" i="1933"/>
  <c r="G10" i="1933"/>
  <c r="F10" i="1933"/>
  <c r="J33" i="1933" s="1"/>
  <c r="E10" i="1933"/>
  <c r="S33" i="1933" s="1"/>
  <c r="D10" i="1933"/>
  <c r="AE7" i="1933"/>
  <c r="AD7" i="1933"/>
  <c r="AC7" i="1933"/>
  <c r="AB7" i="1933"/>
  <c r="AA7" i="1933"/>
  <c r="Z7" i="1933"/>
  <c r="Y7" i="1933"/>
  <c r="X7" i="1933"/>
  <c r="W7" i="1933"/>
  <c r="V7" i="1933"/>
  <c r="U7" i="1933"/>
  <c r="T7" i="1933"/>
  <c r="S7" i="1933"/>
  <c r="R7" i="1933"/>
  <c r="Q7" i="1933"/>
  <c r="P7" i="1933"/>
  <c r="O7" i="1933"/>
  <c r="N7" i="1933"/>
  <c r="M7" i="1933"/>
  <c r="L7" i="1933"/>
  <c r="K7" i="1933"/>
  <c r="J7" i="1933"/>
  <c r="I7" i="1933"/>
  <c r="H7" i="1933"/>
  <c r="G7" i="1933"/>
  <c r="F7" i="1933"/>
  <c r="E7" i="1933"/>
  <c r="D7" i="1933"/>
  <c r="K33" i="1933" l="1"/>
  <c r="W33" i="1933"/>
  <c r="Z33" i="1933"/>
  <c r="Y33" i="1933"/>
  <c r="N33" i="1933"/>
  <c r="E33" i="1933"/>
  <c r="M33" i="1933"/>
  <c r="V33" i="1933"/>
  <c r="AA33" i="1932"/>
  <c r="X33" i="1932"/>
  <c r="U33" i="1932"/>
  <c r="R33" i="1932"/>
  <c r="O33" i="1932"/>
  <c r="L33" i="1932"/>
  <c r="F33" i="1932"/>
  <c r="Y28" i="1932"/>
  <c r="X28" i="1932"/>
  <c r="W28" i="1932"/>
  <c r="V28" i="1932"/>
  <c r="U28" i="1932"/>
  <c r="T28" i="1932"/>
  <c r="S28" i="1932"/>
  <c r="R28" i="1932"/>
  <c r="Q28" i="1932"/>
  <c r="P28" i="1932"/>
  <c r="O28" i="1932"/>
  <c r="N28" i="1932"/>
  <c r="M28" i="1932"/>
  <c r="L28" i="1932"/>
  <c r="K28" i="1932"/>
  <c r="J28" i="1932"/>
  <c r="I28" i="1932"/>
  <c r="H28" i="1932"/>
  <c r="G28" i="1932"/>
  <c r="F28" i="1932"/>
  <c r="E28" i="1932"/>
  <c r="D28" i="1932"/>
  <c r="Y25" i="1932"/>
  <c r="X25" i="1932"/>
  <c r="W25" i="1932"/>
  <c r="V25" i="1932"/>
  <c r="U25" i="1932"/>
  <c r="T25" i="1932"/>
  <c r="S25" i="1932"/>
  <c r="R25" i="1932"/>
  <c r="Q25" i="1932"/>
  <c r="P25" i="1932"/>
  <c r="O25" i="1932"/>
  <c r="N25" i="1932"/>
  <c r="M25" i="1932"/>
  <c r="L25" i="1932"/>
  <c r="K25" i="1932"/>
  <c r="J25" i="1932"/>
  <c r="I25" i="1932"/>
  <c r="H25" i="1932"/>
  <c r="G25" i="1932"/>
  <c r="F25" i="1932"/>
  <c r="E25" i="1932"/>
  <c r="D25" i="1932"/>
  <c r="AE19" i="1932"/>
  <c r="AD19" i="1932"/>
  <c r="AC19" i="1932"/>
  <c r="AB19" i="1932"/>
  <c r="AA19" i="1932"/>
  <c r="Z19" i="1932"/>
  <c r="Y19" i="1932"/>
  <c r="X19" i="1932"/>
  <c r="T33" i="1932" s="1"/>
  <c r="W19" i="1932"/>
  <c r="V19" i="1932"/>
  <c r="U19" i="1932"/>
  <c r="T19" i="1932"/>
  <c r="S19" i="1932"/>
  <c r="R19" i="1932"/>
  <c r="Q19" i="1932"/>
  <c r="P19" i="1932"/>
  <c r="O19" i="1932"/>
  <c r="N19" i="1932"/>
  <c r="H33" i="1932" s="1"/>
  <c r="M19" i="1932"/>
  <c r="L19" i="1932"/>
  <c r="P33" i="1932" s="1"/>
  <c r="K19" i="1932"/>
  <c r="J19" i="1932"/>
  <c r="I19" i="1932"/>
  <c r="AB33" i="1932" s="1"/>
  <c r="H19" i="1932"/>
  <c r="G19" i="1932"/>
  <c r="F19" i="1932"/>
  <c r="E19" i="1932"/>
  <c r="D19" i="1932"/>
  <c r="AE16" i="1932"/>
  <c r="AD16" i="1932"/>
  <c r="AC16" i="1932"/>
  <c r="AB16" i="1932"/>
  <c r="AA16" i="1932"/>
  <c r="Z16" i="1932"/>
  <c r="X16" i="1932"/>
  <c r="W16" i="1932"/>
  <c r="V16" i="1932"/>
  <c r="U16" i="1932"/>
  <c r="T16" i="1932"/>
  <c r="S16" i="1932"/>
  <c r="R16" i="1932"/>
  <c r="Q16" i="1932"/>
  <c r="P16" i="1932"/>
  <c r="O16" i="1932"/>
  <c r="N16" i="1932"/>
  <c r="M16" i="1932"/>
  <c r="L16" i="1932"/>
  <c r="K16" i="1932"/>
  <c r="J16" i="1932"/>
  <c r="I16" i="1932"/>
  <c r="H16" i="1932"/>
  <c r="G16" i="1932"/>
  <c r="F16" i="1932"/>
  <c r="E16" i="1932"/>
  <c r="D16" i="1932"/>
  <c r="AE10" i="1932"/>
  <c r="AD10" i="1932"/>
  <c r="AC33" i="1932" s="1"/>
  <c r="AC10" i="1932"/>
  <c r="AB10" i="1932"/>
  <c r="AA10" i="1932"/>
  <c r="Z10" i="1932"/>
  <c r="Y10" i="1932"/>
  <c r="X10" i="1932"/>
  <c r="W10" i="1932"/>
  <c r="V10" i="1932"/>
  <c r="U10" i="1932"/>
  <c r="T10" i="1932"/>
  <c r="S10" i="1932"/>
  <c r="R10" i="1932"/>
  <c r="Q10" i="1932"/>
  <c r="P10" i="1932"/>
  <c r="O10" i="1932"/>
  <c r="N10" i="1932"/>
  <c r="Q33" i="1932" s="1"/>
  <c r="M10" i="1932"/>
  <c r="L10" i="1932"/>
  <c r="N33" i="1932" s="1"/>
  <c r="K10" i="1932"/>
  <c r="J10" i="1932"/>
  <c r="I10" i="1932"/>
  <c r="H10" i="1932"/>
  <c r="G10" i="1932"/>
  <c r="F10" i="1932"/>
  <c r="J33" i="1932" s="1"/>
  <c r="E10" i="1932"/>
  <c r="S33" i="1932" s="1"/>
  <c r="D10" i="1932"/>
  <c r="AE7" i="1932"/>
  <c r="AD7" i="1932"/>
  <c r="AC7" i="1932"/>
  <c r="AB7" i="1932"/>
  <c r="AA7" i="1932"/>
  <c r="Z7" i="1932"/>
  <c r="Y7" i="1932"/>
  <c r="X7" i="1932"/>
  <c r="W7" i="1932"/>
  <c r="V7" i="1932"/>
  <c r="U7" i="1932"/>
  <c r="T7" i="1932"/>
  <c r="S7" i="1932"/>
  <c r="R7" i="1932"/>
  <c r="Q7" i="1932"/>
  <c r="P7" i="1932"/>
  <c r="O7" i="1932"/>
  <c r="N7" i="1932"/>
  <c r="M7" i="1932"/>
  <c r="L7" i="1932"/>
  <c r="K7" i="1932"/>
  <c r="J7" i="1932"/>
  <c r="I7" i="1932"/>
  <c r="H7" i="1932"/>
  <c r="G7" i="1932"/>
  <c r="F7" i="1932"/>
  <c r="E7" i="1932"/>
  <c r="D7" i="1932"/>
  <c r="K33" i="1932" l="1"/>
  <c r="W33" i="1932"/>
  <c r="Z33" i="1932"/>
  <c r="D33" i="1932"/>
  <c r="Y33" i="1932"/>
  <c r="E33" i="1932"/>
  <c r="M33" i="1932"/>
  <c r="V33" i="1932"/>
  <c r="AA33" i="1931"/>
  <c r="X33" i="1931"/>
  <c r="U33" i="1931"/>
  <c r="R33" i="1931"/>
  <c r="O33" i="1931"/>
  <c r="L33" i="1931"/>
  <c r="F33" i="1931"/>
  <c r="Y28" i="1931"/>
  <c r="X28" i="1931"/>
  <c r="W28" i="1931"/>
  <c r="V28" i="1931"/>
  <c r="U28" i="1931"/>
  <c r="T28" i="1931"/>
  <c r="S28" i="1931"/>
  <c r="R28" i="1931"/>
  <c r="Q28" i="1931"/>
  <c r="P28" i="1931"/>
  <c r="O28" i="1931"/>
  <c r="N28" i="1931"/>
  <c r="M28" i="1931"/>
  <c r="L28" i="1931"/>
  <c r="K28" i="1931"/>
  <c r="J28" i="1931"/>
  <c r="I28" i="1931"/>
  <c r="H28" i="1931"/>
  <c r="G28" i="1931"/>
  <c r="F28" i="1931"/>
  <c r="E28" i="1931"/>
  <c r="D28" i="1931"/>
  <c r="Y25" i="1931"/>
  <c r="X25" i="1931"/>
  <c r="W25" i="1931"/>
  <c r="V25" i="1931"/>
  <c r="U25" i="1931"/>
  <c r="T25" i="1931"/>
  <c r="S25" i="1931"/>
  <c r="R25" i="1931"/>
  <c r="Q25" i="1931"/>
  <c r="P25" i="1931"/>
  <c r="O25" i="1931"/>
  <c r="N25" i="1931"/>
  <c r="M25" i="1931"/>
  <c r="L25" i="1931"/>
  <c r="K25" i="1931"/>
  <c r="J25" i="1931"/>
  <c r="I25" i="1931"/>
  <c r="H25" i="1931"/>
  <c r="G25" i="1931"/>
  <c r="F25" i="1931"/>
  <c r="E25" i="1931"/>
  <c r="D25" i="1931"/>
  <c r="AE19" i="1931"/>
  <c r="AD19" i="1931"/>
  <c r="AC19" i="1931"/>
  <c r="AB19" i="1931"/>
  <c r="AA19" i="1931"/>
  <c r="Z19" i="1931"/>
  <c r="Y19" i="1931"/>
  <c r="X19" i="1931"/>
  <c r="T33" i="1931" s="1"/>
  <c r="W19" i="1931"/>
  <c r="V19" i="1931"/>
  <c r="U19" i="1931"/>
  <c r="T19" i="1931"/>
  <c r="S19" i="1931"/>
  <c r="R19" i="1931"/>
  <c r="Q19" i="1931"/>
  <c r="P19" i="1931"/>
  <c r="O19" i="1931"/>
  <c r="N19" i="1931"/>
  <c r="H33" i="1931" s="1"/>
  <c r="M19" i="1931"/>
  <c r="L19" i="1931"/>
  <c r="P33" i="1931" s="1"/>
  <c r="K19" i="1931"/>
  <c r="J19" i="1931"/>
  <c r="I19" i="1931"/>
  <c r="AB33" i="1931" s="1"/>
  <c r="H19" i="1931"/>
  <c r="G19" i="1931"/>
  <c r="F19" i="1931"/>
  <c r="E19" i="1931"/>
  <c r="D19" i="1931"/>
  <c r="AE16" i="1931"/>
  <c r="AD16" i="1931"/>
  <c r="AC16" i="1931"/>
  <c r="AB16" i="1931"/>
  <c r="AA16" i="1931"/>
  <c r="Z16" i="1931"/>
  <c r="X16" i="1931"/>
  <c r="W16" i="1931"/>
  <c r="V16" i="1931"/>
  <c r="U16" i="1931"/>
  <c r="T16" i="1931"/>
  <c r="S16" i="1931"/>
  <c r="R16" i="1931"/>
  <c r="Q16" i="1931"/>
  <c r="P16" i="1931"/>
  <c r="O16" i="1931"/>
  <c r="N16" i="1931"/>
  <c r="M16" i="1931"/>
  <c r="L16" i="1931"/>
  <c r="K16" i="1931"/>
  <c r="J16" i="1931"/>
  <c r="I16" i="1931"/>
  <c r="H16" i="1931"/>
  <c r="G16" i="1931"/>
  <c r="F16" i="1931"/>
  <c r="E16" i="1931"/>
  <c r="D16" i="1931"/>
  <c r="AE10" i="1931"/>
  <c r="AD10" i="1931"/>
  <c r="AC33" i="1931" s="1"/>
  <c r="AC10" i="1931"/>
  <c r="AB10" i="1931"/>
  <c r="AA10" i="1931"/>
  <c r="D33" i="1931" s="1"/>
  <c r="Z10" i="1931"/>
  <c r="Y10" i="1931"/>
  <c r="X10" i="1931"/>
  <c r="W10" i="1931"/>
  <c r="V10" i="1931"/>
  <c r="U10" i="1931"/>
  <c r="T10" i="1931"/>
  <c r="S10" i="1931"/>
  <c r="R10" i="1931"/>
  <c r="Q10" i="1931"/>
  <c r="P10" i="1931"/>
  <c r="O10" i="1931"/>
  <c r="N10" i="1931"/>
  <c r="Q33" i="1931" s="1"/>
  <c r="M10" i="1931"/>
  <c r="L10" i="1931"/>
  <c r="N33" i="1931" s="1"/>
  <c r="K10" i="1931"/>
  <c r="J10" i="1931"/>
  <c r="I10" i="1931"/>
  <c r="H10" i="1931"/>
  <c r="G10" i="1931"/>
  <c r="F10" i="1931"/>
  <c r="J33" i="1931" s="1"/>
  <c r="E10" i="1931"/>
  <c r="S33" i="1931" s="1"/>
  <c r="D10" i="1931"/>
  <c r="AE7" i="1931"/>
  <c r="AD7" i="1931"/>
  <c r="AC7" i="1931"/>
  <c r="AB7" i="1931"/>
  <c r="AA7" i="1931"/>
  <c r="Z7" i="1931"/>
  <c r="Y7" i="1931"/>
  <c r="X7" i="1931"/>
  <c r="W7" i="1931"/>
  <c r="V7" i="1931"/>
  <c r="U7" i="1931"/>
  <c r="T7" i="1931"/>
  <c r="S7" i="1931"/>
  <c r="R7" i="1931"/>
  <c r="Q7" i="1931"/>
  <c r="P7" i="1931"/>
  <c r="O7" i="1931"/>
  <c r="N7" i="1931"/>
  <c r="M7" i="1931"/>
  <c r="L7" i="1931"/>
  <c r="K7" i="1931"/>
  <c r="J7" i="1931"/>
  <c r="I7" i="1931"/>
  <c r="H7" i="1931"/>
  <c r="G7" i="1931"/>
  <c r="F7" i="1931"/>
  <c r="E7" i="1931"/>
  <c r="D7" i="1931"/>
  <c r="K33" i="1931" l="1"/>
  <c r="W33" i="1931"/>
  <c r="Z33" i="1931"/>
  <c r="Y33" i="1931"/>
  <c r="E33" i="1931"/>
  <c r="M33" i="1931"/>
  <c r="V33" i="1931"/>
  <c r="AA33" i="1930"/>
  <c r="X33" i="1930"/>
  <c r="U33" i="1930"/>
  <c r="R33" i="1930"/>
  <c r="O33" i="1930"/>
  <c r="L33" i="1930"/>
  <c r="F33" i="1930"/>
  <c r="Y28" i="1930"/>
  <c r="X28" i="1930"/>
  <c r="W28" i="1930"/>
  <c r="V28" i="1930"/>
  <c r="U28" i="1930"/>
  <c r="T28" i="1930"/>
  <c r="S28" i="1930"/>
  <c r="R28" i="1930"/>
  <c r="Q28" i="1930"/>
  <c r="P28" i="1930"/>
  <c r="O28" i="1930"/>
  <c r="N28" i="1930"/>
  <c r="M28" i="1930"/>
  <c r="L28" i="1930"/>
  <c r="K28" i="1930"/>
  <c r="J28" i="1930"/>
  <c r="I28" i="1930"/>
  <c r="H28" i="1930"/>
  <c r="G28" i="1930"/>
  <c r="F28" i="1930"/>
  <c r="E28" i="1930"/>
  <c r="D28" i="1930"/>
  <c r="Y25" i="1930"/>
  <c r="X25" i="1930"/>
  <c r="W25" i="1930"/>
  <c r="V25" i="1930"/>
  <c r="U25" i="1930"/>
  <c r="T25" i="1930"/>
  <c r="S25" i="1930"/>
  <c r="R25" i="1930"/>
  <c r="Q25" i="1930"/>
  <c r="P25" i="1930"/>
  <c r="O25" i="1930"/>
  <c r="N25" i="1930"/>
  <c r="M25" i="1930"/>
  <c r="L25" i="1930"/>
  <c r="K25" i="1930"/>
  <c r="J25" i="1930"/>
  <c r="I25" i="1930"/>
  <c r="H25" i="1930"/>
  <c r="G25" i="1930"/>
  <c r="F25" i="1930"/>
  <c r="E25" i="1930"/>
  <c r="D25" i="1930"/>
  <c r="AE19" i="1930"/>
  <c r="AD19" i="1930"/>
  <c r="AC19" i="1930"/>
  <c r="AB19" i="1930"/>
  <c r="AA19" i="1930"/>
  <c r="Z19" i="1930"/>
  <c r="Y19" i="1930"/>
  <c r="X19" i="1930"/>
  <c r="T33" i="1930" s="1"/>
  <c r="W19" i="1930"/>
  <c r="V19" i="1930"/>
  <c r="U19" i="1930"/>
  <c r="T19" i="1930"/>
  <c r="S19" i="1930"/>
  <c r="R19" i="1930"/>
  <c r="Q19" i="1930"/>
  <c r="P19" i="1930"/>
  <c r="O19" i="1930"/>
  <c r="N19" i="1930"/>
  <c r="H33" i="1930" s="1"/>
  <c r="M19" i="1930"/>
  <c r="L19" i="1930"/>
  <c r="P33" i="1930" s="1"/>
  <c r="K19" i="1930"/>
  <c r="J19" i="1930"/>
  <c r="I19" i="1930"/>
  <c r="AB33" i="1930" s="1"/>
  <c r="H19" i="1930"/>
  <c r="G19" i="1930"/>
  <c r="F19" i="1930"/>
  <c r="E19" i="1930"/>
  <c r="D19" i="1930"/>
  <c r="AE16" i="1930"/>
  <c r="AD16" i="1930"/>
  <c r="AC16" i="1930"/>
  <c r="AB16" i="1930"/>
  <c r="AA16" i="1930"/>
  <c r="Z16" i="1930"/>
  <c r="X16" i="1930"/>
  <c r="W16" i="1930"/>
  <c r="V16" i="1930"/>
  <c r="U16" i="1930"/>
  <c r="T16" i="1930"/>
  <c r="S16" i="1930"/>
  <c r="R16" i="1930"/>
  <c r="Q16" i="1930"/>
  <c r="P16" i="1930"/>
  <c r="O16" i="1930"/>
  <c r="N16" i="1930"/>
  <c r="M16" i="1930"/>
  <c r="L16" i="1930"/>
  <c r="K16" i="1930"/>
  <c r="J16" i="1930"/>
  <c r="I16" i="1930"/>
  <c r="H16" i="1930"/>
  <c r="G16" i="1930"/>
  <c r="F16" i="1930"/>
  <c r="E16" i="1930"/>
  <c r="D16" i="1930"/>
  <c r="AE10" i="1930"/>
  <c r="AD10" i="1930"/>
  <c r="AC33" i="1930" s="1"/>
  <c r="AC10" i="1930"/>
  <c r="AB10" i="1930"/>
  <c r="AA10" i="1930"/>
  <c r="Z10" i="1930"/>
  <c r="Y10" i="1930"/>
  <c r="X10" i="1930"/>
  <c r="W10" i="1930"/>
  <c r="V10" i="1930"/>
  <c r="U10" i="1930"/>
  <c r="T10" i="1930"/>
  <c r="S10" i="1930"/>
  <c r="R10" i="1930"/>
  <c r="Q10" i="1930"/>
  <c r="P10" i="1930"/>
  <c r="O10" i="1930"/>
  <c r="N10" i="1930"/>
  <c r="M10" i="1930"/>
  <c r="L10" i="1930"/>
  <c r="N33" i="1930" s="1"/>
  <c r="K10" i="1930"/>
  <c r="J10" i="1930"/>
  <c r="I10" i="1930"/>
  <c r="H10" i="1930"/>
  <c r="G10" i="1930"/>
  <c r="F10" i="1930"/>
  <c r="J33" i="1930" s="1"/>
  <c r="E10" i="1930"/>
  <c r="S33" i="1930" s="1"/>
  <c r="D10" i="1930"/>
  <c r="AE7" i="1930"/>
  <c r="AD7" i="1930"/>
  <c r="AC7" i="1930"/>
  <c r="AB7" i="1930"/>
  <c r="AA7" i="1930"/>
  <c r="Z7" i="1930"/>
  <c r="Y7" i="1930"/>
  <c r="X7" i="1930"/>
  <c r="W7" i="1930"/>
  <c r="V7" i="1930"/>
  <c r="U7" i="1930"/>
  <c r="T7" i="1930"/>
  <c r="S7" i="1930"/>
  <c r="R7" i="1930"/>
  <c r="Q7" i="1930"/>
  <c r="P7" i="1930"/>
  <c r="O7" i="1930"/>
  <c r="N7" i="1930"/>
  <c r="M7" i="1930"/>
  <c r="L7" i="1930"/>
  <c r="K7" i="1930"/>
  <c r="J7" i="1930"/>
  <c r="I7" i="1930"/>
  <c r="H7" i="1930"/>
  <c r="G7" i="1930"/>
  <c r="F7" i="1930"/>
  <c r="E7" i="1930"/>
  <c r="D7" i="1930"/>
  <c r="K33" i="1930" l="1"/>
  <c r="W33" i="1930"/>
  <c r="Z33" i="1930"/>
  <c r="D33" i="1930"/>
  <c r="Y33" i="1930"/>
  <c r="Q33" i="1930"/>
  <c r="E33" i="1930"/>
  <c r="M33" i="1930"/>
  <c r="V33" i="1930"/>
  <c r="AA33" i="1929"/>
  <c r="X33" i="1929"/>
  <c r="U33" i="1929"/>
  <c r="R33" i="1929"/>
  <c r="O33" i="1929"/>
  <c r="N33" i="1929"/>
  <c r="L33" i="1929"/>
  <c r="F33" i="1929"/>
  <c r="Y28" i="1929"/>
  <c r="X28" i="1929"/>
  <c r="W28" i="1929"/>
  <c r="V28" i="1929"/>
  <c r="U28" i="1929"/>
  <c r="T28" i="1929"/>
  <c r="S28" i="1929"/>
  <c r="R28" i="1929"/>
  <c r="Q28" i="1929"/>
  <c r="P28" i="1929"/>
  <c r="O28" i="1929"/>
  <c r="N28" i="1929"/>
  <c r="M28" i="1929"/>
  <c r="L28" i="1929"/>
  <c r="K28" i="1929"/>
  <c r="J28" i="1929"/>
  <c r="I28" i="1929"/>
  <c r="H28" i="1929"/>
  <c r="G28" i="1929"/>
  <c r="F28" i="1929"/>
  <c r="E28" i="1929"/>
  <c r="D28" i="1929"/>
  <c r="Y25" i="1929"/>
  <c r="X25" i="1929"/>
  <c r="W25" i="1929"/>
  <c r="V25" i="1929"/>
  <c r="U25" i="1929"/>
  <c r="T25" i="1929"/>
  <c r="S25" i="1929"/>
  <c r="R25" i="1929"/>
  <c r="Q25" i="1929"/>
  <c r="P25" i="1929"/>
  <c r="O25" i="1929"/>
  <c r="N25" i="1929"/>
  <c r="M25" i="1929"/>
  <c r="L25" i="1929"/>
  <c r="K25" i="1929"/>
  <c r="J25" i="1929"/>
  <c r="I25" i="1929"/>
  <c r="H25" i="1929"/>
  <c r="G25" i="1929"/>
  <c r="F25" i="1929"/>
  <c r="E25" i="1929"/>
  <c r="D25" i="1929"/>
  <c r="AE19" i="1929"/>
  <c r="AD19" i="1929"/>
  <c r="AC19" i="1929"/>
  <c r="AB19" i="1929"/>
  <c r="AA19" i="1929"/>
  <c r="Z19" i="1929"/>
  <c r="Y19" i="1929"/>
  <c r="X19" i="1929"/>
  <c r="T33" i="1929" s="1"/>
  <c r="W19" i="1929"/>
  <c r="V19" i="1929"/>
  <c r="U19" i="1929"/>
  <c r="T19" i="1929"/>
  <c r="S19" i="1929"/>
  <c r="R19" i="1929"/>
  <c r="Q19" i="1929"/>
  <c r="P19" i="1929"/>
  <c r="O19" i="1929"/>
  <c r="N19" i="1929"/>
  <c r="H33" i="1929" s="1"/>
  <c r="M19" i="1929"/>
  <c r="L19" i="1929"/>
  <c r="P33" i="1929" s="1"/>
  <c r="K19" i="1929"/>
  <c r="J19" i="1929"/>
  <c r="I19" i="1929"/>
  <c r="AB33" i="1929" s="1"/>
  <c r="H19" i="1929"/>
  <c r="G19" i="1929"/>
  <c r="F19" i="1929"/>
  <c r="E19" i="1929"/>
  <c r="D19" i="1929"/>
  <c r="AE16" i="1929"/>
  <c r="AD16" i="1929"/>
  <c r="AC16" i="1929"/>
  <c r="AB16" i="1929"/>
  <c r="AA16" i="1929"/>
  <c r="Z16" i="1929"/>
  <c r="X16" i="1929"/>
  <c r="W16" i="1929"/>
  <c r="V16" i="1929"/>
  <c r="U16" i="1929"/>
  <c r="T16" i="1929"/>
  <c r="S16" i="1929"/>
  <c r="R16" i="1929"/>
  <c r="Q16" i="1929"/>
  <c r="P16" i="1929"/>
  <c r="O16" i="1929"/>
  <c r="N16" i="1929"/>
  <c r="M16" i="1929"/>
  <c r="L16" i="1929"/>
  <c r="K16" i="1929"/>
  <c r="J16" i="1929"/>
  <c r="I16" i="1929"/>
  <c r="H16" i="1929"/>
  <c r="G16" i="1929"/>
  <c r="F16" i="1929"/>
  <c r="E16" i="1929"/>
  <c r="D16" i="1929"/>
  <c r="AE10" i="1929"/>
  <c r="AD10" i="1929"/>
  <c r="AC33" i="1929" s="1"/>
  <c r="AC10" i="1929"/>
  <c r="AB10" i="1929"/>
  <c r="AA10" i="1929"/>
  <c r="D33" i="1929" s="1"/>
  <c r="Z10" i="1929"/>
  <c r="Y10" i="1929"/>
  <c r="X10" i="1929"/>
  <c r="W10" i="1929"/>
  <c r="V10" i="1929"/>
  <c r="U10" i="1929"/>
  <c r="T10" i="1929"/>
  <c r="S10" i="1929"/>
  <c r="R10" i="1929"/>
  <c r="Q10" i="1929"/>
  <c r="P10" i="1929"/>
  <c r="O10" i="1929"/>
  <c r="N10" i="1929"/>
  <c r="M10" i="1929"/>
  <c r="L10" i="1929"/>
  <c r="K10" i="1929"/>
  <c r="J10" i="1929"/>
  <c r="I10" i="1929"/>
  <c r="H10" i="1929"/>
  <c r="G10" i="1929"/>
  <c r="F10" i="1929"/>
  <c r="E10" i="1929"/>
  <c r="S33" i="1929" s="1"/>
  <c r="D10" i="1929"/>
  <c r="AE7" i="1929"/>
  <c r="AD7" i="1929"/>
  <c r="AC7" i="1929"/>
  <c r="AB7" i="1929"/>
  <c r="AA7" i="1929"/>
  <c r="Z7" i="1929"/>
  <c r="Y7" i="1929"/>
  <c r="X7" i="1929"/>
  <c r="W7" i="1929"/>
  <c r="V7" i="1929"/>
  <c r="U7" i="1929"/>
  <c r="T7" i="1929"/>
  <c r="S7" i="1929"/>
  <c r="R7" i="1929"/>
  <c r="Q7" i="1929"/>
  <c r="P7" i="1929"/>
  <c r="O7" i="1929"/>
  <c r="N7" i="1929"/>
  <c r="M7" i="1929"/>
  <c r="L7" i="1929"/>
  <c r="K7" i="1929"/>
  <c r="J7" i="1929"/>
  <c r="I7" i="1929"/>
  <c r="H7" i="1929"/>
  <c r="G7" i="1929"/>
  <c r="F7" i="1929"/>
  <c r="E7" i="1929"/>
  <c r="D7" i="1929"/>
  <c r="J33" i="1929" l="1"/>
  <c r="K33" i="1929"/>
  <c r="W33" i="1929"/>
  <c r="Z33" i="1929"/>
  <c r="Y33" i="1929"/>
  <c r="Q33" i="1929"/>
  <c r="E33" i="1929"/>
  <c r="M33" i="1929"/>
  <c r="V33" i="1929"/>
  <c r="AA33" i="1928"/>
  <c r="X33" i="1928"/>
  <c r="U33" i="1928"/>
  <c r="R33" i="1928"/>
  <c r="O33" i="1928"/>
  <c r="L33" i="1928"/>
  <c r="F33" i="1928"/>
  <c r="Y28" i="1928"/>
  <c r="X28" i="1928"/>
  <c r="W28" i="1928"/>
  <c r="V28" i="1928"/>
  <c r="U28" i="1928"/>
  <c r="T28" i="1928"/>
  <c r="S28" i="1928"/>
  <c r="R28" i="1928"/>
  <c r="Q28" i="1928"/>
  <c r="P28" i="1928"/>
  <c r="O28" i="1928"/>
  <c r="N28" i="1928"/>
  <c r="M28" i="1928"/>
  <c r="L28" i="1928"/>
  <c r="K28" i="1928"/>
  <c r="J28" i="1928"/>
  <c r="I28" i="1928"/>
  <c r="H28" i="1928"/>
  <c r="G28" i="1928"/>
  <c r="F28" i="1928"/>
  <c r="E28" i="1928"/>
  <c r="D28" i="1928"/>
  <c r="Y25" i="1928"/>
  <c r="X25" i="1928"/>
  <c r="W25" i="1928"/>
  <c r="V25" i="1928"/>
  <c r="U25" i="1928"/>
  <c r="T25" i="1928"/>
  <c r="S25" i="1928"/>
  <c r="R25" i="1928"/>
  <c r="Q25" i="1928"/>
  <c r="P25" i="1928"/>
  <c r="O25" i="1928"/>
  <c r="N25" i="1928"/>
  <c r="M25" i="1928"/>
  <c r="L25" i="1928"/>
  <c r="K25" i="1928"/>
  <c r="J25" i="1928"/>
  <c r="I25" i="1928"/>
  <c r="H25" i="1928"/>
  <c r="G25" i="1928"/>
  <c r="F25" i="1928"/>
  <c r="E25" i="1928"/>
  <c r="D25" i="1928"/>
  <c r="AE19" i="1928"/>
  <c r="AD19" i="1928"/>
  <c r="AC19" i="1928"/>
  <c r="AB19" i="1928"/>
  <c r="AA19" i="1928"/>
  <c r="Z19" i="1928"/>
  <c r="Y19" i="1928"/>
  <c r="X19" i="1928"/>
  <c r="T33" i="1928" s="1"/>
  <c r="W19" i="1928"/>
  <c r="V19" i="1928"/>
  <c r="U19" i="1928"/>
  <c r="T19" i="1928"/>
  <c r="S19" i="1928"/>
  <c r="R19" i="1928"/>
  <c r="Q19" i="1928"/>
  <c r="P19" i="1928"/>
  <c r="O19" i="1928"/>
  <c r="N19" i="1928"/>
  <c r="H33" i="1928" s="1"/>
  <c r="M19" i="1928"/>
  <c r="L19" i="1928"/>
  <c r="P33" i="1928" s="1"/>
  <c r="K19" i="1928"/>
  <c r="J19" i="1928"/>
  <c r="I19" i="1928"/>
  <c r="AB33" i="1928" s="1"/>
  <c r="H19" i="1928"/>
  <c r="G19" i="1928"/>
  <c r="F19" i="1928"/>
  <c r="E19" i="1928"/>
  <c r="D19" i="1928"/>
  <c r="AE16" i="1928"/>
  <c r="AD16" i="1928"/>
  <c r="AC16" i="1928"/>
  <c r="AB16" i="1928"/>
  <c r="AA16" i="1928"/>
  <c r="Z16" i="1928"/>
  <c r="X16" i="1928"/>
  <c r="W16" i="1928"/>
  <c r="V16" i="1928"/>
  <c r="U16" i="1928"/>
  <c r="T16" i="1928"/>
  <c r="S16" i="1928"/>
  <c r="R16" i="1928"/>
  <c r="Q16" i="1928"/>
  <c r="P16" i="1928"/>
  <c r="O16" i="1928"/>
  <c r="N16" i="1928"/>
  <c r="M16" i="1928"/>
  <c r="L16" i="1928"/>
  <c r="K16" i="1928"/>
  <c r="J16" i="1928"/>
  <c r="I16" i="1928"/>
  <c r="H16" i="1928"/>
  <c r="G16" i="1928"/>
  <c r="F16" i="1928"/>
  <c r="E16" i="1928"/>
  <c r="D16" i="1928"/>
  <c r="AE10" i="1928"/>
  <c r="AD10" i="1928"/>
  <c r="AC33" i="1928" s="1"/>
  <c r="AC10" i="1928"/>
  <c r="AB10" i="1928"/>
  <c r="AA10" i="1928"/>
  <c r="Z10" i="1928"/>
  <c r="Y10" i="1928"/>
  <c r="X10" i="1928"/>
  <c r="W10" i="1928"/>
  <c r="V10" i="1928"/>
  <c r="U10" i="1928"/>
  <c r="T10" i="1928"/>
  <c r="S10" i="1928"/>
  <c r="R10" i="1928"/>
  <c r="Q10" i="1928"/>
  <c r="P10" i="1928"/>
  <c r="O10" i="1928"/>
  <c r="N10" i="1928"/>
  <c r="Q33" i="1928" s="1"/>
  <c r="M10" i="1928"/>
  <c r="E33" i="1928" s="1"/>
  <c r="L10" i="1928"/>
  <c r="K10" i="1928"/>
  <c r="J10" i="1928"/>
  <c r="I10" i="1928"/>
  <c r="H10" i="1928"/>
  <c r="G10" i="1928"/>
  <c r="F10" i="1928"/>
  <c r="J33" i="1928" s="1"/>
  <c r="E10" i="1928"/>
  <c r="S33" i="1928" s="1"/>
  <c r="D10" i="1928"/>
  <c r="AE7" i="1928"/>
  <c r="AD7" i="1928"/>
  <c r="AC7" i="1928"/>
  <c r="AB7" i="1928"/>
  <c r="AA7" i="1928"/>
  <c r="Z7" i="1928"/>
  <c r="Y7" i="1928"/>
  <c r="X7" i="1928"/>
  <c r="W7" i="1928"/>
  <c r="V7" i="1928"/>
  <c r="U7" i="1928"/>
  <c r="T7" i="1928"/>
  <c r="S7" i="1928"/>
  <c r="R7" i="1928"/>
  <c r="Q7" i="1928"/>
  <c r="P7" i="1928"/>
  <c r="O7" i="1928"/>
  <c r="N7" i="1928"/>
  <c r="M7" i="1928"/>
  <c r="L7" i="1928"/>
  <c r="K7" i="1928"/>
  <c r="J7" i="1928"/>
  <c r="I7" i="1928"/>
  <c r="H7" i="1928"/>
  <c r="G7" i="1928"/>
  <c r="F7" i="1928"/>
  <c r="E7" i="1928"/>
  <c r="D7" i="1928"/>
  <c r="W33" i="1928" l="1"/>
  <c r="Z33" i="1928"/>
  <c r="V33" i="1928"/>
  <c r="D33" i="1928"/>
  <c r="Y33" i="1928"/>
  <c r="N33" i="1928"/>
  <c r="K33" i="1928"/>
  <c r="M33" i="1928"/>
  <c r="AA33" i="1927"/>
  <c r="X33" i="1927"/>
  <c r="U33" i="1927"/>
  <c r="R33" i="1927"/>
  <c r="O33" i="1927"/>
  <c r="L33" i="1927"/>
  <c r="F33" i="1927"/>
  <c r="Y28" i="1927"/>
  <c r="X28" i="1927"/>
  <c r="W28" i="1927"/>
  <c r="V28" i="1927"/>
  <c r="U28" i="1927"/>
  <c r="T28" i="1927"/>
  <c r="S28" i="1927"/>
  <c r="R28" i="1927"/>
  <c r="Q28" i="1927"/>
  <c r="P28" i="1927"/>
  <c r="O28" i="1927"/>
  <c r="N28" i="1927"/>
  <c r="M28" i="1927"/>
  <c r="L28" i="1927"/>
  <c r="K28" i="1927"/>
  <c r="J28" i="1927"/>
  <c r="I28" i="1927"/>
  <c r="H28" i="1927"/>
  <c r="G28" i="1927"/>
  <c r="F28" i="1927"/>
  <c r="E28" i="1927"/>
  <c r="D28" i="1927"/>
  <c r="Y25" i="1927"/>
  <c r="X25" i="1927"/>
  <c r="W25" i="1927"/>
  <c r="V25" i="1927"/>
  <c r="U25" i="1927"/>
  <c r="T25" i="1927"/>
  <c r="S25" i="1927"/>
  <c r="R25" i="1927"/>
  <c r="Q25" i="1927"/>
  <c r="P25" i="1927"/>
  <c r="O25" i="1927"/>
  <c r="N25" i="1927"/>
  <c r="M25" i="1927"/>
  <c r="L25" i="1927"/>
  <c r="K25" i="1927"/>
  <c r="J25" i="1927"/>
  <c r="I25" i="1927"/>
  <c r="H25" i="1927"/>
  <c r="G25" i="1927"/>
  <c r="F25" i="1927"/>
  <c r="E25" i="1927"/>
  <c r="D25" i="1927"/>
  <c r="AE19" i="1927"/>
  <c r="AD19" i="1927"/>
  <c r="AC19" i="1927"/>
  <c r="AB19" i="1927"/>
  <c r="AA19" i="1927"/>
  <c r="Z19" i="1927"/>
  <c r="Y19" i="1927"/>
  <c r="X19" i="1927"/>
  <c r="T33" i="1927" s="1"/>
  <c r="W19" i="1927"/>
  <c r="V19" i="1927"/>
  <c r="U19" i="1927"/>
  <c r="T19" i="1927"/>
  <c r="S19" i="1927"/>
  <c r="R19" i="1927"/>
  <c r="Q19" i="1927"/>
  <c r="P19" i="1927"/>
  <c r="O19" i="1927"/>
  <c r="N19" i="1927"/>
  <c r="H33" i="1927" s="1"/>
  <c r="M19" i="1927"/>
  <c r="L19" i="1927"/>
  <c r="P33" i="1927" s="1"/>
  <c r="K19" i="1927"/>
  <c r="J19" i="1927"/>
  <c r="I19" i="1927"/>
  <c r="AB33" i="1927" s="1"/>
  <c r="H19" i="1927"/>
  <c r="G19" i="1927"/>
  <c r="F19" i="1927"/>
  <c r="E19" i="1927"/>
  <c r="D19" i="1927"/>
  <c r="AE16" i="1927"/>
  <c r="AD16" i="1927"/>
  <c r="AC16" i="1927"/>
  <c r="AB16" i="1927"/>
  <c r="AA16" i="1927"/>
  <c r="Z16" i="1927"/>
  <c r="X16" i="1927"/>
  <c r="W16" i="1927"/>
  <c r="V16" i="1927"/>
  <c r="U16" i="1927"/>
  <c r="T16" i="1927"/>
  <c r="S16" i="1927"/>
  <c r="R16" i="1927"/>
  <c r="Q16" i="1927"/>
  <c r="P16" i="1927"/>
  <c r="O16" i="1927"/>
  <c r="N16" i="1927"/>
  <c r="M16" i="1927"/>
  <c r="L16" i="1927"/>
  <c r="K16" i="1927"/>
  <c r="J16" i="1927"/>
  <c r="I16" i="1927"/>
  <c r="H16" i="1927"/>
  <c r="G16" i="1927"/>
  <c r="F16" i="1927"/>
  <c r="E16" i="1927"/>
  <c r="D16" i="1927"/>
  <c r="AE10" i="1927"/>
  <c r="AD10" i="1927"/>
  <c r="AC33" i="1927" s="1"/>
  <c r="AC10" i="1927"/>
  <c r="AB10" i="1927"/>
  <c r="AA10" i="1927"/>
  <c r="Z10" i="1927"/>
  <c r="Y10" i="1927"/>
  <c r="X10" i="1927"/>
  <c r="W10" i="1927"/>
  <c r="V10" i="1927"/>
  <c r="U10" i="1927"/>
  <c r="T10" i="1927"/>
  <c r="S10" i="1927"/>
  <c r="R10" i="1927"/>
  <c r="Q10" i="1927"/>
  <c r="P10" i="1927"/>
  <c r="O10" i="1927"/>
  <c r="N10" i="1927"/>
  <c r="M10" i="1927"/>
  <c r="E33" i="1927" s="1"/>
  <c r="L10" i="1927"/>
  <c r="K10" i="1927"/>
  <c r="J10" i="1927"/>
  <c r="I10" i="1927"/>
  <c r="H10" i="1927"/>
  <c r="G10" i="1927"/>
  <c r="F10" i="1927"/>
  <c r="J33" i="1927" s="1"/>
  <c r="E10" i="1927"/>
  <c r="D10" i="1927"/>
  <c r="AE7" i="1927"/>
  <c r="AD7" i="1927"/>
  <c r="AC7" i="1927"/>
  <c r="AB7" i="1927"/>
  <c r="AA7" i="1927"/>
  <c r="Z7" i="1927"/>
  <c r="Y7" i="1927"/>
  <c r="X7" i="1927"/>
  <c r="W7" i="1927"/>
  <c r="V7" i="1927"/>
  <c r="U7" i="1927"/>
  <c r="T7" i="1927"/>
  <c r="S7" i="1927"/>
  <c r="R7" i="1927"/>
  <c r="Q7" i="1927"/>
  <c r="P7" i="1927"/>
  <c r="O7" i="1927"/>
  <c r="N7" i="1927"/>
  <c r="M7" i="1927"/>
  <c r="L7" i="1927"/>
  <c r="K7" i="1927"/>
  <c r="J7" i="1927"/>
  <c r="I7" i="1927"/>
  <c r="H7" i="1927"/>
  <c r="G7" i="1927"/>
  <c r="F7" i="1927"/>
  <c r="E7" i="1927"/>
  <c r="D7" i="1927"/>
  <c r="W33" i="1927" l="1"/>
  <c r="Z33" i="1927"/>
  <c r="D33" i="1927"/>
  <c r="Y33" i="1927"/>
  <c r="Q33" i="1927"/>
  <c r="N33" i="1927"/>
  <c r="K33" i="1927"/>
  <c r="M33" i="1927"/>
  <c r="V33" i="1927"/>
  <c r="S33" i="1927"/>
  <c r="AA33" i="1926"/>
  <c r="X33" i="1926"/>
  <c r="U33" i="1926"/>
  <c r="R33" i="1926"/>
  <c r="O33" i="1926"/>
  <c r="L33" i="1926"/>
  <c r="F33" i="1926"/>
  <c r="Y28" i="1926"/>
  <c r="X28" i="1926"/>
  <c r="W28" i="1926"/>
  <c r="V28" i="1926"/>
  <c r="U28" i="1926"/>
  <c r="T28" i="1926"/>
  <c r="S28" i="1926"/>
  <c r="R28" i="1926"/>
  <c r="Q28" i="1926"/>
  <c r="P28" i="1926"/>
  <c r="O28" i="1926"/>
  <c r="N28" i="1926"/>
  <c r="M28" i="1926"/>
  <c r="L28" i="1926"/>
  <c r="K28" i="1926"/>
  <c r="J28" i="1926"/>
  <c r="I28" i="1926"/>
  <c r="H28" i="1926"/>
  <c r="G28" i="1926"/>
  <c r="F28" i="1926"/>
  <c r="E28" i="1926"/>
  <c r="D28" i="1926"/>
  <c r="Y25" i="1926"/>
  <c r="X25" i="1926"/>
  <c r="W25" i="1926"/>
  <c r="V25" i="1926"/>
  <c r="U25" i="1926"/>
  <c r="T25" i="1926"/>
  <c r="S25" i="1926"/>
  <c r="R25" i="1926"/>
  <c r="Q25" i="1926"/>
  <c r="P25" i="1926"/>
  <c r="O25" i="1926"/>
  <c r="N25" i="1926"/>
  <c r="M25" i="1926"/>
  <c r="L25" i="1926"/>
  <c r="K25" i="1926"/>
  <c r="J25" i="1926"/>
  <c r="I25" i="1926"/>
  <c r="H25" i="1926"/>
  <c r="G25" i="1926"/>
  <c r="F25" i="1926"/>
  <c r="E25" i="1926"/>
  <c r="D25" i="1926"/>
  <c r="AE19" i="1926"/>
  <c r="AD19" i="1926"/>
  <c r="AC19" i="1926"/>
  <c r="AB19" i="1926"/>
  <c r="AA19" i="1926"/>
  <c r="Z19" i="1926"/>
  <c r="Y19" i="1926"/>
  <c r="X19" i="1926"/>
  <c r="T33" i="1926" s="1"/>
  <c r="W19" i="1926"/>
  <c r="V19" i="1926"/>
  <c r="U19" i="1926"/>
  <c r="T19" i="1926"/>
  <c r="S19" i="1926"/>
  <c r="R19" i="1926"/>
  <c r="Q19" i="1926"/>
  <c r="P19" i="1926"/>
  <c r="O19" i="1926"/>
  <c r="N19" i="1926"/>
  <c r="H33" i="1926" s="1"/>
  <c r="M19" i="1926"/>
  <c r="L19" i="1926"/>
  <c r="P33" i="1926" s="1"/>
  <c r="K19" i="1926"/>
  <c r="J19" i="1926"/>
  <c r="I19" i="1926"/>
  <c r="AB33" i="1926" s="1"/>
  <c r="H19" i="1926"/>
  <c r="G19" i="1926"/>
  <c r="F19" i="1926"/>
  <c r="E19" i="1926"/>
  <c r="D19" i="1926"/>
  <c r="AE16" i="1926"/>
  <c r="AD16" i="1926"/>
  <c r="AC16" i="1926"/>
  <c r="AB16" i="1926"/>
  <c r="AA16" i="1926"/>
  <c r="Z16" i="1926"/>
  <c r="X16" i="1926"/>
  <c r="W16" i="1926"/>
  <c r="V16" i="1926"/>
  <c r="U16" i="1926"/>
  <c r="T16" i="1926"/>
  <c r="S16" i="1926"/>
  <c r="R16" i="1926"/>
  <c r="Q16" i="1926"/>
  <c r="P16" i="1926"/>
  <c r="O16" i="1926"/>
  <c r="N16" i="1926"/>
  <c r="M16" i="1926"/>
  <c r="L16" i="1926"/>
  <c r="K16" i="1926"/>
  <c r="J16" i="1926"/>
  <c r="I16" i="1926"/>
  <c r="H16" i="1926"/>
  <c r="G16" i="1926"/>
  <c r="F16" i="1926"/>
  <c r="E16" i="1926"/>
  <c r="D16" i="1926"/>
  <c r="AE10" i="1926"/>
  <c r="AD10" i="1926"/>
  <c r="AC33" i="1926" s="1"/>
  <c r="AC10" i="1926"/>
  <c r="AB10" i="1926"/>
  <c r="AA10" i="1926"/>
  <c r="Z10" i="1926"/>
  <c r="Y10" i="1926"/>
  <c r="X10" i="1926"/>
  <c r="W10" i="1926"/>
  <c r="V10" i="1926"/>
  <c r="U10" i="1926"/>
  <c r="T10" i="1926"/>
  <c r="S10" i="1926"/>
  <c r="R10" i="1926"/>
  <c r="Q10" i="1926"/>
  <c r="P10" i="1926"/>
  <c r="O10" i="1926"/>
  <c r="N10" i="1926"/>
  <c r="Q33" i="1926" s="1"/>
  <c r="M10" i="1926"/>
  <c r="L10" i="1926"/>
  <c r="K10" i="1926"/>
  <c r="J10" i="1926"/>
  <c r="I10" i="1926"/>
  <c r="H10" i="1926"/>
  <c r="G10" i="1926"/>
  <c r="F10" i="1926"/>
  <c r="J33" i="1926" s="1"/>
  <c r="E10" i="1926"/>
  <c r="S33" i="1926" s="1"/>
  <c r="D10" i="1926"/>
  <c r="AE7" i="1926"/>
  <c r="AD7" i="1926"/>
  <c r="AC7" i="1926"/>
  <c r="AB7" i="1926"/>
  <c r="AA7" i="1926"/>
  <c r="Z7" i="1926"/>
  <c r="Y7" i="1926"/>
  <c r="X7" i="1926"/>
  <c r="W7" i="1926"/>
  <c r="V7" i="1926"/>
  <c r="U7" i="1926"/>
  <c r="T7" i="1926"/>
  <c r="S7" i="1926"/>
  <c r="R7" i="1926"/>
  <c r="Q7" i="1926"/>
  <c r="P7" i="1926"/>
  <c r="O7" i="1926"/>
  <c r="N7" i="1926"/>
  <c r="M7" i="1926"/>
  <c r="L7" i="1926"/>
  <c r="K7" i="1926"/>
  <c r="J7" i="1926"/>
  <c r="I7" i="1926"/>
  <c r="H7" i="1926"/>
  <c r="G7" i="1926"/>
  <c r="F7" i="1926"/>
  <c r="E7" i="1926"/>
  <c r="D7" i="1926"/>
  <c r="N33" i="1926" l="1"/>
  <c r="K33" i="1926"/>
  <c r="W33" i="1926"/>
  <c r="Z33" i="1926"/>
  <c r="D33" i="1926"/>
  <c r="Y33" i="1926"/>
  <c r="E33" i="1926"/>
  <c r="M33" i="1926"/>
  <c r="V33" i="1926"/>
  <c r="AA33" i="1925" l="1"/>
  <c r="X33" i="1925"/>
  <c r="U33" i="1925"/>
  <c r="R33" i="1925"/>
  <c r="O33" i="1925"/>
  <c r="L33" i="1925"/>
  <c r="F33" i="1925"/>
  <c r="Y28" i="1925"/>
  <c r="X28" i="1925"/>
  <c r="W28" i="1925"/>
  <c r="V28" i="1925"/>
  <c r="U28" i="1925"/>
  <c r="T28" i="1925"/>
  <c r="S28" i="1925"/>
  <c r="R28" i="1925"/>
  <c r="Q28" i="1925"/>
  <c r="P28" i="1925"/>
  <c r="O28" i="1925"/>
  <c r="N28" i="1925"/>
  <c r="M28" i="1925"/>
  <c r="L28" i="1925"/>
  <c r="K28" i="1925"/>
  <c r="J28" i="1925"/>
  <c r="I28" i="1925"/>
  <c r="H28" i="1925"/>
  <c r="G28" i="1925"/>
  <c r="F28" i="1925"/>
  <c r="E28" i="1925"/>
  <c r="D28" i="1925"/>
  <c r="Y25" i="1925"/>
  <c r="X25" i="1925"/>
  <c r="W25" i="1925"/>
  <c r="V25" i="1925"/>
  <c r="U25" i="1925"/>
  <c r="T25" i="1925"/>
  <c r="S25" i="1925"/>
  <c r="R25" i="1925"/>
  <c r="Q25" i="1925"/>
  <c r="P25" i="1925"/>
  <c r="O25" i="1925"/>
  <c r="N25" i="1925"/>
  <c r="M25" i="1925"/>
  <c r="L25" i="1925"/>
  <c r="K25" i="1925"/>
  <c r="J25" i="1925"/>
  <c r="I25" i="1925"/>
  <c r="H25" i="1925"/>
  <c r="G25" i="1925"/>
  <c r="F25" i="1925"/>
  <c r="E25" i="1925"/>
  <c r="D25" i="1925"/>
  <c r="AE19" i="1925"/>
  <c r="AD19" i="1925"/>
  <c r="AC19" i="1925"/>
  <c r="AB19" i="1925"/>
  <c r="AA19" i="1925"/>
  <c r="Z19" i="1925"/>
  <c r="Y19" i="1925"/>
  <c r="X19" i="1925"/>
  <c r="T33" i="1925" s="1"/>
  <c r="W19" i="1925"/>
  <c r="V19" i="1925"/>
  <c r="U19" i="1925"/>
  <c r="T19" i="1925"/>
  <c r="S19" i="1925"/>
  <c r="R19" i="1925"/>
  <c r="Q19" i="1925"/>
  <c r="P19" i="1925"/>
  <c r="O19" i="1925"/>
  <c r="N19" i="1925"/>
  <c r="H33" i="1925" s="1"/>
  <c r="M19" i="1925"/>
  <c r="L19" i="1925"/>
  <c r="P33" i="1925" s="1"/>
  <c r="K19" i="1925"/>
  <c r="J19" i="1925"/>
  <c r="I19" i="1925"/>
  <c r="AB33" i="1925" s="1"/>
  <c r="H19" i="1925"/>
  <c r="G19" i="1925"/>
  <c r="F19" i="1925"/>
  <c r="E19" i="1925"/>
  <c r="D19" i="1925"/>
  <c r="AE16" i="1925"/>
  <c r="AD16" i="1925"/>
  <c r="AC16" i="1925"/>
  <c r="AB16" i="1925"/>
  <c r="AA16" i="1925"/>
  <c r="Z16" i="1925"/>
  <c r="X16" i="1925"/>
  <c r="W16" i="1925"/>
  <c r="V16" i="1925"/>
  <c r="U16" i="1925"/>
  <c r="T16" i="1925"/>
  <c r="S16" i="1925"/>
  <c r="R16" i="1925"/>
  <c r="Q16" i="1925"/>
  <c r="P16" i="1925"/>
  <c r="O16" i="1925"/>
  <c r="N16" i="1925"/>
  <c r="M16" i="1925"/>
  <c r="L16" i="1925"/>
  <c r="K16" i="1925"/>
  <c r="J16" i="1925"/>
  <c r="I16" i="1925"/>
  <c r="H16" i="1925"/>
  <c r="G16" i="1925"/>
  <c r="F16" i="1925"/>
  <c r="E16" i="1925"/>
  <c r="D16" i="1925"/>
  <c r="AE10" i="1925"/>
  <c r="AD10" i="1925"/>
  <c r="AC33" i="1925" s="1"/>
  <c r="AC10" i="1925"/>
  <c r="AB10" i="1925"/>
  <c r="AA10" i="1925"/>
  <c r="Z10" i="1925"/>
  <c r="Y10" i="1925"/>
  <c r="X10" i="1925"/>
  <c r="W10" i="1925"/>
  <c r="V10" i="1925"/>
  <c r="U10" i="1925"/>
  <c r="T10" i="1925"/>
  <c r="S10" i="1925"/>
  <c r="R10" i="1925"/>
  <c r="Q10" i="1925"/>
  <c r="P10" i="1925"/>
  <c r="O10" i="1925"/>
  <c r="N10" i="1925"/>
  <c r="M10" i="1925"/>
  <c r="L10" i="1925"/>
  <c r="K10" i="1925"/>
  <c r="J10" i="1925"/>
  <c r="I10" i="1925"/>
  <c r="H10" i="1925"/>
  <c r="G10" i="1925"/>
  <c r="F10" i="1925"/>
  <c r="E10" i="1925"/>
  <c r="S33" i="1925" s="1"/>
  <c r="D10" i="1925"/>
  <c r="AE7" i="1925"/>
  <c r="AD7" i="1925"/>
  <c r="AC7" i="1925"/>
  <c r="AB7" i="1925"/>
  <c r="AA7" i="1925"/>
  <c r="Z7" i="1925"/>
  <c r="Y7" i="1925"/>
  <c r="X7" i="1925"/>
  <c r="W7" i="1925"/>
  <c r="V7" i="1925"/>
  <c r="U7" i="1925"/>
  <c r="T7" i="1925"/>
  <c r="S7" i="1925"/>
  <c r="R7" i="1925"/>
  <c r="Q7" i="1925"/>
  <c r="P7" i="1925"/>
  <c r="O7" i="1925"/>
  <c r="N7" i="1925"/>
  <c r="M7" i="1925"/>
  <c r="L7" i="1925"/>
  <c r="K7" i="1925"/>
  <c r="J7" i="1925"/>
  <c r="I7" i="1925"/>
  <c r="H7" i="1925"/>
  <c r="G7" i="1925"/>
  <c r="F7" i="1925"/>
  <c r="E7" i="1925"/>
  <c r="D7" i="1925"/>
  <c r="J33" i="1925" l="1"/>
  <c r="V33" i="1925"/>
  <c r="W33" i="1925"/>
  <c r="Z33" i="1925"/>
  <c r="D33" i="1925"/>
  <c r="Y33" i="1925"/>
  <c r="N33" i="1925"/>
  <c r="Q33" i="1925"/>
  <c r="E33" i="1925"/>
  <c r="K33" i="1925"/>
  <c r="M33" i="1925"/>
  <c r="AA33" i="1924"/>
  <c r="X33" i="1924"/>
  <c r="U33" i="1924"/>
  <c r="R33" i="1924"/>
  <c r="O33" i="1924"/>
  <c r="L33" i="1924"/>
  <c r="F33" i="1924"/>
  <c r="Y28" i="1924"/>
  <c r="X28" i="1924"/>
  <c r="W28" i="1924"/>
  <c r="V28" i="1924"/>
  <c r="U28" i="1924"/>
  <c r="T28" i="1924"/>
  <c r="S28" i="1924"/>
  <c r="R28" i="1924"/>
  <c r="Q28" i="1924"/>
  <c r="P28" i="1924"/>
  <c r="O28" i="1924"/>
  <c r="N28" i="1924"/>
  <c r="M28" i="1924"/>
  <c r="L28" i="1924"/>
  <c r="K28" i="1924"/>
  <c r="J28" i="1924"/>
  <c r="I28" i="1924"/>
  <c r="H28" i="1924"/>
  <c r="G28" i="1924"/>
  <c r="F28" i="1924"/>
  <c r="E28" i="1924"/>
  <c r="D28" i="1924"/>
  <c r="Y25" i="1924"/>
  <c r="X25" i="1924"/>
  <c r="W25" i="1924"/>
  <c r="V25" i="1924"/>
  <c r="U25" i="1924"/>
  <c r="T25" i="1924"/>
  <c r="S25" i="1924"/>
  <c r="R25" i="1924"/>
  <c r="Q25" i="1924"/>
  <c r="P25" i="1924"/>
  <c r="O25" i="1924"/>
  <c r="N25" i="1924"/>
  <c r="M25" i="1924"/>
  <c r="L25" i="1924"/>
  <c r="K25" i="1924"/>
  <c r="J25" i="1924"/>
  <c r="I25" i="1924"/>
  <c r="H25" i="1924"/>
  <c r="G25" i="1924"/>
  <c r="F25" i="1924"/>
  <c r="E25" i="1924"/>
  <c r="D25" i="1924"/>
  <c r="AE19" i="1924"/>
  <c r="AD19" i="1924"/>
  <c r="AC19" i="1924"/>
  <c r="AB19" i="1924"/>
  <c r="AA19" i="1924"/>
  <c r="Z19" i="1924"/>
  <c r="Y19" i="1924"/>
  <c r="X19" i="1924"/>
  <c r="T33" i="1924" s="1"/>
  <c r="W19" i="1924"/>
  <c r="V19" i="1924"/>
  <c r="U19" i="1924"/>
  <c r="T19" i="1924"/>
  <c r="S19" i="1924"/>
  <c r="R19" i="1924"/>
  <c r="Q19" i="1924"/>
  <c r="P19" i="1924"/>
  <c r="O19" i="1924"/>
  <c r="N19" i="1924"/>
  <c r="H33" i="1924" s="1"/>
  <c r="M19" i="1924"/>
  <c r="L19" i="1924"/>
  <c r="P33" i="1924" s="1"/>
  <c r="K19" i="1924"/>
  <c r="J19" i="1924"/>
  <c r="I19" i="1924"/>
  <c r="AB33" i="1924" s="1"/>
  <c r="H19" i="1924"/>
  <c r="G19" i="1924"/>
  <c r="F19" i="1924"/>
  <c r="E19" i="1924"/>
  <c r="D19" i="1924"/>
  <c r="AE16" i="1924"/>
  <c r="AD16" i="1924"/>
  <c r="AC16" i="1924"/>
  <c r="AB16" i="1924"/>
  <c r="AA16" i="1924"/>
  <c r="Z16" i="1924"/>
  <c r="X16" i="1924"/>
  <c r="W16" i="1924"/>
  <c r="V16" i="1924"/>
  <c r="U16" i="1924"/>
  <c r="T16" i="1924"/>
  <c r="S16" i="1924"/>
  <c r="R16" i="1924"/>
  <c r="Q16" i="1924"/>
  <c r="P16" i="1924"/>
  <c r="O16" i="1924"/>
  <c r="N16" i="1924"/>
  <c r="M16" i="1924"/>
  <c r="L16" i="1924"/>
  <c r="K16" i="1924"/>
  <c r="J16" i="1924"/>
  <c r="I16" i="1924"/>
  <c r="H16" i="1924"/>
  <c r="G16" i="1924"/>
  <c r="F16" i="1924"/>
  <c r="E16" i="1924"/>
  <c r="D16" i="1924"/>
  <c r="AE10" i="1924"/>
  <c r="AD10" i="1924"/>
  <c r="AC33" i="1924" s="1"/>
  <c r="AC10" i="1924"/>
  <c r="AB10" i="1924"/>
  <c r="AA10" i="1924"/>
  <c r="Z10" i="1924"/>
  <c r="Y10" i="1924"/>
  <c r="X10" i="1924"/>
  <c r="W10" i="1924"/>
  <c r="V10" i="1924"/>
  <c r="U10" i="1924"/>
  <c r="T10" i="1924"/>
  <c r="S10" i="1924"/>
  <c r="R10" i="1924"/>
  <c r="Q10" i="1924"/>
  <c r="P10" i="1924"/>
  <c r="O10" i="1924"/>
  <c r="N10" i="1924"/>
  <c r="M10" i="1924"/>
  <c r="L10" i="1924"/>
  <c r="K10" i="1924"/>
  <c r="J10" i="1924"/>
  <c r="I10" i="1924"/>
  <c r="H10" i="1924"/>
  <c r="G10" i="1924"/>
  <c r="F10" i="1924"/>
  <c r="E10" i="1924"/>
  <c r="D10" i="1924"/>
  <c r="AE7" i="1924"/>
  <c r="AD7" i="1924"/>
  <c r="AC7" i="1924"/>
  <c r="AB7" i="1924"/>
  <c r="AA7" i="1924"/>
  <c r="Z7" i="1924"/>
  <c r="Y7" i="1924"/>
  <c r="X7" i="1924"/>
  <c r="W7" i="1924"/>
  <c r="V7" i="1924"/>
  <c r="U7" i="1924"/>
  <c r="T7" i="1924"/>
  <c r="S7" i="1924"/>
  <c r="R7" i="1924"/>
  <c r="Q7" i="1924"/>
  <c r="P7" i="1924"/>
  <c r="O7" i="1924"/>
  <c r="N7" i="1924"/>
  <c r="M7" i="1924"/>
  <c r="L7" i="1924"/>
  <c r="K7" i="1924"/>
  <c r="J7" i="1924"/>
  <c r="I7" i="1924"/>
  <c r="H7" i="1924"/>
  <c r="G7" i="1924"/>
  <c r="F7" i="1924"/>
  <c r="E7" i="1924"/>
  <c r="D7" i="1924"/>
  <c r="S33" i="1924" l="1"/>
  <c r="J33" i="1924"/>
  <c r="K33" i="1924"/>
  <c r="W33" i="1924"/>
  <c r="D33" i="1924"/>
  <c r="Z33" i="1924"/>
  <c r="Y33" i="1924"/>
  <c r="N33" i="1924"/>
  <c r="Q33" i="1924"/>
  <c r="E33" i="1924"/>
  <c r="M33" i="1924"/>
  <c r="V33" i="1924"/>
  <c r="AA33" i="1923"/>
  <c r="X33" i="1923"/>
  <c r="U33" i="1923"/>
  <c r="R33" i="1923"/>
  <c r="O33" i="1923"/>
  <c r="L33" i="1923"/>
  <c r="F33" i="1923"/>
  <c r="Y28" i="1923"/>
  <c r="X28" i="1923"/>
  <c r="W28" i="1923"/>
  <c r="V28" i="1923"/>
  <c r="U28" i="1923"/>
  <c r="T28" i="1923"/>
  <c r="S28" i="1923"/>
  <c r="R28" i="1923"/>
  <c r="Q28" i="1923"/>
  <c r="P28" i="1923"/>
  <c r="O28" i="1923"/>
  <c r="N28" i="1923"/>
  <c r="M28" i="1923"/>
  <c r="L28" i="1923"/>
  <c r="K28" i="1923"/>
  <c r="J28" i="1923"/>
  <c r="I28" i="1923"/>
  <c r="H28" i="1923"/>
  <c r="G28" i="1923"/>
  <c r="F28" i="1923"/>
  <c r="E28" i="1923"/>
  <c r="D28" i="1923"/>
  <c r="Y25" i="1923"/>
  <c r="X25" i="1923"/>
  <c r="W25" i="1923"/>
  <c r="V25" i="1923"/>
  <c r="U25" i="1923"/>
  <c r="T25" i="1923"/>
  <c r="S25" i="1923"/>
  <c r="R25" i="1923"/>
  <c r="Q25" i="1923"/>
  <c r="P25" i="1923"/>
  <c r="O25" i="1923"/>
  <c r="N25" i="1923"/>
  <c r="M25" i="1923"/>
  <c r="L25" i="1923"/>
  <c r="K25" i="1923"/>
  <c r="J25" i="1923"/>
  <c r="I25" i="1923"/>
  <c r="H25" i="1923"/>
  <c r="G25" i="1923"/>
  <c r="F25" i="1923"/>
  <c r="E25" i="1923"/>
  <c r="D25" i="1923"/>
  <c r="AE19" i="1923"/>
  <c r="AD19" i="1923"/>
  <c r="AC19" i="1923"/>
  <c r="AB19" i="1923"/>
  <c r="AA19" i="1923"/>
  <c r="Z19" i="1923"/>
  <c r="Y19" i="1923"/>
  <c r="X19" i="1923"/>
  <c r="T33" i="1923" s="1"/>
  <c r="W19" i="1923"/>
  <c r="V19" i="1923"/>
  <c r="U19" i="1923"/>
  <c r="T19" i="1923"/>
  <c r="S19" i="1923"/>
  <c r="R19" i="1923"/>
  <c r="Q19" i="1923"/>
  <c r="P19" i="1923"/>
  <c r="O19" i="1923"/>
  <c r="N19" i="1923"/>
  <c r="H33" i="1923" s="1"/>
  <c r="M19" i="1923"/>
  <c r="L19" i="1923"/>
  <c r="P33" i="1923" s="1"/>
  <c r="K19" i="1923"/>
  <c r="J19" i="1923"/>
  <c r="I19" i="1923"/>
  <c r="AB33" i="1923" s="1"/>
  <c r="H19" i="1923"/>
  <c r="G19" i="1923"/>
  <c r="F19" i="1923"/>
  <c r="E19" i="1923"/>
  <c r="D19" i="1923"/>
  <c r="AE16" i="1923"/>
  <c r="AD16" i="1923"/>
  <c r="AC16" i="1923"/>
  <c r="AB16" i="1923"/>
  <c r="AA16" i="1923"/>
  <c r="Z16" i="1923"/>
  <c r="X16" i="1923"/>
  <c r="W16" i="1923"/>
  <c r="V16" i="1923"/>
  <c r="U16" i="1923"/>
  <c r="T16" i="1923"/>
  <c r="S16" i="1923"/>
  <c r="R16" i="1923"/>
  <c r="Q16" i="1923"/>
  <c r="P16" i="1923"/>
  <c r="O16" i="1923"/>
  <c r="N16" i="1923"/>
  <c r="M16" i="1923"/>
  <c r="L16" i="1923"/>
  <c r="K16" i="1923"/>
  <c r="J16" i="1923"/>
  <c r="I16" i="1923"/>
  <c r="H16" i="1923"/>
  <c r="G16" i="1923"/>
  <c r="F16" i="1923"/>
  <c r="E16" i="1923"/>
  <c r="D16" i="1923"/>
  <c r="AE10" i="1923"/>
  <c r="AD10" i="1923"/>
  <c r="AC33" i="1923" s="1"/>
  <c r="AC10" i="1923"/>
  <c r="AB10" i="1923"/>
  <c r="AA10" i="1923"/>
  <c r="Z10" i="1923"/>
  <c r="Y10" i="1923"/>
  <c r="X10" i="1923"/>
  <c r="W10" i="1923"/>
  <c r="V10" i="1923"/>
  <c r="U10" i="1923"/>
  <c r="T10" i="1923"/>
  <c r="S10" i="1923"/>
  <c r="R10" i="1923"/>
  <c r="Q10" i="1923"/>
  <c r="P10" i="1923"/>
  <c r="O10" i="1923"/>
  <c r="N10" i="1923"/>
  <c r="Q33" i="1923" s="1"/>
  <c r="M10" i="1923"/>
  <c r="E33" i="1923" s="1"/>
  <c r="L10" i="1923"/>
  <c r="N33" i="1923" s="1"/>
  <c r="K10" i="1923"/>
  <c r="J10" i="1923"/>
  <c r="I10" i="1923"/>
  <c r="H10" i="1923"/>
  <c r="G10" i="1923"/>
  <c r="F10" i="1923"/>
  <c r="J33" i="1923" s="1"/>
  <c r="E10" i="1923"/>
  <c r="D10" i="1923"/>
  <c r="AE7" i="1923"/>
  <c r="AD7" i="1923"/>
  <c r="AC7" i="1923"/>
  <c r="AB7" i="1923"/>
  <c r="AA7" i="1923"/>
  <c r="Z7" i="1923"/>
  <c r="Y7" i="1923"/>
  <c r="X7" i="1923"/>
  <c r="W7" i="1923"/>
  <c r="V7" i="1923"/>
  <c r="U7" i="1923"/>
  <c r="T7" i="1923"/>
  <c r="S7" i="1923"/>
  <c r="R7" i="1923"/>
  <c r="Q7" i="1923"/>
  <c r="P7" i="1923"/>
  <c r="O7" i="1923"/>
  <c r="N7" i="1923"/>
  <c r="M7" i="1923"/>
  <c r="L7" i="1923"/>
  <c r="K7" i="1923"/>
  <c r="J7" i="1923"/>
  <c r="I7" i="1923"/>
  <c r="H7" i="1923"/>
  <c r="G7" i="1923"/>
  <c r="F7" i="1923"/>
  <c r="E7" i="1923"/>
  <c r="D7" i="1923"/>
  <c r="S33" i="1923" l="1"/>
  <c r="W33" i="1923"/>
  <c r="D33" i="1923"/>
  <c r="Z33" i="1923"/>
  <c r="Y33" i="1923"/>
  <c r="K33" i="1923"/>
  <c r="M33" i="1923"/>
  <c r="V33" i="1923"/>
  <c r="AA33" i="1921"/>
  <c r="X33" i="1921"/>
  <c r="U33" i="1921"/>
  <c r="R33" i="1921"/>
  <c r="O33" i="1921"/>
  <c r="L33" i="1921"/>
  <c r="F33" i="1921"/>
  <c r="Y28" i="1921"/>
  <c r="X28" i="1921"/>
  <c r="W28" i="1921"/>
  <c r="V28" i="1921"/>
  <c r="U28" i="1921"/>
  <c r="T28" i="1921"/>
  <c r="S28" i="1921"/>
  <c r="R28" i="1921"/>
  <c r="Q28" i="1921"/>
  <c r="P28" i="1921"/>
  <c r="O28" i="1921"/>
  <c r="N28" i="1921"/>
  <c r="M28" i="1921"/>
  <c r="L28" i="1921"/>
  <c r="K28" i="1921"/>
  <c r="J28" i="1921"/>
  <c r="I28" i="1921"/>
  <c r="H28" i="1921"/>
  <c r="G28" i="1921"/>
  <c r="F28" i="1921"/>
  <c r="E28" i="1921"/>
  <c r="D28" i="1921"/>
  <c r="Y25" i="1921"/>
  <c r="X25" i="1921"/>
  <c r="W25" i="1921"/>
  <c r="V25" i="1921"/>
  <c r="U25" i="1921"/>
  <c r="T25" i="1921"/>
  <c r="S25" i="1921"/>
  <c r="R25" i="1921"/>
  <c r="Q25" i="1921"/>
  <c r="P25" i="1921"/>
  <c r="O25" i="1921"/>
  <c r="N25" i="1921"/>
  <c r="M25" i="1921"/>
  <c r="L25" i="1921"/>
  <c r="K25" i="1921"/>
  <c r="J25" i="1921"/>
  <c r="I25" i="1921"/>
  <c r="H25" i="1921"/>
  <c r="G25" i="1921"/>
  <c r="F25" i="1921"/>
  <c r="E25" i="1921"/>
  <c r="D25" i="1921"/>
  <c r="AE19" i="1921"/>
  <c r="AD19" i="1921"/>
  <c r="AC19" i="1921"/>
  <c r="AB19" i="1921"/>
  <c r="AA19" i="1921"/>
  <c r="Z19" i="1921"/>
  <c r="Y19" i="1921"/>
  <c r="X19" i="1921"/>
  <c r="T33" i="1921" s="1"/>
  <c r="W19" i="1921"/>
  <c r="V19" i="1921"/>
  <c r="U19" i="1921"/>
  <c r="T19" i="1921"/>
  <c r="S19" i="1921"/>
  <c r="R19" i="1921"/>
  <c r="Q19" i="1921"/>
  <c r="P19" i="1921"/>
  <c r="O19" i="1921"/>
  <c r="N19" i="1921"/>
  <c r="H33" i="1921" s="1"/>
  <c r="M19" i="1921"/>
  <c r="L19" i="1921"/>
  <c r="P33" i="1921" s="1"/>
  <c r="K19" i="1921"/>
  <c r="J19" i="1921"/>
  <c r="I19" i="1921"/>
  <c r="AB33" i="1921" s="1"/>
  <c r="H19" i="1921"/>
  <c r="G19" i="1921"/>
  <c r="F19" i="1921"/>
  <c r="E19" i="1921"/>
  <c r="D19" i="1921"/>
  <c r="AE16" i="1921"/>
  <c r="AD16" i="1921"/>
  <c r="AC16" i="1921"/>
  <c r="AB16" i="1921"/>
  <c r="AA16" i="1921"/>
  <c r="Z16" i="1921"/>
  <c r="X16" i="1921"/>
  <c r="W16" i="1921"/>
  <c r="V16" i="1921"/>
  <c r="U16" i="1921"/>
  <c r="T16" i="1921"/>
  <c r="S16" i="1921"/>
  <c r="R16" i="1921"/>
  <c r="Q16" i="1921"/>
  <c r="P16" i="1921"/>
  <c r="O16" i="1921"/>
  <c r="N16" i="1921"/>
  <c r="M16" i="1921"/>
  <c r="L16" i="1921"/>
  <c r="K16" i="1921"/>
  <c r="J16" i="1921"/>
  <c r="I16" i="1921"/>
  <c r="H16" i="1921"/>
  <c r="G16" i="1921"/>
  <c r="F16" i="1921"/>
  <c r="E16" i="1921"/>
  <c r="D16" i="1921"/>
  <c r="AE10" i="1921"/>
  <c r="AD10" i="1921"/>
  <c r="AC33" i="1921" s="1"/>
  <c r="AC10" i="1921"/>
  <c r="AB10" i="1921"/>
  <c r="AA10" i="1921"/>
  <c r="Z10" i="1921"/>
  <c r="Y10" i="1921"/>
  <c r="X10" i="1921"/>
  <c r="W10" i="1921"/>
  <c r="V10" i="1921"/>
  <c r="U10" i="1921"/>
  <c r="T10" i="1921"/>
  <c r="S10" i="1921"/>
  <c r="R10" i="1921"/>
  <c r="Q10" i="1921"/>
  <c r="P10" i="1921"/>
  <c r="O10" i="1921"/>
  <c r="N10" i="1921"/>
  <c r="Q33" i="1921" s="1"/>
  <c r="M10" i="1921"/>
  <c r="E33" i="1921" s="1"/>
  <c r="L10" i="1921"/>
  <c r="K10" i="1921"/>
  <c r="J10" i="1921"/>
  <c r="I10" i="1921"/>
  <c r="H10" i="1921"/>
  <c r="G10" i="1921"/>
  <c r="F10" i="1921"/>
  <c r="J33" i="1921" s="1"/>
  <c r="E10" i="1921"/>
  <c r="S33" i="1921" s="1"/>
  <c r="D10" i="1921"/>
  <c r="AE7" i="1921"/>
  <c r="AD7" i="1921"/>
  <c r="AC7" i="1921"/>
  <c r="AB7" i="1921"/>
  <c r="AA7" i="1921"/>
  <c r="Z7" i="1921"/>
  <c r="Y7" i="1921"/>
  <c r="X7" i="1921"/>
  <c r="W7" i="1921"/>
  <c r="V7" i="1921"/>
  <c r="U7" i="1921"/>
  <c r="T7" i="1921"/>
  <c r="S7" i="1921"/>
  <c r="R7" i="1921"/>
  <c r="Q7" i="1921"/>
  <c r="P7" i="1921"/>
  <c r="O7" i="1921"/>
  <c r="N7" i="1921"/>
  <c r="M7" i="1921"/>
  <c r="L7" i="1921"/>
  <c r="K7" i="1921"/>
  <c r="J7" i="1921"/>
  <c r="I7" i="1921"/>
  <c r="H7" i="1921"/>
  <c r="G7" i="1921"/>
  <c r="F7" i="1921"/>
  <c r="E7" i="1921"/>
  <c r="D7" i="1921"/>
  <c r="W33" i="1921" l="1"/>
  <c r="Z33" i="1921"/>
  <c r="D33" i="1921"/>
  <c r="Y33" i="1921"/>
  <c r="N33" i="1921"/>
  <c r="K33" i="1921"/>
  <c r="M33" i="1921"/>
  <c r="V33" i="1921"/>
  <c r="S36" i="13" l="1"/>
  <c r="S37" i="13" s="1"/>
  <c r="S38" i="13" s="1"/>
  <c r="S39" i="13" s="1"/>
  <c r="S40" i="13" s="1"/>
  <c r="S41" i="13" s="1"/>
  <c r="S42" i="13" s="1"/>
  <c r="S43" i="13" s="1"/>
  <c r="S44" i="13" s="1"/>
  <c r="S45" i="13" s="1"/>
  <c r="S46" i="13" s="1"/>
  <c r="S47" i="13" s="1"/>
  <c r="S48" i="13" s="1"/>
  <c r="S49" i="13" s="1"/>
  <c r="S50" i="13" s="1"/>
  <c r="S51" i="13" s="1"/>
  <c r="S35" i="13"/>
</calcChain>
</file>

<file path=xl/connections.xml><?xml version="1.0" encoding="utf-8"?>
<connections xmlns="http://schemas.openxmlformats.org/spreadsheetml/2006/main">
  <connection id="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0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3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4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2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5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3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6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4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7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5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8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6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9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7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0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8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9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2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3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0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4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5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2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6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3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7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3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8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4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9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5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0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6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7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2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8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3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9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</connections>
</file>

<file path=xl/sharedStrings.xml><?xml version="1.0" encoding="utf-8"?>
<sst xmlns="http://schemas.openxmlformats.org/spreadsheetml/2006/main" count="32010" uniqueCount="654">
  <si>
    <t>空</t>
    <phoneticPr fontId="3" type="noConversion"/>
  </si>
  <si>
    <t>EG</t>
    <phoneticPr fontId="3" type="noConversion"/>
  </si>
  <si>
    <t>GAA</t>
    <phoneticPr fontId="3" type="noConversion"/>
  </si>
  <si>
    <t>EBR</t>
    <phoneticPr fontId="3" type="noConversion"/>
  </si>
  <si>
    <t>原料</t>
    <phoneticPr fontId="3" type="noConversion"/>
  </si>
  <si>
    <t>成品</t>
    <phoneticPr fontId="3" type="noConversion"/>
  </si>
  <si>
    <r>
      <rPr>
        <sz val="12"/>
        <rFont val="細明體"/>
        <family val="3"/>
        <charset val="136"/>
      </rPr>
      <t>產</t>
    </r>
    <r>
      <rPr>
        <sz val="12"/>
        <rFont val="DotumChe"/>
        <family val="3"/>
        <charset val="129"/>
      </rPr>
      <t>品</t>
    </r>
    <r>
      <rPr>
        <sz val="12"/>
        <rFont val="細明體"/>
        <family val="3"/>
        <charset val="136"/>
      </rPr>
      <t xml:space="preserve">      </t>
    </r>
    <r>
      <rPr>
        <sz val="12"/>
        <rFont val="DotumChe"/>
        <family val="3"/>
        <charset val="129"/>
      </rPr>
      <t>比重</t>
    </r>
    <r>
      <rPr>
        <sz val="12"/>
        <rFont val="細明體"/>
        <family val="3"/>
        <charset val="136"/>
      </rPr>
      <t xml:space="preserve">    </t>
    </r>
    <r>
      <rPr>
        <sz val="12"/>
        <rFont val="DotumChe"/>
        <family val="3"/>
        <charset val="129"/>
      </rPr>
      <t>溫度</t>
    </r>
    <phoneticPr fontId="3" type="noConversion"/>
  </si>
  <si>
    <t>IPA</t>
    <phoneticPr fontId="3" type="noConversion"/>
  </si>
  <si>
    <t>EG</t>
    <phoneticPr fontId="3" type="noConversion"/>
  </si>
  <si>
    <t>NMP</t>
    <phoneticPr fontId="3" type="noConversion"/>
  </si>
  <si>
    <t>Acetone</t>
    <phoneticPr fontId="3" type="noConversion"/>
  </si>
  <si>
    <t>SEP05</t>
    <phoneticPr fontId="3" type="noConversion"/>
  </si>
  <si>
    <t>PMA</t>
    <phoneticPr fontId="3" type="noConversion"/>
  </si>
  <si>
    <t>PM</t>
    <phoneticPr fontId="3" type="noConversion"/>
  </si>
  <si>
    <t>GAA</t>
    <phoneticPr fontId="3" type="noConversion"/>
  </si>
  <si>
    <r>
      <t>BDG+MEA
澄</t>
    </r>
    <r>
      <rPr>
        <sz val="14"/>
        <rFont val="細明體"/>
        <family val="3"/>
        <charset val="136"/>
      </rPr>
      <t>清</t>
    </r>
    <r>
      <rPr>
        <sz val="14"/>
        <rFont val="DotumChe"/>
        <family val="3"/>
        <charset val="129"/>
      </rPr>
      <t>液</t>
    </r>
    <phoneticPr fontId="3" type="noConversion"/>
  </si>
  <si>
    <t>ANONE</t>
    <phoneticPr fontId="3" type="noConversion"/>
  </si>
  <si>
    <t>EBR</t>
    <phoneticPr fontId="3" type="noConversion"/>
  </si>
  <si>
    <t>NBAC</t>
    <phoneticPr fontId="3" type="noConversion"/>
  </si>
  <si>
    <t>EBRUPS</t>
    <phoneticPr fontId="3" type="noConversion"/>
  </si>
  <si>
    <t>2SEP73(EBR)</t>
    <phoneticPr fontId="3" type="noConversion"/>
  </si>
  <si>
    <t>SEP11</t>
    <phoneticPr fontId="3" type="noConversion"/>
  </si>
  <si>
    <t>ETOH</t>
    <phoneticPr fontId="3" type="noConversion"/>
  </si>
  <si>
    <t>PG2</t>
    <phoneticPr fontId="3" type="noConversion"/>
  </si>
  <si>
    <t>EEP</t>
    <phoneticPr fontId="3" type="noConversion"/>
  </si>
  <si>
    <t>HEA     DPM</t>
    <phoneticPr fontId="3" type="noConversion"/>
  </si>
  <si>
    <t>C02</t>
  </si>
  <si>
    <t>C03</t>
  </si>
  <si>
    <t>C04</t>
  </si>
  <si>
    <t>C05</t>
  </si>
  <si>
    <t>C06</t>
  </si>
  <si>
    <t>槽號</t>
    <phoneticPr fontId="3" type="noConversion"/>
  </si>
  <si>
    <t>液位</t>
    <phoneticPr fontId="3" type="noConversion"/>
  </si>
  <si>
    <t>溫度</t>
    <phoneticPr fontId="3" type="noConversion"/>
  </si>
  <si>
    <t>DPM</t>
    <phoneticPr fontId="3" type="noConversion"/>
  </si>
  <si>
    <t xml:space="preserve"> </t>
    <phoneticPr fontId="2" type="noConversion"/>
  </si>
  <si>
    <t>品名</t>
    <phoneticPr fontId="3" type="noConversion"/>
  </si>
  <si>
    <t>時間</t>
    <phoneticPr fontId="3" type="noConversion"/>
  </si>
  <si>
    <t>TPM</t>
    <phoneticPr fontId="3" type="noConversion"/>
  </si>
  <si>
    <t>TK-603</t>
    <phoneticPr fontId="4" type="noConversion"/>
  </si>
  <si>
    <t>TK-641</t>
    <phoneticPr fontId="4" type="noConversion"/>
  </si>
  <si>
    <t>ACETONE</t>
    <phoneticPr fontId="3" type="noConversion"/>
  </si>
  <si>
    <t>HEA</t>
    <phoneticPr fontId="3" type="noConversion"/>
  </si>
  <si>
    <t>待處理品</t>
    <phoneticPr fontId="3" type="noConversion"/>
  </si>
  <si>
    <t>TK-601</t>
    <phoneticPr fontId="4" type="noConversion"/>
  </si>
  <si>
    <t>TK-602</t>
    <phoneticPr fontId="4" type="noConversion"/>
  </si>
  <si>
    <t>TK-604A</t>
    <phoneticPr fontId="4" type="noConversion"/>
  </si>
  <si>
    <t>TK-604B</t>
    <phoneticPr fontId="4" type="noConversion"/>
  </si>
  <si>
    <t>TK-612</t>
    <phoneticPr fontId="4" type="noConversion"/>
  </si>
  <si>
    <t>TK-621</t>
    <phoneticPr fontId="4" type="noConversion"/>
  </si>
  <si>
    <t>TK-622</t>
    <phoneticPr fontId="4" type="noConversion"/>
  </si>
  <si>
    <t>TK-631</t>
    <phoneticPr fontId="4" type="noConversion"/>
  </si>
  <si>
    <t>TK-643</t>
    <phoneticPr fontId="3" type="noConversion"/>
  </si>
  <si>
    <t>TK-645</t>
    <phoneticPr fontId="3" type="noConversion"/>
  </si>
  <si>
    <t>NMP-2</t>
    <phoneticPr fontId="3" type="noConversion"/>
  </si>
  <si>
    <t>TK-656</t>
    <phoneticPr fontId="3" type="noConversion"/>
  </si>
  <si>
    <t>TK-660</t>
    <phoneticPr fontId="3" type="noConversion"/>
  </si>
  <si>
    <t>TK-651</t>
    <phoneticPr fontId="3" type="noConversion"/>
  </si>
  <si>
    <t>TK-652</t>
    <phoneticPr fontId="3" type="noConversion"/>
  </si>
  <si>
    <t>TK-654</t>
    <phoneticPr fontId="3" type="noConversion"/>
  </si>
  <si>
    <t>TK-657</t>
    <phoneticPr fontId="3" type="noConversion"/>
  </si>
  <si>
    <t>TK-658</t>
    <phoneticPr fontId="3" type="noConversion"/>
  </si>
  <si>
    <t>TK-661</t>
    <phoneticPr fontId="3" type="noConversion"/>
  </si>
  <si>
    <t>TK-662</t>
    <phoneticPr fontId="3" type="noConversion"/>
  </si>
  <si>
    <t>TK-663</t>
    <phoneticPr fontId="3" type="noConversion"/>
  </si>
  <si>
    <t>TK-664</t>
    <phoneticPr fontId="3" type="noConversion"/>
  </si>
  <si>
    <t>TK-665</t>
    <phoneticPr fontId="3" type="noConversion"/>
  </si>
  <si>
    <t>TK-666</t>
    <phoneticPr fontId="3" type="noConversion"/>
  </si>
  <si>
    <t>TK-670</t>
    <phoneticPr fontId="3" type="noConversion"/>
  </si>
  <si>
    <t>記事欄</t>
    <phoneticPr fontId="3" type="noConversion"/>
  </si>
  <si>
    <r>
      <t>CPN環戊</t>
    </r>
    <r>
      <rPr>
        <sz val="14"/>
        <rFont val="細明體"/>
        <family val="3"/>
        <charset val="136"/>
      </rPr>
      <t>酮</t>
    </r>
    <phoneticPr fontId="3" type="noConversion"/>
  </si>
  <si>
    <t>CPN</t>
    <phoneticPr fontId="3" type="noConversion"/>
  </si>
  <si>
    <t>DPM-B1</t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</si>
  <si>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2" type="noConversion"/>
  </si>
  <si>
    <t>TK-671</t>
    <phoneticPr fontId="3" type="noConversion"/>
  </si>
  <si>
    <t>MIBC</t>
    <phoneticPr fontId="3" type="noConversion"/>
  </si>
  <si>
    <t>C08</t>
  </si>
  <si>
    <t>C09</t>
  </si>
  <si>
    <t>604A</t>
  </si>
  <si>
    <t>604B</t>
  </si>
  <si>
    <t>C01</t>
  </si>
  <si>
    <t>C07</t>
  </si>
  <si>
    <t>儲槽作業日報表</t>
    <phoneticPr fontId="3" type="noConversion"/>
  </si>
  <si>
    <t>待處理品</t>
    <phoneticPr fontId="2" type="noConversion"/>
  </si>
  <si>
    <t>成品</t>
    <phoneticPr fontId="2" type="noConversion"/>
  </si>
  <si>
    <t>原料</t>
    <phoneticPr fontId="2" type="noConversion"/>
  </si>
  <si>
    <t>TK-677</t>
  </si>
  <si>
    <t>TK-678</t>
  </si>
  <si>
    <t>TK-680</t>
  </si>
  <si>
    <t>TK-681</t>
  </si>
  <si>
    <t>TK-682</t>
  </si>
  <si>
    <t>TK-683</t>
  </si>
  <si>
    <t>TK-684</t>
  </si>
  <si>
    <t>TK-685</t>
  </si>
  <si>
    <t>TK-686</t>
  </si>
  <si>
    <t>TK-687</t>
  </si>
  <si>
    <t>TK-688</t>
  </si>
  <si>
    <t>TK-689</t>
  </si>
  <si>
    <t>TK-690</t>
  </si>
  <si>
    <t>TK-691</t>
  </si>
  <si>
    <t>TK-692</t>
  </si>
  <si>
    <t>TK-693</t>
  </si>
  <si>
    <t>TK-694</t>
  </si>
  <si>
    <t>TK-695</t>
  </si>
  <si>
    <t>TK-696</t>
  </si>
  <si>
    <t>TK-697</t>
  </si>
  <si>
    <t>TK-698</t>
  </si>
  <si>
    <t>EGE4</t>
    <phoneticPr fontId="2" type="noConversion"/>
  </si>
  <si>
    <t>TK-699</t>
  </si>
  <si>
    <t>槽號</t>
    <phoneticPr fontId="2" type="noConversion"/>
  </si>
  <si>
    <t>CPNE4</t>
    <phoneticPr fontId="2" type="noConversion"/>
  </si>
  <si>
    <t>TK-611</t>
    <phoneticPr fontId="4" type="noConversion"/>
  </si>
  <si>
    <t>TK-613</t>
    <phoneticPr fontId="4" type="noConversion"/>
  </si>
  <si>
    <t>TK614</t>
    <phoneticPr fontId="4" type="noConversion"/>
  </si>
  <si>
    <t>TK-623</t>
    <phoneticPr fontId="4" type="noConversion"/>
  </si>
  <si>
    <t>TK-624</t>
    <phoneticPr fontId="4" type="noConversion"/>
  </si>
  <si>
    <t>TK-C01</t>
    <phoneticPr fontId="4" type="noConversion"/>
  </si>
  <si>
    <t>TK-C02</t>
    <phoneticPr fontId="4" type="noConversion"/>
  </si>
  <si>
    <t>TK-C03</t>
    <phoneticPr fontId="4" type="noConversion"/>
  </si>
  <si>
    <t>TK-C04</t>
    <phoneticPr fontId="4" type="noConversion"/>
  </si>
  <si>
    <t>TK-C05</t>
    <phoneticPr fontId="4" type="noConversion"/>
  </si>
  <si>
    <t>TK-C06</t>
    <phoneticPr fontId="4" type="noConversion"/>
  </si>
  <si>
    <t>TK-C07</t>
    <phoneticPr fontId="4" type="noConversion"/>
  </si>
  <si>
    <t>TK-C08</t>
    <phoneticPr fontId="4" type="noConversion"/>
  </si>
  <si>
    <t>TK-C09</t>
    <phoneticPr fontId="4" type="noConversion"/>
  </si>
  <si>
    <t>TK-632</t>
    <phoneticPr fontId="4" type="noConversion"/>
  </si>
  <si>
    <t>TK-633</t>
    <phoneticPr fontId="4" type="noConversion"/>
  </si>
  <si>
    <t>TK-634</t>
    <phoneticPr fontId="4" type="noConversion"/>
  </si>
  <si>
    <t>TK-642</t>
    <phoneticPr fontId="4" type="noConversion"/>
  </si>
  <si>
    <t>TK-653</t>
    <phoneticPr fontId="3" type="noConversion"/>
  </si>
  <si>
    <t>TK-655</t>
    <phoneticPr fontId="3" type="noConversion"/>
  </si>
  <si>
    <t>TK-659</t>
    <phoneticPr fontId="3" type="noConversion"/>
  </si>
  <si>
    <t>TK-667</t>
    <phoneticPr fontId="3" type="noConversion"/>
  </si>
  <si>
    <t>TK-668</t>
    <phoneticPr fontId="3" type="noConversion"/>
  </si>
  <si>
    <t>TK-669</t>
    <phoneticPr fontId="3" type="noConversion"/>
  </si>
  <si>
    <t>TK-672</t>
    <phoneticPr fontId="3" type="noConversion"/>
  </si>
  <si>
    <t xml:space="preserve"> TK-673</t>
    <phoneticPr fontId="3" type="noConversion"/>
  </si>
  <si>
    <t>TK-674</t>
    <phoneticPr fontId="3" type="noConversion"/>
  </si>
  <si>
    <t>TK-675</t>
    <phoneticPr fontId="3" type="noConversion"/>
  </si>
  <si>
    <t>TK-676</t>
    <phoneticPr fontId="3" type="noConversion"/>
  </si>
  <si>
    <t>底面積</t>
    <phoneticPr fontId="2" type="noConversion"/>
  </si>
  <si>
    <t>現為公升還要*密度=公斤KG</t>
    <phoneticPr fontId="2" type="noConversion"/>
  </si>
  <si>
    <t>最高液位</t>
    <phoneticPr fontId="2" type="noConversion"/>
  </si>
  <si>
    <t>675-678</t>
    <phoneticPr fontId="2" type="noConversion"/>
  </si>
  <si>
    <t>1mm</t>
    <phoneticPr fontId="2" type="noConversion"/>
  </si>
  <si>
    <t>4.6L</t>
    <phoneticPr fontId="2" type="noConversion"/>
  </si>
  <si>
    <t>桶底 1566L</t>
    <phoneticPr fontId="2" type="noConversion"/>
  </si>
  <si>
    <t>681-689,691</t>
    <phoneticPr fontId="2" type="noConversion"/>
  </si>
  <si>
    <t>18.322L</t>
    <phoneticPr fontId="2" type="noConversion"/>
  </si>
  <si>
    <t>桶底87L</t>
    <phoneticPr fontId="2" type="noConversion"/>
  </si>
  <si>
    <t>11.702L</t>
    <phoneticPr fontId="2" type="noConversion"/>
  </si>
  <si>
    <t>692-695</t>
    <phoneticPr fontId="2" type="noConversion"/>
  </si>
  <si>
    <t>35.891L</t>
    <phoneticPr fontId="2" type="noConversion"/>
  </si>
  <si>
    <t>696-699</t>
    <phoneticPr fontId="2" type="noConversion"/>
  </si>
  <si>
    <t>47.051L</t>
    <phoneticPr fontId="2" type="noConversion"/>
  </si>
  <si>
    <t>268.26L</t>
    <phoneticPr fontId="2" type="noConversion"/>
  </si>
  <si>
    <t>1026L</t>
    <phoneticPr fontId="2" type="noConversion"/>
  </si>
  <si>
    <t>514.88L</t>
    <phoneticPr fontId="2" type="noConversion"/>
  </si>
  <si>
    <t>2512.3L</t>
    <phoneticPr fontId="2" type="noConversion"/>
  </si>
  <si>
    <t>5453.1L</t>
    <phoneticPr fontId="2" type="noConversion"/>
  </si>
  <si>
    <t>液位</t>
    <phoneticPr fontId="2" type="noConversion"/>
  </si>
  <si>
    <t>CPNE3-R</t>
    <phoneticPr fontId="3" type="noConversion"/>
  </si>
  <si>
    <t xml:space="preserve">鴻勝化學科技股份有限公司                                    </t>
    <phoneticPr fontId="3" type="noConversion"/>
  </si>
  <si>
    <t xml:space="preserve">                                  </t>
    <phoneticPr fontId="2" type="noConversion"/>
  </si>
  <si>
    <t>500KL</t>
    <phoneticPr fontId="2" type="noConversion"/>
  </si>
  <si>
    <t>51.53L</t>
    <phoneticPr fontId="2" type="noConversion"/>
  </si>
  <si>
    <t>250KL</t>
    <phoneticPr fontId="2" type="noConversion"/>
  </si>
  <si>
    <t>33.183L</t>
    <phoneticPr fontId="2" type="noConversion"/>
  </si>
  <si>
    <t>125KL</t>
    <phoneticPr fontId="2" type="noConversion"/>
  </si>
  <si>
    <t>20.428L</t>
    <phoneticPr fontId="2" type="noConversion"/>
  </si>
  <si>
    <t>70KL</t>
    <phoneticPr fontId="2" type="noConversion"/>
  </si>
  <si>
    <t>50KL</t>
    <phoneticPr fontId="2" type="noConversion"/>
  </si>
  <si>
    <t>50KL
C01~C09
643,645</t>
    <phoneticPr fontId="2" type="noConversion"/>
  </si>
  <si>
    <t>上午:</t>
    <phoneticPr fontId="3" type="noConversion"/>
  </si>
  <si>
    <t>年       月       日</t>
    <phoneticPr fontId="3" type="noConversion"/>
  </si>
  <si>
    <t>備    註</t>
    <phoneticPr fontId="3" type="noConversion"/>
  </si>
  <si>
    <t>年         月         日</t>
    <phoneticPr fontId="3" type="noConversion"/>
  </si>
  <si>
    <t>槽　別</t>
    <phoneticPr fontId="3" type="noConversion"/>
  </si>
  <si>
    <t>液位(mm/%)</t>
    <phoneticPr fontId="3" type="noConversion"/>
  </si>
  <si>
    <t>數量(kg)</t>
    <phoneticPr fontId="4" type="noConversion"/>
  </si>
  <si>
    <t>溫度( ℃)</t>
    <phoneticPr fontId="3" type="noConversion"/>
  </si>
  <si>
    <r>
      <t>液位(</t>
    </r>
    <r>
      <rPr>
        <vertAlign val="superscript"/>
        <sz val="8"/>
        <rFont val="微軟正黑體"/>
        <family val="2"/>
        <charset val="136"/>
      </rPr>
      <t>mm</t>
    </r>
    <r>
      <rPr>
        <sz val="8"/>
        <rFont val="微軟正黑體"/>
        <family val="2"/>
        <charset val="136"/>
      </rPr>
      <t>/</t>
    </r>
    <r>
      <rPr>
        <vertAlign val="subscript"/>
        <sz val="8"/>
        <rFont val="微軟正黑體"/>
        <family val="2"/>
        <charset val="136"/>
      </rPr>
      <t>%</t>
    </r>
    <r>
      <rPr>
        <sz val="8"/>
        <rFont val="微軟正黑體"/>
        <family val="2"/>
        <charset val="136"/>
      </rPr>
      <t>)</t>
    </r>
    <phoneticPr fontId="4" type="noConversion"/>
  </si>
  <si>
    <t>總數量
(kg)</t>
    <phoneticPr fontId="3" type="noConversion"/>
  </si>
  <si>
    <t>經(副)理:</t>
    <phoneticPr fontId="4" type="noConversion"/>
  </si>
  <si>
    <t>課長:</t>
    <phoneticPr fontId="4" type="noConversion"/>
  </si>
  <si>
    <t>組(副)長:</t>
    <phoneticPr fontId="4" type="noConversion"/>
  </si>
  <si>
    <t>記錄員:</t>
    <phoneticPr fontId="4" type="noConversion"/>
  </si>
  <si>
    <t>EGHW</t>
    <phoneticPr fontId="3" type="noConversion"/>
  </si>
  <si>
    <t>溫度</t>
    <phoneticPr fontId="2" type="noConversion"/>
  </si>
  <si>
    <t>液位</t>
  </si>
  <si>
    <t>GAA</t>
    <phoneticPr fontId="2" type="noConversion"/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</si>
  <si>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</si>
  <si>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</si>
  <si>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</si>
  <si>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</si>
  <si>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</si>
  <si>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</si>
  <si>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</si>
  <si>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</si>
  <si>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</si>
  <si>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</si>
  <si>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</si>
  <si>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</si>
  <si>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</si>
  <si>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</si>
  <si>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</si>
  <si>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</si>
  <si>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</si>
  <si>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F20</t>
  </si>
  <si>
    <t>F21</t>
  </si>
  <si>
    <t>F23</t>
  </si>
  <si>
    <t>品名</t>
  </si>
  <si>
    <t>編號</t>
  </si>
  <si>
    <t>日期</t>
  </si>
  <si>
    <t>重量</t>
  </si>
  <si>
    <t>來源</t>
  </si>
  <si>
    <t>小計</t>
  </si>
  <si>
    <t>IPA-R1</t>
  </si>
  <si>
    <t>備註</t>
  </si>
  <si>
    <t>總量</t>
  </si>
  <si>
    <t xml:space="preserve"> </t>
  </si>
  <si>
    <t>20170627</t>
  </si>
  <si>
    <t>80</t>
  </si>
  <si>
    <t>320</t>
  </si>
  <si>
    <t>BDGE</t>
  </si>
  <si>
    <t>50</t>
  </si>
  <si>
    <t>170</t>
  </si>
  <si>
    <t>160</t>
  </si>
  <si>
    <t>30</t>
  </si>
  <si>
    <t>20161229</t>
  </si>
  <si>
    <t>90</t>
  </si>
  <si>
    <t>60</t>
  </si>
  <si>
    <t>150</t>
  </si>
  <si>
    <t>20170126</t>
  </si>
  <si>
    <t>40</t>
  </si>
  <si>
    <t>GAAHW</t>
  </si>
  <si>
    <t>TK-602</t>
  </si>
  <si>
    <t>420</t>
  </si>
  <si>
    <t>ANONEHW</t>
  </si>
  <si>
    <t>220</t>
  </si>
  <si>
    <t>100</t>
  </si>
  <si>
    <t>ACTHW</t>
  </si>
  <si>
    <t>110</t>
  </si>
  <si>
    <t>180</t>
  </si>
  <si>
    <t>GBLHW</t>
  </si>
  <si>
    <t>3/19</t>
  </si>
  <si>
    <t>E-12</t>
  </si>
  <si>
    <t>8/26</t>
  </si>
  <si>
    <t>6/26</t>
  </si>
  <si>
    <t>53GL(20150916送驗)</t>
  </si>
  <si>
    <t>2/10</t>
  </si>
  <si>
    <t>115</t>
  </si>
  <si>
    <t>GB8704</t>
  </si>
  <si>
    <t>9/15</t>
  </si>
  <si>
    <t>6/22</t>
  </si>
  <si>
    <t>11/18</t>
  </si>
  <si>
    <t>5/27</t>
  </si>
  <si>
    <t>10</t>
  </si>
  <si>
    <t>9/27</t>
  </si>
  <si>
    <t>470</t>
  </si>
  <si>
    <t>20160223</t>
  </si>
  <si>
    <t>161126</t>
  </si>
  <si>
    <t>E-39</t>
  </si>
  <si>
    <t>20131211破桶換桶 970(20150916送驗)</t>
  </si>
  <si>
    <t>GB8705</t>
  </si>
  <si>
    <t>5/6</t>
  </si>
  <si>
    <t>230</t>
  </si>
  <si>
    <t>6/9</t>
  </si>
  <si>
    <t>10/15</t>
  </si>
  <si>
    <t>11/15</t>
  </si>
  <si>
    <t>20140409</t>
  </si>
  <si>
    <t>20150304</t>
  </si>
  <si>
    <t>20150511</t>
  </si>
  <si>
    <t>20150709</t>
  </si>
  <si>
    <t>20151214</t>
  </si>
  <si>
    <t>70</t>
  </si>
  <si>
    <t>(20150916送驗)</t>
  </si>
  <si>
    <t>20140521</t>
  </si>
  <si>
    <t>20141030</t>
  </si>
  <si>
    <t>1GAL</t>
  </si>
  <si>
    <t>20141222</t>
  </si>
  <si>
    <t>20141231</t>
  </si>
  <si>
    <t>20160324</t>
  </si>
  <si>
    <t>20160530</t>
  </si>
  <si>
    <t>20160831</t>
  </si>
  <si>
    <t>130</t>
  </si>
  <si>
    <t>GB8706-1</t>
  </si>
  <si>
    <t>GB8706-2</t>
  </si>
  <si>
    <t>53GL*2(20150916送驗)</t>
  </si>
  <si>
    <t>GB8707</t>
  </si>
  <si>
    <t>E39</t>
  </si>
  <si>
    <t>20170223</t>
  </si>
  <si>
    <t>GB8708</t>
  </si>
  <si>
    <t>NMPHW</t>
  </si>
  <si>
    <t>1010</t>
  </si>
  <si>
    <t>670</t>
  </si>
  <si>
    <t>MEK</t>
  </si>
  <si>
    <t>20</t>
  </si>
  <si>
    <t>EGHW</t>
  </si>
  <si>
    <t>140</t>
  </si>
  <si>
    <t>EEP</t>
  </si>
  <si>
    <t>400</t>
  </si>
  <si>
    <t>190</t>
  </si>
  <si>
    <t>120</t>
  </si>
  <si>
    <t>PG</t>
  </si>
  <si>
    <t>-30</t>
  </si>
  <si>
    <t>-20</t>
  </si>
  <si>
    <t>270</t>
  </si>
  <si>
    <t>1DPM-1
(DPM HAV)</t>
  </si>
  <si>
    <t>總量統計</t>
  </si>
  <si>
    <t>IPA</t>
  </si>
  <si>
    <t>EBR</t>
  </si>
  <si>
    <t>SEP05(E2)</t>
  </si>
  <si>
    <t>GAA</t>
  </si>
  <si>
    <t>ANONE</t>
  </si>
  <si>
    <t>#REF!</t>
  </si>
  <si>
    <t>5,609.0</t>
  </si>
  <si>
    <t>50.0</t>
  </si>
  <si>
    <t>ACT</t>
  </si>
  <si>
    <t>GBL</t>
  </si>
  <si>
    <t>NMP</t>
  </si>
  <si>
    <t>EG</t>
  </si>
  <si>
    <t>DPM HAV</t>
  </si>
  <si>
    <t>Sulfolane</t>
  </si>
  <si>
    <t>83.0</t>
  </si>
  <si>
    <t>4,050.0</t>
  </si>
  <si>
    <t>897.0</t>
  </si>
  <si>
    <t>103.0</t>
  </si>
  <si>
    <t>請直接以10進位，謝謝</t>
  </si>
  <si>
    <t>F19</t>
  </si>
  <si>
    <t>F24</t>
  </si>
  <si>
    <t>F25</t>
  </si>
  <si>
    <t>F26</t>
  </si>
  <si>
    <t>F27</t>
  </si>
  <si>
    <t>F28</t>
  </si>
  <si>
    <t>水份</t>
  </si>
  <si>
    <t>I9101</t>
  </si>
  <si>
    <t>20240326</t>
  </si>
  <si>
    <t>TK-604</t>
  </si>
  <si>
    <t>20240424</t>
  </si>
  <si>
    <t>I9102</t>
  </si>
  <si>
    <t>I9103</t>
  </si>
  <si>
    <t>C41</t>
  </si>
  <si>
    <t>I9104</t>
  </si>
  <si>
    <t>I9105</t>
  </si>
  <si>
    <t xml:space="preserve">1EBRHW
</t>
  </si>
  <si>
    <t>I9106</t>
  </si>
  <si>
    <t>I9107</t>
  </si>
  <si>
    <t>I9108</t>
  </si>
  <si>
    <t>I9109</t>
  </si>
  <si>
    <t>I9110</t>
  </si>
  <si>
    <t>I9111</t>
  </si>
  <si>
    <t>I9112</t>
  </si>
  <si>
    <t>I9113</t>
  </si>
  <si>
    <t>I9114</t>
  </si>
  <si>
    <t>I9115</t>
  </si>
  <si>
    <t>CPNE3</t>
  </si>
  <si>
    <t>I9116</t>
  </si>
  <si>
    <t>I9117</t>
  </si>
  <si>
    <t>CPNHW
(OEM)</t>
  </si>
  <si>
    <t>I9118</t>
  </si>
  <si>
    <t>I9119</t>
  </si>
  <si>
    <t>I9120</t>
  </si>
  <si>
    <t>I9121</t>
  </si>
  <si>
    <t>M
I
B
C
H
W</t>
  </si>
  <si>
    <t>R9101</t>
  </si>
  <si>
    <t>TK-601</t>
  </si>
  <si>
    <t>R9102</t>
  </si>
  <si>
    <t>290</t>
  </si>
  <si>
    <t>R9103</t>
  </si>
  <si>
    <t>0</t>
  </si>
  <si>
    <t>R9104</t>
  </si>
  <si>
    <t>R9105</t>
  </si>
  <si>
    <t>R9106</t>
  </si>
  <si>
    <t>R9107</t>
  </si>
  <si>
    <t>R9108</t>
  </si>
  <si>
    <t>R9109</t>
  </si>
  <si>
    <t>R9110</t>
  </si>
  <si>
    <t>G9101</t>
  </si>
  <si>
    <t>G9102</t>
  </si>
  <si>
    <t>G9103</t>
  </si>
  <si>
    <t>G9104</t>
  </si>
  <si>
    <t>G9105</t>
  </si>
  <si>
    <t>G9106</t>
  </si>
  <si>
    <t>G9107</t>
  </si>
  <si>
    <t>G9108</t>
  </si>
  <si>
    <t>AN9101</t>
  </si>
  <si>
    <t>AN9102</t>
  </si>
  <si>
    <t>-</t>
  </si>
  <si>
    <t>A9101</t>
  </si>
  <si>
    <t>20240425</t>
  </si>
  <si>
    <t>690</t>
  </si>
  <si>
    <t>A9102</t>
  </si>
  <si>
    <t>A9103</t>
  </si>
  <si>
    <t>A9104</t>
  </si>
  <si>
    <t>A9105</t>
  </si>
  <si>
    <t>A9106</t>
  </si>
  <si>
    <t>A9107</t>
  </si>
  <si>
    <t>A9108</t>
  </si>
  <si>
    <t>S208</t>
  </si>
  <si>
    <t>GB9101</t>
  </si>
  <si>
    <t>20210315</t>
  </si>
  <si>
    <t>-50</t>
  </si>
  <si>
    <t>換桶</t>
  </si>
  <si>
    <t>910</t>
  </si>
  <si>
    <t>1140</t>
  </si>
  <si>
    <t>20200818</t>
  </si>
  <si>
    <t>1130</t>
  </si>
  <si>
    <t>20161126</t>
  </si>
  <si>
    <t>2020/7/16</t>
  </si>
  <si>
    <t>研發取用</t>
  </si>
  <si>
    <t>1110</t>
  </si>
  <si>
    <t>20170728</t>
  </si>
  <si>
    <t>20170829</t>
  </si>
  <si>
    <t>20170927</t>
  </si>
  <si>
    <t>20171030</t>
  </si>
  <si>
    <t>20171129</t>
  </si>
  <si>
    <t>20171228</t>
  </si>
  <si>
    <t>20180129</t>
  </si>
  <si>
    <t>20180205</t>
  </si>
  <si>
    <t>-40</t>
  </si>
  <si>
    <t>20180328</t>
  </si>
  <si>
    <t>20180426</t>
  </si>
  <si>
    <t>20180530</t>
  </si>
  <si>
    <t>20180628</t>
  </si>
  <si>
    <t>20181130</t>
  </si>
  <si>
    <t>1150</t>
  </si>
  <si>
    <t>20180730</t>
  </si>
  <si>
    <t>20180890</t>
  </si>
  <si>
    <t>20180927</t>
  </si>
  <si>
    <t>20181030</t>
  </si>
  <si>
    <t>20181227</t>
  </si>
  <si>
    <t>20190130</t>
  </si>
  <si>
    <t>20190226</t>
  </si>
  <si>
    <t>20190328</t>
  </si>
  <si>
    <t>20190429</t>
  </si>
  <si>
    <t>20190530</t>
  </si>
  <si>
    <t>20190628</t>
  </si>
  <si>
    <t>20190730</t>
  </si>
  <si>
    <t>20190816</t>
  </si>
  <si>
    <t>GB8709</t>
  </si>
  <si>
    <t>20190829</t>
  </si>
  <si>
    <t>20190927</t>
  </si>
  <si>
    <t>20191029</t>
  </si>
  <si>
    <t>20191128</t>
  </si>
  <si>
    <t>20191226</t>
  </si>
  <si>
    <t>20200130</t>
  </si>
  <si>
    <t>20200226</t>
  </si>
  <si>
    <t>20200326</t>
  </si>
  <si>
    <t>20200430</t>
  </si>
  <si>
    <t>20200529</t>
  </si>
  <si>
    <t>20200629</t>
  </si>
  <si>
    <t>20200730</t>
  </si>
  <si>
    <t>20200827</t>
  </si>
  <si>
    <t>20200928</t>
  </si>
  <si>
    <t>20201028</t>
  </si>
  <si>
    <t>20201127</t>
  </si>
  <si>
    <t>GB9110</t>
  </si>
  <si>
    <t>20201225</t>
  </si>
  <si>
    <t>20210129</t>
  </si>
  <si>
    <t>20210224</t>
  </si>
  <si>
    <t>20210326</t>
  </si>
  <si>
    <t>1090</t>
  </si>
  <si>
    <t>20210427</t>
  </si>
  <si>
    <t>20210527</t>
  </si>
  <si>
    <t>20210629</t>
  </si>
  <si>
    <t>20210728</t>
  </si>
  <si>
    <t>20210826</t>
  </si>
  <si>
    <t>20210928</t>
  </si>
  <si>
    <t>20211027</t>
  </si>
  <si>
    <t>20211130</t>
  </si>
  <si>
    <t>20211229</t>
  </si>
  <si>
    <t>20220117</t>
  </si>
  <si>
    <t>GB9111</t>
  </si>
  <si>
    <t>20220126</t>
  </si>
  <si>
    <t>20220223</t>
  </si>
  <si>
    <t>20220329</t>
  </si>
  <si>
    <t>20220427</t>
  </si>
  <si>
    <t>20220629</t>
  </si>
  <si>
    <t>1080</t>
  </si>
  <si>
    <t>20220725</t>
  </si>
  <si>
    <t>20220826</t>
  </si>
  <si>
    <t>20220928</t>
  </si>
  <si>
    <t>20221025</t>
  </si>
  <si>
    <t>20221229</t>
  </si>
  <si>
    <t>20230130</t>
  </si>
  <si>
    <t>20230222</t>
  </si>
  <si>
    <t>20230327</t>
  </si>
  <si>
    <t>20230425</t>
  </si>
  <si>
    <t>20230529</t>
  </si>
  <si>
    <t>20230628</t>
  </si>
  <si>
    <t>20230725</t>
  </si>
  <si>
    <t>20230828</t>
  </si>
  <si>
    <t>20230926</t>
  </si>
  <si>
    <t>20231025</t>
  </si>
  <si>
    <t>GB9112</t>
  </si>
  <si>
    <t>20231122</t>
  </si>
  <si>
    <t>20231226</t>
  </si>
  <si>
    <t>8,920</t>
  </si>
  <si>
    <t>E9101</t>
  </si>
  <si>
    <t>E9102</t>
  </si>
  <si>
    <t>20240226</t>
  </si>
  <si>
    <t>350</t>
  </si>
  <si>
    <t>TK603</t>
  </si>
  <si>
    <t>E9103</t>
  </si>
  <si>
    <t>E9104</t>
  </si>
  <si>
    <t>E9105</t>
  </si>
  <si>
    <t>990</t>
  </si>
  <si>
    <t>285</t>
  </si>
  <si>
    <t>20240124</t>
  </si>
  <si>
    <t>20240202</t>
  </si>
  <si>
    <t>E9107</t>
  </si>
  <si>
    <t>E9108</t>
  </si>
  <si>
    <t>E9109</t>
  </si>
  <si>
    <t>E9110</t>
  </si>
  <si>
    <t>E9111</t>
  </si>
  <si>
    <t>C9101</t>
  </si>
  <si>
    <t>C9102</t>
  </si>
  <si>
    <t>C9103</t>
  </si>
  <si>
    <t>C9104</t>
  </si>
  <si>
    <t>20240426</t>
  </si>
  <si>
    <t>870</t>
  </si>
  <si>
    <t>C9105</t>
  </si>
  <si>
    <t>C9106</t>
  </si>
  <si>
    <t>C9107</t>
  </si>
  <si>
    <t>C9108</t>
  </si>
  <si>
    <t>C9109</t>
  </si>
  <si>
    <t>C9110</t>
  </si>
  <si>
    <t>C9111</t>
  </si>
  <si>
    <t>C9112</t>
  </si>
  <si>
    <t>C9113</t>
  </si>
  <si>
    <t>C9114</t>
  </si>
  <si>
    <t>C9115</t>
  </si>
  <si>
    <t>N9101</t>
  </si>
  <si>
    <t>20240320</t>
  </si>
  <si>
    <t>930</t>
  </si>
  <si>
    <t>N9102</t>
  </si>
  <si>
    <t>N9103</t>
  </si>
  <si>
    <t>TK611</t>
  </si>
  <si>
    <t>20240401</t>
  </si>
  <si>
    <t>N9104</t>
  </si>
  <si>
    <t>940</t>
  </si>
  <si>
    <t>N9105</t>
  </si>
  <si>
    <t>N9106</t>
  </si>
  <si>
    <t>N9107</t>
  </si>
  <si>
    <t>N9108</t>
  </si>
  <si>
    <t>N9109</t>
  </si>
  <si>
    <t>N9110</t>
  </si>
  <si>
    <t>N9111</t>
  </si>
  <si>
    <t>N9112</t>
  </si>
  <si>
    <t>N9113</t>
  </si>
  <si>
    <t>N9114</t>
  </si>
  <si>
    <t>N9115</t>
  </si>
  <si>
    <t>N9116</t>
  </si>
  <si>
    <t>N
S
E
H
W</t>
  </si>
  <si>
    <t>NS9101</t>
  </si>
  <si>
    <t>NS9102</t>
  </si>
  <si>
    <t>M9101</t>
  </si>
  <si>
    <t>20220407</t>
  </si>
  <si>
    <t>20230428</t>
  </si>
  <si>
    <t>TK667</t>
  </si>
  <si>
    <t>M9102</t>
  </si>
  <si>
    <t>M9103</t>
  </si>
  <si>
    <t>M9104</t>
  </si>
  <si>
    <t>M9105</t>
  </si>
  <si>
    <t>2,030</t>
  </si>
  <si>
    <t>D9101</t>
  </si>
  <si>
    <t>D9102</t>
  </si>
  <si>
    <t>D9103</t>
  </si>
  <si>
    <t>D9104</t>
  </si>
  <si>
    <t>D9105</t>
  </si>
  <si>
    <t>c</t>
  </si>
  <si>
    <t xml:space="preserve"> </t>
    <phoneticPr fontId="3" type="noConversion"/>
  </si>
  <si>
    <t>20240528</t>
  </si>
  <si>
    <t>250</t>
  </si>
  <si>
    <t>20240516</t>
  </si>
  <si>
    <t>840</t>
  </si>
  <si>
    <t>(回收液)</t>
  </si>
  <si>
    <t>1,440</t>
  </si>
  <si>
    <t>310</t>
  </si>
  <si>
    <t>730</t>
  </si>
  <si>
    <t>200</t>
  </si>
  <si>
    <t>890</t>
  </si>
  <si>
    <t>1030</t>
  </si>
  <si>
    <t>E9106
(5/30重驗)</t>
  </si>
  <si>
    <t>360</t>
  </si>
  <si>
    <t>20240523</t>
  </si>
  <si>
    <t>850</t>
  </si>
  <si>
    <t>880</t>
  </si>
  <si>
    <t>630</t>
  </si>
  <si>
    <t>202406XX</t>
  </si>
  <si>
    <t>TK675等單</t>
  </si>
  <si>
    <t>20240619</t>
  </si>
  <si>
    <t>530</t>
  </si>
  <si>
    <t>2024/6/24 14:52</t>
  </si>
  <si>
    <t>標記1</t>
  </si>
  <si>
    <t>標記2</t>
  </si>
  <si>
    <t>960</t>
  </si>
  <si>
    <t>1020</t>
  </si>
  <si>
    <t>7,100</t>
  </si>
  <si>
    <t>20240624</t>
  </si>
  <si>
    <t>810</t>
  </si>
  <si>
    <t>860</t>
  </si>
  <si>
    <t>9310</t>
  </si>
  <si>
    <t>830</t>
  </si>
  <si>
    <t>3,880</t>
  </si>
  <si>
    <t>2,270.0</t>
  </si>
  <si>
    <t>CPNE4R</t>
    <phoneticPr fontId="2" type="noConversion"/>
  </si>
  <si>
    <t>EBR-P4</t>
    <phoneticPr fontId="3" type="noConversion"/>
  </si>
  <si>
    <r>
      <t>EBR</t>
    </r>
    <r>
      <rPr>
        <sz val="7"/>
        <color theme="1"/>
        <rFont val="微軟正黑體"/>
        <family val="2"/>
        <charset val="136"/>
      </rPr>
      <t>廢溶劑</t>
    </r>
    <phoneticPr fontId="3" type="noConversion"/>
  </si>
  <si>
    <t>PMUPS</t>
    <phoneticPr fontId="3" type="noConversion"/>
  </si>
  <si>
    <t>待處理廢水</t>
    <phoneticPr fontId="2" type="noConversion"/>
  </si>
  <si>
    <t>待處理廢水</t>
    <phoneticPr fontId="3" type="noConversion"/>
  </si>
  <si>
    <t>EBR-P1R</t>
  </si>
  <si>
    <t>NMPUPS</t>
    <phoneticPr fontId="3" type="noConversion"/>
  </si>
  <si>
    <t>ACTUPS</t>
    <phoneticPr fontId="3" type="noConversion"/>
  </si>
  <si>
    <t>EGUPS</t>
  </si>
  <si>
    <t>EGUPS</t>
    <phoneticPr fontId="3" type="noConversion"/>
  </si>
  <si>
    <t>IPAUPS</t>
  </si>
  <si>
    <t>IPAUPS</t>
    <phoneticPr fontId="3" type="noConversion"/>
  </si>
  <si>
    <t>EBR-P1</t>
    <phoneticPr fontId="3" type="noConversion"/>
  </si>
  <si>
    <t>CPN-P1</t>
    <phoneticPr fontId="3" type="noConversion"/>
  </si>
  <si>
    <t>CPN-P1R</t>
  </si>
  <si>
    <t>IPAHW</t>
    <phoneticPr fontId="3" type="noConversion"/>
  </si>
  <si>
    <t>EBR95</t>
    <phoneticPr fontId="3" type="noConversion"/>
  </si>
  <si>
    <t>HEAVY ENDS</t>
    <phoneticPr fontId="3" type="noConversion"/>
  </si>
  <si>
    <t>CPN-R</t>
    <phoneticPr fontId="3" type="noConversion"/>
  </si>
  <si>
    <t>NBAC-P1</t>
    <phoneticPr fontId="3" type="noConversion"/>
  </si>
  <si>
    <t>NBAC-P1R</t>
    <phoneticPr fontId="3" type="noConversion"/>
  </si>
  <si>
    <t>CPNE3</t>
    <phoneticPr fontId="3" type="noConversion"/>
  </si>
  <si>
    <t>CPN</t>
  </si>
  <si>
    <t>SEP73E3</t>
    <phoneticPr fontId="3" type="noConversion"/>
  </si>
  <si>
    <t>GAAUPS</t>
    <phoneticPr fontId="3" type="noConversion"/>
  </si>
  <si>
    <t>IPAHQ</t>
    <phoneticPr fontId="2" type="noConversion"/>
  </si>
  <si>
    <t>CPNE3(T)</t>
    <phoneticPr fontId="2" type="noConversion"/>
  </si>
  <si>
    <t>CPN</t>
    <phoneticPr fontId="2" type="noConversion"/>
  </si>
  <si>
    <t>IPA-1</t>
  </si>
  <si>
    <t>IPA</t>
    <phoneticPr fontId="2" type="noConversion"/>
  </si>
  <si>
    <t>EBR-P1</t>
    <phoneticPr fontId="2" type="noConversion"/>
  </si>
  <si>
    <t>C50110-INV-01(01)</t>
    <phoneticPr fontId="3" type="noConversion"/>
  </si>
  <si>
    <t>IPA-1</t>
    <phoneticPr fontId="3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</si>
  <si>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27
蒸氣壓力 ______ (最低氣溫低於16度開啟)</t>
    <phoneticPr fontId="3" type="noConversion"/>
  </si>
  <si>
    <t>洪源松</t>
    <phoneticPr fontId="2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</si>
  <si>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31
蒸氣壓力 ______ (最低氣溫低於16度開啟)</t>
    <phoneticPr fontId="3" type="noConversion"/>
  </si>
  <si>
    <t>涂敬宗</t>
    <phoneticPr fontId="2" type="noConversion"/>
  </si>
  <si>
    <r>
      <t>EBR</t>
    </r>
    <r>
      <rPr>
        <sz val="7"/>
        <rFont val="微軟正黑體"/>
        <family val="2"/>
        <charset val="136"/>
      </rPr>
      <t>廢溶劑</t>
    </r>
    <phoneticPr fontId="3" type="noConversion"/>
  </si>
  <si>
    <r>
      <t>EBR</t>
    </r>
    <r>
      <rPr>
        <sz val="7"/>
        <color theme="5"/>
        <rFont val="微軟正黑體"/>
        <family val="2"/>
        <charset val="136"/>
      </rPr>
      <t>廢溶劑</t>
    </r>
    <phoneticPr fontId="3" type="noConversion"/>
  </si>
  <si>
    <r>
      <t>EBR</t>
    </r>
    <r>
      <rPr>
        <sz val="7"/>
        <color rgb="FFC00000"/>
        <rFont val="微軟正黑體"/>
        <family val="2"/>
        <charset val="136"/>
      </rPr>
      <t>廢溶劑</t>
    </r>
    <phoneticPr fontId="3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</si>
  <si>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25
蒸氣壓力 ______ (最低氣溫低於16度開啟)</t>
    <phoneticPr fontId="3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</si>
  <si>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23
蒸氣壓力 ______ (最低氣溫低於16度開啟)</t>
    <phoneticPr fontId="3" type="noConversion"/>
  </si>
  <si>
    <t>DPM-1</t>
    <phoneticPr fontId="3" type="noConversion"/>
  </si>
  <si>
    <r>
      <t>EBR</t>
    </r>
    <r>
      <rPr>
        <sz val="7"/>
        <color rgb="FFFF0000"/>
        <rFont val="微軟正黑體"/>
        <family val="2"/>
        <charset val="136"/>
      </rPr>
      <t>廢溶劑</t>
    </r>
    <phoneticPr fontId="3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</si>
  <si>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24
蒸氣壓力 ______ (最低氣溫低於16度開啟)</t>
    <phoneticPr fontId="3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</si>
  <si>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26
蒸氣壓力 ______ (最低氣溫低於16度開啟)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</si>
</sst>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44" formatCode="_-&quot;$&quot;* #,##0.00_-;\-&quot;$&quot;* #,##0.00_-;_-&quot;$&quot;* &quot;-&quot;??_-;_-@_-"/>
    <numFmt numFmtId="43" formatCode="_-* #,##0.00_-;\-* #,##0.00_-;_-* &quot;-&quot;??_-;_-@_-"/>
    <numFmt numFmtId="176" formatCode="0_);[Red]\(0\)"/>
    <numFmt numFmtId="177" formatCode="0_ "/>
    <numFmt numFmtId="178" formatCode="_(* #,##0.00_);_(* \(#,##0.00\);_(* &quot;-&quot;??_);_(@_)"/>
    <numFmt numFmtId="179" formatCode="_(&quot;$&quot;* #,##0.00_);_(&quot;$&quot;* \(#,##0.00\);_(&quot;$&quot;* &quot;-&quot;??_);_(@_)"/>
    <numFmt numFmtId="180" formatCode="#,##0.0000"/>
    <numFmt numFmtId="181" formatCode="0.0000_ "/>
    <numFmt numFmtId="182" formatCode="0.0000"/>
    <numFmt numFmtId="183" formatCode="[&lt;0]&quot;0&quot;;0"/>
    <numFmt numFmtId="184" formatCode="m&quot;月&quot;d&quot;日&quot;"/>
  </numFmts>
  <fonts count="42">
    <font>
      <sz val="12"/>
      <color theme="1"/>
      <name val="新細明體"/>
      <family val="2"/>
      <scheme val="minor"/>
    </font>
    <font>
      <sz val="12"/>
      <name val="新細明體"/>
      <family val="1"/>
      <charset val="136"/>
    </font>
    <font>
      <sz val="9"/>
      <name val="新細明體"/>
      <family val="3"/>
      <charset val="136"/>
      <scheme val="minor"/>
    </font>
    <font>
      <sz val="9"/>
      <name val="新細明體"/>
      <family val="1"/>
      <charset val="136"/>
    </font>
    <font>
      <sz val="9"/>
      <name val="細明體"/>
      <family val="3"/>
      <charset val="136"/>
    </font>
    <font>
      <sz val="12"/>
      <color theme="1"/>
      <name val="新細明體"/>
      <family val="1"/>
      <charset val="136"/>
      <scheme val="minor"/>
    </font>
    <font>
      <sz val="12"/>
      <name val="DotumChe"/>
      <family val="3"/>
      <charset val="129"/>
    </font>
    <font>
      <sz val="12"/>
      <name val="細明體"/>
      <family val="3"/>
      <charset val="136"/>
    </font>
    <font>
      <sz val="14"/>
      <name val="DotumChe"/>
      <family val="3"/>
      <charset val="129"/>
    </font>
    <font>
      <b/>
      <sz val="14"/>
      <color rgb="FF0000FF"/>
      <name val="DotumChe"/>
      <family val="3"/>
      <charset val="129"/>
    </font>
    <font>
      <sz val="14"/>
      <name val="細明體"/>
      <family val="3"/>
      <charset val="136"/>
    </font>
    <font>
      <sz val="18"/>
      <color rgb="FFFF0000"/>
      <name val="微軟正黑體"/>
      <family val="2"/>
      <charset val="136"/>
    </font>
    <font>
      <b/>
      <sz val="12"/>
      <name val="微軟正黑體"/>
      <family val="2"/>
      <charset val="136"/>
    </font>
    <font>
      <sz val="12"/>
      <name val="微軟正黑體"/>
      <family val="2"/>
      <charset val="136"/>
    </font>
    <font>
      <sz val="14"/>
      <name val="微軟正黑體"/>
      <family val="2"/>
      <charset val="136"/>
    </font>
    <font>
      <sz val="6"/>
      <name val="微軟正黑體"/>
      <family val="2"/>
      <charset val="136"/>
    </font>
    <font>
      <sz val="16"/>
      <name val="微軟正黑體"/>
      <family val="2"/>
      <charset val="136"/>
    </font>
    <font>
      <sz val="10"/>
      <name val="微軟正黑體"/>
      <family val="2"/>
      <charset val="136"/>
    </font>
    <font>
      <sz val="11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sz val="8"/>
      <name val="微軟正黑體"/>
      <family val="2"/>
      <charset val="136"/>
    </font>
    <font>
      <u/>
      <sz val="16"/>
      <name val="微軟正黑體"/>
      <family val="2"/>
      <charset val="136"/>
    </font>
    <font>
      <sz val="9"/>
      <name val="微軟正黑體"/>
      <family val="2"/>
      <charset val="136"/>
    </font>
    <font>
      <vertAlign val="superscript"/>
      <sz val="8"/>
      <name val="微軟正黑體"/>
      <family val="2"/>
      <charset val="136"/>
    </font>
    <font>
      <vertAlign val="subscript"/>
      <sz val="8"/>
      <name val="微軟正黑體"/>
      <family val="2"/>
      <charset val="136"/>
    </font>
    <font>
      <u/>
      <sz val="9"/>
      <name val="微軟正黑體"/>
      <family val="2"/>
      <charset val="136"/>
    </font>
    <font>
      <sz val="7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7.5"/>
      <name val="微軟正黑體"/>
      <family val="2"/>
      <charset val="136"/>
    </font>
    <font>
      <u/>
      <sz val="9"/>
      <color theme="7" tint="-0.499984740745262"/>
      <name val="微軟正黑體"/>
      <family val="2"/>
      <charset val="136"/>
    </font>
    <font>
      <sz val="9"/>
      <color theme="7" tint="-0.499984740745262"/>
      <name val="微軟正黑體"/>
      <family val="2"/>
      <charset val="136"/>
    </font>
    <font>
      <sz val="8.5"/>
      <name val="微軟正黑體"/>
      <family val="2"/>
      <charset val="136"/>
    </font>
    <font>
      <sz val="10"/>
      <color theme="7" tint="-0.499984740745262"/>
      <name val="微軟正黑體"/>
      <family val="2"/>
      <charset val="136"/>
    </font>
    <font>
      <sz val="8"/>
      <color theme="1"/>
      <name val="微軟正黑體"/>
      <family val="2"/>
      <charset val="136"/>
    </font>
    <font>
      <sz val="7"/>
      <color theme="1"/>
      <name val="微軟正黑體"/>
      <family val="2"/>
      <charset val="136"/>
    </font>
    <font>
      <sz val="12"/>
      <color rgb="FF000000"/>
      <name val="新細明體"/>
      <family val="1"/>
      <charset val="136"/>
    </font>
    <font>
      <sz val="8"/>
      <color theme="5"/>
      <name val="微軟正黑體"/>
      <family val="2"/>
      <charset val="136"/>
    </font>
    <font>
      <sz val="7"/>
      <color theme="5"/>
      <name val="微軟正黑體"/>
      <family val="2"/>
      <charset val="136"/>
    </font>
    <font>
      <sz val="8"/>
      <color rgb="FFC00000"/>
      <name val="微軟正黑體"/>
      <family val="2"/>
      <charset val="136"/>
    </font>
    <font>
      <sz val="7"/>
      <color rgb="FFC00000"/>
      <name val="微軟正黑體"/>
      <family val="2"/>
      <charset val="136"/>
    </font>
    <font>
      <sz val="7"/>
      <color rgb="FFFF0000"/>
      <name val="微軟正黑體"/>
      <family val="2"/>
      <charset val="136"/>
    </font>
    <font>
      <sz val="8"/>
      <color rgb="FFFF0000"/>
      <name val="微軟正黑體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59999389629810485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otted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tted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</borders>
  <cellStyleXfs count="23">
    <xf numFmtId="0" fontId="0" fillId="0" borderId="0"/>
    <xf numFmtId="0" fontId="1" fillId="0" borderId="0"/>
    <xf numFmtId="0" fontId="1" fillId="0" borderId="0"/>
    <xf numFmtId="178" fontId="1" fillId="0" borderId="0" applyFont="0" applyFill="0" applyBorder="0" applyAlignment="0" applyProtection="0"/>
    <xf numFmtId="17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>
      <alignment vertical="center"/>
    </xf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41">
    <xf numFmtId="0" fontId="0" fillId="0" borderId="0" xfId="0"/>
    <xf numFmtId="0" fontId="6" fillId="3" borderId="5" xfId="1" applyFont="1" applyFill="1" applyBorder="1" applyAlignment="1">
      <alignment horizontal="left" vertical="center" wrapText="1"/>
    </xf>
    <xf numFmtId="0" fontId="8" fillId="3" borderId="17" xfId="1" applyFont="1" applyFill="1" applyBorder="1" applyAlignment="1">
      <alignment horizontal="center" vertical="center"/>
    </xf>
    <xf numFmtId="49" fontId="9" fillId="4" borderId="17" xfId="1" applyNumberFormat="1" applyFont="1" applyFill="1" applyBorder="1" applyAlignment="1">
      <alignment horizontal="center" vertical="center"/>
    </xf>
    <xf numFmtId="0" fontId="8" fillId="3" borderId="17" xfId="1" applyFont="1" applyFill="1" applyBorder="1" applyAlignment="1">
      <alignment horizontal="center" vertical="center" wrapText="1"/>
    </xf>
    <xf numFmtId="180" fontId="9" fillId="4" borderId="17" xfId="1" applyNumberFormat="1" applyFont="1" applyFill="1" applyBorder="1" applyAlignment="1">
      <alignment horizontal="center" vertical="center" wrapText="1"/>
    </xf>
    <xf numFmtId="0" fontId="8" fillId="0" borderId="0" xfId="1" applyFont="1" applyAlignment="1">
      <alignment vertical="center"/>
    </xf>
    <xf numFmtId="0" fontId="8" fillId="0" borderId="18" xfId="1" applyFont="1" applyFill="1" applyBorder="1" applyAlignment="1">
      <alignment horizontal="center" vertical="center" wrapText="1"/>
    </xf>
    <xf numFmtId="0" fontId="8" fillId="0" borderId="19" xfId="1" applyFont="1" applyFill="1" applyBorder="1" applyAlignment="1">
      <alignment horizontal="center" vertical="center"/>
    </xf>
    <xf numFmtId="0" fontId="8" fillId="4" borderId="19" xfId="1" applyFont="1" applyFill="1" applyBorder="1" applyAlignment="1">
      <alignment horizontal="center" vertical="center"/>
    </xf>
    <xf numFmtId="0" fontId="8" fillId="0" borderId="19" xfId="1" applyFont="1" applyFill="1" applyBorder="1" applyAlignment="1">
      <alignment horizontal="center" vertical="center" wrapText="1"/>
    </xf>
    <xf numFmtId="181" fontId="8" fillId="0" borderId="19" xfId="1" applyNumberFormat="1" applyFont="1" applyFill="1" applyBorder="1" applyAlignment="1">
      <alignment horizontal="center" vertical="center"/>
    </xf>
    <xf numFmtId="0" fontId="8" fillId="0" borderId="0" xfId="1" applyFont="1" applyFill="1" applyBorder="1" applyAlignment="1">
      <alignment horizontal="center" vertical="center"/>
    </xf>
    <xf numFmtId="0" fontId="8" fillId="0" borderId="0" xfId="1" applyFont="1" applyFill="1" applyAlignment="1">
      <alignment vertical="center"/>
    </xf>
    <xf numFmtId="0" fontId="8" fillId="0" borderId="19" xfId="1" applyNumberFormat="1" applyFont="1" applyFill="1" applyBorder="1" applyAlignment="1">
      <alignment horizontal="center" vertical="center"/>
    </xf>
    <xf numFmtId="0" fontId="8" fillId="0" borderId="20" xfId="1" applyFont="1" applyBorder="1" applyAlignment="1">
      <alignment horizontal="center" vertical="center"/>
    </xf>
    <xf numFmtId="180" fontId="8" fillId="0" borderId="21" xfId="1" applyNumberFormat="1" applyFont="1" applyBorder="1" applyAlignment="1">
      <alignment horizontal="center" vertical="center"/>
    </xf>
    <xf numFmtId="180" fontId="8" fillId="4" borderId="21" xfId="1" applyNumberFormat="1" applyFont="1" applyFill="1" applyBorder="1" applyAlignment="1">
      <alignment horizontal="center" vertical="center"/>
    </xf>
    <xf numFmtId="180" fontId="8" fillId="0" borderId="22" xfId="1" applyNumberFormat="1" applyFont="1" applyBorder="1" applyAlignment="1">
      <alignment horizontal="center" vertical="center"/>
    </xf>
    <xf numFmtId="180" fontId="8" fillId="4" borderId="22" xfId="1" applyNumberFormat="1" applyFont="1" applyFill="1" applyBorder="1" applyAlignment="1">
      <alignment horizontal="center" vertical="center"/>
    </xf>
    <xf numFmtId="180" fontId="8" fillId="0" borderId="23" xfId="1" applyNumberFormat="1" applyFont="1" applyBorder="1" applyAlignment="1">
      <alignment horizontal="center" vertical="center"/>
    </xf>
    <xf numFmtId="0" fontId="8" fillId="0" borderId="24" xfId="1" applyFont="1" applyBorder="1" applyAlignment="1">
      <alignment horizontal="center" vertical="center"/>
    </xf>
    <xf numFmtId="180" fontId="8" fillId="0" borderId="25" xfId="1" applyNumberFormat="1" applyFont="1" applyBorder="1" applyAlignment="1">
      <alignment horizontal="center" vertical="center"/>
    </xf>
    <xf numFmtId="180" fontId="8" fillId="0" borderId="19" xfId="1" applyNumberFormat="1" applyFont="1" applyBorder="1" applyAlignment="1">
      <alignment horizontal="center" vertical="center"/>
    </xf>
    <xf numFmtId="180" fontId="8" fillId="4" borderId="19" xfId="1" applyNumberFormat="1" applyFont="1" applyFill="1" applyBorder="1" applyAlignment="1">
      <alignment horizontal="center" vertical="center"/>
    </xf>
    <xf numFmtId="180" fontId="8" fillId="0" borderId="0" xfId="1" applyNumberFormat="1" applyFont="1" applyAlignment="1">
      <alignment horizontal="center" vertical="center"/>
    </xf>
    <xf numFmtId="0" fontId="8" fillId="0" borderId="26" xfId="1" applyFont="1" applyBorder="1" applyAlignment="1">
      <alignment horizontal="center" vertical="center"/>
    </xf>
    <xf numFmtId="180" fontId="8" fillId="0" borderId="27" xfId="1" applyNumberFormat="1" applyFont="1" applyBorder="1" applyAlignment="1">
      <alignment horizontal="center" vertical="center"/>
    </xf>
    <xf numFmtId="180" fontId="8" fillId="0" borderId="28" xfId="1" applyNumberFormat="1" applyFont="1" applyBorder="1" applyAlignment="1">
      <alignment horizontal="center" vertical="center"/>
    </xf>
    <xf numFmtId="180" fontId="8" fillId="4" borderId="28" xfId="1" applyNumberFormat="1" applyFont="1" applyFill="1" applyBorder="1" applyAlignment="1">
      <alignment horizontal="center" vertical="center"/>
    </xf>
    <xf numFmtId="180" fontId="8" fillId="4" borderId="27" xfId="1" applyNumberFormat="1" applyFont="1" applyFill="1" applyBorder="1" applyAlignment="1">
      <alignment horizontal="center" vertical="center"/>
    </xf>
    <xf numFmtId="180" fontId="8" fillId="0" borderId="25" xfId="1" applyNumberFormat="1" applyFont="1" applyFill="1" applyBorder="1" applyAlignment="1">
      <alignment horizontal="center" vertical="center"/>
    </xf>
    <xf numFmtId="0" fontId="8" fillId="0" borderId="29" xfId="1" applyFont="1" applyBorder="1" applyAlignment="1">
      <alignment horizontal="center" vertical="center"/>
    </xf>
    <xf numFmtId="180" fontId="8" fillId="0" borderId="30" xfId="1" applyNumberFormat="1" applyFont="1" applyBorder="1" applyAlignment="1">
      <alignment horizontal="center" vertical="center"/>
    </xf>
    <xf numFmtId="180" fontId="8" fillId="0" borderId="21" xfId="1" applyNumberFormat="1" applyFont="1" applyBorder="1" applyAlignment="1">
      <alignment horizontal="center" vertical="center" wrapText="1"/>
    </xf>
    <xf numFmtId="180" fontId="8" fillId="0" borderId="25" xfId="1" applyNumberFormat="1" applyFont="1" applyBorder="1" applyAlignment="1">
      <alignment horizontal="center" vertical="center" wrapText="1"/>
    </xf>
    <xf numFmtId="180" fontId="8" fillId="0" borderId="27" xfId="1" applyNumberFormat="1" applyFont="1" applyBorder="1" applyAlignment="1">
      <alignment horizontal="center" vertical="center" wrapText="1"/>
    </xf>
    <xf numFmtId="180" fontId="8" fillId="0" borderId="27" xfId="1" applyNumberFormat="1" applyFont="1" applyFill="1" applyBorder="1" applyAlignment="1">
      <alignment horizontal="center" vertical="center"/>
    </xf>
    <xf numFmtId="0" fontId="8" fillId="0" borderId="31" xfId="1" applyFont="1" applyBorder="1" applyAlignment="1">
      <alignment horizontal="center" vertical="center"/>
    </xf>
    <xf numFmtId="180" fontId="8" fillId="0" borderId="22" xfId="1" applyNumberFormat="1" applyFont="1" applyBorder="1" applyAlignment="1">
      <alignment horizontal="center" vertical="center" wrapText="1"/>
    </xf>
    <xf numFmtId="180" fontId="8" fillId="0" borderId="22" xfId="1" applyNumberFormat="1" applyFont="1" applyBorder="1" applyAlignment="1">
      <alignment horizontal="center" wrapText="1"/>
    </xf>
    <xf numFmtId="180" fontId="8" fillId="0" borderId="22" xfId="1" applyNumberFormat="1" applyFont="1" applyFill="1" applyBorder="1" applyAlignment="1">
      <alignment horizontal="center" vertical="center"/>
    </xf>
    <xf numFmtId="0" fontId="8" fillId="0" borderId="32" xfId="1" applyFont="1" applyBorder="1" applyAlignment="1">
      <alignment horizontal="center" vertical="center"/>
    </xf>
    <xf numFmtId="180" fontId="8" fillId="0" borderId="33" xfId="1" applyNumberFormat="1" applyFont="1" applyBorder="1" applyAlignment="1">
      <alignment horizontal="center" vertical="center"/>
    </xf>
    <xf numFmtId="180" fontId="8" fillId="0" borderId="25" xfId="1" applyNumberFormat="1" applyFont="1" applyBorder="1" applyAlignment="1">
      <alignment horizontal="center" wrapText="1"/>
    </xf>
    <xf numFmtId="180" fontId="8" fillId="0" borderId="27" xfId="1" applyNumberFormat="1" applyFont="1" applyBorder="1" applyAlignment="1">
      <alignment horizontal="center" wrapText="1"/>
    </xf>
    <xf numFmtId="0" fontId="8" fillId="0" borderId="34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35" xfId="1" applyFont="1" applyBorder="1" applyAlignment="1">
      <alignment horizontal="center" vertical="center"/>
    </xf>
    <xf numFmtId="181" fontId="8" fillId="0" borderId="0" xfId="1" applyNumberFormat="1" applyFont="1" applyAlignment="1">
      <alignment horizontal="center" vertical="center"/>
    </xf>
    <xf numFmtId="0" fontId="8" fillId="0" borderId="36" xfId="1" applyFont="1" applyBorder="1" applyAlignment="1">
      <alignment vertical="center"/>
    </xf>
    <xf numFmtId="180" fontId="8" fillId="0" borderId="0" xfId="1" applyNumberFormat="1" applyFont="1" applyAlignment="1">
      <alignment vertical="center"/>
    </xf>
    <xf numFmtId="182" fontId="8" fillId="0" borderId="19" xfId="1" applyNumberFormat="1" applyFont="1" applyFill="1" applyBorder="1" applyAlignment="1">
      <alignment horizontal="center" vertical="center"/>
    </xf>
    <xf numFmtId="0" fontId="13" fillId="0" borderId="0" xfId="1" applyFont="1" applyAlignment="1">
      <alignment vertical="center"/>
    </xf>
    <xf numFmtId="0" fontId="13" fillId="0" borderId="0" xfId="1" applyFont="1"/>
    <xf numFmtId="0" fontId="13" fillId="0" borderId="0" xfId="1" applyFont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16" fillId="0" borderId="0" xfId="1" applyFont="1" applyAlignment="1">
      <alignment horizontal="center" vertical="center"/>
    </xf>
    <xf numFmtId="0" fontId="17" fillId="0" borderId="0" xfId="1" applyFont="1" applyAlignment="1">
      <alignment vertical="center" wrapText="1"/>
    </xf>
    <xf numFmtId="0" fontId="15" fillId="0" borderId="0" xfId="1" applyFont="1" applyAlignment="1">
      <alignment vertical="center"/>
    </xf>
    <xf numFmtId="0" fontId="18" fillId="0" borderId="0" xfId="1" applyFont="1" applyAlignment="1">
      <alignment horizontal="right" vertical="center"/>
    </xf>
    <xf numFmtId="0" fontId="19" fillId="0" borderId="0" xfId="1" applyFont="1" applyAlignment="1">
      <alignment vertical="center"/>
    </xf>
    <xf numFmtId="3" fontId="11" fillId="0" borderId="0" xfId="1" applyNumberFormat="1" applyFont="1" applyAlignment="1">
      <alignment horizontal="center" vertical="center"/>
    </xf>
    <xf numFmtId="0" fontId="13" fillId="0" borderId="0" xfId="1" applyFont="1" applyAlignment="1">
      <alignment horizontal="center"/>
    </xf>
    <xf numFmtId="0" fontId="13" fillId="2" borderId="0" xfId="1" applyFont="1" applyFill="1"/>
    <xf numFmtId="0" fontId="13" fillId="2" borderId="0" xfId="1" applyFont="1" applyFill="1" applyBorder="1"/>
    <xf numFmtId="0" fontId="14" fillId="2" borderId="0" xfId="1" applyFont="1" applyFill="1"/>
    <xf numFmtId="0" fontId="17" fillId="2" borderId="3" xfId="1" applyFont="1" applyFill="1" applyBorder="1" applyAlignment="1">
      <alignment horizontal="center" vertical="center"/>
    </xf>
    <xf numFmtId="0" fontId="22" fillId="2" borderId="3" xfId="1" applyFont="1" applyFill="1" applyBorder="1" applyAlignment="1">
      <alignment horizontal="center" vertical="center"/>
    </xf>
    <xf numFmtId="0" fontId="13" fillId="2" borderId="3" xfId="1" applyFont="1" applyFill="1" applyBorder="1"/>
    <xf numFmtId="0" fontId="20" fillId="2" borderId="3" xfId="1" applyFont="1" applyFill="1" applyBorder="1" applyAlignment="1">
      <alignment horizontal="center" vertical="top" wrapText="1"/>
    </xf>
    <xf numFmtId="183" fontId="22" fillId="2" borderId="3" xfId="2" applyNumberFormat="1" applyFont="1" applyFill="1" applyBorder="1" applyAlignment="1">
      <alignment horizontal="center" vertical="center"/>
    </xf>
    <xf numFmtId="0" fontId="20" fillId="2" borderId="0" xfId="1" applyFont="1" applyFill="1"/>
    <xf numFmtId="177" fontId="22" fillId="2" borderId="3" xfId="1" applyNumberFormat="1" applyFont="1" applyFill="1" applyBorder="1" applyAlignment="1">
      <alignment horizontal="center" vertical="center"/>
    </xf>
    <xf numFmtId="0" fontId="22" fillId="2" borderId="3" xfId="0" applyFont="1" applyFill="1" applyBorder="1" applyAlignment="1">
      <alignment horizontal="center" vertical="center"/>
    </xf>
    <xf numFmtId="176" fontId="13" fillId="2" borderId="0" xfId="1" applyNumberFormat="1" applyFont="1" applyFill="1"/>
    <xf numFmtId="0" fontId="25" fillId="2" borderId="3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top"/>
    </xf>
    <xf numFmtId="183" fontId="22" fillId="2" borderId="4" xfId="2" applyNumberFormat="1" applyFont="1" applyFill="1" applyBorder="1" applyAlignment="1">
      <alignment horizontal="center" vertical="center"/>
    </xf>
    <xf numFmtId="0" fontId="20" fillId="2" borderId="7" xfId="1" applyFont="1" applyFill="1" applyBorder="1" applyAlignment="1">
      <alignment horizontal="center" vertical="center"/>
    </xf>
    <xf numFmtId="0" fontId="20" fillId="2" borderId="39" xfId="1" applyFont="1" applyFill="1" applyBorder="1" applyAlignment="1">
      <alignment horizontal="center" vertical="center"/>
    </xf>
    <xf numFmtId="0" fontId="22" fillId="2" borderId="2" xfId="0" applyFont="1" applyFill="1" applyBorder="1" applyAlignment="1">
      <alignment horizontal="center" vertical="center"/>
    </xf>
    <xf numFmtId="20" fontId="17" fillId="2" borderId="8" xfId="1" applyNumberFormat="1" applyFont="1" applyFill="1" applyBorder="1" applyAlignment="1">
      <alignment horizontal="center" vertical="center"/>
    </xf>
    <xf numFmtId="0" fontId="20" fillId="2" borderId="8" xfId="1" applyFont="1" applyFill="1" applyBorder="1" applyAlignment="1">
      <alignment horizontal="center" vertical="center"/>
    </xf>
    <xf numFmtId="0" fontId="22" fillId="2" borderId="8" xfId="0" applyFont="1" applyFill="1" applyBorder="1" applyAlignment="1">
      <alignment horizontal="center" vertical="center"/>
    </xf>
    <xf numFmtId="0" fontId="17" fillId="2" borderId="4" xfId="1" applyFont="1" applyFill="1" applyBorder="1" applyAlignment="1">
      <alignment horizontal="center" vertical="center"/>
    </xf>
    <xf numFmtId="0" fontId="22" fillId="2" borderId="40" xfId="1" applyFont="1" applyFill="1" applyBorder="1" applyAlignment="1">
      <alignment horizontal="center" vertical="center"/>
    </xf>
    <xf numFmtId="0" fontId="27" fillId="2" borderId="40" xfId="1" applyFont="1" applyFill="1" applyBorder="1" applyAlignment="1">
      <alignment horizontal="center" vertical="center"/>
    </xf>
    <xf numFmtId="0" fontId="22" fillId="2" borderId="3" xfId="1" applyFont="1" applyFill="1" applyBorder="1" applyAlignment="1">
      <alignment horizontal="center" vertical="top"/>
    </xf>
    <xf numFmtId="0" fontId="27" fillId="2" borderId="3" xfId="1" applyFont="1" applyFill="1" applyBorder="1" applyAlignment="1">
      <alignment horizontal="center" vertical="top"/>
    </xf>
    <xf numFmtId="183" fontId="27" fillId="2" borderId="3" xfId="2" applyNumberFormat="1" applyFont="1" applyFill="1" applyBorder="1" applyAlignment="1">
      <alignment horizontal="center" vertical="center"/>
    </xf>
    <xf numFmtId="183" fontId="22" fillId="2" borderId="3" xfId="1" applyNumberFormat="1" applyFont="1" applyFill="1" applyBorder="1" applyAlignment="1">
      <alignment horizontal="center" vertical="center" wrapText="1"/>
    </xf>
    <xf numFmtId="183" fontId="27" fillId="2" borderId="3" xfId="1" applyNumberFormat="1" applyFont="1" applyFill="1" applyBorder="1" applyAlignment="1">
      <alignment horizontal="center" vertical="center" wrapText="1"/>
    </xf>
    <xf numFmtId="0" fontId="27" fillId="2" borderId="3" xfId="0" applyFont="1" applyFill="1" applyBorder="1" applyAlignment="1">
      <alignment horizontal="center" vertical="center"/>
    </xf>
    <xf numFmtId="0" fontId="28" fillId="2" borderId="1" xfId="1" applyFont="1" applyFill="1" applyBorder="1" applyAlignment="1">
      <alignment horizontal="center" vertical="center"/>
    </xf>
    <xf numFmtId="176" fontId="13" fillId="2" borderId="0" xfId="1" applyNumberFormat="1" applyFont="1" applyFill="1" applyAlignment="1">
      <alignment wrapText="1"/>
    </xf>
    <xf numFmtId="0" fontId="20" fillId="2" borderId="3" xfId="1" applyFont="1" applyFill="1" applyBorder="1" applyAlignment="1">
      <alignment horizontal="center" vertical="center" wrapText="1"/>
    </xf>
    <xf numFmtId="0" fontId="20" fillId="2" borderId="11" xfId="1" applyFont="1" applyFill="1" applyBorder="1" applyAlignment="1">
      <alignment horizontal="center" vertical="center" wrapText="1"/>
    </xf>
    <xf numFmtId="0" fontId="20" fillId="2" borderId="5" xfId="1" applyFont="1" applyFill="1" applyBorder="1" applyAlignment="1">
      <alignment horizontal="center" vertical="center"/>
    </xf>
    <xf numFmtId="0" fontId="15" fillId="2" borderId="12" xfId="1" applyFont="1" applyFill="1" applyBorder="1" applyAlignment="1">
      <alignment horizontal="center" vertical="center" wrapText="1"/>
    </xf>
    <xf numFmtId="176" fontId="20" fillId="2" borderId="11" xfId="1" applyNumberFormat="1" applyFont="1" applyFill="1" applyBorder="1" applyAlignment="1">
      <alignment horizontal="center" vertical="center" wrapText="1"/>
    </xf>
    <xf numFmtId="177" fontId="13" fillId="2" borderId="0" xfId="1" applyNumberFormat="1" applyFont="1" applyFill="1"/>
    <xf numFmtId="9" fontId="13" fillId="2" borderId="0" xfId="5" applyFont="1" applyFill="1"/>
    <xf numFmtId="0" fontId="13" fillId="2" borderId="0" xfId="1" applyFont="1" applyFill="1" applyAlignment="1">
      <alignment horizontal="left" vertical="center"/>
    </xf>
    <xf numFmtId="0" fontId="26" fillId="2" borderId="3" xfId="1" applyFont="1" applyFill="1" applyBorder="1" applyAlignment="1">
      <alignment horizontal="center" vertical="top"/>
    </xf>
    <xf numFmtId="0" fontId="29" fillId="2" borderId="3" xfId="1" applyFont="1" applyFill="1" applyBorder="1" applyAlignment="1">
      <alignment horizontal="center" vertical="center" wrapText="1"/>
    </xf>
    <xf numFmtId="183" fontId="30" fillId="2" borderId="4" xfId="2" applyNumberFormat="1" applyFont="1" applyFill="1" applyBorder="1" applyAlignment="1">
      <alignment horizontal="center" vertical="center"/>
    </xf>
    <xf numFmtId="177" fontId="30" fillId="2" borderId="3" xfId="1" applyNumberFormat="1" applyFont="1" applyFill="1" applyBorder="1" applyAlignment="1">
      <alignment horizontal="center" vertical="center"/>
    </xf>
    <xf numFmtId="0" fontId="30" fillId="2" borderId="3" xfId="0" applyFont="1" applyFill="1" applyBorder="1" applyAlignment="1">
      <alignment horizontal="center" vertical="center"/>
    </xf>
    <xf numFmtId="183" fontId="30" fillId="2" borderId="3" xfId="2" applyNumberFormat="1" applyFont="1" applyFill="1" applyBorder="1" applyAlignment="1">
      <alignment horizontal="center" vertical="center"/>
    </xf>
    <xf numFmtId="0" fontId="30" fillId="2" borderId="2" xfId="0" applyFont="1" applyFill="1" applyBorder="1" applyAlignment="1">
      <alignment horizontal="center" vertical="center"/>
    </xf>
    <xf numFmtId="0" fontId="13" fillId="0" borderId="0" xfId="1" applyFont="1" applyAlignment="1" applyProtection="1">
      <alignment vertical="center"/>
      <protection locked="0"/>
    </xf>
    <xf numFmtId="0" fontId="13" fillId="0" borderId="0" xfId="1" applyFont="1" applyProtection="1">
      <protection locked="0"/>
    </xf>
    <xf numFmtId="0" fontId="12" fillId="0" borderId="23" xfId="1" applyFont="1" applyBorder="1" applyAlignment="1" applyProtection="1">
      <alignment vertical="center"/>
      <protection locked="0"/>
    </xf>
    <xf numFmtId="0" fontId="13" fillId="0" borderId="46" xfId="1" applyFont="1" applyBorder="1" applyAlignment="1" applyProtection="1">
      <alignment horizontal="center" vertical="center"/>
      <protection locked="0"/>
    </xf>
    <xf numFmtId="0" fontId="13" fillId="0" borderId="47" xfId="1" applyFont="1" applyBorder="1" applyAlignment="1" applyProtection="1">
      <alignment horizontal="center" vertical="center"/>
      <protection locked="0"/>
    </xf>
    <xf numFmtId="0" fontId="13" fillId="0" borderId="48" xfId="1" applyFont="1" applyBorder="1" applyAlignment="1" applyProtection="1">
      <alignment horizontal="center" vertical="center"/>
      <protection locked="0"/>
    </xf>
    <xf numFmtId="0" fontId="13" fillId="0" borderId="49" xfId="1" applyFont="1" applyBorder="1" applyAlignment="1" applyProtection="1">
      <alignment horizontal="center" vertical="center"/>
      <protection locked="0"/>
    </xf>
    <xf numFmtId="0" fontId="14" fillId="0" borderId="50" xfId="1" applyFont="1" applyBorder="1" applyAlignment="1" applyProtection="1">
      <alignment horizontal="center" vertical="center"/>
      <protection locked="0"/>
    </xf>
    <xf numFmtId="0" fontId="18" fillId="0" borderId="51" xfId="1" applyFont="1" applyBorder="1" applyAlignment="1" applyProtection="1">
      <alignment horizontal="center" vertical="center"/>
      <protection locked="0"/>
    </xf>
    <xf numFmtId="0" fontId="18" fillId="0" borderId="52" xfId="1" applyFont="1" applyBorder="1" applyAlignment="1" applyProtection="1">
      <alignment vertical="center"/>
      <protection locked="0"/>
    </xf>
    <xf numFmtId="0" fontId="18" fillId="0" borderId="53" xfId="1" applyFont="1" applyBorder="1" applyAlignment="1" applyProtection="1">
      <alignment vertical="center"/>
      <protection locked="0"/>
    </xf>
    <xf numFmtId="0" fontId="18" fillId="0" borderId="51" xfId="1" applyFont="1" applyFill="1" applyBorder="1" applyAlignment="1" applyProtection="1">
      <alignment horizontal="center" vertical="center"/>
      <protection locked="0"/>
    </xf>
    <xf numFmtId="0" fontId="18" fillId="0" borderId="54" xfId="1" applyFont="1" applyBorder="1" applyAlignment="1" applyProtection="1">
      <alignment vertical="center"/>
      <protection locked="0"/>
    </xf>
    <xf numFmtId="0" fontId="18" fillId="2" borderId="54" xfId="1" applyFont="1" applyFill="1" applyBorder="1" applyAlignment="1" applyProtection="1">
      <alignment vertical="center"/>
      <protection locked="0"/>
    </xf>
    <xf numFmtId="0" fontId="18" fillId="2" borderId="52" xfId="1" applyFont="1" applyFill="1" applyBorder="1" applyAlignment="1" applyProtection="1">
      <alignment vertical="center"/>
      <protection locked="0"/>
    </xf>
    <xf numFmtId="0" fontId="18" fillId="2" borderId="53" xfId="1" applyFont="1" applyFill="1" applyBorder="1" applyAlignment="1" applyProtection="1">
      <alignment vertical="center"/>
      <protection locked="0"/>
    </xf>
    <xf numFmtId="0" fontId="18" fillId="2" borderId="51" xfId="1" applyFont="1" applyFill="1" applyBorder="1" applyAlignment="1" applyProtection="1">
      <alignment horizontal="center" vertical="center"/>
      <protection locked="0"/>
    </xf>
    <xf numFmtId="0" fontId="18" fillId="2" borderId="57" xfId="1" applyFont="1" applyFill="1" applyBorder="1" applyAlignment="1" applyProtection="1">
      <alignment horizontal="center" vertical="center"/>
      <protection locked="0"/>
    </xf>
    <xf numFmtId="0" fontId="18" fillId="0" borderId="58" xfId="1" applyFont="1" applyFill="1" applyBorder="1" applyAlignment="1" applyProtection="1">
      <alignment horizontal="center" vertical="center"/>
      <protection locked="0"/>
    </xf>
    <xf numFmtId="0" fontId="18" fillId="0" borderId="59" xfId="1" applyFont="1" applyBorder="1" applyAlignment="1" applyProtection="1">
      <alignment vertical="center"/>
      <protection locked="0"/>
    </xf>
    <xf numFmtId="0" fontId="18" fillId="0" borderId="58" xfId="1" applyFont="1" applyBorder="1" applyAlignment="1" applyProtection="1">
      <alignment horizontal="center" vertical="center"/>
      <protection locked="0"/>
    </xf>
    <xf numFmtId="0" fontId="18" fillId="0" borderId="63" xfId="1" applyFont="1" applyBorder="1" applyAlignment="1" applyProtection="1">
      <alignment vertical="center"/>
      <protection locked="0"/>
    </xf>
    <xf numFmtId="0" fontId="18" fillId="2" borderId="54" xfId="1" applyFont="1" applyFill="1" applyBorder="1" applyAlignment="1" applyProtection="1">
      <alignment vertical="center"/>
    </xf>
    <xf numFmtId="0" fontId="18" fillId="2" borderId="53" xfId="1" applyFont="1" applyFill="1" applyBorder="1" applyAlignment="1" applyProtection="1">
      <alignment vertical="center"/>
    </xf>
    <xf numFmtId="184" fontId="13" fillId="2" borderId="0" xfId="1" applyNumberFormat="1" applyFont="1" applyFill="1"/>
    <xf numFmtId="9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32" fillId="2" borderId="3" xfId="1" applyFont="1" applyFill="1" applyBorder="1" applyAlignment="1">
      <alignment horizontal="center" vertical="top"/>
    </xf>
    <xf numFmtId="0" fontId="33" fillId="2" borderId="3" xfId="1" applyFont="1" applyFill="1" applyBorder="1" applyAlignment="1">
      <alignment horizontal="center" vertical="top"/>
    </xf>
    <xf numFmtId="0" fontId="15" fillId="2" borderId="3" xfId="1" applyFont="1" applyFill="1" applyBorder="1" applyAlignment="1">
      <alignment horizontal="center" vertical="top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36" fillId="2" borderId="3" xfId="1" applyFont="1" applyFill="1" applyBorder="1" applyAlignment="1">
      <alignment horizontal="center" vertical="top"/>
    </xf>
    <xf numFmtId="0" fontId="38" fillId="2" borderId="3" xfId="1" applyFont="1" applyFill="1" applyBorder="1" applyAlignment="1">
      <alignment horizontal="center" vertical="top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41" fillId="2" borderId="3" xfId="1" applyFont="1" applyFill="1" applyBorder="1" applyAlignment="1">
      <alignment horizontal="center" vertical="top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13" fillId="0" borderId="0" xfId="1" applyFont="1" applyAlignment="1">
      <alignment horizontal="right" vertical="center"/>
    </xf>
    <xf numFmtId="0" fontId="12" fillId="0" borderId="0" xfId="1" applyFont="1" applyBorder="1" applyAlignment="1" applyProtection="1">
      <alignment horizontal="center" vertical="center"/>
      <protection locked="0"/>
    </xf>
    <xf numFmtId="0" fontId="20" fillId="0" borderId="55" xfId="1" applyFont="1" applyBorder="1" applyAlignment="1" applyProtection="1">
      <alignment horizontal="left" vertical="top" wrapText="1"/>
      <protection locked="0"/>
    </xf>
    <xf numFmtId="0" fontId="20" fillId="0" borderId="56" xfId="1" applyFont="1" applyBorder="1" applyAlignment="1" applyProtection="1">
      <alignment horizontal="left" vertical="top" wrapText="1"/>
      <protection locked="0"/>
    </xf>
    <xf numFmtId="0" fontId="20" fillId="0" borderId="60" xfId="1" applyFont="1" applyBorder="1" applyAlignment="1" applyProtection="1">
      <alignment horizontal="left" vertical="top" wrapText="1"/>
      <protection locked="0"/>
    </xf>
    <xf numFmtId="49" fontId="11" fillId="0" borderId="64" xfId="1" applyNumberFormat="1" applyFont="1" applyBorder="1" applyAlignment="1">
      <alignment horizontal="center" vertical="center" wrapText="1"/>
    </xf>
    <xf numFmtId="9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9" fillId="0" borderId="0" xfId="1" applyFont="1" applyAlignment="1">
      <alignment horizontal="left" vertical="center"/>
    </xf>
    <xf numFmtId="0" fontId="13" fillId="2" borderId="0" xfId="1" applyFont="1" applyFill="1" applyAlignment="1">
      <alignment horizontal="center" vertical="center"/>
    </xf>
    <xf numFmtId="176" fontId="14" fillId="2" borderId="0" xfId="1" applyNumberFormat="1" applyFont="1" applyFill="1" applyAlignment="1">
      <alignment horizontal="center" vertical="center"/>
    </xf>
    <xf numFmtId="177" fontId="20" fillId="2" borderId="2" xfId="1" applyNumberFormat="1" applyFont="1" applyFill="1" applyBorder="1" applyAlignment="1">
      <alignment horizontal="center" vertical="center"/>
    </xf>
    <xf numFmtId="177" fontId="20" fillId="2" borderId="4" xfId="1" applyNumberFormat="1" applyFont="1" applyFill="1" applyBorder="1" applyAlignment="1">
      <alignment horizontal="center" vertical="center"/>
    </xf>
    <xf numFmtId="177" fontId="20" fillId="2" borderId="13" xfId="1" applyNumberFormat="1" applyFont="1" applyFill="1" applyBorder="1" applyAlignment="1">
      <alignment horizontal="center" vertical="center"/>
    </xf>
    <xf numFmtId="177" fontId="20" fillId="2" borderId="15" xfId="1" applyNumberFormat="1" applyFont="1" applyFill="1" applyBorder="1" applyAlignment="1">
      <alignment horizontal="center" vertical="center"/>
    </xf>
    <xf numFmtId="177" fontId="20" fillId="2" borderId="14" xfId="1" applyNumberFormat="1" applyFont="1" applyFill="1" applyBorder="1" applyAlignment="1">
      <alignment horizontal="center" vertical="center"/>
    </xf>
    <xf numFmtId="177" fontId="20" fillId="2" borderId="16" xfId="1" applyNumberFormat="1" applyFont="1" applyFill="1" applyBorder="1" applyAlignment="1">
      <alignment horizontal="center" vertical="center"/>
    </xf>
    <xf numFmtId="176" fontId="20" fillId="2" borderId="2" xfId="1" applyNumberFormat="1" applyFont="1" applyFill="1" applyBorder="1" applyAlignment="1">
      <alignment horizontal="center" vertical="center"/>
    </xf>
    <xf numFmtId="176" fontId="20" fillId="2" borderId="4" xfId="1" applyNumberFormat="1" applyFont="1" applyFill="1" applyBorder="1" applyAlignment="1">
      <alignment horizontal="center" vertical="center"/>
    </xf>
    <xf numFmtId="177" fontId="20" fillId="2" borderId="37" xfId="1" applyNumberFormat="1" applyFont="1" applyFill="1" applyBorder="1" applyAlignment="1">
      <alignment horizontal="center" vertical="center"/>
    </xf>
    <xf numFmtId="177" fontId="20" fillId="2" borderId="61" xfId="1" applyNumberFormat="1" applyFont="1" applyFill="1" applyBorder="1" applyAlignment="1">
      <alignment horizontal="center" vertical="center"/>
    </xf>
    <xf numFmtId="177" fontId="20" fillId="2" borderId="40" xfId="1" applyNumberFormat="1" applyFont="1" applyFill="1" applyBorder="1" applyAlignment="1">
      <alignment horizontal="center" vertical="center"/>
    </xf>
    <xf numFmtId="177" fontId="20" fillId="2" borderId="62" xfId="1" applyNumberFormat="1" applyFont="1" applyFill="1" applyBorder="1" applyAlignment="1">
      <alignment horizontal="center" vertical="center"/>
    </xf>
    <xf numFmtId="0" fontId="13" fillId="2" borderId="38" xfId="1" applyFont="1" applyFill="1" applyBorder="1" applyAlignment="1">
      <alignment horizontal="center"/>
    </xf>
    <xf numFmtId="177" fontId="20" fillId="2" borderId="2" xfId="1" applyNumberFormat="1" applyFont="1" applyFill="1" applyBorder="1" applyAlignment="1">
      <alignment horizontal="center" vertical="center" wrapText="1"/>
    </xf>
    <xf numFmtId="177" fontId="20" fillId="2" borderId="4" xfId="1" applyNumberFormat="1" applyFont="1" applyFill="1" applyBorder="1" applyAlignment="1">
      <alignment horizontal="center" vertical="center" wrapText="1"/>
    </xf>
    <xf numFmtId="176" fontId="20" fillId="2" borderId="2" xfId="1" applyNumberFormat="1" applyFont="1" applyFill="1" applyBorder="1" applyAlignment="1">
      <alignment horizontal="center" vertical="center" wrapText="1"/>
    </xf>
    <xf numFmtId="176" fontId="20" fillId="2" borderId="4" xfId="1" applyNumberFormat="1" applyFont="1" applyFill="1" applyBorder="1" applyAlignment="1">
      <alignment horizontal="center" vertical="center" wrapText="1"/>
    </xf>
    <xf numFmtId="177" fontId="20" fillId="2" borderId="13" xfId="1" applyNumberFormat="1" applyFont="1" applyFill="1" applyBorder="1" applyAlignment="1">
      <alignment horizontal="center" vertical="center" wrapText="1"/>
    </xf>
    <xf numFmtId="177" fontId="20" fillId="2" borderId="15" xfId="1" applyNumberFormat="1" applyFont="1" applyFill="1" applyBorder="1" applyAlignment="1">
      <alignment horizontal="center" vertical="center" wrapText="1"/>
    </xf>
    <xf numFmtId="176" fontId="20" fillId="2" borderId="14" xfId="1" applyNumberFormat="1" applyFont="1" applyFill="1" applyBorder="1" applyAlignment="1">
      <alignment horizontal="center" vertical="center"/>
    </xf>
    <xf numFmtId="176" fontId="20" fillId="2" borderId="16" xfId="1" applyNumberFormat="1" applyFont="1" applyFill="1" applyBorder="1" applyAlignment="1">
      <alignment horizontal="center" vertical="center"/>
    </xf>
    <xf numFmtId="177" fontId="20" fillId="2" borderId="14" xfId="1" applyNumberFormat="1" applyFont="1" applyFill="1" applyBorder="1" applyAlignment="1">
      <alignment horizontal="center" vertical="center" wrapText="1"/>
    </xf>
    <xf numFmtId="177" fontId="20" fillId="2" borderId="16" xfId="1" applyNumberFormat="1" applyFont="1" applyFill="1" applyBorder="1" applyAlignment="1">
      <alignment horizontal="center" vertical="center" wrapText="1"/>
    </xf>
    <xf numFmtId="177" fontId="20" fillId="2" borderId="13" xfId="4" applyNumberFormat="1" applyFont="1" applyFill="1" applyBorder="1" applyAlignment="1">
      <alignment horizontal="center" vertical="center" wrapText="1"/>
    </xf>
    <xf numFmtId="177" fontId="20" fillId="2" borderId="15" xfId="4" applyNumberFormat="1" applyFont="1" applyFill="1" applyBorder="1" applyAlignment="1">
      <alignment horizontal="center" vertical="center" wrapText="1"/>
    </xf>
    <xf numFmtId="0" fontId="14" fillId="2" borderId="10" xfId="1" applyFont="1" applyFill="1" applyBorder="1" applyAlignment="1">
      <alignment horizontal="center" vertical="center"/>
    </xf>
    <xf numFmtId="0" fontId="14" fillId="2" borderId="8" xfId="1" applyFont="1" applyFill="1" applyBorder="1" applyAlignment="1">
      <alignment horizontal="center" vertical="center"/>
    </xf>
    <xf numFmtId="0" fontId="14" fillId="2" borderId="9" xfId="1" applyFont="1" applyFill="1" applyBorder="1" applyAlignment="1">
      <alignment horizontal="center" vertical="center"/>
    </xf>
    <xf numFmtId="0" fontId="13" fillId="2" borderId="10" xfId="1" applyFont="1" applyFill="1" applyBorder="1" applyAlignment="1">
      <alignment horizontal="center"/>
    </xf>
    <xf numFmtId="0" fontId="13" fillId="2" borderId="8" xfId="1" applyFont="1" applyFill="1" applyBorder="1" applyAlignment="1">
      <alignment horizontal="center"/>
    </xf>
    <xf numFmtId="0" fontId="13" fillId="2" borderId="9" xfId="1" applyFont="1" applyFill="1" applyBorder="1" applyAlignment="1">
      <alignment horizontal="center"/>
    </xf>
    <xf numFmtId="0" fontId="15" fillId="2" borderId="5" xfId="1" applyFont="1" applyFill="1" applyBorder="1" applyAlignment="1">
      <alignment horizontal="center" vertical="center" wrapText="1"/>
    </xf>
    <xf numFmtId="0" fontId="15" fillId="2" borderId="9" xfId="1" applyFont="1" applyFill="1" applyBorder="1" applyAlignment="1">
      <alignment horizontal="center" vertical="center" wrapText="1"/>
    </xf>
    <xf numFmtId="0" fontId="14" fillId="2" borderId="37" xfId="1" applyFont="1" applyFill="1" applyBorder="1" applyAlignment="1">
      <alignment horizontal="center" vertical="center" wrapText="1"/>
    </xf>
    <xf numFmtId="0" fontId="14" fillId="2" borderId="39" xfId="1" applyFont="1" applyFill="1" applyBorder="1" applyAlignment="1">
      <alignment horizontal="center" vertical="center" wrapText="1"/>
    </xf>
    <xf numFmtId="0" fontId="14" fillId="2" borderId="40" xfId="1" applyFont="1" applyFill="1" applyBorder="1" applyAlignment="1">
      <alignment horizontal="center" vertical="center" wrapText="1"/>
    </xf>
    <xf numFmtId="0" fontId="14" fillId="2" borderId="41" xfId="1" applyFont="1" applyFill="1" applyBorder="1" applyAlignment="1">
      <alignment horizontal="center" vertical="center" wrapText="1"/>
    </xf>
    <xf numFmtId="176" fontId="20" fillId="2" borderId="13" xfId="3" applyNumberFormat="1" applyFont="1" applyFill="1" applyBorder="1" applyAlignment="1">
      <alignment horizontal="center" vertical="center"/>
    </xf>
    <xf numFmtId="176" fontId="20" fillId="2" borderId="15" xfId="3" applyNumberFormat="1" applyFont="1" applyFill="1" applyBorder="1" applyAlignment="1">
      <alignment horizontal="center" vertical="center"/>
    </xf>
    <xf numFmtId="176" fontId="20" fillId="2" borderId="14" xfId="3" applyNumberFormat="1" applyFont="1" applyFill="1" applyBorder="1" applyAlignment="1">
      <alignment horizontal="center" vertical="center"/>
    </xf>
    <xf numFmtId="176" fontId="20" fillId="2" borderId="16" xfId="3" applyNumberFormat="1" applyFont="1" applyFill="1" applyBorder="1" applyAlignment="1">
      <alignment horizontal="center" vertical="center"/>
    </xf>
    <xf numFmtId="0" fontId="20" fillId="2" borderId="2" xfId="1" applyFont="1" applyFill="1" applyBorder="1" applyAlignment="1">
      <alignment horizontal="center" vertical="center"/>
    </xf>
    <xf numFmtId="0" fontId="20" fillId="2" borderId="4" xfId="1" applyFont="1" applyFill="1" applyBorder="1" applyAlignment="1">
      <alignment horizontal="center" vertical="center"/>
    </xf>
    <xf numFmtId="20" fontId="17" fillId="2" borderId="2" xfId="1" applyNumberFormat="1" applyFont="1" applyFill="1" applyBorder="1" applyAlignment="1">
      <alignment horizontal="center" vertical="center"/>
    </xf>
    <xf numFmtId="20" fontId="17" fillId="2" borderId="6" xfId="1" applyNumberFormat="1" applyFont="1" applyFill="1" applyBorder="1" applyAlignment="1">
      <alignment horizontal="center" vertical="center"/>
    </xf>
    <xf numFmtId="20" fontId="17" fillId="2" borderId="4" xfId="1" applyNumberFormat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3" fillId="2" borderId="42" xfId="1" applyFont="1" applyFill="1" applyBorder="1" applyAlignment="1">
      <alignment horizontal="center"/>
    </xf>
    <xf numFmtId="0" fontId="13" fillId="2" borderId="43" xfId="1" applyFont="1" applyFill="1" applyBorder="1" applyAlignment="1">
      <alignment horizontal="center"/>
    </xf>
    <xf numFmtId="0" fontId="13" fillId="2" borderId="44" xfId="1" applyFont="1" applyFill="1" applyBorder="1" applyAlignment="1">
      <alignment horizontal="center"/>
    </xf>
    <xf numFmtId="0" fontId="13" fillId="2" borderId="45" xfId="1" applyFont="1" applyFill="1" applyBorder="1" applyAlignment="1">
      <alignment horizontal="center"/>
    </xf>
    <xf numFmtId="0" fontId="14" fillId="2" borderId="5" xfId="1" applyFont="1" applyFill="1" applyBorder="1" applyAlignment="1">
      <alignment horizontal="center" vertical="center"/>
    </xf>
    <xf numFmtId="0" fontId="17" fillId="2" borderId="40" xfId="1" applyFont="1" applyFill="1" applyBorder="1" applyAlignment="1">
      <alignment horizontal="center" vertical="center"/>
    </xf>
    <xf numFmtId="0" fontId="17" fillId="2" borderId="1" xfId="1" applyFont="1" applyFill="1" applyBorder="1" applyAlignment="1">
      <alignment horizontal="center" vertical="center"/>
    </xf>
    <xf numFmtId="0" fontId="17" fillId="2" borderId="41" xfId="1" applyFont="1" applyFill="1" applyBorder="1" applyAlignment="1">
      <alignment horizontal="center" vertical="center"/>
    </xf>
    <xf numFmtId="0" fontId="20" fillId="2" borderId="37" xfId="1" applyNumberFormat="1" applyFont="1" applyFill="1" applyBorder="1" applyAlignment="1">
      <alignment horizontal="left" vertical="top" wrapText="1"/>
    </xf>
    <xf numFmtId="0" fontId="31" fillId="2" borderId="38" xfId="1" applyNumberFormat="1" applyFont="1" applyFill="1" applyBorder="1" applyAlignment="1">
      <alignment horizontal="left" vertical="top" wrapText="1"/>
    </xf>
    <xf numFmtId="0" fontId="31" fillId="2" borderId="39" xfId="1" applyNumberFormat="1" applyFont="1" applyFill="1" applyBorder="1" applyAlignment="1">
      <alignment horizontal="left" vertical="top" wrapText="1"/>
    </xf>
    <xf numFmtId="0" fontId="31" fillId="2" borderId="18" xfId="1" applyNumberFormat="1" applyFont="1" applyFill="1" applyBorder="1" applyAlignment="1">
      <alignment horizontal="left" vertical="top" wrapText="1"/>
    </xf>
    <xf numFmtId="0" fontId="31" fillId="2" borderId="0" xfId="1" applyNumberFormat="1" applyFont="1" applyFill="1" applyBorder="1" applyAlignment="1">
      <alignment horizontal="left" vertical="top" wrapText="1"/>
    </xf>
    <xf numFmtId="0" fontId="31" fillId="2" borderId="36" xfId="1" applyNumberFormat="1" applyFont="1" applyFill="1" applyBorder="1" applyAlignment="1">
      <alignment horizontal="left" vertical="top" wrapText="1"/>
    </xf>
    <xf numFmtId="0" fontId="31" fillId="2" borderId="40" xfId="1" applyNumberFormat="1" applyFont="1" applyFill="1" applyBorder="1" applyAlignment="1">
      <alignment horizontal="left" vertical="top" wrapText="1"/>
    </xf>
    <xf numFmtId="0" fontId="31" fillId="2" borderId="1" xfId="1" applyNumberFormat="1" applyFont="1" applyFill="1" applyBorder="1" applyAlignment="1">
      <alignment horizontal="left" vertical="top" wrapText="1"/>
    </xf>
    <xf numFmtId="0" fontId="31" fillId="2" borderId="41" xfId="1" applyNumberFormat="1" applyFont="1" applyFill="1" applyBorder="1" applyAlignment="1">
      <alignment horizontal="left" vertical="top" wrapText="1"/>
    </xf>
    <xf numFmtId="20" fontId="17" fillId="2" borderId="3" xfId="1" applyNumberFormat="1" applyFont="1" applyFill="1" applyBorder="1" applyAlignment="1">
      <alignment horizontal="center" vertical="center"/>
    </xf>
    <xf numFmtId="0" fontId="16" fillId="2" borderId="0" xfId="1" applyFont="1" applyFill="1" applyAlignment="1">
      <alignment horizontal="center"/>
    </xf>
    <xf numFmtId="0" fontId="21" fillId="2" borderId="0" xfId="1" applyFont="1" applyFill="1" applyBorder="1" applyAlignment="1">
      <alignment horizontal="center"/>
    </xf>
    <xf numFmtId="31" fontId="13" fillId="2" borderId="1" xfId="1" applyNumberFormat="1" applyFont="1" applyFill="1" applyBorder="1" applyAlignment="1">
      <alignment horizontal="right"/>
    </xf>
  </cellXfs>
  <cellStyles count="23">
    <cellStyle name="一般" xfId="0" builtinId="0"/>
    <cellStyle name="一般 2" xfId="1"/>
    <cellStyle name="一般 2 2" xfId="6"/>
    <cellStyle name="一般 3" xfId="2"/>
    <cellStyle name="千分位 2" xfId="3"/>
    <cellStyle name="千分位 2 2" xfId="7"/>
    <cellStyle name="千分位 2 2 2" xfId="9"/>
    <cellStyle name="千分位 2 2 2 2" xfId="13"/>
    <cellStyle name="千分位 2 2 2 2 2" xfId="21"/>
    <cellStyle name="千分位 2 2 2 3" xfId="17"/>
    <cellStyle name="千分位 2 2 3" xfId="11"/>
    <cellStyle name="千分位 2 2 3 2" xfId="19"/>
    <cellStyle name="千分位 2 2 4" xfId="15"/>
    <cellStyle name="百分比 2" xfId="5"/>
    <cellStyle name="貨幣 2" xfId="4"/>
    <cellStyle name="貨幣 2 2" xfId="8"/>
    <cellStyle name="貨幣 2 2 2" xfId="10"/>
    <cellStyle name="貨幣 2 2 2 2" xfId="14"/>
    <cellStyle name="貨幣 2 2 2 2 2" xfId="22"/>
    <cellStyle name="貨幣 2 2 2 3" xfId="18"/>
    <cellStyle name="貨幣 2 2 3" xfId="12"/>
    <cellStyle name="貨幣 2 2 3 2" xfId="20"/>
    <cellStyle name="貨幣 2 2 4" xfId="16"/>
  </cellStyles>
  <dxfs count="29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61472</xdr:colOff>
          <xdr:row>15</xdr:row>
          <xdr:rowOff>199785</xdr:rowOff>
        </xdr:from>
        <xdr:to>
          <xdr:col>15</xdr:col>
          <xdr:colOff>522514</xdr:colOff>
          <xdr:row>22</xdr:row>
          <xdr:rowOff>391886</xdr:rowOff>
        </xdr:to>
        <xdr:sp macro="" textlink="">
          <xdr:nvSpPr>
            <xdr:cNvPr id="2247681" name="CommandButton1" hidden="1">
              <a:extLst>
                <a:ext uri="{63B3BB69-23CF-44E3-9099-C40C66FF867C}">
                  <a14:compatExt spid="_x0000_s2247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23052</xdr:colOff>
          <xdr:row>25</xdr:row>
          <xdr:rowOff>61472</xdr:rowOff>
        </xdr:from>
        <xdr:to>
          <xdr:col>15</xdr:col>
          <xdr:colOff>545566</xdr:colOff>
          <xdr:row>32</xdr:row>
          <xdr:rowOff>0</xdr:rowOff>
        </xdr:to>
        <xdr:sp macro="" textlink="">
          <xdr:nvSpPr>
            <xdr:cNvPr id="2247682" name="CommandButton2" hidden="1">
              <a:extLst>
                <a:ext uri="{63B3BB69-23CF-44E3-9099-C40C66FF867C}">
                  <a14:compatExt spid="_x0000_s2247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345782</xdr:rowOff>
        </xdr:from>
        <xdr:to>
          <xdr:col>32</xdr:col>
          <xdr:colOff>414938</xdr:colOff>
          <xdr:row>3</xdr:row>
          <xdr:rowOff>30736</xdr:rowOff>
        </xdr:to>
        <xdr:sp macro="" textlink="">
          <xdr:nvSpPr>
            <xdr:cNvPr id="2543617" name="Button 1" hidden="1">
              <a:extLst>
                <a:ext uri="{63B3BB69-23CF-44E3-9099-C40C66FF867C}">
                  <a14:compatExt spid="_x0000_s2543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345782</xdr:rowOff>
        </xdr:from>
        <xdr:to>
          <xdr:col>32</xdr:col>
          <xdr:colOff>414938</xdr:colOff>
          <xdr:row>3</xdr:row>
          <xdr:rowOff>30736</xdr:rowOff>
        </xdr:to>
        <xdr:sp macro="" textlink="">
          <xdr:nvSpPr>
            <xdr:cNvPr id="2546689" name="Button 1" hidden="1">
              <a:extLst>
                <a:ext uri="{63B3BB69-23CF-44E3-9099-C40C66FF867C}">
                  <a14:compatExt spid="_x0000_s2546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345782</xdr:rowOff>
        </xdr:from>
        <xdr:to>
          <xdr:col>32</xdr:col>
          <xdr:colOff>414938</xdr:colOff>
          <xdr:row>3</xdr:row>
          <xdr:rowOff>30736</xdr:rowOff>
        </xdr:to>
        <xdr:sp macro="" textlink="">
          <xdr:nvSpPr>
            <xdr:cNvPr id="2547713" name="Button 1" hidden="1">
              <a:extLst>
                <a:ext uri="{63B3BB69-23CF-44E3-9099-C40C66FF867C}">
                  <a14:compatExt spid="_x0000_s2547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345782</xdr:rowOff>
        </xdr:from>
        <xdr:to>
          <xdr:col>32</xdr:col>
          <xdr:colOff>414938</xdr:colOff>
          <xdr:row>3</xdr:row>
          <xdr:rowOff>30736</xdr:rowOff>
        </xdr:to>
        <xdr:sp macro="" textlink="">
          <xdr:nvSpPr>
            <xdr:cNvPr id="2548737" name="Button 1" hidden="1">
              <a:extLst>
                <a:ext uri="{63B3BB69-23CF-44E3-9099-C40C66FF867C}">
                  <a14:compatExt spid="_x0000_s254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345782</xdr:rowOff>
        </xdr:from>
        <xdr:to>
          <xdr:col>32</xdr:col>
          <xdr:colOff>414938</xdr:colOff>
          <xdr:row>3</xdr:row>
          <xdr:rowOff>30736</xdr:rowOff>
        </xdr:to>
        <xdr:sp macro="" textlink="">
          <xdr:nvSpPr>
            <xdr:cNvPr id="2549761" name="Button 1" hidden="1">
              <a:extLst>
                <a:ext uri="{63B3BB69-23CF-44E3-9099-C40C66FF867C}">
                  <a14:compatExt spid="_x0000_s2549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345782</xdr:rowOff>
        </xdr:from>
        <xdr:to>
          <xdr:col>32</xdr:col>
          <xdr:colOff>414938</xdr:colOff>
          <xdr:row>3</xdr:row>
          <xdr:rowOff>30736</xdr:rowOff>
        </xdr:to>
        <xdr:sp macro="" textlink="">
          <xdr:nvSpPr>
            <xdr:cNvPr id="2550785" name="Button 1" hidden="1">
              <a:extLst>
                <a:ext uri="{63B3BB69-23CF-44E3-9099-C40C66FF867C}">
                  <a14:compatExt spid="_x0000_s2550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345782</xdr:rowOff>
        </xdr:from>
        <xdr:to>
          <xdr:col>32</xdr:col>
          <xdr:colOff>414938</xdr:colOff>
          <xdr:row>3</xdr:row>
          <xdr:rowOff>30736</xdr:rowOff>
        </xdr:to>
        <xdr:sp macro="" textlink="">
          <xdr:nvSpPr>
            <xdr:cNvPr id="2551809" name="Button 1" hidden="1">
              <a:extLst>
                <a:ext uri="{63B3BB69-23CF-44E3-9099-C40C66FF867C}">
                  <a14:compatExt spid="_x0000_s255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345782</xdr:rowOff>
        </xdr:from>
        <xdr:to>
          <xdr:col>32</xdr:col>
          <xdr:colOff>414938</xdr:colOff>
          <xdr:row>3</xdr:row>
          <xdr:rowOff>30736</xdr:rowOff>
        </xdr:to>
        <xdr:sp macro="" textlink="">
          <xdr:nvSpPr>
            <xdr:cNvPr id="2552833" name="Button 1" hidden="1">
              <a:extLst>
                <a:ext uri="{63B3BB69-23CF-44E3-9099-C40C66FF867C}">
                  <a14:compatExt spid="_x0000_s2552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345782</xdr:rowOff>
        </xdr:from>
        <xdr:to>
          <xdr:col>32</xdr:col>
          <xdr:colOff>414938</xdr:colOff>
          <xdr:row>3</xdr:row>
          <xdr:rowOff>30736</xdr:rowOff>
        </xdr:to>
        <xdr:sp macro="" textlink="">
          <xdr:nvSpPr>
            <xdr:cNvPr id="2553857" name="Button 1" hidden="1">
              <a:extLst>
                <a:ext uri="{63B3BB69-23CF-44E3-9099-C40C66FF867C}">
                  <a14:compatExt spid="_x0000_s2553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345782</xdr:rowOff>
        </xdr:from>
        <xdr:to>
          <xdr:col>32</xdr:col>
          <xdr:colOff>414938</xdr:colOff>
          <xdr:row>3</xdr:row>
          <xdr:rowOff>30736</xdr:rowOff>
        </xdr:to>
        <xdr:sp macro="" textlink="">
          <xdr:nvSpPr>
            <xdr:cNvPr id="2555905" name="Button 1" hidden="1">
              <a:extLst>
                <a:ext uri="{63B3BB69-23CF-44E3-9099-C40C66FF867C}">
                  <a14:compatExt spid="_x0000_s2555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345782</xdr:rowOff>
        </xdr:from>
        <xdr:to>
          <xdr:col>32</xdr:col>
          <xdr:colOff>414938</xdr:colOff>
          <xdr:row>3</xdr:row>
          <xdr:rowOff>30736</xdr:rowOff>
        </xdr:to>
        <xdr:sp macro="" textlink="">
          <xdr:nvSpPr>
            <xdr:cNvPr id="2556929" name="Button 1" hidden="1">
              <a:extLst>
                <a:ext uri="{63B3BB69-23CF-44E3-9099-C40C66FF867C}">
                  <a14:compatExt spid="_x0000_s2556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345782</xdr:rowOff>
        </xdr:from>
        <xdr:to>
          <xdr:col>32</xdr:col>
          <xdr:colOff>414938</xdr:colOff>
          <xdr:row>3</xdr:row>
          <xdr:rowOff>30736</xdr:rowOff>
        </xdr:to>
        <xdr:sp macro="" textlink="">
          <xdr:nvSpPr>
            <xdr:cNvPr id="2557953" name="Button 1" hidden="1">
              <a:extLst>
                <a:ext uri="{63B3BB69-23CF-44E3-9099-C40C66FF867C}">
                  <a14:compatExt spid="_x0000_s2557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345782</xdr:rowOff>
        </xdr:from>
        <xdr:to>
          <xdr:col>32</xdr:col>
          <xdr:colOff>414938</xdr:colOff>
          <xdr:row>3</xdr:row>
          <xdr:rowOff>30736</xdr:rowOff>
        </xdr:to>
        <xdr:sp macro="" textlink="">
          <xdr:nvSpPr>
            <xdr:cNvPr id="2558977" name="Button 1" hidden="1">
              <a:extLst>
                <a:ext uri="{63B3BB69-23CF-44E3-9099-C40C66FF867C}">
                  <a14:compatExt spid="_x0000_s2558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345782</xdr:rowOff>
        </xdr:from>
        <xdr:to>
          <xdr:col>32</xdr:col>
          <xdr:colOff>414938</xdr:colOff>
          <xdr:row>3</xdr:row>
          <xdr:rowOff>30736</xdr:rowOff>
        </xdr:to>
        <xdr:sp macro="" textlink="">
          <xdr:nvSpPr>
            <xdr:cNvPr id="2560001" name="Button 1" hidden="1">
              <a:extLst>
                <a:ext uri="{63B3BB69-23CF-44E3-9099-C40C66FF867C}">
                  <a14:compatExt spid="_x0000_s2560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345782</xdr:rowOff>
        </xdr:from>
        <xdr:to>
          <xdr:col>32</xdr:col>
          <xdr:colOff>414938</xdr:colOff>
          <xdr:row>3</xdr:row>
          <xdr:rowOff>30736</xdr:rowOff>
        </xdr:to>
        <xdr:sp macro="" textlink="">
          <xdr:nvSpPr>
            <xdr:cNvPr id="2562049" name="Button 1" hidden="1">
              <a:extLst>
                <a:ext uri="{63B3BB69-23CF-44E3-9099-C40C66FF867C}">
                  <a14:compatExt spid="_x0000_s256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345782</xdr:rowOff>
        </xdr:from>
        <xdr:to>
          <xdr:col>32</xdr:col>
          <xdr:colOff>414938</xdr:colOff>
          <xdr:row>3</xdr:row>
          <xdr:rowOff>30736</xdr:rowOff>
        </xdr:to>
        <xdr:sp macro="" textlink="">
          <xdr:nvSpPr>
            <xdr:cNvPr id="2564097" name="Button 1" hidden="1">
              <a:extLst>
                <a:ext uri="{63B3BB69-23CF-44E3-9099-C40C66FF867C}">
                  <a14:compatExt spid="_x0000_s256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345782</xdr:rowOff>
        </xdr:from>
        <xdr:to>
          <xdr:col>32</xdr:col>
          <xdr:colOff>414938</xdr:colOff>
          <xdr:row>3</xdr:row>
          <xdr:rowOff>30736</xdr:rowOff>
        </xdr:to>
        <xdr:sp macro="" textlink="">
          <xdr:nvSpPr>
            <xdr:cNvPr id="2565121" name="Button 1" hidden="1">
              <a:extLst>
                <a:ext uri="{63B3BB69-23CF-44E3-9099-C40C66FF867C}">
                  <a14:compatExt spid="_x0000_s256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345782</xdr:rowOff>
        </xdr:from>
        <xdr:to>
          <xdr:col>32</xdr:col>
          <xdr:colOff>414938</xdr:colOff>
          <xdr:row>3</xdr:row>
          <xdr:rowOff>30736</xdr:rowOff>
        </xdr:to>
        <xdr:sp macro="" textlink="">
          <xdr:nvSpPr>
            <xdr:cNvPr id="2567169" name="Button 1" hidden="1">
              <a:extLst>
                <a:ext uri="{63B3BB69-23CF-44E3-9099-C40C66FF867C}">
                  <a14:compatExt spid="_x0000_s256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345782</xdr:rowOff>
        </xdr:from>
        <xdr:to>
          <xdr:col>32</xdr:col>
          <xdr:colOff>414938</xdr:colOff>
          <xdr:row>3</xdr:row>
          <xdr:rowOff>30736</xdr:rowOff>
        </xdr:to>
        <xdr:sp macro="" textlink="">
          <xdr:nvSpPr>
            <xdr:cNvPr id="2568193" name="Button 1" hidden="1">
              <a:extLst>
                <a:ext uri="{63B3BB69-23CF-44E3-9099-C40C66FF867C}">
                  <a14:compatExt spid="_x0000_s256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345782</xdr:rowOff>
        </xdr:from>
        <xdr:to>
          <xdr:col>32</xdr:col>
          <xdr:colOff>414938</xdr:colOff>
          <xdr:row>3</xdr:row>
          <xdr:rowOff>30736</xdr:rowOff>
        </xdr:to>
        <xdr:sp macro="" textlink="">
          <xdr:nvSpPr>
            <xdr:cNvPr id="2569217" name="Button 1" hidden="1">
              <a:extLst>
                <a:ext uri="{63B3BB69-23CF-44E3-9099-C40C66FF867C}">
                  <a14:compatExt spid="_x0000_s256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345782</xdr:rowOff>
        </xdr:from>
        <xdr:to>
          <xdr:col>32</xdr:col>
          <xdr:colOff>414938</xdr:colOff>
          <xdr:row>3</xdr:row>
          <xdr:rowOff>30736</xdr:rowOff>
        </xdr:to>
        <xdr:sp macro="" textlink="">
          <xdr:nvSpPr>
            <xdr:cNvPr id="2570241" name="Button 1" hidden="1">
              <a:extLst>
                <a:ext uri="{63B3BB69-23CF-44E3-9099-C40C66FF867C}">
                  <a14:compatExt spid="_x0000_s257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345782</xdr:rowOff>
        </xdr:from>
        <xdr:to>
          <xdr:col>32</xdr:col>
          <xdr:colOff>414938</xdr:colOff>
          <xdr:row>3</xdr:row>
          <xdr:rowOff>30736</xdr:rowOff>
        </xdr:to>
        <xdr:sp macro="" textlink="">
          <xdr:nvSpPr>
            <xdr:cNvPr id="2571265" name="Button 1" hidden="1">
              <a:extLst>
                <a:ext uri="{63B3BB69-23CF-44E3-9099-C40C66FF867C}">
                  <a14:compatExt spid="_x0000_s257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345782</xdr:rowOff>
        </xdr:from>
        <xdr:to>
          <xdr:col>32</xdr:col>
          <xdr:colOff>414938</xdr:colOff>
          <xdr:row>3</xdr:row>
          <xdr:rowOff>30736</xdr:rowOff>
        </xdr:to>
        <xdr:sp macro="" textlink="">
          <xdr:nvSpPr>
            <xdr:cNvPr id="2572289" name="Button 1" hidden="1">
              <a:extLst>
                <a:ext uri="{63B3BB69-23CF-44E3-9099-C40C66FF867C}">
                  <a14:compatExt spid="_x0000_s257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取樣回收每月庫存表 0620更新" connectionId="16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.xml><?xml version="1.0" encoding="utf-8"?>
<queryTable xmlns="http://schemas.openxmlformats.org/spreadsheetml/2006/main" name="取樣回收每月庫存表 0620更新" connectionId="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3.xml><?xml version="1.0" encoding="utf-8"?>
<queryTable xmlns="http://schemas.openxmlformats.org/spreadsheetml/2006/main" name="取樣回收每月庫存表 0620更新" connectionId="12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4.xml><?xml version="1.0" encoding="utf-8"?>
<queryTable xmlns="http://schemas.openxmlformats.org/spreadsheetml/2006/main" name="取樣回收每月庫存表 0620更新" connectionId="17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5.xml><?xml version="1.0" encoding="utf-8"?>
<queryTable xmlns="http://schemas.openxmlformats.org/spreadsheetml/2006/main" name="取樣回收每月庫存表 0620更新" connectionId="18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6.xml><?xml version="1.0" encoding="utf-8"?>
<queryTable xmlns="http://schemas.openxmlformats.org/spreadsheetml/2006/main" name="取樣回收每月庫存表 0620更新" connectionId="19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7.xml><?xml version="1.0" encoding="utf-8"?>
<queryTable xmlns="http://schemas.openxmlformats.org/spreadsheetml/2006/main" name="取樣回收每月庫存表 0620更新" connectionId="20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8.xml><?xml version="1.0" encoding="utf-8"?>
<queryTable xmlns="http://schemas.openxmlformats.org/spreadsheetml/2006/main" name="取樣回收每月庫存表 0620更新" connectionId="2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9.xml><?xml version="1.0" encoding="utf-8"?>
<queryTable xmlns="http://schemas.openxmlformats.org/spreadsheetml/2006/main" name="取樣回收每月庫存表 0620更新" connectionId="22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0.xml><?xml version="1.0" encoding="utf-8"?>
<queryTable xmlns="http://schemas.openxmlformats.org/spreadsheetml/2006/main" name="取樣回收每月庫存表 0620更新" connectionId="23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1.xml><?xml version="1.0" encoding="utf-8"?>
<queryTable xmlns="http://schemas.openxmlformats.org/spreadsheetml/2006/main" name="取樣回收每月庫存表 0620更新" connectionId="2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2.xml><?xml version="1.0" encoding="utf-8"?>
<queryTable xmlns="http://schemas.openxmlformats.org/spreadsheetml/2006/main" name="取樣回收每月庫存表 0620更新" connectionId="3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3.xml><?xml version="1.0" encoding="utf-8"?>
<queryTable xmlns="http://schemas.openxmlformats.org/spreadsheetml/2006/main" name="取樣回收每月庫存表 0620更新" connectionId="4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4.xml><?xml version="1.0" encoding="utf-8"?>
<queryTable xmlns="http://schemas.openxmlformats.org/spreadsheetml/2006/main" name="取樣回收每月庫存表 0620更新" connectionId="5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5.xml><?xml version="1.0" encoding="utf-8"?>
<queryTable xmlns="http://schemas.openxmlformats.org/spreadsheetml/2006/main" name="取樣回收每月庫存表 0620更新" connectionId="6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6.xml><?xml version="1.0" encoding="utf-8"?>
<queryTable xmlns="http://schemas.openxmlformats.org/spreadsheetml/2006/main" name="取樣回收每月庫存表 0620更新" connectionId="7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7.xml><?xml version="1.0" encoding="utf-8"?>
<queryTable xmlns="http://schemas.openxmlformats.org/spreadsheetml/2006/main" name="取樣回收每月庫存表 0620更新" connectionId="8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8.xml><?xml version="1.0" encoding="utf-8"?>
<queryTable xmlns="http://schemas.openxmlformats.org/spreadsheetml/2006/main" name="取樣回收每月庫存表 0620更新" connectionId="9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9.xml><?xml version="1.0" encoding="utf-8"?>
<queryTable xmlns="http://schemas.openxmlformats.org/spreadsheetml/2006/main" name="取樣回收每月庫存表 0620更新" connectionId="10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0.xml><?xml version="1.0" encoding="utf-8"?>
<queryTable xmlns="http://schemas.openxmlformats.org/spreadsheetml/2006/main" name="取樣回收每月庫存表 0620更新" connectionId="1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1.xml><?xml version="1.0" encoding="utf-8"?>
<queryTable xmlns="http://schemas.openxmlformats.org/spreadsheetml/2006/main" name="取樣回收每月庫存表 0620更新" connectionId="13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2.xml><?xml version="1.0" encoding="utf-8"?>
<queryTable xmlns="http://schemas.openxmlformats.org/spreadsheetml/2006/main" name="取樣回收每月庫存表 0620更新" connectionId="14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3.xml><?xml version="1.0" encoding="utf-8"?>
<queryTable xmlns="http://schemas.openxmlformats.org/spreadsheetml/2006/main" name="取樣回收每月庫存表 0620更新" connectionId="15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table1.xml><?xml version="1.0" encoding="utf-8"?>
<table xmlns="http://schemas.openxmlformats.org/spreadsheetml/2006/main" id="23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2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2" ref="AG13:BH189" tableType="queryTable" totalsRowShown="0" headerRowDxfId="2823" dataDxfId="2822" headerRowCellStyle="一般 2" dataCellStyle="一般 2">
  <autoFilter ref="AG13:BH189"/>
  <tableColumns count="28">
    <tableColumn id="1" uniqueName="1" name="請直接以10進位，謝謝" queryTableFieldId="1" dataDxfId="2821" dataCellStyle="一般 2"/>
    <tableColumn id="2" uniqueName="2" name="F2" queryTableFieldId="2" dataDxfId="2820" dataCellStyle="一般 2"/>
    <tableColumn id="3" uniqueName="3" name="F3" queryTableFieldId="3" dataDxfId="2819" dataCellStyle="一般 2"/>
    <tableColumn id="4" uniqueName="4" name="F4" queryTableFieldId="4" dataDxfId="2818" dataCellStyle="一般 2"/>
    <tableColumn id="5" uniqueName="5" name="F5" queryTableFieldId="5" dataDxfId="2817" dataCellStyle="一般 2"/>
    <tableColumn id="6" uniqueName="6" name="F6" queryTableFieldId="6" dataDxfId="2816" dataCellStyle="一般 2"/>
    <tableColumn id="7" uniqueName="7" name="F7" queryTableFieldId="7" dataDxfId="2815" dataCellStyle="一般 2"/>
    <tableColumn id="8" uniqueName="8" name="F8" queryTableFieldId="8" dataDxfId="2814" dataCellStyle="一般 2"/>
    <tableColumn id="9" uniqueName="9" name="F9" queryTableFieldId="9" dataDxfId="2813" dataCellStyle="一般 2"/>
    <tableColumn id="10" uniqueName="10" name="F10" queryTableFieldId="10" dataDxfId="2812" dataCellStyle="一般 2"/>
    <tableColumn id="11" uniqueName="11" name="F11" queryTableFieldId="11" dataDxfId="2811" dataCellStyle="一般 2"/>
    <tableColumn id="12" uniqueName="12" name="F12" queryTableFieldId="12" dataDxfId="2810" dataCellStyle="一般 2"/>
    <tableColumn id="13" uniqueName="13" name="F13" queryTableFieldId="13" dataDxfId="2809" dataCellStyle="一般 2"/>
    <tableColumn id="14" uniqueName="14" name="F14" queryTableFieldId="14" dataDxfId="2808" dataCellStyle="一般 2"/>
    <tableColumn id="15" uniqueName="15" name="F15" queryTableFieldId="15" dataDxfId="2807" dataCellStyle="一般 2"/>
    <tableColumn id="16" uniqueName="16" name="F16" queryTableFieldId="16" dataDxfId="2806" dataCellStyle="一般 2"/>
    <tableColumn id="17" uniqueName="17" name="F17" queryTableFieldId="17" dataDxfId="2805" dataCellStyle="一般 2"/>
    <tableColumn id="18" uniqueName="18" name="F18" queryTableFieldId="18" dataDxfId="2804" dataCellStyle="一般 2"/>
    <tableColumn id="19" uniqueName="19" name="F19" queryTableFieldId="19" dataDxfId="2803" dataCellStyle="一般 2"/>
    <tableColumn id="20" uniqueName="20" name="F20" queryTableFieldId="20" dataDxfId="2802" dataCellStyle="一般 2"/>
    <tableColumn id="21" uniqueName="21" name="F21" queryTableFieldId="21" dataDxfId="2801" dataCellStyle="一般 2"/>
    <tableColumn id="22" uniqueName="22" name="2024/6/24 14:52" queryTableFieldId="22" dataDxfId="2800" dataCellStyle="一般 2"/>
    <tableColumn id="23" uniqueName="23" name="F23" queryTableFieldId="23" dataDxfId="2799" dataCellStyle="一般 2"/>
    <tableColumn id="24" uniqueName="24" name="F24" queryTableFieldId="24" dataDxfId="2798" dataCellStyle="一般 2"/>
    <tableColumn id="25" uniqueName="25" name="F25" queryTableFieldId="25" dataDxfId="2797" dataCellStyle="一般 2"/>
    <tableColumn id="26" uniqueName="26" name="F26" queryTableFieldId="26" dataDxfId="2796" dataCellStyle="一般 2"/>
    <tableColumn id="27" uniqueName="27" name="F27" queryTableFieldId="27" dataDxfId="2795" dataCellStyle="一般 2"/>
    <tableColumn id="28" uniqueName="28" name="F28" queryTableFieldId="28" dataDxfId="2794" dataCellStyle="一般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3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3" ref="AG13:BH189" tableType="queryTable" totalsRowShown="0" headerRowDxfId="2696" dataDxfId="2695" headerRowCellStyle="一般 2" dataCellStyle="一般 2">
  <autoFilter ref="AG13:BH189"/>
  <tableColumns count="28">
    <tableColumn id="1" uniqueName="1" name="請直接以10進位，謝謝" queryTableFieldId="1" dataDxfId="2694" dataCellStyle="一般 2"/>
    <tableColumn id="2" uniqueName="2" name="F2" queryTableFieldId="2" dataDxfId="2693" dataCellStyle="一般 2"/>
    <tableColumn id="3" uniqueName="3" name="F3" queryTableFieldId="3" dataDxfId="2692" dataCellStyle="一般 2"/>
    <tableColumn id="4" uniqueName="4" name="F4" queryTableFieldId="4" dataDxfId="2691" dataCellStyle="一般 2"/>
    <tableColumn id="5" uniqueName="5" name="F5" queryTableFieldId="5" dataDxfId="2690" dataCellStyle="一般 2"/>
    <tableColumn id="6" uniqueName="6" name="F6" queryTableFieldId="6" dataDxfId="2689" dataCellStyle="一般 2"/>
    <tableColumn id="7" uniqueName="7" name="F7" queryTableFieldId="7" dataDxfId="2688" dataCellStyle="一般 2"/>
    <tableColumn id="8" uniqueName="8" name="F8" queryTableFieldId="8" dataDxfId="2687" dataCellStyle="一般 2"/>
    <tableColumn id="9" uniqueName="9" name="F9" queryTableFieldId="9" dataDxfId="2686" dataCellStyle="一般 2"/>
    <tableColumn id="10" uniqueName="10" name="F10" queryTableFieldId="10" dataDxfId="2685" dataCellStyle="一般 2"/>
    <tableColumn id="11" uniqueName="11" name="F11" queryTableFieldId="11" dataDxfId="2684" dataCellStyle="一般 2"/>
    <tableColumn id="12" uniqueName="12" name="F12" queryTableFieldId="12" dataDxfId="2683" dataCellStyle="一般 2"/>
    <tableColumn id="13" uniqueName="13" name="F13" queryTableFieldId="13" dataDxfId="2682" dataCellStyle="一般 2"/>
    <tableColumn id="14" uniqueName="14" name="F14" queryTableFieldId="14" dataDxfId="2681" dataCellStyle="一般 2"/>
    <tableColumn id="15" uniqueName="15" name="F15" queryTableFieldId="15" dataDxfId="2680" dataCellStyle="一般 2"/>
    <tableColumn id="16" uniqueName="16" name="F16" queryTableFieldId="16" dataDxfId="2679" dataCellStyle="一般 2"/>
    <tableColumn id="17" uniqueName="17" name="F17" queryTableFieldId="17" dataDxfId="2678" dataCellStyle="一般 2"/>
    <tableColumn id="18" uniqueName="18" name="F18" queryTableFieldId="18" dataDxfId="2677" dataCellStyle="一般 2"/>
    <tableColumn id="19" uniqueName="19" name="F19" queryTableFieldId="19" dataDxfId="2676" dataCellStyle="一般 2"/>
    <tableColumn id="20" uniqueName="20" name="F20" queryTableFieldId="20" dataDxfId="2675" dataCellStyle="一般 2"/>
    <tableColumn id="21" uniqueName="21" name="F21" queryTableFieldId="21" dataDxfId="2674" dataCellStyle="一般 2"/>
    <tableColumn id="22" uniqueName="22" name="2024/6/24 14:52" queryTableFieldId="22" dataDxfId="2673" dataCellStyle="一般 2"/>
    <tableColumn id="23" uniqueName="23" name="F23" queryTableFieldId="23" dataDxfId="2672" dataCellStyle="一般 2"/>
    <tableColumn id="24" uniqueName="24" name="F24" queryTableFieldId="24" dataDxfId="2671" dataCellStyle="一般 2"/>
    <tableColumn id="25" uniqueName="25" name="F25" queryTableFieldId="25" dataDxfId="2670" dataCellStyle="一般 2"/>
    <tableColumn id="26" uniqueName="26" name="F26" queryTableFieldId="26" dataDxfId="2669" dataCellStyle="一般 2"/>
    <tableColumn id="27" uniqueName="27" name="F27" queryTableFieldId="27" dataDxfId="2668" dataCellStyle="一般 2"/>
    <tableColumn id="28" uniqueName="28" name="F28" queryTableFieldId="28" dataDxfId="2667" dataCellStyle="一般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4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4" ref="AG13:BH189" tableType="queryTable" totalsRowShown="0" headerRowDxfId="2569" dataDxfId="2568" headerRowCellStyle="一般 2" dataCellStyle="一般 2">
  <autoFilter ref="AG13:BH189"/>
  <tableColumns count="28">
    <tableColumn id="1" uniqueName="1" name="請直接以10進位，謝謝" queryTableFieldId="1" dataDxfId="2567" dataCellStyle="一般 2"/>
    <tableColumn id="2" uniqueName="2" name="F2" queryTableFieldId="2" dataDxfId="2566" dataCellStyle="一般 2"/>
    <tableColumn id="3" uniqueName="3" name="F3" queryTableFieldId="3" dataDxfId="2565" dataCellStyle="一般 2"/>
    <tableColumn id="4" uniqueName="4" name="F4" queryTableFieldId="4" dataDxfId="2564" dataCellStyle="一般 2"/>
    <tableColumn id="5" uniqueName="5" name="F5" queryTableFieldId="5" dataDxfId="2563" dataCellStyle="一般 2"/>
    <tableColumn id="6" uniqueName="6" name="F6" queryTableFieldId="6" dataDxfId="2562" dataCellStyle="一般 2"/>
    <tableColumn id="7" uniqueName="7" name="F7" queryTableFieldId="7" dataDxfId="2561" dataCellStyle="一般 2"/>
    <tableColumn id="8" uniqueName="8" name="F8" queryTableFieldId="8" dataDxfId="2560" dataCellStyle="一般 2"/>
    <tableColumn id="9" uniqueName="9" name="F9" queryTableFieldId="9" dataDxfId="2559" dataCellStyle="一般 2"/>
    <tableColumn id="10" uniqueName="10" name="F10" queryTableFieldId="10" dataDxfId="2558" dataCellStyle="一般 2"/>
    <tableColumn id="11" uniqueName="11" name="F11" queryTableFieldId="11" dataDxfId="2557" dataCellStyle="一般 2"/>
    <tableColumn id="12" uniqueName="12" name="F12" queryTableFieldId="12" dataDxfId="2556" dataCellStyle="一般 2"/>
    <tableColumn id="13" uniqueName="13" name="F13" queryTableFieldId="13" dataDxfId="2555" dataCellStyle="一般 2"/>
    <tableColumn id="14" uniqueName="14" name="F14" queryTableFieldId="14" dataDxfId="2554" dataCellStyle="一般 2"/>
    <tableColumn id="15" uniqueName="15" name="F15" queryTableFieldId="15" dataDxfId="2553" dataCellStyle="一般 2"/>
    <tableColumn id="16" uniqueName="16" name="F16" queryTableFieldId="16" dataDxfId="2552" dataCellStyle="一般 2"/>
    <tableColumn id="17" uniqueName="17" name="F17" queryTableFieldId="17" dataDxfId="2551" dataCellStyle="一般 2"/>
    <tableColumn id="18" uniqueName="18" name="F18" queryTableFieldId="18" dataDxfId="2550" dataCellStyle="一般 2"/>
    <tableColumn id="19" uniqueName="19" name="F19" queryTableFieldId="19" dataDxfId="2549" dataCellStyle="一般 2"/>
    <tableColumn id="20" uniqueName="20" name="F20" queryTableFieldId="20" dataDxfId="2548" dataCellStyle="一般 2"/>
    <tableColumn id="21" uniqueName="21" name="F21" queryTableFieldId="21" dataDxfId="2547" dataCellStyle="一般 2"/>
    <tableColumn id="22" uniqueName="22" name="2024/6/24 14:52" queryTableFieldId="22" dataDxfId="2546" dataCellStyle="一般 2"/>
    <tableColumn id="23" uniqueName="23" name="F23" queryTableFieldId="23" dataDxfId="2545" dataCellStyle="一般 2"/>
    <tableColumn id="24" uniqueName="24" name="F24" queryTableFieldId="24" dataDxfId="2544" dataCellStyle="一般 2"/>
    <tableColumn id="25" uniqueName="25" name="F25" queryTableFieldId="25" dataDxfId="2543" dataCellStyle="一般 2"/>
    <tableColumn id="26" uniqueName="26" name="F26" queryTableFieldId="26" dataDxfId="2542" dataCellStyle="一般 2"/>
    <tableColumn id="27" uniqueName="27" name="F27" queryTableFieldId="27" dataDxfId="2541" dataCellStyle="一般 2"/>
    <tableColumn id="28" uniqueName="28" name="F28" queryTableFieldId="28" dataDxfId="2540" dataCellStyle="一般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5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5" ref="AG13:BH189" tableType="queryTable" totalsRowShown="0" headerRowDxfId="2442" dataDxfId="2441" headerRowCellStyle="一般 2" dataCellStyle="一般 2">
  <autoFilter ref="AG13:BH189"/>
  <tableColumns count="28">
    <tableColumn id="1" uniqueName="1" name="請直接以10進位，謝謝" queryTableFieldId="1" dataDxfId="2440" dataCellStyle="一般 2"/>
    <tableColumn id="2" uniqueName="2" name="F2" queryTableFieldId="2" dataDxfId="2439" dataCellStyle="一般 2"/>
    <tableColumn id="3" uniqueName="3" name="F3" queryTableFieldId="3" dataDxfId="2438" dataCellStyle="一般 2"/>
    <tableColumn id="4" uniqueName="4" name="F4" queryTableFieldId="4" dataDxfId="2437" dataCellStyle="一般 2"/>
    <tableColumn id="5" uniqueName="5" name="F5" queryTableFieldId="5" dataDxfId="2436" dataCellStyle="一般 2"/>
    <tableColumn id="6" uniqueName="6" name="F6" queryTableFieldId="6" dataDxfId="2435" dataCellStyle="一般 2"/>
    <tableColumn id="7" uniqueName="7" name="F7" queryTableFieldId="7" dataDxfId="2434" dataCellStyle="一般 2"/>
    <tableColumn id="8" uniqueName="8" name="F8" queryTableFieldId="8" dataDxfId="2433" dataCellStyle="一般 2"/>
    <tableColumn id="9" uniqueName="9" name="F9" queryTableFieldId="9" dataDxfId="2432" dataCellStyle="一般 2"/>
    <tableColumn id="10" uniqueName="10" name="F10" queryTableFieldId="10" dataDxfId="2431" dataCellStyle="一般 2"/>
    <tableColumn id="11" uniqueName="11" name="F11" queryTableFieldId="11" dataDxfId="2430" dataCellStyle="一般 2"/>
    <tableColumn id="12" uniqueName="12" name="F12" queryTableFieldId="12" dataDxfId="2429" dataCellStyle="一般 2"/>
    <tableColumn id="13" uniqueName="13" name="F13" queryTableFieldId="13" dataDxfId="2428" dataCellStyle="一般 2"/>
    <tableColumn id="14" uniqueName="14" name="F14" queryTableFieldId="14" dataDxfId="2427" dataCellStyle="一般 2"/>
    <tableColumn id="15" uniqueName="15" name="F15" queryTableFieldId="15" dataDxfId="2426" dataCellStyle="一般 2"/>
    <tableColumn id="16" uniqueName="16" name="F16" queryTableFieldId="16" dataDxfId="2425" dataCellStyle="一般 2"/>
    <tableColumn id="17" uniqueName="17" name="F17" queryTableFieldId="17" dataDxfId="2424" dataCellStyle="一般 2"/>
    <tableColumn id="18" uniqueName="18" name="F18" queryTableFieldId="18" dataDxfId="2423" dataCellStyle="一般 2"/>
    <tableColumn id="19" uniqueName="19" name="F19" queryTableFieldId="19" dataDxfId="2422" dataCellStyle="一般 2"/>
    <tableColumn id="20" uniqueName="20" name="F20" queryTableFieldId="20" dataDxfId="2421" dataCellStyle="一般 2"/>
    <tableColumn id="21" uniqueName="21" name="F21" queryTableFieldId="21" dataDxfId="2420" dataCellStyle="一般 2"/>
    <tableColumn id="22" uniqueName="22" name="2024/6/24 14:52" queryTableFieldId="22" dataDxfId="2419" dataCellStyle="一般 2"/>
    <tableColumn id="23" uniqueName="23" name="F23" queryTableFieldId="23" dataDxfId="2418" dataCellStyle="一般 2"/>
    <tableColumn id="24" uniqueName="24" name="F24" queryTableFieldId="24" dataDxfId="2417" dataCellStyle="一般 2"/>
    <tableColumn id="25" uniqueName="25" name="F25" queryTableFieldId="25" dataDxfId="2416" dataCellStyle="一般 2"/>
    <tableColumn id="26" uniqueName="26" name="F26" queryTableFieldId="26" dataDxfId="2415" dataCellStyle="一般 2"/>
    <tableColumn id="27" uniqueName="27" name="F27" queryTableFieldId="27" dataDxfId="2414" dataCellStyle="一般 2"/>
    <tableColumn id="28" uniqueName="28" name="F28" queryTableFieldId="28" dataDxfId="2413" dataCellStyle="一般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6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6" ref="AG13:BH189" tableType="queryTable" totalsRowShown="0" headerRowDxfId="2315" dataDxfId="2314" headerRowCellStyle="一般 2" dataCellStyle="一般 2">
  <autoFilter ref="AG13:BH189"/>
  <tableColumns count="28">
    <tableColumn id="1" uniqueName="1" name="請直接以10進位，謝謝" queryTableFieldId="1" dataDxfId="2313" dataCellStyle="一般 2"/>
    <tableColumn id="2" uniqueName="2" name="F2" queryTableFieldId="2" dataDxfId="2312" dataCellStyle="一般 2"/>
    <tableColumn id="3" uniqueName="3" name="F3" queryTableFieldId="3" dataDxfId="2311" dataCellStyle="一般 2"/>
    <tableColumn id="4" uniqueName="4" name="F4" queryTableFieldId="4" dataDxfId="2310" dataCellStyle="一般 2"/>
    <tableColumn id="5" uniqueName="5" name="F5" queryTableFieldId="5" dataDxfId="2309" dataCellStyle="一般 2"/>
    <tableColumn id="6" uniqueName="6" name="F6" queryTableFieldId="6" dataDxfId="2308" dataCellStyle="一般 2"/>
    <tableColumn id="7" uniqueName="7" name="F7" queryTableFieldId="7" dataDxfId="2307" dataCellStyle="一般 2"/>
    <tableColumn id="8" uniqueName="8" name="F8" queryTableFieldId="8" dataDxfId="2306" dataCellStyle="一般 2"/>
    <tableColumn id="9" uniqueName="9" name="F9" queryTableFieldId="9" dataDxfId="2305" dataCellStyle="一般 2"/>
    <tableColumn id="10" uniqueName="10" name="F10" queryTableFieldId="10" dataDxfId="2304" dataCellStyle="一般 2"/>
    <tableColumn id="11" uniqueName="11" name="F11" queryTableFieldId="11" dataDxfId="2303" dataCellStyle="一般 2"/>
    <tableColumn id="12" uniqueName="12" name="F12" queryTableFieldId="12" dataDxfId="2302" dataCellStyle="一般 2"/>
    <tableColumn id="13" uniqueName="13" name="F13" queryTableFieldId="13" dataDxfId="2301" dataCellStyle="一般 2"/>
    <tableColumn id="14" uniqueName="14" name="F14" queryTableFieldId="14" dataDxfId="2300" dataCellStyle="一般 2"/>
    <tableColumn id="15" uniqueName="15" name="F15" queryTableFieldId="15" dataDxfId="2299" dataCellStyle="一般 2"/>
    <tableColumn id="16" uniqueName="16" name="F16" queryTableFieldId="16" dataDxfId="2298" dataCellStyle="一般 2"/>
    <tableColumn id="17" uniqueName="17" name="F17" queryTableFieldId="17" dataDxfId="2297" dataCellStyle="一般 2"/>
    <tableColumn id="18" uniqueName="18" name="F18" queryTableFieldId="18" dataDxfId="2296" dataCellStyle="一般 2"/>
    <tableColumn id="19" uniqueName="19" name="F19" queryTableFieldId="19" dataDxfId="2295" dataCellStyle="一般 2"/>
    <tableColumn id="20" uniqueName="20" name="F20" queryTableFieldId="20" dataDxfId="2294" dataCellStyle="一般 2"/>
    <tableColumn id="21" uniqueName="21" name="F21" queryTableFieldId="21" dataDxfId="2293" dataCellStyle="一般 2"/>
    <tableColumn id="22" uniqueName="22" name="2024/6/24 14:52" queryTableFieldId="22" dataDxfId="2292" dataCellStyle="一般 2"/>
    <tableColumn id="23" uniqueName="23" name="F23" queryTableFieldId="23" dataDxfId="2291" dataCellStyle="一般 2"/>
    <tableColumn id="24" uniqueName="24" name="F24" queryTableFieldId="24" dataDxfId="2290" dataCellStyle="一般 2"/>
    <tableColumn id="25" uniqueName="25" name="F25" queryTableFieldId="25" dataDxfId="2289" dataCellStyle="一般 2"/>
    <tableColumn id="26" uniqueName="26" name="F26" queryTableFieldId="26" dataDxfId="2288" dataCellStyle="一般 2"/>
    <tableColumn id="27" uniqueName="27" name="F27" queryTableFieldId="27" dataDxfId="2287" dataCellStyle="一般 2"/>
    <tableColumn id="28" uniqueName="28" name="F28" queryTableFieldId="28" dataDxfId="2286" dataCellStyle="一般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7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7" ref="AG13:BH189" tableType="queryTable" totalsRowShown="0" headerRowDxfId="2188" dataDxfId="2187" headerRowCellStyle="一般 2" dataCellStyle="一般 2">
  <autoFilter ref="AG13:BH189"/>
  <tableColumns count="28">
    <tableColumn id="1" uniqueName="1" name="請直接以10進位，謝謝" queryTableFieldId="1" dataDxfId="2186" dataCellStyle="一般 2"/>
    <tableColumn id="2" uniqueName="2" name="F2" queryTableFieldId="2" dataDxfId="2185" dataCellStyle="一般 2"/>
    <tableColumn id="3" uniqueName="3" name="F3" queryTableFieldId="3" dataDxfId="2184" dataCellStyle="一般 2"/>
    <tableColumn id="4" uniqueName="4" name="F4" queryTableFieldId="4" dataDxfId="2183" dataCellStyle="一般 2"/>
    <tableColumn id="5" uniqueName="5" name="F5" queryTableFieldId="5" dataDxfId="2182" dataCellStyle="一般 2"/>
    <tableColumn id="6" uniqueName="6" name="F6" queryTableFieldId="6" dataDxfId="2181" dataCellStyle="一般 2"/>
    <tableColumn id="7" uniqueName="7" name="F7" queryTableFieldId="7" dataDxfId="2180" dataCellStyle="一般 2"/>
    <tableColumn id="8" uniqueName="8" name="F8" queryTableFieldId="8" dataDxfId="2179" dataCellStyle="一般 2"/>
    <tableColumn id="9" uniqueName="9" name="F9" queryTableFieldId="9" dataDxfId="2178" dataCellStyle="一般 2"/>
    <tableColumn id="10" uniqueName="10" name="F10" queryTableFieldId="10" dataDxfId="2177" dataCellStyle="一般 2"/>
    <tableColumn id="11" uniqueName="11" name="F11" queryTableFieldId="11" dataDxfId="2176" dataCellStyle="一般 2"/>
    <tableColumn id="12" uniqueName="12" name="F12" queryTableFieldId="12" dataDxfId="2175" dataCellStyle="一般 2"/>
    <tableColumn id="13" uniqueName="13" name="F13" queryTableFieldId="13" dataDxfId="2174" dataCellStyle="一般 2"/>
    <tableColumn id="14" uniqueName="14" name="F14" queryTableFieldId="14" dataDxfId="2173" dataCellStyle="一般 2"/>
    <tableColumn id="15" uniqueName="15" name="F15" queryTableFieldId="15" dataDxfId="2172" dataCellStyle="一般 2"/>
    <tableColumn id="16" uniqueName="16" name="F16" queryTableFieldId="16" dataDxfId="2171" dataCellStyle="一般 2"/>
    <tableColumn id="17" uniqueName="17" name="F17" queryTableFieldId="17" dataDxfId="2170" dataCellStyle="一般 2"/>
    <tableColumn id="18" uniqueName="18" name="F18" queryTableFieldId="18" dataDxfId="2169" dataCellStyle="一般 2"/>
    <tableColumn id="19" uniqueName="19" name="F19" queryTableFieldId="19" dataDxfId="2168" dataCellStyle="一般 2"/>
    <tableColumn id="20" uniqueName="20" name="F20" queryTableFieldId="20" dataDxfId="2167" dataCellStyle="一般 2"/>
    <tableColumn id="21" uniqueName="21" name="F21" queryTableFieldId="21" dataDxfId="2166" dataCellStyle="一般 2"/>
    <tableColumn id="22" uniqueName="22" name="2024/6/24 14:52" queryTableFieldId="22" dataDxfId="2165" dataCellStyle="一般 2"/>
    <tableColumn id="23" uniqueName="23" name="F23" queryTableFieldId="23" dataDxfId="2164" dataCellStyle="一般 2"/>
    <tableColumn id="24" uniqueName="24" name="F24" queryTableFieldId="24" dataDxfId="2163" dataCellStyle="一般 2"/>
    <tableColumn id="25" uniqueName="25" name="F25" queryTableFieldId="25" dataDxfId="2162" dataCellStyle="一般 2"/>
    <tableColumn id="26" uniqueName="26" name="F26" queryTableFieldId="26" dataDxfId="2161" dataCellStyle="一般 2"/>
    <tableColumn id="27" uniqueName="27" name="F27" queryTableFieldId="27" dataDxfId="2160" dataCellStyle="一般 2"/>
    <tableColumn id="28" uniqueName="28" name="F28" queryTableFieldId="28" dataDxfId="2159" dataCellStyle="一般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8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8" ref="AG13:BH189" tableType="queryTable" totalsRowShown="0" headerRowDxfId="2061" dataDxfId="2060" headerRowCellStyle="一般 2" dataCellStyle="一般 2">
  <autoFilter ref="AG13:BH189"/>
  <tableColumns count="28">
    <tableColumn id="1" uniqueName="1" name="請直接以10進位，謝謝" queryTableFieldId="1" dataDxfId="2059" dataCellStyle="一般 2"/>
    <tableColumn id="2" uniqueName="2" name="F2" queryTableFieldId="2" dataDxfId="2058" dataCellStyle="一般 2"/>
    <tableColumn id="3" uniqueName="3" name="F3" queryTableFieldId="3" dataDxfId="2057" dataCellStyle="一般 2"/>
    <tableColumn id="4" uniqueName="4" name="F4" queryTableFieldId="4" dataDxfId="2056" dataCellStyle="一般 2"/>
    <tableColumn id="5" uniqueName="5" name="F5" queryTableFieldId="5" dataDxfId="2055" dataCellStyle="一般 2"/>
    <tableColumn id="6" uniqueName="6" name="F6" queryTableFieldId="6" dataDxfId="2054" dataCellStyle="一般 2"/>
    <tableColumn id="7" uniqueName="7" name="F7" queryTableFieldId="7" dataDxfId="2053" dataCellStyle="一般 2"/>
    <tableColumn id="8" uniqueName="8" name="F8" queryTableFieldId="8" dataDxfId="2052" dataCellStyle="一般 2"/>
    <tableColumn id="9" uniqueName="9" name="F9" queryTableFieldId="9" dataDxfId="2051" dataCellStyle="一般 2"/>
    <tableColumn id="10" uniqueName="10" name="F10" queryTableFieldId="10" dataDxfId="2050" dataCellStyle="一般 2"/>
    <tableColumn id="11" uniqueName="11" name="F11" queryTableFieldId="11" dataDxfId="2049" dataCellStyle="一般 2"/>
    <tableColumn id="12" uniqueName="12" name="F12" queryTableFieldId="12" dataDxfId="2048" dataCellStyle="一般 2"/>
    <tableColumn id="13" uniqueName="13" name="F13" queryTableFieldId="13" dataDxfId="2047" dataCellStyle="一般 2"/>
    <tableColumn id="14" uniqueName="14" name="F14" queryTableFieldId="14" dataDxfId="2046" dataCellStyle="一般 2"/>
    <tableColumn id="15" uniqueName="15" name="F15" queryTableFieldId="15" dataDxfId="2045" dataCellStyle="一般 2"/>
    <tableColumn id="16" uniqueName="16" name="F16" queryTableFieldId="16" dataDxfId="2044" dataCellStyle="一般 2"/>
    <tableColumn id="17" uniqueName="17" name="F17" queryTableFieldId="17" dataDxfId="2043" dataCellStyle="一般 2"/>
    <tableColumn id="18" uniqueName="18" name="F18" queryTableFieldId="18" dataDxfId="2042" dataCellStyle="一般 2"/>
    <tableColumn id="19" uniqueName="19" name="F19" queryTableFieldId="19" dataDxfId="2041" dataCellStyle="一般 2"/>
    <tableColumn id="20" uniqueName="20" name="F20" queryTableFieldId="20" dataDxfId="2040" dataCellStyle="一般 2"/>
    <tableColumn id="21" uniqueName="21" name="F21" queryTableFieldId="21" dataDxfId="2039" dataCellStyle="一般 2"/>
    <tableColumn id="22" uniqueName="22" name="2024/6/24 14:52" queryTableFieldId="22" dataDxfId="2038" dataCellStyle="一般 2"/>
    <tableColumn id="23" uniqueName="23" name="F23" queryTableFieldId="23" dataDxfId="2037" dataCellStyle="一般 2"/>
    <tableColumn id="24" uniqueName="24" name="F24" queryTableFieldId="24" dataDxfId="2036" dataCellStyle="一般 2"/>
    <tableColumn id="25" uniqueName="25" name="F25" queryTableFieldId="25" dataDxfId="2035" dataCellStyle="一般 2"/>
    <tableColumn id="26" uniqueName="26" name="F26" queryTableFieldId="26" dataDxfId="2034" dataCellStyle="一般 2"/>
    <tableColumn id="27" uniqueName="27" name="F27" queryTableFieldId="27" dataDxfId="2033" dataCellStyle="一般 2"/>
    <tableColumn id="28" uniqueName="28" name="F28" queryTableFieldId="28" dataDxfId="2032" dataCellStyle="一般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9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9" ref="AG13:BH189" tableType="queryTable" totalsRowShown="0" headerRowDxfId="1934" dataDxfId="1933" headerRowCellStyle="一般 2" dataCellStyle="一般 2">
  <autoFilter ref="AG13:BH189"/>
  <tableColumns count="28">
    <tableColumn id="1" uniqueName="1" name="請直接以10進位，謝謝" queryTableFieldId="1" dataDxfId="1932" dataCellStyle="一般 2"/>
    <tableColumn id="2" uniqueName="2" name="F2" queryTableFieldId="2" dataDxfId="1931" dataCellStyle="一般 2"/>
    <tableColumn id="3" uniqueName="3" name="F3" queryTableFieldId="3" dataDxfId="1930" dataCellStyle="一般 2"/>
    <tableColumn id="4" uniqueName="4" name="F4" queryTableFieldId="4" dataDxfId="1929" dataCellStyle="一般 2"/>
    <tableColumn id="5" uniqueName="5" name="F5" queryTableFieldId="5" dataDxfId="1928" dataCellStyle="一般 2"/>
    <tableColumn id="6" uniqueName="6" name="F6" queryTableFieldId="6" dataDxfId="1927" dataCellStyle="一般 2"/>
    <tableColumn id="7" uniqueName="7" name="F7" queryTableFieldId="7" dataDxfId="1926" dataCellStyle="一般 2"/>
    <tableColumn id="8" uniqueName="8" name="F8" queryTableFieldId="8" dataDxfId="1925" dataCellStyle="一般 2"/>
    <tableColumn id="9" uniqueName="9" name="F9" queryTableFieldId="9" dataDxfId="1924" dataCellStyle="一般 2"/>
    <tableColumn id="10" uniqueName="10" name="F10" queryTableFieldId="10" dataDxfId="1923" dataCellStyle="一般 2"/>
    <tableColumn id="11" uniqueName="11" name="F11" queryTableFieldId="11" dataDxfId="1922" dataCellStyle="一般 2"/>
    <tableColumn id="12" uniqueName="12" name="F12" queryTableFieldId="12" dataDxfId="1921" dataCellStyle="一般 2"/>
    <tableColumn id="13" uniqueName="13" name="F13" queryTableFieldId="13" dataDxfId="1920" dataCellStyle="一般 2"/>
    <tableColumn id="14" uniqueName="14" name="F14" queryTableFieldId="14" dataDxfId="1919" dataCellStyle="一般 2"/>
    <tableColumn id="15" uniqueName="15" name="F15" queryTableFieldId="15" dataDxfId="1918" dataCellStyle="一般 2"/>
    <tableColumn id="16" uniqueName="16" name="F16" queryTableFieldId="16" dataDxfId="1917" dataCellStyle="一般 2"/>
    <tableColumn id="17" uniqueName="17" name="F17" queryTableFieldId="17" dataDxfId="1916" dataCellStyle="一般 2"/>
    <tableColumn id="18" uniqueName="18" name="F18" queryTableFieldId="18" dataDxfId="1915" dataCellStyle="一般 2"/>
    <tableColumn id="19" uniqueName="19" name="F19" queryTableFieldId="19" dataDxfId="1914" dataCellStyle="一般 2"/>
    <tableColumn id="20" uniqueName="20" name="F20" queryTableFieldId="20" dataDxfId="1913" dataCellStyle="一般 2"/>
    <tableColumn id="21" uniqueName="21" name="F21" queryTableFieldId="21" dataDxfId="1912" dataCellStyle="一般 2"/>
    <tableColumn id="22" uniqueName="22" name="2024/6/24 14:52" queryTableFieldId="22" dataDxfId="1911" dataCellStyle="一般 2"/>
    <tableColumn id="23" uniqueName="23" name="F23" queryTableFieldId="23" dataDxfId="1910" dataCellStyle="一般 2"/>
    <tableColumn id="24" uniqueName="24" name="F24" queryTableFieldId="24" dataDxfId="1909" dataCellStyle="一般 2"/>
    <tableColumn id="25" uniqueName="25" name="F25" queryTableFieldId="25" dataDxfId="1908" dataCellStyle="一般 2"/>
    <tableColumn id="26" uniqueName="26" name="F26" queryTableFieldId="26" dataDxfId="1907" dataCellStyle="一般 2"/>
    <tableColumn id="27" uniqueName="27" name="F27" queryTableFieldId="27" dataDxfId="1906" dataCellStyle="一般 2"/>
    <tableColumn id="28" uniqueName="28" name="F28" queryTableFieldId="28" dataDxfId="1905" dataCellStyle="一般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" ref="AG13:BH189" tableType="queryTable" totalsRowShown="0" headerRowDxfId="1807" dataDxfId="1806" headerRowCellStyle="一般 2" dataCellStyle="一般 2">
  <autoFilter ref="AG13:BH189"/>
  <tableColumns count="28">
    <tableColumn id="1" uniqueName="1" name="請直接以10進位，謝謝" queryTableFieldId="1" dataDxfId="1805" dataCellStyle="一般 2"/>
    <tableColumn id="2" uniqueName="2" name="F2" queryTableFieldId="2" dataDxfId="1804" dataCellStyle="一般 2"/>
    <tableColumn id="3" uniqueName="3" name="F3" queryTableFieldId="3" dataDxfId="1803" dataCellStyle="一般 2"/>
    <tableColumn id="4" uniqueName="4" name="F4" queryTableFieldId="4" dataDxfId="1802" dataCellStyle="一般 2"/>
    <tableColumn id="5" uniqueName="5" name="F5" queryTableFieldId="5" dataDxfId="1801" dataCellStyle="一般 2"/>
    <tableColumn id="6" uniqueName="6" name="F6" queryTableFieldId="6" dataDxfId="1800" dataCellStyle="一般 2"/>
    <tableColumn id="7" uniqueName="7" name="F7" queryTableFieldId="7" dataDxfId="1799" dataCellStyle="一般 2"/>
    <tableColumn id="8" uniqueName="8" name="F8" queryTableFieldId="8" dataDxfId="1798" dataCellStyle="一般 2"/>
    <tableColumn id="9" uniqueName="9" name="F9" queryTableFieldId="9" dataDxfId="1797" dataCellStyle="一般 2"/>
    <tableColumn id="10" uniqueName="10" name="F10" queryTableFieldId="10" dataDxfId="1796" dataCellStyle="一般 2"/>
    <tableColumn id="11" uniqueName="11" name="F11" queryTableFieldId="11" dataDxfId="1795" dataCellStyle="一般 2"/>
    <tableColumn id="12" uniqueName="12" name="F12" queryTableFieldId="12" dataDxfId="1794" dataCellStyle="一般 2"/>
    <tableColumn id="13" uniqueName="13" name="F13" queryTableFieldId="13" dataDxfId="1793" dataCellStyle="一般 2"/>
    <tableColumn id="14" uniqueName="14" name="F14" queryTableFieldId="14" dataDxfId="1792" dataCellStyle="一般 2"/>
    <tableColumn id="15" uniqueName="15" name="F15" queryTableFieldId="15" dataDxfId="1791" dataCellStyle="一般 2"/>
    <tableColumn id="16" uniqueName="16" name="F16" queryTableFieldId="16" dataDxfId="1790" dataCellStyle="一般 2"/>
    <tableColumn id="17" uniqueName="17" name="F17" queryTableFieldId="17" dataDxfId="1789" dataCellStyle="一般 2"/>
    <tableColumn id="18" uniqueName="18" name="F18" queryTableFieldId="18" dataDxfId="1788" dataCellStyle="一般 2"/>
    <tableColumn id="19" uniqueName="19" name="F19" queryTableFieldId="19" dataDxfId="1787" dataCellStyle="一般 2"/>
    <tableColumn id="20" uniqueName="20" name="F20" queryTableFieldId="20" dataDxfId="1786" dataCellStyle="一般 2"/>
    <tableColumn id="21" uniqueName="21" name="F21" queryTableFieldId="21" dataDxfId="1785" dataCellStyle="一般 2"/>
    <tableColumn id="22" uniqueName="22" name="2024/6/24 14:52" queryTableFieldId="22" dataDxfId="1784" dataCellStyle="一般 2"/>
    <tableColumn id="23" uniqueName="23" name="F23" queryTableFieldId="23" dataDxfId="1783" dataCellStyle="一般 2"/>
    <tableColumn id="24" uniqueName="24" name="F24" queryTableFieldId="24" dataDxfId="1782" dataCellStyle="一般 2"/>
    <tableColumn id="25" uniqueName="25" name="F25" queryTableFieldId="25" dataDxfId="1781" dataCellStyle="一般 2"/>
    <tableColumn id="26" uniqueName="26" name="F26" queryTableFieldId="26" dataDxfId="1780" dataCellStyle="一般 2"/>
    <tableColumn id="27" uniqueName="27" name="F27" queryTableFieldId="27" dataDxfId="1779" dataCellStyle="一般 2"/>
    <tableColumn id="28" uniqueName="28" name="F28" queryTableFieldId="28" dataDxfId="1778" dataCellStyle="一般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" ref="AG13:BH189" tableType="queryTable" totalsRowShown="0" headerRowDxfId="1680" dataDxfId="1679" headerRowCellStyle="一般 2" dataCellStyle="一般 2">
  <autoFilter ref="AG13:BH189"/>
  <tableColumns count="28">
    <tableColumn id="1" uniqueName="1" name="請直接以10進位，謝謝" queryTableFieldId="1" dataDxfId="1678" dataCellStyle="一般 2"/>
    <tableColumn id="2" uniqueName="2" name="F2" queryTableFieldId="2" dataDxfId="1677" dataCellStyle="一般 2"/>
    <tableColumn id="3" uniqueName="3" name="F3" queryTableFieldId="3" dataDxfId="1676" dataCellStyle="一般 2"/>
    <tableColumn id="4" uniqueName="4" name="F4" queryTableFieldId="4" dataDxfId="1675" dataCellStyle="一般 2"/>
    <tableColumn id="5" uniqueName="5" name="F5" queryTableFieldId="5" dataDxfId="1674" dataCellStyle="一般 2"/>
    <tableColumn id="6" uniqueName="6" name="F6" queryTableFieldId="6" dataDxfId="1673" dataCellStyle="一般 2"/>
    <tableColumn id="7" uniqueName="7" name="F7" queryTableFieldId="7" dataDxfId="1672" dataCellStyle="一般 2"/>
    <tableColumn id="8" uniqueName="8" name="F8" queryTableFieldId="8" dataDxfId="1671" dataCellStyle="一般 2"/>
    <tableColumn id="9" uniqueName="9" name="F9" queryTableFieldId="9" dataDxfId="1670" dataCellStyle="一般 2"/>
    <tableColumn id="10" uniqueName="10" name="F10" queryTableFieldId="10" dataDxfId="1669" dataCellStyle="一般 2"/>
    <tableColumn id="11" uniqueName="11" name="F11" queryTableFieldId="11" dataDxfId="1668" dataCellStyle="一般 2"/>
    <tableColumn id="12" uniqueName="12" name="F12" queryTableFieldId="12" dataDxfId="1667" dataCellStyle="一般 2"/>
    <tableColumn id="13" uniqueName="13" name="F13" queryTableFieldId="13" dataDxfId="1666" dataCellStyle="一般 2"/>
    <tableColumn id="14" uniqueName="14" name="F14" queryTableFieldId="14" dataDxfId="1665" dataCellStyle="一般 2"/>
    <tableColumn id="15" uniqueName="15" name="F15" queryTableFieldId="15" dataDxfId="1664" dataCellStyle="一般 2"/>
    <tableColumn id="16" uniqueName="16" name="F16" queryTableFieldId="16" dataDxfId="1663" dataCellStyle="一般 2"/>
    <tableColumn id="17" uniqueName="17" name="F17" queryTableFieldId="17" dataDxfId="1662" dataCellStyle="一般 2"/>
    <tableColumn id="18" uniqueName="18" name="F18" queryTableFieldId="18" dataDxfId="1661" dataCellStyle="一般 2"/>
    <tableColumn id="19" uniqueName="19" name="F19" queryTableFieldId="19" dataDxfId="1660" dataCellStyle="一般 2"/>
    <tableColumn id="20" uniqueName="20" name="F20" queryTableFieldId="20" dataDxfId="1659" dataCellStyle="一般 2"/>
    <tableColumn id="21" uniqueName="21" name="F21" queryTableFieldId="21" dataDxfId="1658" dataCellStyle="一般 2"/>
    <tableColumn id="22" uniqueName="22" name="2024/6/24 14:52" queryTableFieldId="22" dataDxfId="1657" dataCellStyle="一般 2"/>
    <tableColumn id="23" uniqueName="23" name="F23" queryTableFieldId="23" dataDxfId="1656" dataCellStyle="一般 2"/>
    <tableColumn id="24" uniqueName="24" name="F24" queryTableFieldId="24" dataDxfId="1655" dataCellStyle="一般 2"/>
    <tableColumn id="25" uniqueName="25" name="F25" queryTableFieldId="25" dataDxfId="1654" dataCellStyle="一般 2"/>
    <tableColumn id="26" uniqueName="26" name="F26" queryTableFieldId="26" dataDxfId="1653" dataCellStyle="一般 2"/>
    <tableColumn id="27" uniqueName="27" name="F27" queryTableFieldId="27" dataDxfId="1652" dataCellStyle="一般 2"/>
    <tableColumn id="28" uniqueName="28" name="F28" queryTableFieldId="28" dataDxfId="1651" dataCellStyle="一般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" ref="AG13:BH189" tableType="queryTable" totalsRowShown="0" headerRowDxfId="1553" dataDxfId="1552" headerRowCellStyle="一般 2" dataCellStyle="一般 2">
  <autoFilter ref="AG13:BH189"/>
  <tableColumns count="28">
    <tableColumn id="1" uniqueName="1" name="請直接以10進位，謝謝" queryTableFieldId="1" dataDxfId="1551" dataCellStyle="一般 2"/>
    <tableColumn id="2" uniqueName="2" name="F2" queryTableFieldId="2" dataDxfId="1550" dataCellStyle="一般 2"/>
    <tableColumn id="3" uniqueName="3" name="F3" queryTableFieldId="3" dataDxfId="1549" dataCellStyle="一般 2"/>
    <tableColumn id="4" uniqueName="4" name="F4" queryTableFieldId="4" dataDxfId="1548" dataCellStyle="一般 2"/>
    <tableColumn id="5" uniqueName="5" name="F5" queryTableFieldId="5" dataDxfId="1547" dataCellStyle="一般 2"/>
    <tableColumn id="6" uniqueName="6" name="F6" queryTableFieldId="6" dataDxfId="1546" dataCellStyle="一般 2"/>
    <tableColumn id="7" uniqueName="7" name="F7" queryTableFieldId="7" dataDxfId="1545" dataCellStyle="一般 2"/>
    <tableColumn id="8" uniqueName="8" name="F8" queryTableFieldId="8" dataDxfId="1544" dataCellStyle="一般 2"/>
    <tableColumn id="9" uniqueName="9" name="F9" queryTableFieldId="9" dataDxfId="1543" dataCellStyle="一般 2"/>
    <tableColumn id="10" uniqueName="10" name="F10" queryTableFieldId="10" dataDxfId="1542" dataCellStyle="一般 2"/>
    <tableColumn id="11" uniqueName="11" name="F11" queryTableFieldId="11" dataDxfId="1541" dataCellStyle="一般 2"/>
    <tableColumn id="12" uniqueName="12" name="F12" queryTableFieldId="12" dataDxfId="1540" dataCellStyle="一般 2"/>
    <tableColumn id="13" uniqueName="13" name="F13" queryTableFieldId="13" dataDxfId="1539" dataCellStyle="一般 2"/>
    <tableColumn id="14" uniqueName="14" name="F14" queryTableFieldId="14" dataDxfId="1538" dataCellStyle="一般 2"/>
    <tableColumn id="15" uniqueName="15" name="F15" queryTableFieldId="15" dataDxfId="1537" dataCellStyle="一般 2"/>
    <tableColumn id="16" uniqueName="16" name="F16" queryTableFieldId="16" dataDxfId="1536" dataCellStyle="一般 2"/>
    <tableColumn id="17" uniqueName="17" name="F17" queryTableFieldId="17" dataDxfId="1535" dataCellStyle="一般 2"/>
    <tableColumn id="18" uniqueName="18" name="F18" queryTableFieldId="18" dataDxfId="1534" dataCellStyle="一般 2"/>
    <tableColumn id="19" uniqueName="19" name="F19" queryTableFieldId="19" dataDxfId="1533" dataCellStyle="一般 2"/>
    <tableColumn id="20" uniqueName="20" name="F20" queryTableFieldId="20" dataDxfId="1532" dataCellStyle="一般 2"/>
    <tableColumn id="21" uniqueName="21" name="F21" queryTableFieldId="21" dataDxfId="1531" dataCellStyle="一般 2"/>
    <tableColumn id="22" uniqueName="22" name="2024/6/24 14:52" queryTableFieldId="22" dataDxfId="1530" dataCellStyle="一般 2"/>
    <tableColumn id="23" uniqueName="23" name="F23" queryTableFieldId="23" dataDxfId="1529" dataCellStyle="一般 2"/>
    <tableColumn id="24" uniqueName="24" name="F24" queryTableFieldId="24" dataDxfId="1528" dataCellStyle="一般 2"/>
    <tableColumn id="25" uniqueName="25" name="F25" queryTableFieldId="25" dataDxfId="1527" dataCellStyle="一般 2"/>
    <tableColumn id="26" uniqueName="26" name="F26" queryTableFieldId="26" dataDxfId="1526" dataCellStyle="一般 2"/>
    <tableColumn id="27" uniqueName="27" name="F27" queryTableFieldId="27" dataDxfId="1525" dataCellStyle="一般 2"/>
    <tableColumn id="28" uniqueName="28" name="F28" queryTableFieldId="28" dataDxfId="1524" dataCellStyle="一般 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" ref="AG13:BH189" tableType="queryTable" totalsRowShown="0" headerRowDxfId="1426" dataDxfId="1425" headerRowCellStyle="一般 2" dataCellStyle="一般 2">
  <autoFilter ref="AG13:BH189"/>
  <tableColumns count="28">
    <tableColumn id="1" uniqueName="1" name="請直接以10進位，謝謝" queryTableFieldId="1" dataDxfId="1424" dataCellStyle="一般 2"/>
    <tableColumn id="2" uniqueName="2" name="F2" queryTableFieldId="2" dataDxfId="1423" dataCellStyle="一般 2"/>
    <tableColumn id="3" uniqueName="3" name="F3" queryTableFieldId="3" dataDxfId="1422" dataCellStyle="一般 2"/>
    <tableColumn id="4" uniqueName="4" name="F4" queryTableFieldId="4" dataDxfId="1421" dataCellStyle="一般 2"/>
    <tableColumn id="5" uniqueName="5" name="F5" queryTableFieldId="5" dataDxfId="1420" dataCellStyle="一般 2"/>
    <tableColumn id="6" uniqueName="6" name="F6" queryTableFieldId="6" dataDxfId="1419" dataCellStyle="一般 2"/>
    <tableColumn id="7" uniqueName="7" name="F7" queryTableFieldId="7" dataDxfId="1418" dataCellStyle="一般 2"/>
    <tableColumn id="8" uniqueName="8" name="F8" queryTableFieldId="8" dataDxfId="1417" dataCellStyle="一般 2"/>
    <tableColumn id="9" uniqueName="9" name="F9" queryTableFieldId="9" dataDxfId="1416" dataCellStyle="一般 2"/>
    <tableColumn id="10" uniqueName="10" name="F10" queryTableFieldId="10" dataDxfId="1415" dataCellStyle="一般 2"/>
    <tableColumn id="11" uniqueName="11" name="F11" queryTableFieldId="11" dataDxfId="1414" dataCellStyle="一般 2"/>
    <tableColumn id="12" uniqueName="12" name="F12" queryTableFieldId="12" dataDxfId="1413" dataCellStyle="一般 2"/>
    <tableColumn id="13" uniqueName="13" name="F13" queryTableFieldId="13" dataDxfId="1412" dataCellStyle="一般 2"/>
    <tableColumn id="14" uniqueName="14" name="F14" queryTableFieldId="14" dataDxfId="1411" dataCellStyle="一般 2"/>
    <tableColumn id="15" uniqueName="15" name="F15" queryTableFieldId="15" dataDxfId="1410" dataCellStyle="一般 2"/>
    <tableColumn id="16" uniqueName="16" name="F16" queryTableFieldId="16" dataDxfId="1409" dataCellStyle="一般 2"/>
    <tableColumn id="17" uniqueName="17" name="F17" queryTableFieldId="17" dataDxfId="1408" dataCellStyle="一般 2"/>
    <tableColumn id="18" uniqueName="18" name="F18" queryTableFieldId="18" dataDxfId="1407" dataCellStyle="一般 2"/>
    <tableColumn id="19" uniqueName="19" name="F19" queryTableFieldId="19" dataDxfId="1406" dataCellStyle="一般 2"/>
    <tableColumn id="20" uniqueName="20" name="F20" queryTableFieldId="20" dataDxfId="1405" dataCellStyle="一般 2"/>
    <tableColumn id="21" uniqueName="21" name="F21" queryTableFieldId="21" dataDxfId="1404" dataCellStyle="一般 2"/>
    <tableColumn id="22" uniqueName="22" name="2024/6/24 14:52" queryTableFieldId="22" dataDxfId="1403" dataCellStyle="一般 2"/>
    <tableColumn id="23" uniqueName="23" name="F23" queryTableFieldId="23" dataDxfId="1402" dataCellStyle="一般 2"/>
    <tableColumn id="24" uniqueName="24" name="F24" queryTableFieldId="24" dataDxfId="1401" dataCellStyle="一般 2"/>
    <tableColumn id="25" uniqueName="25" name="F25" queryTableFieldId="25" dataDxfId="1400" dataCellStyle="一般 2"/>
    <tableColumn id="26" uniqueName="26" name="F26" queryTableFieldId="26" dataDxfId="1399" dataCellStyle="一般 2"/>
    <tableColumn id="27" uniqueName="27" name="F27" queryTableFieldId="27" dataDxfId="1398" dataCellStyle="一般 2"/>
    <tableColumn id="28" uniqueName="28" name="F28" queryTableFieldId="28" dataDxfId="1397" dataCellStyle="一般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" ref="AG13:BH189" tableType="queryTable" totalsRowShown="0" headerRowDxfId="1299" dataDxfId="1298" headerRowCellStyle="一般 2" dataCellStyle="一般 2">
  <autoFilter ref="AG13:BH189"/>
  <tableColumns count="28">
    <tableColumn id="1" uniqueName="1" name="請直接以10進位，謝謝" queryTableFieldId="1" dataDxfId="1297" dataCellStyle="一般 2"/>
    <tableColumn id="2" uniqueName="2" name="F2" queryTableFieldId="2" dataDxfId="1296" dataCellStyle="一般 2"/>
    <tableColumn id="3" uniqueName="3" name="F3" queryTableFieldId="3" dataDxfId="1295" dataCellStyle="一般 2"/>
    <tableColumn id="4" uniqueName="4" name="F4" queryTableFieldId="4" dataDxfId="1294" dataCellStyle="一般 2"/>
    <tableColumn id="5" uniqueName="5" name="F5" queryTableFieldId="5" dataDxfId="1293" dataCellStyle="一般 2"/>
    <tableColumn id="6" uniqueName="6" name="F6" queryTableFieldId="6" dataDxfId="1292" dataCellStyle="一般 2"/>
    <tableColumn id="7" uniqueName="7" name="F7" queryTableFieldId="7" dataDxfId="1291" dataCellStyle="一般 2"/>
    <tableColumn id="8" uniqueName="8" name="F8" queryTableFieldId="8" dataDxfId="1290" dataCellStyle="一般 2"/>
    <tableColumn id="9" uniqueName="9" name="F9" queryTableFieldId="9" dataDxfId="1289" dataCellStyle="一般 2"/>
    <tableColumn id="10" uniqueName="10" name="F10" queryTableFieldId="10" dataDxfId="1288" dataCellStyle="一般 2"/>
    <tableColumn id="11" uniqueName="11" name="F11" queryTableFieldId="11" dataDxfId="1287" dataCellStyle="一般 2"/>
    <tableColumn id="12" uniqueName="12" name="F12" queryTableFieldId="12" dataDxfId="1286" dataCellStyle="一般 2"/>
    <tableColumn id="13" uniqueName="13" name="F13" queryTableFieldId="13" dataDxfId="1285" dataCellStyle="一般 2"/>
    <tableColumn id="14" uniqueName="14" name="F14" queryTableFieldId="14" dataDxfId="1284" dataCellStyle="一般 2"/>
    <tableColumn id="15" uniqueName="15" name="F15" queryTableFieldId="15" dataDxfId="1283" dataCellStyle="一般 2"/>
    <tableColumn id="16" uniqueName="16" name="F16" queryTableFieldId="16" dataDxfId="1282" dataCellStyle="一般 2"/>
    <tableColumn id="17" uniqueName="17" name="F17" queryTableFieldId="17" dataDxfId="1281" dataCellStyle="一般 2"/>
    <tableColumn id="18" uniqueName="18" name="F18" queryTableFieldId="18" dataDxfId="1280" dataCellStyle="一般 2"/>
    <tableColumn id="19" uniqueName="19" name="F19" queryTableFieldId="19" dataDxfId="1279" dataCellStyle="一般 2"/>
    <tableColumn id="20" uniqueName="20" name="F20" queryTableFieldId="20" dataDxfId="1278" dataCellStyle="一般 2"/>
    <tableColumn id="21" uniqueName="21" name="F21" queryTableFieldId="21" dataDxfId="1277" dataCellStyle="一般 2"/>
    <tableColumn id="22" uniqueName="22" name="2024/6/24 14:52" queryTableFieldId="22" dataDxfId="1276" dataCellStyle="一般 2"/>
    <tableColumn id="23" uniqueName="23" name="F23" queryTableFieldId="23" dataDxfId="1275" dataCellStyle="一般 2"/>
    <tableColumn id="24" uniqueName="24" name="F24" queryTableFieldId="24" dataDxfId="1274" dataCellStyle="一般 2"/>
    <tableColumn id="25" uniqueName="25" name="F25" queryTableFieldId="25" dataDxfId="1273" dataCellStyle="一般 2"/>
    <tableColumn id="26" uniqueName="26" name="F26" queryTableFieldId="26" dataDxfId="1272" dataCellStyle="一般 2"/>
    <tableColumn id="27" uniqueName="27" name="F27" queryTableFieldId="27" dataDxfId="1271" dataCellStyle="一般 2"/>
    <tableColumn id="28" uniqueName="28" name="F28" queryTableFieldId="28" dataDxfId="1270" dataCellStyle="一般 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3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" ref="AG13:BH189" tableType="queryTable" totalsRowShown="0" headerRowDxfId="1172" dataDxfId="1171" headerRowCellStyle="一般 2" dataCellStyle="一般 2">
  <autoFilter ref="AG13:BH189"/>
  <tableColumns count="28">
    <tableColumn id="1" uniqueName="1" name="請直接以10進位，謝謝" queryTableFieldId="1" dataDxfId="1170" dataCellStyle="一般 2"/>
    <tableColumn id="2" uniqueName="2" name="F2" queryTableFieldId="2" dataDxfId="1169" dataCellStyle="一般 2"/>
    <tableColumn id="3" uniqueName="3" name="F3" queryTableFieldId="3" dataDxfId="1168" dataCellStyle="一般 2"/>
    <tableColumn id="4" uniqueName="4" name="F4" queryTableFieldId="4" dataDxfId="1167" dataCellStyle="一般 2"/>
    <tableColumn id="5" uniqueName="5" name="F5" queryTableFieldId="5" dataDxfId="1166" dataCellStyle="一般 2"/>
    <tableColumn id="6" uniqueName="6" name="F6" queryTableFieldId="6" dataDxfId="1165" dataCellStyle="一般 2"/>
    <tableColumn id="7" uniqueName="7" name="F7" queryTableFieldId="7" dataDxfId="1164" dataCellStyle="一般 2"/>
    <tableColumn id="8" uniqueName="8" name="F8" queryTableFieldId="8" dataDxfId="1163" dataCellStyle="一般 2"/>
    <tableColumn id="9" uniqueName="9" name="F9" queryTableFieldId="9" dataDxfId="1162" dataCellStyle="一般 2"/>
    <tableColumn id="10" uniqueName="10" name="F10" queryTableFieldId="10" dataDxfId="1161" dataCellStyle="一般 2"/>
    <tableColumn id="11" uniqueName="11" name="F11" queryTableFieldId="11" dataDxfId="1160" dataCellStyle="一般 2"/>
    <tableColumn id="12" uniqueName="12" name="F12" queryTableFieldId="12" dataDxfId="1159" dataCellStyle="一般 2"/>
    <tableColumn id="13" uniqueName="13" name="F13" queryTableFieldId="13" dataDxfId="1158" dataCellStyle="一般 2"/>
    <tableColumn id="14" uniqueName="14" name="F14" queryTableFieldId="14" dataDxfId="1157" dataCellStyle="一般 2"/>
    <tableColumn id="15" uniqueName="15" name="F15" queryTableFieldId="15" dataDxfId="1156" dataCellStyle="一般 2"/>
    <tableColumn id="16" uniqueName="16" name="F16" queryTableFieldId="16" dataDxfId="1155" dataCellStyle="一般 2"/>
    <tableColumn id="17" uniqueName="17" name="F17" queryTableFieldId="17" dataDxfId="1154" dataCellStyle="一般 2"/>
    <tableColumn id="18" uniqueName="18" name="F18" queryTableFieldId="18" dataDxfId="1153" dataCellStyle="一般 2"/>
    <tableColumn id="19" uniqueName="19" name="F19" queryTableFieldId="19" dataDxfId="1152" dataCellStyle="一般 2"/>
    <tableColumn id="20" uniqueName="20" name="F20" queryTableFieldId="20" dataDxfId="1151" dataCellStyle="一般 2"/>
    <tableColumn id="21" uniqueName="21" name="F21" queryTableFieldId="21" dataDxfId="1150" dataCellStyle="一般 2"/>
    <tableColumn id="22" uniqueName="22" name="2024/6/24 14:52" queryTableFieldId="22" dataDxfId="1149" dataCellStyle="一般 2"/>
    <tableColumn id="23" uniqueName="23" name="F23" queryTableFieldId="23" dataDxfId="1148" dataCellStyle="一般 2"/>
    <tableColumn id="24" uniqueName="24" name="F24" queryTableFieldId="24" dataDxfId="1147" dataCellStyle="一般 2"/>
    <tableColumn id="25" uniqueName="25" name="F25" queryTableFieldId="25" dataDxfId="1146" dataCellStyle="一般 2"/>
    <tableColumn id="26" uniqueName="26" name="F26" queryTableFieldId="26" dataDxfId="1145" dataCellStyle="一般 2"/>
    <tableColumn id="27" uniqueName="27" name="F27" queryTableFieldId="27" dataDxfId="1144" dataCellStyle="一般 2"/>
    <tableColumn id="28" uniqueName="28" name="F28" queryTableFieldId="28" dataDxfId="1143" dataCellStyle="一般 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4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" ref="AG13:BH189" tableType="queryTable" totalsRowShown="0" headerRowDxfId="1045" dataDxfId="1044" headerRowCellStyle="一般 2" dataCellStyle="一般 2">
  <autoFilter ref="AG13:BH189"/>
  <tableColumns count="28">
    <tableColumn id="1" uniqueName="1" name="請直接以10進位，謝謝" queryTableFieldId="1" dataDxfId="1043" dataCellStyle="一般 2"/>
    <tableColumn id="2" uniqueName="2" name="F2" queryTableFieldId="2" dataDxfId="1042" dataCellStyle="一般 2"/>
    <tableColumn id="3" uniqueName="3" name="F3" queryTableFieldId="3" dataDxfId="1041" dataCellStyle="一般 2"/>
    <tableColumn id="4" uniqueName="4" name="F4" queryTableFieldId="4" dataDxfId="1040" dataCellStyle="一般 2"/>
    <tableColumn id="5" uniqueName="5" name="F5" queryTableFieldId="5" dataDxfId="1039" dataCellStyle="一般 2"/>
    <tableColumn id="6" uniqueName="6" name="F6" queryTableFieldId="6" dataDxfId="1038" dataCellStyle="一般 2"/>
    <tableColumn id="7" uniqueName="7" name="F7" queryTableFieldId="7" dataDxfId="1037" dataCellStyle="一般 2"/>
    <tableColumn id="8" uniqueName="8" name="F8" queryTableFieldId="8" dataDxfId="1036" dataCellStyle="一般 2"/>
    <tableColumn id="9" uniqueName="9" name="F9" queryTableFieldId="9" dataDxfId="1035" dataCellStyle="一般 2"/>
    <tableColumn id="10" uniqueName="10" name="F10" queryTableFieldId="10" dataDxfId="1034" dataCellStyle="一般 2"/>
    <tableColumn id="11" uniqueName="11" name="F11" queryTableFieldId="11" dataDxfId="1033" dataCellStyle="一般 2"/>
    <tableColumn id="12" uniqueName="12" name="F12" queryTableFieldId="12" dataDxfId="1032" dataCellStyle="一般 2"/>
    <tableColumn id="13" uniqueName="13" name="F13" queryTableFieldId="13" dataDxfId="1031" dataCellStyle="一般 2"/>
    <tableColumn id="14" uniqueName="14" name="F14" queryTableFieldId="14" dataDxfId="1030" dataCellStyle="一般 2"/>
    <tableColumn id="15" uniqueName="15" name="F15" queryTableFieldId="15" dataDxfId="1029" dataCellStyle="一般 2"/>
    <tableColumn id="16" uniqueName="16" name="F16" queryTableFieldId="16" dataDxfId="1028" dataCellStyle="一般 2"/>
    <tableColumn id="17" uniqueName="17" name="F17" queryTableFieldId="17" dataDxfId="1027" dataCellStyle="一般 2"/>
    <tableColumn id="18" uniqueName="18" name="F18" queryTableFieldId="18" dataDxfId="1026" dataCellStyle="一般 2"/>
    <tableColumn id="19" uniqueName="19" name="F19" queryTableFieldId="19" dataDxfId="1025" dataCellStyle="一般 2"/>
    <tableColumn id="20" uniqueName="20" name="F20" queryTableFieldId="20" dataDxfId="1024" dataCellStyle="一般 2"/>
    <tableColumn id="21" uniqueName="21" name="F21" queryTableFieldId="21" dataDxfId="1023" dataCellStyle="一般 2"/>
    <tableColumn id="22" uniqueName="22" name="2024/6/24 14:52" queryTableFieldId="22" dataDxfId="1022" dataCellStyle="一般 2"/>
    <tableColumn id="23" uniqueName="23" name="F23" queryTableFieldId="23" dataDxfId="1021" dataCellStyle="一般 2"/>
    <tableColumn id="24" uniqueName="24" name="F24" queryTableFieldId="24" dataDxfId="1020" dataCellStyle="一般 2"/>
    <tableColumn id="25" uniqueName="25" name="F25" queryTableFieldId="25" dataDxfId="1019" dataCellStyle="一般 2"/>
    <tableColumn id="26" uniqueName="26" name="F26" queryTableFieldId="26" dataDxfId="1018" dataCellStyle="一般 2"/>
    <tableColumn id="27" uniqueName="27" name="F27" queryTableFieldId="27" dataDxfId="1017" dataCellStyle="一般 2"/>
    <tableColumn id="28" uniqueName="28" name="F28" queryTableFieldId="28" dataDxfId="1016" dataCellStyle="一般 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5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" ref="AG13:BH189" tableType="queryTable" totalsRowShown="0" headerRowDxfId="918" dataDxfId="917" headerRowCellStyle="一般 2" dataCellStyle="一般 2">
  <autoFilter ref="AG13:BH189"/>
  <tableColumns count="28">
    <tableColumn id="1" uniqueName="1" name="請直接以10進位，謝謝" queryTableFieldId="1" dataDxfId="916" dataCellStyle="一般 2"/>
    <tableColumn id="2" uniqueName="2" name="F2" queryTableFieldId="2" dataDxfId="915" dataCellStyle="一般 2"/>
    <tableColumn id="3" uniqueName="3" name="F3" queryTableFieldId="3" dataDxfId="914" dataCellStyle="一般 2"/>
    <tableColumn id="4" uniqueName="4" name="F4" queryTableFieldId="4" dataDxfId="913" dataCellStyle="一般 2"/>
    <tableColumn id="5" uniqueName="5" name="F5" queryTableFieldId="5" dataDxfId="912" dataCellStyle="一般 2"/>
    <tableColumn id="6" uniqueName="6" name="F6" queryTableFieldId="6" dataDxfId="911" dataCellStyle="一般 2"/>
    <tableColumn id="7" uniqueName="7" name="F7" queryTableFieldId="7" dataDxfId="910" dataCellStyle="一般 2"/>
    <tableColumn id="8" uniqueName="8" name="F8" queryTableFieldId="8" dataDxfId="909" dataCellStyle="一般 2"/>
    <tableColumn id="9" uniqueName="9" name="F9" queryTableFieldId="9" dataDxfId="908" dataCellStyle="一般 2"/>
    <tableColumn id="10" uniqueName="10" name="F10" queryTableFieldId="10" dataDxfId="907" dataCellStyle="一般 2"/>
    <tableColumn id="11" uniqueName="11" name="F11" queryTableFieldId="11" dataDxfId="906" dataCellStyle="一般 2"/>
    <tableColumn id="12" uniqueName="12" name="F12" queryTableFieldId="12" dataDxfId="905" dataCellStyle="一般 2"/>
    <tableColumn id="13" uniqueName="13" name="F13" queryTableFieldId="13" dataDxfId="904" dataCellStyle="一般 2"/>
    <tableColumn id="14" uniqueName="14" name="F14" queryTableFieldId="14" dataDxfId="903" dataCellStyle="一般 2"/>
    <tableColumn id="15" uniqueName="15" name="F15" queryTableFieldId="15" dataDxfId="902" dataCellStyle="一般 2"/>
    <tableColumn id="16" uniqueName="16" name="F16" queryTableFieldId="16" dataDxfId="901" dataCellStyle="一般 2"/>
    <tableColumn id="17" uniqueName="17" name="F17" queryTableFieldId="17" dataDxfId="900" dataCellStyle="一般 2"/>
    <tableColumn id="18" uniqueName="18" name="F18" queryTableFieldId="18" dataDxfId="899" dataCellStyle="一般 2"/>
    <tableColumn id="19" uniqueName="19" name="F19" queryTableFieldId="19" dataDxfId="898" dataCellStyle="一般 2"/>
    <tableColumn id="20" uniqueName="20" name="F20" queryTableFieldId="20" dataDxfId="897" dataCellStyle="一般 2"/>
    <tableColumn id="21" uniqueName="21" name="F21" queryTableFieldId="21" dataDxfId="896" dataCellStyle="一般 2"/>
    <tableColumn id="22" uniqueName="22" name="2024/6/24 14:52" queryTableFieldId="22" dataDxfId="895" dataCellStyle="一般 2"/>
    <tableColumn id="23" uniqueName="23" name="F23" queryTableFieldId="23" dataDxfId="894" dataCellStyle="一般 2"/>
    <tableColumn id="24" uniqueName="24" name="F24" queryTableFieldId="24" dataDxfId="893" dataCellStyle="一般 2"/>
    <tableColumn id="25" uniqueName="25" name="F25" queryTableFieldId="25" dataDxfId="892" dataCellStyle="一般 2"/>
    <tableColumn id="26" uniqueName="26" name="F26" queryTableFieldId="26" dataDxfId="891" dataCellStyle="一般 2"/>
    <tableColumn id="27" uniqueName="27" name="F27" queryTableFieldId="27" dataDxfId="890" dataCellStyle="一般 2"/>
    <tableColumn id="28" uniqueName="28" name="F28" queryTableFieldId="28" dataDxfId="889" dataCellStyle="一般 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6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" ref="AG13:BH189" tableType="queryTable" totalsRowShown="0" headerRowDxfId="791" dataDxfId="790" headerRowCellStyle="一般 2" dataCellStyle="一般 2">
  <autoFilter ref="AG13:BH189"/>
  <tableColumns count="28">
    <tableColumn id="1" uniqueName="1" name="請直接以10進位，謝謝" queryTableFieldId="1" dataDxfId="789" dataCellStyle="一般 2"/>
    <tableColumn id="2" uniqueName="2" name="F2" queryTableFieldId="2" dataDxfId="788" dataCellStyle="一般 2"/>
    <tableColumn id="3" uniqueName="3" name="F3" queryTableFieldId="3" dataDxfId="787" dataCellStyle="一般 2"/>
    <tableColumn id="4" uniqueName="4" name="F4" queryTableFieldId="4" dataDxfId="786" dataCellStyle="一般 2"/>
    <tableColumn id="5" uniqueName="5" name="F5" queryTableFieldId="5" dataDxfId="785" dataCellStyle="一般 2"/>
    <tableColumn id="6" uniqueName="6" name="F6" queryTableFieldId="6" dataDxfId="784" dataCellStyle="一般 2"/>
    <tableColumn id="7" uniqueName="7" name="F7" queryTableFieldId="7" dataDxfId="783" dataCellStyle="一般 2"/>
    <tableColumn id="8" uniqueName="8" name="F8" queryTableFieldId="8" dataDxfId="782" dataCellStyle="一般 2"/>
    <tableColumn id="9" uniqueName="9" name="F9" queryTableFieldId="9" dataDxfId="781" dataCellStyle="一般 2"/>
    <tableColumn id="10" uniqueName="10" name="F10" queryTableFieldId="10" dataDxfId="780" dataCellStyle="一般 2"/>
    <tableColumn id="11" uniqueName="11" name="F11" queryTableFieldId="11" dataDxfId="779" dataCellStyle="一般 2"/>
    <tableColumn id="12" uniqueName="12" name="F12" queryTableFieldId="12" dataDxfId="778" dataCellStyle="一般 2"/>
    <tableColumn id="13" uniqueName="13" name="F13" queryTableFieldId="13" dataDxfId="777" dataCellStyle="一般 2"/>
    <tableColumn id="14" uniqueName="14" name="F14" queryTableFieldId="14" dataDxfId="776" dataCellStyle="一般 2"/>
    <tableColumn id="15" uniqueName="15" name="F15" queryTableFieldId="15" dataDxfId="775" dataCellStyle="一般 2"/>
    <tableColumn id="16" uniqueName="16" name="F16" queryTableFieldId="16" dataDxfId="774" dataCellStyle="一般 2"/>
    <tableColumn id="17" uniqueName="17" name="F17" queryTableFieldId="17" dataDxfId="773" dataCellStyle="一般 2"/>
    <tableColumn id="18" uniqueName="18" name="F18" queryTableFieldId="18" dataDxfId="772" dataCellStyle="一般 2"/>
    <tableColumn id="19" uniqueName="19" name="F19" queryTableFieldId="19" dataDxfId="771" dataCellStyle="一般 2"/>
    <tableColumn id="20" uniqueName="20" name="F20" queryTableFieldId="20" dataDxfId="770" dataCellStyle="一般 2"/>
    <tableColumn id="21" uniqueName="21" name="F21" queryTableFieldId="21" dataDxfId="769" dataCellStyle="一般 2"/>
    <tableColumn id="22" uniqueName="22" name="2024/6/24 14:52" queryTableFieldId="22" dataDxfId="768" dataCellStyle="一般 2"/>
    <tableColumn id="23" uniqueName="23" name="F23" queryTableFieldId="23" dataDxfId="767" dataCellStyle="一般 2"/>
    <tableColumn id="24" uniqueName="24" name="F24" queryTableFieldId="24" dataDxfId="766" dataCellStyle="一般 2"/>
    <tableColumn id="25" uniqueName="25" name="F25" queryTableFieldId="25" dataDxfId="765" dataCellStyle="一般 2"/>
    <tableColumn id="26" uniqueName="26" name="F26" queryTableFieldId="26" dataDxfId="764" dataCellStyle="一般 2"/>
    <tableColumn id="27" uniqueName="27" name="F27" queryTableFieldId="27" dataDxfId="763" dataCellStyle="一般 2"/>
    <tableColumn id="28" uniqueName="28" name="F28" queryTableFieldId="28" dataDxfId="762" dataCellStyle="一般 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7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" ref="AG13:BH189" tableType="queryTable" totalsRowShown="0" headerRowDxfId="664" dataDxfId="663" headerRowCellStyle="一般 2" dataCellStyle="一般 2">
  <autoFilter ref="AG13:BH189"/>
  <tableColumns count="28">
    <tableColumn id="1" uniqueName="1" name="請直接以10進位，謝謝" queryTableFieldId="1" dataDxfId="662" dataCellStyle="一般 2"/>
    <tableColumn id="2" uniqueName="2" name="F2" queryTableFieldId="2" dataDxfId="661" dataCellStyle="一般 2"/>
    <tableColumn id="3" uniqueName="3" name="F3" queryTableFieldId="3" dataDxfId="660" dataCellStyle="一般 2"/>
    <tableColumn id="4" uniqueName="4" name="F4" queryTableFieldId="4" dataDxfId="659" dataCellStyle="一般 2"/>
    <tableColumn id="5" uniqueName="5" name="F5" queryTableFieldId="5" dataDxfId="658" dataCellStyle="一般 2"/>
    <tableColumn id="6" uniqueName="6" name="F6" queryTableFieldId="6" dataDxfId="657" dataCellStyle="一般 2"/>
    <tableColumn id="7" uniqueName="7" name="F7" queryTableFieldId="7" dataDxfId="656" dataCellStyle="一般 2"/>
    <tableColumn id="8" uniqueName="8" name="F8" queryTableFieldId="8" dataDxfId="655" dataCellStyle="一般 2"/>
    <tableColumn id="9" uniqueName="9" name="F9" queryTableFieldId="9" dataDxfId="654" dataCellStyle="一般 2"/>
    <tableColumn id="10" uniqueName="10" name="F10" queryTableFieldId="10" dataDxfId="653" dataCellStyle="一般 2"/>
    <tableColumn id="11" uniqueName="11" name="F11" queryTableFieldId="11" dataDxfId="652" dataCellStyle="一般 2"/>
    <tableColumn id="12" uniqueName="12" name="F12" queryTableFieldId="12" dataDxfId="651" dataCellStyle="一般 2"/>
    <tableColumn id="13" uniqueName="13" name="F13" queryTableFieldId="13" dataDxfId="650" dataCellStyle="一般 2"/>
    <tableColumn id="14" uniqueName="14" name="F14" queryTableFieldId="14" dataDxfId="649" dataCellStyle="一般 2"/>
    <tableColumn id="15" uniqueName="15" name="F15" queryTableFieldId="15" dataDxfId="648" dataCellStyle="一般 2"/>
    <tableColumn id="16" uniqueName="16" name="F16" queryTableFieldId="16" dataDxfId="647" dataCellStyle="一般 2"/>
    <tableColumn id="17" uniqueName="17" name="F17" queryTableFieldId="17" dataDxfId="646" dataCellStyle="一般 2"/>
    <tableColumn id="18" uniqueName="18" name="F18" queryTableFieldId="18" dataDxfId="645" dataCellStyle="一般 2"/>
    <tableColumn id="19" uniqueName="19" name="F19" queryTableFieldId="19" dataDxfId="644" dataCellStyle="一般 2"/>
    <tableColumn id="20" uniqueName="20" name="F20" queryTableFieldId="20" dataDxfId="643" dataCellStyle="一般 2"/>
    <tableColumn id="21" uniqueName="21" name="F21" queryTableFieldId="21" dataDxfId="642" dataCellStyle="一般 2"/>
    <tableColumn id="22" uniqueName="22" name="2024/6/24 14:52" queryTableFieldId="22" dataDxfId="641" dataCellStyle="一般 2"/>
    <tableColumn id="23" uniqueName="23" name="F23" queryTableFieldId="23" dataDxfId="640" dataCellStyle="一般 2"/>
    <tableColumn id="24" uniqueName="24" name="F24" queryTableFieldId="24" dataDxfId="639" dataCellStyle="一般 2"/>
    <tableColumn id="25" uniqueName="25" name="F25" queryTableFieldId="25" dataDxfId="638" dataCellStyle="一般 2"/>
    <tableColumn id="26" uniqueName="26" name="F26" queryTableFieldId="26" dataDxfId="637" dataCellStyle="一般 2"/>
    <tableColumn id="27" uniqueName="27" name="F27" queryTableFieldId="27" dataDxfId="636" dataCellStyle="一般 2"/>
    <tableColumn id="28" uniqueName="28" name="F28" queryTableFieldId="28" dataDxfId="635" dataCellStyle="一般 2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8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" ref="AG13:BH189" tableType="queryTable" totalsRowShown="0" headerRowDxfId="537" dataDxfId="536" headerRowCellStyle="一般 2" dataCellStyle="一般 2">
  <autoFilter ref="AG13:BH189"/>
  <tableColumns count="28">
    <tableColumn id="1" uniqueName="1" name="請直接以10進位，謝謝" queryTableFieldId="1" dataDxfId="535" dataCellStyle="一般 2"/>
    <tableColumn id="2" uniqueName="2" name="F2" queryTableFieldId="2" dataDxfId="534" dataCellStyle="一般 2"/>
    <tableColumn id="3" uniqueName="3" name="F3" queryTableFieldId="3" dataDxfId="533" dataCellStyle="一般 2"/>
    <tableColumn id="4" uniqueName="4" name="F4" queryTableFieldId="4" dataDxfId="532" dataCellStyle="一般 2"/>
    <tableColumn id="5" uniqueName="5" name="F5" queryTableFieldId="5" dataDxfId="531" dataCellStyle="一般 2"/>
    <tableColumn id="6" uniqueName="6" name="F6" queryTableFieldId="6" dataDxfId="530" dataCellStyle="一般 2"/>
    <tableColumn id="7" uniqueName="7" name="F7" queryTableFieldId="7" dataDxfId="529" dataCellStyle="一般 2"/>
    <tableColumn id="8" uniqueName="8" name="F8" queryTableFieldId="8" dataDxfId="528" dataCellStyle="一般 2"/>
    <tableColumn id="9" uniqueName="9" name="F9" queryTableFieldId="9" dataDxfId="527" dataCellStyle="一般 2"/>
    <tableColumn id="10" uniqueName="10" name="F10" queryTableFieldId="10" dataDxfId="526" dataCellStyle="一般 2"/>
    <tableColumn id="11" uniqueName="11" name="F11" queryTableFieldId="11" dataDxfId="525" dataCellStyle="一般 2"/>
    <tableColumn id="12" uniqueName="12" name="F12" queryTableFieldId="12" dataDxfId="524" dataCellStyle="一般 2"/>
    <tableColumn id="13" uniqueName="13" name="F13" queryTableFieldId="13" dataDxfId="523" dataCellStyle="一般 2"/>
    <tableColumn id="14" uniqueName="14" name="F14" queryTableFieldId="14" dataDxfId="522" dataCellStyle="一般 2"/>
    <tableColumn id="15" uniqueName="15" name="F15" queryTableFieldId="15" dataDxfId="521" dataCellStyle="一般 2"/>
    <tableColumn id="16" uniqueName="16" name="F16" queryTableFieldId="16" dataDxfId="520" dataCellStyle="一般 2"/>
    <tableColumn id="17" uniqueName="17" name="F17" queryTableFieldId="17" dataDxfId="519" dataCellStyle="一般 2"/>
    <tableColumn id="18" uniqueName="18" name="F18" queryTableFieldId="18" dataDxfId="518" dataCellStyle="一般 2"/>
    <tableColumn id="19" uniqueName="19" name="F19" queryTableFieldId="19" dataDxfId="517" dataCellStyle="一般 2"/>
    <tableColumn id="20" uniqueName="20" name="F20" queryTableFieldId="20" dataDxfId="516" dataCellStyle="一般 2"/>
    <tableColumn id="21" uniqueName="21" name="F21" queryTableFieldId="21" dataDxfId="515" dataCellStyle="一般 2"/>
    <tableColumn id="22" uniqueName="22" name="2024/6/24 14:52" queryTableFieldId="22" dataDxfId="514" dataCellStyle="一般 2"/>
    <tableColumn id="23" uniqueName="23" name="F23" queryTableFieldId="23" dataDxfId="513" dataCellStyle="一般 2"/>
    <tableColumn id="24" uniqueName="24" name="F24" queryTableFieldId="24" dataDxfId="512" dataCellStyle="一般 2"/>
    <tableColumn id="25" uniqueName="25" name="F25" queryTableFieldId="25" dataDxfId="511" dataCellStyle="一般 2"/>
    <tableColumn id="26" uniqueName="26" name="F26" queryTableFieldId="26" dataDxfId="510" dataCellStyle="一般 2"/>
    <tableColumn id="27" uniqueName="27" name="F27" queryTableFieldId="27" dataDxfId="509" dataCellStyle="一般 2"/>
    <tableColumn id="28" uniqueName="28" name="F28" queryTableFieldId="28" dataDxfId="508" dataCellStyle="一般 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9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" ref="AG13:BH189" tableType="queryTable" totalsRowShown="0" headerRowDxfId="410" dataDxfId="409" headerRowCellStyle="一般 2" dataCellStyle="一般 2">
  <autoFilter ref="AG13:BH189"/>
  <tableColumns count="28">
    <tableColumn id="1" uniqueName="1" name="請直接以10進位，謝謝" queryTableFieldId="1" dataDxfId="408" dataCellStyle="一般 2"/>
    <tableColumn id="2" uniqueName="2" name="F2" queryTableFieldId="2" dataDxfId="407" dataCellStyle="一般 2"/>
    <tableColumn id="3" uniqueName="3" name="F3" queryTableFieldId="3" dataDxfId="406" dataCellStyle="一般 2"/>
    <tableColumn id="4" uniqueName="4" name="F4" queryTableFieldId="4" dataDxfId="405" dataCellStyle="一般 2"/>
    <tableColumn id="5" uniqueName="5" name="F5" queryTableFieldId="5" dataDxfId="404" dataCellStyle="一般 2"/>
    <tableColumn id="6" uniqueName="6" name="F6" queryTableFieldId="6" dataDxfId="403" dataCellStyle="一般 2"/>
    <tableColumn id="7" uniqueName="7" name="F7" queryTableFieldId="7" dataDxfId="402" dataCellStyle="一般 2"/>
    <tableColumn id="8" uniqueName="8" name="F8" queryTableFieldId="8" dataDxfId="401" dataCellStyle="一般 2"/>
    <tableColumn id="9" uniqueName="9" name="F9" queryTableFieldId="9" dataDxfId="400" dataCellStyle="一般 2"/>
    <tableColumn id="10" uniqueName="10" name="F10" queryTableFieldId="10" dataDxfId="399" dataCellStyle="一般 2"/>
    <tableColumn id="11" uniqueName="11" name="F11" queryTableFieldId="11" dataDxfId="398" dataCellStyle="一般 2"/>
    <tableColumn id="12" uniqueName="12" name="F12" queryTableFieldId="12" dataDxfId="397" dataCellStyle="一般 2"/>
    <tableColumn id="13" uniqueName="13" name="F13" queryTableFieldId="13" dataDxfId="396" dataCellStyle="一般 2"/>
    <tableColumn id="14" uniqueName="14" name="F14" queryTableFieldId="14" dataDxfId="395" dataCellStyle="一般 2"/>
    <tableColumn id="15" uniqueName="15" name="F15" queryTableFieldId="15" dataDxfId="394" dataCellStyle="一般 2"/>
    <tableColumn id="16" uniqueName="16" name="F16" queryTableFieldId="16" dataDxfId="393" dataCellStyle="一般 2"/>
    <tableColumn id="17" uniqueName="17" name="F17" queryTableFieldId="17" dataDxfId="392" dataCellStyle="一般 2"/>
    <tableColumn id="18" uniqueName="18" name="F18" queryTableFieldId="18" dataDxfId="391" dataCellStyle="一般 2"/>
    <tableColumn id="19" uniqueName="19" name="F19" queryTableFieldId="19" dataDxfId="390" dataCellStyle="一般 2"/>
    <tableColumn id="20" uniqueName="20" name="F20" queryTableFieldId="20" dataDxfId="389" dataCellStyle="一般 2"/>
    <tableColumn id="21" uniqueName="21" name="F21" queryTableFieldId="21" dataDxfId="388" dataCellStyle="一般 2"/>
    <tableColumn id="22" uniqueName="22" name="2024/6/24 14:52" queryTableFieldId="22" dataDxfId="387" dataCellStyle="一般 2"/>
    <tableColumn id="23" uniqueName="23" name="F23" queryTableFieldId="23" dataDxfId="386" dataCellStyle="一般 2"/>
    <tableColumn id="24" uniqueName="24" name="F24" queryTableFieldId="24" dataDxfId="385" dataCellStyle="一般 2"/>
    <tableColumn id="25" uniqueName="25" name="F25" queryTableFieldId="25" dataDxfId="384" dataCellStyle="一般 2"/>
    <tableColumn id="26" uniqueName="26" name="F26" queryTableFieldId="26" dataDxfId="383" dataCellStyle="一般 2"/>
    <tableColumn id="27" uniqueName="27" name="F27" queryTableFieldId="27" dataDxfId="382" dataCellStyle="一般 2"/>
    <tableColumn id="28" uniqueName="28" name="F28" queryTableFieldId="28" dataDxfId="381" dataCellStyle="一般 2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0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" ref="AG13:BH189" tableType="queryTable" totalsRowShown="0" headerRowDxfId="283" dataDxfId="282" headerRowCellStyle="一般 2" dataCellStyle="一般 2">
  <autoFilter ref="AG13:BH189"/>
  <tableColumns count="28">
    <tableColumn id="1" uniqueName="1" name="請直接以10進位，謝謝" queryTableFieldId="1" dataDxfId="281" dataCellStyle="一般 2"/>
    <tableColumn id="2" uniqueName="2" name="F2" queryTableFieldId="2" dataDxfId="280" dataCellStyle="一般 2"/>
    <tableColumn id="3" uniqueName="3" name="F3" queryTableFieldId="3" dataDxfId="279" dataCellStyle="一般 2"/>
    <tableColumn id="4" uniqueName="4" name="F4" queryTableFieldId="4" dataDxfId="278" dataCellStyle="一般 2"/>
    <tableColumn id="5" uniqueName="5" name="F5" queryTableFieldId="5" dataDxfId="277" dataCellStyle="一般 2"/>
    <tableColumn id="6" uniqueName="6" name="F6" queryTableFieldId="6" dataDxfId="276" dataCellStyle="一般 2"/>
    <tableColumn id="7" uniqueName="7" name="F7" queryTableFieldId="7" dataDxfId="275" dataCellStyle="一般 2"/>
    <tableColumn id="8" uniqueName="8" name="F8" queryTableFieldId="8" dataDxfId="274" dataCellStyle="一般 2"/>
    <tableColumn id="9" uniqueName="9" name="F9" queryTableFieldId="9" dataDxfId="273" dataCellStyle="一般 2"/>
    <tableColumn id="10" uniqueName="10" name="F10" queryTableFieldId="10" dataDxfId="272" dataCellStyle="一般 2"/>
    <tableColumn id="11" uniqueName="11" name="F11" queryTableFieldId="11" dataDxfId="271" dataCellStyle="一般 2"/>
    <tableColumn id="12" uniqueName="12" name="F12" queryTableFieldId="12" dataDxfId="270" dataCellStyle="一般 2"/>
    <tableColumn id="13" uniqueName="13" name="F13" queryTableFieldId="13" dataDxfId="269" dataCellStyle="一般 2"/>
    <tableColumn id="14" uniqueName="14" name="F14" queryTableFieldId="14" dataDxfId="268" dataCellStyle="一般 2"/>
    <tableColumn id="15" uniqueName="15" name="F15" queryTableFieldId="15" dataDxfId="267" dataCellStyle="一般 2"/>
    <tableColumn id="16" uniqueName="16" name="F16" queryTableFieldId="16" dataDxfId="266" dataCellStyle="一般 2"/>
    <tableColumn id="17" uniqueName="17" name="F17" queryTableFieldId="17" dataDxfId="265" dataCellStyle="一般 2"/>
    <tableColumn id="18" uniqueName="18" name="F18" queryTableFieldId="18" dataDxfId="264" dataCellStyle="一般 2"/>
    <tableColumn id="19" uniqueName="19" name="F19" queryTableFieldId="19" dataDxfId="263" dataCellStyle="一般 2"/>
    <tableColumn id="20" uniqueName="20" name="F20" queryTableFieldId="20" dataDxfId="262" dataCellStyle="一般 2"/>
    <tableColumn id="21" uniqueName="21" name="F21" queryTableFieldId="21" dataDxfId="261" dataCellStyle="一般 2"/>
    <tableColumn id="22" uniqueName="22" name="2024/6/24 14:52" queryTableFieldId="22" dataDxfId="260" dataCellStyle="一般 2"/>
    <tableColumn id="23" uniqueName="23" name="F23" queryTableFieldId="23" dataDxfId="259" dataCellStyle="一般 2"/>
    <tableColumn id="24" uniqueName="24" name="F24" queryTableFieldId="24" dataDxfId="258" dataCellStyle="一般 2"/>
    <tableColumn id="25" uniqueName="25" name="F25" queryTableFieldId="25" dataDxfId="257" dataCellStyle="一般 2"/>
    <tableColumn id="26" uniqueName="26" name="F26" queryTableFieldId="26" dataDxfId="256" dataCellStyle="一般 2"/>
    <tableColumn id="27" uniqueName="27" name="F27" queryTableFieldId="27" dataDxfId="255" dataCellStyle="一般 2"/>
    <tableColumn id="28" uniqueName="28" name="F28" queryTableFieldId="28" dataDxfId="254" dataCellStyle="一般 2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3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3" ref="AG13:BH189" tableType="queryTable" totalsRowShown="0" headerRowDxfId="156" dataDxfId="155" headerRowCellStyle="一般 2" dataCellStyle="一般 2">
  <autoFilter ref="AG13:BH189"/>
  <tableColumns count="28">
    <tableColumn id="1" uniqueName="1" name="請直接以10進位，謝謝" queryTableFieldId="1" dataDxfId="154" dataCellStyle="一般 2"/>
    <tableColumn id="2" uniqueName="2" name="F2" queryTableFieldId="2" dataDxfId="153" dataCellStyle="一般 2"/>
    <tableColumn id="3" uniqueName="3" name="F3" queryTableFieldId="3" dataDxfId="152" dataCellStyle="一般 2"/>
    <tableColumn id="4" uniqueName="4" name="F4" queryTableFieldId="4" dataDxfId="151" dataCellStyle="一般 2"/>
    <tableColumn id="5" uniqueName="5" name="F5" queryTableFieldId="5" dataDxfId="150" dataCellStyle="一般 2"/>
    <tableColumn id="6" uniqueName="6" name="F6" queryTableFieldId="6" dataDxfId="149" dataCellStyle="一般 2"/>
    <tableColumn id="7" uniqueName="7" name="F7" queryTableFieldId="7" dataDxfId="148" dataCellStyle="一般 2"/>
    <tableColumn id="8" uniqueName="8" name="F8" queryTableFieldId="8" dataDxfId="147" dataCellStyle="一般 2"/>
    <tableColumn id="9" uniqueName="9" name="F9" queryTableFieldId="9" dataDxfId="146" dataCellStyle="一般 2"/>
    <tableColumn id="10" uniqueName="10" name="F10" queryTableFieldId="10" dataDxfId="145" dataCellStyle="一般 2"/>
    <tableColumn id="11" uniqueName="11" name="F11" queryTableFieldId="11" dataDxfId="144" dataCellStyle="一般 2"/>
    <tableColumn id="12" uniqueName="12" name="F12" queryTableFieldId="12" dataDxfId="143" dataCellStyle="一般 2"/>
    <tableColumn id="13" uniqueName="13" name="F13" queryTableFieldId="13" dataDxfId="142" dataCellStyle="一般 2"/>
    <tableColumn id="14" uniqueName="14" name="F14" queryTableFieldId="14" dataDxfId="141" dataCellStyle="一般 2"/>
    <tableColumn id="15" uniqueName="15" name="F15" queryTableFieldId="15" dataDxfId="140" dataCellStyle="一般 2"/>
    <tableColumn id="16" uniqueName="16" name="F16" queryTableFieldId="16" dataDxfId="139" dataCellStyle="一般 2"/>
    <tableColumn id="17" uniqueName="17" name="F17" queryTableFieldId="17" dataDxfId="138" dataCellStyle="一般 2"/>
    <tableColumn id="18" uniqueName="18" name="F18" queryTableFieldId="18" dataDxfId="137" dataCellStyle="一般 2"/>
    <tableColumn id="19" uniqueName="19" name="F19" queryTableFieldId="19" dataDxfId="136" dataCellStyle="一般 2"/>
    <tableColumn id="20" uniqueName="20" name="F20" queryTableFieldId="20" dataDxfId="135" dataCellStyle="一般 2"/>
    <tableColumn id="21" uniqueName="21" name="F21" queryTableFieldId="21" dataDxfId="134" dataCellStyle="一般 2"/>
    <tableColumn id="22" uniqueName="22" name="2024/6/24 14:52" queryTableFieldId="22" dataDxfId="133" dataCellStyle="一般 2"/>
    <tableColumn id="23" uniqueName="23" name="F23" queryTableFieldId="23" dataDxfId="132" dataCellStyle="一般 2"/>
    <tableColumn id="24" uniqueName="24" name="F24" queryTableFieldId="24" dataDxfId="131" dataCellStyle="一般 2"/>
    <tableColumn id="25" uniqueName="25" name="F25" queryTableFieldId="25" dataDxfId="130" dataCellStyle="一般 2"/>
    <tableColumn id="26" uniqueName="26" name="F26" queryTableFieldId="26" dataDxfId="129" dataCellStyle="一般 2"/>
    <tableColumn id="27" uniqueName="27" name="F27" queryTableFieldId="27" dataDxfId="128" dataCellStyle="一般 2"/>
    <tableColumn id="28" uniqueName="28" name="F28" queryTableFieldId="28" dataDxfId="127" dataCellStyle="一般 2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4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4" ref="AG13:BH189" tableType="queryTable" totalsRowShown="0" headerRowDxfId="29" dataDxfId="28" headerRowCellStyle="一般 2" dataCellStyle="一般 2">
  <autoFilter ref="AG13:BH189"/>
  <tableColumns count="28">
    <tableColumn id="1" uniqueName="1" name="請直接以10進位，謝謝" queryTableFieldId="1" dataDxfId="27" dataCellStyle="一般 2"/>
    <tableColumn id="2" uniqueName="2" name="F2" queryTableFieldId="2" dataDxfId="26" dataCellStyle="一般 2"/>
    <tableColumn id="3" uniqueName="3" name="F3" queryTableFieldId="3" dataDxfId="25" dataCellStyle="一般 2"/>
    <tableColumn id="4" uniqueName="4" name="F4" queryTableFieldId="4" dataDxfId="24" dataCellStyle="一般 2"/>
    <tableColumn id="5" uniqueName="5" name="F5" queryTableFieldId="5" dataDxfId="23" dataCellStyle="一般 2"/>
    <tableColumn id="6" uniqueName="6" name="F6" queryTableFieldId="6" dataDxfId="22" dataCellStyle="一般 2"/>
    <tableColumn id="7" uniqueName="7" name="F7" queryTableFieldId="7" dataDxfId="21" dataCellStyle="一般 2"/>
    <tableColumn id="8" uniqueName="8" name="F8" queryTableFieldId="8" dataDxfId="20" dataCellStyle="一般 2"/>
    <tableColumn id="9" uniqueName="9" name="F9" queryTableFieldId="9" dataDxfId="19" dataCellStyle="一般 2"/>
    <tableColumn id="10" uniqueName="10" name="F10" queryTableFieldId="10" dataDxfId="18" dataCellStyle="一般 2"/>
    <tableColumn id="11" uniqueName="11" name="F11" queryTableFieldId="11" dataDxfId="17" dataCellStyle="一般 2"/>
    <tableColumn id="12" uniqueName="12" name="F12" queryTableFieldId="12" dataDxfId="16" dataCellStyle="一般 2"/>
    <tableColumn id="13" uniqueName="13" name="F13" queryTableFieldId="13" dataDxfId="15" dataCellStyle="一般 2"/>
    <tableColumn id="14" uniqueName="14" name="F14" queryTableFieldId="14" dataDxfId="14" dataCellStyle="一般 2"/>
    <tableColumn id="15" uniqueName="15" name="F15" queryTableFieldId="15" dataDxfId="13" dataCellStyle="一般 2"/>
    <tableColumn id="16" uniqueName="16" name="F16" queryTableFieldId="16" dataDxfId="12" dataCellStyle="一般 2"/>
    <tableColumn id="17" uniqueName="17" name="F17" queryTableFieldId="17" dataDxfId="11" dataCellStyle="一般 2"/>
    <tableColumn id="18" uniqueName="18" name="F18" queryTableFieldId="18" dataDxfId="10" dataCellStyle="一般 2"/>
    <tableColumn id="19" uniqueName="19" name="F19" queryTableFieldId="19" dataDxfId="9" dataCellStyle="一般 2"/>
    <tableColumn id="20" uniqueName="20" name="F20" queryTableFieldId="20" dataDxfId="8" dataCellStyle="一般 2"/>
    <tableColumn id="21" uniqueName="21" name="F21" queryTableFieldId="21" dataDxfId="7" dataCellStyle="一般 2"/>
    <tableColumn id="22" uniqueName="22" name="2024/6/24 14:52" queryTableFieldId="22" dataDxfId="6" dataCellStyle="一般 2"/>
    <tableColumn id="23" uniqueName="23" name="F23" queryTableFieldId="23" dataDxfId="5" dataCellStyle="一般 2"/>
    <tableColumn id="24" uniqueName="24" name="F24" queryTableFieldId="24" dataDxfId="4" dataCellStyle="一般 2"/>
    <tableColumn id="25" uniqueName="25" name="F25" queryTableFieldId="25" dataDxfId="3" dataCellStyle="一般 2"/>
    <tableColumn id="26" uniqueName="26" name="F26" queryTableFieldId="26" dataDxfId="2" dataCellStyle="一般 2"/>
    <tableColumn id="27" uniqueName="27" name="F27" queryTableFieldId="27" dataDxfId="1" dataCellStyle="一般 2"/>
    <tableColumn id="28" uniqueName="28" name="F28" queryTableFieldId="28" dataDxfId="0" dataCellStyle="一般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8357890-2BA6-4CC5-90A2-87AD6187BD32}">
  <we:reference id="wa104381026" version="1.2.0.0" store="zh-TW" storeType="OMEX"/>
  <we:alternateReferences>
    <we:reference id="WA104381026" version="1.2.0.0" store="WA10438102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0.xml"/><Relationship Id="rId4" Type="http://schemas.openxmlformats.org/officeDocument/2006/relationships/ctrlProp" Target="../ctrlProps/ctrlProp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5" Type="http://schemas.openxmlformats.org/officeDocument/2006/relationships/table" Target="../tables/table11.xml"/><Relationship Id="rId4" Type="http://schemas.openxmlformats.org/officeDocument/2006/relationships/ctrlProp" Target="../ctrlProps/ctrlProp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5" Type="http://schemas.openxmlformats.org/officeDocument/2006/relationships/table" Target="../tables/table12.xml"/><Relationship Id="rId4" Type="http://schemas.openxmlformats.org/officeDocument/2006/relationships/ctrlProp" Target="../ctrlProps/ctrlProp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5" Type="http://schemas.openxmlformats.org/officeDocument/2006/relationships/table" Target="../tables/table13.xml"/><Relationship Id="rId4" Type="http://schemas.openxmlformats.org/officeDocument/2006/relationships/ctrlProp" Target="../ctrlProps/ctrlProp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5" Type="http://schemas.openxmlformats.org/officeDocument/2006/relationships/table" Target="../tables/table14.xml"/><Relationship Id="rId4" Type="http://schemas.openxmlformats.org/officeDocument/2006/relationships/ctrlProp" Target="../ctrlProps/ctrlProp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5" Type="http://schemas.openxmlformats.org/officeDocument/2006/relationships/table" Target="../tables/table15.xml"/><Relationship Id="rId4" Type="http://schemas.openxmlformats.org/officeDocument/2006/relationships/ctrlProp" Target="../ctrlProps/ctrlProp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5" Type="http://schemas.openxmlformats.org/officeDocument/2006/relationships/table" Target="../tables/table16.xml"/><Relationship Id="rId4" Type="http://schemas.openxmlformats.org/officeDocument/2006/relationships/ctrlProp" Target="../ctrlProps/ctrlProp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5" Type="http://schemas.openxmlformats.org/officeDocument/2006/relationships/table" Target="../tables/table17.xml"/><Relationship Id="rId4" Type="http://schemas.openxmlformats.org/officeDocument/2006/relationships/ctrlProp" Target="../ctrlProps/ctrlProp1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5" Type="http://schemas.openxmlformats.org/officeDocument/2006/relationships/table" Target="../tables/table18.xml"/><Relationship Id="rId4" Type="http://schemas.openxmlformats.org/officeDocument/2006/relationships/ctrlProp" Target="../ctrlProps/ctrlProp1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5" Type="http://schemas.openxmlformats.org/officeDocument/2006/relationships/table" Target="../tables/table19.xml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5" Type="http://schemas.openxmlformats.org/officeDocument/2006/relationships/table" Target="../tables/table20.xml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5" Type="http://schemas.openxmlformats.org/officeDocument/2006/relationships/table" Target="../tables/table21.xml"/><Relationship Id="rId4" Type="http://schemas.openxmlformats.org/officeDocument/2006/relationships/ctrlProp" Target="../ctrlProps/ctrlProp2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5" Type="http://schemas.openxmlformats.org/officeDocument/2006/relationships/table" Target="../tables/table22.xml"/><Relationship Id="rId4" Type="http://schemas.openxmlformats.org/officeDocument/2006/relationships/ctrlProp" Target="../ctrlProps/ctrlProp2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5" Type="http://schemas.openxmlformats.org/officeDocument/2006/relationships/table" Target="../tables/table23.xml"/><Relationship Id="rId4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1">
    <pageSetUpPr fitToPage="1"/>
  </sheetPr>
  <dimension ref="A1:X46"/>
  <sheetViews>
    <sheetView view="pageBreakPreview" topLeftCell="A24" zoomScale="80" zoomScaleNormal="100" zoomScaleSheetLayoutView="80" workbookViewId="0">
      <selection activeCell="L44" sqref="L44"/>
    </sheetView>
  </sheetViews>
  <sheetFormatPr defaultColWidth="9" defaultRowHeight="15.75"/>
  <cols>
    <col min="1" max="1" width="7.33203125" style="54" customWidth="1"/>
    <col min="2" max="2" width="8.6640625" style="54" customWidth="1"/>
    <col min="3" max="3" width="6.6640625" style="54" customWidth="1"/>
    <col min="4" max="4" width="7.33203125" style="54" customWidth="1"/>
    <col min="5" max="5" width="8.6640625" style="54" customWidth="1"/>
    <col min="6" max="6" width="6.6640625" style="54" customWidth="1"/>
    <col min="7" max="7" width="7.33203125" style="54" customWidth="1"/>
    <col min="8" max="8" width="8.6640625" style="54" customWidth="1"/>
    <col min="9" max="9" width="6.6640625" style="54" customWidth="1"/>
    <col min="10" max="10" width="7.33203125" style="54" customWidth="1"/>
    <col min="11" max="11" width="8.6640625" style="54" customWidth="1"/>
    <col min="12" max="12" width="6.6640625" style="54" customWidth="1"/>
    <col min="13" max="13" width="23.88671875" style="54" customWidth="1"/>
    <col min="14" max="14" width="17.6640625" style="54" customWidth="1"/>
    <col min="15" max="16" width="11.88671875" style="54" customWidth="1"/>
    <col min="17" max="17" width="17.44140625" style="63" customWidth="1"/>
    <col min="18" max="18" width="13.6640625" style="63" customWidth="1"/>
    <col min="19" max="19" width="14.33203125" style="63" customWidth="1"/>
    <col min="20" max="20" width="9" style="54"/>
    <col min="21" max="21" width="20.77734375" style="54" bestFit="1" customWidth="1"/>
    <col min="22" max="22" width="9" style="54"/>
    <col min="23" max="23" width="13.77734375" style="54" bestFit="1" customWidth="1"/>
    <col min="24" max="16384" width="9" style="54"/>
  </cols>
  <sheetData>
    <row r="1" spans="1:24" s="53" customFormat="1" ht="21.05" customHeight="1" thickBot="1">
      <c r="A1" s="163" t="s">
        <v>173</v>
      </c>
      <c r="B1" s="163"/>
      <c r="C1" s="111"/>
      <c r="D1" s="111"/>
      <c r="E1" s="112"/>
      <c r="F1" s="111"/>
      <c r="G1" s="113"/>
      <c r="H1" s="113"/>
      <c r="I1" s="113"/>
      <c r="J1" s="113"/>
      <c r="K1" s="113"/>
      <c r="L1" s="113"/>
      <c r="M1" s="113" t="s">
        <v>174</v>
      </c>
      <c r="Q1" s="55"/>
      <c r="R1" s="55"/>
      <c r="S1" s="55"/>
    </row>
    <row r="2" spans="1:24" s="59" customFormat="1" ht="25.75" customHeight="1" thickTop="1" thickBot="1">
      <c r="A2" s="114" t="s">
        <v>109</v>
      </c>
      <c r="B2" s="115" t="s">
        <v>32</v>
      </c>
      <c r="C2" s="116" t="s">
        <v>33</v>
      </c>
      <c r="D2" s="114" t="s">
        <v>31</v>
      </c>
      <c r="E2" s="115" t="s">
        <v>32</v>
      </c>
      <c r="F2" s="116" t="s">
        <v>188</v>
      </c>
      <c r="G2" s="114" t="s">
        <v>31</v>
      </c>
      <c r="H2" s="115" t="s">
        <v>32</v>
      </c>
      <c r="I2" s="117" t="s">
        <v>33</v>
      </c>
      <c r="J2" s="114" t="s">
        <v>31</v>
      </c>
      <c r="K2" s="115" t="s">
        <v>189</v>
      </c>
      <c r="L2" s="117" t="s">
        <v>33</v>
      </c>
      <c r="M2" s="118" t="s">
        <v>175</v>
      </c>
      <c r="N2" s="56"/>
      <c r="O2" s="56"/>
      <c r="P2" s="57" t="s">
        <v>140</v>
      </c>
      <c r="Q2" s="58" t="s">
        <v>141</v>
      </c>
      <c r="S2" s="60" t="s">
        <v>142</v>
      </c>
      <c r="U2" s="137" t="s">
        <v>143</v>
      </c>
      <c r="V2" s="136">
        <v>0.01</v>
      </c>
      <c r="W2" s="137" t="s">
        <v>155</v>
      </c>
      <c r="X2" s="61" t="s">
        <v>146</v>
      </c>
    </row>
    <row r="3" spans="1:24" s="53" customFormat="1" ht="22.25" customHeight="1" thickTop="1">
      <c r="A3" s="119">
        <v>601</v>
      </c>
      <c r="B3" s="120">
        <v>6473</v>
      </c>
      <c r="C3" s="121">
        <v>28</v>
      </c>
      <c r="D3" s="122" t="s">
        <v>76</v>
      </c>
      <c r="E3" s="120">
        <v>0</v>
      </c>
      <c r="F3" s="121">
        <v>19</v>
      </c>
      <c r="G3" s="119">
        <v>661</v>
      </c>
      <c r="H3" s="120">
        <v>5154</v>
      </c>
      <c r="I3" s="123">
        <v>26</v>
      </c>
      <c r="J3" s="119">
        <v>681</v>
      </c>
      <c r="K3" s="120">
        <v>3057</v>
      </c>
      <c r="L3" s="124">
        <v>26</v>
      </c>
      <c r="M3" s="164" t="s">
        <v>572</v>
      </c>
      <c r="N3" s="137" t="s">
        <v>143</v>
      </c>
      <c r="O3" s="137" t="s">
        <v>144</v>
      </c>
      <c r="P3" s="137" t="s">
        <v>145</v>
      </c>
      <c r="Q3" s="61" t="s">
        <v>146</v>
      </c>
      <c r="S3" s="53">
        <v>5900</v>
      </c>
      <c r="U3" s="137" t="s">
        <v>147</v>
      </c>
      <c r="V3" s="136">
        <v>0.01</v>
      </c>
      <c r="W3" s="137" t="s">
        <v>156</v>
      </c>
      <c r="X3" s="61" t="s">
        <v>149</v>
      </c>
    </row>
    <row r="4" spans="1:24" s="53" customFormat="1" ht="22.25" customHeight="1">
      <c r="A4" s="119">
        <v>602</v>
      </c>
      <c r="B4" s="120">
        <v>7985</v>
      </c>
      <c r="C4" s="121">
        <v>26</v>
      </c>
      <c r="D4" s="122" t="s">
        <v>77</v>
      </c>
      <c r="E4" s="120">
        <v>6708</v>
      </c>
      <c r="F4" s="121">
        <v>25</v>
      </c>
      <c r="G4" s="119">
        <v>662</v>
      </c>
      <c r="H4" s="120">
        <v>6880</v>
      </c>
      <c r="I4" s="123">
        <v>27</v>
      </c>
      <c r="J4" s="119">
        <v>682</v>
      </c>
      <c r="K4" s="120">
        <v>1694</v>
      </c>
      <c r="L4" s="133">
        <v>26</v>
      </c>
      <c r="M4" s="165"/>
      <c r="N4" s="137" t="s">
        <v>147</v>
      </c>
      <c r="O4" s="137" t="s">
        <v>144</v>
      </c>
      <c r="P4" s="137" t="s">
        <v>148</v>
      </c>
      <c r="Q4" s="61" t="s">
        <v>149</v>
      </c>
      <c r="S4" s="53">
        <v>5600</v>
      </c>
      <c r="U4" s="62">
        <v>680690</v>
      </c>
      <c r="V4" s="136">
        <v>0.01</v>
      </c>
      <c r="W4" s="137" t="s">
        <v>157</v>
      </c>
      <c r="X4" s="61" t="s">
        <v>149</v>
      </c>
    </row>
    <row r="5" spans="1:24" s="53" customFormat="1" ht="22.25" customHeight="1">
      <c r="A5" s="119">
        <v>603</v>
      </c>
      <c r="B5" s="120">
        <v>5835</v>
      </c>
      <c r="C5" s="121">
        <v>27</v>
      </c>
      <c r="D5" s="122">
        <v>631</v>
      </c>
      <c r="E5" s="120">
        <v>3920</v>
      </c>
      <c r="F5" s="121">
        <v>21</v>
      </c>
      <c r="G5" s="119">
        <v>663</v>
      </c>
      <c r="H5" s="120">
        <v>0</v>
      </c>
      <c r="I5" s="123">
        <v>25</v>
      </c>
      <c r="J5" s="119">
        <v>683</v>
      </c>
      <c r="K5" s="120">
        <v>776</v>
      </c>
      <c r="L5" s="133">
        <v>25</v>
      </c>
      <c r="M5" s="165"/>
      <c r="N5" s="62">
        <v>680690</v>
      </c>
      <c r="O5" s="137" t="s">
        <v>144</v>
      </c>
      <c r="P5" s="137" t="s">
        <v>150</v>
      </c>
      <c r="Q5" s="61" t="s">
        <v>149</v>
      </c>
      <c r="S5" s="53">
        <v>4100</v>
      </c>
      <c r="U5" s="137" t="s">
        <v>151</v>
      </c>
      <c r="V5" s="136">
        <v>0.01</v>
      </c>
      <c r="W5" s="137" t="s">
        <v>158</v>
      </c>
      <c r="X5" s="61" t="s">
        <v>149</v>
      </c>
    </row>
    <row r="6" spans="1:24" s="53" customFormat="1" ht="22.25" customHeight="1">
      <c r="A6" s="119" t="s">
        <v>78</v>
      </c>
      <c r="B6" s="125">
        <v>3320</v>
      </c>
      <c r="C6" s="126">
        <v>26</v>
      </c>
      <c r="D6" s="127">
        <v>632</v>
      </c>
      <c r="E6" s="125">
        <v>555</v>
      </c>
      <c r="F6" s="126">
        <v>23</v>
      </c>
      <c r="G6" s="127">
        <v>664</v>
      </c>
      <c r="H6" s="125">
        <v>3697</v>
      </c>
      <c r="I6" s="124">
        <v>26</v>
      </c>
      <c r="J6" s="127">
        <v>684</v>
      </c>
      <c r="K6" s="125">
        <v>4892</v>
      </c>
      <c r="L6" s="133">
        <v>27</v>
      </c>
      <c r="M6" s="165"/>
      <c r="N6" s="137" t="s">
        <v>151</v>
      </c>
      <c r="O6" s="137" t="s">
        <v>144</v>
      </c>
      <c r="P6" s="137" t="s">
        <v>152</v>
      </c>
      <c r="Q6" s="61" t="s">
        <v>149</v>
      </c>
      <c r="S6" s="53">
        <v>7000</v>
      </c>
      <c r="U6" s="137" t="s">
        <v>153</v>
      </c>
      <c r="V6" s="136">
        <v>0.01</v>
      </c>
      <c r="W6" s="137" t="s">
        <v>159</v>
      </c>
      <c r="X6" s="61" t="s">
        <v>149</v>
      </c>
    </row>
    <row r="7" spans="1:24" s="53" customFormat="1" ht="22.25" customHeight="1">
      <c r="A7" s="119" t="s">
        <v>79</v>
      </c>
      <c r="B7" s="125">
        <v>9137</v>
      </c>
      <c r="C7" s="126">
        <v>23</v>
      </c>
      <c r="D7" s="127">
        <v>633</v>
      </c>
      <c r="E7" s="125">
        <v>1192</v>
      </c>
      <c r="F7" s="126">
        <v>19</v>
      </c>
      <c r="G7" s="127">
        <v>665</v>
      </c>
      <c r="H7" s="125">
        <v>2609</v>
      </c>
      <c r="I7" s="124">
        <v>25</v>
      </c>
      <c r="J7" s="127">
        <v>685</v>
      </c>
      <c r="K7" s="125">
        <v>5501</v>
      </c>
      <c r="L7" s="133">
        <v>26</v>
      </c>
      <c r="M7" s="165"/>
      <c r="N7" s="137" t="s">
        <v>153</v>
      </c>
      <c r="O7" s="137" t="s">
        <v>144</v>
      </c>
      <c r="P7" s="137" t="s">
        <v>154</v>
      </c>
      <c r="Q7" s="61" t="s">
        <v>149</v>
      </c>
      <c r="S7" s="53">
        <v>11590</v>
      </c>
      <c r="X7" s="55"/>
    </row>
    <row r="8" spans="1:24" s="53" customFormat="1" ht="22.25" customHeight="1">
      <c r="A8" s="119">
        <v>611</v>
      </c>
      <c r="B8" s="125">
        <v>40.51</v>
      </c>
      <c r="C8" s="134">
        <v>25</v>
      </c>
      <c r="D8" s="127">
        <v>634</v>
      </c>
      <c r="E8" s="125">
        <v>530</v>
      </c>
      <c r="F8" s="126">
        <v>22</v>
      </c>
      <c r="G8" s="127">
        <v>666</v>
      </c>
      <c r="H8" s="125">
        <v>6077</v>
      </c>
      <c r="I8" s="124">
        <v>25</v>
      </c>
      <c r="J8" s="127">
        <v>686</v>
      </c>
      <c r="K8" s="125">
        <v>5600</v>
      </c>
      <c r="L8" s="133">
        <v>26</v>
      </c>
      <c r="M8" s="165"/>
      <c r="N8" s="137" t="s">
        <v>164</v>
      </c>
      <c r="O8" s="137" t="s">
        <v>144</v>
      </c>
      <c r="P8" s="137" t="s">
        <v>165</v>
      </c>
      <c r="Q8" s="61" t="s">
        <v>149</v>
      </c>
      <c r="S8" s="53">
        <v>9200</v>
      </c>
    </row>
    <row r="9" spans="1:24" s="53" customFormat="1" ht="22.25" customHeight="1">
      <c r="A9" s="119">
        <v>612</v>
      </c>
      <c r="B9" s="125">
        <v>7.82</v>
      </c>
      <c r="C9" s="134">
        <v>25</v>
      </c>
      <c r="D9" s="127">
        <v>641</v>
      </c>
      <c r="E9" s="125">
        <v>3589</v>
      </c>
      <c r="F9" s="126">
        <v>27</v>
      </c>
      <c r="G9" s="127">
        <v>667</v>
      </c>
      <c r="H9" s="125">
        <v>-141</v>
      </c>
      <c r="I9" s="124">
        <v>26</v>
      </c>
      <c r="J9" s="127">
        <v>687</v>
      </c>
      <c r="K9" s="125">
        <v>3437</v>
      </c>
      <c r="L9" s="133">
        <v>25</v>
      </c>
      <c r="M9" s="165"/>
      <c r="N9" s="137" t="s">
        <v>166</v>
      </c>
      <c r="O9" s="137" t="s">
        <v>144</v>
      </c>
      <c r="P9" s="137" t="s">
        <v>167</v>
      </c>
      <c r="Q9" s="61" t="s">
        <v>149</v>
      </c>
      <c r="S9" s="53">
        <v>6800</v>
      </c>
    </row>
    <row r="10" spans="1:24" s="53" customFormat="1" ht="22.25" customHeight="1">
      <c r="A10" s="119">
        <v>613</v>
      </c>
      <c r="B10" s="125">
        <v>52.46</v>
      </c>
      <c r="C10" s="134">
        <v>25</v>
      </c>
      <c r="D10" s="127">
        <v>642</v>
      </c>
      <c r="E10" s="125">
        <v>1303</v>
      </c>
      <c r="F10" s="126">
        <v>26</v>
      </c>
      <c r="G10" s="127">
        <v>668</v>
      </c>
      <c r="H10" s="125">
        <v>2176</v>
      </c>
      <c r="I10" s="124">
        <v>25</v>
      </c>
      <c r="J10" s="127">
        <v>688</v>
      </c>
      <c r="K10" s="125">
        <v>2659</v>
      </c>
      <c r="L10" s="133">
        <v>25</v>
      </c>
      <c r="M10" s="165"/>
      <c r="N10" s="137" t="s">
        <v>168</v>
      </c>
      <c r="O10" s="136" t="s">
        <v>144</v>
      </c>
      <c r="P10" s="137" t="s">
        <v>169</v>
      </c>
      <c r="Q10" s="61" t="s">
        <v>149</v>
      </c>
      <c r="S10" s="53">
        <v>5500</v>
      </c>
    </row>
    <row r="11" spans="1:24" s="53" customFormat="1" ht="22.25" customHeight="1">
      <c r="A11" s="119">
        <v>614</v>
      </c>
      <c r="B11" s="125">
        <v>30.32</v>
      </c>
      <c r="C11" s="134">
        <v>25</v>
      </c>
      <c r="D11" s="127">
        <v>643</v>
      </c>
      <c r="E11" s="125">
        <v>5957</v>
      </c>
      <c r="F11" s="126">
        <v>27</v>
      </c>
      <c r="G11" s="127">
        <v>669</v>
      </c>
      <c r="H11" s="125">
        <v>-212</v>
      </c>
      <c r="I11" s="124">
        <v>27</v>
      </c>
      <c r="J11" s="127">
        <v>689</v>
      </c>
      <c r="K11" s="125">
        <v>4317</v>
      </c>
      <c r="L11" s="133">
        <v>26</v>
      </c>
      <c r="M11" s="165"/>
      <c r="N11" s="137" t="s">
        <v>170</v>
      </c>
      <c r="O11" s="136" t="s">
        <v>144</v>
      </c>
      <c r="P11" s="137">
        <v>9.0746000000000002</v>
      </c>
      <c r="Q11" s="61" t="s">
        <v>149</v>
      </c>
      <c r="S11" s="53">
        <v>7100</v>
      </c>
    </row>
    <row r="12" spans="1:24" s="53" customFormat="1" ht="22.25" customHeight="1">
      <c r="A12" s="119">
        <v>621</v>
      </c>
      <c r="B12" s="125">
        <v>3944</v>
      </c>
      <c r="C12" s="126">
        <v>25</v>
      </c>
      <c r="D12" s="127">
        <v>645</v>
      </c>
      <c r="E12" s="125">
        <v>4275</v>
      </c>
      <c r="F12" s="126">
        <v>27</v>
      </c>
      <c r="G12" s="127">
        <v>670</v>
      </c>
      <c r="H12" s="125">
        <v>-9905</v>
      </c>
      <c r="I12" s="124">
        <v>27</v>
      </c>
      <c r="J12" s="127">
        <v>690</v>
      </c>
      <c r="K12" s="125">
        <v>353</v>
      </c>
      <c r="L12" s="124">
        <v>25</v>
      </c>
      <c r="M12" s="165"/>
      <c r="N12" s="62" t="s">
        <v>171</v>
      </c>
      <c r="O12" s="136" t="s">
        <v>144</v>
      </c>
      <c r="P12" s="137">
        <v>9.0746000000000002</v>
      </c>
      <c r="Q12" s="61" t="s">
        <v>149</v>
      </c>
      <c r="S12" s="53">
        <v>5500</v>
      </c>
    </row>
    <row r="13" spans="1:24" s="53" customFormat="1" ht="22.25" customHeight="1">
      <c r="A13" s="119">
        <v>622</v>
      </c>
      <c r="B13" s="125">
        <v>1176</v>
      </c>
      <c r="C13" s="126">
        <v>26</v>
      </c>
      <c r="D13" s="127">
        <v>651</v>
      </c>
      <c r="E13" s="125">
        <v>4490</v>
      </c>
      <c r="F13" s="126">
        <v>25</v>
      </c>
      <c r="G13" s="127">
        <v>671</v>
      </c>
      <c r="H13" s="125">
        <v>0</v>
      </c>
      <c r="I13" s="124">
        <v>25</v>
      </c>
      <c r="J13" s="127">
        <v>691</v>
      </c>
      <c r="K13" s="125">
        <v>2515</v>
      </c>
      <c r="L13" s="133">
        <v>26</v>
      </c>
      <c r="M13" s="165"/>
      <c r="N13" s="167" t="s">
        <v>172</v>
      </c>
      <c r="O13" s="168" t="s">
        <v>144</v>
      </c>
      <c r="P13" s="169">
        <v>7.0686</v>
      </c>
      <c r="Q13" s="170" t="s">
        <v>149</v>
      </c>
      <c r="S13" s="162">
        <v>7000</v>
      </c>
    </row>
    <row r="14" spans="1:24" s="53" customFormat="1" ht="22.25" customHeight="1">
      <c r="A14" s="119">
        <v>623</v>
      </c>
      <c r="B14" s="125">
        <v>4909</v>
      </c>
      <c r="C14" s="126">
        <v>30</v>
      </c>
      <c r="D14" s="127">
        <v>652</v>
      </c>
      <c r="E14" s="125">
        <v>3916</v>
      </c>
      <c r="F14" s="126">
        <v>25</v>
      </c>
      <c r="G14" s="127">
        <v>672</v>
      </c>
      <c r="H14" s="125">
        <v>6139</v>
      </c>
      <c r="I14" s="124">
        <v>26</v>
      </c>
      <c r="J14" s="127">
        <v>692</v>
      </c>
      <c r="K14" s="125">
        <v>850</v>
      </c>
      <c r="L14" s="133">
        <v>26</v>
      </c>
      <c r="M14" s="165"/>
      <c r="N14" s="167"/>
      <c r="O14" s="168"/>
      <c r="P14" s="169"/>
      <c r="Q14" s="170"/>
      <c r="S14" s="162"/>
    </row>
    <row r="15" spans="1:24" s="53" customFormat="1" ht="22.25" customHeight="1">
      <c r="A15" s="122">
        <v>624</v>
      </c>
      <c r="B15" s="125">
        <v>1980</v>
      </c>
      <c r="C15" s="126">
        <v>24</v>
      </c>
      <c r="D15" s="128">
        <v>653</v>
      </c>
      <c r="E15" s="125">
        <v>0</v>
      </c>
      <c r="F15" s="126">
        <v>23</v>
      </c>
      <c r="G15" s="127">
        <v>673</v>
      </c>
      <c r="H15" s="125">
        <v>7183</v>
      </c>
      <c r="I15" s="124">
        <v>30</v>
      </c>
      <c r="J15" s="127">
        <v>693</v>
      </c>
      <c r="K15" s="125">
        <v>7028</v>
      </c>
      <c r="L15" s="133">
        <v>25</v>
      </c>
      <c r="M15" s="165"/>
      <c r="N15" s="167"/>
      <c r="O15" s="168"/>
      <c r="P15" s="169"/>
      <c r="Q15" s="170"/>
      <c r="R15" s="55"/>
      <c r="S15" s="162"/>
    </row>
    <row r="16" spans="1:24" s="53" customFormat="1" ht="22.25" customHeight="1">
      <c r="A16" s="122" t="s">
        <v>80</v>
      </c>
      <c r="B16" s="125">
        <v>6194</v>
      </c>
      <c r="C16" s="126">
        <v>26</v>
      </c>
      <c r="D16" s="127">
        <v>654</v>
      </c>
      <c r="E16" s="125">
        <v>0</v>
      </c>
      <c r="F16" s="126">
        <v>24</v>
      </c>
      <c r="G16" s="127">
        <v>674</v>
      </c>
      <c r="H16" s="125">
        <v>776</v>
      </c>
      <c r="I16" s="124">
        <v>24</v>
      </c>
      <c r="J16" s="127">
        <v>694</v>
      </c>
      <c r="K16" s="125">
        <v>1761</v>
      </c>
      <c r="L16" s="133">
        <v>25</v>
      </c>
      <c r="M16" s="165"/>
      <c r="Q16" s="55"/>
      <c r="R16" s="55"/>
      <c r="S16" s="55"/>
    </row>
    <row r="17" spans="1:19" s="53" customFormat="1" ht="22.25" customHeight="1">
      <c r="A17" s="122" t="s">
        <v>26</v>
      </c>
      <c r="B17" s="125">
        <v>4649</v>
      </c>
      <c r="C17" s="126">
        <v>32</v>
      </c>
      <c r="D17" s="128">
        <v>655</v>
      </c>
      <c r="E17" s="125">
        <v>828</v>
      </c>
      <c r="F17" s="126">
        <v>25</v>
      </c>
      <c r="G17" s="127">
        <v>675</v>
      </c>
      <c r="H17" s="125">
        <v>50.92</v>
      </c>
      <c r="I17" s="133">
        <v>25</v>
      </c>
      <c r="J17" s="127">
        <v>695</v>
      </c>
      <c r="K17" s="125">
        <v>6504</v>
      </c>
      <c r="L17" s="133">
        <v>26</v>
      </c>
      <c r="M17" s="165"/>
      <c r="Q17" s="55"/>
      <c r="R17" s="55"/>
      <c r="S17" s="55"/>
    </row>
    <row r="18" spans="1:19" s="53" customFormat="1" ht="22.25" customHeight="1">
      <c r="A18" s="122" t="s">
        <v>27</v>
      </c>
      <c r="B18" s="125">
        <v>0</v>
      </c>
      <c r="C18" s="126">
        <v>21</v>
      </c>
      <c r="D18" s="127">
        <v>656</v>
      </c>
      <c r="E18" s="125">
        <v>4074</v>
      </c>
      <c r="F18" s="126">
        <v>25</v>
      </c>
      <c r="G18" s="127">
        <v>676</v>
      </c>
      <c r="H18" s="125">
        <v>64.73</v>
      </c>
      <c r="I18" s="133">
        <v>25</v>
      </c>
      <c r="J18" s="127">
        <v>696</v>
      </c>
      <c r="K18" s="125">
        <v>10816</v>
      </c>
      <c r="L18" s="133">
        <v>27</v>
      </c>
      <c r="M18" s="165"/>
      <c r="Q18" s="55"/>
      <c r="R18" s="55"/>
      <c r="S18" s="55"/>
    </row>
    <row r="19" spans="1:19" s="53" customFormat="1" ht="22.25" customHeight="1">
      <c r="A19" s="122" t="s">
        <v>28</v>
      </c>
      <c r="B19" s="125">
        <v>0</v>
      </c>
      <c r="C19" s="126">
        <v>20</v>
      </c>
      <c r="D19" s="127">
        <v>657</v>
      </c>
      <c r="E19" s="125">
        <v>2832</v>
      </c>
      <c r="F19" s="126">
        <v>25</v>
      </c>
      <c r="G19" s="127">
        <v>677</v>
      </c>
      <c r="H19" s="125">
        <v>68.56</v>
      </c>
      <c r="I19" s="133">
        <v>25</v>
      </c>
      <c r="J19" s="127">
        <v>697</v>
      </c>
      <c r="K19" s="125">
        <v>11706</v>
      </c>
      <c r="L19" s="133">
        <v>26</v>
      </c>
      <c r="M19" s="165"/>
      <c r="Q19" s="55"/>
      <c r="R19" s="55"/>
      <c r="S19" s="55"/>
    </row>
    <row r="20" spans="1:19" s="53" customFormat="1" ht="22.25" customHeight="1">
      <c r="A20" s="122" t="s">
        <v>29</v>
      </c>
      <c r="B20" s="125">
        <v>0</v>
      </c>
      <c r="C20" s="126">
        <v>25</v>
      </c>
      <c r="D20" s="128">
        <v>658</v>
      </c>
      <c r="E20" s="125">
        <v>6939</v>
      </c>
      <c r="F20" s="126">
        <v>27</v>
      </c>
      <c r="G20" s="127">
        <v>678</v>
      </c>
      <c r="H20" s="125">
        <v>3.96</v>
      </c>
      <c r="I20" s="133">
        <v>25</v>
      </c>
      <c r="J20" s="127">
        <v>698</v>
      </c>
      <c r="K20" s="125">
        <v>4661</v>
      </c>
      <c r="L20" s="133">
        <v>28</v>
      </c>
      <c r="M20" s="165"/>
      <c r="Q20" s="55"/>
      <c r="R20" s="55"/>
      <c r="S20" s="55"/>
    </row>
    <row r="21" spans="1:19" s="53" customFormat="1" ht="22.25" customHeight="1">
      <c r="A21" s="122" t="s">
        <v>30</v>
      </c>
      <c r="B21" s="125">
        <v>0</v>
      </c>
      <c r="C21" s="126">
        <v>24</v>
      </c>
      <c r="D21" s="127">
        <v>659</v>
      </c>
      <c r="E21" s="125">
        <v>3202</v>
      </c>
      <c r="F21" s="126">
        <v>25</v>
      </c>
      <c r="G21" s="127">
        <v>680</v>
      </c>
      <c r="H21" s="125">
        <v>3880</v>
      </c>
      <c r="I21" s="133">
        <v>25</v>
      </c>
      <c r="J21" s="127">
        <v>699</v>
      </c>
      <c r="K21" s="125">
        <v>2513</v>
      </c>
      <c r="L21" s="133">
        <v>30</v>
      </c>
      <c r="M21" s="165"/>
      <c r="Q21" s="55"/>
      <c r="R21" s="55"/>
      <c r="S21" s="55"/>
    </row>
    <row r="22" spans="1:19" s="53" customFormat="1" ht="22.25" customHeight="1" thickBot="1">
      <c r="A22" s="129" t="s">
        <v>81</v>
      </c>
      <c r="B22" s="130">
        <v>0</v>
      </c>
      <c r="C22" s="130">
        <v>25</v>
      </c>
      <c r="D22" s="131">
        <v>660</v>
      </c>
      <c r="E22" s="130">
        <v>6873</v>
      </c>
      <c r="F22" s="132">
        <v>26</v>
      </c>
      <c r="G22" s="131"/>
      <c r="H22" s="130"/>
      <c r="I22" s="132"/>
      <c r="J22" s="131"/>
      <c r="K22" s="130"/>
      <c r="L22" s="132"/>
      <c r="M22" s="166"/>
      <c r="Q22" s="55"/>
      <c r="R22" s="55"/>
      <c r="S22" s="55"/>
    </row>
    <row r="23" spans="1:19" ht="36.6" customHeight="1" thickTop="1">
      <c r="A23" s="112"/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</row>
    <row r="24" spans="1:19" ht="21.05" customHeight="1" thickBot="1">
      <c r="A24" s="163"/>
      <c r="B24" s="163"/>
      <c r="C24" s="111"/>
      <c r="D24" s="111"/>
      <c r="E24" s="111"/>
      <c r="F24" s="111"/>
      <c r="G24" s="111"/>
      <c r="H24" s="111"/>
      <c r="I24" s="113"/>
      <c r="J24" s="111"/>
      <c r="K24" s="111"/>
      <c r="L24" s="113"/>
      <c r="M24" s="113" t="s">
        <v>176</v>
      </c>
    </row>
    <row r="25" spans="1:19" ht="20.149999999999999" customHeight="1" thickTop="1" thickBot="1">
      <c r="A25" s="114"/>
      <c r="B25" s="115" t="s">
        <v>160</v>
      </c>
      <c r="C25" s="116" t="s">
        <v>33</v>
      </c>
      <c r="D25" s="114" t="s">
        <v>31</v>
      </c>
      <c r="E25" s="115" t="s">
        <v>160</v>
      </c>
      <c r="F25" s="117" t="s">
        <v>33</v>
      </c>
      <c r="G25" s="114" t="s">
        <v>31</v>
      </c>
      <c r="H25" s="115" t="s">
        <v>32</v>
      </c>
      <c r="I25" s="117" t="s">
        <v>33</v>
      </c>
      <c r="J25" s="114" t="s">
        <v>31</v>
      </c>
      <c r="K25" s="115" t="s">
        <v>32</v>
      </c>
      <c r="L25" s="117" t="s">
        <v>33</v>
      </c>
      <c r="M25" s="118" t="s">
        <v>175</v>
      </c>
    </row>
    <row r="26" spans="1:19" ht="21.8" customHeight="1" thickTop="1">
      <c r="A26" s="119">
        <v>601</v>
      </c>
      <c r="B26" s="120">
        <v>6471</v>
      </c>
      <c r="C26" s="121">
        <v>28</v>
      </c>
      <c r="D26" s="122" t="s">
        <v>76</v>
      </c>
      <c r="E26" s="120">
        <v>0</v>
      </c>
      <c r="F26" s="121">
        <v>22</v>
      </c>
      <c r="G26" s="119">
        <v>661</v>
      </c>
      <c r="H26" s="120">
        <v>5155</v>
      </c>
      <c r="I26" s="123">
        <v>28</v>
      </c>
      <c r="J26" s="119">
        <v>681</v>
      </c>
      <c r="K26" s="120">
        <v>2583</v>
      </c>
      <c r="L26" s="124">
        <v>27</v>
      </c>
      <c r="M26" s="164"/>
    </row>
    <row r="27" spans="1:19" ht="21.8" customHeight="1">
      <c r="A27" s="119">
        <v>602</v>
      </c>
      <c r="B27" s="120">
        <v>7980</v>
      </c>
      <c r="C27" s="121">
        <v>28</v>
      </c>
      <c r="D27" s="122" t="s">
        <v>77</v>
      </c>
      <c r="E27" s="120">
        <v>3731</v>
      </c>
      <c r="F27" s="121">
        <v>27</v>
      </c>
      <c r="G27" s="119">
        <v>662</v>
      </c>
      <c r="H27" s="120">
        <v>6880</v>
      </c>
      <c r="I27" s="123">
        <v>27</v>
      </c>
      <c r="J27" s="119">
        <v>682</v>
      </c>
      <c r="K27" s="120">
        <v>2506</v>
      </c>
      <c r="L27" s="133">
        <v>27</v>
      </c>
      <c r="M27" s="165"/>
    </row>
    <row r="28" spans="1:19" ht="21.8" customHeight="1">
      <c r="A28" s="119">
        <v>603</v>
      </c>
      <c r="B28" s="120">
        <v>5582</v>
      </c>
      <c r="C28" s="121">
        <v>28</v>
      </c>
      <c r="D28" s="122">
        <v>631</v>
      </c>
      <c r="E28" s="120">
        <v>1649</v>
      </c>
      <c r="F28" s="121">
        <v>24</v>
      </c>
      <c r="G28" s="119">
        <v>663</v>
      </c>
      <c r="H28" s="120">
        <v>0</v>
      </c>
      <c r="I28" s="123">
        <v>29</v>
      </c>
      <c r="J28" s="119">
        <v>683</v>
      </c>
      <c r="K28" s="120">
        <v>775</v>
      </c>
      <c r="L28" s="133">
        <v>27</v>
      </c>
      <c r="M28" s="165"/>
    </row>
    <row r="29" spans="1:19" ht="21.8" customHeight="1">
      <c r="A29" s="119" t="s">
        <v>78</v>
      </c>
      <c r="B29" s="125">
        <v>3996</v>
      </c>
      <c r="C29" s="126">
        <v>28</v>
      </c>
      <c r="D29" s="127">
        <v>632</v>
      </c>
      <c r="E29" s="125">
        <v>555</v>
      </c>
      <c r="F29" s="126">
        <v>29</v>
      </c>
      <c r="G29" s="127">
        <v>664</v>
      </c>
      <c r="H29" s="125">
        <v>3699</v>
      </c>
      <c r="I29" s="124">
        <v>28</v>
      </c>
      <c r="J29" s="127">
        <v>684</v>
      </c>
      <c r="K29" s="125">
        <v>4890</v>
      </c>
      <c r="L29" s="133">
        <v>28</v>
      </c>
      <c r="M29" s="165"/>
    </row>
    <row r="30" spans="1:19" ht="21.8" customHeight="1">
      <c r="A30" s="119" t="s">
        <v>79</v>
      </c>
      <c r="B30" s="125">
        <v>9137</v>
      </c>
      <c r="C30" s="126">
        <v>24</v>
      </c>
      <c r="D30" s="127">
        <v>633</v>
      </c>
      <c r="E30" s="125">
        <v>1190</v>
      </c>
      <c r="F30" s="126">
        <v>21</v>
      </c>
      <c r="G30" s="127">
        <v>665</v>
      </c>
      <c r="H30" s="125">
        <v>1925</v>
      </c>
      <c r="I30" s="124">
        <v>27</v>
      </c>
      <c r="J30" s="127">
        <v>685</v>
      </c>
      <c r="K30" s="125">
        <v>5499</v>
      </c>
      <c r="L30" s="133">
        <v>28</v>
      </c>
      <c r="M30" s="165"/>
    </row>
    <row r="31" spans="1:19" ht="21.8" customHeight="1">
      <c r="A31" s="119">
        <v>611</v>
      </c>
      <c r="B31" s="125">
        <v>40.56</v>
      </c>
      <c r="C31" s="134">
        <v>25</v>
      </c>
      <c r="D31" s="127">
        <v>634</v>
      </c>
      <c r="E31" s="125">
        <v>528</v>
      </c>
      <c r="F31" s="126">
        <v>27</v>
      </c>
      <c r="G31" s="127">
        <v>666</v>
      </c>
      <c r="H31" s="125">
        <v>6076</v>
      </c>
      <c r="I31" s="124">
        <v>27</v>
      </c>
      <c r="J31" s="127">
        <v>686</v>
      </c>
      <c r="K31" s="125">
        <v>5598</v>
      </c>
      <c r="L31" s="133">
        <v>27</v>
      </c>
      <c r="M31" s="165"/>
    </row>
    <row r="32" spans="1:19" ht="21.8" customHeight="1">
      <c r="A32" s="119">
        <v>612</v>
      </c>
      <c r="B32" s="125">
        <v>7.82</v>
      </c>
      <c r="C32" s="134">
        <v>25</v>
      </c>
      <c r="D32" s="127">
        <v>641</v>
      </c>
      <c r="E32" s="125">
        <v>3584</v>
      </c>
      <c r="F32" s="126">
        <v>28</v>
      </c>
      <c r="G32" s="127">
        <v>667</v>
      </c>
      <c r="H32" s="125">
        <v>-142</v>
      </c>
      <c r="I32" s="124">
        <v>30</v>
      </c>
      <c r="J32" s="127">
        <v>687</v>
      </c>
      <c r="K32" s="125">
        <v>3436</v>
      </c>
      <c r="L32" s="133">
        <v>27</v>
      </c>
      <c r="M32" s="165"/>
    </row>
    <row r="33" spans="1:13" ht="21.8" customHeight="1">
      <c r="A33" s="119">
        <v>613</v>
      </c>
      <c r="B33" s="125">
        <v>47.45</v>
      </c>
      <c r="C33" s="134">
        <v>25</v>
      </c>
      <c r="D33" s="127">
        <v>642</v>
      </c>
      <c r="E33" s="125">
        <v>1565</v>
      </c>
      <c r="F33" s="126">
        <v>34</v>
      </c>
      <c r="G33" s="127">
        <v>668</v>
      </c>
      <c r="H33" s="125">
        <v>2175</v>
      </c>
      <c r="I33" s="124">
        <v>29</v>
      </c>
      <c r="J33" s="127">
        <v>688</v>
      </c>
      <c r="K33" s="125">
        <v>2658</v>
      </c>
      <c r="L33" s="133">
        <v>28</v>
      </c>
      <c r="M33" s="165"/>
    </row>
    <row r="34" spans="1:13" ht="21.8" customHeight="1">
      <c r="A34" s="119">
        <v>614</v>
      </c>
      <c r="B34" s="125">
        <v>9.6199999999999992</v>
      </c>
      <c r="C34" s="134">
        <v>25</v>
      </c>
      <c r="D34" s="127">
        <v>643</v>
      </c>
      <c r="E34" s="125">
        <v>5959</v>
      </c>
      <c r="F34" s="126">
        <v>27</v>
      </c>
      <c r="G34" s="127">
        <v>669</v>
      </c>
      <c r="H34" s="125">
        <v>-215</v>
      </c>
      <c r="I34" s="124">
        <v>28</v>
      </c>
      <c r="J34" s="127">
        <v>689</v>
      </c>
      <c r="K34" s="125">
        <v>4316</v>
      </c>
      <c r="L34" s="133">
        <v>28</v>
      </c>
      <c r="M34" s="165"/>
    </row>
    <row r="35" spans="1:13" ht="21.8" customHeight="1">
      <c r="A35" s="119">
        <v>621</v>
      </c>
      <c r="B35" s="125">
        <v>3942</v>
      </c>
      <c r="C35" s="126">
        <v>29</v>
      </c>
      <c r="D35" s="127">
        <v>645</v>
      </c>
      <c r="E35" s="125">
        <v>5177</v>
      </c>
      <c r="F35" s="126">
        <v>27</v>
      </c>
      <c r="G35" s="127">
        <v>670</v>
      </c>
      <c r="H35" s="125">
        <v>-9905</v>
      </c>
      <c r="I35" s="124">
        <v>28</v>
      </c>
      <c r="J35" s="127">
        <v>690</v>
      </c>
      <c r="K35" s="125">
        <v>678</v>
      </c>
      <c r="L35" s="124">
        <v>27</v>
      </c>
      <c r="M35" s="165"/>
    </row>
    <row r="36" spans="1:13" ht="21.8" customHeight="1">
      <c r="A36" s="119">
        <v>622</v>
      </c>
      <c r="B36" s="125">
        <v>1141</v>
      </c>
      <c r="C36" s="126">
        <v>28</v>
      </c>
      <c r="D36" s="127">
        <v>651</v>
      </c>
      <c r="E36" s="125">
        <v>4774</v>
      </c>
      <c r="F36" s="126">
        <v>31</v>
      </c>
      <c r="G36" s="127">
        <v>671</v>
      </c>
      <c r="H36" s="125">
        <v>0</v>
      </c>
      <c r="I36" s="124">
        <v>29</v>
      </c>
      <c r="J36" s="127">
        <v>691</v>
      </c>
      <c r="K36" s="125">
        <v>3012</v>
      </c>
      <c r="L36" s="133">
        <v>29</v>
      </c>
      <c r="M36" s="165"/>
    </row>
    <row r="37" spans="1:13" ht="21.8" customHeight="1">
      <c r="A37" s="119">
        <v>623</v>
      </c>
      <c r="B37" s="125">
        <v>5372</v>
      </c>
      <c r="C37" s="126">
        <v>31</v>
      </c>
      <c r="D37" s="127">
        <v>652</v>
      </c>
      <c r="E37" s="125">
        <v>3947</v>
      </c>
      <c r="F37" s="126">
        <v>25</v>
      </c>
      <c r="G37" s="127">
        <v>672</v>
      </c>
      <c r="H37" s="125">
        <v>6138</v>
      </c>
      <c r="I37" s="124">
        <v>27</v>
      </c>
      <c r="J37" s="127">
        <v>692</v>
      </c>
      <c r="K37" s="125">
        <v>849</v>
      </c>
      <c r="L37" s="133">
        <v>28</v>
      </c>
      <c r="M37" s="165"/>
    </row>
    <row r="38" spans="1:13" ht="21.8" customHeight="1">
      <c r="A38" s="122">
        <v>624</v>
      </c>
      <c r="B38" s="125">
        <v>1770</v>
      </c>
      <c r="C38" s="126">
        <v>27</v>
      </c>
      <c r="D38" s="128">
        <v>653</v>
      </c>
      <c r="E38" s="125">
        <v>0</v>
      </c>
      <c r="F38" s="126">
        <v>24</v>
      </c>
      <c r="G38" s="127">
        <v>673</v>
      </c>
      <c r="H38" s="125">
        <v>4943</v>
      </c>
      <c r="I38" s="124">
        <v>30</v>
      </c>
      <c r="J38" s="127">
        <v>693</v>
      </c>
      <c r="K38" s="125">
        <v>7026</v>
      </c>
      <c r="L38" s="133">
        <v>28</v>
      </c>
      <c r="M38" s="165"/>
    </row>
    <row r="39" spans="1:13" ht="21.8" customHeight="1">
      <c r="A39" s="122" t="s">
        <v>80</v>
      </c>
      <c r="B39" s="125">
        <v>7174</v>
      </c>
      <c r="C39" s="126">
        <v>27</v>
      </c>
      <c r="D39" s="127">
        <v>654</v>
      </c>
      <c r="E39" s="125">
        <v>0</v>
      </c>
      <c r="F39" s="126">
        <v>30</v>
      </c>
      <c r="G39" s="127">
        <v>674</v>
      </c>
      <c r="H39" s="125">
        <v>776</v>
      </c>
      <c r="I39" s="124">
        <v>28</v>
      </c>
      <c r="J39" s="127">
        <v>694</v>
      </c>
      <c r="K39" s="125">
        <v>1760</v>
      </c>
      <c r="L39" s="133">
        <v>27</v>
      </c>
      <c r="M39" s="165"/>
    </row>
    <row r="40" spans="1:13" ht="21.8" customHeight="1">
      <c r="A40" s="122" t="s">
        <v>26</v>
      </c>
      <c r="B40" s="125">
        <v>5227</v>
      </c>
      <c r="C40" s="126">
        <v>32</v>
      </c>
      <c r="D40" s="128">
        <v>655</v>
      </c>
      <c r="E40" s="125">
        <v>903</v>
      </c>
      <c r="F40" s="126">
        <v>30</v>
      </c>
      <c r="G40" s="127">
        <v>675</v>
      </c>
      <c r="H40" s="125">
        <v>84.51</v>
      </c>
      <c r="I40" s="133">
        <v>25</v>
      </c>
      <c r="J40" s="127">
        <v>695</v>
      </c>
      <c r="K40" s="125">
        <v>6574</v>
      </c>
      <c r="L40" s="133">
        <v>27</v>
      </c>
      <c r="M40" s="165"/>
    </row>
    <row r="41" spans="1:13" ht="21.8" customHeight="1">
      <c r="A41" s="122" t="s">
        <v>27</v>
      </c>
      <c r="B41" s="125">
        <v>0</v>
      </c>
      <c r="C41" s="126">
        <v>25</v>
      </c>
      <c r="D41" s="127">
        <v>656</v>
      </c>
      <c r="E41" s="125">
        <v>4084</v>
      </c>
      <c r="F41" s="126">
        <v>29</v>
      </c>
      <c r="G41" s="127">
        <v>676</v>
      </c>
      <c r="H41" s="125">
        <v>0</v>
      </c>
      <c r="I41" s="133">
        <v>25</v>
      </c>
      <c r="J41" s="127">
        <v>696</v>
      </c>
      <c r="K41" s="125">
        <v>11294</v>
      </c>
      <c r="L41" s="133">
        <v>27</v>
      </c>
      <c r="M41" s="165"/>
    </row>
    <row r="42" spans="1:13" ht="21.8" customHeight="1">
      <c r="A42" s="122" t="s">
        <v>28</v>
      </c>
      <c r="B42" s="125">
        <v>0</v>
      </c>
      <c r="C42" s="126">
        <v>25</v>
      </c>
      <c r="D42" s="127">
        <v>657</v>
      </c>
      <c r="E42" s="125">
        <v>2830</v>
      </c>
      <c r="F42" s="126">
        <v>27</v>
      </c>
      <c r="G42" s="127">
        <v>677</v>
      </c>
      <c r="H42" s="125">
        <v>68.510000000000005</v>
      </c>
      <c r="I42" s="133">
        <v>25</v>
      </c>
      <c r="J42" s="127">
        <v>697</v>
      </c>
      <c r="K42" s="125">
        <v>11704</v>
      </c>
      <c r="L42" s="133">
        <v>27</v>
      </c>
      <c r="M42" s="165"/>
    </row>
    <row r="43" spans="1:13" ht="21.8" customHeight="1">
      <c r="A43" s="122" t="s">
        <v>29</v>
      </c>
      <c r="B43" s="125">
        <v>0</v>
      </c>
      <c r="C43" s="126">
        <v>27</v>
      </c>
      <c r="D43" s="128">
        <v>658</v>
      </c>
      <c r="E43" s="125">
        <v>3978</v>
      </c>
      <c r="F43" s="126">
        <v>29</v>
      </c>
      <c r="G43" s="127">
        <v>678</v>
      </c>
      <c r="H43" s="125">
        <v>3.82</v>
      </c>
      <c r="I43" s="133">
        <v>25</v>
      </c>
      <c r="J43" s="127">
        <v>698</v>
      </c>
      <c r="K43" s="125">
        <v>4660</v>
      </c>
      <c r="L43" s="133">
        <v>29</v>
      </c>
      <c r="M43" s="165"/>
    </row>
    <row r="44" spans="1:13" ht="21.8" customHeight="1">
      <c r="A44" s="122" t="s">
        <v>30</v>
      </c>
      <c r="B44" s="125">
        <v>0</v>
      </c>
      <c r="C44" s="126">
        <v>27</v>
      </c>
      <c r="D44" s="127">
        <v>659</v>
      </c>
      <c r="E44" s="125">
        <v>4708</v>
      </c>
      <c r="F44" s="126">
        <v>26</v>
      </c>
      <c r="G44" s="127">
        <v>680</v>
      </c>
      <c r="H44" s="125">
        <v>3880</v>
      </c>
      <c r="I44" s="133">
        <v>27</v>
      </c>
      <c r="J44" s="127">
        <v>699</v>
      </c>
      <c r="K44" s="125">
        <v>2957</v>
      </c>
      <c r="L44" s="133">
        <v>31</v>
      </c>
      <c r="M44" s="165"/>
    </row>
    <row r="45" spans="1:13" ht="21.8" customHeight="1" thickBot="1">
      <c r="A45" s="129" t="s">
        <v>81</v>
      </c>
      <c r="B45" s="130">
        <v>0</v>
      </c>
      <c r="C45" s="130">
        <v>30</v>
      </c>
      <c r="D45" s="131">
        <v>660</v>
      </c>
      <c r="E45" s="130">
        <v>6873</v>
      </c>
      <c r="F45" s="132">
        <v>28</v>
      </c>
      <c r="G45" s="131"/>
      <c r="H45" s="130"/>
      <c r="I45" s="132"/>
      <c r="J45" s="131"/>
      <c r="K45" s="130"/>
      <c r="L45" s="132"/>
      <c r="M45" s="166"/>
    </row>
    <row r="46" spans="1:13" ht="16.350000000000001" thickTop="1"/>
  </sheetData>
  <sheetProtection selectLockedCells="1"/>
  <mergeCells count="9">
    <mergeCell ref="S13:S15"/>
    <mergeCell ref="A24:B24"/>
    <mergeCell ref="M26:M45"/>
    <mergeCell ref="A1:B1"/>
    <mergeCell ref="M3:M22"/>
    <mergeCell ref="N13:N15"/>
    <mergeCell ref="O13:O15"/>
    <mergeCell ref="P13:P15"/>
    <mergeCell ref="Q13:Q15"/>
  </mergeCells>
  <phoneticPr fontId="2" type="noConversion"/>
  <dataValidations count="8">
    <dataValidation type="custom" errorStyle="warning" allowBlank="1" showInputMessage="1" showErrorMessage="1" error="***你在睡喔,醒醒好嗎" sqref="B6:B7 B4 B15 B38 E8 B29:B30 B27 E31">
      <formula1>B4&lt;=9100</formula1>
    </dataValidation>
    <dataValidation type="custom" errorStyle="warning" allowBlank="1" showInputMessage="1" showErrorMessage="1" error="***你在睡喔,醒醒好嗎" sqref="B8:B11 B31:B34 H17:H20 H40:H43">
      <formula1>B8&lt;=100</formula1>
    </dataValidation>
    <dataValidation type="custom" errorStyle="warning" allowBlank="1" showInputMessage="1" showErrorMessage="1" error="***你在睡喔,醒醒好嗎" sqref="B16:B22 H3:H16 E20:E22 E3:E4 B39:B45 E26:E27 E43:E45 H26:H39">
      <formula1>B3&lt;=7400</formula1>
    </dataValidation>
    <dataValidation type="custom" errorStyle="warning" allowBlank="1" showInputMessage="1" showErrorMessage="1" error="***你在睡喔,醒醒好嗎" sqref="E14:E19 E37:E42">
      <formula1>E14&lt;=5500</formula1>
    </dataValidation>
    <dataValidation type="custom" errorStyle="warning" allowBlank="1" showInputMessage="1" showErrorMessage="1" error="***你在睡喔,醒醒好嗎" sqref="H21 K12 H44 K35">
      <formula1>H12&lt;=4100</formula1>
    </dataValidation>
    <dataValidation type="custom" errorStyle="warning" allowBlank="1" showInputMessage="1" showErrorMessage="1" error="***你在睡喔,醒醒好嗎" sqref="E5:E6 E28:E29 B12:B13 B3 K14:K17 B5 B28 B35:B36 B26 K37:K40">
      <formula1>B3&lt;=7000</formula1>
    </dataValidation>
    <dataValidation type="custom" errorStyle="warning" allowBlank="1" showInputMessage="1" showErrorMessage="1" error="***你在睡喔,醒醒好嗎" sqref="K18:K21 K41:K44">
      <formula1>K18&lt;=12000</formula1>
    </dataValidation>
    <dataValidation type="custom" errorStyle="warning" allowBlank="1" showInputMessage="1" showErrorMessage="1" error="***你在睡喔,醒醒好嗎" sqref="B14 E7 K3:K11 E9:E13 K13 E30 B37 E32:E36 K26:K34 K36">
      <formula1>B3&lt;=5600</formula1>
    </dataValidation>
  </dataValidations>
  <printOptions horizontalCentered="1"/>
  <pageMargins left="0.39370078740157483" right="0.19685039370078741" top="0.19685039370078741" bottom="0" header="0" footer="0"/>
  <pageSetup paperSize="9" scale="85" pageOrder="overThenDown" orientation="portrait" horizontalDpi="180" verticalDpi="18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47682" r:id="rId4" name="CommandButton2">
          <controlPr autoLine="0" r:id="rId5">
            <anchor moveWithCells="1">
              <from>
                <xdr:col>13</xdr:col>
                <xdr:colOff>23052</xdr:colOff>
                <xdr:row>25</xdr:row>
                <xdr:rowOff>61472</xdr:rowOff>
              </from>
              <to>
                <xdr:col>15</xdr:col>
                <xdr:colOff>545566</xdr:colOff>
                <xdr:row>32</xdr:row>
                <xdr:rowOff>0</xdr:rowOff>
              </to>
            </anchor>
          </controlPr>
        </control>
      </mc:Choice>
      <mc:Fallback>
        <control shapeId="2247682" r:id="rId4" name="CommandButton2"/>
      </mc:Fallback>
    </mc:AlternateContent>
    <mc:AlternateContent xmlns:mc="http://schemas.openxmlformats.org/markup-compatibility/2006">
      <mc:Choice Requires="x14">
        <control shapeId="2247681" r:id="rId6" name="CommandButton1">
          <controlPr autoLine="0" r:id="rId7">
            <anchor moveWithCells="1">
              <from>
                <xdr:col>13</xdr:col>
                <xdr:colOff>61472</xdr:colOff>
                <xdr:row>15</xdr:row>
                <xdr:rowOff>199785</xdr:rowOff>
              </from>
              <to>
                <xdr:col>15</xdr:col>
                <xdr:colOff>522514</xdr:colOff>
                <xdr:row>22</xdr:row>
                <xdr:rowOff>391886</xdr:rowOff>
              </to>
            </anchor>
          </controlPr>
        </control>
      </mc:Choice>
      <mc:Fallback>
        <control shapeId="2247681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pageSetUpPr fitToPage="1"/>
  </sheetPr>
  <dimension ref="A1:X94"/>
  <sheetViews>
    <sheetView showRuler="0" view="pageBreakPreview" zoomScale="60" zoomScaleNormal="60" workbookViewId="0">
      <pane ySplit="1" topLeftCell="A2" activePane="bottomLeft" state="frozen"/>
      <selection activeCell="K12" sqref="K12"/>
      <selection pane="bottomLeft" activeCell="N9" sqref="N9"/>
    </sheetView>
  </sheetViews>
  <sheetFormatPr defaultColWidth="9" defaultRowHeight="16.350000000000001"/>
  <cols>
    <col min="1" max="1" width="9.44140625" style="47" customWidth="1"/>
    <col min="2" max="10" width="10.6640625" style="47" customWidth="1"/>
    <col min="11" max="12" width="10.6640625" style="6" customWidth="1"/>
    <col min="13" max="13" width="10.6640625" style="50" customWidth="1"/>
    <col min="14" max="16" width="10.6640625" style="6" customWidth="1"/>
    <col min="17" max="17" width="12.88671875" style="47" customWidth="1"/>
    <col min="18" max="18" width="10.6640625" style="6" customWidth="1"/>
    <col min="19" max="19" width="10.6640625" style="47" customWidth="1"/>
    <col min="20" max="20" width="10.6640625" style="6" customWidth="1"/>
    <col min="21" max="21" width="10.6640625" style="51" customWidth="1"/>
    <col min="22" max="23" width="9.88671875" style="6" bestFit="1" customWidth="1"/>
    <col min="24" max="24" width="15.44140625" style="6" bestFit="1" customWidth="1"/>
    <col min="25" max="16384" width="9" style="6"/>
  </cols>
  <sheetData>
    <row r="1" spans="1:24" ht="49.2" customHeight="1">
      <c r="A1" s="1" t="s">
        <v>6</v>
      </c>
      <c r="B1" s="2" t="s">
        <v>7</v>
      </c>
      <c r="C1" s="2" t="s">
        <v>8</v>
      </c>
      <c r="D1" s="2" t="s">
        <v>9</v>
      </c>
      <c r="E1" s="2" t="s">
        <v>10</v>
      </c>
      <c r="F1" s="3" t="s">
        <v>11</v>
      </c>
      <c r="G1" s="2" t="s">
        <v>12</v>
      </c>
      <c r="H1" s="2" t="s">
        <v>13</v>
      </c>
      <c r="I1" s="2" t="s">
        <v>14</v>
      </c>
      <c r="J1" s="4" t="s">
        <v>15</v>
      </c>
      <c r="K1" s="2" t="s">
        <v>16</v>
      </c>
      <c r="L1" s="2" t="s">
        <v>17</v>
      </c>
      <c r="M1" s="2" t="s">
        <v>18</v>
      </c>
      <c r="N1" s="2" t="s">
        <v>19</v>
      </c>
      <c r="O1" s="4" t="s">
        <v>20</v>
      </c>
      <c r="P1" s="3" t="s">
        <v>21</v>
      </c>
      <c r="Q1" s="2" t="s">
        <v>70</v>
      </c>
      <c r="R1" s="2" t="s">
        <v>22</v>
      </c>
      <c r="S1" s="2" t="s">
        <v>23</v>
      </c>
      <c r="T1" s="2" t="s">
        <v>24</v>
      </c>
      <c r="U1" s="5" t="s">
        <v>25</v>
      </c>
      <c r="V1" s="5" t="s">
        <v>34</v>
      </c>
      <c r="W1" s="5" t="s">
        <v>38</v>
      </c>
      <c r="X1" s="5" t="s">
        <v>75</v>
      </c>
    </row>
    <row r="2" spans="1:24" s="13" customFormat="1" ht="26.5" customHeight="1" thickBot="1">
      <c r="A2" s="7">
        <v>1</v>
      </c>
      <c r="B2" s="8">
        <v>0.80020000000000002</v>
      </c>
      <c r="C2" s="8">
        <v>1.1264000000000001</v>
      </c>
      <c r="D2" s="8">
        <v>1.0450999999999999</v>
      </c>
      <c r="E2" s="8">
        <v>0.81089999999999995</v>
      </c>
      <c r="F2" s="9"/>
      <c r="G2" s="8">
        <v>0.80520000000000003</v>
      </c>
      <c r="H2" s="8">
        <v>0.93820000000000003</v>
      </c>
      <c r="I2" s="8">
        <v>1.0691999999999999</v>
      </c>
      <c r="J2" s="10">
        <v>0.98939999999999995</v>
      </c>
      <c r="K2" s="8">
        <v>0.96160000000000001</v>
      </c>
      <c r="L2" s="11">
        <v>0.95099999999999996</v>
      </c>
      <c r="M2" s="8"/>
      <c r="N2" s="11">
        <v>0.94899999999999995</v>
      </c>
      <c r="O2" s="11">
        <v>0.93500000000000005</v>
      </c>
      <c r="P2" s="9"/>
      <c r="Q2" s="27">
        <v>0.95454000000000006</v>
      </c>
      <c r="R2" s="8">
        <v>0.82220000000000004</v>
      </c>
      <c r="S2" s="12">
        <v>1.0519000000000001</v>
      </c>
      <c r="T2" s="8">
        <v>0.96960000000000002</v>
      </c>
      <c r="U2" s="8">
        <v>1.028</v>
      </c>
      <c r="V2" s="16">
        <v>0.96399999999999997</v>
      </c>
      <c r="W2" s="16">
        <v>0.97658999999999996</v>
      </c>
      <c r="X2" s="16">
        <v>0.81481000000000003</v>
      </c>
    </row>
    <row r="3" spans="1:24" s="13" customFormat="1" ht="26.5" customHeight="1" thickTop="1" thickBot="1">
      <c r="A3" s="7">
        <v>2</v>
      </c>
      <c r="B3" s="8">
        <v>0.79930000000000001</v>
      </c>
      <c r="C3" s="8">
        <v>1.1257999999999999</v>
      </c>
      <c r="D3" s="8">
        <v>1.0471999999999999</v>
      </c>
      <c r="E3" s="14">
        <v>0.81</v>
      </c>
      <c r="F3" s="9"/>
      <c r="G3" s="8">
        <v>0.80420000000000003</v>
      </c>
      <c r="H3" s="8">
        <v>0.93730000000000002</v>
      </c>
      <c r="I3" s="8">
        <v>1.0681</v>
      </c>
      <c r="J3" s="10">
        <v>0.98939999999999995</v>
      </c>
      <c r="K3" s="8">
        <v>0.9607</v>
      </c>
      <c r="L3" s="11">
        <v>0.96</v>
      </c>
      <c r="M3" s="8"/>
      <c r="N3" s="11">
        <v>0.94899999999999995</v>
      </c>
      <c r="O3" s="11">
        <v>0.93500000000000005</v>
      </c>
      <c r="P3" s="9"/>
      <c r="Q3" s="27">
        <v>0.95454000000000006</v>
      </c>
      <c r="R3" s="8">
        <v>0.82120000000000004</v>
      </c>
      <c r="S3" s="12">
        <v>1.0511999999999999</v>
      </c>
      <c r="T3" s="8">
        <v>0.96870000000000001</v>
      </c>
      <c r="U3" s="8">
        <v>1.028</v>
      </c>
      <c r="V3" s="16">
        <v>0.96399999999999997</v>
      </c>
      <c r="W3" s="16">
        <v>0.97658999999999996</v>
      </c>
      <c r="X3" s="16">
        <v>0.81481000000000003</v>
      </c>
    </row>
    <row r="4" spans="1:24" s="13" customFormat="1" ht="26.5" customHeight="1" thickTop="1" thickBot="1">
      <c r="A4" s="7">
        <v>3</v>
      </c>
      <c r="B4" s="8">
        <v>0.7984</v>
      </c>
      <c r="C4" s="8">
        <v>1.1251</v>
      </c>
      <c r="D4" s="8">
        <v>1.0463</v>
      </c>
      <c r="E4" s="8">
        <v>0.80910000000000004</v>
      </c>
      <c r="F4" s="9"/>
      <c r="G4" s="8">
        <v>0.80320000000000003</v>
      </c>
      <c r="H4" s="8">
        <v>0.93630000000000002</v>
      </c>
      <c r="I4" s="14">
        <v>1.0669999999999999</v>
      </c>
      <c r="J4" s="10">
        <v>0.98939999999999995</v>
      </c>
      <c r="K4" s="8">
        <v>0.95989999999999998</v>
      </c>
      <c r="L4" s="11">
        <v>0.95899999999999996</v>
      </c>
      <c r="M4" s="8"/>
      <c r="N4" s="11">
        <v>0.94899999999999995</v>
      </c>
      <c r="O4" s="11">
        <v>0.93500000000000005</v>
      </c>
      <c r="P4" s="9"/>
      <c r="Q4" s="27">
        <v>0.95454000000000006</v>
      </c>
      <c r="R4" s="8">
        <v>0.82020000000000004</v>
      </c>
      <c r="S4" s="12">
        <v>1.0504</v>
      </c>
      <c r="T4" s="8">
        <v>0.96789999999999998</v>
      </c>
      <c r="U4" s="8">
        <v>1.028</v>
      </c>
      <c r="V4" s="16">
        <v>0.96399999999999997</v>
      </c>
      <c r="W4" s="16">
        <v>0.97658999999999996</v>
      </c>
      <c r="X4" s="16">
        <v>0.81481000000000003</v>
      </c>
    </row>
    <row r="5" spans="1:24" s="13" customFormat="1" ht="24.05" customHeight="1" thickTop="1" thickBot="1">
      <c r="A5" s="7">
        <v>4</v>
      </c>
      <c r="B5" s="8">
        <v>0.79749999999999999</v>
      </c>
      <c r="C5" s="8">
        <v>1.1245000000000001</v>
      </c>
      <c r="D5" s="8">
        <v>1.0454000000000001</v>
      </c>
      <c r="E5" s="8">
        <v>0.80820000000000003</v>
      </c>
      <c r="F5" s="9"/>
      <c r="G5" s="8">
        <v>0.80220000000000002</v>
      </c>
      <c r="H5" s="8">
        <v>0.93530000000000002</v>
      </c>
      <c r="I5" s="8">
        <v>1.0659000000000001</v>
      </c>
      <c r="J5" s="10">
        <v>0.98939999999999995</v>
      </c>
      <c r="K5" s="8">
        <v>0.95899999999999996</v>
      </c>
      <c r="L5" s="11">
        <v>0.95799999999999996</v>
      </c>
      <c r="M5" s="8"/>
      <c r="N5" s="11">
        <v>0.94899999999999995</v>
      </c>
      <c r="O5" s="11">
        <v>0.93500000000000005</v>
      </c>
      <c r="P5" s="9"/>
      <c r="Q5" s="27">
        <v>0.95454000000000006</v>
      </c>
      <c r="R5" s="8">
        <v>0.81920000000000004</v>
      </c>
      <c r="S5" s="12">
        <v>1.0497000000000001</v>
      </c>
      <c r="T5" s="8">
        <v>0.96699999999999997</v>
      </c>
      <c r="U5" s="8">
        <v>1.028</v>
      </c>
      <c r="V5" s="16">
        <v>0.96399999999999997</v>
      </c>
      <c r="W5" s="16">
        <v>0.97658999999999996</v>
      </c>
      <c r="X5" s="16">
        <v>0.81481000000000003</v>
      </c>
    </row>
    <row r="6" spans="1:24" ht="22.55" customHeight="1" thickTop="1" thickBot="1">
      <c r="A6" s="15">
        <v>5</v>
      </c>
      <c r="B6" s="16">
        <v>0.79659999999999997</v>
      </c>
      <c r="C6" s="16">
        <v>1.1237999999999999</v>
      </c>
      <c r="D6" s="16">
        <v>1.0445</v>
      </c>
      <c r="E6" s="16">
        <v>0.80730000000000002</v>
      </c>
      <c r="F6" s="17"/>
      <c r="G6" s="16">
        <v>0.80120000000000002</v>
      </c>
      <c r="H6" s="16">
        <v>0.93440000000000001</v>
      </c>
      <c r="I6" s="16">
        <v>1.0648</v>
      </c>
      <c r="J6" s="16">
        <v>0.98939999999999995</v>
      </c>
      <c r="K6" s="16">
        <v>0.95820000000000005</v>
      </c>
      <c r="L6" s="16">
        <v>0.95699999999999996</v>
      </c>
      <c r="M6" s="18"/>
      <c r="N6" s="18">
        <v>0.94899999999999995</v>
      </c>
      <c r="O6" s="18">
        <v>0.93500000000000005</v>
      </c>
      <c r="P6" s="19"/>
      <c r="Q6" s="27">
        <v>0.95454000000000006</v>
      </c>
      <c r="R6" s="18">
        <v>0.81820000000000004</v>
      </c>
      <c r="S6" s="20">
        <v>1.0488</v>
      </c>
      <c r="T6" s="16">
        <v>0.96609999999999996</v>
      </c>
      <c r="U6" s="16">
        <v>1.028</v>
      </c>
      <c r="V6" s="16">
        <v>0.96399999999999997</v>
      </c>
      <c r="W6" s="16">
        <v>0.97658999999999996</v>
      </c>
      <c r="X6" s="16">
        <v>0.81481000000000003</v>
      </c>
    </row>
    <row r="7" spans="1:24" ht="22.55" customHeight="1" thickTop="1" thickBot="1">
      <c r="A7" s="21">
        <v>6</v>
      </c>
      <c r="B7" s="22">
        <v>0.79569999999999996</v>
      </c>
      <c r="C7" s="22">
        <v>1.123</v>
      </c>
      <c r="D7" s="22">
        <v>1.0436000000000001</v>
      </c>
      <c r="E7" s="22">
        <v>0.80620000000000003</v>
      </c>
      <c r="F7" s="22"/>
      <c r="G7" s="22">
        <v>0.80020000000000002</v>
      </c>
      <c r="H7" s="22">
        <v>0.93340000000000001</v>
      </c>
      <c r="I7" s="22">
        <v>1.0637000000000001</v>
      </c>
      <c r="J7" s="22">
        <v>0.98939999999999995</v>
      </c>
      <c r="K7" s="22">
        <v>0.95730000000000004</v>
      </c>
      <c r="L7" s="22">
        <v>0.95599999999999996</v>
      </c>
      <c r="M7" s="16">
        <v>0.88029999999999997</v>
      </c>
      <c r="N7" s="23">
        <v>0.94799999999999995</v>
      </c>
      <c r="O7" s="23">
        <v>0.93500000000000005</v>
      </c>
      <c r="P7" s="24"/>
      <c r="Q7" s="27">
        <v>0.95454000000000006</v>
      </c>
      <c r="R7" s="23">
        <v>0.81720000000000004</v>
      </c>
      <c r="S7" s="25">
        <v>1.0481</v>
      </c>
      <c r="T7" s="22">
        <v>0.96509999999999996</v>
      </c>
      <c r="U7" s="8">
        <v>1.028</v>
      </c>
      <c r="V7" s="16">
        <v>0.96399999999999997</v>
      </c>
      <c r="W7" s="16">
        <v>0.9758</v>
      </c>
      <c r="X7" s="16">
        <v>0.81481000000000003</v>
      </c>
    </row>
    <row r="8" spans="1:24" ht="22.55" customHeight="1" thickTop="1" thickBot="1">
      <c r="A8" s="26">
        <v>7</v>
      </c>
      <c r="B8" s="27">
        <v>0.79479999999999995</v>
      </c>
      <c r="C8" s="27">
        <v>1.1222000000000001</v>
      </c>
      <c r="D8" s="27">
        <v>1.0427</v>
      </c>
      <c r="E8" s="27">
        <v>0.80510000000000004</v>
      </c>
      <c r="F8" s="27"/>
      <c r="G8" s="28">
        <v>0.79920000000000002</v>
      </c>
      <c r="H8" s="28">
        <v>0.9325</v>
      </c>
      <c r="I8" s="28">
        <v>1.0625</v>
      </c>
      <c r="J8" s="28">
        <v>0.98939999999999995</v>
      </c>
      <c r="K8" s="28">
        <v>0.95640000000000003</v>
      </c>
      <c r="L8" s="28">
        <v>0.95499999999999996</v>
      </c>
      <c r="M8" s="22">
        <v>0.88029999999999997</v>
      </c>
      <c r="N8" s="28">
        <v>0.94799999999999995</v>
      </c>
      <c r="O8" s="28">
        <v>0.93500000000000005</v>
      </c>
      <c r="P8" s="29"/>
      <c r="Q8" s="27">
        <v>0.95454000000000006</v>
      </c>
      <c r="R8" s="28">
        <v>0.81620000000000004</v>
      </c>
      <c r="S8" s="25">
        <v>1.0472999999999999</v>
      </c>
      <c r="T8" s="22">
        <v>0.96430000000000005</v>
      </c>
      <c r="U8" s="8">
        <v>1.028</v>
      </c>
      <c r="V8" s="16">
        <v>0.96399999999999997</v>
      </c>
      <c r="W8" s="16">
        <v>0.97501000000000004</v>
      </c>
      <c r="X8" s="16">
        <v>0.81481000000000003</v>
      </c>
    </row>
    <row r="9" spans="1:24" ht="22.55" customHeight="1" thickTop="1" thickBot="1">
      <c r="A9" s="26">
        <v>8</v>
      </c>
      <c r="B9" s="27">
        <v>0.79400000000000004</v>
      </c>
      <c r="C9" s="27">
        <v>1.1214</v>
      </c>
      <c r="D9" s="27">
        <v>1.0418000000000001</v>
      </c>
      <c r="E9" s="27">
        <v>0.80389999999999995</v>
      </c>
      <c r="F9" s="27"/>
      <c r="G9" s="27">
        <v>0.79820000000000002</v>
      </c>
      <c r="H9" s="27">
        <v>0.93149999999999999</v>
      </c>
      <c r="I9" s="27">
        <v>1.0613999999999999</v>
      </c>
      <c r="J9" s="27">
        <v>0.98939999999999995</v>
      </c>
      <c r="K9" s="27">
        <v>0.9556</v>
      </c>
      <c r="L9" s="27">
        <v>0.95399999999999996</v>
      </c>
      <c r="M9" s="27">
        <v>0.88029999999999997</v>
      </c>
      <c r="N9" s="28">
        <v>0.94799999999999995</v>
      </c>
      <c r="O9" s="28">
        <v>0.93500000000000005</v>
      </c>
      <c r="P9" s="29"/>
      <c r="Q9" s="27">
        <v>0.95454000000000006</v>
      </c>
      <c r="R9" s="28">
        <v>0.81520000000000004</v>
      </c>
      <c r="S9" s="27">
        <v>1.0465</v>
      </c>
      <c r="T9" s="22">
        <v>0.96330000000000005</v>
      </c>
      <c r="U9" s="8">
        <v>1.028</v>
      </c>
      <c r="V9" s="16">
        <v>0.96399999999999997</v>
      </c>
      <c r="W9" s="16">
        <v>0.97422000000000009</v>
      </c>
      <c r="X9" s="16">
        <v>0.81481000000000003</v>
      </c>
    </row>
    <row r="10" spans="1:24" ht="22.55" customHeight="1" thickTop="1" thickBot="1">
      <c r="A10" s="26">
        <v>9</v>
      </c>
      <c r="B10" s="27">
        <v>0.79310000000000003</v>
      </c>
      <c r="C10" s="27">
        <v>1.1206</v>
      </c>
      <c r="D10" s="27">
        <v>1.0408999999999999</v>
      </c>
      <c r="E10" s="27">
        <v>0.80269999999999997</v>
      </c>
      <c r="F10" s="27"/>
      <c r="G10" s="27">
        <v>0.79720000000000002</v>
      </c>
      <c r="H10" s="27">
        <v>0.93059999999999998</v>
      </c>
      <c r="I10" s="27">
        <v>1.0603</v>
      </c>
      <c r="J10" s="27">
        <v>0.98939999999999995</v>
      </c>
      <c r="K10" s="27">
        <v>0.95469999999999999</v>
      </c>
      <c r="L10" s="27">
        <v>0.95299999999999996</v>
      </c>
      <c r="M10" s="27">
        <v>0.88029999999999997</v>
      </c>
      <c r="N10" s="27">
        <v>0.94799999999999995</v>
      </c>
      <c r="O10" s="27">
        <v>0.93400000000000005</v>
      </c>
      <c r="P10" s="30"/>
      <c r="Q10" s="27">
        <v>0.95454000000000006</v>
      </c>
      <c r="R10" s="27">
        <v>0.81420000000000003</v>
      </c>
      <c r="S10" s="27">
        <v>1.0458000000000001</v>
      </c>
      <c r="T10" s="27">
        <v>0.96230000000000004</v>
      </c>
      <c r="U10" s="8">
        <v>1.028</v>
      </c>
      <c r="V10" s="16">
        <v>0.96399999999999997</v>
      </c>
      <c r="W10" s="16">
        <v>0.97343000000000013</v>
      </c>
      <c r="X10" s="16">
        <v>0.81481000000000003</v>
      </c>
    </row>
    <row r="11" spans="1:24" ht="22.55" customHeight="1" thickTop="1" thickBot="1">
      <c r="A11" s="15">
        <v>10</v>
      </c>
      <c r="B11" s="16">
        <v>0.7923</v>
      </c>
      <c r="C11" s="16">
        <v>1.1197999999999999</v>
      </c>
      <c r="D11" s="16">
        <v>1.04</v>
      </c>
      <c r="E11" s="16">
        <v>0.80159999999999998</v>
      </c>
      <c r="F11" s="16">
        <v>0.94240000000000002</v>
      </c>
      <c r="G11" s="16">
        <v>0.97619999999999996</v>
      </c>
      <c r="H11" s="16">
        <v>0.92969999999999997</v>
      </c>
      <c r="I11" s="16">
        <v>1.0528999999999999</v>
      </c>
      <c r="J11" s="16">
        <v>0.98850000000000005</v>
      </c>
      <c r="K11" s="16">
        <v>0.95379999999999998</v>
      </c>
      <c r="L11" s="16">
        <v>0.95199999999999996</v>
      </c>
      <c r="M11" s="16">
        <v>0.88029999999999997</v>
      </c>
      <c r="N11" s="16">
        <v>0.94799999999999995</v>
      </c>
      <c r="O11" s="16">
        <v>0.93400000000000005</v>
      </c>
      <c r="P11" s="16">
        <v>0.94511999999999996</v>
      </c>
      <c r="Q11" s="27">
        <v>0.95454000000000006</v>
      </c>
      <c r="R11" s="16">
        <v>0.81320000000000003</v>
      </c>
      <c r="S11" s="16">
        <v>1.0449999999999999</v>
      </c>
      <c r="T11" s="16">
        <v>0.96140000000000003</v>
      </c>
      <c r="U11" s="16">
        <v>1.028</v>
      </c>
      <c r="V11" s="16">
        <v>0.96399999999999997</v>
      </c>
      <c r="W11" s="16">
        <v>0.97264000000000017</v>
      </c>
      <c r="X11" s="16">
        <v>0.81481000000000003</v>
      </c>
    </row>
    <row r="12" spans="1:24" ht="22.55" customHeight="1" thickTop="1" thickBot="1">
      <c r="A12" s="21">
        <v>11</v>
      </c>
      <c r="B12" s="22">
        <v>0.79139999999999999</v>
      </c>
      <c r="C12" s="22">
        <v>1.119</v>
      </c>
      <c r="D12" s="22">
        <v>1.0390999999999999</v>
      </c>
      <c r="E12" s="22">
        <v>0.8004</v>
      </c>
      <c r="F12" s="22">
        <v>0.94155</v>
      </c>
      <c r="G12" s="22">
        <v>0.97519999999999996</v>
      </c>
      <c r="H12" s="22">
        <v>0.92869999999999997</v>
      </c>
      <c r="I12" s="22">
        <v>1.0580000000000001</v>
      </c>
      <c r="J12" s="22">
        <v>0.98770000000000002</v>
      </c>
      <c r="K12" s="22">
        <v>0.95299999999999996</v>
      </c>
      <c r="L12" s="22">
        <v>0.95099999999999996</v>
      </c>
      <c r="M12" s="22">
        <v>0.88029999999999997</v>
      </c>
      <c r="N12" s="22">
        <v>0.94</v>
      </c>
      <c r="O12" s="22">
        <v>0.93400000000000005</v>
      </c>
      <c r="P12" s="22">
        <v>0.94420000000000004</v>
      </c>
      <c r="Q12" s="27">
        <v>0.95454000000000006</v>
      </c>
      <c r="R12" s="31">
        <v>0.81220000000000003</v>
      </c>
      <c r="S12" s="22">
        <v>1.0442</v>
      </c>
      <c r="T12" s="22">
        <v>0.96040000000000003</v>
      </c>
      <c r="U12" s="8">
        <v>1.028</v>
      </c>
      <c r="V12" s="16">
        <v>0.96399999999999997</v>
      </c>
      <c r="W12" s="16">
        <v>0.97192000000000012</v>
      </c>
      <c r="X12" s="16">
        <v>0.8145</v>
      </c>
    </row>
    <row r="13" spans="1:24" ht="22.55" customHeight="1" thickTop="1" thickBot="1">
      <c r="A13" s="26">
        <v>12</v>
      </c>
      <c r="B13" s="27">
        <v>0.79059999999999997</v>
      </c>
      <c r="C13" s="27">
        <v>1.1182000000000001</v>
      </c>
      <c r="D13" s="27">
        <v>1.0383</v>
      </c>
      <c r="E13" s="27">
        <v>0.79930000000000001</v>
      </c>
      <c r="F13" s="27">
        <v>0.94059999999999999</v>
      </c>
      <c r="G13" s="27">
        <v>0.97419999999999995</v>
      </c>
      <c r="H13" s="27">
        <v>0.92769999999999997</v>
      </c>
      <c r="I13" s="27">
        <v>1.0569</v>
      </c>
      <c r="J13" s="27">
        <v>0.9869</v>
      </c>
      <c r="K13" s="27">
        <v>0.95209999999999995</v>
      </c>
      <c r="L13" s="27">
        <v>0.95</v>
      </c>
      <c r="M13" s="27">
        <v>0.88029999999999997</v>
      </c>
      <c r="N13" s="27">
        <v>0.94</v>
      </c>
      <c r="O13" s="27">
        <v>0.93400000000000005</v>
      </c>
      <c r="P13" s="27">
        <v>0.94320999999999999</v>
      </c>
      <c r="Q13" s="27">
        <v>0.95454000000000006</v>
      </c>
      <c r="R13" s="27">
        <v>0.81120000000000003</v>
      </c>
      <c r="S13" s="27">
        <v>1.0434000000000001</v>
      </c>
      <c r="T13" s="22">
        <v>0.96050000000000002</v>
      </c>
      <c r="U13" s="8">
        <v>1.028</v>
      </c>
      <c r="V13" s="16">
        <v>0.96399999999999997</v>
      </c>
      <c r="W13" s="16">
        <v>0.97120000000000006</v>
      </c>
      <c r="X13" s="16">
        <v>0.81410000000000005</v>
      </c>
    </row>
    <row r="14" spans="1:24" ht="22.55" customHeight="1" thickTop="1" thickBot="1">
      <c r="A14" s="26">
        <v>13</v>
      </c>
      <c r="B14" s="27">
        <v>0.78969999999999996</v>
      </c>
      <c r="C14" s="27">
        <v>1.1173999999999999</v>
      </c>
      <c r="D14" s="27">
        <v>1.0374000000000001</v>
      </c>
      <c r="E14" s="27">
        <v>0.79810000000000003</v>
      </c>
      <c r="F14" s="27">
        <v>0.93964999999999999</v>
      </c>
      <c r="G14" s="27">
        <v>0.97319999999999995</v>
      </c>
      <c r="H14" s="27">
        <v>0.92669999999999997</v>
      </c>
      <c r="I14" s="27">
        <v>1.0558000000000001</v>
      </c>
      <c r="J14" s="27">
        <v>0.98609999999999998</v>
      </c>
      <c r="K14" s="27">
        <v>0.95130000000000003</v>
      </c>
      <c r="L14" s="27">
        <v>0.94899999999999995</v>
      </c>
      <c r="M14" s="27">
        <v>0.88029999999999997</v>
      </c>
      <c r="N14" s="27">
        <v>0.94</v>
      </c>
      <c r="O14" s="27">
        <v>0.93400000000000005</v>
      </c>
      <c r="P14" s="27">
        <v>0.94220999999999999</v>
      </c>
      <c r="Q14" s="27">
        <v>0.95454000000000006</v>
      </c>
      <c r="R14" s="27">
        <v>0.81020000000000003</v>
      </c>
      <c r="S14" s="27">
        <v>1.0427</v>
      </c>
      <c r="T14" s="22">
        <v>0.95950000000000002</v>
      </c>
      <c r="U14" s="8">
        <v>1.028</v>
      </c>
      <c r="V14" s="16">
        <v>0.96399999999999997</v>
      </c>
      <c r="W14" s="16">
        <v>0.97048000000000001</v>
      </c>
      <c r="X14" s="16">
        <v>0.81369999999999998</v>
      </c>
    </row>
    <row r="15" spans="1:24" ht="22.55" customHeight="1" thickTop="1" thickBot="1">
      <c r="A15" s="32">
        <v>14</v>
      </c>
      <c r="B15" s="33">
        <v>0.78890000000000005</v>
      </c>
      <c r="C15" s="33">
        <v>1.1166</v>
      </c>
      <c r="D15" s="33">
        <v>1.0365</v>
      </c>
      <c r="E15" s="27">
        <v>0.79700000000000004</v>
      </c>
      <c r="F15" s="27">
        <v>0.93937999999999999</v>
      </c>
      <c r="G15" s="27">
        <v>0.97219999999999995</v>
      </c>
      <c r="H15" s="27">
        <v>0.92569999999999997</v>
      </c>
      <c r="I15" s="27">
        <v>1.0556000000000001</v>
      </c>
      <c r="J15" s="27">
        <v>0.98529999999999995</v>
      </c>
      <c r="K15" s="27">
        <v>0.95040000000000002</v>
      </c>
      <c r="L15" s="27">
        <v>0.94799999999999995</v>
      </c>
      <c r="M15" s="27">
        <v>0.88029999999999997</v>
      </c>
      <c r="N15" s="27">
        <v>0.94</v>
      </c>
      <c r="O15" s="27">
        <v>0.93400000000000005</v>
      </c>
      <c r="P15" s="27">
        <v>0.94116999999999995</v>
      </c>
      <c r="Q15" s="27">
        <v>0.95454000000000006</v>
      </c>
      <c r="R15" s="27">
        <v>0.80920000000000003</v>
      </c>
      <c r="S15" s="27">
        <v>1.0419</v>
      </c>
      <c r="T15" s="27">
        <v>0.95850000000000002</v>
      </c>
      <c r="U15" s="8">
        <v>1.028</v>
      </c>
      <c r="V15" s="16">
        <v>0.96399999999999997</v>
      </c>
      <c r="W15" s="16">
        <v>0.96975999999999996</v>
      </c>
      <c r="X15" s="16">
        <v>0.81330000000000002</v>
      </c>
    </row>
    <row r="16" spans="1:24" ht="22.55" customHeight="1" thickTop="1" thickBot="1">
      <c r="A16" s="15">
        <v>15</v>
      </c>
      <c r="B16" s="16">
        <v>0.78800000000000003</v>
      </c>
      <c r="C16" s="16">
        <v>1.1157999999999999</v>
      </c>
      <c r="D16" s="16">
        <v>1.0356000000000001</v>
      </c>
      <c r="E16" s="16">
        <v>0.79469999999999996</v>
      </c>
      <c r="F16" s="16">
        <v>0.93791999999999998</v>
      </c>
      <c r="G16" s="16">
        <v>0.97119999999999995</v>
      </c>
      <c r="H16" s="16">
        <v>0.92469999999999997</v>
      </c>
      <c r="I16" s="16">
        <v>1.0535000000000001</v>
      </c>
      <c r="J16" s="16">
        <v>0.98450000000000004</v>
      </c>
      <c r="K16" s="34">
        <v>0.94950000000000001</v>
      </c>
      <c r="L16" s="16">
        <v>0.94699999999999995</v>
      </c>
      <c r="M16" s="16">
        <v>0.88029999999999997</v>
      </c>
      <c r="N16" s="16">
        <v>0.94</v>
      </c>
      <c r="O16" s="16">
        <v>0.93400000000000005</v>
      </c>
      <c r="P16" s="16">
        <v>0.94037000000000004</v>
      </c>
      <c r="Q16" s="27">
        <v>0.95454000000000006</v>
      </c>
      <c r="R16" s="16">
        <v>0.80830000000000002</v>
      </c>
      <c r="S16" s="16">
        <v>1.0411999999999999</v>
      </c>
      <c r="T16" s="16">
        <v>0.95750000000000002</v>
      </c>
      <c r="U16" s="16">
        <v>1.028</v>
      </c>
      <c r="V16" s="16">
        <v>0.96399999999999997</v>
      </c>
      <c r="W16" s="16">
        <v>0.9690399999999999</v>
      </c>
      <c r="X16" s="16">
        <v>0.81293000000000004</v>
      </c>
    </row>
    <row r="17" spans="1:24" ht="22.55" customHeight="1" thickTop="1" thickBot="1">
      <c r="A17" s="21">
        <v>16</v>
      </c>
      <c r="B17" s="22">
        <v>0.78720000000000001</v>
      </c>
      <c r="C17" s="22">
        <v>1.1152</v>
      </c>
      <c r="D17" s="22">
        <v>1.0347999999999999</v>
      </c>
      <c r="E17" s="22">
        <v>0.79359999999999997</v>
      </c>
      <c r="F17" s="22">
        <v>0.93676999999999999</v>
      </c>
      <c r="G17" s="22">
        <v>0.97</v>
      </c>
      <c r="H17" s="22">
        <v>0.92369999999999997</v>
      </c>
      <c r="I17" s="22">
        <v>1.0524</v>
      </c>
      <c r="J17" s="22">
        <v>0.98370000000000002</v>
      </c>
      <c r="K17" s="35">
        <v>0.9486</v>
      </c>
      <c r="L17" s="22">
        <v>0.94599999999999995</v>
      </c>
      <c r="M17" s="22">
        <v>0.88029999999999997</v>
      </c>
      <c r="N17" s="22">
        <v>0.94</v>
      </c>
      <c r="O17" s="22">
        <v>0.93400000000000005</v>
      </c>
      <c r="P17" s="22">
        <v>0.93915999999999999</v>
      </c>
      <c r="Q17" s="27">
        <v>0.9536</v>
      </c>
      <c r="R17" s="22">
        <v>0.80740000000000001</v>
      </c>
      <c r="S17" s="22">
        <v>1.0404</v>
      </c>
      <c r="T17" s="22">
        <v>0.95650000000000002</v>
      </c>
      <c r="U17" s="8">
        <v>1.028</v>
      </c>
      <c r="V17" s="16">
        <v>0.96399999999999997</v>
      </c>
      <c r="W17" s="16">
        <v>0.96829999999999994</v>
      </c>
      <c r="X17" s="16">
        <v>0.81200000000000006</v>
      </c>
    </row>
    <row r="18" spans="1:24" ht="22.55" customHeight="1" thickTop="1" thickBot="1">
      <c r="A18" s="26">
        <v>17</v>
      </c>
      <c r="B18" s="27">
        <v>0.78639999999999999</v>
      </c>
      <c r="C18" s="27">
        <v>1.1145</v>
      </c>
      <c r="D18" s="27">
        <v>1.0339</v>
      </c>
      <c r="E18" s="27">
        <v>0.79249999999999998</v>
      </c>
      <c r="F18" s="27">
        <v>0.93696999999999997</v>
      </c>
      <c r="G18" s="27">
        <v>0.96899999999999997</v>
      </c>
      <c r="H18" s="27">
        <v>0.92269999999999996</v>
      </c>
      <c r="I18" s="27">
        <v>1.0516000000000001</v>
      </c>
      <c r="J18" s="27">
        <v>0.98260000000000003</v>
      </c>
      <c r="K18" s="36">
        <v>0.94779999999999998</v>
      </c>
      <c r="L18" s="27">
        <v>0.94499999999999995</v>
      </c>
      <c r="M18" s="27">
        <v>0.88029999999999997</v>
      </c>
      <c r="N18" s="27">
        <v>0.94</v>
      </c>
      <c r="O18" s="27">
        <v>0.93400000000000005</v>
      </c>
      <c r="P18" s="27">
        <v>0.93815000000000004</v>
      </c>
      <c r="Q18" s="27">
        <v>0.95279999999999998</v>
      </c>
      <c r="R18" s="27">
        <v>0.80649999999999999</v>
      </c>
      <c r="S18" s="27">
        <v>1.0397000000000001</v>
      </c>
      <c r="T18" s="22">
        <v>0.95489999999999997</v>
      </c>
      <c r="U18" s="8">
        <v>1.028</v>
      </c>
      <c r="V18" s="16">
        <v>0.96399999999999997</v>
      </c>
      <c r="W18" s="16">
        <v>0.96755999999999998</v>
      </c>
      <c r="X18" s="16">
        <v>0.81110000000000004</v>
      </c>
    </row>
    <row r="19" spans="1:24" ht="22.55" customHeight="1" thickTop="1" thickBot="1">
      <c r="A19" s="26">
        <v>18</v>
      </c>
      <c r="B19" s="27">
        <v>0.78569999999999995</v>
      </c>
      <c r="C19" s="27">
        <v>1.1138999999999999</v>
      </c>
      <c r="D19" s="27">
        <v>1.0330999999999999</v>
      </c>
      <c r="E19" s="27">
        <v>0.79139999999999999</v>
      </c>
      <c r="F19" s="27">
        <v>0.93486000000000002</v>
      </c>
      <c r="G19" s="27">
        <v>0.96799999999999997</v>
      </c>
      <c r="H19" s="27">
        <v>0.92169999999999996</v>
      </c>
      <c r="I19" s="27">
        <v>1.0506</v>
      </c>
      <c r="J19" s="27">
        <v>0.98209999999999997</v>
      </c>
      <c r="K19" s="36">
        <v>0.94689999999999996</v>
      </c>
      <c r="L19" s="27">
        <v>0.94399999999999995</v>
      </c>
      <c r="M19" s="27">
        <v>0.88029999999999997</v>
      </c>
      <c r="N19" s="27">
        <v>0.94</v>
      </c>
      <c r="O19" s="27">
        <v>0.93400000000000005</v>
      </c>
      <c r="P19" s="27">
        <v>0.93713999999999997</v>
      </c>
      <c r="Q19" s="27">
        <v>0.95201000000000002</v>
      </c>
      <c r="R19" s="37">
        <v>0.80569999999999997</v>
      </c>
      <c r="S19" s="27">
        <v>1.0389999999999999</v>
      </c>
      <c r="T19" s="22">
        <v>0.95320000000000005</v>
      </c>
      <c r="U19" s="8">
        <v>1.028</v>
      </c>
      <c r="V19" s="16">
        <v>0.96399999999999997</v>
      </c>
      <c r="W19" s="16">
        <v>0.96682000000000001</v>
      </c>
      <c r="X19" s="16">
        <v>0.81020000000000003</v>
      </c>
    </row>
    <row r="20" spans="1:24" ht="22.55" customHeight="1" thickTop="1" thickBot="1">
      <c r="A20" s="26">
        <v>19</v>
      </c>
      <c r="B20" s="27">
        <v>0.78490000000000004</v>
      </c>
      <c r="C20" s="27">
        <v>1.1132</v>
      </c>
      <c r="D20" s="27">
        <v>1.0322</v>
      </c>
      <c r="E20" s="27">
        <v>0.7903</v>
      </c>
      <c r="F20" s="27">
        <v>0.93391000000000002</v>
      </c>
      <c r="G20" s="27">
        <v>0.96699999999999997</v>
      </c>
      <c r="H20" s="27">
        <v>0.92069999999999996</v>
      </c>
      <c r="I20" s="27">
        <v>1.0494000000000001</v>
      </c>
      <c r="J20" s="27">
        <v>0.98129999999999995</v>
      </c>
      <c r="K20" s="36">
        <v>0.94599999999999995</v>
      </c>
      <c r="L20" s="27">
        <v>0.94299999999999995</v>
      </c>
      <c r="M20" s="27">
        <v>0.88029999999999997</v>
      </c>
      <c r="N20" s="27">
        <v>0.94</v>
      </c>
      <c r="O20" s="27">
        <v>0.93400000000000005</v>
      </c>
      <c r="P20" s="27">
        <v>0.93613000000000002</v>
      </c>
      <c r="Q20" s="27">
        <v>0.95123000000000002</v>
      </c>
      <c r="R20" s="37">
        <v>0.80479999999999996</v>
      </c>
      <c r="S20" s="27">
        <v>1.0371999999999999</v>
      </c>
      <c r="T20" s="22">
        <v>0.9516</v>
      </c>
      <c r="U20" s="8">
        <v>1.028</v>
      </c>
      <c r="V20" s="16">
        <v>0.96399999999999997</v>
      </c>
      <c r="W20" s="16">
        <v>0.96608000000000005</v>
      </c>
      <c r="X20" s="16">
        <v>0.80920000000000003</v>
      </c>
    </row>
    <row r="21" spans="1:24" ht="22.55" customHeight="1" thickTop="1" thickBot="1">
      <c r="A21" s="38">
        <v>20</v>
      </c>
      <c r="B21" s="28">
        <v>0.78410000000000002</v>
      </c>
      <c r="C21" s="28">
        <v>1.1126</v>
      </c>
      <c r="D21" s="28">
        <v>1.0314000000000001</v>
      </c>
      <c r="E21" s="18">
        <v>0.78920000000000001</v>
      </c>
      <c r="F21" s="16">
        <v>0.93288000000000004</v>
      </c>
      <c r="G21" s="18">
        <v>0.96589999999999998</v>
      </c>
      <c r="H21" s="18">
        <v>0.91969999999999996</v>
      </c>
      <c r="I21" s="18">
        <v>1.0483</v>
      </c>
      <c r="J21" s="18">
        <v>0.98050000000000004</v>
      </c>
      <c r="K21" s="39">
        <v>0.94520000000000004</v>
      </c>
      <c r="L21" s="18">
        <v>0.94199999999999995</v>
      </c>
      <c r="M21" s="40">
        <v>0.88029999999999997</v>
      </c>
      <c r="N21" s="18">
        <v>0.94</v>
      </c>
      <c r="O21" s="18">
        <v>0.93</v>
      </c>
      <c r="P21" s="16">
        <v>0.93506</v>
      </c>
      <c r="Q21" s="27">
        <v>0.95038</v>
      </c>
      <c r="R21" s="41">
        <v>0.80369999999999997</v>
      </c>
      <c r="S21" s="18">
        <v>1.0363899999999999</v>
      </c>
      <c r="T21" s="16">
        <v>0.95</v>
      </c>
      <c r="U21" s="16">
        <v>1.028</v>
      </c>
      <c r="V21" s="16">
        <v>0.96399999999999997</v>
      </c>
      <c r="W21" s="16">
        <v>0.96534000000000009</v>
      </c>
      <c r="X21" s="16">
        <v>0.80813999999999997</v>
      </c>
    </row>
    <row r="22" spans="1:24" ht="22.55" customHeight="1" thickTop="1" thickBot="1">
      <c r="A22" s="42">
        <v>21</v>
      </c>
      <c r="B22" s="43">
        <v>0.78320000000000001</v>
      </c>
      <c r="C22" s="43">
        <v>1.1119000000000001</v>
      </c>
      <c r="D22" s="43">
        <v>1.0305</v>
      </c>
      <c r="E22" s="22">
        <v>0.78800000000000003</v>
      </c>
      <c r="F22" s="22">
        <v>0.93198000000000003</v>
      </c>
      <c r="G22" s="22">
        <v>0.96489999999999998</v>
      </c>
      <c r="H22" s="22">
        <v>0.91879999999999995</v>
      </c>
      <c r="I22" s="22">
        <v>1.0469999999999999</v>
      </c>
      <c r="J22" s="22">
        <v>0.97960000000000003</v>
      </c>
      <c r="K22" s="35">
        <v>0.94430000000000003</v>
      </c>
      <c r="L22" s="22">
        <v>0.94099999999999995</v>
      </c>
      <c r="M22" s="44">
        <v>0.87909999999999999</v>
      </c>
      <c r="N22" s="22">
        <v>0.94</v>
      </c>
      <c r="O22" s="22">
        <v>0.93</v>
      </c>
      <c r="P22" s="16">
        <v>0.93506</v>
      </c>
      <c r="Q22" s="27">
        <v>0.94969000000000003</v>
      </c>
      <c r="R22" s="31">
        <v>0.80289999999999995</v>
      </c>
      <c r="S22" s="22">
        <v>1.03566</v>
      </c>
      <c r="T22" s="22">
        <v>0.94889999999999997</v>
      </c>
      <c r="U22" s="8">
        <v>1.028</v>
      </c>
      <c r="V22" s="8">
        <v>0.96079999999999999</v>
      </c>
      <c r="W22" s="52">
        <v>0.96470000000000011</v>
      </c>
      <c r="X22" s="52">
        <v>0.80730000000000002</v>
      </c>
    </row>
    <row r="23" spans="1:24" ht="22.55" customHeight="1" thickTop="1">
      <c r="A23" s="26">
        <v>22</v>
      </c>
      <c r="B23" s="27">
        <v>0.7823</v>
      </c>
      <c r="C23" s="27">
        <v>1.1111</v>
      </c>
      <c r="D23" s="27">
        <v>1.0295000000000001</v>
      </c>
      <c r="E23" s="27">
        <v>0.78680000000000005</v>
      </c>
      <c r="F23" s="27">
        <v>0.93115999999999999</v>
      </c>
      <c r="G23" s="27">
        <v>0.96379999999999999</v>
      </c>
      <c r="H23" s="27">
        <v>0.91779999999999995</v>
      </c>
      <c r="I23" s="27">
        <v>1.0454000000000001</v>
      </c>
      <c r="J23" s="27">
        <v>0.9788</v>
      </c>
      <c r="K23" s="36">
        <v>0.94330000000000003</v>
      </c>
      <c r="L23" s="27">
        <v>0.94</v>
      </c>
      <c r="M23" s="45">
        <v>0.878</v>
      </c>
      <c r="N23" s="27">
        <v>0.93200000000000005</v>
      </c>
      <c r="O23" s="27">
        <v>0.93</v>
      </c>
      <c r="P23" s="27">
        <v>0.93327000000000004</v>
      </c>
      <c r="Q23" s="27">
        <v>0.94908999999999999</v>
      </c>
      <c r="R23" s="37">
        <v>0.80179999999999996</v>
      </c>
      <c r="S23" s="27">
        <v>1.0349299999999999</v>
      </c>
      <c r="T23" s="22">
        <v>0.94730000000000003</v>
      </c>
      <c r="U23" s="8">
        <v>1.028</v>
      </c>
      <c r="V23" s="8">
        <v>0.96079999999999999</v>
      </c>
      <c r="W23" s="52">
        <v>0.96406000000000014</v>
      </c>
      <c r="X23" s="52">
        <v>0.80669999999999997</v>
      </c>
    </row>
    <row r="24" spans="1:24" ht="22.55" customHeight="1">
      <c r="A24" s="26">
        <v>23</v>
      </c>
      <c r="B24" s="27">
        <v>0.78139999999999998</v>
      </c>
      <c r="C24" s="27">
        <v>1.1104000000000001</v>
      </c>
      <c r="D24" s="27">
        <v>1.0286</v>
      </c>
      <c r="E24" s="27">
        <v>0.78559999999999997</v>
      </c>
      <c r="F24" s="27">
        <v>0.93006999999999995</v>
      </c>
      <c r="G24" s="27">
        <v>0.96220000000000006</v>
      </c>
      <c r="H24" s="27">
        <v>0.91669999999999996</v>
      </c>
      <c r="I24" s="27">
        <v>1.0448999999999999</v>
      </c>
      <c r="J24" s="27">
        <v>0.97799999999999998</v>
      </c>
      <c r="K24" s="36">
        <v>0.94240000000000002</v>
      </c>
      <c r="L24" s="27">
        <v>0.93899999999999995</v>
      </c>
      <c r="M24" s="45">
        <v>0.877</v>
      </c>
      <c r="N24" s="27">
        <v>0.93200000000000005</v>
      </c>
      <c r="O24" s="27">
        <v>0.93</v>
      </c>
      <c r="P24" s="27">
        <v>0.93208999999999997</v>
      </c>
      <c r="Q24" s="27">
        <v>0.94820000000000004</v>
      </c>
      <c r="R24" s="37">
        <v>0.80089999999999995</v>
      </c>
      <c r="S24" s="27">
        <v>1.0341899999999999</v>
      </c>
      <c r="T24" s="22">
        <v>0.94599999999999995</v>
      </c>
      <c r="U24" s="8">
        <v>1.0269999999999999</v>
      </c>
      <c r="V24" s="8">
        <v>0.96079999999999999</v>
      </c>
      <c r="W24" s="52">
        <v>0.96342000000000017</v>
      </c>
      <c r="X24" s="52">
        <v>0.80610000000000004</v>
      </c>
    </row>
    <row r="25" spans="1:24" ht="22.55" customHeight="1">
      <c r="A25" s="26">
        <v>24</v>
      </c>
      <c r="B25" s="27">
        <v>0.78049999999999997</v>
      </c>
      <c r="C25" s="27">
        <v>1.1095999999999999</v>
      </c>
      <c r="D25" s="27">
        <v>1.0276000000000001</v>
      </c>
      <c r="E25" s="27">
        <v>0.78439999999999999</v>
      </c>
      <c r="F25" s="27">
        <v>0.92910000000000004</v>
      </c>
      <c r="G25" s="27">
        <v>0.96120000000000005</v>
      </c>
      <c r="H25" s="27">
        <v>0.91569999999999996</v>
      </c>
      <c r="I25" s="27">
        <v>1.0437000000000001</v>
      </c>
      <c r="J25" s="27">
        <v>0.97719999999999996</v>
      </c>
      <c r="K25" s="36">
        <v>0.9415</v>
      </c>
      <c r="L25" s="27">
        <v>0.93799999999999994</v>
      </c>
      <c r="M25" s="45">
        <v>0.87590000000000001</v>
      </c>
      <c r="N25" s="27">
        <v>0.93200000000000005</v>
      </c>
      <c r="O25" s="27">
        <v>0.93</v>
      </c>
      <c r="P25" s="27">
        <v>0.93159999999999998</v>
      </c>
      <c r="Q25" s="27">
        <v>0.94747000000000003</v>
      </c>
      <c r="R25" s="37">
        <v>0.8</v>
      </c>
      <c r="S25" s="27">
        <v>1.03346</v>
      </c>
      <c r="T25" s="22">
        <v>0.9446</v>
      </c>
      <c r="U25" s="8">
        <v>1.026</v>
      </c>
      <c r="V25" s="8">
        <v>0.96079999999999999</v>
      </c>
      <c r="W25" s="52">
        <v>0.96278000000000019</v>
      </c>
      <c r="X25" s="52">
        <v>0.80549999999999999</v>
      </c>
    </row>
    <row r="26" spans="1:24" ht="22.55" customHeight="1" thickBot="1">
      <c r="A26" s="46">
        <v>25</v>
      </c>
      <c r="B26" s="18">
        <v>0.77959999999999996</v>
      </c>
      <c r="C26" s="18">
        <v>1.1089</v>
      </c>
      <c r="D26" s="18">
        <v>1.0266999999999999</v>
      </c>
      <c r="E26" s="18">
        <v>0.78320000000000001</v>
      </c>
      <c r="F26" s="16">
        <v>0.92813000000000001</v>
      </c>
      <c r="G26" s="18">
        <v>0.96020000000000005</v>
      </c>
      <c r="H26" s="18">
        <v>0.91469999999999996</v>
      </c>
      <c r="I26" s="18">
        <v>1.0423</v>
      </c>
      <c r="J26" s="18">
        <v>0.97640000000000005</v>
      </c>
      <c r="K26" s="39">
        <v>0.9405</v>
      </c>
      <c r="L26" s="18">
        <v>0.93700000000000006</v>
      </c>
      <c r="M26" s="40">
        <v>0.87509999999999999</v>
      </c>
      <c r="N26" s="18">
        <v>0.93</v>
      </c>
      <c r="O26" s="18">
        <v>0.92600000000000005</v>
      </c>
      <c r="P26" s="16">
        <v>0.93084</v>
      </c>
      <c r="Q26" s="27">
        <v>0.94674000000000003</v>
      </c>
      <c r="R26" s="41">
        <v>0.79910000000000003</v>
      </c>
      <c r="S26" s="18">
        <v>1.0327299999999999</v>
      </c>
      <c r="T26" s="16">
        <v>0.94330000000000003</v>
      </c>
      <c r="U26" s="16">
        <v>1.0249999999999999</v>
      </c>
      <c r="V26" s="8">
        <v>0.96079999999999999</v>
      </c>
      <c r="W26" s="52">
        <v>0.96214000000000022</v>
      </c>
      <c r="X26" s="52">
        <v>0.80493999999999999</v>
      </c>
    </row>
    <row r="27" spans="1:24" ht="22.55" customHeight="1" thickTop="1" thickBot="1">
      <c r="A27" s="21">
        <v>26</v>
      </c>
      <c r="B27" s="22">
        <v>0.77869999999999995</v>
      </c>
      <c r="C27" s="22">
        <v>1.1081000000000001</v>
      </c>
      <c r="D27" s="22">
        <v>1.0258</v>
      </c>
      <c r="E27" s="22">
        <v>0.78210000000000002</v>
      </c>
      <c r="F27" s="22">
        <v>0.92717000000000005</v>
      </c>
      <c r="G27" s="22">
        <v>0.95899999999999996</v>
      </c>
      <c r="H27" s="22">
        <v>0.91390000000000005</v>
      </c>
      <c r="I27" s="22">
        <v>1.0409999999999999</v>
      </c>
      <c r="J27" s="22">
        <v>0.97550000000000003</v>
      </c>
      <c r="K27" s="35">
        <v>0.93959999999999999</v>
      </c>
      <c r="L27" s="22">
        <v>0.93600000000000005</v>
      </c>
      <c r="M27" s="44">
        <v>0.87409999999999999</v>
      </c>
      <c r="N27" s="22">
        <v>0.93</v>
      </c>
      <c r="O27" s="22">
        <v>0.92600000000000005</v>
      </c>
      <c r="P27" s="22">
        <v>0.92906</v>
      </c>
      <c r="Q27" s="27">
        <v>0.94603000000000004</v>
      </c>
      <c r="R27" s="31">
        <v>0.79820000000000002</v>
      </c>
      <c r="S27" s="22">
        <v>1.031998</v>
      </c>
      <c r="T27" s="22">
        <v>0.94220000000000004</v>
      </c>
      <c r="U27" s="8">
        <v>1.024</v>
      </c>
      <c r="V27" s="16">
        <v>0.95760000000000001</v>
      </c>
      <c r="W27" s="52">
        <v>0.96155000000000024</v>
      </c>
      <c r="X27" s="52">
        <v>0.80459999999999998</v>
      </c>
    </row>
    <row r="28" spans="1:24" ht="22.55" customHeight="1" thickTop="1" thickBot="1">
      <c r="A28" s="26">
        <v>27</v>
      </c>
      <c r="B28" s="27">
        <v>0.77790000000000004</v>
      </c>
      <c r="C28" s="27">
        <v>1.1073999999999999</v>
      </c>
      <c r="D28" s="27">
        <v>1.0247999999999999</v>
      </c>
      <c r="E28" s="27">
        <v>0.78100000000000003</v>
      </c>
      <c r="F28" s="27">
        <v>0.92620999999999998</v>
      </c>
      <c r="G28" s="27">
        <v>0.95799999999999996</v>
      </c>
      <c r="H28" s="27">
        <v>0.91290000000000004</v>
      </c>
      <c r="I28" s="27">
        <v>1.04</v>
      </c>
      <c r="J28" s="27">
        <v>0.97470000000000001</v>
      </c>
      <c r="K28" s="36">
        <v>0.93869999999999998</v>
      </c>
      <c r="L28" s="27">
        <v>0.93500000000000005</v>
      </c>
      <c r="M28" s="45">
        <v>0.87309999999999999</v>
      </c>
      <c r="N28" s="27">
        <v>0.93</v>
      </c>
      <c r="O28" s="27">
        <v>0.92600000000000005</v>
      </c>
      <c r="P28" s="27">
        <v>0.92805000000000004</v>
      </c>
      <c r="Q28" s="27">
        <v>0.94532000000000005</v>
      </c>
      <c r="R28" s="37">
        <v>0.79720000000000002</v>
      </c>
      <c r="S28" s="27">
        <v>1.031266</v>
      </c>
      <c r="T28" s="22">
        <v>0.94120000000000004</v>
      </c>
      <c r="U28" s="8">
        <v>1.0229999999999999</v>
      </c>
      <c r="V28" s="16">
        <v>0.95760000000000001</v>
      </c>
      <c r="W28" s="52">
        <v>0.96096000000000026</v>
      </c>
      <c r="X28" s="52">
        <v>0.80430000000000001</v>
      </c>
    </row>
    <row r="29" spans="1:24" ht="22.55" customHeight="1" thickTop="1" thickBot="1">
      <c r="A29" s="26">
        <v>28</v>
      </c>
      <c r="B29" s="27">
        <v>0.77700000000000002</v>
      </c>
      <c r="C29" s="27">
        <v>1.1066</v>
      </c>
      <c r="D29" s="27">
        <v>1.0239</v>
      </c>
      <c r="E29" s="27">
        <v>0.77980000000000005</v>
      </c>
      <c r="F29" s="27">
        <v>0.92527000000000004</v>
      </c>
      <c r="G29" s="27">
        <v>0.95699999999999996</v>
      </c>
      <c r="H29" s="27">
        <v>0.91200000000000003</v>
      </c>
      <c r="I29" s="27">
        <v>1.0388999999999999</v>
      </c>
      <c r="J29" s="27">
        <v>0.97389999999999999</v>
      </c>
      <c r="K29" s="36">
        <v>0.93779999999999997</v>
      </c>
      <c r="L29" s="27">
        <v>0.93400000000000005</v>
      </c>
      <c r="M29" s="45">
        <v>0.872</v>
      </c>
      <c r="N29" s="27">
        <v>0.93</v>
      </c>
      <c r="O29" s="27">
        <v>0.92600000000000005</v>
      </c>
      <c r="P29" s="27">
        <v>0.92706</v>
      </c>
      <c r="Q29" s="27">
        <v>0.94462000000000002</v>
      </c>
      <c r="R29" s="37">
        <v>0.79630000000000001</v>
      </c>
      <c r="S29" s="27">
        <v>1.0305340000000001</v>
      </c>
      <c r="T29" s="22">
        <v>0.94010000000000005</v>
      </c>
      <c r="U29" s="8">
        <v>1.022</v>
      </c>
      <c r="V29" s="16">
        <v>0.95760000000000001</v>
      </c>
      <c r="W29" s="52">
        <v>0.96037000000000028</v>
      </c>
      <c r="X29" s="52">
        <v>0.80400000000000005</v>
      </c>
    </row>
    <row r="30" spans="1:24" ht="22.55" customHeight="1" thickTop="1" thickBot="1">
      <c r="A30" s="26">
        <v>29</v>
      </c>
      <c r="B30" s="27">
        <v>0.7762</v>
      </c>
      <c r="C30" s="27">
        <v>1.1059000000000001</v>
      </c>
      <c r="D30" s="27">
        <v>1.0228999999999999</v>
      </c>
      <c r="E30" s="27">
        <v>0.77869999999999995</v>
      </c>
      <c r="F30" s="27">
        <v>0.92430000000000001</v>
      </c>
      <c r="G30" s="27">
        <v>0.95589999999999997</v>
      </c>
      <c r="H30" s="27">
        <v>0.91100000000000003</v>
      </c>
      <c r="I30" s="27">
        <v>1.0377000000000001</v>
      </c>
      <c r="J30" s="27">
        <v>0.97309999999999997</v>
      </c>
      <c r="K30" s="36">
        <v>0.93689999999999996</v>
      </c>
      <c r="L30" s="27">
        <v>0.93300000000000005</v>
      </c>
      <c r="M30" s="45">
        <v>0.871</v>
      </c>
      <c r="N30" s="27">
        <v>0.93</v>
      </c>
      <c r="O30" s="27">
        <v>0.92600000000000005</v>
      </c>
      <c r="P30" s="27">
        <v>0.92603000000000002</v>
      </c>
      <c r="Q30" s="27">
        <v>0.94393000000000005</v>
      </c>
      <c r="R30" s="37">
        <v>0.79549999999999998</v>
      </c>
      <c r="S30" s="27">
        <v>1.0298020000000001</v>
      </c>
      <c r="T30" s="22">
        <v>0.93910000000000005</v>
      </c>
      <c r="U30" s="8">
        <v>1.0209999999999999</v>
      </c>
      <c r="V30" s="16">
        <v>0.95760000000000001</v>
      </c>
      <c r="W30" s="52">
        <v>0.9597800000000003</v>
      </c>
      <c r="X30" s="52">
        <v>0.80369999999999997</v>
      </c>
    </row>
    <row r="31" spans="1:24" ht="22.55" customHeight="1" thickTop="1" thickBot="1">
      <c r="A31" s="38">
        <v>30</v>
      </c>
      <c r="B31" s="28">
        <v>0.77529999999999999</v>
      </c>
      <c r="C31" s="28">
        <v>1.1051</v>
      </c>
      <c r="D31" s="28">
        <v>1.022</v>
      </c>
      <c r="E31" s="18">
        <v>0.77759999999999996</v>
      </c>
      <c r="F31" s="16">
        <v>0.92340999999999995</v>
      </c>
      <c r="G31" s="18">
        <v>0.95469999999999999</v>
      </c>
      <c r="H31" s="18">
        <v>0.91</v>
      </c>
      <c r="I31" s="18">
        <v>1.0366</v>
      </c>
      <c r="J31" s="18">
        <v>0.97230000000000005</v>
      </c>
      <c r="K31" s="39">
        <v>0.93600000000000005</v>
      </c>
      <c r="L31" s="18">
        <v>0.93200000000000005</v>
      </c>
      <c r="M31" s="40">
        <v>0.86990000000000001</v>
      </c>
      <c r="N31" s="18">
        <v>0.93</v>
      </c>
      <c r="O31" s="18">
        <v>0.92200000000000004</v>
      </c>
      <c r="P31" s="16">
        <v>0.92508999999999997</v>
      </c>
      <c r="Q31" s="27">
        <v>0.94333</v>
      </c>
      <c r="R31" s="41">
        <v>0.79459999999999997</v>
      </c>
      <c r="S31" s="18">
        <v>1.0289999999999999</v>
      </c>
      <c r="T31" s="16">
        <v>0.93810000000000004</v>
      </c>
      <c r="U31" s="16">
        <v>1.02</v>
      </c>
      <c r="V31" s="16">
        <v>0.95760000000000001</v>
      </c>
      <c r="W31" s="52">
        <v>0.95919000000000032</v>
      </c>
      <c r="X31" s="52">
        <v>0.80335999999999996</v>
      </c>
    </row>
    <row r="32" spans="1:24" ht="22.55" customHeight="1" thickTop="1" thickBot="1">
      <c r="A32" s="42">
        <v>31</v>
      </c>
      <c r="B32" s="43">
        <v>0.77439999999999998</v>
      </c>
      <c r="C32" s="43">
        <v>1.1041000000000001</v>
      </c>
      <c r="D32" s="43">
        <v>1.0210999999999999</v>
      </c>
      <c r="E32" s="22">
        <v>0.77644999999999997</v>
      </c>
      <c r="F32" s="22">
        <v>0.92235</v>
      </c>
      <c r="G32" s="22">
        <v>0.95370999999999995</v>
      </c>
      <c r="H32" s="22">
        <v>0.90905000000000002</v>
      </c>
      <c r="I32" s="22">
        <v>1.0355099999999999</v>
      </c>
      <c r="J32" s="22">
        <v>0.97140000000000004</v>
      </c>
      <c r="K32" s="35">
        <v>0.93510000000000004</v>
      </c>
      <c r="L32" s="22">
        <v>0.93100000000000005</v>
      </c>
      <c r="M32" s="44">
        <v>0.86887000000000003</v>
      </c>
      <c r="N32" s="22">
        <v>0.93</v>
      </c>
      <c r="O32" s="22">
        <v>0.92279999999999995</v>
      </c>
      <c r="P32" s="22">
        <v>0.92406999999999995</v>
      </c>
      <c r="Q32" s="27">
        <v>0.94257999999999997</v>
      </c>
      <c r="R32" s="31">
        <v>0.79379999999999995</v>
      </c>
      <c r="S32" s="22">
        <v>1.028268</v>
      </c>
      <c r="T32" s="22">
        <v>0.93710000000000004</v>
      </c>
      <c r="U32" s="8">
        <v>1.0189999999999999</v>
      </c>
      <c r="V32" s="16">
        <v>0.95760000000000001</v>
      </c>
      <c r="W32" s="52">
        <v>0.95860000000000034</v>
      </c>
      <c r="X32" s="52">
        <v>0.80249999999999999</v>
      </c>
    </row>
    <row r="33" spans="1:24" ht="22.55" customHeight="1" thickTop="1" thickBot="1">
      <c r="A33" s="26">
        <v>32</v>
      </c>
      <c r="B33" s="27">
        <v>0.77349999999999997</v>
      </c>
      <c r="C33" s="27">
        <v>1.103</v>
      </c>
      <c r="D33" s="27">
        <v>1.0202</v>
      </c>
      <c r="E33" s="27">
        <v>0.77532000000000001</v>
      </c>
      <c r="F33" s="27">
        <v>0.9214</v>
      </c>
      <c r="G33" s="27">
        <v>0.95264000000000004</v>
      </c>
      <c r="H33" s="27">
        <v>0.90808</v>
      </c>
      <c r="I33" s="27">
        <v>1.0344</v>
      </c>
      <c r="J33" s="27">
        <v>0.97060000000000002</v>
      </c>
      <c r="K33" s="36">
        <v>0.93420000000000003</v>
      </c>
      <c r="L33" s="27">
        <v>0.93</v>
      </c>
      <c r="M33" s="45">
        <v>0.86782000000000004</v>
      </c>
      <c r="N33" s="27">
        <v>0.93</v>
      </c>
      <c r="O33" s="27">
        <v>0.92200000000000004</v>
      </c>
      <c r="P33" s="27">
        <v>0.92298000000000002</v>
      </c>
      <c r="Q33" s="27">
        <v>0.94189999999999996</v>
      </c>
      <c r="R33" s="37">
        <v>0.79300000000000004</v>
      </c>
      <c r="S33" s="27">
        <v>1.027536</v>
      </c>
      <c r="T33" s="22">
        <v>0.93600000000000005</v>
      </c>
      <c r="U33" s="8">
        <v>1.018</v>
      </c>
      <c r="V33" s="16">
        <v>0.95760000000000001</v>
      </c>
      <c r="W33" s="52">
        <v>0.95801000000000036</v>
      </c>
      <c r="X33" s="52">
        <v>0.80159999999999998</v>
      </c>
    </row>
    <row r="34" spans="1:24" ht="22.55" customHeight="1" thickTop="1" thickBot="1">
      <c r="A34" s="26">
        <v>33</v>
      </c>
      <c r="B34" s="27">
        <v>0.77270000000000005</v>
      </c>
      <c r="C34" s="27">
        <v>1.1020000000000001</v>
      </c>
      <c r="D34" s="27">
        <v>1.0194000000000001</v>
      </c>
      <c r="E34" s="27">
        <v>0.77419000000000004</v>
      </c>
      <c r="F34" s="27">
        <v>0.92042999999999997</v>
      </c>
      <c r="G34" s="27">
        <v>0.95157000000000003</v>
      </c>
      <c r="H34" s="27">
        <v>0.90710999999999997</v>
      </c>
      <c r="I34" s="27">
        <v>1.03329</v>
      </c>
      <c r="J34" s="27">
        <v>0.9698</v>
      </c>
      <c r="K34" s="36">
        <v>0.93330000000000002</v>
      </c>
      <c r="L34" s="27">
        <v>0.92900000000000005</v>
      </c>
      <c r="M34" s="45">
        <v>0.86677000000000004</v>
      </c>
      <c r="N34" s="27">
        <v>0.93</v>
      </c>
      <c r="O34" s="27">
        <v>0.92120000000000002</v>
      </c>
      <c r="P34" s="27">
        <v>0.92198999999999998</v>
      </c>
      <c r="Q34" s="27">
        <v>0.94125000000000003</v>
      </c>
      <c r="R34" s="37">
        <v>0.7923</v>
      </c>
      <c r="S34" s="27">
        <v>1.0268040000000001</v>
      </c>
      <c r="T34" s="22">
        <v>0.93500000000000005</v>
      </c>
      <c r="U34" s="8">
        <v>1.0169999999999999</v>
      </c>
      <c r="V34" s="16">
        <v>0.95760000000000001</v>
      </c>
      <c r="W34" s="52">
        <v>0.95742000000000038</v>
      </c>
      <c r="X34" s="52">
        <v>0.80069999999999997</v>
      </c>
    </row>
    <row r="35" spans="1:24" ht="22.55" customHeight="1" thickTop="1" thickBot="1">
      <c r="A35" s="26">
        <v>34</v>
      </c>
      <c r="B35" s="27">
        <v>0.77180000000000004</v>
      </c>
      <c r="C35" s="27">
        <v>1.1009</v>
      </c>
      <c r="D35" s="27">
        <v>1.0185</v>
      </c>
      <c r="E35" s="27">
        <v>0.77305999999999997</v>
      </c>
      <c r="F35" s="27">
        <v>0.91946000000000006</v>
      </c>
      <c r="G35" s="27">
        <v>0.95050000000000001</v>
      </c>
      <c r="H35" s="27">
        <v>0.90613999999999995</v>
      </c>
      <c r="I35" s="27">
        <v>1.0321800000000001</v>
      </c>
      <c r="J35" s="27">
        <v>0.96899999999999997</v>
      </c>
      <c r="K35" s="36">
        <v>0.93240000000000001</v>
      </c>
      <c r="L35" s="27">
        <v>0.92800000000000005</v>
      </c>
      <c r="M35" s="45">
        <v>0.86572000000000005</v>
      </c>
      <c r="N35" s="27">
        <v>0.93</v>
      </c>
      <c r="O35" s="27">
        <v>0.9204</v>
      </c>
      <c r="P35" s="27">
        <v>0.92093999999999998</v>
      </c>
      <c r="Q35" s="27">
        <v>0.94059000000000004</v>
      </c>
      <c r="R35" s="37">
        <v>0.79159999999999997</v>
      </c>
      <c r="S35" s="27">
        <f>S34-0.000732</f>
        <v>1.0260720000000001</v>
      </c>
      <c r="T35" s="22">
        <v>0.93400000000000005</v>
      </c>
      <c r="U35" s="8">
        <v>1.016</v>
      </c>
      <c r="V35" s="16">
        <v>0.95760000000000001</v>
      </c>
      <c r="W35" s="52">
        <v>0.9568300000000004</v>
      </c>
      <c r="X35" s="52">
        <v>0.79979999999999996</v>
      </c>
    </row>
    <row r="36" spans="1:24" ht="22.55" customHeight="1" thickTop="1" thickBot="1">
      <c r="A36" s="46">
        <v>35</v>
      </c>
      <c r="B36" s="18">
        <v>0.77090000000000003</v>
      </c>
      <c r="C36" s="18">
        <v>1.0999000000000001</v>
      </c>
      <c r="D36" s="18">
        <v>1.0176000000000001</v>
      </c>
      <c r="E36" s="18">
        <v>0.77193000000000001</v>
      </c>
      <c r="F36" s="16">
        <v>0.91851000000000005</v>
      </c>
      <c r="G36" s="18">
        <v>0.94943</v>
      </c>
      <c r="H36" s="18">
        <v>0.90517000000000003</v>
      </c>
      <c r="I36" s="18">
        <v>1.0310699999999999</v>
      </c>
      <c r="J36" s="18">
        <v>0.96819999999999995</v>
      </c>
      <c r="K36" s="39">
        <v>0.93149999999999999</v>
      </c>
      <c r="L36" s="18">
        <v>0.92700000000000005</v>
      </c>
      <c r="M36" s="40">
        <v>0.86467000000000005</v>
      </c>
      <c r="N36" s="18">
        <v>0.93</v>
      </c>
      <c r="O36" s="18">
        <v>0.91959999999999997</v>
      </c>
      <c r="P36" s="16">
        <v>0.91995000000000005</v>
      </c>
      <c r="Q36" s="27">
        <v>0.93994</v>
      </c>
      <c r="R36" s="41">
        <v>0.79079999999999995</v>
      </c>
      <c r="S36" s="18">
        <f>S35-0.000732</f>
        <v>1.0253400000000001</v>
      </c>
      <c r="T36" s="16">
        <v>0.93300000000000005</v>
      </c>
      <c r="U36" s="16">
        <v>1.0149999999999999</v>
      </c>
      <c r="V36" s="16">
        <v>0.95760000000000001</v>
      </c>
      <c r="W36" s="52">
        <v>0.95624000000000042</v>
      </c>
      <c r="X36" s="52">
        <v>0.79900000000000004</v>
      </c>
    </row>
    <row r="37" spans="1:24" ht="22.55" customHeight="1" thickTop="1" thickBot="1">
      <c r="A37" s="21">
        <v>36</v>
      </c>
      <c r="B37" s="22">
        <v>0.77</v>
      </c>
      <c r="C37" s="22">
        <v>1.0988</v>
      </c>
      <c r="D37" s="22">
        <v>1.0166999999999999</v>
      </c>
      <c r="E37" s="22">
        <v>0.77080000000000004</v>
      </c>
      <c r="F37" s="22">
        <v>0.91754999999999998</v>
      </c>
      <c r="G37" s="22">
        <v>0.94835999999999998</v>
      </c>
      <c r="H37" s="22">
        <v>0.9042</v>
      </c>
      <c r="I37" s="22">
        <v>1.02996</v>
      </c>
      <c r="J37" s="22">
        <v>0.96730000000000005</v>
      </c>
      <c r="K37" s="35">
        <v>0.93059999999999998</v>
      </c>
      <c r="L37" s="22">
        <v>0.92600000000000005</v>
      </c>
      <c r="M37" s="44">
        <v>0.86362000000000005</v>
      </c>
      <c r="N37" s="22">
        <v>0.93</v>
      </c>
      <c r="O37" s="22">
        <v>0.91879999999999995</v>
      </c>
      <c r="P37" s="22">
        <v>0.91888999999999998</v>
      </c>
      <c r="Q37" s="27">
        <v>0.93930000000000002</v>
      </c>
      <c r="R37" s="31">
        <v>0.79008</v>
      </c>
      <c r="S37" s="22">
        <f t="shared" ref="S37:S51" si="0">S36-0.000732</f>
        <v>1.0246080000000002</v>
      </c>
      <c r="T37" s="22">
        <v>0.93194666666666703</v>
      </c>
      <c r="U37" s="8">
        <v>1.0142</v>
      </c>
      <c r="V37" s="16">
        <v>0.95760000000000001</v>
      </c>
      <c r="W37" s="52">
        <v>0.95565000000000044</v>
      </c>
      <c r="X37" s="52">
        <v>0.7984</v>
      </c>
    </row>
    <row r="38" spans="1:24" ht="22.55" customHeight="1" thickTop="1" thickBot="1">
      <c r="A38" s="26">
        <v>37</v>
      </c>
      <c r="B38" s="27">
        <v>0.76910000000000001</v>
      </c>
      <c r="C38" s="27">
        <v>1.0978000000000001</v>
      </c>
      <c r="D38" s="27">
        <v>1.0158</v>
      </c>
      <c r="E38" s="27">
        <v>0.76929999999999998</v>
      </c>
      <c r="F38" s="27">
        <v>0.91654000000000002</v>
      </c>
      <c r="G38" s="27">
        <v>0.94699999999999995</v>
      </c>
      <c r="H38" s="27">
        <v>0.90310000000000001</v>
      </c>
      <c r="I38" s="27">
        <v>1.0287999999999999</v>
      </c>
      <c r="J38" s="27">
        <v>0.96650000000000003</v>
      </c>
      <c r="K38" s="36">
        <v>0.92979999999999996</v>
      </c>
      <c r="L38" s="27">
        <v>0.92500000000000004</v>
      </c>
      <c r="M38" s="45">
        <v>0.86270000000000002</v>
      </c>
      <c r="N38" s="27">
        <v>0.92600000000000005</v>
      </c>
      <c r="O38" s="27">
        <v>0.92200000000000004</v>
      </c>
      <c r="P38" s="27">
        <v>0.91785000000000005</v>
      </c>
      <c r="Q38" s="27">
        <v>0.93864999999999998</v>
      </c>
      <c r="R38" s="37">
        <v>0.78934000000000004</v>
      </c>
      <c r="S38" s="27">
        <f t="shared" si="0"/>
        <v>1.0238760000000002</v>
      </c>
      <c r="T38" s="22">
        <v>0.930922424242424</v>
      </c>
      <c r="U38" s="8">
        <v>1.0134000000000001</v>
      </c>
      <c r="V38" s="16">
        <v>0.95760000000000001</v>
      </c>
      <c r="W38" s="52">
        <v>0.95506000000000046</v>
      </c>
      <c r="X38" s="52">
        <v>0.79779999999999995</v>
      </c>
    </row>
    <row r="39" spans="1:24" ht="22.55" customHeight="1" thickTop="1" thickBot="1">
      <c r="A39" s="26">
        <v>38</v>
      </c>
      <c r="B39" s="27">
        <v>0.76829999999999998</v>
      </c>
      <c r="C39" s="27">
        <v>1.0967</v>
      </c>
      <c r="D39" s="27">
        <v>1.0149999999999999</v>
      </c>
      <c r="E39" s="27">
        <v>0.7681</v>
      </c>
      <c r="F39" s="27">
        <v>0.91556999999999999</v>
      </c>
      <c r="G39" s="27">
        <v>0.94589999999999996</v>
      </c>
      <c r="H39" s="27">
        <v>0.90210000000000001</v>
      </c>
      <c r="I39" s="27">
        <v>1.0277000000000001</v>
      </c>
      <c r="J39" s="27">
        <v>0.9657</v>
      </c>
      <c r="K39" s="36">
        <v>0.92889999999999995</v>
      </c>
      <c r="L39" s="27">
        <v>0.92400000000000004</v>
      </c>
      <c r="M39" s="45">
        <v>0.86170000000000002</v>
      </c>
      <c r="N39" s="27">
        <v>0.92600000000000005</v>
      </c>
      <c r="O39" s="27">
        <v>0.92200000000000004</v>
      </c>
      <c r="P39" s="27">
        <v>0.91686000000000001</v>
      </c>
      <c r="Q39" s="27">
        <v>0.93801999999999996</v>
      </c>
      <c r="R39" s="37">
        <v>0.78859999999999997</v>
      </c>
      <c r="S39" s="27">
        <f t="shared" si="0"/>
        <v>1.0231440000000003</v>
      </c>
      <c r="T39" s="22">
        <v>0.92989818181818196</v>
      </c>
      <c r="U39" s="8">
        <v>1.0125999999999999</v>
      </c>
      <c r="V39" s="16">
        <v>0.95760000000000001</v>
      </c>
      <c r="W39" s="52">
        <v>0.95447000000000048</v>
      </c>
      <c r="X39" s="52">
        <v>0.79720000000000002</v>
      </c>
    </row>
    <row r="40" spans="1:24" ht="22.55" customHeight="1" thickTop="1" thickBot="1">
      <c r="A40" s="26">
        <v>39</v>
      </c>
      <c r="B40" s="27">
        <v>0.76739999999999997</v>
      </c>
      <c r="C40" s="27">
        <v>1.0956999999999999</v>
      </c>
      <c r="D40" s="27">
        <v>1.0141</v>
      </c>
      <c r="E40" s="27">
        <v>0.76700000000000002</v>
      </c>
      <c r="F40" s="27">
        <v>0.91459999999999997</v>
      </c>
      <c r="G40" s="27">
        <v>0.94489999999999996</v>
      </c>
      <c r="H40" s="27">
        <v>0.90110000000000001</v>
      </c>
      <c r="I40" s="27">
        <v>1.0265</v>
      </c>
      <c r="J40" s="27">
        <v>0.96489999999999998</v>
      </c>
      <c r="K40" s="36">
        <v>0.92810000000000004</v>
      </c>
      <c r="L40" s="27">
        <v>0.92300000000000004</v>
      </c>
      <c r="M40" s="45">
        <v>0.86070000000000002</v>
      </c>
      <c r="N40" s="27">
        <v>0.92600000000000005</v>
      </c>
      <c r="O40" s="27">
        <v>0.92200000000000004</v>
      </c>
      <c r="P40" s="27">
        <v>0.91579999999999995</v>
      </c>
      <c r="Q40" s="27">
        <v>0.93740000000000001</v>
      </c>
      <c r="R40" s="37">
        <v>0.78786</v>
      </c>
      <c r="S40" s="27">
        <f t="shared" si="0"/>
        <v>1.0224120000000003</v>
      </c>
      <c r="T40" s="22">
        <v>0.92887393939393903</v>
      </c>
      <c r="U40" s="8">
        <v>1.0118</v>
      </c>
      <c r="V40" s="16">
        <v>0.95760000000000001</v>
      </c>
      <c r="W40" s="52">
        <v>0.95388000000000051</v>
      </c>
      <c r="X40" s="52">
        <v>0.79659999999999997</v>
      </c>
    </row>
    <row r="41" spans="1:24" ht="22.55" customHeight="1" thickTop="1" thickBot="1">
      <c r="A41" s="46">
        <v>40</v>
      </c>
      <c r="B41" s="18">
        <v>0.76649999999999996</v>
      </c>
      <c r="C41" s="18">
        <v>1.0946</v>
      </c>
      <c r="D41" s="18">
        <v>1.0132000000000001</v>
      </c>
      <c r="E41" s="18">
        <v>0.76580000000000004</v>
      </c>
      <c r="F41" s="16">
        <v>0.91366000000000003</v>
      </c>
      <c r="G41" s="18">
        <v>0.94389999999999996</v>
      </c>
      <c r="H41" s="18">
        <v>0.9002</v>
      </c>
      <c r="I41" s="18">
        <v>1.0254000000000001</v>
      </c>
      <c r="J41" s="18">
        <v>0.96409999999999996</v>
      </c>
      <c r="K41" s="39">
        <v>0.92720000000000002</v>
      </c>
      <c r="L41" s="18">
        <v>0.92200000000000004</v>
      </c>
      <c r="M41" s="40">
        <v>0.85970000000000002</v>
      </c>
      <c r="N41" s="18">
        <v>0.92600000000000005</v>
      </c>
      <c r="O41" s="18">
        <v>0.92200000000000004</v>
      </c>
      <c r="P41" s="16">
        <v>0.91478000000000004</v>
      </c>
      <c r="Q41" s="27">
        <v>0.93681999999999999</v>
      </c>
      <c r="R41" s="41">
        <v>0.78712000000000004</v>
      </c>
      <c r="S41" s="18">
        <f t="shared" si="0"/>
        <v>1.0216800000000004</v>
      </c>
      <c r="T41" s="16">
        <v>0.92784969696969699</v>
      </c>
      <c r="U41" s="16">
        <v>1.0109999999999999</v>
      </c>
      <c r="V41" s="16">
        <v>0.95760000000000001</v>
      </c>
      <c r="W41" s="52">
        <v>0.95329000000000053</v>
      </c>
      <c r="X41" s="52">
        <v>0.79620000000000002</v>
      </c>
    </row>
    <row r="42" spans="1:24" ht="22.55" customHeight="1" thickTop="1" thickBot="1">
      <c r="A42" s="21">
        <v>41</v>
      </c>
      <c r="B42" s="22">
        <v>0.76559999999999995</v>
      </c>
      <c r="C42" s="22">
        <v>1.0935999999999999</v>
      </c>
      <c r="D42" s="22">
        <v>1.0123</v>
      </c>
      <c r="E42" s="22">
        <v>0.76459999999999995</v>
      </c>
      <c r="F42" s="22">
        <v>0.91269</v>
      </c>
      <c r="G42" s="22">
        <v>0.94289999999999996</v>
      </c>
      <c r="H42" s="22">
        <v>0.8992</v>
      </c>
      <c r="I42" s="22">
        <v>1.0265</v>
      </c>
      <c r="J42" s="22">
        <v>0.96330000000000005</v>
      </c>
      <c r="K42" s="22">
        <v>0.9264</v>
      </c>
      <c r="L42" s="22">
        <v>0.92100000000000004</v>
      </c>
      <c r="M42" s="44">
        <v>0.85870000000000002</v>
      </c>
      <c r="N42" s="22">
        <v>0.92600000000000005</v>
      </c>
      <c r="O42" s="22">
        <v>0.92200000000000004</v>
      </c>
      <c r="P42" s="22">
        <v>0.91374999999999995</v>
      </c>
      <c r="Q42" s="27">
        <v>0.93681999999999999</v>
      </c>
      <c r="R42" s="31">
        <v>0.78637999999999997</v>
      </c>
      <c r="S42" s="22">
        <f t="shared" si="0"/>
        <v>1.0209480000000004</v>
      </c>
      <c r="T42" s="22">
        <v>0.92682545454545395</v>
      </c>
      <c r="U42" s="8">
        <v>1.0098</v>
      </c>
      <c r="V42" s="16">
        <v>0.95760000000000001</v>
      </c>
      <c r="W42" s="52">
        <v>0.95329000000000053</v>
      </c>
      <c r="X42" s="52">
        <v>0.79620000000000002</v>
      </c>
    </row>
    <row r="43" spans="1:24" ht="22.55" customHeight="1" thickTop="1" thickBot="1">
      <c r="A43" s="26">
        <v>42</v>
      </c>
      <c r="B43" s="27">
        <v>0.76470000000000005</v>
      </c>
      <c r="C43" s="27">
        <v>1.0925</v>
      </c>
      <c r="D43" s="27">
        <v>1.0114000000000001</v>
      </c>
      <c r="E43" s="27">
        <v>0.76349999999999996</v>
      </c>
      <c r="F43" s="27">
        <v>0.91171999999999997</v>
      </c>
      <c r="G43" s="22">
        <v>0.94189999999999996</v>
      </c>
      <c r="H43" s="22">
        <v>0.8982</v>
      </c>
      <c r="I43" s="22">
        <v>1.0277000000000001</v>
      </c>
      <c r="J43" s="27">
        <v>0.96250000000000002</v>
      </c>
      <c r="K43" s="22">
        <v>0.92549999999999999</v>
      </c>
      <c r="L43" s="22">
        <v>0.92</v>
      </c>
      <c r="M43" s="45">
        <v>0.85770000000000002</v>
      </c>
      <c r="N43" s="22">
        <v>0.92600000000000005</v>
      </c>
      <c r="O43" s="27">
        <v>0.92200000000000004</v>
      </c>
      <c r="P43" s="27">
        <v>0.91273000000000004</v>
      </c>
      <c r="Q43" s="27">
        <v>0.93681999999999999</v>
      </c>
      <c r="R43" s="37">
        <v>0.78564000000000001</v>
      </c>
      <c r="S43" s="27">
        <f t="shared" si="0"/>
        <v>1.0202160000000005</v>
      </c>
      <c r="T43" s="22">
        <v>0.92580121212121202</v>
      </c>
      <c r="U43" s="8">
        <v>1.0085999999999999</v>
      </c>
      <c r="V43" s="16">
        <v>0.95760000000000001</v>
      </c>
      <c r="W43" s="52">
        <v>0.95329000000000053</v>
      </c>
      <c r="X43" s="52">
        <v>0.79620000000000002</v>
      </c>
    </row>
    <row r="44" spans="1:24" ht="22.55" customHeight="1" thickTop="1" thickBot="1">
      <c r="A44" s="26">
        <v>43</v>
      </c>
      <c r="B44" s="27">
        <v>0.76390000000000002</v>
      </c>
      <c r="C44" s="27">
        <v>1.0914999999999999</v>
      </c>
      <c r="D44" s="27">
        <v>1.0105999999999999</v>
      </c>
      <c r="E44" s="27">
        <v>0.76229999999999998</v>
      </c>
      <c r="F44" s="27">
        <v>0.91073000000000004</v>
      </c>
      <c r="G44" s="27">
        <v>0.94089999999999996</v>
      </c>
      <c r="H44" s="27">
        <v>0.8972</v>
      </c>
      <c r="I44" s="27">
        <v>1.0287999999999999</v>
      </c>
      <c r="J44" s="27">
        <v>0.9617</v>
      </c>
      <c r="K44" s="27">
        <v>0.92459999999999998</v>
      </c>
      <c r="L44" s="27">
        <v>0.91900000000000004</v>
      </c>
      <c r="M44" s="45">
        <v>0.85670000000000002</v>
      </c>
      <c r="N44" s="22">
        <v>0.92600000000000005</v>
      </c>
      <c r="O44" s="27">
        <v>0.92200000000000004</v>
      </c>
      <c r="P44" s="27">
        <v>0.91168000000000005</v>
      </c>
      <c r="Q44" s="27">
        <v>0.93681999999999999</v>
      </c>
      <c r="R44" s="37">
        <v>0.78490000000000004</v>
      </c>
      <c r="S44" s="27">
        <f t="shared" si="0"/>
        <v>1.0194840000000005</v>
      </c>
      <c r="T44" s="22">
        <v>0.92477696969696899</v>
      </c>
      <c r="U44" s="8">
        <v>1.0074000000000001</v>
      </c>
      <c r="V44" s="16">
        <v>0.95760000000000001</v>
      </c>
      <c r="W44" s="52">
        <v>0.95329000000000053</v>
      </c>
      <c r="X44" s="52">
        <v>0.79620000000000002</v>
      </c>
    </row>
    <row r="45" spans="1:24" ht="22.55" customHeight="1" thickTop="1" thickBot="1">
      <c r="A45" s="26">
        <v>44</v>
      </c>
      <c r="B45" s="27">
        <v>0.76300000000000001</v>
      </c>
      <c r="C45" s="27">
        <v>1.0904</v>
      </c>
      <c r="D45" s="27">
        <v>1.0097</v>
      </c>
      <c r="E45" s="27">
        <v>0.76119999999999999</v>
      </c>
      <c r="F45" s="27">
        <v>0.90983999999999998</v>
      </c>
      <c r="G45" s="27">
        <v>0.93389999999999995</v>
      </c>
      <c r="H45" s="22">
        <v>0.8962</v>
      </c>
      <c r="I45" s="22">
        <v>1.0299</v>
      </c>
      <c r="J45" s="27">
        <v>0.96089999999999998</v>
      </c>
      <c r="K45" s="27">
        <v>0.92369999999999997</v>
      </c>
      <c r="L45" s="27">
        <v>0.91800000000000004</v>
      </c>
      <c r="M45" s="45">
        <v>0.85570000000000002</v>
      </c>
      <c r="N45" s="22">
        <v>0.92600000000000005</v>
      </c>
      <c r="O45" s="27">
        <v>0.92200000000000004</v>
      </c>
      <c r="P45" s="27">
        <v>0.91064999999999996</v>
      </c>
      <c r="Q45" s="27">
        <v>0.93681999999999999</v>
      </c>
      <c r="R45" s="37">
        <v>0.78415999999999997</v>
      </c>
      <c r="S45" s="27">
        <f t="shared" si="0"/>
        <v>1.0187520000000005</v>
      </c>
      <c r="T45" s="22">
        <v>0.92375272727272695</v>
      </c>
      <c r="U45" s="8">
        <v>1.0062</v>
      </c>
      <c r="V45" s="16">
        <v>0.95760000000000001</v>
      </c>
      <c r="W45" s="52">
        <v>0.95329000000000053</v>
      </c>
      <c r="X45" s="52">
        <v>0.79620000000000002</v>
      </c>
    </row>
    <row r="46" spans="1:24" ht="22.55" customHeight="1" thickTop="1" thickBot="1">
      <c r="A46" s="46">
        <v>45</v>
      </c>
      <c r="B46" s="18">
        <v>0.7621</v>
      </c>
      <c r="C46" s="18">
        <v>1.0893999999999999</v>
      </c>
      <c r="D46" s="18">
        <v>1.0087999999999999</v>
      </c>
      <c r="E46" s="18">
        <v>0.76</v>
      </c>
      <c r="F46" s="16">
        <v>0.90878000000000003</v>
      </c>
      <c r="G46" s="18">
        <v>0.93889999999999996</v>
      </c>
      <c r="H46" s="18">
        <v>0.8952</v>
      </c>
      <c r="I46" s="18">
        <v>1.0310999999999999</v>
      </c>
      <c r="J46" s="18">
        <v>0.96009999999999995</v>
      </c>
      <c r="K46" s="18">
        <v>0.92279999999999995</v>
      </c>
      <c r="L46" s="18">
        <v>0.91700000000000004</v>
      </c>
      <c r="M46" s="40">
        <v>0.85470000000000002</v>
      </c>
      <c r="N46" s="16">
        <v>0.92600000000000005</v>
      </c>
      <c r="O46" s="18">
        <v>0.92200000000000004</v>
      </c>
      <c r="P46" s="16">
        <v>0.90963000000000005</v>
      </c>
      <c r="Q46" s="27">
        <v>0.93681999999999999</v>
      </c>
      <c r="R46" s="41">
        <v>0.78342000000000001</v>
      </c>
      <c r="S46" s="18">
        <f t="shared" si="0"/>
        <v>1.0180200000000006</v>
      </c>
      <c r="T46" s="16">
        <v>0.92272848484848502</v>
      </c>
      <c r="U46" s="16">
        <v>1.0049999999999999</v>
      </c>
      <c r="V46" s="16">
        <v>0.95760000000000001</v>
      </c>
      <c r="W46" s="52">
        <v>0.95329000000000053</v>
      </c>
      <c r="X46" s="52">
        <v>0.79620000000000002</v>
      </c>
    </row>
    <row r="47" spans="1:24" ht="17.55" thickTop="1" thickBot="1">
      <c r="A47" s="47">
        <v>46</v>
      </c>
      <c r="B47" s="22">
        <v>0.76124999999999998</v>
      </c>
      <c r="C47" s="22">
        <v>1.08833</v>
      </c>
      <c r="D47" s="22">
        <v>1.0079499999999999</v>
      </c>
      <c r="E47" s="22">
        <v>0.75887000000000004</v>
      </c>
      <c r="F47" s="22">
        <v>0.90781999999999996</v>
      </c>
      <c r="G47" s="22">
        <v>0.93489999999999995</v>
      </c>
      <c r="H47" s="22">
        <v>0.89419999999999999</v>
      </c>
      <c r="I47" s="22">
        <v>1.0322199999999999</v>
      </c>
      <c r="J47" s="22">
        <v>0.95930000000000004</v>
      </c>
      <c r="K47" s="22">
        <v>0.92190000000000005</v>
      </c>
      <c r="L47" s="22">
        <v>0.91600000000000004</v>
      </c>
      <c r="M47" s="44">
        <v>0.85370000000000001</v>
      </c>
      <c r="N47" s="22">
        <v>0.92600000000000005</v>
      </c>
      <c r="O47" s="22">
        <v>0.92200000000000004</v>
      </c>
      <c r="P47" s="22">
        <v>0.90856000000000003</v>
      </c>
      <c r="Q47" s="27">
        <v>0.93681999999999999</v>
      </c>
      <c r="R47" s="31">
        <v>0.78268000000000004</v>
      </c>
      <c r="S47" s="22">
        <f t="shared" si="0"/>
        <v>1.0172880000000006</v>
      </c>
      <c r="T47" s="22">
        <v>0.92170424242424398</v>
      </c>
      <c r="U47" s="8">
        <v>1.0038</v>
      </c>
      <c r="V47" s="16">
        <v>0.95760000000000001</v>
      </c>
      <c r="W47" s="52">
        <v>0.95329000000000053</v>
      </c>
      <c r="X47" s="52">
        <v>0.79620000000000002</v>
      </c>
    </row>
    <row r="48" spans="1:24" ht="17.55" thickTop="1" thickBot="1">
      <c r="A48" s="47">
        <v>47</v>
      </c>
      <c r="B48" s="27">
        <v>0.76037999999999994</v>
      </c>
      <c r="C48" s="27">
        <v>1.08728</v>
      </c>
      <c r="D48" s="27">
        <v>1.00708</v>
      </c>
      <c r="E48" s="27">
        <v>0.75771999999999995</v>
      </c>
      <c r="F48" s="27">
        <v>0.90683000000000002</v>
      </c>
      <c r="G48" s="22">
        <v>0.93330000000000002</v>
      </c>
      <c r="H48" s="22">
        <v>0.89319999999999999</v>
      </c>
      <c r="I48" s="22">
        <v>1.0333600000000001</v>
      </c>
      <c r="J48" s="27">
        <v>0.95850000000000002</v>
      </c>
      <c r="K48" s="22">
        <v>0.92100000000000004</v>
      </c>
      <c r="L48" s="22">
        <v>0.91500000000000004</v>
      </c>
      <c r="M48" s="45">
        <v>0.85270000000000001</v>
      </c>
      <c r="N48" s="22">
        <v>0.92600000000000005</v>
      </c>
      <c r="O48" s="27">
        <v>0.92200000000000004</v>
      </c>
      <c r="P48" s="27">
        <v>0.90751999999999999</v>
      </c>
      <c r="Q48" s="27">
        <v>0.93681999999999999</v>
      </c>
      <c r="R48" s="37">
        <v>0.78193999999999997</v>
      </c>
      <c r="S48" s="27">
        <f t="shared" si="0"/>
        <v>1.0165560000000007</v>
      </c>
      <c r="T48" s="22">
        <v>0.92068000000000205</v>
      </c>
      <c r="U48" s="8">
        <v>1.0025999999999999</v>
      </c>
      <c r="V48" s="16">
        <v>0.95760000000000001</v>
      </c>
      <c r="W48" s="52">
        <v>0.95329000000000053</v>
      </c>
      <c r="X48" s="52">
        <v>0.79620000000000002</v>
      </c>
    </row>
    <row r="49" spans="1:24" ht="17.55" thickTop="1" thickBot="1">
      <c r="A49" s="47">
        <v>48</v>
      </c>
      <c r="B49" s="27">
        <v>0.75951000000000002</v>
      </c>
      <c r="C49" s="27">
        <v>1.08623</v>
      </c>
      <c r="D49" s="27">
        <v>1.00621</v>
      </c>
      <c r="E49" s="27">
        <v>0.75656999999999996</v>
      </c>
      <c r="F49" s="27">
        <v>0.90585000000000004</v>
      </c>
      <c r="G49" s="27">
        <v>0.93169999999999997</v>
      </c>
      <c r="H49" s="27">
        <v>0.89219999999999999</v>
      </c>
      <c r="I49" s="27">
        <v>1.0345</v>
      </c>
      <c r="J49" s="27">
        <v>0.9577</v>
      </c>
      <c r="K49" s="27">
        <v>0.92010000000000003</v>
      </c>
      <c r="L49" s="27">
        <v>0.91400000000000003</v>
      </c>
      <c r="M49" s="45">
        <v>0.85170000000000001</v>
      </c>
      <c r="N49" s="22">
        <v>0.92600000000000005</v>
      </c>
      <c r="O49" s="27">
        <v>0.92200000000000004</v>
      </c>
      <c r="P49" s="27">
        <v>0.90647999999999995</v>
      </c>
      <c r="Q49" s="27">
        <v>0.93681999999999999</v>
      </c>
      <c r="R49" s="37">
        <v>0.78120000000000001</v>
      </c>
      <c r="S49" s="27">
        <f t="shared" si="0"/>
        <v>1.0158240000000007</v>
      </c>
      <c r="T49" s="22">
        <v>0.91965575757576001</v>
      </c>
      <c r="U49" s="8">
        <v>1.0014000000000001</v>
      </c>
      <c r="V49" s="16">
        <v>0.95760000000000001</v>
      </c>
      <c r="W49" s="52">
        <v>0.95329000000000053</v>
      </c>
      <c r="X49" s="52">
        <v>0.79620000000000002</v>
      </c>
    </row>
    <row r="50" spans="1:24" ht="17.55" thickTop="1" thickBot="1">
      <c r="A50" s="47">
        <v>49</v>
      </c>
      <c r="B50" s="27">
        <v>0.75863999999999998</v>
      </c>
      <c r="C50" s="27">
        <v>1.08518</v>
      </c>
      <c r="D50" s="27">
        <v>1.0053399999999999</v>
      </c>
      <c r="E50" s="27">
        <v>0.75541999999999998</v>
      </c>
      <c r="F50" s="27">
        <v>0.90488000000000002</v>
      </c>
      <c r="G50" s="27">
        <v>0.93010000000000004</v>
      </c>
      <c r="H50" s="22">
        <v>0.89119999999999999</v>
      </c>
      <c r="I50" s="22">
        <v>1.0356399999999999</v>
      </c>
      <c r="J50" s="27">
        <v>0.95689999999999997</v>
      </c>
      <c r="K50" s="27">
        <v>0.91920000000000002</v>
      </c>
      <c r="L50" s="27">
        <v>0.91300000000000003</v>
      </c>
      <c r="M50" s="45">
        <v>0.85070000000000001</v>
      </c>
      <c r="N50" s="22">
        <v>0.92600000000000005</v>
      </c>
      <c r="O50" s="27">
        <v>0.92200000000000004</v>
      </c>
      <c r="P50" s="27">
        <v>0.90542999999999996</v>
      </c>
      <c r="Q50" s="27">
        <v>0.93681999999999999</v>
      </c>
      <c r="R50" s="37">
        <v>0.78046000000000004</v>
      </c>
      <c r="S50" s="27">
        <f t="shared" si="0"/>
        <v>1.0150920000000008</v>
      </c>
      <c r="T50" s="22">
        <v>0.91863151515151897</v>
      </c>
      <c r="U50" s="8">
        <v>1.0002</v>
      </c>
      <c r="V50" s="16">
        <v>0.95760000000000001</v>
      </c>
      <c r="W50" s="52">
        <v>0.95329000000000053</v>
      </c>
      <c r="X50" s="52">
        <v>0.79620000000000002</v>
      </c>
    </row>
    <row r="51" spans="1:24" ht="17.55" thickTop="1" thickBot="1">
      <c r="A51" s="48">
        <v>50</v>
      </c>
      <c r="B51" s="18">
        <v>0.75777000000000005</v>
      </c>
      <c r="C51" s="18">
        <v>1.08413</v>
      </c>
      <c r="D51" s="18">
        <v>1.00447</v>
      </c>
      <c r="E51" s="18">
        <v>0.75427</v>
      </c>
      <c r="F51" s="16">
        <v>0.90390999999999999</v>
      </c>
      <c r="G51" s="18">
        <v>0.92849999999999999</v>
      </c>
      <c r="H51" s="18">
        <v>0.89019999999999999</v>
      </c>
      <c r="I51" s="18">
        <v>1.03678</v>
      </c>
      <c r="J51" s="18">
        <v>0.95609999999999995</v>
      </c>
      <c r="K51" s="18">
        <v>0.91830000000000001</v>
      </c>
      <c r="L51" s="18">
        <v>0.91200000000000003</v>
      </c>
      <c r="M51" s="40">
        <v>0.84970000000000001</v>
      </c>
      <c r="N51" s="16">
        <v>0.92600000000000005</v>
      </c>
      <c r="O51" s="18">
        <v>0.92200000000000004</v>
      </c>
      <c r="P51" s="16">
        <v>0.90439000000000003</v>
      </c>
      <c r="Q51" s="27">
        <v>0.93681999999999999</v>
      </c>
      <c r="R51" s="41">
        <v>0.77971999999999997</v>
      </c>
      <c r="S51" s="18">
        <f t="shared" si="0"/>
        <v>1.0143600000000008</v>
      </c>
      <c r="T51" s="16">
        <v>0.91760727272727705</v>
      </c>
      <c r="U51" s="16">
        <v>0.999</v>
      </c>
      <c r="V51" s="16">
        <v>0.95760000000000001</v>
      </c>
      <c r="W51" s="52">
        <v>0.95329000000000053</v>
      </c>
      <c r="X51" s="52">
        <v>0.79620000000000002</v>
      </c>
    </row>
    <row r="52" spans="1:24" ht="16.95" thickTop="1">
      <c r="B52" s="49"/>
      <c r="C52" s="49"/>
      <c r="D52" s="49"/>
      <c r="E52" s="49"/>
      <c r="F52" s="49"/>
      <c r="G52" s="49"/>
      <c r="H52" s="49"/>
      <c r="I52" s="49"/>
      <c r="J52" s="49"/>
      <c r="U52" s="8"/>
    </row>
    <row r="53" spans="1:24">
      <c r="U53" s="8"/>
    </row>
    <row r="54" spans="1:24">
      <c r="U54" s="8"/>
    </row>
    <row r="55" spans="1:24">
      <c r="U55" s="8"/>
    </row>
    <row r="56" spans="1:24">
      <c r="U56" s="8"/>
    </row>
    <row r="57" spans="1:24">
      <c r="U57" s="8"/>
    </row>
    <row r="58" spans="1:24">
      <c r="U58" s="8"/>
    </row>
    <row r="59" spans="1:24">
      <c r="U59" s="8"/>
    </row>
    <row r="60" spans="1:24">
      <c r="U60" s="8"/>
    </row>
    <row r="61" spans="1:24">
      <c r="U61" s="8"/>
    </row>
    <row r="62" spans="1:24">
      <c r="U62" s="8"/>
    </row>
    <row r="63" spans="1:24">
      <c r="U63" s="8"/>
    </row>
    <row r="64" spans="1:24">
      <c r="U64" s="8"/>
    </row>
    <row r="65" spans="21:21">
      <c r="U65" s="8"/>
    </row>
    <row r="66" spans="21:21">
      <c r="U66" s="8"/>
    </row>
    <row r="67" spans="21:21">
      <c r="U67" s="8"/>
    </row>
    <row r="68" spans="21:21">
      <c r="U68" s="8"/>
    </row>
    <row r="69" spans="21:21">
      <c r="U69" s="8"/>
    </row>
    <row r="70" spans="21:21">
      <c r="U70" s="8"/>
    </row>
    <row r="71" spans="21:21">
      <c r="U71" s="8"/>
    </row>
    <row r="72" spans="21:21">
      <c r="U72" s="8"/>
    </row>
    <row r="73" spans="21:21">
      <c r="U73" s="8"/>
    </row>
    <row r="74" spans="21:21">
      <c r="U74" s="8"/>
    </row>
    <row r="75" spans="21:21">
      <c r="U75" s="8"/>
    </row>
    <row r="76" spans="21:21">
      <c r="U76" s="8"/>
    </row>
    <row r="77" spans="21:21">
      <c r="U77" s="8"/>
    </row>
    <row r="78" spans="21:21">
      <c r="U78" s="8"/>
    </row>
    <row r="79" spans="21:21">
      <c r="U79" s="8"/>
    </row>
    <row r="80" spans="21:21">
      <c r="U80" s="8"/>
    </row>
    <row r="81" spans="21:21">
      <c r="U81" s="8"/>
    </row>
    <row r="82" spans="21:21">
      <c r="U82" s="8"/>
    </row>
    <row r="83" spans="21:21">
      <c r="U83" s="8"/>
    </row>
    <row r="84" spans="21:21">
      <c r="U84" s="8"/>
    </row>
    <row r="85" spans="21:21">
      <c r="U85" s="8"/>
    </row>
    <row r="86" spans="21:21">
      <c r="U86" s="8"/>
    </row>
    <row r="87" spans="21:21">
      <c r="U87" s="8"/>
    </row>
    <row r="88" spans="21:21">
      <c r="U88" s="8"/>
    </row>
    <row r="89" spans="21:21">
      <c r="U89" s="8"/>
    </row>
    <row r="90" spans="21:21">
      <c r="U90" s="8"/>
    </row>
    <row r="91" spans="21:21">
      <c r="U91" s="8"/>
    </row>
    <row r="92" spans="21:21">
      <c r="U92" s="8"/>
    </row>
    <row r="93" spans="21:21">
      <c r="U93" s="8"/>
    </row>
    <row r="94" spans="21:21">
      <c r="U94" s="8"/>
    </row>
  </sheetData>
  <phoneticPr fontId="2" type="noConversion"/>
  <pageMargins left="0.42" right="0.2" top="0.36" bottom="0.43" header="0.5" footer="0.5"/>
  <pageSetup paperSize="9" scale="48" orientation="landscape" verticalDpi="18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69">
    <pageSetUpPr fitToPage="1"/>
  </sheetPr>
  <dimension ref="A1:CU223"/>
  <sheetViews>
    <sheetView view="pageBreakPreview" topLeftCell="E1" zoomScale="80" zoomScaleNormal="100" zoomScaleSheetLayoutView="80" workbookViewId="0">
      <selection activeCell="Q15" sqref="Q15"/>
    </sheetView>
  </sheetViews>
  <sheetFormatPr defaultColWidth="8.109375" defaultRowHeight="26.05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0.9" ph="1">
      <c r="A1" s="64"/>
      <c r="B1" s="238" t="s" ph="1">
        <v>162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.05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.05" customHeight="1" ph="1">
      <c r="B3" s="240" ph="1">
        <v>45838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" customHeight="1" ph="1">
      <c r="A5" s="65" ph="1"/>
      <c r="B5" s="219" ph="1"/>
      <c r="C5" s="67" t="s" ph="1">
        <v>36</v>
      </c>
      <c r="D5" s="70" t="s" ph="1">
        <v>161</v>
      </c>
      <c r="E5" s="70" t="s" ph="1">
        <v>640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41" t="s" ph="1">
        <v>178</v>
      </c>
      <c r="D6" s="71">
        <v>115</v>
      </c>
      <c r="E6" s="71">
        <v>8138</v>
      </c>
      <c r="F6" s="71">
        <v>6831</v>
      </c>
      <c r="G6" s="71">
        <v>127</v>
      </c>
      <c r="H6" s="71">
        <v>4596</v>
      </c>
      <c r="I6" s="71">
        <v>51.72</v>
      </c>
      <c r="J6" s="71">
        <v>7.73</v>
      </c>
      <c r="K6" s="71">
        <v>7.01</v>
      </c>
      <c r="L6" s="71">
        <v>30.02</v>
      </c>
      <c r="M6" s="71">
        <v>4757</v>
      </c>
      <c r="N6" s="71">
        <v>3022</v>
      </c>
      <c r="O6" s="71">
        <v>3714</v>
      </c>
      <c r="P6" s="71">
        <v>498</v>
      </c>
      <c r="Q6" s="71">
        <v>5067</v>
      </c>
      <c r="R6" s="71">
        <v>2050</v>
      </c>
      <c r="S6" s="71">
        <v>0</v>
      </c>
      <c r="T6" s="71">
        <v>0</v>
      </c>
      <c r="U6" s="71">
        <v>0</v>
      </c>
      <c r="V6" s="71">
        <v>0</v>
      </c>
      <c r="W6" s="71">
        <v>7001</v>
      </c>
      <c r="X6" s="71">
        <v>7079</v>
      </c>
      <c r="Y6" s="71">
        <v>4722</v>
      </c>
      <c r="Z6" s="71">
        <v>5182</v>
      </c>
      <c r="AA6" s="71">
        <v>558</v>
      </c>
      <c r="AB6" s="71">
        <v>3105</v>
      </c>
      <c r="AC6" s="71">
        <v>5503</v>
      </c>
      <c r="AD6" s="71">
        <v>4414</v>
      </c>
      <c r="AE6" s="71">
        <v>2854</v>
      </c>
    </row>
    <row r="7" spans="1:99" s="72" customFormat="1" ht="22.4" ph="1">
      <c r="B7" s="237" ph="1"/>
      <c r="C7" s="68" t="s" ph="1">
        <v>179</v>
      </c>
      <c r="D7" s="73" ph="1">
        <f>D6*33.183*LOOKUP(D8,密度!$A$2:$A$50,密度!$Q$2:$Q$50)</f>
        <v>3604.7124279</v>
      </c>
      <c r="E7" s="73" ph="1">
        <f>E6*51.53*LOOKUP(E8,密度!$A$2:$A$50,密度!$B$2:$B$50)</f>
        <v>325122.93884200003</v>
      </c>
      <c r="F7" s="73" ph="1">
        <f>F6*33.183*LOOKUP(F8,密度!$A$2:$A$50,密度!$C$2:$C$50)</f>
        <v>250836.4225818</v>
      </c>
      <c r="G7" s="73" ph="1">
        <f xml:space="preserve"> (G6+2)*51.53*LOOKUP(G8,密度!$A$2:$A$50,密度!$B$2:$B$50)</f>
        <v>5170.9891230000003</v>
      </c>
      <c r="H7" s="73" ph="1">
        <f>(H6)*51.53*LOOKUP(H8,密度!$A$2:$A$50,密度!$B$2:$B$50)</f>
        <v>184634.13364799999</v>
      </c>
      <c r="I7" s="73" ph="1">
        <f>I6*290.8*1.0267</f>
        <v>15441.748699199999</v>
      </c>
      <c r="J7" s="73" ph="1">
        <f>J6*290.8*0.7892</f>
        <v>1774.0300528</v>
      </c>
      <c r="K7" s="73" ph="1">
        <f>K6*290.8*1.1126</f>
        <v>2268.0440008</v>
      </c>
      <c r="L7" s="73" ph="1">
        <f>L6*290.8*0.777</f>
        <v>6783.0670320000008</v>
      </c>
      <c r="M7" s="73" ph="1">
        <f>M6*33.183*LOOKUP(M8,密度!$A$2:$A$50,密度!$D$2:$D$50)</f>
        <v>161324.26468199998</v>
      </c>
      <c r="N7" s="73" ph="1">
        <f>N6*33.183*LOOKUP(N8,密度!$A$2:$A$50,密度!$E$2:$E$50)</f>
        <v>77976.970617599989</v>
      </c>
      <c r="O7" s="73" ph="1">
        <f>O6*20.428*LOOKUP(O8,密度!$A$2:$A$50,密度!$C$2:$C$50)</f>
        <v>83608.290384000007</v>
      </c>
      <c r="P7" s="73" ph="1">
        <f>P6*51.53*LOOKUP(P8,密度!$A$2:$A$50,密度!$B$2:$B$50)</f>
        <v>19962.423126000002</v>
      </c>
      <c r="Q7" s="73" ph="1">
        <f>Q6*1.5*1.5*3.1416*LOOKUP(W8,密度!$A$2:$A$50,密度!$L$2:$L$50)</f>
        <v>33381.067658400003</v>
      </c>
      <c r="R7" s="73" ph="1">
        <f>R6*1.5*1.5*3.1416*LOOKUP(R8,密度!$A$2:$A$50,密度!$L$2:$L$50)</f>
        <v>13461.795270000001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46122.134335199997</v>
      </c>
      <c r="X7" s="73" ph="1">
        <f>X6*1.5*1.5*3.1416*LOOKUP(X8,密度!$A$2:$A$50,密度!$L$2:$L$50)</f>
        <v>46886.186377799997</v>
      </c>
      <c r="Y7" s="73" ph="1">
        <f>Y6*1.5*1.5*3.1416*LOOKUP(Y8,密度!$A$2:$A$50,密度!$L$2:$L$50)</f>
        <v>31174.9858728</v>
      </c>
      <c r="Z7" s="73" ph="1">
        <f>Z6*33.183*LOOKUP(Z8,密度!$A$2:$A$50,密度!$L$2:$L$50)</f>
        <v>160605.32180400001</v>
      </c>
      <c r="AA7" s="73" ph="1">
        <f>AA6*33.183*LOOKUP(AA8,密度!$A$2:$A$50,密度!$D$2:$D$50)</f>
        <v>18975.313627200001</v>
      </c>
      <c r="AB7" s="73" ph="1">
        <f>AB6*20.428*LOOKUP(AB8,密度!$A$2:$A$50,密度!$D$2:$D$50)</f>
        <v>65243.007683999997</v>
      </c>
      <c r="AC7" s="73" ph="1">
        <f>AC6*51.53*LOOKUP(AC8,密度!$A$2:$A$50,密度!$Q$2:$Q$50)</f>
        <v>267865.50610580004</v>
      </c>
      <c r="AD7" s="73" ph="1">
        <f>AD6*20.428*LOOKUP(AD8,密度!$A$2:$A$50,密度!$V$2:$V$50)</f>
        <v>86346.018259200006</v>
      </c>
      <c r="AE7" s="73" ph="1">
        <f>AE6*20.428</f>
        <v>58301.512000000002</v>
      </c>
    </row>
    <row r="8" spans="1:99" ph="1">
      <c r="B8" s="237" ph="1"/>
      <c r="C8" s="68" t="s" ph="1">
        <v>180</v>
      </c>
      <c r="D8" s="74">
        <v>28</v>
      </c>
      <c r="E8" s="74">
        <v>30</v>
      </c>
      <c r="F8" s="74">
        <v>28</v>
      </c>
      <c r="G8" s="74">
        <v>27</v>
      </c>
      <c r="H8" s="74">
        <v>25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30</v>
      </c>
      <c r="O8" s="74">
        <v>33</v>
      </c>
      <c r="P8" s="74">
        <v>27</v>
      </c>
      <c r="Q8" s="74">
        <v>27</v>
      </c>
      <c r="R8" s="74">
        <v>33</v>
      </c>
      <c r="S8" s="74">
        <v>25</v>
      </c>
      <c r="T8" s="74">
        <v>24</v>
      </c>
      <c r="U8" s="74">
        <v>28</v>
      </c>
      <c r="V8" s="74">
        <v>27</v>
      </c>
      <c r="W8" s="74">
        <v>30</v>
      </c>
      <c r="X8" s="74">
        <v>25</v>
      </c>
      <c r="Y8" s="74">
        <v>28</v>
      </c>
      <c r="Z8" s="74">
        <v>28</v>
      </c>
      <c r="AA8" s="74">
        <v>27</v>
      </c>
      <c r="AB8" s="74">
        <v>23</v>
      </c>
      <c r="AC8" s="74">
        <v>28</v>
      </c>
      <c r="AD8" s="74">
        <v>28</v>
      </c>
      <c r="AE8" s="74">
        <v>35</v>
      </c>
    </row>
    <row r="9" spans="1:99" ht="26.65" ph="1">
      <c r="B9" s="237" ph="1">
        <v>0.66666666666666663</v>
      </c>
      <c r="C9" s="141" t="s" ph="1">
        <v>181</v>
      </c>
      <c r="D9" s="71">
        <v>155</v>
      </c>
      <c r="E9" s="71">
        <v>8138</v>
      </c>
      <c r="F9" s="71">
        <v>6834</v>
      </c>
      <c r="G9" s="71">
        <v>2750</v>
      </c>
      <c r="H9" s="71">
        <v>4291</v>
      </c>
      <c r="I9" s="71">
        <v>51.81</v>
      </c>
      <c r="J9" s="71">
        <v>7.82</v>
      </c>
      <c r="K9" s="71">
        <v>7.01</v>
      </c>
      <c r="L9" s="71">
        <v>13.81</v>
      </c>
      <c r="M9" s="71">
        <v>4757</v>
      </c>
      <c r="N9" s="71">
        <v>3025</v>
      </c>
      <c r="O9" s="71">
        <v>3714</v>
      </c>
      <c r="P9" s="71">
        <v>505</v>
      </c>
      <c r="Q9" s="71">
        <v>5073</v>
      </c>
      <c r="R9" s="71">
        <v>4443</v>
      </c>
      <c r="S9" s="71">
        <v>3747</v>
      </c>
      <c r="T9" s="71">
        <v>0</v>
      </c>
      <c r="U9" s="71">
        <v>0</v>
      </c>
      <c r="V9" s="71">
        <v>0</v>
      </c>
      <c r="W9" s="71">
        <v>7008</v>
      </c>
      <c r="X9" s="71">
        <v>7087</v>
      </c>
      <c r="Y9" s="71">
        <v>967</v>
      </c>
      <c r="Z9" s="71">
        <v>3649</v>
      </c>
      <c r="AA9" s="71">
        <v>556</v>
      </c>
      <c r="AB9" s="71">
        <v>3106</v>
      </c>
      <c r="AC9" s="71">
        <v>5056</v>
      </c>
      <c r="AD9" s="71">
        <v>4419</v>
      </c>
      <c r="AE9" s="71">
        <v>2767</v>
      </c>
    </row>
    <row r="10" spans="1:99" s="72" customFormat="1" ht="22.4" ph="1">
      <c r="B10" s="237" ph="1"/>
      <c r="C10" s="141" t="s" ph="1">
        <v>179</v>
      </c>
      <c r="D10" s="73" ph="1">
        <f>D9*33.183*LOOKUP(D11,密度!$A$2:$A$50,密度!$Q$2:$Q$50)</f>
        <v>4834.4544980999999</v>
      </c>
      <c r="E10" s="73" ph="1">
        <f>E9*51.53*LOOKUP(E11,密度!$A$2:$A$50,密度!$B$2:$B$50)</f>
        <v>323277.79382600001</v>
      </c>
      <c r="F10" s="73" ph="1">
        <f>F9*33.183*LOOKUP(F11,密度!$A$2:$A$50,密度!$C$2:$C$50)</f>
        <v>249903.42944400004</v>
      </c>
      <c r="G10" s="73" ph="1">
        <f xml:space="preserve"> (G9+2)*51.53*LOOKUP(G11,密度!$A$2:$A$50,密度!$B$2:$B$50)</f>
        <v>109945.727168</v>
      </c>
      <c r="H10" s="73" ph="1">
        <f>(H9)*51.53*LOOKUP(H11,密度!$A$2:$A$50,密度!$B$2:$B$50)</f>
        <v>171430.637819</v>
      </c>
      <c r="I10" s="73" ph="1">
        <f>I9*290.8*1.0267</f>
        <v>15468.6194916</v>
      </c>
      <c r="J10" s="73" ph="1">
        <f>J9*290.8*0.7892</f>
        <v>1794.6849952</v>
      </c>
      <c r="K10" s="73" ph="1">
        <f>K9*290.8*1.1126</f>
        <v>2268.0440008</v>
      </c>
      <c r="L10" s="73" ph="1">
        <f>L9*290.8*0.777</f>
        <v>3120.3915960000004</v>
      </c>
      <c r="M10" s="73" ph="1">
        <f>M9*33.183*LOOKUP(M11,密度!$A$2:$A$50,密度!$D$2:$D$50)</f>
        <v>159935.17120919999</v>
      </c>
      <c r="N10" s="73" ph="1">
        <f>N9*33.183*LOOKUP(N11,密度!$A$2:$A$50,密度!$E$2:$E$50)</f>
        <v>77712.088979250009</v>
      </c>
      <c r="O10" s="73" ph="1">
        <f>O9*20.428*LOOKUP(O11,密度!$A$2:$A$50,密度!$C$2:$C$50)</f>
        <v>83206.18154640001</v>
      </c>
      <c r="P10" s="73" ph="1">
        <f>P9*51.53*LOOKUP(P11,密度!$A$2:$A$50,密度!$B$2:$B$50)</f>
        <v>20060.860885000002</v>
      </c>
      <c r="Q10" s="73" ph="1">
        <f>Q9*1.5*1.5*3.1416*LOOKUP(W11,密度!$A$2:$A$50,密度!$L$2:$L$50)</f>
        <v>33384.736261800004</v>
      </c>
      <c r="R10" s="73" ph="1">
        <f>R9*1.5*1.5*3.1416*LOOKUP(R11,密度!$A$2:$A$50,密度!$L$2:$L$50)</f>
        <v>29144.572934399999</v>
      </c>
      <c r="S10" s="73" ph="1">
        <f>S9*1.5*1.5*3.1416*LOOKUP(S11,密度!$A$2:$A$50,密度!$L$2:$L$50)</f>
        <v>24843.9094596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46118.713132800003</v>
      </c>
      <c r="X10" s="73" ph="1">
        <f>X9*1.5*1.5*3.1416*LOOKUP(X11,密度!$A$2:$A$50,密度!$L$2:$L$50)</f>
        <v>46788.887098800005</v>
      </c>
      <c r="Y10" s="73" ph="1">
        <f>Y9*1.5*1.5*3.1416*LOOKUP(Y11,密度!$A$2:$A$50,密度!$L$2:$L$50)</f>
        <v>6356.862666</v>
      </c>
      <c r="Z10" s="73" ph="1">
        <f>Z9*33.183*LOOKUP(Z11,密度!$A$2:$A$50,密度!$L$2:$L$50)</f>
        <v>112366.663776</v>
      </c>
      <c r="AA10" s="73" ph="1">
        <f>AA9*33.183*LOOKUP(AA11,密度!$A$2:$A$50,密度!$D$2:$D$50)</f>
        <v>18596.423496599997</v>
      </c>
      <c r="AB10" s="73" ph="1">
        <f>AB9*20.428*LOOKUP(AB11,密度!$A$2:$A$50,密度!$D$2:$D$50)</f>
        <v>65086.361694400002</v>
      </c>
      <c r="AC10" s="73" ph="1">
        <f>AC9*51.53*LOOKUP(AC11,密度!$A$2:$A$50,密度!$Q$2:$Q$50)</f>
        <v>245575.72125439998</v>
      </c>
      <c r="AD10" s="73" ph="1">
        <f>AD9*20.428*LOOKUP(AD11,密度!$A$2:$A$50,密度!$V$2:$V$50)</f>
        <v>86443.827523200016</v>
      </c>
      <c r="AE10" s="73" ph="1">
        <f>AE9*20.428</f>
        <v>56524.276000000005</v>
      </c>
    </row>
    <row r="11" spans="1:99" ph="1">
      <c r="A11" s="64" t="s" ph="1">
        <v>163</v>
      </c>
      <c r="B11" s="237" ph="1"/>
      <c r="C11" s="141" t="s" ph="1">
        <v>180</v>
      </c>
      <c r="D11" s="74">
        <v>35</v>
      </c>
      <c r="E11" s="74">
        <v>35</v>
      </c>
      <c r="F11" s="74">
        <v>33</v>
      </c>
      <c r="G11" s="74">
        <v>30</v>
      </c>
      <c r="H11" s="74">
        <v>30</v>
      </c>
      <c r="I11" s="74">
        <v>25</v>
      </c>
      <c r="J11" s="74">
        <v>25</v>
      </c>
      <c r="K11" s="74">
        <v>25</v>
      </c>
      <c r="L11" s="74">
        <v>25</v>
      </c>
      <c r="M11" s="74">
        <v>40</v>
      </c>
      <c r="N11" s="74">
        <v>33</v>
      </c>
      <c r="O11" s="74">
        <v>38</v>
      </c>
      <c r="P11" s="74">
        <v>35</v>
      </c>
      <c r="Q11" s="74">
        <v>31</v>
      </c>
      <c r="R11" s="74">
        <v>34</v>
      </c>
      <c r="S11" s="74">
        <v>24</v>
      </c>
      <c r="T11" s="74">
        <v>37</v>
      </c>
      <c r="U11" s="74">
        <v>33</v>
      </c>
      <c r="V11" s="74">
        <v>28</v>
      </c>
      <c r="W11" s="74">
        <v>31</v>
      </c>
      <c r="X11" s="74">
        <v>28</v>
      </c>
      <c r="Y11" s="74">
        <v>32</v>
      </c>
      <c r="Z11" s="74">
        <v>34</v>
      </c>
      <c r="AA11" s="74">
        <v>46</v>
      </c>
      <c r="AB11" s="74">
        <v>26</v>
      </c>
      <c r="AC11" s="74">
        <v>31</v>
      </c>
      <c r="AD11" s="74">
        <v>34</v>
      </c>
      <c r="AE11" s="74">
        <v>37</v>
      </c>
    </row>
    <row r="12" spans="1:99" ht="9.85" customHeight="1" ph="1"/>
    <row r="13" spans="1:99" s="72" customFormat="1" ht="29.2" customHeight="1" ph="1">
      <c r="B13" s="214" t="s" ph="1">
        <v>37</v>
      </c>
      <c r="C13" s="141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.2" ph="1">
      <c r="B14" s="215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623</v>
      </c>
      <c r="H14" s="77" t="s" ph="1">
        <v>624</v>
      </c>
      <c r="I14" s="140" t="s" ph="1">
        <v>625</v>
      </c>
      <c r="J14" s="77" t="s" ph="1">
        <v>626</v>
      </c>
      <c r="K14" s="77" t="s" ph="1">
        <v>187</v>
      </c>
      <c r="L14" s="77" t="s" ph="1">
        <v>41</v>
      </c>
      <c r="M14" s="104" t="s" ph="1">
        <v>627</v>
      </c>
      <c r="N14" s="104" t="s" ph="1">
        <v>628</v>
      </c>
      <c r="O14" s="104" t="s" ph="1">
        <v>626</v>
      </c>
      <c r="P14" s="77" t="s" ph="1">
        <v>629</v>
      </c>
      <c r="Q14" s="77" t="s" ph="1">
        <v>629</v>
      </c>
      <c r="R14" s="88" t="s" ph="1">
        <v>640</v>
      </c>
      <c r="S14" s="77" t="s" ph="1">
        <v>71</v>
      </c>
      <c r="T14" s="77" t="s" ph="1">
        <v>631</v>
      </c>
      <c r="U14" s="77" t="s" ph="1">
        <v>610</v>
      </c>
      <c r="V14" s="77" t="s" ph="1">
        <v>110</v>
      </c>
      <c r="W14" s="77" t="s" ph="1">
        <v>629</v>
      </c>
      <c r="X14" s="77" t="s" ph="1">
        <v>632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16" ph="1">
        <v>0.33333333333333331</v>
      </c>
      <c r="C15" s="141" t="s" ph="1">
        <v>178</v>
      </c>
      <c r="D15" s="78">
        <v>5614</v>
      </c>
      <c r="E15" s="78">
        <v>75</v>
      </c>
      <c r="F15" s="78">
        <v>690</v>
      </c>
      <c r="G15" s="78">
        <v>2510</v>
      </c>
      <c r="H15" s="78">
        <v>0</v>
      </c>
      <c r="I15" s="78">
        <v>5282</v>
      </c>
      <c r="J15" s="78">
        <v>2333</v>
      </c>
      <c r="K15" s="78">
        <v>1877</v>
      </c>
      <c r="L15" s="78">
        <v>6909</v>
      </c>
      <c r="M15" s="78">
        <v>4561</v>
      </c>
      <c r="N15" s="78">
        <v>2513</v>
      </c>
      <c r="O15" s="78">
        <v>575</v>
      </c>
      <c r="P15" s="78">
        <v>7050</v>
      </c>
      <c r="Q15" s="78">
        <v>6959</v>
      </c>
      <c r="R15" s="78">
        <v>3518</v>
      </c>
      <c r="S15" s="78">
        <v>0</v>
      </c>
      <c r="T15" s="78">
        <v>4971</v>
      </c>
      <c r="U15" s="78">
        <v>3716</v>
      </c>
      <c r="V15" s="78">
        <v>3199</v>
      </c>
      <c r="W15" s="71">
        <v>3311</v>
      </c>
      <c r="X15" s="78">
        <v>-89</v>
      </c>
      <c r="Y15" s="106">
        <v>-9909</v>
      </c>
      <c r="Z15" s="78">
        <v>0</v>
      </c>
      <c r="AA15" s="78">
        <v>0</v>
      </c>
      <c r="AB15" s="78" ph="1">
        <v>14</v>
      </c>
      <c r="AC15" s="78" ph="1">
        <v>0</v>
      </c>
      <c r="AD15" s="78">
        <v>44.32</v>
      </c>
      <c r="AE15" s="78">
        <v>84.81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4" ph="1">
      <c r="B16" s="217" ph="1"/>
      <c r="C16" s="141" t="s" ph="1">
        <v>179</v>
      </c>
      <c r="D16" s="73" ph="1">
        <f>D15*7.0686*LOOKUP(D17,密度!$A$2:$A$50,密度!$L$2:$L$50)</f>
        <v>36905.301972000001</v>
      </c>
      <c r="E16" s="73" ph="1">
        <f>E15*7.0686*LOOKUP(E17,密度!$A$2:$A$50,密度!$L$2:$L$50)</f>
        <v>492.504705</v>
      </c>
      <c r="F16" s="73" ph="1">
        <f>F15*9.0746*LOOKUP(F17,密度!$A$2:$A$50,密度!$L$2:$L$50)</f>
        <v>5816.9093460000004</v>
      </c>
      <c r="G16" s="73" ph="1">
        <f>G15*9.0746*LOOKUP(G17,密度!$A$2:$A$50,密度!$B$2:$B$50)</f>
        <v>17679.698345199999</v>
      </c>
      <c r="H16" s="73" ph="1">
        <f>H15*9.0746*LOOKUP(H17,密度!$A$2:$A$50,密度!$L$2:$L$50)</f>
        <v>0</v>
      </c>
      <c r="I16" s="73" ph="1">
        <f>I15*9.0746*LOOKUP(I17,密度!$A$2:$A$50,密度!$U$2:$U$50)</f>
        <v>48986.542018400003</v>
      </c>
      <c r="J16" s="73" ph="1">
        <f>J15*9.0746*LOOKUP(J17,密度!$A$2:$A$50,密度!$L$2:$L$50)</f>
        <v>19731.410957600001</v>
      </c>
      <c r="K16" s="73" ph="1">
        <f>K15*9.0746*LOOKUP(K17,密度!$A$2:$A$50,密度!$C$2:$C$50)</f>
        <v>18836.821462780001</v>
      </c>
      <c r="L16" s="73" ph="1">
        <f>L15*9.0746*LOOKUP(L17,密度!$A$2:$A$50,密度!$E$2:$E$50)</f>
        <v>48680.628631530002</v>
      </c>
      <c r="M16" s="73" ph="1">
        <f>M15*9.0746*LOOKUP(M17,密度!$A$2:$A$50,密度!$M$2:$M$50)</f>
        <v>35918.419455691997</v>
      </c>
      <c r="N16" s="73" ph="1">
        <f>N15*9.0746*LOOKUP(N17,密度!$A$2:$A$50,密度!$M$2:$M$50)</f>
        <v>19910.582582380001</v>
      </c>
      <c r="O16" s="73" ph="1">
        <f>O15*9.0746*LOOKUP(O17,密度!$A$2:$A$50,密度!$G$2:$G$50)</f>
        <v>4993.5255150000003</v>
      </c>
      <c r="P16" s="73" ph="1">
        <f ca="1">P15*9.0746*LOOKUP(P17,密度!$A$2:$A$51,密度!$Q$2:$Q$50)</f>
        <v>60175.1199987</v>
      </c>
      <c r="Q16" s="73" ph="1">
        <f>Q15*9.0746*LOOKUP(Q17,密度!$A$2:$A$50,密度!$Q$2:$Q$50)</f>
        <v>59440.070592750002</v>
      </c>
      <c r="R16" s="73" ph="1">
        <f>MAX(R15*9.0746*LOOKUP(R17,密度!$A$2:$A$50,密度!$B$2:$B$50),0)</f>
        <v>24693.556505799999</v>
      </c>
      <c r="S16" s="73" ph="1">
        <f>S15*9.0746*LOOKUP(S17,密度!$A$2:$A$50,密度!$Q$2:$Q$50)</f>
        <v>0</v>
      </c>
      <c r="T16" s="73" ph="1">
        <f>T15*9.0746*LOOKUP(T17,密度!$A$2:$A$50,密度!$O$2:$O$50)</f>
        <v>41771.708691600004</v>
      </c>
      <c r="U16" s="73" ph="1">
        <f>U15*9.0746*LOOKUP(U17,密度!$A$2:$A$50,密度!$H$2:$H$50)</f>
        <v>30784.095895440005</v>
      </c>
      <c r="V16" s="73" ph="1">
        <f>MAX(5600*LOOKUP(V17,密度!$A$2:$A$50,密度!$Q$2:$Q$50)+V15*9.0476*LOOKUP(V17,密度!$A$2:$A$50,密度!$Q$2:$Q$50),0)</f>
        <v>32446.495765319996</v>
      </c>
      <c r="W16" s="73" ph="1">
        <f>MAX(5600*LOOKUP(W17,密度!$A$2:$A$50,密度!$Q$2:$Q$50)+W15*9.0476*LOOKUP(W17,密度!$A$2:$A$50,密度!$Q$2:$Q$50),0)</f>
        <v>33467.653138499998</v>
      </c>
      <c r="X16" s="73" ph="1">
        <f>MAX(5600*LOOKUP(X17,密度!$A$2:$A$50,密度!$I$2:$I$50)+X15*9.0476*LOOKUP(X17,密度!$A$2:$A$50,密度!$I$2:$I$50),0)</f>
        <v>4970.2519477599999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0</v>
      </c>
      <c r="AB16" s="73" ph="1">
        <f>AB15*9.0746*LOOKUP(AB17,密度!$A$2:$A$50,密度!$L$2:$L$50)</f>
        <v>118.65946960000001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10504.25056896</v>
      </c>
      <c r="AE16" s="73" ph="1">
        <f>AE15*268.68*LOOKUP(AE17,密度!$A$2:$A$50,密度!B2:B50)+IF(AE15&lt;=0,0,1566*LOOKUP(AE17,密度!$A$2:$A$50,密度!B2:B50))</f>
        <v>18985.404523679998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18" ph="1"/>
      <c r="C17" s="79" t="s" ph="1">
        <v>180</v>
      </c>
      <c r="D17" s="74">
        <v>32</v>
      </c>
      <c r="E17" s="74">
        <v>33</v>
      </c>
      <c r="F17" s="74">
        <v>33</v>
      </c>
      <c r="G17" s="74">
        <v>29</v>
      </c>
      <c r="H17" s="74">
        <v>25</v>
      </c>
      <c r="I17" s="74">
        <v>28</v>
      </c>
      <c r="J17" s="74">
        <v>30</v>
      </c>
      <c r="K17" s="74">
        <v>29</v>
      </c>
      <c r="L17" s="74">
        <v>31</v>
      </c>
      <c r="M17" s="74">
        <v>32</v>
      </c>
      <c r="N17" s="74">
        <v>27</v>
      </c>
      <c r="O17" s="74">
        <v>28</v>
      </c>
      <c r="P17" s="74">
        <v>34</v>
      </c>
      <c r="Q17" s="74">
        <v>33</v>
      </c>
      <c r="R17" s="74">
        <v>32</v>
      </c>
      <c r="S17" s="74">
        <v>28</v>
      </c>
      <c r="T17" s="74">
        <v>28</v>
      </c>
      <c r="U17" s="74">
        <v>27</v>
      </c>
      <c r="V17" s="74">
        <v>36</v>
      </c>
      <c r="W17" s="74">
        <v>33</v>
      </c>
      <c r="X17" s="74">
        <v>30</v>
      </c>
      <c r="Y17" s="108">
        <v>30</v>
      </c>
      <c r="Z17" s="74">
        <v>28</v>
      </c>
      <c r="AA17" s="74">
        <v>27</v>
      </c>
      <c r="AB17" s="74">
        <v>28</v>
      </c>
      <c r="AC17" s="74">
        <v>26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65" ph="1">
      <c r="B18" s="216" ph="1">
        <v>0.66666666666666663</v>
      </c>
      <c r="C18" s="79" t="s" ph="1">
        <v>181</v>
      </c>
      <c r="D18" s="71">
        <v>5624</v>
      </c>
      <c r="E18" s="71">
        <v>75</v>
      </c>
      <c r="F18" s="71">
        <v>690</v>
      </c>
      <c r="G18" s="71">
        <v>3911</v>
      </c>
      <c r="H18" s="71">
        <v>0</v>
      </c>
      <c r="I18" s="71">
        <v>5286</v>
      </c>
      <c r="J18" s="71">
        <v>1622</v>
      </c>
      <c r="K18" s="71">
        <v>1877</v>
      </c>
      <c r="L18" s="71">
        <v>4826</v>
      </c>
      <c r="M18" s="71">
        <v>4571</v>
      </c>
      <c r="N18" s="71">
        <v>2517</v>
      </c>
      <c r="O18" s="71">
        <v>576</v>
      </c>
      <c r="P18" s="71">
        <v>7050</v>
      </c>
      <c r="Q18" s="71">
        <v>6965</v>
      </c>
      <c r="R18" s="71">
        <v>3522</v>
      </c>
      <c r="S18" s="71">
        <v>0</v>
      </c>
      <c r="T18" s="71">
        <v>4284</v>
      </c>
      <c r="U18" s="71">
        <v>3718</v>
      </c>
      <c r="V18" s="71">
        <v>3199</v>
      </c>
      <c r="W18" s="71">
        <v>3868</v>
      </c>
      <c r="X18" s="71">
        <v>-89</v>
      </c>
      <c r="Y18" s="109">
        <v>-9907</v>
      </c>
      <c r="Z18" s="71">
        <v>0</v>
      </c>
      <c r="AA18" s="71">
        <v>0</v>
      </c>
      <c r="AB18" s="71">
        <v>21</v>
      </c>
      <c r="AC18" s="71">
        <v>0</v>
      </c>
      <c r="AD18" s="71">
        <v>84.71</v>
      </c>
      <c r="AE18" s="71">
        <v>0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4" ph="1">
      <c r="B19" s="217" ph="1"/>
      <c r="C19" s="141" t="s" ph="1">
        <v>179</v>
      </c>
      <c r="D19" s="73" ph="1">
        <f>D18*7.0686*LOOKUP(D20,密度!$A$2:$A$50,密度!$L$2:$L$50)</f>
        <v>36851.778532800003</v>
      </c>
      <c r="E19" s="73" ph="1">
        <f>E18*7.0686*LOOKUP(E20,密度!$A$2:$A$50,密度!$L$2:$L$50)</f>
        <v>491.44441499999999</v>
      </c>
      <c r="F19" s="73" ph="1">
        <f>F18*9.0746*LOOKUP(F20,密度!$A$2:$A$50,密度!$L$2:$L$50)</f>
        <v>5804.3863980000006</v>
      </c>
      <c r="G19" s="73" ph="1">
        <f>G18*9.0746*LOOKUP(G20,密度!$A$2:$A$50,密度!$B$2:$B$50)</f>
        <v>27515.986693180002</v>
      </c>
      <c r="H19" s="73" ph="1">
        <f>H18*9.0746*LOOKUP(H20,密度!$A$2:$A$50,密度!$L$2:$L$50)</f>
        <v>0</v>
      </c>
      <c r="I19" s="73" ph="1">
        <f>I18*9.0746*LOOKUP(I20,密度!$A$2:$A$50,密度!$U$2:$U$50)</f>
        <v>48735.828969599999</v>
      </c>
      <c r="J19" s="73" ph="1">
        <f>J18*9.0746*LOOKUP(J20,密度!$A$2:$A$50,密度!$L$2:$L$50)</f>
        <v>13659.233113600001</v>
      </c>
      <c r="K19" s="73" ph="1">
        <f>K18*9.0746*LOOKUP(K20,密度!$A$2:$A$50,密度!$C$2:$C$50)</f>
        <v>18751.656341779999</v>
      </c>
      <c r="L19" s="73" ph="1">
        <f>L18*9.0746*LOOKUP(L20,密度!$A$2:$A$50,密度!$E$2:$E$50)</f>
        <v>33855.404791975998</v>
      </c>
      <c r="M19" s="73" ph="1">
        <f>M18*9.0746*LOOKUP(M20,密度!$A$2:$A$50,密度!$M$2:$M$50)</f>
        <v>35822.954663691999</v>
      </c>
      <c r="N19" s="73" ph="1">
        <f>N18*9.0746*LOOKUP(N20,密度!$A$2:$A$50,密度!$M$2:$M$50)</f>
        <v>19869.184257180001</v>
      </c>
      <c r="O19" s="73" ph="1">
        <f>O18*9.0746*LOOKUP(O20,密度!$A$2:$A$50,密度!$G$2:$G$50)</f>
        <v>4949.9402111999998</v>
      </c>
      <c r="P19" s="73" ph="1">
        <f ca="1">P18*9.0746*LOOKUP(P20,密度!$A$2:$A$51,密度!$Q$2:$Q$50)</f>
        <v>60133.535644199997</v>
      </c>
      <c r="Q19" s="73" ph="1">
        <f>Q18*9.0746*LOOKUP(Q20,密度!$A$2:$A$50,密度!$Q$2:$Q$50)</f>
        <v>59449.604367510001</v>
      </c>
      <c r="R19" s="73" ph="1">
        <f>MAX(R18*9.0746*LOOKUP(R20,密度!$A$2:$A$50,密度!$B$2:$B$50),0)</f>
        <v>24667.300058160003</v>
      </c>
      <c r="S19" s="73" ph="1">
        <f>S18*9.0746*LOOKUP(S20,密度!$A$2:$A$50,密度!$Q$2:$Q$50)</f>
        <v>0</v>
      </c>
      <c r="T19" s="73" ph="1">
        <f>T18*9.0746*LOOKUP(T20,密度!$A$2:$A$50,密度!$O$2:$O$50)</f>
        <v>35843.290660800005</v>
      </c>
      <c r="U19" s="73" ph="1">
        <f>U18*9.0746*LOOKUP(U20,密度!$A$2:$A$50,密度!$H$2:$H$50)</f>
        <v>30702.820148000003</v>
      </c>
      <c r="V19" s="73" ph="1">
        <f>MAX(5600*LOOKUP(V20,密度!$A$2:$A$50,密度!$Q$2:$Q$50)+V18*9.0476*LOOKUP(V20,密度!$A$2:$A$50,密度!$Q$2:$Q$50),0)</f>
        <v>32380.863547759996</v>
      </c>
      <c r="W19" s="73" ph="1">
        <f>MAX(5600*LOOKUP(W20,密度!$A$2:$A$50,密度!$Q$2:$Q$50)+W18*9.0476*LOOKUP(W20,密度!$A$2:$A$50,密度!$Q$2:$Q$50),0)</f>
        <v>38079.969480735992</v>
      </c>
      <c r="X19" s="73" ph="1">
        <f>MAX(5600*LOOKUP(X20,密度!$A$2:$A$50,密度!$I$2:$I$50)+X18*9.0476*LOOKUP(X20,密度!$A$2:$A$50,密度!$I$2:$I$50),0)</f>
        <v>4943.7369050519992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0</v>
      </c>
      <c r="AB19" s="73" ph="1">
        <f>AB18*9.0746*LOOKUP(AB20,密度!$A$2:$A$50,密度!$L$2:$L$50)</f>
        <v>176.65523820000001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18901.2109356</v>
      </c>
      <c r="AE19" s="73" ph="1">
        <f>AE18*268.68*LOOKUP(AE20,密度!$A$2:$A$50,密度!B5:B53)+IF(AE18&lt;=0,0,1566*LOOKUP(AE20,密度!$A$2:$A$50,密度!B5:B53))</f>
        <v>0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17" ph="1"/>
      <c r="C20" s="80" t="s" ph="1">
        <v>180</v>
      </c>
      <c r="D20" s="81">
        <v>35</v>
      </c>
      <c r="E20" s="81">
        <v>35</v>
      </c>
      <c r="F20" s="81">
        <v>35</v>
      </c>
      <c r="G20" s="81">
        <v>30</v>
      </c>
      <c r="H20" s="81">
        <v>32</v>
      </c>
      <c r="I20" s="81">
        <v>34</v>
      </c>
      <c r="J20" s="81">
        <v>34</v>
      </c>
      <c r="K20" s="81">
        <v>34</v>
      </c>
      <c r="L20" s="81">
        <v>34</v>
      </c>
      <c r="M20" s="81">
        <v>36</v>
      </c>
      <c r="N20" s="81">
        <v>30</v>
      </c>
      <c r="O20" s="81">
        <v>37</v>
      </c>
      <c r="P20" s="81">
        <v>35</v>
      </c>
      <c r="Q20" s="81">
        <v>34</v>
      </c>
      <c r="R20" s="81">
        <v>34</v>
      </c>
      <c r="S20" s="81">
        <v>35</v>
      </c>
      <c r="T20" s="81">
        <v>32</v>
      </c>
      <c r="U20" s="81">
        <v>30</v>
      </c>
      <c r="V20" s="81">
        <v>39</v>
      </c>
      <c r="W20" s="81">
        <v>38</v>
      </c>
      <c r="X20" s="81">
        <v>35</v>
      </c>
      <c r="Y20" s="110">
        <v>35</v>
      </c>
      <c r="Z20" s="81">
        <v>35</v>
      </c>
      <c r="AA20" s="81">
        <v>32</v>
      </c>
      <c r="AB20" s="81">
        <v>35</v>
      </c>
      <c r="AC20" s="81">
        <v>32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15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633</v>
      </c>
      <c r="H23" s="88" t="s" ph="1">
        <v>633</v>
      </c>
      <c r="I23" s="88" t="s" ph="1">
        <v>634</v>
      </c>
      <c r="J23" s="88" t="s" ph="1">
        <v>635</v>
      </c>
      <c r="K23" s="88" t="s" ph="1">
        <v>635</v>
      </c>
      <c r="L23" s="88" t="s" ph="1">
        <v>635</v>
      </c>
      <c r="M23" s="88" t="s" ph="1">
        <v>630</v>
      </c>
      <c r="N23" s="88" t="s" ph="1">
        <v>630</v>
      </c>
      <c r="O23" s="88" t="s" ph="1">
        <v>321</v>
      </c>
      <c r="P23" s="88" t="s" ph="1">
        <v>637</v>
      </c>
      <c r="Q23" s="89" t="s" ph="1">
        <v>637</v>
      </c>
      <c r="R23" s="88" t="s" ph="1">
        <v>616</v>
      </c>
      <c r="S23" s="88" t="s" ph="1">
        <v>636</v>
      </c>
      <c r="T23" s="88" t="s" ph="1">
        <v>607</v>
      </c>
      <c r="U23" s="88" t="s" ph="1">
        <v>611</v>
      </c>
      <c r="V23" s="88" t="s" ph="1">
        <v>637</v>
      </c>
      <c r="W23" s="88" t="s" ph="1">
        <v>637</v>
      </c>
      <c r="X23" s="88" t="s" ph="1">
        <v>190</v>
      </c>
      <c r="Y23" s="88" t="s" ph="1">
        <v>638</v>
      </c>
      <c r="Z23" s="228" t="s" ph="1">
        <v>643</v>
      </c>
      <c r="AA23" s="229"/>
      <c r="AB23" s="229"/>
      <c r="AC23" s="229"/>
      <c r="AD23" s="229"/>
      <c r="AE23" s="230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37" ph="1">
        <v>0.33333333333333331</v>
      </c>
      <c r="C24" s="141" t="s" ph="1">
        <v>178</v>
      </c>
      <c r="D24" s="71">
        <v>85.91</v>
      </c>
      <c r="E24" s="71">
        <v>95.51</v>
      </c>
      <c r="F24" s="71">
        <v>3854</v>
      </c>
      <c r="G24" s="71">
        <v>2737</v>
      </c>
      <c r="H24" s="71">
        <v>3162</v>
      </c>
      <c r="I24" s="71">
        <v>2271</v>
      </c>
      <c r="J24" s="71">
        <v>4832</v>
      </c>
      <c r="K24" s="71">
        <v>2697</v>
      </c>
      <c r="L24" s="71">
        <v>3577</v>
      </c>
      <c r="M24" s="71">
        <v>258</v>
      </c>
      <c r="N24" s="71">
        <v>230</v>
      </c>
      <c r="O24" s="71">
        <v>5167</v>
      </c>
      <c r="P24" s="71">
        <v>1256</v>
      </c>
      <c r="Q24" s="90">
        <v>4084</v>
      </c>
      <c r="R24" s="71">
        <v>1319</v>
      </c>
      <c r="S24" s="71">
        <v>6330</v>
      </c>
      <c r="T24" s="71">
        <v>1766</v>
      </c>
      <c r="U24" s="71">
        <v>5710</v>
      </c>
      <c r="V24" s="71">
        <v>9621</v>
      </c>
      <c r="W24" s="71">
        <v>10771</v>
      </c>
      <c r="X24" s="71">
        <v>3037</v>
      </c>
      <c r="Y24" s="71">
        <v>2770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37" ph="1"/>
      <c r="C25" s="68" t="s" ph="1">
        <v>179</v>
      </c>
      <c r="D25" s="91" ph="1">
        <f>D24*268.68*LOOKUP(D26,密度!$A$2:$A$50,密度!$Q$2:$Q$50)+IF(D24&lt;=0,0,1566*LOOKUP(D26,密度!$A$2:$A$50,密度!$Q$2:$Q$50))</f>
        <v>23335.530405912003</v>
      </c>
      <c r="E25" s="91" ph="1">
        <f>E24*268.68*LOOKUP(E26,密度!$A$2:$A$50,密度!$C$2:$C$50)+IF(E24&lt;=0,0,1566*LOOKUP(E26,密度!$A$2:$A$50,密度!$C$2:$C$50))</f>
        <v>30192.715358520003</v>
      </c>
      <c r="F25" s="91" ph="1">
        <f>F24*11.702*LOOKUP(F26,密度!$A$2:$A$50,密度!$Q$2:$Q$50)</f>
        <v>42449.911905000001</v>
      </c>
      <c r="G25" s="91" ph="1">
        <f>G24*18.322*LOOKUP(G26,密度!$A$2:$A$50,密度!$B$2:$B$50)</f>
        <v>38834.0799616</v>
      </c>
      <c r="H25" s="91" ph="1">
        <f>H24*18.322*LOOKUP(H26,密度!$A$2:$A$50,密度!$B$2:$B$50)</f>
        <v>44916.3573492</v>
      </c>
      <c r="I25" s="91" ph="1">
        <f>I24*18.322*LOOKUP(I26,密度!$A$2:$A$50,密度!$Q$2:$Q$50)</f>
        <v>39220.058175959995</v>
      </c>
      <c r="J25" s="91" ph="1">
        <f>J24*18.322*LOOKUP(J26,密度!$A$2:$A$50,密度!$Q$2:$Q$50)</f>
        <v>83448.402072319994</v>
      </c>
      <c r="K25" s="91" ph="1">
        <f>K24*18.322*LOOKUP(K26,密度!$A$2:$A$50,密度!$Q$2:$Q$50)</f>
        <v>46577.057199720002</v>
      </c>
      <c r="L25" s="91" ph="1">
        <f>L24*18.322*LOOKUP(L26,密度!$A$2:$A$50,密度!$Q$2:$Q$50)</f>
        <v>61823.767214019994</v>
      </c>
      <c r="M25" s="91" ph="1">
        <f>M24*18.322*LOOKUP(M26,密度!$A$2:$A$50,密度!$Q$2:$Q$50)</f>
        <v>4465.2905311200002</v>
      </c>
      <c r="N25" s="91" ph="1">
        <f>N24*18.322*LOOKUP(N26,密度!$A$2:$A$50,密度!$Q$2:$Q$50)</f>
        <v>3969.2231139999994</v>
      </c>
      <c r="O25" s="91" ph="1">
        <f>O24*18.322*LOOKUP(O26,密度!$A$2:$A$50,密度!$C$2:$C$50)</f>
        <v>104619.56724739999</v>
      </c>
      <c r="P25" s="91" ph="1">
        <f>P24*11.702*LOOKUP(P26,密度!$A$2:$A$50,密度!$B$2:$B$50)</f>
        <v>11395.1361136</v>
      </c>
      <c r="Q25" s="92" ph="1">
        <f>Q24*18.322*LOOKUP(Q26,密度!$A$2:$A$50,密度!$B$2:$B$50)</f>
        <v>58013.410314399996</v>
      </c>
      <c r="R25" s="91" ph="1">
        <f>R24*35.891*LOOKUP(R26,密度!$A$2:$A$50,密度!$C$2:$C$50)</f>
        <v>52268.346838900005</v>
      </c>
      <c r="S25" s="91" ph="1">
        <f>S24*35.891*LOOKUP(S26,密度!$A$2:$A$50,密度!$B$2:$B$50)</f>
        <v>176344.90128600001</v>
      </c>
      <c r="T25" s="91" ph="1">
        <f>T24*35.891*LOOKUP(T26,密度!$A$2:$A$50,密度!$Q$2:$Q$50)</f>
        <v>59791.562714979991</v>
      </c>
      <c r="U25" s="91" ph="1">
        <f>U24*35.891</f>
        <v>204937.61</v>
      </c>
      <c r="V25" s="91" ph="1">
        <f>V24*47.051*LOOKUP(V26,密度!$A$2:$A$50,密度!$B$2:$B$50)</f>
        <v>351368.4082302</v>
      </c>
      <c r="W25" s="91" ph="1">
        <f>W24*47.051*LOOKUP(W26,密度!$A$2:$A$50,密度!$B$2:$B$50)</f>
        <v>392911.4346713</v>
      </c>
      <c r="X25" s="91" ph="1">
        <f>X24*47.051*LOOKUP(X26,密度!$A$2:$A$50,密度!$I$2:$I$50)</f>
        <v>148280.98653990004</v>
      </c>
      <c r="Y25" s="91" ph="1">
        <f>Y24*47.051*LOOKUP(Y26,密度!$A$2:$A$50,密度!$L$2:$L$50)</f>
        <v>121208.08110000001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37" ph="1"/>
      <c r="C26" s="68" t="s" ph="1">
        <v>180</v>
      </c>
      <c r="D26" s="74">
        <v>25</v>
      </c>
      <c r="E26" s="74">
        <v>25</v>
      </c>
      <c r="F26" s="74">
        <v>33</v>
      </c>
      <c r="G26" s="74">
        <v>31</v>
      </c>
      <c r="H26" s="74">
        <v>30</v>
      </c>
      <c r="I26" s="74">
        <v>31</v>
      </c>
      <c r="J26" s="74">
        <v>31</v>
      </c>
      <c r="K26" s="74">
        <v>31</v>
      </c>
      <c r="L26" s="74">
        <v>30</v>
      </c>
      <c r="M26" s="74">
        <v>28</v>
      </c>
      <c r="N26" s="74">
        <v>32</v>
      </c>
      <c r="O26" s="74">
        <v>30</v>
      </c>
      <c r="P26" s="74">
        <v>30</v>
      </c>
      <c r="Q26" s="93">
        <v>30</v>
      </c>
      <c r="R26" s="74">
        <v>31</v>
      </c>
      <c r="S26" s="74">
        <v>29</v>
      </c>
      <c r="T26" s="74">
        <v>30</v>
      </c>
      <c r="U26" s="74">
        <v>29</v>
      </c>
      <c r="V26" s="74">
        <v>29</v>
      </c>
      <c r="W26" s="74">
        <v>30</v>
      </c>
      <c r="X26" s="74">
        <v>29</v>
      </c>
      <c r="Y26" s="74">
        <v>32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65" ph="1">
      <c r="A27" s="72" ph="1"/>
      <c r="B27" s="237" ph="1">
        <v>0.66666666666666663</v>
      </c>
      <c r="C27" s="141" t="s" ph="1">
        <v>181</v>
      </c>
      <c r="D27" s="71">
        <v>86.01</v>
      </c>
      <c r="E27" s="71">
        <v>95.51</v>
      </c>
      <c r="F27" s="71">
        <v>3856</v>
      </c>
      <c r="G27" s="71">
        <v>2333</v>
      </c>
      <c r="H27" s="71">
        <v>3007</v>
      </c>
      <c r="I27" s="71">
        <v>2272</v>
      </c>
      <c r="J27" s="71">
        <v>4832</v>
      </c>
      <c r="K27" s="71">
        <v>2695</v>
      </c>
      <c r="L27" s="71">
        <v>4788</v>
      </c>
      <c r="M27" s="71">
        <v>254</v>
      </c>
      <c r="N27" s="71">
        <v>225</v>
      </c>
      <c r="O27" s="71">
        <v>5164</v>
      </c>
      <c r="P27" s="71">
        <v>3219</v>
      </c>
      <c r="Q27" s="90">
        <v>4012</v>
      </c>
      <c r="R27" s="71">
        <v>1115</v>
      </c>
      <c r="S27" s="71">
        <v>6328</v>
      </c>
      <c r="T27" s="71">
        <v>1764</v>
      </c>
      <c r="U27" s="71">
        <v>5819</v>
      </c>
      <c r="V27" s="71">
        <v>9623</v>
      </c>
      <c r="W27" s="71">
        <v>10772</v>
      </c>
      <c r="X27" s="71">
        <v>3037</v>
      </c>
      <c r="Y27" s="71">
        <v>3346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37" ph="1"/>
      <c r="C28" s="141" t="s" ph="1">
        <v>179</v>
      </c>
      <c r="D28" s="91" ph="1">
        <f>D27*268.68*LOOKUP(D29,密度!$A$2:$A$50,密度!$Q$2:$Q$50)+IF(D27&lt;=0,0,1566*LOOKUP(D29,密度!$A$2:$A$50,密度!$Q$2:$Q$50))</f>
        <v>23360.967416232004</v>
      </c>
      <c r="E28" s="91" ph="1">
        <f>E27*268.68*LOOKUP(E29,密度!$A$2:$A$50,密度!$C$2:$C$50)+IF(E27&lt;=0,0,1566*LOOKUP(E29,密度!$A$2:$A$50,密度!$C$2:$C$50))</f>
        <v>30192.715358520003</v>
      </c>
      <c r="F28" s="91" ph="1">
        <f>F27*11.702*LOOKUP(F29,密度!$A$2:$A$50,密度!$Q$2:$Q$50)</f>
        <v>42442.15979808</v>
      </c>
      <c r="G28" s="91" ph="1">
        <f>G27*18.322*LOOKUP(G29,密度!$A$2:$A$50,密度!$B$2:$B$50)</f>
        <v>33063.432310999997</v>
      </c>
      <c r="H28" s="91" ph="1">
        <f>H27*18.322*LOOKUP(H29,密度!$A$2:$A$50,密度!$B$2:$B$50)</f>
        <v>42615.405468999998</v>
      </c>
      <c r="I28" s="91" ph="1">
        <f>I27*18.322*LOOKUP(I29,密度!$A$2:$A$50,密度!$Q$2:$Q$50)</f>
        <v>39154.489234559995</v>
      </c>
      <c r="J28" s="91" ph="1">
        <f>J27*18.322*LOOKUP(J29,密度!$A$2:$A$50,密度!$Q$2:$Q$50)</f>
        <v>83388.200377599991</v>
      </c>
      <c r="K28" s="91" ph="1">
        <f>K27*18.322*LOOKUP(K29,密度!$A$2:$A$50,密度!$Q$2:$Q$50)</f>
        <v>46476.844837500001</v>
      </c>
      <c r="L28" s="91" ph="1">
        <f>L27*18.322*LOOKUP(L29,密度!$A$2:$A$50,密度!$Q$2:$Q$50)</f>
        <v>82456.928295839985</v>
      </c>
      <c r="M28" s="91" ph="1">
        <f>M27*18.322*LOOKUP(M29,密度!$A$2:$A$50,密度!$Q$2:$Q$50)</f>
        <v>4374.2814927199997</v>
      </c>
      <c r="N28" s="91" ph="1">
        <f>N27*18.322*LOOKUP(N29,密度!$A$2:$A$50,密度!$Q$2:$Q$50)</f>
        <v>3874.8556529999996</v>
      </c>
      <c r="O28" s="91" ph="1">
        <f>O27*18.322*LOOKUP(O29,密度!$A$2:$A$50,密度!$C$2:$C$50)</f>
        <v>104161.44212719999</v>
      </c>
      <c r="P28" s="91" ph="1">
        <f>P27*11.702*LOOKUP(P29,密度!$A$2:$A$50,密度!$B$2:$B$50)</f>
        <v>29106.6338526</v>
      </c>
      <c r="Q28" s="92" ph="1">
        <f>Q27*18.322*LOOKUP(Q29,密度!$A$2:$A$50,密度!$B$2:$B$50)</f>
        <v>56858.332803999998</v>
      </c>
      <c r="R28" s="91" ph="1">
        <f>R27*35.891*LOOKUP(R29,密度!$A$2:$A$50,密度!$C$2:$C$50)</f>
        <v>44056.328118499994</v>
      </c>
      <c r="S28" s="91" ph="1">
        <f>S27*35.891*LOOKUP(S29,密度!$A$2:$A$50,密度!$B$2:$B$50)</f>
        <v>175494.27022960002</v>
      </c>
      <c r="T28" s="91" ph="1">
        <f>T27*35.891*LOOKUP(T29,密度!$A$2:$A$50,密度!$Q$2:$Q$50)</f>
        <v>59592.160214999996</v>
      </c>
      <c r="U28" s="91" ph="1">
        <f>U27*35.891</f>
        <v>208849.72899999999</v>
      </c>
      <c r="V28" s="91" ph="1">
        <f>V27*47.051*LOOKUP(V29,密度!$A$2:$A$50,密度!$B$2:$B$50)</f>
        <v>349856.74899710005</v>
      </c>
      <c r="W28" s="91" ph="1">
        <f>W27*47.051*LOOKUP(W29,密度!$A$2:$A$50,密度!$B$2:$B$50)</f>
        <v>391630.14654440008</v>
      </c>
      <c r="X28" s="91" ph="1">
        <f>X27*47.051*LOOKUP(X29,密度!$A$2:$A$50,密度!$I$2:$I$50)</f>
        <v>147809.4367128</v>
      </c>
      <c r="Y28" s="91" ph="1">
        <f>Y27*47.051*LOOKUP(Y29,密度!$A$2:$A$50,密度!$L$2:$L$50)</f>
        <v>146097.49548800002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37" ph="1"/>
      <c r="C29" s="141" t="s" ph="1">
        <v>180</v>
      </c>
      <c r="D29" s="74">
        <v>25</v>
      </c>
      <c r="E29" s="74">
        <v>25</v>
      </c>
      <c r="F29" s="74">
        <v>34</v>
      </c>
      <c r="G29" s="74">
        <v>32</v>
      </c>
      <c r="H29" s="74">
        <v>32</v>
      </c>
      <c r="I29" s="74">
        <v>34</v>
      </c>
      <c r="J29" s="74">
        <v>32</v>
      </c>
      <c r="K29" s="74">
        <v>33</v>
      </c>
      <c r="L29" s="74">
        <v>35</v>
      </c>
      <c r="M29" s="74">
        <v>35</v>
      </c>
      <c r="N29" s="74">
        <v>35</v>
      </c>
      <c r="O29" s="74">
        <v>34</v>
      </c>
      <c r="P29" s="74">
        <v>33</v>
      </c>
      <c r="Q29" s="93">
        <v>32</v>
      </c>
      <c r="R29" s="74">
        <v>34</v>
      </c>
      <c r="S29" s="74">
        <v>33</v>
      </c>
      <c r="T29" s="74">
        <v>33</v>
      </c>
      <c r="U29" s="74">
        <v>35</v>
      </c>
      <c r="V29" s="74">
        <v>33</v>
      </c>
      <c r="W29" s="74">
        <v>33</v>
      </c>
      <c r="X29" s="74">
        <v>32</v>
      </c>
      <c r="Y29" s="74">
        <v>34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45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41" t="s" ph="1">
        <v>5</v>
      </c>
      <c r="F32" s="142" t="s" ph="1">
        <v>43</v>
      </c>
      <c r="G32" s="97" t="s" ph="1">
        <v>4</v>
      </c>
      <c r="H32" s="141" t="s" ph="1">
        <v>5</v>
      </c>
      <c r="I32" s="142" t="s" ph="1">
        <v>43</v>
      </c>
      <c r="J32" s="97" t="s" ph="1">
        <v>4</v>
      </c>
      <c r="K32" s="141" t="s" ph="1">
        <v>5</v>
      </c>
      <c r="L32" s="142" t="s" ph="1">
        <v>43</v>
      </c>
      <c r="M32" s="97" t="s" ph="1">
        <v>4</v>
      </c>
      <c r="N32" s="141" t="s" ph="1">
        <v>5</v>
      </c>
      <c r="O32" s="142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1" t="s" ph="1">
        <v>5</v>
      </c>
      <c r="U32" s="99" t="s" ph="1">
        <v>43</v>
      </c>
      <c r="V32" s="97" t="s" ph="1">
        <v>4</v>
      </c>
      <c r="W32" s="141" t="s" ph="1">
        <v>5</v>
      </c>
      <c r="X32" s="99" t="s" ph="1">
        <v>43</v>
      </c>
      <c r="Y32" s="100" t="s" ph="1">
        <v>4</v>
      </c>
      <c r="Z32" s="141" t="s" ph="1">
        <v>5</v>
      </c>
      <c r="AA32" s="142" t="s" ph="1">
        <v>43</v>
      </c>
      <c r="AB32" s="97" t="s" ph="1">
        <v>85</v>
      </c>
      <c r="AC32" s="141" t="s" ph="1">
        <v>84</v>
      </c>
      <c r="AD32" s="204" t="s" ph="1">
        <v>83</v>
      </c>
      <c r="AE32" s="205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06" t="s" ph="1">
        <v>182</v>
      </c>
      <c r="C33" s="207" ph="1"/>
      <c r="D33" s="186" ph="1">
        <f>AA10+AB10+Z19</f>
        <v>83682.785191000003</v>
      </c>
      <c r="E33" s="186" ph="1">
        <f>M10+I10</f>
        <v>175403.79070079999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1522252632456786910111213141516171819202123456789101112131415161718192022232424356789101112131415161718192021222345678910111213141516171819202345678910111213149101516171819222123234567891012131415161711181920212224252345678910111213132[[#This Row],[F25]]</f>
        <v>3880</v>
      </c>
      <c r="G33" s="212" ph="1">
        <v>0</v>
      </c>
      <c r="H33" s="186" ph="1">
        <f>N19</f>
        <v>19869.184257180001</v>
      </c>
      <c r="I33" s="190" ph="1">
        <v>0</v>
      </c>
      <c r="J33" s="194" ph="1">
        <f>F10+O28</f>
        <v>354064.87157120003</v>
      </c>
      <c r="K33" s="186" ph="1">
        <f>O10+K10+E28+R28</f>
        <v>159723.26902422</v>
      </c>
      <c r="L33" s="196" ph="1">
        <f>BE27</f>
        <v>7100</v>
      </c>
      <c r="M33" s="194" ph="1">
        <f>G10+H10+W28+S28+V28+E10</f>
        <v>1521635.3245841002</v>
      </c>
      <c r="N33" s="186" ph="1">
        <f>L10+P10++G28+H28</f>
        <v>98860.090261000005</v>
      </c>
      <c r="O33" s="190" ph="1">
        <f>BE17</f>
        <v>2270</v>
      </c>
      <c r="P33" s="194" ph="1">
        <f>L19</f>
        <v>33855.404791975998</v>
      </c>
      <c r="Q33" s="186" ph="1">
        <f>J10+N10</f>
        <v>79506.773974450014</v>
      </c>
      <c r="R33" s="190" ph="1">
        <f>BE23</f>
        <v>890</v>
      </c>
      <c r="S33" s="194" ph="1">
        <f>E10+X28</f>
        <v>471087.23053880001</v>
      </c>
      <c r="T33" s="186" ph="1">
        <f>X19</f>
        <v>4943.7369050519992</v>
      </c>
      <c r="U33" s="175" ph="1">
        <f>BE21</f>
        <v>730</v>
      </c>
      <c r="V33" s="188" ph="1">
        <f ca="1">P19+Q19+S19+M28+N28+J28</f>
        <v>211220.47753502999</v>
      </c>
      <c r="W33" s="188" ph="1">
        <f>D28+F28+V19+T28</f>
        <v>157776.15097707201</v>
      </c>
      <c r="X33" s="190" ph="1">
        <f>BE29+BE31</f>
        <v>10200</v>
      </c>
      <c r="Y33" s="192" ph="1">
        <f>+Q10+R10+S10+T10+U10+V10+W10+X10+Y10</f>
        <v>186637.68155340003</v>
      </c>
      <c r="Z33" s="173" ph="1">
        <f>D10+T19+U19+Y28+Z10</f>
        <v>329844.72457090003</v>
      </c>
      <c r="AA33" s="175" ph="1">
        <f>BE19</f>
        <v>1440</v>
      </c>
      <c r="AB33" s="177" ph="1">
        <f>I19</f>
        <v>48735.828969599999</v>
      </c>
      <c r="AC33" s="179" ph="1">
        <f>AD10</f>
        <v>86443.827523200016</v>
      </c>
      <c r="AD33" s="181" ph="1">
        <v>0</v>
      </c>
      <c r="AE33" s="182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85" t="s" ph="1">
        <v>639</v>
      </c>
      <c r="AD35" s="185"/>
      <c r="AE35" s="185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45" ph="1">
      <c r="A36" s="64"/>
      <c r="B36" s="103" t="s" ph="1">
        <v>183</v>
      </c>
      <c r="I36" s="171" t="s" ph="1">
        <v>184</v>
      </c>
      <c r="J36" s="171" ph="1"/>
      <c r="K36" s="101" ph="1"/>
      <c r="P36" s="101" ph="1"/>
      <c r="R36" s="171" t="s" ph="1">
        <v>185</v>
      </c>
      <c r="S36" s="171" ph="1"/>
      <c r="Y36" s="102" ph="1"/>
      <c r="Z36" s="143" t="s" ph="1">
        <v>186</v>
      </c>
      <c r="AA36" s="143" ph="1"/>
      <c r="AB36" s="172" t="s" ph="1">
        <v>642</v>
      </c>
      <c r="AC36" s="172" ph="1"/>
      <c r="AD36" s="172" ph="1"/>
      <c r="AE36" s="172" ph="1"/>
      <c r="BA36" s="64" ph="1">
        <v>2270</v>
      </c>
    </row>
    <row r="37" spans="1:57" s="14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3" t="s" ph="1">
        <v>345</v>
      </c>
      <c r="AI37" s="143" t="s" ph="1">
        <v>212</v>
      </c>
      <c r="AJ37" s="143" t="s" ph="1">
        <v>213</v>
      </c>
      <c r="AK37" s="143" t="s" ph="1">
        <v>214</v>
      </c>
      <c r="AM37" s="143" t="s" ph="1">
        <v>213</v>
      </c>
      <c r="AN37" s="143" t="s" ph="1">
        <v>214</v>
      </c>
      <c r="AO37" s="143" t="s" ph="1">
        <v>215</v>
      </c>
      <c r="AP37" s="143" t="s" ph="1">
        <v>213</v>
      </c>
      <c r="AQ37" s="143" t="s" ph="1">
        <v>214</v>
      </c>
      <c r="AR37" s="143" t="s" ph="1">
        <v>215</v>
      </c>
      <c r="AS37" s="143" t="s" ph="1">
        <v>213</v>
      </c>
      <c r="AT37" s="143" t="s" ph="1">
        <v>214</v>
      </c>
      <c r="AU37" s="143" t="s" ph="1">
        <v>215</v>
      </c>
      <c r="AV37" s="143" t="s" ph="1">
        <v>213</v>
      </c>
      <c r="AW37" s="143" t="s" ph="1">
        <v>214</v>
      </c>
      <c r="AX37" s="143" t="s" ph="1">
        <v>215</v>
      </c>
      <c r="AY37" s="143" t="s" ph="1">
        <v>214</v>
      </c>
      <c r="AZ37" s="143" t="s" ph="1">
        <v>216</v>
      </c>
      <c r="BD37" s="143" t="s" ph="1">
        <v>308</v>
      </c>
      <c r="BE37" s="143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920" priority="97">
      <formula>ABS(D$7-D$10)&gt;=1000</formula>
    </cfRule>
  </conditionalFormatting>
  <conditionalFormatting sqref="E4 E6:E11">
    <cfRule type="expression" dxfId="2919" priority="96">
      <formula>ABS(E$7-E$10)&gt;=1000</formula>
    </cfRule>
  </conditionalFormatting>
  <conditionalFormatting sqref="F4:F11">
    <cfRule type="expression" dxfId="2918" priority="95">
      <formula>ABS(F$7-F$10)&gt;=1000</formula>
    </cfRule>
  </conditionalFormatting>
  <conditionalFormatting sqref="G4:G11">
    <cfRule type="expression" dxfId="2917" priority="94">
      <formula>ABS(G$7-G$10)&gt;=1000</formula>
    </cfRule>
  </conditionalFormatting>
  <conditionalFormatting sqref="H4:H11">
    <cfRule type="expression" dxfId="2916" priority="93">
      <formula>ABS(H$7-H$10)&gt;=1000</formula>
    </cfRule>
  </conditionalFormatting>
  <conditionalFormatting sqref="I4:I11">
    <cfRule type="expression" dxfId="2915" priority="92">
      <formula>ABS(I$7-I$10)&gt;=1000</formula>
    </cfRule>
  </conditionalFormatting>
  <conditionalFormatting sqref="J4:J11">
    <cfRule type="expression" dxfId="2914" priority="91">
      <formula>ABS(J$7-J$10)&gt;=1000</formula>
    </cfRule>
  </conditionalFormatting>
  <conditionalFormatting sqref="K4:K11">
    <cfRule type="expression" dxfId="2913" priority="90">
      <formula>ABS(K$7-K$10)&gt;=1000</formula>
    </cfRule>
  </conditionalFormatting>
  <conditionalFormatting sqref="L4:L11">
    <cfRule type="expression" dxfId="2912" priority="89">
      <formula>ABS(L$7-L$10)&gt;=1000</formula>
    </cfRule>
  </conditionalFormatting>
  <conditionalFormatting sqref="M4 M6:M11">
    <cfRule type="expression" dxfId="2911" priority="88">
      <formula>ABS(M$7-M$10)&gt;=1000</formula>
    </cfRule>
  </conditionalFormatting>
  <conditionalFormatting sqref="N4 N6:N11">
    <cfRule type="expression" dxfId="2910" priority="87">
      <formula>ABS(N$7-N$10)&gt;=1000</formula>
    </cfRule>
  </conditionalFormatting>
  <conditionalFormatting sqref="O4 O6:O11">
    <cfRule type="expression" dxfId="2909" priority="86">
      <formula>ABS(O$7-O$10)&gt;=1000</formula>
    </cfRule>
  </conditionalFormatting>
  <conditionalFormatting sqref="P4 P6:P11">
    <cfRule type="expression" dxfId="2908" priority="85">
      <formula>ABS(P$7-P$10)&gt;=1000</formula>
    </cfRule>
  </conditionalFormatting>
  <conditionalFormatting sqref="Q4:Q11">
    <cfRule type="expression" dxfId="2907" priority="84">
      <formula>ABS(Q$7-Q$10)&gt;=1000</formula>
    </cfRule>
  </conditionalFormatting>
  <conditionalFormatting sqref="R4:R11">
    <cfRule type="expression" dxfId="2906" priority="83">
      <formula>ABS(R$7-R$10)&gt;=1000</formula>
    </cfRule>
  </conditionalFormatting>
  <conditionalFormatting sqref="S4:S11">
    <cfRule type="expression" dxfId="2905" priority="82">
      <formula>ABS(S$7-S$10)&gt;=1000</formula>
    </cfRule>
  </conditionalFormatting>
  <conditionalFormatting sqref="T4:T9 T11">
    <cfRule type="expression" dxfId="2904" priority="81">
      <formula>ABS(T$7-T$10)&gt;=1000</formula>
    </cfRule>
  </conditionalFormatting>
  <conditionalFormatting sqref="U4:U9 U11">
    <cfRule type="expression" dxfId="2903" priority="80">
      <formula>ABS(U$7-U$10)&gt;=1000</formula>
    </cfRule>
  </conditionalFormatting>
  <conditionalFormatting sqref="V4:V9 V11">
    <cfRule type="expression" dxfId="2902" priority="79">
      <formula>ABS(V$7-V$10)&gt;=1000</formula>
    </cfRule>
  </conditionalFormatting>
  <conditionalFormatting sqref="W4:W9 W11">
    <cfRule type="expression" dxfId="2901" priority="78">
      <formula>ABS(W$7-W$10)&gt;=1000</formula>
    </cfRule>
  </conditionalFormatting>
  <conditionalFormatting sqref="X4:X9 X11">
    <cfRule type="expression" dxfId="2900" priority="77">
      <formula>ABS(X$7-X$10)&gt;=1000</formula>
    </cfRule>
  </conditionalFormatting>
  <conditionalFormatting sqref="Y4:Y9 Y11">
    <cfRule type="expression" dxfId="2899" priority="76">
      <formula>ABS(Y$7-Y$10)&gt;=1000</formula>
    </cfRule>
  </conditionalFormatting>
  <conditionalFormatting sqref="Z4:Z11">
    <cfRule type="expression" dxfId="2898" priority="75">
      <formula>ABS(Z$7-Z$10)&gt;=1000</formula>
    </cfRule>
  </conditionalFormatting>
  <conditionalFormatting sqref="AA4:AA11">
    <cfRule type="expression" dxfId="2897" priority="74">
      <formula>ABS(AA$7-AA$10)&gt;=1000</formula>
    </cfRule>
  </conditionalFormatting>
  <conditionalFormatting sqref="AB4:AB11">
    <cfRule type="expression" dxfId="2896" priority="73">
      <formula>ABS(AB$7-AB$10)&gt;=1000</formula>
    </cfRule>
  </conditionalFormatting>
  <conditionalFormatting sqref="AC4 AC6:AC11">
    <cfRule type="expression" dxfId="2895" priority="72">
      <formula>ABS(AC$7-AC$10)&gt;=1000</formula>
    </cfRule>
  </conditionalFormatting>
  <conditionalFormatting sqref="AD4:AD11">
    <cfRule type="expression" dxfId="2894" priority="71">
      <formula>ABS(AD$7-AD$10)&gt;=1000</formula>
    </cfRule>
  </conditionalFormatting>
  <conditionalFormatting sqref="AE4:AE11">
    <cfRule type="expression" dxfId="2893" priority="70">
      <formula>ABS(AE$7-AE$10)&gt;=1000</formula>
    </cfRule>
  </conditionalFormatting>
  <conditionalFormatting sqref="D13:D20">
    <cfRule type="expression" dxfId="2892" priority="69">
      <formula>ABS(D$16-D$19)&gt;=1000</formula>
    </cfRule>
  </conditionalFormatting>
  <conditionalFormatting sqref="E13:E20">
    <cfRule type="expression" dxfId="2891" priority="68">
      <formula>ABS(E$16-E$19)&gt;=1000</formula>
    </cfRule>
  </conditionalFormatting>
  <conditionalFormatting sqref="F13 F15:F20">
    <cfRule type="expression" dxfId="2890" priority="67">
      <formula>ABS(F$16-F$19)&gt;=1000</formula>
    </cfRule>
  </conditionalFormatting>
  <conditionalFormatting sqref="G13:G20">
    <cfRule type="expression" dxfId="2889" priority="66">
      <formula>ABS(G$16-G$19)&gt;=1000</formula>
    </cfRule>
  </conditionalFormatting>
  <conditionalFormatting sqref="H13:H20">
    <cfRule type="expression" dxfId="2888" priority="65">
      <formula>ABS(H$16-H$19)&gt;=1000</formula>
    </cfRule>
  </conditionalFormatting>
  <conditionalFormatting sqref="I13:I20">
    <cfRule type="expression" dxfId="2887" priority="64">
      <formula>ABS(I$16-I$19)&gt;=1000</formula>
    </cfRule>
  </conditionalFormatting>
  <conditionalFormatting sqref="J13:J20">
    <cfRule type="expression" dxfId="2886" priority="63">
      <formula>ABS(J$16-J$19)&gt;=1000</formula>
    </cfRule>
  </conditionalFormatting>
  <conditionalFormatting sqref="L13:L20">
    <cfRule type="expression" dxfId="2885" priority="62">
      <formula>ABS(L$16-L$19)&gt;=1000</formula>
    </cfRule>
  </conditionalFormatting>
  <conditionalFormatting sqref="M13 M15 M17:M18 M20">
    <cfRule type="expression" dxfId="2884" priority="61">
      <formula>ABS(M$16-M$19)&gt;=1000</formula>
    </cfRule>
  </conditionalFormatting>
  <conditionalFormatting sqref="N13:N20">
    <cfRule type="expression" dxfId="2883" priority="60">
      <formula>ABS(N$16-N$19)&gt;=1000</formula>
    </cfRule>
  </conditionalFormatting>
  <conditionalFormatting sqref="O13:O20">
    <cfRule type="expression" dxfId="2882" priority="59">
      <formula>ABS(O$16-O$19)&gt;=1000</formula>
    </cfRule>
  </conditionalFormatting>
  <conditionalFormatting sqref="P13:P20">
    <cfRule type="expression" dxfId="2881" priority="58">
      <formula>ABS(P$16-P$19)&gt;=1000</formula>
    </cfRule>
  </conditionalFormatting>
  <conditionalFormatting sqref="Q13 Q15:Q20">
    <cfRule type="expression" dxfId="2880" priority="57">
      <formula>ABS(Q$16-Q$19)&gt;=1000</formula>
    </cfRule>
  </conditionalFormatting>
  <conditionalFormatting sqref="R13:R20">
    <cfRule type="expression" dxfId="2879" priority="56">
      <formula>ABS(R$16-R$19)&gt;=1000</formula>
    </cfRule>
  </conditionalFormatting>
  <conditionalFormatting sqref="S13:S20">
    <cfRule type="expression" dxfId="2878" priority="55">
      <formula>ABS(S$16-S$19)&gt;=1000</formula>
    </cfRule>
  </conditionalFormatting>
  <conditionalFormatting sqref="T13:T20">
    <cfRule type="expression" dxfId="2877" priority="54">
      <formula>ABS(T$16-T$19)&gt;=1000</formula>
    </cfRule>
  </conditionalFormatting>
  <conditionalFormatting sqref="U13:U20">
    <cfRule type="expression" dxfId="2876" priority="53">
      <formula>ABS(U$16-U$19)&gt;=1000</formula>
    </cfRule>
  </conditionalFormatting>
  <conditionalFormatting sqref="V13:V20">
    <cfRule type="expression" dxfId="2875" priority="52">
      <formula>ABS(V$16-V$19)&gt;=1000</formula>
    </cfRule>
  </conditionalFormatting>
  <conditionalFormatting sqref="W13 W20 W15:W18">
    <cfRule type="expression" dxfId="2874" priority="51">
      <formula>ABS(W$16-W$19)&gt;=1000</formula>
    </cfRule>
  </conditionalFormatting>
  <conditionalFormatting sqref="X13 X15:X20 Y19">
    <cfRule type="expression" dxfId="2873" priority="50">
      <formula>ABS(X$16-X$19)&gt;=1000</formula>
    </cfRule>
  </conditionalFormatting>
  <conditionalFormatting sqref="Y13 Y15:Y18 Y20">
    <cfRule type="expression" dxfId="2872" priority="49">
      <formula>ABS(Y$16-Y$19)&gt;=1000</formula>
    </cfRule>
  </conditionalFormatting>
  <conditionalFormatting sqref="Z13:Z20">
    <cfRule type="expression" dxfId="2871" priority="48">
      <formula>ABS(Z$16-Z$19)&gt;=1000</formula>
    </cfRule>
  </conditionalFormatting>
  <conditionalFormatting sqref="AA13:AA20">
    <cfRule type="expression" dxfId="2870" priority="47">
      <formula>ABS(AA$16-AA$19)&gt;=1000</formula>
    </cfRule>
  </conditionalFormatting>
  <conditionalFormatting sqref="AB13 AB15:AB20">
    <cfRule type="expression" dxfId="2869" priority="46">
      <formula>ABS(AB$16-AB$19)&gt;=1000</formula>
    </cfRule>
  </conditionalFormatting>
  <conditionalFormatting sqref="AC13 AC15:AC20">
    <cfRule type="expression" dxfId="2868" priority="45">
      <formula>ABS(AC$16-AC$19)&gt;=1000</formula>
    </cfRule>
  </conditionalFormatting>
  <conditionalFormatting sqref="AD13:AD20">
    <cfRule type="expression" dxfId="2867" priority="44">
      <formula>ABS(AD$16-AD$19)&gt;=1000</formula>
    </cfRule>
  </conditionalFormatting>
  <conditionalFormatting sqref="AE13:AE20">
    <cfRule type="expression" dxfId="2866" priority="43">
      <formula>ABS(AE$16-AE$19)&gt;=1000</formula>
    </cfRule>
  </conditionalFormatting>
  <conditionalFormatting sqref="D22:D29">
    <cfRule type="expression" dxfId="2865" priority="42">
      <formula>ABS(D$25-D$28)&gt;=1000</formula>
    </cfRule>
  </conditionalFormatting>
  <conditionalFormatting sqref="E22:E29">
    <cfRule type="expression" dxfId="2864" priority="41">
      <formula>ABS(E$25-E$28)&gt;=1000</formula>
    </cfRule>
  </conditionalFormatting>
  <conditionalFormatting sqref="F22:F29">
    <cfRule type="expression" dxfId="2863" priority="40">
      <formula>ABS(F$25-F$28)&gt;=1000</formula>
    </cfRule>
  </conditionalFormatting>
  <conditionalFormatting sqref="G22:G29">
    <cfRule type="expression" dxfId="2862" priority="39">
      <formula>ABS(G$25-G$28)&gt;=1000</formula>
    </cfRule>
  </conditionalFormatting>
  <conditionalFormatting sqref="H22:H29">
    <cfRule type="expression" dxfId="2861" priority="38">
      <formula>ABS(H$25-H$28)&gt;=1000</formula>
    </cfRule>
  </conditionalFormatting>
  <conditionalFormatting sqref="I22 I24:I29">
    <cfRule type="expression" dxfId="2860" priority="37">
      <formula>ABS(I$25-I$28)&gt;=1000</formula>
    </cfRule>
  </conditionalFormatting>
  <conditionalFormatting sqref="J22:J29 K22">
    <cfRule type="expression" dxfId="2859" priority="36">
      <formula>ABS(J$25-J$28)&gt;=1000</formula>
    </cfRule>
  </conditionalFormatting>
  <conditionalFormatting sqref="K23:K29 L25 L28">
    <cfRule type="expression" dxfId="2858" priority="35">
      <formula>ABS(K$25-K$28)&gt;=1000</formula>
    </cfRule>
  </conditionalFormatting>
  <conditionalFormatting sqref="L22 L26:L27 L29 L24">
    <cfRule type="expression" dxfId="2857" priority="34">
      <formula>ABS(L$25-L$28)&gt;=1000</formula>
    </cfRule>
  </conditionalFormatting>
  <conditionalFormatting sqref="M22:M29">
    <cfRule type="expression" dxfId="2856" priority="33">
      <formula>ABS(M$25-M$28)&gt;=1000</formula>
    </cfRule>
  </conditionalFormatting>
  <conditionalFormatting sqref="N22:N29">
    <cfRule type="expression" dxfId="2855" priority="32">
      <formula>ABS(N$25-N$28)&gt;=1000</formula>
    </cfRule>
  </conditionalFormatting>
  <conditionalFormatting sqref="O22:O29">
    <cfRule type="expression" dxfId="2854" priority="31">
      <formula>ABS(O$25-O$28)&gt;=1000</formula>
    </cfRule>
  </conditionalFormatting>
  <conditionalFormatting sqref="P22:P29">
    <cfRule type="expression" dxfId="2853" priority="30">
      <formula>ABS(P$25-P$28)&gt;=1000</formula>
    </cfRule>
  </conditionalFormatting>
  <conditionalFormatting sqref="Q22:Q29">
    <cfRule type="expression" dxfId="2852" priority="29">
      <formula>ABS(Q$25-Q$28)&gt;=1000</formula>
    </cfRule>
  </conditionalFormatting>
  <conditionalFormatting sqref="R22:R29">
    <cfRule type="expression" dxfId="2851" priority="28">
      <formula>ABS(R$25-R$28)&gt;=1000</formula>
    </cfRule>
  </conditionalFormatting>
  <conditionalFormatting sqref="S22:S29">
    <cfRule type="expression" dxfId="2850" priority="27">
      <formula>ABS(S$25-S$28)&gt;=1000</formula>
    </cfRule>
  </conditionalFormatting>
  <conditionalFormatting sqref="T22:T29">
    <cfRule type="expression" dxfId="2849" priority="26">
      <formula>ABS(T$25-T$28)&gt;=1000</formula>
    </cfRule>
  </conditionalFormatting>
  <conditionalFormatting sqref="U22:U29">
    <cfRule type="expression" dxfId="2848" priority="25">
      <formula>ABS(U$25-U$28)&gt;=1000</formula>
    </cfRule>
  </conditionalFormatting>
  <conditionalFormatting sqref="V22:V29">
    <cfRule type="expression" dxfId="2847" priority="24">
      <formula>ABS(V$25-V$28)&gt;=1000</formula>
    </cfRule>
  </conditionalFormatting>
  <conditionalFormatting sqref="W22:W29">
    <cfRule type="expression" dxfId="2846" priority="23">
      <formula>ABS(W$25-W$28)&gt;=1000</formula>
    </cfRule>
  </conditionalFormatting>
  <conditionalFormatting sqref="X22:X29">
    <cfRule type="expression" dxfId="2845" priority="22">
      <formula>ABS(X$25-X$28)&gt;=1000</formula>
    </cfRule>
  </conditionalFormatting>
  <conditionalFormatting sqref="Y22:Y29">
    <cfRule type="expression" dxfId="2844" priority="21">
      <formula>ABS(Y$25-Y$28)&gt;=1000</formula>
    </cfRule>
  </conditionalFormatting>
  <conditionalFormatting sqref="I23">
    <cfRule type="expression" dxfId="2843" priority="20">
      <formula>ABS(I$25-I$28)&gt;=1000</formula>
    </cfRule>
  </conditionalFormatting>
  <conditionalFormatting sqref="F14">
    <cfRule type="expression" dxfId="2842" priority="19">
      <formula>ABS(F$16-F$19)&gt;=1000</formula>
    </cfRule>
  </conditionalFormatting>
  <conditionalFormatting sqref="Q14">
    <cfRule type="expression" dxfId="2841" priority="18">
      <formula>ABS(Q$16-Q$19)&gt;=1000</formula>
    </cfRule>
  </conditionalFormatting>
  <conditionalFormatting sqref="W14">
    <cfRule type="expression" dxfId="2840" priority="17">
      <formula>ABS(W$16-W$19)&gt;=1000</formula>
    </cfRule>
  </conditionalFormatting>
  <conditionalFormatting sqref="Y14">
    <cfRule type="expression" dxfId="2839" priority="16">
      <formula>ABS(Y$16-Y$19)&gt;=1000</formula>
    </cfRule>
  </conditionalFormatting>
  <conditionalFormatting sqref="X14">
    <cfRule type="expression" dxfId="2838" priority="15">
      <formula>ABS(X$16-X$19)&gt;=1000</formula>
    </cfRule>
  </conditionalFormatting>
  <conditionalFormatting sqref="T10:Y10">
    <cfRule type="expression" dxfId="2837" priority="14">
      <formula>ABS(T$7-T$10)&gt;=1000</formula>
    </cfRule>
  </conditionalFormatting>
  <conditionalFormatting sqref="W19">
    <cfRule type="expression" dxfId="2836" priority="13">
      <formula>ABS(W$16-W$19)&gt;=1000</formula>
    </cfRule>
  </conditionalFormatting>
  <conditionalFormatting sqref="AC5">
    <cfRule type="expression" dxfId="2835" priority="12">
      <formula>ABS(AC$7-AC$10)&gt;=1000</formula>
    </cfRule>
  </conditionalFormatting>
  <conditionalFormatting sqref="M14">
    <cfRule type="expression" dxfId="2834" priority="11">
      <formula>ABS(M$16-M$19)&gt;=1000</formula>
    </cfRule>
  </conditionalFormatting>
  <conditionalFormatting sqref="M16">
    <cfRule type="expression" dxfId="2833" priority="10">
      <formula>ABS(M$16-M$19)&gt;=1000</formula>
    </cfRule>
  </conditionalFormatting>
  <conditionalFormatting sqref="M19">
    <cfRule type="expression" dxfId="2832" priority="9">
      <formula>ABS(M$16-M$19)&gt;=1000</formula>
    </cfRule>
  </conditionalFormatting>
  <conditionalFormatting sqref="K13:K20">
    <cfRule type="expression" dxfId="2831" priority="8">
      <formula>ABS(K$16-K$19)&gt;=1000</formula>
    </cfRule>
  </conditionalFormatting>
  <conditionalFormatting sqref="E5">
    <cfRule type="expression" dxfId="2830" priority="7">
      <formula>ABS(E$7-E$10)&gt;=1000</formula>
    </cfRule>
  </conditionalFormatting>
  <conditionalFormatting sqref="AB14:AC14">
    <cfRule type="expression" dxfId="2829" priority="6">
      <formula>ABS(AB$16-AB$19)&gt;=1000</formula>
    </cfRule>
  </conditionalFormatting>
  <conditionalFormatting sqref="M5">
    <cfRule type="expression" dxfId="2828" priority="5">
      <formula>ABS(M$7-M$10)&gt;=1000</formula>
    </cfRule>
  </conditionalFormatting>
  <conditionalFormatting sqref="N5">
    <cfRule type="expression" dxfId="2827" priority="4">
      <formula>ABS(N$7-N$10)&gt;=1000</formula>
    </cfRule>
  </conditionalFormatting>
  <conditionalFormatting sqref="O5">
    <cfRule type="expression" dxfId="2826" priority="3">
      <formula>ABS(O$7-O$10)&gt;=1000</formula>
    </cfRule>
  </conditionalFormatting>
  <conditionalFormatting sqref="P5">
    <cfRule type="expression" dxfId="2825" priority="2">
      <formula>ABS(P$7-P$10)&gt;=1000</formula>
    </cfRule>
  </conditionalFormatting>
  <conditionalFormatting sqref="L23">
    <cfRule type="expression" dxfId="2824" priority="1">
      <formula>ABS(L$25-L$28)&gt;=1000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4361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345782</xdr:rowOff>
                  </from>
                  <to>
                    <xdr:col>32</xdr:col>
                    <xdr:colOff>414938</xdr:colOff>
                    <xdr:row>3</xdr:row>
                    <xdr:rowOff>30736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70">
    <pageSetUpPr fitToPage="1"/>
  </sheetPr>
  <dimension ref="A1:CU223"/>
  <sheetViews>
    <sheetView view="pageBreakPreview" zoomScale="80" zoomScaleNormal="100" zoomScaleSheetLayoutView="80" workbookViewId="0">
      <selection activeCell="E6" sqref="E6"/>
    </sheetView>
  </sheetViews>
  <sheetFormatPr defaultColWidth="8.109375" defaultRowHeight="26.05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0.9" ph="1">
      <c r="A1" s="64"/>
      <c r="B1" s="238" t="s" ph="1">
        <v>162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.05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.05" customHeight="1" ph="1">
      <c r="B3" s="240" ph="1">
        <v>45839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" customHeight="1" ph="1">
      <c r="A5" s="65" ph="1"/>
      <c r="B5" s="219" ph="1"/>
      <c r="C5" s="67" t="s" ph="1">
        <v>36</v>
      </c>
      <c r="D5" s="70" t="s" ph="1">
        <v>161</v>
      </c>
      <c r="E5" s="70" t="s" ph="1">
        <v>640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46" t="s" ph="1">
        <v>178</v>
      </c>
      <c r="D6" s="71">
        <v>637</v>
      </c>
      <c r="E6" s="71">
        <v>8130</v>
      </c>
      <c r="F6" s="71">
        <v>6831</v>
      </c>
      <c r="G6" s="71">
        <v>2755</v>
      </c>
      <c r="H6" s="71">
        <v>3806</v>
      </c>
      <c r="I6" s="71">
        <v>51.72</v>
      </c>
      <c r="J6" s="71">
        <v>7.72</v>
      </c>
      <c r="K6" s="71">
        <v>7.02</v>
      </c>
      <c r="L6" s="71">
        <v>79.180000000000007</v>
      </c>
      <c r="M6" s="71">
        <v>4757</v>
      </c>
      <c r="N6" s="71">
        <v>3030</v>
      </c>
      <c r="O6" s="71">
        <v>3714</v>
      </c>
      <c r="P6" s="71">
        <v>620</v>
      </c>
      <c r="Q6" s="71">
        <v>7200</v>
      </c>
      <c r="R6" s="71">
        <v>4500</v>
      </c>
      <c r="S6" s="71">
        <v>3749</v>
      </c>
      <c r="T6" s="71">
        <v>0</v>
      </c>
      <c r="U6" s="71">
        <v>0</v>
      </c>
      <c r="V6" s="71">
        <v>0</v>
      </c>
      <c r="W6" s="71">
        <v>3125</v>
      </c>
      <c r="X6" s="71">
        <v>7000</v>
      </c>
      <c r="Y6" s="71">
        <v>0</v>
      </c>
      <c r="Z6" s="71">
        <v>3654</v>
      </c>
      <c r="AA6" s="71">
        <v>558</v>
      </c>
      <c r="AB6" s="71">
        <v>3105</v>
      </c>
      <c r="AC6" s="71">
        <v>5441</v>
      </c>
      <c r="AD6" s="71">
        <v>4415</v>
      </c>
      <c r="AE6" s="71">
        <v>2773</v>
      </c>
    </row>
    <row r="7" spans="1:99" s="72" customFormat="1" ht="22.4" ph="1">
      <c r="B7" s="237" ph="1"/>
      <c r="C7" s="68" t="s" ph="1">
        <v>179</v>
      </c>
      <c r="D7" s="73" ph="1">
        <f>D6*33.183*LOOKUP(D8,密度!$A$2:$A$50,密度!$Q$2:$Q$50)</f>
        <v>19939.70485143</v>
      </c>
      <c r="E7" s="73" ph="1">
        <f>E6*51.53*LOOKUP(E8,密度!$A$2:$A$50,密度!$B$2:$B$50)</f>
        <v>324803.32917000004</v>
      </c>
      <c r="F7" s="73" ph="1">
        <f>F6*33.183*LOOKUP(F8,密度!$A$2:$A$50,密度!$C$2:$C$50)</f>
        <v>250677.75143070004</v>
      </c>
      <c r="G7" s="73" ph="1">
        <f xml:space="preserve"> (G6+2)*51.53*LOOKUP(G8,密度!$A$2:$A$50,密度!$B$2:$B$50)</f>
        <v>110386.99917</v>
      </c>
      <c r="H7" s="73" ph="1">
        <f>(H6)*51.53*LOOKUP(H8,密度!$A$2:$A$50,密度!$B$2:$B$50)</f>
        <v>152721.12026599998</v>
      </c>
      <c r="I7" s="73" ph="1">
        <f>I6*290.8*1.0267</f>
        <v>15441.748699199999</v>
      </c>
      <c r="J7" s="73" ph="1">
        <f>J6*290.8*0.7892</f>
        <v>1771.7350592</v>
      </c>
      <c r="K7" s="73" ph="1">
        <f>K6*290.8*1.1126</f>
        <v>2271.2794416000002</v>
      </c>
      <c r="L7" s="73" ph="1">
        <f>L6*290.8*0.777</f>
        <v>17890.847688000002</v>
      </c>
      <c r="M7" s="73" ph="1">
        <f>M6*33.183*LOOKUP(M8,密度!$A$2:$A$50,密度!$D$2:$D$50)</f>
        <v>161182.19830409996</v>
      </c>
      <c r="N7" s="73" ph="1">
        <f>N6*33.183*LOOKUP(N8,密度!$A$2:$A$50,密度!$E$2:$E$50)</f>
        <v>78183.395424000002</v>
      </c>
      <c r="O7" s="73" ph="1">
        <f>O6*20.428*LOOKUP(O8,密度!$A$2:$A$50,密度!$C$2:$C$50)</f>
        <v>83524.83383280001</v>
      </c>
      <c r="P7" s="73" ph="1">
        <f>P6*51.53*LOOKUP(P8,密度!$A$2:$A$50,密度!$B$2:$B$50)</f>
        <v>24824.062200000004</v>
      </c>
      <c r="Q7" s="73" ph="1">
        <f>Q6*1.5*1.5*3.1416*LOOKUP(W8,密度!$A$2:$A$50,密度!$L$2:$L$50)</f>
        <v>47433.133439999998</v>
      </c>
      <c r="R7" s="73" ph="1">
        <f>R6*1.5*1.5*3.1416*LOOKUP(R8,密度!$A$2:$A$50,密度!$L$2:$L$50)</f>
        <v>29518.473600000001</v>
      </c>
      <c r="S7" s="73" ph="1">
        <f>S6*1.5*1.5*3.1416*LOOKUP(S8,密度!$A$2:$A$50,密度!$L$2:$L$50)</f>
        <v>24883.670334599999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20587.297500000001</v>
      </c>
      <c r="X7" s="73" ph="1">
        <f>X6*1.5*1.5*3.1416*LOOKUP(X8,密度!$A$2:$A$50,密度!$L$2:$L$50)</f>
        <v>46016.586000000003</v>
      </c>
      <c r="Y7" s="73" ph="1">
        <f>Y6*1.5*1.5*3.1416*LOOKUP(Y8,密度!$A$2:$A$50,密度!$L$2:$L$50)</f>
        <v>0</v>
      </c>
      <c r="Z7" s="73" ph="1">
        <f>Z6*33.183*LOOKUP(Z8,密度!$A$2:$A$50,密度!$L$2:$L$50)</f>
        <v>113126.886306</v>
      </c>
      <c r="AA7" s="73" ph="1">
        <f>AA6*33.183*LOOKUP(AA8,密度!$A$2:$A$50,密度!$D$2:$D$50)</f>
        <v>18923.468508000002</v>
      </c>
      <c r="AB7" s="73" ph="1">
        <f>AB6*20.428*LOOKUP(AB8,密度!$A$2:$A$50,密度!$D$2:$D$50)</f>
        <v>65243.007683999997</v>
      </c>
      <c r="AC7" s="73" ph="1">
        <f>AC6*51.53*LOOKUP(AC8,密度!$A$2:$A$50,密度!$Q$2:$Q$50)</f>
        <v>265043.83976359997</v>
      </c>
      <c r="AD7" s="73" ph="1">
        <f>AD6*20.428*LOOKUP(AD8,密度!$A$2:$A$50,密度!$V$2:$V$50)</f>
        <v>86365.580112000011</v>
      </c>
      <c r="AE7" s="73" ph="1">
        <f>AE6*20.428</f>
        <v>56646.844000000005</v>
      </c>
    </row>
    <row r="8" spans="1:99" ph="1">
      <c r="B8" s="237" ph="1"/>
      <c r="C8" s="68" t="s" ph="1">
        <v>180</v>
      </c>
      <c r="D8" s="74">
        <v>30</v>
      </c>
      <c r="E8" s="74">
        <v>30</v>
      </c>
      <c r="F8" s="74">
        <v>29</v>
      </c>
      <c r="G8" s="74">
        <v>28</v>
      </c>
      <c r="H8" s="74">
        <v>26</v>
      </c>
      <c r="I8" s="74">
        <v>25</v>
      </c>
      <c r="J8" s="74">
        <v>25</v>
      </c>
      <c r="K8" s="74">
        <v>25</v>
      </c>
      <c r="L8" s="74">
        <v>25</v>
      </c>
      <c r="M8" s="74">
        <v>31</v>
      </c>
      <c r="N8" s="74">
        <v>30</v>
      </c>
      <c r="O8" s="74">
        <v>34</v>
      </c>
      <c r="P8" s="74">
        <v>28</v>
      </c>
      <c r="Q8" s="74">
        <v>28</v>
      </c>
      <c r="R8" s="74">
        <v>34</v>
      </c>
      <c r="S8" s="74">
        <v>23</v>
      </c>
      <c r="T8" s="74">
        <v>26</v>
      </c>
      <c r="U8" s="74">
        <v>30</v>
      </c>
      <c r="V8" s="74">
        <v>27</v>
      </c>
      <c r="W8" s="74">
        <v>30</v>
      </c>
      <c r="X8" s="74">
        <v>32</v>
      </c>
      <c r="Y8" s="74">
        <v>29</v>
      </c>
      <c r="Z8" s="74">
        <v>29</v>
      </c>
      <c r="AA8" s="74">
        <v>30</v>
      </c>
      <c r="AB8" s="74">
        <v>23</v>
      </c>
      <c r="AC8" s="74">
        <v>27</v>
      </c>
      <c r="AD8" s="74">
        <v>33</v>
      </c>
      <c r="AE8" s="74">
        <v>31</v>
      </c>
    </row>
    <row r="9" spans="1:99" ht="26.65" ph="1">
      <c r="B9" s="237" ph="1">
        <v>0.66666666666666663</v>
      </c>
      <c r="C9" s="146" t="s" ph="1">
        <v>181</v>
      </c>
      <c r="D9" s="71">
        <v>892</v>
      </c>
      <c r="E9" s="71">
        <v>8138</v>
      </c>
      <c r="F9" s="71">
        <v>6834</v>
      </c>
      <c r="G9" s="71">
        <v>3617</v>
      </c>
      <c r="H9" s="71">
        <v>3588</v>
      </c>
      <c r="I9" s="71">
        <v>51.82</v>
      </c>
      <c r="J9" s="71">
        <v>7.73</v>
      </c>
      <c r="K9" s="71">
        <v>7.11</v>
      </c>
      <c r="L9" s="71">
        <v>45.62</v>
      </c>
      <c r="M9" s="71">
        <v>4758</v>
      </c>
      <c r="N9" s="71">
        <v>3023</v>
      </c>
      <c r="O9" s="71">
        <v>3714</v>
      </c>
      <c r="P9" s="71">
        <v>522</v>
      </c>
      <c r="Q9" s="71">
        <v>7200</v>
      </c>
      <c r="R9" s="71">
        <v>6950</v>
      </c>
      <c r="S9" s="71">
        <v>3753</v>
      </c>
      <c r="T9" s="71">
        <v>0</v>
      </c>
      <c r="U9" s="71">
        <v>0</v>
      </c>
      <c r="V9" s="71">
        <v>0</v>
      </c>
      <c r="W9" s="71">
        <v>0</v>
      </c>
      <c r="X9" s="71">
        <v>6500</v>
      </c>
      <c r="Y9" s="71">
        <v>0</v>
      </c>
      <c r="Z9" s="71">
        <v>2131</v>
      </c>
      <c r="AA9" s="71">
        <v>558</v>
      </c>
      <c r="AB9" s="71">
        <v>2913</v>
      </c>
      <c r="AC9" s="71">
        <v>5180</v>
      </c>
      <c r="AD9" s="71">
        <v>4421</v>
      </c>
      <c r="AE9" s="71">
        <v>2773</v>
      </c>
    </row>
    <row r="10" spans="1:99" s="72" customFormat="1" ht="22.4" ph="1">
      <c r="B10" s="237" ph="1"/>
      <c r="C10" s="146" t="s" ph="1">
        <v>179</v>
      </c>
      <c r="D10" s="73" ph="1">
        <f>D9*33.183*LOOKUP(D11,密度!$A$2:$A$50,密度!$Q$2:$Q$50)</f>
        <v>27840.745389240001</v>
      </c>
      <c r="E10" s="73" ph="1">
        <f>E9*51.53*LOOKUP(E11,密度!$A$2:$A$50,密度!$B$2:$B$50)</f>
        <v>324032.62587800005</v>
      </c>
      <c r="F10" s="73" ph="1">
        <f>F9*33.183*LOOKUP(F11,密度!$A$2:$A$50,密度!$C$2:$C$50)</f>
        <v>250130.202066</v>
      </c>
      <c r="G10" s="73" ph="1">
        <f xml:space="preserve"> (G9+2)*51.53*LOOKUP(G11,密度!$A$2:$A$50,密度!$B$2:$B$50)</f>
        <v>144415.587008</v>
      </c>
      <c r="H10" s="73" ph="1">
        <f>(H9)*51.53*LOOKUP(H11,密度!$A$2:$A$50,密度!$B$2:$B$50)</f>
        <v>143178.537216</v>
      </c>
      <c r="I10" s="73" ph="1">
        <f>I9*290.8*1.0267</f>
        <v>15471.605135200001</v>
      </c>
      <c r="J10" s="73" ph="1">
        <f>J9*290.8*0.7892</f>
        <v>1774.0300528</v>
      </c>
      <c r="K10" s="73" ph="1">
        <f>K9*290.8*1.1126</f>
        <v>2300.3984088000002</v>
      </c>
      <c r="L10" s="73" ph="1">
        <f>L9*290.8*0.777</f>
        <v>10307.911992000001</v>
      </c>
      <c r="M10" s="73" ph="1">
        <f>M9*33.183*LOOKUP(M11,密度!$A$2:$A$50,密度!$D$2:$D$50)</f>
        <v>160521.38872379999</v>
      </c>
      <c r="N10" s="73" ph="1">
        <f>N9*33.183*LOOKUP(N11,密度!$A$2:$A$50,密度!$E$2:$E$50)</f>
        <v>77660.709085710012</v>
      </c>
      <c r="O10" s="73" ph="1">
        <f>O9*20.428*LOOKUP(O11,密度!$A$2:$A$50,密度!$C$2:$C$50)</f>
        <v>83289.638097600007</v>
      </c>
      <c r="P10" s="73" ph="1">
        <f>P9*51.53*LOOKUP(P11,密度!$A$2:$A$50,密度!$B$2:$B$50)</f>
        <v>20806.113509999999</v>
      </c>
      <c r="Q10" s="73" ph="1">
        <f>Q9*1.5*1.5*3.1416*LOOKUP(W11,密度!$A$2:$A$50,密度!$L$2:$L$50)</f>
        <v>46822.4064</v>
      </c>
      <c r="R10" s="73" ph="1">
        <f>R9*1.5*1.5*3.1416*LOOKUP(R11,密度!$A$2:$A$50,密度!$L$2:$L$50)</f>
        <v>45589.64256</v>
      </c>
      <c r="S10" s="73" ph="1">
        <f>S9*1.5*1.5*3.1416*LOOKUP(S11,密度!$A$2:$A$50,密度!$L$2:$L$50)</f>
        <v>24883.691540399999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42637.7952</v>
      </c>
      <c r="Y10" s="73" ph="1">
        <f>Y9*1.5*1.5*3.1416*LOOKUP(Y11,密度!$A$2:$A$50,密度!$L$2:$L$50)</f>
        <v>0</v>
      </c>
      <c r="Z10" s="73" ph="1">
        <f>Z9*33.183*LOOKUP(Z11,密度!$A$2:$A$50,密度!$L$2:$L$50)</f>
        <v>65621.638944000006</v>
      </c>
      <c r="AA10" s="73" ph="1">
        <f>AA9*33.183*LOOKUP(AA11,密度!$A$2:$A$50,密度!$D$2:$D$50)</f>
        <v>18663.317106300001</v>
      </c>
      <c r="AB10" s="73" ph="1">
        <f>AB9*20.428*LOOKUP(AB11,密度!$A$2:$A$50,密度!$D$2:$D$50)</f>
        <v>61042.038511200008</v>
      </c>
      <c r="AC10" s="73" ph="1">
        <f>AC9*51.53*LOOKUP(AC11,密度!$A$2:$A$50,密度!$Q$2:$Q$50)</f>
        <v>251598.54353200001</v>
      </c>
      <c r="AD10" s="73" ph="1">
        <f>AD9*20.428*LOOKUP(AD11,密度!$A$2:$A$50,密度!$V$2:$V$50)</f>
        <v>86482.951228800011</v>
      </c>
      <c r="AE10" s="73" ph="1">
        <f>AE9*20.428</f>
        <v>56646.844000000005</v>
      </c>
    </row>
    <row r="11" spans="1:99" ph="1">
      <c r="A11" s="64" t="s" ph="1">
        <v>163</v>
      </c>
      <c r="B11" s="237" ph="1"/>
      <c r="C11" s="146" t="s" ph="1">
        <v>180</v>
      </c>
      <c r="D11" s="74">
        <v>34</v>
      </c>
      <c r="E11" s="74">
        <v>33</v>
      </c>
      <c r="F11" s="74">
        <v>32</v>
      </c>
      <c r="G11" s="74">
        <v>31</v>
      </c>
      <c r="H11" s="74">
        <v>31</v>
      </c>
      <c r="I11" s="74">
        <v>25</v>
      </c>
      <c r="J11" s="74">
        <v>25</v>
      </c>
      <c r="K11" s="74">
        <v>25</v>
      </c>
      <c r="L11" s="74">
        <v>25</v>
      </c>
      <c r="M11" s="74">
        <v>36</v>
      </c>
      <c r="N11" s="74">
        <v>33</v>
      </c>
      <c r="O11" s="74">
        <v>37</v>
      </c>
      <c r="P11" s="74">
        <v>32</v>
      </c>
      <c r="Q11" s="74">
        <v>30</v>
      </c>
      <c r="R11" s="74">
        <v>34</v>
      </c>
      <c r="S11" s="74">
        <v>24</v>
      </c>
      <c r="T11" s="74">
        <v>37</v>
      </c>
      <c r="U11" s="74">
        <v>33</v>
      </c>
      <c r="V11" s="74">
        <v>28</v>
      </c>
      <c r="W11" s="74">
        <v>42</v>
      </c>
      <c r="X11" s="74">
        <v>34</v>
      </c>
      <c r="Y11" s="74">
        <v>34</v>
      </c>
      <c r="Z11" s="74">
        <v>34</v>
      </c>
      <c r="AA11" s="74">
        <v>46</v>
      </c>
      <c r="AB11" s="74">
        <v>26</v>
      </c>
      <c r="AC11" s="74">
        <v>31</v>
      </c>
      <c r="AD11" s="74">
        <v>34</v>
      </c>
      <c r="AE11" s="74">
        <v>36</v>
      </c>
    </row>
    <row r="12" spans="1:99" ht="9.85" customHeight="1" ph="1"/>
    <row r="13" spans="1:99" s="72" customFormat="1" ht="29.2" customHeight="1" ph="1">
      <c r="B13" s="214" t="s" ph="1">
        <v>37</v>
      </c>
      <c r="C13" s="146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.2" ph="1">
      <c r="B14" s="215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623</v>
      </c>
      <c r="H14" s="77" t="s" ph="1">
        <v>624</v>
      </c>
      <c r="I14" s="140" t="s" ph="1">
        <v>625</v>
      </c>
      <c r="J14" s="77" t="s" ph="1">
        <v>626</v>
      </c>
      <c r="K14" s="77" t="s" ph="1">
        <v>187</v>
      </c>
      <c r="L14" s="77" t="s" ph="1">
        <v>41</v>
      </c>
      <c r="M14" s="104" t="s" ph="1">
        <v>627</v>
      </c>
      <c r="N14" s="104" t="s" ph="1">
        <v>628</v>
      </c>
      <c r="O14" s="104" t="s" ph="1">
        <v>626</v>
      </c>
      <c r="P14" s="77" t="s" ph="1">
        <v>629</v>
      </c>
      <c r="Q14" s="77" t="s" ph="1">
        <v>629</v>
      </c>
      <c r="R14" s="88" t="s" ph="1">
        <v>640</v>
      </c>
      <c r="S14" s="77" t="s" ph="1">
        <v>71</v>
      </c>
      <c r="T14" s="77" t="s" ph="1">
        <v>631</v>
      </c>
      <c r="U14" s="77" t="s" ph="1">
        <v>610</v>
      </c>
      <c r="V14" s="77" t="s" ph="1">
        <v>110</v>
      </c>
      <c r="W14" s="77" t="s" ph="1">
        <v>629</v>
      </c>
      <c r="X14" s="77" t="s" ph="1">
        <v>632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16" ph="1">
        <v>0.33333333333333331</v>
      </c>
      <c r="C15" s="146" t="s" ph="1">
        <v>178</v>
      </c>
      <c r="D15" s="78">
        <v>5618</v>
      </c>
      <c r="E15" s="78">
        <v>75</v>
      </c>
      <c r="F15" s="78">
        <v>709</v>
      </c>
      <c r="G15" s="78">
        <v>3980</v>
      </c>
      <c r="H15" s="78">
        <v>0</v>
      </c>
      <c r="I15" s="78">
        <v>5283</v>
      </c>
      <c r="J15" s="78">
        <v>152</v>
      </c>
      <c r="K15" s="78">
        <v>1876</v>
      </c>
      <c r="L15" s="78">
        <v>4809</v>
      </c>
      <c r="M15" s="78">
        <v>4562</v>
      </c>
      <c r="N15" s="78">
        <v>2514</v>
      </c>
      <c r="O15" s="78">
        <v>596</v>
      </c>
      <c r="P15" s="78">
        <v>7036</v>
      </c>
      <c r="Q15" s="78">
        <v>6957</v>
      </c>
      <c r="R15" s="78">
        <v>3520</v>
      </c>
      <c r="S15" s="78">
        <v>0</v>
      </c>
      <c r="T15" s="78">
        <v>3588</v>
      </c>
      <c r="U15" s="78">
        <v>3717</v>
      </c>
      <c r="V15" s="78">
        <v>3197</v>
      </c>
      <c r="W15" s="71">
        <v>3866</v>
      </c>
      <c r="X15" s="78">
        <v>-89</v>
      </c>
      <c r="Y15" s="106">
        <v>-9908</v>
      </c>
      <c r="Z15" s="78">
        <v>0</v>
      </c>
      <c r="AA15" s="78">
        <v>0</v>
      </c>
      <c r="AB15" s="78" ph="1">
        <v>18</v>
      </c>
      <c r="AC15" s="78" ph="1">
        <v>34</v>
      </c>
      <c r="AD15" s="78">
        <v>5.82</v>
      </c>
      <c r="AE15" s="78">
        <v>78.92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4" ph="1">
      <c r="B16" s="217" ph="1"/>
      <c r="C16" s="146" t="s" ph="1">
        <v>179</v>
      </c>
      <c r="D16" s="73" ph="1">
        <f>D15*7.0686*LOOKUP(D17,密度!$A$2:$A$50,密度!$L$2:$L$50)</f>
        <v>36891.885769200002</v>
      </c>
      <c r="E16" s="73" ph="1">
        <f>E15*7.0686*LOOKUP(E17,密度!$A$2:$A$50,密度!$L$2:$L$50)</f>
        <v>492.504705</v>
      </c>
      <c r="F16" s="73" ph="1">
        <f>F15*9.0746*LOOKUP(F17,密度!$A$2:$A$50,密度!$L$2:$L$50)</f>
        <v>5964.2173278000009</v>
      </c>
      <c r="G16" s="73" ph="1">
        <f>G15*9.0746*LOOKUP(G17,密度!$A$2:$A$50,密度!$B$2:$B$50)</f>
        <v>28001.438772400001</v>
      </c>
      <c r="H16" s="73" ph="1">
        <f>H15*9.0746*LOOKUP(H17,密度!$A$2:$A$50,密度!$L$2:$L$50)</f>
        <v>0</v>
      </c>
      <c r="I16" s="73" ph="1">
        <f>I15*9.0746*LOOKUP(I17,密度!$A$2:$A$50,密度!$U$2:$U$50)</f>
        <v>48947.875147799998</v>
      </c>
      <c r="J16" s="73" ph="1">
        <f>J15*9.0746*LOOKUP(J17,密度!$A$2:$A$50,密度!$L$2:$L$50)</f>
        <v>1284.1647952000001</v>
      </c>
      <c r="K16" s="73" ph="1">
        <f>K15*9.0746*LOOKUP(K17,密度!$A$2:$A$50,密度!$C$2:$C$50)</f>
        <v>18838.702627359999</v>
      </c>
      <c r="L16" s="73" ph="1">
        <f>L15*9.0746*LOOKUP(L17,密度!$A$2:$A$50,密度!$E$2:$E$50)</f>
        <v>33736.146217283997</v>
      </c>
      <c r="M16" s="73" ph="1">
        <f>M15*9.0746*LOOKUP(M17,密度!$A$2:$A$50,密度!$M$2:$M$50)</f>
        <v>35839.358092144001</v>
      </c>
      <c r="N16" s="73" ph="1">
        <f>N15*9.0746*LOOKUP(N17,密度!$A$2:$A$50,密度!$M$2:$M$50)</f>
        <v>19918.505615639999</v>
      </c>
      <c r="O16" s="73" ph="1">
        <f>O15*9.0746*LOOKUP(O17,密度!$A$2:$A$50,密度!$G$2:$G$50)</f>
        <v>5169.9484434400001</v>
      </c>
      <c r="P16" s="73" ph="1">
        <f ca="1">P15*9.0746*LOOKUP(P17,密度!$A$2:$A$51,密度!$Q$2:$Q$50)</f>
        <v>60097.763571000003</v>
      </c>
      <c r="Q16" s="73" ph="1">
        <f>Q15*9.0746*LOOKUP(Q17,密度!$A$2:$A$50,密度!$Q$2:$Q$50)</f>
        <v>59422.98765825</v>
      </c>
      <c r="R16" s="73" ph="1">
        <f>MAX(R15*9.0746*LOOKUP(R17,密度!$A$2:$A$50,密度!$B$2:$B$50),0)</f>
        <v>24707.594912</v>
      </c>
      <c r="S16" s="73" ph="1">
        <f>S15*9.0746*LOOKUP(S17,密度!$A$2:$A$50,密度!$Q$2:$Q$50)</f>
        <v>0</v>
      </c>
      <c r="T16" s="73" ph="1">
        <f>T15*9.0746*LOOKUP(T17,密度!$A$2:$A$50,密度!$O$2:$O$50)</f>
        <v>30020.010945600003</v>
      </c>
      <c r="U16" s="73" ph="1">
        <f>U15*9.0746*LOOKUP(U17,密度!$A$2:$A$50,密度!$H$2:$H$50)</f>
        <v>30694.562262000003</v>
      </c>
      <c r="V16" s="73" ph="1">
        <f>MAX(5600*LOOKUP(V17,密度!$A$2:$A$50,密度!$Q$2:$Q$50)+V15*9.0476*LOOKUP(V17,密度!$A$2:$A$50,密度!$Q$2:$Q$50),0)</f>
        <v>32407.057578779997</v>
      </c>
      <c r="W16" s="73" ph="1">
        <f>MAX(5600*LOOKUP(W17,密度!$A$2:$A$50,密度!$Q$2:$Q$50)+W15*9.0476*LOOKUP(W17,密度!$A$2:$A$50,密度!$Q$2:$Q$50),0)</f>
        <v>38167.281336743996</v>
      </c>
      <c r="X16" s="73" ph="1">
        <f>MAX(5600*LOOKUP(X17,密度!$A$2:$A$50,密度!$I$2:$I$50)+X15*9.0476*LOOKUP(X17,密度!$A$2:$A$50,密度!$I$2:$I$50),0)</f>
        <v>4965.0256554360003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0</v>
      </c>
      <c r="AB16" s="73" ph="1">
        <f>AB15*9.0746*LOOKUP(AB17,密度!$A$2:$A$50,密度!$L$2:$L$50)</f>
        <v>152.23548960000002</v>
      </c>
      <c r="AC16" s="73" ph="1">
        <f>AC15*9.0746*LOOKUP(AC17,密度!$A$2:$A$50,密度!$L$2:$L$50)</f>
        <v>287.86446120000005</v>
      </c>
      <c r="AD16" s="73" ph="1">
        <f>AD15*268.68*LOOKUP(AD17,密度!$A$2:$A$50,密度!B2:B50)+IF(AD15&lt;=0,0,1566*LOOKUP(AD17,密度!$A$2:$A$50,密度!B2:B50))</f>
        <v>2439.9278409600001</v>
      </c>
      <c r="AE16" s="73" ph="1">
        <f>AE15*268.68*LOOKUP(AE17,密度!$A$2:$A$50,密度!B2:B50)+IF(AE15&lt;=0,0,1566*LOOKUP(AE17,密度!$A$2:$A$50,密度!B2:B50))</f>
        <v>17751.667877759999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18" ph="1"/>
      <c r="C17" s="79" t="s" ph="1">
        <v>180</v>
      </c>
      <c r="D17" s="74">
        <v>33</v>
      </c>
      <c r="E17" s="74">
        <v>33</v>
      </c>
      <c r="F17" s="74">
        <v>35</v>
      </c>
      <c r="G17" s="74">
        <v>30</v>
      </c>
      <c r="H17" s="74">
        <v>24</v>
      </c>
      <c r="I17" s="74">
        <v>29</v>
      </c>
      <c r="J17" s="74">
        <v>31</v>
      </c>
      <c r="K17" s="74">
        <v>28</v>
      </c>
      <c r="L17" s="74">
        <v>34</v>
      </c>
      <c r="M17" s="74">
        <v>34</v>
      </c>
      <c r="N17" s="74">
        <v>27</v>
      </c>
      <c r="O17" s="74">
        <v>29</v>
      </c>
      <c r="P17" s="74">
        <v>33</v>
      </c>
      <c r="Q17" s="74">
        <v>33</v>
      </c>
      <c r="R17" s="74">
        <v>32</v>
      </c>
      <c r="S17" s="74">
        <v>29</v>
      </c>
      <c r="T17" s="74">
        <v>30</v>
      </c>
      <c r="U17" s="74">
        <v>30</v>
      </c>
      <c r="V17" s="74">
        <v>37</v>
      </c>
      <c r="W17" s="74">
        <v>34</v>
      </c>
      <c r="X17" s="74">
        <v>31</v>
      </c>
      <c r="Y17" s="108">
        <v>31</v>
      </c>
      <c r="Z17" s="74">
        <v>30</v>
      </c>
      <c r="AA17" s="74">
        <v>28</v>
      </c>
      <c r="AB17" s="74">
        <v>30</v>
      </c>
      <c r="AC17" s="74">
        <v>29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65" ph="1">
      <c r="B18" s="216" ph="1">
        <v>0.66666666666666663</v>
      </c>
      <c r="C18" s="79" t="s" ph="1">
        <v>181</v>
      </c>
      <c r="D18" s="71">
        <v>5627</v>
      </c>
      <c r="E18" s="71">
        <v>74</v>
      </c>
      <c r="F18" s="71">
        <v>785</v>
      </c>
      <c r="G18" s="71">
        <v>4005</v>
      </c>
      <c r="H18" s="71">
        <v>0</v>
      </c>
      <c r="I18" s="71">
        <v>5286</v>
      </c>
      <c r="J18" s="71">
        <v>153</v>
      </c>
      <c r="K18" s="71">
        <v>1877</v>
      </c>
      <c r="L18" s="71">
        <v>4817</v>
      </c>
      <c r="M18" s="71">
        <v>1604</v>
      </c>
      <c r="N18" s="71">
        <v>3984</v>
      </c>
      <c r="O18" s="71">
        <v>917</v>
      </c>
      <c r="P18" s="71">
        <v>7038</v>
      </c>
      <c r="Q18" s="71">
        <v>6962</v>
      </c>
      <c r="R18" s="71">
        <v>3523</v>
      </c>
      <c r="S18" s="71">
        <v>0</v>
      </c>
      <c r="T18" s="71">
        <v>3004</v>
      </c>
      <c r="U18" s="71">
        <v>5497</v>
      </c>
      <c r="V18" s="71">
        <v>3197</v>
      </c>
      <c r="W18" s="71">
        <v>3865</v>
      </c>
      <c r="X18" s="71">
        <v>-90</v>
      </c>
      <c r="Y18" s="109">
        <v>-9905</v>
      </c>
      <c r="Z18" s="71">
        <v>7</v>
      </c>
      <c r="AA18" s="71">
        <v>2</v>
      </c>
      <c r="AB18" s="71">
        <v>21</v>
      </c>
      <c r="AC18" s="71">
        <v>0</v>
      </c>
      <c r="AD18" s="71">
        <v>31.42</v>
      </c>
      <c r="AE18" s="71">
        <v>84.65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4" ph="1">
      <c r="B19" s="217" ph="1"/>
      <c r="C19" s="146" t="s" ph="1">
        <v>179</v>
      </c>
      <c r="D19" s="73" ph="1">
        <f>D18*7.0686*LOOKUP(D20,密度!$A$2:$A$50,密度!$L$2:$L$50)</f>
        <v>36950.9863338</v>
      </c>
      <c r="E19" s="73" ph="1">
        <f>E18*7.0686*LOOKUP(E20,密度!$A$2:$A$50,密度!$L$2:$L$50)</f>
        <v>485.93797560000007</v>
      </c>
      <c r="F19" s="73" ph="1">
        <f>F18*9.0746*LOOKUP(F20,密度!$A$2:$A$50,密度!$L$2:$L$50)</f>
        <v>6589.2939250000009</v>
      </c>
      <c r="G19" s="73" ph="1">
        <f>G18*9.0746*LOOKUP(G20,密度!$A$2:$A$50,密度!$B$2:$B$50)</f>
        <v>28144.617811200002</v>
      </c>
      <c r="H19" s="73" ph="1">
        <f>H18*9.0746*LOOKUP(H20,密度!$A$2:$A$50,密度!$L$2:$L$50)</f>
        <v>0</v>
      </c>
      <c r="I19" s="73" ph="1">
        <f>I18*9.0746*LOOKUP(I20,密度!$A$2:$A$50,密度!$U$2:$U$50)</f>
        <v>48687.860633999997</v>
      </c>
      <c r="J19" s="73" ph="1">
        <f>J18*9.0746*LOOKUP(J20,密度!$A$2:$A$50,密度!$L$2:$L$50)</f>
        <v>1284.2827650000002</v>
      </c>
      <c r="K19" s="73" ph="1">
        <f>K18*9.0746*LOOKUP(K20,密度!$A$2:$A$50,密度!$C$2:$C$50)</f>
        <v>18734.623317580001</v>
      </c>
      <c r="L19" s="73" ph="1">
        <f>L18*9.0746*LOOKUP(L20,密度!$A$2:$A$50,密度!$E$2:$E$50)</f>
        <v>33792.267899491999</v>
      </c>
      <c r="M19" s="73" ph="1">
        <f>M18*9.0746*LOOKUP(M20,密度!$A$2:$A$50,密度!$M$2:$M$50)</f>
        <v>12557.16650168</v>
      </c>
      <c r="N19" s="73" ph="1">
        <f>N18*9.0746*LOOKUP(N20,密度!$A$2:$A$50,密度!$M$2:$M$50)</f>
        <v>31489.442774400002</v>
      </c>
      <c r="O19" s="73" ph="1">
        <f>O18*9.0746*LOOKUP(O20,密度!$A$2:$A$50,密度!$G$2:$G$50)</f>
        <v>7862.8986081799994</v>
      </c>
      <c r="P19" s="73" ph="1">
        <f ca="1">P18*9.0746*LOOKUP(P20,密度!$A$2:$A$51,密度!$Q$2:$Q$50)</f>
        <v>60072.694262532001</v>
      </c>
      <c r="Q19" s="73" ph="1">
        <f>Q18*9.0746*LOOKUP(Q20,密度!$A$2:$A$50,密度!$Q$2:$Q$50)</f>
        <v>59465.694994500001</v>
      </c>
      <c r="R19" s="73" ph="1">
        <f>MAX(R18*9.0746*LOOKUP(R20,密度!$A$2:$A$50,密度!$B$2:$B$50),0)</f>
        <v>24728.652521299999</v>
      </c>
      <c r="S19" s="73" ph="1">
        <f>S18*9.0746*LOOKUP(S20,密度!$A$2:$A$50,密度!$Q$2:$Q$50)</f>
        <v>0</v>
      </c>
      <c r="T19" s="73" ph="1">
        <f>T18*9.0746*LOOKUP(T20,密度!$A$2:$A$50,密度!$O$2:$O$50)</f>
        <v>25112.00264608</v>
      </c>
      <c r="U19" s="73" ph="1">
        <f>U18*9.0746*LOOKUP(U20,密度!$A$2:$A$50,密度!$H$2:$H$50)</f>
        <v>45297.823835695999</v>
      </c>
      <c r="V19" s="73" ph="1">
        <f>MAX(5600*LOOKUP(V20,密度!$A$2:$A$50,密度!$Q$2:$Q$50)+V18*9.0476*LOOKUP(V20,密度!$A$2:$A$50,密度!$Q$2:$Q$50),0)</f>
        <v>32451.595057367998</v>
      </c>
      <c r="W19" s="73" ph="1">
        <f>MAX(5600*LOOKUP(W20,密度!$A$2:$A$50,密度!$Q$2:$Q$50)+W18*9.0476*LOOKUP(W20,密度!$A$2:$A$50,密度!$Q$2:$Q$50),0)</f>
        <v>38054.50899147999</v>
      </c>
      <c r="X19" s="73" ph="1">
        <f>MAX(5600*LOOKUP(X20,密度!$A$2:$A$50,密度!$I$2:$I$50)+X18*9.0476*LOOKUP(X20,密度!$A$2:$A$50,密度!$I$2:$I$50),0)</f>
        <v>4939.7203408800005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64.640190720000007</v>
      </c>
      <c r="AA19" s="73" ph="1">
        <f>AA18*9.0746*LOOKUP(AA20,密度!$A$2:$A$50,密度!$B$2:$B$50)</f>
        <v>14.023886840000001</v>
      </c>
      <c r="AB19" s="73" ph="1">
        <f>AB18*9.0746*LOOKUP(AB20,密度!$A$2:$A$50,密度!$L$2:$L$50)</f>
        <v>176.65523820000001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7776.1581912000011</v>
      </c>
      <c r="AE19" s="73" ph="1">
        <f>AE18*268.68*LOOKUP(AE20,密度!$A$2:$A$50,密度!B5:B53)+IF(AE18&lt;=0,0,1566*LOOKUP(AE20,密度!$A$2:$A$50,密度!B5:B53))</f>
        <v>18888.685074000001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17" ph="1"/>
      <c r="C20" s="80" t="s" ph="1">
        <v>180</v>
      </c>
      <c r="D20" s="81">
        <v>33</v>
      </c>
      <c r="E20" s="81">
        <v>33</v>
      </c>
      <c r="F20" s="81">
        <v>37</v>
      </c>
      <c r="G20" s="81">
        <v>31</v>
      </c>
      <c r="H20" s="81">
        <v>37</v>
      </c>
      <c r="I20" s="81">
        <v>35</v>
      </c>
      <c r="J20" s="81">
        <v>37</v>
      </c>
      <c r="K20" s="81">
        <v>35</v>
      </c>
      <c r="L20" s="81">
        <v>34</v>
      </c>
      <c r="M20" s="81">
        <v>37</v>
      </c>
      <c r="N20" s="81">
        <v>29</v>
      </c>
      <c r="O20" s="81">
        <v>39</v>
      </c>
      <c r="P20" s="81">
        <v>34</v>
      </c>
      <c r="Q20" s="81">
        <v>33</v>
      </c>
      <c r="R20" s="81">
        <v>32</v>
      </c>
      <c r="S20" s="81">
        <v>35</v>
      </c>
      <c r="T20" s="81">
        <v>33</v>
      </c>
      <c r="U20" s="81">
        <v>32</v>
      </c>
      <c r="V20" s="81">
        <v>35</v>
      </c>
      <c r="W20" s="81">
        <v>38</v>
      </c>
      <c r="X20" s="81">
        <v>34</v>
      </c>
      <c r="Y20" s="110">
        <v>34</v>
      </c>
      <c r="Z20" s="81">
        <v>35</v>
      </c>
      <c r="AA20" s="81">
        <v>33</v>
      </c>
      <c r="AB20" s="81">
        <v>35</v>
      </c>
      <c r="AC20" s="81">
        <v>33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15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633</v>
      </c>
      <c r="H23" s="88" t="s" ph="1">
        <v>633</v>
      </c>
      <c r="I23" s="88" t="s" ph="1">
        <v>634</v>
      </c>
      <c r="J23" s="88" t="s" ph="1">
        <v>635</v>
      </c>
      <c r="K23" s="88" t="s" ph="1">
        <v>635</v>
      </c>
      <c r="L23" s="88" t="s" ph="1">
        <v>635</v>
      </c>
      <c r="M23" s="88" t="s" ph="1">
        <v>630</v>
      </c>
      <c r="N23" s="88" t="s" ph="1">
        <v>630</v>
      </c>
      <c r="O23" s="88" t="s" ph="1">
        <v>321</v>
      </c>
      <c r="P23" s="88" t="s" ph="1">
        <v>637</v>
      </c>
      <c r="Q23" s="89" t="s" ph="1">
        <v>637</v>
      </c>
      <c r="R23" s="88" t="s" ph="1">
        <v>616</v>
      </c>
      <c r="S23" s="88" t="s" ph="1">
        <v>636</v>
      </c>
      <c r="T23" s="88" t="s" ph="1">
        <v>607</v>
      </c>
      <c r="U23" s="88" t="s" ph="1">
        <v>611</v>
      </c>
      <c r="V23" s="88" t="s" ph="1">
        <v>637</v>
      </c>
      <c r="W23" s="88" t="s" ph="1">
        <v>637</v>
      </c>
      <c r="X23" s="88" t="s" ph="1">
        <v>190</v>
      </c>
      <c r="Y23" s="88" t="s" ph="1">
        <v>638</v>
      </c>
      <c r="Z23" s="228" t="s" ph="1">
        <v>641</v>
      </c>
      <c r="AA23" s="229"/>
      <c r="AB23" s="229"/>
      <c r="AC23" s="229"/>
      <c r="AD23" s="229"/>
      <c r="AE23" s="230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37" ph="1">
        <v>0.33333333333333331</v>
      </c>
      <c r="C24" s="146" t="s" ph="1">
        <v>178</v>
      </c>
      <c r="D24" s="71">
        <v>86.06</v>
      </c>
      <c r="E24" s="71">
        <v>95.58</v>
      </c>
      <c r="F24" s="71">
        <v>3855</v>
      </c>
      <c r="G24" s="71">
        <v>2627</v>
      </c>
      <c r="H24" s="71">
        <v>2345</v>
      </c>
      <c r="I24" s="71">
        <v>2273</v>
      </c>
      <c r="J24" s="71">
        <v>4832</v>
      </c>
      <c r="K24" s="71">
        <v>2942</v>
      </c>
      <c r="L24" s="71">
        <v>5621</v>
      </c>
      <c r="M24" s="71">
        <v>258</v>
      </c>
      <c r="N24" s="71">
        <v>229</v>
      </c>
      <c r="O24" s="71">
        <v>5167</v>
      </c>
      <c r="P24" s="71">
        <v>3221</v>
      </c>
      <c r="Q24" s="90">
        <v>3550</v>
      </c>
      <c r="R24" s="71">
        <v>600</v>
      </c>
      <c r="S24" s="71">
        <v>6328</v>
      </c>
      <c r="T24" s="71">
        <v>1765</v>
      </c>
      <c r="U24" s="71">
        <v>6171</v>
      </c>
      <c r="V24" s="71">
        <v>9619</v>
      </c>
      <c r="W24" s="71">
        <v>10773</v>
      </c>
      <c r="X24" s="71">
        <v>3037</v>
      </c>
      <c r="Y24" s="71">
        <v>4097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37" ph="1"/>
      <c r="C25" s="68" t="s" ph="1">
        <v>179</v>
      </c>
      <c r="D25" s="91" ph="1">
        <f>D24*268.68*LOOKUP(D26,密度!$A$2:$A$50,密度!$Q$2:$Q$50)+IF(D24&lt;=0,0,1566*LOOKUP(D26,密度!$A$2:$A$50,密度!$Q$2:$Q$50))</f>
        <v>23373.685921392003</v>
      </c>
      <c r="E25" s="91" ph="1">
        <f>E24*268.68*LOOKUP(E26,密度!$A$2:$A$50,密度!$C$2:$C$50)+IF(E24&lt;=0,0,1566*LOOKUP(E26,密度!$A$2:$A$50,密度!$C$2:$C$50))</f>
        <v>30213.571106160001</v>
      </c>
      <c r="F25" s="91" ph="1">
        <f>F24*11.702*LOOKUP(F26,密度!$A$2:$A$50,密度!$Q$2:$Q$50)</f>
        <v>42612.951190200001</v>
      </c>
      <c r="G25" s="91" ph="1">
        <f>G24*18.322*LOOKUP(G26,密度!$A$2:$A$50,密度!$B$2:$B$50)</f>
        <v>37359.976122799999</v>
      </c>
      <c r="H25" s="91" ph="1">
        <f>H24*18.322*LOOKUP(H26,密度!$A$2:$A$50,密度!$B$2:$B$50)</f>
        <v>33349.502858</v>
      </c>
      <c r="I25" s="91" ph="1">
        <f>I24*18.322*LOOKUP(I26,密度!$A$2:$A$50,密度!$Q$2:$Q$50)</f>
        <v>39254.598077479997</v>
      </c>
      <c r="J25" s="91" ph="1">
        <f>J24*18.322*LOOKUP(J26,密度!$A$2:$A$50,密度!$Q$2:$Q$50)</f>
        <v>83629.007156480002</v>
      </c>
      <c r="K25" s="91" ph="1">
        <f>K24*18.322*LOOKUP(K26,密度!$A$2:$A$50,密度!$Q$2:$Q$50)</f>
        <v>50880.964623320004</v>
      </c>
      <c r="L25" s="91" ph="1">
        <f>L24*18.322*LOOKUP(L26,密度!$A$2:$A$50,密度!$Q$2:$Q$50)</f>
        <v>97213.426970660003</v>
      </c>
      <c r="M25" s="91" ph="1">
        <f>M24*18.322*LOOKUP(M26,密度!$A$2:$A$50,密度!$Q$2:$Q$50)</f>
        <v>4459.1926030800005</v>
      </c>
      <c r="N25" s="91" ph="1">
        <f>N24*18.322*LOOKUP(N26,密度!$A$2:$A$50,密度!$Q$2:$Q$50)</f>
        <v>3957.9655275399996</v>
      </c>
      <c r="O25" s="91" ph="1">
        <f>O24*18.322*LOOKUP(O26,密度!$A$2:$A$50,密度!$C$2:$C$50)</f>
        <v>104619.56724739999</v>
      </c>
      <c r="P25" s="91" ph="1">
        <f>P24*11.702*LOOKUP(P26,密度!$A$2:$A$50,密度!$B$2:$B$50)</f>
        <v>29286.794334000002</v>
      </c>
      <c r="Q25" s="92" ph="1">
        <f>Q24*18.322*LOOKUP(Q26,密度!$A$2:$A$50,密度!$B$2:$B$50)</f>
        <v>50427.915430000001</v>
      </c>
      <c r="R25" s="91" ph="1">
        <f>R24*35.891*LOOKUP(R26,密度!$A$2:$A$50,密度!$C$2:$C$50)</f>
        <v>23797.886459999998</v>
      </c>
      <c r="S25" s="91" ph="1">
        <f>S24*35.891*LOOKUP(S26,密度!$A$2:$A$50,密度!$B$2:$B$50)</f>
        <v>176084.77767439999</v>
      </c>
      <c r="T25" s="91" ph="1">
        <f>T24*35.891*LOOKUP(T26,密度!$A$2:$A$50,密度!$Q$2:$Q$50)</f>
        <v>59625.942618749999</v>
      </c>
      <c r="U25" s="91" ph="1">
        <f>U24*35.891</f>
        <v>221483.36099999998</v>
      </c>
      <c r="V25" s="91" ph="1">
        <f>V24*47.051*LOOKUP(V26,密度!$A$2:$A$50,密度!$B$2:$B$50)</f>
        <v>351657.43311300001</v>
      </c>
      <c r="W25" s="91" ph="1">
        <f>W24*47.051*LOOKUP(W26,密度!$A$2:$A$50,密度!$B$2:$B$50)</f>
        <v>393846.08867100003</v>
      </c>
      <c r="X25" s="91" ph="1">
        <f>X24*47.051*LOOKUP(X26,密度!$A$2:$A$50,密度!$I$2:$I$50)</f>
        <v>148280.98653990004</v>
      </c>
      <c r="Y25" s="91" ph="1">
        <f>Y24*47.051*LOOKUP(Y26,密度!$A$2:$A$50,密度!$L$2:$L$50)</f>
        <v>179659.72660400002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37" ph="1"/>
      <c r="C26" s="68" t="s" ph="1">
        <v>180</v>
      </c>
      <c r="D26" s="74">
        <v>25</v>
      </c>
      <c r="E26" s="74">
        <v>25</v>
      </c>
      <c r="F26" s="74">
        <v>28</v>
      </c>
      <c r="G26" s="74">
        <v>29</v>
      </c>
      <c r="H26" s="74">
        <v>29</v>
      </c>
      <c r="I26" s="74">
        <v>31</v>
      </c>
      <c r="J26" s="74">
        <v>28</v>
      </c>
      <c r="K26" s="74">
        <v>29</v>
      </c>
      <c r="L26" s="74">
        <v>29</v>
      </c>
      <c r="M26" s="74">
        <v>30</v>
      </c>
      <c r="N26" s="74">
        <v>30</v>
      </c>
      <c r="O26" s="74">
        <v>30</v>
      </c>
      <c r="P26" s="74">
        <v>28</v>
      </c>
      <c r="Q26" s="93">
        <v>30</v>
      </c>
      <c r="R26" s="74">
        <v>30</v>
      </c>
      <c r="S26" s="74">
        <v>30</v>
      </c>
      <c r="T26" s="74">
        <v>33</v>
      </c>
      <c r="U26" s="74">
        <v>31</v>
      </c>
      <c r="V26" s="74">
        <v>28</v>
      </c>
      <c r="W26" s="74">
        <v>28</v>
      </c>
      <c r="X26" s="74">
        <v>29</v>
      </c>
      <c r="Y26" s="74">
        <v>30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65" ph="1">
      <c r="A27" s="72" ph="1"/>
      <c r="B27" s="237" ph="1">
        <v>0.66666666666666663</v>
      </c>
      <c r="C27" s="146" t="s" ph="1">
        <v>181</v>
      </c>
      <c r="D27" s="71">
        <v>86.13</v>
      </c>
      <c r="E27" s="71">
        <v>95.53</v>
      </c>
      <c r="F27" s="71">
        <v>3855</v>
      </c>
      <c r="G27" s="71">
        <v>2580</v>
      </c>
      <c r="H27" s="71">
        <v>1770</v>
      </c>
      <c r="I27" s="71">
        <v>2270</v>
      </c>
      <c r="J27" s="71">
        <v>4834</v>
      </c>
      <c r="K27" s="71">
        <v>4294</v>
      </c>
      <c r="L27" s="71">
        <v>5618</v>
      </c>
      <c r="M27" s="71">
        <v>1473</v>
      </c>
      <c r="N27" s="71">
        <v>1350</v>
      </c>
      <c r="O27" s="71">
        <v>5163</v>
      </c>
      <c r="P27" s="71">
        <v>3220</v>
      </c>
      <c r="Q27" s="90">
        <v>3693</v>
      </c>
      <c r="R27" s="71">
        <v>289</v>
      </c>
      <c r="S27" s="71">
        <v>6329</v>
      </c>
      <c r="T27" s="71">
        <v>1763</v>
      </c>
      <c r="U27" s="71">
        <v>5852</v>
      </c>
      <c r="V27" s="71">
        <v>9622</v>
      </c>
      <c r="W27" s="71">
        <v>10774</v>
      </c>
      <c r="X27" s="71">
        <v>2661</v>
      </c>
      <c r="Y27" s="71">
        <v>4687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37" ph="1"/>
      <c r="C28" s="146" t="s" ph="1">
        <v>179</v>
      </c>
      <c r="D28" s="91" ph="1">
        <f>D27*268.68*LOOKUP(D29,密度!$A$2:$A$50,密度!$Q$2:$Q$50)+IF(D27&lt;=0,0,1566*LOOKUP(D29,密度!$A$2:$A$50,密度!$Q$2:$Q$50))</f>
        <v>23391.491828616003</v>
      </c>
      <c r="E28" s="91" ph="1">
        <f>E27*268.68*LOOKUP(E29,密度!$A$2:$A$50,密度!$C$2:$C$50)+IF(E27&lt;=0,0,1566*LOOKUP(E29,密度!$A$2:$A$50,密度!$C$2:$C$50))</f>
        <v>30198.674143560002</v>
      </c>
      <c r="F28" s="91" ph="1">
        <f>F27*11.702*LOOKUP(F29,密度!$A$2:$A$50,密度!$Q$2:$Q$50)</f>
        <v>42460.926412499997</v>
      </c>
      <c r="G28" s="91" ph="1">
        <f>G27*18.322*LOOKUP(G29,密度!$A$2:$A$50,密度!$B$2:$B$50)</f>
        <v>36563.932859999994</v>
      </c>
      <c r="H28" s="91" ph="1">
        <f>H27*18.322*LOOKUP(H29,密度!$A$2:$A$50,密度!$B$2:$B$50)</f>
        <v>25084.558589999997</v>
      </c>
      <c r="I28" s="91" ph="1">
        <f>I27*18.322*LOOKUP(I29,密度!$A$2:$A$50,密度!$Q$2:$Q$50)</f>
        <v>39092.988143599992</v>
      </c>
      <c r="J28" s="91" ph="1">
        <f>J27*18.322*LOOKUP(J29,密度!$A$2:$A$50,密度!$Q$2:$Q$50)</f>
        <v>83422.715361199997</v>
      </c>
      <c r="K28" s="91" ph="1">
        <f>K27*18.322*LOOKUP(K29,密度!$A$2:$A$50,密度!$Q$2:$Q$50)</f>
        <v>74052.531254999994</v>
      </c>
      <c r="L28" s="91" ph="1">
        <f>L27*18.322*LOOKUP(L29,密度!$A$2:$A$50,密度!$Q$2:$Q$50)</f>
        <v>96885.682484999998</v>
      </c>
      <c r="M28" s="91" ph="1">
        <f>M27*18.322*LOOKUP(M29,密度!$A$2:$A$50,密度!$Q$2:$Q$50)</f>
        <v>25420.2854214</v>
      </c>
      <c r="N28" s="91" ph="1">
        <f>N27*18.322*LOOKUP(N29,密度!$A$2:$A$50,密度!$Q$2:$Q$50)</f>
        <v>23297.613929999996</v>
      </c>
      <c r="O28" s="91" ph="1">
        <f>O27*18.322*LOOKUP(O29,密度!$A$2:$A$50,密度!$C$2:$C$50)</f>
        <v>104245.32757199999</v>
      </c>
      <c r="P28" s="91" ph="1">
        <f>P27*11.702*LOOKUP(P29,密度!$A$2:$A$50,密度!$B$2:$B$50)</f>
        <v>29179.732736000002</v>
      </c>
      <c r="Q28" s="92" ph="1">
        <f>Q27*18.322*LOOKUP(Q29,密度!$A$2:$A$50,密度!$B$2:$B$50)</f>
        <v>52283.312914199996</v>
      </c>
      <c r="R28" s="91" ph="1">
        <f>R27*35.891*LOOKUP(R29,密度!$A$2:$A$50,密度!$C$2:$C$50)</f>
        <v>11430.493898000001</v>
      </c>
      <c r="S28" s="91" ph="1">
        <f>S27*35.891*LOOKUP(S29,密度!$A$2:$A$50,密度!$B$2:$B$50)</f>
        <v>175522.00320530002</v>
      </c>
      <c r="T28" s="91" ph="1">
        <f>T27*35.891*LOOKUP(T29,密度!$A$2:$A$50,密度!$Q$2:$Q$50)</f>
        <v>59475.486470019998</v>
      </c>
      <c r="U28" s="91" ph="1">
        <f>U27*35.891</f>
        <v>210034.13199999998</v>
      </c>
      <c r="V28" s="91" ph="1">
        <f>V27*47.051*LOOKUP(V29,密度!$A$2:$A$50,密度!$B$2:$B$50)</f>
        <v>350182.57246699999</v>
      </c>
      <c r="W28" s="91" ph="1">
        <f>W27*47.051*LOOKUP(W29,密度!$A$2:$A$50,密度!$B$2:$B$50)</f>
        <v>392108.40113900002</v>
      </c>
      <c r="X28" s="91" ph="1">
        <f>X27*47.051*LOOKUP(X29,密度!$A$2:$A$50,密度!$I$2:$I$50)</f>
        <v>129370.70924919001</v>
      </c>
      <c r="Y28" s="91" ph="1">
        <f>Y27*47.051*LOOKUP(Y29,密度!$A$2:$A$50,密度!$L$2:$L$50)</f>
        <v>204650.01833600001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37" ph="1"/>
      <c r="C29" s="146" t="s" ph="1">
        <v>180</v>
      </c>
      <c r="D29" s="74">
        <v>25</v>
      </c>
      <c r="E29" s="74">
        <v>25</v>
      </c>
      <c r="F29" s="74">
        <v>33</v>
      </c>
      <c r="G29" s="74">
        <v>32</v>
      </c>
      <c r="H29" s="74">
        <v>32</v>
      </c>
      <c r="I29" s="74">
        <v>35</v>
      </c>
      <c r="J29" s="74">
        <v>32</v>
      </c>
      <c r="K29" s="74">
        <v>33</v>
      </c>
      <c r="L29" s="74">
        <v>33</v>
      </c>
      <c r="M29" s="74">
        <v>32</v>
      </c>
      <c r="N29" s="74">
        <v>32</v>
      </c>
      <c r="O29" s="74">
        <v>33</v>
      </c>
      <c r="P29" s="74">
        <v>31</v>
      </c>
      <c r="Q29" s="93">
        <v>33</v>
      </c>
      <c r="R29" s="74">
        <v>33</v>
      </c>
      <c r="S29" s="74">
        <v>33</v>
      </c>
      <c r="T29" s="74">
        <v>35</v>
      </c>
      <c r="U29" s="74">
        <v>34</v>
      </c>
      <c r="V29" s="74">
        <v>32</v>
      </c>
      <c r="W29" s="74">
        <v>32</v>
      </c>
      <c r="X29" s="74">
        <v>33</v>
      </c>
      <c r="Y29" s="74">
        <v>34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45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46" t="s" ph="1">
        <v>5</v>
      </c>
      <c r="F32" s="145" t="s" ph="1">
        <v>43</v>
      </c>
      <c r="G32" s="97" t="s" ph="1">
        <v>4</v>
      </c>
      <c r="H32" s="146" t="s" ph="1">
        <v>5</v>
      </c>
      <c r="I32" s="145" t="s" ph="1">
        <v>43</v>
      </c>
      <c r="J32" s="97" t="s" ph="1">
        <v>4</v>
      </c>
      <c r="K32" s="146" t="s" ph="1">
        <v>5</v>
      </c>
      <c r="L32" s="145" t="s" ph="1">
        <v>43</v>
      </c>
      <c r="M32" s="97" t="s" ph="1">
        <v>4</v>
      </c>
      <c r="N32" s="146" t="s" ph="1">
        <v>5</v>
      </c>
      <c r="O32" s="14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6" t="s" ph="1">
        <v>5</v>
      </c>
      <c r="U32" s="99" t="s" ph="1">
        <v>43</v>
      </c>
      <c r="V32" s="97" t="s" ph="1">
        <v>4</v>
      </c>
      <c r="W32" s="146" t="s" ph="1">
        <v>5</v>
      </c>
      <c r="X32" s="99" t="s" ph="1">
        <v>43</v>
      </c>
      <c r="Y32" s="100" t="s" ph="1">
        <v>4</v>
      </c>
      <c r="Z32" s="146" t="s" ph="1">
        <v>5</v>
      </c>
      <c r="AA32" s="145" t="s" ph="1">
        <v>43</v>
      </c>
      <c r="AB32" s="97" t="s" ph="1">
        <v>85</v>
      </c>
      <c r="AC32" s="146" t="s" ph="1">
        <v>84</v>
      </c>
      <c r="AD32" s="204" t="s" ph="1">
        <v>83</v>
      </c>
      <c r="AE32" s="205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06" t="s" ph="1">
        <v>182</v>
      </c>
      <c r="C33" s="207" ph="1"/>
      <c r="D33" s="186" ph="1">
        <f>AA10+AB10+Z19</f>
        <v>79769.995808220017</v>
      </c>
      <c r="E33" s="186" ph="1">
        <f>M10+I10</f>
        <v>175992.99385899998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1522252632456786910111213141516171819202123456789101112131415161718192022232424356789101112131415161718192021222345678910111213141516171819202345678910111213149101516171819222123234567891012131415161711181920212224252345678910111213133[[#This Row],[F25]]</f>
        <v>3880</v>
      </c>
      <c r="G33" s="212" ph="1">
        <v>0</v>
      </c>
      <c r="H33" s="186" ph="1">
        <f>N19</f>
        <v>31489.442774400002</v>
      </c>
      <c r="I33" s="190" ph="1">
        <v>0</v>
      </c>
      <c r="J33" s="194" ph="1">
        <f>F10+O28</f>
        <v>354375.52963800001</v>
      </c>
      <c r="K33" s="186" ph="1">
        <f>O10+K10+E28+R28</f>
        <v>127219.20454796001</v>
      </c>
      <c r="L33" s="196" ph="1">
        <f>BE27</f>
        <v>7100</v>
      </c>
      <c r="M33" s="194" ph="1">
        <f>G10+H10+W28+S28+V28+E10</f>
        <v>1529439.7269133003</v>
      </c>
      <c r="N33" s="186" ph="1">
        <f>L10+P10++G28+H28</f>
        <v>92762.516951999991</v>
      </c>
      <c r="O33" s="190" ph="1">
        <f>BE17</f>
        <v>2270</v>
      </c>
      <c r="P33" s="194" ph="1">
        <f>L19</f>
        <v>33792.267899491999</v>
      </c>
      <c r="Q33" s="186" ph="1">
        <f>J10+N10</f>
        <v>79434.739138510005</v>
      </c>
      <c r="R33" s="190" ph="1">
        <f>BE23</f>
        <v>890</v>
      </c>
      <c r="S33" s="194" ph="1">
        <f>E10+X28</f>
        <v>453403.33512719005</v>
      </c>
      <c r="T33" s="186" ph="1">
        <f>X19</f>
        <v>4939.7203408800005</v>
      </c>
      <c r="U33" s="175" ph="1">
        <f>BE21</f>
        <v>730</v>
      </c>
      <c r="V33" s="188" ph="1">
        <f ca="1">P19+Q19+S19+M28+N28+J28</f>
        <v>251679.00396963197</v>
      </c>
      <c r="W33" s="188" ph="1">
        <f>D28+F28+V19+T28</f>
        <v>157779.499768504</v>
      </c>
      <c r="X33" s="190" ph="1">
        <f>BE29+BE31</f>
        <v>10200</v>
      </c>
      <c r="Y33" s="192" ph="1">
        <f>+Q10+R10+S10+T10+U10+V10+W10+X10+Y10</f>
        <v>159933.53570040001</v>
      </c>
      <c r="Z33" s="173" ph="1">
        <f>D10+T19+U19+Y28+Z10</f>
        <v>368522.22915101598</v>
      </c>
      <c r="AA33" s="175" ph="1">
        <f>BE19</f>
        <v>1440</v>
      </c>
      <c r="AB33" s="177" ph="1">
        <f>I19</f>
        <v>48687.860633999997</v>
      </c>
      <c r="AC33" s="179" ph="1">
        <f>AD10</f>
        <v>86482.951228800011</v>
      </c>
      <c r="AD33" s="181" ph="1">
        <v>0</v>
      </c>
      <c r="AE33" s="182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85" t="s" ph="1">
        <v>639</v>
      </c>
      <c r="AD35" s="185"/>
      <c r="AE35" s="185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45" ph="1">
      <c r="A36" s="64"/>
      <c r="B36" s="103" t="s" ph="1">
        <v>183</v>
      </c>
      <c r="I36" s="171" t="s" ph="1">
        <v>184</v>
      </c>
      <c r="J36" s="171" ph="1"/>
      <c r="K36" s="101" ph="1"/>
      <c r="P36" s="101" ph="1"/>
      <c r="R36" s="171" t="s" ph="1">
        <v>185</v>
      </c>
      <c r="S36" s="171" ph="1"/>
      <c r="Y36" s="102" ph="1"/>
      <c r="Z36" s="144" t="s" ph="1">
        <v>186</v>
      </c>
      <c r="AA36" s="144" ph="1"/>
      <c r="AB36" s="172" t="s" ph="1">
        <v>644</v>
      </c>
      <c r="AC36" s="172" ph="1"/>
      <c r="AD36" s="172" ph="1"/>
      <c r="AE36" s="172" ph="1"/>
      <c r="BA36" s="64" ph="1">
        <v>2270</v>
      </c>
    </row>
    <row r="37" spans="1:57" s="144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4" t="s" ph="1">
        <v>345</v>
      </c>
      <c r="AI37" s="144" t="s" ph="1">
        <v>212</v>
      </c>
      <c r="AJ37" s="144" t="s" ph="1">
        <v>213</v>
      </c>
      <c r="AK37" s="144" t="s" ph="1">
        <v>214</v>
      </c>
      <c r="AM37" s="144" t="s" ph="1">
        <v>213</v>
      </c>
      <c r="AN37" s="144" t="s" ph="1">
        <v>214</v>
      </c>
      <c r="AO37" s="144" t="s" ph="1">
        <v>215</v>
      </c>
      <c r="AP37" s="144" t="s" ph="1">
        <v>213</v>
      </c>
      <c r="AQ37" s="144" t="s" ph="1">
        <v>214</v>
      </c>
      <c r="AR37" s="144" t="s" ph="1">
        <v>215</v>
      </c>
      <c r="AS37" s="144" t="s" ph="1">
        <v>213</v>
      </c>
      <c r="AT37" s="144" t="s" ph="1">
        <v>214</v>
      </c>
      <c r="AU37" s="144" t="s" ph="1">
        <v>215</v>
      </c>
      <c r="AV37" s="144" t="s" ph="1">
        <v>213</v>
      </c>
      <c r="AW37" s="144" t="s" ph="1">
        <v>214</v>
      </c>
      <c r="AX37" s="144" t="s" ph="1">
        <v>215</v>
      </c>
      <c r="AY37" s="144" t="s" ph="1">
        <v>214</v>
      </c>
      <c r="AZ37" s="144" t="s" ph="1">
        <v>216</v>
      </c>
      <c r="BD37" s="144" t="s" ph="1">
        <v>308</v>
      </c>
      <c r="BE37" s="144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793" priority="97">
      <formula>ABS(D$7-D$10)&gt;=1000</formula>
    </cfRule>
  </conditionalFormatting>
  <conditionalFormatting sqref="E4 E6:E11">
    <cfRule type="expression" dxfId="2792" priority="96">
      <formula>ABS(E$7-E$10)&gt;=1000</formula>
    </cfRule>
  </conditionalFormatting>
  <conditionalFormatting sqref="F4:F11">
    <cfRule type="expression" dxfId="2791" priority="95">
      <formula>ABS(F$7-F$10)&gt;=1000</formula>
    </cfRule>
  </conditionalFormatting>
  <conditionalFormatting sqref="G4:G11">
    <cfRule type="expression" dxfId="2790" priority="94">
      <formula>ABS(G$7-G$10)&gt;=1000</formula>
    </cfRule>
  </conditionalFormatting>
  <conditionalFormatting sqref="H4:H11">
    <cfRule type="expression" dxfId="2789" priority="93">
      <formula>ABS(H$7-H$10)&gt;=1000</formula>
    </cfRule>
  </conditionalFormatting>
  <conditionalFormatting sqref="I4:I11">
    <cfRule type="expression" dxfId="2788" priority="92">
      <formula>ABS(I$7-I$10)&gt;=1000</formula>
    </cfRule>
  </conditionalFormatting>
  <conditionalFormatting sqref="J4:J11">
    <cfRule type="expression" dxfId="2787" priority="91">
      <formula>ABS(J$7-J$10)&gt;=1000</formula>
    </cfRule>
  </conditionalFormatting>
  <conditionalFormatting sqref="K4:K11">
    <cfRule type="expression" dxfId="2786" priority="90">
      <formula>ABS(K$7-K$10)&gt;=1000</formula>
    </cfRule>
  </conditionalFormatting>
  <conditionalFormatting sqref="L4:L11">
    <cfRule type="expression" dxfId="2785" priority="89">
      <formula>ABS(L$7-L$10)&gt;=1000</formula>
    </cfRule>
  </conditionalFormatting>
  <conditionalFormatting sqref="M4 M6:M11">
    <cfRule type="expression" dxfId="2784" priority="88">
      <formula>ABS(M$7-M$10)&gt;=1000</formula>
    </cfRule>
  </conditionalFormatting>
  <conditionalFormatting sqref="N4 N6:N11">
    <cfRule type="expression" dxfId="2783" priority="87">
      <formula>ABS(N$7-N$10)&gt;=1000</formula>
    </cfRule>
  </conditionalFormatting>
  <conditionalFormatting sqref="O4 O6:O11">
    <cfRule type="expression" dxfId="2782" priority="86">
      <formula>ABS(O$7-O$10)&gt;=1000</formula>
    </cfRule>
  </conditionalFormatting>
  <conditionalFormatting sqref="P4 P6:P11">
    <cfRule type="expression" dxfId="2781" priority="85">
      <formula>ABS(P$7-P$10)&gt;=1000</formula>
    </cfRule>
  </conditionalFormatting>
  <conditionalFormatting sqref="Q4:Q11">
    <cfRule type="expression" dxfId="2780" priority="84">
      <formula>ABS(Q$7-Q$10)&gt;=1000</formula>
    </cfRule>
  </conditionalFormatting>
  <conditionalFormatting sqref="R4:R11">
    <cfRule type="expression" dxfId="2779" priority="83">
      <formula>ABS(R$7-R$10)&gt;=1000</formula>
    </cfRule>
  </conditionalFormatting>
  <conditionalFormatting sqref="S4:S11">
    <cfRule type="expression" dxfId="2778" priority="82">
      <formula>ABS(S$7-S$10)&gt;=1000</formula>
    </cfRule>
  </conditionalFormatting>
  <conditionalFormatting sqref="T4:T9 T11">
    <cfRule type="expression" dxfId="2777" priority="81">
      <formula>ABS(T$7-T$10)&gt;=1000</formula>
    </cfRule>
  </conditionalFormatting>
  <conditionalFormatting sqref="U4:U9 U11">
    <cfRule type="expression" dxfId="2776" priority="80">
      <formula>ABS(U$7-U$10)&gt;=1000</formula>
    </cfRule>
  </conditionalFormatting>
  <conditionalFormatting sqref="V4:V9 V11">
    <cfRule type="expression" dxfId="2775" priority="79">
      <formula>ABS(V$7-V$10)&gt;=1000</formula>
    </cfRule>
  </conditionalFormatting>
  <conditionalFormatting sqref="W4:W9 W11">
    <cfRule type="expression" dxfId="2774" priority="78">
      <formula>ABS(W$7-W$10)&gt;=1000</formula>
    </cfRule>
  </conditionalFormatting>
  <conditionalFormatting sqref="X4:X9 X11">
    <cfRule type="expression" dxfId="2773" priority="77">
      <formula>ABS(X$7-X$10)&gt;=1000</formula>
    </cfRule>
  </conditionalFormatting>
  <conditionalFormatting sqref="Y4:Y9 Y11">
    <cfRule type="expression" dxfId="2772" priority="76">
      <formula>ABS(Y$7-Y$10)&gt;=1000</formula>
    </cfRule>
  </conditionalFormatting>
  <conditionalFormatting sqref="Z4:Z11">
    <cfRule type="expression" dxfId="2771" priority="75">
      <formula>ABS(Z$7-Z$10)&gt;=1000</formula>
    </cfRule>
  </conditionalFormatting>
  <conditionalFormatting sqref="AA4:AA11">
    <cfRule type="expression" dxfId="2770" priority="74">
      <formula>ABS(AA$7-AA$10)&gt;=1000</formula>
    </cfRule>
  </conditionalFormatting>
  <conditionalFormatting sqref="AB4:AB11">
    <cfRule type="expression" dxfId="2769" priority="73">
      <formula>ABS(AB$7-AB$10)&gt;=1000</formula>
    </cfRule>
  </conditionalFormatting>
  <conditionalFormatting sqref="AC4 AC6:AC11">
    <cfRule type="expression" dxfId="2768" priority="72">
      <formula>ABS(AC$7-AC$10)&gt;=1000</formula>
    </cfRule>
  </conditionalFormatting>
  <conditionalFormatting sqref="AD4:AD11">
    <cfRule type="expression" dxfId="2767" priority="71">
      <formula>ABS(AD$7-AD$10)&gt;=1000</formula>
    </cfRule>
  </conditionalFormatting>
  <conditionalFormatting sqref="AE4:AE11">
    <cfRule type="expression" dxfId="2766" priority="70">
      <formula>ABS(AE$7-AE$10)&gt;=1000</formula>
    </cfRule>
  </conditionalFormatting>
  <conditionalFormatting sqref="D13:D20">
    <cfRule type="expression" dxfId="2765" priority="69">
      <formula>ABS(D$16-D$19)&gt;=1000</formula>
    </cfRule>
  </conditionalFormatting>
  <conditionalFormatting sqref="E13:E20">
    <cfRule type="expression" dxfId="2764" priority="68">
      <formula>ABS(E$16-E$19)&gt;=1000</formula>
    </cfRule>
  </conditionalFormatting>
  <conditionalFormatting sqref="F13 F15:F20">
    <cfRule type="expression" dxfId="2763" priority="67">
      <formula>ABS(F$16-F$19)&gt;=1000</formula>
    </cfRule>
  </conditionalFormatting>
  <conditionalFormatting sqref="G13:G20">
    <cfRule type="expression" dxfId="2762" priority="66">
      <formula>ABS(G$16-G$19)&gt;=1000</formula>
    </cfRule>
  </conditionalFormatting>
  <conditionalFormatting sqref="H13:H20">
    <cfRule type="expression" dxfId="2761" priority="65">
      <formula>ABS(H$16-H$19)&gt;=1000</formula>
    </cfRule>
  </conditionalFormatting>
  <conditionalFormatting sqref="I13:I20">
    <cfRule type="expression" dxfId="2760" priority="64">
      <formula>ABS(I$16-I$19)&gt;=1000</formula>
    </cfRule>
  </conditionalFormatting>
  <conditionalFormatting sqref="J13:J20">
    <cfRule type="expression" dxfId="2759" priority="63">
      <formula>ABS(J$16-J$19)&gt;=1000</formula>
    </cfRule>
  </conditionalFormatting>
  <conditionalFormatting sqref="L13:L20">
    <cfRule type="expression" dxfId="2758" priority="62">
      <formula>ABS(L$16-L$19)&gt;=1000</formula>
    </cfRule>
  </conditionalFormatting>
  <conditionalFormatting sqref="M13 M15 M17:M18 M20">
    <cfRule type="expression" dxfId="2757" priority="61">
      <formula>ABS(M$16-M$19)&gt;=1000</formula>
    </cfRule>
  </conditionalFormatting>
  <conditionalFormatting sqref="N13:N20">
    <cfRule type="expression" dxfId="2756" priority="60">
      <formula>ABS(N$16-N$19)&gt;=1000</formula>
    </cfRule>
  </conditionalFormatting>
  <conditionalFormatting sqref="O13:O20">
    <cfRule type="expression" dxfId="2755" priority="59">
      <formula>ABS(O$16-O$19)&gt;=1000</formula>
    </cfRule>
  </conditionalFormatting>
  <conditionalFormatting sqref="P13:P20">
    <cfRule type="expression" dxfId="2754" priority="58">
      <formula>ABS(P$16-P$19)&gt;=1000</formula>
    </cfRule>
  </conditionalFormatting>
  <conditionalFormatting sqref="Q13 Q15:Q20">
    <cfRule type="expression" dxfId="2753" priority="57">
      <formula>ABS(Q$16-Q$19)&gt;=1000</formula>
    </cfRule>
  </conditionalFormatting>
  <conditionalFormatting sqref="R13:R20">
    <cfRule type="expression" dxfId="2752" priority="56">
      <formula>ABS(R$16-R$19)&gt;=1000</formula>
    </cfRule>
  </conditionalFormatting>
  <conditionalFormatting sqref="S13:S20">
    <cfRule type="expression" dxfId="2751" priority="55">
      <formula>ABS(S$16-S$19)&gt;=1000</formula>
    </cfRule>
  </conditionalFormatting>
  <conditionalFormatting sqref="T13:T20">
    <cfRule type="expression" dxfId="2750" priority="54">
      <formula>ABS(T$16-T$19)&gt;=1000</formula>
    </cfRule>
  </conditionalFormatting>
  <conditionalFormatting sqref="U13:U20">
    <cfRule type="expression" dxfId="2749" priority="53">
      <formula>ABS(U$16-U$19)&gt;=1000</formula>
    </cfRule>
  </conditionalFormatting>
  <conditionalFormatting sqref="V13:V20">
    <cfRule type="expression" dxfId="2748" priority="52">
      <formula>ABS(V$16-V$19)&gt;=1000</formula>
    </cfRule>
  </conditionalFormatting>
  <conditionalFormatting sqref="W13 W20 W15:W18">
    <cfRule type="expression" dxfId="2747" priority="51">
      <formula>ABS(W$16-W$19)&gt;=1000</formula>
    </cfRule>
  </conditionalFormatting>
  <conditionalFormatting sqref="X13 X15:X20 Y19">
    <cfRule type="expression" dxfId="2746" priority="50">
      <formula>ABS(X$16-X$19)&gt;=1000</formula>
    </cfRule>
  </conditionalFormatting>
  <conditionalFormatting sqref="Y13 Y15:Y18 Y20">
    <cfRule type="expression" dxfId="2745" priority="49">
      <formula>ABS(Y$16-Y$19)&gt;=1000</formula>
    </cfRule>
  </conditionalFormatting>
  <conditionalFormatting sqref="Z13:Z20">
    <cfRule type="expression" dxfId="2744" priority="48">
      <formula>ABS(Z$16-Z$19)&gt;=1000</formula>
    </cfRule>
  </conditionalFormatting>
  <conditionalFormatting sqref="AA13:AA20">
    <cfRule type="expression" dxfId="2743" priority="47">
      <formula>ABS(AA$16-AA$19)&gt;=1000</formula>
    </cfRule>
  </conditionalFormatting>
  <conditionalFormatting sqref="AB13 AB15:AB20">
    <cfRule type="expression" dxfId="2742" priority="46">
      <formula>ABS(AB$16-AB$19)&gt;=1000</formula>
    </cfRule>
  </conditionalFormatting>
  <conditionalFormatting sqref="AC13 AC15:AC20">
    <cfRule type="expression" dxfId="2741" priority="45">
      <formula>ABS(AC$16-AC$19)&gt;=1000</formula>
    </cfRule>
  </conditionalFormatting>
  <conditionalFormatting sqref="AD13:AD20">
    <cfRule type="expression" dxfId="2740" priority="44">
      <formula>ABS(AD$16-AD$19)&gt;=1000</formula>
    </cfRule>
  </conditionalFormatting>
  <conditionalFormatting sqref="AE13:AE20">
    <cfRule type="expression" dxfId="2739" priority="43">
      <formula>ABS(AE$16-AE$19)&gt;=1000</formula>
    </cfRule>
  </conditionalFormatting>
  <conditionalFormatting sqref="D22:D29">
    <cfRule type="expression" dxfId="2738" priority="42">
      <formula>ABS(D$25-D$28)&gt;=1000</formula>
    </cfRule>
  </conditionalFormatting>
  <conditionalFormatting sqref="E22:E29">
    <cfRule type="expression" dxfId="2737" priority="41">
      <formula>ABS(E$25-E$28)&gt;=1000</formula>
    </cfRule>
  </conditionalFormatting>
  <conditionalFormatting sqref="F22:F29">
    <cfRule type="expression" dxfId="2736" priority="40">
      <formula>ABS(F$25-F$28)&gt;=1000</formula>
    </cfRule>
  </conditionalFormatting>
  <conditionalFormatting sqref="G22:G29">
    <cfRule type="expression" dxfId="2735" priority="39">
      <formula>ABS(G$25-G$28)&gt;=1000</formula>
    </cfRule>
  </conditionalFormatting>
  <conditionalFormatting sqref="H22:H29">
    <cfRule type="expression" dxfId="2734" priority="38">
      <formula>ABS(H$25-H$28)&gt;=1000</formula>
    </cfRule>
  </conditionalFormatting>
  <conditionalFormatting sqref="I22 I24:I29">
    <cfRule type="expression" dxfId="2733" priority="37">
      <formula>ABS(I$25-I$28)&gt;=1000</formula>
    </cfRule>
  </conditionalFormatting>
  <conditionalFormatting sqref="J22:J29 K22">
    <cfRule type="expression" dxfId="2732" priority="36">
      <formula>ABS(J$25-J$28)&gt;=1000</formula>
    </cfRule>
  </conditionalFormatting>
  <conditionalFormatting sqref="K23:K29 L25 L28">
    <cfRule type="expression" dxfId="2731" priority="35">
      <formula>ABS(K$25-K$28)&gt;=1000</formula>
    </cfRule>
  </conditionalFormatting>
  <conditionalFormatting sqref="L22 L26:L27 L29 L24">
    <cfRule type="expression" dxfId="2730" priority="34">
      <formula>ABS(L$25-L$28)&gt;=1000</formula>
    </cfRule>
  </conditionalFormatting>
  <conditionalFormatting sqref="M22:M29">
    <cfRule type="expression" dxfId="2729" priority="33">
      <formula>ABS(M$25-M$28)&gt;=1000</formula>
    </cfRule>
  </conditionalFormatting>
  <conditionalFormatting sqref="N22:N29">
    <cfRule type="expression" dxfId="2728" priority="32">
      <formula>ABS(N$25-N$28)&gt;=1000</formula>
    </cfRule>
  </conditionalFormatting>
  <conditionalFormatting sqref="O22:O29">
    <cfRule type="expression" dxfId="2727" priority="31">
      <formula>ABS(O$25-O$28)&gt;=1000</formula>
    </cfRule>
  </conditionalFormatting>
  <conditionalFormatting sqref="P22:P29">
    <cfRule type="expression" dxfId="2726" priority="30">
      <formula>ABS(P$25-P$28)&gt;=1000</formula>
    </cfRule>
  </conditionalFormatting>
  <conditionalFormatting sqref="Q22:Q29">
    <cfRule type="expression" dxfId="2725" priority="29">
      <formula>ABS(Q$25-Q$28)&gt;=1000</formula>
    </cfRule>
  </conditionalFormatting>
  <conditionalFormatting sqref="R22:R29">
    <cfRule type="expression" dxfId="2724" priority="28">
      <formula>ABS(R$25-R$28)&gt;=1000</formula>
    </cfRule>
  </conditionalFormatting>
  <conditionalFormatting sqref="S22:S29">
    <cfRule type="expression" dxfId="2723" priority="27">
      <formula>ABS(S$25-S$28)&gt;=1000</formula>
    </cfRule>
  </conditionalFormatting>
  <conditionalFormatting sqref="T22:T29">
    <cfRule type="expression" dxfId="2722" priority="26">
      <formula>ABS(T$25-T$28)&gt;=1000</formula>
    </cfRule>
  </conditionalFormatting>
  <conditionalFormatting sqref="U22:U29">
    <cfRule type="expression" dxfId="2721" priority="25">
      <formula>ABS(U$25-U$28)&gt;=1000</formula>
    </cfRule>
  </conditionalFormatting>
  <conditionalFormatting sqref="V22:V29">
    <cfRule type="expression" dxfId="2720" priority="24">
      <formula>ABS(V$25-V$28)&gt;=1000</formula>
    </cfRule>
  </conditionalFormatting>
  <conditionalFormatting sqref="W22:W29">
    <cfRule type="expression" dxfId="2719" priority="23">
      <formula>ABS(W$25-W$28)&gt;=1000</formula>
    </cfRule>
  </conditionalFormatting>
  <conditionalFormatting sqref="X22:X29">
    <cfRule type="expression" dxfId="2718" priority="22">
      <formula>ABS(X$25-X$28)&gt;=1000</formula>
    </cfRule>
  </conditionalFormatting>
  <conditionalFormatting sqref="Y22:Y29">
    <cfRule type="expression" dxfId="2717" priority="21">
      <formula>ABS(Y$25-Y$28)&gt;=1000</formula>
    </cfRule>
  </conditionalFormatting>
  <conditionalFormatting sqref="I23">
    <cfRule type="expression" dxfId="2716" priority="20">
      <formula>ABS(I$25-I$28)&gt;=1000</formula>
    </cfRule>
  </conditionalFormatting>
  <conditionalFormatting sqref="F14">
    <cfRule type="expression" dxfId="2715" priority="19">
      <formula>ABS(F$16-F$19)&gt;=1000</formula>
    </cfRule>
  </conditionalFormatting>
  <conditionalFormatting sqref="Q14">
    <cfRule type="expression" dxfId="2714" priority="18">
      <formula>ABS(Q$16-Q$19)&gt;=1000</formula>
    </cfRule>
  </conditionalFormatting>
  <conditionalFormatting sqref="W14">
    <cfRule type="expression" dxfId="2713" priority="17">
      <formula>ABS(W$16-W$19)&gt;=1000</formula>
    </cfRule>
  </conditionalFormatting>
  <conditionalFormatting sqref="Y14">
    <cfRule type="expression" dxfId="2712" priority="16">
      <formula>ABS(Y$16-Y$19)&gt;=1000</formula>
    </cfRule>
  </conditionalFormatting>
  <conditionalFormatting sqref="X14">
    <cfRule type="expression" dxfId="2711" priority="15">
      <formula>ABS(X$16-X$19)&gt;=1000</formula>
    </cfRule>
  </conditionalFormatting>
  <conditionalFormatting sqref="T10:Y10">
    <cfRule type="expression" dxfId="2710" priority="14">
      <formula>ABS(T$7-T$10)&gt;=1000</formula>
    </cfRule>
  </conditionalFormatting>
  <conditionalFormatting sqref="W19">
    <cfRule type="expression" dxfId="2709" priority="13">
      <formula>ABS(W$16-W$19)&gt;=1000</formula>
    </cfRule>
  </conditionalFormatting>
  <conditionalFormatting sqref="AC5">
    <cfRule type="expression" dxfId="2708" priority="12">
      <formula>ABS(AC$7-AC$10)&gt;=1000</formula>
    </cfRule>
  </conditionalFormatting>
  <conditionalFormatting sqref="M14">
    <cfRule type="expression" dxfId="2707" priority="11">
      <formula>ABS(M$16-M$19)&gt;=1000</formula>
    </cfRule>
  </conditionalFormatting>
  <conditionalFormatting sqref="M16">
    <cfRule type="expression" dxfId="2706" priority="10">
      <formula>ABS(M$16-M$19)&gt;=1000</formula>
    </cfRule>
  </conditionalFormatting>
  <conditionalFormatting sqref="M19">
    <cfRule type="expression" dxfId="2705" priority="9">
      <formula>ABS(M$16-M$19)&gt;=1000</formula>
    </cfRule>
  </conditionalFormatting>
  <conditionalFormatting sqref="K13:K20">
    <cfRule type="expression" dxfId="2704" priority="8">
      <formula>ABS(K$16-K$19)&gt;=1000</formula>
    </cfRule>
  </conditionalFormatting>
  <conditionalFormatting sqref="E5">
    <cfRule type="expression" dxfId="2703" priority="7">
      <formula>ABS(E$7-E$10)&gt;=1000</formula>
    </cfRule>
  </conditionalFormatting>
  <conditionalFormatting sqref="AB14:AC14">
    <cfRule type="expression" dxfId="2702" priority="6">
      <formula>ABS(AB$16-AB$19)&gt;=1000</formula>
    </cfRule>
  </conditionalFormatting>
  <conditionalFormatting sqref="M5">
    <cfRule type="expression" dxfId="2701" priority="5">
      <formula>ABS(M$7-M$10)&gt;=1000</formula>
    </cfRule>
  </conditionalFormatting>
  <conditionalFormatting sqref="N5">
    <cfRule type="expression" dxfId="2700" priority="4">
      <formula>ABS(N$7-N$10)&gt;=1000</formula>
    </cfRule>
  </conditionalFormatting>
  <conditionalFormatting sqref="O5">
    <cfRule type="expression" dxfId="2699" priority="3">
      <formula>ABS(O$7-O$10)&gt;=1000</formula>
    </cfRule>
  </conditionalFormatting>
  <conditionalFormatting sqref="P5">
    <cfRule type="expression" dxfId="2698" priority="2">
      <formula>ABS(P$7-P$10)&gt;=1000</formula>
    </cfRule>
  </conditionalFormatting>
  <conditionalFormatting sqref="L23">
    <cfRule type="expression" dxfId="2697" priority="1">
      <formula>ABS(L$25-L$28)&gt;=1000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4668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345782</xdr:rowOff>
                  </from>
                  <to>
                    <xdr:col>32</xdr:col>
                    <xdr:colOff>414938</xdr:colOff>
                    <xdr:row>3</xdr:row>
                    <xdr:rowOff>30736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71">
    <pageSetUpPr fitToPage="1"/>
  </sheetPr>
  <dimension ref="A1:CU223"/>
  <sheetViews>
    <sheetView view="pageBreakPreview" topLeftCell="G61" zoomScale="80" zoomScaleNormal="100" zoomScaleSheetLayoutView="80" workbookViewId="0">
      <selection activeCell="E16" sqref="E16"/>
    </sheetView>
  </sheetViews>
  <sheetFormatPr defaultColWidth="8.109375" defaultRowHeight="26.05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0.9" ph="1">
      <c r="A1" s="64"/>
      <c r="B1" s="238" t="s" ph="1">
        <v>162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.05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.05" customHeight="1" ph="1">
      <c r="B3" s="240" ph="1">
        <v>45840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" customHeight="1" ph="1">
      <c r="A5" s="65" ph="1"/>
      <c r="B5" s="219" ph="1"/>
      <c r="C5" s="67" t="s" ph="1">
        <v>36</v>
      </c>
      <c r="D5" s="70" t="s" ph="1">
        <v>161</v>
      </c>
      <c r="E5" s="70" t="s" ph="1">
        <v>640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46" t="s" ph="1">
        <v>178</v>
      </c>
      <c r="D6" s="71">
        <v>1579</v>
      </c>
      <c r="E6" s="71">
        <v>8130</v>
      </c>
      <c r="F6" s="71">
        <v>6831</v>
      </c>
      <c r="G6" s="71">
        <v>4533</v>
      </c>
      <c r="H6" s="71">
        <v>3025</v>
      </c>
      <c r="I6" s="71">
        <v>51.72</v>
      </c>
      <c r="J6" s="71">
        <v>7.73</v>
      </c>
      <c r="K6" s="71">
        <v>6.98</v>
      </c>
      <c r="L6" s="71">
        <v>35.409999999999997</v>
      </c>
      <c r="M6" s="71">
        <v>4757</v>
      </c>
      <c r="N6" s="71">
        <v>2849</v>
      </c>
      <c r="O6" s="71">
        <v>3714</v>
      </c>
      <c r="P6" s="71">
        <v>894</v>
      </c>
      <c r="Q6" s="71">
        <v>7200</v>
      </c>
      <c r="R6" s="71">
        <v>6950</v>
      </c>
      <c r="S6" s="71">
        <v>3753</v>
      </c>
      <c r="T6" s="71">
        <v>0</v>
      </c>
      <c r="U6" s="71">
        <v>0</v>
      </c>
      <c r="V6" s="71">
        <v>0</v>
      </c>
      <c r="W6" s="71">
        <v>0</v>
      </c>
      <c r="X6" s="71">
        <v>1878</v>
      </c>
      <c r="Y6" s="71">
        <v>0</v>
      </c>
      <c r="Z6" s="71">
        <v>2131</v>
      </c>
      <c r="AA6" s="71">
        <v>558</v>
      </c>
      <c r="AB6" s="71">
        <v>2913</v>
      </c>
      <c r="AC6" s="71">
        <v>4533</v>
      </c>
      <c r="AD6" s="71">
        <v>4417</v>
      </c>
      <c r="AE6" s="71">
        <v>2768</v>
      </c>
    </row>
    <row r="7" spans="1:99" s="72" customFormat="1" ht="22.4" ph="1">
      <c r="B7" s="237" ph="1"/>
      <c r="C7" s="68" t="s" ph="1">
        <v>179</v>
      </c>
      <c r="D7" s="73" ph="1">
        <f>D6*33.183*LOOKUP(D8,密度!$A$2:$A$50,密度!$Q$2:$Q$50)</f>
        <v>49249.055822580005</v>
      </c>
      <c r="E7" s="73" ph="1">
        <f>E6*51.53*LOOKUP(E8,密度!$A$2:$A$50,密度!$B$2:$B$50)</f>
        <v>324803.32917000004</v>
      </c>
      <c r="F7" s="73" ph="1">
        <f>F6*33.183*LOOKUP(F8,密度!$A$2:$A$50,密度!$C$2:$C$50)</f>
        <v>250836.4225818</v>
      </c>
      <c r="G7" s="73" ph="1">
        <f xml:space="preserve"> (G6+2)*51.53*LOOKUP(G8,密度!$A$2:$A$50,密度!$B$2:$B$50)</f>
        <v>181576.00335000001</v>
      </c>
      <c r="H7" s="73" ph="1">
        <f>(H6)*51.53*LOOKUP(H8,密度!$A$2:$A$50,密度!$B$2:$B$50)</f>
        <v>121382.39327499999</v>
      </c>
      <c r="I7" s="73" ph="1">
        <f>I6*290.8*1.0267</f>
        <v>15441.748699199999</v>
      </c>
      <c r="J7" s="73" ph="1">
        <f>J6*290.8*0.7892</f>
        <v>1774.0300528</v>
      </c>
      <c r="K7" s="73" ph="1">
        <f>K6*290.8*1.1126</f>
        <v>2258.3376784000002</v>
      </c>
      <c r="L7" s="73" ph="1">
        <f>L6*290.8*0.777</f>
        <v>8000.946156</v>
      </c>
      <c r="M7" s="73" ph="1">
        <f>M6*33.183*LOOKUP(M8,密度!$A$2:$A$50,密度!$D$2:$D$50)</f>
        <v>161182.19830409996</v>
      </c>
      <c r="N7" s="73" ph="1">
        <f>N6*33.183*LOOKUP(N8,密度!$A$2:$A$50,密度!$E$2:$E$50)</f>
        <v>73513.034179199996</v>
      </c>
      <c r="O7" s="73" ph="1">
        <f>O6*20.428*LOOKUP(O8,密度!$A$2:$A$50,密度!$C$2:$C$50)</f>
        <v>83524.83383280001</v>
      </c>
      <c r="P7" s="73" ph="1">
        <f>P6*51.53*LOOKUP(P8,密度!$A$2:$A$50,密度!$B$2:$B$50)</f>
        <v>35794.69614</v>
      </c>
      <c r="Q7" s="73" ph="1">
        <f>Q6*1.5*1.5*3.1416*LOOKUP(W8,密度!$A$2:$A$50,密度!$L$2:$L$50)</f>
        <v>47433.133439999998</v>
      </c>
      <c r="R7" s="73" ph="1">
        <f>R6*1.5*1.5*3.1416*LOOKUP(R8,密度!$A$2:$A$50,密度!$L$2:$L$50)</f>
        <v>45638.769330000003</v>
      </c>
      <c r="S7" s="73" ph="1">
        <f>S6*1.5*1.5*3.1416*LOOKUP(S8,密度!$A$2:$A$50,密度!$L$2:$L$50)</f>
        <v>24883.691540399999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12438.516459600001</v>
      </c>
      <c r="Y7" s="73" ph="1">
        <f>Y6*1.5*1.5*3.1416*LOOKUP(Y8,密度!$A$2:$A$50,密度!$L$2:$L$50)</f>
        <v>0</v>
      </c>
      <c r="Z7" s="73" ph="1">
        <f>Z6*33.183*LOOKUP(Z8,密度!$A$2:$A$50,密度!$L$2:$L$50)</f>
        <v>66116.629755000002</v>
      </c>
      <c r="AA7" s="73" ph="1">
        <f>AA6*33.183*LOOKUP(AA8,密度!$A$2:$A$50,密度!$D$2:$D$50)</f>
        <v>18923.468508000002</v>
      </c>
      <c r="AB7" s="73" ph="1">
        <f>AB6*20.428*LOOKUP(AB8,密度!$A$2:$A$50,密度!$D$2:$D$50)</f>
        <v>61149.150686400004</v>
      </c>
      <c r="AC7" s="73" ph="1">
        <f>AC6*51.53*LOOKUP(AC8,密度!$A$2:$A$50,密度!$Q$2:$Q$50)</f>
        <v>220649.52556380001</v>
      </c>
      <c r="AD7" s="73" ph="1">
        <f>AD6*20.428*LOOKUP(AD8,密度!$A$2:$A$50,密度!$V$2:$V$50)</f>
        <v>86404.703817600006</v>
      </c>
      <c r="AE7" s="73" ph="1">
        <f>AE6*20.428</f>
        <v>56544.704000000005</v>
      </c>
    </row>
    <row r="8" spans="1:99" ph="1">
      <c r="B8" s="237" ph="1"/>
      <c r="C8" s="68" t="s" ph="1">
        <v>180</v>
      </c>
      <c r="D8" s="74">
        <v>35</v>
      </c>
      <c r="E8" s="74">
        <v>30</v>
      </c>
      <c r="F8" s="74">
        <v>28</v>
      </c>
      <c r="G8" s="74">
        <v>28</v>
      </c>
      <c r="H8" s="74">
        <v>26</v>
      </c>
      <c r="I8" s="74">
        <v>25</v>
      </c>
      <c r="J8" s="74">
        <v>25</v>
      </c>
      <c r="K8" s="74">
        <v>25</v>
      </c>
      <c r="L8" s="74">
        <v>25</v>
      </c>
      <c r="M8" s="74">
        <v>31</v>
      </c>
      <c r="N8" s="74">
        <v>30</v>
      </c>
      <c r="O8" s="74">
        <v>34</v>
      </c>
      <c r="P8" s="74">
        <v>28</v>
      </c>
      <c r="Q8" s="74">
        <v>29</v>
      </c>
      <c r="R8" s="74">
        <v>33</v>
      </c>
      <c r="S8" s="74">
        <v>24</v>
      </c>
      <c r="T8" s="74">
        <v>25</v>
      </c>
      <c r="U8" s="74">
        <v>30</v>
      </c>
      <c r="V8" s="74">
        <v>28</v>
      </c>
      <c r="W8" s="74">
        <v>30</v>
      </c>
      <c r="X8" s="74">
        <v>25</v>
      </c>
      <c r="Y8" s="74">
        <v>29</v>
      </c>
      <c r="Z8" s="74">
        <v>27</v>
      </c>
      <c r="AA8" s="74">
        <v>30</v>
      </c>
      <c r="AB8" s="74">
        <v>24</v>
      </c>
      <c r="AC8" s="74">
        <v>28</v>
      </c>
      <c r="AD8" s="74">
        <v>33</v>
      </c>
      <c r="AE8" s="74">
        <v>34</v>
      </c>
    </row>
    <row r="9" spans="1:99" ht="26.65" ph="1">
      <c r="B9" s="237" ph="1">
        <v>0.66666666666666663</v>
      </c>
      <c r="C9" s="146" t="s" ph="1">
        <v>181</v>
      </c>
      <c r="D9" s="71">
        <v>1895</v>
      </c>
      <c r="E9" s="71">
        <v>8130</v>
      </c>
      <c r="F9" s="71">
        <v>6833</v>
      </c>
      <c r="G9" s="71">
        <v>4535</v>
      </c>
      <c r="H9" s="71">
        <v>2790</v>
      </c>
      <c r="I9" s="71">
        <v>51.82</v>
      </c>
      <c r="J9" s="71">
        <v>7.72</v>
      </c>
      <c r="K9" s="71">
        <v>7.12</v>
      </c>
      <c r="L9" s="71">
        <v>28.46</v>
      </c>
      <c r="M9" s="71">
        <v>4759</v>
      </c>
      <c r="N9" s="71">
        <v>2851</v>
      </c>
      <c r="O9" s="71">
        <v>3714</v>
      </c>
      <c r="P9" s="71">
        <v>681</v>
      </c>
      <c r="Q9" s="71">
        <v>7200</v>
      </c>
      <c r="R9" s="71">
        <v>6950</v>
      </c>
      <c r="S9" s="71">
        <v>3758</v>
      </c>
      <c r="T9" s="71">
        <v>5000</v>
      </c>
      <c r="U9" s="71">
        <v>1853</v>
      </c>
      <c r="V9" s="71">
        <v>0</v>
      </c>
      <c r="W9" s="71">
        <v>0</v>
      </c>
      <c r="X9" s="71">
        <v>982</v>
      </c>
      <c r="Y9" s="71">
        <v>0</v>
      </c>
      <c r="Z9" s="71">
        <v>603</v>
      </c>
      <c r="AA9" s="71">
        <v>558</v>
      </c>
      <c r="AB9" s="71">
        <v>2913</v>
      </c>
      <c r="AC9" s="71">
        <v>4503</v>
      </c>
      <c r="AD9" s="71">
        <v>4422</v>
      </c>
      <c r="AE9" s="71">
        <v>2600</v>
      </c>
    </row>
    <row r="10" spans="1:99" s="72" customFormat="1" ht="22.4" ph="1">
      <c r="B10" s="237" ph="1"/>
      <c r="C10" s="146" t="s" ph="1">
        <v>179</v>
      </c>
      <c r="D10" s="73" ph="1">
        <f>D9*33.183*LOOKUP(D11,密度!$A$2:$A$50,密度!$Q$2:$Q$50)</f>
        <v>59064.860650499999</v>
      </c>
      <c r="E10" s="73" ph="1">
        <f>E9*51.53*LOOKUP(E11,密度!$A$2:$A$50,密度!$B$2:$B$50)</f>
        <v>323337.04302000004</v>
      </c>
      <c r="F10" s="73" ph="1">
        <f>F9*33.183*LOOKUP(F11,密度!$A$2:$A$50,密度!$C$2:$C$50)</f>
        <v>250343.01459990002</v>
      </c>
      <c r="G10" s="73" ph="1">
        <f xml:space="preserve"> (G9+2)*51.53*LOOKUP(G11,密度!$A$2:$A$50,密度!$B$2:$B$50)</f>
        <v>180837.81033500002</v>
      </c>
      <c r="H10" s="73" ph="1">
        <f>(H9)*51.53*LOOKUP(H11,密度!$A$2:$A$50,密度!$B$2:$B$50)</f>
        <v>111205.08945</v>
      </c>
      <c r="I10" s="73" ph="1">
        <f>I9*290.8*1.0267</f>
        <v>15471.605135200001</v>
      </c>
      <c r="J10" s="73" ph="1">
        <f>J9*290.8*0.7892</f>
        <v>1771.7350592</v>
      </c>
      <c r="K10" s="73" ph="1">
        <f>K9*290.8*1.1126</f>
        <v>2303.6338496000003</v>
      </c>
      <c r="L10" s="73" ph="1">
        <f>L9*290.8*0.777</f>
        <v>6430.5825359999999</v>
      </c>
      <c r="M10" s="73" ph="1">
        <f>M9*33.183*LOOKUP(M11,密度!$A$2:$A$50,密度!$D$2:$D$50)</f>
        <v>160555.12587989998</v>
      </c>
      <c r="N10" s="73" ph="1">
        <f>N9*33.183*LOOKUP(N11,密度!$A$2:$A$50,密度!$E$2:$E$50)</f>
        <v>73348.941589559996</v>
      </c>
      <c r="O10" s="73" ph="1">
        <f>O9*20.428*LOOKUP(O11,密度!$A$2:$A$50,密度!$C$2:$C$50)</f>
        <v>83289.638097600007</v>
      </c>
      <c r="P10" s="73" ph="1">
        <f>P9*51.53*LOOKUP(P11,密度!$A$2:$A$50,密度!$B$2:$B$50)</f>
        <v>27083.951574000002</v>
      </c>
      <c r="Q10" s="73" ph="1">
        <f>Q9*1.5*1.5*3.1416*LOOKUP(W11,密度!$A$2:$A$50,密度!$L$2:$L$50)</f>
        <v>47076.876000000004</v>
      </c>
      <c r="R10" s="73" ph="1">
        <f>R9*1.5*1.5*3.1416*LOOKUP(R11,密度!$A$2:$A$50,密度!$L$2:$L$50)</f>
        <v>45540.515789999998</v>
      </c>
      <c r="S10" s="73" ph="1">
        <f>S9*1.5*1.5*3.1416*LOOKUP(S11,密度!$A$2:$A$50,密度!$L$2:$L$50)</f>
        <v>24890.2794756</v>
      </c>
      <c r="T10" s="73" ph="1">
        <f>T9*1.5*1.5*3.1416*LOOKUP(T11,密度!$A$2:$A$50,密度!$L$2:$L$50)</f>
        <v>33151.733999999997</v>
      </c>
      <c r="U10" s="73" ph="1">
        <f>U9*1.5*1.5*3.1416*LOOKUP(U11,密度!$A$2:$A$50,密度!$L$2:$L$50)</f>
        <v>12246.738273000001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6497.1178272000006</v>
      </c>
      <c r="Y10" s="73" ph="1">
        <f>Y9*1.5*1.5*3.1416*LOOKUP(Y11,密度!$A$2:$A$50,密度!$L$2:$L$50)</f>
        <v>0</v>
      </c>
      <c r="Z10" s="73" ph="1">
        <f>Z9*33.183*LOOKUP(Z11,密度!$A$2:$A$50,密度!$L$2:$L$50)</f>
        <v>18608.69457</v>
      </c>
      <c r="AA10" s="73" ph="1">
        <f>AA9*33.183*LOOKUP(AA11,密度!$A$2:$A$50,密度!$D$2:$D$50)</f>
        <v>18743.862202200002</v>
      </c>
      <c r="AB10" s="73" ph="1">
        <f>AB9*20.428*LOOKUP(AB11,密度!$A$2:$A$50,密度!$D$2:$D$50)</f>
        <v>61042.038511200008</v>
      </c>
      <c r="AC10" s="73" ph="1">
        <f>AC9*51.53*LOOKUP(AC11,密度!$A$2:$A$50,密度!$Q$2:$Q$50)</f>
        <v>218407.26408749999</v>
      </c>
      <c r="AD10" s="73" ph="1">
        <f>AD9*20.428*LOOKUP(AD11,密度!$A$2:$A$50,密度!$V$2:$V$50)</f>
        <v>86502.513081600016</v>
      </c>
      <c r="AE10" s="73" ph="1">
        <f>AE9*20.428</f>
        <v>53112.800000000003</v>
      </c>
    </row>
    <row r="11" spans="1:99" ph="1">
      <c r="A11" s="64" t="s" ph="1">
        <v>163</v>
      </c>
      <c r="B11" s="237" ph="1"/>
      <c r="C11" s="146" t="s" ph="1">
        <v>180</v>
      </c>
      <c r="D11" s="74">
        <v>36</v>
      </c>
      <c r="E11" s="74">
        <v>34</v>
      </c>
      <c r="F11" s="74">
        <v>31</v>
      </c>
      <c r="G11" s="74">
        <v>32</v>
      </c>
      <c r="H11" s="74">
        <v>32</v>
      </c>
      <c r="I11" s="74">
        <v>25</v>
      </c>
      <c r="J11" s="74">
        <v>25</v>
      </c>
      <c r="K11" s="74">
        <v>25</v>
      </c>
      <c r="L11" s="74">
        <v>25</v>
      </c>
      <c r="M11" s="74">
        <v>36</v>
      </c>
      <c r="N11" s="74">
        <v>32</v>
      </c>
      <c r="O11" s="74">
        <v>37</v>
      </c>
      <c r="P11" s="74">
        <v>34</v>
      </c>
      <c r="Q11" s="74">
        <v>31</v>
      </c>
      <c r="R11" s="74">
        <v>35</v>
      </c>
      <c r="S11" s="74">
        <v>25</v>
      </c>
      <c r="T11" s="74">
        <v>24</v>
      </c>
      <c r="U11" s="74">
        <v>27</v>
      </c>
      <c r="V11" s="74">
        <v>28</v>
      </c>
      <c r="W11" s="74">
        <v>37</v>
      </c>
      <c r="X11" s="74">
        <v>26</v>
      </c>
      <c r="Y11" s="74">
        <v>35</v>
      </c>
      <c r="Z11" s="74">
        <v>32</v>
      </c>
      <c r="AA11" s="74">
        <v>41</v>
      </c>
      <c r="AB11" s="74">
        <v>26</v>
      </c>
      <c r="AC11" s="74">
        <v>33</v>
      </c>
      <c r="AD11" s="74">
        <v>34</v>
      </c>
      <c r="AE11" s="74">
        <v>35</v>
      </c>
    </row>
    <row r="12" spans="1:99" ht="9.85" customHeight="1" ph="1"/>
    <row r="13" spans="1:99" s="72" customFormat="1" ht="29.2" customHeight="1" ph="1">
      <c r="B13" s="214" t="s" ph="1">
        <v>37</v>
      </c>
      <c r="C13" s="146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.2" ph="1">
      <c r="B14" s="215" ph="1"/>
      <c r="C14" s="67" t="s" ph="1">
        <v>36</v>
      </c>
      <c r="D14" s="77" t="s" ph="1">
        <v>622</v>
      </c>
      <c r="E14" s="77" t="s" ph="1">
        <v>622</v>
      </c>
      <c r="F14" s="150" t="s" ph="1">
        <v>646</v>
      </c>
      <c r="G14" s="77" t="s" ph="1">
        <v>623</v>
      </c>
      <c r="H14" s="77" t="s" ph="1">
        <v>624</v>
      </c>
      <c r="I14" s="140" t="s" ph="1">
        <v>625</v>
      </c>
      <c r="J14" s="77" t="s" ph="1">
        <v>626</v>
      </c>
      <c r="K14" s="77" t="s" ph="1">
        <v>187</v>
      </c>
      <c r="L14" s="77" t="s" ph="1">
        <v>41</v>
      </c>
      <c r="M14" s="104" t="s" ph="1">
        <v>627</v>
      </c>
      <c r="N14" s="104" t="s" ph="1">
        <v>628</v>
      </c>
      <c r="O14" s="104" t="s" ph="1">
        <v>626</v>
      </c>
      <c r="P14" s="77" t="s" ph="1">
        <v>629</v>
      </c>
      <c r="Q14" s="77" t="s" ph="1">
        <v>629</v>
      </c>
      <c r="R14" s="88" t="s" ph="1">
        <v>640</v>
      </c>
      <c r="S14" s="77" t="s" ph="1">
        <v>71</v>
      </c>
      <c r="T14" s="77" t="s" ph="1">
        <v>631</v>
      </c>
      <c r="U14" s="77" t="s" ph="1">
        <v>610</v>
      </c>
      <c r="V14" s="77" t="s" ph="1">
        <v>110</v>
      </c>
      <c r="W14" s="77" t="s" ph="1">
        <v>629</v>
      </c>
      <c r="X14" s="77" t="s" ph="1">
        <v>632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16" ph="1">
        <v>0.33333333333333331</v>
      </c>
      <c r="C15" s="146" t="s" ph="1">
        <v>178</v>
      </c>
      <c r="D15" s="78">
        <v>5620</v>
      </c>
      <c r="E15" s="78">
        <v>75</v>
      </c>
      <c r="F15" s="78">
        <v>1000</v>
      </c>
      <c r="G15" s="78">
        <v>4069</v>
      </c>
      <c r="H15" s="78">
        <v>0</v>
      </c>
      <c r="I15" s="78">
        <v>5282</v>
      </c>
      <c r="J15" s="78">
        <v>152</v>
      </c>
      <c r="K15" s="78">
        <v>1876</v>
      </c>
      <c r="L15" s="78">
        <v>4806</v>
      </c>
      <c r="M15" s="78">
        <v>1598</v>
      </c>
      <c r="N15" s="78">
        <v>3986</v>
      </c>
      <c r="O15" s="78">
        <v>1850</v>
      </c>
      <c r="P15" s="78">
        <v>7029</v>
      </c>
      <c r="Q15" s="78">
        <v>6855</v>
      </c>
      <c r="R15" s="78">
        <v>3519</v>
      </c>
      <c r="S15" s="78">
        <v>0</v>
      </c>
      <c r="T15" s="78">
        <v>3003</v>
      </c>
      <c r="U15" s="78">
        <v>5495</v>
      </c>
      <c r="V15" s="78">
        <v>3198</v>
      </c>
      <c r="W15" s="71">
        <v>3864</v>
      </c>
      <c r="X15" s="78">
        <v>-89</v>
      </c>
      <c r="Y15" s="106">
        <v>-9905</v>
      </c>
      <c r="Z15" s="78">
        <v>0</v>
      </c>
      <c r="AA15" s="78">
        <v>4</v>
      </c>
      <c r="AB15" s="78" ph="1">
        <v>8</v>
      </c>
      <c r="AC15" s="78" ph="1">
        <v>0</v>
      </c>
      <c r="AD15" s="78">
        <v>84.52</v>
      </c>
      <c r="AE15" s="78">
        <v>33.03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4" ph="1">
      <c r="B16" s="217" ph="1"/>
      <c r="C16" s="146" t="s" ph="1">
        <v>179</v>
      </c>
      <c r="D16" s="73" ph="1">
        <f>D15*7.0686*LOOKUP(D17,密度!$A$2:$A$50,密度!$L$2:$L$50)</f>
        <v>36944.744760000001</v>
      </c>
      <c r="E16" s="73" ph="1">
        <f>E15*7.0686*LOOKUP(E17,密度!$A$2:$A$50,密度!$L$2:$L$50)</f>
        <v>493.03485000000001</v>
      </c>
      <c r="F16" s="73" ph="1">
        <f>F15*9.0746*LOOKUP(F17,密度!$A$2:$A$50,密度!$L$2:$L$50)</f>
        <v>8430.3034000000007</v>
      </c>
      <c r="G16" s="73" ph="1">
        <f>G15*9.0746*LOOKUP(G17,密度!$A$2:$A$50,密度!$B$2:$B$50)</f>
        <v>28660.833691880001</v>
      </c>
      <c r="H16" s="73" ph="1">
        <f>H15*9.0746*LOOKUP(H17,密度!$A$2:$A$50,密度!$L$2:$L$50)</f>
        <v>0</v>
      </c>
      <c r="I16" s="73" ph="1">
        <f>I15*9.0746*LOOKUP(I17,密度!$A$2:$A$50,密度!$U$2:$U$50)</f>
        <v>48938.609981199996</v>
      </c>
      <c r="J16" s="73" ph="1">
        <f>J15*9.0746*LOOKUP(J17,密度!$A$2:$A$50,密度!$L$2:$L$50)</f>
        <v>1285.5441344000001</v>
      </c>
      <c r="K16" s="73" ph="1">
        <f>K15*9.0746*LOOKUP(K17,密度!$A$2:$A$50,密度!$C$2:$C$50)</f>
        <v>18838.702627359999</v>
      </c>
      <c r="L16" s="73" ph="1">
        <f>L15*9.0746*LOOKUP(L17,密度!$A$2:$A$50,密度!$E$2:$E$50)</f>
        <v>33813.664898832001</v>
      </c>
      <c r="M16" s="73" ph="1">
        <f>M15*9.0746*LOOKUP(M17,密度!$A$2:$A$50,密度!$M$2:$M$50)</f>
        <v>12569.214485116001</v>
      </c>
      <c r="N16" s="73" ph="1">
        <f>N15*9.0746*LOOKUP(N17,密度!$A$2:$A$50,密度!$M$2:$M$50)</f>
        <v>31581.21057436</v>
      </c>
      <c r="O16" s="73" ph="1">
        <f>O15*9.0746*LOOKUP(O17,密度!$A$2:$A$50,密度!$G$2:$G$50)</f>
        <v>16010.893017100001</v>
      </c>
      <c r="P16" s="73" ph="1">
        <f ca="1">P15*9.0746*LOOKUP(P17,密度!$A$2:$A$51,密度!$Q$2:$Q$50)</f>
        <v>60079.433786460002</v>
      </c>
      <c r="Q16" s="73" ph="1">
        <f>Q15*9.0746*LOOKUP(Q17,密度!$A$2:$A$50,密度!$Q$2:$Q$50)</f>
        <v>58592.1921477</v>
      </c>
      <c r="R16" s="73" ph="1">
        <f>MAX(R15*9.0746*LOOKUP(R17,密度!$A$2:$A$50,密度!$B$2:$B$50),0)</f>
        <v>24729.315874560001</v>
      </c>
      <c r="S16" s="73" ph="1">
        <f>S15*9.0746*LOOKUP(S17,密度!$A$2:$A$50,密度!$Q$2:$Q$50)</f>
        <v>0</v>
      </c>
      <c r="T16" s="73" ph="1">
        <f>T15*9.0746*LOOKUP(T17,密度!$A$2:$A$50,密度!$O$2:$O$50)</f>
        <v>25125.443943599999</v>
      </c>
      <c r="U16" s="73" ph="1">
        <f>U15*9.0746*LOOKUP(U17,密度!$A$2:$A$50,密度!$H$2:$H$50)</f>
        <v>45377.083570000003</v>
      </c>
      <c r="V16" s="73" ph="1">
        <f>MAX(5600*LOOKUP(V17,密度!$A$2:$A$50,密度!$Q$2:$Q$50)+V15*9.0476*LOOKUP(V17,密度!$A$2:$A$50,密度!$Q$2:$Q$50),0)</f>
        <v>32460.099258511997</v>
      </c>
      <c r="W16" s="73" ph="1">
        <f>MAX(5600*LOOKUP(W17,密度!$A$2:$A$50,密度!$Q$2:$Q$50)+W15*9.0476*LOOKUP(W17,密度!$A$2:$A$50,密度!$Q$2:$Q$50),0)</f>
        <v>38150.261172575993</v>
      </c>
      <c r="X16" s="73" ph="1">
        <f>MAX(5600*LOOKUP(X17,密度!$A$2:$A$50,密度!$I$2:$I$50)+X15*9.0476*LOOKUP(X17,密度!$A$2:$A$50,密度!$I$2:$I$50),0)</f>
        <v>4965.0256554360003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28.236525360000002</v>
      </c>
      <c r="AB16" s="73" ph="1">
        <f>AB15*9.0746*LOOKUP(AB17,密度!$A$2:$A$50,密度!$L$2:$L$50)</f>
        <v>67.732814400000009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18924.660274559996</v>
      </c>
      <c r="AE16" s="73" ph="1">
        <f>AE15*268.68*LOOKUP(AE17,密度!$A$2:$A$50,密度!B2:B50)+IF(AE15&lt;=0,0,1566*LOOKUP(AE17,密度!$A$2:$A$50,密度!B2:B50))</f>
        <v>8139.4141118400003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18" ph="1"/>
      <c r="C17" s="79" t="s" ph="1">
        <v>180</v>
      </c>
      <c r="D17" s="74">
        <v>32</v>
      </c>
      <c r="E17" s="74">
        <v>32</v>
      </c>
      <c r="F17" s="74">
        <v>33</v>
      </c>
      <c r="G17" s="74">
        <v>29</v>
      </c>
      <c r="H17" s="74">
        <v>25</v>
      </c>
      <c r="I17" s="74">
        <v>29</v>
      </c>
      <c r="J17" s="74">
        <v>30</v>
      </c>
      <c r="K17" s="74">
        <v>28</v>
      </c>
      <c r="L17" s="74">
        <v>32</v>
      </c>
      <c r="M17" s="74">
        <v>33</v>
      </c>
      <c r="N17" s="74">
        <v>27</v>
      </c>
      <c r="O17" s="74">
        <v>31</v>
      </c>
      <c r="P17" s="74">
        <v>32</v>
      </c>
      <c r="Q17" s="74">
        <v>32</v>
      </c>
      <c r="R17" s="74">
        <v>31</v>
      </c>
      <c r="S17" s="74">
        <v>30</v>
      </c>
      <c r="T17" s="74">
        <v>30</v>
      </c>
      <c r="U17" s="74">
        <v>30</v>
      </c>
      <c r="V17" s="74">
        <v>35</v>
      </c>
      <c r="W17" s="74">
        <v>34</v>
      </c>
      <c r="X17" s="74">
        <v>31</v>
      </c>
      <c r="Y17" s="108">
        <v>31</v>
      </c>
      <c r="Z17" s="74">
        <v>28</v>
      </c>
      <c r="AA17" s="74">
        <v>27</v>
      </c>
      <c r="AB17" s="74">
        <v>29</v>
      </c>
      <c r="AC17" s="74">
        <v>28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65" ph="1">
      <c r="B18" s="216" ph="1">
        <v>0.66666666666666663</v>
      </c>
      <c r="C18" s="79" t="s" ph="1">
        <v>181</v>
      </c>
      <c r="D18" s="71">
        <v>2539</v>
      </c>
      <c r="E18" s="71">
        <v>1686</v>
      </c>
      <c r="F18" s="71">
        <v>1075</v>
      </c>
      <c r="G18" s="71">
        <v>4115</v>
      </c>
      <c r="H18" s="71">
        <v>0</v>
      </c>
      <c r="I18" s="71">
        <v>5286</v>
      </c>
      <c r="J18" s="71">
        <v>165</v>
      </c>
      <c r="K18" s="71">
        <v>2584</v>
      </c>
      <c r="L18" s="71">
        <v>4815</v>
      </c>
      <c r="M18" s="71">
        <v>3542</v>
      </c>
      <c r="N18" s="71">
        <v>3120</v>
      </c>
      <c r="O18" s="71">
        <v>2579</v>
      </c>
      <c r="P18" s="71">
        <v>7034</v>
      </c>
      <c r="Q18" s="71">
        <v>5245</v>
      </c>
      <c r="R18" s="71">
        <v>3523</v>
      </c>
      <c r="S18" s="71">
        <v>0</v>
      </c>
      <c r="T18" s="71">
        <v>1159</v>
      </c>
      <c r="U18" s="71">
        <v>5499</v>
      </c>
      <c r="V18" s="71">
        <v>3198</v>
      </c>
      <c r="W18" s="71">
        <v>3865</v>
      </c>
      <c r="X18" s="71">
        <v>-89</v>
      </c>
      <c r="Y18" s="109">
        <v>-9905</v>
      </c>
      <c r="Z18" s="71">
        <v>5</v>
      </c>
      <c r="AA18" s="71">
        <v>3</v>
      </c>
      <c r="AB18" s="71">
        <v>22</v>
      </c>
      <c r="AC18" s="71">
        <v>0</v>
      </c>
      <c r="AD18" s="71">
        <v>84.21</v>
      </c>
      <c r="AE18" s="71">
        <v>69.52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4" ph="1">
      <c r="B19" s="217" ph="1"/>
      <c r="C19" s="146" t="s" ph="1">
        <v>179</v>
      </c>
      <c r="D19" s="73" ph="1">
        <f>D18*7.0686*LOOKUP(D20,密度!$A$2:$A$50,密度!$L$2:$L$50)</f>
        <v>16637.031595799999</v>
      </c>
      <c r="E19" s="73" ph="1">
        <f>E18*7.0686*LOOKUP(E20,密度!$A$2:$A$50,密度!$L$2:$L$50)</f>
        <v>11047.670449200001</v>
      </c>
      <c r="F19" s="73" ph="1">
        <f>F18*9.0746*LOOKUP(F20,密度!$A$2:$A$50,密度!$L$2:$L$50)</f>
        <v>9033.3105699999996</v>
      </c>
      <c r="G19" s="73" ph="1">
        <f>G18*9.0746*LOOKUP(G20,密度!$A$2:$A$50,密度!$B$2:$B$50)</f>
        <v>28917.628537599998</v>
      </c>
      <c r="H19" s="73" ph="1">
        <f>H18*9.0746*LOOKUP(H20,密度!$A$2:$A$50,密度!$L$2:$L$50)</f>
        <v>0</v>
      </c>
      <c r="I19" s="73" ph="1">
        <f>I18*9.0746*LOOKUP(I20,密度!$A$2:$A$50,密度!$U$2:$U$50)</f>
        <v>48687.860633999997</v>
      </c>
      <c r="J19" s="73" ph="1">
        <f>J18*9.0746*LOOKUP(J20,密度!$A$2:$A$50,密度!$L$2:$L$50)</f>
        <v>1385.0108250000001</v>
      </c>
      <c r="K19" s="73" ph="1">
        <f>K18*9.0746*LOOKUP(K20,密度!$A$2:$A$50,密度!$C$2:$C$50)</f>
        <v>25791.298163360003</v>
      </c>
      <c r="L19" s="73" ph="1">
        <f>L18*9.0746*LOOKUP(L20,密度!$A$2:$A$50,密度!$E$2:$E$50)</f>
        <v>33728.863034070004</v>
      </c>
      <c r="M19" s="73" ph="1">
        <f>M18*9.0746*LOOKUP(M20,密度!$A$2:$A$50,密度!$M$2:$M$50)</f>
        <v>27758.675436184003</v>
      </c>
      <c r="N19" s="73" ph="1">
        <f>N18*9.0746*LOOKUP(N20,密度!$A$2:$A$50,密度!$M$2:$M$50)</f>
        <v>24629.2629648</v>
      </c>
      <c r="O19" s="73" ph="1">
        <f>O18*9.0746*LOOKUP(O20,密度!$A$2:$A$50,密度!$G$2:$G$50)</f>
        <v>22269.967057638001</v>
      </c>
      <c r="P19" s="73" ph="1">
        <f ca="1">P18*9.0746*LOOKUP(P20,密度!$A$2:$A$51,密度!$Q$2:$Q$50)</f>
        <v>60038.552350476006</v>
      </c>
      <c r="Q19" s="73" ph="1">
        <f>Q18*9.0746*LOOKUP(Q20,密度!$A$2:$A$50,密度!$Q$2:$Q$50)</f>
        <v>44737.644603380002</v>
      </c>
      <c r="R19" s="73" ph="1">
        <f>MAX(R18*9.0746*LOOKUP(R20,密度!$A$2:$A$50,密度!$B$2:$B$50),0)</f>
        <v>24703.076668660004</v>
      </c>
      <c r="S19" s="73" ph="1">
        <f>S18*9.0746*LOOKUP(S20,密度!$A$2:$A$50,密度!$Q$2:$Q$50)</f>
        <v>0</v>
      </c>
      <c r="T19" s="73" ph="1">
        <f>T18*9.0746*LOOKUP(T20,密度!$A$2:$A$50,密度!$O$2:$O$50)</f>
        <v>9688.6854416799997</v>
      </c>
      <c r="U19" s="73" ph="1">
        <f>U18*9.0746*LOOKUP(U20,密度!$A$2:$A$50,密度!$H$2:$H$50)</f>
        <v>45265.900572594001</v>
      </c>
      <c r="V19" s="73" ph="1">
        <f>MAX(5600*LOOKUP(V20,密度!$A$2:$A$50,密度!$Q$2:$Q$50)+V18*9.0476*LOOKUP(V20,密度!$A$2:$A$50,密度!$Q$2:$Q$50),0)</f>
        <v>32460.099258511997</v>
      </c>
      <c r="W19" s="73" ph="1">
        <f>MAX(5600*LOOKUP(W20,密度!$A$2:$A$50,密度!$Q$2:$Q$50)+W18*9.0476*LOOKUP(W20,密度!$A$2:$A$50,密度!$Q$2:$Q$50),0)</f>
        <v>38054.50899147999</v>
      </c>
      <c r="X19" s="73" ph="1">
        <f>MAX(5600*LOOKUP(X20,密度!$A$2:$A$50,密度!$I$2:$I$50)+X18*9.0476*LOOKUP(X20,密度!$A$2:$A$50,密度!$I$2:$I$50),0)</f>
        <v>4954.3812802439998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46.130729100000003</v>
      </c>
      <c r="AA19" s="73" ph="1">
        <f>AA18*9.0746*LOOKUP(AA20,密度!$A$2:$A$50,密度!$B$2:$B$50)</f>
        <v>21.057609299999999</v>
      </c>
      <c r="AB19" s="73" ph="1">
        <f>AB18*9.0746*LOOKUP(AB20,密度!$A$2:$A$50,密度!$L$2:$L$50)</f>
        <v>185.06739240000002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18796.8287556</v>
      </c>
      <c r="AE19" s="73" ph="1">
        <f>AE18*268.68*LOOKUP(AE20,密度!$A$2:$A$50,密度!B5:B53)+IF(AE18&lt;=0,0,1566*LOOKUP(AE20,密度!$A$2:$A$50,密度!B5:B53))</f>
        <v>15730.0803072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17" ph="1"/>
      <c r="C20" s="80" t="s" ph="1">
        <v>180</v>
      </c>
      <c r="D20" s="81">
        <v>35</v>
      </c>
      <c r="E20" s="81">
        <v>35</v>
      </c>
      <c r="F20" s="81">
        <v>36</v>
      </c>
      <c r="G20" s="81">
        <v>31</v>
      </c>
      <c r="H20" s="81">
        <v>36</v>
      </c>
      <c r="I20" s="81">
        <v>35</v>
      </c>
      <c r="J20" s="81">
        <v>37</v>
      </c>
      <c r="K20" s="81">
        <v>35</v>
      </c>
      <c r="L20" s="81">
        <v>35</v>
      </c>
      <c r="M20" s="81">
        <v>36</v>
      </c>
      <c r="N20" s="81">
        <v>30</v>
      </c>
      <c r="O20" s="81">
        <v>33</v>
      </c>
      <c r="P20" s="81">
        <v>34</v>
      </c>
      <c r="Q20" s="81">
        <v>35</v>
      </c>
      <c r="R20" s="81">
        <v>33</v>
      </c>
      <c r="S20" s="81">
        <v>36</v>
      </c>
      <c r="T20" s="81">
        <v>33</v>
      </c>
      <c r="U20" s="81">
        <v>33</v>
      </c>
      <c r="V20" s="81">
        <v>35</v>
      </c>
      <c r="W20" s="81">
        <v>38</v>
      </c>
      <c r="X20" s="81">
        <v>33</v>
      </c>
      <c r="Y20" s="110">
        <v>33</v>
      </c>
      <c r="Z20" s="81">
        <v>36</v>
      </c>
      <c r="AA20" s="81">
        <v>32</v>
      </c>
      <c r="AB20" s="81">
        <v>35</v>
      </c>
      <c r="AC20" s="81">
        <v>33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15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633</v>
      </c>
      <c r="H23" s="88" t="s" ph="1">
        <v>633</v>
      </c>
      <c r="I23" s="88" t="s" ph="1">
        <v>634</v>
      </c>
      <c r="J23" s="88" t="s" ph="1">
        <v>635</v>
      </c>
      <c r="K23" s="88" t="s" ph="1">
        <v>635</v>
      </c>
      <c r="L23" s="88" t="s" ph="1">
        <v>635</v>
      </c>
      <c r="M23" s="88" t="s" ph="1">
        <v>630</v>
      </c>
      <c r="N23" s="88" t="s" ph="1">
        <v>630</v>
      </c>
      <c r="O23" s="88" t="s" ph="1">
        <v>321</v>
      </c>
      <c r="P23" s="88" t="s" ph="1">
        <v>637</v>
      </c>
      <c r="Q23" s="89" t="s" ph="1">
        <v>637</v>
      </c>
      <c r="R23" s="88" t="s" ph="1">
        <v>616</v>
      </c>
      <c r="S23" s="88" t="s" ph="1">
        <v>636</v>
      </c>
      <c r="T23" s="88" t="s" ph="1">
        <v>607</v>
      </c>
      <c r="U23" s="88" t="s" ph="1">
        <v>611</v>
      </c>
      <c r="V23" s="88" t="s" ph="1">
        <v>637</v>
      </c>
      <c r="W23" s="88" t="s" ph="1">
        <v>637</v>
      </c>
      <c r="X23" s="88" t="s" ph="1">
        <v>190</v>
      </c>
      <c r="Y23" s="88" t="s" ph="1">
        <v>638</v>
      </c>
      <c r="Z23" s="228" t="s" ph="1">
        <v>641</v>
      </c>
      <c r="AA23" s="229"/>
      <c r="AB23" s="229"/>
      <c r="AC23" s="229"/>
      <c r="AD23" s="229"/>
      <c r="AE23" s="230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37" ph="1">
        <v>0.33333333333333331</v>
      </c>
      <c r="C24" s="146" t="s" ph="1">
        <v>178</v>
      </c>
      <c r="D24" s="71">
        <v>86.02</v>
      </c>
      <c r="E24" s="71">
        <v>95.45</v>
      </c>
      <c r="F24" s="71">
        <v>3854</v>
      </c>
      <c r="G24" s="71">
        <v>3329</v>
      </c>
      <c r="H24" s="71">
        <v>1740</v>
      </c>
      <c r="I24" s="71">
        <v>2271</v>
      </c>
      <c r="J24" s="71">
        <v>4834</v>
      </c>
      <c r="K24" s="71">
        <v>4296</v>
      </c>
      <c r="L24" s="71">
        <v>5623</v>
      </c>
      <c r="M24" s="71">
        <v>1473</v>
      </c>
      <c r="N24" s="71">
        <v>1354</v>
      </c>
      <c r="O24" s="71">
        <v>5167</v>
      </c>
      <c r="P24" s="71">
        <v>3221</v>
      </c>
      <c r="Q24" s="90">
        <v>2613</v>
      </c>
      <c r="R24" s="71">
        <v>21</v>
      </c>
      <c r="S24" s="71">
        <v>6331</v>
      </c>
      <c r="T24" s="71">
        <v>1766</v>
      </c>
      <c r="U24" s="71">
        <v>6016</v>
      </c>
      <c r="V24" s="71">
        <v>9620</v>
      </c>
      <c r="W24" s="71">
        <v>10774</v>
      </c>
      <c r="X24" s="71">
        <v>2660</v>
      </c>
      <c r="Y24" s="71">
        <v>5360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37" ph="1"/>
      <c r="C25" s="68" t="s" ph="1">
        <v>179</v>
      </c>
      <c r="D25" s="91" ph="1">
        <f>D24*268.68*LOOKUP(D26,密度!$A$2:$A$50,密度!$Q$2:$Q$50)+IF(D24&lt;=0,0,1566*LOOKUP(D26,密度!$A$2:$A$50,密度!$Q$2:$Q$50))</f>
        <v>23363.511117263999</v>
      </c>
      <c r="E25" s="91" ph="1">
        <f>E24*268.68*LOOKUP(E26,密度!$A$2:$A$50,密度!$C$2:$C$50)+IF(E24&lt;=0,0,1566*LOOKUP(E26,密度!$A$2:$A$50,密度!$C$2:$C$50))</f>
        <v>30174.839003400004</v>
      </c>
      <c r="F25" s="91" ph="1">
        <f>F24*11.702*LOOKUP(F26,密度!$A$2:$A$50,密度!$Q$2:$Q$50)</f>
        <v>42601.897246960005</v>
      </c>
      <c r="G25" s="91" ph="1">
        <f>G24*18.322*LOOKUP(G26,密度!$A$2:$A$50,密度!$B$2:$B$50)</f>
        <v>47343.494675599999</v>
      </c>
      <c r="H25" s="91" ph="1">
        <f>H24*18.322*LOOKUP(H26,密度!$A$2:$A$50,密度!$B$2:$B$50)</f>
        <v>24745.473335999999</v>
      </c>
      <c r="I25" s="91" ph="1">
        <f>I24*18.322*LOOKUP(I26,密度!$A$2:$A$50,密度!$Q$2:$Q$50)</f>
        <v>39220.058175959995</v>
      </c>
      <c r="J25" s="91" ph="1">
        <f>J24*18.322*LOOKUP(J26,密度!$A$2:$A$50,密度!$Q$2:$Q$50)</f>
        <v>83663.621811759993</v>
      </c>
      <c r="K25" s="91" ph="1">
        <f>K24*18.322*LOOKUP(K26,密度!$A$2:$A$50,密度!$Q$2:$Q$50)</f>
        <v>74297.968736159994</v>
      </c>
      <c r="L25" s="91" ph="1">
        <f>L24*18.322*LOOKUP(L26,密度!$A$2:$A$50,密度!$Q$2:$Q$50)</f>
        <v>97248.016341580005</v>
      </c>
      <c r="M25" s="91" ph="1">
        <f>M24*18.322*LOOKUP(M26,密度!$A$2:$A$50,密度!$Q$2:$Q$50)</f>
        <v>25458.878698979999</v>
      </c>
      <c r="N25" s="91" ph="1">
        <f>N24*18.322*LOOKUP(N26,密度!$A$2:$A$50,密度!$Q$2:$Q$50)</f>
        <v>23402.119320039998</v>
      </c>
      <c r="O25" s="91" ph="1">
        <f>O24*18.322*LOOKUP(O26,密度!$A$2:$A$50,密度!$C$2:$C$50)</f>
        <v>104619.56724739999</v>
      </c>
      <c r="P25" s="91" ph="1">
        <f>P24*11.702*LOOKUP(P26,密度!$A$2:$A$50,密度!$B$2:$B$50)</f>
        <v>29286.794334000002</v>
      </c>
      <c r="Q25" s="92" ph="1">
        <f>Q24*18.322*LOOKUP(Q26,密度!$A$2:$A$50,密度!$B$2:$B$50)</f>
        <v>37117.786765799996</v>
      </c>
      <c r="R25" s="91" ph="1">
        <f>R24*35.891*LOOKUP(R26,密度!$A$2:$A$50,密度!$C$2:$C$50)</f>
        <v>832.92602609999994</v>
      </c>
      <c r="S25" s="91" ph="1">
        <f>S24*35.891*LOOKUP(S26,密度!$A$2:$A$50,密度!$B$2:$B$50)</f>
        <v>176168.2565513</v>
      </c>
      <c r="T25" s="91" ph="1">
        <f>T24*35.891*LOOKUP(T26,密度!$A$2:$A$50,密度!$Q$2:$Q$50)</f>
        <v>59659.725022499995</v>
      </c>
      <c r="U25" s="91" ph="1">
        <f>U24*35.891</f>
        <v>215920.25599999999</v>
      </c>
      <c r="V25" s="91" ph="1">
        <f>V24*47.051*LOOKUP(V26,密度!$A$2:$A$50,密度!$B$2:$B$50)</f>
        <v>351693.99174000003</v>
      </c>
      <c r="W25" s="91" ph="1">
        <f>W24*47.051*LOOKUP(W26,密度!$A$2:$A$50,密度!$B$2:$B$50)</f>
        <v>393882.64729800005</v>
      </c>
      <c r="X25" s="91" ph="1">
        <f>X24*47.051*LOOKUP(X26,密度!$A$2:$A$50,密度!$I$2:$I$50)</f>
        <v>129874.02838200002</v>
      </c>
      <c r="Y25" s="91" ph="1">
        <f>Y24*47.051*LOOKUP(Y26,密度!$A$2:$A$50,密度!$L$2:$L$50)</f>
        <v>235044.21152000004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37" ph="1"/>
      <c r="C26" s="68" t="s" ph="1">
        <v>180</v>
      </c>
      <c r="D26" s="74">
        <v>25</v>
      </c>
      <c r="E26" s="74">
        <v>25</v>
      </c>
      <c r="F26" s="74">
        <v>28</v>
      </c>
      <c r="G26" s="74">
        <v>29</v>
      </c>
      <c r="H26" s="74">
        <v>29</v>
      </c>
      <c r="I26" s="74">
        <v>31</v>
      </c>
      <c r="J26" s="74">
        <v>28</v>
      </c>
      <c r="K26" s="74">
        <v>29</v>
      </c>
      <c r="L26" s="74">
        <v>29</v>
      </c>
      <c r="M26" s="74">
        <v>30</v>
      </c>
      <c r="N26" s="74">
        <v>30</v>
      </c>
      <c r="O26" s="74">
        <v>30</v>
      </c>
      <c r="P26" s="74">
        <v>28</v>
      </c>
      <c r="Q26" s="93">
        <v>30</v>
      </c>
      <c r="R26" s="74">
        <v>30</v>
      </c>
      <c r="S26" s="74">
        <v>30</v>
      </c>
      <c r="T26" s="74">
        <v>33</v>
      </c>
      <c r="U26" s="74">
        <v>31</v>
      </c>
      <c r="V26" s="74">
        <v>28</v>
      </c>
      <c r="W26" s="74">
        <v>28</v>
      </c>
      <c r="X26" s="74">
        <v>29</v>
      </c>
      <c r="Y26" s="74">
        <v>30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65" ph="1">
      <c r="A27" s="72" ph="1"/>
      <c r="B27" s="237" ph="1">
        <v>0.66666666666666663</v>
      </c>
      <c r="C27" s="146" t="s" ph="1">
        <v>181</v>
      </c>
      <c r="D27" s="71">
        <v>86.12</v>
      </c>
      <c r="E27" s="71">
        <v>4.45</v>
      </c>
      <c r="F27" s="71">
        <v>3855</v>
      </c>
      <c r="G27" s="71">
        <v>2589</v>
      </c>
      <c r="H27" s="71">
        <v>1632</v>
      </c>
      <c r="I27" s="71">
        <v>2271</v>
      </c>
      <c r="J27" s="71">
        <v>4834</v>
      </c>
      <c r="K27" s="71">
        <v>5518</v>
      </c>
      <c r="L27" s="71">
        <v>5619</v>
      </c>
      <c r="M27" s="71">
        <v>2628</v>
      </c>
      <c r="N27" s="71">
        <v>1350</v>
      </c>
      <c r="O27" s="71">
        <v>5163</v>
      </c>
      <c r="P27" s="71">
        <v>3220</v>
      </c>
      <c r="Q27" s="90">
        <v>2738</v>
      </c>
      <c r="R27" s="71">
        <v>643</v>
      </c>
      <c r="S27" s="71">
        <v>6330</v>
      </c>
      <c r="T27" s="71">
        <v>1764</v>
      </c>
      <c r="U27" s="71">
        <v>6288</v>
      </c>
      <c r="V27" s="71">
        <v>9621</v>
      </c>
      <c r="W27" s="71">
        <v>10774</v>
      </c>
      <c r="X27" s="71">
        <v>3261</v>
      </c>
      <c r="Y27" s="71">
        <v>5902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37" ph="1"/>
      <c r="C28" s="146" t="s" ph="1">
        <v>179</v>
      </c>
      <c r="D28" s="91" ph="1">
        <f>D27*268.68*LOOKUP(D29,密度!$A$2:$A$50,密度!$Q$2:$Q$50)+IF(D27&lt;=0,0,1566*LOOKUP(D29,密度!$A$2:$A$50,密度!$Q$2:$Q$50))</f>
        <v>23388.948127584004</v>
      </c>
      <c r="E28" s="91" ph="1">
        <f>E27*268.68*LOOKUP(E29,密度!$A$2:$A$50,密度!$C$2:$C$50)+IF(E27&lt;=0,0,1566*LOOKUP(E29,密度!$A$2:$A$50,密度!$C$2:$C$50))</f>
        <v>3062.3670714</v>
      </c>
      <c r="F28" s="91" ph="1">
        <f>F27*11.702*LOOKUP(F29,密度!$A$2:$A$50,密度!$Q$2:$Q$50)</f>
        <v>42460.926412499997</v>
      </c>
      <c r="G28" s="91" ph="1">
        <f>G27*18.322*LOOKUP(G29,密度!$A$2:$A$50,密度!$B$2:$B$50)</f>
        <v>36691.481462999996</v>
      </c>
      <c r="H28" s="91" ph="1">
        <f>H27*18.322*LOOKUP(H29,密度!$A$2:$A$50,密度!$B$2:$B$50)</f>
        <v>23128.813343999998</v>
      </c>
      <c r="I28" s="91" ph="1">
        <f>I27*18.322*LOOKUP(I29,密度!$A$2:$A$50,密度!$Q$2:$Q$50)</f>
        <v>39110.209724279994</v>
      </c>
      <c r="J28" s="91" ph="1">
        <f>J27*18.322*LOOKUP(J29,密度!$A$2:$A$50,密度!$Q$2:$Q$50)</f>
        <v>83422.715361199997</v>
      </c>
      <c r="K28" s="91" ph="1">
        <f>K27*18.322*LOOKUP(K29,密度!$A$2:$A$50,密度!$Q$2:$Q$50)</f>
        <v>95161.12423500001</v>
      </c>
      <c r="L28" s="91" ph="1">
        <f>L27*18.322*LOOKUP(L29,密度!$A$2:$A$50,密度!$Q$2:$Q$50)</f>
        <v>96902.928067500005</v>
      </c>
      <c r="M28" s="91" ph="1">
        <f>M27*18.322*LOOKUP(M29,密度!$A$2:$A$50,密度!$Q$2:$Q$50)</f>
        <v>45352.688450399997</v>
      </c>
      <c r="N28" s="91" ph="1">
        <f>N27*18.322*LOOKUP(N29,密度!$A$2:$A$50,密度!$Q$2:$Q$50)</f>
        <v>23297.613929999996</v>
      </c>
      <c r="O28" s="91" ph="1">
        <f>O27*18.322*LOOKUP(O29,密度!$A$2:$A$50,密度!$C$2:$C$50)</f>
        <v>104245.32757199999</v>
      </c>
      <c r="P28" s="91" ph="1">
        <f>P27*11.702*LOOKUP(P29,密度!$A$2:$A$50,密度!$B$2:$B$50)</f>
        <v>29179.732736000002</v>
      </c>
      <c r="Q28" s="92" ph="1">
        <f>Q27*18.322*LOOKUP(Q29,密度!$A$2:$A$50,密度!$B$2:$B$50)</f>
        <v>38762.986937200003</v>
      </c>
      <c r="R28" s="91" ph="1">
        <f>R27*35.891*LOOKUP(R29,密度!$A$2:$A$50,密度!$C$2:$C$50)</f>
        <v>25431.860126000003</v>
      </c>
      <c r="S28" s="91" ph="1">
        <f>S27*35.891*LOOKUP(S29,密度!$A$2:$A$50,密度!$B$2:$B$50)</f>
        <v>175549.73618100001</v>
      </c>
      <c r="T28" s="91" ph="1">
        <f>T27*35.891*LOOKUP(T29,密度!$A$2:$A$50,密度!$Q$2:$Q$50)</f>
        <v>59509.221856559998</v>
      </c>
      <c r="U28" s="91" ph="1">
        <f>U27*35.891</f>
        <v>225682.60799999998</v>
      </c>
      <c r="V28" s="91" ph="1">
        <f>V27*47.051*LOOKUP(V29,密度!$A$2:$A$50,密度!$B$2:$B$50)</f>
        <v>350146.1785185</v>
      </c>
      <c r="W28" s="91" ph="1">
        <f>W27*47.051*LOOKUP(W29,密度!$A$2:$A$50,密度!$B$2:$B$50)</f>
        <v>392108.40113900002</v>
      </c>
      <c r="X28" s="91" ph="1">
        <f>X27*47.051*LOOKUP(X29,密度!$A$2:$A$50,密度!$I$2:$I$50)</f>
        <v>158541.10592319001</v>
      </c>
      <c r="Y28" s="91" ph="1">
        <f>Y27*47.051*LOOKUP(Y29,密度!$A$2:$A$50,密度!$L$2:$L$50)</f>
        <v>257700.96185600004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37" ph="1"/>
      <c r="C29" s="146" t="s" ph="1">
        <v>180</v>
      </c>
      <c r="D29" s="74">
        <v>25</v>
      </c>
      <c r="E29" s="74">
        <v>25</v>
      </c>
      <c r="F29" s="74">
        <v>33</v>
      </c>
      <c r="G29" s="74">
        <v>32</v>
      </c>
      <c r="H29" s="74">
        <v>32</v>
      </c>
      <c r="I29" s="74">
        <v>35</v>
      </c>
      <c r="J29" s="74">
        <v>32</v>
      </c>
      <c r="K29" s="74">
        <v>33</v>
      </c>
      <c r="L29" s="74">
        <v>33</v>
      </c>
      <c r="M29" s="74">
        <v>32</v>
      </c>
      <c r="N29" s="74">
        <v>32</v>
      </c>
      <c r="O29" s="74">
        <v>33</v>
      </c>
      <c r="P29" s="74">
        <v>31</v>
      </c>
      <c r="Q29" s="93">
        <v>33</v>
      </c>
      <c r="R29" s="74">
        <v>33</v>
      </c>
      <c r="S29" s="74">
        <v>33</v>
      </c>
      <c r="T29" s="74">
        <v>35</v>
      </c>
      <c r="U29" s="74">
        <v>34</v>
      </c>
      <c r="V29" s="74">
        <v>32</v>
      </c>
      <c r="W29" s="74">
        <v>32</v>
      </c>
      <c r="X29" s="74">
        <v>33</v>
      </c>
      <c r="Y29" s="74">
        <v>34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45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46" t="s" ph="1">
        <v>5</v>
      </c>
      <c r="F32" s="145" t="s" ph="1">
        <v>43</v>
      </c>
      <c r="G32" s="97" t="s" ph="1">
        <v>4</v>
      </c>
      <c r="H32" s="146" t="s" ph="1">
        <v>5</v>
      </c>
      <c r="I32" s="145" t="s" ph="1">
        <v>43</v>
      </c>
      <c r="J32" s="97" t="s" ph="1">
        <v>4</v>
      </c>
      <c r="K32" s="146" t="s" ph="1">
        <v>5</v>
      </c>
      <c r="L32" s="145" t="s" ph="1">
        <v>43</v>
      </c>
      <c r="M32" s="97" t="s" ph="1">
        <v>4</v>
      </c>
      <c r="N32" s="146" t="s" ph="1">
        <v>5</v>
      </c>
      <c r="O32" s="14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6" t="s" ph="1">
        <v>5</v>
      </c>
      <c r="U32" s="99" t="s" ph="1">
        <v>43</v>
      </c>
      <c r="V32" s="97" t="s" ph="1">
        <v>4</v>
      </c>
      <c r="W32" s="146" t="s" ph="1">
        <v>5</v>
      </c>
      <c r="X32" s="99" t="s" ph="1">
        <v>43</v>
      </c>
      <c r="Y32" s="100" t="s" ph="1">
        <v>4</v>
      </c>
      <c r="Z32" s="146" t="s" ph="1">
        <v>5</v>
      </c>
      <c r="AA32" s="145" t="s" ph="1">
        <v>43</v>
      </c>
      <c r="AB32" s="97" t="s" ph="1">
        <v>85</v>
      </c>
      <c r="AC32" s="146" t="s" ph="1">
        <v>84</v>
      </c>
      <c r="AD32" s="204" t="s" ph="1">
        <v>83</v>
      </c>
      <c r="AE32" s="205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06" t="s" ph="1">
        <v>182</v>
      </c>
      <c r="C33" s="207" ph="1"/>
      <c r="D33" s="186" ph="1">
        <f>AA10+AB10+Z19</f>
        <v>79832.031442500011</v>
      </c>
      <c r="E33" s="186" ph="1">
        <f>M10+I10</f>
        <v>176026.73101509997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1522252632456786910111213141516171819202123456789101112131415161718192022232424356789101112131415161718192021222345678910111213141516171819202345678910111213149101516171819222123234567891012131415161711181920212224252345678910111213134[[#This Row],[F25]]</f>
        <v>3880</v>
      </c>
      <c r="G33" s="212" ph="1">
        <v>0</v>
      </c>
      <c r="H33" s="186" ph="1">
        <f>N19</f>
        <v>24629.2629648</v>
      </c>
      <c r="I33" s="190" ph="1">
        <v>0</v>
      </c>
      <c r="J33" s="194" ph="1">
        <f>F10+O28</f>
        <v>354588.34217190003</v>
      </c>
      <c r="K33" s="186" ph="1">
        <f>O10+K10+E28+R28</f>
        <v>114087.49914460001</v>
      </c>
      <c r="L33" s="196" ph="1">
        <f>BE27</f>
        <v>7100</v>
      </c>
      <c r="M33" s="194" ph="1">
        <f>G10+H10+W28+S28+V28+E10</f>
        <v>1533184.2586435</v>
      </c>
      <c r="N33" s="186" ph="1">
        <f>L10+P10++G28+H28</f>
        <v>93334.828916999992</v>
      </c>
      <c r="O33" s="190" ph="1">
        <f>BE17</f>
        <v>2270</v>
      </c>
      <c r="P33" s="194" ph="1">
        <f>L19</f>
        <v>33728.863034070004</v>
      </c>
      <c r="Q33" s="186" ph="1">
        <f>J10+N10</f>
        <v>75120.676648759996</v>
      </c>
      <c r="R33" s="190" ph="1">
        <f>BE23</f>
        <v>890</v>
      </c>
      <c r="S33" s="194" ph="1">
        <f>E10+X28</f>
        <v>481878.14894319006</v>
      </c>
      <c r="T33" s="186" ph="1">
        <f>X19</f>
        <v>4954.3812802439998</v>
      </c>
      <c r="U33" s="175" ph="1">
        <f>BE21</f>
        <v>730</v>
      </c>
      <c r="V33" s="188" ph="1">
        <f ca="1">P19+Q19+S19+M28+N28+J28</f>
        <v>256849.21469545597</v>
      </c>
      <c r="W33" s="188" ph="1">
        <f>D28+F28+V19+T28</f>
        <v>157819.19565515599</v>
      </c>
      <c r="X33" s="190" ph="1">
        <f>BE29+BE31</f>
        <v>10200</v>
      </c>
      <c r="Y33" s="192" ph="1">
        <f>+Q10+R10+S10+T10+U10+V10+W10+X10+Y10</f>
        <v>169403.26136579999</v>
      </c>
      <c r="Z33" s="173" ph="1">
        <f>D10+T19+U19+Y28+Z10</f>
        <v>390329.10309077404</v>
      </c>
      <c r="AA33" s="175" ph="1">
        <f>BE19</f>
        <v>1440</v>
      </c>
      <c r="AB33" s="177" ph="1">
        <f>I19</f>
        <v>48687.860633999997</v>
      </c>
      <c r="AC33" s="179" ph="1">
        <f>AD10</f>
        <v>86502.513081600016</v>
      </c>
      <c r="AD33" s="181" ph="1">
        <v>0</v>
      </c>
      <c r="AE33" s="182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85" t="s" ph="1">
        <v>639</v>
      </c>
      <c r="AD35" s="185"/>
      <c r="AE35" s="185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45" ph="1">
      <c r="A36" s="64"/>
      <c r="B36" s="103" t="s" ph="1">
        <v>183</v>
      </c>
      <c r="I36" s="171" t="s" ph="1">
        <v>184</v>
      </c>
      <c r="J36" s="171" ph="1"/>
      <c r="K36" s="101" ph="1"/>
      <c r="P36" s="101" ph="1"/>
      <c r="R36" s="171" t="s" ph="1">
        <v>185</v>
      </c>
      <c r="S36" s="171" ph="1"/>
      <c r="Y36" s="102" ph="1"/>
      <c r="Z36" s="144" t="s" ph="1">
        <v>186</v>
      </c>
      <c r="AA36" s="144" ph="1"/>
      <c r="AB36" s="172" t="s" ph="1">
        <v>644</v>
      </c>
      <c r="AC36" s="172" ph="1"/>
      <c r="AD36" s="172" ph="1"/>
      <c r="AE36" s="172" ph="1"/>
      <c r="BA36" s="64" ph="1">
        <v>2270</v>
      </c>
    </row>
    <row r="37" spans="1:57" s="144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4" t="s" ph="1">
        <v>345</v>
      </c>
      <c r="AI37" s="144" t="s" ph="1">
        <v>212</v>
      </c>
      <c r="AJ37" s="144" t="s" ph="1">
        <v>213</v>
      </c>
      <c r="AK37" s="144" t="s" ph="1">
        <v>214</v>
      </c>
      <c r="AM37" s="144" t="s" ph="1">
        <v>213</v>
      </c>
      <c r="AN37" s="144" t="s" ph="1">
        <v>214</v>
      </c>
      <c r="AO37" s="144" t="s" ph="1">
        <v>215</v>
      </c>
      <c r="AP37" s="144" t="s" ph="1">
        <v>213</v>
      </c>
      <c r="AQ37" s="144" t="s" ph="1">
        <v>214</v>
      </c>
      <c r="AR37" s="144" t="s" ph="1">
        <v>215</v>
      </c>
      <c r="AS37" s="144" t="s" ph="1">
        <v>213</v>
      </c>
      <c r="AT37" s="144" t="s" ph="1">
        <v>214</v>
      </c>
      <c r="AU37" s="144" t="s" ph="1">
        <v>215</v>
      </c>
      <c r="AV37" s="144" t="s" ph="1">
        <v>213</v>
      </c>
      <c r="AW37" s="144" t="s" ph="1">
        <v>214</v>
      </c>
      <c r="AX37" s="144" t="s" ph="1">
        <v>215</v>
      </c>
      <c r="AY37" s="144" t="s" ph="1">
        <v>214</v>
      </c>
      <c r="AZ37" s="144" t="s" ph="1">
        <v>216</v>
      </c>
      <c r="BD37" s="144" t="s" ph="1">
        <v>308</v>
      </c>
      <c r="BE37" s="144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666" priority="97">
      <formula>ABS(D$7-D$10)&gt;=1000</formula>
    </cfRule>
  </conditionalFormatting>
  <conditionalFormatting sqref="E4 E6:E11">
    <cfRule type="expression" dxfId="2665" priority="96">
      <formula>ABS(E$7-E$10)&gt;=1000</formula>
    </cfRule>
  </conditionalFormatting>
  <conditionalFormatting sqref="F4:F11">
    <cfRule type="expression" dxfId="2664" priority="95">
      <formula>ABS(F$7-F$10)&gt;=1000</formula>
    </cfRule>
  </conditionalFormatting>
  <conditionalFormatting sqref="G4:G11">
    <cfRule type="expression" dxfId="2663" priority="94">
      <formula>ABS(G$7-G$10)&gt;=1000</formula>
    </cfRule>
  </conditionalFormatting>
  <conditionalFormatting sqref="H4:H11">
    <cfRule type="expression" dxfId="2662" priority="93">
      <formula>ABS(H$7-H$10)&gt;=1000</formula>
    </cfRule>
  </conditionalFormatting>
  <conditionalFormatting sqref="I4:I11">
    <cfRule type="expression" dxfId="2661" priority="92">
      <formula>ABS(I$7-I$10)&gt;=1000</formula>
    </cfRule>
  </conditionalFormatting>
  <conditionalFormatting sqref="J4:J11">
    <cfRule type="expression" dxfId="2660" priority="91">
      <formula>ABS(J$7-J$10)&gt;=1000</formula>
    </cfRule>
  </conditionalFormatting>
  <conditionalFormatting sqref="K4:K11">
    <cfRule type="expression" dxfId="2659" priority="90">
      <formula>ABS(K$7-K$10)&gt;=1000</formula>
    </cfRule>
  </conditionalFormatting>
  <conditionalFormatting sqref="L4:L11">
    <cfRule type="expression" dxfId="2658" priority="89">
      <formula>ABS(L$7-L$10)&gt;=1000</formula>
    </cfRule>
  </conditionalFormatting>
  <conditionalFormatting sqref="M4 M6:M11">
    <cfRule type="expression" dxfId="2657" priority="88">
      <formula>ABS(M$7-M$10)&gt;=1000</formula>
    </cfRule>
  </conditionalFormatting>
  <conditionalFormatting sqref="N4 N6:N11">
    <cfRule type="expression" dxfId="2656" priority="87">
      <formula>ABS(N$7-N$10)&gt;=1000</formula>
    </cfRule>
  </conditionalFormatting>
  <conditionalFormatting sqref="O4 O6:O11">
    <cfRule type="expression" dxfId="2655" priority="86">
      <formula>ABS(O$7-O$10)&gt;=1000</formula>
    </cfRule>
  </conditionalFormatting>
  <conditionalFormatting sqref="P4 P6:P11">
    <cfRule type="expression" dxfId="2654" priority="85">
      <formula>ABS(P$7-P$10)&gt;=1000</formula>
    </cfRule>
  </conditionalFormatting>
  <conditionalFormatting sqref="Q4:Q11">
    <cfRule type="expression" dxfId="2653" priority="84">
      <formula>ABS(Q$7-Q$10)&gt;=1000</formula>
    </cfRule>
  </conditionalFormatting>
  <conditionalFormatting sqref="R4:R11">
    <cfRule type="expression" dxfId="2652" priority="83">
      <formula>ABS(R$7-R$10)&gt;=1000</formula>
    </cfRule>
  </conditionalFormatting>
  <conditionalFormatting sqref="S4:S11">
    <cfRule type="expression" dxfId="2651" priority="82">
      <formula>ABS(S$7-S$10)&gt;=1000</formula>
    </cfRule>
  </conditionalFormatting>
  <conditionalFormatting sqref="T4:T9 T11">
    <cfRule type="expression" dxfId="2650" priority="81">
      <formula>ABS(T$7-T$10)&gt;=1000</formula>
    </cfRule>
  </conditionalFormatting>
  <conditionalFormatting sqref="U4:U9 U11">
    <cfRule type="expression" dxfId="2649" priority="80">
      <formula>ABS(U$7-U$10)&gt;=1000</formula>
    </cfRule>
  </conditionalFormatting>
  <conditionalFormatting sqref="V4:V9 V11">
    <cfRule type="expression" dxfId="2648" priority="79">
      <formula>ABS(V$7-V$10)&gt;=1000</formula>
    </cfRule>
  </conditionalFormatting>
  <conditionalFormatting sqref="W4:W9 W11">
    <cfRule type="expression" dxfId="2647" priority="78">
      <formula>ABS(W$7-W$10)&gt;=1000</formula>
    </cfRule>
  </conditionalFormatting>
  <conditionalFormatting sqref="X4:X9 X11">
    <cfRule type="expression" dxfId="2646" priority="77">
      <formula>ABS(X$7-X$10)&gt;=1000</formula>
    </cfRule>
  </conditionalFormatting>
  <conditionalFormatting sqref="Y4:Y9 Y11">
    <cfRule type="expression" dxfId="2645" priority="76">
      <formula>ABS(Y$7-Y$10)&gt;=1000</formula>
    </cfRule>
  </conditionalFormatting>
  <conditionalFormatting sqref="Z4:Z11">
    <cfRule type="expression" dxfId="2644" priority="75">
      <formula>ABS(Z$7-Z$10)&gt;=1000</formula>
    </cfRule>
  </conditionalFormatting>
  <conditionalFormatting sqref="AA4:AA11">
    <cfRule type="expression" dxfId="2643" priority="74">
      <formula>ABS(AA$7-AA$10)&gt;=1000</formula>
    </cfRule>
  </conditionalFormatting>
  <conditionalFormatting sqref="AB4:AB11">
    <cfRule type="expression" dxfId="2642" priority="73">
      <formula>ABS(AB$7-AB$10)&gt;=1000</formula>
    </cfRule>
  </conditionalFormatting>
  <conditionalFormatting sqref="AC4 AC6:AC11">
    <cfRule type="expression" dxfId="2641" priority="72">
      <formula>ABS(AC$7-AC$10)&gt;=1000</formula>
    </cfRule>
  </conditionalFormatting>
  <conditionalFormatting sqref="AD4:AD11">
    <cfRule type="expression" dxfId="2640" priority="71">
      <formula>ABS(AD$7-AD$10)&gt;=1000</formula>
    </cfRule>
  </conditionalFormatting>
  <conditionalFormatting sqref="AE4:AE11">
    <cfRule type="expression" dxfId="2639" priority="70">
      <formula>ABS(AE$7-AE$10)&gt;=1000</formula>
    </cfRule>
  </conditionalFormatting>
  <conditionalFormatting sqref="D13:D20">
    <cfRule type="expression" dxfId="2638" priority="69">
      <formula>ABS(D$16-D$19)&gt;=1000</formula>
    </cfRule>
  </conditionalFormatting>
  <conditionalFormatting sqref="E13:E20">
    <cfRule type="expression" dxfId="2637" priority="68">
      <formula>ABS(E$16-E$19)&gt;=1000</formula>
    </cfRule>
  </conditionalFormatting>
  <conditionalFormatting sqref="F13 F15:F20">
    <cfRule type="expression" dxfId="2636" priority="67">
      <formula>ABS(F$16-F$19)&gt;=1000</formula>
    </cfRule>
  </conditionalFormatting>
  <conditionalFormatting sqref="G13:G20">
    <cfRule type="expression" dxfId="2635" priority="66">
      <formula>ABS(G$16-G$19)&gt;=1000</formula>
    </cfRule>
  </conditionalFormatting>
  <conditionalFormatting sqref="H13:H20">
    <cfRule type="expression" dxfId="2634" priority="65">
      <formula>ABS(H$16-H$19)&gt;=1000</formula>
    </cfRule>
  </conditionalFormatting>
  <conditionalFormatting sqref="I13:I20">
    <cfRule type="expression" dxfId="2633" priority="64">
      <formula>ABS(I$16-I$19)&gt;=1000</formula>
    </cfRule>
  </conditionalFormatting>
  <conditionalFormatting sqref="J13:J20">
    <cfRule type="expression" dxfId="2632" priority="63">
      <formula>ABS(J$16-J$19)&gt;=1000</formula>
    </cfRule>
  </conditionalFormatting>
  <conditionalFormatting sqref="L13:L20">
    <cfRule type="expression" dxfId="2631" priority="62">
      <formula>ABS(L$16-L$19)&gt;=1000</formula>
    </cfRule>
  </conditionalFormatting>
  <conditionalFormatting sqref="M13 M15 M17:M18 M20">
    <cfRule type="expression" dxfId="2630" priority="61">
      <formula>ABS(M$16-M$19)&gt;=1000</formula>
    </cfRule>
  </conditionalFormatting>
  <conditionalFormatting sqref="N13:N20">
    <cfRule type="expression" dxfId="2629" priority="60">
      <formula>ABS(N$16-N$19)&gt;=1000</formula>
    </cfRule>
  </conditionalFormatting>
  <conditionalFormatting sqref="O13:O20">
    <cfRule type="expression" dxfId="2628" priority="59">
      <formula>ABS(O$16-O$19)&gt;=1000</formula>
    </cfRule>
  </conditionalFormatting>
  <conditionalFormatting sqref="P13:P20">
    <cfRule type="expression" dxfId="2627" priority="58">
      <formula>ABS(P$16-P$19)&gt;=1000</formula>
    </cfRule>
  </conditionalFormatting>
  <conditionalFormatting sqref="Q13 Q15:Q20">
    <cfRule type="expression" dxfId="2626" priority="57">
      <formula>ABS(Q$16-Q$19)&gt;=1000</formula>
    </cfRule>
  </conditionalFormatting>
  <conditionalFormatting sqref="R13:R20">
    <cfRule type="expression" dxfId="2625" priority="56">
      <formula>ABS(R$16-R$19)&gt;=1000</formula>
    </cfRule>
  </conditionalFormatting>
  <conditionalFormatting sqref="S13:S20">
    <cfRule type="expression" dxfId="2624" priority="55">
      <formula>ABS(S$16-S$19)&gt;=1000</formula>
    </cfRule>
  </conditionalFormatting>
  <conditionalFormatting sqref="T13:T20">
    <cfRule type="expression" dxfId="2623" priority="54">
      <formula>ABS(T$16-T$19)&gt;=1000</formula>
    </cfRule>
  </conditionalFormatting>
  <conditionalFormatting sqref="U13:U20">
    <cfRule type="expression" dxfId="2622" priority="53">
      <formula>ABS(U$16-U$19)&gt;=1000</formula>
    </cfRule>
  </conditionalFormatting>
  <conditionalFormatting sqref="V13:V20">
    <cfRule type="expression" dxfId="2621" priority="52">
      <formula>ABS(V$16-V$19)&gt;=1000</formula>
    </cfRule>
  </conditionalFormatting>
  <conditionalFormatting sqref="W13 W20 W15:W18">
    <cfRule type="expression" dxfId="2620" priority="51">
      <formula>ABS(W$16-W$19)&gt;=1000</formula>
    </cfRule>
  </conditionalFormatting>
  <conditionalFormatting sqref="X13 X15:X20 Y19">
    <cfRule type="expression" dxfId="2619" priority="50">
      <formula>ABS(X$16-X$19)&gt;=1000</formula>
    </cfRule>
  </conditionalFormatting>
  <conditionalFormatting sqref="Y13 Y15:Y18 Y20">
    <cfRule type="expression" dxfId="2618" priority="49">
      <formula>ABS(Y$16-Y$19)&gt;=1000</formula>
    </cfRule>
  </conditionalFormatting>
  <conditionalFormatting sqref="Z13:Z20">
    <cfRule type="expression" dxfId="2617" priority="48">
      <formula>ABS(Z$16-Z$19)&gt;=1000</formula>
    </cfRule>
  </conditionalFormatting>
  <conditionalFormatting sqref="AA13:AA20">
    <cfRule type="expression" dxfId="2616" priority="47">
      <formula>ABS(AA$16-AA$19)&gt;=1000</formula>
    </cfRule>
  </conditionalFormatting>
  <conditionalFormatting sqref="AB13 AB15:AB20">
    <cfRule type="expression" dxfId="2615" priority="46">
      <formula>ABS(AB$16-AB$19)&gt;=1000</formula>
    </cfRule>
  </conditionalFormatting>
  <conditionalFormatting sqref="AC13 AC15:AC20">
    <cfRule type="expression" dxfId="2614" priority="45">
      <formula>ABS(AC$16-AC$19)&gt;=1000</formula>
    </cfRule>
  </conditionalFormatting>
  <conditionalFormatting sqref="AD13:AD20">
    <cfRule type="expression" dxfId="2613" priority="44">
      <formula>ABS(AD$16-AD$19)&gt;=1000</formula>
    </cfRule>
  </conditionalFormatting>
  <conditionalFormatting sqref="AE13:AE20">
    <cfRule type="expression" dxfId="2612" priority="43">
      <formula>ABS(AE$16-AE$19)&gt;=1000</formula>
    </cfRule>
  </conditionalFormatting>
  <conditionalFormatting sqref="D22:D29">
    <cfRule type="expression" dxfId="2611" priority="42">
      <formula>ABS(D$25-D$28)&gt;=1000</formula>
    </cfRule>
  </conditionalFormatting>
  <conditionalFormatting sqref="E22:E29">
    <cfRule type="expression" dxfId="2610" priority="41">
      <formula>ABS(E$25-E$28)&gt;=1000</formula>
    </cfRule>
  </conditionalFormatting>
  <conditionalFormatting sqref="F22:F29">
    <cfRule type="expression" dxfId="2609" priority="40">
      <formula>ABS(F$25-F$28)&gt;=1000</formula>
    </cfRule>
  </conditionalFormatting>
  <conditionalFormatting sqref="G22:G29">
    <cfRule type="expression" dxfId="2608" priority="39">
      <formula>ABS(G$25-G$28)&gt;=1000</formula>
    </cfRule>
  </conditionalFormatting>
  <conditionalFormatting sqref="H22:H29">
    <cfRule type="expression" dxfId="2607" priority="38">
      <formula>ABS(H$25-H$28)&gt;=1000</formula>
    </cfRule>
  </conditionalFormatting>
  <conditionalFormatting sqref="I22 I24:I29">
    <cfRule type="expression" dxfId="2606" priority="37">
      <formula>ABS(I$25-I$28)&gt;=1000</formula>
    </cfRule>
  </conditionalFormatting>
  <conditionalFormatting sqref="J22:J29 K22">
    <cfRule type="expression" dxfId="2605" priority="36">
      <formula>ABS(J$25-J$28)&gt;=1000</formula>
    </cfRule>
  </conditionalFormatting>
  <conditionalFormatting sqref="K23:K29 L25 L28">
    <cfRule type="expression" dxfId="2604" priority="35">
      <formula>ABS(K$25-K$28)&gt;=1000</formula>
    </cfRule>
  </conditionalFormatting>
  <conditionalFormatting sqref="L22 L26:L27 L29 L24">
    <cfRule type="expression" dxfId="2603" priority="34">
      <formula>ABS(L$25-L$28)&gt;=1000</formula>
    </cfRule>
  </conditionalFormatting>
  <conditionalFormatting sqref="M22:M29">
    <cfRule type="expression" dxfId="2602" priority="33">
      <formula>ABS(M$25-M$28)&gt;=1000</formula>
    </cfRule>
  </conditionalFormatting>
  <conditionalFormatting sqref="N22:N29">
    <cfRule type="expression" dxfId="2601" priority="32">
      <formula>ABS(N$25-N$28)&gt;=1000</formula>
    </cfRule>
  </conditionalFormatting>
  <conditionalFormatting sqref="O22:O29">
    <cfRule type="expression" dxfId="2600" priority="31">
      <formula>ABS(O$25-O$28)&gt;=1000</formula>
    </cfRule>
  </conditionalFormatting>
  <conditionalFormatting sqref="P22:P29">
    <cfRule type="expression" dxfId="2599" priority="30">
      <formula>ABS(P$25-P$28)&gt;=1000</formula>
    </cfRule>
  </conditionalFormatting>
  <conditionalFormatting sqref="Q22:Q29">
    <cfRule type="expression" dxfId="2598" priority="29">
      <formula>ABS(Q$25-Q$28)&gt;=1000</formula>
    </cfRule>
  </conditionalFormatting>
  <conditionalFormatting sqref="R22:R29">
    <cfRule type="expression" dxfId="2597" priority="28">
      <formula>ABS(R$25-R$28)&gt;=1000</formula>
    </cfRule>
  </conditionalFormatting>
  <conditionalFormatting sqref="S22:S29">
    <cfRule type="expression" dxfId="2596" priority="27">
      <formula>ABS(S$25-S$28)&gt;=1000</formula>
    </cfRule>
  </conditionalFormatting>
  <conditionalFormatting sqref="T22:T29">
    <cfRule type="expression" dxfId="2595" priority="26">
      <formula>ABS(T$25-T$28)&gt;=1000</formula>
    </cfRule>
  </conditionalFormatting>
  <conditionalFormatting sqref="U22:U29">
    <cfRule type="expression" dxfId="2594" priority="25">
      <formula>ABS(U$25-U$28)&gt;=1000</formula>
    </cfRule>
  </conditionalFormatting>
  <conditionalFormatting sqref="V22:V29">
    <cfRule type="expression" dxfId="2593" priority="24">
      <formula>ABS(V$25-V$28)&gt;=1000</formula>
    </cfRule>
  </conditionalFormatting>
  <conditionalFormatting sqref="W22:W29">
    <cfRule type="expression" dxfId="2592" priority="23">
      <formula>ABS(W$25-W$28)&gt;=1000</formula>
    </cfRule>
  </conditionalFormatting>
  <conditionalFormatting sqref="X22:X29">
    <cfRule type="expression" dxfId="2591" priority="22">
      <formula>ABS(X$25-X$28)&gt;=1000</formula>
    </cfRule>
  </conditionalFormatting>
  <conditionalFormatting sqref="Y22:Y29">
    <cfRule type="expression" dxfId="2590" priority="21">
      <formula>ABS(Y$25-Y$28)&gt;=1000</formula>
    </cfRule>
  </conditionalFormatting>
  <conditionalFormatting sqref="I23">
    <cfRule type="expression" dxfId="2589" priority="20">
      <formula>ABS(I$25-I$28)&gt;=1000</formula>
    </cfRule>
  </conditionalFormatting>
  <conditionalFormatting sqref="F14">
    <cfRule type="expression" dxfId="2588" priority="19">
      <formula>ABS(F$16-F$19)&gt;=1000</formula>
    </cfRule>
  </conditionalFormatting>
  <conditionalFormatting sqref="Q14">
    <cfRule type="expression" dxfId="2587" priority="18">
      <formula>ABS(Q$16-Q$19)&gt;=1000</formula>
    </cfRule>
  </conditionalFormatting>
  <conditionalFormatting sqref="W14">
    <cfRule type="expression" dxfId="2586" priority="17">
      <formula>ABS(W$16-W$19)&gt;=1000</formula>
    </cfRule>
  </conditionalFormatting>
  <conditionalFormatting sqref="Y14">
    <cfRule type="expression" dxfId="2585" priority="16">
      <formula>ABS(Y$16-Y$19)&gt;=1000</formula>
    </cfRule>
  </conditionalFormatting>
  <conditionalFormatting sqref="X14">
    <cfRule type="expression" dxfId="2584" priority="15">
      <formula>ABS(X$16-X$19)&gt;=1000</formula>
    </cfRule>
  </conditionalFormatting>
  <conditionalFormatting sqref="T10:Y10">
    <cfRule type="expression" dxfId="2583" priority="14">
      <formula>ABS(T$7-T$10)&gt;=1000</formula>
    </cfRule>
  </conditionalFormatting>
  <conditionalFormatting sqref="W19">
    <cfRule type="expression" dxfId="2582" priority="13">
      <formula>ABS(W$16-W$19)&gt;=1000</formula>
    </cfRule>
  </conditionalFormatting>
  <conditionalFormatting sqref="AC5">
    <cfRule type="expression" dxfId="2581" priority="12">
      <formula>ABS(AC$7-AC$10)&gt;=1000</formula>
    </cfRule>
  </conditionalFormatting>
  <conditionalFormatting sqref="M14">
    <cfRule type="expression" dxfId="2580" priority="11">
      <formula>ABS(M$16-M$19)&gt;=1000</formula>
    </cfRule>
  </conditionalFormatting>
  <conditionalFormatting sqref="M16">
    <cfRule type="expression" dxfId="2579" priority="10">
      <formula>ABS(M$16-M$19)&gt;=1000</formula>
    </cfRule>
  </conditionalFormatting>
  <conditionalFormatting sqref="M19">
    <cfRule type="expression" dxfId="2578" priority="9">
      <formula>ABS(M$16-M$19)&gt;=1000</formula>
    </cfRule>
  </conditionalFormatting>
  <conditionalFormatting sqref="K13:K20">
    <cfRule type="expression" dxfId="2577" priority="8">
      <formula>ABS(K$16-K$19)&gt;=1000</formula>
    </cfRule>
  </conditionalFormatting>
  <conditionalFormatting sqref="E5">
    <cfRule type="expression" dxfId="2576" priority="7">
      <formula>ABS(E$7-E$10)&gt;=1000</formula>
    </cfRule>
  </conditionalFormatting>
  <conditionalFormatting sqref="AB14:AC14">
    <cfRule type="expression" dxfId="2575" priority="6">
      <formula>ABS(AB$16-AB$19)&gt;=1000</formula>
    </cfRule>
  </conditionalFormatting>
  <conditionalFormatting sqref="M5">
    <cfRule type="expression" dxfId="2574" priority="5">
      <formula>ABS(M$7-M$10)&gt;=1000</formula>
    </cfRule>
  </conditionalFormatting>
  <conditionalFormatting sqref="N5">
    <cfRule type="expression" dxfId="2573" priority="4">
      <formula>ABS(N$7-N$10)&gt;=1000</formula>
    </cfRule>
  </conditionalFormatting>
  <conditionalFormatting sqref="O5">
    <cfRule type="expression" dxfId="2572" priority="3">
      <formula>ABS(O$7-O$10)&gt;=1000</formula>
    </cfRule>
  </conditionalFormatting>
  <conditionalFormatting sqref="P5">
    <cfRule type="expression" dxfId="2571" priority="2">
      <formula>ABS(P$7-P$10)&gt;=1000</formula>
    </cfRule>
  </conditionalFormatting>
  <conditionalFormatting sqref="L23">
    <cfRule type="expression" dxfId="2570" priority="1">
      <formula>ABS(L$25-L$28)&gt;=1000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4771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345782</xdr:rowOff>
                  </from>
                  <to>
                    <xdr:col>32</xdr:col>
                    <xdr:colOff>414938</xdr:colOff>
                    <xdr:row>3</xdr:row>
                    <xdr:rowOff>30736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72">
    <pageSetUpPr fitToPage="1"/>
  </sheetPr>
  <dimension ref="A1:CU223"/>
  <sheetViews>
    <sheetView view="pageBreakPreview" zoomScale="80" zoomScaleNormal="100" zoomScaleSheetLayoutView="80" workbookViewId="0">
      <selection activeCell="E18" sqref="E18"/>
    </sheetView>
  </sheetViews>
  <sheetFormatPr defaultColWidth="8.109375" defaultRowHeight="26.05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0.9" ph="1">
      <c r="A1" s="64"/>
      <c r="B1" s="238" t="s" ph="1">
        <v>162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.05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.05" customHeight="1" ph="1">
      <c r="B3" s="240" ph="1">
        <v>45841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" customHeight="1" ph="1">
      <c r="A5" s="65" ph="1"/>
      <c r="B5" s="219" ph="1"/>
      <c r="C5" s="67" t="s" ph="1">
        <v>36</v>
      </c>
      <c r="D5" s="70" t="s" ph="1">
        <v>161</v>
      </c>
      <c r="E5" s="70" t="s" ph="1">
        <v>640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46" t="s" ph="1">
        <v>178</v>
      </c>
      <c r="D6" s="71">
        <v>2597</v>
      </c>
      <c r="E6" s="71">
        <v>8134</v>
      </c>
      <c r="F6" s="71">
        <v>6831</v>
      </c>
      <c r="G6" s="71">
        <v>4536</v>
      </c>
      <c r="H6" s="71">
        <v>2195</v>
      </c>
      <c r="I6" s="71">
        <v>51.82</v>
      </c>
      <c r="J6" s="71">
        <v>7.73</v>
      </c>
      <c r="K6" s="71">
        <v>6.92</v>
      </c>
      <c r="L6" s="71">
        <v>37.119999999999997</v>
      </c>
      <c r="M6" s="71">
        <v>4759</v>
      </c>
      <c r="N6" s="71">
        <v>2850</v>
      </c>
      <c r="O6" s="71">
        <v>3714</v>
      </c>
      <c r="P6" s="71">
        <v>751</v>
      </c>
      <c r="Q6" s="71">
        <v>3362</v>
      </c>
      <c r="R6" s="71">
        <v>6950</v>
      </c>
      <c r="S6" s="71">
        <v>3757</v>
      </c>
      <c r="T6" s="71">
        <v>5113</v>
      </c>
      <c r="U6" s="71">
        <v>1855</v>
      </c>
      <c r="V6" s="71">
        <v>0</v>
      </c>
      <c r="W6" s="71">
        <v>0</v>
      </c>
      <c r="X6" s="71">
        <v>0</v>
      </c>
      <c r="Y6" s="71">
        <v>0</v>
      </c>
      <c r="Z6" s="71">
        <v>1234</v>
      </c>
      <c r="AA6" s="71">
        <v>558</v>
      </c>
      <c r="AB6" s="71">
        <v>2913</v>
      </c>
      <c r="AC6" s="71">
        <v>3890</v>
      </c>
      <c r="AD6" s="71">
        <v>4417</v>
      </c>
      <c r="AE6" s="71">
        <v>2586</v>
      </c>
    </row>
    <row r="7" spans="1:99" s="72" customFormat="1" ht="22.4" ph="1">
      <c r="B7" s="237" ph="1"/>
      <c r="C7" s="68" t="s" ph="1">
        <v>179</v>
      </c>
      <c r="D7" s="73" ph="1">
        <f>D6*33.183*LOOKUP(D8,密度!$A$2:$A$50,密度!$Q$2:$Q$50)</f>
        <v>81000.505364940007</v>
      </c>
      <c r="E7" s="73" ph="1">
        <f>E6*51.53*LOOKUP(E8,密度!$A$2:$A$50,密度!$B$2:$B$50)</f>
        <v>324963.13400600001</v>
      </c>
      <c r="F7" s="73" ph="1">
        <f>F6*33.183*LOOKUP(F8,密度!$A$2:$A$50,密度!$C$2:$C$50)</f>
        <v>250677.75143070004</v>
      </c>
      <c r="G7" s="73" ph="1">
        <f xml:space="preserve"> (G6+2)*51.53*LOOKUP(G8,密度!$A$2:$A$50,密度!$B$2:$B$50)</f>
        <v>181509.04526800002</v>
      </c>
      <c r="H7" s="73" ph="1">
        <f>(H6)*51.53*LOOKUP(H8,密度!$A$2:$A$50,密度!$B$2:$B$50)</f>
        <v>88077.472144999992</v>
      </c>
      <c r="I7" s="73" ph="1">
        <f>I6*290.8*1.0267</f>
        <v>15471.605135200001</v>
      </c>
      <c r="J7" s="73" ph="1">
        <f>J6*290.8*0.7892</f>
        <v>1774.0300528</v>
      </c>
      <c r="K7" s="73" ph="1">
        <f>K6*290.8*1.1126</f>
        <v>2238.9250336</v>
      </c>
      <c r="L7" s="73" ph="1">
        <f>L6*290.8*0.777</f>
        <v>8387.3233920000002</v>
      </c>
      <c r="M7" s="73" ph="1">
        <f>M6*33.183*LOOKUP(M8,密度!$A$2:$A$50,密度!$D$2:$D$50)</f>
        <v>161249.96462669998</v>
      </c>
      <c r="N7" s="73" ph="1">
        <f>N6*33.183*LOOKUP(N8,密度!$A$2:$A$50,密度!$E$2:$E$50)</f>
        <v>73538.837279999992</v>
      </c>
      <c r="O7" s="73" ph="1">
        <f>O6*20.428*LOOKUP(O8,密度!$A$2:$A$50,密度!$C$2:$C$50)</f>
        <v>83524.83383280001</v>
      </c>
      <c r="P7" s="73" ph="1">
        <f>P6*51.53*LOOKUP(P8,密度!$A$2:$A$50,密度!$B$2:$B$50)</f>
        <v>30103.975437000001</v>
      </c>
      <c r="Q7" s="73" ph="1">
        <f>Q6*1.5*1.5*3.1416*LOOKUP(W8,密度!$A$2:$A$50,密度!$L$2:$L$50)</f>
        <v>22148.638142400003</v>
      </c>
      <c r="R7" s="73" ph="1">
        <f>R6*1.5*1.5*3.1416*LOOKUP(R8,密度!$A$2:$A$50,密度!$L$2:$L$50)</f>
        <v>45589.64256</v>
      </c>
      <c r="S7" s="73" ph="1">
        <f>S6*1.5*1.5*3.1416*LOOKUP(S8,密度!$A$2:$A$50,密度!$L$2:$L$50)</f>
        <v>24910.212927599998</v>
      </c>
      <c r="T7" s="73" ph="1">
        <f>T6*1.5*1.5*3.1416*LOOKUP(T8,密度!$A$2:$A$50,密度!$L$2:$L$50)</f>
        <v>33900.963188399997</v>
      </c>
      <c r="U7" s="73" ph="1">
        <f>U6*1.5*1.5*3.1416*LOOKUP(U8,密度!$A$2:$A$50,密度!$L$2:$L$50)</f>
        <v>12259.956555000001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38245.265748000005</v>
      </c>
      <c r="AA7" s="73" ph="1">
        <f>AA6*33.183*LOOKUP(AA8,密度!$A$2:$A$50,密度!$D$2:$D$50)</f>
        <v>18923.468508000002</v>
      </c>
      <c r="AB7" s="73" ph="1">
        <f>AB6*20.428*LOOKUP(AB8,密度!$A$2:$A$50,密度!$D$2:$D$50)</f>
        <v>61149.150686400004</v>
      </c>
      <c r="AC7" s="73" ph="1">
        <f>AC6*51.53*LOOKUP(AC8,密度!$A$2:$A$50,密度!$Q$2:$Q$50)</f>
        <v>189350.68485400002</v>
      </c>
      <c r="AD7" s="73" ph="1">
        <f>AD6*20.428*LOOKUP(AD8,密度!$A$2:$A$50,密度!$V$2:$V$50)</f>
        <v>86404.703817600006</v>
      </c>
      <c r="AE7" s="73" ph="1">
        <f>AE6*20.428</f>
        <v>52826.808000000005</v>
      </c>
    </row>
    <row r="8" spans="1:99" ph="1">
      <c r="B8" s="237" ph="1"/>
      <c r="C8" s="68" t="s" ph="1">
        <v>180</v>
      </c>
      <c r="D8" s="74">
        <v>35</v>
      </c>
      <c r="E8" s="74">
        <v>30</v>
      </c>
      <c r="F8" s="74">
        <v>29</v>
      </c>
      <c r="G8" s="74">
        <v>29</v>
      </c>
      <c r="H8" s="74">
        <v>26</v>
      </c>
      <c r="I8" s="74">
        <v>25</v>
      </c>
      <c r="J8" s="74">
        <v>25</v>
      </c>
      <c r="K8" s="74">
        <v>25</v>
      </c>
      <c r="L8" s="74">
        <v>25</v>
      </c>
      <c r="M8" s="74">
        <v>31</v>
      </c>
      <c r="N8" s="74">
        <v>30</v>
      </c>
      <c r="O8" s="74">
        <v>34</v>
      </c>
      <c r="P8" s="74">
        <v>27</v>
      </c>
      <c r="Q8" s="74">
        <v>30</v>
      </c>
      <c r="R8" s="74">
        <v>34</v>
      </c>
      <c r="S8" s="74">
        <v>24</v>
      </c>
      <c r="T8" s="74">
        <v>24</v>
      </c>
      <c r="U8" s="74">
        <v>27</v>
      </c>
      <c r="V8" s="74">
        <v>28</v>
      </c>
      <c r="W8" s="74">
        <v>30</v>
      </c>
      <c r="X8" s="74">
        <v>20</v>
      </c>
      <c r="Y8" s="74">
        <v>29</v>
      </c>
      <c r="Z8" s="74">
        <v>28</v>
      </c>
      <c r="AA8" s="74">
        <v>30</v>
      </c>
      <c r="AB8" s="74">
        <v>24</v>
      </c>
      <c r="AC8" s="74">
        <v>28</v>
      </c>
      <c r="AD8" s="74">
        <v>27</v>
      </c>
      <c r="AE8" s="74">
        <v>33</v>
      </c>
    </row>
    <row r="9" spans="1:99" ht="26.65" ph="1">
      <c r="B9" s="237" ph="1">
        <v>0.66666666666666663</v>
      </c>
      <c r="C9" s="146" t="s" ph="1">
        <v>181</v>
      </c>
      <c r="D9" s="71">
        <v>2915</v>
      </c>
      <c r="E9" s="71">
        <v>8134</v>
      </c>
      <c r="F9" s="71">
        <v>6833</v>
      </c>
      <c r="G9" s="71">
        <v>4537</v>
      </c>
      <c r="H9" s="71">
        <v>1943</v>
      </c>
      <c r="I9" s="71">
        <v>51.82</v>
      </c>
      <c r="J9" s="71">
        <v>7.73</v>
      </c>
      <c r="K9" s="71">
        <v>7.13</v>
      </c>
      <c r="L9" s="71">
        <v>18.649999999999999</v>
      </c>
      <c r="M9" s="71">
        <v>4759</v>
      </c>
      <c r="N9" s="71">
        <v>2584</v>
      </c>
      <c r="O9" s="71">
        <v>3715</v>
      </c>
      <c r="P9" s="71">
        <v>626</v>
      </c>
      <c r="Q9" s="71">
        <v>0</v>
      </c>
      <c r="R9" s="71">
        <v>6450</v>
      </c>
      <c r="S9" s="71">
        <v>3761</v>
      </c>
      <c r="T9" s="71">
        <v>5118</v>
      </c>
      <c r="U9" s="71">
        <v>4255</v>
      </c>
      <c r="V9" s="71">
        <v>0</v>
      </c>
      <c r="W9" s="71">
        <v>0</v>
      </c>
      <c r="X9" s="71">
        <v>0</v>
      </c>
      <c r="Y9" s="71">
        <v>0</v>
      </c>
      <c r="Z9" s="71">
        <v>2070</v>
      </c>
      <c r="AA9" s="71">
        <v>558</v>
      </c>
      <c r="AB9" s="71">
        <v>2670</v>
      </c>
      <c r="AC9" s="71">
        <v>4018</v>
      </c>
      <c r="AD9" s="71">
        <v>4422</v>
      </c>
      <c r="AE9" s="71">
        <v>2533</v>
      </c>
    </row>
    <row r="10" spans="1:99" s="72" customFormat="1" ht="22.4" ph="1">
      <c r="B10" s="237" ph="1"/>
      <c r="C10" s="146" t="s" ph="1">
        <v>179</v>
      </c>
      <c r="D10" s="73" ph="1">
        <f>D9*33.183*LOOKUP(D11,密度!$A$2:$A$50,密度!$Q$2:$Q$50)</f>
        <v>90857.028388499995</v>
      </c>
      <c r="E10" s="73" ph="1">
        <f>E9*51.53*LOOKUP(E11,密度!$A$2:$A$50,密度!$B$2:$B$50)</f>
        <v>323496.12643600005</v>
      </c>
      <c r="F10" s="73" ph="1">
        <f>F9*33.183*LOOKUP(F11,密度!$A$2:$A$50,密度!$C$2:$C$50)</f>
        <v>250343.01459990002</v>
      </c>
      <c r="G10" s="73" ph="1">
        <f xml:space="preserve"> (G9+2)*51.53*LOOKUP(G11,密度!$A$2:$A$50,密度!$B$2:$B$50)</f>
        <v>180917.527245</v>
      </c>
      <c r="H10" s="73" ph="1">
        <f>(H9)*51.53*LOOKUP(H11,密度!$A$2:$A$50,密度!$B$2:$B$50)</f>
        <v>77444.978065000003</v>
      </c>
      <c r="I10" s="73" ph="1">
        <f>I9*290.8*1.0267</f>
        <v>15471.605135200001</v>
      </c>
      <c r="J10" s="73" ph="1">
        <f>J9*290.8*0.7892</f>
        <v>1774.0300528</v>
      </c>
      <c r="K10" s="73" ph="1">
        <f>K9*290.8*1.1126</f>
        <v>2306.8692904</v>
      </c>
      <c r="L10" s="73" ph="1">
        <f>L9*290.8*0.777</f>
        <v>4213.9973399999999</v>
      </c>
      <c r="M10" s="73" ph="1">
        <f>M9*33.183*LOOKUP(M11,密度!$A$2:$A$50,密度!$D$2:$D$50)</f>
        <v>160412.99977260001</v>
      </c>
      <c r="N10" s="73" ph="1">
        <f>N9*33.183*LOOKUP(N11,密度!$A$2:$A$50,密度!$E$2:$E$50)</f>
        <v>66382.822453680012</v>
      </c>
      <c r="O10" s="73" ph="1">
        <f>O9*20.428*LOOKUP(O11,密度!$A$2:$A$50,密度!$C$2:$C$50)</f>
        <v>83312.063956000013</v>
      </c>
      <c r="P10" s="73" ph="1">
        <f>P9*51.53*LOOKUP(P11,密度!$A$2:$A$50,密度!$B$2:$B$50)</f>
        <v>24896.554604000004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42264.219690000005</v>
      </c>
      <c r="S10" s="73" ph="1">
        <f>S9*1.5*1.5*3.1416*LOOKUP(S11,密度!$A$2:$A$50,密度!$L$2:$L$50)</f>
        <v>24883.564305600001</v>
      </c>
      <c r="T10" s="73" ph="1">
        <f>T9*1.5*1.5*3.1416*LOOKUP(T11,密度!$A$2:$A$50,密度!$L$2:$L$50)</f>
        <v>33861.760732800001</v>
      </c>
      <c r="U10" s="73" ph="1">
        <f>U9*1.5*1.5*3.1416*LOOKUP(U11,密度!$A$2:$A$50,密度!$L$2:$L$50)</f>
        <v>28121.894955000003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63674.526870000002</v>
      </c>
      <c r="AA10" s="73" ph="1">
        <f>AA9*33.183*LOOKUP(AA11,密度!$A$2:$A$50,密度!$D$2:$D$50)</f>
        <v>18841.997606400004</v>
      </c>
      <c r="AB10" s="73" ph="1">
        <f>AB9*20.428*LOOKUP(AB11,密度!$A$2:$A$50,密度!$D$2:$D$50)</f>
        <v>55949.963208000001</v>
      </c>
      <c r="AC10" s="73" ph="1">
        <f>AC9*51.53*LOOKUP(AC11,密度!$A$2:$A$50,密度!$Q$2:$Q$50)</f>
        <v>195018.077926</v>
      </c>
      <c r="AD10" s="73" ph="1">
        <f>AD9*20.428*LOOKUP(AD11,密度!$A$2:$A$50,密度!$V$2:$V$50)</f>
        <v>86502.513081600016</v>
      </c>
      <c r="AE10" s="73" ph="1">
        <f>AE9*20.428</f>
        <v>51744.124000000003</v>
      </c>
    </row>
    <row r="11" spans="1:99" ph="1">
      <c r="A11" s="64" t="s" ph="1">
        <v>163</v>
      </c>
      <c r="B11" s="237" ph="1"/>
      <c r="C11" s="146" t="s" ph="1">
        <v>180</v>
      </c>
      <c r="D11" s="74">
        <v>36</v>
      </c>
      <c r="E11" s="74">
        <v>34</v>
      </c>
      <c r="F11" s="74">
        <v>31</v>
      </c>
      <c r="G11" s="74">
        <v>32</v>
      </c>
      <c r="H11" s="74">
        <v>32</v>
      </c>
      <c r="I11" s="74">
        <v>25</v>
      </c>
      <c r="J11" s="74">
        <v>25</v>
      </c>
      <c r="K11" s="74">
        <v>25</v>
      </c>
      <c r="L11" s="74">
        <v>25</v>
      </c>
      <c r="M11" s="74">
        <v>37</v>
      </c>
      <c r="N11" s="74">
        <v>33</v>
      </c>
      <c r="O11" s="74">
        <v>37</v>
      </c>
      <c r="P11" s="74">
        <v>34</v>
      </c>
      <c r="Q11" s="74">
        <v>39</v>
      </c>
      <c r="R11" s="74">
        <v>35</v>
      </c>
      <c r="S11" s="74">
        <v>26</v>
      </c>
      <c r="T11" s="74">
        <v>26</v>
      </c>
      <c r="U11" s="74">
        <v>27</v>
      </c>
      <c r="V11" s="74">
        <v>28</v>
      </c>
      <c r="W11" s="74">
        <v>41</v>
      </c>
      <c r="X11" s="74">
        <v>27</v>
      </c>
      <c r="Y11" s="74">
        <v>35</v>
      </c>
      <c r="Z11" s="74">
        <v>35</v>
      </c>
      <c r="AA11" s="74">
        <v>35</v>
      </c>
      <c r="AB11" s="74">
        <v>26</v>
      </c>
      <c r="AC11" s="74">
        <v>32</v>
      </c>
      <c r="AD11" s="74">
        <v>34</v>
      </c>
      <c r="AE11" s="74">
        <v>35</v>
      </c>
    </row>
    <row r="12" spans="1:99" ht="9.85" customHeight="1" ph="1"/>
    <row r="13" spans="1:99" s="72" customFormat="1" ht="29.2" customHeight="1" ph="1">
      <c r="B13" s="214" t="s" ph="1">
        <v>37</v>
      </c>
      <c r="C13" s="146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.2" ph="1">
      <c r="B14" s="215" ph="1"/>
      <c r="C14" s="67" t="s" ph="1">
        <v>36</v>
      </c>
      <c r="D14" s="77" t="s" ph="1">
        <v>622</v>
      </c>
      <c r="E14" s="77" t="s" ph="1">
        <v>622</v>
      </c>
      <c r="F14" s="150" t="s" ph="1">
        <v>646</v>
      </c>
      <c r="G14" s="77" t="s" ph="1">
        <v>623</v>
      </c>
      <c r="H14" s="77" t="s" ph="1">
        <v>624</v>
      </c>
      <c r="I14" s="140" t="s" ph="1">
        <v>625</v>
      </c>
      <c r="J14" s="77" t="s" ph="1">
        <v>626</v>
      </c>
      <c r="K14" s="77" t="s" ph="1">
        <v>187</v>
      </c>
      <c r="L14" s="77" t="s" ph="1">
        <v>41</v>
      </c>
      <c r="M14" s="104" t="s" ph="1">
        <v>627</v>
      </c>
      <c r="N14" s="104" t="s" ph="1">
        <v>628</v>
      </c>
      <c r="O14" s="104" t="s" ph="1">
        <v>626</v>
      </c>
      <c r="P14" s="77" t="s" ph="1">
        <v>629</v>
      </c>
      <c r="Q14" s="77" t="s" ph="1">
        <v>629</v>
      </c>
      <c r="R14" s="88" t="s" ph="1">
        <v>640</v>
      </c>
      <c r="S14" s="77" t="s" ph="1">
        <v>71</v>
      </c>
      <c r="T14" s="77" t="s" ph="1">
        <v>631</v>
      </c>
      <c r="U14" s="77" t="s" ph="1">
        <v>610</v>
      </c>
      <c r="V14" s="77" t="s" ph="1">
        <v>110</v>
      </c>
      <c r="W14" s="77" t="s" ph="1">
        <v>629</v>
      </c>
      <c r="X14" s="77" t="s" ph="1">
        <v>632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16" ph="1">
        <v>0.33333333333333331</v>
      </c>
      <c r="C15" s="146" t="s" ph="1">
        <v>178</v>
      </c>
      <c r="D15" s="78">
        <v>2312</v>
      </c>
      <c r="E15" s="78">
        <v>1686</v>
      </c>
      <c r="F15" s="78">
        <v>1319</v>
      </c>
      <c r="G15" s="78">
        <v>4167</v>
      </c>
      <c r="H15" s="78">
        <v>0</v>
      </c>
      <c r="I15" s="78">
        <v>5283</v>
      </c>
      <c r="J15" s="78">
        <v>165</v>
      </c>
      <c r="K15" s="78">
        <v>2584</v>
      </c>
      <c r="L15" s="78">
        <v>4805</v>
      </c>
      <c r="M15" s="78">
        <v>5889</v>
      </c>
      <c r="N15" s="78">
        <v>682</v>
      </c>
      <c r="O15" s="78">
        <v>3488</v>
      </c>
      <c r="P15" s="78">
        <v>7026</v>
      </c>
      <c r="Q15" s="78">
        <v>5240</v>
      </c>
      <c r="R15" s="78">
        <v>3520</v>
      </c>
      <c r="S15" s="78">
        <v>0</v>
      </c>
      <c r="T15" s="78">
        <v>278</v>
      </c>
      <c r="U15" s="78">
        <v>5495</v>
      </c>
      <c r="V15" s="78">
        <v>3198</v>
      </c>
      <c r="W15" s="71">
        <v>3862</v>
      </c>
      <c r="X15" s="78">
        <v>-90</v>
      </c>
      <c r="Y15" s="106">
        <v>-9905</v>
      </c>
      <c r="Z15" s="78">
        <v>0</v>
      </c>
      <c r="AA15" s="78">
        <v>0</v>
      </c>
      <c r="AB15" s="78" ph="1">
        <v>4</v>
      </c>
      <c r="AC15" s="78" ph="1">
        <v>0</v>
      </c>
      <c r="AD15" s="78">
        <v>74.56</v>
      </c>
      <c r="AE15" s="78">
        <v>5.43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4" ph="1">
      <c r="B16" s="217" ph="1"/>
      <c r="C16" s="146" t="s" ph="1">
        <v>179</v>
      </c>
      <c r="D16" s="73" ph="1">
        <f>D15*7.0686*LOOKUP(D17,密度!$A$2:$A$50,密度!$L$2:$L$50)</f>
        <v>15198.620976</v>
      </c>
      <c r="E16" s="73" ph="1">
        <f>E15*7.0686*LOOKUP(E17,密度!$A$2:$A$50,密度!$L$2:$L$50)</f>
        <v>11083.423428000002</v>
      </c>
      <c r="F16" s="73" ph="1">
        <f>F15*9.0746*LOOKUP(F17,密度!$A$2:$A$50,密度!$L$2:$L$50)</f>
        <v>11107.600787200001</v>
      </c>
      <c r="G16" s="73" ph="1">
        <f>G15*9.0746*LOOKUP(G17,密度!$A$2:$A$50,密度!$B$2:$B$50)</f>
        <v>29381.367821400003</v>
      </c>
      <c r="H16" s="73" ph="1">
        <f>H15*9.0746*LOOKUP(H17,密度!$A$2:$A$50,密度!$L$2:$L$50)</f>
        <v>0</v>
      </c>
      <c r="I16" s="73" ph="1">
        <f>I15*9.0746*LOOKUP(I17,密度!$A$2:$A$50,密度!$U$2:$U$50)</f>
        <v>48995.816259599997</v>
      </c>
      <c r="J16" s="73" ph="1">
        <f>J15*9.0746*LOOKUP(J17,密度!$A$2:$A$50,密度!$L$2:$L$50)</f>
        <v>1395.491988</v>
      </c>
      <c r="K16" s="73" ph="1">
        <f>K15*9.0746*LOOKUP(K17,密度!$A$2:$A$50,密度!$C$2:$C$50)</f>
        <v>25931.990761760004</v>
      </c>
      <c r="L16" s="73" ph="1">
        <f>L15*9.0746*LOOKUP(L17,密度!$A$2:$A$50,密度!$E$2:$E$50)</f>
        <v>33806.62917996</v>
      </c>
      <c r="M16" s="73" ph="1">
        <f>M15*9.0746*LOOKUP(M17,密度!$A$2:$A$50,密度!$M$2:$M$50)</f>
        <v>46320.465646338002</v>
      </c>
      <c r="N16" s="73" ph="1">
        <f>N15*9.0746*LOOKUP(N17,密度!$A$2:$A$50,密度!$M$2:$M$50)</f>
        <v>5409.6975605199996</v>
      </c>
      <c r="O16" s="73" ph="1">
        <f>O15*9.0746*LOOKUP(O17,密度!$A$2:$A$50,密度!$G$2:$G$50)</f>
        <v>30218.359922560001</v>
      </c>
      <c r="P16" s="73" ph="1">
        <f ca="1">P15*9.0746*LOOKUP(P17,密度!$A$2:$A$51,密度!$Q$2:$Q$50)</f>
        <v>60097.147224168002</v>
      </c>
      <c r="Q16" s="73" ph="1">
        <f>Q15*9.0746*LOOKUP(Q17,密度!$A$2:$A$50,密度!$Q$2:$Q$50)</f>
        <v>44788.196477600002</v>
      </c>
      <c r="R16" s="73" ph="1">
        <f>MAX(R15*9.0746*LOOKUP(R17,密度!$A$2:$A$50,密度!$B$2:$B$50),0)</f>
        <v>24765.0915776</v>
      </c>
      <c r="S16" s="73" ph="1">
        <f>S15*9.0746*LOOKUP(S17,密度!$A$2:$A$50,密度!$Q$2:$Q$50)</f>
        <v>0</v>
      </c>
      <c r="T16" s="73" ph="1">
        <f>T15*9.0746*LOOKUP(T17,密度!$A$2:$A$50,密度!$O$2:$O$50)</f>
        <v>2336.0561288000004</v>
      </c>
      <c r="U16" s="73" ph="1">
        <f>U15*9.0746*LOOKUP(U17,密度!$A$2:$A$50,密度!$H$2:$H$50)</f>
        <v>45377.083570000003</v>
      </c>
      <c r="V16" s="73" ph="1">
        <f>MAX(5600*LOOKUP(V17,密度!$A$2:$A$50,密度!$Q$2:$Q$50)+V15*9.0476*LOOKUP(V17,密度!$A$2:$A$50,密度!$Q$2:$Q$50),0)</f>
        <v>32460.099258511997</v>
      </c>
      <c r="W16" s="73" ph="1">
        <f>MAX(5600*LOOKUP(W17,密度!$A$2:$A$50,密度!$Q$2:$Q$50)+W15*9.0476*LOOKUP(W17,密度!$A$2:$A$50,密度!$Q$2:$Q$50),0)</f>
        <v>38133.241008408004</v>
      </c>
      <c r="X16" s="73" ph="1">
        <f>MAX(5600*LOOKUP(X17,密度!$A$2:$A$50,密度!$I$2:$I$50)+X15*9.0476*LOOKUP(X17,密度!$A$2:$A$50,密度!$I$2:$I$50),0)</f>
        <v>4955.6567751599996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0</v>
      </c>
      <c r="AB16" s="73" ph="1">
        <f>AB15*9.0746*LOOKUP(AB17,密度!$A$2:$A$50,密度!$L$2:$L$50)</f>
        <v>33.866407200000005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16838.409511679998</v>
      </c>
      <c r="AE16" s="73" ph="1">
        <f>AE15*268.68*LOOKUP(AE17,密度!$A$2:$A$50,密度!B2:B50)+IF(AE15&lt;=0,0,1566*LOOKUP(AE17,密度!$A$2:$A$50,密度!B2:B50))</f>
        <v>2358.2372990399999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18" ph="1"/>
      <c r="C17" s="79" t="s" ph="1">
        <v>180</v>
      </c>
      <c r="D17" s="74">
        <v>32</v>
      </c>
      <c r="E17" s="74">
        <v>32</v>
      </c>
      <c r="F17" s="74">
        <v>34</v>
      </c>
      <c r="G17" s="74">
        <v>28</v>
      </c>
      <c r="H17" s="74">
        <v>25</v>
      </c>
      <c r="I17" s="74">
        <v>28</v>
      </c>
      <c r="J17" s="74">
        <v>30</v>
      </c>
      <c r="K17" s="74">
        <v>29</v>
      </c>
      <c r="L17" s="74">
        <v>32</v>
      </c>
      <c r="M17" s="74">
        <v>33</v>
      </c>
      <c r="N17" s="74">
        <v>26</v>
      </c>
      <c r="O17" s="74">
        <v>30</v>
      </c>
      <c r="P17" s="74">
        <v>31</v>
      </c>
      <c r="Q17" s="74">
        <v>32</v>
      </c>
      <c r="R17" s="74">
        <v>30</v>
      </c>
      <c r="S17" s="74">
        <v>30</v>
      </c>
      <c r="T17" s="74">
        <v>27</v>
      </c>
      <c r="U17" s="74">
        <v>30</v>
      </c>
      <c r="V17" s="74">
        <v>35</v>
      </c>
      <c r="W17" s="74">
        <v>34</v>
      </c>
      <c r="X17" s="74">
        <v>31</v>
      </c>
      <c r="Y17" s="108">
        <v>31</v>
      </c>
      <c r="Z17" s="74">
        <v>29</v>
      </c>
      <c r="AA17" s="74">
        <v>27</v>
      </c>
      <c r="AB17" s="74">
        <v>29</v>
      </c>
      <c r="AC17" s="74">
        <v>28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65" ph="1">
      <c r="B18" s="216" ph="1">
        <v>0.66666666666666663</v>
      </c>
      <c r="C18" s="79" t="s" ph="1">
        <v>181</v>
      </c>
      <c r="D18" s="71">
        <v>0</v>
      </c>
      <c r="E18" s="71">
        <v>2584</v>
      </c>
      <c r="F18" s="71">
        <v>1405</v>
      </c>
      <c r="G18" s="71">
        <v>4199</v>
      </c>
      <c r="H18" s="71">
        <v>0</v>
      </c>
      <c r="I18" s="71">
        <v>5287</v>
      </c>
      <c r="J18" s="71">
        <v>165</v>
      </c>
      <c r="K18" s="71">
        <v>2584</v>
      </c>
      <c r="L18" s="71">
        <v>4815</v>
      </c>
      <c r="M18" s="71">
        <v>2978</v>
      </c>
      <c r="N18" s="71">
        <v>1533</v>
      </c>
      <c r="O18" s="71">
        <v>3876</v>
      </c>
      <c r="P18" s="71">
        <v>7032</v>
      </c>
      <c r="Q18" s="71">
        <v>5244</v>
      </c>
      <c r="R18" s="71">
        <v>2030</v>
      </c>
      <c r="S18" s="71">
        <v>0</v>
      </c>
      <c r="T18" s="71">
        <v>6014</v>
      </c>
      <c r="U18" s="71">
        <v>1437</v>
      </c>
      <c r="V18" s="71">
        <v>3198</v>
      </c>
      <c r="W18" s="71">
        <v>3863</v>
      </c>
      <c r="X18" s="71">
        <v>-89</v>
      </c>
      <c r="Y18" s="109">
        <v>-9905</v>
      </c>
      <c r="Z18" s="71">
        <v>1</v>
      </c>
      <c r="AA18" s="71">
        <v>0</v>
      </c>
      <c r="AB18" s="71">
        <v>6</v>
      </c>
      <c r="AC18" s="71">
        <v>0</v>
      </c>
      <c r="AD18" s="71">
        <v>84.56</v>
      </c>
      <c r="AE18" s="71">
        <v>32.68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4" ph="1">
      <c r="B19" s="217" ph="1"/>
      <c r="C19" s="146" t="s" ph="1">
        <v>179</v>
      </c>
      <c r="D19" s="73" ph="1">
        <f>D18*7.0686*LOOKUP(D20,密度!$A$2:$A$50,密度!$L$2:$L$50)</f>
        <v>0</v>
      </c>
      <c r="E19" s="73" ph="1">
        <f>E18*7.0686*LOOKUP(E20,密度!$A$2:$A$50,密度!$L$2:$L$50)</f>
        <v>16968.428769599999</v>
      </c>
      <c r="F19" s="73" ph="1">
        <f>F18*9.0746*LOOKUP(F20,密度!$A$2:$A$50,密度!$L$2:$L$50)</f>
        <v>11819.076651000001</v>
      </c>
      <c r="G19" s="73" ph="1">
        <f>G18*9.0746*LOOKUP(G20,密度!$A$2:$A$50,密度!$B$2:$B$50)</f>
        <v>29507.92763776</v>
      </c>
      <c r="H19" s="73" ph="1">
        <f>H18*9.0746*LOOKUP(H20,密度!$A$2:$A$50,密度!$L$2:$L$50)</f>
        <v>0</v>
      </c>
      <c r="I19" s="73" ph="1">
        <f>I18*9.0746*LOOKUP(I20,密度!$A$2:$A$50,密度!$U$2:$U$50)</f>
        <v>48745.0487632</v>
      </c>
      <c r="J19" s="73" ph="1">
        <f>J18*9.0746*LOOKUP(J20,密度!$A$2:$A$50,密度!$L$2:$L$50)</f>
        <v>1388.005443</v>
      </c>
      <c r="K19" s="73" ph="1">
        <f>K18*9.0746*LOOKUP(K20,密度!$A$2:$A$50,密度!$C$2:$C$50)</f>
        <v>25791.298163360003</v>
      </c>
      <c r="L19" s="73" ph="1">
        <f>L18*9.0746*LOOKUP(L20,密度!$A$2:$A$50,密度!$E$2:$E$50)</f>
        <v>33728.863034070004</v>
      </c>
      <c r="M19" s="73" ph="1">
        <f>M18*9.0746*LOOKUP(M20,密度!$A$2:$A$50,密度!$M$2:$M$50)</f>
        <v>23338.604022856001</v>
      </c>
      <c r="N19" s="73" ph="1">
        <f>N18*9.0746*LOOKUP(N20,密度!$A$2:$A$50,密度!$M$2:$M$50)</f>
        <v>12101.493629820001</v>
      </c>
      <c r="O19" s="73" ph="1">
        <f>O18*9.0746*LOOKUP(O20,密度!$A$2:$A$50,密度!$G$2:$G$50)</f>
        <v>33432.078694800002</v>
      </c>
      <c r="P19" s="73" ph="1">
        <f ca="1">P18*9.0746*LOOKUP(P20,密度!$A$2:$A$51,密度!$Q$2:$Q$50)</f>
        <v>60063.597702000006</v>
      </c>
      <c r="Q19" s="73" ph="1">
        <f>Q18*9.0746*LOOKUP(Q20,密度!$A$2:$A$50,密度!$Q$2:$Q$50)</f>
        <v>44791.454259000006</v>
      </c>
      <c r="R19" s="73" ph="1">
        <f>MAX(R18*9.0746*LOOKUP(R20,密度!$A$2:$A$50,密度!$B$2:$B$50),0)</f>
        <v>14234.245142600003</v>
      </c>
      <c r="S19" s="73" ph="1">
        <f>S18*9.0746*LOOKUP(S20,密度!$A$2:$A$50,密度!$Q$2:$Q$50)</f>
        <v>0</v>
      </c>
      <c r="T19" s="73" ph="1">
        <f>T18*9.0746*LOOKUP(T20,密度!$A$2:$A$50,密度!$O$2:$O$50)</f>
        <v>50361.481852320001</v>
      </c>
      <c r="U19" s="73" ph="1">
        <f>U18*9.0746*LOOKUP(U20,密度!$A$2:$A$50,密度!$H$2:$H$50)</f>
        <v>11828.896003422</v>
      </c>
      <c r="V19" s="73" ph="1">
        <f>MAX(5600*LOOKUP(V20,密度!$A$2:$A$50,密度!$Q$2:$Q$50)+V18*9.0476*LOOKUP(V20,密度!$A$2:$A$50,密度!$Q$2:$Q$50),0)</f>
        <v>32460.099258511997</v>
      </c>
      <c r="W19" s="73" ph="1">
        <f>MAX(5600*LOOKUP(W20,密度!$A$2:$A$50,密度!$Q$2:$Q$50)+W18*9.0476*LOOKUP(W20,密度!$A$2:$A$50,密度!$Q$2:$Q$50),0)</f>
        <v>38037.535331975996</v>
      </c>
      <c r="X19" s="73" ph="1">
        <f>MAX(5600*LOOKUP(X20,密度!$A$2:$A$50,密度!$I$2:$I$50)+X18*9.0476*LOOKUP(X20,密度!$A$2:$A$50,密度!$I$2:$I$50),0)</f>
        <v>4954.3812802439998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9.2424800999999999</v>
      </c>
      <c r="AA19" s="73" ph="1">
        <f>AA18*9.0746*LOOKUP(AA20,密度!$A$2:$A$50,密度!$B$2:$B$50)</f>
        <v>0</v>
      </c>
      <c r="AB19" s="73" ph="1">
        <f>AB18*9.0746*LOOKUP(AB20,密度!$A$2:$A$50,密度!$L$2:$L$50)</f>
        <v>50.527372800000002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18869.896281599998</v>
      </c>
      <c r="AE19" s="73" ph="1">
        <f>AE18*268.68*LOOKUP(AE20,密度!$A$2:$A$50,密度!B5:B53)+IF(AE18&lt;=0,0,1566*LOOKUP(AE20,密度!$A$2:$A$50,密度!B5:B53))</f>
        <v>8039.2012848000004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17" ph="1"/>
      <c r="C20" s="80" t="s" ph="1">
        <v>180</v>
      </c>
      <c r="D20" s="81">
        <v>33</v>
      </c>
      <c r="E20" s="81">
        <v>33</v>
      </c>
      <c r="F20" s="81">
        <v>35</v>
      </c>
      <c r="G20" s="81">
        <v>31</v>
      </c>
      <c r="H20" s="81">
        <v>34</v>
      </c>
      <c r="I20" s="81">
        <v>34</v>
      </c>
      <c r="J20" s="81">
        <v>35</v>
      </c>
      <c r="K20" s="81">
        <v>35</v>
      </c>
      <c r="L20" s="81">
        <v>35</v>
      </c>
      <c r="M20" s="81">
        <v>36</v>
      </c>
      <c r="N20" s="81">
        <v>30</v>
      </c>
      <c r="O20" s="81">
        <v>34</v>
      </c>
      <c r="P20" s="81">
        <v>33</v>
      </c>
      <c r="Q20" s="81">
        <v>33</v>
      </c>
      <c r="R20" s="81">
        <v>33</v>
      </c>
      <c r="S20" s="81">
        <v>35</v>
      </c>
      <c r="T20" s="81">
        <v>31</v>
      </c>
      <c r="U20" s="81">
        <v>33</v>
      </c>
      <c r="V20" s="81">
        <v>35</v>
      </c>
      <c r="W20" s="81">
        <v>38</v>
      </c>
      <c r="X20" s="81">
        <v>33</v>
      </c>
      <c r="Y20" s="110">
        <v>33</v>
      </c>
      <c r="Z20" s="81">
        <v>34</v>
      </c>
      <c r="AA20" s="81">
        <v>33</v>
      </c>
      <c r="AB20" s="81">
        <v>34</v>
      </c>
      <c r="AC20" s="81">
        <v>33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15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633</v>
      </c>
      <c r="H23" s="88" t="s" ph="1">
        <v>633</v>
      </c>
      <c r="I23" s="88" t="s" ph="1">
        <v>634</v>
      </c>
      <c r="J23" s="88" t="s" ph="1">
        <v>635</v>
      </c>
      <c r="K23" s="88" t="s" ph="1">
        <v>635</v>
      </c>
      <c r="L23" s="88" t="s" ph="1">
        <v>635</v>
      </c>
      <c r="M23" s="88" t="s" ph="1">
        <v>630</v>
      </c>
      <c r="N23" s="88" t="s" ph="1">
        <v>630</v>
      </c>
      <c r="O23" s="88" t="s" ph="1">
        <v>321</v>
      </c>
      <c r="P23" s="88" t="s" ph="1">
        <v>637</v>
      </c>
      <c r="Q23" s="89" t="s" ph="1">
        <v>637</v>
      </c>
      <c r="R23" s="88" t="s" ph="1">
        <v>616</v>
      </c>
      <c r="S23" s="88" t="s" ph="1">
        <v>636</v>
      </c>
      <c r="T23" s="88" t="s" ph="1">
        <v>607</v>
      </c>
      <c r="U23" s="88" t="s" ph="1">
        <v>611</v>
      </c>
      <c r="V23" s="88" t="s" ph="1">
        <v>637</v>
      </c>
      <c r="W23" s="88" t="s" ph="1">
        <v>637</v>
      </c>
      <c r="X23" s="88" t="s" ph="1">
        <v>190</v>
      </c>
      <c r="Y23" s="88" t="s" ph="1">
        <v>638</v>
      </c>
      <c r="Z23" s="228" t="s" ph="1">
        <v>641</v>
      </c>
      <c r="AA23" s="229"/>
      <c r="AB23" s="229"/>
      <c r="AC23" s="229"/>
      <c r="AD23" s="229"/>
      <c r="AE23" s="230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37" ph="1">
        <v>0.33333333333333331</v>
      </c>
      <c r="C24" s="146" t="s" ph="1">
        <v>178</v>
      </c>
      <c r="D24" s="71">
        <v>86.01</v>
      </c>
      <c r="E24" s="71">
        <v>4.45</v>
      </c>
      <c r="F24" s="71">
        <v>3855</v>
      </c>
      <c r="G24" s="71">
        <v>1995</v>
      </c>
      <c r="H24" s="71">
        <v>3905</v>
      </c>
      <c r="I24" s="71">
        <v>2272</v>
      </c>
      <c r="J24" s="71">
        <v>4835</v>
      </c>
      <c r="K24" s="71">
        <v>5519</v>
      </c>
      <c r="L24" s="71">
        <v>5624</v>
      </c>
      <c r="M24" s="71">
        <v>2630</v>
      </c>
      <c r="N24" s="71">
        <v>1355</v>
      </c>
      <c r="O24" s="71">
        <v>5167</v>
      </c>
      <c r="P24" s="71">
        <v>3221</v>
      </c>
      <c r="Q24" s="90">
        <v>1278</v>
      </c>
      <c r="R24" s="71">
        <v>69</v>
      </c>
      <c r="S24" s="71">
        <v>6332</v>
      </c>
      <c r="T24" s="71">
        <v>1766</v>
      </c>
      <c r="U24" s="71">
        <v>6512</v>
      </c>
      <c r="V24" s="71">
        <v>9619</v>
      </c>
      <c r="W24" s="71">
        <v>10777</v>
      </c>
      <c r="X24" s="71">
        <v>3261</v>
      </c>
      <c r="Y24" s="71">
        <v>6033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37" ph="1"/>
      <c r="C25" s="68" t="s" ph="1">
        <v>179</v>
      </c>
      <c r="D25" s="91" ph="1">
        <f>D24*268.68*LOOKUP(D26,密度!$A$2:$A$50,密度!$Q$2:$Q$50)+IF(D24&lt;=0,0,1566*LOOKUP(D26,密度!$A$2:$A$50,密度!$Q$2:$Q$50))</f>
        <v>23360.967416232004</v>
      </c>
      <c r="E25" s="91" ph="1">
        <f>E24*268.68*LOOKUP(E26,密度!$A$2:$A$50,密度!$C$2:$C$50)+IF(E24&lt;=0,0,1566*LOOKUP(E26,密度!$A$2:$A$50,密度!$C$2:$C$50))</f>
        <v>3062.3670714</v>
      </c>
      <c r="F25" s="91" ph="1">
        <f>F24*11.702*LOOKUP(F26,密度!$A$2:$A$50,密度!$Q$2:$Q$50)</f>
        <v>42612.951190200001</v>
      </c>
      <c r="G25" s="91" ph="1">
        <f>G24*18.322*LOOKUP(G26,密度!$A$2:$A$50,密度!$B$2:$B$50)</f>
        <v>28371.965118</v>
      </c>
      <c r="H25" s="91" ph="1">
        <f>H24*18.322*LOOKUP(H26,密度!$A$2:$A$50,密度!$B$2:$B$50)</f>
        <v>55535.099642000001</v>
      </c>
      <c r="I25" s="91" ph="1">
        <f>I24*18.322*LOOKUP(I26,密度!$A$2:$A$50,密度!$Q$2:$Q$50)</f>
        <v>39237.328126719993</v>
      </c>
      <c r="J25" s="91" ph="1">
        <f>J24*18.322*LOOKUP(J26,密度!$A$2:$A$50,密度!$Q$2:$Q$50)</f>
        <v>83680.929139400003</v>
      </c>
      <c r="K25" s="91" ph="1">
        <f>K24*18.322*LOOKUP(K26,密度!$A$2:$A$50,密度!$Q$2:$Q$50)</f>
        <v>95449.369053740011</v>
      </c>
      <c r="L25" s="91" ph="1">
        <f>L24*18.322*LOOKUP(L26,密度!$A$2:$A$50,密度!$Q$2:$Q$50)</f>
        <v>97265.311027040007</v>
      </c>
      <c r="M25" s="91" ph="1">
        <f>M24*18.322*LOOKUP(M26,密度!$A$2:$A$50,密度!$Q$2:$Q$50)</f>
        <v>45456.110643799999</v>
      </c>
      <c r="N25" s="91" ph="1">
        <f>N24*18.322*LOOKUP(N26,密度!$A$2:$A$50,密度!$Q$2:$Q$50)</f>
        <v>23419.403012299997</v>
      </c>
      <c r="O25" s="91" ph="1">
        <f>O24*18.322*LOOKUP(O26,密度!$A$2:$A$50,密度!$C$2:$C$50)</f>
        <v>104619.56724739999</v>
      </c>
      <c r="P25" s="91" ph="1">
        <f>P24*11.702*LOOKUP(P26,密度!$A$2:$A$50,密度!$B$2:$B$50)</f>
        <v>29286.794334000002</v>
      </c>
      <c r="Q25" s="92" ph="1">
        <f>Q24*18.322*LOOKUP(Q26,密度!$A$2:$A$50,密度!$B$2:$B$50)</f>
        <v>18154.0495548</v>
      </c>
      <c r="R25" s="91" ph="1">
        <f>R24*35.891*LOOKUP(R26,密度!$A$2:$A$50,密度!$C$2:$C$50)</f>
        <v>2736.7569428999996</v>
      </c>
      <c r="S25" s="91" ph="1">
        <f>S24*35.891*LOOKUP(S26,密度!$A$2:$A$50,密度!$B$2:$B$50)</f>
        <v>176196.08284359999</v>
      </c>
      <c r="T25" s="91" ph="1">
        <f>T24*35.891*LOOKUP(T26,密度!$A$2:$A$50,密度!$Q$2:$Q$50)</f>
        <v>59659.725022499995</v>
      </c>
      <c r="U25" s="91" ph="1">
        <f>U24*35.891</f>
        <v>233722.19199999998</v>
      </c>
      <c r="V25" s="91" ph="1">
        <f>V24*47.051*LOOKUP(V26,密度!$A$2:$A$50,密度!$B$2:$B$50)</f>
        <v>351657.43311300001</v>
      </c>
      <c r="W25" s="91" ph="1">
        <f>W24*47.051*LOOKUP(W26,密度!$A$2:$A$50,密度!$B$2:$B$50)</f>
        <v>393992.32317900006</v>
      </c>
      <c r="X25" s="91" ph="1">
        <f>X24*47.051*LOOKUP(X26,密度!$A$2:$A$50,密度!$I$2:$I$50)</f>
        <v>159217.74682470004</v>
      </c>
      <c r="Y25" s="91" ph="1">
        <f>Y24*47.051*LOOKUP(Y26,密度!$A$2:$A$50,密度!$L$2:$L$50)</f>
        <v>264556.29255600006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37" ph="1"/>
      <c r="C26" s="68" t="s" ph="1">
        <v>180</v>
      </c>
      <c r="D26" s="74">
        <v>25</v>
      </c>
      <c r="E26" s="74">
        <v>25</v>
      </c>
      <c r="F26" s="74">
        <v>28</v>
      </c>
      <c r="G26" s="74">
        <v>29</v>
      </c>
      <c r="H26" s="74">
        <v>29</v>
      </c>
      <c r="I26" s="74">
        <v>31</v>
      </c>
      <c r="J26" s="74">
        <v>28</v>
      </c>
      <c r="K26" s="74">
        <v>29</v>
      </c>
      <c r="L26" s="74">
        <v>29</v>
      </c>
      <c r="M26" s="74">
        <v>30</v>
      </c>
      <c r="N26" s="74">
        <v>30</v>
      </c>
      <c r="O26" s="74">
        <v>30</v>
      </c>
      <c r="P26" s="74">
        <v>28</v>
      </c>
      <c r="Q26" s="93">
        <v>30</v>
      </c>
      <c r="R26" s="74">
        <v>30</v>
      </c>
      <c r="S26" s="74">
        <v>30</v>
      </c>
      <c r="T26" s="74">
        <v>33</v>
      </c>
      <c r="U26" s="74">
        <v>31</v>
      </c>
      <c r="V26" s="74">
        <v>28</v>
      </c>
      <c r="W26" s="74">
        <v>28</v>
      </c>
      <c r="X26" s="74">
        <v>29</v>
      </c>
      <c r="Y26" s="74">
        <v>30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65" ph="1">
      <c r="A27" s="72" ph="1"/>
      <c r="B27" s="237" ph="1">
        <v>0.66666666666666663</v>
      </c>
      <c r="C27" s="146" t="s" ph="1">
        <v>181</v>
      </c>
      <c r="D27" s="71">
        <v>86.11</v>
      </c>
      <c r="E27" s="71">
        <v>4.45</v>
      </c>
      <c r="F27" s="71">
        <v>3856</v>
      </c>
      <c r="G27" s="71">
        <v>1991</v>
      </c>
      <c r="H27" s="71">
        <v>3351</v>
      </c>
      <c r="I27" s="71">
        <v>2270</v>
      </c>
      <c r="J27" s="71">
        <v>4836</v>
      </c>
      <c r="K27" s="71">
        <v>5520</v>
      </c>
      <c r="L27" s="71">
        <v>5621</v>
      </c>
      <c r="M27" s="71">
        <v>2630</v>
      </c>
      <c r="N27" s="71">
        <v>1352</v>
      </c>
      <c r="O27" s="71">
        <v>5164</v>
      </c>
      <c r="P27" s="71">
        <v>3221</v>
      </c>
      <c r="Q27" s="90">
        <v>1486</v>
      </c>
      <c r="R27" s="71">
        <v>65</v>
      </c>
      <c r="S27" s="71">
        <v>6330</v>
      </c>
      <c r="T27" s="71">
        <v>1764</v>
      </c>
      <c r="U27" s="71">
        <v>6284</v>
      </c>
      <c r="V27" s="71">
        <v>9621</v>
      </c>
      <c r="W27" s="71">
        <v>10778</v>
      </c>
      <c r="X27" s="71">
        <v>3493</v>
      </c>
      <c r="Y27" s="71">
        <v>4973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37" ph="1"/>
      <c r="C28" s="146" t="s" ph="1">
        <v>179</v>
      </c>
      <c r="D28" s="91" ph="1">
        <f>D27*268.68*LOOKUP(D29,密度!$A$2:$A$50,密度!$Q$2:$Q$50)+IF(D27&lt;=0,0,1566*LOOKUP(D29,密度!$A$2:$A$50,密度!$Q$2:$Q$50))</f>
        <v>23386.404426552002</v>
      </c>
      <c r="E28" s="91" ph="1">
        <f>E27*268.68*LOOKUP(E29,密度!$A$2:$A$50,密度!$C$2:$C$50)+IF(E27&lt;=0,0,1566*LOOKUP(E29,密度!$A$2:$A$50,密度!$C$2:$C$50))</f>
        <v>3062.3670714</v>
      </c>
      <c r="F28" s="91" ph="1">
        <f>F27*11.702*LOOKUP(F29,密度!$A$2:$A$50,密度!$Q$2:$Q$50)</f>
        <v>42471.940920000001</v>
      </c>
      <c r="G28" s="91" ph="1">
        <f>G27*18.322*LOOKUP(G29,密度!$A$2:$A$50,密度!$B$2:$B$50)</f>
        <v>28216.585396999999</v>
      </c>
      <c r="H28" s="91" ph="1">
        <f>H27*18.322*LOOKUP(H29,密度!$A$2:$A$50,密度!$B$2:$B$50)</f>
        <v>47490.596516999998</v>
      </c>
      <c r="I28" s="91" ph="1">
        <f>I27*18.322*LOOKUP(I29,密度!$A$2:$A$50,密度!$Q$2:$Q$50)</f>
        <v>39092.988143599992</v>
      </c>
      <c r="J28" s="91" ph="1">
        <f>J27*18.322*LOOKUP(J29,密度!$A$2:$A$50,密度!$Q$2:$Q$50)</f>
        <v>83457.230344799988</v>
      </c>
      <c r="K28" s="91" ph="1">
        <f>K27*18.322*LOOKUP(K29,密度!$A$2:$A$50,密度!$Q$2:$Q$50)</f>
        <v>95195.61540000001</v>
      </c>
      <c r="L28" s="91" ph="1">
        <f>L27*18.322*LOOKUP(L29,密度!$A$2:$A$50,密度!$Q$2:$Q$50)</f>
        <v>96937.419232500004</v>
      </c>
      <c r="M28" s="91" ph="1">
        <f>M27*18.322*LOOKUP(M29,密度!$A$2:$A$50,密度!$Q$2:$Q$50)</f>
        <v>45387.203433999995</v>
      </c>
      <c r="N28" s="91" ph="1">
        <f>N27*18.322*LOOKUP(N29,密度!$A$2:$A$50,密度!$Q$2:$Q$50)</f>
        <v>23332.128913599998</v>
      </c>
      <c r="O28" s="91" ph="1">
        <f>O27*18.322*LOOKUP(O29,密度!$A$2:$A$50,密度!$C$2:$C$50)</f>
        <v>104265.51841599999</v>
      </c>
      <c r="P28" s="91" ph="1">
        <f>P27*11.702*LOOKUP(P29,密度!$A$2:$A$50,密度!$B$2:$B$50)</f>
        <v>29188.794764799997</v>
      </c>
      <c r="Q28" s="92" ph="1">
        <f>Q27*18.322*LOOKUP(Q29,密度!$A$2:$A$50,密度!$B$2:$B$50)</f>
        <v>21037.9103684</v>
      </c>
      <c r="R28" s="91" ph="1">
        <f>R27*35.891*LOOKUP(R29,密度!$A$2:$A$50,密度!$C$2:$C$50)</f>
        <v>2570.8723300000001</v>
      </c>
      <c r="S28" s="91" ph="1">
        <f>S27*35.891*LOOKUP(S29,密度!$A$2:$A$50,密度!$B$2:$B$50)</f>
        <v>175549.73618100001</v>
      </c>
      <c r="T28" s="91" ph="1">
        <f>T27*35.891*LOOKUP(T29,密度!$A$2:$A$50,密度!$Q$2:$Q$50)</f>
        <v>59509.221856559998</v>
      </c>
      <c r="U28" s="91" ph="1">
        <f>U27*35.891</f>
        <v>225539.04399999999</v>
      </c>
      <c r="V28" s="91" ph="1">
        <f>V27*47.051*LOOKUP(V29,密度!$A$2:$A$50,密度!$B$2:$B$50)</f>
        <v>350146.1785185</v>
      </c>
      <c r="W28" s="91" ph="1">
        <f>W27*47.051*LOOKUP(W29,密度!$A$2:$A$50,密度!$B$2:$B$50)</f>
        <v>392253.97693299997</v>
      </c>
      <c r="X28" s="91" ph="1">
        <f>X27*47.051*LOOKUP(X29,密度!$A$2:$A$50,密度!$I$2:$I$50)</f>
        <v>169820.32597047003</v>
      </c>
      <c r="Y28" s="91" ph="1">
        <f>Y27*47.051*LOOKUP(Y29,密度!$A$2:$A$50,密度!$L$2:$L$50)</f>
        <v>217137.73014400003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37" ph="1"/>
      <c r="C29" s="146" t="s" ph="1">
        <v>180</v>
      </c>
      <c r="D29" s="74">
        <v>25</v>
      </c>
      <c r="E29" s="74">
        <v>25</v>
      </c>
      <c r="F29" s="74">
        <v>33</v>
      </c>
      <c r="G29" s="74">
        <v>32</v>
      </c>
      <c r="H29" s="74">
        <v>32</v>
      </c>
      <c r="I29" s="74">
        <v>35</v>
      </c>
      <c r="J29" s="74">
        <v>32</v>
      </c>
      <c r="K29" s="74">
        <v>33</v>
      </c>
      <c r="L29" s="74">
        <v>33</v>
      </c>
      <c r="M29" s="74">
        <v>32</v>
      </c>
      <c r="N29" s="74">
        <v>32</v>
      </c>
      <c r="O29" s="74">
        <v>33</v>
      </c>
      <c r="P29" s="74">
        <v>31</v>
      </c>
      <c r="Q29" s="93">
        <v>33</v>
      </c>
      <c r="R29" s="74">
        <v>33</v>
      </c>
      <c r="S29" s="74">
        <v>33</v>
      </c>
      <c r="T29" s="74">
        <v>35</v>
      </c>
      <c r="U29" s="74">
        <v>34</v>
      </c>
      <c r="V29" s="74">
        <v>32</v>
      </c>
      <c r="W29" s="74">
        <v>32</v>
      </c>
      <c r="X29" s="74">
        <v>33</v>
      </c>
      <c r="Y29" s="74">
        <v>34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45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46" t="s" ph="1">
        <v>5</v>
      </c>
      <c r="F32" s="145" t="s" ph="1">
        <v>43</v>
      </c>
      <c r="G32" s="97" t="s" ph="1">
        <v>4</v>
      </c>
      <c r="H32" s="146" t="s" ph="1">
        <v>5</v>
      </c>
      <c r="I32" s="145" t="s" ph="1">
        <v>43</v>
      </c>
      <c r="J32" s="97" t="s" ph="1">
        <v>4</v>
      </c>
      <c r="K32" s="146" t="s" ph="1">
        <v>5</v>
      </c>
      <c r="L32" s="145" t="s" ph="1">
        <v>43</v>
      </c>
      <c r="M32" s="97" t="s" ph="1">
        <v>4</v>
      </c>
      <c r="N32" s="146" t="s" ph="1">
        <v>5</v>
      </c>
      <c r="O32" s="14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6" t="s" ph="1">
        <v>5</v>
      </c>
      <c r="U32" s="99" t="s" ph="1">
        <v>43</v>
      </c>
      <c r="V32" s="97" t="s" ph="1">
        <v>4</v>
      </c>
      <c r="W32" s="146" t="s" ph="1">
        <v>5</v>
      </c>
      <c r="X32" s="99" t="s" ph="1">
        <v>43</v>
      </c>
      <c r="Y32" s="100" t="s" ph="1">
        <v>4</v>
      </c>
      <c r="Z32" s="146" t="s" ph="1">
        <v>5</v>
      </c>
      <c r="AA32" s="145" t="s" ph="1">
        <v>43</v>
      </c>
      <c r="AB32" s="97" t="s" ph="1">
        <v>85</v>
      </c>
      <c r="AC32" s="146" t="s" ph="1">
        <v>84</v>
      </c>
      <c r="AD32" s="204" t="s" ph="1">
        <v>83</v>
      </c>
      <c r="AE32" s="205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06" t="s" ph="1">
        <v>182</v>
      </c>
      <c r="C33" s="207" ph="1"/>
      <c r="D33" s="186" ph="1">
        <f>AA10+AB10+Z19</f>
        <v>74801.20329450001</v>
      </c>
      <c r="E33" s="186" ph="1">
        <f>M10+I10</f>
        <v>175884.60490780001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1522252632456786910111213141516171819202123456789101112131415161718192022232424356789101112131415161718192021222345678910111213141516171819202345678910111213149101516171819222123234567891012131415161711181920212224252345678910111213135[[#This Row],[F25]]</f>
        <v>3880</v>
      </c>
      <c r="G33" s="212" ph="1">
        <v>0</v>
      </c>
      <c r="H33" s="186" ph="1">
        <f>N19</f>
        <v>12101.493629820001</v>
      </c>
      <c r="I33" s="190" ph="1">
        <v>0</v>
      </c>
      <c r="J33" s="194" ph="1">
        <f>F10+O28</f>
        <v>354608.5330159</v>
      </c>
      <c r="K33" s="186" ph="1">
        <f>O10+K10+E28+R28</f>
        <v>91252.17264780002</v>
      </c>
      <c r="L33" s="196" ph="1">
        <f>BE27</f>
        <v>7100</v>
      </c>
      <c r="M33" s="194" ph="1">
        <f>G10+H10+W28+S28+V28+E10</f>
        <v>1499808.5233785</v>
      </c>
      <c r="N33" s="186" ph="1">
        <f>L10+P10++G28+H28</f>
        <v>104817.73385800001</v>
      </c>
      <c r="O33" s="190" ph="1">
        <f>BE17</f>
        <v>2270</v>
      </c>
      <c r="P33" s="194" ph="1">
        <f>L19</f>
        <v>33728.863034070004</v>
      </c>
      <c r="Q33" s="186" ph="1">
        <f>J10+N10</f>
        <v>68156.852506480005</v>
      </c>
      <c r="R33" s="190" ph="1">
        <f>BE23</f>
        <v>890</v>
      </c>
      <c r="S33" s="194" ph="1">
        <f>E10+X28</f>
        <v>493316.45240647008</v>
      </c>
      <c r="T33" s="186" ph="1">
        <f>X19</f>
        <v>4954.3812802439998</v>
      </c>
      <c r="U33" s="175" ph="1">
        <f>BE21</f>
        <v>730</v>
      </c>
      <c r="V33" s="188" ph="1">
        <f ca="1">P19+Q19+S19+M28+N28+J28</f>
        <v>257031.6146534</v>
      </c>
      <c r="W33" s="188" ph="1">
        <f>D28+F28+V19+T28</f>
        <v>157827.666461624</v>
      </c>
      <c r="X33" s="190" ph="1">
        <f>BE29+BE31</f>
        <v>10200</v>
      </c>
      <c r="Y33" s="192" ph="1">
        <f>+Q10+R10+S10+T10+U10+V10+W10+X10+Y10</f>
        <v>129131.43968340001</v>
      </c>
      <c r="Z33" s="173" ph="1">
        <f>D10+T19+U19+Y28+Z10</f>
        <v>433859.66325824201</v>
      </c>
      <c r="AA33" s="175" ph="1">
        <f>BE19</f>
        <v>1440</v>
      </c>
      <c r="AB33" s="177" ph="1">
        <f>I19</f>
        <v>48745.0487632</v>
      </c>
      <c r="AC33" s="179" ph="1">
        <f>AD10</f>
        <v>86502.513081600016</v>
      </c>
      <c r="AD33" s="181" ph="1">
        <v>0</v>
      </c>
      <c r="AE33" s="182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85" t="s" ph="1">
        <v>639</v>
      </c>
      <c r="AD35" s="185"/>
      <c r="AE35" s="185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45" ph="1">
      <c r="A36" s="64"/>
      <c r="B36" s="103" t="s" ph="1">
        <v>183</v>
      </c>
      <c r="I36" s="171" t="s" ph="1">
        <v>184</v>
      </c>
      <c r="J36" s="171" ph="1"/>
      <c r="K36" s="101" ph="1"/>
      <c r="P36" s="101" ph="1"/>
      <c r="R36" s="171" t="s" ph="1">
        <v>185</v>
      </c>
      <c r="S36" s="171" ph="1"/>
      <c r="Y36" s="102" ph="1"/>
      <c r="Z36" s="144" t="s" ph="1">
        <v>186</v>
      </c>
      <c r="AA36" s="144" ph="1"/>
      <c r="AB36" s="172" t="s" ph="1">
        <v>644</v>
      </c>
      <c r="AC36" s="172" ph="1"/>
      <c r="AD36" s="172" ph="1"/>
      <c r="AE36" s="172" ph="1"/>
      <c r="BA36" s="64" ph="1">
        <v>2270</v>
      </c>
    </row>
    <row r="37" spans="1:57" s="144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4" t="s" ph="1">
        <v>345</v>
      </c>
      <c r="AI37" s="144" t="s" ph="1">
        <v>212</v>
      </c>
      <c r="AJ37" s="144" t="s" ph="1">
        <v>213</v>
      </c>
      <c r="AK37" s="144" t="s" ph="1">
        <v>214</v>
      </c>
      <c r="AM37" s="144" t="s" ph="1">
        <v>213</v>
      </c>
      <c r="AN37" s="144" t="s" ph="1">
        <v>214</v>
      </c>
      <c r="AO37" s="144" t="s" ph="1">
        <v>215</v>
      </c>
      <c r="AP37" s="144" t="s" ph="1">
        <v>213</v>
      </c>
      <c r="AQ37" s="144" t="s" ph="1">
        <v>214</v>
      </c>
      <c r="AR37" s="144" t="s" ph="1">
        <v>215</v>
      </c>
      <c r="AS37" s="144" t="s" ph="1">
        <v>213</v>
      </c>
      <c r="AT37" s="144" t="s" ph="1">
        <v>214</v>
      </c>
      <c r="AU37" s="144" t="s" ph="1">
        <v>215</v>
      </c>
      <c r="AV37" s="144" t="s" ph="1">
        <v>213</v>
      </c>
      <c r="AW37" s="144" t="s" ph="1">
        <v>214</v>
      </c>
      <c r="AX37" s="144" t="s" ph="1">
        <v>215</v>
      </c>
      <c r="AY37" s="144" t="s" ph="1">
        <v>214</v>
      </c>
      <c r="AZ37" s="144" t="s" ph="1">
        <v>216</v>
      </c>
      <c r="BD37" s="144" t="s" ph="1">
        <v>308</v>
      </c>
      <c r="BE37" s="144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539" priority="97">
      <formula>ABS(D$7-D$10)&gt;=1000</formula>
    </cfRule>
  </conditionalFormatting>
  <conditionalFormatting sqref="E4 E6:E11">
    <cfRule type="expression" dxfId="2538" priority="96">
      <formula>ABS(E$7-E$10)&gt;=1000</formula>
    </cfRule>
  </conditionalFormatting>
  <conditionalFormatting sqref="F4:F11">
    <cfRule type="expression" dxfId="2537" priority="95">
      <formula>ABS(F$7-F$10)&gt;=1000</formula>
    </cfRule>
  </conditionalFormatting>
  <conditionalFormatting sqref="G4:G11">
    <cfRule type="expression" dxfId="2536" priority="94">
      <formula>ABS(G$7-G$10)&gt;=1000</formula>
    </cfRule>
  </conditionalFormatting>
  <conditionalFormatting sqref="H4:H11">
    <cfRule type="expression" dxfId="2535" priority="93">
      <formula>ABS(H$7-H$10)&gt;=1000</formula>
    </cfRule>
  </conditionalFormatting>
  <conditionalFormatting sqref="I4:I11">
    <cfRule type="expression" dxfId="2534" priority="92">
      <formula>ABS(I$7-I$10)&gt;=1000</formula>
    </cfRule>
  </conditionalFormatting>
  <conditionalFormatting sqref="J4:J11">
    <cfRule type="expression" dxfId="2533" priority="91">
      <formula>ABS(J$7-J$10)&gt;=1000</formula>
    </cfRule>
  </conditionalFormatting>
  <conditionalFormatting sqref="K4:K11">
    <cfRule type="expression" dxfId="2532" priority="90">
      <formula>ABS(K$7-K$10)&gt;=1000</formula>
    </cfRule>
  </conditionalFormatting>
  <conditionalFormatting sqref="L4:L11">
    <cfRule type="expression" dxfId="2531" priority="89">
      <formula>ABS(L$7-L$10)&gt;=1000</formula>
    </cfRule>
  </conditionalFormatting>
  <conditionalFormatting sqref="M4 M6:M11">
    <cfRule type="expression" dxfId="2530" priority="88">
      <formula>ABS(M$7-M$10)&gt;=1000</formula>
    </cfRule>
  </conditionalFormatting>
  <conditionalFormatting sqref="N4 N6:N11">
    <cfRule type="expression" dxfId="2529" priority="87">
      <formula>ABS(N$7-N$10)&gt;=1000</formula>
    </cfRule>
  </conditionalFormatting>
  <conditionalFormatting sqref="O4 O6:O11">
    <cfRule type="expression" dxfId="2528" priority="86">
      <formula>ABS(O$7-O$10)&gt;=1000</formula>
    </cfRule>
  </conditionalFormatting>
  <conditionalFormatting sqref="P4 P6:P11">
    <cfRule type="expression" dxfId="2527" priority="85">
      <formula>ABS(P$7-P$10)&gt;=1000</formula>
    </cfRule>
  </conditionalFormatting>
  <conditionalFormatting sqref="Q4:Q11">
    <cfRule type="expression" dxfId="2526" priority="84">
      <formula>ABS(Q$7-Q$10)&gt;=1000</formula>
    </cfRule>
  </conditionalFormatting>
  <conditionalFormatting sqref="R4:R11">
    <cfRule type="expression" dxfId="2525" priority="83">
      <formula>ABS(R$7-R$10)&gt;=1000</formula>
    </cfRule>
  </conditionalFormatting>
  <conditionalFormatting sqref="S4:S11">
    <cfRule type="expression" dxfId="2524" priority="82">
      <formula>ABS(S$7-S$10)&gt;=1000</formula>
    </cfRule>
  </conditionalFormatting>
  <conditionalFormatting sqref="T4:T9 T11">
    <cfRule type="expression" dxfId="2523" priority="81">
      <formula>ABS(T$7-T$10)&gt;=1000</formula>
    </cfRule>
  </conditionalFormatting>
  <conditionalFormatting sqref="U4:U9 U11">
    <cfRule type="expression" dxfId="2522" priority="80">
      <formula>ABS(U$7-U$10)&gt;=1000</formula>
    </cfRule>
  </conditionalFormatting>
  <conditionalFormatting sqref="V4:V9 V11">
    <cfRule type="expression" dxfId="2521" priority="79">
      <formula>ABS(V$7-V$10)&gt;=1000</formula>
    </cfRule>
  </conditionalFormatting>
  <conditionalFormatting sqref="W4:W9 W11">
    <cfRule type="expression" dxfId="2520" priority="78">
      <formula>ABS(W$7-W$10)&gt;=1000</formula>
    </cfRule>
  </conditionalFormatting>
  <conditionalFormatting sqref="X4:X9 X11">
    <cfRule type="expression" dxfId="2519" priority="77">
      <formula>ABS(X$7-X$10)&gt;=1000</formula>
    </cfRule>
  </conditionalFormatting>
  <conditionalFormatting sqref="Y4:Y9 Y11">
    <cfRule type="expression" dxfId="2518" priority="76">
      <formula>ABS(Y$7-Y$10)&gt;=1000</formula>
    </cfRule>
  </conditionalFormatting>
  <conditionalFormatting sqref="Z4:Z11">
    <cfRule type="expression" dxfId="2517" priority="75">
      <formula>ABS(Z$7-Z$10)&gt;=1000</formula>
    </cfRule>
  </conditionalFormatting>
  <conditionalFormatting sqref="AA4:AA11">
    <cfRule type="expression" dxfId="2516" priority="74">
      <formula>ABS(AA$7-AA$10)&gt;=1000</formula>
    </cfRule>
  </conditionalFormatting>
  <conditionalFormatting sqref="AB4:AB11">
    <cfRule type="expression" dxfId="2515" priority="73">
      <formula>ABS(AB$7-AB$10)&gt;=1000</formula>
    </cfRule>
  </conditionalFormatting>
  <conditionalFormatting sqref="AC4 AC6:AC11">
    <cfRule type="expression" dxfId="2514" priority="72">
      <formula>ABS(AC$7-AC$10)&gt;=1000</formula>
    </cfRule>
  </conditionalFormatting>
  <conditionalFormatting sqref="AD4:AD11">
    <cfRule type="expression" dxfId="2513" priority="71">
      <formula>ABS(AD$7-AD$10)&gt;=1000</formula>
    </cfRule>
  </conditionalFormatting>
  <conditionalFormatting sqref="AE4:AE11">
    <cfRule type="expression" dxfId="2512" priority="70">
      <formula>ABS(AE$7-AE$10)&gt;=1000</formula>
    </cfRule>
  </conditionalFormatting>
  <conditionalFormatting sqref="D13:D20">
    <cfRule type="expression" dxfId="2511" priority="69">
      <formula>ABS(D$16-D$19)&gt;=1000</formula>
    </cfRule>
  </conditionalFormatting>
  <conditionalFormatting sqref="E13:E20">
    <cfRule type="expression" dxfId="2510" priority="68">
      <formula>ABS(E$16-E$19)&gt;=1000</formula>
    </cfRule>
  </conditionalFormatting>
  <conditionalFormatting sqref="F13 F15:F20">
    <cfRule type="expression" dxfId="2509" priority="67">
      <formula>ABS(F$16-F$19)&gt;=1000</formula>
    </cfRule>
  </conditionalFormatting>
  <conditionalFormatting sqref="G13:G20">
    <cfRule type="expression" dxfId="2508" priority="66">
      <formula>ABS(G$16-G$19)&gt;=1000</formula>
    </cfRule>
  </conditionalFormatting>
  <conditionalFormatting sqref="H13:H20">
    <cfRule type="expression" dxfId="2507" priority="65">
      <formula>ABS(H$16-H$19)&gt;=1000</formula>
    </cfRule>
  </conditionalFormatting>
  <conditionalFormatting sqref="I13:I20">
    <cfRule type="expression" dxfId="2506" priority="64">
      <formula>ABS(I$16-I$19)&gt;=1000</formula>
    </cfRule>
  </conditionalFormatting>
  <conditionalFormatting sqref="J13:J20">
    <cfRule type="expression" dxfId="2505" priority="63">
      <formula>ABS(J$16-J$19)&gt;=1000</formula>
    </cfRule>
  </conditionalFormatting>
  <conditionalFormatting sqref="L13:L20">
    <cfRule type="expression" dxfId="2504" priority="62">
      <formula>ABS(L$16-L$19)&gt;=1000</formula>
    </cfRule>
  </conditionalFormatting>
  <conditionalFormatting sqref="M13 M15 M17:M18 M20">
    <cfRule type="expression" dxfId="2503" priority="61">
      <formula>ABS(M$16-M$19)&gt;=1000</formula>
    </cfRule>
  </conditionalFormatting>
  <conditionalFormatting sqref="N13:N20">
    <cfRule type="expression" dxfId="2502" priority="60">
      <formula>ABS(N$16-N$19)&gt;=1000</formula>
    </cfRule>
  </conditionalFormatting>
  <conditionalFormatting sqref="O13:O20">
    <cfRule type="expression" dxfId="2501" priority="59">
      <formula>ABS(O$16-O$19)&gt;=1000</formula>
    </cfRule>
  </conditionalFormatting>
  <conditionalFormatting sqref="P13:P20">
    <cfRule type="expression" dxfId="2500" priority="58">
      <formula>ABS(P$16-P$19)&gt;=1000</formula>
    </cfRule>
  </conditionalFormatting>
  <conditionalFormatting sqref="Q13 Q15:Q20">
    <cfRule type="expression" dxfId="2499" priority="57">
      <formula>ABS(Q$16-Q$19)&gt;=1000</formula>
    </cfRule>
  </conditionalFormatting>
  <conditionalFormatting sqref="R13:R20">
    <cfRule type="expression" dxfId="2498" priority="56">
      <formula>ABS(R$16-R$19)&gt;=1000</formula>
    </cfRule>
  </conditionalFormatting>
  <conditionalFormatting sqref="S13:S20">
    <cfRule type="expression" dxfId="2497" priority="55">
      <formula>ABS(S$16-S$19)&gt;=1000</formula>
    </cfRule>
  </conditionalFormatting>
  <conditionalFormatting sqref="T13:T20">
    <cfRule type="expression" dxfId="2496" priority="54">
      <formula>ABS(T$16-T$19)&gt;=1000</formula>
    </cfRule>
  </conditionalFormatting>
  <conditionalFormatting sqref="U13:U20">
    <cfRule type="expression" dxfId="2495" priority="53">
      <formula>ABS(U$16-U$19)&gt;=1000</formula>
    </cfRule>
  </conditionalFormatting>
  <conditionalFormatting sqref="V13:V20">
    <cfRule type="expression" dxfId="2494" priority="52">
      <formula>ABS(V$16-V$19)&gt;=1000</formula>
    </cfRule>
  </conditionalFormatting>
  <conditionalFormatting sqref="W13 W20 W15:W18">
    <cfRule type="expression" dxfId="2493" priority="51">
      <formula>ABS(W$16-W$19)&gt;=1000</formula>
    </cfRule>
  </conditionalFormatting>
  <conditionalFormatting sqref="X13 X15:X20 Y19">
    <cfRule type="expression" dxfId="2492" priority="50">
      <formula>ABS(X$16-X$19)&gt;=1000</formula>
    </cfRule>
  </conditionalFormatting>
  <conditionalFormatting sqref="Y13 Y15:Y18 Y20">
    <cfRule type="expression" dxfId="2491" priority="49">
      <formula>ABS(Y$16-Y$19)&gt;=1000</formula>
    </cfRule>
  </conditionalFormatting>
  <conditionalFormatting sqref="Z13:Z20">
    <cfRule type="expression" dxfId="2490" priority="48">
      <formula>ABS(Z$16-Z$19)&gt;=1000</formula>
    </cfRule>
  </conditionalFormatting>
  <conditionalFormatting sqref="AA13:AA20">
    <cfRule type="expression" dxfId="2489" priority="47">
      <formula>ABS(AA$16-AA$19)&gt;=1000</formula>
    </cfRule>
  </conditionalFormatting>
  <conditionalFormatting sqref="AB13 AB15:AB20">
    <cfRule type="expression" dxfId="2488" priority="46">
      <formula>ABS(AB$16-AB$19)&gt;=1000</formula>
    </cfRule>
  </conditionalFormatting>
  <conditionalFormatting sqref="AC13 AC15:AC20">
    <cfRule type="expression" dxfId="2487" priority="45">
      <formula>ABS(AC$16-AC$19)&gt;=1000</formula>
    </cfRule>
  </conditionalFormatting>
  <conditionalFormatting sqref="AD13:AD20">
    <cfRule type="expression" dxfId="2486" priority="44">
      <formula>ABS(AD$16-AD$19)&gt;=1000</formula>
    </cfRule>
  </conditionalFormatting>
  <conditionalFormatting sqref="AE13:AE20">
    <cfRule type="expression" dxfId="2485" priority="43">
      <formula>ABS(AE$16-AE$19)&gt;=1000</formula>
    </cfRule>
  </conditionalFormatting>
  <conditionalFormatting sqref="D22:D29">
    <cfRule type="expression" dxfId="2484" priority="42">
      <formula>ABS(D$25-D$28)&gt;=1000</formula>
    </cfRule>
  </conditionalFormatting>
  <conditionalFormatting sqref="E22:E29">
    <cfRule type="expression" dxfId="2483" priority="41">
      <formula>ABS(E$25-E$28)&gt;=1000</formula>
    </cfRule>
  </conditionalFormatting>
  <conditionalFormatting sqref="F22:F29">
    <cfRule type="expression" dxfId="2482" priority="40">
      <formula>ABS(F$25-F$28)&gt;=1000</formula>
    </cfRule>
  </conditionalFormatting>
  <conditionalFormatting sqref="G22:G29">
    <cfRule type="expression" dxfId="2481" priority="39">
      <formula>ABS(G$25-G$28)&gt;=1000</formula>
    </cfRule>
  </conditionalFormatting>
  <conditionalFormatting sqref="H22:H29">
    <cfRule type="expression" dxfId="2480" priority="38">
      <formula>ABS(H$25-H$28)&gt;=1000</formula>
    </cfRule>
  </conditionalFormatting>
  <conditionalFormatting sqref="I22 I24:I29">
    <cfRule type="expression" dxfId="2479" priority="37">
      <formula>ABS(I$25-I$28)&gt;=1000</formula>
    </cfRule>
  </conditionalFormatting>
  <conditionalFormatting sqref="J22:J29 K22">
    <cfRule type="expression" dxfId="2478" priority="36">
      <formula>ABS(J$25-J$28)&gt;=1000</formula>
    </cfRule>
  </conditionalFormatting>
  <conditionalFormatting sqref="K23:K29 L25 L28">
    <cfRule type="expression" dxfId="2477" priority="35">
      <formula>ABS(K$25-K$28)&gt;=1000</formula>
    </cfRule>
  </conditionalFormatting>
  <conditionalFormatting sqref="L22 L26:L27 L29 L24">
    <cfRule type="expression" dxfId="2476" priority="34">
      <formula>ABS(L$25-L$28)&gt;=1000</formula>
    </cfRule>
  </conditionalFormatting>
  <conditionalFormatting sqref="M22:M29">
    <cfRule type="expression" dxfId="2475" priority="33">
      <formula>ABS(M$25-M$28)&gt;=1000</formula>
    </cfRule>
  </conditionalFormatting>
  <conditionalFormatting sqref="N22:N29">
    <cfRule type="expression" dxfId="2474" priority="32">
      <formula>ABS(N$25-N$28)&gt;=1000</formula>
    </cfRule>
  </conditionalFormatting>
  <conditionalFormatting sqref="O22:O29">
    <cfRule type="expression" dxfId="2473" priority="31">
      <formula>ABS(O$25-O$28)&gt;=1000</formula>
    </cfRule>
  </conditionalFormatting>
  <conditionalFormatting sqref="P22:P29">
    <cfRule type="expression" dxfId="2472" priority="30">
      <formula>ABS(P$25-P$28)&gt;=1000</formula>
    </cfRule>
  </conditionalFormatting>
  <conditionalFormatting sqref="Q22:Q29">
    <cfRule type="expression" dxfId="2471" priority="29">
      <formula>ABS(Q$25-Q$28)&gt;=1000</formula>
    </cfRule>
  </conditionalFormatting>
  <conditionalFormatting sqref="R22:R29">
    <cfRule type="expression" dxfId="2470" priority="28">
      <formula>ABS(R$25-R$28)&gt;=1000</formula>
    </cfRule>
  </conditionalFormatting>
  <conditionalFormatting sqref="S22:S29">
    <cfRule type="expression" dxfId="2469" priority="27">
      <formula>ABS(S$25-S$28)&gt;=1000</formula>
    </cfRule>
  </conditionalFormatting>
  <conditionalFormatting sqref="T22:T29">
    <cfRule type="expression" dxfId="2468" priority="26">
      <formula>ABS(T$25-T$28)&gt;=1000</formula>
    </cfRule>
  </conditionalFormatting>
  <conditionalFormatting sqref="U22:U29">
    <cfRule type="expression" dxfId="2467" priority="25">
      <formula>ABS(U$25-U$28)&gt;=1000</formula>
    </cfRule>
  </conditionalFormatting>
  <conditionalFormatting sqref="V22:V29">
    <cfRule type="expression" dxfId="2466" priority="24">
      <formula>ABS(V$25-V$28)&gt;=1000</formula>
    </cfRule>
  </conditionalFormatting>
  <conditionalFormatting sqref="W22:W29">
    <cfRule type="expression" dxfId="2465" priority="23">
      <formula>ABS(W$25-W$28)&gt;=1000</formula>
    </cfRule>
  </conditionalFormatting>
  <conditionalFormatting sqref="X22:X29">
    <cfRule type="expression" dxfId="2464" priority="22">
      <formula>ABS(X$25-X$28)&gt;=1000</formula>
    </cfRule>
  </conditionalFormatting>
  <conditionalFormatting sqref="Y22:Y29">
    <cfRule type="expression" dxfId="2463" priority="21">
      <formula>ABS(Y$25-Y$28)&gt;=1000</formula>
    </cfRule>
  </conditionalFormatting>
  <conditionalFormatting sqref="I23">
    <cfRule type="expression" dxfId="2462" priority="20">
      <formula>ABS(I$25-I$28)&gt;=1000</formula>
    </cfRule>
  </conditionalFormatting>
  <conditionalFormatting sqref="F14">
    <cfRule type="expression" dxfId="2461" priority="19">
      <formula>ABS(F$16-F$19)&gt;=1000</formula>
    </cfRule>
  </conditionalFormatting>
  <conditionalFormatting sqref="Q14">
    <cfRule type="expression" dxfId="2460" priority="18">
      <formula>ABS(Q$16-Q$19)&gt;=1000</formula>
    </cfRule>
  </conditionalFormatting>
  <conditionalFormatting sqref="W14">
    <cfRule type="expression" dxfId="2459" priority="17">
      <formula>ABS(W$16-W$19)&gt;=1000</formula>
    </cfRule>
  </conditionalFormatting>
  <conditionalFormatting sqref="Y14">
    <cfRule type="expression" dxfId="2458" priority="16">
      <formula>ABS(Y$16-Y$19)&gt;=1000</formula>
    </cfRule>
  </conditionalFormatting>
  <conditionalFormatting sqref="X14">
    <cfRule type="expression" dxfId="2457" priority="15">
      <formula>ABS(X$16-X$19)&gt;=1000</formula>
    </cfRule>
  </conditionalFormatting>
  <conditionalFormatting sqref="T10:Y10">
    <cfRule type="expression" dxfId="2456" priority="14">
      <formula>ABS(T$7-T$10)&gt;=1000</formula>
    </cfRule>
  </conditionalFormatting>
  <conditionalFormatting sqref="W19">
    <cfRule type="expression" dxfId="2455" priority="13">
      <formula>ABS(W$16-W$19)&gt;=1000</formula>
    </cfRule>
  </conditionalFormatting>
  <conditionalFormatting sqref="AC5">
    <cfRule type="expression" dxfId="2454" priority="12">
      <formula>ABS(AC$7-AC$10)&gt;=1000</formula>
    </cfRule>
  </conditionalFormatting>
  <conditionalFormatting sqref="M14">
    <cfRule type="expression" dxfId="2453" priority="11">
      <formula>ABS(M$16-M$19)&gt;=1000</formula>
    </cfRule>
  </conditionalFormatting>
  <conditionalFormatting sqref="M16">
    <cfRule type="expression" dxfId="2452" priority="10">
      <formula>ABS(M$16-M$19)&gt;=1000</formula>
    </cfRule>
  </conditionalFormatting>
  <conditionalFormatting sqref="M19">
    <cfRule type="expression" dxfId="2451" priority="9">
      <formula>ABS(M$16-M$19)&gt;=1000</formula>
    </cfRule>
  </conditionalFormatting>
  <conditionalFormatting sqref="K13:K20">
    <cfRule type="expression" dxfId="2450" priority="8">
      <formula>ABS(K$16-K$19)&gt;=1000</formula>
    </cfRule>
  </conditionalFormatting>
  <conditionalFormatting sqref="E5">
    <cfRule type="expression" dxfId="2449" priority="7">
      <formula>ABS(E$7-E$10)&gt;=1000</formula>
    </cfRule>
  </conditionalFormatting>
  <conditionalFormatting sqref="AB14:AC14">
    <cfRule type="expression" dxfId="2448" priority="6">
      <formula>ABS(AB$16-AB$19)&gt;=1000</formula>
    </cfRule>
  </conditionalFormatting>
  <conditionalFormatting sqref="M5">
    <cfRule type="expression" dxfId="2447" priority="5">
      <formula>ABS(M$7-M$10)&gt;=1000</formula>
    </cfRule>
  </conditionalFormatting>
  <conditionalFormatting sqref="N5">
    <cfRule type="expression" dxfId="2446" priority="4">
      <formula>ABS(N$7-N$10)&gt;=1000</formula>
    </cfRule>
  </conditionalFormatting>
  <conditionalFormatting sqref="O5">
    <cfRule type="expression" dxfId="2445" priority="3">
      <formula>ABS(O$7-O$10)&gt;=1000</formula>
    </cfRule>
  </conditionalFormatting>
  <conditionalFormatting sqref="P5">
    <cfRule type="expression" dxfId="2444" priority="2">
      <formula>ABS(P$7-P$10)&gt;=1000</formula>
    </cfRule>
  </conditionalFormatting>
  <conditionalFormatting sqref="L23">
    <cfRule type="expression" dxfId="2443" priority="1">
      <formula>ABS(L$25-L$28)&gt;=1000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4873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345782</xdr:rowOff>
                  </from>
                  <to>
                    <xdr:col>32</xdr:col>
                    <xdr:colOff>414938</xdr:colOff>
                    <xdr:row>3</xdr:row>
                    <xdr:rowOff>30736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73">
    <pageSetUpPr fitToPage="1"/>
  </sheetPr>
  <dimension ref="A1:CU223"/>
  <sheetViews>
    <sheetView view="pageBreakPreview" topLeftCell="A7" zoomScale="80" zoomScaleNormal="100" zoomScaleSheetLayoutView="80" workbookViewId="0">
      <selection activeCell="AD18" sqref="AD18"/>
    </sheetView>
  </sheetViews>
  <sheetFormatPr defaultColWidth="8.109375" defaultRowHeight="26.05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0.9" ph="1">
      <c r="A1" s="64"/>
      <c r="B1" s="238" t="s" ph="1">
        <v>162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.05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.05" customHeight="1" ph="1">
      <c r="B3" s="240" ph="1">
        <v>45842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" customHeight="1" ph="1">
      <c r="A5" s="65" ph="1"/>
      <c r="B5" s="219" ph="1"/>
      <c r="C5" s="67" t="s" ph="1">
        <v>36</v>
      </c>
      <c r="D5" s="70" t="s" ph="1">
        <v>161</v>
      </c>
      <c r="E5" s="70" t="s" ph="1">
        <v>640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46" t="s" ph="1">
        <v>178</v>
      </c>
      <c r="D6" s="71">
        <v>3591</v>
      </c>
      <c r="E6" s="71">
        <v>8134</v>
      </c>
      <c r="F6" s="71">
        <v>6831</v>
      </c>
      <c r="G6" s="71">
        <v>4520</v>
      </c>
      <c r="H6" s="71">
        <v>1649</v>
      </c>
      <c r="I6" s="71">
        <v>51.82</v>
      </c>
      <c r="J6" s="71">
        <v>7.73</v>
      </c>
      <c r="K6" s="71">
        <v>7.02</v>
      </c>
      <c r="L6" s="71">
        <v>37.56</v>
      </c>
      <c r="M6" s="71">
        <v>4758</v>
      </c>
      <c r="N6" s="71">
        <v>2582</v>
      </c>
      <c r="O6" s="71">
        <v>3715</v>
      </c>
      <c r="P6" s="71">
        <v>865</v>
      </c>
      <c r="Q6" s="71">
        <v>0</v>
      </c>
      <c r="R6" s="71">
        <v>1200</v>
      </c>
      <c r="S6" s="71">
        <v>3759</v>
      </c>
      <c r="T6" s="71">
        <v>5120</v>
      </c>
      <c r="U6" s="71">
        <v>4259</v>
      </c>
      <c r="V6" s="71">
        <v>0</v>
      </c>
      <c r="W6" s="71">
        <v>0</v>
      </c>
      <c r="X6" s="71">
        <v>0</v>
      </c>
      <c r="Y6" s="71">
        <v>0</v>
      </c>
      <c r="Z6" s="71">
        <v>3178</v>
      </c>
      <c r="AA6" s="71">
        <v>558</v>
      </c>
      <c r="AB6" s="71">
        <v>2404</v>
      </c>
      <c r="AC6" s="71">
        <v>3401</v>
      </c>
      <c r="AD6" s="71">
        <v>4418</v>
      </c>
      <c r="AE6" s="71">
        <v>2516</v>
      </c>
    </row>
    <row r="7" spans="1:99" s="72" customFormat="1" ht="22.4" ph="1">
      <c r="B7" s="237" ph="1"/>
      <c r="C7" s="68" t="s" ph="1">
        <v>179</v>
      </c>
      <c r="D7" s="73" ph="1">
        <f>D6*33.183*LOOKUP(D8,密度!$A$2:$A$50,密度!$Q$2:$Q$50)</f>
        <v>112080.84831027001</v>
      </c>
      <c r="E7" s="73" ph="1">
        <f>E6*51.53*LOOKUP(E8,密度!$A$2:$A$50,密度!$B$2:$B$50)</f>
        <v>324963.13400600001</v>
      </c>
      <c r="F7" s="73" ph="1">
        <f>F6*33.183*LOOKUP(F8,密度!$A$2:$A$50,密度!$C$2:$C$50)</f>
        <v>250677.75143070004</v>
      </c>
      <c r="G7" s="73" ph="1">
        <f xml:space="preserve"> (G6+2)*51.53*LOOKUP(G8,密度!$A$2:$A$50,密度!$B$2:$B$50)</f>
        <v>180869.083892</v>
      </c>
      <c r="H7" s="73" ph="1">
        <f>(H6)*51.53*LOOKUP(H8,密度!$A$2:$A$50,密度!$B$2:$B$50)</f>
        <v>66168.451738999996</v>
      </c>
      <c r="I7" s="73" ph="1">
        <f>I6*290.8*1.0267</f>
        <v>15471.605135200001</v>
      </c>
      <c r="J7" s="73" ph="1">
        <f>J6*290.8*0.7892</f>
        <v>1774.0300528</v>
      </c>
      <c r="K7" s="73" ph="1">
        <f>K6*290.8*1.1126</f>
        <v>2271.2794416000002</v>
      </c>
      <c r="L7" s="73" ph="1">
        <f>L6*290.8*0.777</f>
        <v>8486.7420959999999</v>
      </c>
      <c r="M7" s="73" ph="1">
        <f>M6*33.183*LOOKUP(M8,密度!$A$2:$A$50,密度!$D$2:$D$50)</f>
        <v>161216.0814654</v>
      </c>
      <c r="N7" s="73" ph="1">
        <f>N6*33.183*LOOKUP(N8,密度!$A$2:$A$50,密度!$E$2:$E$50)</f>
        <v>66623.606265599985</v>
      </c>
      <c r="O7" s="73" ph="1">
        <f>O6*20.428*LOOKUP(O8,密度!$A$2:$A$50,密度!$C$2:$C$50)</f>
        <v>83547.32301800001</v>
      </c>
      <c r="P7" s="73" ph="1">
        <f>P6*51.53*LOOKUP(P8,密度!$A$2:$A$50,密度!$B$2:$B$50)</f>
        <v>34633.570650000001</v>
      </c>
      <c r="Q7" s="73" ph="1">
        <f>Q6*1.5*1.5*3.1416*LOOKUP(W8,密度!$A$2:$A$50,密度!$L$2:$L$50)</f>
        <v>0</v>
      </c>
      <c r="R7" s="73" ph="1">
        <f>R6*1.5*1.5*3.1416*LOOKUP(R8,密度!$A$2:$A$50,密度!$L$2:$L$50)</f>
        <v>7863.1106399999999</v>
      </c>
      <c r="S7" s="73" ph="1">
        <f>S6*1.5*1.5*3.1416*LOOKUP(S8,密度!$A$2:$A$50,密度!$L$2:$L$50)</f>
        <v>24923.473621199999</v>
      </c>
      <c r="T7" s="73" ph="1">
        <f>T6*1.5*1.5*3.1416*LOOKUP(T8,密度!$A$2:$A$50,密度!$L$2:$L$50)</f>
        <v>33911.184384</v>
      </c>
      <c r="U7" s="73" ph="1">
        <f>U6*1.5*1.5*3.1416*LOOKUP(U8,密度!$A$2:$A$50,密度!$L$2:$L$50)</f>
        <v>28118.226351599998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98179.139393999998</v>
      </c>
      <c r="AA7" s="73" ph="1">
        <f>AA6*33.183*LOOKUP(AA8,密度!$A$2:$A$50,密度!$D$2:$D$50)</f>
        <v>18923.468508000002</v>
      </c>
      <c r="AB7" s="73" ph="1">
        <f>AB6*20.428*LOOKUP(AB8,密度!$A$2:$A$50,密度!$D$2:$D$50)</f>
        <v>50513.426883200002</v>
      </c>
      <c r="AC7" s="73" ph="1">
        <f>AC6*51.53*LOOKUP(AC8,密度!$A$2:$A$50,密度!$Q$2:$Q$50)</f>
        <v>165547.9895086</v>
      </c>
      <c r="AD7" s="73" ph="1">
        <f>AD6*20.428*LOOKUP(AD8,密度!$A$2:$A$50,密度!$V$2:$V$50)</f>
        <v>86424.265670400011</v>
      </c>
      <c r="AE7" s="73" ph="1">
        <f>AE6*20.428</f>
        <v>51396.848000000005</v>
      </c>
    </row>
    <row r="8" spans="1:99" ph="1">
      <c r="B8" s="237" ph="1"/>
      <c r="C8" s="68" t="s" ph="1">
        <v>180</v>
      </c>
      <c r="D8" s="74">
        <v>34</v>
      </c>
      <c r="E8" s="74">
        <v>30</v>
      </c>
      <c r="F8" s="74">
        <v>29</v>
      </c>
      <c r="G8" s="74">
        <v>29</v>
      </c>
      <c r="H8" s="74">
        <v>26</v>
      </c>
      <c r="I8" s="74">
        <v>25</v>
      </c>
      <c r="J8" s="74">
        <v>25</v>
      </c>
      <c r="K8" s="74">
        <v>25</v>
      </c>
      <c r="L8" s="74">
        <v>25</v>
      </c>
      <c r="M8" s="74">
        <v>31</v>
      </c>
      <c r="N8" s="74">
        <v>30</v>
      </c>
      <c r="O8" s="74">
        <v>34</v>
      </c>
      <c r="P8" s="74">
        <v>28</v>
      </c>
      <c r="Q8" s="74">
        <v>28</v>
      </c>
      <c r="R8" s="74">
        <v>35</v>
      </c>
      <c r="S8" s="74">
        <v>24</v>
      </c>
      <c r="T8" s="74">
        <v>25</v>
      </c>
      <c r="U8" s="74">
        <v>28</v>
      </c>
      <c r="V8" s="74">
        <v>28</v>
      </c>
      <c r="W8" s="74">
        <v>29</v>
      </c>
      <c r="X8" s="74">
        <v>21</v>
      </c>
      <c r="Y8" s="74">
        <v>29</v>
      </c>
      <c r="Z8" s="74">
        <v>31</v>
      </c>
      <c r="AA8" s="74">
        <v>30</v>
      </c>
      <c r="AB8" s="74">
        <v>23</v>
      </c>
      <c r="AC8" s="74">
        <v>28</v>
      </c>
      <c r="AD8" s="74">
        <v>27</v>
      </c>
      <c r="AE8" s="74">
        <v>32</v>
      </c>
    </row>
    <row r="9" spans="1:99" ht="26.65" ph="1">
      <c r="B9" s="237" ph="1">
        <v>0.66666666666666663</v>
      </c>
      <c r="C9" s="146" t="s" ph="1">
        <v>181</v>
      </c>
      <c r="D9" s="71">
        <v>3875</v>
      </c>
      <c r="E9" s="71">
        <v>8134</v>
      </c>
      <c r="F9" s="71">
        <v>6833</v>
      </c>
      <c r="G9" s="71">
        <v>4276</v>
      </c>
      <c r="H9" s="71">
        <v>1649</v>
      </c>
      <c r="I9" s="71">
        <v>51.82</v>
      </c>
      <c r="J9" s="71">
        <v>7.72</v>
      </c>
      <c r="K9" s="71">
        <v>7.12</v>
      </c>
      <c r="L9" s="71">
        <v>15.72</v>
      </c>
      <c r="M9" s="71">
        <v>4758</v>
      </c>
      <c r="N9" s="71">
        <v>2583</v>
      </c>
      <c r="O9" s="71">
        <v>3714</v>
      </c>
      <c r="P9" s="71">
        <v>863</v>
      </c>
      <c r="Q9" s="71">
        <v>0</v>
      </c>
      <c r="R9" s="71">
        <v>0</v>
      </c>
      <c r="S9" s="71">
        <v>1600</v>
      </c>
      <c r="T9" s="71">
        <v>7000</v>
      </c>
      <c r="U9" s="71">
        <v>6880</v>
      </c>
      <c r="V9" s="71">
        <v>1850</v>
      </c>
      <c r="W9" s="71">
        <v>0</v>
      </c>
      <c r="X9" s="71">
        <v>0</v>
      </c>
      <c r="Y9" s="71">
        <v>0</v>
      </c>
      <c r="Z9" s="71">
        <v>4015</v>
      </c>
      <c r="AA9" s="71">
        <v>558</v>
      </c>
      <c r="AB9" s="71">
        <v>2248</v>
      </c>
      <c r="AC9" s="71">
        <v>3472</v>
      </c>
      <c r="AD9" s="71">
        <v>4424</v>
      </c>
      <c r="AE9" s="71">
        <v>2458</v>
      </c>
    </row>
    <row r="10" spans="1:99" s="72" customFormat="1" ht="22.4" ph="1">
      <c r="B10" s="237" ph="1"/>
      <c r="C10" s="146" t="s" ph="1">
        <v>179</v>
      </c>
      <c r="D10" s="73" ph="1">
        <f>D9*33.183*LOOKUP(D11,密度!$A$2:$A$50,密度!$Q$2:$Q$50)</f>
        <v>120779.06861250001</v>
      </c>
      <c r="E10" s="73" ph="1">
        <f>E9*51.53*LOOKUP(E11,密度!$A$2:$A$50,密度!$B$2:$B$50)</f>
        <v>323496.12643600005</v>
      </c>
      <c r="F10" s="73" ph="1">
        <f>F9*33.183*LOOKUP(F11,密度!$A$2:$A$50,密度!$C$2:$C$50)</f>
        <v>249866.86177800002</v>
      </c>
      <c r="G10" s="73" ph="1">
        <f xml:space="preserve"> (G9+2)*51.53*LOOKUP(G11,密度!$A$2:$A$50,密度!$B$2:$B$50)</f>
        <v>170514.47048999998</v>
      </c>
      <c r="H10" s="73" ph="1">
        <f>(H9)*51.53*LOOKUP(H11,密度!$A$2:$A$50,密度!$B$2:$B$50)</f>
        <v>65658.61391900001</v>
      </c>
      <c r="I10" s="73" ph="1">
        <f>I9*290.8*1.0267</f>
        <v>15471.605135200001</v>
      </c>
      <c r="J10" s="73" ph="1">
        <f>J9*290.8*0.7892</f>
        <v>1771.7350592</v>
      </c>
      <c r="K10" s="73" ph="1">
        <f>K9*290.8*1.1126</f>
        <v>2303.6338496000003</v>
      </c>
      <c r="L10" s="73" ph="1">
        <f>L9*290.8*0.777</f>
        <v>3551.9591520000004</v>
      </c>
      <c r="M10" s="73" ph="1">
        <f>M9*33.183*LOOKUP(M11,密度!$A$2:$A$50,密度!$D$2:$D$50)</f>
        <v>160110.88846740001</v>
      </c>
      <c r="N10" s="73" ph="1">
        <f>N9*33.183*LOOKUP(N11,密度!$A$2:$A$50,密度!$E$2:$E$50)</f>
        <v>66260.278298339996</v>
      </c>
      <c r="O10" s="73" ph="1">
        <f>O9*20.428*LOOKUP(O11,密度!$A$2:$A$50,密度!$C$2:$C$50)</f>
        <v>83289.638097600007</v>
      </c>
      <c r="P10" s="73" ph="1">
        <f>P9*51.53*LOOKUP(P11,密度!$A$2:$A$50,密度!$B$2:$B$50)</f>
        <v>34202.176949000001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10585.935360000001</v>
      </c>
      <c r="T10" s="73" ph="1">
        <f>T9*1.5*1.5*3.1416*LOOKUP(T11,密度!$A$2:$A$50,密度!$L$2:$L$50)</f>
        <v>46214.506800000003</v>
      </c>
      <c r="U10" s="73" ph="1">
        <f>U9*1.5*1.5*3.1416*LOOKUP(U11,密度!$A$2:$A$50,密度!$L$2:$L$50)</f>
        <v>45373.626144000002</v>
      </c>
      <c r="V10" s="73" ph="1">
        <f>V9*1.5*1.5*3.1416*LOOKUP(V11,密度!$A$2:$A$50,密度!$L$2:$L$50)</f>
        <v>12213.83394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123237.514125</v>
      </c>
      <c r="AA10" s="73" ph="1">
        <f>AA9*33.183*LOOKUP(AA11,密度!$A$2:$A$50,密度!$D$2:$D$50)</f>
        <v>18647.208087120001</v>
      </c>
      <c r="AB10" s="73" ph="1">
        <f>AB9*20.428*LOOKUP(AB11,密度!$A$2:$A$50,密度!$D$2:$D$50)</f>
        <v>47106.935315200004</v>
      </c>
      <c r="AC10" s="73" ph="1">
        <f>AC9*51.53*LOOKUP(AC11,密度!$A$2:$A$50,密度!$Q$2:$Q$50)</f>
        <v>168282.98857440002</v>
      </c>
      <c r="AD10" s="73" ph="1">
        <f>AD9*20.428*LOOKUP(AD11,密度!$A$2:$A$50,密度!$V$2:$V$50)</f>
        <v>86541.636787200012</v>
      </c>
      <c r="AE10" s="73" ph="1">
        <f>AE9*20.428</f>
        <v>50212.024000000005</v>
      </c>
    </row>
    <row r="11" spans="1:99" ph="1">
      <c r="A11" s="64" t="s" ph="1">
        <v>163</v>
      </c>
      <c r="B11" s="237" ph="1"/>
      <c r="C11" s="146" t="s" ph="1">
        <v>180</v>
      </c>
      <c r="D11" s="74">
        <v>36</v>
      </c>
      <c r="E11" s="74">
        <v>34</v>
      </c>
      <c r="F11" s="74">
        <v>33</v>
      </c>
      <c r="G11" s="74">
        <v>32</v>
      </c>
      <c r="H11" s="74">
        <v>33</v>
      </c>
      <c r="I11" s="74">
        <v>25</v>
      </c>
      <c r="J11" s="74">
        <v>25</v>
      </c>
      <c r="K11" s="74">
        <v>25</v>
      </c>
      <c r="L11" s="74">
        <v>25</v>
      </c>
      <c r="M11" s="74">
        <v>39</v>
      </c>
      <c r="N11" s="74">
        <v>34</v>
      </c>
      <c r="O11" s="74">
        <v>37</v>
      </c>
      <c r="P11" s="74">
        <v>37</v>
      </c>
      <c r="Q11" s="74">
        <v>38</v>
      </c>
      <c r="R11" s="74">
        <v>41</v>
      </c>
      <c r="S11" s="74">
        <v>26</v>
      </c>
      <c r="T11" s="74">
        <v>28</v>
      </c>
      <c r="U11" s="74">
        <v>29</v>
      </c>
      <c r="V11" s="74">
        <v>28</v>
      </c>
      <c r="W11" s="74">
        <v>40</v>
      </c>
      <c r="X11" s="74">
        <v>31</v>
      </c>
      <c r="Y11" s="74">
        <v>36</v>
      </c>
      <c r="Z11" s="74">
        <v>37</v>
      </c>
      <c r="AA11" s="74">
        <v>47</v>
      </c>
      <c r="AB11" s="74">
        <v>26</v>
      </c>
      <c r="AC11" s="74">
        <v>34</v>
      </c>
      <c r="AD11" s="74">
        <v>34</v>
      </c>
      <c r="AE11" s="74">
        <v>35</v>
      </c>
    </row>
    <row r="12" spans="1:99" ht="9.85" customHeight="1" ph="1"/>
    <row r="13" spans="1:99" s="72" customFormat="1" ht="29.2" customHeight="1" ph="1">
      <c r="B13" s="214" t="s" ph="1">
        <v>37</v>
      </c>
      <c r="C13" s="146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.2" ph="1">
      <c r="B14" s="215" ph="1"/>
      <c r="C14" s="67" t="s" ph="1">
        <v>36</v>
      </c>
      <c r="D14" s="77" t="s" ph="1">
        <v>622</v>
      </c>
      <c r="E14" s="77" t="s" ph="1">
        <v>622</v>
      </c>
      <c r="F14" s="77" t="s" ph="1">
        <v>645</v>
      </c>
      <c r="G14" s="77" t="s" ph="1">
        <v>623</v>
      </c>
      <c r="H14" s="77" t="s" ph="1">
        <v>624</v>
      </c>
      <c r="I14" s="140" t="s" ph="1">
        <v>625</v>
      </c>
      <c r="J14" s="77" t="s" ph="1">
        <v>626</v>
      </c>
      <c r="K14" s="77" t="s" ph="1">
        <v>187</v>
      </c>
      <c r="L14" s="77" t="s" ph="1">
        <v>41</v>
      </c>
      <c r="M14" s="104" t="s" ph="1">
        <v>627</v>
      </c>
      <c r="N14" s="104" t="s" ph="1">
        <v>628</v>
      </c>
      <c r="O14" s="104" t="s" ph="1">
        <v>626</v>
      </c>
      <c r="P14" s="77" t="s" ph="1">
        <v>629</v>
      </c>
      <c r="Q14" s="77" t="s" ph="1">
        <v>629</v>
      </c>
      <c r="R14" s="88" t="s" ph="1">
        <v>640</v>
      </c>
      <c r="S14" s="77" t="s" ph="1">
        <v>71</v>
      </c>
      <c r="T14" s="77" t="s" ph="1">
        <v>631</v>
      </c>
      <c r="U14" s="77" t="s" ph="1">
        <v>610</v>
      </c>
      <c r="V14" s="77" t="s" ph="1">
        <v>110</v>
      </c>
      <c r="W14" s="77" t="s" ph="1">
        <v>629</v>
      </c>
      <c r="X14" s="77" t="s" ph="1">
        <v>632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16" ph="1">
        <v>0.33333333333333331</v>
      </c>
      <c r="C15" s="146" t="s" ph="1">
        <v>178</v>
      </c>
      <c r="D15" s="78">
        <v>0</v>
      </c>
      <c r="E15" s="78">
        <v>2499</v>
      </c>
      <c r="F15" s="78">
        <v>1576</v>
      </c>
      <c r="G15" s="78">
        <v>4264</v>
      </c>
      <c r="H15" s="78">
        <v>0</v>
      </c>
      <c r="I15" s="78">
        <v>5283</v>
      </c>
      <c r="J15" s="78">
        <v>165</v>
      </c>
      <c r="K15" s="78">
        <v>2583</v>
      </c>
      <c r="L15" s="78">
        <v>4804</v>
      </c>
      <c r="M15" s="78">
        <v>2971</v>
      </c>
      <c r="N15" s="78">
        <v>1534</v>
      </c>
      <c r="O15" s="78">
        <v>4726</v>
      </c>
      <c r="P15" s="78">
        <v>7022</v>
      </c>
      <c r="Q15" s="78">
        <v>5239</v>
      </c>
      <c r="R15" s="78">
        <v>157</v>
      </c>
      <c r="S15" s="78">
        <v>0</v>
      </c>
      <c r="T15" s="78">
        <v>6021</v>
      </c>
      <c r="U15" s="78">
        <v>1435</v>
      </c>
      <c r="V15" s="78">
        <v>3197</v>
      </c>
      <c r="W15" s="71">
        <v>3862</v>
      </c>
      <c r="X15" s="78">
        <v>-90</v>
      </c>
      <c r="Y15" s="106">
        <v>-9905</v>
      </c>
      <c r="Z15" s="78">
        <v>0</v>
      </c>
      <c r="AA15" s="78">
        <v>0</v>
      </c>
      <c r="AB15" s="78" ph="1">
        <v>5</v>
      </c>
      <c r="AC15" s="78" ph="1">
        <v>0</v>
      </c>
      <c r="AD15" s="78">
        <v>37.340000000000003</v>
      </c>
      <c r="AE15" s="78">
        <v>84.56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4" ph="1">
      <c r="B16" s="217" ph="1"/>
      <c r="C16" s="146" t="s" ph="1">
        <v>179</v>
      </c>
      <c r="D16" s="73" ph="1">
        <f>D15*7.0686*LOOKUP(D17,密度!$A$2:$A$50,密度!$L$2:$L$50)</f>
        <v>0</v>
      </c>
      <c r="E16" s="73" ph="1">
        <f>E15*7.0686*LOOKUP(E17,密度!$A$2:$A$50,密度!$L$2:$L$50)</f>
        <v>16427.921202000001</v>
      </c>
      <c r="F16" s="73" ph="1">
        <f>F15*9.0746*LOOKUP(F17,密度!$A$2:$A$50,密度!$L$2:$L$50)</f>
        <v>13300.459728000002</v>
      </c>
      <c r="G16" s="73" ph="1">
        <f>G15*9.0746*LOOKUP(G17,密度!$A$2:$A$50,密度!$B$2:$B$50)</f>
        <v>30034.35607328</v>
      </c>
      <c r="H16" s="73" ph="1">
        <f>H15*9.0746*LOOKUP(H17,密度!$A$2:$A$50,密度!$L$2:$L$50)</f>
        <v>0</v>
      </c>
      <c r="I16" s="73" ph="1">
        <f>I15*9.0746*LOOKUP(I17,密度!$A$2:$A$50,密度!$U$2:$U$50)</f>
        <v>48995.816259599997</v>
      </c>
      <c r="J16" s="73" ph="1">
        <f>J15*9.0746*LOOKUP(J17,密度!$A$2:$A$50,密度!$L$2:$L$50)</f>
        <v>1396.9892970000001</v>
      </c>
      <c r="K16" s="73" ph="1">
        <f>K15*9.0746*LOOKUP(K17,密度!$A$2:$A$50,密度!$C$2:$C$50)</f>
        <v>25921.955161620004</v>
      </c>
      <c r="L16" s="73" ph="1">
        <f>L15*9.0746*LOOKUP(L17,密度!$A$2:$A$50,密度!$E$2:$E$50)</f>
        <v>33799.593461087999</v>
      </c>
      <c r="M16" s="73" ph="1">
        <f>M15*9.0746*LOOKUP(M17,密度!$A$2:$A$50,密度!$M$2:$M$50)</f>
        <v>23368.670985782002</v>
      </c>
      <c r="N16" s="73" ph="1">
        <f>N15*9.0746*LOOKUP(N17,密度!$A$2:$A$50,密度!$M$2:$M$50)</f>
        <v>12153.933020840001</v>
      </c>
      <c r="O16" s="73" ph="1">
        <f>O15*9.0746*LOOKUP(O17,密度!$A$2:$A$50,密度!$G$2:$G$50)</f>
        <v>40901.340756115998</v>
      </c>
      <c r="P16" s="73" ph="1">
        <f ca="1">P15*9.0746*LOOKUP(P17,密度!$A$2:$A$51,密度!$Q$2:$Q$50)</f>
        <v>60062.933078296002</v>
      </c>
      <c r="Q16" s="73" ph="1">
        <f>Q15*9.0746*LOOKUP(Q17,密度!$A$2:$A$50,密度!$Q$2:$Q$50)</f>
        <v>44779.649111860002</v>
      </c>
      <c r="R16" s="73" ph="1">
        <f>MAX(R15*9.0746*LOOKUP(R17,密度!$A$2:$A$50,密度!$B$2:$B$50),0)</f>
        <v>1104.57936866</v>
      </c>
      <c r="S16" s="73" ph="1">
        <f>S15*9.0746*LOOKUP(S17,密度!$A$2:$A$50,密度!$Q$2:$Q$50)</f>
        <v>0</v>
      </c>
      <c r="T16" s="73" ph="1">
        <f>T15*9.0746*LOOKUP(T17,密度!$A$2:$A$50,密度!$O$2:$O$50)</f>
        <v>50594.942271600004</v>
      </c>
      <c r="U16" s="73" ph="1">
        <f>U15*9.0746*LOOKUP(U17,密度!$A$2:$A$50,密度!$H$2:$H$50)</f>
        <v>11825.06407208</v>
      </c>
      <c r="V16" s="73" ph="1">
        <f>MAX(5600*LOOKUP(V17,密度!$A$2:$A$50,密度!$Q$2:$Q$50)+V15*9.0476*LOOKUP(V17,密度!$A$2:$A$50,密度!$Q$2:$Q$50),0)</f>
        <v>32451.595057367998</v>
      </c>
      <c r="W16" s="73" ph="1">
        <f>MAX(5600*LOOKUP(W17,密度!$A$2:$A$50,密度!$Q$2:$Q$50)+W15*9.0476*LOOKUP(W17,密度!$A$2:$A$50,密度!$Q$2:$Q$50),0)</f>
        <v>38133.241008408004</v>
      </c>
      <c r="X16" s="73" ph="1">
        <f>MAX(5600*LOOKUP(X17,密度!$A$2:$A$50,密度!$I$2:$I$50)+X15*9.0476*LOOKUP(X17,密度!$A$2:$A$50,密度!$I$2:$I$50),0)</f>
        <v>4955.6567751599996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0</v>
      </c>
      <c r="AB16" s="73" ph="1">
        <f>AB15*9.0746*LOOKUP(AB17,密度!$A$2:$A$50,密度!$L$2:$L$50)</f>
        <v>42.287636000000006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9042.1993315199998</v>
      </c>
      <c r="AE16" s="73" ph="1">
        <f>AE15*268.68*LOOKUP(AE17,密度!$A$2:$A$50,密度!B2:B50)+IF(AE15&lt;=0,0,1566*LOOKUP(AE17,密度!$A$2:$A$50,密度!B2:B50))</f>
        <v>18933.038791679999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18" ph="1"/>
      <c r="C17" s="79" t="s" ph="1">
        <v>180</v>
      </c>
      <c r="D17" s="74">
        <v>32</v>
      </c>
      <c r="E17" s="74">
        <v>32</v>
      </c>
      <c r="F17" s="74">
        <v>32</v>
      </c>
      <c r="G17" s="74">
        <v>29</v>
      </c>
      <c r="H17" s="74">
        <v>25</v>
      </c>
      <c r="I17" s="74">
        <v>28</v>
      </c>
      <c r="J17" s="74">
        <v>29</v>
      </c>
      <c r="K17" s="74">
        <v>29</v>
      </c>
      <c r="L17" s="74">
        <v>32</v>
      </c>
      <c r="M17" s="74">
        <v>33</v>
      </c>
      <c r="N17" s="74">
        <v>27</v>
      </c>
      <c r="O17" s="74">
        <v>31</v>
      </c>
      <c r="P17" s="74">
        <v>31</v>
      </c>
      <c r="Q17" s="74">
        <v>32</v>
      </c>
      <c r="R17" s="74">
        <v>30</v>
      </c>
      <c r="S17" s="74">
        <v>31</v>
      </c>
      <c r="T17" s="74">
        <v>28</v>
      </c>
      <c r="U17" s="74">
        <v>32</v>
      </c>
      <c r="V17" s="74">
        <v>35</v>
      </c>
      <c r="W17" s="74">
        <v>34</v>
      </c>
      <c r="X17" s="74">
        <v>31</v>
      </c>
      <c r="Y17" s="108">
        <v>31</v>
      </c>
      <c r="Z17" s="74">
        <v>30</v>
      </c>
      <c r="AA17" s="74">
        <v>27</v>
      </c>
      <c r="AB17" s="74">
        <v>30</v>
      </c>
      <c r="AC17" s="74">
        <v>28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65" ph="1">
      <c r="B18" s="216" ph="1">
        <v>0.66666666666666663</v>
      </c>
      <c r="C18" s="79" t="s" ph="1">
        <v>181</v>
      </c>
      <c r="D18" s="71">
        <v>0</v>
      </c>
      <c r="E18" s="71">
        <v>69</v>
      </c>
      <c r="F18" s="71">
        <v>1667</v>
      </c>
      <c r="G18" s="71">
        <v>4306</v>
      </c>
      <c r="H18" s="71">
        <v>0</v>
      </c>
      <c r="I18" s="71">
        <v>5286</v>
      </c>
      <c r="J18" s="71">
        <v>172</v>
      </c>
      <c r="K18" s="71">
        <v>2584</v>
      </c>
      <c r="L18" s="71">
        <v>4815</v>
      </c>
      <c r="M18" s="71">
        <v>2978</v>
      </c>
      <c r="N18" s="71">
        <v>2580</v>
      </c>
      <c r="O18" s="71">
        <v>5062</v>
      </c>
      <c r="P18" s="71">
        <v>7030</v>
      </c>
      <c r="Q18" s="71">
        <v>5243</v>
      </c>
      <c r="R18" s="71">
        <v>156</v>
      </c>
      <c r="S18" s="71">
        <v>0</v>
      </c>
      <c r="T18" s="71">
        <v>5330</v>
      </c>
      <c r="U18" s="71">
        <v>1435</v>
      </c>
      <c r="V18" s="71">
        <v>3197</v>
      </c>
      <c r="W18" s="71">
        <v>3861</v>
      </c>
      <c r="X18" s="71">
        <v>-90</v>
      </c>
      <c r="Y18" s="109">
        <v>-9905</v>
      </c>
      <c r="Z18" s="71">
        <v>0</v>
      </c>
      <c r="AA18" s="71">
        <v>0</v>
      </c>
      <c r="AB18" s="71">
        <v>18</v>
      </c>
      <c r="AC18" s="71">
        <v>0</v>
      </c>
      <c r="AD18" s="71">
        <v>73.12</v>
      </c>
      <c r="AE18" s="71">
        <v>84.02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4" ph="1">
      <c r="B19" s="217" ph="1"/>
      <c r="C19" s="146" t="s" ph="1">
        <v>179</v>
      </c>
      <c r="D19" s="73" ph="1">
        <f>D18*7.0686*LOOKUP(D20,密度!$A$2:$A$50,密度!$L$2:$L$50)</f>
        <v>0</v>
      </c>
      <c r="E19" s="73" ph="1">
        <f>E18*7.0686*LOOKUP(E20,密度!$A$2:$A$50,密度!$L$2:$L$50)</f>
        <v>452.61659520000006</v>
      </c>
      <c r="F19" s="73" ph="1">
        <f>F18*9.0746*LOOKUP(F20,密度!$A$2:$A$50,密度!$L$2:$L$50)</f>
        <v>14023.061051400002</v>
      </c>
      <c r="G19" s="73" ph="1">
        <f>G18*9.0746*LOOKUP(G20,密度!$A$2:$A$50,密度!$B$2:$B$50)</f>
        <v>30259.856253439997</v>
      </c>
      <c r="H19" s="73" ph="1">
        <f>H18*9.0746*LOOKUP(H20,密度!$A$2:$A$50,密度!$L$2:$L$50)</f>
        <v>0</v>
      </c>
      <c r="I19" s="73" ph="1">
        <f>I18*9.0746*LOOKUP(I20,密度!$A$2:$A$50,密度!$U$2:$U$50)</f>
        <v>48534.361960080001</v>
      </c>
      <c r="J19" s="73" ph="1">
        <f>J18*9.0746*LOOKUP(J20,密度!$A$2:$A$50,密度!$L$2:$L$50)</f>
        <v>1435.9647040000002</v>
      </c>
      <c r="K19" s="73" ph="1">
        <f>K18*9.0746*LOOKUP(K20,密度!$A$2:$A$50,密度!$C$2:$C$50)</f>
        <v>25791.298163360003</v>
      </c>
      <c r="L19" s="73" ph="1">
        <f>L18*9.0746*LOOKUP(L20,密度!$A$2:$A$50,密度!$E$2:$E$50)</f>
        <v>33778.237478939998</v>
      </c>
      <c r="M19" s="73" ph="1">
        <f>M18*9.0746*LOOKUP(M20,密度!$A$2:$A$50,密度!$M$2:$M$50)</f>
        <v>23338.604022856001</v>
      </c>
      <c r="N19" s="73" ph="1">
        <f>N18*9.0746*LOOKUP(N20,密度!$A$2:$A$50,密度!$M$2:$M$50)</f>
        <v>20366.505913200002</v>
      </c>
      <c r="O19" s="73" ph="1">
        <f>O18*9.0746*LOOKUP(O20,密度!$A$2:$A$50,密度!$G$2:$G$50)</f>
        <v>43612.660633636006</v>
      </c>
      <c r="P19" s="73" ph="1">
        <f ca="1">P18*9.0746*LOOKUP(P20,密度!$A$2:$A$51,密度!$Q$2:$Q$50)</f>
        <v>60046.514767500004</v>
      </c>
      <c r="Q19" s="73" ph="1">
        <f>Q18*9.0746*LOOKUP(Q20,密度!$A$2:$A$50,密度!$Q$2:$Q$50)</f>
        <v>44751.511227402007</v>
      </c>
      <c r="R19" s="73" ph="1">
        <f>MAX(R18*9.0746*LOOKUP(R20,密度!$A$2:$A$50,密度!$B$2:$B$50),0)</f>
        <v>1091.3150258400001</v>
      </c>
      <c r="S19" s="73" ph="1">
        <f>S18*9.0746*LOOKUP(S20,密度!$A$2:$A$50,密度!$Q$2:$Q$50)</f>
        <v>0</v>
      </c>
      <c r="T19" s="73" ph="1">
        <f>T18*9.0746*LOOKUP(T20,密度!$A$2:$A$50,密度!$O$2:$O$50)</f>
        <v>44556.249701600005</v>
      </c>
      <c r="U19" s="73" ph="1">
        <f>U18*9.0746*LOOKUP(U20,密度!$A$2:$A$50,密度!$H$2:$H$50)</f>
        <v>11799.801293139999</v>
      </c>
      <c r="V19" s="73" ph="1">
        <f>MAX(5600*LOOKUP(V20,密度!$A$2:$A$50,密度!$Q$2:$Q$50)+V18*9.0476*LOOKUP(V20,密度!$A$2:$A$50,密度!$Q$2:$Q$50),0)</f>
        <v>32407.057578779997</v>
      </c>
      <c r="W19" s="73" ph="1">
        <f>MAX(5600*LOOKUP(W20,密度!$A$2:$A$50,密度!$Q$2:$Q$50)+W18*9.0476*LOOKUP(W20,密度!$A$2:$A$50,密度!$Q$2:$Q$50),0)</f>
        <v>38046.097326139999</v>
      </c>
      <c r="X19" s="73" ph="1">
        <f>MAX(5600*LOOKUP(X20,密度!$A$2:$A$50,密度!$I$2:$I$50)+X18*9.0476*LOOKUP(X20,密度!$A$2:$A$50,密度!$I$2:$I$50),0)</f>
        <v>4939.7203408800005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0</v>
      </c>
      <c r="AB19" s="73" ph="1">
        <f>AB18*9.0746*LOOKUP(AB20,密度!$A$2:$A$50,密度!$L$2:$L$50)</f>
        <v>150.9287472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16481.6320032</v>
      </c>
      <c r="AE19" s="73" ph="1">
        <f>AE18*268.68*LOOKUP(AE20,密度!$A$2:$A$50,密度!B5:B53)+IF(AE18&lt;=0,0,1566*LOOKUP(AE20,密度!$A$2:$A$50,密度!B5:B53))</f>
        <v>18757.163527199998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17" ph="1"/>
      <c r="C20" s="80" t="s" ph="1">
        <v>180</v>
      </c>
      <c r="D20" s="81">
        <v>34</v>
      </c>
      <c r="E20" s="81">
        <v>34</v>
      </c>
      <c r="F20" s="81">
        <v>35</v>
      </c>
      <c r="G20" s="81">
        <v>31</v>
      </c>
      <c r="H20" s="81">
        <v>36</v>
      </c>
      <c r="I20" s="81">
        <v>39</v>
      </c>
      <c r="J20" s="81">
        <v>42</v>
      </c>
      <c r="K20" s="81">
        <v>35</v>
      </c>
      <c r="L20" s="81">
        <v>34</v>
      </c>
      <c r="M20" s="81">
        <v>36</v>
      </c>
      <c r="N20" s="81">
        <v>30</v>
      </c>
      <c r="O20" s="81">
        <v>35</v>
      </c>
      <c r="P20" s="81">
        <v>33</v>
      </c>
      <c r="Q20" s="81">
        <v>34</v>
      </c>
      <c r="R20" s="81">
        <v>35</v>
      </c>
      <c r="S20" s="81">
        <v>40</v>
      </c>
      <c r="T20" s="81">
        <v>33</v>
      </c>
      <c r="U20" s="81">
        <v>34</v>
      </c>
      <c r="V20" s="81">
        <v>37</v>
      </c>
      <c r="W20" s="81">
        <v>37</v>
      </c>
      <c r="X20" s="81">
        <v>34</v>
      </c>
      <c r="Y20" s="110">
        <v>34</v>
      </c>
      <c r="Z20" s="81">
        <v>39</v>
      </c>
      <c r="AA20" s="81">
        <v>35</v>
      </c>
      <c r="AB20" s="81">
        <v>38</v>
      </c>
      <c r="AC20" s="81">
        <v>34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15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633</v>
      </c>
      <c r="H23" s="88" t="s" ph="1">
        <v>633</v>
      </c>
      <c r="I23" s="88" t="s" ph="1">
        <v>634</v>
      </c>
      <c r="J23" s="88" t="s" ph="1">
        <v>635</v>
      </c>
      <c r="K23" s="88" t="s" ph="1">
        <v>635</v>
      </c>
      <c r="L23" s="88" t="s" ph="1">
        <v>635</v>
      </c>
      <c r="M23" s="88" t="s" ph="1">
        <v>630</v>
      </c>
      <c r="N23" s="88" t="s" ph="1">
        <v>630</v>
      </c>
      <c r="O23" s="88" t="s" ph="1">
        <v>321</v>
      </c>
      <c r="P23" s="88" t="s" ph="1">
        <v>637</v>
      </c>
      <c r="Q23" s="89" t="s" ph="1">
        <v>637</v>
      </c>
      <c r="R23" s="88" t="s" ph="1">
        <v>616</v>
      </c>
      <c r="S23" s="88" t="s" ph="1">
        <v>636</v>
      </c>
      <c r="T23" s="88" t="s" ph="1">
        <v>607</v>
      </c>
      <c r="U23" s="88" t="s" ph="1">
        <v>611</v>
      </c>
      <c r="V23" s="88" t="s" ph="1">
        <v>637</v>
      </c>
      <c r="W23" s="88" t="s" ph="1">
        <v>637</v>
      </c>
      <c r="X23" s="88" t="s" ph="1">
        <v>190</v>
      </c>
      <c r="Y23" s="88" t="s" ph="1">
        <v>638</v>
      </c>
      <c r="Z23" s="228" t="s" ph="1">
        <v>641</v>
      </c>
      <c r="AA23" s="229"/>
      <c r="AB23" s="229"/>
      <c r="AC23" s="229"/>
      <c r="AD23" s="229"/>
      <c r="AE23" s="230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37" ph="1">
        <v>0.33333333333333331</v>
      </c>
      <c r="C24" s="146" t="s" ph="1">
        <v>178</v>
      </c>
      <c r="D24" s="71">
        <v>86.02</v>
      </c>
      <c r="E24" s="71">
        <v>4.45</v>
      </c>
      <c r="F24" s="71">
        <v>3855</v>
      </c>
      <c r="G24" s="71">
        <v>3120</v>
      </c>
      <c r="H24" s="71">
        <v>2613</v>
      </c>
      <c r="I24" s="71">
        <v>2272</v>
      </c>
      <c r="J24" s="71">
        <v>4836</v>
      </c>
      <c r="K24" s="71">
        <v>5522</v>
      </c>
      <c r="L24" s="71">
        <v>5624</v>
      </c>
      <c r="M24" s="71">
        <v>2632</v>
      </c>
      <c r="N24" s="71">
        <v>1355</v>
      </c>
      <c r="O24" s="71">
        <v>5169</v>
      </c>
      <c r="P24" s="71">
        <v>1918</v>
      </c>
      <c r="Q24" s="90">
        <v>156</v>
      </c>
      <c r="R24" s="71">
        <v>69</v>
      </c>
      <c r="S24" s="71">
        <v>6332</v>
      </c>
      <c r="T24" s="71">
        <v>1766</v>
      </c>
      <c r="U24" s="71">
        <v>6574</v>
      </c>
      <c r="V24" s="71">
        <v>9618</v>
      </c>
      <c r="W24" s="71">
        <v>10778</v>
      </c>
      <c r="X24" s="71">
        <v>3492</v>
      </c>
      <c r="Y24" s="71">
        <v>4971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37" ph="1"/>
      <c r="C25" s="68" t="s" ph="1">
        <v>179</v>
      </c>
      <c r="D25" s="91" ph="1">
        <f>D24*268.68*LOOKUP(D26,密度!$A$2:$A$50,密度!$Q$2:$Q$50)+IF(D24&lt;=0,0,1566*LOOKUP(D26,密度!$A$2:$A$50,密度!$Q$2:$Q$50))</f>
        <v>23363.511117263999</v>
      </c>
      <c r="E25" s="91" ph="1">
        <f>E24*268.68*LOOKUP(E26,密度!$A$2:$A$50,密度!$C$2:$C$50)+IF(E24&lt;=0,0,1566*LOOKUP(E26,密度!$A$2:$A$50,密度!$C$2:$C$50))</f>
        <v>3062.3670714</v>
      </c>
      <c r="F25" s="91" ph="1">
        <f>F24*11.702*LOOKUP(F26,密度!$A$2:$A$50,密度!$Q$2:$Q$50)</f>
        <v>42612.951190200001</v>
      </c>
      <c r="G25" s="91" ph="1">
        <f>G24*18.322*LOOKUP(G26,密度!$A$2:$A$50,密度!$B$2:$B$50)</f>
        <v>44371.193568000002</v>
      </c>
      <c r="H25" s="91" ph="1">
        <f>H24*18.322*LOOKUP(H26,密度!$A$2:$A$50,密度!$B$2:$B$50)</f>
        <v>37160.874613200001</v>
      </c>
      <c r="I25" s="91" ph="1">
        <f>I24*18.322*LOOKUP(I26,密度!$A$2:$A$50,密度!$Q$2:$Q$50)</f>
        <v>39237.328126719993</v>
      </c>
      <c r="J25" s="91" ph="1">
        <f>J24*18.322*LOOKUP(J26,密度!$A$2:$A$50,密度!$Q$2:$Q$50)</f>
        <v>83698.236467039998</v>
      </c>
      <c r="K25" s="91" ph="1">
        <f>K24*18.322*LOOKUP(K26,密度!$A$2:$A$50,密度!$Q$2:$Q$50)</f>
        <v>95501.25311012</v>
      </c>
      <c r="L25" s="91" ph="1">
        <f>L24*18.322*LOOKUP(L26,密度!$A$2:$A$50,密度!$Q$2:$Q$50)</f>
        <v>97265.311027040007</v>
      </c>
      <c r="M25" s="91" ph="1">
        <f>M24*18.322*LOOKUP(M26,密度!$A$2:$A$50,密度!$Q$2:$Q$50)</f>
        <v>45490.678028319999</v>
      </c>
      <c r="N25" s="91" ph="1">
        <f>N24*18.322*LOOKUP(N26,密度!$A$2:$A$50,密度!$Q$2:$Q$50)</f>
        <v>23419.403012299997</v>
      </c>
      <c r="O25" s="91" ph="1">
        <f>O24*18.322*LOOKUP(O26,密度!$A$2:$A$50,密度!$C$2:$C$50)</f>
        <v>104660.06253179998</v>
      </c>
      <c r="P25" s="91" ph="1">
        <f>P24*11.702*LOOKUP(P26,密度!$A$2:$A$50,密度!$B$2:$B$50)</f>
        <v>17439.326772</v>
      </c>
      <c r="Q25" s="92" ph="1">
        <f>Q24*18.322*LOOKUP(Q26,密度!$A$2:$A$50,密度!$B$2:$B$50)</f>
        <v>2215.9872695999998</v>
      </c>
      <c r="R25" s="91" ph="1">
        <f>R24*35.891*LOOKUP(R26,密度!$A$2:$A$50,密度!$C$2:$C$50)</f>
        <v>2736.7569428999996</v>
      </c>
      <c r="S25" s="91" ph="1">
        <f>S24*35.891*LOOKUP(S26,密度!$A$2:$A$50,密度!$B$2:$B$50)</f>
        <v>176196.08284359999</v>
      </c>
      <c r="T25" s="91" ph="1">
        <f>T24*35.891*LOOKUP(T26,密度!$A$2:$A$50,密度!$Q$2:$Q$50)</f>
        <v>59659.725022499995</v>
      </c>
      <c r="U25" s="91" ph="1">
        <f>U24*35.891</f>
        <v>235947.43399999998</v>
      </c>
      <c r="V25" s="91" ph="1">
        <f>V24*47.051*LOOKUP(V26,密度!$A$2:$A$50,密度!$B$2:$B$50)</f>
        <v>351620.87448600004</v>
      </c>
      <c r="W25" s="91" ph="1">
        <f>W24*47.051*LOOKUP(W26,密度!$A$2:$A$50,密度!$B$2:$B$50)</f>
        <v>394028.88180600002</v>
      </c>
      <c r="X25" s="91" ph="1">
        <f>X24*47.051*LOOKUP(X26,密度!$A$2:$A$50,密度!$I$2:$I$50)</f>
        <v>170496.2808684</v>
      </c>
      <c r="Y25" s="91" ph="1">
        <f>Y24*47.051*LOOKUP(Y26,密度!$A$2:$A$50,密度!$L$2:$L$50)</f>
        <v>217985.96557200002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37" ph="1"/>
      <c r="C26" s="68" t="s" ph="1">
        <v>180</v>
      </c>
      <c r="D26" s="74">
        <v>25</v>
      </c>
      <c r="E26" s="74">
        <v>25</v>
      </c>
      <c r="F26" s="74">
        <v>28</v>
      </c>
      <c r="G26" s="74">
        <v>29</v>
      </c>
      <c r="H26" s="74">
        <v>29</v>
      </c>
      <c r="I26" s="74">
        <v>31</v>
      </c>
      <c r="J26" s="74">
        <v>28</v>
      </c>
      <c r="K26" s="74">
        <v>29</v>
      </c>
      <c r="L26" s="74">
        <v>29</v>
      </c>
      <c r="M26" s="74">
        <v>30</v>
      </c>
      <c r="N26" s="74">
        <v>30</v>
      </c>
      <c r="O26" s="74">
        <v>30</v>
      </c>
      <c r="P26" s="74">
        <v>28</v>
      </c>
      <c r="Q26" s="93">
        <v>30</v>
      </c>
      <c r="R26" s="74">
        <v>30</v>
      </c>
      <c r="S26" s="74">
        <v>30</v>
      </c>
      <c r="T26" s="74">
        <v>33</v>
      </c>
      <c r="U26" s="74">
        <v>31</v>
      </c>
      <c r="V26" s="74">
        <v>28</v>
      </c>
      <c r="W26" s="74">
        <v>28</v>
      </c>
      <c r="X26" s="74">
        <v>29</v>
      </c>
      <c r="Y26" s="74">
        <v>30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65" ph="1">
      <c r="A27" s="72" ph="1"/>
      <c r="B27" s="237" ph="1">
        <v>0.66666666666666663</v>
      </c>
      <c r="C27" s="146" t="s" ph="1">
        <v>181</v>
      </c>
      <c r="D27" s="71">
        <v>86.13</v>
      </c>
      <c r="E27" s="71">
        <v>4.41</v>
      </c>
      <c r="F27" s="71">
        <v>3855</v>
      </c>
      <c r="G27" s="71">
        <v>2586</v>
      </c>
      <c r="H27" s="71">
        <v>2585</v>
      </c>
      <c r="I27" s="71">
        <v>2271</v>
      </c>
      <c r="J27" s="71">
        <v>4837</v>
      </c>
      <c r="K27" s="71">
        <v>5523</v>
      </c>
      <c r="L27" s="71">
        <v>5622</v>
      </c>
      <c r="M27" s="71">
        <v>3176</v>
      </c>
      <c r="N27" s="71">
        <v>1352</v>
      </c>
      <c r="O27" s="71">
        <v>5166</v>
      </c>
      <c r="P27" s="71">
        <v>1011</v>
      </c>
      <c r="Q27" s="90">
        <v>1003</v>
      </c>
      <c r="R27" s="71">
        <v>64</v>
      </c>
      <c r="S27" s="71">
        <v>6331</v>
      </c>
      <c r="T27" s="71">
        <v>1764</v>
      </c>
      <c r="U27" s="71">
        <v>6443</v>
      </c>
      <c r="V27" s="71">
        <v>9620</v>
      </c>
      <c r="W27" s="71">
        <v>10778</v>
      </c>
      <c r="X27" s="71">
        <v>3493</v>
      </c>
      <c r="Y27" s="71">
        <v>3896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37" ph="1"/>
      <c r="C28" s="146" t="s" ph="1">
        <v>179</v>
      </c>
      <c r="D28" s="91" ph="1">
        <f>D27*268.68*LOOKUP(D29,密度!$A$2:$A$50,密度!$Q$2:$Q$50)+IF(D27&lt;=0,0,1566*LOOKUP(D29,密度!$A$2:$A$50,密度!$Q$2:$Q$50))</f>
        <v>23391.491828616003</v>
      </c>
      <c r="E28" s="91" ph="1">
        <f>E27*268.68*LOOKUP(E29,密度!$A$2:$A$50,密度!$C$2:$C$50)+IF(E27&lt;=0,0,1566*LOOKUP(E29,密度!$A$2:$A$50,密度!$C$2:$C$50))</f>
        <v>3050.4495013199999</v>
      </c>
      <c r="F28" s="91" ph="1">
        <f>F27*11.702*LOOKUP(F29,密度!$A$2:$A$50,密度!$Q$2:$Q$50)</f>
        <v>42460.926412499997</v>
      </c>
      <c r="G28" s="91" ph="1">
        <f>G27*18.322*LOOKUP(G29,密度!$A$2:$A$50,密度!$B$2:$B$50)</f>
        <v>36648.965261999998</v>
      </c>
      <c r="H28" s="91" ph="1">
        <f>H27*18.322*LOOKUP(H29,密度!$A$2:$A$50,密度!$B$2:$B$50)</f>
        <v>36634.793194999998</v>
      </c>
      <c r="I28" s="91" ph="1">
        <f>I27*18.322*LOOKUP(I29,密度!$A$2:$A$50,密度!$Q$2:$Q$50)</f>
        <v>39110.209724279994</v>
      </c>
      <c r="J28" s="91" ph="1">
        <f>J27*18.322*LOOKUP(J29,密度!$A$2:$A$50,密度!$Q$2:$Q$50)</f>
        <v>83474.48783659999</v>
      </c>
      <c r="K28" s="91" ph="1">
        <f>K27*18.322*LOOKUP(K29,密度!$A$2:$A$50,密度!$Q$2:$Q$50)</f>
        <v>95247.352147500002</v>
      </c>
      <c r="L28" s="91" ph="1">
        <f>L27*18.322*LOOKUP(L29,密度!$A$2:$A$50,密度!$Q$2:$Q$50)</f>
        <v>96954.664814999996</v>
      </c>
      <c r="M28" s="91" ph="1">
        <f>M27*18.322*LOOKUP(M29,密度!$A$2:$A$50,密度!$Q$2:$Q$50)</f>
        <v>54809.793956799993</v>
      </c>
      <c r="N28" s="91" ph="1">
        <f>N27*18.322*LOOKUP(N29,密度!$A$2:$A$50,密度!$Q$2:$Q$50)</f>
        <v>23332.128913599998</v>
      </c>
      <c r="O28" s="91" ph="1">
        <f>O27*18.322*LOOKUP(O29,密度!$A$2:$A$50,密度!$C$2:$C$50)</f>
        <v>104305.900104</v>
      </c>
      <c r="P28" s="91" ph="1">
        <f>P27*11.702*LOOKUP(P29,密度!$A$2:$A$50,密度!$B$2:$B$50)</f>
        <v>9161.7111167999992</v>
      </c>
      <c r="Q28" s="92" ph="1">
        <f>Q27*18.322*LOOKUP(Q29,密度!$A$2:$A$50,密度!$B$2:$B$50)</f>
        <v>14199.881628200001</v>
      </c>
      <c r="R28" s="91" ph="1">
        <f>R27*35.891*LOOKUP(R29,密度!$A$2:$A$50,密度!$C$2:$C$50)</f>
        <v>2531.3204479999999</v>
      </c>
      <c r="S28" s="91" ph="1">
        <f>S27*35.891*LOOKUP(S29,密度!$A$2:$A$50,密度!$B$2:$B$50)</f>
        <v>175577.46915670001</v>
      </c>
      <c r="T28" s="91" ph="1">
        <f>T27*35.891*LOOKUP(T29,密度!$A$2:$A$50,密度!$Q$2:$Q$50)</f>
        <v>59509.221856559998</v>
      </c>
      <c r="U28" s="91" ph="1">
        <f>U27*35.891</f>
        <v>231245.71299999999</v>
      </c>
      <c r="V28" s="91" ph="1">
        <f>V27*47.051*LOOKUP(V29,密度!$A$2:$A$50,密度!$B$2:$B$50)</f>
        <v>350109.78456999996</v>
      </c>
      <c r="W28" s="91" ph="1">
        <f>W27*47.051*LOOKUP(W29,密度!$A$2:$A$50,密度!$B$2:$B$50)</f>
        <v>392253.97693299997</v>
      </c>
      <c r="X28" s="91" ph="1">
        <f>X27*47.051*LOOKUP(X29,密度!$A$2:$A$50,密度!$I$2:$I$50)</f>
        <v>169820.32597047003</v>
      </c>
      <c r="Y28" s="91" ph="1">
        <f>Y27*47.051*LOOKUP(Y29,密度!$A$2:$A$50,密度!$L$2:$L$50)</f>
        <v>170112.32588799999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37" ph="1"/>
      <c r="C29" s="146" t="s" ph="1">
        <v>180</v>
      </c>
      <c r="D29" s="74">
        <v>25</v>
      </c>
      <c r="E29" s="74">
        <v>25</v>
      </c>
      <c r="F29" s="74">
        <v>33</v>
      </c>
      <c r="G29" s="74">
        <v>32</v>
      </c>
      <c r="H29" s="74">
        <v>32</v>
      </c>
      <c r="I29" s="74">
        <v>35</v>
      </c>
      <c r="J29" s="74">
        <v>32</v>
      </c>
      <c r="K29" s="74">
        <v>33</v>
      </c>
      <c r="L29" s="74">
        <v>33</v>
      </c>
      <c r="M29" s="74">
        <v>32</v>
      </c>
      <c r="N29" s="74">
        <v>32</v>
      </c>
      <c r="O29" s="74">
        <v>33</v>
      </c>
      <c r="P29" s="74">
        <v>31</v>
      </c>
      <c r="Q29" s="93">
        <v>33</v>
      </c>
      <c r="R29" s="74">
        <v>33</v>
      </c>
      <c r="S29" s="74">
        <v>33</v>
      </c>
      <c r="T29" s="74">
        <v>35</v>
      </c>
      <c r="U29" s="74">
        <v>34</v>
      </c>
      <c r="V29" s="74">
        <v>32</v>
      </c>
      <c r="W29" s="74">
        <v>32</v>
      </c>
      <c r="X29" s="74">
        <v>33</v>
      </c>
      <c r="Y29" s="74">
        <v>34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45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46" t="s" ph="1">
        <v>5</v>
      </c>
      <c r="F32" s="145" t="s" ph="1">
        <v>43</v>
      </c>
      <c r="G32" s="97" t="s" ph="1">
        <v>4</v>
      </c>
      <c r="H32" s="146" t="s" ph="1">
        <v>5</v>
      </c>
      <c r="I32" s="145" t="s" ph="1">
        <v>43</v>
      </c>
      <c r="J32" s="97" t="s" ph="1">
        <v>4</v>
      </c>
      <c r="K32" s="146" t="s" ph="1">
        <v>5</v>
      </c>
      <c r="L32" s="145" t="s" ph="1">
        <v>43</v>
      </c>
      <c r="M32" s="97" t="s" ph="1">
        <v>4</v>
      </c>
      <c r="N32" s="146" t="s" ph="1">
        <v>5</v>
      </c>
      <c r="O32" s="14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6" t="s" ph="1">
        <v>5</v>
      </c>
      <c r="U32" s="99" t="s" ph="1">
        <v>43</v>
      </c>
      <c r="V32" s="97" t="s" ph="1">
        <v>4</v>
      </c>
      <c r="W32" s="146" t="s" ph="1">
        <v>5</v>
      </c>
      <c r="X32" s="99" t="s" ph="1">
        <v>43</v>
      </c>
      <c r="Y32" s="100" t="s" ph="1">
        <v>4</v>
      </c>
      <c r="Z32" s="146" t="s" ph="1">
        <v>5</v>
      </c>
      <c r="AA32" s="145" t="s" ph="1">
        <v>43</v>
      </c>
      <c r="AB32" s="97" t="s" ph="1">
        <v>85</v>
      </c>
      <c r="AC32" s="146" t="s" ph="1">
        <v>84</v>
      </c>
      <c r="AD32" s="204" t="s" ph="1">
        <v>83</v>
      </c>
      <c r="AE32" s="205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06" t="s" ph="1">
        <v>182</v>
      </c>
      <c r="C33" s="207" ph="1"/>
      <c r="D33" s="186" ph="1">
        <f>AA10+AB10+Z19</f>
        <v>65754.143402320013</v>
      </c>
      <c r="E33" s="186" ph="1">
        <f>M10+I10</f>
        <v>175582.49360260001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1522252632456786910111213141516171819202123456789101112131415161718192022232424356789101112131415161718192021222345678910111213141516171819202345678910111213149101516171819222123234567891012131415161711181920212224252345678910111213136[[#This Row],[F25]]</f>
        <v>3880</v>
      </c>
      <c r="G33" s="212" ph="1">
        <v>0</v>
      </c>
      <c r="H33" s="186" ph="1">
        <f>N19</f>
        <v>20366.505913200002</v>
      </c>
      <c r="I33" s="190" ph="1">
        <v>0</v>
      </c>
      <c r="J33" s="194" ph="1">
        <f>F10+O28</f>
        <v>354172.76188200002</v>
      </c>
      <c r="K33" s="186" ph="1">
        <f>O10+K10+E28+R28</f>
        <v>91175.041896520008</v>
      </c>
      <c r="L33" s="196" ph="1">
        <f>BE27</f>
        <v>7100</v>
      </c>
      <c r="M33" s="194" ph="1">
        <f>G10+H10+W28+S28+V28+E10</f>
        <v>1477610.4415046999</v>
      </c>
      <c r="N33" s="186" ph="1">
        <f>L10+P10++G28+H28</f>
        <v>111037.894558</v>
      </c>
      <c r="O33" s="190" ph="1">
        <f>BE17</f>
        <v>2270</v>
      </c>
      <c r="P33" s="194" ph="1">
        <f>L19</f>
        <v>33778.237478939998</v>
      </c>
      <c r="Q33" s="186" ph="1">
        <f>J10+N10</f>
        <v>68032.013357539996</v>
      </c>
      <c r="R33" s="190" ph="1">
        <f>BE23</f>
        <v>890</v>
      </c>
      <c r="S33" s="194" ph="1">
        <f>E10+X28</f>
        <v>493316.45240647008</v>
      </c>
      <c r="T33" s="186" ph="1">
        <f>X19</f>
        <v>4939.7203408800005</v>
      </c>
      <c r="U33" s="175" ph="1">
        <f>BE21</f>
        <v>730</v>
      </c>
      <c r="V33" s="188" ph="1">
        <f ca="1">P19+Q19+S19+M28+N28+J28</f>
        <v>266414.43670190196</v>
      </c>
      <c r="W33" s="188" ph="1">
        <f>D28+F28+V19+T28</f>
        <v>157768.69767645601</v>
      </c>
      <c r="X33" s="190" ph="1">
        <f>BE29+BE31</f>
        <v>10200</v>
      </c>
      <c r="Y33" s="192" ph="1">
        <f>+Q10+R10+S10+T10+U10+V10+W10+X10+Y10</f>
        <v>114387.90224400001</v>
      </c>
      <c r="Z33" s="173" ph="1">
        <f>D10+T19+U19+Y28+Z10</f>
        <v>470484.95962023997</v>
      </c>
      <c r="AA33" s="175" ph="1">
        <f>BE19</f>
        <v>1440</v>
      </c>
      <c r="AB33" s="177" ph="1">
        <f>I19</f>
        <v>48534.361960080001</v>
      </c>
      <c r="AC33" s="179" ph="1">
        <f>AD10</f>
        <v>86541.636787200012</v>
      </c>
      <c r="AD33" s="181" ph="1">
        <v>0</v>
      </c>
      <c r="AE33" s="182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85" t="s" ph="1">
        <v>639</v>
      </c>
      <c r="AD35" s="185"/>
      <c r="AE35" s="185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45" ph="1">
      <c r="A36" s="64"/>
      <c r="B36" s="103" t="s" ph="1">
        <v>183</v>
      </c>
      <c r="I36" s="171" t="s" ph="1">
        <v>184</v>
      </c>
      <c r="J36" s="171" ph="1"/>
      <c r="K36" s="101" ph="1"/>
      <c r="P36" s="101" ph="1"/>
      <c r="R36" s="171" t="s" ph="1">
        <v>185</v>
      </c>
      <c r="S36" s="171" ph="1"/>
      <c r="Y36" s="102" ph="1"/>
      <c r="Z36" s="144" t="s" ph="1">
        <v>186</v>
      </c>
      <c r="AA36" s="144" ph="1"/>
      <c r="AB36" s="172" t="s" ph="1">
        <v>644</v>
      </c>
      <c r="AC36" s="172" ph="1"/>
      <c r="AD36" s="172" ph="1"/>
      <c r="AE36" s="172" ph="1"/>
      <c r="BA36" s="64" ph="1">
        <v>2270</v>
      </c>
    </row>
    <row r="37" spans="1:57" s="144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4" t="s" ph="1">
        <v>345</v>
      </c>
      <c r="AI37" s="144" t="s" ph="1">
        <v>212</v>
      </c>
      <c r="AJ37" s="144" t="s" ph="1">
        <v>213</v>
      </c>
      <c r="AK37" s="144" t="s" ph="1">
        <v>214</v>
      </c>
      <c r="AM37" s="144" t="s" ph="1">
        <v>213</v>
      </c>
      <c r="AN37" s="144" t="s" ph="1">
        <v>214</v>
      </c>
      <c r="AO37" s="144" t="s" ph="1">
        <v>215</v>
      </c>
      <c r="AP37" s="144" t="s" ph="1">
        <v>213</v>
      </c>
      <c r="AQ37" s="144" t="s" ph="1">
        <v>214</v>
      </c>
      <c r="AR37" s="144" t="s" ph="1">
        <v>215</v>
      </c>
      <c r="AS37" s="144" t="s" ph="1">
        <v>213</v>
      </c>
      <c r="AT37" s="144" t="s" ph="1">
        <v>214</v>
      </c>
      <c r="AU37" s="144" t="s" ph="1">
        <v>215</v>
      </c>
      <c r="AV37" s="144" t="s" ph="1">
        <v>213</v>
      </c>
      <c r="AW37" s="144" t="s" ph="1">
        <v>214</v>
      </c>
      <c r="AX37" s="144" t="s" ph="1">
        <v>215</v>
      </c>
      <c r="AY37" s="144" t="s" ph="1">
        <v>214</v>
      </c>
      <c r="AZ37" s="144" t="s" ph="1">
        <v>216</v>
      </c>
      <c r="BD37" s="144" t="s" ph="1">
        <v>308</v>
      </c>
      <c r="BE37" s="144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412" priority="97">
      <formula>ABS(D$7-D$10)&gt;=1000</formula>
    </cfRule>
  </conditionalFormatting>
  <conditionalFormatting sqref="E4 E6:E11">
    <cfRule type="expression" dxfId="2411" priority="96">
      <formula>ABS(E$7-E$10)&gt;=1000</formula>
    </cfRule>
  </conditionalFormatting>
  <conditionalFormatting sqref="F4:F11">
    <cfRule type="expression" dxfId="2410" priority="95">
      <formula>ABS(F$7-F$10)&gt;=1000</formula>
    </cfRule>
  </conditionalFormatting>
  <conditionalFormatting sqref="G4:G11">
    <cfRule type="expression" dxfId="2409" priority="94">
      <formula>ABS(G$7-G$10)&gt;=1000</formula>
    </cfRule>
  </conditionalFormatting>
  <conditionalFormatting sqref="H4:H11">
    <cfRule type="expression" dxfId="2408" priority="93">
      <formula>ABS(H$7-H$10)&gt;=1000</formula>
    </cfRule>
  </conditionalFormatting>
  <conditionalFormatting sqref="I4:I11">
    <cfRule type="expression" dxfId="2407" priority="92">
      <formula>ABS(I$7-I$10)&gt;=1000</formula>
    </cfRule>
  </conditionalFormatting>
  <conditionalFormatting sqref="J4:J11">
    <cfRule type="expression" dxfId="2406" priority="91">
      <formula>ABS(J$7-J$10)&gt;=1000</formula>
    </cfRule>
  </conditionalFormatting>
  <conditionalFormatting sqref="K4:K11">
    <cfRule type="expression" dxfId="2405" priority="90">
      <formula>ABS(K$7-K$10)&gt;=1000</formula>
    </cfRule>
  </conditionalFormatting>
  <conditionalFormatting sqref="L4:L11">
    <cfRule type="expression" dxfId="2404" priority="89">
      <formula>ABS(L$7-L$10)&gt;=1000</formula>
    </cfRule>
  </conditionalFormatting>
  <conditionalFormatting sqref="M4 M6:M11">
    <cfRule type="expression" dxfId="2403" priority="88">
      <formula>ABS(M$7-M$10)&gt;=1000</formula>
    </cfRule>
  </conditionalFormatting>
  <conditionalFormatting sqref="N4 N6:N11">
    <cfRule type="expression" dxfId="2402" priority="87">
      <formula>ABS(N$7-N$10)&gt;=1000</formula>
    </cfRule>
  </conditionalFormatting>
  <conditionalFormatting sqref="O4 O6:O11">
    <cfRule type="expression" dxfId="2401" priority="86">
      <formula>ABS(O$7-O$10)&gt;=1000</formula>
    </cfRule>
  </conditionalFormatting>
  <conditionalFormatting sqref="P4 P6:P11">
    <cfRule type="expression" dxfId="2400" priority="85">
      <formula>ABS(P$7-P$10)&gt;=1000</formula>
    </cfRule>
  </conditionalFormatting>
  <conditionalFormatting sqref="Q4:Q11">
    <cfRule type="expression" dxfId="2399" priority="84">
      <formula>ABS(Q$7-Q$10)&gt;=1000</formula>
    </cfRule>
  </conditionalFormatting>
  <conditionalFormatting sqref="R4:R11">
    <cfRule type="expression" dxfId="2398" priority="83">
      <formula>ABS(R$7-R$10)&gt;=1000</formula>
    </cfRule>
  </conditionalFormatting>
  <conditionalFormatting sqref="S4:S11">
    <cfRule type="expression" dxfId="2397" priority="82">
      <formula>ABS(S$7-S$10)&gt;=1000</formula>
    </cfRule>
  </conditionalFormatting>
  <conditionalFormatting sqref="T4:T9 T11">
    <cfRule type="expression" dxfId="2396" priority="81">
      <formula>ABS(T$7-T$10)&gt;=1000</formula>
    </cfRule>
  </conditionalFormatting>
  <conditionalFormatting sqref="U4:U9 U11">
    <cfRule type="expression" dxfId="2395" priority="80">
      <formula>ABS(U$7-U$10)&gt;=1000</formula>
    </cfRule>
  </conditionalFormatting>
  <conditionalFormatting sqref="V4:V9 V11">
    <cfRule type="expression" dxfId="2394" priority="79">
      <formula>ABS(V$7-V$10)&gt;=1000</formula>
    </cfRule>
  </conditionalFormatting>
  <conditionalFormatting sqref="W4:W9 W11">
    <cfRule type="expression" dxfId="2393" priority="78">
      <formula>ABS(W$7-W$10)&gt;=1000</formula>
    </cfRule>
  </conditionalFormatting>
  <conditionalFormatting sqref="X4:X9 X11">
    <cfRule type="expression" dxfId="2392" priority="77">
      <formula>ABS(X$7-X$10)&gt;=1000</formula>
    </cfRule>
  </conditionalFormatting>
  <conditionalFormatting sqref="Y4:Y9 Y11">
    <cfRule type="expression" dxfId="2391" priority="76">
      <formula>ABS(Y$7-Y$10)&gt;=1000</formula>
    </cfRule>
  </conditionalFormatting>
  <conditionalFormatting sqref="Z4:Z11">
    <cfRule type="expression" dxfId="2390" priority="75">
      <formula>ABS(Z$7-Z$10)&gt;=1000</formula>
    </cfRule>
  </conditionalFormatting>
  <conditionalFormatting sqref="AA4:AA11">
    <cfRule type="expression" dxfId="2389" priority="74">
      <formula>ABS(AA$7-AA$10)&gt;=1000</formula>
    </cfRule>
  </conditionalFormatting>
  <conditionalFormatting sqref="AB4:AB11">
    <cfRule type="expression" dxfId="2388" priority="73">
      <formula>ABS(AB$7-AB$10)&gt;=1000</formula>
    </cfRule>
  </conditionalFormatting>
  <conditionalFormatting sqref="AC4 AC6:AC11">
    <cfRule type="expression" dxfId="2387" priority="72">
      <formula>ABS(AC$7-AC$10)&gt;=1000</formula>
    </cfRule>
  </conditionalFormatting>
  <conditionalFormatting sqref="AD4:AD11">
    <cfRule type="expression" dxfId="2386" priority="71">
      <formula>ABS(AD$7-AD$10)&gt;=1000</formula>
    </cfRule>
  </conditionalFormatting>
  <conditionalFormatting sqref="AE4:AE11">
    <cfRule type="expression" dxfId="2385" priority="70">
      <formula>ABS(AE$7-AE$10)&gt;=1000</formula>
    </cfRule>
  </conditionalFormatting>
  <conditionalFormatting sqref="D13:D20">
    <cfRule type="expression" dxfId="2384" priority="69">
      <formula>ABS(D$16-D$19)&gt;=1000</formula>
    </cfRule>
  </conditionalFormatting>
  <conditionalFormatting sqref="E13:E20">
    <cfRule type="expression" dxfId="2383" priority="68">
      <formula>ABS(E$16-E$19)&gt;=1000</formula>
    </cfRule>
  </conditionalFormatting>
  <conditionalFormatting sqref="F13 F15:F20">
    <cfRule type="expression" dxfId="2382" priority="67">
      <formula>ABS(F$16-F$19)&gt;=1000</formula>
    </cfRule>
  </conditionalFormatting>
  <conditionalFormatting sqref="G13:G20">
    <cfRule type="expression" dxfId="2381" priority="66">
      <formula>ABS(G$16-G$19)&gt;=1000</formula>
    </cfRule>
  </conditionalFormatting>
  <conditionalFormatting sqref="H13:H20">
    <cfRule type="expression" dxfId="2380" priority="65">
      <formula>ABS(H$16-H$19)&gt;=1000</formula>
    </cfRule>
  </conditionalFormatting>
  <conditionalFormatting sqref="I13:I20">
    <cfRule type="expression" dxfId="2379" priority="64">
      <formula>ABS(I$16-I$19)&gt;=1000</formula>
    </cfRule>
  </conditionalFormatting>
  <conditionalFormatting sqref="J13:J20">
    <cfRule type="expression" dxfId="2378" priority="63">
      <formula>ABS(J$16-J$19)&gt;=1000</formula>
    </cfRule>
  </conditionalFormatting>
  <conditionalFormatting sqref="L13:L20">
    <cfRule type="expression" dxfId="2377" priority="62">
      <formula>ABS(L$16-L$19)&gt;=1000</formula>
    </cfRule>
  </conditionalFormatting>
  <conditionalFormatting sqref="M13 M15 M17:M18 M20">
    <cfRule type="expression" dxfId="2376" priority="61">
      <formula>ABS(M$16-M$19)&gt;=1000</formula>
    </cfRule>
  </conditionalFormatting>
  <conditionalFormatting sqref="N13:N20">
    <cfRule type="expression" dxfId="2375" priority="60">
      <formula>ABS(N$16-N$19)&gt;=1000</formula>
    </cfRule>
  </conditionalFormatting>
  <conditionalFormatting sqref="O13:O20">
    <cfRule type="expression" dxfId="2374" priority="59">
      <formula>ABS(O$16-O$19)&gt;=1000</formula>
    </cfRule>
  </conditionalFormatting>
  <conditionalFormatting sqref="P13:P20">
    <cfRule type="expression" dxfId="2373" priority="58">
      <formula>ABS(P$16-P$19)&gt;=1000</formula>
    </cfRule>
  </conditionalFormatting>
  <conditionalFormatting sqref="Q13 Q15:Q20">
    <cfRule type="expression" dxfId="2372" priority="57">
      <formula>ABS(Q$16-Q$19)&gt;=1000</formula>
    </cfRule>
  </conditionalFormatting>
  <conditionalFormatting sqref="R13:R20">
    <cfRule type="expression" dxfId="2371" priority="56">
      <formula>ABS(R$16-R$19)&gt;=1000</formula>
    </cfRule>
  </conditionalFormatting>
  <conditionalFormatting sqref="S13:S20">
    <cfRule type="expression" dxfId="2370" priority="55">
      <formula>ABS(S$16-S$19)&gt;=1000</formula>
    </cfRule>
  </conditionalFormatting>
  <conditionalFormatting sqref="T13:T20">
    <cfRule type="expression" dxfId="2369" priority="54">
      <formula>ABS(T$16-T$19)&gt;=1000</formula>
    </cfRule>
  </conditionalFormatting>
  <conditionalFormatting sqref="U13:U20">
    <cfRule type="expression" dxfId="2368" priority="53">
      <formula>ABS(U$16-U$19)&gt;=1000</formula>
    </cfRule>
  </conditionalFormatting>
  <conditionalFormatting sqref="V13:V20">
    <cfRule type="expression" dxfId="2367" priority="52">
      <formula>ABS(V$16-V$19)&gt;=1000</formula>
    </cfRule>
  </conditionalFormatting>
  <conditionalFormatting sqref="W13 W20 W15:W18">
    <cfRule type="expression" dxfId="2366" priority="51">
      <formula>ABS(W$16-W$19)&gt;=1000</formula>
    </cfRule>
  </conditionalFormatting>
  <conditionalFormatting sqref="X13 X15:X20 Y19">
    <cfRule type="expression" dxfId="2365" priority="50">
      <formula>ABS(X$16-X$19)&gt;=1000</formula>
    </cfRule>
  </conditionalFormatting>
  <conditionalFormatting sqref="Y13 Y15:Y18 Y20">
    <cfRule type="expression" dxfId="2364" priority="49">
      <formula>ABS(Y$16-Y$19)&gt;=1000</formula>
    </cfRule>
  </conditionalFormatting>
  <conditionalFormatting sqref="Z13:Z20">
    <cfRule type="expression" dxfId="2363" priority="48">
      <formula>ABS(Z$16-Z$19)&gt;=1000</formula>
    </cfRule>
  </conditionalFormatting>
  <conditionalFormatting sqref="AA13:AA20">
    <cfRule type="expression" dxfId="2362" priority="47">
      <formula>ABS(AA$16-AA$19)&gt;=1000</formula>
    </cfRule>
  </conditionalFormatting>
  <conditionalFormatting sqref="AB13 AB15:AB20">
    <cfRule type="expression" dxfId="2361" priority="46">
      <formula>ABS(AB$16-AB$19)&gt;=1000</formula>
    </cfRule>
  </conditionalFormatting>
  <conditionalFormatting sqref="AC13 AC15:AC20">
    <cfRule type="expression" dxfId="2360" priority="45">
      <formula>ABS(AC$16-AC$19)&gt;=1000</formula>
    </cfRule>
  </conditionalFormatting>
  <conditionalFormatting sqref="AD13:AD20">
    <cfRule type="expression" dxfId="2359" priority="44">
      <formula>ABS(AD$16-AD$19)&gt;=1000</formula>
    </cfRule>
  </conditionalFormatting>
  <conditionalFormatting sqref="AE13:AE20">
    <cfRule type="expression" dxfId="2358" priority="43">
      <formula>ABS(AE$16-AE$19)&gt;=1000</formula>
    </cfRule>
  </conditionalFormatting>
  <conditionalFormatting sqref="D22:D29">
    <cfRule type="expression" dxfId="2357" priority="42">
      <formula>ABS(D$25-D$28)&gt;=1000</formula>
    </cfRule>
  </conditionalFormatting>
  <conditionalFormatting sqref="E22:E29">
    <cfRule type="expression" dxfId="2356" priority="41">
      <formula>ABS(E$25-E$28)&gt;=1000</formula>
    </cfRule>
  </conditionalFormatting>
  <conditionalFormatting sqref="F22:F29">
    <cfRule type="expression" dxfId="2355" priority="40">
      <formula>ABS(F$25-F$28)&gt;=1000</formula>
    </cfRule>
  </conditionalFormatting>
  <conditionalFormatting sqref="G22:G29">
    <cfRule type="expression" dxfId="2354" priority="39">
      <formula>ABS(G$25-G$28)&gt;=1000</formula>
    </cfRule>
  </conditionalFormatting>
  <conditionalFormatting sqref="H22:H29">
    <cfRule type="expression" dxfId="2353" priority="38">
      <formula>ABS(H$25-H$28)&gt;=1000</formula>
    </cfRule>
  </conditionalFormatting>
  <conditionalFormatting sqref="I22 I24:I29">
    <cfRule type="expression" dxfId="2352" priority="37">
      <formula>ABS(I$25-I$28)&gt;=1000</formula>
    </cfRule>
  </conditionalFormatting>
  <conditionalFormatting sqref="J22:J29 K22">
    <cfRule type="expression" dxfId="2351" priority="36">
      <formula>ABS(J$25-J$28)&gt;=1000</formula>
    </cfRule>
  </conditionalFormatting>
  <conditionalFormatting sqref="K23:K29 L25 L28">
    <cfRule type="expression" dxfId="2350" priority="35">
      <formula>ABS(K$25-K$28)&gt;=1000</formula>
    </cfRule>
  </conditionalFormatting>
  <conditionalFormatting sqref="L22 L26:L27 L29 L24">
    <cfRule type="expression" dxfId="2349" priority="34">
      <formula>ABS(L$25-L$28)&gt;=1000</formula>
    </cfRule>
  </conditionalFormatting>
  <conditionalFormatting sqref="M22:M29">
    <cfRule type="expression" dxfId="2348" priority="33">
      <formula>ABS(M$25-M$28)&gt;=1000</formula>
    </cfRule>
  </conditionalFormatting>
  <conditionalFormatting sqref="N22:N29">
    <cfRule type="expression" dxfId="2347" priority="32">
      <formula>ABS(N$25-N$28)&gt;=1000</formula>
    </cfRule>
  </conditionalFormatting>
  <conditionalFormatting sqref="O22:O29">
    <cfRule type="expression" dxfId="2346" priority="31">
      <formula>ABS(O$25-O$28)&gt;=1000</formula>
    </cfRule>
  </conditionalFormatting>
  <conditionalFormatting sqref="P22:P29">
    <cfRule type="expression" dxfId="2345" priority="30">
      <formula>ABS(P$25-P$28)&gt;=1000</formula>
    </cfRule>
  </conditionalFormatting>
  <conditionalFormatting sqref="Q22:Q29">
    <cfRule type="expression" dxfId="2344" priority="29">
      <formula>ABS(Q$25-Q$28)&gt;=1000</formula>
    </cfRule>
  </conditionalFormatting>
  <conditionalFormatting sqref="R22:R29">
    <cfRule type="expression" dxfId="2343" priority="28">
      <formula>ABS(R$25-R$28)&gt;=1000</formula>
    </cfRule>
  </conditionalFormatting>
  <conditionalFormatting sqref="S22:S29">
    <cfRule type="expression" dxfId="2342" priority="27">
      <formula>ABS(S$25-S$28)&gt;=1000</formula>
    </cfRule>
  </conditionalFormatting>
  <conditionalFormatting sqref="T22:T29">
    <cfRule type="expression" dxfId="2341" priority="26">
      <formula>ABS(T$25-T$28)&gt;=1000</formula>
    </cfRule>
  </conditionalFormatting>
  <conditionalFormatting sqref="U22:U29">
    <cfRule type="expression" dxfId="2340" priority="25">
      <formula>ABS(U$25-U$28)&gt;=1000</formula>
    </cfRule>
  </conditionalFormatting>
  <conditionalFormatting sqref="V22:V29">
    <cfRule type="expression" dxfId="2339" priority="24">
      <formula>ABS(V$25-V$28)&gt;=1000</formula>
    </cfRule>
  </conditionalFormatting>
  <conditionalFormatting sqref="W22:W29">
    <cfRule type="expression" dxfId="2338" priority="23">
      <formula>ABS(W$25-W$28)&gt;=1000</formula>
    </cfRule>
  </conditionalFormatting>
  <conditionalFormatting sqref="X22:X29">
    <cfRule type="expression" dxfId="2337" priority="22">
      <formula>ABS(X$25-X$28)&gt;=1000</formula>
    </cfRule>
  </conditionalFormatting>
  <conditionalFormatting sqref="Y22:Y29">
    <cfRule type="expression" dxfId="2336" priority="21">
      <formula>ABS(Y$25-Y$28)&gt;=1000</formula>
    </cfRule>
  </conditionalFormatting>
  <conditionalFormatting sqref="I23">
    <cfRule type="expression" dxfId="2335" priority="20">
      <formula>ABS(I$25-I$28)&gt;=1000</formula>
    </cfRule>
  </conditionalFormatting>
  <conditionalFormatting sqref="F14">
    <cfRule type="expression" dxfId="2334" priority="19">
      <formula>ABS(F$16-F$19)&gt;=1000</formula>
    </cfRule>
  </conditionalFormatting>
  <conditionalFormatting sqref="Q14">
    <cfRule type="expression" dxfId="2333" priority="18">
      <formula>ABS(Q$16-Q$19)&gt;=1000</formula>
    </cfRule>
  </conditionalFormatting>
  <conditionalFormatting sqref="W14">
    <cfRule type="expression" dxfId="2332" priority="17">
      <formula>ABS(W$16-W$19)&gt;=1000</formula>
    </cfRule>
  </conditionalFormatting>
  <conditionalFormatting sqref="Y14">
    <cfRule type="expression" dxfId="2331" priority="16">
      <formula>ABS(Y$16-Y$19)&gt;=1000</formula>
    </cfRule>
  </conditionalFormatting>
  <conditionalFormatting sqref="X14">
    <cfRule type="expression" dxfId="2330" priority="15">
      <formula>ABS(X$16-X$19)&gt;=1000</formula>
    </cfRule>
  </conditionalFormatting>
  <conditionalFormatting sqref="T10:Y10">
    <cfRule type="expression" dxfId="2329" priority="14">
      <formula>ABS(T$7-T$10)&gt;=1000</formula>
    </cfRule>
  </conditionalFormatting>
  <conditionalFormatting sqref="W19">
    <cfRule type="expression" dxfId="2328" priority="13">
      <formula>ABS(W$16-W$19)&gt;=1000</formula>
    </cfRule>
  </conditionalFormatting>
  <conditionalFormatting sqref="AC5">
    <cfRule type="expression" dxfId="2327" priority="12">
      <formula>ABS(AC$7-AC$10)&gt;=1000</formula>
    </cfRule>
  </conditionalFormatting>
  <conditionalFormatting sqref="M14">
    <cfRule type="expression" dxfId="2326" priority="11">
      <formula>ABS(M$16-M$19)&gt;=1000</formula>
    </cfRule>
  </conditionalFormatting>
  <conditionalFormatting sqref="M16">
    <cfRule type="expression" dxfId="2325" priority="10">
      <formula>ABS(M$16-M$19)&gt;=1000</formula>
    </cfRule>
  </conditionalFormatting>
  <conditionalFormatting sqref="M19">
    <cfRule type="expression" dxfId="2324" priority="9">
      <formula>ABS(M$16-M$19)&gt;=1000</formula>
    </cfRule>
  </conditionalFormatting>
  <conditionalFormatting sqref="K13:K20">
    <cfRule type="expression" dxfId="2323" priority="8">
      <formula>ABS(K$16-K$19)&gt;=1000</formula>
    </cfRule>
  </conditionalFormatting>
  <conditionalFormatting sqref="E5">
    <cfRule type="expression" dxfId="2322" priority="7">
      <formula>ABS(E$7-E$10)&gt;=1000</formula>
    </cfRule>
  </conditionalFormatting>
  <conditionalFormatting sqref="AB14:AC14">
    <cfRule type="expression" dxfId="2321" priority="6">
      <formula>ABS(AB$16-AB$19)&gt;=1000</formula>
    </cfRule>
  </conditionalFormatting>
  <conditionalFormatting sqref="M5">
    <cfRule type="expression" dxfId="2320" priority="5">
      <formula>ABS(M$7-M$10)&gt;=1000</formula>
    </cfRule>
  </conditionalFormatting>
  <conditionalFormatting sqref="N5">
    <cfRule type="expression" dxfId="2319" priority="4">
      <formula>ABS(N$7-N$10)&gt;=1000</formula>
    </cfRule>
  </conditionalFormatting>
  <conditionalFormatting sqref="O5">
    <cfRule type="expression" dxfId="2318" priority="3">
      <formula>ABS(O$7-O$10)&gt;=1000</formula>
    </cfRule>
  </conditionalFormatting>
  <conditionalFormatting sqref="P5">
    <cfRule type="expression" dxfId="2317" priority="2">
      <formula>ABS(P$7-P$10)&gt;=1000</formula>
    </cfRule>
  </conditionalFormatting>
  <conditionalFormatting sqref="L23">
    <cfRule type="expression" dxfId="2316" priority="1">
      <formula>ABS(L$25-L$28)&gt;=1000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4976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345782</xdr:rowOff>
                  </from>
                  <to>
                    <xdr:col>32</xdr:col>
                    <xdr:colOff>414938</xdr:colOff>
                    <xdr:row>3</xdr:row>
                    <xdr:rowOff>30736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74">
    <pageSetUpPr fitToPage="1"/>
  </sheetPr>
  <dimension ref="A1:CU223"/>
  <sheetViews>
    <sheetView view="pageBreakPreview" zoomScale="80" zoomScaleNormal="100" zoomScaleSheetLayoutView="80" workbookViewId="0">
      <selection activeCell="Z23" sqref="Z23:AE29"/>
    </sheetView>
  </sheetViews>
  <sheetFormatPr defaultColWidth="8.109375" defaultRowHeight="26.05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0.9" ph="1">
      <c r="A1" s="64"/>
      <c r="B1" s="238" t="s" ph="1">
        <v>162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.05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.05" customHeight="1" ph="1">
      <c r="B3" s="240" ph="1">
        <v>45846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" customHeight="1" ph="1">
      <c r="A5" s="65" ph="1"/>
      <c r="B5" s="219" ph="1"/>
      <c r="C5" s="67" t="s" ph="1">
        <v>36</v>
      </c>
      <c r="D5" s="70" t="s" ph="1">
        <v>161</v>
      </c>
      <c r="E5" s="70" t="s" ph="1">
        <v>640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46" t="s" ph="1">
        <v>178</v>
      </c>
      <c r="D6" s="71">
        <v>4780</v>
      </c>
      <c r="E6" s="71">
        <v>8115</v>
      </c>
      <c r="F6" s="71">
        <v>6823</v>
      </c>
      <c r="G6" s="71">
        <v>1221</v>
      </c>
      <c r="H6" s="71">
        <v>1645</v>
      </c>
      <c r="I6" s="71">
        <v>51.62</v>
      </c>
      <c r="J6" s="71">
        <v>7.71</v>
      </c>
      <c r="K6" s="71">
        <v>7.02</v>
      </c>
      <c r="L6" s="71">
        <v>36.65</v>
      </c>
      <c r="M6" s="71">
        <v>4750</v>
      </c>
      <c r="N6" s="71">
        <v>2574</v>
      </c>
      <c r="O6" s="71">
        <v>3708</v>
      </c>
      <c r="P6" s="71">
        <v>2491</v>
      </c>
      <c r="Q6" s="71">
        <v>0</v>
      </c>
      <c r="R6" s="71">
        <v>0</v>
      </c>
      <c r="S6" s="71">
        <v>0</v>
      </c>
      <c r="T6" s="71">
        <v>0</v>
      </c>
      <c r="U6" s="71">
        <v>0</v>
      </c>
      <c r="V6" s="71">
        <v>1161</v>
      </c>
      <c r="W6" s="71">
        <v>7200</v>
      </c>
      <c r="X6" s="71">
        <v>4844</v>
      </c>
      <c r="Y6" s="71">
        <v>1800</v>
      </c>
      <c r="Z6" s="71">
        <v>7074</v>
      </c>
      <c r="AA6" s="71">
        <v>556</v>
      </c>
      <c r="AB6" s="71">
        <v>2243</v>
      </c>
      <c r="AC6" s="71">
        <v>3032</v>
      </c>
      <c r="AD6" s="71">
        <v>4403</v>
      </c>
      <c r="AE6" s="71">
        <v>2178</v>
      </c>
    </row>
    <row r="7" spans="1:99" s="72" customFormat="1" ht="22.4" ph="1">
      <c r="B7" s="237" ph="1"/>
      <c r="C7" s="68" t="s" ph="1">
        <v>179</v>
      </c>
      <c r="D7" s="73" ph="1">
        <f>D6*33.183*LOOKUP(D8,密度!$A$2:$A$50,密度!$Q$2:$Q$50)</f>
        <v>149721.21152819999</v>
      </c>
      <c r="E7" s="73" ph="1">
        <f>E6*51.53*LOOKUP(E8,密度!$A$2:$A$50,密度!$B$2:$B$50)</f>
        <v>325625.82526499999</v>
      </c>
      <c r="F7" s="73" ph="1">
        <f>F6*33.183*LOOKUP(F8,密度!$A$2:$A$50,密度!$C$2:$C$50)</f>
        <v>250723.78620659999</v>
      </c>
      <c r="G7" s="73" ph="1">
        <f xml:space="preserve"> (G6+2)*51.53*LOOKUP(G8,密度!$A$2:$A$50,密度!$B$2:$B$50)</f>
        <v>49024.183701000002</v>
      </c>
      <c r="H7" s="73" ph="1">
        <f>(H6)*51.53*LOOKUP(H8,密度!$A$2:$A$50,密度!$B$2:$B$50)</f>
        <v>66313.106755000001</v>
      </c>
      <c r="I7" s="73" ph="1">
        <f>I6*290.8*1.0267</f>
        <v>15411.892263199999</v>
      </c>
      <c r="J7" s="73" ph="1">
        <f>J6*290.8*0.7892</f>
        <v>1769.4400656000003</v>
      </c>
      <c r="K7" s="73" ph="1">
        <f>K6*290.8*1.1126</f>
        <v>2271.2794416000002</v>
      </c>
      <c r="L7" s="73" ph="1">
        <f>L6*290.8*0.777</f>
        <v>8281.1261400000003</v>
      </c>
      <c r="M7" s="73" ph="1">
        <f>M6*33.183*LOOKUP(M8,密度!$A$2:$A$50,密度!$D$2:$D$50)</f>
        <v>161386.35007499999</v>
      </c>
      <c r="N7" s="73" ph="1">
        <f>N6*33.183*LOOKUP(N8,密度!$A$2:$A$50,密度!$E$2:$E$50)</f>
        <v>66707.585802000001</v>
      </c>
      <c r="O7" s="73" ph="1">
        <f>O6*20.428*LOOKUP(O8,密度!$A$2:$A$50,密度!$C$2:$C$50)</f>
        <v>83632.289198400016</v>
      </c>
      <c r="P7" s="73" ph="1">
        <f>P6*51.53*LOOKUP(P8,密度!$A$2:$A$50,密度!$B$2:$B$50)</f>
        <v>99954.889800999983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7665.0060564000005</v>
      </c>
      <c r="W7" s="73" ph="1">
        <f>W6*1.5*1.5*3.1416*LOOKUP(W8,密度!$A$2:$A$50,密度!$L$2:$L$50)</f>
        <v>47585.815200000005</v>
      </c>
      <c r="X7" s="73" ph="1">
        <f>X6*1.5*1.5*3.1416*LOOKUP(X8,密度!$A$2:$A$50,密度!$L$2:$L$50)</f>
        <v>32254.361092799998</v>
      </c>
      <c r="Y7" s="73" ph="1">
        <f>Y6*1.5*1.5*3.1416*LOOKUP(Y8,密度!$A$2:$A$50,密度!$L$2:$L$50)</f>
        <v>11909.17728</v>
      </c>
      <c r="Z7" s="73" ph="1">
        <f>Z6*33.183*LOOKUP(Z8,密度!$A$2:$A$50,密度!$L$2:$L$50)</f>
        <v>220182.87639599998</v>
      </c>
      <c r="AA7" s="73" ph="1">
        <f>AA6*33.183*LOOKUP(AA8,密度!$A$2:$A$50,密度!$D$2:$D$50)</f>
        <v>18907.301750399998</v>
      </c>
      <c r="AB7" s="73" ph="1">
        <f>AB6*20.428*LOOKUP(AB8,密度!$A$2:$A$50,密度!$D$2:$D$50)</f>
        <v>47258.752125600004</v>
      </c>
      <c r="AC7" s="73" ph="1">
        <f>AC6*51.53*LOOKUP(AC8,密度!$A$2:$A$50,密度!$Q$2:$Q$50)</f>
        <v>148031.72743120001</v>
      </c>
      <c r="AD7" s="73" ph="1">
        <f>AD6*20.428*LOOKUP(AD8,密度!$A$2:$A$50,密度!$V$2:$V$50)</f>
        <v>86418.660227200002</v>
      </c>
      <c r="AE7" s="73" ph="1">
        <f>AE6*20.428</f>
        <v>44492.184000000001</v>
      </c>
    </row>
    <row r="8" spans="1:99" ph="1">
      <c r="B8" s="237" ph="1"/>
      <c r="C8" s="68" t="s" ph="1">
        <v>180</v>
      </c>
      <c r="D8" s="74">
        <v>29</v>
      </c>
      <c r="E8" s="74">
        <v>26</v>
      </c>
      <c r="F8" s="74">
        <v>27</v>
      </c>
      <c r="G8" s="74">
        <v>27</v>
      </c>
      <c r="H8" s="74">
        <v>22</v>
      </c>
      <c r="I8" s="74">
        <v>25</v>
      </c>
      <c r="J8" s="74">
        <v>25</v>
      </c>
      <c r="K8" s="74">
        <v>25</v>
      </c>
      <c r="L8" s="74">
        <v>25</v>
      </c>
      <c r="M8" s="74">
        <v>28</v>
      </c>
      <c r="N8" s="74">
        <v>27</v>
      </c>
      <c r="O8" s="74">
        <v>31</v>
      </c>
      <c r="P8" s="74">
        <v>26</v>
      </c>
      <c r="Q8" s="74">
        <v>24</v>
      </c>
      <c r="R8" s="74">
        <v>31</v>
      </c>
      <c r="S8" s="74">
        <v>20</v>
      </c>
      <c r="T8" s="74">
        <v>23</v>
      </c>
      <c r="U8" s="74">
        <v>26</v>
      </c>
      <c r="V8" s="74">
        <v>28</v>
      </c>
      <c r="W8" s="74">
        <v>27</v>
      </c>
      <c r="X8" s="74">
        <v>20</v>
      </c>
      <c r="Y8" s="74">
        <v>26</v>
      </c>
      <c r="Z8" s="74">
        <v>24</v>
      </c>
      <c r="AA8" s="74">
        <v>27</v>
      </c>
      <c r="AB8" s="74">
        <v>20</v>
      </c>
      <c r="AC8" s="74">
        <v>24</v>
      </c>
      <c r="AD8" s="74">
        <v>25</v>
      </c>
      <c r="AE8" s="74">
        <v>27</v>
      </c>
    </row>
    <row r="9" spans="1:99" ht="26.65" ph="1">
      <c r="B9" s="237" ph="1">
        <v>0.66666666666666663</v>
      </c>
      <c r="C9" s="146" t="s" ph="1">
        <v>181</v>
      </c>
      <c r="D9" s="71">
        <v>4772</v>
      </c>
      <c r="E9" s="71">
        <v>8108</v>
      </c>
      <c r="F9" s="71">
        <v>6819</v>
      </c>
      <c r="G9" s="71">
        <v>956</v>
      </c>
      <c r="H9" s="71">
        <v>1641</v>
      </c>
      <c r="I9" s="71">
        <v>51.62</v>
      </c>
      <c r="J9" s="71">
        <v>7.83</v>
      </c>
      <c r="K9" s="71">
        <v>6.92</v>
      </c>
      <c r="L9" s="71">
        <v>17.03</v>
      </c>
      <c r="M9" s="71">
        <v>4745</v>
      </c>
      <c r="N9" s="71">
        <v>2572</v>
      </c>
      <c r="O9" s="71">
        <v>3706</v>
      </c>
      <c r="P9" s="71">
        <v>2753</v>
      </c>
      <c r="Q9" s="71">
        <v>4100</v>
      </c>
      <c r="R9" s="71">
        <v>0</v>
      </c>
      <c r="S9" s="71">
        <v>0</v>
      </c>
      <c r="T9" s="71">
        <v>0</v>
      </c>
      <c r="U9" s="71">
        <v>0</v>
      </c>
      <c r="V9" s="71">
        <v>0</v>
      </c>
      <c r="W9" s="71">
        <v>5000</v>
      </c>
      <c r="X9" s="71">
        <v>7250</v>
      </c>
      <c r="Y9" s="71">
        <v>4100</v>
      </c>
      <c r="Z9" s="71">
        <v>4859</v>
      </c>
      <c r="AA9" s="71">
        <v>555</v>
      </c>
      <c r="AB9" s="71">
        <v>2239</v>
      </c>
      <c r="AC9" s="71">
        <v>3027</v>
      </c>
      <c r="AD9" s="71">
        <v>4434</v>
      </c>
      <c r="AE9" s="71">
        <v>2175</v>
      </c>
    </row>
    <row r="10" spans="1:99" s="72" customFormat="1" ht="22.4" ph="1">
      <c r="B10" s="237" ph="1"/>
      <c r="C10" s="146" t="s" ph="1">
        <v>179</v>
      </c>
      <c r="D10" s="73" ph="1">
        <f>D9*33.183*LOOKUP(D11,密度!$A$2:$A$50,密度!$Q$2:$Q$50)</f>
        <v>149690.73758832001</v>
      </c>
      <c r="E10" s="73" ph="1">
        <f>E9*51.53*LOOKUP(E11,密度!$A$2:$A$50,密度!$B$2:$B$50)</f>
        <v>325344.94038799999</v>
      </c>
      <c r="F10" s="73" ph="1">
        <f>F9*33.183*LOOKUP(F11,密度!$A$2:$A$50,密度!$C$2:$C$50)</f>
        <v>250916.2111053</v>
      </c>
      <c r="G10" s="73" ph="1">
        <f xml:space="preserve"> (G9+2)*51.53*LOOKUP(G11,密度!$A$2:$A$50,密度!$B$2:$B$50)</f>
        <v>38441.101737999998</v>
      </c>
      <c r="H10" s="73" ph="1">
        <f>(H9)*51.53*LOOKUP(H11,密度!$A$2:$A$50,密度!$B$2:$B$50)</f>
        <v>66227.963735999991</v>
      </c>
      <c r="I10" s="73" ph="1">
        <f>I9*290.8*1.0267</f>
        <v>15411.892263199999</v>
      </c>
      <c r="J10" s="73" ph="1">
        <f>J9*290.8*0.7892</f>
        <v>1796.9799888</v>
      </c>
      <c r="K10" s="73" ph="1">
        <f>K9*290.8*1.1126</f>
        <v>2238.9250336</v>
      </c>
      <c r="L10" s="73" ph="1">
        <f>L9*290.8*0.777</f>
        <v>3847.9557480000003</v>
      </c>
      <c r="M10" s="73" ph="1">
        <f>M9*33.183*LOOKUP(M11,密度!$A$2:$A$50,密度!$D$2:$D$50)</f>
        <v>161515.631043</v>
      </c>
      <c r="N10" s="73" ph="1">
        <f>N9*33.183*LOOKUP(N11,密度!$A$2:$A$50,密度!$E$2:$E$50)</f>
        <v>66655.753956</v>
      </c>
      <c r="O10" s="73" ph="1">
        <f>O9*20.428*LOOKUP(O11,密度!$A$2:$A$50,密度!$C$2:$C$50)</f>
        <v>83776.44550880001</v>
      </c>
      <c r="P10" s="73" ph="1">
        <f>P9*51.53*LOOKUP(P11,密度!$A$2:$A$50,密度!$B$2:$B$50)</f>
        <v>110595.68536399999</v>
      </c>
      <c r="Q10" s="73" ph="1">
        <f>Q9*1.5*1.5*3.1416*LOOKUP(W11,密度!$A$2:$A$50,密度!$L$2:$L$50)</f>
        <v>27097.4781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33045.705000000002</v>
      </c>
      <c r="X10" s="73" ph="1">
        <f>X9*1.5*1.5*3.1416*LOOKUP(X11,密度!$A$2:$A$50,密度!$L$2:$L$50)</f>
        <v>48223.756349999996</v>
      </c>
      <c r="Y10" s="73" ph="1">
        <f>Y9*1.5*1.5*3.1416*LOOKUP(Y11,密度!$A$2:$A$50,密度!$L$2:$L$50)</f>
        <v>27155.440620000001</v>
      </c>
      <c r="Z10" s="73" ph="1">
        <f>Z9*33.183*LOOKUP(Z11,密度!$A$2:$A$50,密度!$L$2:$L$50)</f>
        <v>151562.02517999997</v>
      </c>
      <c r="AA10" s="73" ph="1">
        <f>AA9*33.183*LOOKUP(AA11,密度!$A$2:$A$50,密度!$D$2:$D$50)</f>
        <v>18924.862194000001</v>
      </c>
      <c r="AB10" s="73" ph="1">
        <f>AB9*20.428*LOOKUP(AB11,密度!$A$2:$A$50,密度!$D$2:$D$50)</f>
        <v>47252.229465199998</v>
      </c>
      <c r="AC10" s="73" ph="1">
        <f>AC9*51.53*LOOKUP(AC11,密度!$A$2:$A$50,密度!$Q$2:$Q$50)</f>
        <v>147901.47814200001</v>
      </c>
      <c r="AD10" s="73" ph="1">
        <f>AD9*20.428*LOOKUP(AD11,密度!$A$2:$A$50,密度!$V$2:$V$50)</f>
        <v>87027.104121600001</v>
      </c>
      <c r="AE10" s="73" ph="1">
        <f>AE9*20.428</f>
        <v>44430.9</v>
      </c>
    </row>
    <row r="11" spans="1:99" ph="1">
      <c r="A11" s="64" t="s" ph="1">
        <v>163</v>
      </c>
      <c r="B11" s="237" ph="1"/>
      <c r="C11" s="146" t="s" ph="1">
        <v>180</v>
      </c>
      <c r="D11" s="74">
        <v>27</v>
      </c>
      <c r="E11" s="74">
        <v>26</v>
      </c>
      <c r="F11" s="74">
        <v>25</v>
      </c>
      <c r="G11" s="74">
        <v>26</v>
      </c>
      <c r="H11" s="74">
        <v>21</v>
      </c>
      <c r="I11" s="74">
        <v>25</v>
      </c>
      <c r="J11" s="74">
        <v>25</v>
      </c>
      <c r="K11" s="74">
        <v>25</v>
      </c>
      <c r="L11" s="74">
        <v>25</v>
      </c>
      <c r="M11" s="74">
        <v>26</v>
      </c>
      <c r="N11" s="74">
        <v>27</v>
      </c>
      <c r="O11" s="74">
        <v>28</v>
      </c>
      <c r="P11" s="74">
        <v>25</v>
      </c>
      <c r="Q11" s="74">
        <v>23</v>
      </c>
      <c r="R11" s="74">
        <v>29</v>
      </c>
      <c r="S11" s="74">
        <v>20</v>
      </c>
      <c r="T11" s="74">
        <v>20</v>
      </c>
      <c r="U11" s="74">
        <v>25</v>
      </c>
      <c r="V11" s="74">
        <v>27</v>
      </c>
      <c r="W11" s="74">
        <v>27</v>
      </c>
      <c r="X11" s="74">
        <v>21</v>
      </c>
      <c r="Y11" s="74">
        <v>25</v>
      </c>
      <c r="Z11" s="74">
        <v>22</v>
      </c>
      <c r="AA11" s="74">
        <v>24</v>
      </c>
      <c r="AB11" s="74">
        <v>18</v>
      </c>
      <c r="AC11" s="74">
        <v>23</v>
      </c>
      <c r="AD11" s="74">
        <v>24</v>
      </c>
      <c r="AE11" s="74">
        <v>26</v>
      </c>
    </row>
    <row r="12" spans="1:99" ht="9.85" customHeight="1" ph="1"/>
    <row r="13" spans="1:99" s="72" customFormat="1" ht="29.2" customHeight="1" ph="1">
      <c r="B13" s="214" t="s" ph="1">
        <v>37</v>
      </c>
      <c r="C13" s="146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.2" ph="1">
      <c r="B14" s="215" ph="1"/>
      <c r="C14" s="67" t="s" ph="1">
        <v>36</v>
      </c>
      <c r="D14" s="77" t="s" ph="1">
        <v>622</v>
      </c>
      <c r="E14" s="77" t="s" ph="1">
        <v>622</v>
      </c>
      <c r="F14" s="151" t="s" ph="1">
        <v>647</v>
      </c>
      <c r="G14" s="77" t="s" ph="1">
        <v>623</v>
      </c>
      <c r="H14" s="77" t="s" ph="1">
        <v>624</v>
      </c>
      <c r="I14" s="140" t="s" ph="1">
        <v>625</v>
      </c>
      <c r="J14" s="77" t="s" ph="1">
        <v>626</v>
      </c>
      <c r="K14" s="77" t="s" ph="1">
        <v>187</v>
      </c>
      <c r="L14" s="77" t="s" ph="1">
        <v>41</v>
      </c>
      <c r="M14" s="104" t="s" ph="1">
        <v>627</v>
      </c>
      <c r="N14" s="104" t="s" ph="1">
        <v>628</v>
      </c>
      <c r="O14" s="104" t="s" ph="1">
        <v>626</v>
      </c>
      <c r="P14" s="77" t="s" ph="1">
        <v>629</v>
      </c>
      <c r="Q14" s="77" t="s" ph="1">
        <v>629</v>
      </c>
      <c r="R14" s="88" t="s" ph="1">
        <v>640</v>
      </c>
      <c r="S14" s="77" t="s" ph="1">
        <v>71</v>
      </c>
      <c r="T14" s="77" t="s" ph="1">
        <v>631</v>
      </c>
      <c r="U14" s="77" t="s" ph="1">
        <v>610</v>
      </c>
      <c r="V14" s="77" t="s" ph="1">
        <v>110</v>
      </c>
      <c r="W14" s="77" t="s" ph="1">
        <v>629</v>
      </c>
      <c r="X14" s="77" t="s" ph="1">
        <v>632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16" ph="1">
        <v>0.33333333333333331</v>
      </c>
      <c r="C15" s="146" t="s" ph="1">
        <v>178</v>
      </c>
      <c r="D15" s="78">
        <v>2423</v>
      </c>
      <c r="E15" s="78">
        <v>0</v>
      </c>
      <c r="F15" s="78">
        <v>2228</v>
      </c>
      <c r="G15" s="78">
        <v>4631</v>
      </c>
      <c r="H15" s="78">
        <v>0</v>
      </c>
      <c r="I15" s="78">
        <v>5269</v>
      </c>
      <c r="J15" s="78">
        <v>1715</v>
      </c>
      <c r="K15" s="78">
        <v>2579</v>
      </c>
      <c r="L15" s="78">
        <v>4783</v>
      </c>
      <c r="M15" s="78">
        <v>5507</v>
      </c>
      <c r="N15" s="78">
        <v>2710</v>
      </c>
      <c r="O15" s="78">
        <v>6125</v>
      </c>
      <c r="P15" s="78">
        <v>3870</v>
      </c>
      <c r="Q15" s="78">
        <v>5222</v>
      </c>
      <c r="R15" s="78">
        <v>159</v>
      </c>
      <c r="S15" s="78">
        <v>0</v>
      </c>
      <c r="T15" s="78">
        <v>4620</v>
      </c>
      <c r="U15" s="78">
        <v>6830</v>
      </c>
      <c r="V15" s="78">
        <v>1943</v>
      </c>
      <c r="W15" s="71">
        <v>-25</v>
      </c>
      <c r="X15" s="78">
        <v>-86</v>
      </c>
      <c r="Y15" s="106">
        <v>-9905</v>
      </c>
      <c r="Z15" s="78">
        <v>0</v>
      </c>
      <c r="AA15" s="78">
        <v>0</v>
      </c>
      <c r="AB15" s="78" ph="1">
        <v>7</v>
      </c>
      <c r="AC15" s="78" ph="1">
        <v>0</v>
      </c>
      <c r="AD15" s="78">
        <v>42.83</v>
      </c>
      <c r="AE15" s="78">
        <v>5.51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4" ph="1">
      <c r="B16" s="217" ph="1"/>
      <c r="C16" s="146" t="s" ph="1">
        <v>179</v>
      </c>
      <c r="D16" s="73" ph="1">
        <f>D15*7.0686*LOOKUP(D17,密度!$A$2:$A$50,密度!$L$2:$L$50)</f>
        <v>15996.8214252</v>
      </c>
      <c r="E16" s="73" ph="1">
        <f>E15*7.0686*LOOKUP(E17,密度!$A$2:$A$50,密度!$L$2:$L$50)</f>
        <v>0</v>
      </c>
      <c r="F16" s="73" ph="1">
        <f>F15*9.0746*LOOKUP(F17,密度!$A$2:$A$50,密度!$L$2:$L$50)</f>
        <v>18883.807019200001</v>
      </c>
      <c r="G16" s="73" ph="1">
        <f>G15*9.0746*LOOKUP(G17,密度!$A$2:$A$50,密度!$B$2:$B$50)</f>
        <v>32724.45681362</v>
      </c>
      <c r="H16" s="73" ph="1">
        <f>H15*9.0746*LOOKUP(H17,密度!$A$2:$A$50,密度!$L$2:$L$50)</f>
        <v>0</v>
      </c>
      <c r="I16" s="73" ph="1">
        <f>I15*9.0746*LOOKUP(I17,密度!$A$2:$A$50,密度!$U$2:$U$50)</f>
        <v>49009.419084999994</v>
      </c>
      <c r="J16" s="73" ph="1">
        <f>J15*9.0746*LOOKUP(J17,密度!$A$2:$A$50,密度!$L$2:$L$50)</f>
        <v>14551.347965000001</v>
      </c>
      <c r="K16" s="73" ph="1">
        <f>K15*9.0746*LOOKUP(K17,密度!$A$2:$A$50,密度!$C$2:$C$50)</f>
        <v>25933.300226540003</v>
      </c>
      <c r="L16" s="73" ph="1">
        <f>L15*9.0746*LOOKUP(L17,密度!$A$2:$A$50,密度!$E$2:$E$50)</f>
        <v>33898.377015800004</v>
      </c>
      <c r="M16" s="73" ph="1">
        <f>M15*9.0746*LOOKUP(M17,密度!$A$2:$A$50,密度!$M$2:$M$50)</f>
        <v>43527.199136200004</v>
      </c>
      <c r="N16" s="73" ph="1">
        <f>N15*9.0746*LOOKUP(N17,密度!$A$2:$A$50,密度!$M$2:$M$50)</f>
        <v>21520.604466600002</v>
      </c>
      <c r="O16" s="73" ph="1">
        <f>O15*9.0746*LOOKUP(O17,密度!$A$2:$A$50,密度!$G$2:$G$50)</f>
        <v>53191.902224999998</v>
      </c>
      <c r="P16" s="73" ph="1">
        <f ca="1">P15*9.0746*LOOKUP(P17,密度!$A$2:$A$51,密度!$Q$2:$Q$50)</f>
        <v>33198.411374639996</v>
      </c>
      <c r="Q16" s="73" ph="1">
        <f>Q15*9.0746*LOOKUP(Q17,密度!$A$2:$A$50,密度!$Q$2:$Q$50)</f>
        <v>44763.238060744006</v>
      </c>
      <c r="R16" s="73" ph="1">
        <f>MAX(R15*9.0746*LOOKUP(R17,密度!$A$2:$A$50,密度!$B$2:$B$50),0)</f>
        <v>1122.40188306</v>
      </c>
      <c r="S16" s="73" ph="1">
        <f>S15*9.0746*LOOKUP(S17,密度!$A$2:$A$50,密度!$Q$2:$Q$50)</f>
        <v>0</v>
      </c>
      <c r="T16" s="73" ph="1">
        <f>T15*9.0746*LOOKUP(T17,密度!$A$2:$A$50,密度!$O$2:$O$50)</f>
        <v>38822.227752000006</v>
      </c>
      <c r="U16" s="73" ph="1">
        <f>U15*9.0746*LOOKUP(U17,密度!$A$2:$A$50,密度!$H$2:$H$50)</f>
        <v>56581.101982200009</v>
      </c>
      <c r="V16" s="73" ph="1">
        <f>MAX(5600*LOOKUP(V17,密度!$A$2:$A$50,密度!$Q$2:$Q$50)+V15*9.0476*LOOKUP(V17,密度!$A$2:$A$50,密度!$Q$2:$Q$50),0)</f>
        <v>21879.812975123998</v>
      </c>
      <c r="W16" s="73" ph="1">
        <f>MAX(5600*LOOKUP(W17,密度!$A$2:$A$50,密度!$Q$2:$Q$50)+W15*9.0476*LOOKUP(W17,密度!$A$2:$A$50,密度!$Q$2:$Q$50),0)</f>
        <v>5076.2084021999999</v>
      </c>
      <c r="X16" s="73" ph="1">
        <f>MAX(5600*LOOKUP(X17,密度!$A$2:$A$50,密度!$I$2:$I$50)+X15*9.0476*LOOKUP(X17,密度!$A$2:$A$50,密度!$I$2:$I$50),0)</f>
        <v>5009.4785589599996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0</v>
      </c>
      <c r="AB16" s="73" ph="1">
        <f>AB15*9.0746*LOOKUP(AB17,密度!$A$2:$A$50,密度!$L$2:$L$50)</f>
        <v>59.4567792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10192.150806239999</v>
      </c>
      <c r="AE16" s="73" ph="1">
        <f>AE15*268.68*LOOKUP(AE17,密度!$A$2:$A$50,密度!B2:B50)+IF(AE15&lt;=0,0,1566*LOOKUP(AE17,密度!$A$2:$A$50,密度!B2:B50))</f>
        <v>2374.9943332799999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18" ph="1"/>
      <c r="C17" s="79" t="s" ph="1">
        <v>180</v>
      </c>
      <c r="D17" s="74">
        <v>28</v>
      </c>
      <c r="E17" s="74">
        <v>28</v>
      </c>
      <c r="F17" s="74">
        <v>28</v>
      </c>
      <c r="G17" s="74">
        <v>26</v>
      </c>
      <c r="H17" s="74">
        <v>23</v>
      </c>
      <c r="I17" s="74">
        <v>25</v>
      </c>
      <c r="J17" s="74">
        <v>27</v>
      </c>
      <c r="K17" s="74">
        <v>26</v>
      </c>
      <c r="L17" s="74">
        <v>27</v>
      </c>
      <c r="M17" s="74">
        <v>29</v>
      </c>
      <c r="N17" s="74">
        <v>25</v>
      </c>
      <c r="O17" s="74">
        <v>28</v>
      </c>
      <c r="P17" s="74">
        <v>27</v>
      </c>
      <c r="Q17" s="74">
        <v>28</v>
      </c>
      <c r="R17" s="74">
        <v>27</v>
      </c>
      <c r="S17" s="74">
        <v>27</v>
      </c>
      <c r="T17" s="74">
        <v>26</v>
      </c>
      <c r="U17" s="74">
        <v>27</v>
      </c>
      <c r="V17" s="74">
        <v>29</v>
      </c>
      <c r="W17" s="74">
        <v>28</v>
      </c>
      <c r="X17" s="74">
        <v>28</v>
      </c>
      <c r="Y17" s="108">
        <v>28</v>
      </c>
      <c r="Z17" s="74">
        <v>26</v>
      </c>
      <c r="AA17" s="74">
        <v>25</v>
      </c>
      <c r="AB17" s="74">
        <v>26</v>
      </c>
      <c r="AC17" s="74">
        <v>26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65" ph="1">
      <c r="B18" s="216" ph="1">
        <v>0.66666666666666663</v>
      </c>
      <c r="C18" s="79" t="s" ph="1">
        <v>181</v>
      </c>
      <c r="D18" s="71">
        <v>0</v>
      </c>
      <c r="E18" s="71">
        <v>4040</v>
      </c>
      <c r="F18" s="71">
        <v>2226</v>
      </c>
      <c r="G18" s="71">
        <v>1301</v>
      </c>
      <c r="H18" s="71">
        <v>0</v>
      </c>
      <c r="I18" s="71">
        <v>5264</v>
      </c>
      <c r="J18" s="71">
        <v>1765</v>
      </c>
      <c r="K18" s="71">
        <v>2577</v>
      </c>
      <c r="L18" s="71">
        <v>4772</v>
      </c>
      <c r="M18" s="71">
        <v>4578</v>
      </c>
      <c r="N18" s="71">
        <v>1921</v>
      </c>
      <c r="O18" s="71">
        <v>6115</v>
      </c>
      <c r="P18" s="71">
        <v>3863</v>
      </c>
      <c r="Q18" s="71">
        <v>5215</v>
      </c>
      <c r="R18" s="71">
        <v>156</v>
      </c>
      <c r="S18" s="71">
        <v>0</v>
      </c>
      <c r="T18" s="71">
        <v>3929</v>
      </c>
      <c r="U18" s="71">
        <v>6821</v>
      </c>
      <c r="V18" s="71">
        <v>778</v>
      </c>
      <c r="W18" s="71">
        <v>-26</v>
      </c>
      <c r="X18" s="71">
        <v>-87</v>
      </c>
      <c r="Y18" s="109">
        <v>-9905</v>
      </c>
      <c r="Z18" s="71">
        <v>0</v>
      </c>
      <c r="AA18" s="71">
        <v>0</v>
      </c>
      <c r="AB18" s="71">
        <v>7</v>
      </c>
      <c r="AC18" s="71">
        <v>0</v>
      </c>
      <c r="AD18" s="71">
        <v>82.92</v>
      </c>
      <c r="AE18" s="71">
        <v>5.53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4" ph="1">
      <c r="B19" s="217" ph="1"/>
      <c r="C19" s="146" t="s" ph="1">
        <v>179</v>
      </c>
      <c r="D19" s="73" ph="1">
        <f>D18*7.0686*LOOKUP(D20,密度!$A$2:$A$50,密度!$L$2:$L$50)</f>
        <v>0</v>
      </c>
      <c r="E19" s="73" ph="1">
        <f>E18*7.0686*LOOKUP(E20,密度!$A$2:$A$50,密度!$L$2:$L$50)</f>
        <v>26758.043928000003</v>
      </c>
      <c r="F19" s="73" ph="1">
        <f>F18*9.0746*LOOKUP(F20,密度!$A$2:$A$50,密度!$L$2:$L$50)</f>
        <v>18927.455845200002</v>
      </c>
      <c r="G19" s="73" ph="1">
        <f>G18*9.0746*LOOKUP(G20,密度!$A$2:$A$50,密度!$B$2:$B$50)</f>
        <v>9214.6256152999995</v>
      </c>
      <c r="H19" s="73" ph="1">
        <f>H18*9.0746*LOOKUP(H20,密度!$A$2:$A$50,密度!$L$2:$L$50)</f>
        <v>0</v>
      </c>
      <c r="I19" s="73" ph="1">
        <f>I18*9.0746*LOOKUP(I20,密度!$A$2:$A$50,密度!$U$2:$U$50)</f>
        <v>49106.2178432</v>
      </c>
      <c r="J19" s="73" ph="1">
        <f>J18*9.0746*LOOKUP(J20,密度!$A$2:$A$50,密度!$L$2:$L$50)</f>
        <v>14975.585515000001</v>
      </c>
      <c r="K19" s="73" ph="1">
        <f>K18*9.0746*LOOKUP(K20,密度!$A$2:$A$50,密度!$C$2:$C$50)</f>
        <v>25913.189098020004</v>
      </c>
      <c r="L19" s="73" ph="1">
        <f>L18*9.0746*LOOKUP(L20,密度!$A$2:$A$50,密度!$E$2:$E$50)</f>
        <v>33820.417127200002</v>
      </c>
      <c r="M19" s="73" ph="1">
        <f>M18*9.0746*LOOKUP(M20,密度!$A$2:$A$50,密度!$M$2:$M$50)</f>
        <v>36271.646264279996</v>
      </c>
      <c r="N19" s="73" ph="1">
        <f>N18*9.0746*LOOKUP(N20,密度!$A$2:$A$50,密度!$M$2:$M$50)</f>
        <v>15255.011505659999</v>
      </c>
      <c r="O19" s="73" ph="1">
        <f>O18*9.0746*LOOKUP(O20,密度!$A$2:$A$50,密度!$G$2:$G$50)</f>
        <v>53216.040660999999</v>
      </c>
      <c r="P19" s="73" ph="1">
        <f ca="1">P18*9.0746*LOOKUP(P20,密度!$A$2:$A$51,密度!$Q$2:$Q$50)</f>
        <v>33163.251746194001</v>
      </c>
      <c r="Q19" s="73" ph="1">
        <f>Q18*9.0746*LOOKUP(Q20,密度!$A$2:$A$50,密度!$Q$2:$Q$50)</f>
        <v>44803.560682860007</v>
      </c>
      <c r="R19" s="73" ph="1">
        <f>MAX(R18*9.0746*LOOKUP(R20,密度!$A$2:$A$50,密度!$B$2:$B$50),0)</f>
        <v>1102.35699912</v>
      </c>
      <c r="S19" s="73" ph="1">
        <f>S18*9.0746*LOOKUP(S20,密度!$A$2:$A$50,密度!$Q$2:$Q$50)</f>
        <v>0</v>
      </c>
      <c r="T19" s="73" ph="1">
        <f>T18*9.0746*LOOKUP(T20,密度!$A$2:$A$50,密度!$O$2:$O$50)</f>
        <v>33015.699748400002</v>
      </c>
      <c r="U19" s="73" ph="1">
        <f>U18*9.0746*LOOKUP(U20,密度!$A$2:$A$50,密度!$H$2:$H$50)</f>
        <v>56568.442007740006</v>
      </c>
      <c r="V19" s="73" ph="1">
        <f>MAX(5600*LOOKUP(V20,密度!$A$2:$A$50,密度!$Q$2:$Q$50)+V18*9.0476*LOOKUP(V20,密度!$A$2:$A$50,密度!$Q$2:$Q$50),0)</f>
        <v>11930.362230904</v>
      </c>
      <c r="W19" s="73" ph="1">
        <f>MAX(5600*LOOKUP(W20,密度!$A$2:$A$50,密度!$Q$2:$Q$50)+W18*9.0476*LOOKUP(W20,密度!$A$2:$A$50,密度!$Q$2:$Q$50),0)</f>
        <v>5067.6618582880001</v>
      </c>
      <c r="X19" s="73" ph="1">
        <f>MAX(5600*LOOKUP(X20,密度!$A$2:$A$50,密度!$I$2:$I$50)+X18*9.0476*LOOKUP(X20,密度!$A$2:$A$50,密度!$I$2:$I$50),0)</f>
        <v>5005.3731520000001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0</v>
      </c>
      <c r="AB19" s="73" ph="1">
        <f>AB18*9.0746*LOOKUP(AB20,密度!$A$2:$A$50,密度!$L$2:$L$50)</f>
        <v>59.520301400000001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18527.522731200002</v>
      </c>
      <c r="AE19" s="73" ph="1">
        <f>AE18*268.68*LOOKUP(AE20,密度!$A$2:$A$50,密度!B5:B53)+IF(AE18&lt;=0,0,1566*LOOKUP(AE20,密度!$A$2:$A$50,密度!B5:B53))</f>
        <v>2371.2489108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17" ph="1"/>
      <c r="C20" s="80" t="s" ph="1">
        <v>180</v>
      </c>
      <c r="D20" s="81">
        <v>25</v>
      </c>
      <c r="E20" s="81">
        <v>25</v>
      </c>
      <c r="F20" s="81">
        <v>25</v>
      </c>
      <c r="G20" s="81">
        <v>24</v>
      </c>
      <c r="H20" s="81">
        <v>20</v>
      </c>
      <c r="I20" s="81">
        <v>22</v>
      </c>
      <c r="J20" s="81">
        <v>27</v>
      </c>
      <c r="K20" s="81">
        <v>26</v>
      </c>
      <c r="L20" s="81">
        <v>27</v>
      </c>
      <c r="M20" s="81">
        <v>27</v>
      </c>
      <c r="N20" s="81">
        <v>25</v>
      </c>
      <c r="O20" s="81">
        <v>26</v>
      </c>
      <c r="P20" s="81">
        <v>26</v>
      </c>
      <c r="Q20" s="81">
        <v>25</v>
      </c>
      <c r="R20" s="81">
        <v>26</v>
      </c>
      <c r="S20" s="81">
        <v>26</v>
      </c>
      <c r="T20" s="81">
        <v>26</v>
      </c>
      <c r="U20" s="81">
        <v>26</v>
      </c>
      <c r="V20" s="81">
        <v>29</v>
      </c>
      <c r="W20" s="81">
        <v>28</v>
      </c>
      <c r="X20" s="81">
        <v>27</v>
      </c>
      <c r="Y20" s="110">
        <v>27</v>
      </c>
      <c r="Z20" s="81">
        <v>25</v>
      </c>
      <c r="AA20" s="81">
        <v>25</v>
      </c>
      <c r="AB20" s="81">
        <v>25</v>
      </c>
      <c r="AC20" s="81">
        <v>26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15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633</v>
      </c>
      <c r="H23" s="88" t="s" ph="1">
        <v>633</v>
      </c>
      <c r="I23" s="88" t="s" ph="1">
        <v>634</v>
      </c>
      <c r="J23" s="88" t="s" ph="1">
        <v>635</v>
      </c>
      <c r="K23" s="88" t="s" ph="1">
        <v>635</v>
      </c>
      <c r="L23" s="88" t="s" ph="1">
        <v>635</v>
      </c>
      <c r="M23" s="88" t="s" ph="1">
        <v>630</v>
      </c>
      <c r="N23" s="88" t="s" ph="1">
        <v>630</v>
      </c>
      <c r="O23" s="88" t="s" ph="1">
        <v>321</v>
      </c>
      <c r="P23" s="88" t="s" ph="1">
        <v>637</v>
      </c>
      <c r="Q23" s="89" t="s" ph="1">
        <v>637</v>
      </c>
      <c r="R23" s="88" t="s" ph="1">
        <v>616</v>
      </c>
      <c r="S23" s="88" t="s" ph="1">
        <v>636</v>
      </c>
      <c r="T23" s="88" t="s" ph="1">
        <v>607</v>
      </c>
      <c r="U23" s="88" t="s" ph="1">
        <v>611</v>
      </c>
      <c r="V23" s="88" t="s" ph="1">
        <v>637</v>
      </c>
      <c r="W23" s="88" t="s" ph="1">
        <v>637</v>
      </c>
      <c r="X23" s="88" t="s" ph="1">
        <v>190</v>
      </c>
      <c r="Y23" s="88" t="s" ph="1">
        <v>638</v>
      </c>
      <c r="Z23" s="228" t="s" ph="1">
        <v>648</v>
      </c>
      <c r="AA23" s="229"/>
      <c r="AB23" s="229"/>
      <c r="AC23" s="229"/>
      <c r="AD23" s="229"/>
      <c r="AE23" s="230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37" ph="1">
        <v>0.33333333333333331</v>
      </c>
      <c r="C24" s="146" t="s" ph="1">
        <v>178</v>
      </c>
      <c r="D24" s="71">
        <v>85.7</v>
      </c>
      <c r="E24" s="71">
        <v>4.45</v>
      </c>
      <c r="F24" s="71">
        <v>3847</v>
      </c>
      <c r="G24" s="71">
        <v>3806</v>
      </c>
      <c r="H24" s="71">
        <v>1900</v>
      </c>
      <c r="I24" s="71">
        <v>4406</v>
      </c>
      <c r="J24" s="71">
        <v>4821</v>
      </c>
      <c r="K24" s="71">
        <v>5510</v>
      </c>
      <c r="L24" s="71">
        <v>5609</v>
      </c>
      <c r="M24" s="71">
        <v>5432</v>
      </c>
      <c r="N24" s="71">
        <v>3611</v>
      </c>
      <c r="O24" s="71">
        <v>5162</v>
      </c>
      <c r="P24" s="71">
        <v>362</v>
      </c>
      <c r="Q24" s="90">
        <v>3609</v>
      </c>
      <c r="R24" s="71">
        <v>70</v>
      </c>
      <c r="S24" s="71">
        <v>2548</v>
      </c>
      <c r="T24" s="71">
        <v>1763</v>
      </c>
      <c r="U24" s="71">
        <v>6699</v>
      </c>
      <c r="V24" s="71">
        <v>9585</v>
      </c>
      <c r="W24" s="71">
        <v>10755</v>
      </c>
      <c r="X24" s="71">
        <v>3490</v>
      </c>
      <c r="Y24" s="71">
        <v>4375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37" ph="1"/>
      <c r="C25" s="68" t="s" ph="1">
        <v>179</v>
      </c>
      <c r="D25" s="91" ph="1">
        <f>D24*268.68*LOOKUP(D26,密度!$A$2:$A$50,密度!$Q$2:$Q$50)+IF(D24&lt;=0,0,1566*LOOKUP(D26,密度!$A$2:$A$50,密度!$Q$2:$Q$50))</f>
        <v>23282.112684240001</v>
      </c>
      <c r="E25" s="91" ph="1">
        <f>E24*268.68*LOOKUP(E26,密度!$A$2:$A$50,密度!$C$2:$C$50)+IF(E24&lt;=0,0,1566*LOOKUP(E26,密度!$A$2:$A$50,密度!$C$2:$C$50))</f>
        <v>3062.3670714</v>
      </c>
      <c r="F25" s="91" ph="1">
        <f>F24*11.702*LOOKUP(F26,密度!$A$2:$A$50,密度!$Q$2:$Q$50)</f>
        <v>42587.994451819999</v>
      </c>
      <c r="G25" s="91" ph="1">
        <f>G24*18.322*LOOKUP(G26,密度!$A$2:$A$50,密度!$B$2:$B$50)</f>
        <v>54245.714542799993</v>
      </c>
      <c r="H25" s="91" ph="1">
        <f>H24*18.322*LOOKUP(H26,密度!$A$2:$A$50,密度!$B$2:$B$50)</f>
        <v>27080.099219999996</v>
      </c>
      <c r="I25" s="91" ph="1">
        <f>I24*18.322*LOOKUP(I26,密度!$A$2:$A$50,密度!$Q$2:$Q$50)</f>
        <v>76369.910273960006</v>
      </c>
      <c r="J25" s="91" ph="1">
        <f>J24*18.322*LOOKUP(J26,密度!$A$2:$A$50,密度!$Q$2:$Q$50)</f>
        <v>83563.172362860001</v>
      </c>
      <c r="K25" s="91" ph="1">
        <f>K24*18.322*LOOKUP(K26,密度!$A$2:$A$50,密度!$Q$2:$Q$50)</f>
        <v>95505.720746600011</v>
      </c>
      <c r="L25" s="91" ph="1">
        <f>L24*18.322*LOOKUP(L26,密度!$A$2:$A$50,密度!$Q$2:$Q$50)</f>
        <v>97221.703750939996</v>
      </c>
      <c r="M25" s="91" ph="1">
        <f>M24*18.322*LOOKUP(M26,密度!$A$2:$A$50,密度!$Q$2:$Q$50)</f>
        <v>94153.734137120002</v>
      </c>
      <c r="N25" s="91" ph="1">
        <f>N24*18.322*LOOKUP(N26,密度!$A$2:$A$50,密度!$Q$2:$Q$50)</f>
        <v>62590.046754260002</v>
      </c>
      <c r="O25" s="91" ph="1">
        <f>O24*18.322*LOOKUP(O26,密度!$A$2:$A$50,密度!$C$2:$C$50)</f>
        <v>104735.85881359999</v>
      </c>
      <c r="P25" s="91" ph="1">
        <f>P24*11.702*LOOKUP(P26,密度!$A$2:$A$50,密度!$B$2:$B$50)</f>
        <v>3298.6697587999997</v>
      </c>
      <c r="Q25" s="92" ph="1">
        <f>Q24*18.322*LOOKUP(Q26,密度!$A$2:$A$50,密度!$B$2:$B$50)</f>
        <v>51437.935834199998</v>
      </c>
      <c r="R25" s="91" ph="1">
        <f>R24*35.891*LOOKUP(R26,密度!$A$2:$A$50,密度!$C$2:$C$50)</f>
        <v>2782.1985379999996</v>
      </c>
      <c r="S25" s="91" ph="1">
        <f>S24*35.891*LOOKUP(S26,密度!$A$2:$A$50,密度!$B$2:$B$50)</f>
        <v>71212.323691599988</v>
      </c>
      <c r="T25" s="91" ph="1">
        <f>T24*35.891*LOOKUP(T26,密度!$A$2:$A$50,密度!$Q$2:$Q$50)</f>
        <v>59815.910451560005</v>
      </c>
      <c r="U25" s="91" ph="1">
        <f>U24*35.891</f>
        <v>240433.80899999998</v>
      </c>
      <c r="V25" s="91" ph="1">
        <f>V24*47.051*LOOKUP(V26,密度!$A$2:$A$50,密度!$B$2:$B$50)</f>
        <v>351181.11231449997</v>
      </c>
      <c r="W25" s="91" ph="1">
        <f>W24*47.051*LOOKUP(W26,密度!$A$2:$A$50,密度!$B$2:$B$50)</f>
        <v>394048.29034349998</v>
      </c>
      <c r="X25" s="91" ph="1">
        <f>X24*47.051*LOOKUP(X26,密度!$A$2:$A$50,密度!$I$2:$I$50)</f>
        <v>170776.30960000004</v>
      </c>
      <c r="Y25" s="91" ph="1">
        <f>Y24*47.051*LOOKUP(Y26,密度!$A$2:$A$50,密度!$L$2:$L$50)</f>
        <v>192467.99687500001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37" ph="1"/>
      <c r="C26" s="68" t="s" ph="1">
        <v>180</v>
      </c>
      <c r="D26" s="74">
        <v>25</v>
      </c>
      <c r="E26" s="74">
        <v>25</v>
      </c>
      <c r="F26" s="74">
        <v>26</v>
      </c>
      <c r="G26" s="74">
        <v>27</v>
      </c>
      <c r="H26" s="74">
        <v>27</v>
      </c>
      <c r="I26" s="74">
        <v>26</v>
      </c>
      <c r="J26" s="74">
        <v>26</v>
      </c>
      <c r="K26" s="74">
        <v>26</v>
      </c>
      <c r="L26" s="74">
        <v>26</v>
      </c>
      <c r="M26" s="74">
        <v>26</v>
      </c>
      <c r="N26" s="74">
        <v>26</v>
      </c>
      <c r="O26" s="74">
        <v>27</v>
      </c>
      <c r="P26" s="74">
        <v>26</v>
      </c>
      <c r="Q26" s="93">
        <v>27</v>
      </c>
      <c r="R26" s="74">
        <v>27</v>
      </c>
      <c r="S26" s="74">
        <v>26</v>
      </c>
      <c r="T26" s="74">
        <v>27</v>
      </c>
      <c r="U26" s="74">
        <v>27</v>
      </c>
      <c r="V26" s="74">
        <v>26</v>
      </c>
      <c r="W26" s="74">
        <v>26</v>
      </c>
      <c r="X26" s="74">
        <v>27</v>
      </c>
      <c r="Y26" s="74">
        <v>27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65" ph="1">
      <c r="A27" s="72" ph="1"/>
      <c r="B27" s="237" ph="1">
        <v>0.66666666666666663</v>
      </c>
      <c r="C27" s="146" t="s" ph="1">
        <v>181</v>
      </c>
      <c r="D27" s="71">
        <v>85.51</v>
      </c>
      <c r="E27" s="71">
        <v>4.43</v>
      </c>
      <c r="F27" s="71">
        <v>3838</v>
      </c>
      <c r="G27" s="71">
        <v>3169</v>
      </c>
      <c r="H27" s="71">
        <v>760</v>
      </c>
      <c r="I27" s="71">
        <v>4400</v>
      </c>
      <c r="J27" s="71">
        <v>4814</v>
      </c>
      <c r="K27" s="71">
        <v>5502</v>
      </c>
      <c r="L27" s="71">
        <v>5600</v>
      </c>
      <c r="M27" s="71">
        <v>5424</v>
      </c>
      <c r="N27" s="71">
        <v>3605</v>
      </c>
      <c r="O27" s="71">
        <v>5157</v>
      </c>
      <c r="P27" s="71">
        <v>359</v>
      </c>
      <c r="Q27" s="90">
        <v>4010</v>
      </c>
      <c r="R27" s="71">
        <v>68</v>
      </c>
      <c r="S27" s="71">
        <v>2230</v>
      </c>
      <c r="T27" s="71">
        <v>1760</v>
      </c>
      <c r="U27" s="71">
        <v>6910</v>
      </c>
      <c r="V27" s="71">
        <v>9572</v>
      </c>
      <c r="W27" s="71">
        <v>10742</v>
      </c>
      <c r="X27" s="71">
        <v>4088</v>
      </c>
      <c r="Y27" s="71">
        <v>4782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37" ph="1"/>
      <c r="C28" s="146" t="s" ph="1">
        <v>179</v>
      </c>
      <c r="D28" s="91" ph="1">
        <f>D27*268.68*LOOKUP(D29,密度!$A$2:$A$50,密度!$Q$2:$Q$50)+IF(D27&lt;=0,0,1566*LOOKUP(D29,密度!$A$2:$A$50,密度!$Q$2:$Q$50))</f>
        <v>23233.782364632003</v>
      </c>
      <c r="E28" s="91" ph="1">
        <f>E27*268.68*LOOKUP(E29,密度!$A$2:$A$50,密度!$C$2:$C$50)+IF(E27&lt;=0,0,1566*LOOKUP(E29,密度!$A$2:$A$50,密度!$C$2:$C$50))</f>
        <v>3056.4082863599997</v>
      </c>
      <c r="F28" s="91" ph="1">
        <f>F27*11.702*LOOKUP(F29,密度!$A$2:$A$50,密度!$Q$2:$Q$50)</f>
        <v>42488.360464279998</v>
      </c>
      <c r="G28" s="91" ph="1">
        <f>G27*18.322*LOOKUP(G29,密度!$A$2:$A$50,密度!$B$2:$B$50)</f>
        <v>45166.754962200001</v>
      </c>
      <c r="H28" s="91" ph="1">
        <f>H27*18.322*LOOKUP(H29,密度!$A$2:$A$50,密度!$B$2:$B$50)</f>
        <v>10832.039688000001</v>
      </c>
      <c r="I28" s="91" ph="1">
        <f>I27*18.322*LOOKUP(I29,密度!$A$2:$A$50,密度!$Q$2:$Q$50)</f>
        <v>76265.911304000008</v>
      </c>
      <c r="J28" s="91" ph="1">
        <f>J27*18.322*LOOKUP(J29,密度!$A$2:$A$50,密度!$Q$2:$Q$50)</f>
        <v>83441.840231239999</v>
      </c>
      <c r="K28" s="91" ph="1">
        <f>K27*18.322*LOOKUP(K29,密度!$A$2:$A$50,密度!$Q$2:$Q$50)</f>
        <v>95367.055453320005</v>
      </c>
      <c r="L28" s="91" ph="1">
        <f>L27*18.322*LOOKUP(L29,密度!$A$2:$A$50,密度!$Q$2:$Q$50)</f>
        <v>97065.705296</v>
      </c>
      <c r="M28" s="91" ph="1">
        <f>M27*18.322*LOOKUP(M29,密度!$A$2:$A$50,密度!$Q$2:$Q$50)</f>
        <v>94015.068843839996</v>
      </c>
      <c r="N28" s="91" ph="1">
        <f>N27*18.322*LOOKUP(N29,密度!$A$2:$A$50,密度!$Q$2:$Q$50)</f>
        <v>62486.047784299997</v>
      </c>
      <c r="O28" s="91" ph="1">
        <f>O27*18.322*LOOKUP(O29,密度!$A$2:$A$50,密度!$C$2:$C$50)</f>
        <v>104634.40989959998</v>
      </c>
      <c r="P28" s="91" ph="1">
        <f>P27*11.702*LOOKUP(P29,密度!$A$2:$A$50,密度!$B$2:$B$50)</f>
        <v>3271.3327165999999</v>
      </c>
      <c r="Q28" s="92" ph="1">
        <f>Q27*18.322*LOOKUP(Q29,密度!$A$2:$A$50,密度!$B$2:$B$50)</f>
        <v>57153.262038000001</v>
      </c>
      <c r="R28" s="91" ph="1">
        <f>R27*35.891*LOOKUP(R29,密度!$A$2:$A$50,密度!$C$2:$C$50)</f>
        <v>2702.7071511999998</v>
      </c>
      <c r="S28" s="91" ph="1">
        <f>S27*35.891*LOOKUP(S29,密度!$A$2:$A$50,密度!$B$2:$B$50)</f>
        <v>62324.757390999992</v>
      </c>
      <c r="T28" s="91" ph="1">
        <f>T27*35.891*LOOKUP(T29,密度!$A$2:$A$50,密度!$Q$2:$Q$50)</f>
        <v>59714.125011199998</v>
      </c>
      <c r="U28" s="91" ph="1">
        <f>U27*35.891</f>
        <v>248006.81</v>
      </c>
      <c r="V28" s="91" ph="1">
        <f>V27*47.051*LOOKUP(V29,密度!$A$2:$A$50,密度!$B$2:$B$50)</f>
        <v>350704.8103364</v>
      </c>
      <c r="W28" s="91" ph="1">
        <f>W27*47.051*LOOKUP(W29,密度!$A$2:$A$50,密度!$B$2:$B$50)</f>
        <v>393571.9883654</v>
      </c>
      <c r="X28" s="91" ph="1">
        <f>X27*47.051*LOOKUP(X29,密度!$A$2:$A$50,密度!$I$2:$I$50)</f>
        <v>200038.26752000002</v>
      </c>
      <c r="Y28" s="91" ph="1">
        <f>Y27*47.051*LOOKUP(Y29,密度!$A$2:$A$50,密度!$L$2:$L$50)</f>
        <v>210373.01967000004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37" ph="1"/>
      <c r="C29" s="146" t="s" ph="1">
        <v>180</v>
      </c>
      <c r="D29" s="74">
        <v>25</v>
      </c>
      <c r="E29" s="74">
        <v>25</v>
      </c>
      <c r="F29" s="74">
        <v>26</v>
      </c>
      <c r="G29" s="74">
        <v>27</v>
      </c>
      <c r="H29" s="74">
        <v>27</v>
      </c>
      <c r="I29" s="74">
        <v>26</v>
      </c>
      <c r="J29" s="74">
        <v>26</v>
      </c>
      <c r="K29" s="74">
        <v>26</v>
      </c>
      <c r="L29" s="74">
        <v>26</v>
      </c>
      <c r="M29" s="74">
        <v>26</v>
      </c>
      <c r="N29" s="74">
        <v>26</v>
      </c>
      <c r="O29" s="74">
        <v>27</v>
      </c>
      <c r="P29" s="74">
        <v>26</v>
      </c>
      <c r="Q29" s="93">
        <v>27</v>
      </c>
      <c r="R29" s="74">
        <v>27</v>
      </c>
      <c r="S29" s="74">
        <v>26</v>
      </c>
      <c r="T29" s="74">
        <v>27</v>
      </c>
      <c r="U29" s="74">
        <v>27</v>
      </c>
      <c r="V29" s="74">
        <v>26</v>
      </c>
      <c r="W29" s="74">
        <v>26</v>
      </c>
      <c r="X29" s="74">
        <v>27</v>
      </c>
      <c r="Y29" s="74">
        <v>27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45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46" t="s" ph="1">
        <v>5</v>
      </c>
      <c r="F32" s="145" t="s" ph="1">
        <v>43</v>
      </c>
      <c r="G32" s="97" t="s" ph="1">
        <v>4</v>
      </c>
      <c r="H32" s="146" t="s" ph="1">
        <v>5</v>
      </c>
      <c r="I32" s="145" t="s" ph="1">
        <v>43</v>
      </c>
      <c r="J32" s="97" t="s" ph="1">
        <v>4</v>
      </c>
      <c r="K32" s="146" t="s" ph="1">
        <v>5</v>
      </c>
      <c r="L32" s="145" t="s" ph="1">
        <v>43</v>
      </c>
      <c r="M32" s="97" t="s" ph="1">
        <v>4</v>
      </c>
      <c r="N32" s="146" t="s" ph="1">
        <v>5</v>
      </c>
      <c r="O32" s="14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6" t="s" ph="1">
        <v>5</v>
      </c>
      <c r="U32" s="99" t="s" ph="1">
        <v>43</v>
      </c>
      <c r="V32" s="97" t="s" ph="1">
        <v>4</v>
      </c>
      <c r="W32" s="146" t="s" ph="1">
        <v>5</v>
      </c>
      <c r="X32" s="99" t="s" ph="1">
        <v>43</v>
      </c>
      <c r="Y32" s="100" t="s" ph="1">
        <v>4</v>
      </c>
      <c r="Z32" s="146" t="s" ph="1">
        <v>5</v>
      </c>
      <c r="AA32" s="145" t="s" ph="1">
        <v>43</v>
      </c>
      <c r="AB32" s="97" t="s" ph="1">
        <v>85</v>
      </c>
      <c r="AC32" s="146" t="s" ph="1">
        <v>84</v>
      </c>
      <c r="AD32" s="204" t="s" ph="1">
        <v>83</v>
      </c>
      <c r="AE32" s="205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06" t="s" ph="1">
        <v>182</v>
      </c>
      <c r="C33" s="207" ph="1"/>
      <c r="D33" s="186" ph="1">
        <f>AA10+AB10+Z19</f>
        <v>66177.091659199999</v>
      </c>
      <c r="E33" s="186" ph="1">
        <f>M10+I10</f>
        <v>176927.52330619999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1522252632456786910111213141516171819202123456789101112131415161718192022232424356789101112131415161718192021222345678910111213141516171819202345678910111213149101516171819222123234567891012131415161711181920212224252345678910111213137[[#This Row],[F25]]</f>
        <v>3880</v>
      </c>
      <c r="G33" s="212" ph="1">
        <v>0</v>
      </c>
      <c r="H33" s="186" ph="1">
        <f>N19</f>
        <v>15255.011505659999</v>
      </c>
      <c r="I33" s="190" ph="1">
        <v>0</v>
      </c>
      <c r="J33" s="194" ph="1">
        <f>F10+O28</f>
        <v>355550.62100489996</v>
      </c>
      <c r="K33" s="186" ph="1">
        <f>O10+K10+E28+R28</f>
        <v>91774.485979960009</v>
      </c>
      <c r="L33" s="196" ph="1">
        <f>BE27</f>
        <v>7100</v>
      </c>
      <c r="M33" s="194" ph="1">
        <f>G10+H10+W28+S28+V28+E10</f>
        <v>1236615.5619548</v>
      </c>
      <c r="N33" s="186" ph="1">
        <f>L10+P10++G28+H28</f>
        <v>170442.43576219998</v>
      </c>
      <c r="O33" s="190" ph="1">
        <f>BE17</f>
        <v>2270</v>
      </c>
      <c r="P33" s="194" ph="1">
        <f>L19</f>
        <v>33820.417127200002</v>
      </c>
      <c r="Q33" s="186" ph="1">
        <f>J10+N10</f>
        <v>68452.733944799998</v>
      </c>
      <c r="R33" s="190" ph="1">
        <f>BE23</f>
        <v>890</v>
      </c>
      <c r="S33" s="194" ph="1">
        <f>E10+X28</f>
        <v>525383.20790799998</v>
      </c>
      <c r="T33" s="186" ph="1">
        <f>X19</f>
        <v>5005.3731520000001</v>
      </c>
      <c r="U33" s="175" ph="1">
        <f>BE21</f>
        <v>730</v>
      </c>
      <c r="V33" s="188" ph="1">
        <f ca="1">P19+Q19+S19+M28+N28+J28</f>
        <v>317909.76928843395</v>
      </c>
      <c r="W33" s="188" ph="1">
        <f>D28+F28+V19+T28</f>
        <v>137366.630071016</v>
      </c>
      <c r="X33" s="190" ph="1">
        <f>BE29+BE31</f>
        <v>10200</v>
      </c>
      <c r="Y33" s="192" ph="1">
        <f>+Q10+R10+S10+T10+U10+V10+W10+X10+Y10</f>
        <v>135522.38007000001</v>
      </c>
      <c r="Z33" s="173" ph="1">
        <f>D10+T19+U19+Y28+Z10</f>
        <v>601209.92419446004</v>
      </c>
      <c r="AA33" s="175" ph="1">
        <f>BE19</f>
        <v>1440</v>
      </c>
      <c r="AB33" s="177" ph="1">
        <f>I19</f>
        <v>49106.2178432</v>
      </c>
      <c r="AC33" s="179" ph="1">
        <f>AD10</f>
        <v>87027.104121600001</v>
      </c>
      <c r="AD33" s="181" ph="1">
        <v>0</v>
      </c>
      <c r="AE33" s="182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85" t="s" ph="1">
        <v>639</v>
      </c>
      <c r="AD35" s="185"/>
      <c r="AE35" s="185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45" ph="1">
      <c r="A36" s="64"/>
      <c r="B36" s="103" t="s" ph="1">
        <v>183</v>
      </c>
      <c r="I36" s="171" t="s" ph="1">
        <v>184</v>
      </c>
      <c r="J36" s="171" ph="1"/>
      <c r="K36" s="101" ph="1"/>
      <c r="P36" s="101" ph="1"/>
      <c r="R36" s="171" t="s" ph="1">
        <v>185</v>
      </c>
      <c r="S36" s="171" ph="1"/>
      <c r="Y36" s="102" ph="1"/>
      <c r="Z36" s="144" t="s" ph="1">
        <v>186</v>
      </c>
      <c r="AA36" s="144" ph="1"/>
      <c r="AB36" s="172" t="s" ph="1">
        <v>644</v>
      </c>
      <c r="AC36" s="172" ph="1"/>
      <c r="AD36" s="172" ph="1"/>
      <c r="AE36" s="172" ph="1"/>
      <c r="BA36" s="64" ph="1">
        <v>2270</v>
      </c>
    </row>
    <row r="37" spans="1:57" s="144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4" t="s" ph="1">
        <v>345</v>
      </c>
      <c r="AI37" s="144" t="s" ph="1">
        <v>212</v>
      </c>
      <c r="AJ37" s="144" t="s" ph="1">
        <v>213</v>
      </c>
      <c r="AK37" s="144" t="s" ph="1">
        <v>214</v>
      </c>
      <c r="AM37" s="144" t="s" ph="1">
        <v>213</v>
      </c>
      <c r="AN37" s="144" t="s" ph="1">
        <v>214</v>
      </c>
      <c r="AO37" s="144" t="s" ph="1">
        <v>215</v>
      </c>
      <c r="AP37" s="144" t="s" ph="1">
        <v>213</v>
      </c>
      <c r="AQ37" s="144" t="s" ph="1">
        <v>214</v>
      </c>
      <c r="AR37" s="144" t="s" ph="1">
        <v>215</v>
      </c>
      <c r="AS37" s="144" t="s" ph="1">
        <v>213</v>
      </c>
      <c r="AT37" s="144" t="s" ph="1">
        <v>214</v>
      </c>
      <c r="AU37" s="144" t="s" ph="1">
        <v>215</v>
      </c>
      <c r="AV37" s="144" t="s" ph="1">
        <v>213</v>
      </c>
      <c r="AW37" s="144" t="s" ph="1">
        <v>214</v>
      </c>
      <c r="AX37" s="144" t="s" ph="1">
        <v>215</v>
      </c>
      <c r="AY37" s="144" t="s" ph="1">
        <v>214</v>
      </c>
      <c r="AZ37" s="144" t="s" ph="1">
        <v>216</v>
      </c>
      <c r="BD37" s="144" t="s" ph="1">
        <v>308</v>
      </c>
      <c r="BE37" s="144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285" priority="97">
      <formula>ABS(D$7-D$10)&gt;=1000</formula>
    </cfRule>
  </conditionalFormatting>
  <conditionalFormatting sqref="E4 E6:E11">
    <cfRule type="expression" dxfId="2284" priority="96">
      <formula>ABS(E$7-E$10)&gt;=1000</formula>
    </cfRule>
  </conditionalFormatting>
  <conditionalFormatting sqref="F4:F11">
    <cfRule type="expression" dxfId="2283" priority="95">
      <formula>ABS(F$7-F$10)&gt;=1000</formula>
    </cfRule>
  </conditionalFormatting>
  <conditionalFormatting sqref="G4:G11">
    <cfRule type="expression" dxfId="2282" priority="94">
      <formula>ABS(G$7-G$10)&gt;=1000</formula>
    </cfRule>
  </conditionalFormatting>
  <conditionalFormatting sqref="H4:H11">
    <cfRule type="expression" dxfId="2281" priority="93">
      <formula>ABS(H$7-H$10)&gt;=1000</formula>
    </cfRule>
  </conditionalFormatting>
  <conditionalFormatting sqref="I4:I11">
    <cfRule type="expression" dxfId="2280" priority="92">
      <formula>ABS(I$7-I$10)&gt;=1000</formula>
    </cfRule>
  </conditionalFormatting>
  <conditionalFormatting sqref="J4:J11">
    <cfRule type="expression" dxfId="2279" priority="91">
      <formula>ABS(J$7-J$10)&gt;=1000</formula>
    </cfRule>
  </conditionalFormatting>
  <conditionalFormatting sqref="K4:K11">
    <cfRule type="expression" dxfId="2278" priority="90">
      <formula>ABS(K$7-K$10)&gt;=1000</formula>
    </cfRule>
  </conditionalFormatting>
  <conditionalFormatting sqref="L4:L11">
    <cfRule type="expression" dxfId="2277" priority="89">
      <formula>ABS(L$7-L$10)&gt;=1000</formula>
    </cfRule>
  </conditionalFormatting>
  <conditionalFormatting sqref="M4 M6:M11">
    <cfRule type="expression" dxfId="2276" priority="88">
      <formula>ABS(M$7-M$10)&gt;=1000</formula>
    </cfRule>
  </conditionalFormatting>
  <conditionalFormatting sqref="N4 N6:N11">
    <cfRule type="expression" dxfId="2275" priority="87">
      <formula>ABS(N$7-N$10)&gt;=1000</formula>
    </cfRule>
  </conditionalFormatting>
  <conditionalFormatting sqref="O4 O6:O11">
    <cfRule type="expression" dxfId="2274" priority="86">
      <formula>ABS(O$7-O$10)&gt;=1000</formula>
    </cfRule>
  </conditionalFormatting>
  <conditionalFormatting sqref="P4 P6:P11">
    <cfRule type="expression" dxfId="2273" priority="85">
      <formula>ABS(P$7-P$10)&gt;=1000</formula>
    </cfRule>
  </conditionalFormatting>
  <conditionalFormatting sqref="Q4:Q11">
    <cfRule type="expression" dxfId="2272" priority="84">
      <formula>ABS(Q$7-Q$10)&gt;=1000</formula>
    </cfRule>
  </conditionalFormatting>
  <conditionalFormatting sqref="R4:R11">
    <cfRule type="expression" dxfId="2271" priority="83">
      <formula>ABS(R$7-R$10)&gt;=1000</formula>
    </cfRule>
  </conditionalFormatting>
  <conditionalFormatting sqref="S4:S11">
    <cfRule type="expression" dxfId="2270" priority="82">
      <formula>ABS(S$7-S$10)&gt;=1000</formula>
    </cfRule>
  </conditionalFormatting>
  <conditionalFormatting sqref="T4:T9 T11">
    <cfRule type="expression" dxfId="2269" priority="81">
      <formula>ABS(T$7-T$10)&gt;=1000</formula>
    </cfRule>
  </conditionalFormatting>
  <conditionalFormatting sqref="U4:U9 U11">
    <cfRule type="expression" dxfId="2268" priority="80">
      <formula>ABS(U$7-U$10)&gt;=1000</formula>
    </cfRule>
  </conditionalFormatting>
  <conditionalFormatting sqref="V4:V9 V11">
    <cfRule type="expression" dxfId="2267" priority="79">
      <formula>ABS(V$7-V$10)&gt;=1000</formula>
    </cfRule>
  </conditionalFormatting>
  <conditionalFormatting sqref="W4:W9 W11">
    <cfRule type="expression" dxfId="2266" priority="78">
      <formula>ABS(W$7-W$10)&gt;=1000</formula>
    </cfRule>
  </conditionalFormatting>
  <conditionalFormatting sqref="X4:X9 X11">
    <cfRule type="expression" dxfId="2265" priority="77">
      <formula>ABS(X$7-X$10)&gt;=1000</formula>
    </cfRule>
  </conditionalFormatting>
  <conditionalFormatting sqref="Y4:Y9 Y11">
    <cfRule type="expression" dxfId="2264" priority="76">
      <formula>ABS(Y$7-Y$10)&gt;=1000</formula>
    </cfRule>
  </conditionalFormatting>
  <conditionalFormatting sqref="Z4:Z11">
    <cfRule type="expression" dxfId="2263" priority="75">
      <formula>ABS(Z$7-Z$10)&gt;=1000</formula>
    </cfRule>
  </conditionalFormatting>
  <conditionalFormatting sqref="AA4:AA11">
    <cfRule type="expression" dxfId="2262" priority="74">
      <formula>ABS(AA$7-AA$10)&gt;=1000</formula>
    </cfRule>
  </conditionalFormatting>
  <conditionalFormatting sqref="AB4:AB11">
    <cfRule type="expression" dxfId="2261" priority="73">
      <formula>ABS(AB$7-AB$10)&gt;=1000</formula>
    </cfRule>
  </conditionalFormatting>
  <conditionalFormatting sqref="AC4 AC6:AC11">
    <cfRule type="expression" dxfId="2260" priority="72">
      <formula>ABS(AC$7-AC$10)&gt;=1000</formula>
    </cfRule>
  </conditionalFormatting>
  <conditionalFormatting sqref="AD4:AD11">
    <cfRule type="expression" dxfId="2259" priority="71">
      <formula>ABS(AD$7-AD$10)&gt;=1000</formula>
    </cfRule>
  </conditionalFormatting>
  <conditionalFormatting sqref="AE4:AE11">
    <cfRule type="expression" dxfId="2258" priority="70">
      <formula>ABS(AE$7-AE$10)&gt;=1000</formula>
    </cfRule>
  </conditionalFormatting>
  <conditionalFormatting sqref="D13:D20">
    <cfRule type="expression" dxfId="2257" priority="69">
      <formula>ABS(D$16-D$19)&gt;=1000</formula>
    </cfRule>
  </conditionalFormatting>
  <conditionalFormatting sqref="E13:E20">
    <cfRule type="expression" dxfId="2256" priority="68">
      <formula>ABS(E$16-E$19)&gt;=1000</formula>
    </cfRule>
  </conditionalFormatting>
  <conditionalFormatting sqref="F13 F15:F20">
    <cfRule type="expression" dxfId="2255" priority="67">
      <formula>ABS(F$16-F$19)&gt;=1000</formula>
    </cfRule>
  </conditionalFormatting>
  <conditionalFormatting sqref="G13:G20">
    <cfRule type="expression" dxfId="2254" priority="66">
      <formula>ABS(G$16-G$19)&gt;=1000</formula>
    </cfRule>
  </conditionalFormatting>
  <conditionalFormatting sqref="H13:H20">
    <cfRule type="expression" dxfId="2253" priority="65">
      <formula>ABS(H$16-H$19)&gt;=1000</formula>
    </cfRule>
  </conditionalFormatting>
  <conditionalFormatting sqref="I13:I20">
    <cfRule type="expression" dxfId="2252" priority="64">
      <formula>ABS(I$16-I$19)&gt;=1000</formula>
    </cfRule>
  </conditionalFormatting>
  <conditionalFormatting sqref="J13:J20">
    <cfRule type="expression" dxfId="2251" priority="63">
      <formula>ABS(J$16-J$19)&gt;=1000</formula>
    </cfRule>
  </conditionalFormatting>
  <conditionalFormatting sqref="L13:L20">
    <cfRule type="expression" dxfId="2250" priority="62">
      <formula>ABS(L$16-L$19)&gt;=1000</formula>
    </cfRule>
  </conditionalFormatting>
  <conditionalFormatting sqref="M13 M15 M17:M18 M20">
    <cfRule type="expression" dxfId="2249" priority="61">
      <formula>ABS(M$16-M$19)&gt;=1000</formula>
    </cfRule>
  </conditionalFormatting>
  <conditionalFormatting sqref="N13:N20">
    <cfRule type="expression" dxfId="2248" priority="60">
      <formula>ABS(N$16-N$19)&gt;=1000</formula>
    </cfRule>
  </conditionalFormatting>
  <conditionalFormatting sqref="O13:O20">
    <cfRule type="expression" dxfId="2247" priority="59">
      <formula>ABS(O$16-O$19)&gt;=1000</formula>
    </cfRule>
  </conditionalFormatting>
  <conditionalFormatting sqref="P13:P20">
    <cfRule type="expression" dxfId="2246" priority="58">
      <formula>ABS(P$16-P$19)&gt;=1000</formula>
    </cfRule>
  </conditionalFormatting>
  <conditionalFormatting sqref="Q13 Q15:Q20">
    <cfRule type="expression" dxfId="2245" priority="57">
      <formula>ABS(Q$16-Q$19)&gt;=1000</formula>
    </cfRule>
  </conditionalFormatting>
  <conditionalFormatting sqref="R13:R20">
    <cfRule type="expression" dxfId="2244" priority="56">
      <formula>ABS(R$16-R$19)&gt;=1000</formula>
    </cfRule>
  </conditionalFormatting>
  <conditionalFormatting sqref="S13:S20">
    <cfRule type="expression" dxfId="2243" priority="55">
      <formula>ABS(S$16-S$19)&gt;=1000</formula>
    </cfRule>
  </conditionalFormatting>
  <conditionalFormatting sqref="T13:T20">
    <cfRule type="expression" dxfId="2242" priority="54">
      <formula>ABS(T$16-T$19)&gt;=1000</formula>
    </cfRule>
  </conditionalFormatting>
  <conditionalFormatting sqref="U13:U20">
    <cfRule type="expression" dxfId="2241" priority="53">
      <formula>ABS(U$16-U$19)&gt;=1000</formula>
    </cfRule>
  </conditionalFormatting>
  <conditionalFormatting sqref="V13:V20">
    <cfRule type="expression" dxfId="2240" priority="52">
      <formula>ABS(V$16-V$19)&gt;=1000</formula>
    </cfRule>
  </conditionalFormatting>
  <conditionalFormatting sqref="W13 W20 W15:W18">
    <cfRule type="expression" dxfId="2239" priority="51">
      <formula>ABS(W$16-W$19)&gt;=1000</formula>
    </cfRule>
  </conditionalFormatting>
  <conditionalFormatting sqref="X13 X15:X20 Y19">
    <cfRule type="expression" dxfId="2238" priority="50">
      <formula>ABS(X$16-X$19)&gt;=1000</formula>
    </cfRule>
  </conditionalFormatting>
  <conditionalFormatting sqref="Y13 Y15:Y18 Y20">
    <cfRule type="expression" dxfId="2237" priority="49">
      <formula>ABS(Y$16-Y$19)&gt;=1000</formula>
    </cfRule>
  </conditionalFormatting>
  <conditionalFormatting sqref="Z13:Z20">
    <cfRule type="expression" dxfId="2236" priority="48">
      <formula>ABS(Z$16-Z$19)&gt;=1000</formula>
    </cfRule>
  </conditionalFormatting>
  <conditionalFormatting sqref="AA13:AA20">
    <cfRule type="expression" dxfId="2235" priority="47">
      <formula>ABS(AA$16-AA$19)&gt;=1000</formula>
    </cfRule>
  </conditionalFormatting>
  <conditionalFormatting sqref="AB13 AB15:AB20">
    <cfRule type="expression" dxfId="2234" priority="46">
      <formula>ABS(AB$16-AB$19)&gt;=1000</formula>
    </cfRule>
  </conditionalFormatting>
  <conditionalFormatting sqref="AC13 AC15:AC20">
    <cfRule type="expression" dxfId="2233" priority="45">
      <formula>ABS(AC$16-AC$19)&gt;=1000</formula>
    </cfRule>
  </conditionalFormatting>
  <conditionalFormatting sqref="AD13:AD20">
    <cfRule type="expression" dxfId="2232" priority="44">
      <formula>ABS(AD$16-AD$19)&gt;=1000</formula>
    </cfRule>
  </conditionalFormatting>
  <conditionalFormatting sqref="AE13:AE20">
    <cfRule type="expression" dxfId="2231" priority="43">
      <formula>ABS(AE$16-AE$19)&gt;=1000</formula>
    </cfRule>
  </conditionalFormatting>
  <conditionalFormatting sqref="D22:D29">
    <cfRule type="expression" dxfId="2230" priority="42">
      <formula>ABS(D$25-D$28)&gt;=1000</formula>
    </cfRule>
  </conditionalFormatting>
  <conditionalFormatting sqref="E22:E29">
    <cfRule type="expression" dxfId="2229" priority="41">
      <formula>ABS(E$25-E$28)&gt;=1000</formula>
    </cfRule>
  </conditionalFormatting>
  <conditionalFormatting sqref="F22:F29">
    <cfRule type="expression" dxfId="2228" priority="40">
      <formula>ABS(F$25-F$28)&gt;=1000</formula>
    </cfRule>
  </conditionalFormatting>
  <conditionalFormatting sqref="G22:G29">
    <cfRule type="expression" dxfId="2227" priority="39">
      <formula>ABS(G$25-G$28)&gt;=1000</formula>
    </cfRule>
  </conditionalFormatting>
  <conditionalFormatting sqref="H22:H29">
    <cfRule type="expression" dxfId="2226" priority="38">
      <formula>ABS(H$25-H$28)&gt;=1000</formula>
    </cfRule>
  </conditionalFormatting>
  <conditionalFormatting sqref="I22 I24:I29">
    <cfRule type="expression" dxfId="2225" priority="37">
      <formula>ABS(I$25-I$28)&gt;=1000</formula>
    </cfRule>
  </conditionalFormatting>
  <conditionalFormatting sqref="J22:J29 K22">
    <cfRule type="expression" dxfId="2224" priority="36">
      <formula>ABS(J$25-J$28)&gt;=1000</formula>
    </cfRule>
  </conditionalFormatting>
  <conditionalFormatting sqref="K23:K29 L25 L28">
    <cfRule type="expression" dxfId="2223" priority="35">
      <formula>ABS(K$25-K$28)&gt;=1000</formula>
    </cfRule>
  </conditionalFormatting>
  <conditionalFormatting sqref="L22 L26:L27 L29 L24">
    <cfRule type="expression" dxfId="2222" priority="34">
      <formula>ABS(L$25-L$28)&gt;=1000</formula>
    </cfRule>
  </conditionalFormatting>
  <conditionalFormatting sqref="M22:M29">
    <cfRule type="expression" dxfId="2221" priority="33">
      <formula>ABS(M$25-M$28)&gt;=1000</formula>
    </cfRule>
  </conditionalFormatting>
  <conditionalFormatting sqref="N22:N29">
    <cfRule type="expression" dxfId="2220" priority="32">
      <formula>ABS(N$25-N$28)&gt;=1000</formula>
    </cfRule>
  </conditionalFormatting>
  <conditionalFormatting sqref="O22:O29">
    <cfRule type="expression" dxfId="2219" priority="31">
      <formula>ABS(O$25-O$28)&gt;=1000</formula>
    </cfRule>
  </conditionalFormatting>
  <conditionalFormatting sqref="P22:P29">
    <cfRule type="expression" dxfId="2218" priority="30">
      <formula>ABS(P$25-P$28)&gt;=1000</formula>
    </cfRule>
  </conditionalFormatting>
  <conditionalFormatting sqref="Q22:Q29">
    <cfRule type="expression" dxfId="2217" priority="29">
      <formula>ABS(Q$25-Q$28)&gt;=1000</formula>
    </cfRule>
  </conditionalFormatting>
  <conditionalFormatting sqref="R22:R29">
    <cfRule type="expression" dxfId="2216" priority="28">
      <formula>ABS(R$25-R$28)&gt;=1000</formula>
    </cfRule>
  </conditionalFormatting>
  <conditionalFormatting sqref="S22:S29">
    <cfRule type="expression" dxfId="2215" priority="27">
      <formula>ABS(S$25-S$28)&gt;=1000</formula>
    </cfRule>
  </conditionalFormatting>
  <conditionalFormatting sqref="T22:T29">
    <cfRule type="expression" dxfId="2214" priority="26">
      <formula>ABS(T$25-T$28)&gt;=1000</formula>
    </cfRule>
  </conditionalFormatting>
  <conditionalFormatting sqref="U22:U29">
    <cfRule type="expression" dxfId="2213" priority="25">
      <formula>ABS(U$25-U$28)&gt;=1000</formula>
    </cfRule>
  </conditionalFormatting>
  <conditionalFormatting sqref="V22:V29">
    <cfRule type="expression" dxfId="2212" priority="24">
      <formula>ABS(V$25-V$28)&gt;=1000</formula>
    </cfRule>
  </conditionalFormatting>
  <conditionalFormatting sqref="W22:W29">
    <cfRule type="expression" dxfId="2211" priority="23">
      <formula>ABS(W$25-W$28)&gt;=1000</formula>
    </cfRule>
  </conditionalFormatting>
  <conditionalFormatting sqref="X22:X29">
    <cfRule type="expression" dxfId="2210" priority="22">
      <formula>ABS(X$25-X$28)&gt;=1000</formula>
    </cfRule>
  </conditionalFormatting>
  <conditionalFormatting sqref="Y22:Y29">
    <cfRule type="expression" dxfId="2209" priority="21">
      <formula>ABS(Y$25-Y$28)&gt;=1000</formula>
    </cfRule>
  </conditionalFormatting>
  <conditionalFormatting sqref="I23">
    <cfRule type="expression" dxfId="2208" priority="20">
      <formula>ABS(I$25-I$28)&gt;=1000</formula>
    </cfRule>
  </conditionalFormatting>
  <conditionalFormatting sqref="F14">
    <cfRule type="expression" dxfId="2207" priority="19">
      <formula>ABS(F$16-F$19)&gt;=1000</formula>
    </cfRule>
  </conditionalFormatting>
  <conditionalFormatting sqref="Q14">
    <cfRule type="expression" dxfId="2206" priority="18">
      <formula>ABS(Q$16-Q$19)&gt;=1000</formula>
    </cfRule>
  </conditionalFormatting>
  <conditionalFormatting sqref="W14">
    <cfRule type="expression" dxfId="2205" priority="17">
      <formula>ABS(W$16-W$19)&gt;=1000</formula>
    </cfRule>
  </conditionalFormatting>
  <conditionalFormatting sqref="Y14">
    <cfRule type="expression" dxfId="2204" priority="16">
      <formula>ABS(Y$16-Y$19)&gt;=1000</formula>
    </cfRule>
  </conditionalFormatting>
  <conditionalFormatting sqref="X14">
    <cfRule type="expression" dxfId="2203" priority="15">
      <formula>ABS(X$16-X$19)&gt;=1000</formula>
    </cfRule>
  </conditionalFormatting>
  <conditionalFormatting sqref="T10:Y10">
    <cfRule type="expression" dxfId="2202" priority="14">
      <formula>ABS(T$7-T$10)&gt;=1000</formula>
    </cfRule>
  </conditionalFormatting>
  <conditionalFormatting sqref="W19">
    <cfRule type="expression" dxfId="2201" priority="13">
      <formula>ABS(W$16-W$19)&gt;=1000</formula>
    </cfRule>
  </conditionalFormatting>
  <conditionalFormatting sqref="AC5">
    <cfRule type="expression" dxfId="2200" priority="12">
      <formula>ABS(AC$7-AC$10)&gt;=1000</formula>
    </cfRule>
  </conditionalFormatting>
  <conditionalFormatting sqref="M14">
    <cfRule type="expression" dxfId="2199" priority="11">
      <formula>ABS(M$16-M$19)&gt;=1000</formula>
    </cfRule>
  </conditionalFormatting>
  <conditionalFormatting sqref="M16">
    <cfRule type="expression" dxfId="2198" priority="10">
      <formula>ABS(M$16-M$19)&gt;=1000</formula>
    </cfRule>
  </conditionalFormatting>
  <conditionalFormatting sqref="M19">
    <cfRule type="expression" dxfId="2197" priority="9">
      <formula>ABS(M$16-M$19)&gt;=1000</formula>
    </cfRule>
  </conditionalFormatting>
  <conditionalFormatting sqref="K13:K20">
    <cfRule type="expression" dxfId="2196" priority="8">
      <formula>ABS(K$16-K$19)&gt;=1000</formula>
    </cfRule>
  </conditionalFormatting>
  <conditionalFormatting sqref="E5">
    <cfRule type="expression" dxfId="2195" priority="7">
      <formula>ABS(E$7-E$10)&gt;=1000</formula>
    </cfRule>
  </conditionalFormatting>
  <conditionalFormatting sqref="AB14:AC14">
    <cfRule type="expression" dxfId="2194" priority="6">
      <formula>ABS(AB$16-AB$19)&gt;=1000</formula>
    </cfRule>
  </conditionalFormatting>
  <conditionalFormatting sqref="M5">
    <cfRule type="expression" dxfId="2193" priority="5">
      <formula>ABS(M$7-M$10)&gt;=1000</formula>
    </cfRule>
  </conditionalFormatting>
  <conditionalFormatting sqref="N5">
    <cfRule type="expression" dxfId="2192" priority="4">
      <formula>ABS(N$7-N$10)&gt;=1000</formula>
    </cfRule>
  </conditionalFormatting>
  <conditionalFormatting sqref="O5">
    <cfRule type="expression" dxfId="2191" priority="3">
      <formula>ABS(O$7-O$10)&gt;=1000</formula>
    </cfRule>
  </conditionalFormatting>
  <conditionalFormatting sqref="P5">
    <cfRule type="expression" dxfId="2190" priority="2">
      <formula>ABS(P$7-P$10)&gt;=1000</formula>
    </cfRule>
  </conditionalFormatting>
  <conditionalFormatting sqref="L23">
    <cfRule type="expression" dxfId="2189" priority="1">
      <formula>ABS(L$25-L$28)&gt;=1000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5078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345782</xdr:rowOff>
                  </from>
                  <to>
                    <xdr:col>32</xdr:col>
                    <xdr:colOff>414938</xdr:colOff>
                    <xdr:row>3</xdr:row>
                    <xdr:rowOff>30736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75">
    <pageSetUpPr fitToPage="1"/>
  </sheetPr>
  <dimension ref="A1:CU223"/>
  <sheetViews>
    <sheetView view="pageBreakPreview" topLeftCell="A16" zoomScale="80" zoomScaleNormal="100" zoomScaleSheetLayoutView="80" workbookViewId="0">
      <selection activeCell="U14" sqref="U14"/>
    </sheetView>
  </sheetViews>
  <sheetFormatPr defaultColWidth="8.109375" defaultRowHeight="26.05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0.9" ph="1">
      <c r="A1" s="64"/>
      <c r="B1" s="238" t="s" ph="1">
        <v>162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.05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.05" customHeight="1" ph="1">
      <c r="B3" s="240" ph="1">
        <v>45847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" customHeight="1" ph="1">
      <c r="A5" s="65" ph="1"/>
      <c r="B5" s="219" ph="1"/>
      <c r="C5" s="67" t="s" ph="1">
        <v>36</v>
      </c>
      <c r="D5" s="70" t="s" ph="1">
        <v>161</v>
      </c>
      <c r="E5" s="70" t="s" ph="1">
        <v>640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46" t="s" ph="1">
        <v>178</v>
      </c>
      <c r="D6" s="71">
        <v>4771</v>
      </c>
      <c r="E6" s="71">
        <v>8107</v>
      </c>
      <c r="F6" s="71">
        <v>6819</v>
      </c>
      <c r="G6" s="71">
        <v>1457</v>
      </c>
      <c r="H6" s="71">
        <v>1643</v>
      </c>
      <c r="I6" s="71">
        <v>51.62</v>
      </c>
      <c r="J6" s="71">
        <v>7.86</v>
      </c>
      <c r="K6" s="71">
        <v>6.95</v>
      </c>
      <c r="L6" s="71">
        <v>36.450000000000003</v>
      </c>
      <c r="M6" s="71">
        <v>4744</v>
      </c>
      <c r="N6" s="71">
        <v>2570</v>
      </c>
      <c r="O6" s="71">
        <v>3906</v>
      </c>
      <c r="P6" s="71">
        <v>2866</v>
      </c>
      <c r="Q6" s="71">
        <v>4100</v>
      </c>
      <c r="R6" s="71">
        <v>0</v>
      </c>
      <c r="S6" s="71">
        <v>0</v>
      </c>
      <c r="T6" s="71">
        <v>0</v>
      </c>
      <c r="U6" s="71">
        <v>0</v>
      </c>
      <c r="V6" s="71">
        <v>0</v>
      </c>
      <c r="W6" s="71">
        <v>0</v>
      </c>
      <c r="X6" s="71">
        <v>6715</v>
      </c>
      <c r="Y6" s="71">
        <v>4550</v>
      </c>
      <c r="Z6" s="71">
        <v>4955</v>
      </c>
      <c r="AA6" s="71">
        <v>555</v>
      </c>
      <c r="AB6" s="71">
        <v>2239</v>
      </c>
      <c r="AC6" s="71">
        <v>3027</v>
      </c>
      <c r="AD6" s="71">
        <v>4432</v>
      </c>
      <c r="AE6" s="71">
        <v>2175</v>
      </c>
    </row>
    <row r="7" spans="1:99" s="72" customFormat="1" ht="22.4" ph="1">
      <c r="B7" s="237" ph="1"/>
      <c r="C7" s="68" t="s" ph="1">
        <v>179</v>
      </c>
      <c r="D7" s="73" ph="1">
        <f>D6*33.183*LOOKUP(D8,密度!$A$2:$A$50,密度!$Q$2:$Q$50)</f>
        <v>149659.36903475999</v>
      </c>
      <c r="E7" s="73" ph="1">
        <f>E6*51.53*LOOKUP(E8,密度!$A$2:$A$50,密度!$B$2:$B$50)</f>
        <v>325304.81397700001</v>
      </c>
      <c r="F7" s="73" ph="1">
        <f>F6*33.183*LOOKUP(F8,密度!$A$2:$A$50,密度!$C$2:$C$50)</f>
        <v>250735.19120370003</v>
      </c>
      <c r="G7" s="73" ph="1">
        <f xml:space="preserve"> (G6+2)*51.53*LOOKUP(G8,密度!$A$2:$A$50,密度!$B$2:$B$50)</f>
        <v>58544.433648999999</v>
      </c>
      <c r="H7" s="73" ph="1">
        <f>(H6)*51.53*LOOKUP(H8,密度!$A$2:$A$50,密度!$B$2:$B$50)</f>
        <v>66232.482917000001</v>
      </c>
      <c r="I7" s="73" ph="1">
        <f>I6*290.8*1.0267</f>
        <v>15411.892263199999</v>
      </c>
      <c r="J7" s="73" ph="1">
        <f>J6*290.8*0.7892</f>
        <v>1803.8649696000002</v>
      </c>
      <c r="K7" s="73" ph="1">
        <f>K6*290.8*1.1126</f>
        <v>2248.6313560000003</v>
      </c>
      <c r="L7" s="73" ph="1">
        <f>L6*290.8*0.777</f>
        <v>8235.9358200000024</v>
      </c>
      <c r="M7" s="73" ph="1">
        <f>M6*33.183*LOOKUP(M8,密度!$A$2:$A$50,密度!$D$2:$D$50)</f>
        <v>161623.2700584</v>
      </c>
      <c r="N7" s="73" ph="1">
        <f>N6*33.183*LOOKUP(N8,密度!$A$2:$A$50,密度!$E$2:$E$50)</f>
        <v>66603.92211</v>
      </c>
      <c r="O7" s="73" ph="1">
        <f>O6*20.428*LOOKUP(O8,密度!$A$2:$A$50,密度!$C$2:$C$50)</f>
        <v>88241.7162312</v>
      </c>
      <c r="P7" s="73" ph="1">
        <f>P6*51.53*LOOKUP(P8,密度!$A$2:$A$50,密度!$B$2:$B$50)</f>
        <v>115135.210408</v>
      </c>
      <c r="Q7" s="73" ph="1">
        <f>Q6*1.5*1.5*3.1416*LOOKUP(W8,密度!$A$2:$A$50,密度!$L$2:$L$50)</f>
        <v>27155.440620000001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44665.175708999996</v>
      </c>
      <c r="Y7" s="73" ph="1">
        <f>Y6*1.5*1.5*3.1416*LOOKUP(Y8,密度!$A$2:$A$50,密度!$L$2:$L$50)</f>
        <v>30135.915810000002</v>
      </c>
      <c r="Z7" s="73" ph="1">
        <f>Z6*33.183*LOOKUP(Z8,密度!$A$2:$A$50,密度!$L$2:$L$50)</f>
        <v>154556.45909999998</v>
      </c>
      <c r="AA7" s="73" ph="1">
        <f>AA6*33.183*LOOKUP(AA8,密度!$A$2:$A$50,密度!$D$2:$D$50)</f>
        <v>18908.287285499999</v>
      </c>
      <c r="AB7" s="73" ph="1">
        <f>AB6*20.428*LOOKUP(AB8,密度!$A$2:$A$50,密度!$D$2:$D$50)</f>
        <v>47252.229465199998</v>
      </c>
      <c r="AC7" s="73" ph="1">
        <f>AC6*51.53*LOOKUP(AC8,密度!$A$2:$A$50,密度!$Q$2:$Q$50)</f>
        <v>147901.47814200001</v>
      </c>
      <c r="AD7" s="73" ph="1">
        <f>AD6*20.428*LOOKUP(AD8,密度!$A$2:$A$50,密度!$V$2:$V$50)</f>
        <v>86987.849676800004</v>
      </c>
      <c r="AE7" s="73" ph="1">
        <f>AE6*20.428</f>
        <v>44430.9</v>
      </c>
    </row>
    <row r="8" spans="1:99" ph="1">
      <c r="B8" s="237" ph="1"/>
      <c r="C8" s="68" t="s" ph="1">
        <v>180</v>
      </c>
      <c r="D8" s="74">
        <v>27</v>
      </c>
      <c r="E8" s="74">
        <v>26</v>
      </c>
      <c r="F8" s="74">
        <v>26</v>
      </c>
      <c r="G8" s="74">
        <v>26</v>
      </c>
      <c r="H8" s="74">
        <v>22</v>
      </c>
      <c r="I8" s="74">
        <v>25</v>
      </c>
      <c r="J8" s="74">
        <v>25</v>
      </c>
      <c r="K8" s="74">
        <v>25</v>
      </c>
      <c r="L8" s="74">
        <v>25</v>
      </c>
      <c r="M8" s="74">
        <v>25</v>
      </c>
      <c r="N8" s="74">
        <v>27</v>
      </c>
      <c r="O8" s="74">
        <v>29</v>
      </c>
      <c r="P8" s="74">
        <v>25</v>
      </c>
      <c r="Q8" s="74">
        <v>24</v>
      </c>
      <c r="R8" s="74">
        <v>29</v>
      </c>
      <c r="S8" s="74">
        <v>22</v>
      </c>
      <c r="T8" s="74">
        <v>22</v>
      </c>
      <c r="U8" s="74">
        <v>25</v>
      </c>
      <c r="V8" s="74">
        <v>25</v>
      </c>
      <c r="W8" s="74">
        <v>25</v>
      </c>
      <c r="X8" s="74">
        <v>21</v>
      </c>
      <c r="Y8" s="74">
        <v>25</v>
      </c>
      <c r="Z8" s="74">
        <v>22</v>
      </c>
      <c r="AA8" s="74">
        <v>25</v>
      </c>
      <c r="AB8" s="74">
        <v>18</v>
      </c>
      <c r="AC8" s="74">
        <v>23</v>
      </c>
      <c r="AD8" s="74">
        <v>24</v>
      </c>
      <c r="AE8" s="74">
        <v>26</v>
      </c>
    </row>
    <row r="9" spans="1:99" ht="26.65" ph="1">
      <c r="B9" s="237" ph="1">
        <v>0.66666666666666663</v>
      </c>
      <c r="C9" s="146" t="s" ph="1">
        <v>181</v>
      </c>
      <c r="D9" s="71">
        <v>4766</v>
      </c>
      <c r="E9" s="71">
        <v>8099</v>
      </c>
      <c r="F9" s="71">
        <v>6815</v>
      </c>
      <c r="G9" s="71">
        <v>2750</v>
      </c>
      <c r="H9" s="71">
        <v>2523</v>
      </c>
      <c r="I9" s="71">
        <v>51.51</v>
      </c>
      <c r="J9" s="71">
        <v>7.81</v>
      </c>
      <c r="K9" s="71">
        <v>6.81</v>
      </c>
      <c r="L9" s="71">
        <v>18.21</v>
      </c>
      <c r="M9" s="71">
        <v>4740</v>
      </c>
      <c r="N9" s="71">
        <v>2344</v>
      </c>
      <c r="O9" s="71">
        <v>3703</v>
      </c>
      <c r="P9" s="71">
        <v>3126</v>
      </c>
      <c r="Q9" s="71">
        <v>4237</v>
      </c>
      <c r="R9" s="71">
        <v>2436</v>
      </c>
      <c r="S9" s="71">
        <v>0</v>
      </c>
      <c r="T9" s="71">
        <v>0</v>
      </c>
      <c r="U9" s="71">
        <v>0</v>
      </c>
      <c r="V9" s="71">
        <v>0</v>
      </c>
      <c r="W9" s="71">
        <v>0</v>
      </c>
      <c r="X9" s="71">
        <v>1713</v>
      </c>
      <c r="Y9" s="71">
        <v>4688</v>
      </c>
      <c r="Z9" s="71">
        <v>3416</v>
      </c>
      <c r="AA9" s="71">
        <v>555</v>
      </c>
      <c r="AB9" s="71">
        <v>2238</v>
      </c>
      <c r="AC9" s="71">
        <v>3026</v>
      </c>
      <c r="AD9" s="71">
        <v>4429</v>
      </c>
      <c r="AE9" s="71">
        <v>2024</v>
      </c>
    </row>
    <row r="10" spans="1:99" s="72" customFormat="1" ht="22.4" ph="1">
      <c r="B10" s="237" ph="1"/>
      <c r="C10" s="146" t="s" ph="1">
        <v>179</v>
      </c>
      <c r="D10" s="73" ph="1">
        <f>D9*33.183*LOOKUP(D11,密度!$A$2:$A$50,密度!$Q$2:$Q$50)</f>
        <v>149614.81289333999</v>
      </c>
      <c r="E10" s="73" ph="1">
        <f>E9*51.53*LOOKUP(E11,密度!$A$2:$A$50,密度!$B$2:$B$50)</f>
        <v>325359.41001200001</v>
      </c>
      <c r="F10" s="73" ph="1">
        <f>F9*33.183*LOOKUP(F11,密度!$A$2:$A$50,密度!$C$2:$C$50)</f>
        <v>250927.32409199997</v>
      </c>
      <c r="G10" s="73" ph="1">
        <f xml:space="preserve"> (G9+2)*51.53*LOOKUP(G11,密度!$A$2:$A$50,密度!$B$2:$B$50)</f>
        <v>110555.51257599999</v>
      </c>
      <c r="H10" s="73" ph="1">
        <f>(H9)*51.53*LOOKUP(H11,密度!$A$2:$A$50,密度!$B$2:$B$50)</f>
        <v>101940.98997900001</v>
      </c>
      <c r="I10" s="73" ph="1">
        <f>I9*290.8*1.0267</f>
        <v>15379.050183599998</v>
      </c>
      <c r="J10" s="73" ph="1">
        <f>J9*290.8*0.7892</f>
        <v>1792.3900016000002</v>
      </c>
      <c r="K10" s="73" ph="1">
        <f>K9*290.8*1.1126</f>
        <v>2203.3351848000002</v>
      </c>
      <c r="L10" s="73" ph="1">
        <f>L9*290.8*0.777</f>
        <v>4114.5786360000011</v>
      </c>
      <c r="M10" s="73" ph="1">
        <f>M9*33.183*LOOKUP(M11,密度!$A$2:$A$50,密度!$D$2:$D$50)</f>
        <v>161486.994114</v>
      </c>
      <c r="N10" s="73" ph="1">
        <f>N9*33.183*LOOKUP(N11,密度!$A$2:$A$50,密度!$E$2:$E$50)</f>
        <v>60918.041606400002</v>
      </c>
      <c r="O10" s="73" ph="1">
        <f>O9*20.428*LOOKUP(O11,密度!$A$2:$A$50,密度!$C$2:$C$50)</f>
        <v>83655.677215600008</v>
      </c>
      <c r="P10" s="73" ph="1">
        <f>P9*51.53*LOOKUP(P11,密度!$A$2:$A$50,密度!$B$2:$B$50)</f>
        <v>125870.084292</v>
      </c>
      <c r="Q10" s="73" ph="1">
        <f>Q9*1.5*1.5*3.1416*LOOKUP(W11,密度!$A$2:$A$50,密度!$L$2:$L$50)</f>
        <v>28092.779391599997</v>
      </c>
      <c r="R10" s="73" ph="1">
        <f>R9*1.5*1.5*3.1416*LOOKUP(R11,密度!$A$2:$A$50,密度!$L$2:$L$50)</f>
        <v>16082.648366400001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11466.7606746</v>
      </c>
      <c r="Y10" s="73" ph="1">
        <f>Y9*1.5*1.5*3.1416*LOOKUP(Y11,密度!$A$2:$A$50,密度!$L$2:$L$50)</f>
        <v>31116.203395199998</v>
      </c>
      <c r="Z10" s="73" ph="1">
        <f>Z9*33.183*LOOKUP(Z11,密度!$A$2:$A$50,密度!$L$2:$L$50)</f>
        <v>107232.05908799999</v>
      </c>
      <c r="AA10" s="73" ph="1">
        <f>AA9*33.183*LOOKUP(AA11,密度!$A$2:$A$50,密度!$D$2:$D$50)</f>
        <v>18978.270232499999</v>
      </c>
      <c r="AB10" s="73" ph="1">
        <f>AB9*20.428*LOOKUP(AB11,密度!$A$2:$A$50,密度!$D$2:$D$50)</f>
        <v>47066.540988000008</v>
      </c>
      <c r="AC10" s="73" ph="1">
        <f>AC9*51.53*LOOKUP(AC11,密度!$A$2:$A$50,密度!$Q$2:$Q$50)</f>
        <v>147624.9599172</v>
      </c>
      <c r="AD10" s="73" ph="1">
        <f>AD9*20.428*LOOKUP(AD11,密度!$A$2:$A$50,密度!$V$2:$V$50)</f>
        <v>86928.968009600008</v>
      </c>
      <c r="AE10" s="73" ph="1">
        <f>AE9*20.428</f>
        <v>41346.272000000004</v>
      </c>
    </row>
    <row r="11" spans="1:99" ph="1">
      <c r="A11" s="64" t="s" ph="1">
        <v>163</v>
      </c>
      <c r="B11" s="237" ph="1"/>
      <c r="C11" s="146" t="s" ph="1">
        <v>180</v>
      </c>
      <c r="D11" s="74">
        <v>26</v>
      </c>
      <c r="E11" s="74">
        <v>25</v>
      </c>
      <c r="F11" s="74">
        <v>24</v>
      </c>
      <c r="G11" s="74">
        <v>25</v>
      </c>
      <c r="H11" s="74">
        <v>20</v>
      </c>
      <c r="I11" s="74">
        <v>25</v>
      </c>
      <c r="J11" s="74">
        <v>25</v>
      </c>
      <c r="K11" s="74">
        <v>25</v>
      </c>
      <c r="L11" s="74">
        <v>25</v>
      </c>
      <c r="M11" s="74">
        <v>25</v>
      </c>
      <c r="N11" s="74">
        <v>25</v>
      </c>
      <c r="O11" s="74">
        <v>29</v>
      </c>
      <c r="P11" s="74">
        <v>23</v>
      </c>
      <c r="Q11" s="74">
        <v>23</v>
      </c>
      <c r="R11" s="74">
        <v>28</v>
      </c>
      <c r="S11" s="74">
        <v>23</v>
      </c>
      <c r="T11" s="74">
        <v>20</v>
      </c>
      <c r="U11" s="74">
        <v>23</v>
      </c>
      <c r="V11" s="74">
        <v>25</v>
      </c>
      <c r="W11" s="74">
        <v>24</v>
      </c>
      <c r="X11" s="74">
        <v>15</v>
      </c>
      <c r="Y11" s="74">
        <v>23</v>
      </c>
      <c r="Z11" s="74">
        <v>16</v>
      </c>
      <c r="AA11" s="74">
        <v>21</v>
      </c>
      <c r="AB11" s="74">
        <v>22</v>
      </c>
      <c r="AC11" s="74">
        <v>25</v>
      </c>
      <c r="AD11" s="74">
        <v>25</v>
      </c>
      <c r="AE11" s="74">
        <v>25</v>
      </c>
    </row>
    <row r="12" spans="1:99" ht="9.85" customHeight="1" ph="1"/>
    <row r="13" spans="1:99" s="72" customFormat="1" ht="29.2" customHeight="1" ph="1">
      <c r="B13" s="214" t="s" ph="1">
        <v>37</v>
      </c>
      <c r="C13" s="146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.2" ph="1">
      <c r="B14" s="215" ph="1"/>
      <c r="C14" s="67" t="s" ph="1">
        <v>36</v>
      </c>
      <c r="D14" s="77" t="s" ph="1">
        <v>622</v>
      </c>
      <c r="E14" s="77" t="s" ph="1">
        <v>622</v>
      </c>
      <c r="F14" s="77" t="s" ph="1">
        <v>645</v>
      </c>
      <c r="G14" s="77" t="s" ph="1">
        <v>623</v>
      </c>
      <c r="H14" s="77" t="s" ph="1">
        <v>624</v>
      </c>
      <c r="I14" s="140" t="s" ph="1">
        <v>625</v>
      </c>
      <c r="J14" s="77" t="s" ph="1">
        <v>626</v>
      </c>
      <c r="K14" s="77" t="s" ph="1">
        <v>187</v>
      </c>
      <c r="L14" s="77" t="s" ph="1">
        <v>41</v>
      </c>
      <c r="M14" s="104" t="s" ph="1">
        <v>627</v>
      </c>
      <c r="N14" s="104" t="s" ph="1">
        <v>628</v>
      </c>
      <c r="O14" s="104" t="s" ph="1">
        <v>626</v>
      </c>
      <c r="P14" s="77" t="s" ph="1">
        <v>629</v>
      </c>
      <c r="Q14" s="77" t="s" ph="1">
        <v>629</v>
      </c>
      <c r="R14" s="88" t="s" ph="1">
        <v>640</v>
      </c>
      <c r="S14" s="77" t="s" ph="1">
        <v>71</v>
      </c>
      <c r="T14" s="77" t="s" ph="1">
        <v>631</v>
      </c>
      <c r="U14" s="77" t="s" ph="1">
        <v>610</v>
      </c>
      <c r="V14" s="77" t="s" ph="1">
        <v>110</v>
      </c>
      <c r="W14" s="77" t="s" ph="1">
        <v>629</v>
      </c>
      <c r="X14" s="77" t="s" ph="1">
        <v>632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16" ph="1">
        <v>0.33333333333333331</v>
      </c>
      <c r="C15" s="146" t="s" ph="1">
        <v>178</v>
      </c>
      <c r="D15" s="78">
        <v>0</v>
      </c>
      <c r="E15" s="78">
        <v>4041</v>
      </c>
      <c r="F15" s="78">
        <v>2225</v>
      </c>
      <c r="G15" s="78">
        <v>1419</v>
      </c>
      <c r="H15" s="78">
        <v>0</v>
      </c>
      <c r="I15" s="78">
        <v>5262</v>
      </c>
      <c r="J15" s="78">
        <v>1766</v>
      </c>
      <c r="K15" s="78">
        <v>2577</v>
      </c>
      <c r="L15" s="78">
        <v>4766</v>
      </c>
      <c r="M15" s="78">
        <v>6089</v>
      </c>
      <c r="N15" s="78">
        <v>27</v>
      </c>
      <c r="O15" s="78">
        <v>6114</v>
      </c>
      <c r="P15" s="78">
        <v>3864</v>
      </c>
      <c r="Q15" s="78">
        <v>5215</v>
      </c>
      <c r="R15" s="78">
        <v>161</v>
      </c>
      <c r="S15" s="78">
        <v>0</v>
      </c>
      <c r="T15" s="78">
        <v>3214</v>
      </c>
      <c r="U15" s="78">
        <v>6819</v>
      </c>
      <c r="V15" s="78">
        <v>-139</v>
      </c>
      <c r="W15" s="71">
        <v>-27</v>
      </c>
      <c r="X15" s="78">
        <v>-87</v>
      </c>
      <c r="Y15" s="106">
        <v>-9905</v>
      </c>
      <c r="Z15" s="78">
        <v>0</v>
      </c>
      <c r="AA15" s="78">
        <v>0</v>
      </c>
      <c r="AB15" s="78" ph="1">
        <v>15</v>
      </c>
      <c r="AC15" s="78" ph="1">
        <v>0</v>
      </c>
      <c r="AD15" s="78">
        <v>10.77</v>
      </c>
      <c r="AE15" s="78">
        <v>84.56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4" ph="1">
      <c r="B16" s="217" ph="1"/>
      <c r="C16" s="146" t="s" ph="1">
        <v>179</v>
      </c>
      <c r="D16" s="73" ph="1">
        <f>D15*7.0686*LOOKUP(D17,密度!$A$2:$A$50,密度!$L$2:$L$50)</f>
        <v>0</v>
      </c>
      <c r="E16" s="73" ph="1">
        <f>E15*7.0686*LOOKUP(E17,密度!$A$2:$A$50,密度!$L$2:$L$50)</f>
        <v>26793.231418799998</v>
      </c>
      <c r="F16" s="73" ph="1">
        <f>F15*9.0746*LOOKUP(F17,密度!$A$2:$A$50,密度!$L$2:$L$50)</f>
        <v>18918.952945000001</v>
      </c>
      <c r="G16" s="73" ph="1">
        <f>G15*9.0746*LOOKUP(G17,密度!$A$2:$A$50,密度!$B$2:$B$50)</f>
        <v>10038.798029040001</v>
      </c>
      <c r="H16" s="73" ph="1">
        <f>H15*9.0746*LOOKUP(H17,密度!$A$2:$A$50,密度!$L$2:$L$50)</f>
        <v>0</v>
      </c>
      <c r="I16" s="73" ph="1">
        <f>I15*9.0746*LOOKUP(I17,密度!$A$2:$A$50,密度!$U$2:$U$50)</f>
        <v>48992.059375199999</v>
      </c>
      <c r="J16" s="73" ph="1">
        <f>J15*9.0746*LOOKUP(J17,密度!$A$2:$A$50,密度!$L$2:$L$50)</f>
        <v>15000.0960096</v>
      </c>
      <c r="K16" s="73" ph="1">
        <f>K15*9.0746*LOOKUP(K17,密度!$A$2:$A$50,密度!$C$2:$C$50)</f>
        <v>25931.89729338</v>
      </c>
      <c r="L16" s="73" ph="1">
        <f>L15*9.0746*LOOKUP(L17,密度!$A$2:$A$50,密度!$E$2:$E$50)</f>
        <v>33873.042547520003</v>
      </c>
      <c r="M16" s="73" ph="1">
        <f>M15*9.0746*LOOKUP(M17,密度!$A$2:$A$50,密度!$M$2:$M$50)</f>
        <v>48298.604759540001</v>
      </c>
      <c r="N16" s="73" ph="1">
        <f>N15*9.0746*LOOKUP(N17,密度!$A$2:$A$50,密度!$M$2:$M$50)</f>
        <v>214.60793778000001</v>
      </c>
      <c r="O16" s="73" ph="1">
        <f>O15*9.0746*LOOKUP(O17,密度!$A$2:$A$50,密度!$G$2:$G$50)</f>
        <v>53273.91664488001</v>
      </c>
      <c r="P16" s="73" ph="1">
        <f ca="1">P15*9.0746*LOOKUP(P17,密度!$A$2:$A$51,密度!$Q$2:$Q$50)</f>
        <v>33196.732210656002</v>
      </c>
      <c r="Q16" s="73" ph="1">
        <f>Q15*9.0746*LOOKUP(Q17,密度!$A$2:$A$50,密度!$Q$2:$Q$50)</f>
        <v>44838.107231330003</v>
      </c>
      <c r="R16" s="73" ph="1">
        <f>MAX(R15*9.0746*LOOKUP(R17,密度!$A$2:$A$50,密度!$B$2:$B$50),0)</f>
        <v>1139.0038637600001</v>
      </c>
      <c r="S16" s="73" ph="1">
        <f>S15*9.0746*LOOKUP(S17,密度!$A$2:$A$50,密度!$Q$2:$Q$50)</f>
        <v>0</v>
      </c>
      <c r="T16" s="73" ph="1">
        <f>T15*9.0746*LOOKUP(T17,密度!$A$2:$A$50,密度!$O$2:$O$50)</f>
        <v>27007.497834400001</v>
      </c>
      <c r="U16" s="73" ph="1">
        <f>U15*9.0746*LOOKUP(U17,密度!$A$2:$A$50,密度!$H$2:$H$50)</f>
        <v>56551.855453860007</v>
      </c>
      <c r="V16" s="73" ph="1">
        <f>MAX(5600*LOOKUP(V17,密度!$A$2:$A$50,密度!$Q$2:$Q$50)+V15*9.0476*LOOKUP(V17,密度!$A$2:$A$50,密度!$Q$2:$Q$50),0)</f>
        <v>4104.9420647520001</v>
      </c>
      <c r="W16" s="73" ph="1">
        <f>MAX(5600*LOOKUP(W17,密度!$A$2:$A$50,密度!$Q$2:$Q$50)+W15*9.0476*LOOKUP(W17,密度!$A$2:$A$50,密度!$Q$2:$Q$50),0)</f>
        <v>5059.1153143760002</v>
      </c>
      <c r="X16" s="73" ph="1">
        <f>MAX(5600*LOOKUP(X17,密度!$A$2:$A$50,密度!$I$2:$I$50)+X15*9.0476*LOOKUP(X17,密度!$A$2:$A$50,密度!$I$2:$I$50),0)</f>
        <v>5005.3731520000001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0</v>
      </c>
      <c r="AB16" s="73" ph="1">
        <f>AB15*9.0746*LOOKUP(AB17,密度!$A$2:$A$50,密度!$L$2:$L$50)</f>
        <v>127.543503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3476.7693345599996</v>
      </c>
      <c r="AE16" s="73" ph="1">
        <f>AE15*268.68*LOOKUP(AE17,密度!$A$2:$A$50,密度!B2:B50)+IF(AE15&lt;=0,0,1566*LOOKUP(AE17,密度!$A$2:$A$50,密度!B2:B50))</f>
        <v>18933.038791679999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18" ph="1"/>
      <c r="C17" s="79" t="s" ph="1">
        <v>180</v>
      </c>
      <c r="D17" s="74">
        <v>24</v>
      </c>
      <c r="E17" s="74">
        <v>24</v>
      </c>
      <c r="F17" s="74">
        <v>25</v>
      </c>
      <c r="G17" s="74">
        <v>25</v>
      </c>
      <c r="H17" s="74">
        <v>21</v>
      </c>
      <c r="I17" s="74">
        <v>24</v>
      </c>
      <c r="J17" s="74">
        <v>26</v>
      </c>
      <c r="K17" s="74">
        <v>25</v>
      </c>
      <c r="L17" s="74">
        <v>25</v>
      </c>
      <c r="M17" s="74">
        <v>26</v>
      </c>
      <c r="N17" s="74">
        <v>24</v>
      </c>
      <c r="O17" s="74">
        <v>25</v>
      </c>
      <c r="P17" s="74">
        <v>25</v>
      </c>
      <c r="Q17" s="74">
        <v>24</v>
      </c>
      <c r="R17" s="74">
        <v>25</v>
      </c>
      <c r="S17" s="74">
        <v>25</v>
      </c>
      <c r="T17" s="74">
        <v>25</v>
      </c>
      <c r="U17" s="74">
        <v>26</v>
      </c>
      <c r="V17" s="74">
        <v>27</v>
      </c>
      <c r="W17" s="74">
        <v>28</v>
      </c>
      <c r="X17" s="74">
        <v>27</v>
      </c>
      <c r="Y17" s="108">
        <v>27</v>
      </c>
      <c r="Z17" s="74">
        <v>25</v>
      </c>
      <c r="AA17" s="74">
        <v>24</v>
      </c>
      <c r="AB17" s="74">
        <v>25</v>
      </c>
      <c r="AC17" s="74">
        <v>24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65" ph="1">
      <c r="B18" s="216" ph="1">
        <v>0.66666666666666663</v>
      </c>
      <c r="C18" s="79" t="s" ph="1">
        <v>181</v>
      </c>
      <c r="D18" s="71">
        <v>0</v>
      </c>
      <c r="E18" s="71">
        <v>5264</v>
      </c>
      <c r="F18" s="71">
        <v>2234</v>
      </c>
      <c r="G18" s="71">
        <v>1465</v>
      </c>
      <c r="H18" s="71">
        <v>0</v>
      </c>
      <c r="I18" s="71">
        <v>5257</v>
      </c>
      <c r="J18" s="71">
        <v>1808</v>
      </c>
      <c r="K18" s="71">
        <v>2575</v>
      </c>
      <c r="L18" s="71">
        <v>4758</v>
      </c>
      <c r="M18" s="71">
        <v>6514</v>
      </c>
      <c r="N18" s="71">
        <v>489</v>
      </c>
      <c r="O18" s="71">
        <v>6106</v>
      </c>
      <c r="P18" s="71">
        <v>2096</v>
      </c>
      <c r="Q18" s="71">
        <v>5209</v>
      </c>
      <c r="R18" s="71">
        <v>160</v>
      </c>
      <c r="S18" s="71">
        <v>0</v>
      </c>
      <c r="T18" s="71">
        <v>3211</v>
      </c>
      <c r="U18" s="71">
        <v>6812</v>
      </c>
      <c r="V18" s="71">
        <v>-140</v>
      </c>
      <c r="W18" s="71">
        <v>-27</v>
      </c>
      <c r="X18" s="71">
        <v>-87</v>
      </c>
      <c r="Y18" s="109">
        <v>-9905</v>
      </c>
      <c r="Z18" s="71">
        <v>0</v>
      </c>
      <c r="AA18" s="71">
        <v>0</v>
      </c>
      <c r="AB18" s="71">
        <v>0</v>
      </c>
      <c r="AC18" s="71">
        <v>0</v>
      </c>
      <c r="AD18" s="71">
        <v>46.81</v>
      </c>
      <c r="AE18" s="71">
        <v>55.31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4" ph="1">
      <c r="B19" s="217" ph="1"/>
      <c r="C19" s="146" t="s" ph="1">
        <v>179</v>
      </c>
      <c r="D19" s="73" ph="1">
        <f>D18*7.0686*LOOKUP(D20,密度!$A$2:$A$50,密度!$L$2:$L$50)</f>
        <v>0</v>
      </c>
      <c r="E19" s="73" ph="1">
        <f>E18*7.0686*LOOKUP(E20,密度!$A$2:$A$50,密度!$L$2:$L$50)</f>
        <v>34939.354665599996</v>
      </c>
      <c r="F19" s="73" ph="1">
        <f>F18*9.0746*LOOKUP(F20,密度!$A$2:$A$50,密度!$L$2:$L$50)</f>
        <v>19076.569672399997</v>
      </c>
      <c r="G19" s="73" ph="1">
        <f>G18*9.0746*LOOKUP(G20,密度!$A$2:$A$50,密度!$B$2:$B$50)</f>
        <v>10412.0871448</v>
      </c>
      <c r="H19" s="73" ph="1">
        <f>H18*9.0746*LOOKUP(H20,密度!$A$2:$A$50,密度!$L$2:$L$50)</f>
        <v>0</v>
      </c>
      <c r="I19" s="73" ph="1">
        <f>I18*9.0746*LOOKUP(I20,密度!$A$2:$A$50,密度!$U$2:$U$50)</f>
        <v>48993.211849399995</v>
      </c>
      <c r="J19" s="73" ph="1">
        <f>J18*9.0746*LOOKUP(J20,密度!$A$2:$A$50,密度!$L$2:$L$50)</f>
        <v>15373.243561600002</v>
      </c>
      <c r="K19" s="73" ph="1">
        <f>K18*9.0746*LOOKUP(K20,密度!$A$2:$A$50,密度!$C$2:$C$50)</f>
        <v>25946.822288000003</v>
      </c>
      <c r="L19" s="73" ph="1">
        <f>L18*9.0746*LOOKUP(L20,密度!$A$2:$A$50,密度!$E$2:$E$50)</f>
        <v>33919.809406079999</v>
      </c>
      <c r="M19" s="73" ph="1">
        <f>M18*9.0746*LOOKUP(M20,密度!$A$2:$A$50,密度!$M$2:$M$50)</f>
        <v>51728.862544440002</v>
      </c>
      <c r="N19" s="73" ph="1">
        <f>N18*9.0746*LOOKUP(N20,密度!$A$2:$A$50,密度!$M$2:$M$50)</f>
        <v>3896.1069132000002</v>
      </c>
      <c r="O19" s="73" ph="1">
        <f>O18*9.0746*LOOKUP(O20,密度!$A$2:$A$50,密度!$G$2:$G$50)</f>
        <v>53204.209197520009</v>
      </c>
      <c r="P19" s="73" ph="1">
        <f ca="1">P18*9.0746*LOOKUP(P20,密度!$A$2:$A$51,密度!$Q$2:$Q$50)</f>
        <v>18007.337141184002</v>
      </c>
      <c r="Q19" s="73" ph="1">
        <f>Q18*9.0746*LOOKUP(Q20,密度!$A$2:$A$50,密度!$Q$2:$Q$50)</f>
        <v>44752.012962036002</v>
      </c>
      <c r="R19" s="73" ph="1">
        <f>MAX(R18*9.0746*LOOKUP(R20,密度!$A$2:$A$50,密度!$B$2:$B$50),0)</f>
        <v>1131.9293056000001</v>
      </c>
      <c r="S19" s="73" ph="1">
        <f>S18*9.0746*LOOKUP(S20,密度!$A$2:$A$50,密度!$Q$2:$Q$50)</f>
        <v>0</v>
      </c>
      <c r="T19" s="73" ph="1">
        <f>T18*9.0746*LOOKUP(T20,密度!$A$2:$A$50,密度!$O$2:$O$50)</f>
        <v>26982.288595600003</v>
      </c>
      <c r="U19" s="73" ph="1">
        <f>U18*9.0746*LOOKUP(U20,密度!$A$2:$A$50,密度!$H$2:$H$50)</f>
        <v>56666.887805840001</v>
      </c>
      <c r="V19" s="73" ph="1">
        <f>MAX(5600*LOOKUP(V20,密度!$A$2:$A$50,密度!$Q$2:$Q$50)+V18*9.0476*LOOKUP(V20,密度!$A$2:$A$50,密度!$Q$2:$Q$50),0)</f>
        <v>4108.8691951999999</v>
      </c>
      <c r="W19" s="73" ph="1">
        <f>MAX(5600*LOOKUP(W20,密度!$A$2:$A$50,密度!$Q$2:$Q$50)+W18*9.0476*LOOKUP(W20,密度!$A$2:$A$50,密度!$Q$2:$Q$50),0)</f>
        <v>5083.0553595319998</v>
      </c>
      <c r="X19" s="73" ph="1">
        <f>MAX(5600*LOOKUP(X20,密度!$A$2:$A$50,密度!$I$2:$I$50)+X18*9.0476*LOOKUP(X20,密度!$A$2:$A$50,密度!$I$2:$I$50),0)</f>
        <v>5031.3625895200003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0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10989.041691600001</v>
      </c>
      <c r="AE19" s="73" ph="1">
        <f>AE18*268.68*LOOKUP(AE20,密度!$A$2:$A$50,密度!B5:B53)+IF(AE18&lt;=0,0,1566*LOOKUP(AE20,密度!$A$2:$A$50,密度!B5:B53))</f>
        <v>12763.538751599999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17" ph="1"/>
      <c r="C20" s="80" t="s" ph="1">
        <v>180</v>
      </c>
      <c r="D20" s="81">
        <v>25</v>
      </c>
      <c r="E20" s="81">
        <v>23</v>
      </c>
      <c r="F20" s="81">
        <v>21</v>
      </c>
      <c r="G20" s="81">
        <v>21</v>
      </c>
      <c r="H20" s="81">
        <v>25</v>
      </c>
      <c r="I20" s="81">
        <v>23</v>
      </c>
      <c r="J20" s="81">
        <v>25</v>
      </c>
      <c r="K20" s="81">
        <v>23</v>
      </c>
      <c r="L20" s="81">
        <v>23</v>
      </c>
      <c r="M20" s="81">
        <v>25</v>
      </c>
      <c r="N20" s="81">
        <v>22</v>
      </c>
      <c r="O20" s="81">
        <v>25</v>
      </c>
      <c r="P20" s="81">
        <v>25</v>
      </c>
      <c r="Q20" s="81">
        <v>25</v>
      </c>
      <c r="R20" s="81">
        <v>25</v>
      </c>
      <c r="S20" s="81">
        <v>25</v>
      </c>
      <c r="T20" s="81">
        <v>25</v>
      </c>
      <c r="U20" s="81">
        <v>23</v>
      </c>
      <c r="V20" s="81">
        <v>23</v>
      </c>
      <c r="W20" s="81">
        <v>22</v>
      </c>
      <c r="X20" s="81">
        <v>22</v>
      </c>
      <c r="Y20" s="110">
        <v>26</v>
      </c>
      <c r="Z20" s="81">
        <v>26</v>
      </c>
      <c r="AA20" s="81">
        <v>24</v>
      </c>
      <c r="AB20" s="81">
        <v>23</v>
      </c>
      <c r="AC20" s="81">
        <v>23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15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633</v>
      </c>
      <c r="H23" s="88" t="s" ph="1">
        <v>633</v>
      </c>
      <c r="I23" s="88" t="s" ph="1">
        <v>634</v>
      </c>
      <c r="J23" s="88" t="s" ph="1">
        <v>635</v>
      </c>
      <c r="K23" s="88" t="s" ph="1">
        <v>635</v>
      </c>
      <c r="L23" s="88" t="s" ph="1">
        <v>635</v>
      </c>
      <c r="M23" s="88" t="s" ph="1">
        <v>630</v>
      </c>
      <c r="N23" s="88" t="s" ph="1">
        <v>630</v>
      </c>
      <c r="O23" s="88" t="s" ph="1">
        <v>321</v>
      </c>
      <c r="P23" s="88" t="s" ph="1">
        <v>637</v>
      </c>
      <c r="Q23" s="89" t="s" ph="1">
        <v>637</v>
      </c>
      <c r="R23" s="88" t="s" ph="1">
        <v>616</v>
      </c>
      <c r="S23" s="88" t="s" ph="1">
        <v>636</v>
      </c>
      <c r="T23" s="88" t="s" ph="1">
        <v>607</v>
      </c>
      <c r="U23" s="88" t="s" ph="1">
        <v>611</v>
      </c>
      <c r="V23" s="88" t="s" ph="1">
        <v>637</v>
      </c>
      <c r="W23" s="88" t="s" ph="1">
        <v>637</v>
      </c>
      <c r="X23" s="88" t="s" ph="1">
        <v>190</v>
      </c>
      <c r="Y23" s="88" t="s" ph="1">
        <v>638</v>
      </c>
      <c r="Z23" s="228" t="s" ph="1">
        <v>648</v>
      </c>
      <c r="AA23" s="229"/>
      <c r="AB23" s="229"/>
      <c r="AC23" s="229"/>
      <c r="AD23" s="229"/>
      <c r="AE23" s="230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37" ph="1">
        <v>0.33333333333333331</v>
      </c>
      <c r="C24" s="146" t="s" ph="1">
        <v>178</v>
      </c>
      <c r="D24" s="71">
        <v>85.56</v>
      </c>
      <c r="E24" s="71">
        <v>4.46</v>
      </c>
      <c r="F24" s="71">
        <v>3838</v>
      </c>
      <c r="G24" s="71">
        <v>2655</v>
      </c>
      <c r="H24" s="71">
        <v>1587</v>
      </c>
      <c r="I24" s="71">
        <v>4399</v>
      </c>
      <c r="J24" s="71">
        <v>4000</v>
      </c>
      <c r="K24" s="71">
        <v>5500</v>
      </c>
      <c r="L24" s="71">
        <v>5600</v>
      </c>
      <c r="M24" s="71">
        <v>5424</v>
      </c>
      <c r="N24" s="71">
        <v>3607</v>
      </c>
      <c r="O24" s="71">
        <v>5158</v>
      </c>
      <c r="P24" s="71">
        <v>362</v>
      </c>
      <c r="Q24" s="90">
        <v>4202</v>
      </c>
      <c r="R24" s="71">
        <v>70</v>
      </c>
      <c r="S24" s="71">
        <v>1493</v>
      </c>
      <c r="T24" s="71">
        <v>1761</v>
      </c>
      <c r="U24" s="71">
        <v>6467</v>
      </c>
      <c r="V24" s="71">
        <v>9571</v>
      </c>
      <c r="W24" s="71">
        <v>10741</v>
      </c>
      <c r="X24" s="71">
        <v>4088</v>
      </c>
      <c r="Y24" s="71">
        <v>5564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37" ph="1"/>
      <c r="C25" s="68" t="s" ph="1">
        <v>179</v>
      </c>
      <c r="D25" s="91" ph="1">
        <f>D24*268.68*LOOKUP(D26,密度!$A$2:$A$50,密度!$Q$2:$Q$50)+IF(D24&lt;=0,0,1566*LOOKUP(D26,密度!$A$2:$A$50,密度!$Q$2:$Q$50))</f>
        <v>23246.500869792002</v>
      </c>
      <c r="E25" s="91" ph="1">
        <f>E24*268.68*LOOKUP(E26,密度!$A$2:$A$50,密度!$C$2:$C$50)+IF(E24&lt;=0,0,1566*LOOKUP(E26,密度!$A$2:$A$50,密度!$C$2:$C$50))</f>
        <v>3065.3464639200001</v>
      </c>
      <c r="F25" s="91" ph="1">
        <f>F24*11.702*LOOKUP(F26,密度!$A$2:$A$50,密度!$Q$2:$Q$50)</f>
        <v>42520.24818024</v>
      </c>
      <c r="G25" s="91" ph="1">
        <f>G24*18.322*LOOKUP(G26,密度!$A$2:$A$50,密度!$B$2:$B$50)</f>
        <v>37879.791416999993</v>
      </c>
      <c r="H25" s="91" ph="1">
        <f>H24*18.322*LOOKUP(H26,密度!$A$2:$A$50,密度!$B$2:$B$50)</f>
        <v>22642.270801799998</v>
      </c>
      <c r="I25" s="91" ph="1">
        <f>I24*18.322*LOOKUP(I26,密度!$A$2:$A$50,密度!$Q$2:$Q$50)</f>
        <v>76305.803061719998</v>
      </c>
      <c r="J25" s="91" ph="1">
        <f>J24*18.322*LOOKUP(J26,密度!$A$2:$A$50,密度!$Q$2:$Q$50)</f>
        <v>69384.681120000008</v>
      </c>
      <c r="K25" s="91" ph="1">
        <f>K24*18.322*LOOKUP(K26,密度!$A$2:$A$50,密度!$Q$2:$Q$50)</f>
        <v>95403.93654000001</v>
      </c>
      <c r="L25" s="91" ph="1">
        <f>L24*18.322*LOOKUP(L26,密度!$A$2:$A$50,密度!$Q$2:$Q$50)</f>
        <v>97065.705296</v>
      </c>
      <c r="M25" s="91" ph="1">
        <f>M24*18.322*LOOKUP(M26,密度!$A$2:$A$50,密度!$Q$2:$Q$50)</f>
        <v>94085.627598719992</v>
      </c>
      <c r="N25" s="91" ph="1">
        <f>N24*18.322*LOOKUP(N26,密度!$A$2:$A$50,密度!$Q$2:$Q$50)</f>
        <v>62567.636199959998</v>
      </c>
      <c r="O25" s="91" ph="1">
        <f>O24*18.322*LOOKUP(O26,密度!$A$2:$A$50,密度!$C$2:$C$50)</f>
        <v>104796.45699639998</v>
      </c>
      <c r="P25" s="91" ph="1">
        <f>P24*11.702*LOOKUP(P26,密度!$A$2:$A$50,密度!$B$2:$B$50)</f>
        <v>3298.6697587999997</v>
      </c>
      <c r="Q25" s="92" ph="1">
        <f>Q24*18.322*LOOKUP(Q26,密度!$A$2:$A$50,密度!$B$2:$B$50)</f>
        <v>59951.368562799995</v>
      </c>
      <c r="R25" s="91" ph="1">
        <f>R24*35.891*LOOKUP(R26,密度!$A$2:$A$50,密度!$C$2:$C$50)</f>
        <v>2785.9670929999997</v>
      </c>
      <c r="S25" s="91" ph="1">
        <f>S24*35.891*LOOKUP(S26,密度!$A$2:$A$50,密度!$B$2:$B$50)</f>
        <v>41775.071034799999</v>
      </c>
      <c r="T25" s="91" ph="1">
        <f>T24*35.891*LOOKUP(T26,密度!$A$2:$A$50,密度!$Q$2:$Q$50)</f>
        <v>59792.928367530003</v>
      </c>
      <c r="U25" s="91" ph="1">
        <f>U24*35.891</f>
        <v>232107.09699999998</v>
      </c>
      <c r="V25" s="91" ph="1">
        <f>V24*47.051*LOOKUP(V26,密度!$A$2:$A$50,密度!$B$2:$B$50)</f>
        <v>351073.4643316</v>
      </c>
      <c r="W25" s="91" ph="1">
        <f>W24*47.051*LOOKUP(W26,密度!$A$2:$A$50,密度!$B$2:$B$50)</f>
        <v>393535.34975170001</v>
      </c>
      <c r="X25" s="91" ph="1">
        <f>X24*47.051*LOOKUP(X26,密度!$A$2:$A$50,密度!$I$2:$I$50)</f>
        <v>200230.612008</v>
      </c>
      <c r="Y25" s="91" ph="1">
        <f>Y24*47.051*LOOKUP(Y26,密度!$A$2:$A$50,密度!$L$2:$L$50)</f>
        <v>244513.50757600003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37" ph="1"/>
      <c r="C26" s="68" t="s" ph="1">
        <v>180</v>
      </c>
      <c r="D26" s="74">
        <v>25</v>
      </c>
      <c r="E26" s="74">
        <v>25</v>
      </c>
      <c r="F26" s="74">
        <v>25</v>
      </c>
      <c r="G26" s="74">
        <v>26</v>
      </c>
      <c r="H26" s="74">
        <v>26</v>
      </c>
      <c r="I26" s="74">
        <v>25</v>
      </c>
      <c r="J26" s="74">
        <v>25</v>
      </c>
      <c r="K26" s="74">
        <v>25</v>
      </c>
      <c r="L26" s="74">
        <v>26</v>
      </c>
      <c r="M26" s="74">
        <v>25</v>
      </c>
      <c r="N26" s="74">
        <v>25</v>
      </c>
      <c r="O26" s="74">
        <v>25</v>
      </c>
      <c r="P26" s="74">
        <v>26</v>
      </c>
      <c r="Q26" s="93">
        <v>26</v>
      </c>
      <c r="R26" s="74">
        <v>25</v>
      </c>
      <c r="S26" s="74">
        <v>25</v>
      </c>
      <c r="T26" s="74">
        <v>26</v>
      </c>
      <c r="U26" s="74">
        <v>25</v>
      </c>
      <c r="V26" s="74">
        <v>25</v>
      </c>
      <c r="W26" s="74">
        <v>26</v>
      </c>
      <c r="X26" s="74">
        <v>26</v>
      </c>
      <c r="Y26" s="74">
        <v>28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65" ph="1">
      <c r="A27" s="72" ph="1"/>
      <c r="B27" s="237" ph="1">
        <v>0.66666666666666663</v>
      </c>
      <c r="C27" s="146" t="s" ph="1">
        <v>181</v>
      </c>
      <c r="D27" s="71">
        <v>85.41</v>
      </c>
      <c r="E27" s="71">
        <v>4.41</v>
      </c>
      <c r="F27" s="71">
        <v>3833</v>
      </c>
      <c r="G27" s="71">
        <v>1999</v>
      </c>
      <c r="H27" s="71">
        <v>942</v>
      </c>
      <c r="I27" s="71">
        <v>4395</v>
      </c>
      <c r="J27" s="71">
        <v>3405</v>
      </c>
      <c r="K27" s="71">
        <v>5496</v>
      </c>
      <c r="L27" s="71">
        <v>5595</v>
      </c>
      <c r="M27" s="71">
        <v>5419</v>
      </c>
      <c r="N27" s="71">
        <v>3603</v>
      </c>
      <c r="O27" s="71">
        <v>5155</v>
      </c>
      <c r="P27" s="71">
        <v>363</v>
      </c>
      <c r="Q27" s="90">
        <v>3902</v>
      </c>
      <c r="R27" s="71">
        <v>70</v>
      </c>
      <c r="S27" s="71">
        <v>2750</v>
      </c>
      <c r="T27" s="71">
        <v>1760</v>
      </c>
      <c r="U27" s="71">
        <v>6303</v>
      </c>
      <c r="V27" s="71">
        <v>9562</v>
      </c>
      <c r="W27" s="71">
        <v>10731</v>
      </c>
      <c r="X27" s="71">
        <v>4210</v>
      </c>
      <c r="Y27" s="71">
        <v>6253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37" ph="1"/>
      <c r="C28" s="146" t="s" ph="1">
        <v>179</v>
      </c>
      <c r="D28" s="91" ph="1">
        <f>D27*268.68*LOOKUP(D29,密度!$A$2:$A$50,密度!$Q$2:$Q$50)+IF(D27&lt;=0,0,1566*LOOKUP(D29,密度!$A$2:$A$50,密度!$Q$2:$Q$50))</f>
        <v>23208.345354312001</v>
      </c>
      <c r="E28" s="91" ph="1">
        <f>E27*268.68*LOOKUP(E29,密度!$A$2:$A$50,密度!$C$2:$C$50)+IF(E27&lt;=0,0,1566*LOOKUP(E29,密度!$A$2:$A$50,密度!$C$2:$C$50))</f>
        <v>3050.4495013199999</v>
      </c>
      <c r="F28" s="91" ph="1">
        <f>F27*11.702*LOOKUP(F29,密度!$A$2:$A$50,密度!$Q$2:$Q$50)</f>
        <v>42530.340921200004</v>
      </c>
      <c r="G28" s="91" ph="1">
        <f>G27*18.322*LOOKUP(G29,密度!$A$2:$A$50,密度!$B$2:$B$50)</f>
        <v>28619.3047892</v>
      </c>
      <c r="H28" s="91" ph="1">
        <f>H27*18.322*LOOKUP(H29,密度!$A$2:$A$50,密度!$B$2:$B$50)</f>
        <v>13486.4357736</v>
      </c>
      <c r="I28" s="91" ph="1">
        <f>I27*18.322*LOOKUP(I29,密度!$A$2:$A$50,密度!$Q$2:$Q$50)</f>
        <v>76295.201769300009</v>
      </c>
      <c r="J28" s="91" ph="1">
        <f>J27*18.322*LOOKUP(J29,密度!$A$2:$A$50,密度!$Q$2:$Q$50)</f>
        <v>59154.793961999996</v>
      </c>
      <c r="K28" s="91" ph="1">
        <f>K27*18.322*LOOKUP(K29,密度!$A$2:$A$50,密度!$Q$2:$Q$50)</f>
        <v>95408.06118864</v>
      </c>
      <c r="L28" s="91" ph="1">
        <f>L27*18.322*LOOKUP(L29,密度!$A$2:$A$50,密度!$Q$2:$Q$50)</f>
        <v>97126.656177299999</v>
      </c>
      <c r="M28" s="91" ph="1">
        <f>M27*18.322*LOOKUP(M29,密度!$A$2:$A$50,密度!$Q$2:$Q$50)</f>
        <v>94143.855647599994</v>
      </c>
      <c r="N28" s="91" ph="1">
        <f>N27*18.322*LOOKUP(N29,密度!$A$2:$A$50,密度!$Q$2:$Q$50)</f>
        <v>62498.251518839999</v>
      </c>
      <c r="O28" s="91" ph="1">
        <f>O27*18.322*LOOKUP(O29,密度!$A$2:$A$50,密度!$C$2:$C$50)</f>
        <v>104877.18006399999</v>
      </c>
      <c r="P28" s="91" ph="1">
        <f>P27*11.702*LOOKUP(P29,密度!$A$2:$A$50,密度!$B$2:$B$50)</f>
        <v>3311.6051496</v>
      </c>
      <c r="Q28" s="92" ph="1">
        <f>Q27*18.322*LOOKUP(Q29,密度!$A$2:$A$50,密度!$B$2:$B$50)</f>
        <v>55735.509342400001</v>
      </c>
      <c r="R28" s="91" ph="1">
        <f>R27*35.891*LOOKUP(R29,密度!$A$2:$A$50,密度!$C$2:$C$50)</f>
        <v>2787.7257519999998</v>
      </c>
      <c r="S28" s="91" ph="1">
        <f>S27*35.891*LOOKUP(S29,密度!$A$2:$A$50,密度!$B$2:$B$50)</f>
        <v>77124.375350000002</v>
      </c>
      <c r="T28" s="91" ph="1">
        <f>T27*35.891*LOOKUP(T29,密度!$A$2:$A$50,密度!$Q$2:$Q$50)</f>
        <v>59849.936555200002</v>
      </c>
      <c r="U28" s="91" ph="1">
        <f>U27*35.891</f>
        <v>226220.973</v>
      </c>
      <c r="V28" s="91" ph="1">
        <f>V27*47.051*LOOKUP(V29,密度!$A$2:$A$50,密度!$B$2:$B$50)</f>
        <v>350338.4241994</v>
      </c>
      <c r="W28" s="91" ph="1">
        <f>W27*47.051*LOOKUP(W29,密度!$A$2:$A$50,密度!$B$2:$B$50)</f>
        <v>393168.96361470001</v>
      </c>
      <c r="X28" s="91" ph="1">
        <f>X27*47.051*LOOKUP(X29,密度!$A$2:$A$50,密度!$I$2:$I$50)</f>
        <v>205334.61038600001</v>
      </c>
      <c r="Y28" s="91" ph="1">
        <f>Y27*47.051*LOOKUP(Y29,密度!$A$2:$A$50,密度!$L$2:$L$50)</f>
        <v>274792.04940200003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37" ph="1"/>
      <c r="C29" s="146" t="s" ph="1">
        <v>180</v>
      </c>
      <c r="D29" s="74">
        <v>25</v>
      </c>
      <c r="E29" s="74">
        <v>25</v>
      </c>
      <c r="F29" s="74">
        <v>23</v>
      </c>
      <c r="G29" s="74">
        <v>23</v>
      </c>
      <c r="H29" s="74">
        <v>23</v>
      </c>
      <c r="I29" s="74">
        <v>24</v>
      </c>
      <c r="J29" s="74">
        <v>23</v>
      </c>
      <c r="K29" s="74">
        <v>24</v>
      </c>
      <c r="L29" s="74">
        <v>24</v>
      </c>
      <c r="M29" s="74">
        <v>23</v>
      </c>
      <c r="N29" s="74">
        <v>25</v>
      </c>
      <c r="O29" s="74">
        <v>23</v>
      </c>
      <c r="P29" s="74">
        <v>25</v>
      </c>
      <c r="Q29" s="93">
        <v>25</v>
      </c>
      <c r="R29" s="74">
        <v>24</v>
      </c>
      <c r="S29" s="74">
        <v>23</v>
      </c>
      <c r="T29" s="74">
        <v>24</v>
      </c>
      <c r="U29" s="74">
        <v>24</v>
      </c>
      <c r="V29" s="74">
        <v>26</v>
      </c>
      <c r="W29" s="74">
        <v>26</v>
      </c>
      <c r="X29" s="74">
        <v>30</v>
      </c>
      <c r="Y29" s="74">
        <v>28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45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46" t="s" ph="1">
        <v>5</v>
      </c>
      <c r="F32" s="145" t="s" ph="1">
        <v>43</v>
      </c>
      <c r="G32" s="97" t="s" ph="1">
        <v>4</v>
      </c>
      <c r="H32" s="146" t="s" ph="1">
        <v>5</v>
      </c>
      <c r="I32" s="145" t="s" ph="1">
        <v>43</v>
      </c>
      <c r="J32" s="97" t="s" ph="1">
        <v>4</v>
      </c>
      <c r="K32" s="146" t="s" ph="1">
        <v>5</v>
      </c>
      <c r="L32" s="145" t="s" ph="1">
        <v>43</v>
      </c>
      <c r="M32" s="97" t="s" ph="1">
        <v>4</v>
      </c>
      <c r="N32" s="146" t="s" ph="1">
        <v>5</v>
      </c>
      <c r="O32" s="14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6" t="s" ph="1">
        <v>5</v>
      </c>
      <c r="U32" s="99" t="s" ph="1">
        <v>43</v>
      </c>
      <c r="V32" s="97" t="s" ph="1">
        <v>4</v>
      </c>
      <c r="W32" s="146" t="s" ph="1">
        <v>5</v>
      </c>
      <c r="X32" s="99" t="s" ph="1">
        <v>43</v>
      </c>
      <c r="Y32" s="100" t="s" ph="1">
        <v>4</v>
      </c>
      <c r="Z32" s="146" t="s" ph="1">
        <v>5</v>
      </c>
      <c r="AA32" s="145" t="s" ph="1">
        <v>43</v>
      </c>
      <c r="AB32" s="97" t="s" ph="1">
        <v>85</v>
      </c>
      <c r="AC32" s="146" t="s" ph="1">
        <v>84</v>
      </c>
      <c r="AD32" s="204" t="s" ph="1">
        <v>83</v>
      </c>
      <c r="AE32" s="205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06" t="s" ph="1">
        <v>182</v>
      </c>
      <c r="C33" s="207" ph="1"/>
      <c r="D33" s="186" ph="1">
        <f>AA10+AB10+Z19</f>
        <v>66044.811220500007</v>
      </c>
      <c r="E33" s="186" ph="1">
        <f>M10+I10</f>
        <v>176866.04429759999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1522252632456786910111213141516171819202123456789101112131415161718192022232424356789101112131415161718192021222345678910111213141516171819202345678910111213149101516171819222123234567891012131415161711181920212224252345678910111213138[[#This Row],[F25]]</f>
        <v>3880</v>
      </c>
      <c r="G33" s="212" ph="1">
        <v>0</v>
      </c>
      <c r="H33" s="186" ph="1">
        <f>N19</f>
        <v>3896.1069132000002</v>
      </c>
      <c r="I33" s="190" ph="1">
        <v>0</v>
      </c>
      <c r="J33" s="194" ph="1">
        <f>F10+O28</f>
        <v>355804.50415599998</v>
      </c>
      <c r="K33" s="186" ph="1">
        <f>O10+K10+E28+R28</f>
        <v>91697.187653720015</v>
      </c>
      <c r="L33" s="196" ph="1">
        <f>BE27</f>
        <v>7100</v>
      </c>
      <c r="M33" s="194" ph="1">
        <f>G10+H10+W28+S28+V28+E10</f>
        <v>1358487.6757311001</v>
      </c>
      <c r="N33" s="186" ph="1">
        <f>L10+P10++G28+H28</f>
        <v>172090.4034908</v>
      </c>
      <c r="O33" s="190" ph="1">
        <f>BE17</f>
        <v>2270</v>
      </c>
      <c r="P33" s="194" ph="1">
        <f>L19</f>
        <v>33919.809406079999</v>
      </c>
      <c r="Q33" s="186" ph="1">
        <f>J10+N10</f>
        <v>62710.431607999999</v>
      </c>
      <c r="R33" s="190" ph="1">
        <f>BE23</f>
        <v>890</v>
      </c>
      <c r="S33" s="194" ph="1">
        <f>E10+X28</f>
        <v>530694.02039800002</v>
      </c>
      <c r="T33" s="186" ph="1">
        <f>X19</f>
        <v>5031.3625895200003</v>
      </c>
      <c r="U33" s="175" ph="1">
        <f>BE21</f>
        <v>730</v>
      </c>
      <c r="V33" s="188" ph="1">
        <f ca="1">P19+Q19+S19+M28+N28+J28</f>
        <v>278556.25123166002</v>
      </c>
      <c r="W33" s="188" ph="1">
        <f>D28+F28+V19+T28</f>
        <v>129697.49202591201</v>
      </c>
      <c r="X33" s="190" ph="1">
        <f>BE29+BE31</f>
        <v>10200</v>
      </c>
      <c r="Y33" s="192" ph="1">
        <f>+Q10+R10+S10+T10+U10+V10+W10+X10+Y10</f>
        <v>86758.391827799991</v>
      </c>
      <c r="Z33" s="173" ph="1">
        <f>D10+T19+U19+Y28+Z10</f>
        <v>615288.09778477997</v>
      </c>
      <c r="AA33" s="175" ph="1">
        <f>BE19</f>
        <v>1440</v>
      </c>
      <c r="AB33" s="177" ph="1">
        <f>I19</f>
        <v>48993.211849399995</v>
      </c>
      <c r="AC33" s="179" ph="1">
        <f>AD10</f>
        <v>86928.968009600008</v>
      </c>
      <c r="AD33" s="181" ph="1">
        <v>0</v>
      </c>
      <c r="AE33" s="182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85" t="s" ph="1">
        <v>639</v>
      </c>
      <c r="AD35" s="185"/>
      <c r="AE35" s="185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45" ph="1">
      <c r="A36" s="64"/>
      <c r="B36" s="103" t="s" ph="1">
        <v>183</v>
      </c>
      <c r="I36" s="171" t="s" ph="1">
        <v>184</v>
      </c>
      <c r="J36" s="171" ph="1"/>
      <c r="K36" s="101" ph="1"/>
      <c r="P36" s="101" ph="1"/>
      <c r="R36" s="171" t="s" ph="1">
        <v>185</v>
      </c>
      <c r="S36" s="171" ph="1"/>
      <c r="Y36" s="102" ph="1"/>
      <c r="Z36" s="144" t="s" ph="1">
        <v>186</v>
      </c>
      <c r="AA36" s="144" ph="1"/>
      <c r="AB36" s="172" t="s" ph="1">
        <v>644</v>
      </c>
      <c r="AC36" s="172" ph="1"/>
      <c r="AD36" s="172" ph="1"/>
      <c r="AE36" s="172" ph="1"/>
      <c r="BA36" s="64" ph="1">
        <v>2270</v>
      </c>
    </row>
    <row r="37" spans="1:57" s="144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4" t="s" ph="1">
        <v>345</v>
      </c>
      <c r="AI37" s="144" t="s" ph="1">
        <v>212</v>
      </c>
      <c r="AJ37" s="144" t="s" ph="1">
        <v>213</v>
      </c>
      <c r="AK37" s="144" t="s" ph="1">
        <v>214</v>
      </c>
      <c r="AM37" s="144" t="s" ph="1">
        <v>213</v>
      </c>
      <c r="AN37" s="144" t="s" ph="1">
        <v>214</v>
      </c>
      <c r="AO37" s="144" t="s" ph="1">
        <v>215</v>
      </c>
      <c r="AP37" s="144" t="s" ph="1">
        <v>213</v>
      </c>
      <c r="AQ37" s="144" t="s" ph="1">
        <v>214</v>
      </c>
      <c r="AR37" s="144" t="s" ph="1">
        <v>215</v>
      </c>
      <c r="AS37" s="144" t="s" ph="1">
        <v>213</v>
      </c>
      <c r="AT37" s="144" t="s" ph="1">
        <v>214</v>
      </c>
      <c r="AU37" s="144" t="s" ph="1">
        <v>215</v>
      </c>
      <c r="AV37" s="144" t="s" ph="1">
        <v>213</v>
      </c>
      <c r="AW37" s="144" t="s" ph="1">
        <v>214</v>
      </c>
      <c r="AX37" s="144" t="s" ph="1">
        <v>215</v>
      </c>
      <c r="AY37" s="144" t="s" ph="1">
        <v>214</v>
      </c>
      <c r="AZ37" s="144" t="s" ph="1">
        <v>216</v>
      </c>
      <c r="BD37" s="144" t="s" ph="1">
        <v>308</v>
      </c>
      <c r="BE37" s="144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158" priority="97">
      <formula>ABS(D$7-D$10)&gt;=1000</formula>
    </cfRule>
  </conditionalFormatting>
  <conditionalFormatting sqref="E4 E6:E11">
    <cfRule type="expression" dxfId="2157" priority="96">
      <formula>ABS(E$7-E$10)&gt;=1000</formula>
    </cfRule>
  </conditionalFormatting>
  <conditionalFormatting sqref="F4:F11">
    <cfRule type="expression" dxfId="2156" priority="95">
      <formula>ABS(F$7-F$10)&gt;=1000</formula>
    </cfRule>
  </conditionalFormatting>
  <conditionalFormatting sqref="G4:G11">
    <cfRule type="expression" dxfId="2155" priority="94">
      <formula>ABS(G$7-G$10)&gt;=1000</formula>
    </cfRule>
  </conditionalFormatting>
  <conditionalFormatting sqref="H4:H11">
    <cfRule type="expression" dxfId="2154" priority="93">
      <formula>ABS(H$7-H$10)&gt;=1000</formula>
    </cfRule>
  </conditionalFormatting>
  <conditionalFormatting sqref="I4:I11">
    <cfRule type="expression" dxfId="2153" priority="92">
      <formula>ABS(I$7-I$10)&gt;=1000</formula>
    </cfRule>
  </conditionalFormatting>
  <conditionalFormatting sqref="J4:J11">
    <cfRule type="expression" dxfId="2152" priority="91">
      <formula>ABS(J$7-J$10)&gt;=1000</formula>
    </cfRule>
  </conditionalFormatting>
  <conditionalFormatting sqref="K4:K11">
    <cfRule type="expression" dxfId="2151" priority="90">
      <formula>ABS(K$7-K$10)&gt;=1000</formula>
    </cfRule>
  </conditionalFormatting>
  <conditionalFormatting sqref="L4:L11">
    <cfRule type="expression" dxfId="2150" priority="89">
      <formula>ABS(L$7-L$10)&gt;=1000</formula>
    </cfRule>
  </conditionalFormatting>
  <conditionalFormatting sqref="M4 M6:M11">
    <cfRule type="expression" dxfId="2149" priority="88">
      <formula>ABS(M$7-M$10)&gt;=1000</formula>
    </cfRule>
  </conditionalFormatting>
  <conditionalFormatting sqref="N4 N6:N11">
    <cfRule type="expression" dxfId="2148" priority="87">
      <formula>ABS(N$7-N$10)&gt;=1000</formula>
    </cfRule>
  </conditionalFormatting>
  <conditionalFormatting sqref="O4 O6:O11">
    <cfRule type="expression" dxfId="2147" priority="86">
      <formula>ABS(O$7-O$10)&gt;=1000</formula>
    </cfRule>
  </conditionalFormatting>
  <conditionalFormatting sqref="P4 P6:P11">
    <cfRule type="expression" dxfId="2146" priority="85">
      <formula>ABS(P$7-P$10)&gt;=1000</formula>
    </cfRule>
  </conditionalFormatting>
  <conditionalFormatting sqref="Q4:Q11">
    <cfRule type="expression" dxfId="2145" priority="84">
      <formula>ABS(Q$7-Q$10)&gt;=1000</formula>
    </cfRule>
  </conditionalFormatting>
  <conditionalFormatting sqref="R4:R11">
    <cfRule type="expression" dxfId="2144" priority="83">
      <formula>ABS(R$7-R$10)&gt;=1000</formula>
    </cfRule>
  </conditionalFormatting>
  <conditionalFormatting sqref="S4:S11">
    <cfRule type="expression" dxfId="2143" priority="82">
      <formula>ABS(S$7-S$10)&gt;=1000</formula>
    </cfRule>
  </conditionalFormatting>
  <conditionalFormatting sqref="T4:T9 T11">
    <cfRule type="expression" dxfId="2142" priority="81">
      <formula>ABS(T$7-T$10)&gt;=1000</formula>
    </cfRule>
  </conditionalFormatting>
  <conditionalFormatting sqref="U4:U9 U11">
    <cfRule type="expression" dxfId="2141" priority="80">
      <formula>ABS(U$7-U$10)&gt;=1000</formula>
    </cfRule>
  </conditionalFormatting>
  <conditionalFormatting sqref="V4:V9 V11">
    <cfRule type="expression" dxfId="2140" priority="79">
      <formula>ABS(V$7-V$10)&gt;=1000</formula>
    </cfRule>
  </conditionalFormatting>
  <conditionalFormatting sqref="W4:W9 W11">
    <cfRule type="expression" dxfId="2139" priority="78">
      <formula>ABS(W$7-W$10)&gt;=1000</formula>
    </cfRule>
  </conditionalFormatting>
  <conditionalFormatting sqref="X4:X9 X11">
    <cfRule type="expression" dxfId="2138" priority="77">
      <formula>ABS(X$7-X$10)&gt;=1000</formula>
    </cfRule>
  </conditionalFormatting>
  <conditionalFormatting sqref="Y4:Y9 Y11">
    <cfRule type="expression" dxfId="2137" priority="76">
      <formula>ABS(Y$7-Y$10)&gt;=1000</formula>
    </cfRule>
  </conditionalFormatting>
  <conditionalFormatting sqref="Z4:Z11">
    <cfRule type="expression" dxfId="2136" priority="75">
      <formula>ABS(Z$7-Z$10)&gt;=1000</formula>
    </cfRule>
  </conditionalFormatting>
  <conditionalFormatting sqref="AA4:AA11">
    <cfRule type="expression" dxfId="2135" priority="74">
      <formula>ABS(AA$7-AA$10)&gt;=1000</formula>
    </cfRule>
  </conditionalFormatting>
  <conditionalFormatting sqref="AB4:AB11">
    <cfRule type="expression" dxfId="2134" priority="73">
      <formula>ABS(AB$7-AB$10)&gt;=1000</formula>
    </cfRule>
  </conditionalFormatting>
  <conditionalFormatting sqref="AC4 AC6:AC11">
    <cfRule type="expression" dxfId="2133" priority="72">
      <formula>ABS(AC$7-AC$10)&gt;=1000</formula>
    </cfRule>
  </conditionalFormatting>
  <conditionalFormatting sqref="AD4:AD11">
    <cfRule type="expression" dxfId="2132" priority="71">
      <formula>ABS(AD$7-AD$10)&gt;=1000</formula>
    </cfRule>
  </conditionalFormatting>
  <conditionalFormatting sqref="AE4:AE11">
    <cfRule type="expression" dxfId="2131" priority="70">
      <formula>ABS(AE$7-AE$10)&gt;=1000</formula>
    </cfRule>
  </conditionalFormatting>
  <conditionalFormatting sqref="D13:D20">
    <cfRule type="expression" dxfId="2130" priority="69">
      <formula>ABS(D$16-D$19)&gt;=1000</formula>
    </cfRule>
  </conditionalFormatting>
  <conditionalFormatting sqref="E13:E20">
    <cfRule type="expression" dxfId="2129" priority="68">
      <formula>ABS(E$16-E$19)&gt;=1000</formula>
    </cfRule>
  </conditionalFormatting>
  <conditionalFormatting sqref="F13 F15:F20">
    <cfRule type="expression" dxfId="2128" priority="67">
      <formula>ABS(F$16-F$19)&gt;=1000</formula>
    </cfRule>
  </conditionalFormatting>
  <conditionalFormatting sqref="G13:G20">
    <cfRule type="expression" dxfId="2127" priority="66">
      <formula>ABS(G$16-G$19)&gt;=1000</formula>
    </cfRule>
  </conditionalFormatting>
  <conditionalFormatting sqref="H13:H20">
    <cfRule type="expression" dxfId="2126" priority="65">
      <formula>ABS(H$16-H$19)&gt;=1000</formula>
    </cfRule>
  </conditionalFormatting>
  <conditionalFormatting sqref="I13:I20">
    <cfRule type="expression" dxfId="2125" priority="64">
      <formula>ABS(I$16-I$19)&gt;=1000</formula>
    </cfRule>
  </conditionalFormatting>
  <conditionalFormatting sqref="J13:J20">
    <cfRule type="expression" dxfId="2124" priority="63">
      <formula>ABS(J$16-J$19)&gt;=1000</formula>
    </cfRule>
  </conditionalFormatting>
  <conditionalFormatting sqref="L13:L20">
    <cfRule type="expression" dxfId="2123" priority="62">
      <formula>ABS(L$16-L$19)&gt;=1000</formula>
    </cfRule>
  </conditionalFormatting>
  <conditionalFormatting sqref="M13 M15 M17:M18 M20">
    <cfRule type="expression" dxfId="2122" priority="61">
      <formula>ABS(M$16-M$19)&gt;=1000</formula>
    </cfRule>
  </conditionalFormatting>
  <conditionalFormatting sqref="N13:N20">
    <cfRule type="expression" dxfId="2121" priority="60">
      <formula>ABS(N$16-N$19)&gt;=1000</formula>
    </cfRule>
  </conditionalFormatting>
  <conditionalFormatting sqref="O13:O20">
    <cfRule type="expression" dxfId="2120" priority="59">
      <formula>ABS(O$16-O$19)&gt;=1000</formula>
    </cfRule>
  </conditionalFormatting>
  <conditionalFormatting sqref="P13:P20">
    <cfRule type="expression" dxfId="2119" priority="58">
      <formula>ABS(P$16-P$19)&gt;=1000</formula>
    </cfRule>
  </conditionalFormatting>
  <conditionalFormatting sqref="Q13 Q15:Q20">
    <cfRule type="expression" dxfId="2118" priority="57">
      <formula>ABS(Q$16-Q$19)&gt;=1000</formula>
    </cfRule>
  </conditionalFormatting>
  <conditionalFormatting sqref="R13:R20">
    <cfRule type="expression" dxfId="2117" priority="56">
      <formula>ABS(R$16-R$19)&gt;=1000</formula>
    </cfRule>
  </conditionalFormatting>
  <conditionalFormatting sqref="S13:S20">
    <cfRule type="expression" dxfId="2116" priority="55">
      <formula>ABS(S$16-S$19)&gt;=1000</formula>
    </cfRule>
  </conditionalFormatting>
  <conditionalFormatting sqref="T13:T20">
    <cfRule type="expression" dxfId="2115" priority="54">
      <formula>ABS(T$16-T$19)&gt;=1000</formula>
    </cfRule>
  </conditionalFormatting>
  <conditionalFormatting sqref="U13:U20">
    <cfRule type="expression" dxfId="2114" priority="53">
      <formula>ABS(U$16-U$19)&gt;=1000</formula>
    </cfRule>
  </conditionalFormatting>
  <conditionalFormatting sqref="V13:V20">
    <cfRule type="expression" dxfId="2113" priority="52">
      <formula>ABS(V$16-V$19)&gt;=1000</formula>
    </cfRule>
  </conditionalFormatting>
  <conditionalFormatting sqref="W13 W20 W15:W18">
    <cfRule type="expression" dxfId="2112" priority="51">
      <formula>ABS(W$16-W$19)&gt;=1000</formula>
    </cfRule>
  </conditionalFormatting>
  <conditionalFormatting sqref="X13 X15:X20 Y19">
    <cfRule type="expression" dxfId="2111" priority="50">
      <formula>ABS(X$16-X$19)&gt;=1000</formula>
    </cfRule>
  </conditionalFormatting>
  <conditionalFormatting sqref="Y13 Y15:Y18 Y20">
    <cfRule type="expression" dxfId="2110" priority="49">
      <formula>ABS(Y$16-Y$19)&gt;=1000</formula>
    </cfRule>
  </conditionalFormatting>
  <conditionalFormatting sqref="Z13:Z20">
    <cfRule type="expression" dxfId="2109" priority="48">
      <formula>ABS(Z$16-Z$19)&gt;=1000</formula>
    </cfRule>
  </conditionalFormatting>
  <conditionalFormatting sqref="AA13:AA20">
    <cfRule type="expression" dxfId="2108" priority="47">
      <formula>ABS(AA$16-AA$19)&gt;=1000</formula>
    </cfRule>
  </conditionalFormatting>
  <conditionalFormatting sqref="AB13 AB15:AB20">
    <cfRule type="expression" dxfId="2107" priority="46">
      <formula>ABS(AB$16-AB$19)&gt;=1000</formula>
    </cfRule>
  </conditionalFormatting>
  <conditionalFormatting sqref="AC13 AC15:AC20">
    <cfRule type="expression" dxfId="2106" priority="45">
      <formula>ABS(AC$16-AC$19)&gt;=1000</formula>
    </cfRule>
  </conditionalFormatting>
  <conditionalFormatting sqref="AD13:AD20">
    <cfRule type="expression" dxfId="2105" priority="44">
      <formula>ABS(AD$16-AD$19)&gt;=1000</formula>
    </cfRule>
  </conditionalFormatting>
  <conditionalFormatting sqref="AE13:AE20">
    <cfRule type="expression" dxfId="2104" priority="43">
      <formula>ABS(AE$16-AE$19)&gt;=1000</formula>
    </cfRule>
  </conditionalFormatting>
  <conditionalFormatting sqref="D22:D29">
    <cfRule type="expression" dxfId="2103" priority="42">
      <formula>ABS(D$25-D$28)&gt;=1000</formula>
    </cfRule>
  </conditionalFormatting>
  <conditionalFormatting sqref="E22:E29">
    <cfRule type="expression" dxfId="2102" priority="41">
      <formula>ABS(E$25-E$28)&gt;=1000</formula>
    </cfRule>
  </conditionalFormatting>
  <conditionalFormatting sqref="F22:F29">
    <cfRule type="expression" dxfId="2101" priority="40">
      <formula>ABS(F$25-F$28)&gt;=1000</formula>
    </cfRule>
  </conditionalFormatting>
  <conditionalFormatting sqref="G22:G29">
    <cfRule type="expression" dxfId="2100" priority="39">
      <formula>ABS(G$25-G$28)&gt;=1000</formula>
    </cfRule>
  </conditionalFormatting>
  <conditionalFormatting sqref="H22:H29">
    <cfRule type="expression" dxfId="2099" priority="38">
      <formula>ABS(H$25-H$28)&gt;=1000</formula>
    </cfRule>
  </conditionalFormatting>
  <conditionalFormatting sqref="I22 I24:I29">
    <cfRule type="expression" dxfId="2098" priority="37">
      <formula>ABS(I$25-I$28)&gt;=1000</formula>
    </cfRule>
  </conditionalFormatting>
  <conditionalFormatting sqref="J22:J29 K22">
    <cfRule type="expression" dxfId="2097" priority="36">
      <formula>ABS(J$25-J$28)&gt;=1000</formula>
    </cfRule>
  </conditionalFormatting>
  <conditionalFormatting sqref="K23:K29 L25 L28">
    <cfRule type="expression" dxfId="2096" priority="35">
      <formula>ABS(K$25-K$28)&gt;=1000</formula>
    </cfRule>
  </conditionalFormatting>
  <conditionalFormatting sqref="L22 L26:L27 L29 L24">
    <cfRule type="expression" dxfId="2095" priority="34">
      <formula>ABS(L$25-L$28)&gt;=1000</formula>
    </cfRule>
  </conditionalFormatting>
  <conditionalFormatting sqref="M22:M29">
    <cfRule type="expression" dxfId="2094" priority="33">
      <formula>ABS(M$25-M$28)&gt;=1000</formula>
    </cfRule>
  </conditionalFormatting>
  <conditionalFormatting sqref="N22:N29">
    <cfRule type="expression" dxfId="2093" priority="32">
      <formula>ABS(N$25-N$28)&gt;=1000</formula>
    </cfRule>
  </conditionalFormatting>
  <conditionalFormatting sqref="O22:O29">
    <cfRule type="expression" dxfId="2092" priority="31">
      <formula>ABS(O$25-O$28)&gt;=1000</formula>
    </cfRule>
  </conditionalFormatting>
  <conditionalFormatting sqref="P22:P29">
    <cfRule type="expression" dxfId="2091" priority="30">
      <formula>ABS(P$25-P$28)&gt;=1000</formula>
    </cfRule>
  </conditionalFormatting>
  <conditionalFormatting sqref="Q22:Q29">
    <cfRule type="expression" dxfId="2090" priority="29">
      <formula>ABS(Q$25-Q$28)&gt;=1000</formula>
    </cfRule>
  </conditionalFormatting>
  <conditionalFormatting sqref="R22:R29">
    <cfRule type="expression" dxfId="2089" priority="28">
      <formula>ABS(R$25-R$28)&gt;=1000</formula>
    </cfRule>
  </conditionalFormatting>
  <conditionalFormatting sqref="S22:S29">
    <cfRule type="expression" dxfId="2088" priority="27">
      <formula>ABS(S$25-S$28)&gt;=1000</formula>
    </cfRule>
  </conditionalFormatting>
  <conditionalFormatting sqref="T22:T29">
    <cfRule type="expression" dxfId="2087" priority="26">
      <formula>ABS(T$25-T$28)&gt;=1000</formula>
    </cfRule>
  </conditionalFormatting>
  <conditionalFormatting sqref="U22:U29">
    <cfRule type="expression" dxfId="2086" priority="25">
      <formula>ABS(U$25-U$28)&gt;=1000</formula>
    </cfRule>
  </conditionalFormatting>
  <conditionalFormatting sqref="V22:V29">
    <cfRule type="expression" dxfId="2085" priority="24">
      <formula>ABS(V$25-V$28)&gt;=1000</formula>
    </cfRule>
  </conditionalFormatting>
  <conditionalFormatting sqref="W22:W29">
    <cfRule type="expression" dxfId="2084" priority="23">
      <formula>ABS(W$25-W$28)&gt;=1000</formula>
    </cfRule>
  </conditionalFormatting>
  <conditionalFormatting sqref="X22:X29">
    <cfRule type="expression" dxfId="2083" priority="22">
      <formula>ABS(X$25-X$28)&gt;=1000</formula>
    </cfRule>
  </conditionalFormatting>
  <conditionalFormatting sqref="Y22:Y29">
    <cfRule type="expression" dxfId="2082" priority="21">
      <formula>ABS(Y$25-Y$28)&gt;=1000</formula>
    </cfRule>
  </conditionalFormatting>
  <conditionalFormatting sqref="I23">
    <cfRule type="expression" dxfId="2081" priority="20">
      <formula>ABS(I$25-I$28)&gt;=1000</formula>
    </cfRule>
  </conditionalFormatting>
  <conditionalFormatting sqref="F14">
    <cfRule type="expression" dxfId="2080" priority="19">
      <formula>ABS(F$16-F$19)&gt;=1000</formula>
    </cfRule>
  </conditionalFormatting>
  <conditionalFormatting sqref="Q14">
    <cfRule type="expression" dxfId="2079" priority="18">
      <formula>ABS(Q$16-Q$19)&gt;=1000</formula>
    </cfRule>
  </conditionalFormatting>
  <conditionalFormatting sqref="W14">
    <cfRule type="expression" dxfId="2078" priority="17">
      <formula>ABS(W$16-W$19)&gt;=1000</formula>
    </cfRule>
  </conditionalFormatting>
  <conditionalFormatting sqref="Y14">
    <cfRule type="expression" dxfId="2077" priority="16">
      <formula>ABS(Y$16-Y$19)&gt;=1000</formula>
    </cfRule>
  </conditionalFormatting>
  <conditionalFormatting sqref="X14">
    <cfRule type="expression" dxfId="2076" priority="15">
      <formula>ABS(X$16-X$19)&gt;=1000</formula>
    </cfRule>
  </conditionalFormatting>
  <conditionalFormatting sqref="T10:Y10">
    <cfRule type="expression" dxfId="2075" priority="14">
      <formula>ABS(T$7-T$10)&gt;=1000</formula>
    </cfRule>
  </conditionalFormatting>
  <conditionalFormatting sqref="W19">
    <cfRule type="expression" dxfId="2074" priority="13">
      <formula>ABS(W$16-W$19)&gt;=1000</formula>
    </cfRule>
  </conditionalFormatting>
  <conditionalFormatting sqref="AC5">
    <cfRule type="expression" dxfId="2073" priority="12">
      <formula>ABS(AC$7-AC$10)&gt;=1000</formula>
    </cfRule>
  </conditionalFormatting>
  <conditionalFormatting sqref="M14">
    <cfRule type="expression" dxfId="2072" priority="11">
      <formula>ABS(M$16-M$19)&gt;=1000</formula>
    </cfRule>
  </conditionalFormatting>
  <conditionalFormatting sqref="M16">
    <cfRule type="expression" dxfId="2071" priority="10">
      <formula>ABS(M$16-M$19)&gt;=1000</formula>
    </cfRule>
  </conditionalFormatting>
  <conditionalFormatting sqref="M19">
    <cfRule type="expression" dxfId="2070" priority="9">
      <formula>ABS(M$16-M$19)&gt;=1000</formula>
    </cfRule>
  </conditionalFormatting>
  <conditionalFormatting sqref="K13:K20">
    <cfRule type="expression" dxfId="2069" priority="8">
      <formula>ABS(K$16-K$19)&gt;=1000</formula>
    </cfRule>
  </conditionalFormatting>
  <conditionalFormatting sqref="E5">
    <cfRule type="expression" dxfId="2068" priority="7">
      <formula>ABS(E$7-E$10)&gt;=1000</formula>
    </cfRule>
  </conditionalFormatting>
  <conditionalFormatting sqref="AB14:AC14">
    <cfRule type="expression" dxfId="2067" priority="6">
      <formula>ABS(AB$16-AB$19)&gt;=1000</formula>
    </cfRule>
  </conditionalFormatting>
  <conditionalFormatting sqref="M5">
    <cfRule type="expression" dxfId="2066" priority="5">
      <formula>ABS(M$7-M$10)&gt;=1000</formula>
    </cfRule>
  </conditionalFormatting>
  <conditionalFormatting sqref="N5">
    <cfRule type="expression" dxfId="2065" priority="4">
      <formula>ABS(N$7-N$10)&gt;=1000</formula>
    </cfRule>
  </conditionalFormatting>
  <conditionalFormatting sqref="O5">
    <cfRule type="expression" dxfId="2064" priority="3">
      <formula>ABS(O$7-O$10)&gt;=1000</formula>
    </cfRule>
  </conditionalFormatting>
  <conditionalFormatting sqref="P5">
    <cfRule type="expression" dxfId="2063" priority="2">
      <formula>ABS(P$7-P$10)&gt;=1000</formula>
    </cfRule>
  </conditionalFormatting>
  <conditionalFormatting sqref="L23">
    <cfRule type="expression" dxfId="2062" priority="1">
      <formula>ABS(L$25-L$28)&gt;=1000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5180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345782</xdr:rowOff>
                  </from>
                  <to>
                    <xdr:col>32</xdr:col>
                    <xdr:colOff>414938</xdr:colOff>
                    <xdr:row>3</xdr:row>
                    <xdr:rowOff>30736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76">
    <pageSetUpPr fitToPage="1"/>
  </sheetPr>
  <dimension ref="A1:CU223"/>
  <sheetViews>
    <sheetView view="pageBreakPreview" topLeftCell="A7" zoomScale="80" zoomScaleNormal="100" zoomScaleSheetLayoutView="80" workbookViewId="0">
      <selection activeCell="R17" sqref="R17"/>
    </sheetView>
  </sheetViews>
  <sheetFormatPr defaultColWidth="8.109375" defaultRowHeight="26.05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0.9" ph="1">
      <c r="A1" s="64"/>
      <c r="B1" s="238" t="s" ph="1">
        <v>162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.05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.05" customHeight="1" ph="1">
      <c r="B3" s="240" ph="1">
        <v>45848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" customHeight="1" ph="1">
      <c r="A5" s="65" ph="1"/>
      <c r="B5" s="219" ph="1"/>
      <c r="C5" s="67" t="s" ph="1">
        <v>36</v>
      </c>
      <c r="D5" s="70" t="s" ph="1">
        <v>161</v>
      </c>
      <c r="E5" s="70" t="s" ph="1">
        <v>640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46" t="s" ph="1">
        <v>178</v>
      </c>
      <c r="D6" s="71">
        <v>4764</v>
      </c>
      <c r="E6" s="71">
        <v>8094</v>
      </c>
      <c r="F6" s="71">
        <v>6813</v>
      </c>
      <c r="G6" s="71">
        <v>2208</v>
      </c>
      <c r="H6" s="71">
        <v>2525</v>
      </c>
      <c r="I6" s="71">
        <v>51.56</v>
      </c>
      <c r="J6" s="71">
        <v>7.87</v>
      </c>
      <c r="K6" s="71">
        <v>6.95</v>
      </c>
      <c r="L6" s="71">
        <v>36.78</v>
      </c>
      <c r="M6" s="71">
        <v>4738</v>
      </c>
      <c r="N6" s="71">
        <v>2342</v>
      </c>
      <c r="O6" s="71">
        <v>3692</v>
      </c>
      <c r="P6" s="71">
        <v>3498</v>
      </c>
      <c r="Q6" s="71">
        <v>4100</v>
      </c>
      <c r="R6" s="71">
        <v>2350</v>
      </c>
      <c r="S6" s="71">
        <v>0</v>
      </c>
      <c r="T6" s="71">
        <v>0</v>
      </c>
      <c r="U6" s="71">
        <v>0</v>
      </c>
      <c r="V6" s="71">
        <v>0</v>
      </c>
      <c r="W6" s="71">
        <v>0</v>
      </c>
      <c r="X6" s="71">
        <v>0</v>
      </c>
      <c r="Y6" s="71">
        <v>4500</v>
      </c>
      <c r="Z6" s="71">
        <v>3412</v>
      </c>
      <c r="AA6" s="71">
        <v>555</v>
      </c>
      <c r="AB6" s="71">
        <v>2237</v>
      </c>
      <c r="AC6" s="71">
        <v>3022</v>
      </c>
      <c r="AD6" s="71">
        <v>4425</v>
      </c>
      <c r="AE6" s="71">
        <v>2007</v>
      </c>
    </row>
    <row r="7" spans="1:99" s="72" customFormat="1" ht="22.4" ph="1">
      <c r="B7" s="237" ph="1"/>
      <c r="C7" s="68" t="s" ph="1">
        <v>179</v>
      </c>
      <c r="D7" s="73" ph="1">
        <f>D6*33.183*LOOKUP(D8,密度!$A$2:$A$50,密度!$Q$2:$Q$50)</f>
        <v>149664.26817288002</v>
      </c>
      <c r="E7" s="73" ph="1">
        <f>E6*51.53*LOOKUP(E8,密度!$A$2:$A$50,密度!$B$2:$B$50)</f>
        <v>325158.546072</v>
      </c>
      <c r="F7" s="73" ph="1">
        <f>F6*33.183*LOOKUP(F8,密度!$A$2:$A$50,密度!$C$2:$C$50)</f>
        <v>250853.68437839998</v>
      </c>
      <c r="G7" s="73" ph="1">
        <f xml:space="preserve"> (G6+2)*51.53*LOOKUP(G8,密度!$A$2:$A$50,密度!$B$2:$B$50)</f>
        <v>88781.861479999992</v>
      </c>
      <c r="H7" s="73" ph="1">
        <f>(H6)*51.53*LOOKUP(H8,密度!$A$2:$A$50,密度!$B$2:$B$50)</f>
        <v>102021.799325</v>
      </c>
      <c r="I7" s="73" ph="1">
        <f>I6*290.8*1.0267</f>
        <v>15393.978401599999</v>
      </c>
      <c r="J7" s="73" ph="1">
        <f>J6*290.8*0.7892</f>
        <v>1806.1599632</v>
      </c>
      <c r="K7" s="73" ph="1">
        <f>K6*290.8*1.1126</f>
        <v>2248.6313560000003</v>
      </c>
      <c r="L7" s="73" ph="1">
        <f>L6*290.8*0.777</f>
        <v>8310.4998480000013</v>
      </c>
      <c r="M7" s="73" ph="1">
        <f>M6*33.183*LOOKUP(M8,密度!$A$2:$A$50,密度!$D$2:$D$50)</f>
        <v>161418.8561418</v>
      </c>
      <c r="N7" s="73" ph="1">
        <f>N6*33.183*LOOKUP(N8,密度!$A$2:$A$50,密度!$E$2:$E$50)</f>
        <v>60866.063755199997</v>
      </c>
      <c r="O7" s="73" ph="1">
        <f>O6*20.428*LOOKUP(O8,密度!$A$2:$A$50,密度!$C$2:$C$50)</f>
        <v>83459.966761600008</v>
      </c>
      <c r="P7" s="73" ph="1">
        <f>P6*51.53*LOOKUP(P8,密度!$A$2:$A$50,密度!$B$2:$B$50)</f>
        <v>140848.86591600001</v>
      </c>
      <c r="Q7" s="73" ph="1">
        <f>Q6*1.5*1.5*3.1416*LOOKUP(W8,密度!$A$2:$A$50,密度!$L$2:$L$50)</f>
        <v>27213.403139999999</v>
      </c>
      <c r="R7" s="73" ph="1">
        <f>R6*1.5*1.5*3.1416*LOOKUP(R8,密度!$A$2:$A$50,密度!$L$2:$L$50)</f>
        <v>15531.48135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29836.560600000001</v>
      </c>
      <c r="Z7" s="73" ph="1">
        <f>Z6*33.183*LOOKUP(Z8,密度!$A$2:$A$50,密度!$L$2:$L$50)</f>
        <v>106653.61303199999</v>
      </c>
      <c r="AA7" s="73" ph="1">
        <f>AA6*33.183*LOOKUP(AA8,密度!$A$2:$A$50,密度!$D$2:$D$50)</f>
        <v>18943.278758999997</v>
      </c>
      <c r="AB7" s="73" ph="1">
        <f>AB6*20.428*LOOKUP(AB8,密度!$A$2:$A$50,密度!$D$2:$D$50)</f>
        <v>46830.732412799996</v>
      </c>
      <c r="AC7" s="73" ph="1">
        <f>AC6*51.53*LOOKUP(AC8,密度!$A$2:$A$50,密度!$Q$2:$Q$50)</f>
        <v>147889.20266540002</v>
      </c>
      <c r="AD7" s="73" ph="1">
        <f>AD6*20.428*LOOKUP(AD8,密度!$A$2:$A$50,密度!$V$2:$V$50)</f>
        <v>86850.459120000014</v>
      </c>
      <c r="AE7" s="73" ph="1">
        <f>AE6*20.428</f>
        <v>40998.995999999999</v>
      </c>
    </row>
    <row r="8" spans="1:99" ph="1">
      <c r="B8" s="237" ph="1"/>
      <c r="C8" s="68" t="s" ph="1">
        <v>180</v>
      </c>
      <c r="D8" s="74">
        <v>25</v>
      </c>
      <c r="E8" s="74">
        <v>25</v>
      </c>
      <c r="F8" s="74">
        <v>24</v>
      </c>
      <c r="G8" s="74">
        <v>25</v>
      </c>
      <c r="H8" s="74">
        <v>20</v>
      </c>
      <c r="I8" s="74">
        <v>25</v>
      </c>
      <c r="J8" s="74">
        <v>25</v>
      </c>
      <c r="K8" s="74">
        <v>25</v>
      </c>
      <c r="L8" s="74">
        <v>25</v>
      </c>
      <c r="M8" s="74">
        <v>25</v>
      </c>
      <c r="N8" s="74">
        <v>25</v>
      </c>
      <c r="O8" s="74">
        <v>28</v>
      </c>
      <c r="P8" s="74">
        <v>23</v>
      </c>
      <c r="Q8" s="74">
        <v>23</v>
      </c>
      <c r="R8" s="74">
        <v>27</v>
      </c>
      <c r="S8" s="74">
        <v>18</v>
      </c>
      <c r="T8" s="74">
        <v>20</v>
      </c>
      <c r="U8" s="74">
        <v>24</v>
      </c>
      <c r="V8" s="74">
        <v>23</v>
      </c>
      <c r="W8" s="74">
        <v>23</v>
      </c>
      <c r="X8" s="74">
        <v>16</v>
      </c>
      <c r="Y8" s="74">
        <v>24</v>
      </c>
      <c r="Z8" s="74">
        <v>20</v>
      </c>
      <c r="AA8" s="74">
        <v>23</v>
      </c>
      <c r="AB8" s="74">
        <v>27</v>
      </c>
      <c r="AC8" s="74">
        <v>21</v>
      </c>
      <c r="AD8" s="74">
        <v>23</v>
      </c>
      <c r="AE8" s="74">
        <v>25</v>
      </c>
    </row>
    <row r="9" spans="1:99" ht="26.65" ph="1">
      <c r="B9" s="237" ph="1">
        <v>0.66666666666666663</v>
      </c>
      <c r="C9" s="146" t="s" ph="1">
        <v>181</v>
      </c>
      <c r="D9" s="71">
        <v>4762</v>
      </c>
      <c r="E9" s="71">
        <v>8094</v>
      </c>
      <c r="F9" s="71">
        <v>6813</v>
      </c>
      <c r="G9" s="71">
        <v>2385</v>
      </c>
      <c r="H9" s="71">
        <v>2523</v>
      </c>
      <c r="I9" s="71">
        <v>51.51</v>
      </c>
      <c r="J9" s="71">
        <v>7.82</v>
      </c>
      <c r="K9" s="71">
        <v>6.98</v>
      </c>
      <c r="L9" s="71">
        <v>34.619999999999997</v>
      </c>
      <c r="M9" s="71">
        <v>4738</v>
      </c>
      <c r="N9" s="71">
        <v>2341</v>
      </c>
      <c r="O9" s="71">
        <v>2787</v>
      </c>
      <c r="P9" s="71">
        <v>3800</v>
      </c>
      <c r="Q9" s="71">
        <v>6400</v>
      </c>
      <c r="R9" s="71">
        <v>6200</v>
      </c>
      <c r="S9" s="71">
        <v>0</v>
      </c>
      <c r="T9" s="71">
        <v>0</v>
      </c>
      <c r="U9" s="71">
        <v>0</v>
      </c>
      <c r="V9" s="71">
        <v>0</v>
      </c>
      <c r="W9" s="71">
        <v>0</v>
      </c>
      <c r="X9" s="71">
        <v>0</v>
      </c>
      <c r="Y9" s="71">
        <v>0</v>
      </c>
      <c r="Z9" s="71">
        <v>1893</v>
      </c>
      <c r="AA9" s="71">
        <v>554</v>
      </c>
      <c r="AB9" s="71">
        <v>2215</v>
      </c>
      <c r="AC9" s="71">
        <v>3020</v>
      </c>
      <c r="AD9" s="71">
        <v>4421</v>
      </c>
      <c r="AE9" s="71">
        <v>1897</v>
      </c>
    </row>
    <row r="10" spans="1:99" s="72" customFormat="1" ht="22.4" ph="1">
      <c r="B10" s="237" ph="1"/>
      <c r="C10" s="146" t="s" ph="1">
        <v>179</v>
      </c>
      <c r="D10" s="73" ph="1">
        <f>D9*33.183*LOOKUP(D11,密度!$A$2:$A$50,密度!$Q$2:$Q$50)</f>
        <v>149489.24443938001</v>
      </c>
      <c r="E10" s="73" ph="1">
        <f>E9*51.53*LOOKUP(E11,密度!$A$2:$A$50,密度!$B$2:$B$50)</f>
        <v>324783.17063399998</v>
      </c>
      <c r="F10" s="73" ph="1">
        <f>F9*33.183*LOOKUP(F11,密度!$A$2:$A$50,密度!$C$2:$C$50)</f>
        <v>250695.43133310002</v>
      </c>
      <c r="G10" s="73" ph="1">
        <f xml:space="preserve"> (G9+2)*51.53*LOOKUP(G11,密度!$A$2:$A$50,密度!$B$2:$B$50)</f>
        <v>95892.444955999992</v>
      </c>
      <c r="H10" s="73" ph="1">
        <f>(H9)*51.53*LOOKUP(H11,密度!$A$2:$A$50,密度!$B$2:$B$50)</f>
        <v>101823.98080800001</v>
      </c>
      <c r="I10" s="73" ph="1">
        <f>I9*290.8*1.0267</f>
        <v>15379.050183599998</v>
      </c>
      <c r="J10" s="73" ph="1">
        <f>J9*290.8*0.7892</f>
        <v>1794.6849952</v>
      </c>
      <c r="K10" s="73" ph="1">
        <f>K9*290.8*1.1126</f>
        <v>2258.3376784000002</v>
      </c>
      <c r="L10" s="73" ph="1">
        <f>L9*290.8*0.777</f>
        <v>7822.4443919999994</v>
      </c>
      <c r="M10" s="73" ph="1">
        <f>M9*33.183*LOOKUP(M11,密度!$A$2:$A$50,密度!$D$2:$D$50)</f>
        <v>161277.3571932</v>
      </c>
      <c r="N10" s="73" ph="1">
        <f>N9*33.183*LOOKUP(N11,密度!$A$2:$A$50,密度!$E$2:$E$50)</f>
        <v>60840.074829600002</v>
      </c>
      <c r="O10" s="73" ph="1">
        <f>O9*20.428*LOOKUP(O11,密度!$A$2:$A$50,密度!$C$2:$C$50)</f>
        <v>63001.876317600007</v>
      </c>
      <c r="P10" s="73" ph="1">
        <f>P9*51.53*LOOKUP(P11,密度!$A$2:$A$50,密度!$B$2:$B$50)</f>
        <v>152656.5944</v>
      </c>
      <c r="Q10" s="73" ph="1">
        <f>Q9*1.5*1.5*3.1416*LOOKUP(W11,密度!$A$2:$A$50,密度!$L$2:$L$50)</f>
        <v>42388.980480000006</v>
      </c>
      <c r="R10" s="73" ph="1">
        <f>R9*1.5*1.5*3.1416*LOOKUP(R11,密度!$A$2:$A$50,密度!$L$2:$L$50)</f>
        <v>40845.198240000005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59109.309279000001</v>
      </c>
      <c r="AA10" s="73" ph="1">
        <f>AA9*33.183*LOOKUP(AA11,密度!$A$2:$A$50,密度!$D$2:$D$50)</f>
        <v>18857.673255600002</v>
      </c>
      <c r="AB10" s="73" ph="1">
        <f>AB9*20.428*LOOKUP(AB11,密度!$A$2:$A$50,密度!$D$2:$D$50)</f>
        <v>46781.92787800001</v>
      </c>
      <c r="AC10" s="73" ph="1">
        <f>AC9*51.53*LOOKUP(AC11,密度!$A$2:$A$50,密度!$Q$2:$Q$50)</f>
        <v>147559.45292000001</v>
      </c>
      <c r="AD10" s="73" ph="1">
        <f>AD9*20.428*LOOKUP(AD11,密度!$A$2:$A$50,密度!$V$2:$V$50)</f>
        <v>87060.949231999999</v>
      </c>
      <c r="AE10" s="73" ph="1">
        <f>AE9*20.428</f>
        <v>38751.916000000005</v>
      </c>
    </row>
    <row r="11" spans="1:99" ph="1">
      <c r="A11" s="64" t="s" ph="1">
        <v>163</v>
      </c>
      <c r="B11" s="237" ph="1"/>
      <c r="C11" s="146" t="s" ph="1">
        <v>180</v>
      </c>
      <c r="D11" s="74">
        <v>26</v>
      </c>
      <c r="E11" s="74">
        <v>26</v>
      </c>
      <c r="F11" s="74">
        <v>25</v>
      </c>
      <c r="G11" s="74">
        <v>25</v>
      </c>
      <c r="H11" s="74">
        <v>21</v>
      </c>
      <c r="I11" s="74">
        <v>25</v>
      </c>
      <c r="J11" s="74">
        <v>25</v>
      </c>
      <c r="K11" s="74">
        <v>25</v>
      </c>
      <c r="L11" s="74">
        <v>25</v>
      </c>
      <c r="M11" s="74">
        <v>26</v>
      </c>
      <c r="N11" s="74">
        <v>25</v>
      </c>
      <c r="O11" s="74">
        <v>28</v>
      </c>
      <c r="P11" s="74">
        <v>25</v>
      </c>
      <c r="Q11" s="74">
        <v>23</v>
      </c>
      <c r="R11" s="74">
        <v>30</v>
      </c>
      <c r="S11" s="74">
        <v>20</v>
      </c>
      <c r="T11" s="74">
        <v>21</v>
      </c>
      <c r="U11" s="74">
        <v>25</v>
      </c>
      <c r="V11" s="74">
        <v>26</v>
      </c>
      <c r="W11" s="74">
        <v>25</v>
      </c>
      <c r="X11" s="74">
        <v>16</v>
      </c>
      <c r="Y11" s="74">
        <v>25</v>
      </c>
      <c r="Z11" s="74">
        <v>21</v>
      </c>
      <c r="AA11" s="74">
        <v>26</v>
      </c>
      <c r="AB11" s="74">
        <v>17</v>
      </c>
      <c r="AC11" s="74">
        <v>23</v>
      </c>
      <c r="AD11" s="74">
        <v>19</v>
      </c>
      <c r="AE11" s="74">
        <v>26</v>
      </c>
    </row>
    <row r="12" spans="1:99" ht="9.85" customHeight="1" ph="1"/>
    <row r="13" spans="1:99" s="72" customFormat="1" ht="29.2" customHeight="1" ph="1">
      <c r="B13" s="214" t="s" ph="1">
        <v>37</v>
      </c>
      <c r="C13" s="146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.2" ph="1">
      <c r="B14" s="215" ph="1"/>
      <c r="C14" s="67" t="s" ph="1">
        <v>36</v>
      </c>
      <c r="D14" s="77" t="s" ph="1">
        <v>622</v>
      </c>
      <c r="E14" s="77" t="s" ph="1">
        <v>622</v>
      </c>
      <c r="F14" s="77" t="s" ph="1">
        <v>645</v>
      </c>
      <c r="G14" s="77" t="s" ph="1">
        <v>623</v>
      </c>
      <c r="H14" s="77" t="s" ph="1">
        <v>624</v>
      </c>
      <c r="I14" s="140" t="s" ph="1">
        <v>625</v>
      </c>
      <c r="J14" s="77" t="s" ph="1">
        <v>626</v>
      </c>
      <c r="K14" s="77" t="s" ph="1">
        <v>187</v>
      </c>
      <c r="L14" s="77" t="s" ph="1">
        <v>41</v>
      </c>
      <c r="M14" s="104" t="s" ph="1">
        <v>627</v>
      </c>
      <c r="N14" s="104" t="s" ph="1">
        <v>628</v>
      </c>
      <c r="O14" s="104" t="s" ph="1">
        <v>626</v>
      </c>
      <c r="P14" s="77" t="s" ph="1">
        <v>629</v>
      </c>
      <c r="Q14" s="77" t="s" ph="1">
        <v>629</v>
      </c>
      <c r="R14" s="88" t="s" ph="1">
        <v>640</v>
      </c>
      <c r="S14" s="77" t="s" ph="1">
        <v>71</v>
      </c>
      <c r="T14" s="77" t="s" ph="1">
        <v>631</v>
      </c>
      <c r="U14" s="77" t="s" ph="1">
        <v>610</v>
      </c>
      <c r="V14" s="77" t="s" ph="1">
        <v>110</v>
      </c>
      <c r="W14" s="77" t="s" ph="1">
        <v>629</v>
      </c>
      <c r="X14" s="77" t="s" ph="1">
        <v>632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16" ph="1">
        <v>0.33333333333333331</v>
      </c>
      <c r="C15" s="146" t="s" ph="1">
        <v>178</v>
      </c>
      <c r="D15" s="78">
        <v>0</v>
      </c>
      <c r="E15" s="78">
        <v>5264</v>
      </c>
      <c r="F15" s="78">
        <v>2232</v>
      </c>
      <c r="G15" s="78">
        <v>1519</v>
      </c>
      <c r="H15" s="78">
        <v>0</v>
      </c>
      <c r="I15" s="78">
        <v>5254</v>
      </c>
      <c r="J15" s="78">
        <v>1853</v>
      </c>
      <c r="K15" s="78">
        <v>2574</v>
      </c>
      <c r="L15" s="78">
        <v>4754</v>
      </c>
      <c r="M15" s="78">
        <v>6796</v>
      </c>
      <c r="N15" s="78">
        <v>147</v>
      </c>
      <c r="O15" s="78">
        <v>6101</v>
      </c>
      <c r="P15" s="78">
        <v>2076</v>
      </c>
      <c r="Q15" s="78">
        <v>5206</v>
      </c>
      <c r="R15" s="78">
        <v>160</v>
      </c>
      <c r="S15" s="78">
        <v>0</v>
      </c>
      <c r="T15" s="78">
        <v>3208</v>
      </c>
      <c r="U15" s="78">
        <v>6807</v>
      </c>
      <c r="V15" s="78">
        <v>-140</v>
      </c>
      <c r="W15" s="71">
        <v>-27</v>
      </c>
      <c r="X15" s="78">
        <v>-88</v>
      </c>
      <c r="Y15" s="106">
        <v>-9905</v>
      </c>
      <c r="Z15" s="78">
        <v>0</v>
      </c>
      <c r="AA15" s="78">
        <v>0</v>
      </c>
      <c r="AB15" s="78" ph="1">
        <v>14</v>
      </c>
      <c r="AC15" s="78" ph="1">
        <v>0</v>
      </c>
      <c r="AD15" s="78">
        <v>5.34</v>
      </c>
      <c r="AE15" s="78">
        <v>49.33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4" ph="1">
      <c r="B16" s="217" ph="1"/>
      <c r="C16" s="146" t="s" ph="1">
        <v>179</v>
      </c>
      <c r="D16" s="73" ph="1">
        <f>D15*7.0686*LOOKUP(D17,密度!$A$2:$A$50,密度!$L$2:$L$50)</f>
        <v>0</v>
      </c>
      <c r="E16" s="73" ph="1">
        <f>E15*7.0686*LOOKUP(E17,密度!$A$2:$A$50,密度!$L$2:$L$50)</f>
        <v>34939.354665599996</v>
      </c>
      <c r="F16" s="73" ph="1">
        <f>F15*9.0746*LOOKUP(F17,密度!$A$2:$A$50,密度!$L$2:$L$50)</f>
        <v>18998.7277536</v>
      </c>
      <c r="G16" s="73" ph="1">
        <f>G15*9.0746*LOOKUP(G17,密度!$A$2:$A$50,密度!$B$2:$B$50)</f>
        <v>10771.06561636</v>
      </c>
      <c r="H16" s="73" ph="1">
        <f>H15*9.0746*LOOKUP(H17,密度!$A$2:$A$50,密度!$L$2:$L$50)</f>
        <v>0</v>
      </c>
      <c r="I16" s="73" ph="1">
        <f>I15*9.0746*LOOKUP(I17,密度!$A$2:$A$50,密度!$U$2:$U$50)</f>
        <v>48965.253006799998</v>
      </c>
      <c r="J16" s="73" ph="1">
        <f>J15*9.0746*LOOKUP(J17,密度!$A$2:$A$50,密度!$L$2:$L$50)</f>
        <v>15789.504538200001</v>
      </c>
      <c r="K16" s="73" ph="1">
        <f>K15*9.0746*LOOKUP(K17,密度!$A$2:$A$50,密度!$C$2:$C$50)</f>
        <v>25953.096466440002</v>
      </c>
      <c r="L16" s="73" ph="1">
        <f>L15*9.0746*LOOKUP(L17,密度!$A$2:$A$50,密度!$E$2:$E$50)</f>
        <v>33839.524604959995</v>
      </c>
      <c r="M16" s="73" ph="1">
        <f>M15*9.0746*LOOKUP(M17,密度!$A$2:$A$50,密度!$M$2:$M$50)</f>
        <v>53968.275998159996</v>
      </c>
      <c r="N16" s="73" ph="1">
        <f>N15*9.0746*LOOKUP(N17,密度!$A$2:$A$50,密度!$M$2:$M$50)</f>
        <v>1171.2223236</v>
      </c>
      <c r="O16" s="73" ph="1">
        <f>O15*9.0746*LOOKUP(O17,密度!$A$2:$A$50,密度!$G$2:$G$50)</f>
        <v>53216.006177520008</v>
      </c>
      <c r="P16" s="73" ph="1">
        <f ca="1">P15*9.0746*LOOKUP(P17,密度!$A$2:$A$51,密度!$Q$2:$Q$50)</f>
        <v>17849.263779912002</v>
      </c>
      <c r="Q16" s="73" ph="1">
        <f>Q15*9.0746*LOOKUP(Q17,密度!$A$2:$A$50,密度!$Q$2:$Q$50)</f>
        <v>44795.21295832</v>
      </c>
      <c r="R16" s="73" ph="1">
        <f>MAX(R15*9.0746*LOOKUP(R17,密度!$A$2:$A$50,密度!$B$2:$B$50),0)</f>
        <v>1134.5427904000001</v>
      </c>
      <c r="S16" s="73" ph="1">
        <f>S15*9.0746*LOOKUP(S17,密度!$A$2:$A$50,密度!$Q$2:$Q$50)</f>
        <v>0</v>
      </c>
      <c r="T16" s="73" ph="1">
        <f>T15*9.0746*LOOKUP(T17,密度!$A$2:$A$50,密度!$O$2:$O$50)</f>
        <v>27073.524624000001</v>
      </c>
      <c r="U16" s="73" ph="1">
        <f>U15*9.0746*LOOKUP(U17,密度!$A$2:$A$50,密度!$H$2:$H$50)</f>
        <v>56563.523574539999</v>
      </c>
      <c r="V16" s="73" ph="1">
        <f>MAX(5600*LOOKUP(V17,密度!$A$2:$A$50,密度!$Q$2:$Q$50)+V15*9.0476*LOOKUP(V17,密度!$A$2:$A$50,密度!$Q$2:$Q$50),0)</f>
        <v>4096.3891875200006</v>
      </c>
      <c r="W16" s="73" ph="1">
        <f>MAX(5600*LOOKUP(W17,密度!$A$2:$A$50,密度!$Q$2:$Q$50)+W15*9.0476*LOOKUP(W17,密度!$A$2:$A$50,密度!$Q$2:$Q$50),0)</f>
        <v>5066.6668722439999</v>
      </c>
      <c r="X16" s="73" ph="1">
        <f>MAX(5600*LOOKUP(X17,密度!$A$2:$A$50,密度!$I$2:$I$50)+X15*9.0476*LOOKUP(X17,密度!$A$2:$A$50,密度!$I$2:$I$50),0)</f>
        <v>5007.0124137600005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0</v>
      </c>
      <c r="AB16" s="73" ph="1">
        <f>AB15*9.0746*LOOKUP(AB17,密度!$A$2:$A$50,密度!$L$2:$L$50)</f>
        <v>119.29469159999999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2339.3856355199996</v>
      </c>
      <c r="AE16" s="73" ph="1">
        <f>AE15*268.68*LOOKUP(AE17,密度!$A$2:$A$50,密度!B2:B50)+IF(AE15&lt;=0,0,1566*LOOKUP(AE17,密度!$A$2:$A$50,密度!B2:B50))</f>
        <v>11553.659838239999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18" ph="1"/>
      <c r="C17" s="79" t="s" ph="1">
        <v>180</v>
      </c>
      <c r="D17" s="74">
        <v>23</v>
      </c>
      <c r="E17" s="74">
        <v>23</v>
      </c>
      <c r="F17" s="74">
        <v>24</v>
      </c>
      <c r="G17" s="74">
        <v>23</v>
      </c>
      <c r="H17" s="74">
        <v>21</v>
      </c>
      <c r="I17" s="74">
        <v>23</v>
      </c>
      <c r="J17" s="74">
        <v>23</v>
      </c>
      <c r="K17" s="74">
        <v>22</v>
      </c>
      <c r="L17" s="74">
        <v>24</v>
      </c>
      <c r="M17" s="74">
        <v>25</v>
      </c>
      <c r="N17" s="74">
        <v>22</v>
      </c>
      <c r="O17" s="74">
        <v>24</v>
      </c>
      <c r="P17" s="74">
        <v>24</v>
      </c>
      <c r="Q17" s="74">
        <v>23</v>
      </c>
      <c r="R17" s="74">
        <v>23</v>
      </c>
      <c r="S17" s="74">
        <v>23</v>
      </c>
      <c r="T17" s="74">
        <v>24</v>
      </c>
      <c r="U17" s="74">
        <v>24</v>
      </c>
      <c r="V17" s="74">
        <v>27</v>
      </c>
      <c r="W17" s="74">
        <v>26</v>
      </c>
      <c r="X17" s="74">
        <v>25</v>
      </c>
      <c r="Y17" s="108">
        <v>25</v>
      </c>
      <c r="Z17" s="74">
        <v>23</v>
      </c>
      <c r="AA17" s="74">
        <v>23</v>
      </c>
      <c r="AB17" s="74">
        <v>23</v>
      </c>
      <c r="AC17" s="74">
        <v>24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65" ph="1">
      <c r="B18" s="216" ph="1">
        <v>0.66666666666666663</v>
      </c>
      <c r="C18" s="79" t="s" ph="1">
        <v>181</v>
      </c>
      <c r="D18" s="71">
        <v>0</v>
      </c>
      <c r="E18" s="71">
        <v>5262</v>
      </c>
      <c r="F18" s="71">
        <v>2231</v>
      </c>
      <c r="G18" s="71">
        <v>2844</v>
      </c>
      <c r="H18" s="71">
        <v>1349</v>
      </c>
      <c r="I18" s="71">
        <v>5253</v>
      </c>
      <c r="J18" s="71">
        <v>1913</v>
      </c>
      <c r="K18" s="71">
        <v>2574</v>
      </c>
      <c r="L18" s="71">
        <v>4755</v>
      </c>
      <c r="M18" s="71">
        <v>4105</v>
      </c>
      <c r="N18" s="71">
        <v>958</v>
      </c>
      <c r="O18" s="71">
        <v>6101</v>
      </c>
      <c r="P18" s="71">
        <v>2075</v>
      </c>
      <c r="Q18" s="71">
        <v>5205</v>
      </c>
      <c r="R18" s="71">
        <v>159</v>
      </c>
      <c r="S18" s="71">
        <v>1629</v>
      </c>
      <c r="T18" s="71">
        <v>2805</v>
      </c>
      <c r="U18" s="71">
        <v>6807</v>
      </c>
      <c r="V18" s="71">
        <v>-141</v>
      </c>
      <c r="W18" s="71">
        <v>-27</v>
      </c>
      <c r="X18" s="71">
        <v>-87</v>
      </c>
      <c r="Y18" s="109">
        <v>-9905</v>
      </c>
      <c r="Z18" s="71">
        <v>0</v>
      </c>
      <c r="AA18" s="71">
        <v>6</v>
      </c>
      <c r="AB18" s="71">
        <v>3</v>
      </c>
      <c r="AC18" s="71">
        <v>0</v>
      </c>
      <c r="AD18" s="71">
        <v>8.76</v>
      </c>
      <c r="AE18" s="71">
        <v>84.56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4" ph="1">
      <c r="B19" s="217" ph="1"/>
      <c r="C19" s="146" t="s" ph="1">
        <v>179</v>
      </c>
      <c r="D19" s="73" ph="1">
        <f>D18*7.0686*LOOKUP(D20,密度!$A$2:$A$50,密度!$L$2:$L$50)</f>
        <v>0</v>
      </c>
      <c r="E19" s="73" ph="1">
        <f>E18*7.0686*LOOKUP(E20,密度!$A$2:$A$50,密度!$L$2:$L$50)</f>
        <v>34888.884861599996</v>
      </c>
      <c r="F19" s="73" ph="1">
        <f>F18*9.0746*LOOKUP(F20,密度!$A$2:$A$50,密度!$L$2:$L$50)</f>
        <v>18969.9703462</v>
      </c>
      <c r="G19" s="73" ph="1">
        <f>G18*9.0746*LOOKUP(G20,密度!$A$2:$A$50,密度!$B$2:$B$50)</f>
        <v>20120.043407040001</v>
      </c>
      <c r="H19" s="73" ph="1">
        <f>H18*9.0746*LOOKUP(H20,密度!$A$2:$A$50,密度!$L$2:$L$50)</f>
        <v>11458.170734400002</v>
      </c>
      <c r="I19" s="73" ph="1">
        <f>I18*9.0746*LOOKUP(I20,密度!$A$2:$A$50,密度!$U$2:$U$50)</f>
        <v>48955.933392599996</v>
      </c>
      <c r="J19" s="73" ph="1">
        <f>J18*9.0746*LOOKUP(J20,密度!$A$2:$A$50,密度!$L$2:$L$50)</f>
        <v>16283.407792399999</v>
      </c>
      <c r="K19" s="73" ph="1">
        <f>K18*9.0746*LOOKUP(K20,密度!$A$2:$A$50,密度!$C$2:$C$50)</f>
        <v>25918.059435840001</v>
      </c>
      <c r="L19" s="73" ph="1">
        <f>L18*9.0746*LOOKUP(L20,密度!$A$2:$A$50,密度!$E$2:$E$50)</f>
        <v>33794.863053599998</v>
      </c>
      <c r="M19" s="73" ph="1">
        <f>M18*9.0746*LOOKUP(M20,密度!$A$2:$A$50,密度!$M$2:$M$50)</f>
        <v>32561.302765299999</v>
      </c>
      <c r="N19" s="73" ph="1">
        <f>N18*9.0746*LOOKUP(N20,密度!$A$2:$A$50,密度!$M$2:$M$50)</f>
        <v>7607.6527966800004</v>
      </c>
      <c r="O19" s="73" ph="1">
        <f>O18*9.0746*LOOKUP(O20,密度!$A$2:$A$50,密度!$G$2:$G$50)</f>
        <v>53160.642042920008</v>
      </c>
      <c r="P19" s="73" ph="1">
        <f ca="1">P18*9.0746*LOOKUP(P20,密度!$A$2:$A$51,密度!$Q$2:$Q$50)</f>
        <v>17826.9201183</v>
      </c>
      <c r="Q19" s="73" ph="1">
        <f>Q18*9.0746*LOOKUP(Q20,密度!$A$2:$A$50,密度!$Q$2:$Q$50)</f>
        <v>44752.128118710003</v>
      </c>
      <c r="R19" s="73" ph="1">
        <f>MAX(R18*9.0746*LOOKUP(R20,密度!$A$2:$A$50,密度!$B$2:$B$50),0)</f>
        <v>1124.85474744</v>
      </c>
      <c r="S19" s="73" ph="1">
        <f>S18*9.0746*LOOKUP(S20,密度!$A$2:$A$50,密度!$Q$2:$Q$50)</f>
        <v>13995.206203716001</v>
      </c>
      <c r="T19" s="73" ph="1">
        <f>T18*9.0746*LOOKUP(T20,密度!$A$2:$A$50,密度!$O$2:$O$50)</f>
        <v>23570.638278000002</v>
      </c>
      <c r="U19" s="73" ph="1">
        <f>U18*9.0746*LOOKUP(U20,密度!$A$2:$A$50,密度!$H$2:$H$50)</f>
        <v>56563.523574539999</v>
      </c>
      <c r="V19" s="73" ph="1">
        <f>MAX(5600*LOOKUP(V20,密度!$A$2:$A$50,密度!$Q$2:$Q$50)+V18*9.0476*LOOKUP(V20,密度!$A$2:$A$50,密度!$Q$2:$Q$50),0)</f>
        <v>4087.8363102880003</v>
      </c>
      <c r="W19" s="73" ph="1">
        <f>MAX(5600*LOOKUP(W20,密度!$A$2:$A$50,密度!$Q$2:$Q$50)+W18*9.0476*LOOKUP(W20,密度!$A$2:$A$50,密度!$Q$2:$Q$50),0)</f>
        <v>5066.6668722439999</v>
      </c>
      <c r="X19" s="73" ph="1">
        <f>MAX(5600*LOOKUP(X20,密度!$A$2:$A$50,密度!$I$2:$I$50)+X18*9.0476*LOOKUP(X20,密度!$A$2:$A$50,密度!$I$2:$I$50),0)</f>
        <v>5010.1860108000001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42.496351799999999</v>
      </c>
      <c r="AB19" s="73" ph="1">
        <f>AB18*9.0746*LOOKUP(AB20,密度!$A$2:$A$50,密度!$L$2:$L$50)</f>
        <v>25.508700600000001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3045.5577936</v>
      </c>
      <c r="AE19" s="73" ph="1">
        <f>AE18*268.68*LOOKUP(AE20,密度!$A$2:$A$50,密度!B5:B53)+IF(AE18&lt;=0,0,1566*LOOKUP(AE20,密度!$A$2:$A$50,密度!B5:B53))</f>
        <v>18869.896281599998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17" ph="1"/>
      <c r="C20" s="80" t="s" ph="1">
        <v>180</v>
      </c>
      <c r="D20" s="81">
        <v>24</v>
      </c>
      <c r="E20" s="81">
        <v>24</v>
      </c>
      <c r="F20" s="81">
        <v>25</v>
      </c>
      <c r="G20" s="81">
        <v>25</v>
      </c>
      <c r="H20" s="81">
        <v>26</v>
      </c>
      <c r="I20" s="81">
        <v>23</v>
      </c>
      <c r="J20" s="81">
        <v>24</v>
      </c>
      <c r="K20" s="81">
        <v>24</v>
      </c>
      <c r="L20" s="81">
        <v>25</v>
      </c>
      <c r="M20" s="81">
        <v>26</v>
      </c>
      <c r="N20" s="81">
        <v>25</v>
      </c>
      <c r="O20" s="81">
        <v>25</v>
      </c>
      <c r="P20" s="81">
        <v>25</v>
      </c>
      <c r="Q20" s="81">
        <v>24</v>
      </c>
      <c r="R20" s="81">
        <v>25</v>
      </c>
      <c r="S20" s="81">
        <v>25</v>
      </c>
      <c r="T20" s="81">
        <v>25</v>
      </c>
      <c r="U20" s="81">
        <v>24</v>
      </c>
      <c r="V20" s="81">
        <v>27</v>
      </c>
      <c r="W20" s="81">
        <v>26</v>
      </c>
      <c r="X20" s="81">
        <v>26</v>
      </c>
      <c r="Y20" s="110">
        <v>26</v>
      </c>
      <c r="Z20" s="81">
        <v>25</v>
      </c>
      <c r="AA20" s="81">
        <v>24</v>
      </c>
      <c r="AB20" s="81">
        <v>25</v>
      </c>
      <c r="AC20" s="81">
        <v>25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15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633</v>
      </c>
      <c r="H23" s="88" t="s" ph="1">
        <v>633</v>
      </c>
      <c r="I23" s="88" t="s" ph="1">
        <v>634</v>
      </c>
      <c r="J23" s="88" t="s" ph="1">
        <v>635</v>
      </c>
      <c r="K23" s="88" t="s" ph="1">
        <v>635</v>
      </c>
      <c r="L23" s="88" t="s" ph="1">
        <v>635</v>
      </c>
      <c r="M23" s="88" t="s" ph="1">
        <v>630</v>
      </c>
      <c r="N23" s="88" t="s" ph="1">
        <v>630</v>
      </c>
      <c r="O23" s="88" t="s" ph="1">
        <v>321</v>
      </c>
      <c r="P23" s="88" t="s" ph="1">
        <v>637</v>
      </c>
      <c r="Q23" s="89" t="s" ph="1">
        <v>637</v>
      </c>
      <c r="R23" s="88" t="s" ph="1">
        <v>616</v>
      </c>
      <c r="S23" s="88" t="s" ph="1">
        <v>636</v>
      </c>
      <c r="T23" s="88" t="s" ph="1">
        <v>607</v>
      </c>
      <c r="U23" s="88" t="s" ph="1">
        <v>611</v>
      </c>
      <c r="V23" s="88" t="s" ph="1">
        <v>637</v>
      </c>
      <c r="W23" s="88" t="s" ph="1">
        <v>637</v>
      </c>
      <c r="X23" s="88" t="s" ph="1">
        <v>190</v>
      </c>
      <c r="Y23" s="88" t="s" ph="1">
        <v>638</v>
      </c>
      <c r="Z23" s="228" t="s" ph="1">
        <v>649</v>
      </c>
      <c r="AA23" s="229"/>
      <c r="AB23" s="229"/>
      <c r="AC23" s="229"/>
      <c r="AD23" s="229"/>
      <c r="AE23" s="230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37" ph="1">
        <v>0.33333333333333331</v>
      </c>
      <c r="C24" s="146" t="s" ph="1">
        <v>178</v>
      </c>
      <c r="D24" s="71">
        <v>85.31</v>
      </c>
      <c r="E24" s="71">
        <v>4.45</v>
      </c>
      <c r="F24" s="71">
        <v>3832</v>
      </c>
      <c r="G24" s="71">
        <v>2778</v>
      </c>
      <c r="H24" s="71">
        <v>1622</v>
      </c>
      <c r="I24" s="71">
        <v>4392</v>
      </c>
      <c r="J24" s="71">
        <v>2217</v>
      </c>
      <c r="K24" s="71">
        <v>5493</v>
      </c>
      <c r="L24" s="71">
        <v>5592</v>
      </c>
      <c r="M24" s="71">
        <v>5414</v>
      </c>
      <c r="N24" s="71">
        <v>3602</v>
      </c>
      <c r="O24" s="71">
        <v>5154</v>
      </c>
      <c r="P24" s="71">
        <v>363</v>
      </c>
      <c r="Q24" s="90">
        <v>2461</v>
      </c>
      <c r="R24" s="71">
        <v>71</v>
      </c>
      <c r="S24" s="71">
        <v>2749</v>
      </c>
      <c r="T24" s="71">
        <v>1759</v>
      </c>
      <c r="U24" s="71">
        <v>6382</v>
      </c>
      <c r="V24" s="71">
        <v>9557</v>
      </c>
      <c r="W24" s="71">
        <v>10724</v>
      </c>
      <c r="X24" s="71">
        <v>4210</v>
      </c>
      <c r="Y24" s="71">
        <v>6668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37" ph="1"/>
      <c r="C25" s="68" t="s" ph="1">
        <v>179</v>
      </c>
      <c r="D25" s="91" ph="1">
        <f>D24*268.68*LOOKUP(D26,密度!$A$2:$A$50,密度!$Q$2:$Q$50)+IF(D24&lt;=0,0,1566*LOOKUP(D26,密度!$A$2:$A$50,密度!$Q$2:$Q$50))</f>
        <v>23182.908343992003</v>
      </c>
      <c r="E25" s="91" ph="1">
        <f>E24*268.68*LOOKUP(E26,密度!$A$2:$A$50,密度!$C$2:$C$50)+IF(E24&lt;=0,0,1566*LOOKUP(E26,密度!$A$2:$A$50,密度!$C$2:$C$50))</f>
        <v>3062.3670714</v>
      </c>
      <c r="F25" s="91" ph="1">
        <f>F24*11.702*LOOKUP(F26,密度!$A$2:$A$50,密度!$Q$2:$Q$50)</f>
        <v>42486.510378079998</v>
      </c>
      <c r="G25" s="91" ph="1">
        <f>G24*18.322*LOOKUP(G26,密度!$A$2:$A$50,密度!$B$2:$B$50)</f>
        <v>39726.291737999993</v>
      </c>
      <c r="H25" s="91" ph="1">
        <f>H24*18.322*LOOKUP(H26,密度!$A$2:$A$50,密度!$B$2:$B$50)</f>
        <v>23168.3742064</v>
      </c>
      <c r="I25" s="91" ph="1">
        <f>I24*18.322*LOOKUP(I26,密度!$A$2:$A$50,密度!$Q$2:$Q$50)</f>
        <v>76184.37986976</v>
      </c>
      <c r="J25" s="91" ph="1">
        <f>J24*18.322*LOOKUP(J26,密度!$A$2:$A$50,密度!$Q$2:$Q$50)</f>
        <v>38486.112018779997</v>
      </c>
      <c r="K25" s="91" ph="1">
        <f>K24*18.322*LOOKUP(K26,密度!$A$2:$A$50,密度!$Q$2:$Q$50)</f>
        <v>95355.98255262</v>
      </c>
      <c r="L25" s="91" ph="1">
        <f>L24*18.322*LOOKUP(L26,密度!$A$2:$A$50,密度!$Q$2:$Q$50)</f>
        <v>97074.577541279999</v>
      </c>
      <c r="M25" s="91" ph="1">
        <f>M24*18.322*LOOKUP(M26,密度!$A$2:$A$50,密度!$Q$2:$Q$50)</f>
        <v>93984.578470759996</v>
      </c>
      <c r="N25" s="91" ph="1">
        <f>N24*18.322*LOOKUP(N26,密度!$A$2:$A$50,密度!$Q$2:$Q$50)</f>
        <v>62529.082314680003</v>
      </c>
      <c r="O25" s="91" ph="1">
        <f>O24*18.322*LOOKUP(O26,密度!$A$2:$A$50,密度!$C$2:$C$50)</f>
        <v>104715.18793319998</v>
      </c>
      <c r="P25" s="91" ph="1">
        <f>P24*11.702*LOOKUP(P26,密度!$A$2:$A$50,密度!$B$2:$B$50)</f>
        <v>3319.2512363999999</v>
      </c>
      <c r="Q25" s="92" ph="1">
        <f>Q24*18.322*LOOKUP(Q26,密度!$A$2:$A$50,密度!$B$2:$B$50)</f>
        <v>35193.089980999997</v>
      </c>
      <c r="R25" s="91" ph="1">
        <f>R24*35.891*LOOKUP(R26,密度!$A$2:$A$50,密度!$C$2:$C$50)</f>
        <v>2827.5504056</v>
      </c>
      <c r="S25" s="91" ph="1">
        <f>S24*35.891*LOOKUP(S26,密度!$A$2:$A$50,密度!$B$2:$B$50)</f>
        <v>76918.734276399991</v>
      </c>
      <c r="T25" s="91" ph="1">
        <f>T24*35.891*LOOKUP(T26,密度!$A$2:$A$50,密度!$Q$2:$Q$50)</f>
        <v>59769.844353060005</v>
      </c>
      <c r="U25" s="91" ph="1">
        <f>U24*35.891</f>
        <v>229056.36199999999</v>
      </c>
      <c r="V25" s="91" ph="1">
        <f>V24*47.051*LOOKUP(V26,密度!$A$2:$A$50,密度!$B$2:$B$50)</f>
        <v>350964.63066349999</v>
      </c>
      <c r="W25" s="91" ph="1">
        <f>W24*47.051*LOOKUP(W26,密度!$A$2:$A$50,密度!$B$2:$B$50)</f>
        <v>393820.72818199999</v>
      </c>
      <c r="X25" s="91" ph="1">
        <f>X24*47.051*LOOKUP(X26,密度!$A$2:$A$50,密度!$I$2:$I$50)</f>
        <v>206206.18311000001</v>
      </c>
      <c r="Y25" s="91" ph="1">
        <f>Y24*47.051*LOOKUP(Y26,密度!$A$2:$A$50,密度!$L$2:$L$50)</f>
        <v>293343.22358000005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37" ph="1"/>
      <c r="C26" s="68" t="s" ph="1">
        <v>180</v>
      </c>
      <c r="D26" s="74">
        <v>25</v>
      </c>
      <c r="E26" s="74">
        <v>25</v>
      </c>
      <c r="F26" s="74">
        <v>24</v>
      </c>
      <c r="G26" s="74">
        <v>24</v>
      </c>
      <c r="H26" s="74">
        <v>25</v>
      </c>
      <c r="I26" s="74">
        <v>25</v>
      </c>
      <c r="J26" s="74">
        <v>24</v>
      </c>
      <c r="K26" s="74">
        <v>24</v>
      </c>
      <c r="L26" s="74">
        <v>24</v>
      </c>
      <c r="M26" s="74">
        <v>24</v>
      </c>
      <c r="N26" s="74">
        <v>24</v>
      </c>
      <c r="O26" s="74">
        <v>25</v>
      </c>
      <c r="P26" s="74">
        <v>23</v>
      </c>
      <c r="Q26" s="93">
        <v>24</v>
      </c>
      <c r="R26" s="74">
        <v>24</v>
      </c>
      <c r="S26" s="74">
        <v>25</v>
      </c>
      <c r="T26" s="74">
        <v>25</v>
      </c>
      <c r="U26" s="74">
        <v>25</v>
      </c>
      <c r="V26" s="74">
        <v>24</v>
      </c>
      <c r="W26" s="74">
        <v>24</v>
      </c>
      <c r="X26" s="74">
        <v>26</v>
      </c>
      <c r="Y26" s="74">
        <v>27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65" ph="1">
      <c r="A27" s="72" ph="1"/>
      <c r="B27" s="237" ph="1">
        <v>0.66666666666666663</v>
      </c>
      <c r="C27" s="146" t="s" ph="1">
        <v>181</v>
      </c>
      <c r="D27" s="71">
        <v>85.32</v>
      </c>
      <c r="E27" s="71">
        <v>4.41</v>
      </c>
      <c r="F27" s="71">
        <v>3832</v>
      </c>
      <c r="G27" s="71">
        <v>2221</v>
      </c>
      <c r="H27" s="71">
        <v>537</v>
      </c>
      <c r="I27" s="71">
        <v>3495</v>
      </c>
      <c r="J27" s="71">
        <v>1611</v>
      </c>
      <c r="K27" s="71">
        <v>5492</v>
      </c>
      <c r="L27" s="71">
        <v>5591</v>
      </c>
      <c r="M27" s="71">
        <v>5413</v>
      </c>
      <c r="N27" s="71">
        <v>4411</v>
      </c>
      <c r="O27" s="71">
        <v>5153</v>
      </c>
      <c r="P27" s="71">
        <v>361</v>
      </c>
      <c r="Q27" s="90">
        <v>2401</v>
      </c>
      <c r="R27" s="71">
        <v>70</v>
      </c>
      <c r="S27" s="71">
        <v>3550</v>
      </c>
      <c r="T27" s="71">
        <v>1759</v>
      </c>
      <c r="U27" s="71">
        <v>6336</v>
      </c>
      <c r="V27" s="71">
        <v>9555</v>
      </c>
      <c r="W27" s="71">
        <v>10722</v>
      </c>
      <c r="X27" s="71">
        <v>4803</v>
      </c>
      <c r="Y27" s="71">
        <v>7277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37" ph="1"/>
      <c r="C28" s="146" t="s" ph="1">
        <v>179</v>
      </c>
      <c r="D28" s="91" ph="1">
        <f>D27*268.68*LOOKUP(D29,密度!$A$2:$A$50,密度!$Q$2:$Q$50)+IF(D27&lt;=0,0,1566*LOOKUP(D29,密度!$A$2:$A$50,密度!$Q$2:$Q$50))</f>
        <v>23185.452045024002</v>
      </c>
      <c r="E28" s="91" ph="1">
        <f>E27*268.68*LOOKUP(E29,密度!$A$2:$A$50,密度!$C$2:$C$50)+IF(E27&lt;=0,0,1566*LOOKUP(E29,密度!$A$2:$A$50,密度!$C$2:$C$50))</f>
        <v>3050.4495013199999</v>
      </c>
      <c r="F28" s="91" ph="1">
        <f>F27*11.702*LOOKUP(F29,密度!$A$2:$A$50,密度!$Q$2:$Q$50)</f>
        <v>42486.510378079998</v>
      </c>
      <c r="G28" s="91" ph="1">
        <f>G27*18.322*LOOKUP(G29,密度!$A$2:$A$50,密度!$B$2:$B$50)</f>
        <v>31761.012940999997</v>
      </c>
      <c r="H28" s="91" ph="1">
        <f>H27*18.322*LOOKUP(H29,密度!$A$2:$A$50,密度!$B$2:$B$50)</f>
        <v>7679.2723769999984</v>
      </c>
      <c r="I28" s="91" ph="1">
        <f>I27*18.322*LOOKUP(I29,密度!$A$2:$A$50,密度!$Q$2:$Q$50)</f>
        <v>60624.865128600002</v>
      </c>
      <c r="J28" s="91" ph="1">
        <f>J27*18.322*LOOKUP(J29,密度!$A$2:$A$50,密度!$Q$2:$Q$50)</f>
        <v>27966.227542739998</v>
      </c>
      <c r="K28" s="91" ph="1">
        <f>K27*18.322*LOOKUP(K29,密度!$A$2:$A$50,密度!$Q$2:$Q$50)</f>
        <v>95265.167177759999</v>
      </c>
      <c r="L28" s="91" ph="1">
        <f>L27*18.322*LOOKUP(L29,密度!$A$2:$A$50,密度!$Q$2:$Q$50)</f>
        <v>96982.438035479994</v>
      </c>
      <c r="M28" s="91" ph="1">
        <f>M27*18.322*LOOKUP(M29,密度!$A$2:$A$50,密度!$Q$2:$Q$50)</f>
        <v>93967.218925419991</v>
      </c>
      <c r="N28" s="91" ph="1">
        <f>N27*18.322*LOOKUP(N29,密度!$A$2:$A$50,密度!$Q$2:$Q$50)</f>
        <v>76456.576082259999</v>
      </c>
      <c r="O28" s="91" ph="1">
        <f>O27*18.322*LOOKUP(O29,密度!$A$2:$A$50,密度!$C$2:$C$50)</f>
        <v>104760.95995359997</v>
      </c>
      <c r="P28" s="91" ph="1">
        <f>P27*11.702*LOOKUP(P29,密度!$A$2:$A$50,密度!$B$2:$B$50)</f>
        <v>3289.5574113999996</v>
      </c>
      <c r="Q28" s="92" ph="1">
        <f>Q27*18.322*LOOKUP(Q29,密度!$A$2:$A$50,密度!$B$2:$B$50)</f>
        <v>34255.886701399992</v>
      </c>
      <c r="R28" s="91" ph="1">
        <f>R27*35.891*LOOKUP(R29,密度!$A$2:$A$50,密度!$C$2:$C$50)</f>
        <v>2785.9670929999997</v>
      </c>
      <c r="S28" s="91" ph="1">
        <f>S27*35.891*LOOKUP(S29,密度!$A$2:$A$50,密度!$B$2:$B$50)</f>
        <v>99445.885524999991</v>
      </c>
      <c r="T28" s="91" ph="1">
        <f>T27*35.891*LOOKUP(T29,密度!$A$2:$A$50,密度!$Q$2:$Q$50)</f>
        <v>59769.844353060005</v>
      </c>
      <c r="U28" s="91" ph="1">
        <f>U27*35.891</f>
        <v>227405.37599999999</v>
      </c>
      <c r="V28" s="91" ph="1">
        <f>V27*47.051*LOOKUP(V29,密度!$A$2:$A$50,密度!$B$2:$B$50)</f>
        <v>350891.1840525</v>
      </c>
      <c r="W28" s="91" ph="1">
        <f>W27*47.051*LOOKUP(W29,密度!$A$2:$A$50,密度!$B$2:$B$50)</f>
        <v>391981.59869400004</v>
      </c>
      <c r="X28" s="91" ph="1">
        <f>X27*47.051*LOOKUP(X29,密度!$A$2:$A$50,密度!$I$2:$I$50)</f>
        <v>234257.03887980001</v>
      </c>
      <c r="Y28" s="91" ph="1">
        <f>Y27*47.051*LOOKUP(Y29,密度!$A$2:$A$50,密度!$L$2:$L$50)</f>
        <v>319792.37861800008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37" ph="1"/>
      <c r="C29" s="146" t="s" ph="1">
        <v>180</v>
      </c>
      <c r="D29" s="74">
        <v>25</v>
      </c>
      <c r="E29" s="74">
        <v>25</v>
      </c>
      <c r="F29" s="74">
        <v>24</v>
      </c>
      <c r="G29" s="74">
        <v>24</v>
      </c>
      <c r="H29" s="74">
        <v>24</v>
      </c>
      <c r="I29" s="74">
        <v>25</v>
      </c>
      <c r="J29" s="74">
        <v>24</v>
      </c>
      <c r="K29" s="74">
        <v>25</v>
      </c>
      <c r="L29" s="74">
        <v>25</v>
      </c>
      <c r="M29" s="74">
        <v>24</v>
      </c>
      <c r="N29" s="74">
        <v>26</v>
      </c>
      <c r="O29" s="74">
        <v>24</v>
      </c>
      <c r="P29" s="74">
        <v>26</v>
      </c>
      <c r="Q29" s="93">
        <v>26</v>
      </c>
      <c r="R29" s="74">
        <v>25</v>
      </c>
      <c r="S29" s="74">
        <v>24</v>
      </c>
      <c r="T29" s="74">
        <v>25</v>
      </c>
      <c r="U29" s="74">
        <v>25</v>
      </c>
      <c r="V29" s="74">
        <v>24</v>
      </c>
      <c r="W29" s="74">
        <v>28</v>
      </c>
      <c r="X29" s="74">
        <v>30</v>
      </c>
      <c r="Y29" s="74">
        <v>28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45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46" t="s" ph="1">
        <v>5</v>
      </c>
      <c r="F32" s="145" t="s" ph="1">
        <v>43</v>
      </c>
      <c r="G32" s="97" t="s" ph="1">
        <v>4</v>
      </c>
      <c r="H32" s="146" t="s" ph="1">
        <v>5</v>
      </c>
      <c r="I32" s="145" t="s" ph="1">
        <v>43</v>
      </c>
      <c r="J32" s="97" t="s" ph="1">
        <v>4</v>
      </c>
      <c r="K32" s="146" t="s" ph="1">
        <v>5</v>
      </c>
      <c r="L32" s="145" t="s" ph="1">
        <v>43</v>
      </c>
      <c r="M32" s="97" t="s" ph="1">
        <v>4</v>
      </c>
      <c r="N32" s="146" t="s" ph="1">
        <v>5</v>
      </c>
      <c r="O32" s="14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6" t="s" ph="1">
        <v>5</v>
      </c>
      <c r="U32" s="99" t="s" ph="1">
        <v>43</v>
      </c>
      <c r="V32" s="97" t="s" ph="1">
        <v>4</v>
      </c>
      <c r="W32" s="146" t="s" ph="1">
        <v>5</v>
      </c>
      <c r="X32" s="99" t="s" ph="1">
        <v>43</v>
      </c>
      <c r="Y32" s="100" t="s" ph="1">
        <v>4</v>
      </c>
      <c r="Z32" s="146" t="s" ph="1">
        <v>5</v>
      </c>
      <c r="AA32" s="145" t="s" ph="1">
        <v>43</v>
      </c>
      <c r="AB32" s="97" t="s" ph="1">
        <v>85</v>
      </c>
      <c r="AC32" s="146" t="s" ph="1">
        <v>84</v>
      </c>
      <c r="AD32" s="204" t="s" ph="1">
        <v>83</v>
      </c>
      <c r="AE32" s="205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06" t="s" ph="1">
        <v>182</v>
      </c>
      <c r="C33" s="207" ph="1"/>
      <c r="D33" s="186" ph="1">
        <f>AA10+AB10+Z19</f>
        <v>65639.601133600008</v>
      </c>
      <c r="E33" s="186" ph="1">
        <f>M10+I10</f>
        <v>176656.40737679999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1522252632456786910111213141516171819202123456789101112131415161718192022232424356789101112131415161718192021222345678910111213141516171819202345678910111213149101516171819222123234567891012131415161711181920212224252345678910111213139[[#This Row],[F25]]</f>
        <v>3880</v>
      </c>
      <c r="G33" s="212" ph="1">
        <v>0</v>
      </c>
      <c r="H33" s="186" ph="1">
        <f>N19</f>
        <v>7607.6527966800004</v>
      </c>
      <c r="I33" s="190" ph="1">
        <v>0</v>
      </c>
      <c r="J33" s="194" ph="1">
        <f>F10+O28</f>
        <v>355456.39128669997</v>
      </c>
      <c r="K33" s="186" ph="1">
        <f>O10+K10+E28+R28</f>
        <v>71096.630590320012</v>
      </c>
      <c r="L33" s="196" ph="1">
        <f>BE27</f>
        <v>7100</v>
      </c>
      <c r="M33" s="194" ph="1">
        <f>G10+H10+W28+S28+V28+E10</f>
        <v>1364818.2646694998</v>
      </c>
      <c r="N33" s="186" ph="1">
        <f>L10+P10++G28+H28</f>
        <v>199919.32410999999</v>
      </c>
      <c r="O33" s="190" ph="1">
        <f>BE17</f>
        <v>2270</v>
      </c>
      <c r="P33" s="194" ph="1">
        <f>L19</f>
        <v>33794.863053599998</v>
      </c>
      <c r="Q33" s="186" ph="1">
        <f>J10+N10</f>
        <v>62634.759824799999</v>
      </c>
      <c r="R33" s="190" ph="1">
        <f>BE23</f>
        <v>890</v>
      </c>
      <c r="S33" s="194" ph="1">
        <f>E10+X28</f>
        <v>559040.20951379999</v>
      </c>
      <c r="T33" s="186" ph="1">
        <f>X19</f>
        <v>5010.1860108000001</v>
      </c>
      <c r="U33" s="175" ph="1">
        <f>BE21</f>
        <v>730</v>
      </c>
      <c r="V33" s="188" ph="1">
        <f ca="1">P19+Q19+S19+M28+N28+J28</f>
        <v>274964.27699114598</v>
      </c>
      <c r="W33" s="188" ph="1">
        <f>D28+F28+V19+T28</f>
        <v>129529.64308645201</v>
      </c>
      <c r="X33" s="190" ph="1">
        <f>BE29+BE31</f>
        <v>10200</v>
      </c>
      <c r="Y33" s="192" ph="1">
        <f>+Q10+R10+S10+T10+U10+V10+W10+X10+Y10</f>
        <v>83234.178720000011</v>
      </c>
      <c r="Z33" s="173" ph="1">
        <f>D10+T19+U19+Y28+Z10</f>
        <v>608525.09418892011</v>
      </c>
      <c r="AA33" s="175" ph="1">
        <f>BE19</f>
        <v>1440</v>
      </c>
      <c r="AB33" s="177" ph="1">
        <f>I19</f>
        <v>48955.933392599996</v>
      </c>
      <c r="AC33" s="179" ph="1">
        <f>AD10</f>
        <v>87060.949231999999</v>
      </c>
      <c r="AD33" s="181" ph="1">
        <v>0</v>
      </c>
      <c r="AE33" s="182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85" t="s" ph="1">
        <v>639</v>
      </c>
      <c r="AD35" s="185"/>
      <c r="AE35" s="185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45" ph="1">
      <c r="A36" s="64"/>
      <c r="B36" s="103" t="s" ph="1">
        <v>183</v>
      </c>
      <c r="I36" s="171" t="s" ph="1">
        <v>184</v>
      </c>
      <c r="J36" s="171" ph="1"/>
      <c r="K36" s="101" ph="1"/>
      <c r="P36" s="101" ph="1"/>
      <c r="R36" s="171" t="s" ph="1">
        <v>185</v>
      </c>
      <c r="S36" s="171" ph="1"/>
      <c r="Y36" s="102" ph="1"/>
      <c r="Z36" s="144" t="s" ph="1">
        <v>186</v>
      </c>
      <c r="AA36" s="144" ph="1"/>
      <c r="AB36" s="172" t="s" ph="1">
        <v>644</v>
      </c>
      <c r="AC36" s="172" ph="1"/>
      <c r="AD36" s="172" ph="1"/>
      <c r="AE36" s="172" ph="1"/>
      <c r="BA36" s="64" ph="1">
        <v>2270</v>
      </c>
    </row>
    <row r="37" spans="1:57" s="144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4" t="s" ph="1">
        <v>345</v>
      </c>
      <c r="AI37" s="144" t="s" ph="1">
        <v>212</v>
      </c>
      <c r="AJ37" s="144" t="s" ph="1">
        <v>213</v>
      </c>
      <c r="AK37" s="144" t="s" ph="1">
        <v>214</v>
      </c>
      <c r="AM37" s="144" t="s" ph="1">
        <v>213</v>
      </c>
      <c r="AN37" s="144" t="s" ph="1">
        <v>214</v>
      </c>
      <c r="AO37" s="144" t="s" ph="1">
        <v>215</v>
      </c>
      <c r="AP37" s="144" t="s" ph="1">
        <v>213</v>
      </c>
      <c r="AQ37" s="144" t="s" ph="1">
        <v>214</v>
      </c>
      <c r="AR37" s="144" t="s" ph="1">
        <v>215</v>
      </c>
      <c r="AS37" s="144" t="s" ph="1">
        <v>213</v>
      </c>
      <c r="AT37" s="144" t="s" ph="1">
        <v>214</v>
      </c>
      <c r="AU37" s="144" t="s" ph="1">
        <v>215</v>
      </c>
      <c r="AV37" s="144" t="s" ph="1">
        <v>213</v>
      </c>
      <c r="AW37" s="144" t="s" ph="1">
        <v>214</v>
      </c>
      <c r="AX37" s="144" t="s" ph="1">
        <v>215</v>
      </c>
      <c r="AY37" s="144" t="s" ph="1">
        <v>214</v>
      </c>
      <c r="AZ37" s="144" t="s" ph="1">
        <v>216</v>
      </c>
      <c r="BD37" s="144" t="s" ph="1">
        <v>308</v>
      </c>
      <c r="BE37" s="144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031" priority="97">
      <formula>ABS(D$7-D$10)&gt;=1000</formula>
    </cfRule>
  </conditionalFormatting>
  <conditionalFormatting sqref="E4 E6:E11">
    <cfRule type="expression" dxfId="2030" priority="96">
      <formula>ABS(E$7-E$10)&gt;=1000</formula>
    </cfRule>
  </conditionalFormatting>
  <conditionalFormatting sqref="F4:F11">
    <cfRule type="expression" dxfId="2029" priority="95">
      <formula>ABS(F$7-F$10)&gt;=1000</formula>
    </cfRule>
  </conditionalFormatting>
  <conditionalFormatting sqref="G4:G11">
    <cfRule type="expression" dxfId="2028" priority="94">
      <formula>ABS(G$7-G$10)&gt;=1000</formula>
    </cfRule>
  </conditionalFormatting>
  <conditionalFormatting sqref="H4:H11">
    <cfRule type="expression" dxfId="2027" priority="93">
      <formula>ABS(H$7-H$10)&gt;=1000</formula>
    </cfRule>
  </conditionalFormatting>
  <conditionalFormatting sqref="I4:I11">
    <cfRule type="expression" dxfId="2026" priority="92">
      <formula>ABS(I$7-I$10)&gt;=1000</formula>
    </cfRule>
  </conditionalFormatting>
  <conditionalFormatting sqref="J4:J11">
    <cfRule type="expression" dxfId="2025" priority="91">
      <formula>ABS(J$7-J$10)&gt;=1000</formula>
    </cfRule>
  </conditionalFormatting>
  <conditionalFormatting sqref="K4:K11">
    <cfRule type="expression" dxfId="2024" priority="90">
      <formula>ABS(K$7-K$10)&gt;=1000</formula>
    </cfRule>
  </conditionalFormatting>
  <conditionalFormatting sqref="L4:L11">
    <cfRule type="expression" dxfId="2023" priority="89">
      <formula>ABS(L$7-L$10)&gt;=1000</formula>
    </cfRule>
  </conditionalFormatting>
  <conditionalFormatting sqref="M4 M6:M11">
    <cfRule type="expression" dxfId="2022" priority="88">
      <formula>ABS(M$7-M$10)&gt;=1000</formula>
    </cfRule>
  </conditionalFormatting>
  <conditionalFormatting sqref="N4 N6:N11">
    <cfRule type="expression" dxfId="2021" priority="87">
      <formula>ABS(N$7-N$10)&gt;=1000</formula>
    </cfRule>
  </conditionalFormatting>
  <conditionalFormatting sqref="O4 O6:O11">
    <cfRule type="expression" dxfId="2020" priority="86">
      <formula>ABS(O$7-O$10)&gt;=1000</formula>
    </cfRule>
  </conditionalFormatting>
  <conditionalFormatting sqref="P4 P6:P11">
    <cfRule type="expression" dxfId="2019" priority="85">
      <formula>ABS(P$7-P$10)&gt;=1000</formula>
    </cfRule>
  </conditionalFormatting>
  <conditionalFormatting sqref="Q4:Q11">
    <cfRule type="expression" dxfId="2018" priority="84">
      <formula>ABS(Q$7-Q$10)&gt;=1000</formula>
    </cfRule>
  </conditionalFormatting>
  <conditionalFormatting sqref="R4:R11">
    <cfRule type="expression" dxfId="2017" priority="83">
      <formula>ABS(R$7-R$10)&gt;=1000</formula>
    </cfRule>
  </conditionalFormatting>
  <conditionalFormatting sqref="S4:S11">
    <cfRule type="expression" dxfId="2016" priority="82">
      <formula>ABS(S$7-S$10)&gt;=1000</formula>
    </cfRule>
  </conditionalFormatting>
  <conditionalFormatting sqref="T4:T9 T11">
    <cfRule type="expression" dxfId="2015" priority="81">
      <formula>ABS(T$7-T$10)&gt;=1000</formula>
    </cfRule>
  </conditionalFormatting>
  <conditionalFormatting sqref="U4:U9 U11">
    <cfRule type="expression" dxfId="2014" priority="80">
      <formula>ABS(U$7-U$10)&gt;=1000</formula>
    </cfRule>
  </conditionalFormatting>
  <conditionalFormatting sqref="V4:V9 V11">
    <cfRule type="expression" dxfId="2013" priority="79">
      <formula>ABS(V$7-V$10)&gt;=1000</formula>
    </cfRule>
  </conditionalFormatting>
  <conditionalFormatting sqref="W4:W9 W11">
    <cfRule type="expression" dxfId="2012" priority="78">
      <formula>ABS(W$7-W$10)&gt;=1000</formula>
    </cfRule>
  </conditionalFormatting>
  <conditionalFormatting sqref="X4:X9 X11">
    <cfRule type="expression" dxfId="2011" priority="77">
      <formula>ABS(X$7-X$10)&gt;=1000</formula>
    </cfRule>
  </conditionalFormatting>
  <conditionalFormatting sqref="Y4:Y9 Y11">
    <cfRule type="expression" dxfId="2010" priority="76">
      <formula>ABS(Y$7-Y$10)&gt;=1000</formula>
    </cfRule>
  </conditionalFormatting>
  <conditionalFormatting sqref="Z4:Z11">
    <cfRule type="expression" dxfId="2009" priority="75">
      <formula>ABS(Z$7-Z$10)&gt;=1000</formula>
    </cfRule>
  </conditionalFormatting>
  <conditionalFormatting sqref="AA4:AA11">
    <cfRule type="expression" dxfId="2008" priority="74">
      <formula>ABS(AA$7-AA$10)&gt;=1000</formula>
    </cfRule>
  </conditionalFormatting>
  <conditionalFormatting sqref="AB4:AB11">
    <cfRule type="expression" dxfId="2007" priority="73">
      <formula>ABS(AB$7-AB$10)&gt;=1000</formula>
    </cfRule>
  </conditionalFormatting>
  <conditionalFormatting sqref="AC4 AC6:AC11">
    <cfRule type="expression" dxfId="2006" priority="72">
      <formula>ABS(AC$7-AC$10)&gt;=1000</formula>
    </cfRule>
  </conditionalFormatting>
  <conditionalFormatting sqref="AD4:AD11">
    <cfRule type="expression" dxfId="2005" priority="71">
      <formula>ABS(AD$7-AD$10)&gt;=1000</formula>
    </cfRule>
  </conditionalFormatting>
  <conditionalFormatting sqref="AE4:AE11">
    <cfRule type="expression" dxfId="2004" priority="70">
      <formula>ABS(AE$7-AE$10)&gt;=1000</formula>
    </cfRule>
  </conditionalFormatting>
  <conditionalFormatting sqref="D13:D20">
    <cfRule type="expression" dxfId="2003" priority="69">
      <formula>ABS(D$16-D$19)&gt;=1000</formula>
    </cfRule>
  </conditionalFormatting>
  <conditionalFormatting sqref="E13:E20">
    <cfRule type="expression" dxfId="2002" priority="68">
      <formula>ABS(E$16-E$19)&gt;=1000</formula>
    </cfRule>
  </conditionalFormatting>
  <conditionalFormatting sqref="F13 F15:F20">
    <cfRule type="expression" dxfId="2001" priority="67">
      <formula>ABS(F$16-F$19)&gt;=1000</formula>
    </cfRule>
  </conditionalFormatting>
  <conditionalFormatting sqref="G13:G20">
    <cfRule type="expression" dxfId="2000" priority="66">
      <formula>ABS(G$16-G$19)&gt;=1000</formula>
    </cfRule>
  </conditionalFormatting>
  <conditionalFormatting sqref="H13:H20">
    <cfRule type="expression" dxfId="1999" priority="65">
      <formula>ABS(H$16-H$19)&gt;=1000</formula>
    </cfRule>
  </conditionalFormatting>
  <conditionalFormatting sqref="I13:I20">
    <cfRule type="expression" dxfId="1998" priority="64">
      <formula>ABS(I$16-I$19)&gt;=1000</formula>
    </cfRule>
  </conditionalFormatting>
  <conditionalFormatting sqref="J13:J20">
    <cfRule type="expression" dxfId="1997" priority="63">
      <formula>ABS(J$16-J$19)&gt;=1000</formula>
    </cfRule>
  </conditionalFormatting>
  <conditionalFormatting sqref="L13:L20">
    <cfRule type="expression" dxfId="1996" priority="62">
      <formula>ABS(L$16-L$19)&gt;=1000</formula>
    </cfRule>
  </conditionalFormatting>
  <conditionalFormatting sqref="M13 M15 M17:M18 M20">
    <cfRule type="expression" dxfId="1995" priority="61">
      <formula>ABS(M$16-M$19)&gt;=1000</formula>
    </cfRule>
  </conditionalFormatting>
  <conditionalFormatting sqref="N13:N20">
    <cfRule type="expression" dxfId="1994" priority="60">
      <formula>ABS(N$16-N$19)&gt;=1000</formula>
    </cfRule>
  </conditionalFormatting>
  <conditionalFormatting sqref="O13:O20">
    <cfRule type="expression" dxfId="1993" priority="59">
      <formula>ABS(O$16-O$19)&gt;=1000</formula>
    </cfRule>
  </conditionalFormatting>
  <conditionalFormatting sqref="P13:P20">
    <cfRule type="expression" dxfId="1992" priority="58">
      <formula>ABS(P$16-P$19)&gt;=1000</formula>
    </cfRule>
  </conditionalFormatting>
  <conditionalFormatting sqref="Q13 Q15:Q20">
    <cfRule type="expression" dxfId="1991" priority="57">
      <formula>ABS(Q$16-Q$19)&gt;=1000</formula>
    </cfRule>
  </conditionalFormatting>
  <conditionalFormatting sqref="R13:R20">
    <cfRule type="expression" dxfId="1990" priority="56">
      <formula>ABS(R$16-R$19)&gt;=1000</formula>
    </cfRule>
  </conditionalFormatting>
  <conditionalFormatting sqref="S13:S20">
    <cfRule type="expression" dxfId="1989" priority="55">
      <formula>ABS(S$16-S$19)&gt;=1000</formula>
    </cfRule>
  </conditionalFormatting>
  <conditionalFormatting sqref="T13:T20">
    <cfRule type="expression" dxfId="1988" priority="54">
      <formula>ABS(T$16-T$19)&gt;=1000</formula>
    </cfRule>
  </conditionalFormatting>
  <conditionalFormatting sqref="U13:U20">
    <cfRule type="expression" dxfId="1987" priority="53">
      <formula>ABS(U$16-U$19)&gt;=1000</formula>
    </cfRule>
  </conditionalFormatting>
  <conditionalFormatting sqref="V13:V20">
    <cfRule type="expression" dxfId="1986" priority="52">
      <formula>ABS(V$16-V$19)&gt;=1000</formula>
    </cfRule>
  </conditionalFormatting>
  <conditionalFormatting sqref="W13 W20 W15:W18">
    <cfRule type="expression" dxfId="1985" priority="51">
      <formula>ABS(W$16-W$19)&gt;=1000</formula>
    </cfRule>
  </conditionalFormatting>
  <conditionalFormatting sqref="X13 X15:X20 Y19">
    <cfRule type="expression" dxfId="1984" priority="50">
      <formula>ABS(X$16-X$19)&gt;=1000</formula>
    </cfRule>
  </conditionalFormatting>
  <conditionalFormatting sqref="Y13 Y15:Y18 Y20">
    <cfRule type="expression" dxfId="1983" priority="49">
      <formula>ABS(Y$16-Y$19)&gt;=1000</formula>
    </cfRule>
  </conditionalFormatting>
  <conditionalFormatting sqref="Z13:Z20">
    <cfRule type="expression" dxfId="1982" priority="48">
      <formula>ABS(Z$16-Z$19)&gt;=1000</formula>
    </cfRule>
  </conditionalFormatting>
  <conditionalFormatting sqref="AA13:AA20">
    <cfRule type="expression" dxfId="1981" priority="47">
      <formula>ABS(AA$16-AA$19)&gt;=1000</formula>
    </cfRule>
  </conditionalFormatting>
  <conditionalFormatting sqref="AB13 AB15:AB20">
    <cfRule type="expression" dxfId="1980" priority="46">
      <formula>ABS(AB$16-AB$19)&gt;=1000</formula>
    </cfRule>
  </conditionalFormatting>
  <conditionalFormatting sqref="AC13 AC15:AC20">
    <cfRule type="expression" dxfId="1979" priority="45">
      <formula>ABS(AC$16-AC$19)&gt;=1000</formula>
    </cfRule>
  </conditionalFormatting>
  <conditionalFormatting sqref="AD13:AD20">
    <cfRule type="expression" dxfId="1978" priority="44">
      <formula>ABS(AD$16-AD$19)&gt;=1000</formula>
    </cfRule>
  </conditionalFormatting>
  <conditionalFormatting sqref="AE13:AE20">
    <cfRule type="expression" dxfId="1977" priority="43">
      <formula>ABS(AE$16-AE$19)&gt;=1000</formula>
    </cfRule>
  </conditionalFormatting>
  <conditionalFormatting sqref="D22:D29">
    <cfRule type="expression" dxfId="1976" priority="42">
      <formula>ABS(D$25-D$28)&gt;=1000</formula>
    </cfRule>
  </conditionalFormatting>
  <conditionalFormatting sqref="E22:E29">
    <cfRule type="expression" dxfId="1975" priority="41">
      <formula>ABS(E$25-E$28)&gt;=1000</formula>
    </cfRule>
  </conditionalFormatting>
  <conditionalFormatting sqref="F22:F29">
    <cfRule type="expression" dxfId="1974" priority="40">
      <formula>ABS(F$25-F$28)&gt;=1000</formula>
    </cfRule>
  </conditionalFormatting>
  <conditionalFormatting sqref="G22:G29">
    <cfRule type="expression" dxfId="1973" priority="39">
      <formula>ABS(G$25-G$28)&gt;=1000</formula>
    </cfRule>
  </conditionalFormatting>
  <conditionalFormatting sqref="H22:H29">
    <cfRule type="expression" dxfId="1972" priority="38">
      <formula>ABS(H$25-H$28)&gt;=1000</formula>
    </cfRule>
  </conditionalFormatting>
  <conditionalFormatting sqref="I22 I24:I29">
    <cfRule type="expression" dxfId="1971" priority="37">
      <formula>ABS(I$25-I$28)&gt;=1000</formula>
    </cfRule>
  </conditionalFormatting>
  <conditionalFormatting sqref="J22:J29 K22">
    <cfRule type="expression" dxfId="1970" priority="36">
      <formula>ABS(J$25-J$28)&gt;=1000</formula>
    </cfRule>
  </conditionalFormatting>
  <conditionalFormatting sqref="K23:K29 L25 L28">
    <cfRule type="expression" dxfId="1969" priority="35">
      <formula>ABS(K$25-K$28)&gt;=1000</formula>
    </cfRule>
  </conditionalFormatting>
  <conditionalFormatting sqref="L22 L26:L27 L29 L24">
    <cfRule type="expression" dxfId="1968" priority="34">
      <formula>ABS(L$25-L$28)&gt;=1000</formula>
    </cfRule>
  </conditionalFormatting>
  <conditionalFormatting sqref="M22:M29">
    <cfRule type="expression" dxfId="1967" priority="33">
      <formula>ABS(M$25-M$28)&gt;=1000</formula>
    </cfRule>
  </conditionalFormatting>
  <conditionalFormatting sqref="N22:N29">
    <cfRule type="expression" dxfId="1966" priority="32">
      <formula>ABS(N$25-N$28)&gt;=1000</formula>
    </cfRule>
  </conditionalFormatting>
  <conditionalFormatting sqref="O22:O29">
    <cfRule type="expression" dxfId="1965" priority="31">
      <formula>ABS(O$25-O$28)&gt;=1000</formula>
    </cfRule>
  </conditionalFormatting>
  <conditionalFormatting sqref="P22:P29">
    <cfRule type="expression" dxfId="1964" priority="30">
      <formula>ABS(P$25-P$28)&gt;=1000</formula>
    </cfRule>
  </conditionalFormatting>
  <conditionalFormatting sqref="Q22:Q29">
    <cfRule type="expression" dxfId="1963" priority="29">
      <formula>ABS(Q$25-Q$28)&gt;=1000</formula>
    </cfRule>
  </conditionalFormatting>
  <conditionalFormatting sqref="R22:R29">
    <cfRule type="expression" dxfId="1962" priority="28">
      <formula>ABS(R$25-R$28)&gt;=1000</formula>
    </cfRule>
  </conditionalFormatting>
  <conditionalFormatting sqref="S22:S29">
    <cfRule type="expression" dxfId="1961" priority="27">
      <formula>ABS(S$25-S$28)&gt;=1000</formula>
    </cfRule>
  </conditionalFormatting>
  <conditionalFormatting sqref="T22:T29">
    <cfRule type="expression" dxfId="1960" priority="26">
      <formula>ABS(T$25-T$28)&gt;=1000</formula>
    </cfRule>
  </conditionalFormatting>
  <conditionalFormatting sqref="U22:U29">
    <cfRule type="expression" dxfId="1959" priority="25">
      <formula>ABS(U$25-U$28)&gt;=1000</formula>
    </cfRule>
  </conditionalFormatting>
  <conditionalFormatting sqref="V22:V29">
    <cfRule type="expression" dxfId="1958" priority="24">
      <formula>ABS(V$25-V$28)&gt;=1000</formula>
    </cfRule>
  </conditionalFormatting>
  <conditionalFormatting sqref="W22:W29">
    <cfRule type="expression" dxfId="1957" priority="23">
      <formula>ABS(W$25-W$28)&gt;=1000</formula>
    </cfRule>
  </conditionalFormatting>
  <conditionalFormatting sqref="X22:X29">
    <cfRule type="expression" dxfId="1956" priority="22">
      <formula>ABS(X$25-X$28)&gt;=1000</formula>
    </cfRule>
  </conditionalFormatting>
  <conditionalFormatting sqref="Y22:Y29">
    <cfRule type="expression" dxfId="1955" priority="21">
      <formula>ABS(Y$25-Y$28)&gt;=1000</formula>
    </cfRule>
  </conditionalFormatting>
  <conditionalFormatting sqref="I23">
    <cfRule type="expression" dxfId="1954" priority="20">
      <formula>ABS(I$25-I$28)&gt;=1000</formula>
    </cfRule>
  </conditionalFormatting>
  <conditionalFormatting sqref="F14">
    <cfRule type="expression" dxfId="1953" priority="19">
      <formula>ABS(F$16-F$19)&gt;=1000</formula>
    </cfRule>
  </conditionalFormatting>
  <conditionalFormatting sqref="Q14">
    <cfRule type="expression" dxfId="1952" priority="18">
      <formula>ABS(Q$16-Q$19)&gt;=1000</formula>
    </cfRule>
  </conditionalFormatting>
  <conditionalFormatting sqref="W14">
    <cfRule type="expression" dxfId="1951" priority="17">
      <formula>ABS(W$16-W$19)&gt;=1000</formula>
    </cfRule>
  </conditionalFormatting>
  <conditionalFormatting sqref="Y14">
    <cfRule type="expression" dxfId="1950" priority="16">
      <formula>ABS(Y$16-Y$19)&gt;=1000</formula>
    </cfRule>
  </conditionalFormatting>
  <conditionalFormatting sqref="X14">
    <cfRule type="expression" dxfId="1949" priority="15">
      <formula>ABS(X$16-X$19)&gt;=1000</formula>
    </cfRule>
  </conditionalFormatting>
  <conditionalFormatting sqref="T10:Y10">
    <cfRule type="expression" dxfId="1948" priority="14">
      <formula>ABS(T$7-T$10)&gt;=1000</formula>
    </cfRule>
  </conditionalFormatting>
  <conditionalFormatting sqref="W19">
    <cfRule type="expression" dxfId="1947" priority="13">
      <formula>ABS(W$16-W$19)&gt;=1000</formula>
    </cfRule>
  </conditionalFormatting>
  <conditionalFormatting sqref="AC5">
    <cfRule type="expression" dxfId="1946" priority="12">
      <formula>ABS(AC$7-AC$10)&gt;=1000</formula>
    </cfRule>
  </conditionalFormatting>
  <conditionalFormatting sqref="M14">
    <cfRule type="expression" dxfId="1945" priority="11">
      <formula>ABS(M$16-M$19)&gt;=1000</formula>
    </cfRule>
  </conditionalFormatting>
  <conditionalFormatting sqref="M16">
    <cfRule type="expression" dxfId="1944" priority="10">
      <formula>ABS(M$16-M$19)&gt;=1000</formula>
    </cfRule>
  </conditionalFormatting>
  <conditionalFormatting sqref="M19">
    <cfRule type="expression" dxfId="1943" priority="9">
      <formula>ABS(M$16-M$19)&gt;=1000</formula>
    </cfRule>
  </conditionalFormatting>
  <conditionalFormatting sqref="K13:K20">
    <cfRule type="expression" dxfId="1942" priority="8">
      <formula>ABS(K$16-K$19)&gt;=1000</formula>
    </cfRule>
  </conditionalFormatting>
  <conditionalFormatting sqref="E5">
    <cfRule type="expression" dxfId="1941" priority="7">
      <formula>ABS(E$7-E$10)&gt;=1000</formula>
    </cfRule>
  </conditionalFormatting>
  <conditionalFormatting sqref="AB14:AC14">
    <cfRule type="expression" dxfId="1940" priority="6">
      <formula>ABS(AB$16-AB$19)&gt;=1000</formula>
    </cfRule>
  </conditionalFormatting>
  <conditionalFormatting sqref="M5">
    <cfRule type="expression" dxfId="1939" priority="5">
      <formula>ABS(M$7-M$10)&gt;=1000</formula>
    </cfRule>
  </conditionalFormatting>
  <conditionalFormatting sqref="N5">
    <cfRule type="expression" dxfId="1938" priority="4">
      <formula>ABS(N$7-N$10)&gt;=1000</formula>
    </cfRule>
  </conditionalFormatting>
  <conditionalFormatting sqref="O5">
    <cfRule type="expression" dxfId="1937" priority="3">
      <formula>ABS(O$7-O$10)&gt;=1000</formula>
    </cfRule>
  </conditionalFormatting>
  <conditionalFormatting sqref="P5">
    <cfRule type="expression" dxfId="1936" priority="2">
      <formula>ABS(P$7-P$10)&gt;=1000</formula>
    </cfRule>
  </conditionalFormatting>
  <conditionalFormatting sqref="L23">
    <cfRule type="expression" dxfId="1935" priority="1">
      <formula>ABS(L$25-L$28)&gt;=1000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5283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345782</xdr:rowOff>
                  </from>
                  <to>
                    <xdr:col>32</xdr:col>
                    <xdr:colOff>414938</xdr:colOff>
                    <xdr:row>3</xdr:row>
                    <xdr:rowOff>30736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77">
    <pageSetUpPr fitToPage="1"/>
  </sheetPr>
  <dimension ref="A1:CU223"/>
  <sheetViews>
    <sheetView view="pageBreakPreview" zoomScale="80" zoomScaleNormal="100" zoomScaleSheetLayoutView="80" workbookViewId="0">
      <selection activeCell="AE18" sqref="AE18"/>
    </sheetView>
  </sheetViews>
  <sheetFormatPr defaultColWidth="8.109375" defaultRowHeight="26.05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0.9" ph="1">
      <c r="A1" s="64"/>
      <c r="B1" s="238" t="s" ph="1">
        <v>162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.05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.05" customHeight="1" ph="1">
      <c r="B3" s="240" ph="1">
        <v>45849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" customHeight="1" ph="1">
      <c r="A5" s="65" ph="1"/>
      <c r="B5" s="219" ph="1"/>
      <c r="C5" s="67" t="s" ph="1">
        <v>36</v>
      </c>
      <c r="D5" s="70" t="s" ph="1">
        <v>161</v>
      </c>
      <c r="E5" s="70" t="s" ph="1">
        <v>640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46" t="s" ph="1">
        <v>178</v>
      </c>
      <c r="D6" s="71">
        <v>4762</v>
      </c>
      <c r="E6" s="71">
        <v>8092</v>
      </c>
      <c r="F6" s="71">
        <v>6811</v>
      </c>
      <c r="G6" s="71">
        <v>1822</v>
      </c>
      <c r="H6" s="71">
        <v>2527</v>
      </c>
      <c r="I6" s="71">
        <v>51.52</v>
      </c>
      <c r="J6" s="71">
        <v>7.87</v>
      </c>
      <c r="K6" s="71">
        <v>6.82</v>
      </c>
      <c r="L6" s="71">
        <v>36.619999999999997</v>
      </c>
      <c r="M6" s="71">
        <v>4736</v>
      </c>
      <c r="N6" s="71">
        <v>2341</v>
      </c>
      <c r="O6" s="71">
        <v>2786</v>
      </c>
      <c r="P6" s="71">
        <v>3902</v>
      </c>
      <c r="Q6" s="71">
        <v>6400</v>
      </c>
      <c r="R6" s="71">
        <v>6200</v>
      </c>
      <c r="S6" s="71">
        <v>0</v>
      </c>
      <c r="T6" s="71">
        <v>0</v>
      </c>
      <c r="U6" s="71">
        <v>0</v>
      </c>
      <c r="V6" s="71">
        <v>0</v>
      </c>
      <c r="W6" s="71">
        <v>0</v>
      </c>
      <c r="X6" s="71">
        <v>0</v>
      </c>
      <c r="Y6" s="71">
        <v>0</v>
      </c>
      <c r="Z6" s="71">
        <v>1904</v>
      </c>
      <c r="AA6" s="71">
        <v>555</v>
      </c>
      <c r="AB6" s="71">
        <v>2216</v>
      </c>
      <c r="AC6" s="71">
        <v>3022</v>
      </c>
      <c r="AD6" s="71">
        <v>4408</v>
      </c>
      <c r="AE6" s="71">
        <v>1881</v>
      </c>
    </row>
    <row r="7" spans="1:99" s="72" customFormat="1" ht="22.4" ph="1">
      <c r="B7" s="237" ph="1"/>
      <c r="C7" s="68" t="s" ph="1">
        <v>179</v>
      </c>
      <c r="D7" s="73" ph="1">
        <f>D6*33.183*LOOKUP(D8,密度!$A$2:$A$50,密度!$Q$2:$Q$50)</f>
        <v>149489.24443938001</v>
      </c>
      <c r="E7" s="73" ph="1">
        <f>E6*51.53*LOOKUP(E8,密度!$A$2:$A$50,密度!$B$2:$B$50)</f>
        <v>325078.200496</v>
      </c>
      <c r="F7" s="73" ph="1">
        <f>F6*33.183*LOOKUP(F8,密度!$A$2:$A$50,密度!$C$2:$C$50)</f>
        <v>250780.04466479999</v>
      </c>
      <c r="G7" s="73" ph="1">
        <f xml:space="preserve"> (G6+2)*51.53*LOOKUP(G8,密度!$A$2:$A$50,密度!$B$2:$B$50)</f>
        <v>73275.165311999997</v>
      </c>
      <c r="H7" s="73" ph="1">
        <f>(H6)*51.53*LOOKUP(H8,密度!$A$2:$A$50,密度!$B$2:$B$50)</f>
        <v>102102.60867099999</v>
      </c>
      <c r="I7" s="73" ph="1">
        <f>I6*290.8*1.0267</f>
        <v>15382.035827200001</v>
      </c>
      <c r="J7" s="73" ph="1">
        <f>J6*290.8*0.7892</f>
        <v>1806.1599632</v>
      </c>
      <c r="K7" s="73" ph="1">
        <f>K6*290.8*1.1126</f>
        <v>2206.5706256000003</v>
      </c>
      <c r="L7" s="73" ph="1">
        <f>L6*290.8*0.777</f>
        <v>8274.3475920000001</v>
      </c>
      <c r="M7" s="73" ph="1">
        <f>M6*33.183*LOOKUP(M8,密度!$A$2:$A$50,密度!$D$2:$D$50)</f>
        <v>161350.71816959998</v>
      </c>
      <c r="N7" s="73" ph="1">
        <f>N6*33.183*LOOKUP(N8,密度!$A$2:$A$50,密度!$E$2:$E$50)</f>
        <v>60840.074829600002</v>
      </c>
      <c r="O7" s="73" ph="1">
        <f>O6*20.428*LOOKUP(O8,密度!$A$2:$A$50,密度!$C$2:$C$50)</f>
        <v>62979.270692800004</v>
      </c>
      <c r="P7" s="73" ph="1">
        <f>P6*51.53*LOOKUP(P8,密度!$A$2:$A$50,密度!$B$2:$B$50)</f>
        <v>157116.14488400001</v>
      </c>
      <c r="Q7" s="73" ph="1">
        <f>Q6*1.5*1.5*3.1416*LOOKUP(W8,密度!$A$2:$A$50,密度!$L$2:$L$50)</f>
        <v>42434.219519999999</v>
      </c>
      <c r="R7" s="73" ph="1">
        <f>R6*1.5*1.5*3.1416*LOOKUP(R8,密度!$A$2:$A$50,密度!$L$2:$L$50)</f>
        <v>40932.848880000005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59515.966944</v>
      </c>
      <c r="AA7" s="73" ph="1">
        <f>AA6*33.183*LOOKUP(AA8,密度!$A$2:$A$50,密度!$D$2:$D$50)</f>
        <v>18943.278758999997</v>
      </c>
      <c r="AB7" s="73" ph="1">
        <f>AB6*20.428*LOOKUP(AB8,密度!$A$2:$A$50,密度!$D$2:$D$50)</f>
        <v>46843.789990400001</v>
      </c>
      <c r="AC7" s="73" ph="1">
        <f>AC6*51.53*LOOKUP(AC8,密度!$A$2:$A$50,密度!$Q$2:$Q$50)</f>
        <v>147889.20266540002</v>
      </c>
      <c r="AD7" s="73" ph="1">
        <f>AD6*20.428*LOOKUP(AD8,密度!$A$2:$A$50,密度!$V$2:$V$50)</f>
        <v>86516.796339200009</v>
      </c>
      <c r="AE7" s="73" ph="1">
        <f>AE6*20.428</f>
        <v>38425.067999999999</v>
      </c>
    </row>
    <row r="8" spans="1:99" ph="1">
      <c r="B8" s="237" ph="1"/>
      <c r="C8" s="68" t="s" ph="1">
        <v>180</v>
      </c>
      <c r="D8" s="74">
        <v>26</v>
      </c>
      <c r="E8" s="74">
        <v>25</v>
      </c>
      <c r="F8" s="74">
        <v>24</v>
      </c>
      <c r="G8" s="74">
        <v>25</v>
      </c>
      <c r="H8" s="74">
        <v>20</v>
      </c>
      <c r="I8" s="74">
        <v>25</v>
      </c>
      <c r="J8" s="74">
        <v>25</v>
      </c>
      <c r="K8" s="74">
        <v>25</v>
      </c>
      <c r="L8" s="74">
        <v>25</v>
      </c>
      <c r="M8" s="74">
        <v>25</v>
      </c>
      <c r="N8" s="74">
        <v>25</v>
      </c>
      <c r="O8" s="74">
        <v>28</v>
      </c>
      <c r="P8" s="74">
        <v>23</v>
      </c>
      <c r="Q8" s="74">
        <v>23</v>
      </c>
      <c r="R8" s="74">
        <v>28</v>
      </c>
      <c r="S8" s="74">
        <v>19</v>
      </c>
      <c r="T8" s="74">
        <v>20</v>
      </c>
      <c r="U8" s="74">
        <v>24</v>
      </c>
      <c r="V8" s="74">
        <v>27</v>
      </c>
      <c r="W8" s="74">
        <v>24</v>
      </c>
      <c r="X8" s="74">
        <v>16</v>
      </c>
      <c r="Y8" s="74">
        <v>24</v>
      </c>
      <c r="Z8" s="74">
        <v>20</v>
      </c>
      <c r="AA8" s="74">
        <v>23</v>
      </c>
      <c r="AB8" s="74">
        <v>16</v>
      </c>
      <c r="AC8" s="74">
        <v>21</v>
      </c>
      <c r="AD8" s="74">
        <v>23</v>
      </c>
      <c r="AE8" s="74">
        <v>25</v>
      </c>
    </row>
    <row r="9" spans="1:99" ht="26.65" ph="1">
      <c r="B9" s="237" ph="1">
        <v>0.66666666666666663</v>
      </c>
      <c r="C9" s="146" t="s" ph="1">
        <v>181</v>
      </c>
      <c r="D9" s="71">
        <v>4764</v>
      </c>
      <c r="E9" s="71">
        <v>8091</v>
      </c>
      <c r="F9" s="71">
        <v>6813</v>
      </c>
      <c r="G9" s="71">
        <v>2842</v>
      </c>
      <c r="H9" s="71">
        <v>2965</v>
      </c>
      <c r="I9" s="71">
        <v>51.51</v>
      </c>
      <c r="J9" s="71">
        <v>7.81</v>
      </c>
      <c r="K9" s="71">
        <v>7.01</v>
      </c>
      <c r="L9" s="71">
        <v>33.409999999999997</v>
      </c>
      <c r="M9" s="71">
        <v>4737</v>
      </c>
      <c r="N9" s="71">
        <v>2123</v>
      </c>
      <c r="O9" s="71">
        <v>1871</v>
      </c>
      <c r="P9" s="71">
        <v>4077</v>
      </c>
      <c r="Q9" s="71">
        <v>3009</v>
      </c>
      <c r="R9" s="71">
        <v>6324</v>
      </c>
      <c r="S9" s="71">
        <v>5297</v>
      </c>
      <c r="T9" s="71">
        <v>2412</v>
      </c>
      <c r="U9" s="71">
        <v>0</v>
      </c>
      <c r="V9" s="71">
        <v>0</v>
      </c>
      <c r="W9" s="71">
        <v>0</v>
      </c>
      <c r="X9" s="71">
        <v>0</v>
      </c>
      <c r="Y9" s="71">
        <v>0</v>
      </c>
      <c r="Z9" s="71">
        <v>2391</v>
      </c>
      <c r="AA9" s="71">
        <v>555</v>
      </c>
      <c r="AB9" s="71">
        <v>2216</v>
      </c>
      <c r="AC9" s="71">
        <v>3022</v>
      </c>
      <c r="AD9" s="71">
        <v>4397</v>
      </c>
      <c r="AE9" s="71">
        <v>2214</v>
      </c>
    </row>
    <row r="10" spans="1:99" s="72" customFormat="1" ht="22.4" ph="1">
      <c r="B10" s="237" ph="1"/>
      <c r="C10" s="146" t="s" ph="1">
        <v>179</v>
      </c>
      <c r="D10" s="73" ph="1">
        <f>D9*33.183*LOOKUP(D11,密度!$A$2:$A$50,密度!$Q$2:$Q$50)</f>
        <v>149552.02866636001</v>
      </c>
      <c r="E10" s="73" ph="1">
        <f>E9*51.53*LOOKUP(E11,密度!$A$2:$A$50,密度!$B$2:$B$50)</f>
        <v>324329.24801699998</v>
      </c>
      <c r="F10" s="73" ph="1">
        <f>F9*33.183*LOOKUP(F11,密度!$A$2:$A$50,密度!$C$2:$C$50)</f>
        <v>250695.43133310002</v>
      </c>
      <c r="G10" s="73" ph="1">
        <f xml:space="preserve"> (G9+2)*51.53*LOOKUP(G11,密度!$A$2:$A$50,密度!$B$2:$B$50)</f>
        <v>114119.512884</v>
      </c>
      <c r="H10" s="73" ph="1">
        <f>(H9)*51.53*LOOKUP(H11,密度!$A$2:$A$50,密度!$B$2:$B$50)</f>
        <v>119524.83983500001</v>
      </c>
      <c r="I10" s="73" ph="1">
        <f>I9*290.8*1.0267</f>
        <v>15379.050183599998</v>
      </c>
      <c r="J10" s="73" ph="1">
        <f>J9*290.8*0.7892</f>
        <v>1792.3900016000002</v>
      </c>
      <c r="K10" s="73" ph="1">
        <f>K9*290.8*1.1126</f>
        <v>2268.0440008</v>
      </c>
      <c r="L10" s="73" ph="1">
        <f>L9*290.8*0.777</f>
        <v>7549.0429559999993</v>
      </c>
      <c r="M10" s="73" ph="1">
        <f>M9*33.183*LOOKUP(M11,密度!$A$2:$A$50,密度!$D$2:$D$50)</f>
        <v>161982.10106549997</v>
      </c>
      <c r="N10" s="73" ph="1">
        <f>N9*33.183*LOOKUP(N11,密度!$A$2:$A$50,密度!$E$2:$E$50)</f>
        <v>55174.489048800002</v>
      </c>
      <c r="O10" s="73" ph="1">
        <f>O9*20.428*LOOKUP(O11,密度!$A$2:$A$50,密度!$C$2:$C$50)</f>
        <v>42268.369449200007</v>
      </c>
      <c r="P10" s="73" ph="1">
        <f>P9*51.53*LOOKUP(P11,密度!$A$2:$A$50,密度!$B$2:$B$50)</f>
        <v>163595.37764699999</v>
      </c>
      <c r="Q10" s="73" ph="1">
        <f>Q9*1.5*1.5*3.1416*LOOKUP(W11,密度!$A$2:$A$50,密度!$L$2:$L$50)</f>
        <v>19929.4441038</v>
      </c>
      <c r="R10" s="73" ph="1">
        <f>R9*1.5*1.5*3.1416*LOOKUP(R11,密度!$A$2:$A$50,密度!$L$2:$L$50)</f>
        <v>41706.804031200001</v>
      </c>
      <c r="S10" s="73" ph="1">
        <f>S9*1.5*1.5*3.1416*LOOKUP(S11,密度!$A$2:$A$50,密度!$L$2:$L$50)</f>
        <v>35270.716496399997</v>
      </c>
      <c r="T10" s="73" ph="1">
        <f>T9*1.5*1.5*3.1416*LOOKUP(T11,密度!$A$2:$A$50,密度!$L$2:$L$50)</f>
        <v>16060.594334399997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74580.119819999993</v>
      </c>
      <c r="AA10" s="73" ph="1">
        <f>AA9*33.183*LOOKUP(AA11,密度!$A$2:$A$50,密度!$D$2:$D$50)</f>
        <v>18838.304338499998</v>
      </c>
      <c r="AB10" s="73" ph="1">
        <f>AB9*20.428*LOOKUP(AB11,密度!$A$2:$A$50,密度!$D$2:$D$50)</f>
        <v>46803.048387200004</v>
      </c>
      <c r="AC10" s="73" ph="1">
        <f>AC9*51.53*LOOKUP(AC11,密度!$A$2:$A$50,密度!$Q$2:$Q$50)</f>
        <v>146992.23438380001</v>
      </c>
      <c r="AD10" s="73" ph="1">
        <f>AD9*20.428*LOOKUP(AD11,密度!$A$2:$A$50,密度!$V$2:$V$50)</f>
        <v>86300.896892799996</v>
      </c>
      <c r="AE10" s="73" ph="1">
        <f>AE9*20.428</f>
        <v>45227.592000000004</v>
      </c>
    </row>
    <row r="11" spans="1:99" ph="1">
      <c r="A11" s="64" t="s" ph="1">
        <v>163</v>
      </c>
      <c r="B11" s="237" ph="1"/>
      <c r="C11" s="146" t="s" ph="1">
        <v>180</v>
      </c>
      <c r="D11" s="74">
        <v>26</v>
      </c>
      <c r="E11" s="74">
        <v>27</v>
      </c>
      <c r="F11" s="74">
        <v>25</v>
      </c>
      <c r="G11" s="74">
        <v>26</v>
      </c>
      <c r="H11" s="74">
        <v>22</v>
      </c>
      <c r="I11" s="74">
        <v>25</v>
      </c>
      <c r="J11" s="74">
        <v>25</v>
      </c>
      <c r="K11" s="74">
        <v>25</v>
      </c>
      <c r="L11" s="74">
        <v>25</v>
      </c>
      <c r="M11" s="74">
        <v>21</v>
      </c>
      <c r="N11" s="74">
        <v>25</v>
      </c>
      <c r="O11" s="74">
        <v>29</v>
      </c>
      <c r="P11" s="74">
        <v>26</v>
      </c>
      <c r="Q11" s="74">
        <v>24</v>
      </c>
      <c r="R11" s="74">
        <v>29</v>
      </c>
      <c r="S11" s="74">
        <v>20</v>
      </c>
      <c r="T11" s="74">
        <v>20</v>
      </c>
      <c r="U11" s="74">
        <v>26</v>
      </c>
      <c r="V11" s="74">
        <v>28</v>
      </c>
      <c r="W11" s="74">
        <v>25</v>
      </c>
      <c r="X11" s="74">
        <v>19</v>
      </c>
      <c r="Y11" s="74">
        <v>28</v>
      </c>
      <c r="Z11" s="74">
        <v>22</v>
      </c>
      <c r="AA11" s="74">
        <v>29</v>
      </c>
      <c r="AB11" s="74">
        <v>17</v>
      </c>
      <c r="AC11" s="74">
        <v>29</v>
      </c>
      <c r="AD11" s="74">
        <v>24</v>
      </c>
      <c r="AE11" s="74">
        <v>30</v>
      </c>
    </row>
    <row r="12" spans="1:99" ht="9.85" customHeight="1" ph="1"/>
    <row r="13" spans="1:99" s="72" customFormat="1" ht="29.2" customHeight="1" ph="1">
      <c r="B13" s="214" t="s" ph="1">
        <v>37</v>
      </c>
      <c r="C13" s="146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.2" ph="1">
      <c r="B14" s="215" ph="1"/>
      <c r="C14" s="67" t="s" ph="1">
        <v>36</v>
      </c>
      <c r="D14" s="77" t="s" ph="1">
        <v>622</v>
      </c>
      <c r="E14" s="77" t="s" ph="1">
        <v>622</v>
      </c>
      <c r="F14" s="77" t="s" ph="1">
        <v>645</v>
      </c>
      <c r="G14" s="77" t="s" ph="1">
        <v>623</v>
      </c>
      <c r="H14" s="77" t="s" ph="1">
        <v>624</v>
      </c>
      <c r="I14" s="140" t="s" ph="1">
        <v>625</v>
      </c>
      <c r="J14" s="77" t="s" ph="1">
        <v>626</v>
      </c>
      <c r="K14" s="77" t="s" ph="1">
        <v>187</v>
      </c>
      <c r="L14" s="77" t="s" ph="1">
        <v>41</v>
      </c>
      <c r="M14" s="104" t="s" ph="1">
        <v>627</v>
      </c>
      <c r="N14" s="104" t="s" ph="1">
        <v>628</v>
      </c>
      <c r="O14" s="104" t="s" ph="1">
        <v>626</v>
      </c>
      <c r="P14" s="77" t="s" ph="1">
        <v>629</v>
      </c>
      <c r="Q14" s="77" t="s" ph="1">
        <v>629</v>
      </c>
      <c r="R14" s="88" t="s" ph="1">
        <v>640</v>
      </c>
      <c r="S14" s="77" t="s" ph="1">
        <v>71</v>
      </c>
      <c r="T14" s="77" t="s" ph="1">
        <v>631</v>
      </c>
      <c r="U14" s="77" t="s" ph="1">
        <v>610</v>
      </c>
      <c r="V14" s="77" t="s" ph="1">
        <v>110</v>
      </c>
      <c r="W14" s="77" t="s" ph="1">
        <v>629</v>
      </c>
      <c r="X14" s="77" t="s" ph="1">
        <v>632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16" ph="1">
        <v>0.33333333333333331</v>
      </c>
      <c r="C15" s="146" t="s" ph="1">
        <v>178</v>
      </c>
      <c r="D15" s="78">
        <v>0</v>
      </c>
      <c r="E15" s="78">
        <v>5261</v>
      </c>
      <c r="F15" s="78">
        <v>2231</v>
      </c>
      <c r="G15" s="78">
        <v>2898</v>
      </c>
      <c r="H15" s="78">
        <v>1684</v>
      </c>
      <c r="I15" s="78">
        <v>5252</v>
      </c>
      <c r="J15" s="78">
        <v>1913</v>
      </c>
      <c r="K15" s="78">
        <v>2574</v>
      </c>
      <c r="L15" s="78">
        <v>4755</v>
      </c>
      <c r="M15" s="78">
        <v>4833</v>
      </c>
      <c r="N15" s="78">
        <v>180</v>
      </c>
      <c r="O15" s="78">
        <v>6101</v>
      </c>
      <c r="P15" s="78">
        <v>2075</v>
      </c>
      <c r="Q15" s="78">
        <v>5205</v>
      </c>
      <c r="R15" s="78">
        <v>161</v>
      </c>
      <c r="S15" s="78">
        <v>1628</v>
      </c>
      <c r="T15" s="78">
        <v>1827</v>
      </c>
      <c r="U15" s="78">
        <v>6805</v>
      </c>
      <c r="V15" s="78">
        <v>-141</v>
      </c>
      <c r="W15" s="71">
        <v>-27</v>
      </c>
      <c r="X15" s="78">
        <v>-87</v>
      </c>
      <c r="Y15" s="106">
        <v>-9905</v>
      </c>
      <c r="Z15" s="78">
        <v>0</v>
      </c>
      <c r="AA15" s="78">
        <v>0</v>
      </c>
      <c r="AB15" s="78" ph="1">
        <v>13</v>
      </c>
      <c r="AC15" s="78" ph="1">
        <v>0</v>
      </c>
      <c r="AD15" s="78">
        <v>85.56</v>
      </c>
      <c r="AE15" s="78">
        <v>7.62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4" ph="1">
      <c r="B16" s="217" ph="1"/>
      <c r="C16" s="146" t="s" ph="1">
        <v>179</v>
      </c>
      <c r="D16" s="73" ph="1">
        <f>D15*7.0686*LOOKUP(D17,密度!$A$2:$A$50,密度!$L$2:$L$50)</f>
        <v>0</v>
      </c>
      <c r="E16" s="73" ph="1">
        <f>E15*7.0686*LOOKUP(E17,密度!$A$2:$A$50,密度!$L$2:$L$50)</f>
        <v>34919.442419400002</v>
      </c>
      <c r="F16" s="73" ph="1">
        <f>F15*9.0746*LOOKUP(F17,密度!$A$2:$A$50,密度!$L$2:$L$50)</f>
        <v>18969.9703462</v>
      </c>
      <c r="G16" s="73" ph="1">
        <f>G15*9.0746*LOOKUP(G17,密度!$A$2:$A$50,密度!$B$2:$B$50)</f>
        <v>20573.074662840001</v>
      </c>
      <c r="H16" s="73" ph="1">
        <f>H15*9.0746*LOOKUP(H17,密度!$A$2:$A$50,密度!$L$2:$L$50)</f>
        <v>14242.475804800002</v>
      </c>
      <c r="I16" s="73" ph="1">
        <f>I15*9.0746*LOOKUP(I17,密度!$A$2:$A$50,密度!$U$2:$U$50)</f>
        <v>48994.273577600005</v>
      </c>
      <c r="J16" s="73" ph="1">
        <f>J15*9.0746*LOOKUP(J17,密度!$A$2:$A$50,密度!$L$2:$L$50)</f>
        <v>16300.7675022</v>
      </c>
      <c r="K16" s="73" ph="1">
        <f>K15*9.0746*LOOKUP(K17,密度!$A$2:$A$50,密度!$C$2:$C$50)</f>
        <v>25936.745852160002</v>
      </c>
      <c r="L16" s="73" ph="1">
        <f>L15*9.0746*LOOKUP(L17,密度!$A$2:$A$50,密度!$E$2:$E$50)</f>
        <v>33846.642721199998</v>
      </c>
      <c r="M16" s="73" ph="1">
        <f>M15*9.0746*LOOKUP(M17,密度!$A$2:$A$50,密度!$M$2:$M$50)</f>
        <v>38379.734829180001</v>
      </c>
      <c r="N16" s="73" ph="1">
        <f>N15*9.0746*LOOKUP(N17,密度!$A$2:$A$50,密度!$M$2:$M$50)</f>
        <v>1432.5163560000001</v>
      </c>
      <c r="O16" s="73" ph="1">
        <f>O15*9.0746*LOOKUP(O17,密度!$A$2:$A$50,密度!$G$2:$G$50)</f>
        <v>53216.006177520008</v>
      </c>
      <c r="P16" s="73" ph="1">
        <f ca="1">P15*9.0746*LOOKUP(P17,密度!$A$2:$A$51,密度!$Q$2:$Q$50)</f>
        <v>17840.665868650001</v>
      </c>
      <c r="Q16" s="73" ph="1">
        <f>Q15*9.0746*LOOKUP(Q17,密度!$A$2:$A$50,密度!$Q$2:$Q$50)</f>
        <v>44786.608422600002</v>
      </c>
      <c r="R16" s="73" ph="1">
        <f>MAX(R15*9.0746*LOOKUP(R17,密度!$A$2:$A$50,密度!$B$2:$B$50),0)</f>
        <v>1139.0038637600001</v>
      </c>
      <c r="S16" s="73" ph="1">
        <f>S15*9.0746*LOOKUP(S17,密度!$A$2:$A$50,密度!$Q$2:$Q$50)</f>
        <v>13997.399534536</v>
      </c>
      <c r="T16" s="73" ph="1">
        <f>T15*9.0746*LOOKUP(T17,密度!$A$2:$A$50,密度!$O$2:$O$50)</f>
        <v>15418.743606000002</v>
      </c>
      <c r="U16" s="73" ph="1">
        <f>U15*9.0746*LOOKUP(U17,密度!$A$2:$A$50,密度!$H$2:$H$50)</f>
        <v>56608.657005099994</v>
      </c>
      <c r="V16" s="73" ph="1">
        <f>MAX(5600*LOOKUP(V17,密度!$A$2:$A$50,密度!$Q$2:$Q$50)+V15*9.0476*LOOKUP(V17,密度!$A$2:$A$50,密度!$Q$2:$Q$50),0)</f>
        <v>4090.9065550519999</v>
      </c>
      <c r="W16" s="73" ph="1">
        <f>MAX(5600*LOOKUP(W17,密度!$A$2:$A$50,密度!$Q$2:$Q$50)+W15*9.0476*LOOKUP(W17,密度!$A$2:$A$50,密度!$Q$2:$Q$50),0)</f>
        <v>5062.8643147360008</v>
      </c>
      <c r="X16" s="73" ph="1">
        <f>MAX(5600*LOOKUP(X17,密度!$A$2:$A$50,密度!$I$2:$I$50)+X15*9.0476*LOOKUP(X17,密度!$A$2:$A$50,密度!$I$2:$I$50),0)</f>
        <v>5010.1860108000001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0</v>
      </c>
      <c r="AB16" s="73" ph="1">
        <f>AB15*9.0746*LOOKUP(AB17,密度!$A$2:$A$50,密度!$L$2:$L$50)</f>
        <v>110.7736422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19142.501719679996</v>
      </c>
      <c r="AE16" s="73" ph="1">
        <f>AE15*268.68*LOOKUP(AE17,密度!$A$2:$A$50,密度!B2:B50)+IF(AE15&lt;=0,0,1566*LOOKUP(AE17,密度!$A$2:$A$50,密度!B2:B50))</f>
        <v>2816.9611113599999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18" ph="1"/>
      <c r="C17" s="79" t="s" ph="1">
        <v>180</v>
      </c>
      <c r="D17" s="74">
        <v>23</v>
      </c>
      <c r="E17" s="74">
        <v>23</v>
      </c>
      <c r="F17" s="74">
        <v>25</v>
      </c>
      <c r="G17" s="74">
        <v>22</v>
      </c>
      <c r="H17" s="74">
        <v>30</v>
      </c>
      <c r="I17" s="74">
        <v>22</v>
      </c>
      <c r="J17" s="74">
        <v>23</v>
      </c>
      <c r="K17" s="74">
        <v>23</v>
      </c>
      <c r="L17" s="74">
        <v>24</v>
      </c>
      <c r="M17" s="74">
        <v>25</v>
      </c>
      <c r="N17" s="74">
        <v>23</v>
      </c>
      <c r="O17" s="74">
        <v>24</v>
      </c>
      <c r="P17" s="74">
        <v>24</v>
      </c>
      <c r="Q17" s="74">
        <v>23</v>
      </c>
      <c r="R17" s="74">
        <v>25</v>
      </c>
      <c r="S17" s="74">
        <v>24</v>
      </c>
      <c r="T17" s="74">
        <v>24</v>
      </c>
      <c r="U17" s="74">
        <v>23</v>
      </c>
      <c r="V17" s="74">
        <v>26</v>
      </c>
      <c r="W17" s="74">
        <v>27</v>
      </c>
      <c r="X17" s="74">
        <v>26</v>
      </c>
      <c r="Y17" s="108">
        <v>26</v>
      </c>
      <c r="Z17" s="74">
        <v>23</v>
      </c>
      <c r="AA17" s="74">
        <v>23</v>
      </c>
      <c r="AB17" s="74">
        <v>23</v>
      </c>
      <c r="AC17" s="74">
        <v>24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65" ph="1">
      <c r="B18" s="216" ph="1">
        <v>0.66666666666666663</v>
      </c>
      <c r="C18" s="79" t="s" ph="1">
        <v>181</v>
      </c>
      <c r="D18" s="71">
        <v>1126</v>
      </c>
      <c r="E18" s="71">
        <v>5725</v>
      </c>
      <c r="F18" s="71">
        <v>2232</v>
      </c>
      <c r="G18" s="71">
        <v>3621</v>
      </c>
      <c r="H18" s="71">
        <v>2318</v>
      </c>
      <c r="I18" s="71">
        <v>5254</v>
      </c>
      <c r="J18" s="71">
        <v>1934</v>
      </c>
      <c r="K18" s="71">
        <v>2574</v>
      </c>
      <c r="L18" s="71">
        <v>4760</v>
      </c>
      <c r="M18" s="71">
        <v>5445</v>
      </c>
      <c r="N18" s="71">
        <v>1555</v>
      </c>
      <c r="O18" s="71">
        <v>6104</v>
      </c>
      <c r="P18" s="71">
        <v>2076</v>
      </c>
      <c r="Q18" s="71">
        <v>5208</v>
      </c>
      <c r="R18" s="71">
        <v>160</v>
      </c>
      <c r="S18" s="71">
        <v>4084</v>
      </c>
      <c r="T18" s="71">
        <v>1265</v>
      </c>
      <c r="U18" s="71">
        <v>6808</v>
      </c>
      <c r="V18" s="71">
        <v>-142</v>
      </c>
      <c r="W18" s="71">
        <v>-28</v>
      </c>
      <c r="X18" s="71">
        <v>-87</v>
      </c>
      <c r="Y18" s="109">
        <v>-9907</v>
      </c>
      <c r="Z18" s="71">
        <v>0</v>
      </c>
      <c r="AA18" s="71">
        <v>0</v>
      </c>
      <c r="AB18" s="71">
        <v>0</v>
      </c>
      <c r="AC18" s="71">
        <v>0</v>
      </c>
      <c r="AD18" s="71">
        <v>85.31</v>
      </c>
      <c r="AE18" s="71">
        <v>45.91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4" ph="1">
      <c r="B19" s="217" ph="1"/>
      <c r="C19" s="146" t="s" ph="1">
        <v>179</v>
      </c>
      <c r="D19" s="73" ph="1">
        <f>D18*7.0686*LOOKUP(D20,密度!$A$2:$A$50,密度!$L$2:$L$50)</f>
        <v>7457.8112532000005</v>
      </c>
      <c r="E19" s="73" ph="1">
        <f>E18*7.0686*LOOKUP(E20,密度!$A$2:$A$50,密度!$L$2:$L$50)</f>
        <v>37918.267695000002</v>
      </c>
      <c r="F19" s="73" ph="1">
        <f>F18*9.0746*LOOKUP(F20,密度!$A$2:$A$50,密度!$L$2:$L$50)</f>
        <v>18917.709724800003</v>
      </c>
      <c r="G19" s="73" ph="1">
        <f>G18*9.0746*LOOKUP(G20,密度!$A$2:$A$50,密度!$B$2:$B$50)</f>
        <v>25616.975097360002</v>
      </c>
      <c r="H19" s="73" ph="1">
        <f>H18*9.0746*LOOKUP(H20,密度!$A$2:$A$50,密度!$L$2:$L$50)</f>
        <v>19625.5829724</v>
      </c>
      <c r="I19" s="73" ph="1">
        <f>I18*9.0746*LOOKUP(I20,密度!$A$2:$A$50,密度!$U$2:$U$50)</f>
        <v>48726.863264800006</v>
      </c>
      <c r="J19" s="73" ph="1">
        <f>J18*9.0746*LOOKUP(J20,密度!$A$2:$A$50,密度!$L$2:$L$50)</f>
        <v>16427.058710400001</v>
      </c>
      <c r="K19" s="73" ph="1">
        <f>K18*9.0746*LOOKUP(K20,密度!$A$2:$A$50,密度!$C$2:$C$50)</f>
        <v>25901.708821560002</v>
      </c>
      <c r="L19" s="73" ph="1">
        <f>L18*9.0746*LOOKUP(L20,密度!$A$2:$A$50,密度!$E$2:$E$50)</f>
        <v>33830.399187199997</v>
      </c>
      <c r="M19" s="73" ph="1">
        <f>M18*9.0746*LOOKUP(M20,密度!$A$2:$A$50,密度!$M$2:$M$50)</f>
        <v>43086.563783999998</v>
      </c>
      <c r="N19" s="73" ph="1">
        <f>N18*9.0746*LOOKUP(N20,密度!$A$2:$A$50,密度!$M$2:$M$50)</f>
        <v>12359.827527700001</v>
      </c>
      <c r="O19" s="73" ph="1">
        <f>O18*9.0746*LOOKUP(O20,密度!$A$2:$A$50,密度!$G$2:$G$50)</f>
        <v>53120.312705600001</v>
      </c>
      <c r="P19" s="73" ph="1">
        <f ca="1">P18*9.0746*LOOKUP(P20,密度!$A$2:$A$51,密度!$Q$2:$Q$50)</f>
        <v>17879.782748664002</v>
      </c>
      <c r="Q19" s="73" ph="1">
        <f>Q18*9.0746*LOOKUP(Q20,密度!$A$2:$A$50,密度!$Q$2:$Q$50)</f>
        <v>44743.421675231999</v>
      </c>
      <c r="R19" s="73" ph="1">
        <f>MAX(R18*9.0746*LOOKUP(R20,密度!$A$2:$A$50,密度!$B$2:$B$50),0)</f>
        <v>1131.9293056000001</v>
      </c>
      <c r="S19" s="73" ph="1">
        <f>S18*9.0746*LOOKUP(S20,密度!$A$2:$A$50,密度!$Q$2:$Q$50)</f>
        <v>35086.815307536002</v>
      </c>
      <c r="T19" s="73" ph="1">
        <f>T18*9.0746*LOOKUP(T20,密度!$A$2:$A$50,密度!$O$2:$O$50)</f>
        <v>10629.895694000001</v>
      </c>
      <c r="U19" s="73" ph="1">
        <f>U18*9.0746*LOOKUP(U20,密度!$A$2:$A$50,密度!$H$2:$H$50)</f>
        <v>56571.833185759999</v>
      </c>
      <c r="V19" s="73" ph="1">
        <f>MAX(5600*LOOKUP(V20,密度!$A$2:$A$50,密度!$Q$2:$Q$50)+V18*9.0476*LOOKUP(V20,密度!$A$2:$A$50,密度!$Q$2:$Q$50),0)</f>
        <v>4076.2627644960003</v>
      </c>
      <c r="W19" s="73" ph="1">
        <f>MAX(5600*LOOKUP(W20,密度!$A$2:$A$50,密度!$Q$2:$Q$50)+W18*9.0476*LOOKUP(W20,密度!$A$2:$A$50,密度!$Q$2:$Q$50),0)</f>
        <v>5050.5687704640004</v>
      </c>
      <c r="X19" s="73" ph="1">
        <f>MAX(5600*LOOKUP(X20,密度!$A$2:$A$50,密度!$I$2:$I$50)+X18*9.0476*LOOKUP(X20,密度!$A$2:$A$50,密度!$I$2:$I$50),0)</f>
        <v>5000.0790073199996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0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19026.469551600003</v>
      </c>
      <c r="AE19" s="73" ph="1">
        <f>AE18*268.68*LOOKUP(AE20,密度!$A$2:$A$50,密度!B5:B53)+IF(AE18&lt;=0,0,1566*LOOKUP(AE20,密度!$A$2:$A$50,密度!B5:B53))</f>
        <v>10801.153767599999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17" ph="1"/>
      <c r="C20" s="80" t="s" ph="1">
        <v>180</v>
      </c>
      <c r="D20" s="81">
        <v>25</v>
      </c>
      <c r="E20" s="81">
        <v>25</v>
      </c>
      <c r="F20" s="81">
        <v>28</v>
      </c>
      <c r="G20" s="81">
        <v>25</v>
      </c>
      <c r="H20" s="81">
        <v>29</v>
      </c>
      <c r="I20" s="81">
        <v>28</v>
      </c>
      <c r="J20" s="81">
        <v>26</v>
      </c>
      <c r="K20" s="81">
        <v>25</v>
      </c>
      <c r="L20" s="81">
        <v>25</v>
      </c>
      <c r="M20" s="81">
        <v>28</v>
      </c>
      <c r="N20" s="81">
        <v>24</v>
      </c>
      <c r="O20" s="81">
        <v>26</v>
      </c>
      <c r="P20" s="81">
        <v>22</v>
      </c>
      <c r="Q20" s="81">
        <v>25</v>
      </c>
      <c r="R20" s="81">
        <v>25</v>
      </c>
      <c r="S20" s="81">
        <v>25</v>
      </c>
      <c r="T20" s="81">
        <v>25</v>
      </c>
      <c r="U20" s="81">
        <v>24</v>
      </c>
      <c r="V20" s="81">
        <v>28</v>
      </c>
      <c r="W20" s="81">
        <v>28</v>
      </c>
      <c r="X20" s="81">
        <v>28</v>
      </c>
      <c r="Y20" s="110">
        <v>28</v>
      </c>
      <c r="Z20" s="81">
        <v>27</v>
      </c>
      <c r="AA20" s="81">
        <v>25</v>
      </c>
      <c r="AB20" s="81">
        <v>26</v>
      </c>
      <c r="AC20" s="81">
        <v>25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15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633</v>
      </c>
      <c r="H23" s="88" t="s" ph="1">
        <v>633</v>
      </c>
      <c r="I23" s="88" t="s" ph="1">
        <v>634</v>
      </c>
      <c r="J23" s="88" t="s" ph="1">
        <v>635</v>
      </c>
      <c r="K23" s="88" t="s" ph="1">
        <v>635</v>
      </c>
      <c r="L23" s="88" t="s" ph="1">
        <v>635</v>
      </c>
      <c r="M23" s="88" t="s" ph="1">
        <v>630</v>
      </c>
      <c r="N23" s="88" t="s" ph="1">
        <v>630</v>
      </c>
      <c r="O23" s="88" t="s" ph="1">
        <v>321</v>
      </c>
      <c r="P23" s="88" t="s" ph="1">
        <v>637</v>
      </c>
      <c r="Q23" s="89" t="s" ph="1">
        <v>637</v>
      </c>
      <c r="R23" s="88" t="s" ph="1">
        <v>616</v>
      </c>
      <c r="S23" s="88" t="s" ph="1">
        <v>636</v>
      </c>
      <c r="T23" s="88" t="s" ph="1">
        <v>607</v>
      </c>
      <c r="U23" s="88" t="s" ph="1">
        <v>611</v>
      </c>
      <c r="V23" s="88" t="s" ph="1">
        <v>637</v>
      </c>
      <c r="W23" s="88" t="s" ph="1">
        <v>637</v>
      </c>
      <c r="X23" s="88" t="s" ph="1">
        <v>190</v>
      </c>
      <c r="Y23" s="88" t="s" ph="1">
        <v>638</v>
      </c>
      <c r="Z23" s="228" t="s" ph="1">
        <v>649</v>
      </c>
      <c r="AA23" s="229"/>
      <c r="AB23" s="229"/>
      <c r="AC23" s="229"/>
      <c r="AD23" s="229"/>
      <c r="AE23" s="230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37" ph="1">
        <v>0.33333333333333331</v>
      </c>
      <c r="C24" s="146" t="s" ph="1">
        <v>178</v>
      </c>
      <c r="D24" s="71">
        <v>85.31</v>
      </c>
      <c r="E24" s="71">
        <v>4.43</v>
      </c>
      <c r="F24" s="71">
        <v>3832</v>
      </c>
      <c r="G24" s="71">
        <v>1845</v>
      </c>
      <c r="H24" s="71">
        <v>1691</v>
      </c>
      <c r="I24" s="71">
        <v>3494</v>
      </c>
      <c r="J24" s="71">
        <v>1504</v>
      </c>
      <c r="K24" s="71">
        <v>5492</v>
      </c>
      <c r="L24" s="71">
        <v>5590</v>
      </c>
      <c r="M24" s="71">
        <v>4356</v>
      </c>
      <c r="N24" s="71">
        <v>4412</v>
      </c>
      <c r="O24" s="71">
        <v>5153</v>
      </c>
      <c r="P24" s="71">
        <v>363</v>
      </c>
      <c r="Q24" s="90">
        <v>998</v>
      </c>
      <c r="R24" s="71">
        <v>70</v>
      </c>
      <c r="S24" s="71">
        <v>3554</v>
      </c>
      <c r="T24" s="71">
        <v>1758</v>
      </c>
      <c r="U24" s="71">
        <v>6487</v>
      </c>
      <c r="V24" s="71">
        <v>9554</v>
      </c>
      <c r="W24" s="71">
        <v>10720</v>
      </c>
      <c r="X24" s="71">
        <v>4805</v>
      </c>
      <c r="Y24" s="71">
        <v>7271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37" ph="1"/>
      <c r="C25" s="68" t="s" ph="1">
        <v>179</v>
      </c>
      <c r="D25" s="91" ph="1">
        <f>D24*268.68*LOOKUP(D26,密度!$A$2:$A$50,密度!$Q$2:$Q$50)+IF(D24&lt;=0,0,1566*LOOKUP(D26,密度!$A$2:$A$50,密度!$Q$2:$Q$50))</f>
        <v>23182.908343992003</v>
      </c>
      <c r="E25" s="91" ph="1">
        <f>E24*268.68*LOOKUP(E26,密度!$A$2:$A$50,密度!$C$2:$C$50)+IF(E24&lt;=0,0,1566*LOOKUP(E26,密度!$A$2:$A$50,密度!$C$2:$C$50))</f>
        <v>3056.4082863599997</v>
      </c>
      <c r="F25" s="91" ph="1">
        <f>F24*11.702*LOOKUP(F26,密度!$A$2:$A$50,密度!$Q$2:$Q$50)</f>
        <v>42486.510378079998</v>
      </c>
      <c r="G25" s="91" ph="1">
        <f>G24*18.322*LOOKUP(G26,密度!$A$2:$A$50,密度!$B$2:$B$50)</f>
        <v>26384.092244999996</v>
      </c>
      <c r="H25" s="91" ph="1">
        <f>H24*18.322*LOOKUP(H26,密度!$A$2:$A$50,密度!$B$2:$B$50)</f>
        <v>24153.9585592</v>
      </c>
      <c r="I25" s="91" ph="1">
        <f>I24*18.322*LOOKUP(I26,密度!$A$2:$A$50,密度!$Q$2:$Q$50)</f>
        <v>60607.518958320004</v>
      </c>
      <c r="J25" s="91" ph="1">
        <f>J24*18.322*LOOKUP(J26,密度!$A$2:$A$50,密度!$Q$2:$Q$50)</f>
        <v>26088.64010112</v>
      </c>
      <c r="K25" s="91" ph="1">
        <f>K24*18.322*LOOKUP(K26,密度!$A$2:$A$50,密度!$Q$2:$Q$50)</f>
        <v>95338.623007279995</v>
      </c>
      <c r="L25" s="91" ph="1">
        <f>L24*18.322*LOOKUP(L26,密度!$A$2:$A$50,密度!$Q$2:$Q$50)</f>
        <v>97039.858450600004</v>
      </c>
      <c r="M25" s="91" ph="1">
        <f>M24*18.322*LOOKUP(M26,密度!$A$2:$A$50,密度!$Q$2:$Q$50)</f>
        <v>75618.179501039995</v>
      </c>
      <c r="N25" s="91" ph="1">
        <f>N24*18.322*LOOKUP(N26,密度!$A$2:$A$50,密度!$Q$2:$Q$50)</f>
        <v>76590.314040079989</v>
      </c>
      <c r="O25" s="91" ph="1">
        <f>O24*18.322*LOOKUP(O26,密度!$A$2:$A$50,密度!$C$2:$C$50)</f>
        <v>104694.87066739998</v>
      </c>
      <c r="P25" s="91" ph="1">
        <f>P24*11.702*LOOKUP(P26,密度!$A$2:$A$50,密度!$B$2:$B$50)</f>
        <v>3319.2512363999999</v>
      </c>
      <c r="Q25" s="92" ph="1">
        <f>Q24*18.322*LOOKUP(Q26,密度!$A$2:$A$50,密度!$B$2:$B$50)</f>
        <v>14271.720357999999</v>
      </c>
      <c r="R25" s="91" ph="1">
        <f>R24*35.891*LOOKUP(R26,密度!$A$2:$A$50,密度!$C$2:$C$50)</f>
        <v>2787.7257519999998</v>
      </c>
      <c r="S25" s="91" ph="1">
        <f>S24*35.891*LOOKUP(S26,密度!$A$2:$A$50,密度!$B$2:$B$50)</f>
        <v>99557.937226999988</v>
      </c>
      <c r="T25" s="91" ph="1">
        <f>T24*35.891*LOOKUP(T26,密度!$A$2:$A$50,密度!$Q$2:$Q$50)</f>
        <v>59735.864907719995</v>
      </c>
      <c r="U25" s="91" ph="1">
        <f>U24*35.891</f>
        <v>232824.91699999999</v>
      </c>
      <c r="V25" s="91" ph="1">
        <f>V24*47.051*LOOKUP(V26,密度!$A$2:$A$50,密度!$B$2:$B$50)</f>
        <v>350854.460747</v>
      </c>
      <c r="W25" s="91" ph="1">
        <f>W24*47.051*LOOKUP(W26,密度!$A$2:$A$50,密度!$B$2:$B$50)</f>
        <v>393673.83496000001</v>
      </c>
      <c r="X25" s="91" ph="1">
        <f>X24*47.051*LOOKUP(X26,密度!$A$2:$A$50,密度!$I$2:$I$50)</f>
        <v>235349.33725500002</v>
      </c>
      <c r="Y25" s="91" ph="1">
        <f>Y24*47.051*LOOKUP(Y26,密度!$A$2:$A$50,密度!$L$2:$L$50)</f>
        <v>319870.81263500004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37" ph="1"/>
      <c r="C26" s="68" t="s" ph="1">
        <v>180</v>
      </c>
      <c r="D26" s="74">
        <v>25</v>
      </c>
      <c r="E26" s="74">
        <v>25</v>
      </c>
      <c r="F26" s="74">
        <v>24</v>
      </c>
      <c r="G26" s="74">
        <v>24</v>
      </c>
      <c r="H26" s="74">
        <v>25</v>
      </c>
      <c r="I26" s="74">
        <v>25</v>
      </c>
      <c r="J26" s="74">
        <v>25</v>
      </c>
      <c r="K26" s="74">
        <v>24</v>
      </c>
      <c r="L26" s="74">
        <v>24</v>
      </c>
      <c r="M26" s="74">
        <v>24</v>
      </c>
      <c r="N26" s="74">
        <v>24</v>
      </c>
      <c r="O26" s="74">
        <v>25</v>
      </c>
      <c r="P26" s="74">
        <v>23</v>
      </c>
      <c r="Q26" s="93">
        <v>24</v>
      </c>
      <c r="R26" s="74">
        <v>24</v>
      </c>
      <c r="S26" s="74">
        <v>24</v>
      </c>
      <c r="T26" s="74">
        <v>25</v>
      </c>
      <c r="U26" s="74">
        <v>25</v>
      </c>
      <c r="V26" s="74">
        <v>24</v>
      </c>
      <c r="W26" s="74">
        <v>24</v>
      </c>
      <c r="X26" s="74">
        <v>26</v>
      </c>
      <c r="Y26" s="74">
        <v>27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65" ph="1">
      <c r="A27" s="72" ph="1"/>
      <c r="B27" s="237" ph="1">
        <v>0.66666666666666663</v>
      </c>
      <c r="C27" s="146" t="s" ph="1">
        <v>181</v>
      </c>
      <c r="D27" s="71">
        <v>85.41</v>
      </c>
      <c r="E27" s="71">
        <v>4.41</v>
      </c>
      <c r="F27" s="71">
        <v>3833</v>
      </c>
      <c r="G27" s="71">
        <v>1274</v>
      </c>
      <c r="H27" s="71">
        <v>612</v>
      </c>
      <c r="I27" s="71">
        <v>3495</v>
      </c>
      <c r="J27" s="71">
        <v>1749</v>
      </c>
      <c r="K27" s="71">
        <v>5493</v>
      </c>
      <c r="L27" s="71">
        <v>5591</v>
      </c>
      <c r="M27" s="71">
        <v>3555</v>
      </c>
      <c r="N27" s="71">
        <v>4413</v>
      </c>
      <c r="O27" s="71">
        <v>5152</v>
      </c>
      <c r="P27" s="71">
        <v>362</v>
      </c>
      <c r="Q27" s="90">
        <v>642</v>
      </c>
      <c r="R27" s="71">
        <v>70</v>
      </c>
      <c r="S27" s="71">
        <v>4190</v>
      </c>
      <c r="T27" s="71">
        <v>1759</v>
      </c>
      <c r="U27" s="71">
        <v>6016</v>
      </c>
      <c r="V27" s="71">
        <v>9552</v>
      </c>
      <c r="W27" s="71">
        <v>10721</v>
      </c>
      <c r="X27" s="71">
        <v>5401</v>
      </c>
      <c r="Y27" s="71">
        <v>6209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37" ph="1"/>
      <c r="C28" s="146" t="s" ph="1">
        <v>179</v>
      </c>
      <c r="D28" s="91" ph="1">
        <f>D27*268.68*LOOKUP(D29,密度!$A$2:$A$50,密度!$Q$2:$Q$50)+IF(D27&lt;=0,0,1566*LOOKUP(D29,密度!$A$2:$A$50,密度!$Q$2:$Q$50))</f>
        <v>23208.345354312001</v>
      </c>
      <c r="E28" s="91" ph="1">
        <f>E27*268.68*LOOKUP(E29,密度!$A$2:$A$50,密度!$C$2:$C$50)+IF(E27&lt;=0,0,1566*LOOKUP(E29,密度!$A$2:$A$50,密度!$C$2:$C$50))</f>
        <v>3050.4495013199999</v>
      </c>
      <c r="F28" s="91" ph="1">
        <f>F27*11.702*LOOKUP(F29,密度!$A$2:$A$50,密度!$Q$2:$Q$50)</f>
        <v>42464.854422840006</v>
      </c>
      <c r="G28" s="91" ph="1">
        <f>G27*18.322*LOOKUP(G29,密度!$A$2:$A$50,密度!$B$2:$B$50)</f>
        <v>18197.600948799998</v>
      </c>
      <c r="H28" s="91" ph="1">
        <f>H27*18.322*LOOKUP(H29,密度!$A$2:$A$50,密度!$B$2:$B$50)</f>
        <v>8741.7046943999994</v>
      </c>
      <c r="I28" s="91" ph="1">
        <f>I27*18.322*LOOKUP(I29,密度!$A$2:$A$50,密度!$Q$2:$Q$50)</f>
        <v>60624.865128600002</v>
      </c>
      <c r="J28" s="91" ph="1">
        <f>J27*18.322*LOOKUP(J29,密度!$A$2:$A$50,密度!$Q$2:$Q$50)</f>
        <v>30338.451819720001</v>
      </c>
      <c r="K28" s="91" ph="1">
        <f>K27*18.322*LOOKUP(K29,密度!$A$2:$A$50,密度!$Q$2:$Q$50)</f>
        <v>95355.98255262</v>
      </c>
      <c r="L28" s="91" ph="1">
        <f>L27*18.322*LOOKUP(L29,密度!$A$2:$A$50,密度!$Q$2:$Q$50)</f>
        <v>97057.217995939995</v>
      </c>
      <c r="M28" s="91" ph="1">
        <f>M27*18.322*LOOKUP(M29,密度!$A$2:$A$50,密度!$Q$2:$Q$50)</f>
        <v>61665.635345399998</v>
      </c>
      <c r="N28" s="91" ph="1">
        <f>N27*18.322*LOOKUP(N29,密度!$A$2:$A$50,密度!$Q$2:$Q$50)</f>
        <v>76607.673585419994</v>
      </c>
      <c r="O28" s="91" ph="1">
        <f>O27*18.322*LOOKUP(O29,密度!$A$2:$A$50,密度!$C$2:$C$50)</f>
        <v>104740.62986239998</v>
      </c>
      <c r="P28" s="91" ph="1">
        <f>P27*11.702*LOOKUP(P29,密度!$A$2:$A$50,密度!$B$2:$B$50)</f>
        <v>3306.2947819999999</v>
      </c>
      <c r="Q28" s="92" ph="1">
        <f>Q27*18.322*LOOKUP(Q29,密度!$A$2:$A$50,密度!$B$2:$B$50)</f>
        <v>9170.219630399999</v>
      </c>
      <c r="R28" s="91" ph="1">
        <f>R27*35.891*LOOKUP(R29,密度!$A$2:$A$50,密度!$C$2:$C$50)</f>
        <v>2787.7257519999998</v>
      </c>
      <c r="S28" s="91" ph="1">
        <f>S27*35.891*LOOKUP(S29,密度!$A$2:$A$50,密度!$B$2:$B$50)</f>
        <v>117238.81288399998</v>
      </c>
      <c r="T28" s="91" ph="1">
        <f>T27*35.891*LOOKUP(T29,密度!$A$2:$A$50,密度!$Q$2:$Q$50)</f>
        <v>59769.844353060005</v>
      </c>
      <c r="U28" s="91" ph="1">
        <f>U27*35.891</f>
        <v>215920.25599999999</v>
      </c>
      <c r="V28" s="91" ph="1">
        <f>V27*47.051*LOOKUP(V29,密度!$A$2:$A$50,密度!$B$2:$B$50)</f>
        <v>350376.52609920001</v>
      </c>
      <c r="W28" s="91" ph="1">
        <f>W27*47.051*LOOKUP(W29,密度!$A$2:$A$50,密度!$B$2:$B$50)</f>
        <v>392802.57747769996</v>
      </c>
      <c r="X28" s="91" ph="1">
        <f>X27*47.051*LOOKUP(X29,密度!$A$2:$A$50,密度!$I$2:$I$50)</f>
        <v>263702.86740270001</v>
      </c>
      <c r="Y28" s="91" ph="1">
        <f>Y27*47.051*LOOKUP(Y29,密度!$A$2:$A$50,密度!$L$2:$L$50)</f>
        <v>273442.72082400002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37" ph="1"/>
      <c r="C29" s="146" t="s" ph="1">
        <v>180</v>
      </c>
      <c r="D29" s="74">
        <v>25</v>
      </c>
      <c r="E29" s="74">
        <v>25</v>
      </c>
      <c r="F29" s="74">
        <v>25</v>
      </c>
      <c r="G29" s="74">
        <v>25</v>
      </c>
      <c r="H29" s="74">
        <v>25</v>
      </c>
      <c r="I29" s="74">
        <v>25</v>
      </c>
      <c r="J29" s="74">
        <v>25</v>
      </c>
      <c r="K29" s="74">
        <v>24</v>
      </c>
      <c r="L29" s="74">
        <v>24</v>
      </c>
      <c r="M29" s="74">
        <v>25</v>
      </c>
      <c r="N29" s="74">
        <v>24</v>
      </c>
      <c r="O29" s="74">
        <v>24</v>
      </c>
      <c r="P29" s="74">
        <v>24</v>
      </c>
      <c r="Q29" s="93">
        <v>25</v>
      </c>
      <c r="R29" s="74">
        <v>24</v>
      </c>
      <c r="S29" s="74">
        <v>25</v>
      </c>
      <c r="T29" s="74">
        <v>25</v>
      </c>
      <c r="U29" s="74">
        <v>25</v>
      </c>
      <c r="V29" s="74">
        <v>25</v>
      </c>
      <c r="W29" s="74">
        <v>26</v>
      </c>
      <c r="X29" s="74">
        <v>29</v>
      </c>
      <c r="Y29" s="74">
        <v>26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45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46" t="s" ph="1">
        <v>5</v>
      </c>
      <c r="F32" s="145" t="s" ph="1">
        <v>43</v>
      </c>
      <c r="G32" s="97" t="s" ph="1">
        <v>4</v>
      </c>
      <c r="H32" s="146" t="s" ph="1">
        <v>5</v>
      </c>
      <c r="I32" s="145" t="s" ph="1">
        <v>43</v>
      </c>
      <c r="J32" s="97" t="s" ph="1">
        <v>4</v>
      </c>
      <c r="K32" s="146" t="s" ph="1">
        <v>5</v>
      </c>
      <c r="L32" s="145" t="s" ph="1">
        <v>43</v>
      </c>
      <c r="M32" s="97" t="s" ph="1">
        <v>4</v>
      </c>
      <c r="N32" s="146" t="s" ph="1">
        <v>5</v>
      </c>
      <c r="O32" s="14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6" t="s" ph="1">
        <v>5</v>
      </c>
      <c r="U32" s="99" t="s" ph="1">
        <v>43</v>
      </c>
      <c r="V32" s="97" t="s" ph="1">
        <v>4</v>
      </c>
      <c r="W32" s="146" t="s" ph="1">
        <v>5</v>
      </c>
      <c r="X32" s="99" t="s" ph="1">
        <v>43</v>
      </c>
      <c r="Y32" s="100" t="s" ph="1">
        <v>4</v>
      </c>
      <c r="Z32" s="146" t="s" ph="1">
        <v>5</v>
      </c>
      <c r="AA32" s="145" t="s" ph="1">
        <v>43</v>
      </c>
      <c r="AB32" s="97" t="s" ph="1">
        <v>85</v>
      </c>
      <c r="AC32" s="146" t="s" ph="1">
        <v>84</v>
      </c>
      <c r="AD32" s="204" t="s" ph="1">
        <v>83</v>
      </c>
      <c r="AE32" s="205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06" t="s" ph="1">
        <v>182</v>
      </c>
      <c r="C33" s="207" ph="1"/>
      <c r="D33" s="186" ph="1">
        <f>AA10+AB10+Z19</f>
        <v>65641.35272570001</v>
      </c>
      <c r="E33" s="186" ph="1">
        <f>M10+I10</f>
        <v>177361.15124909996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[[#This Row],[F25]]</f>
        <v>3880</v>
      </c>
      <c r="G33" s="212" ph="1">
        <v>0</v>
      </c>
      <c r="H33" s="186" ph="1">
        <f>N19</f>
        <v>12359.827527700001</v>
      </c>
      <c r="I33" s="190" ph="1">
        <v>0</v>
      </c>
      <c r="J33" s="194" ph="1">
        <f>F10+O28</f>
        <v>355436.06119549996</v>
      </c>
      <c r="K33" s="186" ph="1">
        <f>O10+K10+E28+R28</f>
        <v>50374.588703320005</v>
      </c>
      <c r="L33" s="196" ph="1">
        <f>BE27</f>
        <v>7100</v>
      </c>
      <c r="M33" s="194" ph="1">
        <f>G10+H10+W28+S28+V28+E10</f>
        <v>1418391.5171969</v>
      </c>
      <c r="N33" s="186" ph="1">
        <f>L10+P10++G28+H28</f>
        <v>198083.72624619995</v>
      </c>
      <c r="O33" s="190" ph="1">
        <f>BE17</f>
        <v>2270</v>
      </c>
      <c r="P33" s="194" ph="1">
        <f>L19</f>
        <v>33830.399187199997</v>
      </c>
      <c r="Q33" s="186" ph="1">
        <f>J10+N10</f>
        <v>56966.879050399999</v>
      </c>
      <c r="R33" s="190" ph="1">
        <f>BE23</f>
        <v>890</v>
      </c>
      <c r="S33" s="194" ph="1">
        <f>E10+X28</f>
        <v>588032.11541970004</v>
      </c>
      <c r="T33" s="186" ph="1">
        <f>X19</f>
        <v>5000.0790073199996</v>
      </c>
      <c r="U33" s="175" ph="1">
        <f>BE21</f>
        <v>730</v>
      </c>
      <c r="V33" s="188" ph="1">
        <f ca="1">P19+Q19+S19+M28+N28+J28</f>
        <v>266321.78048197197</v>
      </c>
      <c r="W33" s="188" ph="1">
        <f>D28+F28+V19+T28</f>
        <v>129519.30689470802</v>
      </c>
      <c r="X33" s="190" ph="1">
        <f>BE29+BE31</f>
        <v>10200</v>
      </c>
      <c r="Y33" s="192" ph="1">
        <f>+Q10+R10+S10+T10+U10+V10+W10+X10+Y10</f>
        <v>112967.5589658</v>
      </c>
      <c r="Z33" s="173" ph="1">
        <f>D10+T19+U19+Y28+Z10</f>
        <v>564776.59819012007</v>
      </c>
      <c r="AA33" s="175" ph="1">
        <f>BE19</f>
        <v>1440</v>
      </c>
      <c r="AB33" s="177" ph="1">
        <f>I19</f>
        <v>48726.863264800006</v>
      </c>
      <c r="AC33" s="179" ph="1">
        <f>AD10</f>
        <v>86300.896892799996</v>
      </c>
      <c r="AD33" s="181" ph="1">
        <v>0</v>
      </c>
      <c r="AE33" s="182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85" t="s" ph="1">
        <v>639</v>
      </c>
      <c r="AD35" s="185"/>
      <c r="AE35" s="185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45" ph="1">
      <c r="A36" s="64"/>
      <c r="B36" s="103" t="s" ph="1">
        <v>183</v>
      </c>
      <c r="I36" s="171" t="s" ph="1">
        <v>184</v>
      </c>
      <c r="J36" s="171" ph="1"/>
      <c r="K36" s="101" ph="1"/>
      <c r="P36" s="101" ph="1"/>
      <c r="R36" s="171" t="s" ph="1">
        <v>185</v>
      </c>
      <c r="S36" s="171" ph="1"/>
      <c r="Y36" s="102" ph="1"/>
      <c r="Z36" s="144" t="s" ph="1">
        <v>186</v>
      </c>
      <c r="AA36" s="144" ph="1"/>
      <c r="AB36" s="172" t="s" ph="1">
        <v>644</v>
      </c>
      <c r="AC36" s="172" ph="1"/>
      <c r="AD36" s="172" ph="1"/>
      <c r="AE36" s="172" ph="1"/>
      <c r="BA36" s="64" ph="1">
        <v>2270</v>
      </c>
    </row>
    <row r="37" spans="1:57" s="144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4" t="s" ph="1">
        <v>345</v>
      </c>
      <c r="AI37" s="144" t="s" ph="1">
        <v>212</v>
      </c>
      <c r="AJ37" s="144" t="s" ph="1">
        <v>213</v>
      </c>
      <c r="AK37" s="144" t="s" ph="1">
        <v>214</v>
      </c>
      <c r="AM37" s="144" t="s" ph="1">
        <v>213</v>
      </c>
      <c r="AN37" s="144" t="s" ph="1">
        <v>214</v>
      </c>
      <c r="AO37" s="144" t="s" ph="1">
        <v>215</v>
      </c>
      <c r="AP37" s="144" t="s" ph="1">
        <v>213</v>
      </c>
      <c r="AQ37" s="144" t="s" ph="1">
        <v>214</v>
      </c>
      <c r="AR37" s="144" t="s" ph="1">
        <v>215</v>
      </c>
      <c r="AS37" s="144" t="s" ph="1">
        <v>213</v>
      </c>
      <c r="AT37" s="144" t="s" ph="1">
        <v>214</v>
      </c>
      <c r="AU37" s="144" t="s" ph="1">
        <v>215</v>
      </c>
      <c r="AV37" s="144" t="s" ph="1">
        <v>213</v>
      </c>
      <c r="AW37" s="144" t="s" ph="1">
        <v>214</v>
      </c>
      <c r="AX37" s="144" t="s" ph="1">
        <v>215</v>
      </c>
      <c r="AY37" s="144" t="s" ph="1">
        <v>214</v>
      </c>
      <c r="AZ37" s="144" t="s" ph="1">
        <v>216</v>
      </c>
      <c r="BD37" s="144" t="s" ph="1">
        <v>308</v>
      </c>
      <c r="BE37" s="144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904" priority="97">
      <formula>ABS(D$7-D$10)&gt;=1000</formula>
    </cfRule>
  </conditionalFormatting>
  <conditionalFormatting sqref="E4 E6:E11">
    <cfRule type="expression" dxfId="1903" priority="96">
      <formula>ABS(E$7-E$10)&gt;=1000</formula>
    </cfRule>
  </conditionalFormatting>
  <conditionalFormatting sqref="F4:F11">
    <cfRule type="expression" dxfId="1902" priority="95">
      <formula>ABS(F$7-F$10)&gt;=1000</formula>
    </cfRule>
  </conditionalFormatting>
  <conditionalFormatting sqref="G4:G11">
    <cfRule type="expression" dxfId="1901" priority="94">
      <formula>ABS(G$7-G$10)&gt;=1000</formula>
    </cfRule>
  </conditionalFormatting>
  <conditionalFormatting sqref="H4:H11">
    <cfRule type="expression" dxfId="1900" priority="93">
      <formula>ABS(H$7-H$10)&gt;=1000</formula>
    </cfRule>
  </conditionalFormatting>
  <conditionalFormatting sqref="I4:I11">
    <cfRule type="expression" dxfId="1899" priority="92">
      <formula>ABS(I$7-I$10)&gt;=1000</formula>
    </cfRule>
  </conditionalFormatting>
  <conditionalFormatting sqref="J4:J11">
    <cfRule type="expression" dxfId="1898" priority="91">
      <formula>ABS(J$7-J$10)&gt;=1000</formula>
    </cfRule>
  </conditionalFormatting>
  <conditionalFormatting sqref="K4:K11">
    <cfRule type="expression" dxfId="1897" priority="90">
      <formula>ABS(K$7-K$10)&gt;=1000</formula>
    </cfRule>
  </conditionalFormatting>
  <conditionalFormatting sqref="L4:L11">
    <cfRule type="expression" dxfId="1896" priority="89">
      <formula>ABS(L$7-L$10)&gt;=1000</formula>
    </cfRule>
  </conditionalFormatting>
  <conditionalFormatting sqref="M4 M6:M11">
    <cfRule type="expression" dxfId="1895" priority="88">
      <formula>ABS(M$7-M$10)&gt;=1000</formula>
    </cfRule>
  </conditionalFormatting>
  <conditionalFormatting sqref="N4 N6:N11">
    <cfRule type="expression" dxfId="1894" priority="87">
      <formula>ABS(N$7-N$10)&gt;=1000</formula>
    </cfRule>
  </conditionalFormatting>
  <conditionalFormatting sqref="O4 O6:O11">
    <cfRule type="expression" dxfId="1893" priority="86">
      <formula>ABS(O$7-O$10)&gt;=1000</formula>
    </cfRule>
  </conditionalFormatting>
  <conditionalFormatting sqref="P4 P6:P11">
    <cfRule type="expression" dxfId="1892" priority="85">
      <formula>ABS(P$7-P$10)&gt;=1000</formula>
    </cfRule>
  </conditionalFormatting>
  <conditionalFormatting sqref="Q4:Q11">
    <cfRule type="expression" dxfId="1891" priority="84">
      <formula>ABS(Q$7-Q$10)&gt;=1000</formula>
    </cfRule>
  </conditionalFormatting>
  <conditionalFormatting sqref="R4:R11">
    <cfRule type="expression" dxfId="1890" priority="83">
      <formula>ABS(R$7-R$10)&gt;=1000</formula>
    </cfRule>
  </conditionalFormatting>
  <conditionalFormatting sqref="S4:S11">
    <cfRule type="expression" dxfId="1889" priority="82">
      <formula>ABS(S$7-S$10)&gt;=1000</formula>
    </cfRule>
  </conditionalFormatting>
  <conditionalFormatting sqref="T4:T9 T11">
    <cfRule type="expression" dxfId="1888" priority="81">
      <formula>ABS(T$7-T$10)&gt;=1000</formula>
    </cfRule>
  </conditionalFormatting>
  <conditionalFormatting sqref="U4:U9 U11">
    <cfRule type="expression" dxfId="1887" priority="80">
      <formula>ABS(U$7-U$10)&gt;=1000</formula>
    </cfRule>
  </conditionalFormatting>
  <conditionalFormatting sqref="V4:V9 V11">
    <cfRule type="expression" dxfId="1886" priority="79">
      <formula>ABS(V$7-V$10)&gt;=1000</formula>
    </cfRule>
  </conditionalFormatting>
  <conditionalFormatting sqref="W4:W9 W11">
    <cfRule type="expression" dxfId="1885" priority="78">
      <formula>ABS(W$7-W$10)&gt;=1000</formula>
    </cfRule>
  </conditionalFormatting>
  <conditionalFormatting sqref="X4:X9 X11">
    <cfRule type="expression" dxfId="1884" priority="77">
      <formula>ABS(X$7-X$10)&gt;=1000</formula>
    </cfRule>
  </conditionalFormatting>
  <conditionalFormatting sqref="Y4:Y9 Y11">
    <cfRule type="expression" dxfId="1883" priority="76">
      <formula>ABS(Y$7-Y$10)&gt;=1000</formula>
    </cfRule>
  </conditionalFormatting>
  <conditionalFormatting sqref="Z4:Z11">
    <cfRule type="expression" dxfId="1882" priority="75">
      <formula>ABS(Z$7-Z$10)&gt;=1000</formula>
    </cfRule>
  </conditionalFormatting>
  <conditionalFormatting sqref="AA4:AA11">
    <cfRule type="expression" dxfId="1881" priority="74">
      <formula>ABS(AA$7-AA$10)&gt;=1000</formula>
    </cfRule>
  </conditionalFormatting>
  <conditionalFormatting sqref="AB4:AB11">
    <cfRule type="expression" dxfId="1880" priority="73">
      <formula>ABS(AB$7-AB$10)&gt;=1000</formula>
    </cfRule>
  </conditionalFormatting>
  <conditionalFormatting sqref="AC4 AC6:AC11">
    <cfRule type="expression" dxfId="1879" priority="72">
      <formula>ABS(AC$7-AC$10)&gt;=1000</formula>
    </cfRule>
  </conditionalFormatting>
  <conditionalFormatting sqref="AD4:AD11">
    <cfRule type="expression" dxfId="1878" priority="71">
      <formula>ABS(AD$7-AD$10)&gt;=1000</formula>
    </cfRule>
  </conditionalFormatting>
  <conditionalFormatting sqref="AE4:AE11">
    <cfRule type="expression" dxfId="1877" priority="70">
      <formula>ABS(AE$7-AE$10)&gt;=1000</formula>
    </cfRule>
  </conditionalFormatting>
  <conditionalFormatting sqref="D13:D20">
    <cfRule type="expression" dxfId="1876" priority="69">
      <formula>ABS(D$16-D$19)&gt;=1000</formula>
    </cfRule>
  </conditionalFormatting>
  <conditionalFormatting sqref="E13:E20">
    <cfRule type="expression" dxfId="1875" priority="68">
      <formula>ABS(E$16-E$19)&gt;=1000</formula>
    </cfRule>
  </conditionalFormatting>
  <conditionalFormatting sqref="F13 F15:F20">
    <cfRule type="expression" dxfId="1874" priority="67">
      <formula>ABS(F$16-F$19)&gt;=1000</formula>
    </cfRule>
  </conditionalFormatting>
  <conditionalFormatting sqref="G13:G20">
    <cfRule type="expression" dxfId="1873" priority="66">
      <formula>ABS(G$16-G$19)&gt;=1000</formula>
    </cfRule>
  </conditionalFormatting>
  <conditionalFormatting sqref="H13:H20">
    <cfRule type="expression" dxfId="1872" priority="65">
      <formula>ABS(H$16-H$19)&gt;=1000</formula>
    </cfRule>
  </conditionalFormatting>
  <conditionalFormatting sqref="I13:I20">
    <cfRule type="expression" dxfId="1871" priority="64">
      <formula>ABS(I$16-I$19)&gt;=1000</formula>
    </cfRule>
  </conditionalFormatting>
  <conditionalFormatting sqref="J13:J20">
    <cfRule type="expression" dxfId="1870" priority="63">
      <formula>ABS(J$16-J$19)&gt;=1000</formula>
    </cfRule>
  </conditionalFormatting>
  <conditionalFormatting sqref="L13:L20">
    <cfRule type="expression" dxfId="1869" priority="62">
      <formula>ABS(L$16-L$19)&gt;=1000</formula>
    </cfRule>
  </conditionalFormatting>
  <conditionalFormatting sqref="M13 M15 M17:M18 M20">
    <cfRule type="expression" dxfId="1868" priority="61">
      <formula>ABS(M$16-M$19)&gt;=1000</formula>
    </cfRule>
  </conditionalFormatting>
  <conditionalFormatting sqref="N13:N20">
    <cfRule type="expression" dxfId="1867" priority="60">
      <formula>ABS(N$16-N$19)&gt;=1000</formula>
    </cfRule>
  </conditionalFormatting>
  <conditionalFormatting sqref="O13:O20">
    <cfRule type="expression" dxfId="1866" priority="59">
      <formula>ABS(O$16-O$19)&gt;=1000</formula>
    </cfRule>
  </conditionalFormatting>
  <conditionalFormatting sqref="P13:P20">
    <cfRule type="expression" dxfId="1865" priority="58">
      <formula>ABS(P$16-P$19)&gt;=1000</formula>
    </cfRule>
  </conditionalFormatting>
  <conditionalFormatting sqref="Q13 Q15:Q20">
    <cfRule type="expression" dxfId="1864" priority="57">
      <formula>ABS(Q$16-Q$19)&gt;=1000</formula>
    </cfRule>
  </conditionalFormatting>
  <conditionalFormatting sqref="R13:R20">
    <cfRule type="expression" dxfId="1863" priority="56">
      <formula>ABS(R$16-R$19)&gt;=1000</formula>
    </cfRule>
  </conditionalFormatting>
  <conditionalFormatting sqref="S13:S20">
    <cfRule type="expression" dxfId="1862" priority="55">
      <formula>ABS(S$16-S$19)&gt;=1000</formula>
    </cfRule>
  </conditionalFormatting>
  <conditionalFormatting sqref="T13:T20">
    <cfRule type="expression" dxfId="1861" priority="54">
      <formula>ABS(T$16-T$19)&gt;=1000</formula>
    </cfRule>
  </conditionalFormatting>
  <conditionalFormatting sqref="U13:U20">
    <cfRule type="expression" dxfId="1860" priority="53">
      <formula>ABS(U$16-U$19)&gt;=1000</formula>
    </cfRule>
  </conditionalFormatting>
  <conditionalFormatting sqref="V13:V20">
    <cfRule type="expression" dxfId="1859" priority="52">
      <formula>ABS(V$16-V$19)&gt;=1000</formula>
    </cfRule>
  </conditionalFormatting>
  <conditionalFormatting sqref="W13 W20 W15:W18">
    <cfRule type="expression" dxfId="1858" priority="51">
      <formula>ABS(W$16-W$19)&gt;=1000</formula>
    </cfRule>
  </conditionalFormatting>
  <conditionalFormatting sqref="X13 X15:X20 Y19">
    <cfRule type="expression" dxfId="1857" priority="50">
      <formula>ABS(X$16-X$19)&gt;=1000</formula>
    </cfRule>
  </conditionalFormatting>
  <conditionalFormatting sqref="Y13 Y15:Y18 Y20">
    <cfRule type="expression" dxfId="1856" priority="49">
      <formula>ABS(Y$16-Y$19)&gt;=1000</formula>
    </cfRule>
  </conditionalFormatting>
  <conditionalFormatting sqref="Z13:Z20">
    <cfRule type="expression" dxfId="1855" priority="48">
      <formula>ABS(Z$16-Z$19)&gt;=1000</formula>
    </cfRule>
  </conditionalFormatting>
  <conditionalFormatting sqref="AA13:AA20">
    <cfRule type="expression" dxfId="1854" priority="47">
      <formula>ABS(AA$16-AA$19)&gt;=1000</formula>
    </cfRule>
  </conditionalFormatting>
  <conditionalFormatting sqref="AB13 AB15:AB20">
    <cfRule type="expression" dxfId="1853" priority="46">
      <formula>ABS(AB$16-AB$19)&gt;=1000</formula>
    </cfRule>
  </conditionalFormatting>
  <conditionalFormatting sqref="AC13 AC15:AC20">
    <cfRule type="expression" dxfId="1852" priority="45">
      <formula>ABS(AC$16-AC$19)&gt;=1000</formula>
    </cfRule>
  </conditionalFormatting>
  <conditionalFormatting sqref="AD13:AD20">
    <cfRule type="expression" dxfId="1851" priority="44">
      <formula>ABS(AD$16-AD$19)&gt;=1000</formula>
    </cfRule>
  </conditionalFormatting>
  <conditionalFormatting sqref="AE13:AE20">
    <cfRule type="expression" dxfId="1850" priority="43">
      <formula>ABS(AE$16-AE$19)&gt;=1000</formula>
    </cfRule>
  </conditionalFormatting>
  <conditionalFormatting sqref="D22:D29">
    <cfRule type="expression" dxfId="1849" priority="42">
      <formula>ABS(D$25-D$28)&gt;=1000</formula>
    </cfRule>
  </conditionalFormatting>
  <conditionalFormatting sqref="E22:E29">
    <cfRule type="expression" dxfId="1848" priority="41">
      <formula>ABS(E$25-E$28)&gt;=1000</formula>
    </cfRule>
  </conditionalFormatting>
  <conditionalFormatting sqref="F22:F29">
    <cfRule type="expression" dxfId="1847" priority="40">
      <formula>ABS(F$25-F$28)&gt;=1000</formula>
    </cfRule>
  </conditionalFormatting>
  <conditionalFormatting sqref="G22:G29">
    <cfRule type="expression" dxfId="1846" priority="39">
      <formula>ABS(G$25-G$28)&gt;=1000</formula>
    </cfRule>
  </conditionalFormatting>
  <conditionalFormatting sqref="H22:H29">
    <cfRule type="expression" dxfId="1845" priority="38">
      <formula>ABS(H$25-H$28)&gt;=1000</formula>
    </cfRule>
  </conditionalFormatting>
  <conditionalFormatting sqref="I22 I24:I29">
    <cfRule type="expression" dxfId="1844" priority="37">
      <formula>ABS(I$25-I$28)&gt;=1000</formula>
    </cfRule>
  </conditionalFormatting>
  <conditionalFormatting sqref="J22:J29 K22">
    <cfRule type="expression" dxfId="1843" priority="36">
      <formula>ABS(J$25-J$28)&gt;=1000</formula>
    </cfRule>
  </conditionalFormatting>
  <conditionalFormatting sqref="K23:K29 L25 L28">
    <cfRule type="expression" dxfId="1842" priority="35">
      <formula>ABS(K$25-K$28)&gt;=1000</formula>
    </cfRule>
  </conditionalFormatting>
  <conditionalFormatting sqref="L22 L26:L27 L29 L24">
    <cfRule type="expression" dxfId="1841" priority="34">
      <formula>ABS(L$25-L$28)&gt;=1000</formula>
    </cfRule>
  </conditionalFormatting>
  <conditionalFormatting sqref="M22:M29">
    <cfRule type="expression" dxfId="1840" priority="33">
      <formula>ABS(M$25-M$28)&gt;=1000</formula>
    </cfRule>
  </conditionalFormatting>
  <conditionalFormatting sqref="N22:N29">
    <cfRule type="expression" dxfId="1839" priority="32">
      <formula>ABS(N$25-N$28)&gt;=1000</formula>
    </cfRule>
  </conditionalFormatting>
  <conditionalFormatting sqref="O22:O29">
    <cfRule type="expression" dxfId="1838" priority="31">
      <formula>ABS(O$25-O$28)&gt;=1000</formula>
    </cfRule>
  </conditionalFormatting>
  <conditionalFormatting sqref="P22:P29">
    <cfRule type="expression" dxfId="1837" priority="30">
      <formula>ABS(P$25-P$28)&gt;=1000</formula>
    </cfRule>
  </conditionalFormatting>
  <conditionalFormatting sqref="Q22:Q29">
    <cfRule type="expression" dxfId="1836" priority="29">
      <formula>ABS(Q$25-Q$28)&gt;=1000</formula>
    </cfRule>
  </conditionalFormatting>
  <conditionalFormatting sqref="R22:R29">
    <cfRule type="expression" dxfId="1835" priority="28">
      <formula>ABS(R$25-R$28)&gt;=1000</formula>
    </cfRule>
  </conditionalFormatting>
  <conditionalFormatting sqref="S22:S29">
    <cfRule type="expression" dxfId="1834" priority="27">
      <formula>ABS(S$25-S$28)&gt;=1000</formula>
    </cfRule>
  </conditionalFormatting>
  <conditionalFormatting sqref="T22:T29">
    <cfRule type="expression" dxfId="1833" priority="26">
      <formula>ABS(T$25-T$28)&gt;=1000</formula>
    </cfRule>
  </conditionalFormatting>
  <conditionalFormatting sqref="U22:U29">
    <cfRule type="expression" dxfId="1832" priority="25">
      <formula>ABS(U$25-U$28)&gt;=1000</formula>
    </cfRule>
  </conditionalFormatting>
  <conditionalFormatting sqref="V22:V29">
    <cfRule type="expression" dxfId="1831" priority="24">
      <formula>ABS(V$25-V$28)&gt;=1000</formula>
    </cfRule>
  </conditionalFormatting>
  <conditionalFormatting sqref="W22:W29">
    <cfRule type="expression" dxfId="1830" priority="23">
      <formula>ABS(W$25-W$28)&gt;=1000</formula>
    </cfRule>
  </conditionalFormatting>
  <conditionalFormatting sqref="X22:X29">
    <cfRule type="expression" dxfId="1829" priority="22">
      <formula>ABS(X$25-X$28)&gt;=1000</formula>
    </cfRule>
  </conditionalFormatting>
  <conditionalFormatting sqref="Y22:Y29">
    <cfRule type="expression" dxfId="1828" priority="21">
      <formula>ABS(Y$25-Y$28)&gt;=1000</formula>
    </cfRule>
  </conditionalFormatting>
  <conditionalFormatting sqref="I23">
    <cfRule type="expression" dxfId="1827" priority="20">
      <formula>ABS(I$25-I$28)&gt;=1000</formula>
    </cfRule>
  </conditionalFormatting>
  <conditionalFormatting sqref="F14">
    <cfRule type="expression" dxfId="1826" priority="19">
      <formula>ABS(F$16-F$19)&gt;=1000</formula>
    </cfRule>
  </conditionalFormatting>
  <conditionalFormatting sqref="Q14">
    <cfRule type="expression" dxfId="1825" priority="18">
      <formula>ABS(Q$16-Q$19)&gt;=1000</formula>
    </cfRule>
  </conditionalFormatting>
  <conditionalFormatting sqref="W14">
    <cfRule type="expression" dxfId="1824" priority="17">
      <formula>ABS(W$16-W$19)&gt;=1000</formula>
    </cfRule>
  </conditionalFormatting>
  <conditionalFormatting sqref="Y14">
    <cfRule type="expression" dxfId="1823" priority="16">
      <formula>ABS(Y$16-Y$19)&gt;=1000</formula>
    </cfRule>
  </conditionalFormatting>
  <conditionalFormatting sqref="X14">
    <cfRule type="expression" dxfId="1822" priority="15">
      <formula>ABS(X$16-X$19)&gt;=1000</formula>
    </cfRule>
  </conditionalFormatting>
  <conditionalFormatting sqref="T10:Y10">
    <cfRule type="expression" dxfId="1821" priority="14">
      <formula>ABS(T$7-T$10)&gt;=1000</formula>
    </cfRule>
  </conditionalFormatting>
  <conditionalFormatting sqref="W19">
    <cfRule type="expression" dxfId="1820" priority="13">
      <formula>ABS(W$16-W$19)&gt;=1000</formula>
    </cfRule>
  </conditionalFormatting>
  <conditionalFormatting sqref="AC5">
    <cfRule type="expression" dxfId="1819" priority="12">
      <formula>ABS(AC$7-AC$10)&gt;=1000</formula>
    </cfRule>
  </conditionalFormatting>
  <conditionalFormatting sqref="M14">
    <cfRule type="expression" dxfId="1818" priority="11">
      <formula>ABS(M$16-M$19)&gt;=1000</formula>
    </cfRule>
  </conditionalFormatting>
  <conditionalFormatting sqref="M16">
    <cfRule type="expression" dxfId="1817" priority="10">
      <formula>ABS(M$16-M$19)&gt;=1000</formula>
    </cfRule>
  </conditionalFormatting>
  <conditionalFormatting sqref="M19">
    <cfRule type="expression" dxfId="1816" priority="9">
      <formula>ABS(M$16-M$19)&gt;=1000</formula>
    </cfRule>
  </conditionalFormatting>
  <conditionalFormatting sqref="K13:K20">
    <cfRule type="expression" dxfId="1815" priority="8">
      <formula>ABS(K$16-K$19)&gt;=1000</formula>
    </cfRule>
  </conditionalFormatting>
  <conditionalFormatting sqref="E5">
    <cfRule type="expression" dxfId="1814" priority="7">
      <formula>ABS(E$7-E$10)&gt;=1000</formula>
    </cfRule>
  </conditionalFormatting>
  <conditionalFormatting sqref="AB14:AC14">
    <cfRule type="expression" dxfId="1813" priority="6">
      <formula>ABS(AB$16-AB$19)&gt;=1000</formula>
    </cfRule>
  </conditionalFormatting>
  <conditionalFormatting sqref="M5">
    <cfRule type="expression" dxfId="1812" priority="5">
      <formula>ABS(M$7-M$10)&gt;=1000</formula>
    </cfRule>
  </conditionalFormatting>
  <conditionalFormatting sqref="N5">
    <cfRule type="expression" dxfId="1811" priority="4">
      <formula>ABS(N$7-N$10)&gt;=1000</formula>
    </cfRule>
  </conditionalFormatting>
  <conditionalFormatting sqref="O5">
    <cfRule type="expression" dxfId="1810" priority="3">
      <formula>ABS(O$7-O$10)&gt;=1000</formula>
    </cfRule>
  </conditionalFormatting>
  <conditionalFormatting sqref="P5">
    <cfRule type="expression" dxfId="1809" priority="2">
      <formula>ABS(P$7-P$10)&gt;=1000</formula>
    </cfRule>
  </conditionalFormatting>
  <conditionalFormatting sqref="L23">
    <cfRule type="expression" dxfId="1808" priority="1">
      <formula>ABS(L$25-L$28)&gt;=1000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5385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345782</xdr:rowOff>
                  </from>
                  <to>
                    <xdr:col>32</xdr:col>
                    <xdr:colOff>414938</xdr:colOff>
                    <xdr:row>3</xdr:row>
                    <xdr:rowOff>30736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78">
    <pageSetUpPr fitToPage="1"/>
  </sheetPr>
  <dimension ref="A1:CU223"/>
  <sheetViews>
    <sheetView view="pageBreakPreview" zoomScale="80" zoomScaleNormal="100" zoomScaleSheetLayoutView="80" workbookViewId="0">
      <selection activeCell="Z23" sqref="Z23:AE29"/>
    </sheetView>
  </sheetViews>
  <sheetFormatPr defaultColWidth="8.109375" defaultRowHeight="26.05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0.9" ph="1">
      <c r="A1" s="64"/>
      <c r="B1" s="238" t="s" ph="1">
        <v>162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.05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.05" customHeight="1" ph="1">
      <c r="B3" s="240" ph="1">
        <v>45852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" customHeight="1" ph="1">
      <c r="A5" s="65" ph="1"/>
      <c r="B5" s="219" ph="1"/>
      <c r="C5" s="67" t="s" ph="1">
        <v>36</v>
      </c>
      <c r="D5" s="70" t="s" ph="1">
        <v>161</v>
      </c>
      <c r="E5" s="70" t="s" ph="1">
        <v>640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47" t="s" ph="1">
        <v>178</v>
      </c>
      <c r="D6" s="71">
        <v>4772</v>
      </c>
      <c r="E6" s="71">
        <v>8103</v>
      </c>
      <c r="F6" s="71">
        <v>6815</v>
      </c>
      <c r="G6" s="71">
        <v>1977</v>
      </c>
      <c r="H6" s="71">
        <v>2967</v>
      </c>
      <c r="I6" s="71">
        <v>51.72</v>
      </c>
      <c r="J6" s="71">
        <v>7.76</v>
      </c>
      <c r="K6" s="71">
        <v>7.01</v>
      </c>
      <c r="L6" s="71">
        <v>36.35</v>
      </c>
      <c r="M6" s="71">
        <v>4745</v>
      </c>
      <c r="N6" s="71">
        <v>2125</v>
      </c>
      <c r="O6" s="71">
        <v>1872</v>
      </c>
      <c r="P6" s="71">
        <v>4960</v>
      </c>
      <c r="Q6" s="71">
        <v>0</v>
      </c>
      <c r="R6" s="71">
        <v>2960</v>
      </c>
      <c r="S6" s="71">
        <v>5250</v>
      </c>
      <c r="T6" s="71">
        <v>6900</v>
      </c>
      <c r="U6" s="71">
        <v>4181</v>
      </c>
      <c r="V6" s="71">
        <v>0</v>
      </c>
      <c r="W6" s="71">
        <v>0</v>
      </c>
      <c r="X6" s="71">
        <v>0</v>
      </c>
      <c r="Y6" s="71">
        <v>0</v>
      </c>
      <c r="Z6" s="71">
        <v>3709</v>
      </c>
      <c r="AA6" s="71">
        <v>556</v>
      </c>
      <c r="AB6" s="71">
        <v>2220</v>
      </c>
      <c r="AC6" s="71">
        <v>3027</v>
      </c>
      <c r="AD6" s="71">
        <v>4403</v>
      </c>
      <c r="AE6" s="71">
        <v>1984</v>
      </c>
    </row>
    <row r="7" spans="1:99" s="72" customFormat="1" ht="22.4" ph="1">
      <c r="B7" s="237" ph="1"/>
      <c r="C7" s="68" t="s" ph="1">
        <v>179</v>
      </c>
      <c r="D7" s="73" ph="1">
        <f>D6*33.183*LOOKUP(D8,密度!$A$2:$A$50,密度!$Q$2:$Q$50)</f>
        <v>149579.89309512</v>
      </c>
      <c r="E7" s="73" ph="1">
        <f>E6*51.53*LOOKUP(E8,密度!$A$2:$A$50,密度!$B$2:$B$50)</f>
        <v>324434.47743000003</v>
      </c>
      <c r="F7" s="73" ph="1">
        <f>F6*33.183*LOOKUP(F8,密度!$A$2:$A$50,密度!$C$2:$C$50)</f>
        <v>250429.81137299997</v>
      </c>
      <c r="G7" s="73" ph="1">
        <f xml:space="preserve"> (G6+2)*51.53*LOOKUP(G8,密度!$A$2:$A$50,密度!$B$2:$B$50)</f>
        <v>79236.804990000004</v>
      </c>
      <c r="H7" s="73" ph="1">
        <f>(H6)*51.53*LOOKUP(H8,密度!$A$2:$A$50,密度!$B$2:$B$50)</f>
        <v>119330.26255500001</v>
      </c>
      <c r="I7" s="73" ph="1">
        <f>I6*290.8*1.0267</f>
        <v>15441.748699199999</v>
      </c>
      <c r="J7" s="73" ph="1">
        <f>J6*290.8*0.7892</f>
        <v>1780.9150336000002</v>
      </c>
      <c r="K7" s="73" ph="1">
        <f>K6*290.8*1.1126</f>
        <v>2268.0440008</v>
      </c>
      <c r="L7" s="73" ph="1">
        <f>L6*290.8*0.777</f>
        <v>8213.3406599999998</v>
      </c>
      <c r="M7" s="73" ph="1">
        <f>M6*33.183*LOOKUP(M8,密度!$A$2:$A$50,密度!$D$2:$D$50)</f>
        <v>161059.01637149998</v>
      </c>
      <c r="N7" s="73" ph="1">
        <f>N6*33.183*LOOKUP(N8,密度!$A$2:$A$50,密度!$E$2:$E$50)</f>
        <v>54986.719725000003</v>
      </c>
      <c r="O7" s="73" ph="1">
        <f>O6*20.428*LOOKUP(O8,密度!$A$2:$A$50,密度!$C$2:$C$50)</f>
        <v>42222.126585600003</v>
      </c>
      <c r="P7" s="73" ph="1">
        <f>P6*51.53*LOOKUP(P8,密度!$A$2:$A$50,密度!$B$2:$B$50)</f>
        <v>198592.49760000003</v>
      </c>
      <c r="Q7" s="73" ph="1">
        <f>Q6*1.5*1.5*3.1416*LOOKUP(W8,密度!$A$2:$A$50,密度!$L$2:$L$50)</f>
        <v>0</v>
      </c>
      <c r="R7" s="73" ph="1">
        <f>R6*1.5*1.5*3.1416*LOOKUP(R8,密度!$A$2:$A$50,密度!$L$2:$L$50)</f>
        <v>19437.519024000001</v>
      </c>
      <c r="S7" s="73" ph="1">
        <f>S6*1.5*1.5*3.1416*LOOKUP(S8,密度!$A$2:$A$50,密度!$L$2:$L$50)</f>
        <v>34809.320699999997</v>
      </c>
      <c r="T7" s="73" ph="1">
        <f>T6*1.5*1.5*3.1416*LOOKUP(T8,密度!$A$2:$A$50,密度!$L$2:$L$50)</f>
        <v>45798.166259999991</v>
      </c>
      <c r="U7" s="73" ph="1">
        <f>U6*1.5*1.5*3.1416*LOOKUP(U8,密度!$A$2:$A$50,密度!$L$2:$L$50)</f>
        <v>27632.818521000001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115321.97493900001</v>
      </c>
      <c r="AA7" s="73" ph="1">
        <f>AA6*33.183*LOOKUP(AA8,密度!$A$2:$A$50,密度!$D$2:$D$50)</f>
        <v>18890.696977200001</v>
      </c>
      <c r="AB7" s="73" ph="1">
        <f>AB6*20.428*LOOKUP(AB8,密度!$A$2:$A$50,密度!$D$2:$D$50)</f>
        <v>46733.33988</v>
      </c>
      <c r="AC7" s="73" ph="1">
        <f>AC6*51.53*LOOKUP(AC8,密度!$A$2:$A$50,密度!$Q$2:$Q$50)</f>
        <v>147673.74542940001</v>
      </c>
      <c r="AD7" s="73" ph="1">
        <f>AD6*20.428*LOOKUP(AD8,密度!$A$2:$A$50,密度!$V$2:$V$50)</f>
        <v>86418.660227200002</v>
      </c>
      <c r="AE7" s="73" ph="1">
        <f>AE6*20.428</f>
        <v>40529.152000000002</v>
      </c>
    </row>
    <row r="8" spans="1:99" ph="1">
      <c r="B8" s="237" ph="1"/>
      <c r="C8" s="68" t="s" ph="1">
        <v>180</v>
      </c>
      <c r="D8" s="74">
        <v>28</v>
      </c>
      <c r="E8" s="74">
        <v>28</v>
      </c>
      <c r="F8" s="74">
        <v>27</v>
      </c>
      <c r="G8" s="74">
        <v>28</v>
      </c>
      <c r="H8" s="74">
        <v>24</v>
      </c>
      <c r="I8" s="74">
        <v>25</v>
      </c>
      <c r="J8" s="74">
        <v>25</v>
      </c>
      <c r="K8" s="74">
        <v>25</v>
      </c>
      <c r="L8" s="74">
        <v>25</v>
      </c>
      <c r="M8" s="74">
        <v>29</v>
      </c>
      <c r="N8" s="74">
        <v>28</v>
      </c>
      <c r="O8" s="74">
        <v>31</v>
      </c>
      <c r="P8" s="74">
        <v>28</v>
      </c>
      <c r="Q8" s="74">
        <v>26</v>
      </c>
      <c r="R8" s="74">
        <v>33</v>
      </c>
      <c r="S8" s="74">
        <v>24</v>
      </c>
      <c r="T8" s="74">
        <v>23</v>
      </c>
      <c r="U8" s="74">
        <v>27</v>
      </c>
      <c r="V8" s="74">
        <v>28</v>
      </c>
      <c r="W8" s="74">
        <v>28</v>
      </c>
      <c r="X8" s="74">
        <v>21</v>
      </c>
      <c r="Y8" s="74">
        <v>27</v>
      </c>
      <c r="Z8" s="74">
        <v>25</v>
      </c>
      <c r="AA8" s="74">
        <v>28</v>
      </c>
      <c r="AB8" s="74">
        <v>21</v>
      </c>
      <c r="AC8" s="74">
        <v>25</v>
      </c>
      <c r="AD8" s="74">
        <v>25</v>
      </c>
      <c r="AE8" s="74">
        <v>30</v>
      </c>
    </row>
    <row r="9" spans="1:99" ht="26.65" ph="1">
      <c r="B9" s="237" ph="1">
        <v>0.66666666666666663</v>
      </c>
      <c r="C9" s="147" t="s" ph="1">
        <v>181</v>
      </c>
      <c r="D9" s="71">
        <v>4774</v>
      </c>
      <c r="E9" s="71">
        <v>8103</v>
      </c>
      <c r="F9" s="71">
        <v>6819</v>
      </c>
      <c r="G9" s="71">
        <v>2993</v>
      </c>
      <c r="H9" s="71">
        <v>3407</v>
      </c>
      <c r="I9" s="71">
        <v>51.76</v>
      </c>
      <c r="J9" s="71">
        <v>7.72</v>
      </c>
      <c r="K9" s="71">
        <v>6.92</v>
      </c>
      <c r="L9" s="71">
        <v>16.45</v>
      </c>
      <c r="M9" s="71">
        <v>4746</v>
      </c>
      <c r="N9" s="71">
        <v>2126</v>
      </c>
      <c r="O9" s="71">
        <v>992</v>
      </c>
      <c r="P9" s="71">
        <v>4865</v>
      </c>
      <c r="Q9" s="71">
        <v>0</v>
      </c>
      <c r="R9" s="71">
        <v>0</v>
      </c>
      <c r="S9" s="71">
        <v>4892</v>
      </c>
      <c r="T9" s="71">
        <v>6900</v>
      </c>
      <c r="U9" s="71">
        <v>6800</v>
      </c>
      <c r="V9" s="71">
        <v>4950</v>
      </c>
      <c r="W9" s="71">
        <v>1850</v>
      </c>
      <c r="X9" s="71">
        <v>1636</v>
      </c>
      <c r="Y9" s="71">
        <v>0</v>
      </c>
      <c r="Z9" s="71">
        <v>4512</v>
      </c>
      <c r="AA9" s="71">
        <v>555</v>
      </c>
      <c r="AB9" s="71">
        <v>2221</v>
      </c>
      <c r="AC9" s="71">
        <v>3026</v>
      </c>
      <c r="AD9" s="71">
        <v>4414</v>
      </c>
      <c r="AE9" s="71">
        <v>3017</v>
      </c>
    </row>
    <row r="10" spans="1:99" s="72" customFormat="1" ht="22.4" ph="1">
      <c r="B10" s="237" ph="1"/>
      <c r="C10" s="147" t="s" ph="1">
        <v>179</v>
      </c>
      <c r="D10" s="73" ph="1">
        <f>D9*33.183*LOOKUP(D11,密度!$A$2:$A$50,密度!$Q$2:$Q$50)</f>
        <v>149319.41583635999</v>
      </c>
      <c r="E10" s="73" ph="1">
        <f>E9*51.53*LOOKUP(E11,密度!$A$2:$A$50,密度!$B$2:$B$50)</f>
        <v>323348.85369600001</v>
      </c>
      <c r="F10" s="73" ph="1">
        <f>F9*33.183*LOOKUP(F11,密度!$A$2:$A$50,密度!$C$2:$C$50)</f>
        <v>249830.09169570002</v>
      </c>
      <c r="G10" s="73" ph="1">
        <f xml:space="preserve"> (G9+2)*51.53*LOOKUP(G11,密度!$A$2:$A$50,密度!$B$2:$B$50)</f>
        <v>119514.97184</v>
      </c>
      <c r="H10" s="73" ph="1">
        <f>(H9)*51.53*LOOKUP(H11,密度!$A$2:$A$50,密度!$B$2:$B$50)</f>
        <v>135955.762624</v>
      </c>
      <c r="I10" s="73" ph="1">
        <f>I9*290.8*1.0267</f>
        <v>15453.691273599999</v>
      </c>
      <c r="J10" s="73" ph="1">
        <f>J9*290.8*0.7892</f>
        <v>1771.7350592</v>
      </c>
      <c r="K10" s="73" ph="1">
        <f>K9*290.8*1.1126</f>
        <v>2238.9250336</v>
      </c>
      <c r="L10" s="73" ph="1">
        <f>L9*290.8*0.777</f>
        <v>3716.90382</v>
      </c>
      <c r="M10" s="73" ph="1">
        <f>M9*33.183*LOOKUP(M11,密度!$A$2:$A$50,密度!$D$2:$D$50)</f>
        <v>159974.80498440002</v>
      </c>
      <c r="N10" s="73" ph="1">
        <f>N9*33.183*LOOKUP(N11,密度!$A$2:$A$50,密度!$E$2:$E$50)</f>
        <v>54696.545008560002</v>
      </c>
      <c r="O10" s="73" ph="1">
        <f>O9*20.428*LOOKUP(O11,密度!$A$2:$A$50,密度!$C$2:$C$50)</f>
        <v>22118.784703999998</v>
      </c>
      <c r="P10" s="73" ph="1">
        <f>P9*51.53*LOOKUP(P11,密度!$A$2:$A$50,密度!$B$2:$B$50)</f>
        <v>193710.82881500002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32331.917772000004</v>
      </c>
      <c r="T10" s="73" ph="1">
        <f>T9*1.5*1.5*3.1416*LOOKUP(T11,密度!$A$2:$A$50,密度!$L$2:$L$50)</f>
        <v>45164.112840000002</v>
      </c>
      <c r="U10" s="73" ph="1">
        <f>U9*1.5*1.5*3.1416*LOOKUP(U11,密度!$A$2:$A$50,密度!$L$2:$L$50)</f>
        <v>44413.427519999997</v>
      </c>
      <c r="V10" s="73" ph="1">
        <f>V9*1.5*1.5*3.1416*LOOKUP(V11,密度!$A$2:$A$50,密度!$L$2:$L$50)</f>
        <v>32680.258380000003</v>
      </c>
      <c r="W10" s="73" ph="1">
        <f>W9*1.5*1.5*3.1416*LOOKUP(W11,密度!$A$2:$A$50,密度!$L$2:$L$50)</f>
        <v>12213.83394</v>
      </c>
      <c r="X10" s="73" ph="1">
        <f>X9*1.5*1.5*3.1416*LOOKUP(X11,密度!$A$2:$A$50,密度!$L$2:$L$50)</f>
        <v>10835.683135200001</v>
      </c>
      <c r="Y10" s="73" ph="1">
        <f>Y9*1.5*1.5*3.1416*LOOKUP(Y11,密度!$A$2:$A$50,密度!$L$2:$L$50)</f>
        <v>0</v>
      </c>
      <c r="Z10" s="73" ph="1">
        <f>Z9*33.183*LOOKUP(Z11,密度!$A$2:$A$50,密度!$L$2:$L$50)</f>
        <v>138941.73388800002</v>
      </c>
      <c r="AA10" s="73" ph="1">
        <f>AA9*33.183*LOOKUP(AA11,密度!$A$2:$A$50,密度!$D$2:$D$50)</f>
        <v>18546.9542802</v>
      </c>
      <c r="AB10" s="73" ph="1">
        <f>AB9*20.428*LOOKUP(AB11,密度!$A$2:$A$50,密度!$D$2:$D$50)</f>
        <v>46581.982699599997</v>
      </c>
      <c r="AC10" s="73" ph="1">
        <f>AC9*51.53*LOOKUP(AC11,密度!$A$2:$A$50,密度!$Q$2:$Q$50)</f>
        <v>146870.25978199998</v>
      </c>
      <c r="AD10" s="73" ph="1">
        <f>AD9*20.428*LOOKUP(AD11,密度!$A$2:$A$50,密度!$V$2:$V$50)</f>
        <v>86346.018259200006</v>
      </c>
      <c r="AE10" s="73" ph="1">
        <f>AE9*20.428</f>
        <v>61631.276000000005</v>
      </c>
    </row>
    <row r="11" spans="1:99" ph="1">
      <c r="A11" s="64" t="s" ph="1">
        <v>163</v>
      </c>
      <c r="B11" s="237" ph="1"/>
      <c r="C11" s="147" t="s" ph="1">
        <v>180</v>
      </c>
      <c r="D11" s="74">
        <v>31</v>
      </c>
      <c r="E11" s="74">
        <v>31</v>
      </c>
      <c r="F11" s="74">
        <v>31</v>
      </c>
      <c r="G11" s="74">
        <v>31</v>
      </c>
      <c r="H11" s="74">
        <v>31</v>
      </c>
      <c r="I11" s="74">
        <v>25</v>
      </c>
      <c r="J11" s="74">
        <v>25</v>
      </c>
      <c r="K11" s="74">
        <v>25</v>
      </c>
      <c r="L11" s="74">
        <v>25</v>
      </c>
      <c r="M11" s="74">
        <v>37</v>
      </c>
      <c r="N11" s="74">
        <v>32</v>
      </c>
      <c r="O11" s="74">
        <v>43</v>
      </c>
      <c r="P11" s="74">
        <v>33</v>
      </c>
      <c r="Q11" s="74">
        <v>38</v>
      </c>
      <c r="R11" s="74">
        <v>41</v>
      </c>
      <c r="S11" s="74">
        <v>27</v>
      </c>
      <c r="T11" s="74">
        <v>36</v>
      </c>
      <c r="U11" s="74">
        <v>38</v>
      </c>
      <c r="V11" s="74">
        <v>28</v>
      </c>
      <c r="W11" s="74">
        <v>28</v>
      </c>
      <c r="X11" s="74">
        <v>25</v>
      </c>
      <c r="Y11" s="74">
        <v>33</v>
      </c>
      <c r="Z11" s="74">
        <v>34</v>
      </c>
      <c r="AA11" s="74">
        <v>47</v>
      </c>
      <c r="AB11" s="74">
        <v>25</v>
      </c>
      <c r="AC11" s="74">
        <v>32</v>
      </c>
      <c r="AD11" s="74">
        <v>32</v>
      </c>
      <c r="AE11" s="74">
        <v>31</v>
      </c>
    </row>
    <row r="12" spans="1:99" ht="9.85" customHeight="1" ph="1"/>
    <row r="13" spans="1:99" s="72" customFormat="1" ht="29.2" customHeight="1" ph="1">
      <c r="B13" s="214" t="s" ph="1">
        <v>37</v>
      </c>
      <c r="C13" s="147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.2" ph="1">
      <c r="B14" s="215" ph="1"/>
      <c r="C14" s="67" t="s" ph="1">
        <v>36</v>
      </c>
      <c r="D14" s="77" t="s" ph="1">
        <v>622</v>
      </c>
      <c r="E14" s="77" t="s" ph="1">
        <v>622</v>
      </c>
      <c r="F14" s="151" t="s" ph="1">
        <v>647</v>
      </c>
      <c r="G14" s="77" t="s" ph="1">
        <v>623</v>
      </c>
      <c r="H14" s="77" t="s" ph="1">
        <v>624</v>
      </c>
      <c r="I14" s="140" t="s" ph="1">
        <v>625</v>
      </c>
      <c r="J14" s="77" t="s" ph="1">
        <v>626</v>
      </c>
      <c r="K14" s="77" t="s" ph="1">
        <v>187</v>
      </c>
      <c r="L14" s="77" t="s" ph="1">
        <v>41</v>
      </c>
      <c r="M14" s="104" t="s" ph="1">
        <v>627</v>
      </c>
      <c r="N14" s="104" t="s" ph="1">
        <v>628</v>
      </c>
      <c r="O14" s="104" t="s" ph="1">
        <v>626</v>
      </c>
      <c r="P14" s="77" t="s" ph="1">
        <v>629</v>
      </c>
      <c r="Q14" s="77" t="s" ph="1">
        <v>629</v>
      </c>
      <c r="R14" s="88" t="s" ph="1">
        <v>640</v>
      </c>
      <c r="S14" s="77" t="s" ph="1">
        <v>71</v>
      </c>
      <c r="T14" s="77" t="s" ph="1">
        <v>631</v>
      </c>
      <c r="U14" s="77" t="s" ph="1">
        <v>610</v>
      </c>
      <c r="V14" s="77" t="s" ph="1">
        <v>110</v>
      </c>
      <c r="W14" s="77" t="s" ph="1">
        <v>629</v>
      </c>
      <c r="X14" s="77" t="s" ph="1">
        <v>632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16" ph="1">
        <v>0.33333333333333331</v>
      </c>
      <c r="C15" s="147" t="s" ph="1">
        <v>178</v>
      </c>
      <c r="D15" s="78">
        <v>2320</v>
      </c>
      <c r="E15" s="78">
        <v>5749</v>
      </c>
      <c r="F15" s="78">
        <v>2688</v>
      </c>
      <c r="G15" s="78">
        <v>4089</v>
      </c>
      <c r="H15" s="78">
        <v>4390</v>
      </c>
      <c r="I15" s="78">
        <v>1589</v>
      </c>
      <c r="J15" s="78">
        <v>1984</v>
      </c>
      <c r="K15" s="78">
        <v>2577</v>
      </c>
      <c r="L15" s="78">
        <v>4776</v>
      </c>
      <c r="M15" s="78">
        <v>6693</v>
      </c>
      <c r="N15" s="78">
        <v>4004</v>
      </c>
      <c r="O15" s="78">
        <v>6125</v>
      </c>
      <c r="P15" s="78">
        <v>2082</v>
      </c>
      <c r="Q15" s="78">
        <v>5224</v>
      </c>
      <c r="R15" s="78">
        <v>156</v>
      </c>
      <c r="S15" s="78">
        <v>5702</v>
      </c>
      <c r="T15" s="78">
        <v>1267</v>
      </c>
      <c r="U15" s="78">
        <v>6827</v>
      </c>
      <c r="V15" s="78">
        <v>-141</v>
      </c>
      <c r="W15" s="71">
        <v>-28</v>
      </c>
      <c r="X15" s="78">
        <v>-89</v>
      </c>
      <c r="Y15" s="106">
        <v>-9905</v>
      </c>
      <c r="Z15" s="78">
        <v>0</v>
      </c>
      <c r="AA15" s="78">
        <v>0</v>
      </c>
      <c r="AB15" s="78" ph="1">
        <v>2</v>
      </c>
      <c r="AC15" s="78" ph="1">
        <v>3086</v>
      </c>
      <c r="AD15" s="78">
        <v>11.45</v>
      </c>
      <c r="AE15" s="78">
        <v>85.11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4" ph="1">
      <c r="B16" s="217" ph="1"/>
      <c r="C16" s="147" t="s" ph="1">
        <v>179</v>
      </c>
      <c r="D16" s="73" ph="1">
        <f>D15*7.0686*LOOKUP(D17,密度!$A$2:$A$50,密度!$L$2:$L$50)</f>
        <v>15300.408815999999</v>
      </c>
      <c r="E16" s="73" ph="1">
        <f>E15*7.0686*LOOKUP(E17,密度!$A$2:$A$50,密度!$L$2:$L$50)</f>
        <v>37914.676846200004</v>
      </c>
      <c r="F16" s="73" ph="1">
        <f>F15*9.0746*LOOKUP(F17,密度!$A$2:$A$50,密度!$L$2:$L$50)</f>
        <v>22733.833113600002</v>
      </c>
      <c r="G16" s="73" ph="1">
        <f>G15*9.0746*LOOKUP(G17,密度!$A$2:$A$50,密度!$B$2:$B$50)</f>
        <v>28864.788049260002</v>
      </c>
      <c r="H16" s="73" ph="1">
        <f>H15*9.0746*LOOKUP(H17,密度!$A$2:$A$50,密度!$L$2:$L$50)</f>
        <v>37208.219396</v>
      </c>
      <c r="I16" s="73" ph="1">
        <f>I15*9.0746*LOOKUP(I17,密度!$A$2:$A$50,密度!$U$2:$U$50)</f>
        <v>14751.188806199998</v>
      </c>
      <c r="J16" s="73" ph="1">
        <f>J15*9.0746*LOOKUP(J17,密度!$A$2:$A$50,密度!$L$2:$L$50)</f>
        <v>16815.741977600002</v>
      </c>
      <c r="K16" s="73" ph="1">
        <f>K15*9.0746*LOOKUP(K17,密度!$A$2:$A$50,密度!$C$2:$C$50)</f>
        <v>25878.111231720002</v>
      </c>
      <c r="L16" s="73" ph="1">
        <f>L15*9.0746*LOOKUP(L17,密度!$A$2:$A$50,密度!$E$2:$E$50)</f>
        <v>33796.757830080001</v>
      </c>
      <c r="M16" s="73" ph="1">
        <f>M15*9.0746*LOOKUP(M17,密度!$A$2:$A$50,密度!$M$2:$M$50)</f>
        <v>52834.505456220002</v>
      </c>
      <c r="N16" s="73" ph="1">
        <f>N15*9.0746*LOOKUP(N17,密度!$A$2:$A$50,密度!$M$2:$M$50)</f>
        <v>31760.159871439999</v>
      </c>
      <c r="O16" s="73" ph="1">
        <f>O15*9.0746*LOOKUP(O17,密度!$A$2:$A$50,密度!$G$2:$G$50)</f>
        <v>53191.902224999998</v>
      </c>
      <c r="P16" s="73" ph="1">
        <f ca="1">P15*9.0746*LOOKUP(P17,密度!$A$2:$A$51,密度!$Q$2:$Q$50)</f>
        <v>17847.005293464001</v>
      </c>
      <c r="Q16" s="73" ph="1">
        <f>Q15*9.0746*LOOKUP(Q17,密度!$A$2:$A$50,密度!$Q$2:$Q$50)</f>
        <v>44747.672217872008</v>
      </c>
      <c r="R16" s="73" ph="1">
        <f>MAX(R15*9.0746*LOOKUP(R17,密度!$A$2:$A$50,密度!$B$2:$B$50),0)</f>
        <v>1099.9504152</v>
      </c>
      <c r="S16" s="73" ph="1">
        <f>S15*9.0746*LOOKUP(S17,密度!$A$2:$A$50,密度!$Q$2:$Q$50)</f>
        <v>48877.821413704005</v>
      </c>
      <c r="T16" s="73" ph="1">
        <f>T15*9.0746*LOOKUP(T17,密度!$A$2:$A$50,密度!$O$2:$O$50)</f>
        <v>10646.7018532</v>
      </c>
      <c r="U16" s="73" ph="1">
        <f>U15*9.0746*LOOKUP(U17,密度!$A$2:$A$50,密度!$H$2:$H$50)</f>
        <v>56618.201669380003</v>
      </c>
      <c r="V16" s="73" ph="1">
        <f>MAX(5600*LOOKUP(V17,密度!$A$2:$A$50,密度!$Q$2:$Q$50)+V15*9.0476*LOOKUP(V17,密度!$A$2:$A$50,密度!$Q$2:$Q$50),0)</f>
        <v>4079.2309763720004</v>
      </c>
      <c r="W16" s="73" ph="1">
        <f>MAX(5600*LOOKUP(W17,密度!$A$2:$A$50,密度!$Q$2:$Q$50)+W15*9.0476*LOOKUP(W17,密度!$A$2:$A$50,密度!$Q$2:$Q$50),0)</f>
        <v>5043.6715697760001</v>
      </c>
      <c r="X16" s="73" ph="1">
        <f>MAX(5600*LOOKUP(X17,密度!$A$2:$A$50,密度!$I$2:$I$50)+X15*9.0476*LOOKUP(X17,密度!$A$2:$A$50,密度!$I$2:$I$50),0)</f>
        <v>4975.526187720001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0</v>
      </c>
      <c r="AB16" s="73" ph="1">
        <f>AB15*9.0746*LOOKUP(AB17,密度!$A$2:$A$50,密度!$L$2:$L$50)</f>
        <v>16.969502000000002</v>
      </c>
      <c r="AC16" s="73" ph="1">
        <f>AC15*9.0746*LOOKUP(AC17,密度!$A$2:$A$50,密度!$L$2:$L$50)</f>
        <v>25987.912076799999</v>
      </c>
      <c r="AD16" s="73" ph="1">
        <f>AD15*268.68*LOOKUP(AD17,密度!$A$2:$A$50,密度!B2:B50)+IF(AD15&lt;=0,0,1566*LOOKUP(AD17,密度!$A$2:$A$50,密度!B2:B50))</f>
        <v>3619.2041255999998</v>
      </c>
      <c r="AE16" s="73" ph="1">
        <f>AE15*268.68*LOOKUP(AE17,密度!$A$2:$A$50,密度!B2:B50)+IF(AE15&lt;=0,0,1566*LOOKUP(AE17,密度!$A$2:$A$50,密度!B2:B50))</f>
        <v>19048.243402079999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18" ph="1"/>
      <c r="C17" s="79" t="s" ph="1">
        <v>180</v>
      </c>
      <c r="D17" s="74">
        <v>29</v>
      </c>
      <c r="E17" s="74">
        <v>29</v>
      </c>
      <c r="F17" s="74">
        <v>30</v>
      </c>
      <c r="G17" s="74">
        <v>27</v>
      </c>
      <c r="H17" s="74">
        <v>28</v>
      </c>
      <c r="I17" s="74">
        <v>27</v>
      </c>
      <c r="J17" s="74">
        <v>28</v>
      </c>
      <c r="K17" s="74">
        <v>28</v>
      </c>
      <c r="L17" s="74">
        <v>28</v>
      </c>
      <c r="M17" s="74">
        <v>30</v>
      </c>
      <c r="N17" s="74">
        <v>26</v>
      </c>
      <c r="O17" s="74">
        <v>28</v>
      </c>
      <c r="P17" s="74">
        <v>28</v>
      </c>
      <c r="Q17" s="74">
        <v>29</v>
      </c>
      <c r="R17" s="74">
        <v>28</v>
      </c>
      <c r="S17" s="74">
        <v>28</v>
      </c>
      <c r="T17" s="74">
        <v>27</v>
      </c>
      <c r="U17" s="74">
        <v>26</v>
      </c>
      <c r="V17" s="74">
        <v>30</v>
      </c>
      <c r="W17" s="74">
        <v>30</v>
      </c>
      <c r="X17" s="74">
        <v>29</v>
      </c>
      <c r="Y17" s="108">
        <v>29</v>
      </c>
      <c r="Z17" s="74">
        <v>27</v>
      </c>
      <c r="AA17" s="74">
        <v>25</v>
      </c>
      <c r="AB17" s="74">
        <v>27</v>
      </c>
      <c r="AC17" s="74">
        <v>34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65" ph="1">
      <c r="B18" s="216" ph="1">
        <v>0.66666666666666663</v>
      </c>
      <c r="C18" s="79" t="s" ph="1">
        <v>181</v>
      </c>
      <c r="D18" s="71">
        <v>4096</v>
      </c>
      <c r="E18" s="71">
        <v>5756</v>
      </c>
      <c r="F18" s="71">
        <v>3095</v>
      </c>
      <c r="G18" s="71">
        <v>4150</v>
      </c>
      <c r="H18" s="71">
        <v>4390</v>
      </c>
      <c r="I18" s="71">
        <v>1575</v>
      </c>
      <c r="J18" s="71">
        <v>2003</v>
      </c>
      <c r="K18" s="71">
        <v>2578</v>
      </c>
      <c r="L18" s="71">
        <v>4788</v>
      </c>
      <c r="M18" s="71">
        <v>6707</v>
      </c>
      <c r="N18" s="71">
        <v>5037</v>
      </c>
      <c r="O18" s="71">
        <v>6133</v>
      </c>
      <c r="P18" s="71">
        <v>2086</v>
      </c>
      <c r="Q18" s="71">
        <v>3406</v>
      </c>
      <c r="R18" s="71">
        <v>157</v>
      </c>
      <c r="S18" s="71">
        <v>5709</v>
      </c>
      <c r="T18" s="71">
        <v>1269</v>
      </c>
      <c r="U18" s="71">
        <v>6833</v>
      </c>
      <c r="V18" s="71">
        <v>-141</v>
      </c>
      <c r="W18" s="71">
        <v>-28</v>
      </c>
      <c r="X18" s="71">
        <v>-90</v>
      </c>
      <c r="Y18" s="109">
        <v>-9905</v>
      </c>
      <c r="Z18" s="71">
        <v>0</v>
      </c>
      <c r="AA18" s="71">
        <v>0</v>
      </c>
      <c r="AB18" s="71">
        <v>21</v>
      </c>
      <c r="AC18" s="71">
        <v>4803</v>
      </c>
      <c r="AD18" s="71">
        <v>49.02</v>
      </c>
      <c r="AE18" s="71">
        <v>84.72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4" ph="1">
      <c r="B19" s="217" ph="1"/>
      <c r="C19" s="147" t="s" ph="1">
        <v>179</v>
      </c>
      <c r="D19" s="73" ph="1">
        <f>D18*7.0686*LOOKUP(D20,密度!$A$2:$A$50,密度!$L$2:$L$50)</f>
        <v>26984.182579200002</v>
      </c>
      <c r="E19" s="73" ph="1">
        <f>E18*7.0686*LOOKUP(E20,密度!$A$2:$A$50,密度!$L$2:$L$50)</f>
        <v>37920.155011199997</v>
      </c>
      <c r="F19" s="73" ph="1">
        <f>F18*9.0746*LOOKUP(F20,密度!$A$2:$A$50,密度!$L$2:$L$50)</f>
        <v>25979.445475000004</v>
      </c>
      <c r="G19" s="73" ph="1">
        <f>G18*9.0746*LOOKUP(G20,密度!$A$2:$A$50,密度!$B$2:$B$50)</f>
        <v>29231.373758000002</v>
      </c>
      <c r="H19" s="73" ph="1">
        <f>H18*9.0746*LOOKUP(H20,密度!$A$2:$A$50,密度!$L$2:$L$50)</f>
        <v>37088.706914000002</v>
      </c>
      <c r="I19" s="73" ph="1">
        <f>I18*9.0746*LOOKUP(I20,密度!$A$2:$A$50,密度!$U$2:$U$50)</f>
        <v>14432.561451000001</v>
      </c>
      <c r="J19" s="73" ph="1">
        <f>J18*9.0746*LOOKUP(J20,密度!$A$2:$A$50,密度!$L$2:$L$50)</f>
        <v>16831.3684388</v>
      </c>
      <c r="K19" s="73" ph="1">
        <f>K18*9.0746*LOOKUP(K20,密度!$A$2:$A$50,密度!$C$2:$C$50)</f>
        <v>25871.777160920003</v>
      </c>
      <c r="L19" s="73" ph="1">
        <f>L18*9.0746*LOOKUP(L20,密度!$A$2:$A$50,密度!$E$2:$E$50)</f>
        <v>33736.119537960003</v>
      </c>
      <c r="M19" s="73" ph="1">
        <f>M18*9.0746*LOOKUP(M20,密度!$A$2:$A$50,密度!$M$2:$M$50)</f>
        <v>52690.612609383999</v>
      </c>
      <c r="N19" s="73" ph="1">
        <f>N18*9.0746*LOOKUP(N20,密度!$A$2:$A$50,密度!$M$2:$M$50)</f>
        <v>39812.330134200005</v>
      </c>
      <c r="O19" s="73" ph="1">
        <f>O18*9.0746*LOOKUP(O20,密度!$A$2:$A$50,密度!$G$2:$G$50)</f>
        <v>53133.371962460005</v>
      </c>
      <c r="P19" s="73" ph="1">
        <f ca="1">P18*9.0746*LOOKUP(P20,密度!$A$2:$A$51,密度!$Q$2:$Q$50)</f>
        <v>17856.874283948</v>
      </c>
      <c r="Q19" s="73" ph="1">
        <f>Q18*9.0746*LOOKUP(Q20,密度!$A$2:$A$50,密度!$Q$2:$Q$50)</f>
        <v>29156.526275708002</v>
      </c>
      <c r="R19" s="73" ph="1">
        <f>MAX(R18*9.0746*LOOKUP(R20,密度!$A$2:$A$50,密度!$B$2:$B$50),0)</f>
        <v>1102.0148866999998</v>
      </c>
      <c r="S19" s="73" ph="1">
        <f>S18*9.0746*LOOKUP(S20,密度!$A$2:$A$50,密度!$Q$2:$Q$50)</f>
        <v>48796.911009659998</v>
      </c>
      <c r="T19" s="73" ph="1">
        <f>T18*9.0746*LOOKUP(T20,密度!$A$2:$A$50,密度!$O$2:$O$50)</f>
        <v>10617.445342800002</v>
      </c>
      <c r="U19" s="73" ph="1">
        <f>U18*9.0746*LOOKUP(U20,密度!$A$2:$A$50,密度!$H$2:$H$50)</f>
        <v>56426.135038000008</v>
      </c>
      <c r="V19" s="73" ph="1">
        <f>MAX(5600*LOOKUP(V20,密度!$A$2:$A$50,密度!$Q$2:$Q$50)+V18*9.0476*LOOKUP(V20,密度!$A$2:$A$50,密度!$Q$2:$Q$50),0)</f>
        <v>4064.5716386959998</v>
      </c>
      <c r="W19" s="73" ph="1">
        <f>MAX(5600*LOOKUP(W20,密度!$A$2:$A$50,密度!$Q$2:$Q$50)+W18*9.0476*LOOKUP(W20,密度!$A$2:$A$50,密度!$Q$2:$Q$50),0)</f>
        <v>5025.5463679679997</v>
      </c>
      <c r="X19" s="73" ph="1">
        <f>MAX(5600*LOOKUP(X20,密度!$A$2:$A$50,密度!$I$2:$I$50)+X18*9.0476*LOOKUP(X20,密度!$A$2:$A$50,密度!$I$2:$I$50),0)</f>
        <v>4939.7203408800005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0</v>
      </c>
      <c r="AB19" s="73" ph="1">
        <f>AB18*9.0746*LOOKUP(AB20,密度!$A$2:$A$50,密度!$L$2:$L$50)</f>
        <v>176.65523820000001</v>
      </c>
      <c r="AC19" s="73" ph="1">
        <f>AC18*9.0746*LOOKUP(AC20,密度!$A$2:$A$50,密度!$L$2:$L$50)</f>
        <v>40359.991318800006</v>
      </c>
      <c r="AD19" s="73" ph="1">
        <f>AD18*268.68*LOOKUP(AD20,密度!$A$2:$A$50,密度!B5:B53)+IF(AD18&lt;=0,0,1566*LOOKUP(AD20,密度!$A$2:$A$50,密度!B5:B53))</f>
        <v>11450.410927200001</v>
      </c>
      <c r="AE19" s="73" ph="1">
        <f>AE18*268.68*LOOKUP(AE20,密度!$A$2:$A$50,密度!B5:B53)+IF(AE18&lt;=0,0,1566*LOOKUP(AE20,密度!$A$2:$A$50,密度!B5:B53))</f>
        <v>18903.2985792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17" ph="1"/>
      <c r="C20" s="80" t="s" ph="1">
        <v>180</v>
      </c>
      <c r="D20" s="81">
        <v>30</v>
      </c>
      <c r="E20" s="81">
        <v>30</v>
      </c>
      <c r="F20" s="81">
        <v>37</v>
      </c>
      <c r="G20" s="81">
        <v>29</v>
      </c>
      <c r="H20" s="81">
        <v>31</v>
      </c>
      <c r="I20" s="81">
        <v>41</v>
      </c>
      <c r="J20" s="81">
        <v>36</v>
      </c>
      <c r="K20" s="81">
        <v>29</v>
      </c>
      <c r="L20" s="81">
        <v>31</v>
      </c>
      <c r="M20" s="81">
        <v>34</v>
      </c>
      <c r="N20" s="81">
        <v>29</v>
      </c>
      <c r="O20" s="81">
        <v>30</v>
      </c>
      <c r="P20" s="81">
        <v>30</v>
      </c>
      <c r="Q20" s="81">
        <v>30</v>
      </c>
      <c r="R20" s="81">
        <v>32</v>
      </c>
      <c r="S20" s="81">
        <v>32</v>
      </c>
      <c r="T20" s="81">
        <v>32</v>
      </c>
      <c r="U20" s="81">
        <v>30</v>
      </c>
      <c r="V20" s="81">
        <v>35</v>
      </c>
      <c r="W20" s="81">
        <v>35</v>
      </c>
      <c r="X20" s="81">
        <v>34</v>
      </c>
      <c r="Y20" s="110">
        <v>34</v>
      </c>
      <c r="Z20" s="81">
        <v>36</v>
      </c>
      <c r="AA20" s="81">
        <v>35</v>
      </c>
      <c r="AB20" s="81">
        <v>35</v>
      </c>
      <c r="AC20" s="81">
        <v>36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15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633</v>
      </c>
      <c r="H23" s="88" t="s" ph="1">
        <v>633</v>
      </c>
      <c r="I23" s="88" t="s" ph="1">
        <v>634</v>
      </c>
      <c r="J23" s="88" t="s" ph="1">
        <v>635</v>
      </c>
      <c r="K23" s="88" t="s" ph="1">
        <v>635</v>
      </c>
      <c r="L23" s="88" t="s" ph="1">
        <v>635</v>
      </c>
      <c r="M23" s="88" t="s" ph="1">
        <v>630</v>
      </c>
      <c r="N23" s="88" t="s" ph="1">
        <v>630</v>
      </c>
      <c r="O23" s="88" t="s" ph="1">
        <v>321</v>
      </c>
      <c r="P23" s="88" t="s" ph="1">
        <v>637</v>
      </c>
      <c r="Q23" s="89" t="s" ph="1">
        <v>637</v>
      </c>
      <c r="R23" s="88" t="s" ph="1">
        <v>616</v>
      </c>
      <c r="S23" s="88" t="s" ph="1">
        <v>636</v>
      </c>
      <c r="T23" s="88" t="s" ph="1">
        <v>607</v>
      </c>
      <c r="U23" s="88" t="s" ph="1">
        <v>611</v>
      </c>
      <c r="V23" s="88" t="s" ph="1">
        <v>637</v>
      </c>
      <c r="W23" s="88" t="s" ph="1">
        <v>637</v>
      </c>
      <c r="X23" s="88" t="s" ph="1">
        <v>190</v>
      </c>
      <c r="Y23" s="88" t="s" ph="1">
        <v>638</v>
      </c>
      <c r="Z23" s="228" t="s" ph="1">
        <v>641</v>
      </c>
      <c r="AA23" s="229"/>
      <c r="AB23" s="229"/>
      <c r="AC23" s="229"/>
      <c r="AD23" s="229"/>
      <c r="AE23" s="230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37" ph="1">
        <v>0.33333333333333331</v>
      </c>
      <c r="C24" s="147" t="s" ph="1">
        <v>178</v>
      </c>
      <c r="D24" s="71">
        <v>85.87</v>
      </c>
      <c r="E24" s="71">
        <v>4.41</v>
      </c>
      <c r="F24" s="71">
        <v>3844</v>
      </c>
      <c r="G24" s="71">
        <v>2966</v>
      </c>
      <c r="H24" s="71">
        <v>1858</v>
      </c>
      <c r="I24" s="71">
        <v>3501</v>
      </c>
      <c r="J24" s="71">
        <v>1215</v>
      </c>
      <c r="K24" s="71">
        <v>5504</v>
      </c>
      <c r="L24" s="71">
        <v>5603</v>
      </c>
      <c r="M24" s="71">
        <v>561</v>
      </c>
      <c r="N24" s="71">
        <v>5639</v>
      </c>
      <c r="O24" s="71">
        <v>5155</v>
      </c>
      <c r="P24" s="71">
        <v>362</v>
      </c>
      <c r="Q24" s="90">
        <v>1830</v>
      </c>
      <c r="R24" s="71">
        <v>69</v>
      </c>
      <c r="S24" s="71">
        <v>1315</v>
      </c>
      <c r="T24" s="71">
        <v>1762</v>
      </c>
      <c r="U24" s="71">
        <v>5951</v>
      </c>
      <c r="V24" s="71">
        <v>9489</v>
      </c>
      <c r="W24" s="71">
        <v>10735</v>
      </c>
      <c r="X24" s="71">
        <v>5408</v>
      </c>
      <c r="Y24" s="71">
        <v>6199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37" ph="1"/>
      <c r="C25" s="68" t="s" ph="1">
        <v>179</v>
      </c>
      <c r="D25" s="91" ph="1">
        <f>D24*268.68*LOOKUP(D26,密度!$A$2:$A$50,密度!$Q$2:$Q$50)+IF(D24&lt;=0,0,1566*LOOKUP(D26,密度!$A$2:$A$50,密度!$Q$2:$Q$50))</f>
        <v>23325.355601784006</v>
      </c>
      <c r="E25" s="91" ph="1">
        <f>E24*268.68*LOOKUP(E26,密度!$A$2:$A$50,密度!$C$2:$C$50)+IF(E24&lt;=0,0,1566*LOOKUP(E26,密度!$A$2:$A$50,密度!$C$2:$C$50))</f>
        <v>3050.4495013199999</v>
      </c>
      <c r="F25" s="91" ph="1">
        <f>F24*11.702*LOOKUP(F26,密度!$A$2:$A$50,密度!$Q$2:$Q$50)</f>
        <v>42491.357814559997</v>
      </c>
      <c r="G25" s="91" ph="1">
        <f>G24*18.322*LOOKUP(G26,密度!$A$2:$A$50,密度!$B$2:$B$50)</f>
        <v>42316.934592399994</v>
      </c>
      <c r="H25" s="91" ph="1">
        <f>H24*18.322*LOOKUP(H26,密度!$A$2:$A$50,密度!$B$2:$B$50)</f>
        <v>26481.486500399998</v>
      </c>
      <c r="I25" s="91" ph="1">
        <f>I24*18.322*LOOKUP(I26,密度!$A$2:$A$50,密度!$Q$2:$Q$50)</f>
        <v>60637.855793040006</v>
      </c>
      <c r="J25" s="91" ph="1">
        <f>J24*18.322*LOOKUP(J26,密度!$A$2:$A$50,密度!$Q$2:$Q$50)</f>
        <v>21043.985943600001</v>
      </c>
      <c r="K25" s="91" ph="1">
        <f>K24*18.322*LOOKUP(K26,密度!$A$2:$A$50,密度!$Q$2:$Q$50)</f>
        <v>95401.721776639999</v>
      </c>
      <c r="L25" s="91" ph="1">
        <f>L24*18.322*LOOKUP(L26,密度!$A$2:$A$50,密度!$Q$2:$Q$50)</f>
        <v>97117.704780979999</v>
      </c>
      <c r="M25" s="91" ph="1">
        <f>M24*18.322*LOOKUP(M26,密度!$A$2:$A$50,密度!$Q$2:$Q$50)</f>
        <v>9723.9036912600004</v>
      </c>
      <c r="N25" s="91" ph="1">
        <f>N24*18.322*LOOKUP(N26,密度!$A$2:$A$50,密度!$Q$2:$Q$50)</f>
        <v>97668.342992560007</v>
      </c>
      <c r="O25" s="91" ph="1">
        <f>O24*18.322*LOOKUP(O26,密度!$A$2:$A$50,密度!$C$2:$C$50)</f>
        <v>104593.83033399998</v>
      </c>
      <c r="P25" s="91" ph="1">
        <f>P24*11.702*LOOKUP(P26,密度!$A$2:$A$50,密度!$B$2:$B$50)</f>
        <v>3291.4683479999999</v>
      </c>
      <c r="Q25" s="92" ph="1">
        <f>Q24*18.322*LOOKUP(Q26,密度!$A$2:$A$50,密度!$B$2:$B$50)</f>
        <v>26082.411354000003</v>
      </c>
      <c r="R25" s="91" ph="1">
        <f>R24*35.891*LOOKUP(R26,密度!$A$2:$A$50,密度!$C$2:$C$50)</f>
        <v>2740.4716613999999</v>
      </c>
      <c r="S25" s="91" ph="1">
        <f>S24*35.891*LOOKUP(S26,密度!$A$2:$A$50,密度!$B$2:$B$50)</f>
        <v>36714.285703500005</v>
      </c>
      <c r="T25" s="91" ph="1">
        <f>T24*35.891*LOOKUP(T26,密度!$A$2:$A$50,密度!$Q$2:$Q$50)</f>
        <v>59737.71401204</v>
      </c>
      <c r="U25" s="91" ph="1">
        <f>U24*35.891</f>
        <v>213587.34099999999</v>
      </c>
      <c r="V25" s="91" ph="1">
        <f>V24*47.051*LOOKUP(V26,密度!$A$2:$A$50,密度!$B$2:$B$50)</f>
        <v>347306.63184810005</v>
      </c>
      <c r="W25" s="91" ph="1">
        <f>W24*47.051*LOOKUP(W26,密度!$A$2:$A$50,密度!$B$2:$B$50)</f>
        <v>392456.86084500002</v>
      </c>
      <c r="X25" s="91" ph="1">
        <f>X24*47.051*LOOKUP(X26,密度!$A$2:$A$50,密度!$I$2:$I$50)</f>
        <v>263764.74417279998</v>
      </c>
      <c r="Y25" s="91" ph="1">
        <f>Y24*47.051*LOOKUP(Y26,密度!$A$2:$A$50,密度!$L$2:$L$50)</f>
        <v>272127.31601700006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37" ph="1"/>
      <c r="C26" s="68" t="s" ph="1">
        <v>180</v>
      </c>
      <c r="D26" s="74">
        <v>25</v>
      </c>
      <c r="E26" s="74">
        <v>25</v>
      </c>
      <c r="F26" s="74">
        <v>28</v>
      </c>
      <c r="G26" s="74">
        <v>26</v>
      </c>
      <c r="H26" s="74">
        <v>27</v>
      </c>
      <c r="I26" s="74">
        <v>27</v>
      </c>
      <c r="J26" s="74">
        <v>27</v>
      </c>
      <c r="K26" s="74">
        <v>26</v>
      </c>
      <c r="L26" s="74">
        <v>26</v>
      </c>
      <c r="M26" s="74">
        <v>26</v>
      </c>
      <c r="N26" s="74">
        <v>27</v>
      </c>
      <c r="O26" s="74">
        <v>27</v>
      </c>
      <c r="P26" s="74">
        <v>28</v>
      </c>
      <c r="Q26" s="93">
        <v>27</v>
      </c>
      <c r="R26" s="74">
        <v>28</v>
      </c>
      <c r="S26" s="74">
        <v>27</v>
      </c>
      <c r="T26" s="74">
        <v>28</v>
      </c>
      <c r="U26" s="74">
        <v>28</v>
      </c>
      <c r="V26" s="74">
        <v>27</v>
      </c>
      <c r="W26" s="74">
        <v>28</v>
      </c>
      <c r="X26" s="74">
        <v>30</v>
      </c>
      <c r="Y26" s="74">
        <v>29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65" ph="1">
      <c r="A27" s="72" ph="1"/>
      <c r="B27" s="237" ph="1">
        <v>0.66666666666666663</v>
      </c>
      <c r="C27" s="147" t="s" ph="1">
        <v>181</v>
      </c>
      <c r="D27" s="71">
        <v>85.92</v>
      </c>
      <c r="E27" s="71">
        <v>4.42</v>
      </c>
      <c r="F27" s="71">
        <v>3846</v>
      </c>
      <c r="G27" s="71">
        <v>2755</v>
      </c>
      <c r="H27" s="71">
        <v>1571</v>
      </c>
      <c r="I27" s="71">
        <v>2597</v>
      </c>
      <c r="J27" s="71">
        <v>1093</v>
      </c>
      <c r="K27" s="71">
        <v>5507</v>
      </c>
      <c r="L27" s="71">
        <v>5604</v>
      </c>
      <c r="M27" s="71">
        <v>653</v>
      </c>
      <c r="N27" s="71">
        <v>5640</v>
      </c>
      <c r="O27" s="71">
        <v>5154</v>
      </c>
      <c r="P27" s="71">
        <v>360</v>
      </c>
      <c r="Q27" s="90">
        <v>2391</v>
      </c>
      <c r="R27" s="71">
        <v>66</v>
      </c>
      <c r="S27" s="71">
        <v>1366</v>
      </c>
      <c r="T27" s="71">
        <v>1761</v>
      </c>
      <c r="U27" s="71">
        <v>6037</v>
      </c>
      <c r="V27" s="71">
        <v>9476</v>
      </c>
      <c r="W27" s="71">
        <v>10740</v>
      </c>
      <c r="X27" s="71">
        <v>5637</v>
      </c>
      <c r="Y27" s="71">
        <v>4618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37" ph="1"/>
      <c r="C28" s="147" t="s" ph="1">
        <v>179</v>
      </c>
      <c r="D28" s="91" ph="1">
        <f>D27*268.68*LOOKUP(D29,密度!$A$2:$A$50,密度!$Q$2:$Q$50)+IF(D27&lt;=0,0,1566*LOOKUP(D29,密度!$A$2:$A$50,密度!$Q$2:$Q$50))</f>
        <v>23338.074106944001</v>
      </c>
      <c r="E28" s="91" ph="1">
        <f>E27*268.68*LOOKUP(E29,密度!$A$2:$A$50,密度!$C$2:$C$50)+IF(E27&lt;=0,0,1566*LOOKUP(E29,密度!$A$2:$A$50,密度!$C$2:$C$50))</f>
        <v>3053.4288938399995</v>
      </c>
      <c r="F28" s="91" ph="1">
        <f>F27*11.702*LOOKUP(F29,密度!$A$2:$A$50,密度!$Q$2:$Q$50)</f>
        <v>42302.838126479997</v>
      </c>
      <c r="G28" s="91" ph="1">
        <f>G27*18.322*LOOKUP(G29,密度!$A$2:$A$50,密度!$B$2:$B$50)</f>
        <v>38912.804099000001</v>
      </c>
      <c r="H28" s="91" ph="1">
        <f>H27*18.322*LOOKUP(H29,密度!$A$2:$A$50,密度!$B$2:$B$50)</f>
        <v>22189.479215799998</v>
      </c>
      <c r="I28" s="91" ph="1">
        <f>I27*18.322*LOOKUP(I29,密度!$A$2:$A$50,密度!$Q$2:$Q$50)</f>
        <v>44786.777752499998</v>
      </c>
      <c r="J28" s="91" ph="1">
        <f>J27*18.322*LOOKUP(J29,密度!$A$2:$A$50,密度!$Q$2:$Q$50)</f>
        <v>18849.421672500001</v>
      </c>
      <c r="K28" s="91" ph="1">
        <f>K27*18.322*LOOKUP(K29,密度!$A$2:$A$50,密度!$Q$2:$Q$50)</f>
        <v>94904.82931986</v>
      </c>
      <c r="L28" s="91" ph="1">
        <f>L27*18.322*LOOKUP(L29,密度!$A$2:$A$50,密度!$Q$2:$Q$50)</f>
        <v>96576.477847920003</v>
      </c>
      <c r="M28" s="91" ph="1">
        <f>M27*18.322*LOOKUP(M29,密度!$A$2:$A$50,密度!$Q$2:$Q$50)</f>
        <v>11261.3653725</v>
      </c>
      <c r="N28" s="91" ph="1">
        <f>N27*18.322*LOOKUP(N29,密度!$A$2:$A$50,密度!$Q$2:$Q$50)</f>
        <v>97196.883487200001</v>
      </c>
      <c r="O28" s="91" ph="1">
        <f>O27*18.322*LOOKUP(O29,密度!$A$2:$A$50,密度!$C$2:$C$50)</f>
        <v>103865.30364119999</v>
      </c>
      <c r="P28" s="91" ph="1">
        <f>P27*11.702*LOOKUP(P29,密度!$A$2:$A$50,密度!$B$2:$B$50)</f>
        <v>3247.5858480000002</v>
      </c>
      <c r="Q28" s="92" ph="1">
        <f>Q27*18.322*LOOKUP(Q29,密度!$A$2:$A$50,密度!$B$2:$B$50)</f>
        <v>33732.084539999996</v>
      </c>
      <c r="R28" s="91" ph="1">
        <f>R27*35.891*LOOKUP(R29,密度!$A$2:$A$50,密度!$C$2:$C$50)</f>
        <v>2602.8440328000002</v>
      </c>
      <c r="S28" s="91" ph="1">
        <f>S27*35.891*LOOKUP(S29,密度!$A$2:$A$50,密度!$B$2:$B$50)</f>
        <v>37794.9960154</v>
      </c>
      <c r="T28" s="91" ph="1">
        <f>T27*35.891*LOOKUP(T29,密度!$A$2:$A$50,密度!$Q$2:$Q$50)</f>
        <v>59449.098330090004</v>
      </c>
      <c r="U28" s="91" ph="1">
        <f>U27*35.891</f>
        <v>216673.96699999998</v>
      </c>
      <c r="V28" s="91" ph="1">
        <f>V27*47.051*LOOKUP(V29,密度!$A$2:$A$50,密度!$B$2:$B$50)</f>
        <v>343709.8322684</v>
      </c>
      <c r="W28" s="91" ph="1">
        <f>W27*47.051*LOOKUP(W29,密度!$A$2:$A$50,密度!$B$2:$B$50)</f>
        <v>389557.15476600005</v>
      </c>
      <c r="X28" s="91" ph="1">
        <f>X27*47.051*LOOKUP(X29,密度!$A$2:$A$50,密度!$I$2:$I$50)</f>
        <v>273172.67255052004</v>
      </c>
      <c r="Y28" s="91" ph="1">
        <f>Y27*47.051*LOOKUP(Y29,密度!$A$2:$A$50,密度!$L$2:$L$50)</f>
        <v>201854.53022200003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37" ph="1"/>
      <c r="C29" s="147" t="s" ph="1">
        <v>180</v>
      </c>
      <c r="D29" s="74">
        <v>25</v>
      </c>
      <c r="E29" s="74">
        <v>25</v>
      </c>
      <c r="F29" s="74">
        <v>35</v>
      </c>
      <c r="G29" s="74">
        <v>35</v>
      </c>
      <c r="H29" s="74">
        <v>35</v>
      </c>
      <c r="I29" s="74">
        <v>33</v>
      </c>
      <c r="J29" s="74">
        <v>33</v>
      </c>
      <c r="K29" s="74">
        <v>34</v>
      </c>
      <c r="L29" s="74">
        <v>34</v>
      </c>
      <c r="M29" s="74">
        <v>33</v>
      </c>
      <c r="N29" s="74">
        <v>34</v>
      </c>
      <c r="O29" s="74">
        <v>35</v>
      </c>
      <c r="P29" s="74">
        <v>35</v>
      </c>
      <c r="Q29" s="93">
        <v>36</v>
      </c>
      <c r="R29" s="74">
        <v>36</v>
      </c>
      <c r="S29" s="74">
        <v>35</v>
      </c>
      <c r="T29" s="74">
        <v>34</v>
      </c>
      <c r="U29" s="74">
        <v>34</v>
      </c>
      <c r="V29" s="74">
        <v>35</v>
      </c>
      <c r="W29" s="74">
        <v>35</v>
      </c>
      <c r="X29" s="74">
        <v>36</v>
      </c>
      <c r="Y29" s="74">
        <v>33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45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47" t="s" ph="1">
        <v>5</v>
      </c>
      <c r="F32" s="148" t="s" ph="1">
        <v>43</v>
      </c>
      <c r="G32" s="97" t="s" ph="1">
        <v>4</v>
      </c>
      <c r="H32" s="147" t="s" ph="1">
        <v>5</v>
      </c>
      <c r="I32" s="148" t="s" ph="1">
        <v>43</v>
      </c>
      <c r="J32" s="97" t="s" ph="1">
        <v>4</v>
      </c>
      <c r="K32" s="147" t="s" ph="1">
        <v>5</v>
      </c>
      <c r="L32" s="148" t="s" ph="1">
        <v>43</v>
      </c>
      <c r="M32" s="97" t="s" ph="1">
        <v>4</v>
      </c>
      <c r="N32" s="147" t="s" ph="1">
        <v>5</v>
      </c>
      <c r="O32" s="14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7" t="s" ph="1">
        <v>5</v>
      </c>
      <c r="U32" s="99" t="s" ph="1">
        <v>43</v>
      </c>
      <c r="V32" s="97" t="s" ph="1">
        <v>4</v>
      </c>
      <c r="W32" s="147" t="s" ph="1">
        <v>5</v>
      </c>
      <c r="X32" s="99" t="s" ph="1">
        <v>43</v>
      </c>
      <c r="Y32" s="100" t="s" ph="1">
        <v>4</v>
      </c>
      <c r="Z32" s="147" t="s" ph="1">
        <v>5</v>
      </c>
      <c r="AA32" s="148" t="s" ph="1">
        <v>43</v>
      </c>
      <c r="AB32" s="97" t="s" ph="1">
        <v>85</v>
      </c>
      <c r="AC32" s="147" t="s" ph="1">
        <v>84</v>
      </c>
      <c r="AD32" s="204" t="s" ph="1">
        <v>83</v>
      </c>
      <c r="AE32" s="205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06" t="s" ph="1">
        <v>182</v>
      </c>
      <c r="C33" s="207" ph="1"/>
      <c r="D33" s="186" ph="1">
        <f>AA10+AB10+Z19</f>
        <v>65128.936979799997</v>
      </c>
      <c r="E33" s="186" ph="1">
        <f>M10+I10</f>
        <v>175428.49625800003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[[#This Row],[F25]]</f>
        <v>3880</v>
      </c>
      <c r="G33" s="212" ph="1">
        <v>0</v>
      </c>
      <c r="H33" s="186" ph="1">
        <f>N19</f>
        <v>39812.330134200005</v>
      </c>
      <c r="I33" s="190" ph="1">
        <v>0</v>
      </c>
      <c r="J33" s="194" ph="1">
        <f>F10+O28</f>
        <v>353695.39533690002</v>
      </c>
      <c r="K33" s="186" ph="1">
        <f>O10+K10+E28+R28</f>
        <v>30013.982664239997</v>
      </c>
      <c r="L33" s="196" ph="1">
        <f>BE27</f>
        <v>7100</v>
      </c>
      <c r="M33" s="194" ph="1">
        <f>G10+H10+W28+S28+V28+E10</f>
        <v>1349881.5712098002</v>
      </c>
      <c r="N33" s="186" ph="1">
        <f>L10+P10++G28+H28</f>
        <v>258530.01594980003</v>
      </c>
      <c r="O33" s="190" ph="1">
        <f>BE17</f>
        <v>2270</v>
      </c>
      <c r="P33" s="194" ph="1">
        <f>L19</f>
        <v>33736.119537960003</v>
      </c>
      <c r="Q33" s="186" ph="1">
        <f>J10+N10</f>
        <v>56468.280067760003</v>
      </c>
      <c r="R33" s="190" ph="1">
        <f>BE23</f>
        <v>890</v>
      </c>
      <c r="S33" s="194" ph="1">
        <f>E10+X28</f>
        <v>596521.52624651999</v>
      </c>
      <c r="T33" s="186" ph="1">
        <f>X19</f>
        <v>4939.7203408800005</v>
      </c>
      <c r="U33" s="175" ph="1">
        <f>BE21</f>
        <v>730</v>
      </c>
      <c r="V33" s="188" ph="1">
        <f ca="1">P19+Q19+S19+M28+N28+J28</f>
        <v>223117.98210151601</v>
      </c>
      <c r="W33" s="188" ph="1">
        <f>D28+F28+V19+T28</f>
        <v>129154.58220221</v>
      </c>
      <c r="X33" s="190" ph="1">
        <f>BE29+BE31</f>
        <v>10200</v>
      </c>
      <c r="Y33" s="192" ph="1">
        <f>+Q10+R10+S10+T10+U10+V10+W10+X10+Y10</f>
        <v>177639.23358720003</v>
      </c>
      <c r="Z33" s="173" ph="1">
        <f>D10+T19+U19+Y28+Z10</f>
        <v>557159.26032716001</v>
      </c>
      <c r="AA33" s="175" ph="1">
        <f>BE19</f>
        <v>1440</v>
      </c>
      <c r="AB33" s="177" ph="1">
        <f>I19</f>
        <v>14432.561451000001</v>
      </c>
      <c r="AC33" s="179" ph="1">
        <f>AD10</f>
        <v>86346.018259200006</v>
      </c>
      <c r="AD33" s="181" ph="1">
        <v>0</v>
      </c>
      <c r="AE33" s="182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85" t="s" ph="1">
        <v>639</v>
      </c>
      <c r="AD35" s="185"/>
      <c r="AE35" s="185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45" ph="1">
      <c r="A36" s="64"/>
      <c r="B36" s="103" t="s" ph="1">
        <v>183</v>
      </c>
      <c r="I36" s="171" t="s" ph="1">
        <v>184</v>
      </c>
      <c r="J36" s="171" ph="1"/>
      <c r="K36" s="101" ph="1"/>
      <c r="P36" s="101" ph="1"/>
      <c r="R36" s="171" t="s" ph="1">
        <v>185</v>
      </c>
      <c r="S36" s="171" ph="1"/>
      <c r="Y36" s="102" ph="1"/>
      <c r="Z36" s="149" t="s" ph="1">
        <v>186</v>
      </c>
      <c r="AA36" s="149" ph="1"/>
      <c r="AB36" s="172" t="s" ph="1">
        <v>644</v>
      </c>
      <c r="AC36" s="172" ph="1"/>
      <c r="AD36" s="172" ph="1"/>
      <c r="AE36" s="172" ph="1"/>
      <c r="BA36" s="64" ph="1">
        <v>2270</v>
      </c>
    </row>
    <row r="37" spans="1:57" s="14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9" t="s" ph="1">
        <v>345</v>
      </c>
      <c r="AI37" s="149" t="s" ph="1">
        <v>212</v>
      </c>
      <c r="AJ37" s="149" t="s" ph="1">
        <v>213</v>
      </c>
      <c r="AK37" s="149" t="s" ph="1">
        <v>214</v>
      </c>
      <c r="AM37" s="149" t="s" ph="1">
        <v>213</v>
      </c>
      <c r="AN37" s="149" t="s" ph="1">
        <v>214</v>
      </c>
      <c r="AO37" s="149" t="s" ph="1">
        <v>215</v>
      </c>
      <c r="AP37" s="149" t="s" ph="1">
        <v>213</v>
      </c>
      <c r="AQ37" s="149" t="s" ph="1">
        <v>214</v>
      </c>
      <c r="AR37" s="149" t="s" ph="1">
        <v>215</v>
      </c>
      <c r="AS37" s="149" t="s" ph="1">
        <v>213</v>
      </c>
      <c r="AT37" s="149" t="s" ph="1">
        <v>214</v>
      </c>
      <c r="AU37" s="149" t="s" ph="1">
        <v>215</v>
      </c>
      <c r="AV37" s="149" t="s" ph="1">
        <v>213</v>
      </c>
      <c r="AW37" s="149" t="s" ph="1">
        <v>214</v>
      </c>
      <c r="AX37" s="149" t="s" ph="1">
        <v>215</v>
      </c>
      <c r="AY37" s="149" t="s" ph="1">
        <v>214</v>
      </c>
      <c r="AZ37" s="149" t="s" ph="1">
        <v>216</v>
      </c>
      <c r="BD37" s="149" t="s" ph="1">
        <v>308</v>
      </c>
      <c r="BE37" s="149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777" priority="97">
      <formula>ABS(D$7-D$10)&gt;=1000</formula>
    </cfRule>
  </conditionalFormatting>
  <conditionalFormatting sqref="E4 E6:E11">
    <cfRule type="expression" dxfId="1776" priority="96">
      <formula>ABS(E$7-E$10)&gt;=1000</formula>
    </cfRule>
  </conditionalFormatting>
  <conditionalFormatting sqref="F4:F11">
    <cfRule type="expression" dxfId="1775" priority="95">
      <formula>ABS(F$7-F$10)&gt;=1000</formula>
    </cfRule>
  </conditionalFormatting>
  <conditionalFormatting sqref="G4:G11">
    <cfRule type="expression" dxfId="1774" priority="94">
      <formula>ABS(G$7-G$10)&gt;=1000</formula>
    </cfRule>
  </conditionalFormatting>
  <conditionalFormatting sqref="H4:H11">
    <cfRule type="expression" dxfId="1773" priority="93">
      <formula>ABS(H$7-H$10)&gt;=1000</formula>
    </cfRule>
  </conditionalFormatting>
  <conditionalFormatting sqref="I4:I11">
    <cfRule type="expression" dxfId="1772" priority="92">
      <formula>ABS(I$7-I$10)&gt;=1000</formula>
    </cfRule>
  </conditionalFormatting>
  <conditionalFormatting sqref="J4:J11">
    <cfRule type="expression" dxfId="1771" priority="91">
      <formula>ABS(J$7-J$10)&gt;=1000</formula>
    </cfRule>
  </conditionalFormatting>
  <conditionalFormatting sqref="K4:K11">
    <cfRule type="expression" dxfId="1770" priority="90">
      <formula>ABS(K$7-K$10)&gt;=1000</formula>
    </cfRule>
  </conditionalFormatting>
  <conditionalFormatting sqref="L4:L11">
    <cfRule type="expression" dxfId="1769" priority="89">
      <formula>ABS(L$7-L$10)&gt;=1000</formula>
    </cfRule>
  </conditionalFormatting>
  <conditionalFormatting sqref="M4 M6:M11">
    <cfRule type="expression" dxfId="1768" priority="88">
      <formula>ABS(M$7-M$10)&gt;=1000</formula>
    </cfRule>
  </conditionalFormatting>
  <conditionalFormatting sqref="N4 N6:N11">
    <cfRule type="expression" dxfId="1767" priority="87">
      <formula>ABS(N$7-N$10)&gt;=1000</formula>
    </cfRule>
  </conditionalFormatting>
  <conditionalFormatting sqref="O4 O6:O11">
    <cfRule type="expression" dxfId="1766" priority="86">
      <formula>ABS(O$7-O$10)&gt;=1000</formula>
    </cfRule>
  </conditionalFormatting>
  <conditionalFormatting sqref="P4 P6:P11">
    <cfRule type="expression" dxfId="1765" priority="85">
      <formula>ABS(P$7-P$10)&gt;=1000</formula>
    </cfRule>
  </conditionalFormatting>
  <conditionalFormatting sqref="Q4:Q11">
    <cfRule type="expression" dxfId="1764" priority="84">
      <formula>ABS(Q$7-Q$10)&gt;=1000</formula>
    </cfRule>
  </conditionalFormatting>
  <conditionalFormatting sqref="R4:R11">
    <cfRule type="expression" dxfId="1763" priority="83">
      <formula>ABS(R$7-R$10)&gt;=1000</formula>
    </cfRule>
  </conditionalFormatting>
  <conditionalFormatting sqref="S4:S11">
    <cfRule type="expression" dxfId="1762" priority="82">
      <formula>ABS(S$7-S$10)&gt;=1000</formula>
    </cfRule>
  </conditionalFormatting>
  <conditionalFormatting sqref="T4:T9 T11">
    <cfRule type="expression" dxfId="1761" priority="81">
      <formula>ABS(T$7-T$10)&gt;=1000</formula>
    </cfRule>
  </conditionalFormatting>
  <conditionalFormatting sqref="U4:U9 U11">
    <cfRule type="expression" dxfId="1760" priority="80">
      <formula>ABS(U$7-U$10)&gt;=1000</formula>
    </cfRule>
  </conditionalFormatting>
  <conditionalFormatting sqref="V4:V9 V11">
    <cfRule type="expression" dxfId="1759" priority="79">
      <formula>ABS(V$7-V$10)&gt;=1000</formula>
    </cfRule>
  </conditionalFormatting>
  <conditionalFormatting sqref="W4:W9 W11">
    <cfRule type="expression" dxfId="1758" priority="78">
      <formula>ABS(W$7-W$10)&gt;=1000</formula>
    </cfRule>
  </conditionalFormatting>
  <conditionalFormatting sqref="X4:X9 X11">
    <cfRule type="expression" dxfId="1757" priority="77">
      <formula>ABS(X$7-X$10)&gt;=1000</formula>
    </cfRule>
  </conditionalFormatting>
  <conditionalFormatting sqref="Y4:Y9 Y11">
    <cfRule type="expression" dxfId="1756" priority="76">
      <formula>ABS(Y$7-Y$10)&gt;=1000</formula>
    </cfRule>
  </conditionalFormatting>
  <conditionalFormatting sqref="Z4:Z11">
    <cfRule type="expression" dxfId="1755" priority="75">
      <formula>ABS(Z$7-Z$10)&gt;=1000</formula>
    </cfRule>
  </conditionalFormatting>
  <conditionalFormatting sqref="AA4:AA11">
    <cfRule type="expression" dxfId="1754" priority="74">
      <formula>ABS(AA$7-AA$10)&gt;=1000</formula>
    </cfRule>
  </conditionalFormatting>
  <conditionalFormatting sqref="AB4:AB11">
    <cfRule type="expression" dxfId="1753" priority="73">
      <formula>ABS(AB$7-AB$10)&gt;=1000</formula>
    </cfRule>
  </conditionalFormatting>
  <conditionalFormatting sqref="AC4 AC6:AC11">
    <cfRule type="expression" dxfId="1752" priority="72">
      <formula>ABS(AC$7-AC$10)&gt;=1000</formula>
    </cfRule>
  </conditionalFormatting>
  <conditionalFormatting sqref="AD4:AD11">
    <cfRule type="expression" dxfId="1751" priority="71">
      <formula>ABS(AD$7-AD$10)&gt;=1000</formula>
    </cfRule>
  </conditionalFormatting>
  <conditionalFormatting sqref="AE4:AE11">
    <cfRule type="expression" dxfId="1750" priority="70">
      <formula>ABS(AE$7-AE$10)&gt;=1000</formula>
    </cfRule>
  </conditionalFormatting>
  <conditionalFormatting sqref="D13:D20">
    <cfRule type="expression" dxfId="1749" priority="69">
      <formula>ABS(D$16-D$19)&gt;=1000</formula>
    </cfRule>
  </conditionalFormatting>
  <conditionalFormatting sqref="E13:E20">
    <cfRule type="expression" dxfId="1748" priority="68">
      <formula>ABS(E$16-E$19)&gt;=1000</formula>
    </cfRule>
  </conditionalFormatting>
  <conditionalFormatting sqref="F13 F15:F20">
    <cfRule type="expression" dxfId="1747" priority="67">
      <formula>ABS(F$16-F$19)&gt;=1000</formula>
    </cfRule>
  </conditionalFormatting>
  <conditionalFormatting sqref="G13:G20">
    <cfRule type="expression" dxfId="1746" priority="66">
      <formula>ABS(G$16-G$19)&gt;=1000</formula>
    </cfRule>
  </conditionalFormatting>
  <conditionalFormatting sqref="H13:H20">
    <cfRule type="expression" dxfId="1745" priority="65">
      <formula>ABS(H$16-H$19)&gt;=1000</formula>
    </cfRule>
  </conditionalFormatting>
  <conditionalFormatting sqref="I13:I20">
    <cfRule type="expression" dxfId="1744" priority="64">
      <formula>ABS(I$16-I$19)&gt;=1000</formula>
    </cfRule>
  </conditionalFormatting>
  <conditionalFormatting sqref="J13:J20">
    <cfRule type="expression" dxfId="1743" priority="63">
      <formula>ABS(J$16-J$19)&gt;=1000</formula>
    </cfRule>
  </conditionalFormatting>
  <conditionalFormatting sqref="L13:L20">
    <cfRule type="expression" dxfId="1742" priority="62">
      <formula>ABS(L$16-L$19)&gt;=1000</formula>
    </cfRule>
  </conditionalFormatting>
  <conditionalFormatting sqref="M13 M15 M17:M18 M20">
    <cfRule type="expression" dxfId="1741" priority="61">
      <formula>ABS(M$16-M$19)&gt;=1000</formula>
    </cfRule>
  </conditionalFormatting>
  <conditionalFormatting sqref="N13:N20">
    <cfRule type="expression" dxfId="1740" priority="60">
      <formula>ABS(N$16-N$19)&gt;=1000</formula>
    </cfRule>
  </conditionalFormatting>
  <conditionalFormatting sqref="O13:O20">
    <cfRule type="expression" dxfId="1739" priority="59">
      <formula>ABS(O$16-O$19)&gt;=1000</formula>
    </cfRule>
  </conditionalFormatting>
  <conditionalFormatting sqref="P13:P20">
    <cfRule type="expression" dxfId="1738" priority="58">
      <formula>ABS(P$16-P$19)&gt;=1000</formula>
    </cfRule>
  </conditionalFormatting>
  <conditionalFormatting sqref="Q13 Q15:Q20">
    <cfRule type="expression" dxfId="1737" priority="57">
      <formula>ABS(Q$16-Q$19)&gt;=1000</formula>
    </cfRule>
  </conditionalFormatting>
  <conditionalFormatting sqref="R13:R20">
    <cfRule type="expression" dxfId="1736" priority="56">
      <formula>ABS(R$16-R$19)&gt;=1000</formula>
    </cfRule>
  </conditionalFormatting>
  <conditionalFormatting sqref="S13:S20">
    <cfRule type="expression" dxfId="1735" priority="55">
      <formula>ABS(S$16-S$19)&gt;=1000</formula>
    </cfRule>
  </conditionalFormatting>
  <conditionalFormatting sqref="T13:T20">
    <cfRule type="expression" dxfId="1734" priority="54">
      <formula>ABS(T$16-T$19)&gt;=1000</formula>
    </cfRule>
  </conditionalFormatting>
  <conditionalFormatting sqref="U13:U20">
    <cfRule type="expression" dxfId="1733" priority="53">
      <formula>ABS(U$16-U$19)&gt;=1000</formula>
    </cfRule>
  </conditionalFormatting>
  <conditionalFormatting sqref="V13:V20">
    <cfRule type="expression" dxfId="1732" priority="52">
      <formula>ABS(V$16-V$19)&gt;=1000</formula>
    </cfRule>
  </conditionalFormatting>
  <conditionalFormatting sqref="W13 W20 W15:W18">
    <cfRule type="expression" dxfId="1731" priority="51">
      <formula>ABS(W$16-W$19)&gt;=1000</formula>
    </cfRule>
  </conditionalFormatting>
  <conditionalFormatting sqref="X13 X15:X20 Y19">
    <cfRule type="expression" dxfId="1730" priority="50">
      <formula>ABS(X$16-X$19)&gt;=1000</formula>
    </cfRule>
  </conditionalFormatting>
  <conditionalFormatting sqref="Y13 Y15:Y18 Y20">
    <cfRule type="expression" dxfId="1729" priority="49">
      <formula>ABS(Y$16-Y$19)&gt;=1000</formula>
    </cfRule>
  </conditionalFormatting>
  <conditionalFormatting sqref="Z13:Z20">
    <cfRule type="expression" dxfId="1728" priority="48">
      <formula>ABS(Z$16-Z$19)&gt;=1000</formula>
    </cfRule>
  </conditionalFormatting>
  <conditionalFormatting sqref="AA13:AA20">
    <cfRule type="expression" dxfId="1727" priority="47">
      <formula>ABS(AA$16-AA$19)&gt;=1000</formula>
    </cfRule>
  </conditionalFormatting>
  <conditionalFormatting sqref="AB13 AB15:AB20">
    <cfRule type="expression" dxfId="1726" priority="46">
      <formula>ABS(AB$16-AB$19)&gt;=1000</formula>
    </cfRule>
  </conditionalFormatting>
  <conditionalFormatting sqref="AC13 AC15:AC20">
    <cfRule type="expression" dxfId="1725" priority="45">
      <formula>ABS(AC$16-AC$19)&gt;=1000</formula>
    </cfRule>
  </conditionalFormatting>
  <conditionalFormatting sqref="AD13:AD20">
    <cfRule type="expression" dxfId="1724" priority="44">
      <formula>ABS(AD$16-AD$19)&gt;=1000</formula>
    </cfRule>
  </conditionalFormatting>
  <conditionalFormatting sqref="AE13:AE20">
    <cfRule type="expression" dxfId="1723" priority="43">
      <formula>ABS(AE$16-AE$19)&gt;=1000</formula>
    </cfRule>
  </conditionalFormatting>
  <conditionalFormatting sqref="D22:D29">
    <cfRule type="expression" dxfId="1722" priority="42">
      <formula>ABS(D$25-D$28)&gt;=1000</formula>
    </cfRule>
  </conditionalFormatting>
  <conditionalFormatting sqref="E22:E29">
    <cfRule type="expression" dxfId="1721" priority="41">
      <formula>ABS(E$25-E$28)&gt;=1000</formula>
    </cfRule>
  </conditionalFormatting>
  <conditionalFormatting sqref="F22:F29">
    <cfRule type="expression" dxfId="1720" priority="40">
      <formula>ABS(F$25-F$28)&gt;=1000</formula>
    </cfRule>
  </conditionalFormatting>
  <conditionalFormatting sqref="G22:G29">
    <cfRule type="expression" dxfId="1719" priority="39">
      <formula>ABS(G$25-G$28)&gt;=1000</formula>
    </cfRule>
  </conditionalFormatting>
  <conditionalFormatting sqref="H22:H29">
    <cfRule type="expression" dxfId="1718" priority="38">
      <formula>ABS(H$25-H$28)&gt;=1000</formula>
    </cfRule>
  </conditionalFormatting>
  <conditionalFormatting sqref="I22 I24:I29">
    <cfRule type="expression" dxfId="1717" priority="37">
      <formula>ABS(I$25-I$28)&gt;=1000</formula>
    </cfRule>
  </conditionalFormatting>
  <conditionalFormatting sqref="J22:J29 K22">
    <cfRule type="expression" dxfId="1716" priority="36">
      <formula>ABS(J$25-J$28)&gt;=1000</formula>
    </cfRule>
  </conditionalFormatting>
  <conditionalFormatting sqref="K23:K29 L25 L28">
    <cfRule type="expression" dxfId="1715" priority="35">
      <formula>ABS(K$25-K$28)&gt;=1000</formula>
    </cfRule>
  </conditionalFormatting>
  <conditionalFormatting sqref="L22 L26:L27 L29 L24">
    <cfRule type="expression" dxfId="1714" priority="34">
      <formula>ABS(L$25-L$28)&gt;=1000</formula>
    </cfRule>
  </conditionalFormatting>
  <conditionalFormatting sqref="M22:M29">
    <cfRule type="expression" dxfId="1713" priority="33">
      <formula>ABS(M$25-M$28)&gt;=1000</formula>
    </cfRule>
  </conditionalFormatting>
  <conditionalFormatting sqref="N22:N29">
    <cfRule type="expression" dxfId="1712" priority="32">
      <formula>ABS(N$25-N$28)&gt;=1000</formula>
    </cfRule>
  </conditionalFormatting>
  <conditionalFormatting sqref="O22:O29">
    <cfRule type="expression" dxfId="1711" priority="31">
      <formula>ABS(O$25-O$28)&gt;=1000</formula>
    </cfRule>
  </conditionalFormatting>
  <conditionalFormatting sqref="P22:P29">
    <cfRule type="expression" dxfId="1710" priority="30">
      <formula>ABS(P$25-P$28)&gt;=1000</formula>
    </cfRule>
  </conditionalFormatting>
  <conditionalFormatting sqref="Q22:Q29">
    <cfRule type="expression" dxfId="1709" priority="29">
      <formula>ABS(Q$25-Q$28)&gt;=1000</formula>
    </cfRule>
  </conditionalFormatting>
  <conditionalFormatting sqref="R22:R29">
    <cfRule type="expression" dxfId="1708" priority="28">
      <formula>ABS(R$25-R$28)&gt;=1000</formula>
    </cfRule>
  </conditionalFormatting>
  <conditionalFormatting sqref="S22:S29">
    <cfRule type="expression" dxfId="1707" priority="27">
      <formula>ABS(S$25-S$28)&gt;=1000</formula>
    </cfRule>
  </conditionalFormatting>
  <conditionalFormatting sqref="T22:T29">
    <cfRule type="expression" dxfId="1706" priority="26">
      <formula>ABS(T$25-T$28)&gt;=1000</formula>
    </cfRule>
  </conditionalFormatting>
  <conditionalFormatting sqref="U22:U29">
    <cfRule type="expression" dxfId="1705" priority="25">
      <formula>ABS(U$25-U$28)&gt;=1000</formula>
    </cfRule>
  </conditionalFormatting>
  <conditionalFormatting sqref="V22:V29">
    <cfRule type="expression" dxfId="1704" priority="24">
      <formula>ABS(V$25-V$28)&gt;=1000</formula>
    </cfRule>
  </conditionalFormatting>
  <conditionalFormatting sqref="W22:W29">
    <cfRule type="expression" dxfId="1703" priority="23">
      <formula>ABS(W$25-W$28)&gt;=1000</formula>
    </cfRule>
  </conditionalFormatting>
  <conditionalFormatting sqref="X22:X29">
    <cfRule type="expression" dxfId="1702" priority="22">
      <formula>ABS(X$25-X$28)&gt;=1000</formula>
    </cfRule>
  </conditionalFormatting>
  <conditionalFormatting sqref="Y22:Y29">
    <cfRule type="expression" dxfId="1701" priority="21">
      <formula>ABS(Y$25-Y$28)&gt;=1000</formula>
    </cfRule>
  </conditionalFormatting>
  <conditionalFormatting sqref="I23">
    <cfRule type="expression" dxfId="1700" priority="20">
      <formula>ABS(I$25-I$28)&gt;=1000</formula>
    </cfRule>
  </conditionalFormatting>
  <conditionalFormatting sqref="F14">
    <cfRule type="expression" dxfId="1699" priority="19">
      <formula>ABS(F$16-F$19)&gt;=1000</formula>
    </cfRule>
  </conditionalFormatting>
  <conditionalFormatting sqref="Q14">
    <cfRule type="expression" dxfId="1698" priority="18">
      <formula>ABS(Q$16-Q$19)&gt;=1000</formula>
    </cfRule>
  </conditionalFormatting>
  <conditionalFormatting sqref="W14">
    <cfRule type="expression" dxfId="1697" priority="17">
      <formula>ABS(W$16-W$19)&gt;=1000</formula>
    </cfRule>
  </conditionalFormatting>
  <conditionalFormatting sqref="Y14">
    <cfRule type="expression" dxfId="1696" priority="16">
      <formula>ABS(Y$16-Y$19)&gt;=1000</formula>
    </cfRule>
  </conditionalFormatting>
  <conditionalFormatting sqref="X14">
    <cfRule type="expression" dxfId="1695" priority="15">
      <formula>ABS(X$16-X$19)&gt;=1000</formula>
    </cfRule>
  </conditionalFormatting>
  <conditionalFormatting sqref="T10:Y10">
    <cfRule type="expression" dxfId="1694" priority="14">
      <formula>ABS(T$7-T$10)&gt;=1000</formula>
    </cfRule>
  </conditionalFormatting>
  <conditionalFormatting sqref="W19">
    <cfRule type="expression" dxfId="1693" priority="13">
      <formula>ABS(W$16-W$19)&gt;=1000</formula>
    </cfRule>
  </conditionalFormatting>
  <conditionalFormatting sqref="AC5">
    <cfRule type="expression" dxfId="1692" priority="12">
      <formula>ABS(AC$7-AC$10)&gt;=1000</formula>
    </cfRule>
  </conditionalFormatting>
  <conditionalFormatting sqref="M14">
    <cfRule type="expression" dxfId="1691" priority="11">
      <formula>ABS(M$16-M$19)&gt;=1000</formula>
    </cfRule>
  </conditionalFormatting>
  <conditionalFormatting sqref="M16">
    <cfRule type="expression" dxfId="1690" priority="10">
      <formula>ABS(M$16-M$19)&gt;=1000</formula>
    </cfRule>
  </conditionalFormatting>
  <conditionalFormatting sqref="M19">
    <cfRule type="expression" dxfId="1689" priority="9">
      <formula>ABS(M$16-M$19)&gt;=1000</formula>
    </cfRule>
  </conditionalFormatting>
  <conditionalFormatting sqref="K13:K20">
    <cfRule type="expression" dxfId="1688" priority="8">
      <formula>ABS(K$16-K$19)&gt;=1000</formula>
    </cfRule>
  </conditionalFormatting>
  <conditionalFormatting sqref="E5">
    <cfRule type="expression" dxfId="1687" priority="7">
      <formula>ABS(E$7-E$10)&gt;=1000</formula>
    </cfRule>
  </conditionalFormatting>
  <conditionalFormatting sqref="AB14:AC14">
    <cfRule type="expression" dxfId="1686" priority="6">
      <formula>ABS(AB$16-AB$19)&gt;=1000</formula>
    </cfRule>
  </conditionalFormatting>
  <conditionalFormatting sqref="M5">
    <cfRule type="expression" dxfId="1685" priority="5">
      <formula>ABS(M$7-M$10)&gt;=1000</formula>
    </cfRule>
  </conditionalFormatting>
  <conditionalFormatting sqref="N5">
    <cfRule type="expression" dxfId="1684" priority="4">
      <formula>ABS(N$7-N$10)&gt;=1000</formula>
    </cfRule>
  </conditionalFormatting>
  <conditionalFormatting sqref="O5">
    <cfRule type="expression" dxfId="1683" priority="3">
      <formula>ABS(O$7-O$10)&gt;=1000</formula>
    </cfRule>
  </conditionalFormatting>
  <conditionalFormatting sqref="P5">
    <cfRule type="expression" dxfId="1682" priority="2">
      <formula>ABS(P$7-P$10)&gt;=1000</formula>
    </cfRule>
  </conditionalFormatting>
  <conditionalFormatting sqref="L23">
    <cfRule type="expression" dxfId="1681" priority="1">
      <formula>ABS(L$25-L$28)&gt;=1000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5590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345782</xdr:rowOff>
                  </from>
                  <to>
                    <xdr:col>32</xdr:col>
                    <xdr:colOff>414938</xdr:colOff>
                    <xdr:row>3</xdr:row>
                    <xdr:rowOff>30736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79">
    <pageSetUpPr fitToPage="1"/>
  </sheetPr>
  <dimension ref="A1:CU223"/>
  <sheetViews>
    <sheetView view="pageBreakPreview" topLeftCell="A4" zoomScale="80" zoomScaleNormal="100" zoomScaleSheetLayoutView="80" workbookViewId="0">
      <selection activeCell="AD9" sqref="AD9"/>
    </sheetView>
  </sheetViews>
  <sheetFormatPr defaultColWidth="8.109375" defaultRowHeight="26.05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0.9" ph="1">
      <c r="A1" s="64"/>
      <c r="B1" s="238" t="s" ph="1">
        <v>162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.05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.05" customHeight="1" ph="1">
      <c r="B3" s="240" ph="1">
        <v>45853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" customHeight="1" ph="1">
      <c r="A5" s="65" ph="1"/>
      <c r="B5" s="219" ph="1"/>
      <c r="C5" s="67" t="s" ph="1">
        <v>36</v>
      </c>
      <c r="D5" s="70" t="s" ph="1">
        <v>161</v>
      </c>
      <c r="E5" s="70" t="s" ph="1">
        <v>640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47" t="s" ph="1">
        <v>178</v>
      </c>
      <c r="D6" s="71">
        <v>4777</v>
      </c>
      <c r="E6" s="71">
        <v>8100</v>
      </c>
      <c r="F6" s="71">
        <v>6817</v>
      </c>
      <c r="G6" s="71">
        <v>3356</v>
      </c>
      <c r="H6" s="71">
        <v>4291</v>
      </c>
      <c r="I6" s="71">
        <v>51.76</v>
      </c>
      <c r="J6" s="71">
        <v>7.85</v>
      </c>
      <c r="K6" s="71">
        <v>7.02</v>
      </c>
      <c r="L6" s="71">
        <v>22.34</v>
      </c>
      <c r="M6" s="71">
        <v>4748</v>
      </c>
      <c r="N6" s="71">
        <v>2128</v>
      </c>
      <c r="O6" s="71">
        <v>994</v>
      </c>
      <c r="P6" s="71">
        <v>4877</v>
      </c>
      <c r="Q6" s="71">
        <v>0</v>
      </c>
      <c r="R6" s="71">
        <v>0</v>
      </c>
      <c r="S6" s="71">
        <v>0</v>
      </c>
      <c r="T6" s="71">
        <v>6900</v>
      </c>
      <c r="U6" s="71">
        <v>6800</v>
      </c>
      <c r="V6" s="71">
        <v>4951</v>
      </c>
      <c r="W6" s="71">
        <v>1800</v>
      </c>
      <c r="X6" s="71">
        <v>1633</v>
      </c>
      <c r="Y6" s="71">
        <v>0</v>
      </c>
      <c r="Z6" s="71">
        <v>5529</v>
      </c>
      <c r="AA6" s="71">
        <v>556</v>
      </c>
      <c r="AB6" s="71">
        <v>2222</v>
      </c>
      <c r="AC6" s="71">
        <v>3030</v>
      </c>
      <c r="AD6" s="71">
        <v>4377</v>
      </c>
      <c r="AE6" s="71">
        <v>3108</v>
      </c>
    </row>
    <row r="7" spans="1:99" s="72" customFormat="1" ht="22.4" ph="1">
      <c r="B7" s="237" ph="1"/>
      <c r="C7" s="68" t="s" ph="1">
        <v>179</v>
      </c>
      <c r="D7" s="73" ph="1">
        <f>D6*33.183*LOOKUP(D8,密度!$A$2:$A$50,密度!$Q$2:$Q$50)</f>
        <v>149736.61972242</v>
      </c>
      <c r="E7" s="73" ph="1">
        <f>E6*51.53*LOOKUP(E8,密度!$A$2:$A$50,密度!$B$2:$B$50)</f>
        <v>325023.92909999995</v>
      </c>
      <c r="F7" s="73" ph="1">
        <f>F6*33.183*LOOKUP(F8,密度!$A$2:$A$50,密度!$C$2:$C$50)</f>
        <v>250661.65103910002</v>
      </c>
      <c r="G7" s="73" ph="1">
        <f xml:space="preserve"> (G6+2)*51.53*LOOKUP(G8,密度!$A$2:$A$50,密度!$B$2:$B$50)</f>
        <v>134606.05794599999</v>
      </c>
      <c r="H7" s="73" ph="1">
        <f>(H6)*51.53*LOOKUP(H8,密度!$A$2:$A$50,密度!$B$2:$B$50)</f>
        <v>172779.440722</v>
      </c>
      <c r="I7" s="73" ph="1">
        <f>I6*290.8*1.0267</f>
        <v>15453.691273599999</v>
      </c>
      <c r="J7" s="73" ph="1">
        <f>J6*290.8*0.7892</f>
        <v>1801.5699760000002</v>
      </c>
      <c r="K7" s="73" ph="1">
        <f>K6*290.8*1.1126</f>
        <v>2271.2794416000002</v>
      </c>
      <c r="L7" s="73" ph="1">
        <f>L6*290.8*0.777</f>
        <v>5047.7587440000007</v>
      </c>
      <c r="M7" s="73" ph="1">
        <f>M6*33.183*LOOKUP(M8,密度!$A$2:$A$50,密度!$D$2:$D$50)</f>
        <v>161617.74840720001</v>
      </c>
      <c r="N7" s="73" ph="1">
        <f>N6*33.183*LOOKUP(N8,密度!$A$2:$A$50,密度!$E$2:$E$50)</f>
        <v>55149.084144</v>
      </c>
      <c r="O7" s="73" ph="1">
        <f>O6*20.428*LOOKUP(O8,密度!$A$2:$A$50,密度!$C$2:$C$50)</f>
        <v>22469.991051200002</v>
      </c>
      <c r="P7" s="73" ph="1">
        <f>P6*51.53*LOOKUP(P8,密度!$A$2:$A$50,密度!$B$2:$B$50)</f>
        <v>195922.687076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45798.166259999991</v>
      </c>
      <c r="U7" s="73" ph="1">
        <f>U6*1.5*1.5*3.1416*LOOKUP(U8,密度!$A$2:$A$50,密度!$L$2:$L$50)</f>
        <v>44942.158799999997</v>
      </c>
      <c r="V7" s="73" ph="1">
        <f>V6*1.5*1.5*3.1416*LOOKUP(V8,密度!$A$2:$A$50,密度!$L$2:$L$50)</f>
        <v>32756.853729599999</v>
      </c>
      <c r="W7" s="73" ph="1">
        <f>W6*1.5*1.5*3.1416*LOOKUP(W8,密度!$A$2:$A$50,密度!$L$2:$L$50)</f>
        <v>11896.453800000001</v>
      </c>
      <c r="X7" s="73" ph="1">
        <f>X6*1.5*1.5*3.1416*LOOKUP(X8,密度!$A$2:$A$50,密度!$L$2:$L$50)</f>
        <v>10873.528419599999</v>
      </c>
      <c r="Y7" s="73" ph="1">
        <f>Y6*1.5*1.5*3.1416*LOOKUP(Y8,密度!$A$2:$A$50,密度!$L$2:$L$50)</f>
        <v>0</v>
      </c>
      <c r="Z7" s="73" ph="1">
        <f>Z6*33.183*LOOKUP(Z8,密度!$A$2:$A$50,密度!$L$2:$L$50)</f>
        <v>172277.20977299998</v>
      </c>
      <c r="AA7" s="73" ph="1">
        <f>AA6*33.183*LOOKUP(AA8,密度!$A$2:$A$50,密度!$D$2:$D$50)</f>
        <v>18942.356271599998</v>
      </c>
      <c r="AB7" s="73" ph="1">
        <f>AB6*20.428*LOOKUP(AB8,密度!$A$2:$A$50,密度!$D$2:$D$50)</f>
        <v>46775.441987999999</v>
      </c>
      <c r="AC7" s="73" ph="1">
        <f>AC6*51.53*LOOKUP(AC8,密度!$A$2:$A$50,密度!$Q$2:$Q$50)</f>
        <v>148048.06038000001</v>
      </c>
      <c r="AD7" s="73" ph="1">
        <f>AD6*20.428*LOOKUP(AD8,密度!$A$2:$A$50,密度!$V$2:$V$50)</f>
        <v>85908.352444799995</v>
      </c>
      <c r="AE7" s="73" ph="1">
        <f>AE6*20.428</f>
        <v>63490.224000000002</v>
      </c>
    </row>
    <row r="8" spans="1:99" ph="1">
      <c r="B8" s="237" ph="1"/>
      <c r="C8" s="68" t="s" ph="1">
        <v>180</v>
      </c>
      <c r="D8" s="74">
        <v>28</v>
      </c>
      <c r="E8" s="74">
        <v>26</v>
      </c>
      <c r="F8" s="74">
        <v>26</v>
      </c>
      <c r="G8" s="74">
        <v>27</v>
      </c>
      <c r="H8" s="74">
        <v>23</v>
      </c>
      <c r="I8" s="74">
        <v>25</v>
      </c>
      <c r="J8" s="74">
        <v>25</v>
      </c>
      <c r="K8" s="74">
        <v>25</v>
      </c>
      <c r="L8" s="74">
        <v>25</v>
      </c>
      <c r="M8" s="74">
        <v>26</v>
      </c>
      <c r="N8" s="74">
        <v>27</v>
      </c>
      <c r="O8" s="74">
        <v>28</v>
      </c>
      <c r="P8" s="74">
        <v>25</v>
      </c>
      <c r="Q8" s="74">
        <v>25</v>
      </c>
      <c r="R8" s="74">
        <v>30</v>
      </c>
      <c r="S8" s="74">
        <v>21</v>
      </c>
      <c r="T8" s="74">
        <v>23</v>
      </c>
      <c r="U8" s="74">
        <v>27</v>
      </c>
      <c r="V8" s="74">
        <v>26</v>
      </c>
      <c r="W8" s="74">
        <v>27</v>
      </c>
      <c r="X8" s="74">
        <v>20</v>
      </c>
      <c r="Y8" s="74">
        <v>24</v>
      </c>
      <c r="Z8" s="74">
        <v>23</v>
      </c>
      <c r="AA8" s="74">
        <v>25</v>
      </c>
      <c r="AB8" s="74">
        <v>21</v>
      </c>
      <c r="AC8" s="74">
        <v>23</v>
      </c>
      <c r="AD8" s="74">
        <v>24</v>
      </c>
      <c r="AE8" s="74">
        <v>2</v>
      </c>
    </row>
    <row r="9" spans="1:99" ht="26.65" ph="1">
      <c r="B9" s="237" ph="1">
        <v>0.66666666666666663</v>
      </c>
      <c r="C9" s="147" t="s" ph="1">
        <v>181</v>
      </c>
      <c r="D9" s="71">
        <v>4774</v>
      </c>
      <c r="E9" s="71">
        <v>8107</v>
      </c>
      <c r="F9" s="71">
        <v>6817</v>
      </c>
      <c r="G9" s="71">
        <v>3980</v>
      </c>
      <c r="H9" s="71">
        <v>4287</v>
      </c>
      <c r="I9" s="71">
        <v>51.62</v>
      </c>
      <c r="J9" s="71">
        <v>7.82</v>
      </c>
      <c r="K9" s="71">
        <v>7.11</v>
      </c>
      <c r="L9" s="71">
        <v>9.52</v>
      </c>
      <c r="M9" s="71">
        <v>4745</v>
      </c>
      <c r="N9" s="71">
        <v>1876</v>
      </c>
      <c r="O9" s="71">
        <v>65</v>
      </c>
      <c r="P9" s="71">
        <v>4898</v>
      </c>
      <c r="Q9" s="71">
        <v>0</v>
      </c>
      <c r="R9" s="71">
        <v>0</v>
      </c>
      <c r="S9" s="71">
        <v>0</v>
      </c>
      <c r="T9" s="71">
        <v>5033</v>
      </c>
      <c r="U9" s="71">
        <v>6800</v>
      </c>
      <c r="V9" s="71">
        <v>4950</v>
      </c>
      <c r="W9" s="71">
        <v>4200</v>
      </c>
      <c r="X9" s="71">
        <v>1634</v>
      </c>
      <c r="Y9" s="71">
        <v>0</v>
      </c>
      <c r="Z9" s="71">
        <v>5615</v>
      </c>
      <c r="AA9" s="71">
        <v>555</v>
      </c>
      <c r="AB9" s="71">
        <v>2220</v>
      </c>
      <c r="AC9" s="71">
        <v>3320</v>
      </c>
      <c r="AD9" s="71">
        <v>4352</v>
      </c>
      <c r="AE9" s="71">
        <v>3075</v>
      </c>
    </row>
    <row r="10" spans="1:99" s="72" customFormat="1" ht="22.4" ph="1">
      <c r="B10" s="237" ph="1"/>
      <c r="C10" s="147" t="s" ph="1">
        <v>179</v>
      </c>
      <c r="D10" s="73" ph="1">
        <f>D9*33.183*LOOKUP(D11,密度!$A$2:$A$50,密度!$Q$2:$Q$50)</f>
        <v>149642.58374604001</v>
      </c>
      <c r="E10" s="73" ph="1">
        <f>E9*51.53*LOOKUP(E11,密度!$A$2:$A$50,密度!$B$2:$B$50)</f>
        <v>323884.45136300003</v>
      </c>
      <c r="F10" s="73" ph="1">
        <f>F9*33.183*LOOKUP(F11,密度!$A$2:$A$50,密度!$C$2:$C$50)</f>
        <v>250322.3382726</v>
      </c>
      <c r="G10" s="73" ph="1">
        <f xml:space="preserve"> (G9+2)*51.53*LOOKUP(G11,密度!$A$2:$A$50,密度!$B$2:$B$50)</f>
        <v>159270.387452</v>
      </c>
      <c r="H10" s="73" ph="1">
        <f>(H9)*51.53*LOOKUP(H11,密度!$A$2:$A$50,密度!$B$2:$B$50)</f>
        <v>171845.19666900003</v>
      </c>
      <c r="I10" s="73" ph="1">
        <f>I9*290.8*1.0267</f>
        <v>15411.892263199999</v>
      </c>
      <c r="J10" s="73" ph="1">
        <f>J9*290.8*0.7892</f>
        <v>1794.6849952</v>
      </c>
      <c r="K10" s="73" ph="1">
        <f>K9*290.8*1.1126</f>
        <v>2300.3984088000002</v>
      </c>
      <c r="L10" s="73" ph="1">
        <f>L9*290.8*0.777</f>
        <v>2151.0592320000001</v>
      </c>
      <c r="M10" s="73" ph="1">
        <f>M9*33.183*LOOKUP(M11,密度!$A$2:$A$50,密度!$D$2:$D$50)</f>
        <v>160633.89236699999</v>
      </c>
      <c r="N10" s="73" ph="1">
        <f>N9*33.183*LOOKUP(N11,密度!$A$2:$A$50,密度!$E$2:$E$50)</f>
        <v>48475.093539599991</v>
      </c>
      <c r="O10" s="73" ph="1">
        <f>O9*20.428*LOOKUP(O11,密度!$A$2:$A$50,密度!$C$2:$C$50)</f>
        <v>1460.4692180000004</v>
      </c>
      <c r="P10" s="73" ph="1">
        <f>P9*51.53*LOOKUP(P11,密度!$A$2:$A$50,密度!$B$2:$B$50)</f>
        <v>195453.86713599999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33334.959180600003</v>
      </c>
      <c r="U10" s="73" ph="1">
        <f>U9*1.5*1.5*3.1416*LOOKUP(U11,密度!$A$2:$A$50,密度!$L$2:$L$50)</f>
        <v>44894.092319999996</v>
      </c>
      <c r="V10" s="73" ph="1">
        <f>V9*1.5*1.5*3.1416*LOOKUP(V11,密度!$A$2:$A$50,密度!$L$2:$L$50)</f>
        <v>32680.258380000003</v>
      </c>
      <c r="W10" s="73" ph="1">
        <f>W9*1.5*1.5*3.1416*LOOKUP(W11,密度!$A$2:$A$50,密度!$L$2:$L$50)</f>
        <v>27758.392200000002</v>
      </c>
      <c r="X10" s="73" ph="1">
        <f>X9*1.5*1.5*3.1416*LOOKUP(X11,密度!$A$2:$A$50,密度!$L$2:$L$50)</f>
        <v>10845.536763599999</v>
      </c>
      <c r="Y10" s="73" ph="1">
        <f>Y9*1.5*1.5*3.1416*LOOKUP(Y11,密度!$A$2:$A$50,密度!$L$2:$L$50)</f>
        <v>0</v>
      </c>
      <c r="Z10" s="73" ph="1">
        <f>Z9*33.183*LOOKUP(Z11,密度!$A$2:$A$50,密度!$L$2:$L$50)</f>
        <v>174025.25703000001</v>
      </c>
      <c r="AA10" s="73" ph="1">
        <f>AA9*33.183*LOOKUP(AA11,密度!$A$2:$A$50,密度!$D$2:$D$50)</f>
        <v>18773.846361</v>
      </c>
      <c r="AB10" s="73" ph="1">
        <f>AB9*20.428*LOOKUP(AB11,密度!$A$2:$A$50,密度!$D$2:$D$50)</f>
        <v>46647.174576000005</v>
      </c>
      <c r="AC10" s="73" ph="1">
        <f>AC9*51.53*LOOKUP(AC11,密度!$A$2:$A$50,密度!$Q$2:$Q$50)</f>
        <v>161384.51906799999</v>
      </c>
      <c r="AD10" s="73" ph="1">
        <f>AD9*20.428*LOOKUP(AD11,密度!$A$2:$A$50,密度!$V$2:$V$50)</f>
        <v>85133.183385600001</v>
      </c>
      <c r="AE10" s="73" ph="1">
        <f>AE9*20.428</f>
        <v>62816.100000000006</v>
      </c>
    </row>
    <row r="11" spans="1:99" ph="1">
      <c r="A11" s="64" t="s" ph="1">
        <v>163</v>
      </c>
      <c r="B11" s="237" ph="1"/>
      <c r="C11" s="147" t="s" ph="1">
        <v>180</v>
      </c>
      <c r="D11" s="74">
        <v>28</v>
      </c>
      <c r="E11" s="74">
        <v>30</v>
      </c>
      <c r="F11" s="74">
        <v>28</v>
      </c>
      <c r="G11" s="74">
        <v>29</v>
      </c>
      <c r="H11" s="74">
        <v>27</v>
      </c>
      <c r="I11" s="74">
        <v>25</v>
      </c>
      <c r="J11" s="74">
        <v>25</v>
      </c>
      <c r="K11" s="74">
        <v>25</v>
      </c>
      <c r="L11" s="74">
        <v>25</v>
      </c>
      <c r="M11" s="74">
        <v>32</v>
      </c>
      <c r="N11" s="74">
        <v>29</v>
      </c>
      <c r="O11" s="74">
        <v>35</v>
      </c>
      <c r="P11" s="74">
        <v>31</v>
      </c>
      <c r="Q11" s="74">
        <v>30</v>
      </c>
      <c r="R11" s="74">
        <v>37</v>
      </c>
      <c r="S11" s="74">
        <v>28</v>
      </c>
      <c r="T11" s="74">
        <v>25</v>
      </c>
      <c r="U11" s="74">
        <v>28</v>
      </c>
      <c r="V11" s="74">
        <v>28</v>
      </c>
      <c r="W11" s="74">
        <v>27</v>
      </c>
      <c r="X11" s="74">
        <v>23</v>
      </c>
      <c r="Y11" s="74">
        <v>32</v>
      </c>
      <c r="Z11" s="74">
        <v>28</v>
      </c>
      <c r="AA11" s="74">
        <v>33</v>
      </c>
      <c r="AB11" s="74">
        <v>23</v>
      </c>
      <c r="AC11" s="74">
        <v>30</v>
      </c>
      <c r="AD11" s="74">
        <v>28</v>
      </c>
      <c r="AE11" s="74">
        <v>32</v>
      </c>
    </row>
    <row r="12" spans="1:99" ht="9.85" customHeight="1" ph="1"/>
    <row r="13" spans="1:99" s="72" customFormat="1" ht="29.2" customHeight="1" ph="1">
      <c r="B13" s="214" t="s" ph="1">
        <v>37</v>
      </c>
      <c r="C13" s="147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.2" ph="1">
      <c r="B14" s="215" ph="1"/>
      <c r="C14" s="67" t="s" ph="1">
        <v>36</v>
      </c>
      <c r="D14" s="77" t="s" ph="1">
        <v>622</v>
      </c>
      <c r="E14" s="77" t="s" ph="1">
        <v>622</v>
      </c>
      <c r="F14" s="77" t="s" ph="1">
        <v>645</v>
      </c>
      <c r="G14" s="77" t="s" ph="1">
        <v>623</v>
      </c>
      <c r="H14" s="77" t="s" ph="1">
        <v>624</v>
      </c>
      <c r="I14" s="140" t="s" ph="1">
        <v>625</v>
      </c>
      <c r="J14" s="77" t="s" ph="1">
        <v>626</v>
      </c>
      <c r="K14" s="77" t="s" ph="1">
        <v>187</v>
      </c>
      <c r="L14" s="77" t="s" ph="1">
        <v>41</v>
      </c>
      <c r="M14" s="104" t="s" ph="1">
        <v>627</v>
      </c>
      <c r="N14" s="104" t="s" ph="1">
        <v>628</v>
      </c>
      <c r="O14" s="104" t="s" ph="1">
        <v>626</v>
      </c>
      <c r="P14" s="77" t="s" ph="1">
        <v>629</v>
      </c>
      <c r="Q14" s="77" t="s" ph="1">
        <v>629</v>
      </c>
      <c r="R14" s="88" t="s" ph="1">
        <v>640</v>
      </c>
      <c r="S14" s="77" t="s" ph="1">
        <v>71</v>
      </c>
      <c r="T14" s="77" t="s" ph="1">
        <v>631</v>
      </c>
      <c r="U14" s="77" t="s" ph="1">
        <v>610</v>
      </c>
      <c r="V14" s="77" t="s" ph="1">
        <v>110</v>
      </c>
      <c r="W14" s="77" t="s" ph="1">
        <v>629</v>
      </c>
      <c r="X14" s="77" t="s" ph="1">
        <v>632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16" ph="1">
        <v>0.33333333333333331</v>
      </c>
      <c r="C15" s="147" t="s" ph="1">
        <v>178</v>
      </c>
      <c r="D15" s="78">
        <v>4094</v>
      </c>
      <c r="E15" s="78">
        <v>5753</v>
      </c>
      <c r="F15" s="78">
        <v>3647</v>
      </c>
      <c r="G15" s="78">
        <v>4213</v>
      </c>
      <c r="H15" s="78">
        <v>4385</v>
      </c>
      <c r="I15" s="78">
        <v>2592</v>
      </c>
      <c r="J15" s="78">
        <v>2002</v>
      </c>
      <c r="K15" s="78">
        <v>2579</v>
      </c>
      <c r="L15" s="78">
        <v>4781</v>
      </c>
      <c r="M15" s="78">
        <v>6696</v>
      </c>
      <c r="N15" s="78">
        <v>5034</v>
      </c>
      <c r="O15" s="78">
        <v>6129</v>
      </c>
      <c r="P15" s="78">
        <v>2084</v>
      </c>
      <c r="Q15" s="78">
        <v>3411</v>
      </c>
      <c r="R15" s="78">
        <v>161</v>
      </c>
      <c r="S15" s="78">
        <v>5702</v>
      </c>
      <c r="T15" s="78">
        <v>1269</v>
      </c>
      <c r="U15" s="78">
        <v>6833</v>
      </c>
      <c r="V15" s="78">
        <v>-141</v>
      </c>
      <c r="W15" s="71">
        <v>-28</v>
      </c>
      <c r="X15" s="78">
        <v>-86</v>
      </c>
      <c r="Y15" s="106">
        <v>-9905</v>
      </c>
      <c r="Z15" s="78">
        <v>0</v>
      </c>
      <c r="AA15" s="78">
        <v>3525</v>
      </c>
      <c r="AB15" s="78" ph="1">
        <v>12</v>
      </c>
      <c r="AC15" s="78" ph="1">
        <v>4791</v>
      </c>
      <c r="AD15" s="78">
        <v>5.23</v>
      </c>
      <c r="AE15" s="78">
        <v>23.46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4" ph="1">
      <c r="B16" s="217" ph="1"/>
      <c r="C16" s="147" t="s" ph="1">
        <v>179</v>
      </c>
      <c r="D16" s="73" ph="1">
        <f>D15*7.0686*LOOKUP(D17,密度!$A$2:$A$50,密度!$L$2:$L$50)</f>
        <v>27028.884405600002</v>
      </c>
      <c r="E16" s="73" ph="1">
        <f>E15*7.0686*LOOKUP(E17,密度!$A$2:$A$50,密度!$L$2:$L$50)</f>
        <v>37981.722517200003</v>
      </c>
      <c r="F16" s="73" ph="1">
        <f>F15*9.0746*LOOKUP(F17,密度!$A$2:$A$50,密度!$L$2:$L$50)</f>
        <v>30877.696764600001</v>
      </c>
      <c r="G16" s="73" ph="1">
        <f>G15*9.0746*LOOKUP(G17,密度!$A$2:$A$50,密度!$B$2:$B$50)</f>
        <v>29770.705367259998</v>
      </c>
      <c r="H16" s="73" ph="1">
        <f>H15*9.0746*LOOKUP(H17,密度!$A$2:$A$50,密度!$L$2:$L$50)</f>
        <v>37245.425256000002</v>
      </c>
      <c r="I16" s="73" ph="1">
        <f>I15*9.0746*LOOKUP(I17,密度!$A$2:$A$50,密度!$U$2:$U$50)</f>
        <v>24132.918643199999</v>
      </c>
      <c r="J16" s="73" ph="1">
        <f>J15*9.0746*LOOKUP(J17,密度!$A$2:$A$50,密度!$L$2:$L$50)</f>
        <v>16986.471502</v>
      </c>
      <c r="K16" s="73" ph="1">
        <f>K15*9.0746*LOOKUP(K17,密度!$A$2:$A$50,密度!$C$2:$C$50)</f>
        <v>25952.022941260002</v>
      </c>
      <c r="L16" s="73" ph="1">
        <f>L15*9.0746*LOOKUP(L17,密度!$A$2:$A$50,密度!$E$2:$E$50)</f>
        <v>33884.202490600001</v>
      </c>
      <c r="M16" s="73" ph="1">
        <f>M15*9.0746*LOOKUP(M17,密度!$A$2:$A$50,密度!$M$2:$M$50)</f>
        <v>52925.027313600003</v>
      </c>
      <c r="N16" s="73" ph="1">
        <f>N15*9.0746*LOOKUP(N17,密度!$A$2:$A$50,密度!$M$2:$M$50)</f>
        <v>39930.230967240001</v>
      </c>
      <c r="O16" s="73" ph="1">
        <f>O15*9.0746*LOOKUP(O17,密度!$A$2:$A$50,密度!$G$2:$G$50)</f>
        <v>53282.258017200002</v>
      </c>
      <c r="P16" s="73" ph="1">
        <f ca="1">P15*9.0746*LOOKUP(P17,密度!$A$2:$A$51,密度!$Q$2:$Q$50)</f>
        <v>17877.387417248003</v>
      </c>
      <c r="Q16" s="73" ph="1">
        <f>Q15*9.0746*LOOKUP(Q17,密度!$A$2:$A$50,密度!$Q$2:$Q$50)</f>
        <v>29239.257951972002</v>
      </c>
      <c r="R16" s="73" ph="1">
        <f>MAX(R15*9.0746*LOOKUP(R17,密度!$A$2:$A$50,密度!$B$2:$B$50),0)</f>
        <v>1137.6889542199999</v>
      </c>
      <c r="S16" s="73" ph="1">
        <f>S15*9.0746*LOOKUP(S17,密度!$A$2:$A$50,密度!$Q$2:$Q$50)</f>
        <v>48877.821413704005</v>
      </c>
      <c r="T16" s="73" ph="1">
        <f>T15*9.0746*LOOKUP(T17,密度!$A$2:$A$50,密度!$O$2:$O$50)</f>
        <v>10663.508012400001</v>
      </c>
      <c r="U16" s="73" ph="1">
        <f>U15*9.0746*LOOKUP(U17,密度!$A$2:$A$50,密度!$H$2:$H$50)</f>
        <v>56717.566724459997</v>
      </c>
      <c r="V16" s="73" ph="1">
        <f>MAX(5600*LOOKUP(V17,密度!$A$2:$A$50,密度!$Q$2:$Q$50)+V15*9.0476*LOOKUP(V17,密度!$A$2:$A$50,密度!$Q$2:$Q$50),0)</f>
        <v>4093.9767998160005</v>
      </c>
      <c r="W16" s="73" ph="1">
        <f>MAX(5600*LOOKUP(W17,密度!$A$2:$A$50,密度!$Q$2:$Q$50)+W15*9.0476*LOOKUP(W17,密度!$A$2:$A$50,密度!$Q$2:$Q$50),0)</f>
        <v>5054.3114375040004</v>
      </c>
      <c r="X16" s="73" ph="1">
        <f>MAX(5600*LOOKUP(X17,密度!$A$2:$A$50,密度!$I$2:$I$50)+X15*9.0476*LOOKUP(X17,密度!$A$2:$A$50,密度!$I$2:$I$50),0)</f>
        <v>5009.4785589599996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24742.6909275</v>
      </c>
      <c r="AB16" s="73" ph="1">
        <f>AB15*9.0746*LOOKUP(AB17,密度!$A$2:$A$50,密度!$L$2:$L$50)</f>
        <v>102.0348024</v>
      </c>
      <c r="AC16" s="73" ph="1">
        <f>AC15*9.0746*LOOKUP(AC17,密度!$A$2:$A$50,密度!$L$2:$L$50)</f>
        <v>40433.059998000004</v>
      </c>
      <c r="AD16" s="73" ph="1">
        <f>AD15*268.68*LOOKUP(AD17,密度!$A$2:$A$50,密度!B2:B50)+IF(AD15&lt;=0,0,1566*LOOKUP(AD17,密度!$A$2:$A$50,密度!B2:B50))</f>
        <v>2316.3447134399999</v>
      </c>
      <c r="AE16" s="73" ph="1">
        <f>AE15*268.68*LOOKUP(AE17,密度!$A$2:$A$50,密度!B2:B50)+IF(AE15&lt;=0,0,1566*LOOKUP(AE17,密度!$A$2:$A$50,密度!B2:B50))</f>
        <v>6134.8538908800001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18" ph="1"/>
      <c r="C17" s="79" t="s" ph="1">
        <v>180</v>
      </c>
      <c r="D17" s="74">
        <v>28</v>
      </c>
      <c r="E17" s="74">
        <v>28</v>
      </c>
      <c r="F17" s="74">
        <v>29</v>
      </c>
      <c r="G17" s="74">
        <v>26</v>
      </c>
      <c r="H17" s="74">
        <v>26</v>
      </c>
      <c r="I17" s="74">
        <v>24</v>
      </c>
      <c r="J17" s="74">
        <v>27</v>
      </c>
      <c r="K17" s="74">
        <v>25</v>
      </c>
      <c r="L17" s="74">
        <v>27</v>
      </c>
      <c r="M17" s="74">
        <v>29</v>
      </c>
      <c r="N17" s="74">
        <v>26</v>
      </c>
      <c r="O17" s="74">
        <v>27</v>
      </c>
      <c r="P17" s="74">
        <v>27</v>
      </c>
      <c r="Q17" s="74">
        <v>28</v>
      </c>
      <c r="R17" s="74">
        <v>26</v>
      </c>
      <c r="S17" s="74">
        <v>28</v>
      </c>
      <c r="T17" s="74">
        <v>25</v>
      </c>
      <c r="U17" s="74">
        <v>25</v>
      </c>
      <c r="V17" s="74">
        <v>25</v>
      </c>
      <c r="W17" s="74">
        <v>27</v>
      </c>
      <c r="X17" s="74">
        <v>28</v>
      </c>
      <c r="Y17" s="108">
        <v>28</v>
      </c>
      <c r="Z17" s="74">
        <v>26</v>
      </c>
      <c r="AA17" s="74">
        <v>32</v>
      </c>
      <c r="AB17" s="74">
        <v>25</v>
      </c>
      <c r="AC17" s="74">
        <v>32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65" ph="1">
      <c r="B18" s="216" ph="1">
        <v>0.66666666666666663</v>
      </c>
      <c r="C18" s="79" t="s" ph="1">
        <v>181</v>
      </c>
      <c r="D18" s="71">
        <v>5071</v>
      </c>
      <c r="E18" s="71">
        <v>3076</v>
      </c>
      <c r="F18" s="71">
        <v>3641</v>
      </c>
      <c r="G18" s="71">
        <v>4337</v>
      </c>
      <c r="H18" s="71">
        <v>4382</v>
      </c>
      <c r="I18" s="71">
        <v>5154</v>
      </c>
      <c r="J18" s="71">
        <v>2005</v>
      </c>
      <c r="K18" s="71">
        <v>2578</v>
      </c>
      <c r="L18" s="71">
        <v>4780</v>
      </c>
      <c r="M18" s="71">
        <v>2507</v>
      </c>
      <c r="N18" s="71">
        <v>4596</v>
      </c>
      <c r="O18" s="71">
        <v>6128</v>
      </c>
      <c r="P18" s="71">
        <v>2083</v>
      </c>
      <c r="Q18" s="71">
        <v>3403</v>
      </c>
      <c r="R18" s="71">
        <v>155</v>
      </c>
      <c r="S18" s="71">
        <v>5703</v>
      </c>
      <c r="T18" s="71">
        <v>6536</v>
      </c>
      <c r="U18" s="71">
        <v>3125</v>
      </c>
      <c r="V18" s="71">
        <v>-141</v>
      </c>
      <c r="W18" s="71">
        <v>-28</v>
      </c>
      <c r="X18" s="71">
        <v>-92</v>
      </c>
      <c r="Y18" s="109">
        <v>-9905</v>
      </c>
      <c r="Z18" s="71">
        <v>0</v>
      </c>
      <c r="AA18" s="71">
        <v>4461</v>
      </c>
      <c r="AB18" s="71">
        <v>21</v>
      </c>
      <c r="AC18" s="71">
        <v>4786</v>
      </c>
      <c r="AD18" s="71">
        <v>5.22</v>
      </c>
      <c r="AE18" s="71">
        <v>59.53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4" ph="1">
      <c r="B19" s="217" ph="1"/>
      <c r="C19" s="147" t="s" ph="1">
        <v>179</v>
      </c>
      <c r="D19" s="73" ph="1">
        <f>D18*7.0686*LOOKUP(D20,密度!$A$2:$A$50,密度!$L$2:$L$50)</f>
        <v>33407.419399200007</v>
      </c>
      <c r="E19" s="73" ph="1">
        <f>E18*7.0686*LOOKUP(E20,密度!$A$2:$A$50,密度!$L$2:$L$50)</f>
        <v>20264.488675199998</v>
      </c>
      <c r="F19" s="73" ph="1">
        <f>F18*9.0746*LOOKUP(F20,密度!$A$2:$A$50,密度!$L$2:$L$50)</f>
        <v>30892.978391000004</v>
      </c>
      <c r="G19" s="73" ph="1">
        <f>G18*9.0746*LOOKUP(G20,密度!$A$2:$A$50,密度!$B$2:$B$50)</f>
        <v>30548.546503240002</v>
      </c>
      <c r="H19" s="73" ph="1">
        <f>H18*9.0746*LOOKUP(H20,密度!$A$2:$A$50,密度!$L$2:$L$50)</f>
        <v>37140.413984800005</v>
      </c>
      <c r="I19" s="73" ph="1">
        <f>I18*9.0746*LOOKUP(I20,密度!$A$2:$A$50,密度!$U$2:$U$50)</f>
        <v>47612.357191200004</v>
      </c>
      <c r="J19" s="73" ph="1">
        <f>J18*9.0746*LOOKUP(J20,密度!$A$2:$A$50,密度!$L$2:$L$50)</f>
        <v>16920.95289</v>
      </c>
      <c r="K19" s="73" ph="1">
        <f>K18*9.0746*LOOKUP(K20,密度!$A$2:$A$50,密度!$C$2:$C$50)</f>
        <v>25829.667387080004</v>
      </c>
      <c r="L19" s="73" ph="1">
        <f>L18*9.0746*LOOKUP(L20,密度!$A$2:$A$50,密度!$E$2:$E$50)</f>
        <v>33777.349075600003</v>
      </c>
      <c r="M19" s="73" ph="1">
        <f>M18*9.0746*LOOKUP(M20,密度!$A$2:$A$50,密度!$M$2:$M$50)</f>
        <v>19742.924265604001</v>
      </c>
      <c r="N19" s="73" ph="1">
        <f>N18*9.0746*LOOKUP(N20,密度!$A$2:$A$50,密度!$M$2:$M$50)</f>
        <v>36414.26086296</v>
      </c>
      <c r="O19" s="73" ph="1">
        <f>O18*9.0746*LOOKUP(O20,密度!$A$2:$A$50,密度!$G$2:$G$50)</f>
        <v>53090.054359360001</v>
      </c>
      <c r="P19" s="73" ph="1">
        <f ca="1">P18*9.0746*LOOKUP(P20,密度!$A$2:$A$51,密度!$Q$2:$Q$50)</f>
        <v>17831.193256694001</v>
      </c>
      <c r="Q19" s="73" ph="1">
        <f>Q18*9.0746*LOOKUP(Q20,密度!$A$2:$A$50,密度!$Q$2:$Q$50)</f>
        <v>29130.845248453999</v>
      </c>
      <c r="R19" s="73" ph="1">
        <f>MAX(R18*9.0746*LOOKUP(R20,密度!$A$2:$A$50,密度!$B$2:$B$50),0)</f>
        <v>1090.5082939000001</v>
      </c>
      <c r="S19" s="73" ph="1">
        <f>S18*9.0746*LOOKUP(S20,密度!$A$2:$A$50,密度!$Q$2:$Q$50)</f>
        <v>48819.632809854003</v>
      </c>
      <c r="T19" s="73" ph="1">
        <f>T18*9.0746*LOOKUP(T20,密度!$A$2:$A$50,密度!$O$2:$O$50)</f>
        <v>54922.528265599998</v>
      </c>
      <c r="U19" s="73" ph="1">
        <f>U18*9.0746*LOOKUP(U20,密度!$A$2:$A$50,密度!$H$2:$H$50)</f>
        <v>25834.251875000002</v>
      </c>
      <c r="V19" s="73" ph="1">
        <f>MAX(5600*LOOKUP(V20,密度!$A$2:$A$50,密度!$Q$2:$Q$50)+V18*9.0476*LOOKUP(V20,密度!$A$2:$A$50,密度!$Q$2:$Q$50),0)</f>
        <v>4073.0472439599998</v>
      </c>
      <c r="W19" s="73" ph="1">
        <f>MAX(5600*LOOKUP(W20,密度!$A$2:$A$50,密度!$Q$2:$Q$50)+W18*9.0476*LOOKUP(W20,密度!$A$2:$A$50,密度!$Q$2:$Q$50),0)</f>
        <v>5032.5505020000001</v>
      </c>
      <c r="X19" s="73" ph="1">
        <f>MAX(5600*LOOKUP(X20,密度!$A$2:$A$50,密度!$I$2:$I$50)+X18*9.0476*LOOKUP(X20,密度!$A$2:$A$50,密度!$I$2:$I$50),0)</f>
        <v>4931.6269555200006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31280.279596620003</v>
      </c>
      <c r="AB19" s="73" ph="1">
        <f>AB18*9.0746*LOOKUP(AB20,密度!$A$2:$A$50,密度!$L$2:$L$50)</f>
        <v>177.22693799999999</v>
      </c>
      <c r="AC19" s="73" ph="1">
        <f>AC18*9.0746*LOOKUP(AC20,密度!$A$2:$A$50,密度!$L$2:$L$50)</f>
        <v>40347.432072400006</v>
      </c>
      <c r="AD19" s="73" ph="1">
        <f>AD18*268.68*LOOKUP(AD20,密度!$A$2:$A$50,密度!B5:B53)+IF(AD18&lt;=0,0,1566*LOOKUP(AD20,密度!$A$2:$A$50,密度!B5:B53))</f>
        <v>2306.5319591999996</v>
      </c>
      <c r="AE19" s="73" ph="1">
        <f>AE18*268.68*LOOKUP(AE20,密度!$A$2:$A$50,密度!B5:B53)+IF(AE18&lt;=0,0,1566*LOOKUP(AE20,密度!$A$2:$A$50,密度!B5:B53))</f>
        <v>13644.5243508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17" ph="1"/>
      <c r="C20" s="80" t="s" ph="1">
        <v>180</v>
      </c>
      <c r="D20" s="81">
        <v>30</v>
      </c>
      <c r="E20" s="81">
        <v>30</v>
      </c>
      <c r="F20" s="81">
        <v>27</v>
      </c>
      <c r="G20" s="81">
        <v>29</v>
      </c>
      <c r="H20" s="81">
        <v>28</v>
      </c>
      <c r="I20" s="81">
        <v>32</v>
      </c>
      <c r="J20" s="81">
        <v>32</v>
      </c>
      <c r="K20" s="81">
        <v>31</v>
      </c>
      <c r="L20" s="81">
        <v>29</v>
      </c>
      <c r="M20" s="81">
        <v>32</v>
      </c>
      <c r="N20" s="81">
        <v>27</v>
      </c>
      <c r="O20" s="81">
        <v>30</v>
      </c>
      <c r="P20" s="81">
        <v>30</v>
      </c>
      <c r="Q20" s="81">
        <v>30</v>
      </c>
      <c r="R20" s="81">
        <v>30</v>
      </c>
      <c r="S20" s="81">
        <v>30</v>
      </c>
      <c r="T20" s="81">
        <v>28</v>
      </c>
      <c r="U20" s="81">
        <v>29</v>
      </c>
      <c r="V20" s="81">
        <v>32</v>
      </c>
      <c r="W20" s="81">
        <v>33</v>
      </c>
      <c r="X20" s="81">
        <v>32</v>
      </c>
      <c r="Y20" s="110">
        <v>32</v>
      </c>
      <c r="Z20" s="81">
        <v>32</v>
      </c>
      <c r="AA20" s="81">
        <v>33</v>
      </c>
      <c r="AB20" s="81">
        <v>32</v>
      </c>
      <c r="AC20" s="81">
        <v>33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15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633</v>
      </c>
      <c r="H23" s="88" t="s" ph="1">
        <v>633</v>
      </c>
      <c r="I23" s="88" t="s" ph="1">
        <v>634</v>
      </c>
      <c r="J23" s="88" t="s" ph="1">
        <v>635</v>
      </c>
      <c r="K23" s="88" t="s" ph="1">
        <v>635</v>
      </c>
      <c r="L23" s="88" t="s" ph="1">
        <v>635</v>
      </c>
      <c r="M23" s="88" t="s" ph="1">
        <v>630</v>
      </c>
      <c r="N23" s="88" t="s" ph="1">
        <v>630</v>
      </c>
      <c r="O23" s="88" t="s" ph="1">
        <v>321</v>
      </c>
      <c r="P23" s="88" t="s" ph="1">
        <v>637</v>
      </c>
      <c r="Q23" s="89" t="s" ph="1">
        <v>637</v>
      </c>
      <c r="R23" s="88" t="s" ph="1">
        <v>616</v>
      </c>
      <c r="S23" s="88" t="s" ph="1">
        <v>636</v>
      </c>
      <c r="T23" s="88" t="s" ph="1">
        <v>607</v>
      </c>
      <c r="U23" s="88" t="s" ph="1">
        <v>611</v>
      </c>
      <c r="V23" s="88" t="s" ph="1">
        <v>637</v>
      </c>
      <c r="W23" s="88" t="s" ph="1">
        <v>637</v>
      </c>
      <c r="X23" s="88" t="s" ph="1">
        <v>190</v>
      </c>
      <c r="Y23" s="88" t="s" ph="1">
        <v>638</v>
      </c>
      <c r="Z23" s="228" t="s" ph="1">
        <v>648</v>
      </c>
      <c r="AA23" s="229"/>
      <c r="AB23" s="229"/>
      <c r="AC23" s="229"/>
      <c r="AD23" s="229"/>
      <c r="AE23" s="230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37" ph="1">
        <v>0.33333333333333331</v>
      </c>
      <c r="C24" s="147" t="s" ph="1">
        <v>178</v>
      </c>
      <c r="D24" s="71">
        <v>85.81</v>
      </c>
      <c r="E24" s="71">
        <v>4.45</v>
      </c>
      <c r="F24" s="71">
        <v>2990</v>
      </c>
      <c r="G24" s="71">
        <v>2836</v>
      </c>
      <c r="H24" s="71">
        <v>3180</v>
      </c>
      <c r="I24" s="71">
        <v>2597</v>
      </c>
      <c r="J24" s="71">
        <v>905</v>
      </c>
      <c r="K24" s="71">
        <v>5508</v>
      </c>
      <c r="L24" s="71">
        <v>5609</v>
      </c>
      <c r="M24" s="71">
        <v>231</v>
      </c>
      <c r="N24" s="71">
        <v>5643</v>
      </c>
      <c r="O24" s="71">
        <v>5159</v>
      </c>
      <c r="P24" s="71">
        <v>997</v>
      </c>
      <c r="Q24" s="90">
        <v>2453</v>
      </c>
      <c r="R24" s="71">
        <v>70</v>
      </c>
      <c r="S24" s="71">
        <v>677</v>
      </c>
      <c r="T24" s="71">
        <v>1764</v>
      </c>
      <c r="U24" s="71">
        <v>6201</v>
      </c>
      <c r="V24" s="71">
        <v>9446</v>
      </c>
      <c r="W24" s="71">
        <v>10743</v>
      </c>
      <c r="X24" s="71">
        <v>5635</v>
      </c>
      <c r="Y24" s="71">
        <v>4614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37" ph="1"/>
      <c r="C25" s="68" t="s" ph="1">
        <v>179</v>
      </c>
      <c r="D25" s="91" ph="1">
        <f>D24*268.68*LOOKUP(D26,密度!$A$2:$A$50,密度!$Q$2:$Q$50)+IF(D24&lt;=0,0,1566*LOOKUP(D26,密度!$A$2:$A$50,密度!$Q$2:$Q$50))</f>
        <v>23310.093395592005</v>
      </c>
      <c r="E25" s="91" ph="1">
        <f>E24*268.68*LOOKUP(E26,密度!$A$2:$A$50,密度!$C$2:$C$50)+IF(E24&lt;=0,0,1566*LOOKUP(E26,密度!$A$2:$A$50,密度!$C$2:$C$50))</f>
        <v>3062.3670714</v>
      </c>
      <c r="F25" s="91" ph="1">
        <f>F24*11.702*LOOKUP(F26,密度!$A$2:$A$50,密度!$Q$2:$Q$50)</f>
        <v>33125.466925200002</v>
      </c>
      <c r="G25" s="91" ph="1">
        <f>G24*18.322*LOOKUP(G26,密度!$A$2:$A$50,密度!$B$2:$B$50)</f>
        <v>40508.945283199995</v>
      </c>
      <c r="H25" s="91" ph="1">
        <f>H24*18.322*LOOKUP(H26,密度!$A$2:$A$50,密度!$B$2:$B$50)</f>
        <v>45422.583215999999</v>
      </c>
      <c r="I25" s="91" ph="1">
        <f>I24*18.322*LOOKUP(I26,密度!$A$2:$A$50,密度!$Q$2:$Q$50)</f>
        <v>45014.22083102</v>
      </c>
      <c r="J25" s="91" ph="1">
        <f>J24*18.322*LOOKUP(J26,密度!$A$2:$A$50,密度!$Q$2:$Q$50)</f>
        <v>15686.511302300001</v>
      </c>
      <c r="K25" s="91" ph="1">
        <f>K24*18.322*LOOKUP(K26,密度!$A$2:$A$50,密度!$Q$2:$Q$50)</f>
        <v>95471.054423280002</v>
      </c>
      <c r="L25" s="91" ph="1">
        <f>L24*18.322*LOOKUP(L26,密度!$A$2:$A$50,密度!$Q$2:$Q$50)</f>
        <v>97294.669100519997</v>
      </c>
      <c r="M25" s="91" ph="1">
        <f>M24*18.322*LOOKUP(M26,密度!$A$2:$A$50,密度!$Q$2:$Q$50)</f>
        <v>4000.9553522399997</v>
      </c>
      <c r="N25" s="91" ph="1">
        <f>N24*18.322*LOOKUP(N26,密度!$A$2:$A$50,密度!$Q$2:$Q$50)</f>
        <v>97811.03124738</v>
      </c>
      <c r="O25" s="91" ph="1">
        <f>O24*18.322*LOOKUP(O26,密度!$A$2:$A$50,密度!$C$2:$C$50)</f>
        <v>104741.1557038</v>
      </c>
      <c r="P25" s="91" ph="1">
        <f>P24*11.702*LOOKUP(P26,密度!$A$2:$A$50,密度!$B$2:$B$50)</f>
        <v>9095.5105623999989</v>
      </c>
      <c r="Q25" s="92" ph="1">
        <f>Q24*18.322*LOOKUP(Q26,密度!$A$2:$A$50,密度!$B$2:$B$50)</f>
        <v>35038.237933599994</v>
      </c>
      <c r="R25" s="91" ph="1">
        <f>R24*35.891*LOOKUP(R26,密度!$A$2:$A$50,密度!$C$2:$C$50)</f>
        <v>2782.1985379999996</v>
      </c>
      <c r="S25" s="91" ph="1">
        <f>S24*35.891*LOOKUP(S26,密度!$A$2:$A$50,密度!$B$2:$B$50)</f>
        <v>18921.013790899997</v>
      </c>
      <c r="T25" s="91" ph="1">
        <f>T24*35.891*LOOKUP(T26,密度!$A$2:$A$50,密度!$Q$2:$Q$50)</f>
        <v>59894.79025572</v>
      </c>
      <c r="U25" s="91" ph="1">
        <f>U24*35.891</f>
        <v>222560.09099999999</v>
      </c>
      <c r="V25" s="91" ph="1">
        <f>V24*47.051*LOOKUP(V26,密度!$A$2:$A$50,密度!$B$2:$B$50)</f>
        <v>345732.79001340002</v>
      </c>
      <c r="W25" s="91" ph="1">
        <f>W24*47.051*LOOKUP(W26,密度!$A$2:$A$50,密度!$B$2:$B$50)</f>
        <v>393608.62697909999</v>
      </c>
      <c r="X25" s="91" ph="1">
        <f>X24*47.051*LOOKUP(X26,密度!$A$2:$A$50,密度!$I$2:$I$50)</f>
        <v>275446.03477650002</v>
      </c>
      <c r="Y25" s="91" ph="1">
        <f>Y24*47.051*LOOKUP(Y26,密度!$A$2:$A$50,密度!$L$2:$L$50)</f>
        <v>202982.24859000003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37" ph="1"/>
      <c r="C26" s="68" t="s" ph="1">
        <v>180</v>
      </c>
      <c r="D26" s="74">
        <v>25</v>
      </c>
      <c r="E26" s="74">
        <v>25</v>
      </c>
      <c r="F26" s="74">
        <v>25</v>
      </c>
      <c r="G26" s="74">
        <v>25</v>
      </c>
      <c r="H26" s="74">
        <v>25</v>
      </c>
      <c r="I26" s="74">
        <v>26</v>
      </c>
      <c r="J26" s="74">
        <v>26</v>
      </c>
      <c r="K26" s="74">
        <v>26</v>
      </c>
      <c r="L26" s="74">
        <v>25</v>
      </c>
      <c r="M26" s="74">
        <v>27</v>
      </c>
      <c r="N26" s="74">
        <v>26</v>
      </c>
      <c r="O26" s="74">
        <v>26</v>
      </c>
      <c r="P26" s="74">
        <v>25</v>
      </c>
      <c r="Q26" s="93">
        <v>25</v>
      </c>
      <c r="R26" s="74">
        <v>27</v>
      </c>
      <c r="S26" s="74">
        <v>26</v>
      </c>
      <c r="T26" s="74">
        <v>26</v>
      </c>
      <c r="U26" s="74">
        <v>27</v>
      </c>
      <c r="V26" s="74">
        <v>27</v>
      </c>
      <c r="W26" s="74">
        <v>26</v>
      </c>
      <c r="X26" s="74">
        <v>28</v>
      </c>
      <c r="Y26" s="74">
        <v>27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65" ph="1">
      <c r="A27" s="72" ph="1"/>
      <c r="B27" s="237" ph="1">
        <v>0.66666666666666663</v>
      </c>
      <c r="C27" s="147" t="s" ph="1">
        <v>181</v>
      </c>
      <c r="D27" s="71">
        <v>85.86</v>
      </c>
      <c r="E27" s="71">
        <v>4.45</v>
      </c>
      <c r="F27" s="71">
        <v>2164</v>
      </c>
      <c r="G27" s="71">
        <v>1735</v>
      </c>
      <c r="H27" s="71">
        <v>2608</v>
      </c>
      <c r="I27" s="71">
        <v>2595</v>
      </c>
      <c r="J27" s="71">
        <v>897</v>
      </c>
      <c r="K27" s="71">
        <v>5506</v>
      </c>
      <c r="L27" s="71">
        <v>5603</v>
      </c>
      <c r="M27" s="71">
        <v>1067</v>
      </c>
      <c r="N27" s="71">
        <v>5640</v>
      </c>
      <c r="O27" s="71">
        <v>5155</v>
      </c>
      <c r="P27" s="71">
        <v>994</v>
      </c>
      <c r="Q27" s="90">
        <v>2770</v>
      </c>
      <c r="R27" s="71">
        <v>66</v>
      </c>
      <c r="S27" s="71">
        <v>1253</v>
      </c>
      <c r="T27" s="71">
        <v>1761</v>
      </c>
      <c r="U27" s="71">
        <v>6137</v>
      </c>
      <c r="V27" s="71">
        <v>9428</v>
      </c>
      <c r="W27" s="71">
        <v>10738</v>
      </c>
      <c r="X27" s="71">
        <v>5752</v>
      </c>
      <c r="Y27" s="71">
        <v>4324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37" ph="1"/>
      <c r="C28" s="147" t="s" ph="1">
        <v>179</v>
      </c>
      <c r="D28" s="91" ph="1">
        <f>D27*268.68*LOOKUP(D29,密度!$A$2:$A$50,密度!$Q$2:$Q$50)+IF(D27&lt;=0,0,1566*LOOKUP(D29,密度!$A$2:$A$50,密度!$Q$2:$Q$50))</f>
        <v>23322.811900752</v>
      </c>
      <c r="E28" s="91" ph="1">
        <f>E27*268.68*LOOKUP(E29,密度!$A$2:$A$50,密度!$C$2:$C$50)+IF(E27&lt;=0,0,1566*LOOKUP(E29,密度!$A$2:$A$50,密度!$C$2:$C$50))</f>
        <v>3062.3670714</v>
      </c>
      <c r="F28" s="91" ph="1">
        <f>F27*11.702*LOOKUP(F29,密度!$A$2:$A$50,密度!$Q$2:$Q$50)</f>
        <v>23888.066336240001</v>
      </c>
      <c r="G28" s="91" ph="1">
        <f>G27*18.322*LOOKUP(G29,密度!$A$2:$A$50,密度!$B$2:$B$50)</f>
        <v>24699.796589999998</v>
      </c>
      <c r="H28" s="91" ph="1">
        <f>H27*18.322*LOOKUP(H29,密度!$A$2:$A$50,密度!$B$2:$B$50)</f>
        <v>37127.993951999997</v>
      </c>
      <c r="I28" s="91" ph="1">
        <f>I27*18.322*LOOKUP(I29,密度!$A$2:$A$50,密度!$Q$2:$Q$50)</f>
        <v>44879.708768700002</v>
      </c>
      <c r="J28" s="91" ph="1">
        <f>J27*18.322*LOOKUP(J29,密度!$A$2:$A$50,密度!$Q$2:$Q$50)</f>
        <v>15513.33285762</v>
      </c>
      <c r="K28" s="91" ph="1">
        <f>K27*18.322*LOOKUP(K29,密度!$A$2:$A$50,密度!$Q$2:$Q$50)</f>
        <v>95164.009583560008</v>
      </c>
      <c r="L28" s="91" ph="1">
        <f>L27*18.322*LOOKUP(L29,密度!$A$2:$A$50,密度!$Q$2:$Q$50)</f>
        <v>96840.527732779999</v>
      </c>
      <c r="M28" s="91" ph="1">
        <f>M27*18.322*LOOKUP(M29,密度!$A$2:$A$50,密度!$Q$2:$Q$50)</f>
        <v>18453.42938582</v>
      </c>
      <c r="N28" s="91" ph="1">
        <f>N27*18.322*LOOKUP(N29,密度!$A$2:$A$50,密度!$Q$2:$Q$50)</f>
        <v>97542.025994400014</v>
      </c>
      <c r="O28" s="91" ph="1">
        <f>O27*18.322*LOOKUP(O29,密度!$A$2:$A$50,密度!$C$2:$C$50)</f>
        <v>104376.59554099999</v>
      </c>
      <c r="P28" s="91" ph="1">
        <f>P27*11.702*LOOKUP(P29,密度!$A$2:$A$50,密度!$B$2:$B$50)</f>
        <v>9018.1252364000011</v>
      </c>
      <c r="Q28" s="92" ph="1">
        <f>Q27*18.322*LOOKUP(Q29,密度!$A$2:$A$50,密度!$B$2:$B$50)</f>
        <v>39256.625589999996</v>
      </c>
      <c r="R28" s="91" ph="1">
        <f>R27*35.891*LOOKUP(R29,密度!$A$2:$A$50,密度!$C$2:$C$50)</f>
        <v>2612.7930179999998</v>
      </c>
      <c r="S28" s="91" ph="1">
        <f>S27*35.891*LOOKUP(S29,密度!$A$2:$A$50,密度!$B$2:$B$50)</f>
        <v>34825.869971199994</v>
      </c>
      <c r="T28" s="91" ph="1">
        <f>T27*35.891*LOOKUP(T29,密度!$A$2:$A$50,密度!$Q$2:$Q$50)</f>
        <v>59574.874391580001</v>
      </c>
      <c r="U28" s="91" ph="1">
        <f>U27*35.891</f>
        <v>220263.06699999998</v>
      </c>
      <c r="V28" s="91" ph="1">
        <f>V27*47.051*LOOKUP(V29,密度!$A$2:$A$50,密度!$B$2:$B$50)</f>
        <v>343122.146458</v>
      </c>
      <c r="W28" s="91" ph="1">
        <f>W27*47.051*LOOKUP(W29,密度!$A$2:$A$50,密度!$B$2:$B$50)</f>
        <v>392162.34981560003</v>
      </c>
      <c r="X28" s="91" ph="1">
        <f>X27*47.051*LOOKUP(X29,密度!$A$2:$A$50,密度!$I$2:$I$50)</f>
        <v>279947.27690880001</v>
      </c>
      <c r="Y28" s="91" ph="1">
        <f>Y27*47.051*LOOKUP(Y29,密度!$A$2:$A$50,密度!$L$2:$L$50)</f>
        <v>189410.57584400001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37" ph="1"/>
      <c r="C29" s="147" t="s" ph="1">
        <v>180</v>
      </c>
      <c r="D29" s="74">
        <v>25</v>
      </c>
      <c r="E29" s="74">
        <v>25</v>
      </c>
      <c r="F29" s="74">
        <v>30</v>
      </c>
      <c r="G29" s="74">
        <v>28</v>
      </c>
      <c r="H29" s="74">
        <v>28</v>
      </c>
      <c r="I29" s="74">
        <v>29</v>
      </c>
      <c r="J29" s="74">
        <v>29</v>
      </c>
      <c r="K29" s="74">
        <v>30</v>
      </c>
      <c r="L29" s="74">
        <v>30</v>
      </c>
      <c r="M29" s="74">
        <v>29</v>
      </c>
      <c r="N29" s="74">
        <v>29</v>
      </c>
      <c r="O29" s="74">
        <v>30</v>
      </c>
      <c r="P29" s="74">
        <v>30</v>
      </c>
      <c r="Q29" s="93">
        <v>32</v>
      </c>
      <c r="R29" s="74">
        <v>32</v>
      </c>
      <c r="S29" s="74">
        <v>31</v>
      </c>
      <c r="T29" s="74">
        <v>31</v>
      </c>
      <c r="U29" s="74">
        <v>31</v>
      </c>
      <c r="V29" s="74">
        <v>32</v>
      </c>
      <c r="W29" s="74">
        <v>29</v>
      </c>
      <c r="X29" s="74">
        <v>32</v>
      </c>
      <c r="Y29" s="74">
        <v>31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45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47" t="s" ph="1">
        <v>5</v>
      </c>
      <c r="F32" s="148" t="s" ph="1">
        <v>43</v>
      </c>
      <c r="G32" s="97" t="s" ph="1">
        <v>4</v>
      </c>
      <c r="H32" s="147" t="s" ph="1">
        <v>5</v>
      </c>
      <c r="I32" s="148" t="s" ph="1">
        <v>43</v>
      </c>
      <c r="J32" s="97" t="s" ph="1">
        <v>4</v>
      </c>
      <c r="K32" s="147" t="s" ph="1">
        <v>5</v>
      </c>
      <c r="L32" s="148" t="s" ph="1">
        <v>43</v>
      </c>
      <c r="M32" s="97" t="s" ph="1">
        <v>4</v>
      </c>
      <c r="N32" s="147" t="s" ph="1">
        <v>5</v>
      </c>
      <c r="O32" s="14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7" t="s" ph="1">
        <v>5</v>
      </c>
      <c r="U32" s="99" t="s" ph="1">
        <v>43</v>
      </c>
      <c r="V32" s="97" t="s" ph="1">
        <v>4</v>
      </c>
      <c r="W32" s="147" t="s" ph="1">
        <v>5</v>
      </c>
      <c r="X32" s="99" t="s" ph="1">
        <v>43</v>
      </c>
      <c r="Y32" s="100" t="s" ph="1">
        <v>4</v>
      </c>
      <c r="Z32" s="147" t="s" ph="1">
        <v>5</v>
      </c>
      <c r="AA32" s="148" t="s" ph="1">
        <v>43</v>
      </c>
      <c r="AB32" s="97" t="s" ph="1">
        <v>85</v>
      </c>
      <c r="AC32" s="147" t="s" ph="1">
        <v>84</v>
      </c>
      <c r="AD32" s="204" t="s" ph="1">
        <v>83</v>
      </c>
      <c r="AE32" s="205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06" t="s" ph="1">
        <v>182</v>
      </c>
      <c r="C33" s="207" ph="1"/>
      <c r="D33" s="186" ph="1">
        <f>AA10+AB10+Z19</f>
        <v>65421.020937000008</v>
      </c>
      <c r="E33" s="186" ph="1">
        <f>M10+I10</f>
        <v>176045.78463019998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[[#This Row],[F25]]</f>
        <v>3880</v>
      </c>
      <c r="G33" s="212" ph="1">
        <v>0</v>
      </c>
      <c r="H33" s="186" ph="1">
        <f>N19</f>
        <v>36414.26086296</v>
      </c>
      <c r="I33" s="190" ph="1">
        <v>0</v>
      </c>
      <c r="J33" s="194" ph="1">
        <f>F10+O28</f>
        <v>354698.93381359999</v>
      </c>
      <c r="K33" s="186" ph="1">
        <f>O10+K10+E28+R28</f>
        <v>9436.0277162000002</v>
      </c>
      <c r="L33" s="196" ph="1">
        <f>BE27</f>
        <v>7100</v>
      </c>
      <c r="M33" s="194" ph="1">
        <f>G10+H10+W28+S28+V28+E10</f>
        <v>1425110.4017288003</v>
      </c>
      <c r="N33" s="186" ph="1">
        <f>L10+P10++G28+H28</f>
        <v>259432.71690999996</v>
      </c>
      <c r="O33" s="190" ph="1">
        <f>BE17</f>
        <v>2270</v>
      </c>
      <c r="P33" s="194" ph="1">
        <f>L19</f>
        <v>33777.349075600003</v>
      </c>
      <c r="Q33" s="186" ph="1">
        <f>J10+N10</f>
        <v>50269.778534799989</v>
      </c>
      <c r="R33" s="190" ph="1">
        <f>BE23</f>
        <v>890</v>
      </c>
      <c r="S33" s="194" ph="1">
        <f>E10+X28</f>
        <v>603831.72827180009</v>
      </c>
      <c r="T33" s="186" ph="1">
        <f>X19</f>
        <v>4931.6269555200006</v>
      </c>
      <c r="U33" s="175" ph="1">
        <f>BE21</f>
        <v>730</v>
      </c>
      <c r="V33" s="188" ph="1">
        <f ca="1">P19+Q19+S19+M28+N28+J28</f>
        <v>227290.45955284199</v>
      </c>
      <c r="W33" s="188" ph="1">
        <f>D28+F28+V19+T28</f>
        <v>110858.79987253199</v>
      </c>
      <c r="X33" s="190" ph="1">
        <f>BE29+BE31</f>
        <v>10200</v>
      </c>
      <c r="Y33" s="192" ph="1">
        <f>+Q10+R10+S10+T10+U10+V10+W10+X10+Y10</f>
        <v>149513.23884420001</v>
      </c>
      <c r="Z33" s="173" ph="1">
        <f>D10+T19+U19+Y28+Z10</f>
        <v>593835.19676064001</v>
      </c>
      <c r="AA33" s="175" ph="1">
        <f>BE19</f>
        <v>1440</v>
      </c>
      <c r="AB33" s="177" ph="1">
        <f>I19</f>
        <v>47612.357191200004</v>
      </c>
      <c r="AC33" s="179" ph="1">
        <f>AD10</f>
        <v>85133.183385600001</v>
      </c>
      <c r="AD33" s="181" ph="1">
        <v>0</v>
      </c>
      <c r="AE33" s="182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85" t="s" ph="1">
        <v>639</v>
      </c>
      <c r="AD35" s="185"/>
      <c r="AE35" s="185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45" ph="1">
      <c r="A36" s="64"/>
      <c r="B36" s="103" t="s" ph="1">
        <v>183</v>
      </c>
      <c r="I36" s="171" t="s" ph="1">
        <v>184</v>
      </c>
      <c r="J36" s="171" ph="1"/>
      <c r="K36" s="101" ph="1"/>
      <c r="P36" s="101" ph="1"/>
      <c r="R36" s="171" t="s" ph="1">
        <v>185</v>
      </c>
      <c r="S36" s="171" ph="1"/>
      <c r="Y36" s="102" ph="1"/>
      <c r="Z36" s="149" t="s" ph="1">
        <v>186</v>
      </c>
      <c r="AA36" s="149" ph="1"/>
      <c r="AB36" s="172" t="s" ph="1">
        <v>644</v>
      </c>
      <c r="AC36" s="172" ph="1"/>
      <c r="AD36" s="172" ph="1"/>
      <c r="AE36" s="172" ph="1"/>
      <c r="BA36" s="64" ph="1">
        <v>2270</v>
      </c>
    </row>
    <row r="37" spans="1:57" s="14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9" t="s" ph="1">
        <v>345</v>
      </c>
      <c r="AI37" s="149" t="s" ph="1">
        <v>212</v>
      </c>
      <c r="AJ37" s="149" t="s" ph="1">
        <v>213</v>
      </c>
      <c r="AK37" s="149" t="s" ph="1">
        <v>214</v>
      </c>
      <c r="AM37" s="149" t="s" ph="1">
        <v>213</v>
      </c>
      <c r="AN37" s="149" t="s" ph="1">
        <v>214</v>
      </c>
      <c r="AO37" s="149" t="s" ph="1">
        <v>215</v>
      </c>
      <c r="AP37" s="149" t="s" ph="1">
        <v>213</v>
      </c>
      <c r="AQ37" s="149" t="s" ph="1">
        <v>214</v>
      </c>
      <c r="AR37" s="149" t="s" ph="1">
        <v>215</v>
      </c>
      <c r="AS37" s="149" t="s" ph="1">
        <v>213</v>
      </c>
      <c r="AT37" s="149" t="s" ph="1">
        <v>214</v>
      </c>
      <c r="AU37" s="149" t="s" ph="1">
        <v>215</v>
      </c>
      <c r="AV37" s="149" t="s" ph="1">
        <v>213</v>
      </c>
      <c r="AW37" s="149" t="s" ph="1">
        <v>214</v>
      </c>
      <c r="AX37" s="149" t="s" ph="1">
        <v>215</v>
      </c>
      <c r="AY37" s="149" t="s" ph="1">
        <v>214</v>
      </c>
      <c r="AZ37" s="149" t="s" ph="1">
        <v>216</v>
      </c>
      <c r="BD37" s="149" t="s" ph="1">
        <v>308</v>
      </c>
      <c r="BE37" s="149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650" priority="97">
      <formula>ABS(D$7-D$10)&gt;=1000</formula>
    </cfRule>
  </conditionalFormatting>
  <conditionalFormatting sqref="E4 E6:E11">
    <cfRule type="expression" dxfId="1649" priority="96">
      <formula>ABS(E$7-E$10)&gt;=1000</formula>
    </cfRule>
  </conditionalFormatting>
  <conditionalFormatting sqref="F4:F11">
    <cfRule type="expression" dxfId="1648" priority="95">
      <formula>ABS(F$7-F$10)&gt;=1000</formula>
    </cfRule>
  </conditionalFormatting>
  <conditionalFormatting sqref="G4:G11">
    <cfRule type="expression" dxfId="1647" priority="94">
      <formula>ABS(G$7-G$10)&gt;=1000</formula>
    </cfRule>
  </conditionalFormatting>
  <conditionalFormatting sqref="H4:H11">
    <cfRule type="expression" dxfId="1646" priority="93">
      <formula>ABS(H$7-H$10)&gt;=1000</formula>
    </cfRule>
  </conditionalFormatting>
  <conditionalFormatting sqref="I4:I11">
    <cfRule type="expression" dxfId="1645" priority="92">
      <formula>ABS(I$7-I$10)&gt;=1000</formula>
    </cfRule>
  </conditionalFormatting>
  <conditionalFormatting sqref="J4:J11">
    <cfRule type="expression" dxfId="1644" priority="91">
      <formula>ABS(J$7-J$10)&gt;=1000</formula>
    </cfRule>
  </conditionalFormatting>
  <conditionalFormatting sqref="K4:K11">
    <cfRule type="expression" dxfId="1643" priority="90">
      <formula>ABS(K$7-K$10)&gt;=1000</formula>
    </cfRule>
  </conditionalFormatting>
  <conditionalFormatting sqref="L4:L11">
    <cfRule type="expression" dxfId="1642" priority="89">
      <formula>ABS(L$7-L$10)&gt;=1000</formula>
    </cfRule>
  </conditionalFormatting>
  <conditionalFormatting sqref="M4 M6:M11">
    <cfRule type="expression" dxfId="1641" priority="88">
      <formula>ABS(M$7-M$10)&gt;=1000</formula>
    </cfRule>
  </conditionalFormatting>
  <conditionalFormatting sqref="N4 N6:N11">
    <cfRule type="expression" dxfId="1640" priority="87">
      <formula>ABS(N$7-N$10)&gt;=1000</formula>
    </cfRule>
  </conditionalFormatting>
  <conditionalFormatting sqref="O4 O6:O11">
    <cfRule type="expression" dxfId="1639" priority="86">
      <formula>ABS(O$7-O$10)&gt;=1000</formula>
    </cfRule>
  </conditionalFormatting>
  <conditionalFormatting sqref="P4 P6:P11">
    <cfRule type="expression" dxfId="1638" priority="85">
      <formula>ABS(P$7-P$10)&gt;=1000</formula>
    </cfRule>
  </conditionalFormatting>
  <conditionalFormatting sqref="Q4:Q11">
    <cfRule type="expression" dxfId="1637" priority="84">
      <formula>ABS(Q$7-Q$10)&gt;=1000</formula>
    </cfRule>
  </conditionalFormatting>
  <conditionalFormatting sqref="R4:R11">
    <cfRule type="expression" dxfId="1636" priority="83">
      <formula>ABS(R$7-R$10)&gt;=1000</formula>
    </cfRule>
  </conditionalFormatting>
  <conditionalFormatting sqref="S4:S11">
    <cfRule type="expression" dxfId="1635" priority="82">
      <formula>ABS(S$7-S$10)&gt;=1000</formula>
    </cfRule>
  </conditionalFormatting>
  <conditionalFormatting sqref="T4:T9 T11">
    <cfRule type="expression" dxfId="1634" priority="81">
      <formula>ABS(T$7-T$10)&gt;=1000</formula>
    </cfRule>
  </conditionalFormatting>
  <conditionalFormatting sqref="U4:U9 U11">
    <cfRule type="expression" dxfId="1633" priority="80">
      <formula>ABS(U$7-U$10)&gt;=1000</formula>
    </cfRule>
  </conditionalFormatting>
  <conditionalFormatting sqref="V4:V9 V11">
    <cfRule type="expression" dxfId="1632" priority="79">
      <formula>ABS(V$7-V$10)&gt;=1000</formula>
    </cfRule>
  </conditionalFormatting>
  <conditionalFormatting sqref="W4:W9 W11">
    <cfRule type="expression" dxfId="1631" priority="78">
      <formula>ABS(W$7-W$10)&gt;=1000</formula>
    </cfRule>
  </conditionalFormatting>
  <conditionalFormatting sqref="X4:X9 X11">
    <cfRule type="expression" dxfId="1630" priority="77">
      <formula>ABS(X$7-X$10)&gt;=1000</formula>
    </cfRule>
  </conditionalFormatting>
  <conditionalFormatting sqref="Y4:Y9 Y11">
    <cfRule type="expression" dxfId="1629" priority="76">
      <formula>ABS(Y$7-Y$10)&gt;=1000</formula>
    </cfRule>
  </conditionalFormatting>
  <conditionalFormatting sqref="Z4:Z11">
    <cfRule type="expression" dxfId="1628" priority="75">
      <formula>ABS(Z$7-Z$10)&gt;=1000</formula>
    </cfRule>
  </conditionalFormatting>
  <conditionalFormatting sqref="AA4:AA11">
    <cfRule type="expression" dxfId="1627" priority="74">
      <formula>ABS(AA$7-AA$10)&gt;=1000</formula>
    </cfRule>
  </conditionalFormatting>
  <conditionalFormatting sqref="AB4:AB11">
    <cfRule type="expression" dxfId="1626" priority="73">
      <formula>ABS(AB$7-AB$10)&gt;=1000</formula>
    </cfRule>
  </conditionalFormatting>
  <conditionalFormatting sqref="AC4 AC6:AC11">
    <cfRule type="expression" dxfId="1625" priority="72">
      <formula>ABS(AC$7-AC$10)&gt;=1000</formula>
    </cfRule>
  </conditionalFormatting>
  <conditionalFormatting sqref="AD4:AD11">
    <cfRule type="expression" dxfId="1624" priority="71">
      <formula>ABS(AD$7-AD$10)&gt;=1000</formula>
    </cfRule>
  </conditionalFormatting>
  <conditionalFormatting sqref="AE4:AE11">
    <cfRule type="expression" dxfId="1623" priority="70">
      <formula>ABS(AE$7-AE$10)&gt;=1000</formula>
    </cfRule>
  </conditionalFormatting>
  <conditionalFormatting sqref="D13:D20">
    <cfRule type="expression" dxfId="1622" priority="69">
      <formula>ABS(D$16-D$19)&gt;=1000</formula>
    </cfRule>
  </conditionalFormatting>
  <conditionalFormatting sqref="E13:E20">
    <cfRule type="expression" dxfId="1621" priority="68">
      <formula>ABS(E$16-E$19)&gt;=1000</formula>
    </cfRule>
  </conditionalFormatting>
  <conditionalFormatting sqref="F13 F15:F20">
    <cfRule type="expression" dxfId="1620" priority="67">
      <formula>ABS(F$16-F$19)&gt;=1000</formula>
    </cfRule>
  </conditionalFormatting>
  <conditionalFormatting sqref="G13:G20">
    <cfRule type="expression" dxfId="1619" priority="66">
      <formula>ABS(G$16-G$19)&gt;=1000</formula>
    </cfRule>
  </conditionalFormatting>
  <conditionalFormatting sqref="H13:H20">
    <cfRule type="expression" dxfId="1618" priority="65">
      <formula>ABS(H$16-H$19)&gt;=1000</formula>
    </cfRule>
  </conditionalFormatting>
  <conditionalFormatting sqref="I13:I20">
    <cfRule type="expression" dxfId="1617" priority="64">
      <formula>ABS(I$16-I$19)&gt;=1000</formula>
    </cfRule>
  </conditionalFormatting>
  <conditionalFormatting sqref="J13:J20">
    <cfRule type="expression" dxfId="1616" priority="63">
      <formula>ABS(J$16-J$19)&gt;=1000</formula>
    </cfRule>
  </conditionalFormatting>
  <conditionalFormatting sqref="L13:L20">
    <cfRule type="expression" dxfId="1615" priority="62">
      <formula>ABS(L$16-L$19)&gt;=1000</formula>
    </cfRule>
  </conditionalFormatting>
  <conditionalFormatting sqref="M13 M15 M17:M18 M20">
    <cfRule type="expression" dxfId="1614" priority="61">
      <formula>ABS(M$16-M$19)&gt;=1000</formula>
    </cfRule>
  </conditionalFormatting>
  <conditionalFormatting sqref="N13:N20">
    <cfRule type="expression" dxfId="1613" priority="60">
      <formula>ABS(N$16-N$19)&gt;=1000</formula>
    </cfRule>
  </conditionalFormatting>
  <conditionalFormatting sqref="O13:O20">
    <cfRule type="expression" dxfId="1612" priority="59">
      <formula>ABS(O$16-O$19)&gt;=1000</formula>
    </cfRule>
  </conditionalFormatting>
  <conditionalFormatting sqref="P13:P20">
    <cfRule type="expression" dxfId="1611" priority="58">
      <formula>ABS(P$16-P$19)&gt;=1000</formula>
    </cfRule>
  </conditionalFormatting>
  <conditionalFormatting sqref="Q13 Q15:Q20">
    <cfRule type="expression" dxfId="1610" priority="57">
      <formula>ABS(Q$16-Q$19)&gt;=1000</formula>
    </cfRule>
  </conditionalFormatting>
  <conditionalFormatting sqref="R13:R20">
    <cfRule type="expression" dxfId="1609" priority="56">
      <formula>ABS(R$16-R$19)&gt;=1000</formula>
    </cfRule>
  </conditionalFormatting>
  <conditionalFormatting sqref="S13:S20">
    <cfRule type="expression" dxfId="1608" priority="55">
      <formula>ABS(S$16-S$19)&gt;=1000</formula>
    </cfRule>
  </conditionalFormatting>
  <conditionalFormatting sqref="T13:T20">
    <cfRule type="expression" dxfId="1607" priority="54">
      <formula>ABS(T$16-T$19)&gt;=1000</formula>
    </cfRule>
  </conditionalFormatting>
  <conditionalFormatting sqref="U13:U20">
    <cfRule type="expression" dxfId="1606" priority="53">
      <formula>ABS(U$16-U$19)&gt;=1000</formula>
    </cfRule>
  </conditionalFormatting>
  <conditionalFormatting sqref="V13:V20">
    <cfRule type="expression" dxfId="1605" priority="52">
      <formula>ABS(V$16-V$19)&gt;=1000</formula>
    </cfRule>
  </conditionalFormatting>
  <conditionalFormatting sqref="W13 W20 W15:W18">
    <cfRule type="expression" dxfId="1604" priority="51">
      <formula>ABS(W$16-W$19)&gt;=1000</formula>
    </cfRule>
  </conditionalFormatting>
  <conditionalFormatting sqref="X13 X15:X20 Y19">
    <cfRule type="expression" dxfId="1603" priority="50">
      <formula>ABS(X$16-X$19)&gt;=1000</formula>
    </cfRule>
  </conditionalFormatting>
  <conditionalFormatting sqref="Y13 Y15:Y18 Y20">
    <cfRule type="expression" dxfId="1602" priority="49">
      <formula>ABS(Y$16-Y$19)&gt;=1000</formula>
    </cfRule>
  </conditionalFormatting>
  <conditionalFormatting sqref="Z13:Z20">
    <cfRule type="expression" dxfId="1601" priority="48">
      <formula>ABS(Z$16-Z$19)&gt;=1000</formula>
    </cfRule>
  </conditionalFormatting>
  <conditionalFormatting sqref="AA13:AA20">
    <cfRule type="expression" dxfId="1600" priority="47">
      <formula>ABS(AA$16-AA$19)&gt;=1000</formula>
    </cfRule>
  </conditionalFormatting>
  <conditionalFormatting sqref="AB13 AB15:AB20">
    <cfRule type="expression" dxfId="1599" priority="46">
      <formula>ABS(AB$16-AB$19)&gt;=1000</formula>
    </cfRule>
  </conditionalFormatting>
  <conditionalFormatting sqref="AC13 AC15:AC20">
    <cfRule type="expression" dxfId="1598" priority="45">
      <formula>ABS(AC$16-AC$19)&gt;=1000</formula>
    </cfRule>
  </conditionalFormatting>
  <conditionalFormatting sqref="AD13:AD20">
    <cfRule type="expression" dxfId="1597" priority="44">
      <formula>ABS(AD$16-AD$19)&gt;=1000</formula>
    </cfRule>
  </conditionalFormatting>
  <conditionalFormatting sqref="AE13:AE20">
    <cfRule type="expression" dxfId="1596" priority="43">
      <formula>ABS(AE$16-AE$19)&gt;=1000</formula>
    </cfRule>
  </conditionalFormatting>
  <conditionalFormatting sqref="D22:D29">
    <cfRule type="expression" dxfId="1595" priority="42">
      <formula>ABS(D$25-D$28)&gt;=1000</formula>
    </cfRule>
  </conditionalFormatting>
  <conditionalFormatting sqref="E22:E29">
    <cfRule type="expression" dxfId="1594" priority="41">
      <formula>ABS(E$25-E$28)&gt;=1000</formula>
    </cfRule>
  </conditionalFormatting>
  <conditionalFormatting sqref="F22:F29">
    <cfRule type="expression" dxfId="1593" priority="40">
      <formula>ABS(F$25-F$28)&gt;=1000</formula>
    </cfRule>
  </conditionalFormatting>
  <conditionalFormatting sqref="G22:G29">
    <cfRule type="expression" dxfId="1592" priority="39">
      <formula>ABS(G$25-G$28)&gt;=1000</formula>
    </cfRule>
  </conditionalFormatting>
  <conditionalFormatting sqref="H22:H29">
    <cfRule type="expression" dxfId="1591" priority="38">
      <formula>ABS(H$25-H$28)&gt;=1000</formula>
    </cfRule>
  </conditionalFormatting>
  <conditionalFormatting sqref="I22 I24:I29">
    <cfRule type="expression" dxfId="1590" priority="37">
      <formula>ABS(I$25-I$28)&gt;=1000</formula>
    </cfRule>
  </conditionalFormatting>
  <conditionalFormatting sqref="J22:J29 K22">
    <cfRule type="expression" dxfId="1589" priority="36">
      <formula>ABS(J$25-J$28)&gt;=1000</formula>
    </cfRule>
  </conditionalFormatting>
  <conditionalFormatting sqref="K23:K29 L25 L28">
    <cfRule type="expression" dxfId="1588" priority="35">
      <formula>ABS(K$25-K$28)&gt;=1000</formula>
    </cfRule>
  </conditionalFormatting>
  <conditionalFormatting sqref="L22 L26:L27 L29 L24">
    <cfRule type="expression" dxfId="1587" priority="34">
      <formula>ABS(L$25-L$28)&gt;=1000</formula>
    </cfRule>
  </conditionalFormatting>
  <conditionalFormatting sqref="M22:M29">
    <cfRule type="expression" dxfId="1586" priority="33">
      <formula>ABS(M$25-M$28)&gt;=1000</formula>
    </cfRule>
  </conditionalFormatting>
  <conditionalFormatting sqref="N22:N29">
    <cfRule type="expression" dxfId="1585" priority="32">
      <formula>ABS(N$25-N$28)&gt;=1000</formula>
    </cfRule>
  </conditionalFormatting>
  <conditionalFormatting sqref="O22:O29">
    <cfRule type="expression" dxfId="1584" priority="31">
      <formula>ABS(O$25-O$28)&gt;=1000</formula>
    </cfRule>
  </conditionalFormatting>
  <conditionalFormatting sqref="P22:P29">
    <cfRule type="expression" dxfId="1583" priority="30">
      <formula>ABS(P$25-P$28)&gt;=1000</formula>
    </cfRule>
  </conditionalFormatting>
  <conditionalFormatting sqref="Q22:Q29">
    <cfRule type="expression" dxfId="1582" priority="29">
      <formula>ABS(Q$25-Q$28)&gt;=1000</formula>
    </cfRule>
  </conditionalFormatting>
  <conditionalFormatting sqref="R22:R29">
    <cfRule type="expression" dxfId="1581" priority="28">
      <formula>ABS(R$25-R$28)&gt;=1000</formula>
    </cfRule>
  </conditionalFormatting>
  <conditionalFormatting sqref="S22:S29">
    <cfRule type="expression" dxfId="1580" priority="27">
      <formula>ABS(S$25-S$28)&gt;=1000</formula>
    </cfRule>
  </conditionalFormatting>
  <conditionalFormatting sqref="T22:T29">
    <cfRule type="expression" dxfId="1579" priority="26">
      <formula>ABS(T$25-T$28)&gt;=1000</formula>
    </cfRule>
  </conditionalFormatting>
  <conditionalFormatting sqref="U22:U29">
    <cfRule type="expression" dxfId="1578" priority="25">
      <formula>ABS(U$25-U$28)&gt;=1000</formula>
    </cfRule>
  </conditionalFormatting>
  <conditionalFormatting sqref="V22:V29">
    <cfRule type="expression" dxfId="1577" priority="24">
      <formula>ABS(V$25-V$28)&gt;=1000</formula>
    </cfRule>
  </conditionalFormatting>
  <conditionalFormatting sqref="W22:W29">
    <cfRule type="expression" dxfId="1576" priority="23">
      <formula>ABS(W$25-W$28)&gt;=1000</formula>
    </cfRule>
  </conditionalFormatting>
  <conditionalFormatting sqref="X22:X29">
    <cfRule type="expression" dxfId="1575" priority="22">
      <formula>ABS(X$25-X$28)&gt;=1000</formula>
    </cfRule>
  </conditionalFormatting>
  <conditionalFormatting sqref="Y22:Y29">
    <cfRule type="expression" dxfId="1574" priority="21">
      <formula>ABS(Y$25-Y$28)&gt;=1000</formula>
    </cfRule>
  </conditionalFormatting>
  <conditionalFormatting sqref="I23">
    <cfRule type="expression" dxfId="1573" priority="20">
      <formula>ABS(I$25-I$28)&gt;=1000</formula>
    </cfRule>
  </conditionalFormatting>
  <conditionalFormatting sqref="F14">
    <cfRule type="expression" dxfId="1572" priority="19">
      <formula>ABS(F$16-F$19)&gt;=1000</formula>
    </cfRule>
  </conditionalFormatting>
  <conditionalFormatting sqref="Q14">
    <cfRule type="expression" dxfId="1571" priority="18">
      <formula>ABS(Q$16-Q$19)&gt;=1000</formula>
    </cfRule>
  </conditionalFormatting>
  <conditionalFormatting sqref="W14">
    <cfRule type="expression" dxfId="1570" priority="17">
      <formula>ABS(W$16-W$19)&gt;=1000</formula>
    </cfRule>
  </conditionalFormatting>
  <conditionalFormatting sqref="Y14">
    <cfRule type="expression" dxfId="1569" priority="16">
      <formula>ABS(Y$16-Y$19)&gt;=1000</formula>
    </cfRule>
  </conditionalFormatting>
  <conditionalFormatting sqref="X14">
    <cfRule type="expression" dxfId="1568" priority="15">
      <formula>ABS(X$16-X$19)&gt;=1000</formula>
    </cfRule>
  </conditionalFormatting>
  <conditionalFormatting sqref="T10:Y10">
    <cfRule type="expression" dxfId="1567" priority="14">
      <formula>ABS(T$7-T$10)&gt;=1000</formula>
    </cfRule>
  </conditionalFormatting>
  <conditionalFormatting sqref="W19">
    <cfRule type="expression" dxfId="1566" priority="13">
      <formula>ABS(W$16-W$19)&gt;=1000</formula>
    </cfRule>
  </conditionalFormatting>
  <conditionalFormatting sqref="AC5">
    <cfRule type="expression" dxfId="1565" priority="12">
      <formula>ABS(AC$7-AC$10)&gt;=1000</formula>
    </cfRule>
  </conditionalFormatting>
  <conditionalFormatting sqref="M14">
    <cfRule type="expression" dxfId="1564" priority="11">
      <formula>ABS(M$16-M$19)&gt;=1000</formula>
    </cfRule>
  </conditionalFormatting>
  <conditionalFormatting sqref="M16">
    <cfRule type="expression" dxfId="1563" priority="10">
      <formula>ABS(M$16-M$19)&gt;=1000</formula>
    </cfRule>
  </conditionalFormatting>
  <conditionalFormatting sqref="M19">
    <cfRule type="expression" dxfId="1562" priority="9">
      <formula>ABS(M$16-M$19)&gt;=1000</formula>
    </cfRule>
  </conditionalFormatting>
  <conditionalFormatting sqref="K13:K20">
    <cfRule type="expression" dxfId="1561" priority="8">
      <formula>ABS(K$16-K$19)&gt;=1000</formula>
    </cfRule>
  </conditionalFormatting>
  <conditionalFormatting sqref="E5">
    <cfRule type="expression" dxfId="1560" priority="7">
      <formula>ABS(E$7-E$10)&gt;=1000</formula>
    </cfRule>
  </conditionalFormatting>
  <conditionalFormatting sqref="AB14:AC14">
    <cfRule type="expression" dxfId="1559" priority="6">
      <formula>ABS(AB$16-AB$19)&gt;=1000</formula>
    </cfRule>
  </conditionalFormatting>
  <conditionalFormatting sqref="M5">
    <cfRule type="expression" dxfId="1558" priority="5">
      <formula>ABS(M$7-M$10)&gt;=1000</formula>
    </cfRule>
  </conditionalFormatting>
  <conditionalFormatting sqref="N5">
    <cfRule type="expression" dxfId="1557" priority="4">
      <formula>ABS(N$7-N$10)&gt;=1000</formula>
    </cfRule>
  </conditionalFormatting>
  <conditionalFormatting sqref="O5">
    <cfRule type="expression" dxfId="1556" priority="3">
      <formula>ABS(O$7-O$10)&gt;=1000</formula>
    </cfRule>
  </conditionalFormatting>
  <conditionalFormatting sqref="P5">
    <cfRule type="expression" dxfId="1555" priority="2">
      <formula>ABS(P$7-P$10)&gt;=1000</formula>
    </cfRule>
  </conditionalFormatting>
  <conditionalFormatting sqref="L23">
    <cfRule type="expression" dxfId="1554" priority="1">
      <formula>ABS(L$25-L$28)&gt;=1000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5692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345782</xdr:rowOff>
                  </from>
                  <to>
                    <xdr:col>32</xdr:col>
                    <xdr:colOff>414938</xdr:colOff>
                    <xdr:row>3</xdr:row>
                    <xdr:rowOff>30736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80">
    <pageSetUpPr fitToPage="1"/>
  </sheetPr>
  <dimension ref="A1:CU223"/>
  <sheetViews>
    <sheetView view="pageBreakPreview" zoomScale="80" zoomScaleNormal="100" zoomScaleSheetLayoutView="80" workbookViewId="0">
      <selection activeCell="I19" sqref="I19"/>
    </sheetView>
  </sheetViews>
  <sheetFormatPr defaultColWidth="8.109375" defaultRowHeight="26.05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0.9" ph="1">
      <c r="A1" s="64"/>
      <c r="B1" s="238" t="s" ph="1">
        <v>162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.05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.05" customHeight="1" ph="1">
      <c r="B3" s="240" ph="1">
        <v>45854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" customHeight="1" ph="1">
      <c r="A5" s="65" ph="1"/>
      <c r="B5" s="219" ph="1"/>
      <c r="C5" s="67" t="s" ph="1">
        <v>36</v>
      </c>
      <c r="D5" s="70" t="s" ph="1">
        <v>161</v>
      </c>
      <c r="E5" s="70" t="s" ph="1">
        <v>640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47" t="s" ph="1">
        <v>178</v>
      </c>
      <c r="D6" s="71">
        <v>4775</v>
      </c>
      <c r="E6" s="71">
        <v>8108</v>
      </c>
      <c r="F6" s="71">
        <v>6817</v>
      </c>
      <c r="G6" s="71">
        <v>4285</v>
      </c>
      <c r="H6" s="71">
        <v>5171</v>
      </c>
      <c r="I6" s="71">
        <v>51.73</v>
      </c>
      <c r="J6" s="71">
        <v>7.72</v>
      </c>
      <c r="K6" s="71">
        <v>7.02</v>
      </c>
      <c r="L6" s="71">
        <v>36.35</v>
      </c>
      <c r="M6" s="71">
        <v>4747</v>
      </c>
      <c r="N6" s="71">
        <v>1874</v>
      </c>
      <c r="O6" s="71">
        <v>66</v>
      </c>
      <c r="P6" s="71">
        <v>4795</v>
      </c>
      <c r="Q6" s="71">
        <v>0</v>
      </c>
      <c r="R6" s="71">
        <v>0</v>
      </c>
      <c r="S6" s="71">
        <v>0</v>
      </c>
      <c r="T6" s="71">
        <v>573</v>
      </c>
      <c r="U6" s="71">
        <v>6800</v>
      </c>
      <c r="V6" s="71">
        <v>4950</v>
      </c>
      <c r="W6" s="71">
        <v>4229</v>
      </c>
      <c r="X6" s="71">
        <v>4038</v>
      </c>
      <c r="Y6" s="71">
        <v>0</v>
      </c>
      <c r="Z6" s="71">
        <v>5613</v>
      </c>
      <c r="AA6" s="71">
        <v>558</v>
      </c>
      <c r="AB6" s="71">
        <v>2221</v>
      </c>
      <c r="AC6" s="71">
        <v>3669</v>
      </c>
      <c r="AD6" s="71">
        <v>4258</v>
      </c>
      <c r="AE6" s="71">
        <v>3047</v>
      </c>
    </row>
    <row r="7" spans="1:99" s="72" customFormat="1" ht="22.4" ph="1">
      <c r="B7" s="237" ph="1"/>
      <c r="C7" s="68" t="s" ph="1">
        <v>179</v>
      </c>
      <c r="D7" s="73" ph="1">
        <f>D6*33.183*LOOKUP(D8,密度!$A$2:$A$50,密度!$Q$2:$Q$50)</f>
        <v>149673.92907150002</v>
      </c>
      <c r="E7" s="73" ph="1">
        <f>E6*51.53*LOOKUP(E8,密度!$A$2:$A$50,密度!$B$2:$B$50)</f>
        <v>324634.67148000002</v>
      </c>
      <c r="F7" s="73" ph="1">
        <f>F6*33.183*LOOKUP(F8,密度!$A$2:$A$50,密度!$C$2:$C$50)</f>
        <v>250503.30508139997</v>
      </c>
      <c r="G7" s="73" ph="1">
        <f xml:space="preserve"> (G6+2)*51.53*LOOKUP(G8,密度!$A$2:$A$50,密度!$B$2:$B$50)</f>
        <v>171646.37847000003</v>
      </c>
      <c r="H7" s="73" ph="1">
        <f>(H6)*51.53*LOOKUP(H8,密度!$A$2:$A$50,密度!$B$2:$B$50)</f>
        <v>207280.50197700001</v>
      </c>
      <c r="I7" s="73" ph="1">
        <f>I6*290.8*1.0267</f>
        <v>15444.734342799999</v>
      </c>
      <c r="J7" s="73" ph="1">
        <f>J6*290.8*0.7892</f>
        <v>1771.7350592</v>
      </c>
      <c r="K7" s="73" ph="1">
        <f>K6*290.8*1.1126</f>
        <v>2271.2794416000002</v>
      </c>
      <c r="L7" s="73" ph="1">
        <f>L6*290.8*0.777</f>
        <v>8213.3406599999998</v>
      </c>
      <c r="M7" s="73" ph="1">
        <f>M6*33.183*LOOKUP(M8,密度!$A$2:$A$50,密度!$D$2:$D$50)</f>
        <v>161126.9021529</v>
      </c>
      <c r="N7" s="73" ph="1">
        <f>N6*33.183*LOOKUP(N8,密度!$A$2:$A$50,密度!$E$2:$E$50)</f>
        <v>48491.817771600006</v>
      </c>
      <c r="O7" s="73" ph="1">
        <f>O6*20.428*LOOKUP(O8,密度!$A$2:$A$50,密度!$C$2:$C$50)</f>
        <v>1488.6006168000001</v>
      </c>
      <c r="P7" s="73" ph="1">
        <f>P6*51.53*LOOKUP(P8,密度!$A$2:$A$50,密度!$B$2:$B$50)</f>
        <v>191986.09395000001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3799.1887164</v>
      </c>
      <c r="U7" s="73" ph="1">
        <f>U6*1.5*1.5*3.1416*LOOKUP(U8,密度!$A$2:$A$50,密度!$L$2:$L$50)</f>
        <v>44894.092319999996</v>
      </c>
      <c r="V7" s="73" ph="1">
        <f>V6*1.5*1.5*3.1416*LOOKUP(V8,密度!$A$2:$A$50,密度!$L$2:$L$50)</f>
        <v>32680.258380000003</v>
      </c>
      <c r="W7" s="73" ph="1">
        <f>W6*1.5*1.5*3.1416*LOOKUP(W8,密度!$A$2:$A$50,密度!$L$2:$L$50)</f>
        <v>27950.057289000004</v>
      </c>
      <c r="X7" s="73" ph="1">
        <f>X6*1.5*1.5*3.1416*LOOKUP(X8,密度!$A$2:$A$50,密度!$L$2:$L$50)</f>
        <v>26858.969398799996</v>
      </c>
      <c r="Y7" s="73" ph="1">
        <f>Y6*1.5*1.5*3.1416*LOOKUP(Y8,密度!$A$2:$A$50,密度!$L$2:$L$50)</f>
        <v>0</v>
      </c>
      <c r="Z7" s="73" ph="1">
        <f>Z6*33.183*LOOKUP(Z8,密度!$A$2:$A$50,密度!$L$2:$L$50)</f>
        <v>174335.78354400001</v>
      </c>
      <c r="AA7" s="73" ph="1">
        <f>AA6*33.183*LOOKUP(AA8,密度!$A$2:$A$50,密度!$D$2:$D$50)</f>
        <v>18958.649124600001</v>
      </c>
      <c r="AB7" s="73" ph="1">
        <f>AB6*20.428*LOOKUP(AB8,密度!$A$2:$A$50,密度!$D$2:$D$50)</f>
        <v>46668.1868168</v>
      </c>
      <c r="AC7" s="73" ph="1">
        <f>AC6*51.53*LOOKUP(AC8,密度!$A$2:$A$50,密度!$Q$2:$Q$50)</f>
        <v>178725.57399240002</v>
      </c>
      <c r="AD7" s="73" ph="1">
        <f>AD6*20.428*LOOKUP(AD8,密度!$A$2:$A$50,密度!$V$2:$V$50)</f>
        <v>83294.369222399997</v>
      </c>
      <c r="AE7" s="73" ph="1">
        <f>AE6*20.428</f>
        <v>62244.116000000002</v>
      </c>
    </row>
    <row r="8" spans="1:99" ph="1">
      <c r="B8" s="237" ph="1"/>
      <c r="C8" s="68" t="s" ph="1">
        <v>180</v>
      </c>
      <c r="D8" s="74">
        <v>28</v>
      </c>
      <c r="E8" s="74">
        <v>28</v>
      </c>
      <c r="F8" s="74">
        <v>27</v>
      </c>
      <c r="G8" s="74">
        <v>28</v>
      </c>
      <c r="H8" s="74">
        <v>27</v>
      </c>
      <c r="I8" s="74">
        <v>25</v>
      </c>
      <c r="J8" s="74">
        <v>25</v>
      </c>
      <c r="K8" s="74">
        <v>25</v>
      </c>
      <c r="L8" s="74">
        <v>25</v>
      </c>
      <c r="M8" s="74">
        <v>29</v>
      </c>
      <c r="N8" s="74">
        <v>28</v>
      </c>
      <c r="O8" s="74">
        <v>31</v>
      </c>
      <c r="P8" s="74">
        <v>28</v>
      </c>
      <c r="Q8" s="74">
        <v>27</v>
      </c>
      <c r="R8" s="74">
        <v>34</v>
      </c>
      <c r="S8" s="74">
        <v>15</v>
      </c>
      <c r="T8" s="74">
        <v>24</v>
      </c>
      <c r="U8" s="74">
        <v>28</v>
      </c>
      <c r="V8" s="74">
        <v>28</v>
      </c>
      <c r="W8" s="74">
        <v>27</v>
      </c>
      <c r="X8" s="74">
        <v>21</v>
      </c>
      <c r="Y8" s="74">
        <v>27</v>
      </c>
      <c r="Z8" s="74">
        <v>26</v>
      </c>
      <c r="AA8" s="74">
        <v>28</v>
      </c>
      <c r="AB8" s="74">
        <v>23</v>
      </c>
      <c r="AC8" s="74">
        <v>27</v>
      </c>
      <c r="AD8" s="74">
        <v>26</v>
      </c>
      <c r="AE8" s="74">
        <v>29</v>
      </c>
    </row>
    <row r="9" spans="1:99" ht="26.65" ph="1">
      <c r="B9" s="237" ph="1">
        <v>0.66666666666666663</v>
      </c>
      <c r="C9" s="147" t="s" ph="1">
        <v>181</v>
      </c>
      <c r="D9" s="71">
        <v>4775</v>
      </c>
      <c r="E9" s="71">
        <v>8108</v>
      </c>
      <c r="F9" s="71">
        <v>6820</v>
      </c>
      <c r="G9" s="71">
        <v>4903</v>
      </c>
      <c r="H9" s="71">
        <v>6057</v>
      </c>
      <c r="I9" s="71">
        <v>51.65</v>
      </c>
      <c r="J9" s="71">
        <v>7.73</v>
      </c>
      <c r="K9" s="71">
        <v>7.02</v>
      </c>
      <c r="L9" s="71">
        <v>10.51</v>
      </c>
      <c r="M9" s="71">
        <v>4437</v>
      </c>
      <c r="N9" s="71">
        <v>1874</v>
      </c>
      <c r="O9" s="71">
        <v>64</v>
      </c>
      <c r="P9" s="71">
        <v>4489</v>
      </c>
      <c r="Q9" s="71">
        <v>0</v>
      </c>
      <c r="R9" s="71">
        <v>0</v>
      </c>
      <c r="S9" s="71">
        <v>0</v>
      </c>
      <c r="T9" s="71">
        <v>0</v>
      </c>
      <c r="U9" s="71">
        <v>3821</v>
      </c>
      <c r="V9" s="71">
        <v>4950</v>
      </c>
      <c r="W9" s="71">
        <v>6500</v>
      </c>
      <c r="X9" s="71">
        <v>5850</v>
      </c>
      <c r="Y9" s="71">
        <v>0</v>
      </c>
      <c r="Z9" s="71">
        <v>3322</v>
      </c>
      <c r="AA9" s="71">
        <v>555</v>
      </c>
      <c r="AB9" s="71">
        <v>2210</v>
      </c>
      <c r="AC9" s="71">
        <v>3847</v>
      </c>
      <c r="AD9" s="71">
        <v>4375</v>
      </c>
      <c r="AE9" s="71">
        <v>2929</v>
      </c>
    </row>
    <row r="10" spans="1:99" s="72" customFormat="1" ht="22.4" ph="1">
      <c r="B10" s="237" ph="1"/>
      <c r="C10" s="147" t="s" ph="1">
        <v>179</v>
      </c>
      <c r="D10" s="73" ph="1">
        <f>D9*33.183*LOOKUP(D11,密度!$A$2:$A$50,密度!$Q$2:$Q$50)</f>
        <v>149350.69346850002</v>
      </c>
      <c r="E10" s="73" ph="1">
        <f>E9*51.53*LOOKUP(E11,密度!$A$2:$A$50,密度!$B$2:$B$50)</f>
        <v>323172.35313999996</v>
      </c>
      <c r="F10" s="73" ph="1">
        <f>F9*33.183*LOOKUP(F11,密度!$A$2:$A$50,密度!$C$2:$C$50)</f>
        <v>249866.72904600002</v>
      </c>
      <c r="G10" s="73" ph="1">
        <f xml:space="preserve"> (G9+2)*51.53*LOOKUP(G11,密度!$A$2:$A$50,密度!$B$2:$B$50)</f>
        <v>195733.20095999999</v>
      </c>
      <c r="H10" s="73" ph="1">
        <f>(H9)*51.53*LOOKUP(H11,密度!$A$2:$A$50,密度!$B$2:$B$50)</f>
        <v>241703.56742400001</v>
      </c>
      <c r="I10" s="73" ph="1">
        <f>I9*290.8*1.0267</f>
        <v>15420.849193999999</v>
      </c>
      <c r="J10" s="73" ph="1">
        <f>J9*290.8*0.7892</f>
        <v>1774.0300528</v>
      </c>
      <c r="K10" s="73" ph="1">
        <f>K9*290.8*1.1126</f>
        <v>2271.2794416000002</v>
      </c>
      <c r="L10" s="73" ph="1">
        <f>L9*290.8*0.777</f>
        <v>2374.7513159999999</v>
      </c>
      <c r="M10" s="73" ph="1">
        <f>M9*33.183*LOOKUP(M11,密度!$A$2:$A$50,密度!$D$2:$D$50)</f>
        <v>149691.76161569997</v>
      </c>
      <c r="N10" s="73" ph="1">
        <f>N9*33.183*LOOKUP(N11,密度!$A$2:$A$50,密度!$E$2:$E$50)</f>
        <v>48283.498215899999</v>
      </c>
      <c r="O10" s="73" ph="1">
        <f>O9*20.428*LOOKUP(O11,密度!$A$2:$A$50,密度!$C$2:$C$50)</f>
        <v>1425.5802368000002</v>
      </c>
      <c r="P10" s="73" ph="1">
        <f>P9*51.53*LOOKUP(P11,密度!$A$2:$A$50,密度!$B$2:$B$50)</f>
        <v>178739.54995900003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25172.500399199998</v>
      </c>
      <c r="V10" s="73" ph="1">
        <f>V9*1.5*1.5*3.1416*LOOKUP(V11,密度!$A$2:$A$50,密度!$L$2:$L$50)</f>
        <v>32505.310530000002</v>
      </c>
      <c r="W10" s="73" ph="1">
        <f>W9*1.5*1.5*3.1416*LOOKUP(W11,密度!$A$2:$A$50,密度!$L$2:$L$50)</f>
        <v>42867.524700000002</v>
      </c>
      <c r="X10" s="73" ph="1">
        <f>X9*1.5*1.5*3.1416*LOOKUP(X11,密度!$A$2:$A$50,密度!$L$2:$L$50)</f>
        <v>38746.177470000002</v>
      </c>
      <c r="Y10" s="73" ph="1">
        <f>Y9*1.5*1.5*3.1416*LOOKUP(Y11,密度!$A$2:$A$50,密度!$L$2:$L$50)</f>
        <v>0</v>
      </c>
      <c r="Z10" s="73" ph="1">
        <f>Z9*33.183*LOOKUP(Z11,密度!$A$2:$A$50,密度!$L$2:$L$50)</f>
        <v>102407.31725399999</v>
      </c>
      <c r="AA10" s="73" ph="1">
        <f>AA9*33.183*LOOKUP(AA11,密度!$A$2:$A$50,密度!$D$2:$D$50)</f>
        <v>18562.976691749998</v>
      </c>
      <c r="AB10" s="73" ph="1">
        <f>AB9*20.428*LOOKUP(AB11,密度!$A$2:$A$50,密度!$D$2:$D$50)</f>
        <v>46351.274996</v>
      </c>
      <c r="AC10" s="73" ph="1">
        <f>AC9*51.53*LOOKUP(AC11,密度!$A$2:$A$50,密度!$Q$2:$Q$50)</f>
        <v>186589.55028750002</v>
      </c>
      <c r="AD10" s="73" ph="1">
        <f>AD9*20.428*LOOKUP(AD11,密度!$A$2:$A$50,密度!$V$2:$V$50)</f>
        <v>85583.106</v>
      </c>
      <c r="AE10" s="73" ph="1">
        <f>AE9*20.428</f>
        <v>59833.612000000001</v>
      </c>
    </row>
    <row r="11" spans="1:99" ph="1">
      <c r="A11" s="64" t="s" ph="1">
        <v>163</v>
      </c>
      <c r="B11" s="237" ph="1"/>
      <c r="C11" s="147" t="s" ph="1">
        <v>180</v>
      </c>
      <c r="D11" s="74">
        <v>31</v>
      </c>
      <c r="E11" s="74">
        <v>32</v>
      </c>
      <c r="F11" s="74">
        <v>31</v>
      </c>
      <c r="G11" s="74">
        <v>31</v>
      </c>
      <c r="H11" s="74">
        <v>31</v>
      </c>
      <c r="I11" s="74">
        <v>25</v>
      </c>
      <c r="J11" s="74">
        <v>25</v>
      </c>
      <c r="K11" s="74">
        <v>25</v>
      </c>
      <c r="L11" s="74">
        <v>25</v>
      </c>
      <c r="M11" s="74">
        <v>36</v>
      </c>
      <c r="N11" s="74">
        <v>31</v>
      </c>
      <c r="O11" s="74">
        <v>44</v>
      </c>
      <c r="P11" s="74">
        <v>33</v>
      </c>
      <c r="Q11" s="74">
        <v>39</v>
      </c>
      <c r="R11" s="74">
        <v>40</v>
      </c>
      <c r="S11" s="74">
        <v>29</v>
      </c>
      <c r="T11" s="74">
        <v>37</v>
      </c>
      <c r="U11" s="74">
        <v>30</v>
      </c>
      <c r="V11" s="74">
        <v>33</v>
      </c>
      <c r="W11" s="74">
        <v>29</v>
      </c>
      <c r="X11" s="74">
        <v>25</v>
      </c>
      <c r="Y11" s="74">
        <v>33</v>
      </c>
      <c r="Z11" s="74">
        <v>33</v>
      </c>
      <c r="AA11" s="74">
        <v>46</v>
      </c>
      <c r="AB11" s="74">
        <v>25</v>
      </c>
      <c r="AC11" s="74">
        <v>33</v>
      </c>
      <c r="AD11" s="74">
        <v>33</v>
      </c>
      <c r="AE11" s="74">
        <v>32</v>
      </c>
    </row>
    <row r="12" spans="1:99" ht="9.85" customHeight="1" ph="1"/>
    <row r="13" spans="1:99" s="72" customFormat="1" ht="29.2" customHeight="1" ph="1">
      <c r="B13" s="214" t="s" ph="1">
        <v>37</v>
      </c>
      <c r="C13" s="147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.2" ph="1">
      <c r="B14" s="215" ph="1"/>
      <c r="C14" s="67" t="s" ph="1">
        <v>36</v>
      </c>
      <c r="D14" s="77" t="s" ph="1">
        <v>622</v>
      </c>
      <c r="E14" s="77" t="s" ph="1">
        <v>622</v>
      </c>
      <c r="F14" s="77" t="s" ph="1">
        <v>645</v>
      </c>
      <c r="G14" s="77" t="s" ph="1">
        <v>623</v>
      </c>
      <c r="H14" s="77" t="s" ph="1">
        <v>624</v>
      </c>
      <c r="I14" s="140" t="s" ph="1">
        <v>625</v>
      </c>
      <c r="J14" s="77" t="s" ph="1">
        <v>626</v>
      </c>
      <c r="K14" s="77" t="s" ph="1">
        <v>187</v>
      </c>
      <c r="L14" s="77" t="s" ph="1">
        <v>41</v>
      </c>
      <c r="M14" s="104" t="s" ph="1">
        <v>627</v>
      </c>
      <c r="N14" s="104" t="s" ph="1">
        <v>628</v>
      </c>
      <c r="O14" s="104" t="s" ph="1">
        <v>626</v>
      </c>
      <c r="P14" s="77" t="s" ph="1">
        <v>629</v>
      </c>
      <c r="Q14" s="77" t="s" ph="1">
        <v>629</v>
      </c>
      <c r="R14" s="88" t="s" ph="1">
        <v>640</v>
      </c>
      <c r="S14" s="77" t="s" ph="1">
        <v>71</v>
      </c>
      <c r="T14" s="77" t="s" ph="1">
        <v>631</v>
      </c>
      <c r="U14" s="77" t="s" ph="1">
        <v>610</v>
      </c>
      <c r="V14" s="77" t="s" ph="1">
        <v>110</v>
      </c>
      <c r="W14" s="77" t="s" ph="1">
        <v>629</v>
      </c>
      <c r="X14" s="77" t="s" ph="1">
        <v>632</v>
      </c>
      <c r="Y14" s="138" t="s" ph="1">
        <v>0</v>
      </c>
      <c r="Z14" s="77" t="s" ph="1">
        <v>54</v>
      </c>
      <c r="AA14" s="77" t="s" ph="1">
        <v>619</v>
      </c>
      <c r="AB14" s="77" t="s" ph="1">
        <v>650</v>
      </c>
      <c r="AC14" s="77" t="s" ph="1">
        <v>650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16" ph="1">
        <v>0.33333333333333331</v>
      </c>
      <c r="C15" s="147" t="s" ph="1">
        <v>178</v>
      </c>
      <c r="D15" s="78">
        <v>5073</v>
      </c>
      <c r="E15" s="78">
        <v>532</v>
      </c>
      <c r="F15" s="78">
        <v>3632</v>
      </c>
      <c r="G15" s="78">
        <v>5047</v>
      </c>
      <c r="H15" s="78">
        <v>4380</v>
      </c>
      <c r="I15" s="78">
        <v>5149</v>
      </c>
      <c r="J15" s="78">
        <v>2005</v>
      </c>
      <c r="K15" s="78">
        <v>2578</v>
      </c>
      <c r="L15" s="78">
        <v>4777</v>
      </c>
      <c r="M15" s="78">
        <v>5811</v>
      </c>
      <c r="N15" s="78">
        <v>1207</v>
      </c>
      <c r="O15" s="78">
        <v>6127</v>
      </c>
      <c r="P15" s="78">
        <v>2083</v>
      </c>
      <c r="Q15" s="78">
        <v>3406</v>
      </c>
      <c r="R15" s="78">
        <v>157</v>
      </c>
      <c r="S15" s="78">
        <v>5701</v>
      </c>
      <c r="T15" s="78">
        <v>6709</v>
      </c>
      <c r="U15" s="78">
        <v>2943</v>
      </c>
      <c r="V15" s="78">
        <v>-140</v>
      </c>
      <c r="W15" s="71">
        <v>-27</v>
      </c>
      <c r="X15" s="78">
        <v>-88</v>
      </c>
      <c r="Y15" s="106">
        <v>-9907</v>
      </c>
      <c r="Z15" s="78">
        <v>0</v>
      </c>
      <c r="AA15" s="78">
        <v>6188</v>
      </c>
      <c r="AB15" s="78" ph="1">
        <v>3</v>
      </c>
      <c r="AC15" s="78" ph="1">
        <v>4780</v>
      </c>
      <c r="AD15" s="78">
        <v>60.12</v>
      </c>
      <c r="AE15" s="78">
        <v>84.45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4" ph="1">
      <c r="B16" s="217" ph="1"/>
      <c r="C16" s="147" t="s" ph="1">
        <v>179</v>
      </c>
      <c r="D16" s="73" ph="1">
        <f>D15*7.0686*LOOKUP(D17,密度!$A$2:$A$50,密度!$L$2:$L$50)</f>
        <v>33456.4542774</v>
      </c>
      <c r="E16" s="73" ph="1">
        <f>E15*7.0686*LOOKUP(E17,密度!$A$2:$A$50,密度!$L$2:$L$50)</f>
        <v>3508.5420216000002</v>
      </c>
      <c r="F16" s="73" ph="1">
        <f>F15*9.0746*LOOKUP(F17,密度!$A$2:$A$50,密度!$L$2:$L$50)</f>
        <v>30849.574579200005</v>
      </c>
      <c r="G16" s="73" ph="1">
        <f>G15*9.0746*LOOKUP(G17,密度!$A$2:$A$50,密度!$B$2:$B$50)</f>
        <v>35549.576712440001</v>
      </c>
      <c r="H16" s="73" ph="1">
        <f>H15*9.0746*LOOKUP(H17,密度!$A$2:$A$50,密度!$L$2:$L$50)</f>
        <v>37242.702876000003</v>
      </c>
      <c r="I16" s="73" ph="1">
        <f>I15*9.0746*LOOKUP(I17,密度!$A$2:$A$50,密度!$U$2:$U$50)</f>
        <v>47799.793054199996</v>
      </c>
      <c r="J16" s="73" ph="1">
        <f>J15*9.0746*LOOKUP(J17,密度!$A$2:$A$50,密度!$L$2:$L$50)</f>
        <v>16975.536609000002</v>
      </c>
      <c r="K16" s="73" ph="1">
        <f>K15*9.0746*LOOKUP(K17,密度!$A$2:$A$50,密度!$C$2:$C$50)</f>
        <v>25888.153184080002</v>
      </c>
      <c r="L16" s="73" ph="1">
        <f>L15*9.0746*LOOKUP(L17,密度!$A$2:$A$50,密度!$E$2:$E$50)</f>
        <v>33803.834203160004</v>
      </c>
      <c r="M16" s="73" ph="1">
        <f>M15*9.0746*LOOKUP(M17,密度!$A$2:$A$50,密度!$M$2:$M$50)</f>
        <v>45872.00227194</v>
      </c>
      <c r="N16" s="73" ph="1">
        <f>N15*9.0746*LOOKUP(N17,密度!$A$2:$A$50,密度!$M$2:$M$50)</f>
        <v>9574.0541870199995</v>
      </c>
      <c r="O16" s="73" ph="1">
        <f>O15*9.0746*LOOKUP(O17,密度!$A$2:$A$50,密度!$G$2:$G$50)</f>
        <v>53148.110927779999</v>
      </c>
      <c r="P16" s="73" ph="1">
        <f ca="1">P15*9.0746*LOOKUP(P17,密度!$A$2:$A$51,密度!$Q$2:$Q$50)</f>
        <v>17855.577342116001</v>
      </c>
      <c r="Q16" s="73" ph="1">
        <f>Q15*9.0746*LOOKUP(Q17,密度!$A$2:$A$50,密度!$Q$2:$Q$50)</f>
        <v>29175.071128268002</v>
      </c>
      <c r="R16" s="73" ph="1">
        <f>MAX(R15*9.0746*LOOKUP(R17,密度!$A$2:$A$50,密度!$B$2:$B$50),0)</f>
        <v>1105.8616096399999</v>
      </c>
      <c r="S16" s="73" ph="1">
        <f>S15*9.0746*LOOKUP(S17,密度!$A$2:$A$50,密度!$Q$2:$Q$50)</f>
        <v>48802.512125018002</v>
      </c>
      <c r="T16" s="73" ph="1">
        <f>T15*9.0746*LOOKUP(T17,密度!$A$2:$A$50,密度!$O$2:$O$50)</f>
        <v>56376.261036399999</v>
      </c>
      <c r="U16" s="73" ph="1">
        <f>U15*9.0746*LOOKUP(U17,密度!$A$2:$A$50,密度!$H$2:$H$50)</f>
        <v>24380.407486620003</v>
      </c>
      <c r="V16" s="73" ph="1">
        <f>MAX(5600*LOOKUP(V17,密度!$A$2:$A$50,密度!$Q$2:$Q$50)+V15*9.0476*LOOKUP(V17,密度!$A$2:$A$50,密度!$Q$2:$Q$50),0)</f>
        <v>4093.3558523200004</v>
      </c>
      <c r="W16" s="73" ph="1">
        <f>MAX(5600*LOOKUP(W17,密度!$A$2:$A$50,密度!$Q$2:$Q$50)+W15*9.0476*LOOKUP(W17,密度!$A$2:$A$50,密度!$Q$2:$Q$50),0)</f>
        <v>5052.2064422840003</v>
      </c>
      <c r="X16" s="73" ph="1">
        <f>MAX(5600*LOOKUP(X17,密度!$A$2:$A$50,密度!$I$2:$I$50)+X15*9.0476*LOOKUP(X17,密度!$A$2:$A$50,密度!$I$2:$I$50),0)</f>
        <v>4979.6306899199999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43485.367045119994</v>
      </c>
      <c r="AB16" s="73" ph="1">
        <f>AB15*9.0746*LOOKUP(AB17,密度!$A$2:$A$50,密度!$L$2:$L$50)</f>
        <v>25.454253000000001</v>
      </c>
      <c r="AC16" s="73" ph="1">
        <f>AC15*9.0746*LOOKUP(AC17,密度!$A$2:$A$50,密度!$L$2:$L$50)</f>
        <v>40383.603428000002</v>
      </c>
      <c r="AD16" s="73" ph="1">
        <f>AD15*268.68*LOOKUP(AD17,密度!$A$2:$A$50,密度!B2:B50)+IF(AD15&lt;=0,0,1566*LOOKUP(AD17,密度!$A$2:$A$50,密度!B2:B50))</f>
        <v>13813.76483136</v>
      </c>
      <c r="AE16" s="73" ph="1">
        <f>AE15*268.68*LOOKUP(AE17,密度!$A$2:$A$50,密度!B2:B50)+IF(AE15&lt;=0,0,1566*LOOKUP(AE17,密度!$A$2:$A$50,密度!B2:B50))</f>
        <v>18909.9978696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18" ph="1"/>
      <c r="C17" s="79" t="s" ph="1">
        <v>180</v>
      </c>
      <c r="D17" s="74">
        <v>29</v>
      </c>
      <c r="E17" s="74">
        <v>29</v>
      </c>
      <c r="F17" s="74">
        <v>26</v>
      </c>
      <c r="G17" s="74">
        <v>29</v>
      </c>
      <c r="H17" s="74">
        <v>25</v>
      </c>
      <c r="I17" s="74">
        <v>27</v>
      </c>
      <c r="J17" s="74">
        <v>29</v>
      </c>
      <c r="K17" s="74">
        <v>28</v>
      </c>
      <c r="L17" s="74">
        <v>28</v>
      </c>
      <c r="M17" s="74">
        <v>30</v>
      </c>
      <c r="N17" s="74">
        <v>26</v>
      </c>
      <c r="O17" s="74">
        <v>29</v>
      </c>
      <c r="P17" s="74">
        <v>28</v>
      </c>
      <c r="Q17" s="74">
        <v>29</v>
      </c>
      <c r="R17" s="74">
        <v>29</v>
      </c>
      <c r="S17" s="74">
        <v>30</v>
      </c>
      <c r="T17" s="74">
        <v>26</v>
      </c>
      <c r="U17" s="74">
        <v>27</v>
      </c>
      <c r="V17" s="74">
        <v>28</v>
      </c>
      <c r="W17" s="74">
        <v>30</v>
      </c>
      <c r="X17" s="74">
        <v>30</v>
      </c>
      <c r="Y17" s="108">
        <v>30</v>
      </c>
      <c r="Z17" s="74">
        <v>27</v>
      </c>
      <c r="AA17" s="74">
        <v>31</v>
      </c>
      <c r="AB17" s="74">
        <v>27</v>
      </c>
      <c r="AC17" s="74">
        <v>31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65" ph="1">
      <c r="B18" s="216" ph="1">
        <v>0.66666666666666663</v>
      </c>
      <c r="C18" s="79" t="s" ph="1">
        <v>181</v>
      </c>
      <c r="D18" s="71">
        <v>4456</v>
      </c>
      <c r="E18" s="71">
        <v>73</v>
      </c>
      <c r="F18" s="71">
        <v>3630</v>
      </c>
      <c r="G18" s="71">
        <v>5080</v>
      </c>
      <c r="H18" s="71">
        <v>4380</v>
      </c>
      <c r="I18" s="71">
        <v>4743</v>
      </c>
      <c r="J18" s="71">
        <v>2030</v>
      </c>
      <c r="K18" s="71">
        <v>2579</v>
      </c>
      <c r="L18" s="71">
        <v>4785</v>
      </c>
      <c r="M18" s="71">
        <v>5820</v>
      </c>
      <c r="N18" s="71">
        <v>2142</v>
      </c>
      <c r="O18" s="71">
        <v>6132</v>
      </c>
      <c r="P18" s="71">
        <v>2084</v>
      </c>
      <c r="Q18" s="71">
        <v>3402</v>
      </c>
      <c r="R18" s="71">
        <v>0</v>
      </c>
      <c r="S18" s="71">
        <v>5706</v>
      </c>
      <c r="T18" s="71">
        <v>6288</v>
      </c>
      <c r="U18" s="71">
        <v>2942</v>
      </c>
      <c r="V18" s="71">
        <v>-140</v>
      </c>
      <c r="W18" s="71">
        <v>-27</v>
      </c>
      <c r="X18" s="71">
        <v>-91</v>
      </c>
      <c r="Y18" s="109">
        <v>-9907</v>
      </c>
      <c r="Z18" s="71">
        <v>0</v>
      </c>
      <c r="AA18" s="71">
        <v>6185</v>
      </c>
      <c r="AB18" s="71">
        <v>22</v>
      </c>
      <c r="AC18" s="71">
        <v>4779</v>
      </c>
      <c r="AD18" s="71">
        <v>84.76</v>
      </c>
      <c r="AE18" s="71">
        <v>6.35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4" ph="1">
      <c r="B19" s="217" ph="1"/>
      <c r="C19" s="147" t="s" ph="1">
        <v>179</v>
      </c>
      <c r="D19" s="73" ph="1">
        <f>D18*7.0686*LOOKUP(D20,密度!$A$2:$A$50,密度!$L$2:$L$50)</f>
        <v>29355.839251200003</v>
      </c>
      <c r="E19" s="73" ph="1">
        <f>E18*7.0686*LOOKUP(E20,密度!$A$2:$A$50,密度!$L$2:$L$50)</f>
        <v>480.91926960000001</v>
      </c>
      <c r="F19" s="73" ph="1">
        <f>F18*9.0746*LOOKUP(F20,密度!$A$2:$A$50,密度!$L$2:$L$50)</f>
        <v>30470.238150000005</v>
      </c>
      <c r="G19" s="73" ph="1">
        <f>G18*9.0746*LOOKUP(G20,密度!$A$2:$A$50,密度!$B$2:$B$50)</f>
        <v>35740.529890400001</v>
      </c>
      <c r="H19" s="73" ph="1">
        <f>H18*9.0746*LOOKUP(H20,密度!$A$2:$A$50,密度!$L$2:$L$50)</f>
        <v>37043.969136</v>
      </c>
      <c r="I19" s="73" ph="1">
        <f>I18*9.0746*LOOKUP(I20,密度!$A$2:$A$50,密度!$U$2:$U$50)</f>
        <v>43514.276905799998</v>
      </c>
      <c r="J19" s="73" ph="1">
        <f>J18*9.0746*LOOKUP(J20,密度!$A$2:$A$50,密度!$L$2:$L$50)</f>
        <v>17076.673026000004</v>
      </c>
      <c r="K19" s="73" ph="1">
        <f>K18*9.0746*LOOKUP(K20,密度!$A$2:$A$50,密度!$C$2:$C$50)</f>
        <v>25813.942920199999</v>
      </c>
      <c r="L19" s="73" ph="1">
        <f>L18*9.0746*LOOKUP(L20,密度!$A$2:$A$50,密度!$E$2:$E$50)</f>
        <v>33665.914802520005</v>
      </c>
      <c r="M19" s="73" ph="1">
        <f>M18*9.0746*LOOKUP(M20,密度!$A$2:$A$50,密度!$M$2:$M$50)</f>
        <v>45777.739864440002</v>
      </c>
      <c r="N19" s="73" ph="1">
        <f>N18*9.0746*LOOKUP(N20,密度!$A$2:$A$50,密度!$M$2:$M$50)</f>
        <v>16949.755670400002</v>
      </c>
      <c r="O19" s="73" ph="1">
        <f>O18*9.0746*LOOKUP(O20,密度!$A$2:$A$50,密度!$G$2:$G$50)</f>
        <v>53069.619449111997</v>
      </c>
      <c r="P19" s="73" ph="1">
        <f ca="1">P18*9.0746*LOOKUP(P20,密度!$A$2:$A$51,密度!$Q$2:$Q$50)</f>
        <v>17839.753599112002</v>
      </c>
      <c r="Q19" s="73" ph="1">
        <f>Q18*9.0746*LOOKUP(Q20,密度!$A$2:$A$50,密度!$Q$2:$Q$50)</f>
        <v>29122.284906035999</v>
      </c>
      <c r="R19" s="73" ph="1">
        <f>MAX(R18*9.0746*LOOKUP(R20,密度!$A$2:$A$50,密度!$B$2:$B$50),0)</f>
        <v>0</v>
      </c>
      <c r="S19" s="73" ph="1">
        <f>S18*9.0746*LOOKUP(S20,密度!$A$2:$A$50,密度!$Q$2:$Q$50)</f>
        <v>48771.268912439999</v>
      </c>
      <c r="T19" s="73" ph="1">
        <f>T18*9.0746*LOOKUP(T20,密度!$A$2:$A$50,密度!$O$2:$O$50)</f>
        <v>52838.564524800007</v>
      </c>
      <c r="U19" s="73" ph="1">
        <f>U18*9.0746*LOOKUP(U20,密度!$A$2:$A$50,密度!$H$2:$H$50)</f>
        <v>24269.338012460001</v>
      </c>
      <c r="V19" s="73" ph="1">
        <f>MAX(5600*LOOKUP(V20,密度!$A$2:$A$50,密度!$Q$2:$Q$50)+V18*9.0476*LOOKUP(V20,密度!$A$2:$A$50,密度!$Q$2:$Q$50),0)</f>
        <v>4067.4858363999997</v>
      </c>
      <c r="W19" s="73" ph="1">
        <f>MAX(5600*LOOKUP(W20,密度!$A$2:$A$50,密度!$Q$2:$Q$50)+W18*9.0476*LOOKUP(W20,密度!$A$2:$A$50,密度!$Q$2:$Q$50),0)</f>
        <v>5034.0505691119997</v>
      </c>
      <c r="X19" s="73" ph="1">
        <f>MAX(5600*LOOKUP(X20,密度!$A$2:$A$50,密度!$I$2:$I$50)+X18*9.0476*LOOKUP(X20,密度!$A$2:$A$50,密度!$I$2:$I$50),0)</f>
        <v>4930.3815891120003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43413.771173499998</v>
      </c>
      <c r="AB19" s="73" ph="1">
        <f>AB18*9.0746*LOOKUP(AB20,密度!$A$2:$A$50,密度!$L$2:$L$50)</f>
        <v>185.26703360000002</v>
      </c>
      <c r="AC19" s="73" ph="1">
        <f>AC18*9.0746*LOOKUP(AC20,密度!$A$2:$A$50,密度!$L$2:$L$50)</f>
        <v>40288.419948600007</v>
      </c>
      <c r="AD19" s="73" ph="1">
        <f>AD18*268.68*LOOKUP(AD20,密度!$A$2:$A$50,密度!B5:B53)+IF(AD18&lt;=0,0,1566*LOOKUP(AD20,密度!$A$2:$A$50,密度!B5:B53))</f>
        <v>18911.649153599999</v>
      </c>
      <c r="AE19" s="73" ph="1">
        <f>AE18*268.68*LOOKUP(AE20,密度!$A$2:$A$50,密度!B5:B53)+IF(AE18&lt;=0,0,1566*LOOKUP(AE20,密度!$A$2:$A$50,密度!B5:B53))</f>
        <v>2542.4356859999998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17" ph="1"/>
      <c r="C20" s="80" t="s" ph="1">
        <v>180</v>
      </c>
      <c r="D20" s="81">
        <v>30</v>
      </c>
      <c r="E20" s="81">
        <v>30</v>
      </c>
      <c r="F20" s="81">
        <v>37</v>
      </c>
      <c r="G20" s="81">
        <v>30</v>
      </c>
      <c r="H20" s="81">
        <v>30</v>
      </c>
      <c r="I20" s="81">
        <v>40</v>
      </c>
      <c r="J20" s="81">
        <v>35</v>
      </c>
      <c r="K20" s="81">
        <v>32</v>
      </c>
      <c r="L20" s="81">
        <v>32</v>
      </c>
      <c r="M20" s="81">
        <v>33</v>
      </c>
      <c r="N20" s="81">
        <v>28</v>
      </c>
      <c r="O20" s="81">
        <v>31</v>
      </c>
      <c r="P20" s="81">
        <v>30</v>
      </c>
      <c r="Q20" s="81">
        <v>30</v>
      </c>
      <c r="R20" s="81">
        <v>32</v>
      </c>
      <c r="S20" s="81">
        <v>32</v>
      </c>
      <c r="T20" s="81">
        <v>29</v>
      </c>
      <c r="U20" s="81">
        <v>31</v>
      </c>
      <c r="V20" s="81">
        <v>37</v>
      </c>
      <c r="W20" s="81">
        <v>35</v>
      </c>
      <c r="X20" s="81">
        <v>34</v>
      </c>
      <c r="Y20" s="110">
        <v>34</v>
      </c>
      <c r="Z20" s="81">
        <v>35</v>
      </c>
      <c r="AA20" s="81">
        <v>32</v>
      </c>
      <c r="AB20" s="81">
        <v>34</v>
      </c>
      <c r="AC20" s="81">
        <v>33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15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633</v>
      </c>
      <c r="H23" s="88" t="s" ph="1">
        <v>633</v>
      </c>
      <c r="I23" s="88" t="s" ph="1">
        <v>634</v>
      </c>
      <c r="J23" s="88" t="s" ph="1">
        <v>635</v>
      </c>
      <c r="K23" s="88" t="s" ph="1">
        <v>635</v>
      </c>
      <c r="L23" s="88" t="s" ph="1">
        <v>635</v>
      </c>
      <c r="M23" s="88" t="s" ph="1">
        <v>630</v>
      </c>
      <c r="N23" s="88" t="s" ph="1">
        <v>630</v>
      </c>
      <c r="O23" s="88" t="s" ph="1">
        <v>321</v>
      </c>
      <c r="P23" s="88" t="s" ph="1">
        <v>637</v>
      </c>
      <c r="Q23" s="89" t="s" ph="1">
        <v>637</v>
      </c>
      <c r="R23" s="88" t="s" ph="1">
        <v>616</v>
      </c>
      <c r="S23" s="88" t="s" ph="1">
        <v>636</v>
      </c>
      <c r="T23" s="88" t="s" ph="1">
        <v>607</v>
      </c>
      <c r="U23" s="88" t="s" ph="1">
        <v>611</v>
      </c>
      <c r="V23" s="88" t="s" ph="1">
        <v>637</v>
      </c>
      <c r="W23" s="88" t="s" ph="1">
        <v>637</v>
      </c>
      <c r="X23" s="88" t="s" ph="1">
        <v>190</v>
      </c>
      <c r="Y23" s="88" t="s" ph="1">
        <v>638</v>
      </c>
      <c r="Z23" s="228" t="s" ph="1">
        <v>641</v>
      </c>
      <c r="AA23" s="229"/>
      <c r="AB23" s="229"/>
      <c r="AC23" s="229"/>
      <c r="AD23" s="229"/>
      <c r="AE23" s="230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37" ph="1">
        <v>0.33333333333333331</v>
      </c>
      <c r="C24" s="147" t="s" ph="1">
        <v>178</v>
      </c>
      <c r="D24" s="71">
        <v>3.51</v>
      </c>
      <c r="E24" s="71">
        <v>4.43</v>
      </c>
      <c r="F24" s="71">
        <v>2044</v>
      </c>
      <c r="G24" s="71">
        <v>423</v>
      </c>
      <c r="H24" s="71">
        <v>2242</v>
      </c>
      <c r="I24" s="71">
        <v>2596</v>
      </c>
      <c r="J24" s="71">
        <v>885</v>
      </c>
      <c r="K24" s="71">
        <v>5511</v>
      </c>
      <c r="L24" s="71">
        <v>5607</v>
      </c>
      <c r="M24" s="71">
        <v>1070</v>
      </c>
      <c r="N24" s="71">
        <v>5643</v>
      </c>
      <c r="O24" s="71">
        <v>5158</v>
      </c>
      <c r="P24" s="71">
        <v>996</v>
      </c>
      <c r="Q24" s="90">
        <v>2867</v>
      </c>
      <c r="R24" s="71">
        <v>70</v>
      </c>
      <c r="S24" s="71">
        <v>1254</v>
      </c>
      <c r="T24" s="71">
        <v>1762</v>
      </c>
      <c r="U24" s="71">
        <v>6233</v>
      </c>
      <c r="V24" s="71">
        <v>9393</v>
      </c>
      <c r="W24" s="71">
        <v>10743</v>
      </c>
      <c r="X24" s="71">
        <v>5275</v>
      </c>
      <c r="Y24" s="71">
        <v>4883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37" ph="1"/>
      <c r="C25" s="68" t="s" ph="1">
        <v>179</v>
      </c>
      <c r="D25" s="91" ph="1">
        <f>D24*268.68*LOOKUP(D26,密度!$A$2:$A$50,密度!$Q$2:$Q$50)+IF(D24&lt;=0,0,1566*LOOKUP(D26,密度!$A$2:$A$50,密度!$Q$2:$Q$50))</f>
        <v>2375.433902232</v>
      </c>
      <c r="E25" s="91" ph="1">
        <f>E24*268.68*LOOKUP(E26,密度!$A$2:$A$50,密度!$C$2:$C$50)+IF(E24&lt;=0,0,1566*LOOKUP(E26,密度!$A$2:$A$50,密度!$C$2:$C$50))</f>
        <v>3056.4082863599997</v>
      </c>
      <c r="F25" s="91" ph="1">
        <f>F24*11.702*LOOKUP(F26,密度!$A$2:$A$50,密度!$Q$2:$Q$50)</f>
        <v>22563.40461704</v>
      </c>
      <c r="G25" s="91" ph="1">
        <f>G24*18.322*LOOKUP(G26,密度!$A$2:$A$50,密度!$B$2:$B$50)</f>
        <v>6021.9100619999999</v>
      </c>
      <c r="H25" s="91" ph="1">
        <f>H24*18.322*LOOKUP(H26,密度!$A$2:$A$50,密度!$B$2:$B$50)</f>
        <v>31917.546947999999</v>
      </c>
      <c r="I25" s="91" ph="1">
        <f>I24*18.322*LOOKUP(I26,密度!$A$2:$A$50,密度!$Q$2:$Q$50)</f>
        <v>44897.003454159996</v>
      </c>
      <c r="J25" s="91" ph="1">
        <f>J24*18.322*LOOKUP(J26,密度!$A$2:$A$50,密度!$Q$2:$Q$50)</f>
        <v>15305.7966321</v>
      </c>
      <c r="K25" s="91" ph="1">
        <f>K24*18.322*LOOKUP(K26,密度!$A$2:$A$50,密度!$Q$2:$Q$50)</f>
        <v>95250.428044860004</v>
      </c>
      <c r="L25" s="91" ph="1">
        <f>L24*18.322*LOOKUP(L26,密度!$A$2:$A$50,密度!$Q$2:$Q$50)</f>
        <v>96909.662501819999</v>
      </c>
      <c r="M25" s="91" ph="1">
        <f>M24*18.322*LOOKUP(M26,密度!$A$2:$A$50,密度!$Q$2:$Q$50)</f>
        <v>18505.3134422</v>
      </c>
      <c r="N25" s="91" ph="1">
        <f>N24*18.322*LOOKUP(N26,密度!$A$2:$A$50,密度!$Q$2:$Q$50)</f>
        <v>97593.910050780003</v>
      </c>
      <c r="O25" s="91" ph="1">
        <f>O24*18.322*LOOKUP(O26,密度!$A$2:$A$50,密度!$C$2:$C$50)</f>
        <v>104437.33846759998</v>
      </c>
      <c r="P25" s="91" ph="1">
        <f>P24*11.702*LOOKUP(P26,密度!$A$2:$A$50,密度!$B$2:$B$50)</f>
        <v>9036.2703575999985</v>
      </c>
      <c r="Q25" s="92" ph="1">
        <f>Q24*18.322*LOOKUP(Q26,密度!$A$2:$A$50,密度!$B$2:$B$50)</f>
        <v>40631.316089</v>
      </c>
      <c r="R25" s="91" ph="1">
        <f>R24*35.891*LOOKUP(R26,密度!$A$2:$A$50,密度!$C$2:$C$50)</f>
        <v>2771.1441099999997</v>
      </c>
      <c r="S25" s="91" ph="1">
        <f>S24*35.891*LOOKUP(S26,密度!$A$2:$A$50,密度!$B$2:$B$50)</f>
        <v>34853.663961599996</v>
      </c>
      <c r="T25" s="91" ph="1">
        <f>T24*35.891*LOOKUP(T26,密度!$A$2:$A$50,密度!$Q$2:$Q$50)</f>
        <v>59608.704530359995</v>
      </c>
      <c r="U25" s="91" ph="1">
        <f>U24*35.891</f>
        <v>223708.603</v>
      </c>
      <c r="V25" s="91" ph="1">
        <f>V24*47.051*LOOKUP(V26,密度!$A$2:$A$50,密度!$B$2:$B$50)</f>
        <v>341848.35826050001</v>
      </c>
      <c r="W25" s="91" ph="1">
        <f>W24*47.051*LOOKUP(W26,密度!$A$2:$A$50,密度!$B$2:$B$50)</f>
        <v>392344.95474660001</v>
      </c>
      <c r="X25" s="91" ph="1">
        <f>X24*47.051*LOOKUP(X26,密度!$A$2:$A$50,密度!$I$2:$I$50)</f>
        <v>257007.39482775002</v>
      </c>
      <c r="Y25" s="91" ph="1">
        <f>Y24*47.051*LOOKUP(Y26,密度!$A$2:$A$50,密度!$L$2:$L$50)</f>
        <v>213667.53069000001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37" ph="1"/>
      <c r="C26" s="68" t="s" ph="1">
        <v>180</v>
      </c>
      <c r="D26" s="74">
        <v>25</v>
      </c>
      <c r="E26" s="74">
        <v>25</v>
      </c>
      <c r="F26" s="74">
        <v>30</v>
      </c>
      <c r="G26" s="74">
        <v>28</v>
      </c>
      <c r="H26" s="74">
        <v>28</v>
      </c>
      <c r="I26" s="74">
        <v>29</v>
      </c>
      <c r="J26" s="74">
        <v>29</v>
      </c>
      <c r="K26" s="74">
        <v>30</v>
      </c>
      <c r="L26" s="74">
        <v>30</v>
      </c>
      <c r="M26" s="74">
        <v>29</v>
      </c>
      <c r="N26" s="74">
        <v>29</v>
      </c>
      <c r="O26" s="74">
        <v>30</v>
      </c>
      <c r="P26" s="74">
        <v>30</v>
      </c>
      <c r="Q26" s="93">
        <v>32</v>
      </c>
      <c r="R26" s="74">
        <v>32</v>
      </c>
      <c r="S26" s="74">
        <v>31</v>
      </c>
      <c r="T26" s="74">
        <v>31</v>
      </c>
      <c r="U26" s="74">
        <v>31</v>
      </c>
      <c r="V26" s="74">
        <v>32</v>
      </c>
      <c r="W26" s="74">
        <v>29</v>
      </c>
      <c r="X26" s="74">
        <v>31</v>
      </c>
      <c r="Y26" s="74">
        <v>32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65" ph="1">
      <c r="A27" s="72" ph="1"/>
      <c r="B27" s="237" ph="1">
        <v>0.66666666666666663</v>
      </c>
      <c r="C27" s="147" t="s" ph="1">
        <v>181</v>
      </c>
      <c r="D27" s="71">
        <v>3.54</v>
      </c>
      <c r="E27" s="71">
        <v>4.45</v>
      </c>
      <c r="F27" s="71">
        <v>1202</v>
      </c>
      <c r="G27" s="71">
        <v>0</v>
      </c>
      <c r="H27" s="71">
        <v>2131</v>
      </c>
      <c r="I27" s="71">
        <v>1709</v>
      </c>
      <c r="J27" s="71">
        <v>878</v>
      </c>
      <c r="K27" s="71">
        <v>5508</v>
      </c>
      <c r="L27" s="71">
        <v>5604</v>
      </c>
      <c r="M27" s="71">
        <v>1067</v>
      </c>
      <c r="N27" s="71">
        <v>5642</v>
      </c>
      <c r="O27" s="71">
        <v>5154</v>
      </c>
      <c r="P27" s="71">
        <v>3002</v>
      </c>
      <c r="Q27" s="90">
        <v>3577</v>
      </c>
      <c r="R27" s="71">
        <v>65</v>
      </c>
      <c r="S27" s="71">
        <v>1252</v>
      </c>
      <c r="T27" s="71">
        <v>1760</v>
      </c>
      <c r="U27" s="71">
        <v>6055</v>
      </c>
      <c r="V27" s="71">
        <v>9378</v>
      </c>
      <c r="W27" s="71">
        <v>10744</v>
      </c>
      <c r="X27" s="71">
        <v>5875</v>
      </c>
      <c r="Y27" s="71">
        <v>5427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37" ph="1"/>
      <c r="C28" s="147" t="s" ph="1">
        <v>179</v>
      </c>
      <c r="D28" s="91" ph="1">
        <f>D27*268.68*LOOKUP(D29,密度!$A$2:$A$50,密度!$Q$2:$Q$50)+IF(D27&lt;=0,0,1566*LOOKUP(D29,密度!$A$2:$A$50,密度!$Q$2:$Q$50))</f>
        <v>2383.0650053280001</v>
      </c>
      <c r="E28" s="91" ph="1">
        <f>E27*268.68*LOOKUP(E29,密度!$A$2:$A$50,密度!$C$2:$C$50)+IF(E27&lt;=0,0,1566*LOOKUP(E29,密度!$A$2:$A$50,密度!$C$2:$C$50))</f>
        <v>3062.3670714</v>
      </c>
      <c r="F28" s="91" ph="1">
        <f>F27*11.702*LOOKUP(F29,密度!$A$2:$A$50,密度!$Q$2:$Q$50)</f>
        <v>13239.438015</v>
      </c>
      <c r="G28" s="91" ph="1">
        <f>G27*18.322*LOOKUP(G29,密度!$A$2:$A$50,密度!$B$2:$B$50)</f>
        <v>0</v>
      </c>
      <c r="H28" s="91" ph="1">
        <f>H27*18.322*LOOKUP(H29,密度!$A$2:$A$50,密度!$B$2:$B$50)</f>
        <v>30200.674777</v>
      </c>
      <c r="I28" s="91" ph="1">
        <f>I27*18.322*LOOKUP(I29,密度!$A$2:$A$50,密度!$Q$2:$Q$50)</f>
        <v>29514.345848839999</v>
      </c>
      <c r="J28" s="91" ph="1">
        <f>J27*18.322*LOOKUP(J29,密度!$A$2:$A$50,密度!$Q$2:$Q$50)</f>
        <v>15152.077800399999</v>
      </c>
      <c r="K28" s="91" ph="1">
        <f>K27*18.322*LOOKUP(K29,密度!$A$2:$A$50,密度!$Q$2:$Q$50)</f>
        <v>95054.26483439999</v>
      </c>
      <c r="L28" s="91" ph="1">
        <f>L27*18.322*LOOKUP(L29,密度!$A$2:$A$50,密度!$Q$2:$Q$50)</f>
        <v>96780.804059039991</v>
      </c>
      <c r="M28" s="91" ph="1">
        <f>M27*18.322*LOOKUP(M29,密度!$A$2:$A$50,密度!$Q$2:$Q$50)</f>
        <v>18427.037460920001</v>
      </c>
      <c r="N28" s="91" ph="1">
        <f>N27*18.322*LOOKUP(N29,密度!$A$2:$A$50,密度!$Q$2:$Q$50)</f>
        <v>97299.576465000006</v>
      </c>
      <c r="O28" s="91" ph="1">
        <f>O27*18.322*LOOKUP(O29,密度!$A$2:$A$50,密度!$C$2:$C$50)</f>
        <v>104063.60997599999</v>
      </c>
      <c r="P28" s="91" ph="1">
        <f>P27*11.702*LOOKUP(P29,密度!$A$2:$A$50,密度!$B$2:$B$50)</f>
        <v>27204.210457600002</v>
      </c>
      <c r="Q28" s="92" ph="1">
        <f>Q27*18.322*LOOKUP(Q29,密度!$A$2:$A$50,密度!$B$2:$B$50)</f>
        <v>50752.467673599996</v>
      </c>
      <c r="R28" s="91" ph="1">
        <f>R27*35.891*LOOKUP(R29,密度!$A$2:$A$50,密度!$C$2:$C$50)</f>
        <v>2575.7714515000002</v>
      </c>
      <c r="S28" s="91" ph="1">
        <f>S27*35.891*LOOKUP(S29,密度!$A$2:$A$50,密度!$B$2:$B$50)</f>
        <v>34798.0759808</v>
      </c>
      <c r="T28" s="91" ph="1">
        <f>T27*35.891*LOOKUP(T29,密度!$A$2:$A$50,密度!$Q$2:$Q$50)</f>
        <v>59498.089903999993</v>
      </c>
      <c r="U28" s="91" ph="1">
        <f>U27*35.891</f>
        <v>217320.00499999998</v>
      </c>
      <c r="V28" s="91" ph="1">
        <f>V27*47.051*LOOKUP(V29,密度!$A$2:$A$50,密度!$B$2:$B$50)</f>
        <v>340949.45361060003</v>
      </c>
      <c r="W28" s="91" ph="1">
        <f>W27*47.051*LOOKUP(W29,密度!$A$2:$A$50,密度!$B$2:$B$50)</f>
        <v>390612.16992880002</v>
      </c>
      <c r="X28" s="91" ph="1">
        <f>X27*47.051*LOOKUP(X29,密度!$A$2:$A$50,密度!$I$2:$I$50)</f>
        <v>285626.80076625</v>
      </c>
      <c r="Y28" s="91" ph="1">
        <f>Y27*47.051*LOOKUP(Y29,密度!$A$2:$A$50,密度!$L$2:$L$50)</f>
        <v>236960.88105600001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37" ph="1"/>
      <c r="C29" s="147" t="s" ph="1">
        <v>180</v>
      </c>
      <c r="D29" s="74">
        <v>25</v>
      </c>
      <c r="E29" s="74">
        <v>25</v>
      </c>
      <c r="F29" s="74">
        <v>33</v>
      </c>
      <c r="G29" s="74">
        <v>32</v>
      </c>
      <c r="H29" s="74">
        <v>32</v>
      </c>
      <c r="I29" s="74">
        <v>31</v>
      </c>
      <c r="J29" s="74">
        <v>32</v>
      </c>
      <c r="K29" s="74">
        <v>32</v>
      </c>
      <c r="L29" s="74">
        <v>31</v>
      </c>
      <c r="M29" s="74">
        <v>31</v>
      </c>
      <c r="N29" s="74">
        <v>33</v>
      </c>
      <c r="O29" s="74">
        <v>33</v>
      </c>
      <c r="P29" s="74">
        <v>31</v>
      </c>
      <c r="Q29" s="93">
        <v>31</v>
      </c>
      <c r="R29" s="74">
        <v>31</v>
      </c>
      <c r="S29" s="74">
        <v>31</v>
      </c>
      <c r="T29" s="74">
        <v>32</v>
      </c>
      <c r="U29" s="74">
        <v>33</v>
      </c>
      <c r="V29" s="74">
        <v>33</v>
      </c>
      <c r="W29" s="74">
        <v>33</v>
      </c>
      <c r="X29" s="74">
        <v>33</v>
      </c>
      <c r="Y29" s="74">
        <v>34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45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47" t="s" ph="1">
        <v>5</v>
      </c>
      <c r="F32" s="148" t="s" ph="1">
        <v>43</v>
      </c>
      <c r="G32" s="97" t="s" ph="1">
        <v>4</v>
      </c>
      <c r="H32" s="147" t="s" ph="1">
        <v>5</v>
      </c>
      <c r="I32" s="148" t="s" ph="1">
        <v>43</v>
      </c>
      <c r="J32" s="97" t="s" ph="1">
        <v>4</v>
      </c>
      <c r="K32" s="147" t="s" ph="1">
        <v>5</v>
      </c>
      <c r="L32" s="148" t="s" ph="1">
        <v>43</v>
      </c>
      <c r="M32" s="97" t="s" ph="1">
        <v>4</v>
      </c>
      <c r="N32" s="147" t="s" ph="1">
        <v>5</v>
      </c>
      <c r="O32" s="14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7" t="s" ph="1">
        <v>5</v>
      </c>
      <c r="U32" s="99" t="s" ph="1">
        <v>43</v>
      </c>
      <c r="V32" s="97" t="s" ph="1">
        <v>4</v>
      </c>
      <c r="W32" s="147" t="s" ph="1">
        <v>5</v>
      </c>
      <c r="X32" s="99" t="s" ph="1">
        <v>43</v>
      </c>
      <c r="Y32" s="100" t="s" ph="1">
        <v>4</v>
      </c>
      <c r="Z32" s="147" t="s" ph="1">
        <v>5</v>
      </c>
      <c r="AA32" s="148" t="s" ph="1">
        <v>43</v>
      </c>
      <c r="AB32" s="97" t="s" ph="1">
        <v>85</v>
      </c>
      <c r="AC32" s="147" t="s" ph="1">
        <v>84</v>
      </c>
      <c r="AD32" s="204" t="s" ph="1">
        <v>83</v>
      </c>
      <c r="AE32" s="205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06" t="s" ph="1">
        <v>182</v>
      </c>
      <c r="C33" s="207" ph="1"/>
      <c r="D33" s="186" ph="1">
        <f>AA10+AB10+Z19</f>
        <v>64914.251687750002</v>
      </c>
      <c r="E33" s="186" ph="1">
        <f>M10+I10</f>
        <v>165112.61080969998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[[#This Row],[F25]]</f>
        <v>3880</v>
      </c>
      <c r="G33" s="212" ph="1">
        <v>0</v>
      </c>
      <c r="H33" s="186" ph="1">
        <f>N19</f>
        <v>16949.755670400002</v>
      </c>
      <c r="I33" s="190" ph="1">
        <v>0</v>
      </c>
      <c r="J33" s="194" ph="1">
        <f>F10+O28</f>
        <v>353930.33902200003</v>
      </c>
      <c r="K33" s="186" ph="1">
        <f>O10+K10+E28+R28</f>
        <v>9334.9982013000008</v>
      </c>
      <c r="L33" s="196" ph="1">
        <f>BE27</f>
        <v>7100</v>
      </c>
      <c r="M33" s="194" ph="1">
        <f>G10+H10+W28+S28+V28+E10</f>
        <v>1526968.8210442001</v>
      </c>
      <c r="N33" s="186" ph="1">
        <f>L10+P10++G28+H28</f>
        <v>211314.97605200004</v>
      </c>
      <c r="O33" s="190" ph="1">
        <f>BE17</f>
        <v>2270</v>
      </c>
      <c r="P33" s="194" ph="1">
        <f>L19</f>
        <v>33665.914802520005</v>
      </c>
      <c r="Q33" s="186" ph="1">
        <f>J10+N10</f>
        <v>50057.5282687</v>
      </c>
      <c r="R33" s="190" ph="1">
        <f>BE23</f>
        <v>890</v>
      </c>
      <c r="S33" s="194" ph="1">
        <f>E10+X28</f>
        <v>608799.15390624991</v>
      </c>
      <c r="T33" s="186" ph="1">
        <f>X19</f>
        <v>4930.3815891120003</v>
      </c>
      <c r="U33" s="175" ph="1">
        <f>BE21</f>
        <v>730</v>
      </c>
      <c r="V33" s="188" ph="1">
        <f ca="1">P19+Q19+S19+M28+N28+J28</f>
        <v>226611.999143908</v>
      </c>
      <c r="W33" s="188" ph="1">
        <f>D28+F28+V19+T28</f>
        <v>79188.078760727993</v>
      </c>
      <c r="X33" s="190" ph="1">
        <f>BE29+BE31</f>
        <v>10200</v>
      </c>
      <c r="Y33" s="192" ph="1">
        <f>+Q10+R10+S10+T10+U10+V10+W10+X10+Y10</f>
        <v>139291.5130992</v>
      </c>
      <c r="Z33" s="173" ph="1">
        <f>D10+T19+U19+Y28+Z10</f>
        <v>565826.79431576002</v>
      </c>
      <c r="AA33" s="175" ph="1">
        <f>BE19</f>
        <v>1440</v>
      </c>
      <c r="AB33" s="177" ph="1">
        <f>I19</f>
        <v>43514.276905799998</v>
      </c>
      <c r="AC33" s="179" ph="1">
        <f>AD10</f>
        <v>85583.106</v>
      </c>
      <c r="AD33" s="181" ph="1">
        <v>0</v>
      </c>
      <c r="AE33" s="182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85" t="s" ph="1">
        <v>639</v>
      </c>
      <c r="AD35" s="185"/>
      <c r="AE35" s="185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45" ph="1">
      <c r="A36" s="64"/>
      <c r="B36" s="103" t="s" ph="1">
        <v>183</v>
      </c>
      <c r="I36" s="171" t="s" ph="1">
        <v>184</v>
      </c>
      <c r="J36" s="171" ph="1"/>
      <c r="K36" s="101" ph="1"/>
      <c r="P36" s="101" ph="1"/>
      <c r="R36" s="171" t="s" ph="1">
        <v>185</v>
      </c>
      <c r="S36" s="171" ph="1"/>
      <c r="Y36" s="102" ph="1"/>
      <c r="Z36" s="149" t="s" ph="1">
        <v>186</v>
      </c>
      <c r="AA36" s="149" ph="1"/>
      <c r="AB36" s="172" t="s" ph="1">
        <v>644</v>
      </c>
      <c r="AC36" s="172" ph="1"/>
      <c r="AD36" s="172" ph="1"/>
      <c r="AE36" s="172" ph="1"/>
      <c r="BA36" s="64" ph="1">
        <v>2270</v>
      </c>
    </row>
    <row r="37" spans="1:57" s="14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9" t="s" ph="1">
        <v>345</v>
      </c>
      <c r="AI37" s="149" t="s" ph="1">
        <v>212</v>
      </c>
      <c r="AJ37" s="149" t="s" ph="1">
        <v>213</v>
      </c>
      <c r="AK37" s="149" t="s" ph="1">
        <v>214</v>
      </c>
      <c r="AM37" s="149" t="s" ph="1">
        <v>213</v>
      </c>
      <c r="AN37" s="149" t="s" ph="1">
        <v>214</v>
      </c>
      <c r="AO37" s="149" t="s" ph="1">
        <v>215</v>
      </c>
      <c r="AP37" s="149" t="s" ph="1">
        <v>213</v>
      </c>
      <c r="AQ37" s="149" t="s" ph="1">
        <v>214</v>
      </c>
      <c r="AR37" s="149" t="s" ph="1">
        <v>215</v>
      </c>
      <c r="AS37" s="149" t="s" ph="1">
        <v>213</v>
      </c>
      <c r="AT37" s="149" t="s" ph="1">
        <v>214</v>
      </c>
      <c r="AU37" s="149" t="s" ph="1">
        <v>215</v>
      </c>
      <c r="AV37" s="149" t="s" ph="1">
        <v>213</v>
      </c>
      <c r="AW37" s="149" t="s" ph="1">
        <v>214</v>
      </c>
      <c r="AX37" s="149" t="s" ph="1">
        <v>215</v>
      </c>
      <c r="AY37" s="149" t="s" ph="1">
        <v>214</v>
      </c>
      <c r="AZ37" s="149" t="s" ph="1">
        <v>216</v>
      </c>
      <c r="BD37" s="149" t="s" ph="1">
        <v>308</v>
      </c>
      <c r="BE37" s="149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523" priority="97">
      <formula>ABS(D$7-D$10)&gt;=1000</formula>
    </cfRule>
  </conditionalFormatting>
  <conditionalFormatting sqref="E4 E6:E11">
    <cfRule type="expression" dxfId="1522" priority="96">
      <formula>ABS(E$7-E$10)&gt;=1000</formula>
    </cfRule>
  </conditionalFormatting>
  <conditionalFormatting sqref="F4:F11">
    <cfRule type="expression" dxfId="1521" priority="95">
      <formula>ABS(F$7-F$10)&gt;=1000</formula>
    </cfRule>
  </conditionalFormatting>
  <conditionalFormatting sqref="G4:G11">
    <cfRule type="expression" dxfId="1520" priority="94">
      <formula>ABS(G$7-G$10)&gt;=1000</formula>
    </cfRule>
  </conditionalFormatting>
  <conditionalFormatting sqref="H4:H11">
    <cfRule type="expression" dxfId="1519" priority="93">
      <formula>ABS(H$7-H$10)&gt;=1000</formula>
    </cfRule>
  </conditionalFormatting>
  <conditionalFormatting sqref="I4:I11">
    <cfRule type="expression" dxfId="1518" priority="92">
      <formula>ABS(I$7-I$10)&gt;=1000</formula>
    </cfRule>
  </conditionalFormatting>
  <conditionalFormatting sqref="J4:J11">
    <cfRule type="expression" dxfId="1517" priority="91">
      <formula>ABS(J$7-J$10)&gt;=1000</formula>
    </cfRule>
  </conditionalFormatting>
  <conditionalFormatting sqref="K4:K11">
    <cfRule type="expression" dxfId="1516" priority="90">
      <formula>ABS(K$7-K$10)&gt;=1000</formula>
    </cfRule>
  </conditionalFormatting>
  <conditionalFormatting sqref="L4:L11">
    <cfRule type="expression" dxfId="1515" priority="89">
      <formula>ABS(L$7-L$10)&gt;=1000</formula>
    </cfRule>
  </conditionalFormatting>
  <conditionalFormatting sqref="M4 M6:M11">
    <cfRule type="expression" dxfId="1514" priority="88">
      <formula>ABS(M$7-M$10)&gt;=1000</formula>
    </cfRule>
  </conditionalFormatting>
  <conditionalFormatting sqref="N4 N6:N11">
    <cfRule type="expression" dxfId="1513" priority="87">
      <formula>ABS(N$7-N$10)&gt;=1000</formula>
    </cfRule>
  </conditionalFormatting>
  <conditionalFormatting sqref="O4 O6:O11">
    <cfRule type="expression" dxfId="1512" priority="86">
      <formula>ABS(O$7-O$10)&gt;=1000</formula>
    </cfRule>
  </conditionalFormatting>
  <conditionalFormatting sqref="P4 P6:P11">
    <cfRule type="expression" dxfId="1511" priority="85">
      <formula>ABS(P$7-P$10)&gt;=1000</formula>
    </cfRule>
  </conditionalFormatting>
  <conditionalFormatting sqref="Q4:Q11">
    <cfRule type="expression" dxfId="1510" priority="84">
      <formula>ABS(Q$7-Q$10)&gt;=1000</formula>
    </cfRule>
  </conditionalFormatting>
  <conditionalFormatting sqref="R4:R11">
    <cfRule type="expression" dxfId="1509" priority="83">
      <formula>ABS(R$7-R$10)&gt;=1000</formula>
    </cfRule>
  </conditionalFormatting>
  <conditionalFormatting sqref="S4:S11">
    <cfRule type="expression" dxfId="1508" priority="82">
      <formula>ABS(S$7-S$10)&gt;=1000</formula>
    </cfRule>
  </conditionalFormatting>
  <conditionalFormatting sqref="T4:T9 T11">
    <cfRule type="expression" dxfId="1507" priority="81">
      <formula>ABS(T$7-T$10)&gt;=1000</formula>
    </cfRule>
  </conditionalFormatting>
  <conditionalFormatting sqref="U4:U9 U11">
    <cfRule type="expression" dxfId="1506" priority="80">
      <formula>ABS(U$7-U$10)&gt;=1000</formula>
    </cfRule>
  </conditionalFormatting>
  <conditionalFormatting sqref="V4:V9 V11">
    <cfRule type="expression" dxfId="1505" priority="79">
      <formula>ABS(V$7-V$10)&gt;=1000</formula>
    </cfRule>
  </conditionalFormatting>
  <conditionalFormatting sqref="W4:W9 W11">
    <cfRule type="expression" dxfId="1504" priority="78">
      <formula>ABS(W$7-W$10)&gt;=1000</formula>
    </cfRule>
  </conditionalFormatting>
  <conditionalFormatting sqref="X4:X9 X11">
    <cfRule type="expression" dxfId="1503" priority="77">
      <formula>ABS(X$7-X$10)&gt;=1000</formula>
    </cfRule>
  </conditionalFormatting>
  <conditionalFormatting sqref="Y4:Y9 Y11">
    <cfRule type="expression" dxfId="1502" priority="76">
      <formula>ABS(Y$7-Y$10)&gt;=1000</formula>
    </cfRule>
  </conditionalFormatting>
  <conditionalFormatting sqref="Z4:Z11">
    <cfRule type="expression" dxfId="1501" priority="75">
      <formula>ABS(Z$7-Z$10)&gt;=1000</formula>
    </cfRule>
  </conditionalFormatting>
  <conditionalFormatting sqref="AA4:AA11">
    <cfRule type="expression" dxfId="1500" priority="74">
      <formula>ABS(AA$7-AA$10)&gt;=1000</formula>
    </cfRule>
  </conditionalFormatting>
  <conditionalFormatting sqref="AB4:AB11">
    <cfRule type="expression" dxfId="1499" priority="73">
      <formula>ABS(AB$7-AB$10)&gt;=1000</formula>
    </cfRule>
  </conditionalFormatting>
  <conditionalFormatting sqref="AC4 AC6:AC11">
    <cfRule type="expression" dxfId="1498" priority="72">
      <formula>ABS(AC$7-AC$10)&gt;=1000</formula>
    </cfRule>
  </conditionalFormatting>
  <conditionalFormatting sqref="AD4:AD11">
    <cfRule type="expression" dxfId="1497" priority="71">
      <formula>ABS(AD$7-AD$10)&gt;=1000</formula>
    </cfRule>
  </conditionalFormatting>
  <conditionalFormatting sqref="AE4:AE11">
    <cfRule type="expression" dxfId="1496" priority="70">
      <formula>ABS(AE$7-AE$10)&gt;=1000</formula>
    </cfRule>
  </conditionalFormatting>
  <conditionalFormatting sqref="D13:D20">
    <cfRule type="expression" dxfId="1495" priority="69">
      <formula>ABS(D$16-D$19)&gt;=1000</formula>
    </cfRule>
  </conditionalFormatting>
  <conditionalFormatting sqref="E13:E20">
    <cfRule type="expression" dxfId="1494" priority="68">
      <formula>ABS(E$16-E$19)&gt;=1000</formula>
    </cfRule>
  </conditionalFormatting>
  <conditionalFormatting sqref="F13 F15:F20">
    <cfRule type="expression" dxfId="1493" priority="67">
      <formula>ABS(F$16-F$19)&gt;=1000</formula>
    </cfRule>
  </conditionalFormatting>
  <conditionalFormatting sqref="G13:G20">
    <cfRule type="expression" dxfId="1492" priority="66">
      <formula>ABS(G$16-G$19)&gt;=1000</formula>
    </cfRule>
  </conditionalFormatting>
  <conditionalFormatting sqref="H13:H20">
    <cfRule type="expression" dxfId="1491" priority="65">
      <formula>ABS(H$16-H$19)&gt;=1000</formula>
    </cfRule>
  </conditionalFormatting>
  <conditionalFormatting sqref="I13:I20">
    <cfRule type="expression" dxfId="1490" priority="64">
      <formula>ABS(I$16-I$19)&gt;=1000</formula>
    </cfRule>
  </conditionalFormatting>
  <conditionalFormatting sqref="J13:J20">
    <cfRule type="expression" dxfId="1489" priority="63">
      <formula>ABS(J$16-J$19)&gt;=1000</formula>
    </cfRule>
  </conditionalFormatting>
  <conditionalFormatting sqref="L13:L20">
    <cfRule type="expression" dxfId="1488" priority="62">
      <formula>ABS(L$16-L$19)&gt;=1000</formula>
    </cfRule>
  </conditionalFormatting>
  <conditionalFormatting sqref="M13 M15 M17:M18 M20">
    <cfRule type="expression" dxfId="1487" priority="61">
      <formula>ABS(M$16-M$19)&gt;=1000</formula>
    </cfRule>
  </conditionalFormatting>
  <conditionalFormatting sqref="N13:N20">
    <cfRule type="expression" dxfId="1486" priority="60">
      <formula>ABS(N$16-N$19)&gt;=1000</formula>
    </cfRule>
  </conditionalFormatting>
  <conditionalFormatting sqref="O13:O20">
    <cfRule type="expression" dxfId="1485" priority="59">
      <formula>ABS(O$16-O$19)&gt;=1000</formula>
    </cfRule>
  </conditionalFormatting>
  <conditionalFormatting sqref="P13:P20">
    <cfRule type="expression" dxfId="1484" priority="58">
      <formula>ABS(P$16-P$19)&gt;=1000</formula>
    </cfRule>
  </conditionalFormatting>
  <conditionalFormatting sqref="Q13 Q15:Q20">
    <cfRule type="expression" dxfId="1483" priority="57">
      <formula>ABS(Q$16-Q$19)&gt;=1000</formula>
    </cfRule>
  </conditionalFormatting>
  <conditionalFormatting sqref="R13:R20">
    <cfRule type="expression" dxfId="1482" priority="56">
      <formula>ABS(R$16-R$19)&gt;=1000</formula>
    </cfRule>
  </conditionalFormatting>
  <conditionalFormatting sqref="S13:S20">
    <cfRule type="expression" dxfId="1481" priority="55">
      <formula>ABS(S$16-S$19)&gt;=1000</formula>
    </cfRule>
  </conditionalFormatting>
  <conditionalFormatting sqref="T13:T20">
    <cfRule type="expression" dxfId="1480" priority="54">
      <formula>ABS(T$16-T$19)&gt;=1000</formula>
    </cfRule>
  </conditionalFormatting>
  <conditionalFormatting sqref="U13:U20">
    <cfRule type="expression" dxfId="1479" priority="53">
      <formula>ABS(U$16-U$19)&gt;=1000</formula>
    </cfRule>
  </conditionalFormatting>
  <conditionalFormatting sqref="V13:V20">
    <cfRule type="expression" dxfId="1478" priority="52">
      <formula>ABS(V$16-V$19)&gt;=1000</formula>
    </cfRule>
  </conditionalFormatting>
  <conditionalFormatting sqref="W13 W20 W15:W18">
    <cfRule type="expression" dxfId="1477" priority="51">
      <formula>ABS(W$16-W$19)&gt;=1000</formula>
    </cfRule>
  </conditionalFormatting>
  <conditionalFormatting sqref="X13 X15:X20 Y19">
    <cfRule type="expression" dxfId="1476" priority="50">
      <formula>ABS(X$16-X$19)&gt;=1000</formula>
    </cfRule>
  </conditionalFormatting>
  <conditionalFormatting sqref="Y13 Y15:Y18 Y20">
    <cfRule type="expression" dxfId="1475" priority="49">
      <formula>ABS(Y$16-Y$19)&gt;=1000</formula>
    </cfRule>
  </conditionalFormatting>
  <conditionalFormatting sqref="Z13:Z20">
    <cfRule type="expression" dxfId="1474" priority="48">
      <formula>ABS(Z$16-Z$19)&gt;=1000</formula>
    </cfRule>
  </conditionalFormatting>
  <conditionalFormatting sqref="AA13:AA20">
    <cfRule type="expression" dxfId="1473" priority="47">
      <formula>ABS(AA$16-AA$19)&gt;=1000</formula>
    </cfRule>
  </conditionalFormatting>
  <conditionalFormatting sqref="AB13 AB15:AB20">
    <cfRule type="expression" dxfId="1472" priority="46">
      <formula>ABS(AB$16-AB$19)&gt;=1000</formula>
    </cfRule>
  </conditionalFormatting>
  <conditionalFormatting sqref="AC13 AC15:AC20">
    <cfRule type="expression" dxfId="1471" priority="45">
      <formula>ABS(AC$16-AC$19)&gt;=1000</formula>
    </cfRule>
  </conditionalFormatting>
  <conditionalFormatting sqref="AD13:AD20">
    <cfRule type="expression" dxfId="1470" priority="44">
      <formula>ABS(AD$16-AD$19)&gt;=1000</formula>
    </cfRule>
  </conditionalFormatting>
  <conditionalFormatting sqref="AE13:AE20">
    <cfRule type="expression" dxfId="1469" priority="43">
      <formula>ABS(AE$16-AE$19)&gt;=1000</formula>
    </cfRule>
  </conditionalFormatting>
  <conditionalFormatting sqref="D22:D29">
    <cfRule type="expression" dxfId="1468" priority="42">
      <formula>ABS(D$25-D$28)&gt;=1000</formula>
    </cfRule>
  </conditionalFormatting>
  <conditionalFormatting sqref="E22:E29">
    <cfRule type="expression" dxfId="1467" priority="41">
      <formula>ABS(E$25-E$28)&gt;=1000</formula>
    </cfRule>
  </conditionalFormatting>
  <conditionalFormatting sqref="F22:F29">
    <cfRule type="expression" dxfId="1466" priority="40">
      <formula>ABS(F$25-F$28)&gt;=1000</formula>
    </cfRule>
  </conditionalFormatting>
  <conditionalFormatting sqref="G22:G29">
    <cfRule type="expression" dxfId="1465" priority="39">
      <formula>ABS(G$25-G$28)&gt;=1000</formula>
    </cfRule>
  </conditionalFormatting>
  <conditionalFormatting sqref="H22:H29">
    <cfRule type="expression" dxfId="1464" priority="38">
      <formula>ABS(H$25-H$28)&gt;=1000</formula>
    </cfRule>
  </conditionalFormatting>
  <conditionalFormatting sqref="I22 I24:I29">
    <cfRule type="expression" dxfId="1463" priority="37">
      <formula>ABS(I$25-I$28)&gt;=1000</formula>
    </cfRule>
  </conditionalFormatting>
  <conditionalFormatting sqref="J22:J29 K22">
    <cfRule type="expression" dxfId="1462" priority="36">
      <formula>ABS(J$25-J$28)&gt;=1000</formula>
    </cfRule>
  </conditionalFormatting>
  <conditionalFormatting sqref="K23:K29 L25 L28">
    <cfRule type="expression" dxfId="1461" priority="35">
      <formula>ABS(K$25-K$28)&gt;=1000</formula>
    </cfRule>
  </conditionalFormatting>
  <conditionalFormatting sqref="L22 L26:L27 L29 L24">
    <cfRule type="expression" dxfId="1460" priority="34">
      <formula>ABS(L$25-L$28)&gt;=1000</formula>
    </cfRule>
  </conditionalFormatting>
  <conditionalFormatting sqref="M22:M29">
    <cfRule type="expression" dxfId="1459" priority="33">
      <formula>ABS(M$25-M$28)&gt;=1000</formula>
    </cfRule>
  </conditionalFormatting>
  <conditionalFormatting sqref="N22:N29">
    <cfRule type="expression" dxfId="1458" priority="32">
      <formula>ABS(N$25-N$28)&gt;=1000</formula>
    </cfRule>
  </conditionalFormatting>
  <conditionalFormatting sqref="O22:O29">
    <cfRule type="expression" dxfId="1457" priority="31">
      <formula>ABS(O$25-O$28)&gt;=1000</formula>
    </cfRule>
  </conditionalFormatting>
  <conditionalFormatting sqref="P22:P29">
    <cfRule type="expression" dxfId="1456" priority="30">
      <formula>ABS(P$25-P$28)&gt;=1000</formula>
    </cfRule>
  </conditionalFormatting>
  <conditionalFormatting sqref="Q22:Q29">
    <cfRule type="expression" dxfId="1455" priority="29">
      <formula>ABS(Q$25-Q$28)&gt;=1000</formula>
    </cfRule>
  </conditionalFormatting>
  <conditionalFormatting sqref="R22:R29">
    <cfRule type="expression" dxfId="1454" priority="28">
      <formula>ABS(R$25-R$28)&gt;=1000</formula>
    </cfRule>
  </conditionalFormatting>
  <conditionalFormatting sqref="S22:S29">
    <cfRule type="expression" dxfId="1453" priority="27">
      <formula>ABS(S$25-S$28)&gt;=1000</formula>
    </cfRule>
  </conditionalFormatting>
  <conditionalFormatting sqref="T22:T29">
    <cfRule type="expression" dxfId="1452" priority="26">
      <formula>ABS(T$25-T$28)&gt;=1000</formula>
    </cfRule>
  </conditionalFormatting>
  <conditionalFormatting sqref="U22:U29">
    <cfRule type="expression" dxfId="1451" priority="25">
      <formula>ABS(U$25-U$28)&gt;=1000</formula>
    </cfRule>
  </conditionalFormatting>
  <conditionalFormatting sqref="V22:V29">
    <cfRule type="expression" dxfId="1450" priority="24">
      <formula>ABS(V$25-V$28)&gt;=1000</formula>
    </cfRule>
  </conditionalFormatting>
  <conditionalFormatting sqref="W22:W29">
    <cfRule type="expression" dxfId="1449" priority="23">
      <formula>ABS(W$25-W$28)&gt;=1000</formula>
    </cfRule>
  </conditionalFormatting>
  <conditionalFormatting sqref="X22:X29">
    <cfRule type="expression" dxfId="1448" priority="22">
      <formula>ABS(X$25-X$28)&gt;=1000</formula>
    </cfRule>
  </conditionalFormatting>
  <conditionalFormatting sqref="Y22:Y29">
    <cfRule type="expression" dxfId="1447" priority="21">
      <formula>ABS(Y$25-Y$28)&gt;=1000</formula>
    </cfRule>
  </conditionalFormatting>
  <conditionalFormatting sqref="I23">
    <cfRule type="expression" dxfId="1446" priority="20">
      <formula>ABS(I$25-I$28)&gt;=1000</formula>
    </cfRule>
  </conditionalFormatting>
  <conditionalFormatting sqref="F14">
    <cfRule type="expression" dxfId="1445" priority="19">
      <formula>ABS(F$16-F$19)&gt;=1000</formula>
    </cfRule>
  </conditionalFormatting>
  <conditionalFormatting sqref="Q14">
    <cfRule type="expression" dxfId="1444" priority="18">
      <formula>ABS(Q$16-Q$19)&gt;=1000</formula>
    </cfRule>
  </conditionalFormatting>
  <conditionalFormatting sqref="W14">
    <cfRule type="expression" dxfId="1443" priority="17">
      <formula>ABS(W$16-W$19)&gt;=1000</formula>
    </cfRule>
  </conditionalFormatting>
  <conditionalFormatting sqref="Y14">
    <cfRule type="expression" dxfId="1442" priority="16">
      <formula>ABS(Y$16-Y$19)&gt;=1000</formula>
    </cfRule>
  </conditionalFormatting>
  <conditionalFormatting sqref="X14">
    <cfRule type="expression" dxfId="1441" priority="15">
      <formula>ABS(X$16-X$19)&gt;=1000</formula>
    </cfRule>
  </conditionalFormatting>
  <conditionalFormatting sqref="T10:Y10">
    <cfRule type="expression" dxfId="1440" priority="14">
      <formula>ABS(T$7-T$10)&gt;=1000</formula>
    </cfRule>
  </conditionalFormatting>
  <conditionalFormatting sqref="W19">
    <cfRule type="expression" dxfId="1439" priority="13">
      <formula>ABS(W$16-W$19)&gt;=1000</formula>
    </cfRule>
  </conditionalFormatting>
  <conditionalFormatting sqref="AC5">
    <cfRule type="expression" dxfId="1438" priority="12">
      <formula>ABS(AC$7-AC$10)&gt;=1000</formula>
    </cfRule>
  </conditionalFormatting>
  <conditionalFormatting sqref="M14">
    <cfRule type="expression" dxfId="1437" priority="11">
      <formula>ABS(M$16-M$19)&gt;=1000</formula>
    </cfRule>
  </conditionalFormatting>
  <conditionalFormatting sqref="M16">
    <cfRule type="expression" dxfId="1436" priority="10">
      <formula>ABS(M$16-M$19)&gt;=1000</formula>
    </cfRule>
  </conditionalFormatting>
  <conditionalFormatting sqref="M19">
    <cfRule type="expression" dxfId="1435" priority="9">
      <formula>ABS(M$16-M$19)&gt;=1000</formula>
    </cfRule>
  </conditionalFormatting>
  <conditionalFormatting sqref="K13:K20">
    <cfRule type="expression" dxfId="1434" priority="8">
      <formula>ABS(K$16-K$19)&gt;=1000</formula>
    </cfRule>
  </conditionalFormatting>
  <conditionalFormatting sqref="E5">
    <cfRule type="expression" dxfId="1433" priority="7">
      <formula>ABS(E$7-E$10)&gt;=1000</formula>
    </cfRule>
  </conditionalFormatting>
  <conditionalFormatting sqref="AB14:AC14">
    <cfRule type="expression" dxfId="1432" priority="6">
      <formula>ABS(AB$16-AB$19)&gt;=1000</formula>
    </cfRule>
  </conditionalFormatting>
  <conditionalFormatting sqref="M5">
    <cfRule type="expression" dxfId="1431" priority="5">
      <formula>ABS(M$7-M$10)&gt;=1000</formula>
    </cfRule>
  </conditionalFormatting>
  <conditionalFormatting sqref="N5">
    <cfRule type="expression" dxfId="1430" priority="4">
      <formula>ABS(N$7-N$10)&gt;=1000</formula>
    </cfRule>
  </conditionalFormatting>
  <conditionalFormatting sqref="O5">
    <cfRule type="expression" dxfId="1429" priority="3">
      <formula>ABS(O$7-O$10)&gt;=1000</formula>
    </cfRule>
  </conditionalFormatting>
  <conditionalFormatting sqref="P5">
    <cfRule type="expression" dxfId="1428" priority="2">
      <formula>ABS(P$7-P$10)&gt;=1000</formula>
    </cfRule>
  </conditionalFormatting>
  <conditionalFormatting sqref="L23">
    <cfRule type="expression" dxfId="1427" priority="1">
      <formula>ABS(L$25-L$28)&gt;=1000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5795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345782</xdr:rowOff>
                  </from>
                  <to>
                    <xdr:col>32</xdr:col>
                    <xdr:colOff>414938</xdr:colOff>
                    <xdr:row>3</xdr:row>
                    <xdr:rowOff>30736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81">
    <pageSetUpPr fitToPage="1"/>
  </sheetPr>
  <dimension ref="A1:CU223"/>
  <sheetViews>
    <sheetView view="pageBreakPreview" zoomScale="80" zoomScaleNormal="100" zoomScaleSheetLayoutView="80" workbookViewId="0">
      <selection activeCell="S27" sqref="S27"/>
    </sheetView>
  </sheetViews>
  <sheetFormatPr defaultColWidth="8.109375" defaultRowHeight="26.05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0.9" ph="1">
      <c r="A1" s="64"/>
      <c r="B1" s="238" t="s" ph="1">
        <v>162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.05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.05" customHeight="1" ph="1">
      <c r="B3" s="240" ph="1">
        <v>45855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" customHeight="1" ph="1">
      <c r="A5" s="65" ph="1"/>
      <c r="B5" s="219" ph="1"/>
      <c r="C5" s="67" t="s" ph="1">
        <v>36</v>
      </c>
      <c r="D5" s="70" t="s" ph="1">
        <v>161</v>
      </c>
      <c r="E5" s="70" t="s" ph="1">
        <v>640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47" t="s" ph="1">
        <v>178</v>
      </c>
      <c r="D6" s="71">
        <v>4778</v>
      </c>
      <c r="E6" s="71">
        <v>8111</v>
      </c>
      <c r="F6" s="71">
        <v>6817</v>
      </c>
      <c r="G6" s="71">
        <v>5232</v>
      </c>
      <c r="H6" s="71">
        <v>6059</v>
      </c>
      <c r="I6" s="71">
        <v>51.65</v>
      </c>
      <c r="J6" s="71">
        <v>7.72</v>
      </c>
      <c r="K6" s="71">
        <v>7.02</v>
      </c>
      <c r="L6" s="71">
        <v>34.21</v>
      </c>
      <c r="M6" s="71">
        <v>4170</v>
      </c>
      <c r="N6" s="71">
        <v>1873</v>
      </c>
      <c r="O6" s="71">
        <v>66</v>
      </c>
      <c r="P6" s="71">
        <v>4269</v>
      </c>
      <c r="Q6" s="71">
        <v>0</v>
      </c>
      <c r="R6" s="71">
        <v>0</v>
      </c>
      <c r="S6" s="71">
        <v>0</v>
      </c>
      <c r="T6" s="71">
        <v>0</v>
      </c>
      <c r="U6" s="71">
        <v>0</v>
      </c>
      <c r="V6" s="71">
        <v>4000</v>
      </c>
      <c r="W6" s="71">
        <v>6500</v>
      </c>
      <c r="X6" s="71">
        <v>5850</v>
      </c>
      <c r="Y6" s="71">
        <v>0</v>
      </c>
      <c r="Z6" s="71">
        <v>3320</v>
      </c>
      <c r="AA6" s="71">
        <v>556</v>
      </c>
      <c r="AB6" s="71">
        <v>2210</v>
      </c>
      <c r="AC6" s="71">
        <v>3849</v>
      </c>
      <c r="AD6" s="71">
        <v>4377</v>
      </c>
      <c r="AE6" s="71">
        <v>2981</v>
      </c>
    </row>
    <row r="7" spans="1:99" s="72" customFormat="1" ht="22.4" ph="1">
      <c r="B7" s="237" ph="1"/>
      <c r="C7" s="68" t="s" ph="1">
        <v>179</v>
      </c>
      <c r="D7" s="73" ph="1">
        <f>D6*33.183*LOOKUP(D8,密度!$A$2:$A$50,密度!$Q$2:$Q$50)</f>
        <v>149658.56666982002</v>
      </c>
      <c r="E7" s="73" ph="1">
        <f>E6*51.53*LOOKUP(E8,密度!$A$2:$A$50,密度!$B$2:$B$50)</f>
        <v>324754.78791000001</v>
      </c>
      <c r="F7" s="73" ph="1">
        <f>F6*33.183*LOOKUP(F8,密度!$A$2:$A$50,密度!$C$2:$C$50)</f>
        <v>250503.30508139997</v>
      </c>
      <c r="G7" s="73" ph="1">
        <f xml:space="preserve"> (G6+2)*51.53*LOOKUP(G8,密度!$A$2:$A$50,密度!$B$2:$B$50)</f>
        <v>209347.365124</v>
      </c>
      <c r="H7" s="73" ph="1">
        <f>(H6)*51.53*LOOKUP(H8,密度!$A$2:$A$50,密度!$B$2:$B$50)</f>
        <v>243406.92249200001</v>
      </c>
      <c r="I7" s="73" ph="1">
        <f>I6*290.8*1.0267</f>
        <v>15420.849193999999</v>
      </c>
      <c r="J7" s="73" ph="1">
        <f>J6*290.8*0.7892</f>
        <v>1771.7350592</v>
      </c>
      <c r="K7" s="73" ph="1">
        <f>K6*290.8*1.1126</f>
        <v>2271.2794416000002</v>
      </c>
      <c r="L7" s="73" ph="1">
        <f>L6*290.8*0.777</f>
        <v>7729.8042359999999</v>
      </c>
      <c r="M7" s="73" ph="1">
        <f>M6*33.183*LOOKUP(M8,密度!$A$2:$A$50,密度!$D$2:$D$50)</f>
        <v>141541.85421899997</v>
      </c>
      <c r="N7" s="73" ph="1">
        <f>N6*33.183*LOOKUP(N8,密度!$A$2:$A$50,密度!$E$2:$E$50)</f>
        <v>48397.574733299996</v>
      </c>
      <c r="O7" s="73" ph="1">
        <f>O6*20.428*LOOKUP(O8,密度!$A$2:$A$50,密度!$C$2:$C$50)</f>
        <v>1488.6006168000001</v>
      </c>
      <c r="P7" s="73" ph="1">
        <f>P6*51.53*LOOKUP(P8,密度!$A$2:$A$50,密度!$B$2:$B$50)</f>
        <v>170925.67989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26436.563999999998</v>
      </c>
      <c r="W7" s="73" ph="1">
        <f>W6*1.5*1.5*3.1416*LOOKUP(W8,密度!$A$2:$A$50,密度!$L$2:$L$50)</f>
        <v>42913.470600000001</v>
      </c>
      <c r="X7" s="73" ph="1">
        <f>X6*1.5*1.5*3.1416*LOOKUP(X8,密度!$A$2:$A$50,密度!$L$2:$L$50)</f>
        <v>38911.582709999995</v>
      </c>
      <c r="Y7" s="73" ph="1">
        <f>Y6*1.5*1.5*3.1416*LOOKUP(Y8,密度!$A$2:$A$50,密度!$L$2:$L$50)</f>
        <v>0</v>
      </c>
      <c r="Z7" s="73" ph="1">
        <f>Z6*33.183*LOOKUP(Z8,密度!$A$2:$A$50,密度!$L$2:$L$50)</f>
        <v>103116.83616000001</v>
      </c>
      <c r="AA7" s="73" ph="1">
        <f>AA6*33.183*LOOKUP(AA8,密度!$A$2:$A$50,密度!$D$2:$D$50)</f>
        <v>18890.696977200001</v>
      </c>
      <c r="AB7" s="73" ph="1">
        <f>AB6*20.428*LOOKUP(AB8,密度!$A$2:$A$50,密度!$D$2:$D$50)</f>
        <v>46437.052168000002</v>
      </c>
      <c r="AC7" s="73" ph="1">
        <f>AC6*51.53*LOOKUP(AC8,密度!$A$2:$A$50,密度!$Q$2:$Q$50)</f>
        <v>187493.7951204</v>
      </c>
      <c r="AD7" s="73" ph="1">
        <f>AD6*20.428*LOOKUP(AD8,密度!$A$2:$A$50,密度!$V$2:$V$50)</f>
        <v>85622.229705599995</v>
      </c>
      <c r="AE7" s="73" ph="1">
        <f>AE6*20.428</f>
        <v>60895.868000000002</v>
      </c>
    </row>
    <row r="8" spans="1:99" ph="1">
      <c r="B8" s="237" ph="1"/>
      <c r="C8" s="68" t="s" ph="1">
        <v>180</v>
      </c>
      <c r="D8" s="74">
        <v>29</v>
      </c>
      <c r="E8" s="74">
        <v>28</v>
      </c>
      <c r="F8" s="74">
        <v>27</v>
      </c>
      <c r="G8" s="74">
        <v>29</v>
      </c>
      <c r="H8" s="74">
        <v>25</v>
      </c>
      <c r="I8" s="74">
        <v>25</v>
      </c>
      <c r="J8" s="74">
        <v>25</v>
      </c>
      <c r="K8" s="74">
        <v>25</v>
      </c>
      <c r="L8" s="74">
        <v>25</v>
      </c>
      <c r="M8" s="74">
        <v>29</v>
      </c>
      <c r="N8" s="74">
        <v>29</v>
      </c>
      <c r="O8" s="74">
        <v>31</v>
      </c>
      <c r="P8" s="74">
        <v>28</v>
      </c>
      <c r="Q8" s="74">
        <v>27</v>
      </c>
      <c r="R8" s="74">
        <v>34</v>
      </c>
      <c r="S8" s="74">
        <v>26</v>
      </c>
      <c r="T8" s="74">
        <v>25</v>
      </c>
      <c r="U8" s="74">
        <v>28</v>
      </c>
      <c r="V8" s="74">
        <v>27</v>
      </c>
      <c r="W8" s="74">
        <v>28</v>
      </c>
      <c r="X8" s="74">
        <v>21</v>
      </c>
      <c r="Y8" s="74">
        <v>28</v>
      </c>
      <c r="Z8" s="74">
        <v>26</v>
      </c>
      <c r="AA8" s="74">
        <v>28</v>
      </c>
      <c r="AB8" s="74">
        <v>23</v>
      </c>
      <c r="AC8" s="74">
        <v>27</v>
      </c>
      <c r="AD8" s="74">
        <v>26</v>
      </c>
      <c r="AE8" s="74">
        <v>30</v>
      </c>
    </row>
    <row r="9" spans="1:99" ht="26.65" ph="1">
      <c r="B9" s="237" ph="1">
        <v>0.66666666666666663</v>
      </c>
      <c r="C9" s="147" t="s" ph="1">
        <v>181</v>
      </c>
      <c r="D9" s="71">
        <v>4779</v>
      </c>
      <c r="E9" s="71">
        <v>8111</v>
      </c>
      <c r="F9" s="71">
        <v>6821</v>
      </c>
      <c r="G9" s="71">
        <v>5835</v>
      </c>
      <c r="H9" s="71">
        <v>6939</v>
      </c>
      <c r="I9" s="71">
        <v>51.71</v>
      </c>
      <c r="J9" s="71">
        <v>7.72</v>
      </c>
      <c r="K9" s="71">
        <v>7.12</v>
      </c>
      <c r="L9" s="71">
        <v>10.45</v>
      </c>
      <c r="M9" s="71">
        <v>4170</v>
      </c>
      <c r="N9" s="71">
        <v>1876</v>
      </c>
      <c r="O9" s="71">
        <v>64</v>
      </c>
      <c r="P9" s="71">
        <v>4367</v>
      </c>
      <c r="Q9" s="71">
        <v>2545</v>
      </c>
      <c r="R9" s="71">
        <v>0</v>
      </c>
      <c r="S9" s="71">
        <v>0</v>
      </c>
      <c r="T9" s="71">
        <v>0</v>
      </c>
      <c r="U9" s="71">
        <v>0</v>
      </c>
      <c r="V9" s="71">
        <v>0</v>
      </c>
      <c r="W9" s="71">
        <v>6537</v>
      </c>
      <c r="X9" s="71">
        <v>5850</v>
      </c>
      <c r="Y9" s="71">
        <v>5199</v>
      </c>
      <c r="Z9" s="71">
        <v>1794</v>
      </c>
      <c r="AA9" s="71">
        <v>556</v>
      </c>
      <c r="AB9" s="71">
        <v>2211</v>
      </c>
      <c r="AC9" s="71">
        <v>3849</v>
      </c>
      <c r="AD9" s="71">
        <v>4377</v>
      </c>
      <c r="AE9" s="71">
        <v>2765</v>
      </c>
    </row>
    <row r="10" spans="1:99" s="72" customFormat="1" ht="22.4" ph="1">
      <c r="B10" s="237" ph="1"/>
      <c r="C10" s="147" t="s" ph="1">
        <v>179</v>
      </c>
      <c r="D10" s="73" ph="1">
        <f>D9*33.183*LOOKUP(D11,密度!$A$2:$A$50,密度!$Q$2:$Q$50)</f>
        <v>149475.80399705999</v>
      </c>
      <c r="E10" s="73" ph="1">
        <f>E9*51.53*LOOKUP(E11,密度!$A$2:$A$50,密度!$B$2:$B$50)</f>
        <v>323291.92850500002</v>
      </c>
      <c r="F10" s="73" ph="1">
        <f>F9*33.183*LOOKUP(F11,密度!$A$2:$A$50,密度!$C$2:$C$50)</f>
        <v>249903.3663963</v>
      </c>
      <c r="G10" s="73" ph="1">
        <f xml:space="preserve"> (G9+2)*51.53*LOOKUP(G11,密度!$A$2:$A$50,密度!$B$2:$B$50)</f>
        <v>232653.80183499999</v>
      </c>
      <c r="H10" s="73" ph="1">
        <f>(H9)*51.53*LOOKUP(H11,密度!$A$2:$A$50,密度!$B$2:$B$50)</f>
        <v>276577.81924499996</v>
      </c>
      <c r="I10" s="73" ph="1">
        <f>I9*290.8*1.0267</f>
        <v>15438.763055599999</v>
      </c>
      <c r="J10" s="73" ph="1">
        <f>J9*290.8*0.7892</f>
        <v>1771.7350592</v>
      </c>
      <c r="K10" s="73" ph="1">
        <f>K9*290.8*1.1126</f>
        <v>2303.6338496000003</v>
      </c>
      <c r="L10" s="73" ph="1">
        <f>L9*290.8*0.777</f>
        <v>2361.1942200000003</v>
      </c>
      <c r="M10" s="73" ph="1">
        <f>M9*33.183*LOOKUP(M11,密度!$A$2:$A$50,密度!$D$2:$D$50)</f>
        <v>140559.405138</v>
      </c>
      <c r="N10" s="73" ph="1">
        <f>N9*33.183*LOOKUP(N11,密度!$A$2:$A$50,密度!$E$2:$E$50)</f>
        <v>48194.340140519998</v>
      </c>
      <c r="O10" s="73" ph="1">
        <f>O9*20.428*LOOKUP(O11,密度!$A$2:$A$50,密度!$C$2:$C$50)</f>
        <v>1428.3257600000002</v>
      </c>
      <c r="P10" s="73" ph="1">
        <f>P9*51.53*LOOKUP(P11,密度!$A$2:$A$50,密度!$B$2:$B$50)</f>
        <v>173881.84777700002</v>
      </c>
      <c r="Q10" s="73" ph="1">
        <f>Q9*1.5*1.5*3.1416*LOOKUP(W11,密度!$A$2:$A$50,密度!$L$2:$L$50)</f>
        <v>16766.295084000001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43065.332402400003</v>
      </c>
      <c r="X10" s="73" ph="1">
        <f>X9*1.5*1.5*3.1416*LOOKUP(X11,密度!$A$2:$A$50,密度!$L$2:$L$50)</f>
        <v>38704.826159999997</v>
      </c>
      <c r="Y10" s="73" ph="1">
        <f>Y9*1.5*1.5*3.1416*LOOKUP(Y11,密度!$A$2:$A$50,密度!$L$2:$L$50)</f>
        <v>34324.174407600003</v>
      </c>
      <c r="Z10" s="73" ph="1">
        <f>Z9*33.183*LOOKUP(Z11,密度!$A$2:$A$50,密度!$L$2:$L$50)</f>
        <v>55303.650558000008</v>
      </c>
      <c r="AA10" s="73" ph="1">
        <f>AA9*33.183*LOOKUP(AA11,密度!$A$2:$A$50,密度!$D$2:$D$50)</f>
        <v>18612.105782399998</v>
      </c>
      <c r="AB10" s="73" ph="1">
        <f>AB9*20.428*LOOKUP(AB11,密度!$A$2:$A$50,密度!$D$2:$D$50)</f>
        <v>46331.598746400006</v>
      </c>
      <c r="AC10" s="73" ph="1">
        <f>AC9*51.53*LOOKUP(AC11,密度!$A$2:$A$50,密度!$Q$2:$Q$50)</f>
        <v>186555.65179230002</v>
      </c>
      <c r="AD10" s="73" ph="1">
        <f>AD9*20.428*LOOKUP(AD11,密度!$A$2:$A$50,密度!$V$2:$V$50)</f>
        <v>85622.229705599995</v>
      </c>
      <c r="AE10" s="73" ph="1">
        <f>AE9*20.428</f>
        <v>56483.420000000006</v>
      </c>
    </row>
    <row r="11" spans="1:99" ph="1">
      <c r="A11" s="64" t="s" ph="1">
        <v>163</v>
      </c>
      <c r="B11" s="237" ph="1"/>
      <c r="C11" s="147" t="s" ph="1">
        <v>180</v>
      </c>
      <c r="D11" s="74">
        <v>31</v>
      </c>
      <c r="E11" s="74">
        <v>32</v>
      </c>
      <c r="F11" s="74">
        <v>31</v>
      </c>
      <c r="G11" s="74">
        <v>32</v>
      </c>
      <c r="H11" s="74">
        <v>32</v>
      </c>
      <c r="I11" s="74">
        <v>25</v>
      </c>
      <c r="J11" s="74">
        <v>25</v>
      </c>
      <c r="K11" s="74">
        <v>25</v>
      </c>
      <c r="L11" s="74">
        <v>25</v>
      </c>
      <c r="M11" s="74">
        <v>37</v>
      </c>
      <c r="N11" s="74">
        <v>33</v>
      </c>
      <c r="O11" s="74">
        <v>42</v>
      </c>
      <c r="P11" s="74">
        <v>33</v>
      </c>
      <c r="Q11" s="74">
        <v>28</v>
      </c>
      <c r="R11" s="74">
        <v>41</v>
      </c>
      <c r="S11" s="74">
        <v>31</v>
      </c>
      <c r="T11" s="74">
        <v>37</v>
      </c>
      <c r="U11" s="74">
        <v>35</v>
      </c>
      <c r="V11" s="74">
        <v>30</v>
      </c>
      <c r="W11" s="74">
        <v>30</v>
      </c>
      <c r="X11" s="74">
        <v>26</v>
      </c>
      <c r="Y11" s="74">
        <v>28</v>
      </c>
      <c r="Z11" s="74">
        <v>33</v>
      </c>
      <c r="AA11" s="74">
        <v>45</v>
      </c>
      <c r="AB11" s="74">
        <v>26</v>
      </c>
      <c r="AC11" s="74">
        <v>34</v>
      </c>
      <c r="AD11" s="74">
        <v>33</v>
      </c>
      <c r="AE11" s="74">
        <v>33</v>
      </c>
    </row>
    <row r="12" spans="1:99" ht="9.85" customHeight="1" ph="1"/>
    <row r="13" spans="1:99" s="72" customFormat="1" ht="29.2" customHeight="1" ph="1">
      <c r="B13" s="214" t="s" ph="1">
        <v>37</v>
      </c>
      <c r="C13" s="147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.2" ph="1">
      <c r="B14" s="215" ph="1"/>
      <c r="C14" s="67" t="s" ph="1">
        <v>36</v>
      </c>
      <c r="D14" s="77" t="s" ph="1">
        <v>622</v>
      </c>
      <c r="E14" s="77" t="s" ph="1">
        <v>622</v>
      </c>
      <c r="F14" s="77" t="s" ph="1">
        <v>645</v>
      </c>
      <c r="G14" s="77" t="s" ph="1">
        <v>623</v>
      </c>
      <c r="H14" s="77" t="s" ph="1">
        <v>624</v>
      </c>
      <c r="I14" s="140" t="s" ph="1">
        <v>625</v>
      </c>
      <c r="J14" s="77" t="s" ph="1">
        <v>626</v>
      </c>
      <c r="K14" s="77" t="s" ph="1">
        <v>187</v>
      </c>
      <c r="L14" s="77" t="s" ph="1">
        <v>41</v>
      </c>
      <c r="M14" s="104" t="s" ph="1">
        <v>627</v>
      </c>
      <c r="N14" s="104" t="s" ph="1">
        <v>628</v>
      </c>
      <c r="O14" s="104" t="s" ph="1">
        <v>626</v>
      </c>
      <c r="P14" s="77" t="s" ph="1">
        <v>629</v>
      </c>
      <c r="Q14" s="77" t="s" ph="1">
        <v>629</v>
      </c>
      <c r="R14" s="88" t="s" ph="1">
        <v>640</v>
      </c>
      <c r="S14" s="77" t="s" ph="1">
        <v>71</v>
      </c>
      <c r="T14" s="77" t="s" ph="1">
        <v>631</v>
      </c>
      <c r="U14" s="77" t="s" ph="1">
        <v>610</v>
      </c>
      <c r="V14" s="77" t="s" ph="1">
        <v>110</v>
      </c>
      <c r="W14" s="77" t="s" ph="1">
        <v>629</v>
      </c>
      <c r="X14" s="77" t="s" ph="1">
        <v>632</v>
      </c>
      <c r="Y14" s="138" t="s" ph="1">
        <v>0</v>
      </c>
      <c r="Z14" s="77" t="s" ph="1">
        <v>54</v>
      </c>
      <c r="AA14" s="77" t="s" ph="1">
        <v>619</v>
      </c>
      <c r="AB14" s="77" t="s" ph="1">
        <v>650</v>
      </c>
      <c r="AC14" s="77" t="s" ph="1">
        <v>650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16" ph="1">
        <v>0.33333333333333331</v>
      </c>
      <c r="C15" s="147" t="s" ph="1">
        <v>178</v>
      </c>
      <c r="D15" s="78">
        <v>4455</v>
      </c>
      <c r="E15" s="78">
        <v>74</v>
      </c>
      <c r="F15" s="78">
        <v>3673</v>
      </c>
      <c r="G15" s="78">
        <v>2797</v>
      </c>
      <c r="H15" s="78">
        <v>4379</v>
      </c>
      <c r="I15" s="78">
        <v>3244</v>
      </c>
      <c r="J15" s="78">
        <v>2030</v>
      </c>
      <c r="K15" s="78">
        <v>2579</v>
      </c>
      <c r="L15" s="78">
        <v>4779</v>
      </c>
      <c r="M15" s="78">
        <v>6999</v>
      </c>
      <c r="N15" s="78">
        <v>962</v>
      </c>
      <c r="O15" s="78">
        <v>6131</v>
      </c>
      <c r="P15" s="78">
        <v>2084</v>
      </c>
      <c r="Q15" s="78">
        <v>3406</v>
      </c>
      <c r="R15" s="78">
        <v>0</v>
      </c>
      <c r="S15" s="78">
        <v>5704</v>
      </c>
      <c r="T15" s="78">
        <v>6289</v>
      </c>
      <c r="U15" s="78">
        <v>2943</v>
      </c>
      <c r="V15" s="78">
        <v>-141</v>
      </c>
      <c r="W15" s="71">
        <v>-27</v>
      </c>
      <c r="X15" s="78">
        <v>-89</v>
      </c>
      <c r="Y15" s="106">
        <v>-9905</v>
      </c>
      <c r="Z15" s="78">
        <v>0</v>
      </c>
      <c r="AA15" s="78">
        <v>6175</v>
      </c>
      <c r="AB15" s="78" ph="1">
        <v>2</v>
      </c>
      <c r="AC15" s="78" ph="1">
        <v>5562</v>
      </c>
      <c r="AD15" s="78">
        <v>7.46</v>
      </c>
      <c r="AE15" s="78">
        <v>84.82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4" ph="1">
      <c r="B16" s="217" ph="1"/>
      <c r="C16" s="147" t="s" ph="1">
        <v>179</v>
      </c>
      <c r="D16" s="73" ph="1">
        <f>D15*7.0686*LOOKUP(D17,密度!$A$2:$A$50,密度!$L$2:$L$50)</f>
        <v>29349.251316000002</v>
      </c>
      <c r="E16" s="73" ph="1">
        <f>E15*7.0686*LOOKUP(E17,密度!$A$2:$A$50,密度!$L$2:$L$50)</f>
        <v>487.50720480000007</v>
      </c>
      <c r="F16" s="73" ph="1">
        <f>F15*9.0746*LOOKUP(F17,密度!$A$2:$A$50,密度!$L$2:$L$50)</f>
        <v>30997.835394000002</v>
      </c>
      <c r="G16" s="73" ph="1">
        <f>G15*9.0746*LOOKUP(G17,密度!$A$2:$A$50,密度!$B$2:$B$50)</f>
        <v>19721.5468674</v>
      </c>
      <c r="H16" s="73" ph="1">
        <f>H15*9.0746*LOOKUP(H17,密度!$A$2:$A$50,密度!$L$2:$L$50)</f>
        <v>37194.462302400003</v>
      </c>
      <c r="I16" s="73" ph="1">
        <f>I15*9.0746*LOOKUP(I17,密度!$A$2:$A$50,密度!$U$2:$U$50)</f>
        <v>30085.638452800002</v>
      </c>
      <c r="J16" s="73" ph="1">
        <f>J15*9.0746*LOOKUP(J17,密度!$A$2:$A$50,密度!$L$2:$L$50)</f>
        <v>17168.780216000003</v>
      </c>
      <c r="K16" s="73" ph="1">
        <f>K15*9.0746*LOOKUP(K17,密度!$A$2:$A$50,密度!$C$2:$C$50)</f>
        <v>25898.195136440001</v>
      </c>
      <c r="L16" s="73" ph="1">
        <f>L15*9.0746*LOOKUP(L17,密度!$A$2:$A$50,密度!$E$2:$E$50)</f>
        <v>33770.282684580001</v>
      </c>
      <c r="M16" s="73" ph="1">
        <f>M15*9.0746*LOOKUP(M17,密度!$A$2:$A$50,密度!$M$2:$M$50)</f>
        <v>55250.067785460007</v>
      </c>
      <c r="N16" s="73" ph="1">
        <f>N15*9.0746*LOOKUP(N17,密度!$A$2:$A$50,密度!$M$2:$M$50)</f>
        <v>7621.9579961199997</v>
      </c>
      <c r="O16" s="73" ph="1">
        <f>O15*9.0746*LOOKUP(O17,密度!$A$2:$A$50,密度!$G$2:$G$50)</f>
        <v>53182.808568339999</v>
      </c>
      <c r="P16" s="73" ph="1">
        <f ca="1">P15*9.0746*LOOKUP(P17,密度!$A$2:$A$51,密度!$Q$2:$Q$50)</f>
        <v>17851.100478952001</v>
      </c>
      <c r="Q16" s="73" ph="1">
        <f>Q15*9.0746*LOOKUP(Q17,密度!$A$2:$A$50,密度!$Q$2:$Q$50)</f>
        <v>29156.526275708002</v>
      </c>
      <c r="R16" s="73" ph="1">
        <f>MAX(R15*9.0746*LOOKUP(R17,密度!$A$2:$A$50,密度!$B$2:$B$50),0)</f>
        <v>0</v>
      </c>
      <c r="S16" s="73" ph="1">
        <f>S15*9.0746*LOOKUP(S17,密度!$A$2:$A$50,密度!$Q$2:$Q$50)</f>
        <v>48859.250063312</v>
      </c>
      <c r="T16" s="73" ph="1">
        <f>T15*9.0746*LOOKUP(T17,密度!$A$2:$A$50,密度!$O$2:$O$50)</f>
        <v>52846.967604400008</v>
      </c>
      <c r="U16" s="73" ph="1">
        <f>U15*9.0746*LOOKUP(U17,密度!$A$2:$A$50,密度!$H$2:$H$50)</f>
        <v>24356.371593600001</v>
      </c>
      <c r="V16" s="73" ph="1">
        <f>MAX(5600*LOOKUP(V17,密度!$A$2:$A$50,密度!$Q$2:$Q$50)+V15*9.0476*LOOKUP(V17,密度!$A$2:$A$50,密度!$Q$2:$Q$50),0)</f>
        <v>4073.0472439599998</v>
      </c>
      <c r="W16" s="73" ph="1">
        <f>MAX(5600*LOOKUP(W17,密度!$A$2:$A$50,密度!$Q$2:$Q$50)+W15*9.0476*LOOKUP(W17,密度!$A$2:$A$50,密度!$Q$2:$Q$50),0)</f>
        <v>5044.5477701199998</v>
      </c>
      <c r="X16" s="73" ph="1">
        <f>MAX(5600*LOOKUP(X17,密度!$A$2:$A$50,密度!$I$2:$I$50)+X15*9.0476*LOOKUP(X17,密度!$A$2:$A$50,密度!$I$2:$I$50),0)</f>
        <v>4970.2519477599999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43444.443321499995</v>
      </c>
      <c r="AB16" s="73" ph="1">
        <f>AB15*9.0746*LOOKUP(AB17,密度!$A$2:$A$50,密度!$L$2:$L$50)</f>
        <v>16.951352800000002</v>
      </c>
      <c r="AC16" s="73" ph="1">
        <f>AC15*9.0746*LOOKUP(AC17,密度!$A$2:$A$50,密度!$L$2:$L$50)</f>
        <v>47040.766286400001</v>
      </c>
      <c r="AD16" s="73" ph="1">
        <f>AD15*268.68*LOOKUP(AD17,密度!$A$2:$A$50,密度!B2:B50)+IF(AD15&lt;=0,0,1566*LOOKUP(AD17,密度!$A$2:$A$50,密度!B2:B50))</f>
        <v>2783.44704288</v>
      </c>
      <c r="AE16" s="73" ph="1">
        <f>AE15*268.68*LOOKUP(AE17,密度!$A$2:$A$50,密度!B2:B50)+IF(AE15&lt;=0,0,1566*LOOKUP(AE17,密度!$A$2:$A$50,密度!B2:B50))</f>
        <v>18987.499152959997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18" ph="1"/>
      <c r="C17" s="79" t="s" ph="1">
        <v>180</v>
      </c>
      <c r="D17" s="74">
        <v>30</v>
      </c>
      <c r="E17" s="74">
        <v>30</v>
      </c>
      <c r="F17" s="74">
        <v>32</v>
      </c>
      <c r="G17" s="74">
        <v>28</v>
      </c>
      <c r="H17" s="74">
        <v>26</v>
      </c>
      <c r="I17" s="74">
        <v>28</v>
      </c>
      <c r="J17" s="74">
        <v>30</v>
      </c>
      <c r="K17" s="74">
        <v>28</v>
      </c>
      <c r="L17" s="74">
        <v>29</v>
      </c>
      <c r="M17" s="74">
        <v>30</v>
      </c>
      <c r="N17" s="74">
        <v>27</v>
      </c>
      <c r="O17" s="74">
        <v>29</v>
      </c>
      <c r="P17" s="74">
        <v>29</v>
      </c>
      <c r="Q17" s="74">
        <v>30</v>
      </c>
      <c r="R17" s="74">
        <v>29</v>
      </c>
      <c r="S17" s="74">
        <v>29</v>
      </c>
      <c r="T17" s="74">
        <v>27</v>
      </c>
      <c r="U17" s="74">
        <v>28</v>
      </c>
      <c r="V17" s="74">
        <v>32</v>
      </c>
      <c r="W17" s="74">
        <v>32</v>
      </c>
      <c r="X17" s="74">
        <v>30</v>
      </c>
      <c r="Y17" s="108">
        <v>30</v>
      </c>
      <c r="Z17" s="74">
        <v>27</v>
      </c>
      <c r="AA17" s="74">
        <v>30</v>
      </c>
      <c r="AB17" s="74">
        <v>28</v>
      </c>
      <c r="AC17" s="74">
        <v>30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65" ph="1">
      <c r="B18" s="216" ph="1">
        <v>0.66666666666666663</v>
      </c>
      <c r="C18" s="79" t="s" ph="1">
        <v>181</v>
      </c>
      <c r="D18" s="71">
        <v>4462</v>
      </c>
      <c r="E18" s="71">
        <v>1739</v>
      </c>
      <c r="F18" s="71">
        <v>3717</v>
      </c>
      <c r="G18" s="71">
        <v>2839</v>
      </c>
      <c r="H18" s="71">
        <v>4381</v>
      </c>
      <c r="I18" s="71">
        <v>4175</v>
      </c>
      <c r="J18" s="71">
        <v>2040</v>
      </c>
      <c r="K18" s="71">
        <v>2580</v>
      </c>
      <c r="L18" s="71">
        <v>4791</v>
      </c>
      <c r="M18" s="71">
        <v>7014</v>
      </c>
      <c r="N18" s="71">
        <v>1910</v>
      </c>
      <c r="O18" s="71">
        <v>6138</v>
      </c>
      <c r="P18" s="71">
        <v>294</v>
      </c>
      <c r="Q18" s="71">
        <v>3405</v>
      </c>
      <c r="R18" s="71">
        <v>0</v>
      </c>
      <c r="S18" s="71">
        <v>5710</v>
      </c>
      <c r="T18" s="71">
        <v>5075</v>
      </c>
      <c r="U18" s="71">
        <v>2944</v>
      </c>
      <c r="V18" s="71">
        <v>-141</v>
      </c>
      <c r="W18" s="71">
        <v>-28</v>
      </c>
      <c r="X18" s="71">
        <v>-91</v>
      </c>
      <c r="Y18" s="109">
        <v>-9905</v>
      </c>
      <c r="Z18" s="71">
        <v>0</v>
      </c>
      <c r="AA18" s="71">
        <v>6181</v>
      </c>
      <c r="AB18" s="71">
        <v>578</v>
      </c>
      <c r="AC18" s="71">
        <v>7164</v>
      </c>
      <c r="AD18" s="71">
        <v>45.23</v>
      </c>
      <c r="AE18" s="71">
        <v>84.02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4" ph="1">
      <c r="B19" s="217" ph="1"/>
      <c r="C19" s="147" t="s" ph="1">
        <v>179</v>
      </c>
      <c r="D19" s="73" ph="1">
        <f>D18*7.0686*LOOKUP(D20,密度!$A$2:$A$50,密度!$L$2:$L$50)</f>
        <v>29300.746582800002</v>
      </c>
      <c r="E19" s="73" ph="1">
        <f>E18*7.0686*LOOKUP(E20,密度!$A$2:$A$50,密度!$L$2:$L$50)</f>
        <v>11419.542426600001</v>
      </c>
      <c r="F19" s="73" ph="1">
        <f>F18*9.0746*LOOKUP(F20,密度!$A$2:$A$50,密度!$L$2:$L$50)</f>
        <v>31234.246873200005</v>
      </c>
      <c r="G19" s="73" ph="1">
        <f>G18*9.0746*LOOKUP(G20,密度!$A$2:$A$50,密度!$B$2:$B$50)</f>
        <v>19950.704111359999</v>
      </c>
      <c r="H19" s="73" ph="1">
        <f>H18*9.0746*LOOKUP(H20,密度!$A$2:$A$50,密度!$L$2:$L$50)</f>
        <v>37092.182485800004</v>
      </c>
      <c r="I19" s="73" ph="1">
        <f>I18*9.0746*LOOKUP(I20,密度!$A$2:$A$50,密度!$U$2:$U$50)</f>
        <v>38303.206005</v>
      </c>
      <c r="J19" s="73" ph="1">
        <f>J18*9.0746*LOOKUP(J20,密度!$A$2:$A$50,密度!$L$2:$L$50)</f>
        <v>17160.794568000001</v>
      </c>
      <c r="K19" s="73" ph="1">
        <f>K18*9.0746*LOOKUP(K20,密度!$A$2:$A$50,密度!$C$2:$C$50)</f>
        <v>25800.539736000002</v>
      </c>
      <c r="L19" s="73" ph="1">
        <f>L18*9.0746*LOOKUP(L20,密度!$A$2:$A$50,密度!$E$2:$E$50)</f>
        <v>33708.129115752003</v>
      </c>
      <c r="M19" s="73" ph="1">
        <f>M18*9.0746*LOOKUP(M20,密度!$A$2:$A$50,密度!$M$2:$M$50)</f>
        <v>55102.423861968004</v>
      </c>
      <c r="N19" s="73" ph="1">
        <f>N18*9.0746*LOOKUP(N20,密度!$A$2:$A$50,密度!$M$2:$M$50)</f>
        <v>15096.595306000001</v>
      </c>
      <c r="O19" s="73" ph="1">
        <f>O18*9.0746*LOOKUP(O20,密度!$A$2:$A$50,密度!$G$2:$G$50)</f>
        <v>53121.546669707997</v>
      </c>
      <c r="P19" s="73" ph="1">
        <f ca="1">P18*9.0746*LOOKUP(P20,密度!$A$2:$A$51,密度!$Q$2:$Q$50)</f>
        <v>2509.4305361160004</v>
      </c>
      <c r="Q19" s="73" ph="1">
        <f>Q18*9.0746*LOOKUP(Q20,密度!$A$2:$A$50,密度!$Q$2:$Q$50)</f>
        <v>29083.695986250001</v>
      </c>
      <c r="R19" s="73" ph="1">
        <f>MAX(R18*9.0746*LOOKUP(R20,密度!$A$2:$A$50,密度!$B$2:$B$50),0)</f>
        <v>0</v>
      </c>
      <c r="S19" s="73" ph="1">
        <f>S18*9.0746*LOOKUP(S20,密度!$A$2:$A$50,密度!$Q$2:$Q$50)</f>
        <v>48771.777997500001</v>
      </c>
      <c r="T19" s="73" ph="1">
        <f>T18*9.0746*LOOKUP(T20,密度!$A$2:$A$50,密度!$O$2:$O$50)</f>
        <v>42498.257465999995</v>
      </c>
      <c r="U19" s="73" ph="1">
        <f>U18*9.0746*LOOKUP(U20,密度!$A$2:$A$50,密度!$H$2:$H$50)</f>
        <v>24259.922388991999</v>
      </c>
      <c r="V19" s="73" ph="1">
        <f>MAX(5600*LOOKUP(V20,密度!$A$2:$A$50,密度!$Q$2:$Q$50)+V18*9.0476*LOOKUP(V20,密度!$A$2:$A$50,密度!$Q$2:$Q$50),0)</f>
        <v>4058.9933066599997</v>
      </c>
      <c r="W19" s="73" ph="1">
        <f>MAX(5600*LOOKUP(W20,密度!$A$2:$A$50,密度!$Q$2:$Q$50)+W18*9.0476*LOOKUP(W20,密度!$A$2:$A$50,密度!$Q$2:$Q$50),0)</f>
        <v>5022.1245009599998</v>
      </c>
      <c r="X19" s="73" ph="1">
        <f>MAX(5600*LOOKUP(X20,密度!$A$2:$A$50,密度!$I$2:$I$50)+X18*9.0476*LOOKUP(X20,密度!$A$2:$A$50,密度!$I$2:$I$50),0)</f>
        <v>4925.0794871879989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43385.694361099995</v>
      </c>
      <c r="AB19" s="73" ph="1">
        <f>AB18*9.0746*LOOKUP(AB20,密度!$A$2:$A$50,密度!$L$2:$L$50)</f>
        <v>4846.4897712000002</v>
      </c>
      <c r="AC19" s="73" ph="1">
        <f>AC18*9.0746*LOOKUP(AC20,密度!$A$2:$A$50,密度!$L$2:$L$50)</f>
        <v>60329.683123200004</v>
      </c>
      <c r="AD19" s="73" ph="1">
        <f>AD18*268.68*LOOKUP(AD20,密度!$A$2:$A$50,密度!B5:B53)+IF(AD18&lt;=0,0,1566*LOOKUP(AD20,密度!$A$2:$A$50,密度!B5:B53))</f>
        <v>10659.194002799999</v>
      </c>
      <c r="AE19" s="73" ph="1">
        <f>AE18*268.68*LOOKUP(AE20,密度!$A$2:$A$50,密度!B5:B53)+IF(AE18&lt;=0,0,1566*LOOKUP(AE20,密度!$A$2:$A$50,密度!B5:B53))</f>
        <v>18757.163527199998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17" ph="1"/>
      <c r="C20" s="80" t="s" ph="1">
        <v>180</v>
      </c>
      <c r="D20" s="81">
        <v>33</v>
      </c>
      <c r="E20" s="81">
        <v>33</v>
      </c>
      <c r="F20" s="81">
        <v>36</v>
      </c>
      <c r="G20" s="81">
        <v>31</v>
      </c>
      <c r="H20" s="81">
        <v>29</v>
      </c>
      <c r="I20" s="81">
        <v>40</v>
      </c>
      <c r="J20" s="81">
        <v>35</v>
      </c>
      <c r="K20" s="81">
        <v>33</v>
      </c>
      <c r="L20" s="81">
        <v>32</v>
      </c>
      <c r="M20" s="81">
        <v>34</v>
      </c>
      <c r="N20" s="81">
        <v>29</v>
      </c>
      <c r="O20" s="81">
        <v>31</v>
      </c>
      <c r="P20" s="81">
        <v>34</v>
      </c>
      <c r="Q20" s="81">
        <v>33</v>
      </c>
      <c r="R20" s="81">
        <v>33</v>
      </c>
      <c r="S20" s="81">
        <v>33</v>
      </c>
      <c r="T20" s="81">
        <v>31</v>
      </c>
      <c r="U20" s="81">
        <v>32</v>
      </c>
      <c r="V20" s="81">
        <v>37</v>
      </c>
      <c r="W20" s="81">
        <v>36</v>
      </c>
      <c r="X20" s="81">
        <v>35</v>
      </c>
      <c r="Y20" s="110">
        <v>35</v>
      </c>
      <c r="Z20" s="81">
        <v>37</v>
      </c>
      <c r="AA20" s="81">
        <v>32</v>
      </c>
      <c r="AB20" s="81">
        <v>38</v>
      </c>
      <c r="AC20" s="81">
        <v>34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15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633</v>
      </c>
      <c r="H23" s="88" t="s" ph="1">
        <v>633</v>
      </c>
      <c r="I23" s="88" t="s" ph="1">
        <v>634</v>
      </c>
      <c r="J23" s="88" t="s" ph="1">
        <v>635</v>
      </c>
      <c r="K23" s="88" t="s" ph="1">
        <v>635</v>
      </c>
      <c r="L23" s="88" t="s" ph="1">
        <v>635</v>
      </c>
      <c r="M23" s="88" t="s" ph="1">
        <v>630</v>
      </c>
      <c r="N23" s="88" t="s" ph="1">
        <v>630</v>
      </c>
      <c r="O23" s="88" t="s" ph="1">
        <v>321</v>
      </c>
      <c r="P23" s="88" t="s" ph="1">
        <v>637</v>
      </c>
      <c r="Q23" s="89" t="s" ph="1">
        <v>637</v>
      </c>
      <c r="R23" s="88" t="s" ph="1">
        <v>616</v>
      </c>
      <c r="S23" s="88" t="s" ph="1">
        <v>636</v>
      </c>
      <c r="T23" s="88" t="s" ph="1">
        <v>607</v>
      </c>
      <c r="U23" s="88" t="s" ph="1">
        <v>611</v>
      </c>
      <c r="V23" s="88" t="s" ph="1">
        <v>637</v>
      </c>
      <c r="W23" s="88" t="s" ph="1">
        <v>637</v>
      </c>
      <c r="X23" s="88" t="s" ph="1">
        <v>190</v>
      </c>
      <c r="Y23" s="88" t="s" ph="1">
        <v>638</v>
      </c>
      <c r="Z23" s="228" t="s" ph="1">
        <v>641</v>
      </c>
      <c r="AA23" s="229"/>
      <c r="AB23" s="229"/>
      <c r="AC23" s="229"/>
      <c r="AD23" s="229"/>
      <c r="AE23" s="230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37" ph="1">
        <v>0.33333333333333331</v>
      </c>
      <c r="C24" s="147" t="s" ph="1">
        <v>178</v>
      </c>
      <c r="D24" s="71">
        <v>3.51</v>
      </c>
      <c r="E24" s="71">
        <v>4.45</v>
      </c>
      <c r="F24" s="71">
        <v>712</v>
      </c>
      <c r="G24" s="71">
        <v>1100</v>
      </c>
      <c r="H24" s="71">
        <v>1724</v>
      </c>
      <c r="I24" s="71">
        <v>1710</v>
      </c>
      <c r="J24" s="71">
        <v>880</v>
      </c>
      <c r="K24" s="71">
        <v>5509</v>
      </c>
      <c r="L24" s="71">
        <v>5610</v>
      </c>
      <c r="M24" s="71">
        <v>1070</v>
      </c>
      <c r="N24" s="71">
        <v>4766</v>
      </c>
      <c r="O24" s="71">
        <v>5159</v>
      </c>
      <c r="P24" s="71">
        <v>3003</v>
      </c>
      <c r="Q24" s="90">
        <v>3687</v>
      </c>
      <c r="R24" s="71">
        <v>69</v>
      </c>
      <c r="S24" s="71">
        <v>1255</v>
      </c>
      <c r="T24" s="71">
        <v>1763</v>
      </c>
      <c r="U24" s="71">
        <v>6009</v>
      </c>
      <c r="V24" s="71">
        <v>9380</v>
      </c>
      <c r="W24" s="71">
        <v>10745</v>
      </c>
      <c r="X24" s="71">
        <v>5876</v>
      </c>
      <c r="Y24" s="71">
        <v>6145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37" ph="1"/>
      <c r="C25" s="68" t="s" ph="1">
        <v>179</v>
      </c>
      <c r="D25" s="91" ph="1">
        <f>D24*268.68*LOOKUP(D26,密度!$A$2:$A$50,密度!$Q$2:$Q$50)+IF(D24&lt;=0,0,1566*LOOKUP(D26,密度!$A$2:$A$50,密度!$Q$2:$Q$50))</f>
        <v>2375.433902232</v>
      </c>
      <c r="E25" s="91" ph="1">
        <f>E24*268.68*LOOKUP(E26,密度!$A$2:$A$50,密度!$C$2:$C$50)+IF(E24&lt;=0,0,1566*LOOKUP(E26,密度!$A$2:$A$50,密度!$C$2:$C$50))</f>
        <v>3062.3670714</v>
      </c>
      <c r="F25" s="91" ph="1">
        <f>F24*11.702*LOOKUP(F26,密度!$A$2:$A$50,密度!$Q$2:$Q$50)</f>
        <v>7859.6595339200003</v>
      </c>
      <c r="G25" s="91" ph="1">
        <f>G24*18.322*LOOKUP(G26,密度!$A$2:$A$50,密度!$B$2:$B$50)</f>
        <v>15659.813400000001</v>
      </c>
      <c r="H25" s="91" ph="1">
        <f>H24*18.322*LOOKUP(H26,密度!$A$2:$A$50,密度!$B$2:$B$50)</f>
        <v>24543.198455999998</v>
      </c>
      <c r="I25" s="91" ph="1">
        <f>I24*18.322*LOOKUP(I26,密度!$A$2:$A$50,密度!$Q$2:$Q$50)</f>
        <v>29573.9121366</v>
      </c>
      <c r="J25" s="91" ph="1">
        <f>J24*18.322*LOOKUP(J26,密度!$A$2:$A$50,密度!$Q$2:$Q$50)</f>
        <v>15219.323204799999</v>
      </c>
      <c r="K25" s="91" ph="1">
        <f>K24*18.322*LOOKUP(K26,密度!$A$2:$A$50,密度!$Q$2:$Q$50)</f>
        <v>95215.860660339997</v>
      </c>
      <c r="L25" s="91" ph="1">
        <f>L24*18.322*LOOKUP(L26,密度!$A$2:$A$50,密度!$Q$2:$Q$50)</f>
        <v>96961.513578600003</v>
      </c>
      <c r="M25" s="91" ph="1">
        <f>M24*18.322*LOOKUP(M26,密度!$A$2:$A$50,密度!$Q$2:$Q$50)</f>
        <v>18505.3134422</v>
      </c>
      <c r="N25" s="91" ph="1">
        <f>N24*18.322*LOOKUP(N26,密度!$A$2:$A$50,密度!$Q$2:$Q$50)</f>
        <v>82426.470902360001</v>
      </c>
      <c r="O25" s="91" ph="1">
        <f>O24*18.322*LOOKUP(O26,密度!$A$2:$A$50,密度!$C$2:$C$50)</f>
        <v>104457.58610979999</v>
      </c>
      <c r="P25" s="91" ph="1">
        <f>P24*11.702*LOOKUP(P26,密度!$A$2:$A$50,密度!$B$2:$B$50)</f>
        <v>27244.899481799999</v>
      </c>
      <c r="Q25" s="92" ph="1">
        <f>Q24*18.322*LOOKUP(Q26,密度!$A$2:$A$50,密度!$B$2:$B$50)</f>
        <v>52252.411028999995</v>
      </c>
      <c r="R25" s="91" ph="1">
        <f>R24*35.891*LOOKUP(R26,密度!$A$2:$A$50,密度!$C$2:$C$50)</f>
        <v>2731.5563369999995</v>
      </c>
      <c r="S25" s="91" ph="1">
        <f>S24*35.891*LOOKUP(S26,密度!$A$2:$A$50,密度!$B$2:$B$50)</f>
        <v>34881.457951999997</v>
      </c>
      <c r="T25" s="91" ph="1">
        <f>T24*35.891*LOOKUP(T26,密度!$A$2:$A$50,密度!$Q$2:$Q$50)</f>
        <v>59642.534669139997</v>
      </c>
      <c r="U25" s="91" ph="1">
        <f>U24*35.891</f>
        <v>215669.019</v>
      </c>
      <c r="V25" s="91" ph="1">
        <f>V24*47.051*LOOKUP(V26,密度!$A$2:$A$50,密度!$B$2:$B$50)</f>
        <v>341375.23693000001</v>
      </c>
      <c r="W25" s="91" ph="1">
        <f>W24*47.051*LOOKUP(W26,密度!$A$2:$A$50,密度!$B$2:$B$50)</f>
        <v>392417.99671899999</v>
      </c>
      <c r="X25" s="91" ph="1">
        <f>X24*47.051*LOOKUP(X26,密度!$A$2:$A$50,密度!$I$2:$I$50)</f>
        <v>286289.18521476001</v>
      </c>
      <c r="Y25" s="91" ph="1">
        <f>Y24*47.051*LOOKUP(Y26,密度!$A$2:$A$50,密度!$L$2:$L$50)</f>
        <v>268889.40735000005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37" ph="1"/>
      <c r="C26" s="68" t="s" ph="1">
        <v>180</v>
      </c>
      <c r="D26" s="74">
        <v>25</v>
      </c>
      <c r="E26" s="74">
        <v>25</v>
      </c>
      <c r="F26" s="74">
        <v>30</v>
      </c>
      <c r="G26" s="74">
        <v>28</v>
      </c>
      <c r="H26" s="74">
        <v>28</v>
      </c>
      <c r="I26" s="74">
        <v>29</v>
      </c>
      <c r="J26" s="74">
        <v>29</v>
      </c>
      <c r="K26" s="74">
        <v>30</v>
      </c>
      <c r="L26" s="74">
        <v>30</v>
      </c>
      <c r="M26" s="74">
        <v>29</v>
      </c>
      <c r="N26" s="74">
        <v>29</v>
      </c>
      <c r="O26" s="74">
        <v>30</v>
      </c>
      <c r="P26" s="74">
        <v>30</v>
      </c>
      <c r="Q26" s="93">
        <v>32</v>
      </c>
      <c r="R26" s="74">
        <v>32</v>
      </c>
      <c r="S26" s="74">
        <v>31</v>
      </c>
      <c r="T26" s="74">
        <v>31</v>
      </c>
      <c r="U26" s="74">
        <v>31</v>
      </c>
      <c r="V26" s="74">
        <v>32</v>
      </c>
      <c r="W26" s="74">
        <v>29</v>
      </c>
      <c r="X26" s="74">
        <v>31</v>
      </c>
      <c r="Y26" s="74">
        <v>32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65" ph="1">
      <c r="A27" s="72" ph="1"/>
      <c r="B27" s="237" ph="1">
        <v>0.66666666666666663</v>
      </c>
      <c r="C27" s="147" t="s" ph="1">
        <v>181</v>
      </c>
      <c r="D27" s="71">
        <v>3.51</v>
      </c>
      <c r="E27" s="71">
        <v>4.43</v>
      </c>
      <c r="F27" s="71">
        <v>711</v>
      </c>
      <c r="G27" s="71">
        <v>937</v>
      </c>
      <c r="H27" s="71">
        <v>594</v>
      </c>
      <c r="I27" s="71">
        <v>1708</v>
      </c>
      <c r="J27" s="71">
        <v>877</v>
      </c>
      <c r="K27" s="71">
        <v>5512</v>
      </c>
      <c r="L27" s="71">
        <v>5608</v>
      </c>
      <c r="M27" s="71">
        <v>1068</v>
      </c>
      <c r="N27" s="71">
        <v>4189</v>
      </c>
      <c r="O27" s="71">
        <v>4814</v>
      </c>
      <c r="P27" s="71">
        <v>355</v>
      </c>
      <c r="Q27" s="90">
        <v>2284</v>
      </c>
      <c r="R27" s="71">
        <v>64</v>
      </c>
      <c r="S27" s="71">
        <v>2977</v>
      </c>
      <c r="T27" s="71">
        <v>1761</v>
      </c>
      <c r="U27" s="71">
        <v>5528</v>
      </c>
      <c r="V27" s="71">
        <v>9381</v>
      </c>
      <c r="W27" s="71">
        <v>10748</v>
      </c>
      <c r="X27" s="71">
        <v>6477</v>
      </c>
      <c r="Y27" s="71">
        <v>6722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37" ph="1"/>
      <c r="C28" s="147" t="s" ph="1">
        <v>179</v>
      </c>
      <c r="D28" s="91" ph="1">
        <f>D27*268.68*LOOKUP(D29,密度!$A$2:$A$50,密度!$Q$2:$Q$50)+IF(D27&lt;=0,0,1566*LOOKUP(D29,密度!$A$2:$A$50,密度!$Q$2:$Q$50))</f>
        <v>2375.433902232</v>
      </c>
      <c r="E28" s="91" ph="1">
        <f>E27*268.68*LOOKUP(E29,密度!$A$2:$A$50,密度!$C$2:$C$50)+IF(E27&lt;=0,0,1566*LOOKUP(E29,密度!$A$2:$A$50,密度!$C$2:$C$50))</f>
        <v>3056.4082863599997</v>
      </c>
      <c r="F28" s="91" ph="1">
        <f>F27*11.702*LOOKUP(F29,密度!$A$2:$A$50,密度!$Q$2:$Q$50)</f>
        <v>7831.3148324999993</v>
      </c>
      <c r="G28" s="91" ph="1">
        <f>G27*18.322*LOOKUP(G29,密度!$A$2:$A$50,密度!$B$2:$B$50)</f>
        <v>13279.226778999999</v>
      </c>
      <c r="H28" s="91" ph="1">
        <f>H27*18.322*LOOKUP(H29,密度!$A$2:$A$50,密度!$B$2:$B$50)</f>
        <v>8418.2077979999995</v>
      </c>
      <c r="I28" s="91" ph="1">
        <f>I27*18.322*LOOKUP(I29,密度!$A$2:$A$50,密度!$Q$2:$Q$50)</f>
        <v>29497.075898079998</v>
      </c>
      <c r="J28" s="91" ph="1">
        <f>J27*18.322*LOOKUP(J29,密度!$A$2:$A$50,密度!$Q$2:$Q$50)</f>
        <v>15134.820308599998</v>
      </c>
      <c r="K28" s="91" ph="1">
        <f>K27*18.322*LOOKUP(K29,密度!$A$2:$A$50,密度!$Q$2:$Q$50)</f>
        <v>95123.294801600001</v>
      </c>
      <c r="L28" s="91" ph="1">
        <f>L27*18.322*LOOKUP(L29,密度!$A$2:$A$50,密度!$Q$2:$Q$50)</f>
        <v>96849.883862079994</v>
      </c>
      <c r="M28" s="91" ph="1">
        <f>M27*18.322*LOOKUP(M29,密度!$A$2:$A$50,密度!$Q$2:$Q$50)</f>
        <v>18444.307411680002</v>
      </c>
      <c r="N28" s="91" ph="1">
        <f>N27*18.322*LOOKUP(N29,密度!$A$2:$A$50,密度!$Q$2:$Q$50)</f>
        <v>72241.745092500001</v>
      </c>
      <c r="O28" s="91" ph="1">
        <f>O27*18.322*LOOKUP(O29,密度!$A$2:$A$50,密度!$C$2:$C$50)</f>
        <v>97198.723016000004</v>
      </c>
      <c r="P28" s="91" ph="1">
        <f>P27*11.702*LOOKUP(P29,密度!$A$2:$A$50,密度!$B$2:$B$50)</f>
        <v>3217.0202239999999</v>
      </c>
      <c r="Q28" s="92" ph="1">
        <f>Q27*18.322*LOOKUP(Q29,密度!$A$2:$A$50,密度!$B$2:$B$50)</f>
        <v>32406.663731199995</v>
      </c>
      <c r="R28" s="91" ph="1">
        <f>R27*35.891*LOOKUP(R29,密度!$A$2:$A$50,密度!$C$2:$C$50)</f>
        <v>2536.1441984000003</v>
      </c>
      <c r="S28" s="91" ph="1">
        <f>S27*35.891*LOOKUP(S29,密度!$A$2:$A$50,密度!$B$2:$B$50)</f>
        <v>82742.709420799991</v>
      </c>
      <c r="T28" s="91" ph="1">
        <f>T27*35.891*LOOKUP(T29,密度!$A$2:$A$50,密度!$Q$2:$Q$50)</f>
        <v>59531.895636899993</v>
      </c>
      <c r="U28" s="91" ph="1">
        <f>U27*35.891</f>
        <v>198405.448</v>
      </c>
      <c r="V28" s="91" ph="1">
        <f>V27*47.051*LOOKUP(V29,密度!$A$2:$A$50,密度!$B$2:$B$50)</f>
        <v>341058.52253370004</v>
      </c>
      <c r="W28" s="91" ph="1">
        <f>W27*47.051*LOOKUP(W29,密度!$A$2:$A$50,密度!$B$2:$B$50)</f>
        <v>390757.59515960008</v>
      </c>
      <c r="X28" s="91" ph="1">
        <f>X27*47.051*LOOKUP(X29,密度!$A$2:$A$50,密度!$I$2:$I$50)</f>
        <v>314894.43209582998</v>
      </c>
      <c r="Y28" s="91" ph="1">
        <f>Y27*47.051*LOOKUP(Y29,密度!$A$2:$A$50,密度!$L$2:$L$50)</f>
        <v>293504.890816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37" ph="1"/>
      <c r="C29" s="147" t="s" ph="1">
        <v>180</v>
      </c>
      <c r="D29" s="74">
        <v>25</v>
      </c>
      <c r="E29" s="74">
        <v>25</v>
      </c>
      <c r="F29" s="74">
        <v>33</v>
      </c>
      <c r="G29" s="74">
        <v>32</v>
      </c>
      <c r="H29" s="74">
        <v>32</v>
      </c>
      <c r="I29" s="74">
        <v>31</v>
      </c>
      <c r="J29" s="74">
        <v>32</v>
      </c>
      <c r="K29" s="74">
        <v>32</v>
      </c>
      <c r="L29" s="74">
        <v>31</v>
      </c>
      <c r="M29" s="74">
        <v>31</v>
      </c>
      <c r="N29" s="74">
        <v>33</v>
      </c>
      <c r="O29" s="74">
        <v>33</v>
      </c>
      <c r="P29" s="74">
        <v>31</v>
      </c>
      <c r="Q29" s="93">
        <v>31</v>
      </c>
      <c r="R29" s="74">
        <v>31</v>
      </c>
      <c r="S29" s="74">
        <v>31</v>
      </c>
      <c r="T29" s="74">
        <v>32</v>
      </c>
      <c r="U29" s="74">
        <v>33</v>
      </c>
      <c r="V29" s="74">
        <v>33</v>
      </c>
      <c r="W29" s="74">
        <v>33</v>
      </c>
      <c r="X29" s="74">
        <v>33</v>
      </c>
      <c r="Y29" s="74">
        <v>34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45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47" t="s" ph="1">
        <v>5</v>
      </c>
      <c r="F32" s="148" t="s" ph="1">
        <v>43</v>
      </c>
      <c r="G32" s="97" t="s" ph="1">
        <v>4</v>
      </c>
      <c r="H32" s="147" t="s" ph="1">
        <v>5</v>
      </c>
      <c r="I32" s="148" t="s" ph="1">
        <v>43</v>
      </c>
      <c r="J32" s="97" t="s" ph="1">
        <v>4</v>
      </c>
      <c r="K32" s="147" t="s" ph="1">
        <v>5</v>
      </c>
      <c r="L32" s="148" t="s" ph="1">
        <v>43</v>
      </c>
      <c r="M32" s="97" t="s" ph="1">
        <v>4</v>
      </c>
      <c r="N32" s="147" t="s" ph="1">
        <v>5</v>
      </c>
      <c r="O32" s="14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7" t="s" ph="1">
        <v>5</v>
      </c>
      <c r="U32" s="99" t="s" ph="1">
        <v>43</v>
      </c>
      <c r="V32" s="97" t="s" ph="1">
        <v>4</v>
      </c>
      <c r="W32" s="147" t="s" ph="1">
        <v>5</v>
      </c>
      <c r="X32" s="99" t="s" ph="1">
        <v>43</v>
      </c>
      <c r="Y32" s="100" t="s" ph="1">
        <v>4</v>
      </c>
      <c r="Z32" s="147" t="s" ph="1">
        <v>5</v>
      </c>
      <c r="AA32" s="148" t="s" ph="1">
        <v>43</v>
      </c>
      <c r="AB32" s="97" t="s" ph="1">
        <v>85</v>
      </c>
      <c r="AC32" s="147" t="s" ph="1">
        <v>84</v>
      </c>
      <c r="AD32" s="204" t="s" ph="1">
        <v>83</v>
      </c>
      <c r="AE32" s="205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06" t="s" ph="1">
        <v>182</v>
      </c>
      <c r="C33" s="207" ph="1"/>
      <c r="D33" s="186" ph="1">
        <f>AA10+AB10+Z19</f>
        <v>64943.704528800008</v>
      </c>
      <c r="E33" s="186" ph="1">
        <f>M10+I10</f>
        <v>155998.16819359999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[[#This Row],[F25]]</f>
        <v>3880</v>
      </c>
      <c r="G33" s="212" ph="1">
        <v>0</v>
      </c>
      <c r="H33" s="186" ph="1">
        <f>N19</f>
        <v>15096.595306000001</v>
      </c>
      <c r="I33" s="190" ph="1">
        <v>0</v>
      </c>
      <c r="J33" s="194" ph="1">
        <f>F10+O28</f>
        <v>347102.08941230003</v>
      </c>
      <c r="K33" s="186" ph="1">
        <f>O10+K10+E28+R28</f>
        <v>9324.5120943600014</v>
      </c>
      <c r="L33" s="196" ph="1">
        <f>BE27</f>
        <v>7100</v>
      </c>
      <c r="M33" s="194" ph="1">
        <f>G10+H10+W28+S28+V28+E10</f>
        <v>1647082.3766991</v>
      </c>
      <c r="N33" s="186" ph="1">
        <f>L10+P10++G28+H28</f>
        <v>197940.476574</v>
      </c>
      <c r="O33" s="190" ph="1">
        <f>BE17</f>
        <v>2270</v>
      </c>
      <c r="P33" s="194" ph="1">
        <f>L19</f>
        <v>33708.129115752003</v>
      </c>
      <c r="Q33" s="186" ph="1">
        <f>J10+N10</f>
        <v>49966.075199719999</v>
      </c>
      <c r="R33" s="190" ph="1">
        <f>BE23</f>
        <v>890</v>
      </c>
      <c r="S33" s="194" ph="1">
        <f>E10+X28</f>
        <v>638186.36060083006</v>
      </c>
      <c r="T33" s="186" ph="1">
        <f>X19</f>
        <v>4925.0794871879989</v>
      </c>
      <c r="U33" s="175" ph="1">
        <f>BE21</f>
        <v>730</v>
      </c>
      <c r="V33" s="188" ph="1">
        <f ca="1">P19+Q19+S19+M28+N28+J28</f>
        <v>186185.77733264599</v>
      </c>
      <c r="W33" s="188" ph="1">
        <f>D28+F28+V19+T28</f>
        <v>73797.637678291998</v>
      </c>
      <c r="X33" s="190" ph="1">
        <f>BE29+BE31</f>
        <v>10200</v>
      </c>
      <c r="Y33" s="192" ph="1">
        <f>+Q10+R10+S10+T10+U10+V10+W10+X10+Y10</f>
        <v>132860.628054</v>
      </c>
      <c r="Z33" s="173" ph="1">
        <f>D10+T19+U19+Y28+Z10</f>
        <v>565042.52522605192</v>
      </c>
      <c r="AA33" s="175" ph="1">
        <f>BE19</f>
        <v>1440</v>
      </c>
      <c r="AB33" s="177" ph="1">
        <f>I19</f>
        <v>38303.206005</v>
      </c>
      <c r="AC33" s="179" ph="1">
        <f>AD10</f>
        <v>85622.229705599995</v>
      </c>
      <c r="AD33" s="181" ph="1">
        <v>0</v>
      </c>
      <c r="AE33" s="182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85" t="s" ph="1">
        <v>639</v>
      </c>
      <c r="AD35" s="185"/>
      <c r="AE35" s="185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45" ph="1">
      <c r="A36" s="64"/>
      <c r="B36" s="103" t="s" ph="1">
        <v>183</v>
      </c>
      <c r="I36" s="171" t="s" ph="1">
        <v>184</v>
      </c>
      <c r="J36" s="171" ph="1"/>
      <c r="K36" s="101" ph="1"/>
      <c r="P36" s="101" ph="1"/>
      <c r="R36" s="171" t="s" ph="1">
        <v>185</v>
      </c>
      <c r="S36" s="171" ph="1"/>
      <c r="Y36" s="102" ph="1"/>
      <c r="Z36" s="149" t="s" ph="1">
        <v>186</v>
      </c>
      <c r="AA36" s="149" ph="1"/>
      <c r="AB36" s="172" t="s" ph="1">
        <v>644</v>
      </c>
      <c r="AC36" s="172" ph="1"/>
      <c r="AD36" s="172" ph="1"/>
      <c r="AE36" s="172" ph="1"/>
      <c r="BA36" s="64" ph="1">
        <v>2270</v>
      </c>
    </row>
    <row r="37" spans="1:57" s="14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9" t="s" ph="1">
        <v>345</v>
      </c>
      <c r="AI37" s="149" t="s" ph="1">
        <v>212</v>
      </c>
      <c r="AJ37" s="149" t="s" ph="1">
        <v>213</v>
      </c>
      <c r="AK37" s="149" t="s" ph="1">
        <v>214</v>
      </c>
      <c r="AM37" s="149" t="s" ph="1">
        <v>213</v>
      </c>
      <c r="AN37" s="149" t="s" ph="1">
        <v>214</v>
      </c>
      <c r="AO37" s="149" t="s" ph="1">
        <v>215</v>
      </c>
      <c r="AP37" s="149" t="s" ph="1">
        <v>213</v>
      </c>
      <c r="AQ37" s="149" t="s" ph="1">
        <v>214</v>
      </c>
      <c r="AR37" s="149" t="s" ph="1">
        <v>215</v>
      </c>
      <c r="AS37" s="149" t="s" ph="1">
        <v>213</v>
      </c>
      <c r="AT37" s="149" t="s" ph="1">
        <v>214</v>
      </c>
      <c r="AU37" s="149" t="s" ph="1">
        <v>215</v>
      </c>
      <c r="AV37" s="149" t="s" ph="1">
        <v>213</v>
      </c>
      <c r="AW37" s="149" t="s" ph="1">
        <v>214</v>
      </c>
      <c r="AX37" s="149" t="s" ph="1">
        <v>215</v>
      </c>
      <c r="AY37" s="149" t="s" ph="1">
        <v>214</v>
      </c>
      <c r="AZ37" s="149" t="s" ph="1">
        <v>216</v>
      </c>
      <c r="BD37" s="149" t="s" ph="1">
        <v>308</v>
      </c>
      <c r="BE37" s="149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396" priority="97">
      <formula>ABS(D$7-D$10)&gt;=1000</formula>
    </cfRule>
  </conditionalFormatting>
  <conditionalFormatting sqref="E4 E6:E11">
    <cfRule type="expression" dxfId="1395" priority="96">
      <formula>ABS(E$7-E$10)&gt;=1000</formula>
    </cfRule>
  </conditionalFormatting>
  <conditionalFormatting sqref="F4:F11">
    <cfRule type="expression" dxfId="1394" priority="95">
      <formula>ABS(F$7-F$10)&gt;=1000</formula>
    </cfRule>
  </conditionalFormatting>
  <conditionalFormatting sqref="G4:G11">
    <cfRule type="expression" dxfId="1393" priority="94">
      <formula>ABS(G$7-G$10)&gt;=1000</formula>
    </cfRule>
  </conditionalFormatting>
  <conditionalFormatting sqref="H4:H11">
    <cfRule type="expression" dxfId="1392" priority="93">
      <formula>ABS(H$7-H$10)&gt;=1000</formula>
    </cfRule>
  </conditionalFormatting>
  <conditionalFormatting sqref="I4:I11">
    <cfRule type="expression" dxfId="1391" priority="92">
      <formula>ABS(I$7-I$10)&gt;=1000</formula>
    </cfRule>
  </conditionalFormatting>
  <conditionalFormatting sqref="J4:J11">
    <cfRule type="expression" dxfId="1390" priority="91">
      <formula>ABS(J$7-J$10)&gt;=1000</formula>
    </cfRule>
  </conditionalFormatting>
  <conditionalFormatting sqref="K4:K11">
    <cfRule type="expression" dxfId="1389" priority="90">
      <formula>ABS(K$7-K$10)&gt;=1000</formula>
    </cfRule>
  </conditionalFormatting>
  <conditionalFormatting sqref="L4:L11">
    <cfRule type="expression" dxfId="1388" priority="89">
      <formula>ABS(L$7-L$10)&gt;=1000</formula>
    </cfRule>
  </conditionalFormatting>
  <conditionalFormatting sqref="M4 M6:M11">
    <cfRule type="expression" dxfId="1387" priority="88">
      <formula>ABS(M$7-M$10)&gt;=1000</formula>
    </cfRule>
  </conditionalFormatting>
  <conditionalFormatting sqref="N4 N6:N11">
    <cfRule type="expression" dxfId="1386" priority="87">
      <formula>ABS(N$7-N$10)&gt;=1000</formula>
    </cfRule>
  </conditionalFormatting>
  <conditionalFormatting sqref="O4 O6:O11">
    <cfRule type="expression" dxfId="1385" priority="86">
      <formula>ABS(O$7-O$10)&gt;=1000</formula>
    </cfRule>
  </conditionalFormatting>
  <conditionalFormatting sqref="P4 P6:P11">
    <cfRule type="expression" dxfId="1384" priority="85">
      <formula>ABS(P$7-P$10)&gt;=1000</formula>
    </cfRule>
  </conditionalFormatting>
  <conditionalFormatting sqref="Q4:Q11">
    <cfRule type="expression" dxfId="1383" priority="84">
      <formula>ABS(Q$7-Q$10)&gt;=1000</formula>
    </cfRule>
  </conditionalFormatting>
  <conditionalFormatting sqref="R4:R11">
    <cfRule type="expression" dxfId="1382" priority="83">
      <formula>ABS(R$7-R$10)&gt;=1000</formula>
    </cfRule>
  </conditionalFormatting>
  <conditionalFormatting sqref="S4:S11">
    <cfRule type="expression" dxfId="1381" priority="82">
      <formula>ABS(S$7-S$10)&gt;=1000</formula>
    </cfRule>
  </conditionalFormatting>
  <conditionalFormatting sqref="T4:T9 T11">
    <cfRule type="expression" dxfId="1380" priority="81">
      <formula>ABS(T$7-T$10)&gt;=1000</formula>
    </cfRule>
  </conditionalFormatting>
  <conditionalFormatting sqref="U4:U9 U11">
    <cfRule type="expression" dxfId="1379" priority="80">
      <formula>ABS(U$7-U$10)&gt;=1000</formula>
    </cfRule>
  </conditionalFormatting>
  <conditionalFormatting sqref="V4:V9 V11">
    <cfRule type="expression" dxfId="1378" priority="79">
      <formula>ABS(V$7-V$10)&gt;=1000</formula>
    </cfRule>
  </conditionalFormatting>
  <conditionalFormatting sqref="W4:W9 W11">
    <cfRule type="expression" dxfId="1377" priority="78">
      <formula>ABS(W$7-W$10)&gt;=1000</formula>
    </cfRule>
  </conditionalFormatting>
  <conditionalFormatting sqref="X4:X9 X11">
    <cfRule type="expression" dxfId="1376" priority="77">
      <formula>ABS(X$7-X$10)&gt;=1000</formula>
    </cfRule>
  </conditionalFormatting>
  <conditionalFormatting sqref="Y4:Y9 Y11">
    <cfRule type="expression" dxfId="1375" priority="76">
      <formula>ABS(Y$7-Y$10)&gt;=1000</formula>
    </cfRule>
  </conditionalFormatting>
  <conditionalFormatting sqref="Z4:Z11">
    <cfRule type="expression" dxfId="1374" priority="75">
      <formula>ABS(Z$7-Z$10)&gt;=1000</formula>
    </cfRule>
  </conditionalFormatting>
  <conditionalFormatting sqref="AA4:AA11">
    <cfRule type="expression" dxfId="1373" priority="74">
      <formula>ABS(AA$7-AA$10)&gt;=1000</formula>
    </cfRule>
  </conditionalFormatting>
  <conditionalFormatting sqref="AB4:AB11">
    <cfRule type="expression" dxfId="1372" priority="73">
      <formula>ABS(AB$7-AB$10)&gt;=1000</formula>
    </cfRule>
  </conditionalFormatting>
  <conditionalFormatting sqref="AC4 AC6:AC11">
    <cfRule type="expression" dxfId="1371" priority="72">
      <formula>ABS(AC$7-AC$10)&gt;=1000</formula>
    </cfRule>
  </conditionalFormatting>
  <conditionalFormatting sqref="AD4:AD11">
    <cfRule type="expression" dxfId="1370" priority="71">
      <formula>ABS(AD$7-AD$10)&gt;=1000</formula>
    </cfRule>
  </conditionalFormatting>
  <conditionalFormatting sqref="AE4:AE11">
    <cfRule type="expression" dxfId="1369" priority="70">
      <formula>ABS(AE$7-AE$10)&gt;=1000</formula>
    </cfRule>
  </conditionalFormatting>
  <conditionalFormatting sqref="D13:D20">
    <cfRule type="expression" dxfId="1368" priority="69">
      <formula>ABS(D$16-D$19)&gt;=1000</formula>
    </cfRule>
  </conditionalFormatting>
  <conditionalFormatting sqref="E13:E20">
    <cfRule type="expression" dxfId="1367" priority="68">
      <formula>ABS(E$16-E$19)&gt;=1000</formula>
    </cfRule>
  </conditionalFormatting>
  <conditionalFormatting sqref="F13 F15:F20">
    <cfRule type="expression" dxfId="1366" priority="67">
      <formula>ABS(F$16-F$19)&gt;=1000</formula>
    </cfRule>
  </conditionalFormatting>
  <conditionalFormatting sqref="G13:G20">
    <cfRule type="expression" dxfId="1365" priority="66">
      <formula>ABS(G$16-G$19)&gt;=1000</formula>
    </cfRule>
  </conditionalFormatting>
  <conditionalFormatting sqref="H13:H20">
    <cfRule type="expression" dxfId="1364" priority="65">
      <formula>ABS(H$16-H$19)&gt;=1000</formula>
    </cfRule>
  </conditionalFormatting>
  <conditionalFormatting sqref="I13:I20">
    <cfRule type="expression" dxfId="1363" priority="64">
      <formula>ABS(I$16-I$19)&gt;=1000</formula>
    </cfRule>
  </conditionalFormatting>
  <conditionalFormatting sqref="J13:J20">
    <cfRule type="expression" dxfId="1362" priority="63">
      <formula>ABS(J$16-J$19)&gt;=1000</formula>
    </cfRule>
  </conditionalFormatting>
  <conditionalFormatting sqref="L13:L20">
    <cfRule type="expression" dxfId="1361" priority="62">
      <formula>ABS(L$16-L$19)&gt;=1000</formula>
    </cfRule>
  </conditionalFormatting>
  <conditionalFormatting sqref="M13 M15 M17:M18 M20">
    <cfRule type="expression" dxfId="1360" priority="61">
      <formula>ABS(M$16-M$19)&gt;=1000</formula>
    </cfRule>
  </conditionalFormatting>
  <conditionalFormatting sqref="N13:N20">
    <cfRule type="expression" dxfId="1359" priority="60">
      <formula>ABS(N$16-N$19)&gt;=1000</formula>
    </cfRule>
  </conditionalFormatting>
  <conditionalFormatting sqref="O13:O20">
    <cfRule type="expression" dxfId="1358" priority="59">
      <formula>ABS(O$16-O$19)&gt;=1000</formula>
    </cfRule>
  </conditionalFormatting>
  <conditionalFormatting sqref="P13:P20">
    <cfRule type="expression" dxfId="1357" priority="58">
      <formula>ABS(P$16-P$19)&gt;=1000</formula>
    </cfRule>
  </conditionalFormatting>
  <conditionalFormatting sqref="Q13 Q15:Q20">
    <cfRule type="expression" dxfId="1356" priority="57">
      <formula>ABS(Q$16-Q$19)&gt;=1000</formula>
    </cfRule>
  </conditionalFormatting>
  <conditionalFormatting sqref="R13:R20">
    <cfRule type="expression" dxfId="1355" priority="56">
      <formula>ABS(R$16-R$19)&gt;=1000</formula>
    </cfRule>
  </conditionalFormatting>
  <conditionalFormatting sqref="S13:S20">
    <cfRule type="expression" dxfId="1354" priority="55">
      <formula>ABS(S$16-S$19)&gt;=1000</formula>
    </cfRule>
  </conditionalFormatting>
  <conditionalFormatting sqref="T13:T20">
    <cfRule type="expression" dxfId="1353" priority="54">
      <formula>ABS(T$16-T$19)&gt;=1000</formula>
    </cfRule>
  </conditionalFormatting>
  <conditionalFormatting sqref="U13:U20">
    <cfRule type="expression" dxfId="1352" priority="53">
      <formula>ABS(U$16-U$19)&gt;=1000</formula>
    </cfRule>
  </conditionalFormatting>
  <conditionalFormatting sqref="V13:V20">
    <cfRule type="expression" dxfId="1351" priority="52">
      <formula>ABS(V$16-V$19)&gt;=1000</formula>
    </cfRule>
  </conditionalFormatting>
  <conditionalFormatting sqref="W13 W20 W15:W18">
    <cfRule type="expression" dxfId="1350" priority="51">
      <formula>ABS(W$16-W$19)&gt;=1000</formula>
    </cfRule>
  </conditionalFormatting>
  <conditionalFormatting sqref="X13 X15:X20 Y19">
    <cfRule type="expression" dxfId="1349" priority="50">
      <formula>ABS(X$16-X$19)&gt;=1000</formula>
    </cfRule>
  </conditionalFormatting>
  <conditionalFormatting sqref="Y13 Y15:Y18 Y20">
    <cfRule type="expression" dxfId="1348" priority="49">
      <formula>ABS(Y$16-Y$19)&gt;=1000</formula>
    </cfRule>
  </conditionalFormatting>
  <conditionalFormatting sqref="Z13:Z20">
    <cfRule type="expression" dxfId="1347" priority="48">
      <formula>ABS(Z$16-Z$19)&gt;=1000</formula>
    </cfRule>
  </conditionalFormatting>
  <conditionalFormatting sqref="AA13:AA20">
    <cfRule type="expression" dxfId="1346" priority="47">
      <formula>ABS(AA$16-AA$19)&gt;=1000</formula>
    </cfRule>
  </conditionalFormatting>
  <conditionalFormatting sqref="AB13 AB15:AB20">
    <cfRule type="expression" dxfId="1345" priority="46">
      <formula>ABS(AB$16-AB$19)&gt;=1000</formula>
    </cfRule>
  </conditionalFormatting>
  <conditionalFormatting sqref="AC13 AC15:AC20">
    <cfRule type="expression" dxfId="1344" priority="45">
      <formula>ABS(AC$16-AC$19)&gt;=1000</formula>
    </cfRule>
  </conditionalFormatting>
  <conditionalFormatting sqref="AD13:AD20">
    <cfRule type="expression" dxfId="1343" priority="44">
      <formula>ABS(AD$16-AD$19)&gt;=1000</formula>
    </cfRule>
  </conditionalFormatting>
  <conditionalFormatting sqref="AE13:AE20">
    <cfRule type="expression" dxfId="1342" priority="43">
      <formula>ABS(AE$16-AE$19)&gt;=1000</formula>
    </cfRule>
  </conditionalFormatting>
  <conditionalFormatting sqref="D22:D29">
    <cfRule type="expression" dxfId="1341" priority="42">
      <formula>ABS(D$25-D$28)&gt;=1000</formula>
    </cfRule>
  </conditionalFormatting>
  <conditionalFormatting sqref="E22:E29">
    <cfRule type="expression" dxfId="1340" priority="41">
      <formula>ABS(E$25-E$28)&gt;=1000</formula>
    </cfRule>
  </conditionalFormatting>
  <conditionalFormatting sqref="F22:F29">
    <cfRule type="expression" dxfId="1339" priority="40">
      <formula>ABS(F$25-F$28)&gt;=1000</formula>
    </cfRule>
  </conditionalFormatting>
  <conditionalFormatting sqref="G22:G29">
    <cfRule type="expression" dxfId="1338" priority="39">
      <formula>ABS(G$25-G$28)&gt;=1000</formula>
    </cfRule>
  </conditionalFormatting>
  <conditionalFormatting sqref="H22:H29">
    <cfRule type="expression" dxfId="1337" priority="38">
      <formula>ABS(H$25-H$28)&gt;=1000</formula>
    </cfRule>
  </conditionalFormatting>
  <conditionalFormatting sqref="I22 I24:I29">
    <cfRule type="expression" dxfId="1336" priority="37">
      <formula>ABS(I$25-I$28)&gt;=1000</formula>
    </cfRule>
  </conditionalFormatting>
  <conditionalFormatting sqref="J22:J29 K22">
    <cfRule type="expression" dxfId="1335" priority="36">
      <formula>ABS(J$25-J$28)&gt;=1000</formula>
    </cfRule>
  </conditionalFormatting>
  <conditionalFormatting sqref="K23:K29 L25 L28">
    <cfRule type="expression" dxfId="1334" priority="35">
      <formula>ABS(K$25-K$28)&gt;=1000</formula>
    </cfRule>
  </conditionalFormatting>
  <conditionalFormatting sqref="L22 L26:L27 L29 L24">
    <cfRule type="expression" dxfId="1333" priority="34">
      <formula>ABS(L$25-L$28)&gt;=1000</formula>
    </cfRule>
  </conditionalFormatting>
  <conditionalFormatting sqref="M22:M29">
    <cfRule type="expression" dxfId="1332" priority="33">
      <formula>ABS(M$25-M$28)&gt;=1000</formula>
    </cfRule>
  </conditionalFormatting>
  <conditionalFormatting sqref="N22:N29">
    <cfRule type="expression" dxfId="1331" priority="32">
      <formula>ABS(N$25-N$28)&gt;=1000</formula>
    </cfRule>
  </conditionalFormatting>
  <conditionalFormatting sqref="O22:O29">
    <cfRule type="expression" dxfId="1330" priority="31">
      <formula>ABS(O$25-O$28)&gt;=1000</formula>
    </cfRule>
  </conditionalFormatting>
  <conditionalFormatting sqref="P22:P29">
    <cfRule type="expression" dxfId="1329" priority="30">
      <formula>ABS(P$25-P$28)&gt;=1000</formula>
    </cfRule>
  </conditionalFormatting>
  <conditionalFormatting sqref="Q22:Q29">
    <cfRule type="expression" dxfId="1328" priority="29">
      <formula>ABS(Q$25-Q$28)&gt;=1000</formula>
    </cfRule>
  </conditionalFormatting>
  <conditionalFormatting sqref="R22:R29">
    <cfRule type="expression" dxfId="1327" priority="28">
      <formula>ABS(R$25-R$28)&gt;=1000</formula>
    </cfRule>
  </conditionalFormatting>
  <conditionalFormatting sqref="S22:S29">
    <cfRule type="expression" dxfId="1326" priority="27">
      <formula>ABS(S$25-S$28)&gt;=1000</formula>
    </cfRule>
  </conditionalFormatting>
  <conditionalFormatting sqref="T22:T29">
    <cfRule type="expression" dxfId="1325" priority="26">
      <formula>ABS(T$25-T$28)&gt;=1000</formula>
    </cfRule>
  </conditionalFormatting>
  <conditionalFormatting sqref="U22:U29">
    <cfRule type="expression" dxfId="1324" priority="25">
      <formula>ABS(U$25-U$28)&gt;=1000</formula>
    </cfRule>
  </conditionalFormatting>
  <conditionalFormatting sqref="V22:V29">
    <cfRule type="expression" dxfId="1323" priority="24">
      <formula>ABS(V$25-V$28)&gt;=1000</formula>
    </cfRule>
  </conditionalFormatting>
  <conditionalFormatting sqref="W22:W29">
    <cfRule type="expression" dxfId="1322" priority="23">
      <formula>ABS(W$25-W$28)&gt;=1000</formula>
    </cfRule>
  </conditionalFormatting>
  <conditionalFormatting sqref="X22:X29">
    <cfRule type="expression" dxfId="1321" priority="22">
      <formula>ABS(X$25-X$28)&gt;=1000</formula>
    </cfRule>
  </conditionalFormatting>
  <conditionalFormatting sqref="Y22:Y29">
    <cfRule type="expression" dxfId="1320" priority="21">
      <formula>ABS(Y$25-Y$28)&gt;=1000</formula>
    </cfRule>
  </conditionalFormatting>
  <conditionalFormatting sqref="I23">
    <cfRule type="expression" dxfId="1319" priority="20">
      <formula>ABS(I$25-I$28)&gt;=1000</formula>
    </cfRule>
  </conditionalFormatting>
  <conditionalFormatting sqref="F14">
    <cfRule type="expression" dxfId="1318" priority="19">
      <formula>ABS(F$16-F$19)&gt;=1000</formula>
    </cfRule>
  </conditionalFormatting>
  <conditionalFormatting sqref="Q14">
    <cfRule type="expression" dxfId="1317" priority="18">
      <formula>ABS(Q$16-Q$19)&gt;=1000</formula>
    </cfRule>
  </conditionalFormatting>
  <conditionalFormatting sqref="W14">
    <cfRule type="expression" dxfId="1316" priority="17">
      <formula>ABS(W$16-W$19)&gt;=1000</formula>
    </cfRule>
  </conditionalFormatting>
  <conditionalFormatting sqref="Y14">
    <cfRule type="expression" dxfId="1315" priority="16">
      <formula>ABS(Y$16-Y$19)&gt;=1000</formula>
    </cfRule>
  </conditionalFormatting>
  <conditionalFormatting sqref="X14">
    <cfRule type="expression" dxfId="1314" priority="15">
      <formula>ABS(X$16-X$19)&gt;=1000</formula>
    </cfRule>
  </conditionalFormatting>
  <conditionalFormatting sqref="T10:Y10">
    <cfRule type="expression" dxfId="1313" priority="14">
      <formula>ABS(T$7-T$10)&gt;=1000</formula>
    </cfRule>
  </conditionalFormatting>
  <conditionalFormatting sqref="W19">
    <cfRule type="expression" dxfId="1312" priority="13">
      <formula>ABS(W$16-W$19)&gt;=1000</formula>
    </cfRule>
  </conditionalFormatting>
  <conditionalFormatting sqref="AC5">
    <cfRule type="expression" dxfId="1311" priority="12">
      <formula>ABS(AC$7-AC$10)&gt;=1000</formula>
    </cfRule>
  </conditionalFormatting>
  <conditionalFormatting sqref="M14">
    <cfRule type="expression" dxfId="1310" priority="11">
      <formula>ABS(M$16-M$19)&gt;=1000</formula>
    </cfRule>
  </conditionalFormatting>
  <conditionalFormatting sqref="M16">
    <cfRule type="expression" dxfId="1309" priority="10">
      <formula>ABS(M$16-M$19)&gt;=1000</formula>
    </cfRule>
  </conditionalFormatting>
  <conditionalFormatting sqref="M19">
    <cfRule type="expression" dxfId="1308" priority="9">
      <formula>ABS(M$16-M$19)&gt;=1000</formula>
    </cfRule>
  </conditionalFormatting>
  <conditionalFormatting sqref="K13:K20">
    <cfRule type="expression" dxfId="1307" priority="8">
      <formula>ABS(K$16-K$19)&gt;=1000</formula>
    </cfRule>
  </conditionalFormatting>
  <conditionalFormatting sqref="E5">
    <cfRule type="expression" dxfId="1306" priority="7">
      <formula>ABS(E$7-E$10)&gt;=1000</formula>
    </cfRule>
  </conditionalFormatting>
  <conditionalFormatting sqref="AB14:AC14">
    <cfRule type="expression" dxfId="1305" priority="6">
      <formula>ABS(AB$16-AB$19)&gt;=1000</formula>
    </cfRule>
  </conditionalFormatting>
  <conditionalFormatting sqref="M5">
    <cfRule type="expression" dxfId="1304" priority="5">
      <formula>ABS(M$7-M$10)&gt;=1000</formula>
    </cfRule>
  </conditionalFormatting>
  <conditionalFormatting sqref="N5">
    <cfRule type="expression" dxfId="1303" priority="4">
      <formula>ABS(N$7-N$10)&gt;=1000</formula>
    </cfRule>
  </conditionalFormatting>
  <conditionalFormatting sqref="O5">
    <cfRule type="expression" dxfId="1302" priority="3">
      <formula>ABS(O$7-O$10)&gt;=1000</formula>
    </cfRule>
  </conditionalFormatting>
  <conditionalFormatting sqref="P5">
    <cfRule type="expression" dxfId="1301" priority="2">
      <formula>ABS(P$7-P$10)&gt;=1000</formula>
    </cfRule>
  </conditionalFormatting>
  <conditionalFormatting sqref="L23">
    <cfRule type="expression" dxfId="1300" priority="1">
      <formula>ABS(L$25-L$28)&gt;=1000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5897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345782</xdr:rowOff>
                  </from>
                  <to>
                    <xdr:col>32</xdr:col>
                    <xdr:colOff>414938</xdr:colOff>
                    <xdr:row>3</xdr:row>
                    <xdr:rowOff>30736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82">
    <pageSetUpPr fitToPage="1"/>
  </sheetPr>
  <dimension ref="A1:CU223"/>
  <sheetViews>
    <sheetView view="pageBreakPreview" topLeftCell="A7" zoomScale="80" zoomScaleNormal="100" zoomScaleSheetLayoutView="80" workbookViewId="0">
      <selection activeCell="Y27" sqref="Y27"/>
    </sheetView>
  </sheetViews>
  <sheetFormatPr defaultColWidth="8.109375" defaultRowHeight="26.05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0.9" ph="1">
      <c r="A1" s="64"/>
      <c r="B1" s="238" t="s" ph="1">
        <v>162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.05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.05" customHeight="1" ph="1">
      <c r="B3" s="240" ph="1">
        <v>45856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" customHeight="1" ph="1">
      <c r="A5" s="65" ph="1"/>
      <c r="B5" s="219" ph="1"/>
      <c r="C5" s="67" t="s" ph="1">
        <v>36</v>
      </c>
      <c r="D5" s="70" t="s" ph="1">
        <v>161</v>
      </c>
      <c r="E5" s="70" t="s" ph="1">
        <v>640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47" t="s" ph="1">
        <v>178</v>
      </c>
      <c r="D6" s="71">
        <v>4780</v>
      </c>
      <c r="E6" s="71">
        <v>8117</v>
      </c>
      <c r="F6" s="71">
        <v>6820</v>
      </c>
      <c r="G6" s="71">
        <v>5287</v>
      </c>
      <c r="H6" s="71">
        <v>6941</v>
      </c>
      <c r="I6" s="71">
        <v>51.76</v>
      </c>
      <c r="J6" s="71">
        <v>7.72</v>
      </c>
      <c r="K6" s="71">
        <v>7.01</v>
      </c>
      <c r="L6" s="71">
        <v>32.65</v>
      </c>
      <c r="M6" s="71">
        <v>4173</v>
      </c>
      <c r="N6" s="71">
        <v>1651</v>
      </c>
      <c r="O6" s="71">
        <v>66</v>
      </c>
      <c r="P6" s="71">
        <v>3977</v>
      </c>
      <c r="Q6" s="71">
        <v>2549</v>
      </c>
      <c r="R6" s="71">
        <v>0</v>
      </c>
      <c r="S6" s="71">
        <v>0</v>
      </c>
      <c r="T6" s="71">
        <v>0</v>
      </c>
      <c r="U6" s="71">
        <v>0</v>
      </c>
      <c r="V6" s="71">
        <v>0</v>
      </c>
      <c r="W6" s="71">
        <v>3599</v>
      </c>
      <c r="X6" s="71">
        <v>5935</v>
      </c>
      <c r="Y6" s="71">
        <v>5200</v>
      </c>
      <c r="Z6" s="71">
        <v>2134</v>
      </c>
      <c r="AA6" s="71">
        <v>558</v>
      </c>
      <c r="AB6" s="71">
        <v>2212</v>
      </c>
      <c r="AC6" s="71">
        <v>3851</v>
      </c>
      <c r="AD6" s="71">
        <v>4348</v>
      </c>
      <c r="AE6" s="71">
        <v>2750</v>
      </c>
    </row>
    <row r="7" spans="1:99" s="72" customFormat="1" ht="22.4" ph="1">
      <c r="B7" s="237" ph="1"/>
      <c r="C7" s="68" t="s" ph="1">
        <v>179</v>
      </c>
      <c r="D7" s="73" ph="1">
        <f>D6*33.183*LOOKUP(D8,密度!$A$2:$A$50,密度!$Q$2:$Q$50)</f>
        <v>149721.21152819999</v>
      </c>
      <c r="E7" s="73" ph="1">
        <f>E6*51.53*LOOKUP(E8,密度!$A$2:$A$50,密度!$B$2:$B$50)</f>
        <v>325371.462879</v>
      </c>
      <c r="F7" s="73" ph="1">
        <f>F6*33.183*LOOKUP(F8,密度!$A$2:$A$50,密度!$C$2:$C$50)</f>
        <v>250613.545644</v>
      </c>
      <c r="G7" s="73" ph="1">
        <f xml:space="preserve"> (G6+2)*51.53*LOOKUP(G8,密度!$A$2:$A$50,密度!$B$2:$B$50)</f>
        <v>211547.23235399998</v>
      </c>
      <c r="H7" s="73" ph="1">
        <f>(H6)*51.53*LOOKUP(H8,密度!$A$2:$A$50,密度!$B$2:$B$50)</f>
        <v>278839.32150799996</v>
      </c>
      <c r="I7" s="73" ph="1">
        <f>I6*290.8*1.0267</f>
        <v>15453.691273599999</v>
      </c>
      <c r="J7" s="73" ph="1">
        <f>J6*290.8*0.7892</f>
        <v>1771.7350592</v>
      </c>
      <c r="K7" s="73" ph="1">
        <f>K6*290.8*1.1126</f>
        <v>2268.0440008</v>
      </c>
      <c r="L7" s="73" ph="1">
        <f>L6*290.8*0.777</f>
        <v>7377.3197400000008</v>
      </c>
      <c r="M7" s="73" ph="1">
        <f>M6*33.183*LOOKUP(M8,密度!$A$2:$A$50,密度!$D$2:$D$50)</f>
        <v>141643.68289109998</v>
      </c>
      <c r="N7" s="73" ph="1">
        <f>N6*33.183*LOOKUP(N8,密度!$A$2:$A$50,密度!$E$2:$E$50)</f>
        <v>42600.919420799997</v>
      </c>
      <c r="O7" s="73" ph="1">
        <f>O6*20.428*LOOKUP(O8,密度!$A$2:$A$50,密度!$C$2:$C$50)</f>
        <v>1488.6006168000001</v>
      </c>
      <c r="P7" s="73" ph="1">
        <f>P6*51.53*LOOKUP(P8,密度!$A$2:$A$50,密度!$B$2:$B$50)</f>
        <v>159418.788699</v>
      </c>
      <c r="Q7" s="73" ph="1">
        <f>Q6*1.5*1.5*3.1416*LOOKUP(W8,密度!$A$2:$A$50,密度!$L$2:$L$50)</f>
        <v>16810.664686199998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23735.418676200003</v>
      </c>
      <c r="X7" s="73" ph="1">
        <f>X6*1.5*1.5*3.1416*LOOKUP(X8,密度!$A$2:$A$50,密度!$L$2:$L$50)</f>
        <v>39476.964680999998</v>
      </c>
      <c r="Y7" s="73" ph="1">
        <f>Y6*1.5*1.5*3.1416*LOOKUP(Y8,密度!$A$2:$A$50,密度!$L$2:$L$50)</f>
        <v>34367.533200000005</v>
      </c>
      <c r="Z7" s="73" ph="1">
        <f>Z6*33.183*LOOKUP(Z8,密度!$A$2:$A$50,密度!$L$2:$L$50)</f>
        <v>66351.333114000008</v>
      </c>
      <c r="AA7" s="73" ph="1">
        <f>AA6*33.183*LOOKUP(AA8,密度!$A$2:$A$50,密度!$D$2:$D$50)</f>
        <v>18975.313627200001</v>
      </c>
      <c r="AB7" s="73" ph="1">
        <f>AB6*20.428*LOOKUP(AB8,密度!$A$2:$A$50,密度!$D$2:$D$50)</f>
        <v>46479.0766496</v>
      </c>
      <c r="AC7" s="73" ph="1">
        <f>AC6*51.53*LOOKUP(AC8,密度!$A$2:$A$50,密度!$Q$2:$Q$50)</f>
        <v>187732.1136409</v>
      </c>
      <c r="AD7" s="73" ph="1">
        <f>AD6*20.428*LOOKUP(AD8,密度!$A$2:$A$50,密度!$V$2:$V$50)</f>
        <v>85054.93597440001</v>
      </c>
      <c r="AE7" s="73" ph="1">
        <f>AE6*20.428</f>
        <v>56177</v>
      </c>
    </row>
    <row r="8" spans="1:99" ph="1">
      <c r="B8" s="237" ph="1"/>
      <c r="C8" s="68" t="s" ph="1">
        <v>180</v>
      </c>
      <c r="D8" s="74">
        <v>29</v>
      </c>
      <c r="E8" s="74">
        <v>27</v>
      </c>
      <c r="F8" s="74">
        <v>27</v>
      </c>
      <c r="G8" s="74">
        <v>29</v>
      </c>
      <c r="H8" s="74">
        <v>25</v>
      </c>
      <c r="I8" s="74">
        <v>25</v>
      </c>
      <c r="J8" s="74">
        <v>25</v>
      </c>
      <c r="K8" s="74">
        <v>25</v>
      </c>
      <c r="L8" s="74">
        <v>25</v>
      </c>
      <c r="M8" s="74">
        <v>29</v>
      </c>
      <c r="N8" s="74">
        <v>30</v>
      </c>
      <c r="O8" s="74">
        <v>31</v>
      </c>
      <c r="P8" s="74">
        <v>27</v>
      </c>
      <c r="Q8" s="74">
        <v>27</v>
      </c>
      <c r="R8" s="74">
        <v>32</v>
      </c>
      <c r="S8" s="74">
        <v>24</v>
      </c>
      <c r="T8" s="74">
        <v>24</v>
      </c>
      <c r="U8" s="74">
        <v>28</v>
      </c>
      <c r="V8" s="74">
        <v>25</v>
      </c>
      <c r="W8" s="74">
        <v>29</v>
      </c>
      <c r="X8" s="74">
        <v>21</v>
      </c>
      <c r="Y8" s="74">
        <v>27</v>
      </c>
      <c r="Z8" s="74">
        <v>25</v>
      </c>
      <c r="AA8" s="74">
        <v>27</v>
      </c>
      <c r="AB8" s="74">
        <v>23</v>
      </c>
      <c r="AC8" s="74">
        <v>26</v>
      </c>
      <c r="AD8" s="74">
        <v>26</v>
      </c>
      <c r="AE8" s="74">
        <v>30</v>
      </c>
    </row>
    <row r="9" spans="1:99" ht="26.65" ph="1">
      <c r="B9" s="237" ph="1">
        <v>0.66666666666666663</v>
      </c>
      <c r="C9" s="147" t="s" ph="1">
        <v>181</v>
      </c>
      <c r="D9" s="71">
        <v>4780</v>
      </c>
      <c r="E9" s="71">
        <v>8115</v>
      </c>
      <c r="F9" s="71">
        <v>6824</v>
      </c>
      <c r="G9" s="71">
        <v>5910</v>
      </c>
      <c r="H9" s="71">
        <v>7821</v>
      </c>
      <c r="I9" s="71">
        <v>51.72</v>
      </c>
      <c r="J9" s="71">
        <v>7.76</v>
      </c>
      <c r="K9" s="71">
        <v>7.01</v>
      </c>
      <c r="L9" s="71">
        <v>26.02</v>
      </c>
      <c r="M9" s="71">
        <v>3948</v>
      </c>
      <c r="N9" s="71">
        <v>1651</v>
      </c>
      <c r="O9" s="71">
        <v>65</v>
      </c>
      <c r="P9" s="71">
        <v>3781</v>
      </c>
      <c r="Q9" s="71">
        <v>5191</v>
      </c>
      <c r="R9" s="71">
        <v>1935</v>
      </c>
      <c r="S9" s="71">
        <v>0</v>
      </c>
      <c r="T9" s="71">
        <v>0</v>
      </c>
      <c r="U9" s="71">
        <v>0</v>
      </c>
      <c r="V9" s="71">
        <v>0</v>
      </c>
      <c r="W9" s="71">
        <v>0</v>
      </c>
      <c r="X9" s="71">
        <v>5939</v>
      </c>
      <c r="Y9" s="71">
        <v>5200</v>
      </c>
      <c r="Z9" s="71">
        <v>2897</v>
      </c>
      <c r="AA9" s="71">
        <v>556</v>
      </c>
      <c r="AB9" s="71">
        <v>2148</v>
      </c>
      <c r="AC9" s="71">
        <v>3851</v>
      </c>
      <c r="AD9" s="71">
        <v>4390</v>
      </c>
      <c r="AE9" s="71">
        <v>2528</v>
      </c>
    </row>
    <row r="10" spans="1:99" s="72" customFormat="1" ht="22.4" ph="1">
      <c r="B10" s="237" ph="1"/>
      <c r="C10" s="147" t="s" ph="1">
        <v>179</v>
      </c>
      <c r="D10" s="73" ph="1">
        <f>D9*33.183*LOOKUP(D11,密度!$A$2:$A$50,密度!$Q$2:$Q$50)</f>
        <v>149399.22360599999</v>
      </c>
      <c r="E10" s="73" ph="1">
        <f>E9*51.53*LOOKUP(E11,密度!$A$2:$A$50,密度!$B$2:$B$50)</f>
        <v>323116.82956500002</v>
      </c>
      <c r="F10" s="73" ph="1">
        <f>F9*33.183*LOOKUP(F11,密度!$A$2:$A$50,密度!$C$2:$C$50)</f>
        <v>250239.71923919997</v>
      </c>
      <c r="G10" s="73" ph="1">
        <f xml:space="preserve"> (G9+2)*51.53*LOOKUP(G11,密度!$A$2:$A$50,密度!$B$2:$B$50)</f>
        <v>235643.18595999997</v>
      </c>
      <c r="H10" s="73" ph="1">
        <f>(H9)*51.53*LOOKUP(H11,密度!$A$2:$A$50,密度!$B$2:$B$50)</f>
        <v>311732.976555</v>
      </c>
      <c r="I10" s="73" ph="1">
        <f>I9*290.8*1.0267</f>
        <v>15441.748699199999</v>
      </c>
      <c r="J10" s="73" ph="1">
        <f>J9*290.8*0.7892</f>
        <v>1780.9150336000002</v>
      </c>
      <c r="K10" s="73" ph="1">
        <f>K9*290.8*1.1126</f>
        <v>2268.0440008</v>
      </c>
      <c r="L10" s="73" ph="1">
        <f>L9*290.8*0.777</f>
        <v>5879.2606320000004</v>
      </c>
      <c r="M10" s="73" ph="1">
        <f>M9*33.183*LOOKUP(M11,密度!$A$2:$A$50,密度!$D$2:$D$50)</f>
        <v>133312.1981184</v>
      </c>
      <c r="N10" s="73" ph="1">
        <f>N9*33.183*LOOKUP(N11,密度!$A$2:$A$50,密度!$E$2:$E$50)</f>
        <v>42537.916517849997</v>
      </c>
      <c r="O10" s="73" ph="1">
        <f>O9*20.428*LOOKUP(O11,密度!$A$2:$A$50,密度!$C$2:$C$50)</f>
        <v>1450.6433500000003</v>
      </c>
      <c r="P10" s="73" ph="1">
        <f>P9*51.53*LOOKUP(P11,密度!$A$2:$A$50,密度!$B$2:$B$50)</f>
        <v>150704.818355</v>
      </c>
      <c r="Q10" s="73" ph="1">
        <f>Q9*1.5*1.5*3.1416*LOOKUP(W11,密度!$A$2:$A$50,密度!$L$2:$L$50)</f>
        <v>33831.040597200001</v>
      </c>
      <c r="R10" s="73" ph="1">
        <f>R9*1.5*1.5*3.1416*LOOKUP(R11,密度!$A$2:$A$50,密度!$L$2:$L$50)</f>
        <v>12679.265907000001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39293.6688144</v>
      </c>
      <c r="Y10" s="73" ph="1">
        <f>Y9*1.5*1.5*3.1416*LOOKUP(Y11,密度!$A$2:$A$50,密度!$L$2:$L$50)</f>
        <v>34294.019760000003</v>
      </c>
      <c r="Z10" s="73" ph="1">
        <f>Z9*33.183*LOOKUP(Z11,密度!$A$2:$A$50,密度!$L$2:$L$50)</f>
        <v>89401.970430000001</v>
      </c>
      <c r="AA10" s="73" ph="1">
        <f>AA9*33.183*LOOKUP(AA11,密度!$A$2:$A$50,密度!$D$2:$D$50)</f>
        <v>18726.494219999997</v>
      </c>
      <c r="AB10" s="73" ph="1">
        <f>AB9*20.428*LOOKUP(AB11,密度!$A$2:$A$50,密度!$D$2:$D$50)</f>
        <v>44967.551731200001</v>
      </c>
      <c r="AC10" s="73" ph="1">
        <f>AC9*51.53*LOOKUP(AC11,密度!$A$2:$A$50,密度!$Q$2:$Q$50)</f>
        <v>186783.5607375</v>
      </c>
      <c r="AD10" s="73" ph="1">
        <f>AD9*20.428*LOOKUP(AD11,密度!$A$2:$A$50,密度!$V$2:$V$50)</f>
        <v>85876.533792000002</v>
      </c>
      <c r="AE10" s="73" ph="1">
        <f>AE9*20.428</f>
        <v>51641.984000000004</v>
      </c>
    </row>
    <row r="11" spans="1:99" ph="1">
      <c r="A11" s="64" t="s" ph="1">
        <v>163</v>
      </c>
      <c r="B11" s="237" ph="1"/>
      <c r="C11" s="147" t="s" ph="1">
        <v>180</v>
      </c>
      <c r="D11" s="74">
        <v>32</v>
      </c>
      <c r="E11" s="74">
        <v>33</v>
      </c>
      <c r="F11" s="74">
        <v>30</v>
      </c>
      <c r="G11" s="74">
        <v>32</v>
      </c>
      <c r="H11" s="74">
        <v>32</v>
      </c>
      <c r="I11" s="74">
        <v>25</v>
      </c>
      <c r="J11" s="74">
        <v>25</v>
      </c>
      <c r="K11" s="74">
        <v>25</v>
      </c>
      <c r="L11" s="74">
        <v>25</v>
      </c>
      <c r="M11" s="74">
        <v>35</v>
      </c>
      <c r="N11" s="74">
        <v>31</v>
      </c>
      <c r="O11" s="74">
        <v>42</v>
      </c>
      <c r="P11" s="74">
        <v>32</v>
      </c>
      <c r="Q11" s="74">
        <v>29</v>
      </c>
      <c r="R11" s="74">
        <v>35</v>
      </c>
      <c r="S11" s="74">
        <v>29</v>
      </c>
      <c r="T11" s="74">
        <v>34</v>
      </c>
      <c r="U11" s="74">
        <v>35</v>
      </c>
      <c r="V11" s="74">
        <v>33</v>
      </c>
      <c r="W11" s="74">
        <v>40</v>
      </c>
      <c r="X11" s="74">
        <v>26</v>
      </c>
      <c r="Y11" s="74">
        <v>29</v>
      </c>
      <c r="Z11" s="74">
        <v>32</v>
      </c>
      <c r="AA11" s="74">
        <v>38</v>
      </c>
      <c r="AB11" s="74">
        <v>27</v>
      </c>
      <c r="AC11" s="74">
        <v>33</v>
      </c>
      <c r="AD11" s="74">
        <v>33</v>
      </c>
      <c r="AE11" s="74">
        <v>33</v>
      </c>
    </row>
    <row r="12" spans="1:99" ht="9.85" customHeight="1" ph="1"/>
    <row r="13" spans="1:99" s="72" customFormat="1" ht="29.2" customHeight="1" ph="1">
      <c r="B13" s="214" t="s" ph="1">
        <v>37</v>
      </c>
      <c r="C13" s="147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.2" ph="1">
      <c r="B14" s="215" ph="1"/>
      <c r="C14" s="67" t="s" ph="1">
        <v>36</v>
      </c>
      <c r="D14" s="77" t="s" ph="1">
        <v>622</v>
      </c>
      <c r="E14" s="77" t="s" ph="1">
        <v>622</v>
      </c>
      <c r="F14" s="77" t="s" ph="1">
        <v>645</v>
      </c>
      <c r="G14" s="77" t="s" ph="1">
        <v>623</v>
      </c>
      <c r="H14" s="77" t="s" ph="1">
        <v>624</v>
      </c>
      <c r="I14" s="140" t="s" ph="1">
        <v>625</v>
      </c>
      <c r="J14" s="77" t="s" ph="1">
        <v>626</v>
      </c>
      <c r="K14" s="77" t="s" ph="1">
        <v>187</v>
      </c>
      <c r="L14" s="77" t="s" ph="1">
        <v>41</v>
      </c>
      <c r="M14" s="104" t="s" ph="1">
        <v>627</v>
      </c>
      <c r="N14" s="104" t="s" ph="1">
        <v>628</v>
      </c>
      <c r="O14" s="104" t="s" ph="1">
        <v>626</v>
      </c>
      <c r="P14" s="77" t="s" ph="1">
        <v>629</v>
      </c>
      <c r="Q14" s="77" t="s" ph="1">
        <v>629</v>
      </c>
      <c r="R14" s="88" t="s" ph="1">
        <v>640</v>
      </c>
      <c r="S14" s="77" t="s" ph="1">
        <v>71</v>
      </c>
      <c r="T14" s="77" t="s" ph="1">
        <v>631</v>
      </c>
      <c r="U14" s="77" t="s" ph="1">
        <v>610</v>
      </c>
      <c r="V14" s="77" t="s" ph="1">
        <v>110</v>
      </c>
      <c r="W14" s="77" t="s" ph="1">
        <v>629</v>
      </c>
      <c r="X14" s="77" t="s" ph="1">
        <v>632</v>
      </c>
      <c r="Y14" s="138" t="s" ph="1">
        <v>0</v>
      </c>
      <c r="Z14" s="77" t="s" ph="1">
        <v>54</v>
      </c>
      <c r="AA14" s="77" t="s" ph="1">
        <v>619</v>
      </c>
      <c r="AB14" s="77" t="s" ph="1">
        <v>650</v>
      </c>
      <c r="AC14" s="77" t="s" ph="1">
        <v>650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16" ph="1">
        <v>0.33333333333333331</v>
      </c>
      <c r="C15" s="147" t="s" ph="1">
        <v>178</v>
      </c>
      <c r="D15" s="78">
        <v>5853</v>
      </c>
      <c r="E15" s="78">
        <v>1522</v>
      </c>
      <c r="F15" s="78">
        <v>3713</v>
      </c>
      <c r="G15" s="78">
        <v>2940</v>
      </c>
      <c r="H15" s="78">
        <v>4380</v>
      </c>
      <c r="I15" s="78">
        <v>2873</v>
      </c>
      <c r="J15" s="78">
        <v>2099</v>
      </c>
      <c r="K15" s="78">
        <v>2678</v>
      </c>
      <c r="L15" s="78">
        <v>4786</v>
      </c>
      <c r="M15" s="78">
        <v>7008</v>
      </c>
      <c r="N15" s="78">
        <v>1911</v>
      </c>
      <c r="O15" s="78">
        <v>6136</v>
      </c>
      <c r="P15" s="78">
        <v>295</v>
      </c>
      <c r="Q15" s="78">
        <v>3410</v>
      </c>
      <c r="R15" s="78">
        <v>0</v>
      </c>
      <c r="S15" s="78">
        <v>5707</v>
      </c>
      <c r="T15" s="78">
        <v>4388</v>
      </c>
      <c r="U15" s="78">
        <v>2944</v>
      </c>
      <c r="V15" s="78">
        <v>-141</v>
      </c>
      <c r="W15" s="71">
        <v>-27</v>
      </c>
      <c r="X15" s="78">
        <v>-89</v>
      </c>
      <c r="Y15" s="106">
        <v>-9905</v>
      </c>
      <c r="Z15" s="78">
        <v>0</v>
      </c>
      <c r="AA15" s="78">
        <v>6173</v>
      </c>
      <c r="AB15" s="78" ph="1">
        <v>1537</v>
      </c>
      <c r="AC15" s="78" ph="1">
        <v>7158</v>
      </c>
      <c r="AD15" s="78">
        <v>84.82</v>
      </c>
      <c r="AE15" s="78">
        <v>47.76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4" ph="1">
      <c r="B16" s="217" ph="1"/>
      <c r="C16" s="147" t="s" ph="1">
        <v>179</v>
      </c>
      <c r="D16" s="73" ph="1">
        <f>D15*7.0686*LOOKUP(D17,密度!$A$2:$A$50,密度!$L$2:$L$50)</f>
        <v>38559.184725600004</v>
      </c>
      <c r="E16" s="73" ph="1">
        <f>E15*7.0686*LOOKUP(E17,密度!$A$2:$A$50,密度!$L$2:$L$50)</f>
        <v>10026.8373744</v>
      </c>
      <c r="F16" s="73" ph="1">
        <f>F15*9.0746*LOOKUP(F17,密度!$A$2:$A$50,密度!$L$2:$L$50)</f>
        <v>31402.798493600003</v>
      </c>
      <c r="G16" s="73" ph="1">
        <f>G15*9.0746*LOOKUP(G17,密度!$A$2:$A$50,密度!$B$2:$B$50)</f>
        <v>20708.4912888</v>
      </c>
      <c r="H16" s="73" ph="1">
        <f>H15*9.0746*LOOKUP(H17,密度!$A$2:$A$50,密度!$L$2:$L$50)</f>
        <v>37202.956128000005</v>
      </c>
      <c r="I16" s="73" ph="1">
        <f>I15*9.0746*LOOKUP(I17,密度!$A$2:$A$50,密度!$U$2:$U$50)</f>
        <v>26670.966293400001</v>
      </c>
      <c r="J16" s="73" ph="1">
        <f>J15*9.0746*LOOKUP(J17,密度!$A$2:$A$50,密度!$L$2:$L$50)</f>
        <v>17771.397178200001</v>
      </c>
      <c r="K16" s="73" ph="1">
        <f>K15*9.0746*LOOKUP(K17,密度!$A$2:$A$50,密度!$C$2:$C$50)</f>
        <v>26875.337174920001</v>
      </c>
      <c r="L16" s="73" ph="1">
        <f>L15*9.0746*LOOKUP(L17,密度!$A$2:$A$50,密度!$E$2:$E$50)</f>
        <v>33771.97328256</v>
      </c>
      <c r="M16" s="73" ph="1">
        <f>M15*9.0746*LOOKUP(M17,密度!$A$2:$A$50,密度!$M$2:$M$50)</f>
        <v>55255.611095616005</v>
      </c>
      <c r="N16" s="73" ph="1">
        <f>N15*9.0746*LOOKUP(N17,密度!$A$2:$A$50,密度!$M$2:$M$50)</f>
        <v>15158.258120460001</v>
      </c>
      <c r="O16" s="73" ph="1">
        <f>O15*9.0746*LOOKUP(O17,密度!$A$2:$A$50,密度!$G$2:$G$50)</f>
        <v>53226.180619040002</v>
      </c>
      <c r="P16" s="73" ph="1">
        <f ca="1">P15*9.0746*LOOKUP(P17,密度!$A$2:$A$51,密度!$Q$2:$Q$50)</f>
        <v>2528.75435234</v>
      </c>
      <c r="Q16" s="73" ph="1">
        <f>Q15*9.0746*LOOKUP(Q17,密度!$A$2:$A$50,密度!$Q$2:$Q$50)</f>
        <v>29190.767645380001</v>
      </c>
      <c r="R16" s="73" ph="1">
        <f>MAX(R15*9.0746*LOOKUP(R17,密度!$A$2:$A$50,密度!$B$2:$B$50),0)</f>
        <v>0</v>
      </c>
      <c r="S16" s="73" ph="1">
        <f>S15*9.0746*LOOKUP(S17,密度!$A$2:$A$50,密度!$Q$2:$Q$50)</f>
        <v>48853.874179525999</v>
      </c>
      <c r="T16" s="73" ph="1">
        <f>T15*9.0746*LOOKUP(T17,密度!$A$2:$A$50,密度!$O$2:$O$50)</f>
        <v>36872.713284800004</v>
      </c>
      <c r="U16" s="73" ph="1">
        <f>U15*9.0746*LOOKUP(U17,密度!$A$2:$A$50,密度!$H$2:$H$50)</f>
        <v>24364.647628800001</v>
      </c>
      <c r="V16" s="73" ph="1">
        <f>MAX(5600*LOOKUP(V17,密度!$A$2:$A$50,密度!$Q$2:$Q$50)+V15*9.0476*LOOKUP(V17,密度!$A$2:$A$50,密度!$Q$2:$Q$50),0)</f>
        <v>4084.8093084080001</v>
      </c>
      <c r="W16" s="73" ph="1">
        <f>MAX(5600*LOOKUP(W17,密度!$A$2:$A$50,密度!$Q$2:$Q$50)+W15*9.0476*LOOKUP(W17,密度!$A$2:$A$50,密度!$Q$2:$Q$50),0)</f>
        <v>5062.8643147360008</v>
      </c>
      <c r="X16" s="73" ph="1">
        <f>MAX(5600*LOOKUP(X17,密度!$A$2:$A$50,密度!$I$2:$I$50)+X15*9.0476*LOOKUP(X17,密度!$A$2:$A$50,密度!$I$2:$I$50),0)</f>
        <v>4970.2519477599999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43430.37224674</v>
      </c>
      <c r="AB16" s="73" ph="1">
        <f>AB15*9.0746*LOOKUP(AB17,密度!$A$2:$A$50,密度!$L$2:$L$50)</f>
        <v>12887.6380248</v>
      </c>
      <c r="AC16" s="73" ph="1">
        <f>AC15*9.0746*LOOKUP(AC17,密度!$A$2:$A$50,密度!$L$2:$L$50)</f>
        <v>60538.9796976</v>
      </c>
      <c r="AD16" s="73" ph="1">
        <f>AD15*268.68*LOOKUP(AD17,密度!$A$2:$A$50,密度!B2:B50)+IF(AD15&lt;=0,0,1566*LOOKUP(AD17,密度!$A$2:$A$50,密度!B2:B50))</f>
        <v>18987.499152959997</v>
      </c>
      <c r="AE16" s="73" ph="1">
        <f>AE15*268.68*LOOKUP(AE17,密度!$A$2:$A$50,密度!B2:B50)+IF(AE15&lt;=0,0,1566*LOOKUP(AE17,密度!$A$2:$A$50,密度!B2:B50))</f>
        <v>11224.80304128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18" ph="1"/>
      <c r="C17" s="79" t="s" ph="1">
        <v>180</v>
      </c>
      <c r="D17" s="74">
        <v>30</v>
      </c>
      <c r="E17" s="74">
        <v>30</v>
      </c>
      <c r="F17" s="74">
        <v>30</v>
      </c>
      <c r="G17" s="74">
        <v>29</v>
      </c>
      <c r="H17" s="74">
        <v>26</v>
      </c>
      <c r="I17" s="74">
        <v>27</v>
      </c>
      <c r="J17" s="74">
        <v>29</v>
      </c>
      <c r="K17" s="74">
        <v>29</v>
      </c>
      <c r="L17" s="74">
        <v>30</v>
      </c>
      <c r="M17" s="74">
        <v>31</v>
      </c>
      <c r="N17" s="74">
        <v>26</v>
      </c>
      <c r="O17" s="74">
        <v>29</v>
      </c>
      <c r="P17" s="74">
        <v>28</v>
      </c>
      <c r="Q17" s="74">
        <v>30</v>
      </c>
      <c r="R17" s="74">
        <v>29</v>
      </c>
      <c r="S17" s="74">
        <v>30</v>
      </c>
      <c r="T17" s="74">
        <v>29</v>
      </c>
      <c r="U17" s="74">
        <v>28</v>
      </c>
      <c r="V17" s="74">
        <v>28</v>
      </c>
      <c r="W17" s="74">
        <v>27</v>
      </c>
      <c r="X17" s="74">
        <v>30</v>
      </c>
      <c r="Y17" s="108">
        <v>30</v>
      </c>
      <c r="Z17" s="74">
        <v>27</v>
      </c>
      <c r="AA17" s="74">
        <v>30</v>
      </c>
      <c r="AB17" s="74">
        <v>38</v>
      </c>
      <c r="AC17" s="74">
        <v>30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65" ph="1">
      <c r="B18" s="216" ph="1">
        <v>0.66666666666666663</v>
      </c>
      <c r="C18" s="79" t="s" ph="1">
        <v>181</v>
      </c>
      <c r="D18" s="71">
        <v>5864</v>
      </c>
      <c r="E18" s="71">
        <v>2732</v>
      </c>
      <c r="F18" s="71">
        <v>3759</v>
      </c>
      <c r="G18" s="71">
        <v>1886</v>
      </c>
      <c r="H18" s="71">
        <v>4382</v>
      </c>
      <c r="I18" s="71">
        <v>2124</v>
      </c>
      <c r="J18" s="71">
        <v>2101</v>
      </c>
      <c r="K18" s="71">
        <v>2756</v>
      </c>
      <c r="L18" s="71">
        <v>4794</v>
      </c>
      <c r="M18" s="71">
        <v>7020</v>
      </c>
      <c r="N18" s="71">
        <v>2928</v>
      </c>
      <c r="O18" s="71">
        <v>6142</v>
      </c>
      <c r="P18" s="71">
        <v>294</v>
      </c>
      <c r="Q18" s="71">
        <v>3407</v>
      </c>
      <c r="R18" s="71">
        <v>0</v>
      </c>
      <c r="S18" s="71">
        <v>5713</v>
      </c>
      <c r="T18" s="71">
        <v>3697</v>
      </c>
      <c r="U18" s="71">
        <v>2944</v>
      </c>
      <c r="V18" s="71">
        <v>-141</v>
      </c>
      <c r="W18" s="71">
        <v>-28</v>
      </c>
      <c r="X18" s="71">
        <v>-91</v>
      </c>
      <c r="Y18" s="109">
        <v>-9905</v>
      </c>
      <c r="Z18" s="71">
        <v>0</v>
      </c>
      <c r="AA18" s="71">
        <v>6178</v>
      </c>
      <c r="AB18" s="71">
        <v>3508</v>
      </c>
      <c r="AC18" s="71">
        <v>7158</v>
      </c>
      <c r="AD18" s="71">
        <v>0</v>
      </c>
      <c r="AE18" s="71">
        <v>84.21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4" ph="1">
      <c r="B19" s="217" ph="1"/>
      <c r="C19" s="147" t="s" ph="1">
        <v>179</v>
      </c>
      <c r="D19" s="73" ph="1">
        <f>D18*7.0686*LOOKUP(D20,密度!$A$2:$A$50,密度!$L$2:$L$50)</f>
        <v>38548.751472000004</v>
      </c>
      <c r="E19" s="73" ph="1">
        <f>E18*7.0686*LOOKUP(E20,密度!$A$2:$A$50,密度!$L$2:$L$50)</f>
        <v>17959.616136000001</v>
      </c>
      <c r="F19" s="73" ph="1">
        <f>F18*9.0746*LOOKUP(F20,密度!$A$2:$A$50,密度!$L$2:$L$50)</f>
        <v>31621.2876378</v>
      </c>
      <c r="G19" s="73" ph="1">
        <f>G18*9.0746*LOOKUP(G20,密度!$A$2:$A$50,密度!$B$2:$B$50)</f>
        <v>13253.620272639999</v>
      </c>
      <c r="H19" s="73" ph="1">
        <f>H18*9.0746*LOOKUP(H20,密度!$A$2:$A$50,密度!$L$2:$L$50)</f>
        <v>37060.8841904</v>
      </c>
      <c r="I19" s="73" ph="1">
        <f>I18*9.0746*LOOKUP(I20,密度!$A$2:$A$50,密度!$U$2:$U$50)</f>
        <v>19621.390507200002</v>
      </c>
      <c r="J19" s="73" ph="1">
        <f>J18*9.0746*LOOKUP(J20,密度!$A$2:$A$50,密度!$L$2:$L$50)</f>
        <v>17693.001708800002</v>
      </c>
      <c r="K19" s="73" ph="1">
        <f>K18*9.0746*LOOKUP(K20,密度!$A$2:$A$50,密度!$C$2:$C$50)</f>
        <v>27585.586152800002</v>
      </c>
      <c r="L19" s="73" ph="1">
        <f>L18*9.0746*LOOKUP(L20,密度!$A$2:$A$50,密度!$E$2:$E$50)</f>
        <v>33729.236272368005</v>
      </c>
      <c r="M19" s="73" ph="1">
        <f>M18*9.0746*LOOKUP(M20,密度!$A$2:$A$50,密度!$M$2:$M$50)</f>
        <v>55082.671361640008</v>
      </c>
      <c r="N19" s="73" ph="1">
        <f>N18*9.0746*LOOKUP(N20,密度!$A$2:$A$50,密度!$M$2:$M$50)</f>
        <v>23142.8434848</v>
      </c>
      <c r="O19" s="73" ph="1">
        <f>O18*9.0746*LOOKUP(O20,密度!$A$2:$A$50,密度!$G$2:$G$50)</f>
        <v>53096.527090048003</v>
      </c>
      <c r="P19" s="73" ph="1">
        <f ca="1">P18*9.0746*LOOKUP(P20,密度!$A$2:$A$51,密度!$Q$2:$Q$50)</f>
        <v>2511.1913715000001</v>
      </c>
      <c r="Q19" s="73" ph="1">
        <f>Q18*9.0746*LOOKUP(Q20,密度!$A$2:$A$50,密度!$Q$2:$Q$50)</f>
        <v>29120.87507618</v>
      </c>
      <c r="R19" s="73" ph="1">
        <f>MAX(R18*9.0746*LOOKUP(R20,密度!$A$2:$A$50,密度!$B$2:$B$50),0)</f>
        <v>0</v>
      </c>
      <c r="S19" s="73" ph="1">
        <f>S18*9.0746*LOOKUP(S20,密度!$A$2:$A$50,密度!$Q$2:$Q$50)</f>
        <v>48797.402399250001</v>
      </c>
      <c r="T19" s="73" ph="1">
        <f>T18*9.0746*LOOKUP(T20,密度!$A$2:$A$50,密度!$O$2:$O$50)</f>
        <v>30931.990096400004</v>
      </c>
      <c r="U19" s="73" ph="1">
        <f>U18*9.0746*LOOKUP(U20,密度!$A$2:$A$50,密度!$H$2:$H$50)</f>
        <v>24259.922388991999</v>
      </c>
      <c r="V19" s="73" ph="1">
        <f>MAX(5600*LOOKUP(V20,密度!$A$2:$A$50,密度!$Q$2:$Q$50)+V18*9.0476*LOOKUP(V20,密度!$A$2:$A$50,密度!$Q$2:$Q$50),0)</f>
        <v>4061.8040941199997</v>
      </c>
      <c r="W19" s="73" ph="1">
        <f>MAX(5600*LOOKUP(W20,密度!$A$2:$A$50,密度!$Q$2:$Q$50)+W18*9.0476*LOOKUP(W20,密度!$A$2:$A$50,密度!$Q$2:$Q$50),0)</f>
        <v>5018.6491672799993</v>
      </c>
      <c r="X19" s="73" ph="1">
        <f>MAX(5600*LOOKUP(X20,密度!$A$2:$A$50,密度!$I$2:$I$50)+X18*9.0476*LOOKUP(X20,密度!$A$2:$A$50,密度!$I$2:$I$50),0)</f>
        <v>4930.3815891120003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43364.636751799997</v>
      </c>
      <c r="AB19" s="73" ph="1">
        <f>AB18*9.0746*LOOKUP(AB20,密度!$A$2:$A$50,密度!$L$2:$L$50)</f>
        <v>29318.834752800001</v>
      </c>
      <c r="AC19" s="73" ph="1">
        <f>AC18*9.0746*LOOKUP(AC20,密度!$A$2:$A$50,密度!$L$2:$L$50)</f>
        <v>60344.111737200001</v>
      </c>
      <c r="AD19" s="73" ph="1">
        <f>AD18*268.68*LOOKUP(AD20,密度!$A$2:$A$50,密度!B5:B53)+IF(AD18&lt;=0,0,1566*LOOKUP(AD20,密度!$A$2:$A$50,密度!B5:B53))</f>
        <v>0</v>
      </c>
      <c r="AE19" s="73" ph="1">
        <f>AE18*268.68*LOOKUP(AE20,密度!$A$2:$A$50,密度!B5:B53)+IF(AE18&lt;=0,0,1566*LOOKUP(AE20,密度!$A$2:$A$50,密度!B5:B53))</f>
        <v>18796.8287556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17" ph="1"/>
      <c r="C20" s="80" t="s" ph="1">
        <v>180</v>
      </c>
      <c r="D20" s="81">
        <v>32</v>
      </c>
      <c r="E20" s="81">
        <v>32</v>
      </c>
      <c r="F20" s="81">
        <v>35</v>
      </c>
      <c r="G20" s="81">
        <v>31</v>
      </c>
      <c r="H20" s="81">
        <v>30</v>
      </c>
      <c r="I20" s="81">
        <v>32</v>
      </c>
      <c r="J20" s="81">
        <v>34</v>
      </c>
      <c r="K20" s="81">
        <v>32</v>
      </c>
      <c r="L20" s="81">
        <v>32</v>
      </c>
      <c r="M20" s="81">
        <v>35</v>
      </c>
      <c r="N20" s="81">
        <v>29</v>
      </c>
      <c r="O20" s="81">
        <v>32</v>
      </c>
      <c r="P20" s="81">
        <v>33</v>
      </c>
      <c r="Q20" s="81">
        <v>32</v>
      </c>
      <c r="R20" s="81">
        <v>33</v>
      </c>
      <c r="S20" s="81">
        <v>33</v>
      </c>
      <c r="T20" s="81">
        <v>32</v>
      </c>
      <c r="U20" s="81">
        <v>32</v>
      </c>
      <c r="V20" s="81">
        <v>36</v>
      </c>
      <c r="W20" s="81">
        <v>37</v>
      </c>
      <c r="X20" s="81">
        <v>34</v>
      </c>
      <c r="Y20" s="110">
        <v>34</v>
      </c>
      <c r="Z20" s="81">
        <v>35</v>
      </c>
      <c r="AA20" s="81">
        <v>32</v>
      </c>
      <c r="AB20" s="81">
        <v>41</v>
      </c>
      <c r="AC20" s="81">
        <v>33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15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633</v>
      </c>
      <c r="H23" s="88" t="s" ph="1">
        <v>633</v>
      </c>
      <c r="I23" s="88" t="s" ph="1">
        <v>634</v>
      </c>
      <c r="J23" s="88" t="s" ph="1">
        <v>635</v>
      </c>
      <c r="K23" s="88" t="s" ph="1">
        <v>635</v>
      </c>
      <c r="L23" s="88" t="s" ph="1">
        <v>635</v>
      </c>
      <c r="M23" s="88" t="s" ph="1">
        <v>630</v>
      </c>
      <c r="N23" s="88" t="s" ph="1">
        <v>630</v>
      </c>
      <c r="O23" s="88" t="s" ph="1">
        <v>321</v>
      </c>
      <c r="P23" s="88" t="s" ph="1">
        <v>637</v>
      </c>
      <c r="Q23" s="89" t="s" ph="1">
        <v>637</v>
      </c>
      <c r="R23" s="88" t="s" ph="1">
        <v>616</v>
      </c>
      <c r="S23" s="88" t="s" ph="1">
        <v>636</v>
      </c>
      <c r="T23" s="88" t="s" ph="1">
        <v>607</v>
      </c>
      <c r="U23" s="88" t="s" ph="1">
        <v>611</v>
      </c>
      <c r="V23" s="88" t="s" ph="1">
        <v>637</v>
      </c>
      <c r="W23" s="88" t="s" ph="1">
        <v>637</v>
      </c>
      <c r="X23" s="88" t="s" ph="1">
        <v>190</v>
      </c>
      <c r="Y23" s="88" t="s" ph="1">
        <v>638</v>
      </c>
      <c r="Z23" s="228" t="s" ph="1">
        <v>641</v>
      </c>
      <c r="AA23" s="229"/>
      <c r="AB23" s="229"/>
      <c r="AC23" s="229"/>
      <c r="AD23" s="229"/>
      <c r="AE23" s="230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37" ph="1">
        <v>0.33333333333333331</v>
      </c>
      <c r="C24" s="147" t="s" ph="1">
        <v>178</v>
      </c>
      <c r="D24" s="71">
        <v>3.65</v>
      </c>
      <c r="E24" s="71">
        <v>4.42</v>
      </c>
      <c r="F24" s="71">
        <v>713</v>
      </c>
      <c r="G24" s="71">
        <v>945</v>
      </c>
      <c r="H24" s="71">
        <v>1101</v>
      </c>
      <c r="I24" s="71">
        <v>1710</v>
      </c>
      <c r="J24" s="71">
        <v>880</v>
      </c>
      <c r="K24" s="71">
        <v>5512</v>
      </c>
      <c r="L24" s="71">
        <v>5613</v>
      </c>
      <c r="M24" s="71">
        <v>1071</v>
      </c>
      <c r="N24" s="71">
        <v>3011</v>
      </c>
      <c r="O24" s="71">
        <v>4742</v>
      </c>
      <c r="P24" s="71">
        <v>355</v>
      </c>
      <c r="Q24" s="90">
        <v>2306</v>
      </c>
      <c r="R24" s="71">
        <v>69</v>
      </c>
      <c r="S24" s="71">
        <v>2981</v>
      </c>
      <c r="T24" s="71">
        <v>1763</v>
      </c>
      <c r="U24" s="71">
        <v>5680</v>
      </c>
      <c r="V24" s="71">
        <v>9386</v>
      </c>
      <c r="W24" s="71">
        <v>10753</v>
      </c>
      <c r="X24" s="71">
        <v>6477</v>
      </c>
      <c r="Y24" s="71">
        <v>6781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37" ph="1"/>
      <c r="C25" s="68" t="s" ph="1">
        <v>179</v>
      </c>
      <c r="D25" s="91" ph="1">
        <f>D24*268.68*LOOKUP(D26,密度!$A$2:$A$50,密度!$Q$2:$Q$50)+IF(D24&lt;=0,0,1566*LOOKUP(D26,密度!$A$2:$A$50,密度!$Q$2:$Q$50))</f>
        <v>2411.0457166800002</v>
      </c>
      <c r="E25" s="91" ph="1">
        <f>E24*268.68*LOOKUP(E26,密度!$A$2:$A$50,密度!$C$2:$C$50)+IF(E24&lt;=0,0,1566*LOOKUP(E26,密度!$A$2:$A$50,密度!$C$2:$C$50))</f>
        <v>3053.4288938399995</v>
      </c>
      <c r="F25" s="91" ph="1">
        <f>F24*11.702*LOOKUP(F26,密度!$A$2:$A$50,密度!$Q$2:$Q$50)</f>
        <v>7870.6983815799995</v>
      </c>
      <c r="G25" s="91" ph="1">
        <f>G24*18.322*LOOKUP(G26,密度!$A$2:$A$50,密度!$B$2:$B$50)</f>
        <v>13453.20333</v>
      </c>
      <c r="H25" s="91" ph="1">
        <f>H24*18.322*LOOKUP(H26,密度!$A$2:$A$50,密度!$B$2:$B$50)</f>
        <v>15674.049594000002</v>
      </c>
      <c r="I25" s="91" ph="1">
        <f>I24*18.322*LOOKUP(I26,密度!$A$2:$A$50,密度!$Q$2:$Q$50)</f>
        <v>29573.9121366</v>
      </c>
      <c r="J25" s="91" ph="1">
        <f>J24*18.322*LOOKUP(J26,密度!$A$2:$A$50,密度!$Q$2:$Q$50)</f>
        <v>15219.323204799999</v>
      </c>
      <c r="K25" s="91" ph="1">
        <f>K24*18.322*LOOKUP(K26,密度!$A$2:$A$50,密度!$Q$2:$Q$50)</f>
        <v>95267.71173712</v>
      </c>
      <c r="L25" s="91" ph="1">
        <f>L24*18.322*LOOKUP(L26,密度!$A$2:$A$50,密度!$Q$2:$Q$50)</f>
        <v>97013.364655379992</v>
      </c>
      <c r="M25" s="91" ph="1">
        <f>M24*18.322*LOOKUP(M26,密度!$A$2:$A$50,密度!$Q$2:$Q$50)</f>
        <v>18522.608127659998</v>
      </c>
      <c r="N25" s="91" ph="1">
        <f>N24*18.322*LOOKUP(N26,密度!$A$2:$A$50,密度!$Q$2:$Q$50)</f>
        <v>52074.297920059995</v>
      </c>
      <c r="O25" s="91" ph="1">
        <f>O24*18.322*LOOKUP(O26,密度!$A$2:$A$50,密度!$C$2:$C$50)</f>
        <v>96014.319312399995</v>
      </c>
      <c r="P25" s="91" ph="1">
        <f>P24*11.702*LOOKUP(P26,密度!$A$2:$A$50,密度!$B$2:$B$50)</f>
        <v>3220.7590129999999</v>
      </c>
      <c r="Q25" s="92" ph="1">
        <f>Q24*18.322*LOOKUP(Q26,密度!$A$2:$A$50,密度!$B$2:$B$50)</f>
        <v>32680.786501999999</v>
      </c>
      <c r="R25" s="91" ph="1">
        <f>R24*35.891*LOOKUP(R26,密度!$A$2:$A$50,密度!$C$2:$C$50)</f>
        <v>2731.5563369999995</v>
      </c>
      <c r="S25" s="91" ph="1">
        <f>S24*35.891*LOOKUP(S26,密度!$A$2:$A$50,密度!$B$2:$B$50)</f>
        <v>82853.885382399996</v>
      </c>
      <c r="T25" s="91" ph="1">
        <f>T24*35.891*LOOKUP(T26,密度!$A$2:$A$50,密度!$Q$2:$Q$50)</f>
        <v>59642.534669139997</v>
      </c>
      <c r="U25" s="91" ph="1">
        <f>U24*35.891</f>
        <v>203860.87999999998</v>
      </c>
      <c r="V25" s="91" ph="1">
        <f>V24*47.051*LOOKUP(V26,密度!$A$2:$A$50,密度!$B$2:$B$50)</f>
        <v>341593.60062100005</v>
      </c>
      <c r="W25" s="91" ph="1">
        <f>W24*47.051*LOOKUP(W26,密度!$A$2:$A$50,密度!$B$2:$B$50)</f>
        <v>392710.16460860003</v>
      </c>
      <c r="X25" s="91" ph="1">
        <f>X24*47.051*LOOKUP(X26,密度!$A$2:$A$50,密度!$I$2:$I$50)</f>
        <v>315570.97560176998</v>
      </c>
      <c r="Y25" s="91" ph="1">
        <f>Y24*47.051*LOOKUP(Y26,密度!$A$2:$A$50,密度!$L$2:$L$50)</f>
        <v>297038.18566100002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37" ph="1"/>
      <c r="C26" s="68" t="s" ph="1">
        <v>180</v>
      </c>
      <c r="D26" s="74">
        <v>25</v>
      </c>
      <c r="E26" s="74">
        <v>25</v>
      </c>
      <c r="F26" s="74">
        <v>30</v>
      </c>
      <c r="G26" s="74">
        <v>28</v>
      </c>
      <c r="H26" s="74">
        <v>28</v>
      </c>
      <c r="I26" s="74">
        <v>29</v>
      </c>
      <c r="J26" s="74">
        <v>29</v>
      </c>
      <c r="K26" s="74">
        <v>30</v>
      </c>
      <c r="L26" s="74">
        <v>30</v>
      </c>
      <c r="M26" s="74">
        <v>29</v>
      </c>
      <c r="N26" s="74">
        <v>29</v>
      </c>
      <c r="O26" s="74">
        <v>30</v>
      </c>
      <c r="P26" s="74">
        <v>30</v>
      </c>
      <c r="Q26" s="93">
        <v>32</v>
      </c>
      <c r="R26" s="74">
        <v>32</v>
      </c>
      <c r="S26" s="74">
        <v>31</v>
      </c>
      <c r="T26" s="74">
        <v>31</v>
      </c>
      <c r="U26" s="74">
        <v>31</v>
      </c>
      <c r="V26" s="74">
        <v>32</v>
      </c>
      <c r="W26" s="74">
        <v>29</v>
      </c>
      <c r="X26" s="74">
        <v>31</v>
      </c>
      <c r="Y26" s="74">
        <v>31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65" ph="1">
      <c r="A27" s="72" ph="1"/>
      <c r="B27" s="237" ph="1">
        <v>0.66666666666666663</v>
      </c>
      <c r="C27" s="147" t="s" ph="1">
        <v>181</v>
      </c>
      <c r="D27" s="71">
        <v>21.02</v>
      </c>
      <c r="E27" s="71">
        <v>4.42</v>
      </c>
      <c r="F27" s="71">
        <v>712</v>
      </c>
      <c r="G27" s="71">
        <v>2070</v>
      </c>
      <c r="H27" s="71">
        <v>946</v>
      </c>
      <c r="I27" s="71">
        <v>1709</v>
      </c>
      <c r="J27" s="71">
        <v>876</v>
      </c>
      <c r="K27" s="71">
        <v>5517</v>
      </c>
      <c r="L27" s="71">
        <v>5611</v>
      </c>
      <c r="M27" s="71">
        <v>1069</v>
      </c>
      <c r="N27" s="71">
        <v>2457</v>
      </c>
      <c r="O27" s="71">
        <v>4738</v>
      </c>
      <c r="P27" s="71">
        <v>690</v>
      </c>
      <c r="Q27" s="90">
        <v>2452</v>
      </c>
      <c r="R27" s="71">
        <v>64</v>
      </c>
      <c r="S27" s="71">
        <v>2524</v>
      </c>
      <c r="T27" s="71">
        <v>1762</v>
      </c>
      <c r="U27" s="71">
        <v>5469</v>
      </c>
      <c r="V27" s="71">
        <v>9387</v>
      </c>
      <c r="W27" s="71">
        <v>10754</v>
      </c>
      <c r="X27" s="71">
        <v>6478</v>
      </c>
      <c r="Y27" s="71">
        <v>5720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37" ph="1"/>
      <c r="C28" s="147" t="s" ph="1">
        <v>179</v>
      </c>
      <c r="D28" s="91" ph="1">
        <f>D27*268.68*LOOKUP(D29,密度!$A$2:$A$50,密度!$Q$2:$Q$50)+IF(D27&lt;=0,0,1566*LOOKUP(D29,密度!$A$2:$A$50,密度!$Q$2:$Q$50))</f>
        <v>6829.4544092639999</v>
      </c>
      <c r="E28" s="91" ph="1">
        <f>E27*268.68*LOOKUP(E29,密度!$A$2:$A$50,密度!$C$2:$C$50)+IF(E27&lt;=0,0,1566*LOOKUP(E29,密度!$A$2:$A$50,密度!$C$2:$C$50))</f>
        <v>3053.4288938399995</v>
      </c>
      <c r="F28" s="91" ph="1">
        <f>F27*11.702*LOOKUP(F29,密度!$A$2:$A$50,密度!$Q$2:$Q$50)</f>
        <v>7842.3293400000011</v>
      </c>
      <c r="G28" s="91" ph="1">
        <f>G27*18.322*LOOKUP(G29,密度!$A$2:$A$50,密度!$B$2:$B$50)</f>
        <v>29336.178690000001</v>
      </c>
      <c r="H28" s="91" ph="1">
        <f>H27*18.322*LOOKUP(H29,密度!$A$2:$A$50,密度!$B$2:$B$50)</f>
        <v>13406.775382</v>
      </c>
      <c r="I28" s="91" ph="1">
        <f>I27*18.322*LOOKUP(I29,密度!$A$2:$A$50,密度!$Q$2:$Q$50)</f>
        <v>29514.345848839999</v>
      </c>
      <c r="J28" s="91" ph="1">
        <f>J27*18.322*LOOKUP(J29,密度!$A$2:$A$50,密度!$Q$2:$Q$50)</f>
        <v>15117.5628168</v>
      </c>
      <c r="K28" s="91" ph="1">
        <f>K27*18.322*LOOKUP(K29,密度!$A$2:$A$50,密度!$Q$2:$Q$50)</f>
        <v>95209.5822606</v>
      </c>
      <c r="L28" s="91" ph="1">
        <f>L27*18.322*LOOKUP(L29,密度!$A$2:$A$50,密度!$Q$2:$Q$50)</f>
        <v>96901.693714359993</v>
      </c>
      <c r="M28" s="91" ph="1">
        <f>M27*18.322*LOOKUP(M29,密度!$A$2:$A$50,密度!$Q$2:$Q$50)</f>
        <v>18461.577362439999</v>
      </c>
      <c r="N28" s="91" ph="1">
        <f>N27*18.322*LOOKUP(N29,密度!$A$2:$A$50,密度!$Q$2:$Q$50)</f>
        <v>42372.3962025</v>
      </c>
      <c r="O28" s="91" ph="1">
        <f>O27*18.322*LOOKUP(O29,密度!$A$2:$A$50,密度!$C$2:$C$50)</f>
        <v>95664.218872000012</v>
      </c>
      <c r="P28" s="91" ph="1">
        <f>P27*11.702*LOOKUP(P29,密度!$A$2:$A$50,密度!$B$2:$B$50)</f>
        <v>6252.7998719999996</v>
      </c>
      <c r="Q28" s="92" ph="1">
        <f>Q27*18.322*LOOKUP(Q29,密度!$A$2:$A$50,密度!$B$2:$B$50)</f>
        <v>34790.341273599995</v>
      </c>
      <c r="R28" s="91" ph="1">
        <f>R27*35.891*LOOKUP(R29,密度!$A$2:$A$50,密度!$C$2:$C$50)</f>
        <v>2536.1441984000003</v>
      </c>
      <c r="S28" s="91" ph="1">
        <f>S27*35.891*LOOKUP(S29,密度!$A$2:$A$50,密度!$B$2:$B$50)</f>
        <v>70152.031769599984</v>
      </c>
      <c r="T28" s="91" ph="1">
        <f>T27*35.891*LOOKUP(T29,密度!$A$2:$A$50,密度!$Q$2:$Q$50)</f>
        <v>59565.701369799994</v>
      </c>
      <c r="U28" s="91" ph="1">
        <f>U27*35.891</f>
        <v>196287.87899999999</v>
      </c>
      <c r="V28" s="91" ph="1">
        <f>V27*47.051*LOOKUP(V29,密度!$A$2:$A$50,密度!$B$2:$B$50)</f>
        <v>341276.66037990001</v>
      </c>
      <c r="W28" s="91" ph="1">
        <f>W27*47.051*LOOKUP(W29,密度!$A$2:$A$50,密度!$B$2:$B$50)</f>
        <v>390975.73300580005</v>
      </c>
      <c r="X28" s="91" ph="1">
        <f>X27*47.051*LOOKUP(X29,密度!$A$2:$A$50,密度!$I$2:$I$50)</f>
        <v>314943.04942362005</v>
      </c>
      <c r="Y28" s="91" ph="1">
        <f>Y27*47.051*LOOKUP(Y29,密度!$A$2:$A$50,密度!$L$2:$L$50)</f>
        <v>250292.49960000004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37" ph="1"/>
      <c r="C29" s="147" t="s" ph="1">
        <v>180</v>
      </c>
      <c r="D29" s="74">
        <v>25</v>
      </c>
      <c r="E29" s="74">
        <v>25</v>
      </c>
      <c r="F29" s="74">
        <v>33</v>
      </c>
      <c r="G29" s="74">
        <v>32</v>
      </c>
      <c r="H29" s="74">
        <v>32</v>
      </c>
      <c r="I29" s="74">
        <v>31</v>
      </c>
      <c r="J29" s="74">
        <v>32</v>
      </c>
      <c r="K29" s="74">
        <v>32</v>
      </c>
      <c r="L29" s="74">
        <v>31</v>
      </c>
      <c r="M29" s="74">
        <v>31</v>
      </c>
      <c r="N29" s="74">
        <v>33</v>
      </c>
      <c r="O29" s="74">
        <v>33</v>
      </c>
      <c r="P29" s="74">
        <v>31</v>
      </c>
      <c r="Q29" s="93">
        <v>31</v>
      </c>
      <c r="R29" s="74">
        <v>31</v>
      </c>
      <c r="S29" s="74">
        <v>31</v>
      </c>
      <c r="T29" s="74">
        <v>32</v>
      </c>
      <c r="U29" s="74">
        <v>33</v>
      </c>
      <c r="V29" s="74">
        <v>33</v>
      </c>
      <c r="W29" s="74">
        <v>33</v>
      </c>
      <c r="X29" s="74">
        <v>33</v>
      </c>
      <c r="Y29" s="74">
        <v>32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45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47" t="s" ph="1">
        <v>5</v>
      </c>
      <c r="F32" s="148" t="s" ph="1">
        <v>43</v>
      </c>
      <c r="G32" s="97" t="s" ph="1">
        <v>4</v>
      </c>
      <c r="H32" s="147" t="s" ph="1">
        <v>5</v>
      </c>
      <c r="I32" s="148" t="s" ph="1">
        <v>43</v>
      </c>
      <c r="J32" s="97" t="s" ph="1">
        <v>4</v>
      </c>
      <c r="K32" s="147" t="s" ph="1">
        <v>5</v>
      </c>
      <c r="L32" s="148" t="s" ph="1">
        <v>43</v>
      </c>
      <c r="M32" s="97" t="s" ph="1">
        <v>4</v>
      </c>
      <c r="N32" s="147" t="s" ph="1">
        <v>5</v>
      </c>
      <c r="O32" s="14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7" t="s" ph="1">
        <v>5</v>
      </c>
      <c r="U32" s="99" t="s" ph="1">
        <v>43</v>
      </c>
      <c r="V32" s="97" t="s" ph="1">
        <v>4</v>
      </c>
      <c r="W32" s="147" t="s" ph="1">
        <v>5</v>
      </c>
      <c r="X32" s="99" t="s" ph="1">
        <v>43</v>
      </c>
      <c r="Y32" s="100" t="s" ph="1">
        <v>4</v>
      </c>
      <c r="Z32" s="147" t="s" ph="1">
        <v>5</v>
      </c>
      <c r="AA32" s="148" t="s" ph="1">
        <v>43</v>
      </c>
      <c r="AB32" s="97" t="s" ph="1">
        <v>85</v>
      </c>
      <c r="AC32" s="147" t="s" ph="1">
        <v>84</v>
      </c>
      <c r="AD32" s="204" t="s" ph="1">
        <v>83</v>
      </c>
      <c r="AE32" s="205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06" t="s" ph="1">
        <v>182</v>
      </c>
      <c r="C33" s="207" ph="1"/>
      <c r="D33" s="186" ph="1">
        <f>AA10+AB10+Z19</f>
        <v>63694.045951199994</v>
      </c>
      <c r="E33" s="186" ph="1">
        <f>M10+I10</f>
        <v>148753.94681759999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[[#This Row],[F25]]</f>
        <v>3880</v>
      </c>
      <c r="G33" s="212" ph="1">
        <v>0</v>
      </c>
      <c r="H33" s="186" ph="1">
        <f>N19</f>
        <v>23142.8434848</v>
      </c>
      <c r="I33" s="190" ph="1">
        <v>0</v>
      </c>
      <c r="J33" s="194" ph="1">
        <f>F10+O28</f>
        <v>345903.9381112</v>
      </c>
      <c r="K33" s="186" ph="1">
        <f>O10+K10+E28+R28</f>
        <v>9308.2604430399988</v>
      </c>
      <c r="L33" s="196" ph="1">
        <f>BE27</f>
        <v>7100</v>
      </c>
      <c r="M33" s="194" ph="1">
        <f>G10+H10+W28+S28+V28+E10</f>
        <v>1672897.4172353002</v>
      </c>
      <c r="N33" s="186" ph="1">
        <f>L10+P10++G28+H28</f>
        <v>199327.03305899998</v>
      </c>
      <c r="O33" s="190" ph="1">
        <f>BE17</f>
        <v>2270</v>
      </c>
      <c r="P33" s="194" ph="1">
        <f>L19</f>
        <v>33729.236272368005</v>
      </c>
      <c r="Q33" s="186" ph="1">
        <f>J10+N10</f>
        <v>44318.831551449999</v>
      </c>
      <c r="R33" s="190" ph="1">
        <f>BE23</f>
        <v>890</v>
      </c>
      <c r="S33" s="194" ph="1">
        <f>E10+X28</f>
        <v>638059.87898862013</v>
      </c>
      <c r="T33" s="186" ph="1">
        <f>X19</f>
        <v>4930.3815891120003</v>
      </c>
      <c r="U33" s="175" ph="1">
        <f>BE21</f>
        <v>730</v>
      </c>
      <c r="V33" s="188" ph="1">
        <f ca="1">P19+Q19+S19+M28+N28+J28</f>
        <v>156381.00522866999</v>
      </c>
      <c r="W33" s="188" ph="1">
        <f>D28+F28+V19+T28</f>
        <v>78299.289213183991</v>
      </c>
      <c r="X33" s="190" ph="1">
        <f>BE29+BE31</f>
        <v>10200</v>
      </c>
      <c r="Y33" s="192" ph="1">
        <f>+Q10+R10+S10+T10+U10+V10+W10+X10+Y10</f>
        <v>120097.99507860001</v>
      </c>
      <c r="Z33" s="173" ph="1">
        <f>D10+T19+U19+Y28+Z10</f>
        <v>544285.60612139199</v>
      </c>
      <c r="AA33" s="175" ph="1">
        <f>BE19</f>
        <v>1440</v>
      </c>
      <c r="AB33" s="177" ph="1">
        <f>I19</f>
        <v>19621.390507200002</v>
      </c>
      <c r="AC33" s="179" ph="1">
        <f>AD10</f>
        <v>85876.533792000002</v>
      </c>
      <c r="AD33" s="181" ph="1">
        <v>0</v>
      </c>
      <c r="AE33" s="182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85" t="s" ph="1">
        <v>639</v>
      </c>
      <c r="AD35" s="185"/>
      <c r="AE35" s="185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45" ph="1">
      <c r="A36" s="64"/>
      <c r="B36" s="103" t="s" ph="1">
        <v>183</v>
      </c>
      <c r="I36" s="171" t="s" ph="1">
        <v>184</v>
      </c>
      <c r="J36" s="171" ph="1"/>
      <c r="K36" s="101" ph="1"/>
      <c r="P36" s="101" ph="1"/>
      <c r="R36" s="171" t="s" ph="1">
        <v>185</v>
      </c>
      <c r="S36" s="171" ph="1"/>
      <c r="Y36" s="102" ph="1"/>
      <c r="Z36" s="149" t="s" ph="1">
        <v>186</v>
      </c>
      <c r="AA36" s="149" ph="1"/>
      <c r="AB36" s="172" t="s" ph="1">
        <v>644</v>
      </c>
      <c r="AC36" s="172" ph="1"/>
      <c r="AD36" s="172" ph="1"/>
      <c r="AE36" s="172" ph="1"/>
      <c r="BA36" s="64" ph="1">
        <v>2270</v>
      </c>
    </row>
    <row r="37" spans="1:57" s="14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9" t="s" ph="1">
        <v>345</v>
      </c>
      <c r="AI37" s="149" t="s" ph="1">
        <v>212</v>
      </c>
      <c r="AJ37" s="149" t="s" ph="1">
        <v>213</v>
      </c>
      <c r="AK37" s="149" t="s" ph="1">
        <v>214</v>
      </c>
      <c r="AM37" s="149" t="s" ph="1">
        <v>213</v>
      </c>
      <c r="AN37" s="149" t="s" ph="1">
        <v>214</v>
      </c>
      <c r="AO37" s="149" t="s" ph="1">
        <v>215</v>
      </c>
      <c r="AP37" s="149" t="s" ph="1">
        <v>213</v>
      </c>
      <c r="AQ37" s="149" t="s" ph="1">
        <v>214</v>
      </c>
      <c r="AR37" s="149" t="s" ph="1">
        <v>215</v>
      </c>
      <c r="AS37" s="149" t="s" ph="1">
        <v>213</v>
      </c>
      <c r="AT37" s="149" t="s" ph="1">
        <v>214</v>
      </c>
      <c r="AU37" s="149" t="s" ph="1">
        <v>215</v>
      </c>
      <c r="AV37" s="149" t="s" ph="1">
        <v>213</v>
      </c>
      <c r="AW37" s="149" t="s" ph="1">
        <v>214</v>
      </c>
      <c r="AX37" s="149" t="s" ph="1">
        <v>215</v>
      </c>
      <c r="AY37" s="149" t="s" ph="1">
        <v>214</v>
      </c>
      <c r="AZ37" s="149" t="s" ph="1">
        <v>216</v>
      </c>
      <c r="BD37" s="149" t="s" ph="1">
        <v>308</v>
      </c>
      <c r="BE37" s="149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269" priority="97">
      <formula>ABS(D$7-D$10)&gt;=1000</formula>
    </cfRule>
  </conditionalFormatting>
  <conditionalFormatting sqref="E4 E6:E11">
    <cfRule type="expression" dxfId="1268" priority="96">
      <formula>ABS(E$7-E$10)&gt;=1000</formula>
    </cfRule>
  </conditionalFormatting>
  <conditionalFormatting sqref="F4:F11">
    <cfRule type="expression" dxfId="1267" priority="95">
      <formula>ABS(F$7-F$10)&gt;=1000</formula>
    </cfRule>
  </conditionalFormatting>
  <conditionalFormatting sqref="G4:G11">
    <cfRule type="expression" dxfId="1266" priority="94">
      <formula>ABS(G$7-G$10)&gt;=1000</formula>
    </cfRule>
  </conditionalFormatting>
  <conditionalFormatting sqref="H4:H11">
    <cfRule type="expression" dxfId="1265" priority="93">
      <formula>ABS(H$7-H$10)&gt;=1000</formula>
    </cfRule>
  </conditionalFormatting>
  <conditionalFormatting sqref="I4:I11">
    <cfRule type="expression" dxfId="1264" priority="92">
      <formula>ABS(I$7-I$10)&gt;=1000</formula>
    </cfRule>
  </conditionalFormatting>
  <conditionalFormatting sqref="J4:J11">
    <cfRule type="expression" dxfId="1263" priority="91">
      <formula>ABS(J$7-J$10)&gt;=1000</formula>
    </cfRule>
  </conditionalFormatting>
  <conditionalFormatting sqref="K4:K11">
    <cfRule type="expression" dxfId="1262" priority="90">
      <formula>ABS(K$7-K$10)&gt;=1000</formula>
    </cfRule>
  </conditionalFormatting>
  <conditionalFormatting sqref="L4:L11">
    <cfRule type="expression" dxfId="1261" priority="89">
      <formula>ABS(L$7-L$10)&gt;=1000</formula>
    </cfRule>
  </conditionalFormatting>
  <conditionalFormatting sqref="M4 M6:M11">
    <cfRule type="expression" dxfId="1260" priority="88">
      <formula>ABS(M$7-M$10)&gt;=1000</formula>
    </cfRule>
  </conditionalFormatting>
  <conditionalFormatting sqref="N4 N6:N11">
    <cfRule type="expression" dxfId="1259" priority="87">
      <formula>ABS(N$7-N$10)&gt;=1000</formula>
    </cfRule>
  </conditionalFormatting>
  <conditionalFormatting sqref="O4 O6:O11">
    <cfRule type="expression" dxfId="1258" priority="86">
      <formula>ABS(O$7-O$10)&gt;=1000</formula>
    </cfRule>
  </conditionalFormatting>
  <conditionalFormatting sqref="P4 P6:P11">
    <cfRule type="expression" dxfId="1257" priority="85">
      <formula>ABS(P$7-P$10)&gt;=1000</formula>
    </cfRule>
  </conditionalFormatting>
  <conditionalFormatting sqref="Q4:Q11">
    <cfRule type="expression" dxfId="1256" priority="84">
      <formula>ABS(Q$7-Q$10)&gt;=1000</formula>
    </cfRule>
  </conditionalFormatting>
  <conditionalFormatting sqref="R4:R11">
    <cfRule type="expression" dxfId="1255" priority="83">
      <formula>ABS(R$7-R$10)&gt;=1000</formula>
    </cfRule>
  </conditionalFormatting>
  <conditionalFormatting sqref="S4:S11">
    <cfRule type="expression" dxfId="1254" priority="82">
      <formula>ABS(S$7-S$10)&gt;=1000</formula>
    </cfRule>
  </conditionalFormatting>
  <conditionalFormatting sqref="T4:T9 T11">
    <cfRule type="expression" dxfId="1253" priority="81">
      <formula>ABS(T$7-T$10)&gt;=1000</formula>
    </cfRule>
  </conditionalFormatting>
  <conditionalFormatting sqref="U4:U9 U11">
    <cfRule type="expression" dxfId="1252" priority="80">
      <formula>ABS(U$7-U$10)&gt;=1000</formula>
    </cfRule>
  </conditionalFormatting>
  <conditionalFormatting sqref="V4:V9 V11">
    <cfRule type="expression" dxfId="1251" priority="79">
      <formula>ABS(V$7-V$10)&gt;=1000</formula>
    </cfRule>
  </conditionalFormatting>
  <conditionalFormatting sqref="W4:W9 W11">
    <cfRule type="expression" dxfId="1250" priority="78">
      <formula>ABS(W$7-W$10)&gt;=1000</formula>
    </cfRule>
  </conditionalFormatting>
  <conditionalFormatting sqref="X4:X9 X11">
    <cfRule type="expression" dxfId="1249" priority="77">
      <formula>ABS(X$7-X$10)&gt;=1000</formula>
    </cfRule>
  </conditionalFormatting>
  <conditionalFormatting sqref="Y4:Y9 Y11">
    <cfRule type="expression" dxfId="1248" priority="76">
      <formula>ABS(Y$7-Y$10)&gt;=1000</formula>
    </cfRule>
  </conditionalFormatting>
  <conditionalFormatting sqref="Z4:Z11">
    <cfRule type="expression" dxfId="1247" priority="75">
      <formula>ABS(Z$7-Z$10)&gt;=1000</formula>
    </cfRule>
  </conditionalFormatting>
  <conditionalFormatting sqref="AA4:AA11">
    <cfRule type="expression" dxfId="1246" priority="74">
      <formula>ABS(AA$7-AA$10)&gt;=1000</formula>
    </cfRule>
  </conditionalFormatting>
  <conditionalFormatting sqref="AB4:AB11">
    <cfRule type="expression" dxfId="1245" priority="73">
      <formula>ABS(AB$7-AB$10)&gt;=1000</formula>
    </cfRule>
  </conditionalFormatting>
  <conditionalFormatting sqref="AC4 AC6:AC11">
    <cfRule type="expression" dxfId="1244" priority="72">
      <formula>ABS(AC$7-AC$10)&gt;=1000</formula>
    </cfRule>
  </conditionalFormatting>
  <conditionalFormatting sqref="AD4:AD11">
    <cfRule type="expression" dxfId="1243" priority="71">
      <formula>ABS(AD$7-AD$10)&gt;=1000</formula>
    </cfRule>
  </conditionalFormatting>
  <conditionalFormatting sqref="AE4:AE11">
    <cfRule type="expression" dxfId="1242" priority="70">
      <formula>ABS(AE$7-AE$10)&gt;=1000</formula>
    </cfRule>
  </conditionalFormatting>
  <conditionalFormatting sqref="D13:D20">
    <cfRule type="expression" dxfId="1241" priority="69">
      <formula>ABS(D$16-D$19)&gt;=1000</formula>
    </cfRule>
  </conditionalFormatting>
  <conditionalFormatting sqref="E13:E20">
    <cfRule type="expression" dxfId="1240" priority="68">
      <formula>ABS(E$16-E$19)&gt;=1000</formula>
    </cfRule>
  </conditionalFormatting>
  <conditionalFormatting sqref="F13 F15:F20">
    <cfRule type="expression" dxfId="1239" priority="67">
      <formula>ABS(F$16-F$19)&gt;=1000</formula>
    </cfRule>
  </conditionalFormatting>
  <conditionalFormatting sqref="G13:G20">
    <cfRule type="expression" dxfId="1238" priority="66">
      <formula>ABS(G$16-G$19)&gt;=1000</formula>
    </cfRule>
  </conditionalFormatting>
  <conditionalFormatting sqref="H13:H20">
    <cfRule type="expression" dxfId="1237" priority="65">
      <formula>ABS(H$16-H$19)&gt;=1000</formula>
    </cfRule>
  </conditionalFormatting>
  <conditionalFormatting sqref="I13:I20">
    <cfRule type="expression" dxfId="1236" priority="64">
      <formula>ABS(I$16-I$19)&gt;=1000</formula>
    </cfRule>
  </conditionalFormatting>
  <conditionalFormatting sqref="J13:J20">
    <cfRule type="expression" dxfId="1235" priority="63">
      <formula>ABS(J$16-J$19)&gt;=1000</formula>
    </cfRule>
  </conditionalFormatting>
  <conditionalFormatting sqref="L13:L20">
    <cfRule type="expression" dxfId="1234" priority="62">
      <formula>ABS(L$16-L$19)&gt;=1000</formula>
    </cfRule>
  </conditionalFormatting>
  <conditionalFormatting sqref="M13 M15 M17:M18 M20">
    <cfRule type="expression" dxfId="1233" priority="61">
      <formula>ABS(M$16-M$19)&gt;=1000</formula>
    </cfRule>
  </conditionalFormatting>
  <conditionalFormatting sqref="N13:N20">
    <cfRule type="expression" dxfId="1232" priority="60">
      <formula>ABS(N$16-N$19)&gt;=1000</formula>
    </cfRule>
  </conditionalFormatting>
  <conditionalFormatting sqref="O13:O20">
    <cfRule type="expression" dxfId="1231" priority="59">
      <formula>ABS(O$16-O$19)&gt;=1000</formula>
    </cfRule>
  </conditionalFormatting>
  <conditionalFormatting sqref="P13:P20">
    <cfRule type="expression" dxfId="1230" priority="58">
      <formula>ABS(P$16-P$19)&gt;=1000</formula>
    </cfRule>
  </conditionalFormatting>
  <conditionalFormatting sqref="Q13 Q15:Q20">
    <cfRule type="expression" dxfId="1229" priority="57">
      <formula>ABS(Q$16-Q$19)&gt;=1000</formula>
    </cfRule>
  </conditionalFormatting>
  <conditionalFormatting sqref="R13:R20">
    <cfRule type="expression" dxfId="1228" priority="56">
      <formula>ABS(R$16-R$19)&gt;=1000</formula>
    </cfRule>
  </conditionalFormatting>
  <conditionalFormatting sqref="S13:S20">
    <cfRule type="expression" dxfId="1227" priority="55">
      <formula>ABS(S$16-S$19)&gt;=1000</formula>
    </cfRule>
  </conditionalFormatting>
  <conditionalFormatting sqref="T13:T20">
    <cfRule type="expression" dxfId="1226" priority="54">
      <formula>ABS(T$16-T$19)&gt;=1000</formula>
    </cfRule>
  </conditionalFormatting>
  <conditionalFormatting sqref="U13:U20">
    <cfRule type="expression" dxfId="1225" priority="53">
      <formula>ABS(U$16-U$19)&gt;=1000</formula>
    </cfRule>
  </conditionalFormatting>
  <conditionalFormatting sqref="V13:V20">
    <cfRule type="expression" dxfId="1224" priority="52">
      <formula>ABS(V$16-V$19)&gt;=1000</formula>
    </cfRule>
  </conditionalFormatting>
  <conditionalFormatting sqref="W13 W20 W15:W18">
    <cfRule type="expression" dxfId="1223" priority="51">
      <formula>ABS(W$16-W$19)&gt;=1000</formula>
    </cfRule>
  </conditionalFormatting>
  <conditionalFormatting sqref="X13 X15:X20 Y19">
    <cfRule type="expression" dxfId="1222" priority="50">
      <formula>ABS(X$16-X$19)&gt;=1000</formula>
    </cfRule>
  </conditionalFormatting>
  <conditionalFormatting sqref="Y13 Y15:Y18 Y20">
    <cfRule type="expression" dxfId="1221" priority="49">
      <formula>ABS(Y$16-Y$19)&gt;=1000</formula>
    </cfRule>
  </conditionalFormatting>
  <conditionalFormatting sqref="Z13:Z20">
    <cfRule type="expression" dxfId="1220" priority="48">
      <formula>ABS(Z$16-Z$19)&gt;=1000</formula>
    </cfRule>
  </conditionalFormatting>
  <conditionalFormatting sqref="AA13:AA20">
    <cfRule type="expression" dxfId="1219" priority="47">
      <formula>ABS(AA$16-AA$19)&gt;=1000</formula>
    </cfRule>
  </conditionalFormatting>
  <conditionalFormatting sqref="AB13 AB15:AB20">
    <cfRule type="expression" dxfId="1218" priority="46">
      <formula>ABS(AB$16-AB$19)&gt;=1000</formula>
    </cfRule>
  </conditionalFormatting>
  <conditionalFormatting sqref="AC13 AC15:AC20">
    <cfRule type="expression" dxfId="1217" priority="45">
      <formula>ABS(AC$16-AC$19)&gt;=1000</formula>
    </cfRule>
  </conditionalFormatting>
  <conditionalFormatting sqref="AD13:AD20">
    <cfRule type="expression" dxfId="1216" priority="44">
      <formula>ABS(AD$16-AD$19)&gt;=1000</formula>
    </cfRule>
  </conditionalFormatting>
  <conditionalFormatting sqref="AE13:AE20">
    <cfRule type="expression" dxfId="1215" priority="43">
      <formula>ABS(AE$16-AE$19)&gt;=1000</formula>
    </cfRule>
  </conditionalFormatting>
  <conditionalFormatting sqref="D22:D29">
    <cfRule type="expression" dxfId="1214" priority="42">
      <formula>ABS(D$25-D$28)&gt;=1000</formula>
    </cfRule>
  </conditionalFormatting>
  <conditionalFormatting sqref="E22:E29">
    <cfRule type="expression" dxfId="1213" priority="41">
      <formula>ABS(E$25-E$28)&gt;=1000</formula>
    </cfRule>
  </conditionalFormatting>
  <conditionalFormatting sqref="F22:F29">
    <cfRule type="expression" dxfId="1212" priority="40">
      <formula>ABS(F$25-F$28)&gt;=1000</formula>
    </cfRule>
  </conditionalFormatting>
  <conditionalFormatting sqref="G22:G29">
    <cfRule type="expression" dxfId="1211" priority="39">
      <formula>ABS(G$25-G$28)&gt;=1000</formula>
    </cfRule>
  </conditionalFormatting>
  <conditionalFormatting sqref="H22:H29">
    <cfRule type="expression" dxfId="1210" priority="38">
      <formula>ABS(H$25-H$28)&gt;=1000</formula>
    </cfRule>
  </conditionalFormatting>
  <conditionalFormatting sqref="I22 I24:I29">
    <cfRule type="expression" dxfId="1209" priority="37">
      <formula>ABS(I$25-I$28)&gt;=1000</formula>
    </cfRule>
  </conditionalFormatting>
  <conditionalFormatting sqref="J22:J29 K22">
    <cfRule type="expression" dxfId="1208" priority="36">
      <formula>ABS(J$25-J$28)&gt;=1000</formula>
    </cfRule>
  </conditionalFormatting>
  <conditionalFormatting sqref="K23:K29 L25 L28">
    <cfRule type="expression" dxfId="1207" priority="35">
      <formula>ABS(K$25-K$28)&gt;=1000</formula>
    </cfRule>
  </conditionalFormatting>
  <conditionalFormatting sqref="L22 L26:L27 L29 L24">
    <cfRule type="expression" dxfId="1206" priority="34">
      <formula>ABS(L$25-L$28)&gt;=1000</formula>
    </cfRule>
  </conditionalFormatting>
  <conditionalFormatting sqref="M22:M29">
    <cfRule type="expression" dxfId="1205" priority="33">
      <formula>ABS(M$25-M$28)&gt;=1000</formula>
    </cfRule>
  </conditionalFormatting>
  <conditionalFormatting sqref="N22:N29">
    <cfRule type="expression" dxfId="1204" priority="32">
      <formula>ABS(N$25-N$28)&gt;=1000</formula>
    </cfRule>
  </conditionalFormatting>
  <conditionalFormatting sqref="O22:O29">
    <cfRule type="expression" dxfId="1203" priority="31">
      <formula>ABS(O$25-O$28)&gt;=1000</formula>
    </cfRule>
  </conditionalFormatting>
  <conditionalFormatting sqref="P22:P29">
    <cfRule type="expression" dxfId="1202" priority="30">
      <formula>ABS(P$25-P$28)&gt;=1000</formula>
    </cfRule>
  </conditionalFormatting>
  <conditionalFormatting sqref="Q22:Q29">
    <cfRule type="expression" dxfId="1201" priority="29">
      <formula>ABS(Q$25-Q$28)&gt;=1000</formula>
    </cfRule>
  </conditionalFormatting>
  <conditionalFormatting sqref="R22:R29">
    <cfRule type="expression" dxfId="1200" priority="28">
      <formula>ABS(R$25-R$28)&gt;=1000</formula>
    </cfRule>
  </conditionalFormatting>
  <conditionalFormatting sqref="S22:S29">
    <cfRule type="expression" dxfId="1199" priority="27">
      <formula>ABS(S$25-S$28)&gt;=1000</formula>
    </cfRule>
  </conditionalFormatting>
  <conditionalFormatting sqref="T22:T29">
    <cfRule type="expression" dxfId="1198" priority="26">
      <formula>ABS(T$25-T$28)&gt;=1000</formula>
    </cfRule>
  </conditionalFormatting>
  <conditionalFormatting sqref="U22:U29">
    <cfRule type="expression" dxfId="1197" priority="25">
      <formula>ABS(U$25-U$28)&gt;=1000</formula>
    </cfRule>
  </conditionalFormatting>
  <conditionalFormatting sqref="V22:V29">
    <cfRule type="expression" dxfId="1196" priority="24">
      <formula>ABS(V$25-V$28)&gt;=1000</formula>
    </cfRule>
  </conditionalFormatting>
  <conditionalFormatting sqref="W22:W29">
    <cfRule type="expression" dxfId="1195" priority="23">
      <formula>ABS(W$25-W$28)&gt;=1000</formula>
    </cfRule>
  </conditionalFormatting>
  <conditionalFormatting sqref="X22:X29">
    <cfRule type="expression" dxfId="1194" priority="22">
      <formula>ABS(X$25-X$28)&gt;=1000</formula>
    </cfRule>
  </conditionalFormatting>
  <conditionalFormatting sqref="Y22:Y29">
    <cfRule type="expression" dxfId="1193" priority="21">
      <formula>ABS(Y$25-Y$28)&gt;=1000</formula>
    </cfRule>
  </conditionalFormatting>
  <conditionalFormatting sqref="I23">
    <cfRule type="expression" dxfId="1192" priority="20">
      <formula>ABS(I$25-I$28)&gt;=1000</formula>
    </cfRule>
  </conditionalFormatting>
  <conditionalFormatting sqref="F14">
    <cfRule type="expression" dxfId="1191" priority="19">
      <formula>ABS(F$16-F$19)&gt;=1000</formula>
    </cfRule>
  </conditionalFormatting>
  <conditionalFormatting sqref="Q14">
    <cfRule type="expression" dxfId="1190" priority="18">
      <formula>ABS(Q$16-Q$19)&gt;=1000</formula>
    </cfRule>
  </conditionalFormatting>
  <conditionalFormatting sqref="W14">
    <cfRule type="expression" dxfId="1189" priority="17">
      <formula>ABS(W$16-W$19)&gt;=1000</formula>
    </cfRule>
  </conditionalFormatting>
  <conditionalFormatting sqref="Y14">
    <cfRule type="expression" dxfId="1188" priority="16">
      <formula>ABS(Y$16-Y$19)&gt;=1000</formula>
    </cfRule>
  </conditionalFormatting>
  <conditionalFormatting sqref="X14">
    <cfRule type="expression" dxfId="1187" priority="15">
      <formula>ABS(X$16-X$19)&gt;=1000</formula>
    </cfRule>
  </conditionalFormatting>
  <conditionalFormatting sqref="T10:Y10">
    <cfRule type="expression" dxfId="1186" priority="14">
      <formula>ABS(T$7-T$10)&gt;=1000</formula>
    </cfRule>
  </conditionalFormatting>
  <conditionalFormatting sqref="W19">
    <cfRule type="expression" dxfId="1185" priority="13">
      <formula>ABS(W$16-W$19)&gt;=1000</formula>
    </cfRule>
  </conditionalFormatting>
  <conditionalFormatting sqref="AC5">
    <cfRule type="expression" dxfId="1184" priority="12">
      <formula>ABS(AC$7-AC$10)&gt;=1000</formula>
    </cfRule>
  </conditionalFormatting>
  <conditionalFormatting sqref="M14">
    <cfRule type="expression" dxfId="1183" priority="11">
      <formula>ABS(M$16-M$19)&gt;=1000</formula>
    </cfRule>
  </conditionalFormatting>
  <conditionalFormatting sqref="M16">
    <cfRule type="expression" dxfId="1182" priority="10">
      <formula>ABS(M$16-M$19)&gt;=1000</formula>
    </cfRule>
  </conditionalFormatting>
  <conditionalFormatting sqref="M19">
    <cfRule type="expression" dxfId="1181" priority="9">
      <formula>ABS(M$16-M$19)&gt;=1000</formula>
    </cfRule>
  </conditionalFormatting>
  <conditionalFormatting sqref="K13:K20">
    <cfRule type="expression" dxfId="1180" priority="8">
      <formula>ABS(K$16-K$19)&gt;=1000</formula>
    </cfRule>
  </conditionalFormatting>
  <conditionalFormatting sqref="E5">
    <cfRule type="expression" dxfId="1179" priority="7">
      <formula>ABS(E$7-E$10)&gt;=1000</formula>
    </cfRule>
  </conditionalFormatting>
  <conditionalFormatting sqref="AB14:AC14">
    <cfRule type="expression" dxfId="1178" priority="6">
      <formula>ABS(AB$16-AB$19)&gt;=1000</formula>
    </cfRule>
  </conditionalFormatting>
  <conditionalFormatting sqref="M5">
    <cfRule type="expression" dxfId="1177" priority="5">
      <formula>ABS(M$7-M$10)&gt;=1000</formula>
    </cfRule>
  </conditionalFormatting>
  <conditionalFormatting sqref="N5">
    <cfRule type="expression" dxfId="1176" priority="4">
      <formula>ABS(N$7-N$10)&gt;=1000</formula>
    </cfRule>
  </conditionalFormatting>
  <conditionalFormatting sqref="O5">
    <cfRule type="expression" dxfId="1175" priority="3">
      <formula>ABS(O$7-O$10)&gt;=1000</formula>
    </cfRule>
  </conditionalFormatting>
  <conditionalFormatting sqref="P5">
    <cfRule type="expression" dxfId="1174" priority="2">
      <formula>ABS(P$7-P$10)&gt;=1000</formula>
    </cfRule>
  </conditionalFormatting>
  <conditionalFormatting sqref="L23">
    <cfRule type="expression" dxfId="1173" priority="1">
      <formula>ABS(L$25-L$28)&gt;=1000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00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345782</xdr:rowOff>
                  </from>
                  <to>
                    <xdr:col>32</xdr:col>
                    <xdr:colOff>414938</xdr:colOff>
                    <xdr:row>3</xdr:row>
                    <xdr:rowOff>30736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83">
    <pageSetUpPr fitToPage="1"/>
  </sheetPr>
  <dimension ref="A1:CU223"/>
  <sheetViews>
    <sheetView view="pageBreakPreview" zoomScale="80" zoomScaleNormal="100" zoomScaleSheetLayoutView="80" workbookViewId="0">
      <selection activeCell="Z23" sqref="Z23:AE29"/>
    </sheetView>
  </sheetViews>
  <sheetFormatPr defaultColWidth="8.109375" defaultRowHeight="26.05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0.9" ph="1">
      <c r="A1" s="64"/>
      <c r="B1" s="238" t="s" ph="1">
        <v>162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.05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.05" customHeight="1" ph="1">
      <c r="B3" s="240" ph="1">
        <v>45859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" customHeight="1" ph="1">
      <c r="A5" s="65" ph="1"/>
      <c r="B5" s="219" ph="1"/>
      <c r="C5" s="67" t="s" ph="1">
        <v>36</v>
      </c>
      <c r="D5" s="70" t="s" ph="1">
        <v>161</v>
      </c>
      <c r="E5" s="70" t="s" ph="1">
        <v>640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52" t="s" ph="1">
        <v>178</v>
      </c>
      <c r="D6" s="71">
        <v>4779</v>
      </c>
      <c r="E6" s="71">
        <v>8117</v>
      </c>
      <c r="F6" s="71">
        <v>6820</v>
      </c>
      <c r="G6" s="71">
        <v>4558</v>
      </c>
      <c r="H6" s="71">
        <v>7823</v>
      </c>
      <c r="I6" s="71">
        <v>51.62</v>
      </c>
      <c r="J6" s="71">
        <v>7.72</v>
      </c>
      <c r="K6" s="71">
        <v>45.75</v>
      </c>
      <c r="L6" s="71">
        <v>32.020000000000003</v>
      </c>
      <c r="M6" s="71">
        <v>3951</v>
      </c>
      <c r="N6" s="71">
        <v>1648</v>
      </c>
      <c r="O6" s="71">
        <v>2330</v>
      </c>
      <c r="P6" s="71">
        <v>3913</v>
      </c>
      <c r="Q6" s="71">
        <v>7000</v>
      </c>
      <c r="R6" s="71">
        <v>7000</v>
      </c>
      <c r="S6" s="71">
        <v>5100</v>
      </c>
      <c r="T6" s="71">
        <v>1957</v>
      </c>
      <c r="U6" s="71">
        <v>0</v>
      </c>
      <c r="V6" s="71">
        <v>0</v>
      </c>
      <c r="W6" s="71">
        <v>0</v>
      </c>
      <c r="X6" s="71">
        <v>0</v>
      </c>
      <c r="Y6" s="71">
        <v>1624</v>
      </c>
      <c r="Z6" s="71">
        <v>4929</v>
      </c>
      <c r="AA6" s="71">
        <v>555</v>
      </c>
      <c r="AB6" s="71">
        <v>2146</v>
      </c>
      <c r="AC6" s="71">
        <v>3847</v>
      </c>
      <c r="AD6" s="71">
        <v>4386</v>
      </c>
      <c r="AE6" s="71">
        <v>2400</v>
      </c>
    </row>
    <row r="7" spans="1:99" s="72" customFormat="1" ht="22.4" ph="1">
      <c r="B7" s="237" ph="1"/>
      <c r="C7" s="68" t="s" ph="1">
        <v>179</v>
      </c>
      <c r="D7" s="73" ph="1">
        <f>D6*33.183*LOOKUP(D8,密度!$A$2:$A$50,密度!$Q$2:$Q$50)</f>
        <v>149799.31037334001</v>
      </c>
      <c r="E7" s="73" ph="1">
        <f>E6*51.53*LOOKUP(E8,密度!$A$2:$A$50,密度!$B$2:$B$50)</f>
        <v>325706.078087</v>
      </c>
      <c r="F7" s="73" ph="1">
        <f>F6*33.183*LOOKUP(F8,密度!$A$2:$A$50,密度!$C$2:$C$50)</f>
        <v>250613.545644</v>
      </c>
      <c r="G7" s="73" ph="1">
        <f xml:space="preserve"> (G6+2)*51.53*LOOKUP(G8,密度!$A$2:$A$50,密度!$B$2:$B$50)</f>
        <v>182576.97360000003</v>
      </c>
      <c r="H7" s="73" ph="1">
        <f>(H6)*51.53*LOOKUP(H8,密度!$A$2:$A$50,密度!$B$2:$B$50)</f>
        <v>314634.527795</v>
      </c>
      <c r="I7" s="73" ph="1">
        <f>I6*290.8*1.0267</f>
        <v>15411.892263199999</v>
      </c>
      <c r="J7" s="73" ph="1">
        <f>J6*290.8*0.7892</f>
        <v>1771.7350592</v>
      </c>
      <c r="K7" s="73" ph="1">
        <f>K6*290.8*1.1126</f>
        <v>14802.141660000001</v>
      </c>
      <c r="L7" s="73" ph="1">
        <f>L6*290.8*0.777</f>
        <v>7234.9702320000015</v>
      </c>
      <c r="M7" s="73" ph="1">
        <f>M6*33.183*LOOKUP(M8,密度!$A$2:$A$50,密度!$D$2:$D$50)</f>
        <v>134239.46718869999</v>
      </c>
      <c r="N7" s="73" ph="1">
        <f>N6*33.183*LOOKUP(N8,密度!$A$2:$A$50,密度!$E$2:$E$50)</f>
        <v>42643.818403200006</v>
      </c>
      <c r="O7" s="73" ph="1">
        <f>O6*20.428*LOOKUP(O8,密度!$A$2:$A$50,密度!$C$2:$C$50)</f>
        <v>52499.755720000008</v>
      </c>
      <c r="P7" s="73" ph="1">
        <f>P6*51.53*LOOKUP(P8,密度!$A$2:$A$50,密度!$B$2:$B$50)</f>
        <v>157014.646243</v>
      </c>
      <c r="Q7" s="73" ph="1">
        <f>Q6*1.5*1.5*3.1416*LOOKUP(W8,密度!$A$2:$A$50,密度!$L$2:$L$50)</f>
        <v>46263.987000000001</v>
      </c>
      <c r="R7" s="73" ph="1">
        <f>R6*1.5*1.5*3.1416*LOOKUP(R8,密度!$A$2:$A$50,密度!$L$2:$L$50)</f>
        <v>46016.586000000003</v>
      </c>
      <c r="S7" s="73" ph="1">
        <f>S6*1.5*1.5*3.1416*LOOKUP(S8,密度!$A$2:$A$50,密度!$L$2:$L$50)</f>
        <v>33850.81854</v>
      </c>
      <c r="T7" s="73" ph="1">
        <f>T6*1.5*1.5*3.1416*LOOKUP(T8,密度!$A$2:$A$50,密度!$L$2:$L$50)</f>
        <v>13003.255187999999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10733.244984000001</v>
      </c>
      <c r="Z7" s="73" ph="1">
        <f>Z6*33.183*LOOKUP(Z8,密度!$A$2:$A$50,密度!$L$2:$L$50)</f>
        <v>153254.78955900003</v>
      </c>
      <c r="AA7" s="73" ph="1">
        <f>AA6*33.183*LOOKUP(AA8,密度!$A$2:$A$50,密度!$D$2:$D$50)</f>
        <v>18891.712377</v>
      </c>
      <c r="AB7" s="73" ph="1">
        <f>AB6*20.428*LOOKUP(AB8,密度!$A$2:$A$50,密度!$D$2:$D$50)</f>
        <v>45131.723396000009</v>
      </c>
      <c r="AC7" s="73" ph="1">
        <f>AC6*51.53*LOOKUP(AC8,密度!$A$2:$A$50,密度!$Q$2:$Q$50)</f>
        <v>187677.8654334</v>
      </c>
      <c r="AD7" s="73" ph="1">
        <f>AD6*20.428*LOOKUP(AD8,密度!$A$2:$A$50,密度!$V$2:$V$50)</f>
        <v>85798.286380799997</v>
      </c>
      <c r="AE7" s="73" ph="1">
        <f>AE6*20.428</f>
        <v>49027.200000000004</v>
      </c>
    </row>
    <row r="8" spans="1:99" ph="1">
      <c r="B8" s="237" ph="1"/>
      <c r="C8" s="68" t="s" ph="1">
        <v>180</v>
      </c>
      <c r="D8" s="74">
        <v>28</v>
      </c>
      <c r="E8" s="74">
        <v>26</v>
      </c>
      <c r="F8" s="74">
        <v>27</v>
      </c>
      <c r="G8" s="74">
        <v>28</v>
      </c>
      <c r="H8" s="74">
        <v>24</v>
      </c>
      <c r="I8" s="74">
        <v>25</v>
      </c>
      <c r="J8" s="74">
        <v>25</v>
      </c>
      <c r="K8" s="74">
        <v>25</v>
      </c>
      <c r="L8" s="74">
        <v>25</v>
      </c>
      <c r="M8" s="74">
        <v>28</v>
      </c>
      <c r="N8" s="74">
        <v>28</v>
      </c>
      <c r="O8" s="74">
        <v>32</v>
      </c>
      <c r="P8" s="74">
        <v>26</v>
      </c>
      <c r="Q8" s="74">
        <v>27</v>
      </c>
      <c r="R8" s="74">
        <v>32</v>
      </c>
      <c r="S8" s="74">
        <v>23</v>
      </c>
      <c r="T8" s="74">
        <v>22</v>
      </c>
      <c r="U8" s="74">
        <v>26</v>
      </c>
      <c r="V8" s="74">
        <v>26</v>
      </c>
      <c r="W8" s="74">
        <v>27</v>
      </c>
      <c r="X8" s="74">
        <v>20</v>
      </c>
      <c r="Y8" s="74">
        <v>27</v>
      </c>
      <c r="Z8" s="74">
        <v>25</v>
      </c>
      <c r="AA8" s="74">
        <v>26</v>
      </c>
      <c r="AB8" s="74">
        <v>22</v>
      </c>
      <c r="AC8" s="74">
        <v>25</v>
      </c>
      <c r="AD8" s="74">
        <v>26</v>
      </c>
      <c r="AE8" s="74">
        <v>27</v>
      </c>
    </row>
    <row r="9" spans="1:99" ht="26.65" ph="1">
      <c r="B9" s="237" ph="1">
        <v>0.66666666666666663</v>
      </c>
      <c r="C9" s="152" t="s" ph="1">
        <v>181</v>
      </c>
      <c r="D9" s="71">
        <v>4589</v>
      </c>
      <c r="E9" s="71">
        <v>7999</v>
      </c>
      <c r="F9" s="71">
        <v>6821</v>
      </c>
      <c r="G9" s="71">
        <v>4312</v>
      </c>
      <c r="H9" s="71">
        <v>7824</v>
      </c>
      <c r="I9" s="71">
        <v>51.72</v>
      </c>
      <c r="J9" s="71">
        <v>7.75</v>
      </c>
      <c r="K9" s="71">
        <v>12.3</v>
      </c>
      <c r="L9" s="71">
        <v>10.01</v>
      </c>
      <c r="M9" s="71">
        <v>3949</v>
      </c>
      <c r="N9" s="71">
        <v>1538</v>
      </c>
      <c r="O9" s="71">
        <v>3326</v>
      </c>
      <c r="P9" s="71">
        <v>3590</v>
      </c>
      <c r="Q9" s="71">
        <v>5800</v>
      </c>
      <c r="R9" s="71">
        <v>7000</v>
      </c>
      <c r="S9" s="71">
        <v>5100</v>
      </c>
      <c r="T9" s="71">
        <v>4350</v>
      </c>
      <c r="U9" s="71">
        <v>0</v>
      </c>
      <c r="V9" s="71">
        <v>0</v>
      </c>
      <c r="W9" s="71">
        <v>0</v>
      </c>
      <c r="X9" s="71">
        <v>0</v>
      </c>
      <c r="Y9" s="71">
        <v>0</v>
      </c>
      <c r="Z9" s="71">
        <v>5371</v>
      </c>
      <c r="AA9" s="71">
        <v>556</v>
      </c>
      <c r="AB9" s="71">
        <v>2030</v>
      </c>
      <c r="AC9" s="71">
        <v>3847</v>
      </c>
      <c r="AD9" s="71">
        <v>4388</v>
      </c>
      <c r="AE9" s="71">
        <v>2242</v>
      </c>
    </row>
    <row r="10" spans="1:99" s="72" customFormat="1" ht="22.4" ph="1">
      <c r="B10" s="237" ph="1"/>
      <c r="C10" s="152" t="s" ph="1">
        <v>179</v>
      </c>
      <c r="D10" s="73" ph="1">
        <f>D9*33.183*LOOKUP(D11,密度!$A$2:$A$50,密度!$Q$2:$Q$50)</f>
        <v>143738.62755291001</v>
      </c>
      <c r="E10" s="73" ph="1">
        <f>E9*51.53*LOOKUP(E11,密度!$A$2:$A$50,密度!$B$2:$B$50)</f>
        <v>319569.720791</v>
      </c>
      <c r="F10" s="73" ph="1">
        <f>F9*33.183*LOOKUP(F11,密度!$A$2:$A$50,密度!$C$2:$C$50)</f>
        <v>250310.78063370002</v>
      </c>
      <c r="G10" s="73" ph="1">
        <f xml:space="preserve"> (G9+2)*51.53*LOOKUP(G11,密度!$A$2:$A$50,密度!$B$2:$B$50)</f>
        <v>172349.51562600001</v>
      </c>
      <c r="H10" s="73" ph="1">
        <f>(H9)*51.53*LOOKUP(H11,密度!$A$2:$A$50,密度!$B$2:$B$50)</f>
        <v>313949.03966399998</v>
      </c>
      <c r="I10" s="73" ph="1">
        <f>I9*290.8*1.0267</f>
        <v>15441.748699199999</v>
      </c>
      <c r="J10" s="73" ph="1">
        <f>J9*290.8*0.7892</f>
        <v>1778.6200400000002</v>
      </c>
      <c r="K10" s="73" ph="1">
        <f>K9*290.8*1.1126</f>
        <v>3979.5921840000001</v>
      </c>
      <c r="L10" s="73" ph="1">
        <f>L9*290.8*0.777</f>
        <v>2261.7755160000002</v>
      </c>
      <c r="M10" s="73" ph="1">
        <f>M9*33.183*LOOKUP(M11,密度!$A$2:$A$50,密度!$D$2:$D$50)</f>
        <v>133922.539674</v>
      </c>
      <c r="N10" s="73" ph="1">
        <f>N9*33.183*LOOKUP(N11,密度!$A$2:$A$50,密度!$E$2:$E$50)</f>
        <v>39626.478258299998</v>
      </c>
      <c r="O10" s="73" ph="1">
        <f>O9*20.428*LOOKUP(O11,密度!$A$2:$A$50,密度!$C$2:$C$50)</f>
        <v>74941.711384000009</v>
      </c>
      <c r="P10" s="73" ph="1">
        <f>P9*51.53*LOOKUP(P11,密度!$A$2:$A$50,密度!$B$2:$B$50)</f>
        <v>143591.33374</v>
      </c>
      <c r="Q10" s="73" ph="1">
        <f>Q9*1.5*1.5*3.1416*LOOKUP(W11,密度!$A$2:$A$50,密度!$L$2:$L$50)</f>
        <v>38169.026279999998</v>
      </c>
      <c r="R10" s="73" ph="1">
        <f>R9*1.5*1.5*3.1416*LOOKUP(R11,密度!$A$2:$A$50,密度!$L$2:$L$50)</f>
        <v>45917.625599999999</v>
      </c>
      <c r="S10" s="73" ph="1">
        <f>S9*1.5*1.5*3.1416*LOOKUP(S11,密度!$A$2:$A$50,密度!$L$2:$L$50)</f>
        <v>33778.718820000002</v>
      </c>
      <c r="T10" s="73" ph="1">
        <f>T9*1.5*1.5*3.1416*LOOKUP(T11,密度!$A$2:$A$50,密度!$L$2:$L$50)</f>
        <v>28903.505399999998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166641.20995500003</v>
      </c>
      <c r="AA10" s="73" ph="1">
        <f>AA9*33.183*LOOKUP(AA11,密度!$A$2:$A$50,密度!$D$2:$D$50)</f>
        <v>18839.037682799997</v>
      </c>
      <c r="AB10" s="73" ph="1">
        <f>AB9*20.428*LOOKUP(AB11,密度!$A$2:$A$50,密度!$D$2:$D$50)</f>
        <v>42654.848824000001</v>
      </c>
      <c r="AC10" s="73" ph="1">
        <f>AC9*51.53*LOOKUP(AC11,密度!$A$2:$A$50,密度!$Q$2:$Q$50)</f>
        <v>187001.88098029999</v>
      </c>
      <c r="AD10" s="73" ph="1">
        <f>AD9*20.428*LOOKUP(AD11,密度!$A$2:$A$50,密度!$V$2:$V$50)</f>
        <v>85837.410086399992</v>
      </c>
      <c r="AE10" s="73" ph="1">
        <f>AE9*20.428</f>
        <v>45799.576000000001</v>
      </c>
    </row>
    <row r="11" spans="1:99" ph="1">
      <c r="A11" s="64" t="s" ph="1">
        <v>163</v>
      </c>
      <c r="B11" s="237" ph="1"/>
      <c r="C11" s="152" t="s" ph="1">
        <v>180</v>
      </c>
      <c r="D11" s="74">
        <v>29</v>
      </c>
      <c r="E11" s="74">
        <v>30</v>
      </c>
      <c r="F11" s="74">
        <v>29</v>
      </c>
      <c r="G11" s="74">
        <v>30</v>
      </c>
      <c r="H11" s="74">
        <v>26</v>
      </c>
      <c r="I11" s="74">
        <v>25</v>
      </c>
      <c r="J11" s="74">
        <v>25</v>
      </c>
      <c r="K11" s="74">
        <v>25</v>
      </c>
      <c r="L11" s="74">
        <v>25</v>
      </c>
      <c r="M11" s="74">
        <v>30</v>
      </c>
      <c r="N11" s="74">
        <v>31</v>
      </c>
      <c r="O11" s="74">
        <v>32</v>
      </c>
      <c r="P11" s="74">
        <v>29</v>
      </c>
      <c r="Q11" s="74">
        <v>28</v>
      </c>
      <c r="R11" s="74">
        <v>34</v>
      </c>
      <c r="S11" s="74">
        <v>25</v>
      </c>
      <c r="T11" s="74">
        <v>22</v>
      </c>
      <c r="U11" s="74">
        <v>29</v>
      </c>
      <c r="V11" s="74">
        <v>28</v>
      </c>
      <c r="W11" s="74">
        <v>31</v>
      </c>
      <c r="X11" s="74">
        <v>23</v>
      </c>
      <c r="Y11" s="74">
        <v>30</v>
      </c>
      <c r="Z11" s="74">
        <v>27</v>
      </c>
      <c r="AA11" s="74">
        <v>31</v>
      </c>
      <c r="AB11" s="74">
        <v>23</v>
      </c>
      <c r="AC11" s="74">
        <v>30</v>
      </c>
      <c r="AD11" s="74">
        <v>27</v>
      </c>
      <c r="AE11" s="74">
        <v>29</v>
      </c>
    </row>
    <row r="12" spans="1:99" ht="9.85" customHeight="1" ph="1"/>
    <row r="13" spans="1:99" s="72" customFormat="1" ht="29.2" customHeight="1" ph="1">
      <c r="B13" s="214" t="s" ph="1">
        <v>37</v>
      </c>
      <c r="C13" s="152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.2" ph="1">
      <c r="B14" s="215" ph="1"/>
      <c r="C14" s="67" t="s" ph="1">
        <v>36</v>
      </c>
      <c r="D14" s="77" t="s" ph="1">
        <v>622</v>
      </c>
      <c r="E14" s="77" t="s" ph="1">
        <v>622</v>
      </c>
      <c r="F14" s="155" t="s" ph="1">
        <v>651</v>
      </c>
      <c r="G14" s="77" t="s" ph="1">
        <v>623</v>
      </c>
      <c r="H14" s="77" t="s" ph="1">
        <v>624</v>
      </c>
      <c r="I14" s="140" t="s" ph="1">
        <v>625</v>
      </c>
      <c r="J14" s="77" t="s" ph="1">
        <v>626</v>
      </c>
      <c r="K14" s="77" t="s" ph="1">
        <v>187</v>
      </c>
      <c r="L14" s="77" t="s" ph="1">
        <v>41</v>
      </c>
      <c r="M14" s="104" t="s" ph="1">
        <v>627</v>
      </c>
      <c r="N14" s="104" t="s" ph="1">
        <v>628</v>
      </c>
      <c r="O14" s="104" t="s" ph="1">
        <v>626</v>
      </c>
      <c r="P14" s="77" t="s" ph="1">
        <v>629</v>
      </c>
      <c r="Q14" s="77" t="s" ph="1">
        <v>629</v>
      </c>
      <c r="R14" s="88" t="s" ph="1">
        <v>640</v>
      </c>
      <c r="S14" s="77" t="s" ph="1">
        <v>71</v>
      </c>
      <c r="T14" s="77" t="s" ph="1">
        <v>631</v>
      </c>
      <c r="U14" s="77" t="s" ph="1">
        <v>610</v>
      </c>
      <c r="V14" s="77" t="s" ph="1">
        <v>110</v>
      </c>
      <c r="W14" s="77" t="s" ph="1">
        <v>629</v>
      </c>
      <c r="X14" s="77" t="s" ph="1">
        <v>632</v>
      </c>
      <c r="Y14" s="138" t="s" ph="1">
        <v>0</v>
      </c>
      <c r="Z14" s="77" t="s" ph="1">
        <v>54</v>
      </c>
      <c r="AA14" s="77" t="s" ph="1">
        <v>619</v>
      </c>
      <c r="AB14" s="77" t="s" ph="1">
        <v>650</v>
      </c>
      <c r="AC14" s="77" t="s" ph="1">
        <v>650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16" ph="1">
        <v>0.33333333333333331</v>
      </c>
      <c r="C15" s="152" t="s" ph="1">
        <v>178</v>
      </c>
      <c r="D15" s="78">
        <v>5854</v>
      </c>
      <c r="E15" s="78">
        <v>4397</v>
      </c>
      <c r="F15" s="78">
        <v>4466</v>
      </c>
      <c r="G15" s="78">
        <v>2113</v>
      </c>
      <c r="H15" s="78">
        <v>4375</v>
      </c>
      <c r="I15" s="78">
        <v>0</v>
      </c>
      <c r="J15" s="78">
        <v>2102</v>
      </c>
      <c r="K15" s="78">
        <v>2760</v>
      </c>
      <c r="L15" s="78">
        <v>4776</v>
      </c>
      <c r="M15" s="78">
        <v>6997</v>
      </c>
      <c r="N15" s="78">
        <v>5308</v>
      </c>
      <c r="O15" s="78">
        <v>6130</v>
      </c>
      <c r="P15" s="78">
        <v>297</v>
      </c>
      <c r="Q15" s="78">
        <v>2276</v>
      </c>
      <c r="R15" s="78">
        <v>0</v>
      </c>
      <c r="S15" s="78">
        <v>3705</v>
      </c>
      <c r="T15" s="78">
        <v>3005</v>
      </c>
      <c r="U15" s="78">
        <v>4740</v>
      </c>
      <c r="V15" s="78">
        <v>-141</v>
      </c>
      <c r="W15" s="71">
        <v>-28</v>
      </c>
      <c r="X15" s="78">
        <v>-88</v>
      </c>
      <c r="Y15" s="106">
        <v>-9905</v>
      </c>
      <c r="Z15" s="78">
        <v>0</v>
      </c>
      <c r="AA15" s="78">
        <v>6160</v>
      </c>
      <c r="AB15" s="78" ph="1">
        <v>7041</v>
      </c>
      <c r="AC15" s="78" ph="1">
        <v>7137</v>
      </c>
      <c r="AD15" s="78">
        <v>83.46</v>
      </c>
      <c r="AE15" s="78">
        <v>44.75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4" ph="1">
      <c r="B16" s="217" ph="1"/>
      <c r="C16" s="152" t="s" ph="1">
        <v>179</v>
      </c>
      <c r="D16" s="73" ph="1">
        <f>D15*7.0686*LOOKUP(D17,密度!$A$2:$A$50,密度!$L$2:$L$50)</f>
        <v>38648.531829600004</v>
      </c>
      <c r="E16" s="73" ph="1">
        <f>E15*7.0686*LOOKUP(E17,密度!$A$2:$A$50,密度!$L$2:$L$50)</f>
        <v>29029.312342800004</v>
      </c>
      <c r="F16" s="73" ph="1">
        <f>F15*9.0746*LOOKUP(F17,密度!$A$2:$A$50,密度!$L$2:$L$50)</f>
        <v>37973.952293200004</v>
      </c>
      <c r="G16" s="73" ph="1">
        <f>G15*9.0746*LOOKUP(G17,密度!$A$2:$A$50,密度!$B$2:$B$50)</f>
        <v>14915.94452142</v>
      </c>
      <c r="H16" s="73" ph="1">
        <f>H15*9.0746*LOOKUP(H17,密度!$A$2:$A$50,密度!$L$2:$L$50)</f>
        <v>37200.188375000005</v>
      </c>
      <c r="I16" s="73" ph="1">
        <f>I15*9.0746*LOOKUP(I17,密度!$A$2:$A$50,密度!$U$2:$U$50)</f>
        <v>0</v>
      </c>
      <c r="J16" s="73" ph="1">
        <f>J15*9.0746*LOOKUP(J17,密度!$A$2:$A$50,密度!$L$2:$L$50)</f>
        <v>17834.946602</v>
      </c>
      <c r="K16" s="73" ph="1">
        <f>K15*9.0746*LOOKUP(K17,密度!$A$2:$A$50,密度!$C$2:$C$50)</f>
        <v>27753.357357600002</v>
      </c>
      <c r="L16" s="73" ph="1">
        <f>L15*9.0746*LOOKUP(L17,密度!$A$2:$A$50,密度!$E$2:$E$50)</f>
        <v>33796.757830080001</v>
      </c>
      <c r="M16" s="73" ph="1">
        <f>M15*9.0746*LOOKUP(M17,密度!$A$2:$A$50,密度!$M$2:$M$50)</f>
        <v>55234.279796380004</v>
      </c>
      <c r="N16" s="73" ph="1">
        <f>N15*9.0746*LOOKUP(N17,密度!$A$2:$A$50,密度!$M$2:$M$50)</f>
        <v>42103.628520880004</v>
      </c>
      <c r="O16" s="73" ph="1">
        <f>O15*9.0746*LOOKUP(O17,密度!$A$2:$A$50,密度!$G$2:$G$50)</f>
        <v>53235.324185999998</v>
      </c>
      <c r="P16" s="73" ph="1">
        <f ca="1">P15*9.0746*LOOKUP(P17,密度!$A$2:$A$51,密度!$Q$2:$Q$50)</f>
        <v>2547.785058984</v>
      </c>
      <c r="Q16" s="73" ph="1">
        <f>Q15*9.0746*LOOKUP(Q17,密度!$A$2:$A$50,密度!$Q$2:$Q$50)</f>
        <v>19509.982731952001</v>
      </c>
      <c r="R16" s="73" ph="1">
        <f>MAX(R15*9.0746*LOOKUP(R17,密度!$A$2:$A$50,密度!$B$2:$B$50),0)</f>
        <v>0</v>
      </c>
      <c r="S16" s="73" ph="1">
        <f>S15*9.0746*LOOKUP(S17,密度!$A$2:$A$50,密度!$Q$2:$Q$50)</f>
        <v>31759.440255660003</v>
      </c>
      <c r="T16" s="73" ph="1">
        <f>T15*9.0746*LOOKUP(T17,密度!$A$2:$A$50,密度!$O$2:$O$50)</f>
        <v>25251.254197999999</v>
      </c>
      <c r="U16" s="73" ph="1">
        <f>U15*9.0746*LOOKUP(U17,密度!$A$2:$A$50,密度!$H$2:$H$50)</f>
        <v>39267.119091599998</v>
      </c>
      <c r="V16" s="73" ph="1">
        <f>MAX(5600*LOOKUP(V17,密度!$A$2:$A$50,密度!$Q$2:$Q$50)+V15*9.0476*LOOKUP(V17,密度!$A$2:$A$50,密度!$Q$2:$Q$50),0)</f>
        <v>4087.8363102880003</v>
      </c>
      <c r="W16" s="73" ph="1">
        <f>MAX(5600*LOOKUP(W17,密度!$A$2:$A$50,密度!$Q$2:$Q$50)+W15*9.0476*LOOKUP(W17,密度!$A$2:$A$50,密度!$Q$2:$Q$50),0)</f>
        <v>5054.3114375040004</v>
      </c>
      <c r="X16" s="73" ph="1">
        <f>MAX(5600*LOOKUP(X17,密度!$A$2:$A$50,密度!$I$2:$I$50)+X15*9.0476*LOOKUP(X17,密度!$A$2:$A$50,密度!$I$2:$I$50),0)</f>
        <v>4990.6794556799996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43433.939471999998</v>
      </c>
      <c r="AB16" s="73" ph="1">
        <f>AB15*9.0746*LOOKUP(AB17,密度!$A$2:$A$50,密度!$L$2:$L$50)</f>
        <v>59421.660498000005</v>
      </c>
      <c r="AC16" s="73" ph="1">
        <f>AC15*9.0746*LOOKUP(AC17,密度!$A$2:$A$50,密度!$L$2:$L$50)</f>
        <v>60490.902466800006</v>
      </c>
      <c r="AD16" s="73" ph="1">
        <f>AD15*268.68*LOOKUP(AD17,密度!$A$2:$A$50,密度!B2:B50)+IF(AD15&lt;=0,0,1566*LOOKUP(AD17,密度!$A$2:$A$50,密度!B2:B50))</f>
        <v>18702.629570879995</v>
      </c>
      <c r="AE16" s="73" ph="1">
        <f>AE15*268.68*LOOKUP(AE17,密度!$A$2:$A$50,密度!B2:B50)+IF(AE15&lt;=0,0,1566*LOOKUP(AE17,密度!$A$2:$A$50,密度!B2:B50))</f>
        <v>10594.319627999999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18" ph="1"/>
      <c r="C17" s="79" t="s" ph="1">
        <v>180</v>
      </c>
      <c r="D17" s="74">
        <v>28</v>
      </c>
      <c r="E17" s="74">
        <v>28</v>
      </c>
      <c r="F17" s="74">
        <v>25</v>
      </c>
      <c r="G17" s="74">
        <v>27</v>
      </c>
      <c r="H17" s="74">
        <v>25</v>
      </c>
      <c r="I17" s="74">
        <v>24</v>
      </c>
      <c r="J17" s="74">
        <v>27</v>
      </c>
      <c r="K17" s="74">
        <v>26</v>
      </c>
      <c r="L17" s="74">
        <v>28</v>
      </c>
      <c r="M17" s="74">
        <v>30</v>
      </c>
      <c r="N17" s="74">
        <v>26</v>
      </c>
      <c r="O17" s="74">
        <v>28</v>
      </c>
      <c r="P17" s="74">
        <v>27</v>
      </c>
      <c r="Q17" s="74">
        <v>28</v>
      </c>
      <c r="R17" s="74">
        <v>27</v>
      </c>
      <c r="S17" s="74">
        <v>28</v>
      </c>
      <c r="T17" s="74">
        <v>28</v>
      </c>
      <c r="U17" s="74">
        <v>27</v>
      </c>
      <c r="V17" s="74">
        <v>27</v>
      </c>
      <c r="W17" s="74">
        <v>27</v>
      </c>
      <c r="X17" s="74">
        <v>28</v>
      </c>
      <c r="Y17" s="108">
        <v>28</v>
      </c>
      <c r="Z17" s="74">
        <v>26</v>
      </c>
      <c r="AA17" s="74">
        <v>28</v>
      </c>
      <c r="AB17" s="74">
        <v>32</v>
      </c>
      <c r="AC17" s="74">
        <v>28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65" ph="1">
      <c r="B18" s="216" ph="1">
        <v>0.66666666666666663</v>
      </c>
      <c r="C18" s="79" t="s" ph="1">
        <v>181</v>
      </c>
      <c r="D18" s="71">
        <v>5854</v>
      </c>
      <c r="E18" s="71">
        <v>5732</v>
      </c>
      <c r="F18" s="71">
        <v>2874</v>
      </c>
      <c r="G18" s="71">
        <v>2147</v>
      </c>
      <c r="H18" s="71">
        <v>4376</v>
      </c>
      <c r="I18" s="71">
        <v>2613</v>
      </c>
      <c r="J18" s="71">
        <v>2344</v>
      </c>
      <c r="K18" s="71">
        <v>2803</v>
      </c>
      <c r="L18" s="71">
        <v>4778</v>
      </c>
      <c r="M18" s="71">
        <v>1429</v>
      </c>
      <c r="N18" s="71">
        <v>5834</v>
      </c>
      <c r="O18" s="71">
        <v>6131</v>
      </c>
      <c r="P18" s="71">
        <v>718</v>
      </c>
      <c r="Q18" s="71">
        <v>1757</v>
      </c>
      <c r="R18" s="71">
        <v>0</v>
      </c>
      <c r="S18" s="71">
        <v>3708</v>
      </c>
      <c r="T18" s="71">
        <v>2437</v>
      </c>
      <c r="U18" s="71">
        <v>6517</v>
      </c>
      <c r="V18" s="71">
        <v>-141</v>
      </c>
      <c r="W18" s="71">
        <v>219</v>
      </c>
      <c r="X18" s="71">
        <v>-89</v>
      </c>
      <c r="Y18" s="109">
        <v>-9905</v>
      </c>
      <c r="Z18" s="71">
        <v>0</v>
      </c>
      <c r="AA18" s="71">
        <v>6163</v>
      </c>
      <c r="AB18" s="71">
        <v>7055</v>
      </c>
      <c r="AC18" s="71">
        <v>7138</v>
      </c>
      <c r="AD18" s="71">
        <v>7.82</v>
      </c>
      <c r="AE18" s="71">
        <v>80.349999999999994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4" ph="1">
      <c r="B19" s="217" ph="1"/>
      <c r="C19" s="152" t="s" ph="1">
        <v>179</v>
      </c>
      <c r="D19" s="73" ph="1">
        <f>D18*7.0686*LOOKUP(D20,密度!$A$2:$A$50,密度!$L$2:$L$50)</f>
        <v>38565.772660800001</v>
      </c>
      <c r="E19" s="73" ph="1">
        <f>E18*7.0686*LOOKUP(E20,密度!$A$2:$A$50,密度!$L$2:$L$50)</f>
        <v>37762.0445664</v>
      </c>
      <c r="F19" s="73" ph="1">
        <f>F18*9.0746*LOOKUP(F20,密度!$A$2:$A$50,密度!$L$2:$L$50)</f>
        <v>24306.933172800003</v>
      </c>
      <c r="G19" s="73" ph="1">
        <f>G18*9.0746*LOOKUP(G20,密度!$A$2:$A$50,密度!$B$2:$B$50)</f>
        <v>15138.4201374</v>
      </c>
      <c r="H19" s="73" ph="1">
        <f>H18*9.0746*LOOKUP(H20,密度!$A$2:$A$50,密度!$L$2:$L$50)</f>
        <v>37168.980825600003</v>
      </c>
      <c r="I19" s="73" ph="1">
        <f>I18*9.0746*LOOKUP(I20,密度!$A$2:$A$50,密度!$U$2:$U$50)</f>
        <v>24186.168396000001</v>
      </c>
      <c r="J19" s="73" ph="1">
        <f>J18*9.0746*LOOKUP(J20,密度!$A$2:$A$50,密度!$L$2:$L$50)</f>
        <v>19803.172894400002</v>
      </c>
      <c r="K19" s="73" ph="1">
        <f>K18*9.0746*LOOKUP(K20,密度!$A$2:$A$50,密度!$C$2:$C$50)</f>
        <v>28129.787192420004</v>
      </c>
      <c r="L19" s="73" ph="1">
        <f>L18*9.0746*LOOKUP(L20,密度!$A$2:$A$50,密度!$E$2:$E$50)</f>
        <v>33715.522010879999</v>
      </c>
      <c r="M19" s="73" ph="1">
        <f>M18*9.0746*LOOKUP(M20,密度!$A$2:$A$50,密度!$M$2:$M$50)</f>
        <v>11253.545582588</v>
      </c>
      <c r="N19" s="73" ph="1">
        <f>N18*9.0746*LOOKUP(N20,密度!$A$2:$A$50,密度!$M$2:$M$50)</f>
        <v>46222.976038840003</v>
      </c>
      <c r="O19" s="73" ph="1">
        <f>O18*9.0746*LOOKUP(O20,密度!$A$2:$A$50,密度!$G$2:$G$50)</f>
        <v>53116.044921220004</v>
      </c>
      <c r="P19" s="73" ph="1">
        <f ca="1">P18*9.0746*LOOKUP(P20,密度!$A$2:$A$51,密度!$Q$2:$Q$50)</f>
        <v>6146.3258561240009</v>
      </c>
      <c r="Q19" s="73" ph="1">
        <f>Q18*9.0746*LOOKUP(Q20,密度!$A$2:$A$50,密度!$Q$2:$Q$50)</f>
        <v>15040.521628426</v>
      </c>
      <c r="R19" s="73" ph="1">
        <f>MAX(R18*9.0746*LOOKUP(R20,密度!$A$2:$A$50,密度!$B$2:$B$50),0)</f>
        <v>0</v>
      </c>
      <c r="S19" s="73" ph="1">
        <f>S18*9.0746*LOOKUP(S20,密度!$A$2:$A$50,密度!$Q$2:$Q$50)</f>
        <v>31741.749685944003</v>
      </c>
      <c r="T19" s="73" ph="1">
        <f>T18*9.0746*LOOKUP(T20,密度!$A$2:$A$50,密度!$O$2:$O$50)</f>
        <v>20389.845784400004</v>
      </c>
      <c r="U19" s="73" ph="1">
        <f>U18*9.0746*LOOKUP(U20,密度!$A$2:$A$50,密度!$H$2:$H$50)</f>
        <v>53875.782230199999</v>
      </c>
      <c r="V19" s="73" ph="1">
        <f>MAX(5600*LOOKUP(V20,密度!$A$2:$A$50,密度!$Q$2:$Q$50)+V18*9.0476*LOOKUP(V20,密度!$A$2:$A$50,密度!$Q$2:$Q$50),0)</f>
        <v>4073.0472439599998</v>
      </c>
      <c r="W19" s="73" ph="1">
        <f>MAX(5600*LOOKUP(W20,密度!$A$2:$A$50,密度!$Q$2:$Q$50)+W18*9.0476*LOOKUP(W20,密度!$A$2:$A$50,密度!$Q$2:$Q$50),0)</f>
        <v>7140.9436423599991</v>
      </c>
      <c r="X19" s="73" ph="1">
        <f>MAX(5600*LOOKUP(X20,密度!$A$2:$A$50,密度!$I$2:$I$50)+X18*9.0476*LOOKUP(X20,密度!$A$2:$A$50,密度!$I$2:$I$50),0)</f>
        <v>4970.2519477599999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43410.350956759998</v>
      </c>
      <c r="AB19" s="73" ph="1">
        <f>AB18*9.0746*LOOKUP(AB20,密度!$A$2:$A$50,密度!$L$2:$L$50)</f>
        <v>59539.81179</v>
      </c>
      <c r="AC19" s="73" ph="1">
        <f>AC18*9.0746*LOOKUP(AC20,密度!$A$2:$A$50,密度!$L$2:$L$50)</f>
        <v>60369.829153600003</v>
      </c>
      <c r="AD19" s="73" ph="1">
        <f>AD18*268.68*LOOKUP(AD20,密度!$A$2:$A$50,密度!B5:B53)+IF(AD18&lt;=0,0,1566*LOOKUP(AD20,密度!$A$2:$A$50,密度!B5:B53))</f>
        <v>2849.3192951999999</v>
      </c>
      <c r="AE19" s="73" ph="1">
        <f>AE18*268.68*LOOKUP(AE20,密度!$A$2:$A$50,密度!B5:B53)+IF(AE18&lt;=0,0,1566*LOOKUP(AE20,密度!$A$2:$A$50,密度!B5:B53))</f>
        <v>17990.998325999997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17" ph="1"/>
      <c r="C20" s="80" t="s" ph="1">
        <v>180</v>
      </c>
      <c r="D20" s="81">
        <v>30</v>
      </c>
      <c r="E20" s="81">
        <v>30</v>
      </c>
      <c r="F20" s="81">
        <v>30</v>
      </c>
      <c r="G20" s="81">
        <v>28</v>
      </c>
      <c r="H20" s="81">
        <v>26</v>
      </c>
      <c r="I20" s="81">
        <v>30</v>
      </c>
      <c r="J20" s="81">
        <v>31</v>
      </c>
      <c r="K20" s="81">
        <v>29</v>
      </c>
      <c r="L20" s="81">
        <v>30</v>
      </c>
      <c r="M20" s="81">
        <v>32</v>
      </c>
      <c r="N20" s="81">
        <v>27</v>
      </c>
      <c r="O20" s="81">
        <v>30</v>
      </c>
      <c r="P20" s="81">
        <v>30</v>
      </c>
      <c r="Q20" s="81">
        <v>30</v>
      </c>
      <c r="R20" s="81">
        <v>31</v>
      </c>
      <c r="S20" s="81">
        <v>30</v>
      </c>
      <c r="T20" s="81">
        <v>30</v>
      </c>
      <c r="U20" s="81">
        <v>29</v>
      </c>
      <c r="V20" s="81">
        <v>32</v>
      </c>
      <c r="W20" s="81">
        <v>32</v>
      </c>
      <c r="X20" s="81">
        <v>30</v>
      </c>
      <c r="Y20" s="110">
        <v>30</v>
      </c>
      <c r="Z20" s="81">
        <v>30</v>
      </c>
      <c r="AA20" s="81">
        <v>29</v>
      </c>
      <c r="AB20" s="81">
        <v>32</v>
      </c>
      <c r="AC20" s="81">
        <v>30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15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633</v>
      </c>
      <c r="H23" s="88" t="s" ph="1">
        <v>633</v>
      </c>
      <c r="I23" s="88" t="s" ph="1">
        <v>634</v>
      </c>
      <c r="J23" s="88" t="s" ph="1">
        <v>635</v>
      </c>
      <c r="K23" s="88" t="s" ph="1">
        <v>635</v>
      </c>
      <c r="L23" s="88" t="s" ph="1">
        <v>635</v>
      </c>
      <c r="M23" s="88" t="s" ph="1">
        <v>630</v>
      </c>
      <c r="N23" s="88" t="s" ph="1">
        <v>630</v>
      </c>
      <c r="O23" s="88" t="s" ph="1">
        <v>321</v>
      </c>
      <c r="P23" s="88" t="s" ph="1">
        <v>637</v>
      </c>
      <c r="Q23" s="89" t="s" ph="1">
        <v>637</v>
      </c>
      <c r="R23" s="88" t="s" ph="1">
        <v>616</v>
      </c>
      <c r="S23" s="88" t="s" ph="1">
        <v>636</v>
      </c>
      <c r="T23" s="88" t="s" ph="1">
        <v>607</v>
      </c>
      <c r="U23" s="88" t="s" ph="1">
        <v>611</v>
      </c>
      <c r="V23" s="88" t="s" ph="1">
        <v>637</v>
      </c>
      <c r="W23" s="88" t="s" ph="1">
        <v>637</v>
      </c>
      <c r="X23" s="88" t="s" ph="1">
        <v>190</v>
      </c>
      <c r="Y23" s="88" t="s" ph="1">
        <v>638</v>
      </c>
      <c r="Z23" s="228" t="s" ph="1">
        <v>648</v>
      </c>
      <c r="AA23" s="229"/>
      <c r="AB23" s="229"/>
      <c r="AC23" s="229"/>
      <c r="AD23" s="229"/>
      <c r="AE23" s="230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37" ph="1">
        <v>0.33333333333333331</v>
      </c>
      <c r="C24" s="152" t="s" ph="1">
        <v>178</v>
      </c>
      <c r="D24" s="71">
        <v>91.78</v>
      </c>
      <c r="E24" s="71">
        <v>4.45</v>
      </c>
      <c r="F24" s="71">
        <v>4114</v>
      </c>
      <c r="G24" s="71">
        <v>1087</v>
      </c>
      <c r="H24" s="71">
        <v>1752</v>
      </c>
      <c r="I24" s="71">
        <v>2404</v>
      </c>
      <c r="J24" s="71">
        <v>893</v>
      </c>
      <c r="K24" s="71">
        <v>5511</v>
      </c>
      <c r="L24" s="71">
        <v>5612</v>
      </c>
      <c r="M24" s="71">
        <v>1070</v>
      </c>
      <c r="N24" s="71">
        <v>234</v>
      </c>
      <c r="O24" s="71">
        <v>1435</v>
      </c>
      <c r="P24" s="71">
        <v>1398</v>
      </c>
      <c r="Q24" s="90">
        <v>2929</v>
      </c>
      <c r="R24" s="71">
        <v>70</v>
      </c>
      <c r="S24" s="71">
        <v>2525</v>
      </c>
      <c r="T24" s="71">
        <v>1765</v>
      </c>
      <c r="U24" s="71">
        <v>4908</v>
      </c>
      <c r="V24" s="71">
        <v>9387</v>
      </c>
      <c r="W24" s="71">
        <v>10756</v>
      </c>
      <c r="X24" s="71">
        <v>5994</v>
      </c>
      <c r="Y24" s="71">
        <v>5702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37" ph="1"/>
      <c r="C25" s="68" t="s" ph="1">
        <v>179</v>
      </c>
      <c r="D25" s="91" ph="1">
        <f>D24*268.68*LOOKUP(D26,密度!$A$2:$A$50,密度!$Q$2:$Q$50)+IF(D24&lt;=0,0,1566*LOOKUP(D26,密度!$A$2:$A$50,密度!$Q$2:$Q$50))</f>
        <v>24828.682911696003</v>
      </c>
      <c r="E25" s="91" ph="1">
        <f>E24*268.68*LOOKUP(E26,密度!$A$2:$A$50,密度!$C$2:$C$50)+IF(E24&lt;=0,0,1566*LOOKUP(E26,密度!$A$2:$A$50,密度!$C$2:$C$50))</f>
        <v>3062.3670714</v>
      </c>
      <c r="F25" s="91" ph="1">
        <f>F24*11.702*LOOKUP(F26,密度!$A$2:$A$50,密度!$Q$2:$Q$50)</f>
        <v>45543.802748840004</v>
      </c>
      <c r="G25" s="91" ph="1">
        <f>G24*18.322*LOOKUP(G26,密度!$A$2:$A$50,密度!$B$2:$B$50)</f>
        <v>15508.600101799999</v>
      </c>
      <c r="H25" s="91" ph="1">
        <f>H24*18.322*LOOKUP(H26,密度!$A$2:$A$50,密度!$B$2:$B$50)</f>
        <v>24970.702017600001</v>
      </c>
      <c r="I25" s="91" ph="1">
        <f>I24*18.322*LOOKUP(I26,密度!$A$2:$A$50,密度!$Q$2:$Q$50)</f>
        <v>41637.647908159997</v>
      </c>
      <c r="J25" s="91" ph="1">
        <f>J24*18.322*LOOKUP(J26,密度!$A$2:$A$50,密度!$Q$2:$Q$50)</f>
        <v>15466.89666472</v>
      </c>
      <c r="K25" s="91" ph="1">
        <f>K24*18.322*LOOKUP(K26,密度!$A$2:$A$50,密度!$Q$2:$Q$50)</f>
        <v>95523.053908260001</v>
      </c>
      <c r="L25" s="91" ph="1">
        <f>L24*18.322*LOOKUP(L26,密度!$A$2:$A$50,密度!$Q$2:$Q$50)</f>
        <v>97273.703235920009</v>
      </c>
      <c r="M25" s="91" ph="1">
        <f>M24*18.322*LOOKUP(M26,密度!$A$2:$A$50,密度!$Q$2:$Q$50)</f>
        <v>18518.8405748</v>
      </c>
      <c r="N25" s="91" ph="1">
        <f>N24*18.322*LOOKUP(N26,密度!$A$2:$A$50,密度!$Q$2:$Q$50)</f>
        <v>4052.9158113600001</v>
      </c>
      <c r="O25" s="91" ph="1">
        <f>O24*18.322*LOOKUP(O26,密度!$A$2:$A$50,密度!$C$2:$C$50)</f>
        <v>29115.838317999998</v>
      </c>
      <c r="P25" s="91" ph="1">
        <f>P24*11.702*LOOKUP(P26,密度!$A$2:$A$50,密度!$B$2:$B$50)</f>
        <v>12739.061665199999</v>
      </c>
      <c r="Q25" s="92" ph="1">
        <f>Q24*18.322*LOOKUP(Q26,密度!$A$2:$A$50,密度!$B$2:$B$50)</f>
        <v>41697.812226000002</v>
      </c>
      <c r="R25" s="91" ph="1">
        <f>R24*35.891*LOOKUP(R26,密度!$A$2:$A$50,密度!$C$2:$C$50)</f>
        <v>2782.1985379999996</v>
      </c>
      <c r="S25" s="91" ph="1">
        <f>S24*35.891*LOOKUP(S26,密度!$A$2:$A$50,密度!$B$2:$B$50)</f>
        <v>70497.012472500006</v>
      </c>
      <c r="T25" s="91" ph="1">
        <f>T24*35.891*LOOKUP(T26,密度!$A$2:$A$50,密度!$Q$2:$Q$50)</f>
        <v>59928.744218450003</v>
      </c>
      <c r="U25" s="91" ph="1">
        <f>U24*35.891</f>
        <v>176153.02799999999</v>
      </c>
      <c r="V25" s="91" ph="1">
        <f>V24*47.051*LOOKUP(V26,密度!$A$2:$A$50,密度!$B$2:$B$50)</f>
        <v>343926.66680190002</v>
      </c>
      <c r="W25" s="91" ph="1">
        <f>W24*47.051*LOOKUP(W26,密度!$A$2:$A$50,密度!$B$2:$B$50)</f>
        <v>393680.06451240007</v>
      </c>
      <c r="X25" s="91" ph="1">
        <f>X24*47.051*LOOKUP(X26,密度!$A$2:$A$50,密度!$I$2:$I$50)</f>
        <v>292345.76120040001</v>
      </c>
      <c r="Y25" s="91" ph="1">
        <f>Y24*47.051*LOOKUP(Y26,密度!$A$2:$A$50,密度!$L$2:$L$50)</f>
        <v>250041.43546400004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37" ph="1"/>
      <c r="C26" s="68" t="s" ph="1">
        <v>180</v>
      </c>
      <c r="D26" s="74">
        <v>25</v>
      </c>
      <c r="E26" s="74">
        <v>25</v>
      </c>
      <c r="F26" s="74">
        <v>26</v>
      </c>
      <c r="G26" s="74">
        <v>26</v>
      </c>
      <c r="H26" s="74">
        <v>27</v>
      </c>
      <c r="I26" s="74">
        <v>27</v>
      </c>
      <c r="J26" s="74">
        <v>27</v>
      </c>
      <c r="K26" s="74">
        <v>26</v>
      </c>
      <c r="L26" s="74">
        <v>26</v>
      </c>
      <c r="M26" s="74">
        <v>28</v>
      </c>
      <c r="N26" s="74">
        <v>27</v>
      </c>
      <c r="O26" s="74">
        <v>27</v>
      </c>
      <c r="P26" s="74">
        <v>26</v>
      </c>
      <c r="Q26" s="93">
        <v>28</v>
      </c>
      <c r="R26" s="74">
        <v>27</v>
      </c>
      <c r="S26" s="74">
        <v>27</v>
      </c>
      <c r="T26" s="74">
        <v>26</v>
      </c>
      <c r="U26" s="74">
        <v>26</v>
      </c>
      <c r="V26" s="74">
        <v>26</v>
      </c>
      <c r="W26" s="74">
        <v>27</v>
      </c>
      <c r="X26" s="74">
        <v>30</v>
      </c>
      <c r="Y26" s="74">
        <v>30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65" ph="1">
      <c r="A27" s="72" ph="1"/>
      <c r="B27" s="237" ph="1">
        <v>0.66666666666666663</v>
      </c>
      <c r="C27" s="152" t="s" ph="1">
        <v>181</v>
      </c>
      <c r="D27" s="71">
        <v>90.02</v>
      </c>
      <c r="E27" s="71">
        <v>4.45</v>
      </c>
      <c r="F27" s="71">
        <v>4153</v>
      </c>
      <c r="G27" s="71">
        <v>2071</v>
      </c>
      <c r="H27" s="71">
        <v>1293</v>
      </c>
      <c r="I27" s="71">
        <v>2652</v>
      </c>
      <c r="J27" s="71">
        <v>892</v>
      </c>
      <c r="K27" s="71">
        <v>5512</v>
      </c>
      <c r="L27" s="71">
        <v>5610</v>
      </c>
      <c r="M27" s="71">
        <v>1069</v>
      </c>
      <c r="N27" s="71">
        <v>232</v>
      </c>
      <c r="O27" s="71">
        <v>1022</v>
      </c>
      <c r="P27" s="71">
        <v>1398</v>
      </c>
      <c r="Q27" s="90">
        <v>3539</v>
      </c>
      <c r="R27" s="71">
        <v>68</v>
      </c>
      <c r="S27" s="71">
        <v>2523</v>
      </c>
      <c r="T27" s="71">
        <v>1762</v>
      </c>
      <c r="U27" s="71">
        <v>4798</v>
      </c>
      <c r="V27" s="71">
        <v>9387</v>
      </c>
      <c r="W27" s="71">
        <v>10756</v>
      </c>
      <c r="X27" s="71">
        <v>5993</v>
      </c>
      <c r="Y27" s="71">
        <v>4726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37" ph="1"/>
      <c r="C28" s="152" t="s" ph="1">
        <v>179</v>
      </c>
      <c r="D28" s="91" ph="1">
        <f>D27*268.68*LOOKUP(D29,密度!$A$2:$A$50,密度!$Q$2:$Q$50)+IF(D27&lt;=0,0,1566*LOOKUP(D29,密度!$A$2:$A$50,密度!$Q$2:$Q$50))</f>
        <v>24380.991530064002</v>
      </c>
      <c r="E28" s="91" ph="1">
        <f>E27*268.68*LOOKUP(E29,密度!$A$2:$A$50,密度!$C$2:$C$50)+IF(E27&lt;=0,0,1566*LOOKUP(E29,密度!$A$2:$A$50,密度!$C$2:$C$50))</f>
        <v>3062.3670714</v>
      </c>
      <c r="F28" s="91" ph="1">
        <f>F27*11.702*LOOKUP(F29,密度!$A$2:$A$50,密度!$Q$2:$Q$50)</f>
        <v>45941.045159920002</v>
      </c>
      <c r="G28" s="91" ph="1">
        <f>G27*18.322*LOOKUP(G29,密度!$A$2:$A$50,密度!$B$2:$B$50)</f>
        <v>29517.308149800003</v>
      </c>
      <c r="H28" s="91" ph="1">
        <f>H27*18.322*LOOKUP(H29,密度!$A$2:$A$50,密度!$B$2:$B$50)</f>
        <v>18428.720153399998</v>
      </c>
      <c r="I28" s="91" ph="1">
        <f>I27*18.322*LOOKUP(I29,密度!$A$2:$A$50,密度!$Q$2:$Q$50)</f>
        <v>45899.032901279999</v>
      </c>
      <c r="J28" s="91" ph="1">
        <f>J27*18.322*LOOKUP(J29,密度!$A$2:$A$50,密度!$Q$2:$Q$50)</f>
        <v>15438.136254880001</v>
      </c>
      <c r="K28" s="91" ph="1">
        <f>K27*18.322*LOOKUP(K29,密度!$A$2:$A$50,密度!$Q$2:$Q$50)</f>
        <v>95468.683556480013</v>
      </c>
      <c r="L28" s="91" ph="1">
        <f>L27*18.322*LOOKUP(L29,密度!$A$2:$A$50,密度!$Q$2:$Q$50)</f>
        <v>97166.058554400006</v>
      </c>
      <c r="M28" s="91" ph="1">
        <f>M27*18.322*LOOKUP(M29,密度!$A$2:$A$50,密度!$Q$2:$Q$50)</f>
        <v>18488.018756740003</v>
      </c>
      <c r="N28" s="91" ph="1">
        <f>N27*18.322*LOOKUP(N29,密度!$A$2:$A$50,密度!$Q$2:$Q$50)</f>
        <v>4015.3000124799996</v>
      </c>
      <c r="O28" s="91" ph="1">
        <f>O27*18.322*LOOKUP(O29,密度!$A$2:$A$50,密度!$C$2:$C$50)</f>
        <v>20721.177954399998</v>
      </c>
      <c r="P28" s="91" ph="1">
        <f>P27*11.702*LOOKUP(P29,密度!$A$2:$A$50,密度!$B$2:$B$50)</f>
        <v>12725.974148400001</v>
      </c>
      <c r="Q28" s="92" ph="1">
        <f>Q27*18.322*LOOKUP(Q29,密度!$A$2:$A$50,密度!$B$2:$B$50)</f>
        <v>50330.017319599996</v>
      </c>
      <c r="R28" s="91" ph="1">
        <f>R27*35.891*LOOKUP(R29,密度!$A$2:$A$50,密度!$C$2:$C$50)</f>
        <v>2700.7546807999997</v>
      </c>
      <c r="S28" s="91" ph="1">
        <f>S27*35.891*LOOKUP(S29,密度!$A$2:$A$50,密度!$B$2:$B$50)</f>
        <v>70359.675561000011</v>
      </c>
      <c r="T28" s="91" ph="1">
        <f>T27*35.891*LOOKUP(T29,密度!$A$2:$A$50,密度!$Q$2:$Q$50)</f>
        <v>59781.98197144</v>
      </c>
      <c r="U28" s="91" ph="1">
        <f>U27*35.891</f>
        <v>172205.01799999998</v>
      </c>
      <c r="V28" s="91" ph="1">
        <f>V27*47.051*LOOKUP(V29,密度!$A$2:$A$50,密度!$B$2:$B$50)</f>
        <v>343573.33261230006</v>
      </c>
      <c r="W28" s="91" ph="1">
        <f>W27*47.051*LOOKUP(W29,密度!$A$2:$A$50,密度!$B$2:$B$50)</f>
        <v>393224.59201200004</v>
      </c>
      <c r="X28" s="91" ph="1">
        <f>X27*47.051*LOOKUP(X29,密度!$A$2:$A$50,密度!$I$2:$I$50)</f>
        <v>291989.63359293004</v>
      </c>
      <c r="Y28" s="91" ph="1">
        <f>Y27*47.051*LOOKUP(Y29,密度!$A$2:$A$50,密度!$L$2:$L$50)</f>
        <v>207019.97720600001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37" ph="1"/>
      <c r="C29" s="152" t="s" ph="1">
        <v>180</v>
      </c>
      <c r="D29" s="74">
        <v>25</v>
      </c>
      <c r="E29" s="74">
        <v>25</v>
      </c>
      <c r="F29" s="74">
        <v>27</v>
      </c>
      <c r="G29" s="74">
        <v>27</v>
      </c>
      <c r="H29" s="74">
        <v>27</v>
      </c>
      <c r="I29" s="74">
        <v>28</v>
      </c>
      <c r="J29" s="74">
        <v>28</v>
      </c>
      <c r="K29" s="74">
        <v>27</v>
      </c>
      <c r="L29" s="74">
        <v>27</v>
      </c>
      <c r="M29" s="74">
        <v>29</v>
      </c>
      <c r="N29" s="74">
        <v>28</v>
      </c>
      <c r="O29" s="74">
        <v>28</v>
      </c>
      <c r="P29" s="74">
        <v>27</v>
      </c>
      <c r="Q29" s="93">
        <v>29</v>
      </c>
      <c r="R29" s="74">
        <v>28</v>
      </c>
      <c r="S29" s="74">
        <v>28</v>
      </c>
      <c r="T29" s="74">
        <v>27</v>
      </c>
      <c r="U29" s="74">
        <v>27</v>
      </c>
      <c r="V29" s="74">
        <v>27</v>
      </c>
      <c r="W29" s="74">
        <v>28</v>
      </c>
      <c r="X29" s="74">
        <v>31</v>
      </c>
      <c r="Y29" s="74">
        <v>31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45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52" t="s" ph="1">
        <v>5</v>
      </c>
      <c r="F32" s="153" t="s" ph="1">
        <v>43</v>
      </c>
      <c r="G32" s="97" t="s" ph="1">
        <v>4</v>
      </c>
      <c r="H32" s="152" t="s" ph="1">
        <v>5</v>
      </c>
      <c r="I32" s="153" t="s" ph="1">
        <v>43</v>
      </c>
      <c r="J32" s="97" t="s" ph="1">
        <v>4</v>
      </c>
      <c r="K32" s="152" t="s" ph="1">
        <v>5</v>
      </c>
      <c r="L32" s="153" t="s" ph="1">
        <v>43</v>
      </c>
      <c r="M32" s="97" t="s" ph="1">
        <v>4</v>
      </c>
      <c r="N32" s="152" t="s" ph="1">
        <v>5</v>
      </c>
      <c r="O32" s="153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2" t="s" ph="1">
        <v>5</v>
      </c>
      <c r="U32" s="99" t="s" ph="1">
        <v>43</v>
      </c>
      <c r="V32" s="97" t="s" ph="1">
        <v>4</v>
      </c>
      <c r="W32" s="152" t="s" ph="1">
        <v>5</v>
      </c>
      <c r="X32" s="99" t="s" ph="1">
        <v>43</v>
      </c>
      <c r="Y32" s="100" t="s" ph="1">
        <v>4</v>
      </c>
      <c r="Z32" s="152" t="s" ph="1">
        <v>5</v>
      </c>
      <c r="AA32" s="153" t="s" ph="1">
        <v>43</v>
      </c>
      <c r="AB32" s="97" t="s" ph="1">
        <v>85</v>
      </c>
      <c r="AC32" s="152" t="s" ph="1">
        <v>84</v>
      </c>
      <c r="AD32" s="204" t="s" ph="1">
        <v>83</v>
      </c>
      <c r="AE32" s="205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06" t="s" ph="1">
        <v>182</v>
      </c>
      <c r="C33" s="207" ph="1"/>
      <c r="D33" s="186" ph="1">
        <f>AA10+AB10+Z19</f>
        <v>61493.886506800001</v>
      </c>
      <c r="E33" s="186" ph="1">
        <f>M10+I10</f>
        <v>149364.28837319999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[[#This Row],[F25]]</f>
        <v>3880</v>
      </c>
      <c r="G33" s="212" ph="1">
        <v>0</v>
      </c>
      <c r="H33" s="186" ph="1">
        <f>N19</f>
        <v>46222.976038840003</v>
      </c>
      <c r="I33" s="190" ph="1">
        <v>0</v>
      </c>
      <c r="J33" s="194" ph="1">
        <f>F10+O28</f>
        <v>271031.95858810004</v>
      </c>
      <c r="K33" s="186" ph="1">
        <f>O10+K10+E28+R28</f>
        <v>84684.425320200011</v>
      </c>
      <c r="L33" s="196" ph="1">
        <f>BE27</f>
        <v>7100</v>
      </c>
      <c r="M33" s="194" ph="1">
        <f>G10+H10+W28+S28+V28+E10</f>
        <v>1613025.8762663002</v>
      </c>
      <c r="N33" s="186" ph="1">
        <f>L10+P10++G28+H28</f>
        <v>193799.1375592</v>
      </c>
      <c r="O33" s="190" ph="1">
        <f>BE17</f>
        <v>2270</v>
      </c>
      <c r="P33" s="194" ph="1">
        <f>L19</f>
        <v>33715.522010879999</v>
      </c>
      <c r="Q33" s="186" ph="1">
        <f>J10+N10</f>
        <v>41405.098298299999</v>
      </c>
      <c r="R33" s="190" ph="1">
        <f>BE23</f>
        <v>890</v>
      </c>
      <c r="S33" s="194" ph="1">
        <f>E10+X28</f>
        <v>611559.3543839301</v>
      </c>
      <c r="T33" s="186" ph="1">
        <f>X19</f>
        <v>4970.2519477599999</v>
      </c>
      <c r="U33" s="175" ph="1">
        <f>BE21</f>
        <v>730</v>
      </c>
      <c r="V33" s="188" ph="1">
        <f ca="1">P19+Q19+S19+M28+N28+J28</f>
        <v>90870.052194593998</v>
      </c>
      <c r="W33" s="188" ph="1">
        <f>D28+F28+V19+T28</f>
        <v>134177.06590538399</v>
      </c>
      <c r="X33" s="190" ph="1">
        <f>BE29+BE31</f>
        <v>10200</v>
      </c>
      <c r="Y33" s="192" ph="1">
        <f>+Q10+R10+S10+T10+U10+V10+W10+X10+Y10</f>
        <v>146768.87609999999</v>
      </c>
      <c r="Z33" s="173" ph="1">
        <f>D10+T19+U19+Y28+Z10</f>
        <v>591665.44272851013</v>
      </c>
      <c r="AA33" s="175" ph="1">
        <f>BE19</f>
        <v>1440</v>
      </c>
      <c r="AB33" s="177" ph="1">
        <f>I19</f>
        <v>24186.168396000001</v>
      </c>
      <c r="AC33" s="179" ph="1">
        <f>AD10</f>
        <v>85837.410086399992</v>
      </c>
      <c r="AD33" s="181" ph="1">
        <v>0</v>
      </c>
      <c r="AE33" s="182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85" t="s" ph="1">
        <v>639</v>
      </c>
      <c r="AD35" s="185"/>
      <c r="AE35" s="185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45" ph="1">
      <c r="A36" s="64"/>
      <c r="B36" s="103" t="s" ph="1">
        <v>183</v>
      </c>
      <c r="I36" s="171" t="s" ph="1">
        <v>184</v>
      </c>
      <c r="J36" s="171" ph="1"/>
      <c r="K36" s="101" ph="1"/>
      <c r="P36" s="101" ph="1"/>
      <c r="R36" s="171" t="s" ph="1">
        <v>185</v>
      </c>
      <c r="S36" s="171" ph="1"/>
      <c r="Y36" s="102" ph="1"/>
      <c r="Z36" s="154" t="s" ph="1">
        <v>186</v>
      </c>
      <c r="AA36" s="154" ph="1"/>
      <c r="AB36" s="172" t="s" ph="1">
        <v>644</v>
      </c>
      <c r="AC36" s="172" ph="1"/>
      <c r="AD36" s="172" ph="1"/>
      <c r="AE36" s="172" ph="1"/>
      <c r="BA36" s="64" ph="1">
        <v>2270</v>
      </c>
    </row>
    <row r="37" spans="1:57" s="154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4" t="s" ph="1">
        <v>345</v>
      </c>
      <c r="AI37" s="154" t="s" ph="1">
        <v>212</v>
      </c>
      <c r="AJ37" s="154" t="s" ph="1">
        <v>213</v>
      </c>
      <c r="AK37" s="154" t="s" ph="1">
        <v>214</v>
      </c>
      <c r="AM37" s="154" t="s" ph="1">
        <v>213</v>
      </c>
      <c r="AN37" s="154" t="s" ph="1">
        <v>214</v>
      </c>
      <c r="AO37" s="154" t="s" ph="1">
        <v>215</v>
      </c>
      <c r="AP37" s="154" t="s" ph="1">
        <v>213</v>
      </c>
      <c r="AQ37" s="154" t="s" ph="1">
        <v>214</v>
      </c>
      <c r="AR37" s="154" t="s" ph="1">
        <v>215</v>
      </c>
      <c r="AS37" s="154" t="s" ph="1">
        <v>213</v>
      </c>
      <c r="AT37" s="154" t="s" ph="1">
        <v>214</v>
      </c>
      <c r="AU37" s="154" t="s" ph="1">
        <v>215</v>
      </c>
      <c r="AV37" s="154" t="s" ph="1">
        <v>213</v>
      </c>
      <c r="AW37" s="154" t="s" ph="1">
        <v>214</v>
      </c>
      <c r="AX37" s="154" t="s" ph="1">
        <v>215</v>
      </c>
      <c r="AY37" s="154" t="s" ph="1">
        <v>214</v>
      </c>
      <c r="AZ37" s="154" t="s" ph="1">
        <v>216</v>
      </c>
      <c r="BD37" s="154" t="s" ph="1">
        <v>308</v>
      </c>
      <c r="BE37" s="154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142" priority="97">
      <formula>ABS(D$7-D$10)&gt;=1000</formula>
    </cfRule>
  </conditionalFormatting>
  <conditionalFormatting sqref="E4 E6:E11">
    <cfRule type="expression" dxfId="1141" priority="96">
      <formula>ABS(E$7-E$10)&gt;=1000</formula>
    </cfRule>
  </conditionalFormatting>
  <conditionalFormatting sqref="F4:F11">
    <cfRule type="expression" dxfId="1140" priority="95">
      <formula>ABS(F$7-F$10)&gt;=1000</formula>
    </cfRule>
  </conditionalFormatting>
  <conditionalFormatting sqref="G4:G11">
    <cfRule type="expression" dxfId="1139" priority="94">
      <formula>ABS(G$7-G$10)&gt;=1000</formula>
    </cfRule>
  </conditionalFormatting>
  <conditionalFormatting sqref="H4:H11">
    <cfRule type="expression" dxfId="1138" priority="93">
      <formula>ABS(H$7-H$10)&gt;=1000</formula>
    </cfRule>
  </conditionalFormatting>
  <conditionalFormatting sqref="I4:I11">
    <cfRule type="expression" dxfId="1137" priority="92">
      <formula>ABS(I$7-I$10)&gt;=1000</formula>
    </cfRule>
  </conditionalFormatting>
  <conditionalFormatting sqref="J4:J11">
    <cfRule type="expression" dxfId="1136" priority="91">
      <formula>ABS(J$7-J$10)&gt;=1000</formula>
    </cfRule>
  </conditionalFormatting>
  <conditionalFormatting sqref="K4:K11">
    <cfRule type="expression" dxfId="1135" priority="90">
      <formula>ABS(K$7-K$10)&gt;=1000</formula>
    </cfRule>
  </conditionalFormatting>
  <conditionalFormatting sqref="L4:L11">
    <cfRule type="expression" dxfId="1134" priority="89">
      <formula>ABS(L$7-L$10)&gt;=1000</formula>
    </cfRule>
  </conditionalFormatting>
  <conditionalFormatting sqref="M4 M6:M11">
    <cfRule type="expression" dxfId="1133" priority="88">
      <formula>ABS(M$7-M$10)&gt;=1000</formula>
    </cfRule>
  </conditionalFormatting>
  <conditionalFormatting sqref="N4 N6:N11">
    <cfRule type="expression" dxfId="1132" priority="87">
      <formula>ABS(N$7-N$10)&gt;=1000</formula>
    </cfRule>
  </conditionalFormatting>
  <conditionalFormatting sqref="O4 O6:O11">
    <cfRule type="expression" dxfId="1131" priority="86">
      <formula>ABS(O$7-O$10)&gt;=1000</formula>
    </cfRule>
  </conditionalFormatting>
  <conditionalFormatting sqref="P4 P6:P11">
    <cfRule type="expression" dxfId="1130" priority="85">
      <formula>ABS(P$7-P$10)&gt;=1000</formula>
    </cfRule>
  </conditionalFormatting>
  <conditionalFormatting sqref="Q4:Q11">
    <cfRule type="expression" dxfId="1129" priority="84">
      <formula>ABS(Q$7-Q$10)&gt;=1000</formula>
    </cfRule>
  </conditionalFormatting>
  <conditionalFormatting sqref="R4:R11">
    <cfRule type="expression" dxfId="1128" priority="83">
      <formula>ABS(R$7-R$10)&gt;=1000</formula>
    </cfRule>
  </conditionalFormatting>
  <conditionalFormatting sqref="S4:S11">
    <cfRule type="expression" dxfId="1127" priority="82">
      <formula>ABS(S$7-S$10)&gt;=1000</formula>
    </cfRule>
  </conditionalFormatting>
  <conditionalFormatting sqref="T4:T9 T11">
    <cfRule type="expression" dxfId="1126" priority="81">
      <formula>ABS(T$7-T$10)&gt;=1000</formula>
    </cfRule>
  </conditionalFormatting>
  <conditionalFormatting sqref="U4:U9 U11">
    <cfRule type="expression" dxfId="1125" priority="80">
      <formula>ABS(U$7-U$10)&gt;=1000</formula>
    </cfRule>
  </conditionalFormatting>
  <conditionalFormatting sqref="V4:V9 V11">
    <cfRule type="expression" dxfId="1124" priority="79">
      <formula>ABS(V$7-V$10)&gt;=1000</formula>
    </cfRule>
  </conditionalFormatting>
  <conditionalFormatting sqref="W4:W9 W11">
    <cfRule type="expression" dxfId="1123" priority="78">
      <formula>ABS(W$7-W$10)&gt;=1000</formula>
    </cfRule>
  </conditionalFormatting>
  <conditionalFormatting sqref="X4:X9 X11">
    <cfRule type="expression" dxfId="1122" priority="77">
      <formula>ABS(X$7-X$10)&gt;=1000</formula>
    </cfRule>
  </conditionalFormatting>
  <conditionalFormatting sqref="Y4:Y9 Y11">
    <cfRule type="expression" dxfId="1121" priority="76">
      <formula>ABS(Y$7-Y$10)&gt;=1000</formula>
    </cfRule>
  </conditionalFormatting>
  <conditionalFormatting sqref="Z4:Z11">
    <cfRule type="expression" dxfId="1120" priority="75">
      <formula>ABS(Z$7-Z$10)&gt;=1000</formula>
    </cfRule>
  </conditionalFormatting>
  <conditionalFormatting sqref="AA4:AA11">
    <cfRule type="expression" dxfId="1119" priority="74">
      <formula>ABS(AA$7-AA$10)&gt;=1000</formula>
    </cfRule>
  </conditionalFormatting>
  <conditionalFormatting sqref="AB4:AB11">
    <cfRule type="expression" dxfId="1118" priority="73">
      <formula>ABS(AB$7-AB$10)&gt;=1000</formula>
    </cfRule>
  </conditionalFormatting>
  <conditionalFormatting sqref="AC4 AC6:AC11">
    <cfRule type="expression" dxfId="1117" priority="72">
      <formula>ABS(AC$7-AC$10)&gt;=1000</formula>
    </cfRule>
  </conditionalFormatting>
  <conditionalFormatting sqref="AD4:AD11">
    <cfRule type="expression" dxfId="1116" priority="71">
      <formula>ABS(AD$7-AD$10)&gt;=1000</formula>
    </cfRule>
  </conditionalFormatting>
  <conditionalFormatting sqref="AE4:AE11">
    <cfRule type="expression" dxfId="1115" priority="70">
      <formula>ABS(AE$7-AE$10)&gt;=1000</formula>
    </cfRule>
  </conditionalFormatting>
  <conditionalFormatting sqref="D13:D20">
    <cfRule type="expression" dxfId="1114" priority="69">
      <formula>ABS(D$16-D$19)&gt;=1000</formula>
    </cfRule>
  </conditionalFormatting>
  <conditionalFormatting sqref="E13:E20">
    <cfRule type="expression" dxfId="1113" priority="68">
      <formula>ABS(E$16-E$19)&gt;=1000</formula>
    </cfRule>
  </conditionalFormatting>
  <conditionalFormatting sqref="F13 F15:F20">
    <cfRule type="expression" dxfId="1112" priority="67">
      <formula>ABS(F$16-F$19)&gt;=1000</formula>
    </cfRule>
  </conditionalFormatting>
  <conditionalFormatting sqref="G13:G20">
    <cfRule type="expression" dxfId="1111" priority="66">
      <formula>ABS(G$16-G$19)&gt;=1000</formula>
    </cfRule>
  </conditionalFormatting>
  <conditionalFormatting sqref="H13:H20">
    <cfRule type="expression" dxfId="1110" priority="65">
      <formula>ABS(H$16-H$19)&gt;=1000</formula>
    </cfRule>
  </conditionalFormatting>
  <conditionalFormatting sqref="I13:I20">
    <cfRule type="expression" dxfId="1109" priority="64">
      <formula>ABS(I$16-I$19)&gt;=1000</formula>
    </cfRule>
  </conditionalFormatting>
  <conditionalFormatting sqref="J13:J20">
    <cfRule type="expression" dxfId="1108" priority="63">
      <formula>ABS(J$16-J$19)&gt;=1000</formula>
    </cfRule>
  </conditionalFormatting>
  <conditionalFormatting sqref="L13:L20">
    <cfRule type="expression" dxfId="1107" priority="62">
      <formula>ABS(L$16-L$19)&gt;=1000</formula>
    </cfRule>
  </conditionalFormatting>
  <conditionalFormatting sqref="M13 M15 M17:M18 M20">
    <cfRule type="expression" dxfId="1106" priority="61">
      <formula>ABS(M$16-M$19)&gt;=1000</formula>
    </cfRule>
  </conditionalFormatting>
  <conditionalFormatting sqref="N13:N20">
    <cfRule type="expression" dxfId="1105" priority="60">
      <formula>ABS(N$16-N$19)&gt;=1000</formula>
    </cfRule>
  </conditionalFormatting>
  <conditionalFormatting sqref="O13:O20">
    <cfRule type="expression" dxfId="1104" priority="59">
      <formula>ABS(O$16-O$19)&gt;=1000</formula>
    </cfRule>
  </conditionalFormatting>
  <conditionalFormatting sqref="P13:P20">
    <cfRule type="expression" dxfId="1103" priority="58">
      <formula>ABS(P$16-P$19)&gt;=1000</formula>
    </cfRule>
  </conditionalFormatting>
  <conditionalFormatting sqref="Q13 Q15:Q20">
    <cfRule type="expression" dxfId="1102" priority="57">
      <formula>ABS(Q$16-Q$19)&gt;=1000</formula>
    </cfRule>
  </conditionalFormatting>
  <conditionalFormatting sqref="R13:R20">
    <cfRule type="expression" dxfId="1101" priority="56">
      <formula>ABS(R$16-R$19)&gt;=1000</formula>
    </cfRule>
  </conditionalFormatting>
  <conditionalFormatting sqref="S13:S20">
    <cfRule type="expression" dxfId="1100" priority="55">
      <formula>ABS(S$16-S$19)&gt;=1000</formula>
    </cfRule>
  </conditionalFormatting>
  <conditionalFormatting sqref="T13:T20">
    <cfRule type="expression" dxfId="1099" priority="54">
      <formula>ABS(T$16-T$19)&gt;=1000</formula>
    </cfRule>
  </conditionalFormatting>
  <conditionalFormatting sqref="U13:U20">
    <cfRule type="expression" dxfId="1098" priority="53">
      <formula>ABS(U$16-U$19)&gt;=1000</formula>
    </cfRule>
  </conditionalFormatting>
  <conditionalFormatting sqref="V13:V20">
    <cfRule type="expression" dxfId="1097" priority="52">
      <formula>ABS(V$16-V$19)&gt;=1000</formula>
    </cfRule>
  </conditionalFormatting>
  <conditionalFormatting sqref="W13 W20 W15:W18">
    <cfRule type="expression" dxfId="1096" priority="51">
      <formula>ABS(W$16-W$19)&gt;=1000</formula>
    </cfRule>
  </conditionalFormatting>
  <conditionalFormatting sqref="X13 X15:X20 Y19">
    <cfRule type="expression" dxfId="1095" priority="50">
      <formula>ABS(X$16-X$19)&gt;=1000</formula>
    </cfRule>
  </conditionalFormatting>
  <conditionalFormatting sqref="Y13 Y15:Y18 Y20">
    <cfRule type="expression" dxfId="1094" priority="49">
      <formula>ABS(Y$16-Y$19)&gt;=1000</formula>
    </cfRule>
  </conditionalFormatting>
  <conditionalFormatting sqref="Z13:Z20">
    <cfRule type="expression" dxfId="1093" priority="48">
      <formula>ABS(Z$16-Z$19)&gt;=1000</formula>
    </cfRule>
  </conditionalFormatting>
  <conditionalFormatting sqref="AA13:AA20">
    <cfRule type="expression" dxfId="1092" priority="47">
      <formula>ABS(AA$16-AA$19)&gt;=1000</formula>
    </cfRule>
  </conditionalFormatting>
  <conditionalFormatting sqref="AB13 AB15:AB20">
    <cfRule type="expression" dxfId="1091" priority="46">
      <formula>ABS(AB$16-AB$19)&gt;=1000</formula>
    </cfRule>
  </conditionalFormatting>
  <conditionalFormatting sqref="AC13 AC15:AC20">
    <cfRule type="expression" dxfId="1090" priority="45">
      <formula>ABS(AC$16-AC$19)&gt;=1000</formula>
    </cfRule>
  </conditionalFormatting>
  <conditionalFormatting sqref="AD13:AD20">
    <cfRule type="expression" dxfId="1089" priority="44">
      <formula>ABS(AD$16-AD$19)&gt;=1000</formula>
    </cfRule>
  </conditionalFormatting>
  <conditionalFormatting sqref="AE13:AE20">
    <cfRule type="expression" dxfId="1088" priority="43">
      <formula>ABS(AE$16-AE$19)&gt;=1000</formula>
    </cfRule>
  </conditionalFormatting>
  <conditionalFormatting sqref="D22:D29">
    <cfRule type="expression" dxfId="1087" priority="42">
      <formula>ABS(D$25-D$28)&gt;=1000</formula>
    </cfRule>
  </conditionalFormatting>
  <conditionalFormatting sqref="E22:E29">
    <cfRule type="expression" dxfId="1086" priority="41">
      <formula>ABS(E$25-E$28)&gt;=1000</formula>
    </cfRule>
  </conditionalFormatting>
  <conditionalFormatting sqref="F22:F29">
    <cfRule type="expression" dxfId="1085" priority="40">
      <formula>ABS(F$25-F$28)&gt;=1000</formula>
    </cfRule>
  </conditionalFormatting>
  <conditionalFormatting sqref="G22:G29">
    <cfRule type="expression" dxfId="1084" priority="39">
      <formula>ABS(G$25-G$28)&gt;=1000</formula>
    </cfRule>
  </conditionalFormatting>
  <conditionalFormatting sqref="H22:H29">
    <cfRule type="expression" dxfId="1083" priority="38">
      <formula>ABS(H$25-H$28)&gt;=1000</formula>
    </cfRule>
  </conditionalFormatting>
  <conditionalFormatting sqref="I22 I24:I29">
    <cfRule type="expression" dxfId="1082" priority="37">
      <formula>ABS(I$25-I$28)&gt;=1000</formula>
    </cfRule>
  </conditionalFormatting>
  <conditionalFormatting sqref="J22:J29 K22">
    <cfRule type="expression" dxfId="1081" priority="36">
      <formula>ABS(J$25-J$28)&gt;=1000</formula>
    </cfRule>
  </conditionalFormatting>
  <conditionalFormatting sqref="K23:K29 L25 L28">
    <cfRule type="expression" dxfId="1080" priority="35">
      <formula>ABS(K$25-K$28)&gt;=1000</formula>
    </cfRule>
  </conditionalFormatting>
  <conditionalFormatting sqref="L22 L26:L27 L29 L24">
    <cfRule type="expression" dxfId="1079" priority="34">
      <formula>ABS(L$25-L$28)&gt;=1000</formula>
    </cfRule>
  </conditionalFormatting>
  <conditionalFormatting sqref="M22:M29">
    <cfRule type="expression" dxfId="1078" priority="33">
      <formula>ABS(M$25-M$28)&gt;=1000</formula>
    </cfRule>
  </conditionalFormatting>
  <conditionalFormatting sqref="N22:N29">
    <cfRule type="expression" dxfId="1077" priority="32">
      <formula>ABS(N$25-N$28)&gt;=1000</formula>
    </cfRule>
  </conditionalFormatting>
  <conditionalFormatting sqref="O22:O29">
    <cfRule type="expression" dxfId="1076" priority="31">
      <formula>ABS(O$25-O$28)&gt;=1000</formula>
    </cfRule>
  </conditionalFormatting>
  <conditionalFormatting sqref="P22:P29">
    <cfRule type="expression" dxfId="1075" priority="30">
      <formula>ABS(P$25-P$28)&gt;=1000</formula>
    </cfRule>
  </conditionalFormatting>
  <conditionalFormatting sqref="Q22:Q29">
    <cfRule type="expression" dxfId="1074" priority="29">
      <formula>ABS(Q$25-Q$28)&gt;=1000</formula>
    </cfRule>
  </conditionalFormatting>
  <conditionalFormatting sqref="R22:R29">
    <cfRule type="expression" dxfId="1073" priority="28">
      <formula>ABS(R$25-R$28)&gt;=1000</formula>
    </cfRule>
  </conditionalFormatting>
  <conditionalFormatting sqref="S22:S29">
    <cfRule type="expression" dxfId="1072" priority="27">
      <formula>ABS(S$25-S$28)&gt;=1000</formula>
    </cfRule>
  </conditionalFormatting>
  <conditionalFormatting sqref="T22:T29">
    <cfRule type="expression" dxfId="1071" priority="26">
      <formula>ABS(T$25-T$28)&gt;=1000</formula>
    </cfRule>
  </conditionalFormatting>
  <conditionalFormatting sqref="U22:U29">
    <cfRule type="expression" dxfId="1070" priority="25">
      <formula>ABS(U$25-U$28)&gt;=1000</formula>
    </cfRule>
  </conditionalFormatting>
  <conditionalFormatting sqref="V22:V29">
    <cfRule type="expression" dxfId="1069" priority="24">
      <formula>ABS(V$25-V$28)&gt;=1000</formula>
    </cfRule>
  </conditionalFormatting>
  <conditionalFormatting sqref="W22:W29">
    <cfRule type="expression" dxfId="1068" priority="23">
      <formula>ABS(W$25-W$28)&gt;=1000</formula>
    </cfRule>
  </conditionalFormatting>
  <conditionalFormatting sqref="X22:X29">
    <cfRule type="expression" dxfId="1067" priority="22">
      <formula>ABS(X$25-X$28)&gt;=1000</formula>
    </cfRule>
  </conditionalFormatting>
  <conditionalFormatting sqref="Y22:Y29">
    <cfRule type="expression" dxfId="1066" priority="21">
      <formula>ABS(Y$25-Y$28)&gt;=1000</formula>
    </cfRule>
  </conditionalFormatting>
  <conditionalFormatting sqref="I23">
    <cfRule type="expression" dxfId="1065" priority="20">
      <formula>ABS(I$25-I$28)&gt;=1000</formula>
    </cfRule>
  </conditionalFormatting>
  <conditionalFormatting sqref="F14">
    <cfRule type="expression" dxfId="1064" priority="19">
      <formula>ABS(F$16-F$19)&gt;=1000</formula>
    </cfRule>
  </conditionalFormatting>
  <conditionalFormatting sqref="Q14">
    <cfRule type="expression" dxfId="1063" priority="18">
      <formula>ABS(Q$16-Q$19)&gt;=1000</formula>
    </cfRule>
  </conditionalFormatting>
  <conditionalFormatting sqref="W14">
    <cfRule type="expression" dxfId="1062" priority="17">
      <formula>ABS(W$16-W$19)&gt;=1000</formula>
    </cfRule>
  </conditionalFormatting>
  <conditionalFormatting sqref="Y14">
    <cfRule type="expression" dxfId="1061" priority="16">
      <formula>ABS(Y$16-Y$19)&gt;=1000</formula>
    </cfRule>
  </conditionalFormatting>
  <conditionalFormatting sqref="X14">
    <cfRule type="expression" dxfId="1060" priority="15">
      <formula>ABS(X$16-X$19)&gt;=1000</formula>
    </cfRule>
  </conditionalFormatting>
  <conditionalFormatting sqref="T10:Y10">
    <cfRule type="expression" dxfId="1059" priority="14">
      <formula>ABS(T$7-T$10)&gt;=1000</formula>
    </cfRule>
  </conditionalFormatting>
  <conditionalFormatting sqref="W19">
    <cfRule type="expression" dxfId="1058" priority="13">
      <formula>ABS(W$16-W$19)&gt;=1000</formula>
    </cfRule>
  </conditionalFormatting>
  <conditionalFormatting sqref="AC5">
    <cfRule type="expression" dxfId="1057" priority="12">
      <formula>ABS(AC$7-AC$10)&gt;=1000</formula>
    </cfRule>
  </conditionalFormatting>
  <conditionalFormatting sqref="M14">
    <cfRule type="expression" dxfId="1056" priority="11">
      <formula>ABS(M$16-M$19)&gt;=1000</formula>
    </cfRule>
  </conditionalFormatting>
  <conditionalFormatting sqref="M16">
    <cfRule type="expression" dxfId="1055" priority="10">
      <formula>ABS(M$16-M$19)&gt;=1000</formula>
    </cfRule>
  </conditionalFormatting>
  <conditionalFormatting sqref="M19">
    <cfRule type="expression" dxfId="1054" priority="9">
      <formula>ABS(M$16-M$19)&gt;=1000</formula>
    </cfRule>
  </conditionalFormatting>
  <conditionalFormatting sqref="K13:K20">
    <cfRule type="expression" dxfId="1053" priority="8">
      <formula>ABS(K$16-K$19)&gt;=1000</formula>
    </cfRule>
  </conditionalFormatting>
  <conditionalFormatting sqref="E5">
    <cfRule type="expression" dxfId="1052" priority="7">
      <formula>ABS(E$7-E$10)&gt;=1000</formula>
    </cfRule>
  </conditionalFormatting>
  <conditionalFormatting sqref="AB14:AC14">
    <cfRule type="expression" dxfId="1051" priority="6">
      <formula>ABS(AB$16-AB$19)&gt;=1000</formula>
    </cfRule>
  </conditionalFormatting>
  <conditionalFormatting sqref="M5">
    <cfRule type="expression" dxfId="1050" priority="5">
      <formula>ABS(M$7-M$10)&gt;=1000</formula>
    </cfRule>
  </conditionalFormatting>
  <conditionalFormatting sqref="N5">
    <cfRule type="expression" dxfId="1049" priority="4">
      <formula>ABS(N$7-N$10)&gt;=1000</formula>
    </cfRule>
  </conditionalFormatting>
  <conditionalFormatting sqref="O5">
    <cfRule type="expression" dxfId="1048" priority="3">
      <formula>ABS(O$7-O$10)&gt;=1000</formula>
    </cfRule>
  </conditionalFormatting>
  <conditionalFormatting sqref="P5">
    <cfRule type="expression" dxfId="1047" priority="2">
      <formula>ABS(P$7-P$10)&gt;=1000</formula>
    </cfRule>
  </conditionalFormatting>
  <conditionalFormatting sqref="L23">
    <cfRule type="expression" dxfId="1046" priority="1">
      <formula>ABS(L$25-L$28)&gt;=1000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204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345782</xdr:rowOff>
                  </from>
                  <to>
                    <xdr:col>32</xdr:col>
                    <xdr:colOff>414938</xdr:colOff>
                    <xdr:row>3</xdr:row>
                    <xdr:rowOff>30736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84">
    <pageSetUpPr fitToPage="1"/>
  </sheetPr>
  <dimension ref="A1:CU223"/>
  <sheetViews>
    <sheetView view="pageBreakPreview" topLeftCell="A13" zoomScale="80" zoomScaleNormal="100" zoomScaleSheetLayoutView="80" workbookViewId="0">
      <selection activeCell="X27" sqref="X27"/>
    </sheetView>
  </sheetViews>
  <sheetFormatPr defaultColWidth="8.109375" defaultRowHeight="26.05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0.9" ph="1">
      <c r="A1" s="64"/>
      <c r="B1" s="238" t="s" ph="1">
        <v>162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.05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.05" customHeight="1" ph="1">
      <c r="B3" s="240" ph="1">
        <v>45860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" customHeight="1" ph="1">
      <c r="A5" s="65" ph="1"/>
      <c r="B5" s="219" ph="1"/>
      <c r="C5" s="67" t="s" ph="1">
        <v>36</v>
      </c>
      <c r="D5" s="70" t="s" ph="1">
        <v>161</v>
      </c>
      <c r="E5" s="70" t="s" ph="1">
        <v>640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56" t="s" ph="1">
        <v>178</v>
      </c>
      <c r="D6" s="71">
        <v>3016</v>
      </c>
      <c r="E6" s="71">
        <v>7994</v>
      </c>
      <c r="F6" s="71">
        <v>6551</v>
      </c>
      <c r="G6" s="71">
        <v>3731</v>
      </c>
      <c r="H6" s="71">
        <v>7819</v>
      </c>
      <c r="I6" s="71">
        <v>51.65</v>
      </c>
      <c r="J6" s="71">
        <v>7.75</v>
      </c>
      <c r="K6" s="71">
        <v>50.73</v>
      </c>
      <c r="L6" s="71">
        <v>36.32</v>
      </c>
      <c r="M6" s="71">
        <v>3948</v>
      </c>
      <c r="N6" s="71">
        <v>1537</v>
      </c>
      <c r="O6" s="71">
        <v>3658</v>
      </c>
      <c r="P6" s="71">
        <v>3466</v>
      </c>
      <c r="Q6" s="71">
        <v>1164</v>
      </c>
      <c r="R6" s="71">
        <v>7000</v>
      </c>
      <c r="S6" s="71">
        <v>5100</v>
      </c>
      <c r="T6" s="71">
        <v>4351</v>
      </c>
      <c r="U6" s="71">
        <v>0</v>
      </c>
      <c r="V6" s="71">
        <v>0</v>
      </c>
      <c r="W6" s="71">
        <v>0</v>
      </c>
      <c r="X6" s="71">
        <v>0</v>
      </c>
      <c r="Y6" s="71">
        <v>0</v>
      </c>
      <c r="Z6" s="71">
        <v>5506</v>
      </c>
      <c r="AA6" s="71">
        <v>555</v>
      </c>
      <c r="AB6" s="71">
        <v>2028</v>
      </c>
      <c r="AC6" s="71">
        <v>3844</v>
      </c>
      <c r="AD6" s="71">
        <v>4382</v>
      </c>
      <c r="AE6" s="71">
        <v>2410</v>
      </c>
    </row>
    <row r="7" spans="1:99" s="72" customFormat="1" ht="22.4" ph="1">
      <c r="B7" s="237" ph="1"/>
      <c r="C7" s="68" t="s" ph="1">
        <v>179</v>
      </c>
      <c r="D7" s="73" ph="1">
        <f>D6*33.183*LOOKUP(D8,密度!$A$2:$A$50,密度!$Q$2:$Q$50)</f>
        <v>94537.501587360006</v>
      </c>
      <c r="E7" s="73" ph="1">
        <f>E6*51.53*LOOKUP(E8,密度!$A$2:$A$50,密度!$B$2:$B$50)</f>
        <v>320440.98487800005</v>
      </c>
      <c r="F7" s="73" ph="1">
        <f>F6*33.183*LOOKUP(F8,密度!$A$2:$A$50,密度!$C$2:$C$50)</f>
        <v>240880.80914730002</v>
      </c>
      <c r="G7" s="73" ph="1">
        <f xml:space="preserve"> (G6+2)*51.53*LOOKUP(G8,密度!$A$2:$A$50,密度!$B$2:$B$50)</f>
        <v>149464.87773000001</v>
      </c>
      <c r="H7" s="73" ph="1">
        <f>(H6)*51.53*LOOKUP(H8,密度!$A$2:$A$50,密度!$B$2:$B$50)</f>
        <v>314836.27289800002</v>
      </c>
      <c r="I7" s="73" ph="1">
        <f>I6*290.8*1.0267</f>
        <v>15420.849193999999</v>
      </c>
      <c r="J7" s="73" ph="1">
        <f>J6*290.8*0.7892</f>
        <v>1778.6200400000002</v>
      </c>
      <c r="K7" s="73" ph="1">
        <f>K6*290.8*1.1126</f>
        <v>16413.391178400001</v>
      </c>
      <c r="L7" s="73" ph="1">
        <f>L6*290.8*0.777</f>
        <v>8206.5621119999996</v>
      </c>
      <c r="M7" s="73" ph="1">
        <f>M6*33.183*LOOKUP(M8,密度!$A$2:$A$50,密度!$D$2:$D$50)</f>
        <v>134137.5389676</v>
      </c>
      <c r="N7" s="73" ph="1">
        <f>N6*33.183*LOOKUP(N8,密度!$A$2:$A$50,密度!$E$2:$E$50)</f>
        <v>39832.773651000003</v>
      </c>
      <c r="O7" s="73" ph="1">
        <f>O6*20.428*LOOKUP(O8,密度!$A$2:$A$50,密度!$C$2:$C$50)</f>
        <v>82504.5614584</v>
      </c>
      <c r="P7" s="73" ph="1">
        <f>P6*51.53*LOOKUP(P8,密度!$A$2:$A$50,密度!$B$2:$B$50)</f>
        <v>139078.140526</v>
      </c>
      <c r="Q7" s="73" ph="1">
        <f>Q6*1.5*1.5*3.1416*LOOKUP(W8,密度!$A$2:$A$50,密度!$L$2:$L$50)</f>
        <v>7693.0401240000001</v>
      </c>
      <c r="R7" s="73" ph="1">
        <f>R6*1.5*1.5*3.1416*LOOKUP(R8,密度!$A$2:$A$50,密度!$L$2:$L$50)</f>
        <v>46016.586000000003</v>
      </c>
      <c r="S7" s="73" ph="1">
        <f>S6*1.5*1.5*3.1416*LOOKUP(S8,密度!$A$2:$A$50,密度!$L$2:$L$50)</f>
        <v>33850.81854</v>
      </c>
      <c r="T7" s="73" ph="1">
        <f>T6*1.5*1.5*3.1416*LOOKUP(T8,密度!$A$2:$A$50,密度!$L$2:$L$50)</f>
        <v>28910.149883999999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171377.850924</v>
      </c>
      <c r="AA7" s="73" ph="1">
        <f>AA6*33.183*LOOKUP(AA8,密度!$A$2:$A$50,密度!$D$2:$D$50)</f>
        <v>18891.712377</v>
      </c>
      <c r="AB7" s="73" ph="1">
        <f>AB6*20.428*LOOKUP(AB8,密度!$A$2:$A$50,密度!$D$2:$D$50)</f>
        <v>42650.109528000008</v>
      </c>
      <c r="AC7" s="73" ph="1">
        <f>AC6*51.53*LOOKUP(AC8,密度!$A$2:$A$50,密度!$Q$2:$Q$50)</f>
        <v>187531.50889680002</v>
      </c>
      <c r="AD7" s="73" ph="1">
        <f>AD6*20.428*LOOKUP(AD8,密度!$A$2:$A$50,密度!$V$2:$V$50)</f>
        <v>86006.488556800003</v>
      </c>
      <c r="AE7" s="73" ph="1">
        <f>AE6*20.428</f>
        <v>49231.48</v>
      </c>
    </row>
    <row r="8" spans="1:99" ph="1">
      <c r="B8" s="237" ph="1"/>
      <c r="C8" s="68" t="s" ph="1">
        <v>180</v>
      </c>
      <c r="D8" s="74">
        <v>28</v>
      </c>
      <c r="E8" s="74">
        <v>27</v>
      </c>
      <c r="F8" s="74">
        <v>26</v>
      </c>
      <c r="G8" s="74">
        <v>28</v>
      </c>
      <c r="H8" s="74">
        <v>23</v>
      </c>
      <c r="I8" s="74">
        <v>25</v>
      </c>
      <c r="J8" s="74">
        <v>25</v>
      </c>
      <c r="K8" s="74">
        <v>25</v>
      </c>
      <c r="L8" s="74">
        <v>25</v>
      </c>
      <c r="M8" s="74">
        <v>28</v>
      </c>
      <c r="N8" s="74">
        <v>27</v>
      </c>
      <c r="O8" s="74">
        <v>31</v>
      </c>
      <c r="P8" s="74">
        <v>26</v>
      </c>
      <c r="Q8" s="74">
        <v>28</v>
      </c>
      <c r="R8" s="74">
        <v>32</v>
      </c>
      <c r="S8" s="74">
        <v>23</v>
      </c>
      <c r="T8" s="74">
        <v>22</v>
      </c>
      <c r="U8" s="74">
        <v>26</v>
      </c>
      <c r="V8" s="74">
        <v>27</v>
      </c>
      <c r="W8" s="74">
        <v>27</v>
      </c>
      <c r="X8" s="74">
        <v>20</v>
      </c>
      <c r="Y8" s="74">
        <v>27</v>
      </c>
      <c r="Z8" s="74">
        <v>24</v>
      </c>
      <c r="AA8" s="74">
        <v>26</v>
      </c>
      <c r="AB8" s="74">
        <v>22</v>
      </c>
      <c r="AC8" s="74">
        <v>25</v>
      </c>
      <c r="AD8" s="74">
        <v>25</v>
      </c>
      <c r="AE8" s="74">
        <v>30</v>
      </c>
    </row>
    <row r="9" spans="1:99" ht="26.65" ph="1">
      <c r="B9" s="237" ph="1">
        <v>0.66666666666666663</v>
      </c>
      <c r="C9" s="156" t="s" ph="1">
        <v>181</v>
      </c>
      <c r="D9" s="71">
        <v>2296</v>
      </c>
      <c r="E9" s="71">
        <v>7992</v>
      </c>
      <c r="F9" s="71">
        <v>6295</v>
      </c>
      <c r="G9" s="71">
        <v>5224</v>
      </c>
      <c r="H9" s="71">
        <v>8706</v>
      </c>
      <c r="I9" s="71">
        <v>51.62</v>
      </c>
      <c r="J9" s="71">
        <v>7.82</v>
      </c>
      <c r="K9" s="71">
        <v>11.75</v>
      </c>
      <c r="L9" s="71">
        <v>9.34</v>
      </c>
      <c r="M9" s="71">
        <v>3947</v>
      </c>
      <c r="N9" s="71">
        <v>1536</v>
      </c>
      <c r="O9" s="71">
        <v>3972</v>
      </c>
      <c r="P9" s="71">
        <v>3606</v>
      </c>
      <c r="Q9" s="71">
        <v>0</v>
      </c>
      <c r="R9" s="71">
        <v>3846</v>
      </c>
      <c r="S9" s="71">
        <v>5107</v>
      </c>
      <c r="T9" s="71">
        <v>6760</v>
      </c>
      <c r="U9" s="71">
        <v>4070</v>
      </c>
      <c r="V9" s="71">
        <v>0</v>
      </c>
      <c r="W9" s="71">
        <v>0</v>
      </c>
      <c r="X9" s="71">
        <v>0</v>
      </c>
      <c r="Y9" s="71">
        <v>0</v>
      </c>
      <c r="Z9" s="71">
        <v>2648</v>
      </c>
      <c r="AA9" s="71">
        <v>556</v>
      </c>
      <c r="AB9" s="71">
        <v>1868</v>
      </c>
      <c r="AC9" s="71">
        <v>4224</v>
      </c>
      <c r="AD9" s="71">
        <v>4383</v>
      </c>
      <c r="AE9" s="71">
        <v>2320</v>
      </c>
    </row>
    <row r="10" spans="1:99" s="72" customFormat="1" ht="22.4" ph="1">
      <c r="B10" s="237" ph="1"/>
      <c r="C10" s="156" t="s" ph="1">
        <v>179</v>
      </c>
      <c r="D10" s="73" ph="1">
        <f>D9*33.183*LOOKUP(D11,密度!$A$2:$A$50,密度!$Q$2:$Q$50)</f>
        <v>71870.584519440003</v>
      </c>
      <c r="E10" s="73" ph="1">
        <f>E9*51.53*LOOKUP(E11,密度!$A$2:$A$50,密度!$B$2:$B$50)</f>
        <v>318919.41734400002</v>
      </c>
      <c r="F10" s="73" ph="1">
        <f>F9*33.183*LOOKUP(F11,密度!$A$2:$A$50,密度!$C$2:$C$50)</f>
        <v>231154.33760099998</v>
      </c>
      <c r="G10" s="73" ph="1">
        <f xml:space="preserve"> (G9+2)*51.53*LOOKUP(G11,密度!$A$2:$A$50,密度!$B$2:$B$50)</f>
        <v>208785.01823400002</v>
      </c>
      <c r="H10" s="73" ph="1">
        <f>(H9)*51.53*LOOKUP(H11,密度!$A$2:$A$50,密度!$B$2:$B$50)</f>
        <v>348218.98371599999</v>
      </c>
      <c r="I10" s="73" ph="1">
        <f>I9*290.8*1.0267</f>
        <v>15411.892263199999</v>
      </c>
      <c r="J10" s="73" ph="1">
        <f>J9*290.8*0.7892</f>
        <v>1794.6849952</v>
      </c>
      <c r="K10" s="73" ph="1">
        <f>K9*290.8*1.1126</f>
        <v>3801.6429400000002</v>
      </c>
      <c r="L10" s="73" ph="1">
        <f>L9*290.8*0.777</f>
        <v>2110.3879440000001</v>
      </c>
      <c r="M10" s="73" ph="1">
        <f>M9*33.183*LOOKUP(M11,密度!$A$2:$A$50,密度!$D$2:$D$50)</f>
        <v>133618.96168019998</v>
      </c>
      <c r="N10" s="73" ph="1">
        <f>N9*33.183*LOOKUP(N11,密度!$A$2:$A$50,密度!$E$2:$E$50)</f>
        <v>39633.562828800001</v>
      </c>
      <c r="O10" s="73" ph="1">
        <f>O9*20.428*LOOKUP(O11,密度!$A$2:$A$50,密度!$C$2:$C$50)</f>
        <v>89327.043614399998</v>
      </c>
      <c r="P10" s="73" ph="1">
        <f>P9*51.53*LOOKUP(P11,密度!$A$2:$A$50,密度!$B$2:$B$50)</f>
        <v>143896.824192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25201.269601200001</v>
      </c>
      <c r="S10" s="73" ph="1">
        <f>S9*1.5*1.5*3.1416*LOOKUP(S11,密度!$A$2:$A$50,密度!$L$2:$L$50)</f>
        <v>33825.081767399999</v>
      </c>
      <c r="T10" s="73" ph="1">
        <f>T9*1.5*1.5*3.1416*LOOKUP(T11,密度!$A$2:$A$50,密度!$L$2:$L$50)</f>
        <v>44868.928103999991</v>
      </c>
      <c r="U10" s="73" ph="1">
        <f>U9*1.5*1.5*3.1416*LOOKUP(U11,密度!$A$2:$A$50,密度!$L$2:$L$50)</f>
        <v>26927.973072000004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81981.38887200001</v>
      </c>
      <c r="AA10" s="73" ph="1">
        <f>AA9*33.183*LOOKUP(AA11,密度!$A$2:$A$50,密度!$D$2:$D$50)</f>
        <v>18774.4635648</v>
      </c>
      <c r="AB10" s="73" ph="1">
        <f>AB9*20.428*LOOKUP(AB11,密度!$A$2:$A$50,密度!$D$2:$D$50)</f>
        <v>39250.8658144</v>
      </c>
      <c r="AC10" s="73" ph="1">
        <f>AC9*51.53*LOOKUP(AC11,密度!$A$2:$A$50,密度!$Q$2:$Q$50)</f>
        <v>205016.51596799999</v>
      </c>
      <c r="AD10" s="73" ph="1">
        <f>AD9*20.428*LOOKUP(AD11,密度!$A$2:$A$50,密度!$V$2:$V$50)</f>
        <v>85739.600822399996</v>
      </c>
      <c r="AE10" s="73" ph="1">
        <f>AE9*20.428</f>
        <v>47392.959999999999</v>
      </c>
    </row>
    <row r="11" spans="1:99" ph="1">
      <c r="A11" s="64" t="s" ph="1">
        <v>163</v>
      </c>
      <c r="B11" s="237" ph="1"/>
      <c r="C11" s="156" t="s" ph="1">
        <v>180</v>
      </c>
      <c r="D11" s="74">
        <v>30</v>
      </c>
      <c r="E11" s="74">
        <v>31</v>
      </c>
      <c r="F11" s="74">
        <v>28</v>
      </c>
      <c r="G11" s="74">
        <v>30</v>
      </c>
      <c r="H11" s="74">
        <v>29</v>
      </c>
      <c r="I11" s="74">
        <v>25</v>
      </c>
      <c r="J11" s="74">
        <v>25</v>
      </c>
      <c r="K11" s="74">
        <v>25</v>
      </c>
      <c r="L11" s="74">
        <v>25</v>
      </c>
      <c r="M11" s="74">
        <v>32</v>
      </c>
      <c r="N11" s="74">
        <v>30</v>
      </c>
      <c r="O11" s="74">
        <v>34</v>
      </c>
      <c r="P11" s="74">
        <v>31</v>
      </c>
      <c r="Q11" s="74">
        <v>33</v>
      </c>
      <c r="R11" s="74">
        <v>35</v>
      </c>
      <c r="S11" s="74">
        <v>25</v>
      </c>
      <c r="T11" s="74">
        <v>23</v>
      </c>
      <c r="U11" s="74">
        <v>26</v>
      </c>
      <c r="V11" s="74">
        <v>30</v>
      </c>
      <c r="W11" s="74">
        <v>36</v>
      </c>
      <c r="X11" s="74">
        <v>26</v>
      </c>
      <c r="Y11" s="74">
        <v>33</v>
      </c>
      <c r="Z11" s="74">
        <v>29</v>
      </c>
      <c r="AA11" s="74">
        <v>35</v>
      </c>
      <c r="AB11" s="74">
        <v>23</v>
      </c>
      <c r="AC11" s="74">
        <v>32</v>
      </c>
      <c r="AD11" s="74">
        <v>30</v>
      </c>
      <c r="AE11" s="74">
        <v>33</v>
      </c>
    </row>
    <row r="12" spans="1:99" ht="9.85" customHeight="1" ph="1"/>
    <row r="13" spans="1:99" s="72" customFormat="1" ht="29.2" customHeight="1" ph="1">
      <c r="B13" s="214" t="s" ph="1">
        <v>37</v>
      </c>
      <c r="C13" s="156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.2" ph="1">
      <c r="B14" s="215" ph="1"/>
      <c r="C14" s="67" t="s" ph="1">
        <v>36</v>
      </c>
      <c r="D14" s="77" t="s" ph="1">
        <v>622</v>
      </c>
      <c r="E14" s="77" t="s" ph="1">
        <v>622</v>
      </c>
      <c r="F14" s="77" t="s" ph="1">
        <v>645</v>
      </c>
      <c r="G14" s="77" t="s" ph="1">
        <v>623</v>
      </c>
      <c r="H14" s="77" t="s" ph="1">
        <v>624</v>
      </c>
      <c r="I14" s="140" t="s" ph="1">
        <v>625</v>
      </c>
      <c r="J14" s="77" t="s" ph="1">
        <v>626</v>
      </c>
      <c r="K14" s="77" t="s" ph="1">
        <v>187</v>
      </c>
      <c r="L14" s="77" t="s" ph="1">
        <v>41</v>
      </c>
      <c r="M14" s="104" t="s" ph="1">
        <v>627</v>
      </c>
      <c r="N14" s="104" t="s" ph="1">
        <v>628</v>
      </c>
      <c r="O14" s="104" t="s" ph="1">
        <v>626</v>
      </c>
      <c r="P14" s="77" t="s" ph="1">
        <v>629</v>
      </c>
      <c r="Q14" s="77" t="s" ph="1">
        <v>629</v>
      </c>
      <c r="R14" s="88" t="s" ph="1">
        <v>640</v>
      </c>
      <c r="S14" s="77" t="s" ph="1">
        <v>71</v>
      </c>
      <c r="T14" s="77" t="s" ph="1">
        <v>631</v>
      </c>
      <c r="U14" s="77" t="s" ph="1">
        <v>610</v>
      </c>
      <c r="V14" s="77" t="s" ph="1">
        <v>110</v>
      </c>
      <c r="W14" s="77" t="s" ph="1">
        <v>629</v>
      </c>
      <c r="X14" s="77" t="s" ph="1">
        <v>632</v>
      </c>
      <c r="Y14" s="138" t="s" ph="1">
        <v>0</v>
      </c>
      <c r="Z14" s="77" t="s" ph="1">
        <v>54</v>
      </c>
      <c r="AA14" s="77" t="s" ph="1">
        <v>619</v>
      </c>
      <c r="AB14" s="77" t="s" ph="1">
        <v>650</v>
      </c>
      <c r="AC14" s="77" t="s" ph="1">
        <v>650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16" ph="1">
        <v>0.33333333333333331</v>
      </c>
      <c r="C15" s="156" t="s" ph="1">
        <v>178</v>
      </c>
      <c r="D15" s="78">
        <v>5843</v>
      </c>
      <c r="E15" s="78">
        <v>4930</v>
      </c>
      <c r="F15" s="78">
        <v>2855</v>
      </c>
      <c r="G15" s="78">
        <v>2212</v>
      </c>
      <c r="H15" s="78">
        <v>4372</v>
      </c>
      <c r="I15" s="78">
        <v>2612</v>
      </c>
      <c r="J15" s="78">
        <v>2850</v>
      </c>
      <c r="K15" s="78">
        <v>2809</v>
      </c>
      <c r="L15" s="78">
        <v>4769</v>
      </c>
      <c r="M15" s="78">
        <v>5294</v>
      </c>
      <c r="N15" s="78">
        <v>1904</v>
      </c>
      <c r="O15" s="78">
        <v>6124</v>
      </c>
      <c r="P15" s="78">
        <v>4389</v>
      </c>
      <c r="Q15" s="78">
        <v>2665</v>
      </c>
      <c r="R15" s="78">
        <v>0</v>
      </c>
      <c r="S15" s="78">
        <v>3703</v>
      </c>
      <c r="T15" s="78">
        <v>2433</v>
      </c>
      <c r="U15" s="78">
        <v>6510</v>
      </c>
      <c r="V15" s="78">
        <v>-142</v>
      </c>
      <c r="W15" s="71">
        <v>834</v>
      </c>
      <c r="X15" s="78">
        <v>-88</v>
      </c>
      <c r="Y15" s="106">
        <v>-9905</v>
      </c>
      <c r="Z15" s="78">
        <v>0</v>
      </c>
      <c r="AA15" s="78">
        <v>6152</v>
      </c>
      <c r="AB15" s="78" ph="1">
        <v>7041</v>
      </c>
      <c r="AC15" s="78" ph="1">
        <v>7128</v>
      </c>
      <c r="AD15" s="78">
        <v>84.75</v>
      </c>
      <c r="AE15" s="78">
        <v>9.02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4" ph="1">
      <c r="B16" s="217" ph="1"/>
      <c r="C16" s="156" t="s" ph="1">
        <v>179</v>
      </c>
      <c r="D16" s="73" ph="1">
        <f>D15*7.0686*LOOKUP(D17,密度!$A$2:$A$50,密度!$L$2:$L$50)</f>
        <v>38534.607203400003</v>
      </c>
      <c r="E16" s="73" ph="1">
        <f>E15*7.0686*LOOKUP(E17,密度!$A$2:$A$50,密度!$L$2:$L$50)</f>
        <v>32513.368734</v>
      </c>
      <c r="F16" s="73" ph="1">
        <f>F15*9.0746*LOOKUP(F17,密度!$A$2:$A$50,密度!$L$2:$L$50)</f>
        <v>24223.964105000003</v>
      </c>
      <c r="G16" s="73" ph="1">
        <f>G15*9.0746*LOOKUP(G17,密度!$A$2:$A$50,密度!$B$2:$B$50)</f>
        <v>15630.856936239999</v>
      </c>
      <c r="H16" s="73" ph="1">
        <f>H15*9.0746*LOOKUP(H17,密度!$A$2:$A$50,密度!$L$2:$L$50)</f>
        <v>37174.679674400002</v>
      </c>
      <c r="I16" s="73" ph="1">
        <f>I15*9.0746*LOOKUP(I17,密度!$A$2:$A$50,密度!$U$2:$U$50)</f>
        <v>24295.426579999999</v>
      </c>
      <c r="J16" s="73" ph="1">
        <f>J15*9.0746*LOOKUP(J17,密度!$A$2:$A$50,密度!$L$2:$L$50)</f>
        <v>24181.540350000003</v>
      </c>
      <c r="K16" s="73" ph="1">
        <f>K15*9.0746*LOOKUP(K17,密度!$A$2:$A$50,密度!$C$2:$C$50)</f>
        <v>28246.080006340002</v>
      </c>
      <c r="L16" s="73" ph="1">
        <f>L15*9.0746*LOOKUP(L17,密度!$A$2:$A$50,密度!$E$2:$E$50)</f>
        <v>33747.223218520005</v>
      </c>
      <c r="M16" s="73" ph="1">
        <f>M15*9.0746*LOOKUP(M17,密度!$A$2:$A$50,密度!$M$2:$M$50)</f>
        <v>41891.693052800001</v>
      </c>
      <c r="N16" s="73" ph="1">
        <f>N15*9.0746*LOOKUP(N17,密度!$A$2:$A$50,密度!$M$2:$M$50)</f>
        <v>15120.011403840001</v>
      </c>
      <c r="O16" s="73" ph="1">
        <f>O15*9.0746*LOOKUP(O17,密度!$A$2:$A$50,密度!$G$2:$G$50)</f>
        <v>53238.790683200001</v>
      </c>
      <c r="P16" s="73" ph="1">
        <f ca="1">P15*9.0746*LOOKUP(P17,密度!$A$2:$A$51,密度!$Q$2:$Q$50)</f>
        <v>37488.499760250001</v>
      </c>
      <c r="Q16" s="73" ph="1">
        <f>Q15*9.0746*LOOKUP(Q17,密度!$A$2:$A$50,密度!$Q$2:$Q$50)</f>
        <v>22827.822829370001</v>
      </c>
      <c r="R16" s="73" ph="1">
        <f>MAX(R15*9.0746*LOOKUP(R17,密度!$A$2:$A$50,密度!$B$2:$B$50),0)</f>
        <v>0</v>
      </c>
      <c r="S16" s="73" ph="1">
        <f>S15*9.0746*LOOKUP(S17,密度!$A$2:$A$50,密度!$Q$2:$Q$50)</f>
        <v>31719.109920134004</v>
      </c>
      <c r="T16" s="73" ph="1">
        <f>T15*9.0746*LOOKUP(T17,密度!$A$2:$A$50,密度!$O$2:$O$50)</f>
        <v>20444.692666800001</v>
      </c>
      <c r="U16" s="73" ph="1">
        <f>U15*9.0746*LOOKUP(U17,密度!$A$2:$A$50,密度!$H$2:$H$50)</f>
        <v>53989.232879400006</v>
      </c>
      <c r="V16" s="73" ph="1">
        <f>MAX(5600*LOOKUP(V17,密度!$A$2:$A$50,密度!$Q$2:$Q$50)+V15*9.0476*LOOKUP(V17,密度!$A$2:$A$50,密度!$Q$2:$Q$50),0)</f>
        <v>4079.2834330560004</v>
      </c>
      <c r="W16" s="73" ph="1">
        <f>MAX(5600*LOOKUP(W17,密度!$A$2:$A$50,密度!$Q$2:$Q$50)+W15*9.0476*LOOKUP(W17,密度!$A$2:$A$50,密度!$Q$2:$Q$50),0)</f>
        <v>12426.891611488001</v>
      </c>
      <c r="X16" s="73" ph="1">
        <f>MAX(5600*LOOKUP(X17,密度!$A$2:$A$50,密度!$I$2:$I$50)+X15*9.0476*LOOKUP(X17,密度!$A$2:$A$50,密度!$I$2:$I$50),0)</f>
        <v>4990.6794556799996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43427.776003680003</v>
      </c>
      <c r="AB16" s="73" ph="1">
        <f>AB15*9.0746*LOOKUP(AB17,密度!$A$2:$A$50,密度!$L$2:$L$50)</f>
        <v>59485.554756600002</v>
      </c>
      <c r="AC16" s="73" ph="1">
        <f>AC15*9.0746*LOOKUP(AC17,密度!$A$2:$A$50,密度!$L$2:$L$50)</f>
        <v>60479.305128000007</v>
      </c>
      <c r="AD16" s="73" ph="1">
        <f>AD15*268.68*LOOKUP(AD17,密度!$A$2:$A$50,密度!B2:B50)+IF(AD15&lt;=0,0,1566*LOOKUP(AD17,密度!$A$2:$A$50,密度!B2:B50))</f>
        <v>18972.836747999998</v>
      </c>
      <c r="AE16" s="73" ph="1">
        <f>AE15*268.68*LOOKUP(AE17,密度!$A$2:$A$50,密度!B2:B50)+IF(AE15&lt;=0,0,1566*LOOKUP(AE17,密度!$A$2:$A$50,密度!B2:B50))</f>
        <v>3110.2092105599995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18" ph="1"/>
      <c r="C17" s="79" t="s" ph="1">
        <v>180</v>
      </c>
      <c r="D17" s="74">
        <v>29</v>
      </c>
      <c r="E17" s="74">
        <v>29</v>
      </c>
      <c r="F17" s="74">
        <v>27</v>
      </c>
      <c r="G17" s="74">
        <v>26</v>
      </c>
      <c r="H17" s="74">
        <v>25</v>
      </c>
      <c r="I17" s="74">
        <v>25</v>
      </c>
      <c r="J17" s="74">
        <v>27</v>
      </c>
      <c r="K17" s="74">
        <v>26</v>
      </c>
      <c r="L17" s="74">
        <v>28</v>
      </c>
      <c r="M17" s="74">
        <v>28</v>
      </c>
      <c r="N17" s="74">
        <v>25</v>
      </c>
      <c r="O17" s="74">
        <v>27</v>
      </c>
      <c r="P17" s="74">
        <v>33</v>
      </c>
      <c r="Q17" s="74">
        <v>29</v>
      </c>
      <c r="R17" s="74">
        <v>28</v>
      </c>
      <c r="S17" s="74">
        <v>29</v>
      </c>
      <c r="T17" s="74">
        <v>27</v>
      </c>
      <c r="U17" s="74">
        <v>26</v>
      </c>
      <c r="V17" s="74">
        <v>27</v>
      </c>
      <c r="W17" s="74">
        <v>27</v>
      </c>
      <c r="X17" s="74">
        <v>28</v>
      </c>
      <c r="Y17" s="108">
        <v>28</v>
      </c>
      <c r="Z17" s="74">
        <v>26</v>
      </c>
      <c r="AA17" s="74">
        <v>27</v>
      </c>
      <c r="AB17" s="74">
        <v>31</v>
      </c>
      <c r="AC17" s="74">
        <v>27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65" ph="1">
      <c r="B18" s="216" ph="1">
        <v>0.66666666666666663</v>
      </c>
      <c r="C18" s="79" t="s" ph="1">
        <v>181</v>
      </c>
      <c r="D18" s="71">
        <v>5852</v>
      </c>
      <c r="E18" s="71">
        <v>1786</v>
      </c>
      <c r="F18" s="71">
        <v>2849</v>
      </c>
      <c r="G18" s="71">
        <v>2236</v>
      </c>
      <c r="H18" s="71">
        <v>4373</v>
      </c>
      <c r="I18" s="71">
        <v>2612</v>
      </c>
      <c r="J18" s="71">
        <v>3046</v>
      </c>
      <c r="K18" s="71">
        <v>2809</v>
      </c>
      <c r="L18" s="71">
        <v>4775</v>
      </c>
      <c r="M18" s="71">
        <v>6694</v>
      </c>
      <c r="N18" s="71">
        <v>2395</v>
      </c>
      <c r="O18" s="71">
        <v>6128</v>
      </c>
      <c r="P18" s="71">
        <v>5984</v>
      </c>
      <c r="Q18" s="71">
        <v>2031</v>
      </c>
      <c r="R18" s="71">
        <v>0</v>
      </c>
      <c r="S18" s="71">
        <v>3706</v>
      </c>
      <c r="T18" s="71">
        <v>1576</v>
      </c>
      <c r="U18" s="71">
        <v>6513</v>
      </c>
      <c r="V18" s="71">
        <v>-142</v>
      </c>
      <c r="W18" s="71">
        <v>831</v>
      </c>
      <c r="X18" s="71">
        <v>-90</v>
      </c>
      <c r="Y18" s="109">
        <v>-8905</v>
      </c>
      <c r="Z18" s="71">
        <v>0</v>
      </c>
      <c r="AA18" s="71">
        <v>6156</v>
      </c>
      <c r="AB18" s="71">
        <v>7042</v>
      </c>
      <c r="AC18" s="71">
        <v>7131</v>
      </c>
      <c r="AD18" s="71">
        <v>84.01</v>
      </c>
      <c r="AE18" s="71">
        <v>47.52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4" ph="1">
      <c r="B19" s="217" ph="1"/>
      <c r="C19" s="156" t="s" ph="1">
        <v>179</v>
      </c>
      <c r="D19" s="73" ph="1">
        <f>D18*7.0686*LOOKUP(D20,密度!$A$2:$A$50,密度!$L$2:$L$50)</f>
        <v>38345.769554400002</v>
      </c>
      <c r="E19" s="73" ph="1">
        <f>E18*7.0686*LOOKUP(E20,密度!$A$2:$A$50,密度!$L$2:$L$50)</f>
        <v>11702.929669200001</v>
      </c>
      <c r="F19" s="73" ph="1">
        <f>F18*9.0746*LOOKUP(F20,密度!$A$2:$A$50,密度!$L$2:$L$50)</f>
        <v>24095.494992800002</v>
      </c>
      <c r="G19" s="73" ph="1">
        <f>G18*9.0746*LOOKUP(G20,密度!$A$2:$A$50,密度!$B$2:$B$50)</f>
        <v>15765.9559512</v>
      </c>
      <c r="H19" s="73" ph="1">
        <f>H18*9.0746*LOOKUP(H20,密度!$A$2:$A$50,密度!$L$2:$L$50)</f>
        <v>37143.499348800004</v>
      </c>
      <c r="I19" s="73" ph="1">
        <f>I18*9.0746*LOOKUP(I20,密度!$A$2:$A$50,密度!$U$2:$U$50)</f>
        <v>24248.020869600001</v>
      </c>
      <c r="J19" s="73" ph="1">
        <f>J18*9.0746*LOOKUP(J20,密度!$A$2:$A$50,密度!$L$2:$L$50)</f>
        <v>25733.9866196</v>
      </c>
      <c r="K19" s="73" ph="1">
        <f>K18*9.0746*LOOKUP(K20,密度!$A$2:$A$50,密度!$C$2:$C$50)</f>
        <v>28207.844179240001</v>
      </c>
      <c r="L19" s="73" ph="1">
        <f>L18*9.0746*LOOKUP(L20,密度!$A$2:$A$50,密度!$E$2:$E$50)</f>
        <v>33694.352784000002</v>
      </c>
      <c r="M19" s="73" ph="1">
        <f>M18*9.0746*LOOKUP(M20,密度!$A$2:$A$50,密度!$M$2:$M$50)</f>
        <v>52779.831717188004</v>
      </c>
      <c r="N19" s="73" ph="1">
        <f>N18*9.0746*LOOKUP(N20,密度!$A$2:$A$50,密度!$M$2:$M$50)</f>
        <v>18975.664657699999</v>
      </c>
      <c r="O19" s="73" ph="1">
        <f>O18*9.0746*LOOKUP(O20,密度!$A$2:$A$50,密度!$G$2:$G$50)</f>
        <v>53090.054359360001</v>
      </c>
      <c r="P19" s="73" ph="1">
        <f ca="1">P18*9.0746*LOOKUP(P20,密度!$A$2:$A$51,密度!$Q$2:$Q$50)</f>
        <v>51076.300435776</v>
      </c>
      <c r="Q19" s="73" ph="1">
        <f>Q18*9.0746*LOOKUP(Q20,密度!$A$2:$A$50,密度!$Q$2:$Q$50)</f>
        <v>17335.555846434003</v>
      </c>
      <c r="R19" s="73" ph="1">
        <f>MAX(R18*9.0746*LOOKUP(R20,密度!$A$2:$A$50,密度!$B$2:$B$50),0)</f>
        <v>0</v>
      </c>
      <c r="S19" s="73" ph="1">
        <f>S18*9.0746*LOOKUP(S20,密度!$A$2:$A$50,密度!$Q$2:$Q$50)</f>
        <v>31724.629001108002</v>
      </c>
      <c r="T19" s="73" ph="1">
        <f>T18*9.0746*LOOKUP(T20,密度!$A$2:$A$50,密度!$O$2:$O$50)</f>
        <v>13197.48842688</v>
      </c>
      <c r="U19" s="73" ph="1">
        <f>U18*9.0746*LOOKUP(U20,密度!$A$2:$A$50,密度!$H$2:$H$50)</f>
        <v>53783.611518000005</v>
      </c>
      <c r="V19" s="73" ph="1">
        <f>MAX(5600*LOOKUP(V20,密度!$A$2:$A$50,密度!$Q$2:$Q$50)+V18*9.0476*LOOKUP(V20,密度!$A$2:$A$50,密度!$Q$2:$Q$50),0)</f>
        <v>4058.872344072</v>
      </c>
      <c r="W19" s="73" ph="1">
        <f>MAX(5600*LOOKUP(W20,密度!$A$2:$A$50,密度!$Q$2:$Q$50)+W18*9.0476*LOOKUP(W20,密度!$A$2:$A$50,密度!$Q$2:$Q$50),0)</f>
        <v>12330.655150663999</v>
      </c>
      <c r="X19" s="73" ph="1">
        <f>MAX(5600*LOOKUP(X20,密度!$A$2:$A$50,密度!$I$2:$I$50)+X18*9.0476*LOOKUP(X20,密度!$A$2:$A$50,密度!$I$2:$I$50),0)</f>
        <v>4950.3446304000008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43361.045025120002</v>
      </c>
      <c r="AB19" s="73" ph="1">
        <f>AB18*9.0746*LOOKUP(AB20,密度!$A$2:$A$50,密度!$L$2:$L$50)</f>
        <v>59430.099876000007</v>
      </c>
      <c r="AC19" s="73" ph="1">
        <f>AC18*9.0746*LOOKUP(AC20,密度!$A$2:$A$50,密度!$L$2:$L$50)</f>
        <v>60310.626463200002</v>
      </c>
      <c r="AD19" s="73" ph="1">
        <f>AD18*268.68*LOOKUP(AD20,密度!$A$2:$A$50,密度!B5:B53)+IF(AD18&lt;=0,0,1566*LOOKUP(AD20,密度!$A$2:$A$50,密度!B5:B53))</f>
        <v>18755.075883600002</v>
      </c>
      <c r="AE19" s="73" ph="1">
        <f>AE18*268.68*LOOKUP(AE20,密度!$A$2:$A$50,密度!B5:B53)+IF(AE18&lt;=0,0,1566*LOOKUP(AE20,密度!$A$2:$A$50,密度!B5:B53))</f>
        <v>11137.264387200001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17" ph="1"/>
      <c r="C20" s="80" t="s" ph="1">
        <v>180</v>
      </c>
      <c r="D20" s="81">
        <v>35</v>
      </c>
      <c r="E20" s="81">
        <v>35</v>
      </c>
      <c r="F20" s="81">
        <v>30</v>
      </c>
      <c r="G20" s="81">
        <v>28</v>
      </c>
      <c r="H20" s="81">
        <v>26</v>
      </c>
      <c r="I20" s="81">
        <v>27</v>
      </c>
      <c r="J20" s="81">
        <v>31</v>
      </c>
      <c r="K20" s="81">
        <v>28</v>
      </c>
      <c r="L20" s="81">
        <v>30</v>
      </c>
      <c r="M20" s="81">
        <v>31</v>
      </c>
      <c r="N20" s="81">
        <v>27</v>
      </c>
      <c r="O20" s="81">
        <v>30</v>
      </c>
      <c r="P20" s="81">
        <v>34</v>
      </c>
      <c r="Q20" s="81">
        <v>34</v>
      </c>
      <c r="R20" s="81">
        <v>32</v>
      </c>
      <c r="S20" s="81">
        <v>30</v>
      </c>
      <c r="T20" s="81">
        <v>31</v>
      </c>
      <c r="U20" s="81">
        <v>30</v>
      </c>
      <c r="V20" s="81">
        <v>34</v>
      </c>
      <c r="W20" s="81">
        <v>35</v>
      </c>
      <c r="X20" s="81">
        <v>32</v>
      </c>
      <c r="Y20" s="110">
        <v>32</v>
      </c>
      <c r="Z20" s="81">
        <v>33</v>
      </c>
      <c r="AA20" s="81">
        <v>29</v>
      </c>
      <c r="AB20" s="81">
        <v>32</v>
      </c>
      <c r="AC20" s="81">
        <v>30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15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633</v>
      </c>
      <c r="H23" s="88" t="s" ph="1">
        <v>633</v>
      </c>
      <c r="I23" s="88" t="s" ph="1">
        <v>634</v>
      </c>
      <c r="J23" s="88" t="s" ph="1">
        <v>635</v>
      </c>
      <c r="K23" s="88" t="s" ph="1">
        <v>635</v>
      </c>
      <c r="L23" s="88" t="s" ph="1">
        <v>635</v>
      </c>
      <c r="M23" s="88" t="s" ph="1">
        <v>630</v>
      </c>
      <c r="N23" s="88" t="s" ph="1">
        <v>630</v>
      </c>
      <c r="O23" s="88" t="s" ph="1">
        <v>321</v>
      </c>
      <c r="P23" s="88" t="s" ph="1">
        <v>637</v>
      </c>
      <c r="Q23" s="89" t="s" ph="1">
        <v>637</v>
      </c>
      <c r="R23" s="88" t="s" ph="1">
        <v>616</v>
      </c>
      <c r="S23" s="88" t="s" ph="1">
        <v>636</v>
      </c>
      <c r="T23" s="88" t="s" ph="1">
        <v>607</v>
      </c>
      <c r="U23" s="88" t="s" ph="1">
        <v>611</v>
      </c>
      <c r="V23" s="88" t="s" ph="1">
        <v>637</v>
      </c>
      <c r="W23" s="88" t="s" ph="1">
        <v>637</v>
      </c>
      <c r="X23" s="88" t="s" ph="1">
        <v>190</v>
      </c>
      <c r="Y23" s="88" t="s" ph="1">
        <v>638</v>
      </c>
      <c r="Z23" s="228" t="s" ph="1">
        <v>648</v>
      </c>
      <c r="AA23" s="229"/>
      <c r="AB23" s="229"/>
      <c r="AC23" s="229"/>
      <c r="AD23" s="229"/>
      <c r="AE23" s="230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37" ph="1">
        <v>0.33333333333333331</v>
      </c>
      <c r="C24" s="156" t="s" ph="1">
        <v>178</v>
      </c>
      <c r="D24" s="71">
        <v>88.23</v>
      </c>
      <c r="E24" s="71">
        <v>4.45</v>
      </c>
      <c r="F24" s="71">
        <v>4185</v>
      </c>
      <c r="G24" s="71">
        <v>2073</v>
      </c>
      <c r="H24" s="71">
        <v>1999</v>
      </c>
      <c r="I24" s="71">
        <v>2651</v>
      </c>
      <c r="J24" s="71">
        <v>893</v>
      </c>
      <c r="K24" s="71">
        <v>5510</v>
      </c>
      <c r="L24" s="71">
        <v>5607</v>
      </c>
      <c r="M24" s="71">
        <v>1069</v>
      </c>
      <c r="N24" s="71">
        <v>234</v>
      </c>
      <c r="O24" s="71">
        <v>530</v>
      </c>
      <c r="P24" s="71">
        <v>1397</v>
      </c>
      <c r="Q24" s="90">
        <v>3628</v>
      </c>
      <c r="R24" s="71">
        <v>69</v>
      </c>
      <c r="S24" s="71">
        <v>2523</v>
      </c>
      <c r="T24" s="71">
        <v>1762</v>
      </c>
      <c r="U24" s="71">
        <v>5155</v>
      </c>
      <c r="V24" s="71">
        <v>9382</v>
      </c>
      <c r="W24" s="71">
        <v>10751</v>
      </c>
      <c r="X24" s="71">
        <v>5993</v>
      </c>
      <c r="Y24" s="71">
        <v>5257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37" ph="1"/>
      <c r="C25" s="68" t="s" ph="1">
        <v>179</v>
      </c>
      <c r="D25" s="91" ph="1">
        <f>D24*268.68*LOOKUP(D26,密度!$A$2:$A$50,密度!$Q$2:$Q$50)+IF(D24&lt;=0,0,1566*LOOKUP(D26,密度!$A$2:$A$50,密度!$Q$2:$Q$50))</f>
        <v>23925.669045336006</v>
      </c>
      <c r="E25" s="91" ph="1">
        <f>E24*268.68*LOOKUP(E26,密度!$A$2:$A$50,密度!$C$2:$C$50)+IF(E24&lt;=0,0,1566*LOOKUP(E26,密度!$A$2:$A$50,密度!$C$2:$C$50))</f>
        <v>3062.3670714</v>
      </c>
      <c r="F25" s="91" ph="1">
        <f>F24*11.702*LOOKUP(F26,密度!$A$2:$A$50,密度!$Q$2:$Q$50)</f>
        <v>46329.804206100001</v>
      </c>
      <c r="G25" s="91" ph="1">
        <f>G24*18.322*LOOKUP(G26,密度!$A$2:$A$50,密度!$B$2:$B$50)</f>
        <v>29576.198722199999</v>
      </c>
      <c r="H25" s="91" ph="1">
        <f>H24*18.322*LOOKUP(H26,密度!$A$2:$A$50,密度!$B$2:$B$50)</f>
        <v>28491.1149162</v>
      </c>
      <c r="I25" s="91" ph="1">
        <f>I24*18.322*LOOKUP(I26,密度!$A$2:$A$50,密度!$Q$2:$Q$50)</f>
        <v>45915.725709040002</v>
      </c>
      <c r="J25" s="91" ph="1">
        <f>J24*18.322*LOOKUP(J26,密度!$A$2:$A$50,密度!$Q$2:$Q$50)</f>
        <v>15466.89666472</v>
      </c>
      <c r="K25" s="91" ph="1">
        <f>K24*18.322*LOOKUP(K26,密度!$A$2:$A$50,密度!$Q$2:$Q$50)</f>
        <v>95505.720746600011</v>
      </c>
      <c r="L25" s="91" ph="1">
        <f>L24*18.322*LOOKUP(L26,密度!$A$2:$A$50,密度!$Q$2:$Q$50)</f>
        <v>97187.037427620002</v>
      </c>
      <c r="M25" s="91" ph="1">
        <f>M24*18.322*LOOKUP(M26,密度!$A$2:$A$50,密度!$Q$2:$Q$50)</f>
        <v>18501.533247160001</v>
      </c>
      <c r="N25" s="91" ph="1">
        <f>N24*18.322*LOOKUP(N26,密度!$A$2:$A$50,密度!$Q$2:$Q$50)</f>
        <v>4052.9158113600001</v>
      </c>
      <c r="O25" s="91" ph="1">
        <f>O24*18.322*LOOKUP(O26,密度!$A$2:$A$50,密度!$C$2:$C$50)</f>
        <v>10753.584884</v>
      </c>
      <c r="P25" s="91" ph="1">
        <f>P24*11.702*LOOKUP(P26,密度!$A$2:$A$50,密度!$B$2:$B$50)</f>
        <v>12729.949317799999</v>
      </c>
      <c r="Q25" s="92" ph="1">
        <f>Q24*18.322*LOOKUP(Q26,密度!$A$2:$A$50,密度!$B$2:$B$50)</f>
        <v>51648.911832000005</v>
      </c>
      <c r="R25" s="91" ph="1">
        <f>R24*35.891*LOOKUP(R26,密度!$A$2:$A$50,密度!$C$2:$C$50)</f>
        <v>2742.4528445999995</v>
      </c>
      <c r="S25" s="91" ph="1">
        <f>S24*35.891*LOOKUP(S26,密度!$A$2:$A$50,密度!$B$2:$B$50)</f>
        <v>70441.173254699999</v>
      </c>
      <c r="T25" s="91" ph="1">
        <f>T24*35.891*LOOKUP(T26,密度!$A$2:$A$50,密度!$Q$2:$Q$50)</f>
        <v>59826.882330259999</v>
      </c>
      <c r="U25" s="91" ph="1">
        <f>U24*35.891</f>
        <v>185018.10499999998</v>
      </c>
      <c r="V25" s="91" ph="1">
        <f>V24*47.051*LOOKUP(V26,密度!$A$2:$A$50,密度!$B$2:$B$50)</f>
        <v>343743.47373339999</v>
      </c>
      <c r="W25" s="91" ph="1">
        <f>W24*47.051*LOOKUP(W26,密度!$A$2:$A$50,密度!$B$2:$B$50)</f>
        <v>393497.05964790005</v>
      </c>
      <c r="X25" s="91" ph="1">
        <f>X24*47.051*LOOKUP(X26,密度!$A$2:$A$50,密度!$I$2:$I$50)</f>
        <v>292296.98813380004</v>
      </c>
      <c r="Y25" s="91" ph="1">
        <f>Y24*47.051*LOOKUP(Y26,密度!$A$2:$A$50,密度!$L$2:$L$50)</f>
        <v>230527.50372400004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37" ph="1"/>
      <c r="C26" s="68" t="s" ph="1">
        <v>180</v>
      </c>
      <c r="D26" s="74">
        <v>25</v>
      </c>
      <c r="E26" s="74">
        <v>25</v>
      </c>
      <c r="F26" s="74">
        <v>26</v>
      </c>
      <c r="G26" s="74">
        <v>26</v>
      </c>
      <c r="H26" s="74">
        <v>27</v>
      </c>
      <c r="I26" s="74">
        <v>27</v>
      </c>
      <c r="J26" s="74">
        <v>27</v>
      </c>
      <c r="K26" s="74">
        <v>26</v>
      </c>
      <c r="L26" s="74">
        <v>26</v>
      </c>
      <c r="M26" s="74">
        <v>28</v>
      </c>
      <c r="N26" s="74">
        <v>27</v>
      </c>
      <c r="O26" s="74">
        <v>27</v>
      </c>
      <c r="P26" s="74">
        <v>26</v>
      </c>
      <c r="Q26" s="93">
        <v>28</v>
      </c>
      <c r="R26" s="74">
        <v>27</v>
      </c>
      <c r="S26" s="74">
        <v>27</v>
      </c>
      <c r="T26" s="74">
        <v>26</v>
      </c>
      <c r="U26" s="74">
        <v>26</v>
      </c>
      <c r="V26" s="74">
        <v>26</v>
      </c>
      <c r="W26" s="74">
        <v>27</v>
      </c>
      <c r="X26" s="74">
        <v>30</v>
      </c>
      <c r="Y26" s="74">
        <v>30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65" ph="1">
      <c r="A27" s="72" ph="1"/>
      <c r="B27" s="237" ph="1">
        <v>0.66666666666666663</v>
      </c>
      <c r="C27" s="156" t="s" ph="1">
        <v>181</v>
      </c>
      <c r="D27" s="71">
        <v>86.35</v>
      </c>
      <c r="E27" s="71">
        <v>4.41</v>
      </c>
      <c r="F27" s="71">
        <v>4004</v>
      </c>
      <c r="G27" s="71">
        <v>1535</v>
      </c>
      <c r="H27" s="71">
        <v>901</v>
      </c>
      <c r="I27" s="71">
        <v>2650</v>
      </c>
      <c r="J27" s="71">
        <v>2985</v>
      </c>
      <c r="K27" s="71">
        <v>5512</v>
      </c>
      <c r="L27" s="71">
        <v>5604</v>
      </c>
      <c r="M27" s="71">
        <v>1067</v>
      </c>
      <c r="N27" s="71">
        <v>1194</v>
      </c>
      <c r="O27" s="71">
        <v>1996</v>
      </c>
      <c r="P27" s="71">
        <v>1396</v>
      </c>
      <c r="Q27" s="90">
        <v>4160</v>
      </c>
      <c r="R27" s="71">
        <v>66</v>
      </c>
      <c r="S27" s="71">
        <v>2519</v>
      </c>
      <c r="T27" s="71">
        <v>1760</v>
      </c>
      <c r="U27" s="71">
        <v>5191</v>
      </c>
      <c r="V27" s="71">
        <v>9383</v>
      </c>
      <c r="W27" s="71">
        <v>10750</v>
      </c>
      <c r="X27" s="71">
        <v>5516</v>
      </c>
      <c r="Y27" s="71">
        <v>5813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37" ph="1"/>
      <c r="C28" s="156" t="s" ph="1">
        <v>179</v>
      </c>
      <c r="D28" s="91" ph="1">
        <f>D27*268.68*LOOKUP(D29,密度!$A$2:$A$50,密度!$Q$2:$Q$50)+IF(D27&lt;=0,0,1566*LOOKUP(D29,密度!$A$2:$A$50,密度!$Q$2:$Q$50))</f>
        <v>23447.453251320003</v>
      </c>
      <c r="E28" s="91" ph="1">
        <f>E27*268.68*LOOKUP(E29,密度!$A$2:$A$50,密度!$C$2:$C$50)+IF(E27&lt;=0,0,1566*LOOKUP(E29,密度!$A$2:$A$50,密度!$C$2:$C$50))</f>
        <v>3050.4495013199999</v>
      </c>
      <c r="F28" s="91" ph="1">
        <f>F27*11.702*LOOKUP(F29,密度!$A$2:$A$50,密度!$Q$2:$Q$50)</f>
        <v>44199.546030639998</v>
      </c>
      <c r="G28" s="91" ph="1">
        <f>G27*18.322*LOOKUP(G29,密度!$A$2:$A$50,密度!$B$2:$B$50)</f>
        <v>21804.746531000001</v>
      </c>
      <c r="H28" s="91" ph="1">
        <f>H27*18.322*LOOKUP(H29,密度!$A$2:$A$50,密度!$B$2:$B$50)</f>
        <v>12783.8896768</v>
      </c>
      <c r="I28" s="91" ph="1">
        <f>I27*18.322*LOOKUP(I29,密度!$A$2:$A$50,密度!$Q$2:$Q$50)</f>
        <v>45864.418245999994</v>
      </c>
      <c r="J28" s="91" ph="1">
        <f>J27*18.322*LOOKUP(J29,密度!$A$2:$A$50,密度!$Q$2:$Q$50)</f>
        <v>51662.373005399997</v>
      </c>
      <c r="K28" s="91" ph="1">
        <f>K27*18.322*LOOKUP(K29,密度!$A$2:$A$50,密度!$Q$2:$Q$50)</f>
        <v>95328.306255520001</v>
      </c>
      <c r="L28" s="91" ph="1">
        <f>L27*18.322*LOOKUP(L29,密度!$A$2:$A$50,密度!$Q$2:$Q$50)</f>
        <v>96919.417317840009</v>
      </c>
      <c r="M28" s="91" ph="1">
        <f>M27*18.322*LOOKUP(M29,密度!$A$2:$A$50,密度!$Q$2:$Q$50)</f>
        <v>18441.69964142</v>
      </c>
      <c r="N28" s="91" ph="1">
        <f>N27*18.322*LOOKUP(N29,密度!$A$2:$A$50,密度!$Q$2:$Q$50)</f>
        <v>20636.728558440002</v>
      </c>
      <c r="O28" s="91" ph="1">
        <f>O27*18.322*LOOKUP(O29,密度!$A$2:$A$50,密度!$C$2:$C$50)</f>
        <v>40414.293831199997</v>
      </c>
      <c r="P28" s="91" ph="1">
        <f>P27*11.702*LOOKUP(P29,密度!$A$2:$A$50,密度!$B$2:$B$50)</f>
        <v>12679.996990400001</v>
      </c>
      <c r="Q28" s="92" ph="1">
        <f>Q27*18.322*LOOKUP(Q29,密度!$A$2:$A$50,密度!$B$2:$B$50)</f>
        <v>59161.591423999991</v>
      </c>
      <c r="R28" s="91" ph="1">
        <f>R27*35.891*LOOKUP(R29,密度!$A$2:$A$50,密度!$C$2:$C$50)</f>
        <v>2617.7675106000002</v>
      </c>
      <c r="S28" s="91" ph="1">
        <f>S27*35.891*LOOKUP(S29,密度!$A$2:$A$50,密度!$B$2:$B$50)</f>
        <v>70094.430303699992</v>
      </c>
      <c r="T28" s="91" ph="1">
        <f>T27*35.891*LOOKUP(T29,密度!$A$2:$A$50,密度!$Q$2:$Q$50)</f>
        <v>59541.044252799991</v>
      </c>
      <c r="U28" s="91" ph="1">
        <f>U27*35.891</f>
        <v>186310.18099999998</v>
      </c>
      <c r="V28" s="91" ph="1">
        <f>V27*47.051*LOOKUP(V29,密度!$A$2:$A$50,密度!$B$2:$B$50)</f>
        <v>343029.59714100003</v>
      </c>
      <c r="W28" s="91" ph="1">
        <f>W27*47.051*LOOKUP(W29,密度!$A$2:$A$50,密度!$B$2:$B$50)</f>
        <v>392600.60165000003</v>
      </c>
      <c r="X28" s="91" ph="1">
        <f>X27*47.051*LOOKUP(X29,密度!$A$2:$A$50,密度!$I$2:$I$50)</f>
        <v>268749.34405115998</v>
      </c>
      <c r="Y28" s="91" ph="1">
        <f>Y27*47.051*LOOKUP(Y29,密度!$A$2:$A$50,密度!$L$2:$L$50)</f>
        <v>254361.94059000001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37" ph="1"/>
      <c r="C29" s="156" t="s" ph="1">
        <v>180</v>
      </c>
      <c r="D29" s="74">
        <v>25</v>
      </c>
      <c r="E29" s="74">
        <v>25</v>
      </c>
      <c r="F29" s="74">
        <v>30</v>
      </c>
      <c r="G29" s="74">
        <v>30</v>
      </c>
      <c r="H29" s="74">
        <v>31</v>
      </c>
      <c r="I29" s="74">
        <v>28</v>
      </c>
      <c r="J29" s="74">
        <v>28</v>
      </c>
      <c r="K29" s="74">
        <v>29</v>
      </c>
      <c r="L29" s="74">
        <v>29</v>
      </c>
      <c r="M29" s="74">
        <v>30</v>
      </c>
      <c r="N29" s="74">
        <v>30</v>
      </c>
      <c r="O29" s="74">
        <v>30</v>
      </c>
      <c r="P29" s="74">
        <v>29</v>
      </c>
      <c r="Q29" s="93">
        <v>29</v>
      </c>
      <c r="R29" s="74">
        <v>30</v>
      </c>
      <c r="S29" s="74">
        <v>30</v>
      </c>
      <c r="T29" s="74">
        <v>31</v>
      </c>
      <c r="U29" s="74">
        <v>31</v>
      </c>
      <c r="V29" s="74">
        <v>28</v>
      </c>
      <c r="W29" s="74">
        <v>29</v>
      </c>
      <c r="X29" s="74">
        <v>31</v>
      </c>
      <c r="Y29" s="74">
        <v>32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45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56" t="s" ph="1">
        <v>5</v>
      </c>
      <c r="F32" s="157" t="s" ph="1">
        <v>43</v>
      </c>
      <c r="G32" s="97" t="s" ph="1">
        <v>4</v>
      </c>
      <c r="H32" s="156" t="s" ph="1">
        <v>5</v>
      </c>
      <c r="I32" s="157" t="s" ph="1">
        <v>43</v>
      </c>
      <c r="J32" s="97" t="s" ph="1">
        <v>4</v>
      </c>
      <c r="K32" s="156" t="s" ph="1">
        <v>5</v>
      </c>
      <c r="L32" s="157" t="s" ph="1">
        <v>43</v>
      </c>
      <c r="M32" s="97" t="s" ph="1">
        <v>4</v>
      </c>
      <c r="N32" s="156" t="s" ph="1">
        <v>5</v>
      </c>
      <c r="O32" s="157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6" t="s" ph="1">
        <v>5</v>
      </c>
      <c r="U32" s="99" t="s" ph="1">
        <v>43</v>
      </c>
      <c r="V32" s="97" t="s" ph="1">
        <v>4</v>
      </c>
      <c r="W32" s="156" t="s" ph="1">
        <v>5</v>
      </c>
      <c r="X32" s="99" t="s" ph="1">
        <v>43</v>
      </c>
      <c r="Y32" s="100" t="s" ph="1">
        <v>4</v>
      </c>
      <c r="Z32" s="156" t="s" ph="1">
        <v>5</v>
      </c>
      <c r="AA32" s="157" t="s" ph="1">
        <v>43</v>
      </c>
      <c r="AB32" s="97" t="s" ph="1">
        <v>85</v>
      </c>
      <c r="AC32" s="156" t="s" ph="1">
        <v>84</v>
      </c>
      <c r="AD32" s="204" t="s" ph="1">
        <v>83</v>
      </c>
      <c r="AE32" s="205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06" t="s" ph="1">
        <v>182</v>
      </c>
      <c r="C33" s="207" ph="1"/>
      <c r="D33" s="186" ph="1">
        <f>AA10+AB10+Z19</f>
        <v>58025.329379200004</v>
      </c>
      <c r="E33" s="186" ph="1">
        <f>M10+I10</f>
        <v>149030.85394339997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[[#This Row],[F25]]</f>
        <v>3880</v>
      </c>
      <c r="G33" s="212" ph="1">
        <v>0</v>
      </c>
      <c r="H33" s="186" ph="1">
        <f>N19</f>
        <v>18975.664657699999</v>
      </c>
      <c r="I33" s="190" ph="1">
        <v>0</v>
      </c>
      <c r="J33" s="194" ph="1">
        <f>F10+O28</f>
        <v>271568.63143219997</v>
      </c>
      <c r="K33" s="186" ph="1">
        <f>O10+K10+E28+R28</f>
        <v>98796.903566320005</v>
      </c>
      <c r="L33" s="196" ph="1">
        <f>BE27</f>
        <v>7100</v>
      </c>
      <c r="M33" s="194" ph="1">
        <f>G10+H10+W28+S28+V28+E10</f>
        <v>1681648.0483887</v>
      </c>
      <c r="N33" s="186" ph="1">
        <f>L10+P10++G28+H28</f>
        <v>180595.8483438</v>
      </c>
      <c r="O33" s="190" ph="1">
        <f>BE17</f>
        <v>2270</v>
      </c>
      <c r="P33" s="194" ph="1">
        <f>L19</f>
        <v>33694.352784000002</v>
      </c>
      <c r="Q33" s="186" ph="1">
        <f>J10+N10</f>
        <v>41428.247823999998</v>
      </c>
      <c r="R33" s="190" ph="1">
        <f>BE23</f>
        <v>890</v>
      </c>
      <c r="S33" s="194" ph="1">
        <f>E10+X28</f>
        <v>587668.76139515999</v>
      </c>
      <c r="T33" s="186" ph="1">
        <f>X19</f>
        <v>4950.3446304000008</v>
      </c>
      <c r="U33" s="175" ph="1">
        <f>BE21</f>
        <v>730</v>
      </c>
      <c r="V33" s="188" ph="1">
        <f ca="1">P19+Q19+S19+M28+N28+J28</f>
        <v>190877.28648857801</v>
      </c>
      <c r="W33" s="188" ph="1">
        <f>D28+F28+V19+T28</f>
        <v>131246.91587883199</v>
      </c>
      <c r="X33" s="190" ph="1">
        <f>BE29+BE31</f>
        <v>10200</v>
      </c>
      <c r="Y33" s="192" ph="1">
        <f>+Q10+R10+S10+T10+U10+V10+W10+X10+Y10</f>
        <v>130823.25254460001</v>
      </c>
      <c r="Z33" s="173" ph="1">
        <f>D10+T19+U19+Y28+Z10</f>
        <v>475195.01392632001</v>
      </c>
      <c r="AA33" s="175" ph="1">
        <f>BE19</f>
        <v>1440</v>
      </c>
      <c r="AB33" s="177" ph="1">
        <f>I19</f>
        <v>24248.020869600001</v>
      </c>
      <c r="AC33" s="179" ph="1">
        <f>AD10</f>
        <v>85739.600822399996</v>
      </c>
      <c r="AD33" s="181" ph="1">
        <v>0</v>
      </c>
      <c r="AE33" s="182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85" t="s" ph="1">
        <v>639</v>
      </c>
      <c r="AD35" s="185"/>
      <c r="AE35" s="185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45" ph="1">
      <c r="A36" s="64"/>
      <c r="B36" s="103" t="s" ph="1">
        <v>183</v>
      </c>
      <c r="I36" s="171" t="s" ph="1">
        <v>184</v>
      </c>
      <c r="J36" s="171" ph="1"/>
      <c r="K36" s="101" ph="1"/>
      <c r="P36" s="101" ph="1"/>
      <c r="R36" s="171" t="s" ph="1">
        <v>185</v>
      </c>
      <c r="S36" s="171" ph="1"/>
      <c r="Y36" s="102" ph="1"/>
      <c r="Z36" s="158" t="s" ph="1">
        <v>186</v>
      </c>
      <c r="AA36" s="158" ph="1"/>
      <c r="AB36" s="172" t="s" ph="1">
        <v>644</v>
      </c>
      <c r="AC36" s="172" ph="1"/>
      <c r="AD36" s="172" ph="1"/>
      <c r="AE36" s="172" ph="1"/>
      <c r="BA36" s="64" ph="1">
        <v>2270</v>
      </c>
    </row>
    <row r="37" spans="1:57" s="158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8" t="s" ph="1">
        <v>345</v>
      </c>
      <c r="AI37" s="158" t="s" ph="1">
        <v>212</v>
      </c>
      <c r="AJ37" s="158" t="s" ph="1">
        <v>213</v>
      </c>
      <c r="AK37" s="158" t="s" ph="1">
        <v>214</v>
      </c>
      <c r="AM37" s="158" t="s" ph="1">
        <v>213</v>
      </c>
      <c r="AN37" s="158" t="s" ph="1">
        <v>214</v>
      </c>
      <c r="AO37" s="158" t="s" ph="1">
        <v>215</v>
      </c>
      <c r="AP37" s="158" t="s" ph="1">
        <v>213</v>
      </c>
      <c r="AQ37" s="158" t="s" ph="1">
        <v>214</v>
      </c>
      <c r="AR37" s="158" t="s" ph="1">
        <v>215</v>
      </c>
      <c r="AS37" s="158" t="s" ph="1">
        <v>213</v>
      </c>
      <c r="AT37" s="158" t="s" ph="1">
        <v>214</v>
      </c>
      <c r="AU37" s="158" t="s" ph="1">
        <v>215</v>
      </c>
      <c r="AV37" s="158" t="s" ph="1">
        <v>213</v>
      </c>
      <c r="AW37" s="158" t="s" ph="1">
        <v>214</v>
      </c>
      <c r="AX37" s="158" t="s" ph="1">
        <v>215</v>
      </c>
      <c r="AY37" s="158" t="s" ph="1">
        <v>214</v>
      </c>
      <c r="AZ37" s="158" t="s" ph="1">
        <v>216</v>
      </c>
      <c r="BD37" s="158" t="s" ph="1">
        <v>308</v>
      </c>
      <c r="BE37" s="158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015" priority="97">
      <formula>ABS(D$7-D$10)&gt;=1000</formula>
    </cfRule>
  </conditionalFormatting>
  <conditionalFormatting sqref="E4 E6:E11">
    <cfRule type="expression" dxfId="1014" priority="96">
      <formula>ABS(E$7-E$10)&gt;=1000</formula>
    </cfRule>
  </conditionalFormatting>
  <conditionalFormatting sqref="F4:F11">
    <cfRule type="expression" dxfId="1013" priority="95">
      <formula>ABS(F$7-F$10)&gt;=1000</formula>
    </cfRule>
  </conditionalFormatting>
  <conditionalFormatting sqref="G4:G11">
    <cfRule type="expression" dxfId="1012" priority="94">
      <formula>ABS(G$7-G$10)&gt;=1000</formula>
    </cfRule>
  </conditionalFormatting>
  <conditionalFormatting sqref="H4:H11">
    <cfRule type="expression" dxfId="1011" priority="93">
      <formula>ABS(H$7-H$10)&gt;=1000</formula>
    </cfRule>
  </conditionalFormatting>
  <conditionalFormatting sqref="I4:I11">
    <cfRule type="expression" dxfId="1010" priority="92">
      <formula>ABS(I$7-I$10)&gt;=1000</formula>
    </cfRule>
  </conditionalFormatting>
  <conditionalFormatting sqref="J4:J11">
    <cfRule type="expression" dxfId="1009" priority="91">
      <formula>ABS(J$7-J$10)&gt;=1000</formula>
    </cfRule>
  </conditionalFormatting>
  <conditionalFormatting sqref="K4:K11">
    <cfRule type="expression" dxfId="1008" priority="90">
      <formula>ABS(K$7-K$10)&gt;=1000</formula>
    </cfRule>
  </conditionalFormatting>
  <conditionalFormatting sqref="L4:L11">
    <cfRule type="expression" dxfId="1007" priority="89">
      <formula>ABS(L$7-L$10)&gt;=1000</formula>
    </cfRule>
  </conditionalFormatting>
  <conditionalFormatting sqref="M4 M6:M11">
    <cfRule type="expression" dxfId="1006" priority="88">
      <formula>ABS(M$7-M$10)&gt;=1000</formula>
    </cfRule>
  </conditionalFormatting>
  <conditionalFormatting sqref="N4 N6:N11">
    <cfRule type="expression" dxfId="1005" priority="87">
      <formula>ABS(N$7-N$10)&gt;=1000</formula>
    </cfRule>
  </conditionalFormatting>
  <conditionalFormatting sqref="O4 O6:O11">
    <cfRule type="expression" dxfId="1004" priority="86">
      <formula>ABS(O$7-O$10)&gt;=1000</formula>
    </cfRule>
  </conditionalFormatting>
  <conditionalFormatting sqref="P4 P6:P11">
    <cfRule type="expression" dxfId="1003" priority="85">
      <formula>ABS(P$7-P$10)&gt;=1000</formula>
    </cfRule>
  </conditionalFormatting>
  <conditionalFormatting sqref="Q4:Q11">
    <cfRule type="expression" dxfId="1002" priority="84">
      <formula>ABS(Q$7-Q$10)&gt;=1000</formula>
    </cfRule>
  </conditionalFormatting>
  <conditionalFormatting sqref="R4:R11">
    <cfRule type="expression" dxfId="1001" priority="83">
      <formula>ABS(R$7-R$10)&gt;=1000</formula>
    </cfRule>
  </conditionalFormatting>
  <conditionalFormatting sqref="S4:S11">
    <cfRule type="expression" dxfId="1000" priority="82">
      <formula>ABS(S$7-S$10)&gt;=1000</formula>
    </cfRule>
  </conditionalFormatting>
  <conditionalFormatting sqref="T4:T9 T11">
    <cfRule type="expression" dxfId="999" priority="81">
      <formula>ABS(T$7-T$10)&gt;=1000</formula>
    </cfRule>
  </conditionalFormatting>
  <conditionalFormatting sqref="U4:U9 U11">
    <cfRule type="expression" dxfId="998" priority="80">
      <formula>ABS(U$7-U$10)&gt;=1000</formula>
    </cfRule>
  </conditionalFormatting>
  <conditionalFormatting sqref="V4:V9 V11">
    <cfRule type="expression" dxfId="997" priority="79">
      <formula>ABS(V$7-V$10)&gt;=1000</formula>
    </cfRule>
  </conditionalFormatting>
  <conditionalFormatting sqref="W4:W9 W11">
    <cfRule type="expression" dxfId="996" priority="78">
      <formula>ABS(W$7-W$10)&gt;=1000</formula>
    </cfRule>
  </conditionalFormatting>
  <conditionalFormatting sqref="X4:X9 X11">
    <cfRule type="expression" dxfId="995" priority="77">
      <formula>ABS(X$7-X$10)&gt;=1000</formula>
    </cfRule>
  </conditionalFormatting>
  <conditionalFormatting sqref="Y4:Y9 Y11">
    <cfRule type="expression" dxfId="994" priority="76">
      <formula>ABS(Y$7-Y$10)&gt;=1000</formula>
    </cfRule>
  </conditionalFormatting>
  <conditionalFormatting sqref="Z4:Z11">
    <cfRule type="expression" dxfId="993" priority="75">
      <formula>ABS(Z$7-Z$10)&gt;=1000</formula>
    </cfRule>
  </conditionalFormatting>
  <conditionalFormatting sqref="AA4:AA11">
    <cfRule type="expression" dxfId="992" priority="74">
      <formula>ABS(AA$7-AA$10)&gt;=1000</formula>
    </cfRule>
  </conditionalFormatting>
  <conditionalFormatting sqref="AB4:AB11">
    <cfRule type="expression" dxfId="991" priority="73">
      <formula>ABS(AB$7-AB$10)&gt;=1000</formula>
    </cfRule>
  </conditionalFormatting>
  <conditionalFormatting sqref="AC4 AC6:AC11">
    <cfRule type="expression" dxfId="990" priority="72">
      <formula>ABS(AC$7-AC$10)&gt;=1000</formula>
    </cfRule>
  </conditionalFormatting>
  <conditionalFormatting sqref="AD4:AD11">
    <cfRule type="expression" dxfId="989" priority="71">
      <formula>ABS(AD$7-AD$10)&gt;=1000</formula>
    </cfRule>
  </conditionalFormatting>
  <conditionalFormatting sqref="AE4:AE11">
    <cfRule type="expression" dxfId="988" priority="70">
      <formula>ABS(AE$7-AE$10)&gt;=1000</formula>
    </cfRule>
  </conditionalFormatting>
  <conditionalFormatting sqref="D13:D20">
    <cfRule type="expression" dxfId="987" priority="69">
      <formula>ABS(D$16-D$19)&gt;=1000</formula>
    </cfRule>
  </conditionalFormatting>
  <conditionalFormatting sqref="E13:E20">
    <cfRule type="expression" dxfId="986" priority="68">
      <formula>ABS(E$16-E$19)&gt;=1000</formula>
    </cfRule>
  </conditionalFormatting>
  <conditionalFormatting sqref="F13 F15:F20">
    <cfRule type="expression" dxfId="985" priority="67">
      <formula>ABS(F$16-F$19)&gt;=1000</formula>
    </cfRule>
  </conditionalFormatting>
  <conditionalFormatting sqref="G13:G20">
    <cfRule type="expression" dxfId="984" priority="66">
      <formula>ABS(G$16-G$19)&gt;=1000</formula>
    </cfRule>
  </conditionalFormatting>
  <conditionalFormatting sqref="H13:H20">
    <cfRule type="expression" dxfId="983" priority="65">
      <formula>ABS(H$16-H$19)&gt;=1000</formula>
    </cfRule>
  </conditionalFormatting>
  <conditionalFormatting sqref="I13:I20">
    <cfRule type="expression" dxfId="982" priority="64">
      <formula>ABS(I$16-I$19)&gt;=1000</formula>
    </cfRule>
  </conditionalFormatting>
  <conditionalFormatting sqref="J13:J20">
    <cfRule type="expression" dxfId="981" priority="63">
      <formula>ABS(J$16-J$19)&gt;=1000</formula>
    </cfRule>
  </conditionalFormatting>
  <conditionalFormatting sqref="L13:L20">
    <cfRule type="expression" dxfId="980" priority="62">
      <formula>ABS(L$16-L$19)&gt;=1000</formula>
    </cfRule>
  </conditionalFormatting>
  <conditionalFormatting sqref="M13 M15 M17:M18 M20">
    <cfRule type="expression" dxfId="979" priority="61">
      <formula>ABS(M$16-M$19)&gt;=1000</formula>
    </cfRule>
  </conditionalFormatting>
  <conditionalFormatting sqref="N13:N20">
    <cfRule type="expression" dxfId="978" priority="60">
      <formula>ABS(N$16-N$19)&gt;=1000</formula>
    </cfRule>
  </conditionalFormatting>
  <conditionalFormatting sqref="O13:O20">
    <cfRule type="expression" dxfId="977" priority="59">
      <formula>ABS(O$16-O$19)&gt;=1000</formula>
    </cfRule>
  </conditionalFormatting>
  <conditionalFormatting sqref="P13:P20">
    <cfRule type="expression" dxfId="976" priority="58">
      <formula>ABS(P$16-P$19)&gt;=1000</formula>
    </cfRule>
  </conditionalFormatting>
  <conditionalFormatting sqref="Q13 Q15:Q20">
    <cfRule type="expression" dxfId="975" priority="57">
      <formula>ABS(Q$16-Q$19)&gt;=1000</formula>
    </cfRule>
  </conditionalFormatting>
  <conditionalFormatting sqref="R13:R20">
    <cfRule type="expression" dxfId="974" priority="56">
      <formula>ABS(R$16-R$19)&gt;=1000</formula>
    </cfRule>
  </conditionalFormatting>
  <conditionalFormatting sqref="S13:S20">
    <cfRule type="expression" dxfId="973" priority="55">
      <formula>ABS(S$16-S$19)&gt;=1000</formula>
    </cfRule>
  </conditionalFormatting>
  <conditionalFormatting sqref="T13:T20">
    <cfRule type="expression" dxfId="972" priority="54">
      <formula>ABS(T$16-T$19)&gt;=1000</formula>
    </cfRule>
  </conditionalFormatting>
  <conditionalFormatting sqref="U13:U20">
    <cfRule type="expression" dxfId="971" priority="53">
      <formula>ABS(U$16-U$19)&gt;=1000</formula>
    </cfRule>
  </conditionalFormatting>
  <conditionalFormatting sqref="V13:V20">
    <cfRule type="expression" dxfId="970" priority="52">
      <formula>ABS(V$16-V$19)&gt;=1000</formula>
    </cfRule>
  </conditionalFormatting>
  <conditionalFormatting sqref="W13 W20 W15:W18">
    <cfRule type="expression" dxfId="969" priority="51">
      <formula>ABS(W$16-W$19)&gt;=1000</formula>
    </cfRule>
  </conditionalFormatting>
  <conditionalFormatting sqref="X13 X15:X20 Y19">
    <cfRule type="expression" dxfId="968" priority="50">
      <formula>ABS(X$16-X$19)&gt;=1000</formula>
    </cfRule>
  </conditionalFormatting>
  <conditionalFormatting sqref="Y13 Y15:Y18 Y20">
    <cfRule type="expression" dxfId="967" priority="49">
      <formula>ABS(Y$16-Y$19)&gt;=1000</formula>
    </cfRule>
  </conditionalFormatting>
  <conditionalFormatting sqref="Z13:Z20">
    <cfRule type="expression" dxfId="966" priority="48">
      <formula>ABS(Z$16-Z$19)&gt;=1000</formula>
    </cfRule>
  </conditionalFormatting>
  <conditionalFormatting sqref="AA13:AA20">
    <cfRule type="expression" dxfId="965" priority="47">
      <formula>ABS(AA$16-AA$19)&gt;=1000</formula>
    </cfRule>
  </conditionalFormatting>
  <conditionalFormatting sqref="AB13 AB15:AB20">
    <cfRule type="expression" dxfId="964" priority="46">
      <formula>ABS(AB$16-AB$19)&gt;=1000</formula>
    </cfRule>
  </conditionalFormatting>
  <conditionalFormatting sqref="AC13 AC15:AC20">
    <cfRule type="expression" dxfId="963" priority="45">
      <formula>ABS(AC$16-AC$19)&gt;=1000</formula>
    </cfRule>
  </conditionalFormatting>
  <conditionalFormatting sqref="AD13:AD20">
    <cfRule type="expression" dxfId="962" priority="44">
      <formula>ABS(AD$16-AD$19)&gt;=1000</formula>
    </cfRule>
  </conditionalFormatting>
  <conditionalFormatting sqref="AE13:AE20">
    <cfRule type="expression" dxfId="961" priority="43">
      <formula>ABS(AE$16-AE$19)&gt;=1000</formula>
    </cfRule>
  </conditionalFormatting>
  <conditionalFormatting sqref="D22:D29">
    <cfRule type="expression" dxfId="960" priority="42">
      <formula>ABS(D$25-D$28)&gt;=1000</formula>
    </cfRule>
  </conditionalFormatting>
  <conditionalFormatting sqref="E22:E29">
    <cfRule type="expression" dxfId="959" priority="41">
      <formula>ABS(E$25-E$28)&gt;=1000</formula>
    </cfRule>
  </conditionalFormatting>
  <conditionalFormatting sqref="F22:F29">
    <cfRule type="expression" dxfId="958" priority="40">
      <formula>ABS(F$25-F$28)&gt;=1000</formula>
    </cfRule>
  </conditionalFormatting>
  <conditionalFormatting sqref="G22:G29">
    <cfRule type="expression" dxfId="957" priority="39">
      <formula>ABS(G$25-G$28)&gt;=1000</formula>
    </cfRule>
  </conditionalFormatting>
  <conditionalFormatting sqref="H22:H29">
    <cfRule type="expression" dxfId="956" priority="38">
      <formula>ABS(H$25-H$28)&gt;=1000</formula>
    </cfRule>
  </conditionalFormatting>
  <conditionalFormatting sqref="I22 I24:I29">
    <cfRule type="expression" dxfId="955" priority="37">
      <formula>ABS(I$25-I$28)&gt;=1000</formula>
    </cfRule>
  </conditionalFormatting>
  <conditionalFormatting sqref="J22:J29 K22">
    <cfRule type="expression" dxfId="954" priority="36">
      <formula>ABS(J$25-J$28)&gt;=1000</formula>
    </cfRule>
  </conditionalFormatting>
  <conditionalFormatting sqref="K23:K29 L25 L28">
    <cfRule type="expression" dxfId="953" priority="35">
      <formula>ABS(K$25-K$28)&gt;=1000</formula>
    </cfRule>
  </conditionalFormatting>
  <conditionalFormatting sqref="L22 L26:L27 L29 L24">
    <cfRule type="expression" dxfId="952" priority="34">
      <formula>ABS(L$25-L$28)&gt;=1000</formula>
    </cfRule>
  </conditionalFormatting>
  <conditionalFormatting sqref="M22:M29">
    <cfRule type="expression" dxfId="951" priority="33">
      <formula>ABS(M$25-M$28)&gt;=1000</formula>
    </cfRule>
  </conditionalFormatting>
  <conditionalFormatting sqref="N22:N29">
    <cfRule type="expression" dxfId="950" priority="32">
      <formula>ABS(N$25-N$28)&gt;=1000</formula>
    </cfRule>
  </conditionalFormatting>
  <conditionalFormatting sqref="O22:O29">
    <cfRule type="expression" dxfId="949" priority="31">
      <formula>ABS(O$25-O$28)&gt;=1000</formula>
    </cfRule>
  </conditionalFormatting>
  <conditionalFormatting sqref="P22:P29">
    <cfRule type="expression" dxfId="948" priority="30">
      <formula>ABS(P$25-P$28)&gt;=1000</formula>
    </cfRule>
  </conditionalFormatting>
  <conditionalFormatting sqref="Q22:Q29">
    <cfRule type="expression" dxfId="947" priority="29">
      <formula>ABS(Q$25-Q$28)&gt;=1000</formula>
    </cfRule>
  </conditionalFormatting>
  <conditionalFormatting sqref="R22:R29">
    <cfRule type="expression" dxfId="946" priority="28">
      <formula>ABS(R$25-R$28)&gt;=1000</formula>
    </cfRule>
  </conditionalFormatting>
  <conditionalFormatting sqref="S22:S29">
    <cfRule type="expression" dxfId="945" priority="27">
      <formula>ABS(S$25-S$28)&gt;=1000</formula>
    </cfRule>
  </conditionalFormatting>
  <conditionalFormatting sqref="T22:T29">
    <cfRule type="expression" dxfId="944" priority="26">
      <formula>ABS(T$25-T$28)&gt;=1000</formula>
    </cfRule>
  </conditionalFormatting>
  <conditionalFormatting sqref="U22:U29">
    <cfRule type="expression" dxfId="943" priority="25">
      <formula>ABS(U$25-U$28)&gt;=1000</formula>
    </cfRule>
  </conditionalFormatting>
  <conditionalFormatting sqref="V22:V29">
    <cfRule type="expression" dxfId="942" priority="24">
      <formula>ABS(V$25-V$28)&gt;=1000</formula>
    </cfRule>
  </conditionalFormatting>
  <conditionalFormatting sqref="W22:W29">
    <cfRule type="expression" dxfId="941" priority="23">
      <formula>ABS(W$25-W$28)&gt;=1000</formula>
    </cfRule>
  </conditionalFormatting>
  <conditionalFormatting sqref="X22:X29">
    <cfRule type="expression" dxfId="940" priority="22">
      <formula>ABS(X$25-X$28)&gt;=1000</formula>
    </cfRule>
  </conditionalFormatting>
  <conditionalFormatting sqref="Y22:Y29">
    <cfRule type="expression" dxfId="939" priority="21">
      <formula>ABS(Y$25-Y$28)&gt;=1000</formula>
    </cfRule>
  </conditionalFormatting>
  <conditionalFormatting sqref="I23">
    <cfRule type="expression" dxfId="938" priority="20">
      <formula>ABS(I$25-I$28)&gt;=1000</formula>
    </cfRule>
  </conditionalFormatting>
  <conditionalFormatting sqref="F14">
    <cfRule type="expression" dxfId="937" priority="19">
      <formula>ABS(F$16-F$19)&gt;=1000</formula>
    </cfRule>
  </conditionalFormatting>
  <conditionalFormatting sqref="Q14">
    <cfRule type="expression" dxfId="936" priority="18">
      <formula>ABS(Q$16-Q$19)&gt;=1000</formula>
    </cfRule>
  </conditionalFormatting>
  <conditionalFormatting sqref="W14">
    <cfRule type="expression" dxfId="935" priority="17">
      <formula>ABS(W$16-W$19)&gt;=1000</formula>
    </cfRule>
  </conditionalFormatting>
  <conditionalFormatting sqref="Y14">
    <cfRule type="expression" dxfId="934" priority="16">
      <formula>ABS(Y$16-Y$19)&gt;=1000</formula>
    </cfRule>
  </conditionalFormatting>
  <conditionalFormatting sqref="X14">
    <cfRule type="expression" dxfId="933" priority="15">
      <formula>ABS(X$16-X$19)&gt;=1000</formula>
    </cfRule>
  </conditionalFormatting>
  <conditionalFormatting sqref="T10:Y10">
    <cfRule type="expression" dxfId="932" priority="14">
      <formula>ABS(T$7-T$10)&gt;=1000</formula>
    </cfRule>
  </conditionalFormatting>
  <conditionalFormatting sqref="W19">
    <cfRule type="expression" dxfId="931" priority="13">
      <formula>ABS(W$16-W$19)&gt;=1000</formula>
    </cfRule>
  </conditionalFormatting>
  <conditionalFormatting sqref="AC5">
    <cfRule type="expression" dxfId="930" priority="12">
      <formula>ABS(AC$7-AC$10)&gt;=1000</formula>
    </cfRule>
  </conditionalFormatting>
  <conditionalFormatting sqref="M14">
    <cfRule type="expression" dxfId="929" priority="11">
      <formula>ABS(M$16-M$19)&gt;=1000</formula>
    </cfRule>
  </conditionalFormatting>
  <conditionalFormatting sqref="M16">
    <cfRule type="expression" dxfId="928" priority="10">
      <formula>ABS(M$16-M$19)&gt;=1000</formula>
    </cfRule>
  </conditionalFormatting>
  <conditionalFormatting sqref="M19">
    <cfRule type="expression" dxfId="927" priority="9">
      <formula>ABS(M$16-M$19)&gt;=1000</formula>
    </cfRule>
  </conditionalFormatting>
  <conditionalFormatting sqref="K13:K20">
    <cfRule type="expression" dxfId="926" priority="8">
      <formula>ABS(K$16-K$19)&gt;=1000</formula>
    </cfRule>
  </conditionalFormatting>
  <conditionalFormatting sqref="E5">
    <cfRule type="expression" dxfId="925" priority="7">
      <formula>ABS(E$7-E$10)&gt;=1000</formula>
    </cfRule>
  </conditionalFormatting>
  <conditionalFormatting sqref="AB14:AC14">
    <cfRule type="expression" dxfId="924" priority="6">
      <formula>ABS(AB$16-AB$19)&gt;=1000</formula>
    </cfRule>
  </conditionalFormatting>
  <conditionalFormatting sqref="M5">
    <cfRule type="expression" dxfId="923" priority="5">
      <formula>ABS(M$7-M$10)&gt;=1000</formula>
    </cfRule>
  </conditionalFormatting>
  <conditionalFormatting sqref="N5">
    <cfRule type="expression" dxfId="922" priority="4">
      <formula>ABS(N$7-N$10)&gt;=1000</formula>
    </cfRule>
  </conditionalFormatting>
  <conditionalFormatting sqref="O5">
    <cfRule type="expression" dxfId="921" priority="3">
      <formula>ABS(O$7-O$10)&gt;=1000</formula>
    </cfRule>
  </conditionalFormatting>
  <conditionalFormatting sqref="P5">
    <cfRule type="expression" dxfId="920" priority="2">
      <formula>ABS(P$7-P$10)&gt;=1000</formula>
    </cfRule>
  </conditionalFormatting>
  <conditionalFormatting sqref="L23">
    <cfRule type="expression" dxfId="919" priority="1">
      <formula>ABS(L$25-L$28)&gt;=1000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409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345782</xdr:rowOff>
                  </from>
                  <to>
                    <xdr:col>32</xdr:col>
                    <xdr:colOff>414938</xdr:colOff>
                    <xdr:row>3</xdr:row>
                    <xdr:rowOff>30736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85">
    <pageSetUpPr fitToPage="1"/>
  </sheetPr>
  <dimension ref="A1:CU223"/>
  <sheetViews>
    <sheetView view="pageBreakPreview" zoomScale="80" zoomScaleNormal="100" zoomScaleSheetLayoutView="80" workbookViewId="0">
      <selection activeCell="S27" sqref="S27"/>
    </sheetView>
  </sheetViews>
  <sheetFormatPr defaultColWidth="8.109375" defaultRowHeight="26.05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0.9" ph="1">
      <c r="A1" s="64"/>
      <c r="B1" s="238" t="s" ph="1">
        <v>162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.05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.05" customHeight="1" ph="1">
      <c r="B3" s="240" ph="1">
        <v>45861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" customHeight="1" ph="1">
      <c r="A5" s="65" ph="1"/>
      <c r="B5" s="219" ph="1"/>
      <c r="C5" s="67" t="s" ph="1">
        <v>36</v>
      </c>
      <c r="D5" s="70" t="s" ph="1">
        <v>161</v>
      </c>
      <c r="E5" s="70" t="s" ph="1">
        <v>640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56" t="s" ph="1">
        <v>178</v>
      </c>
      <c r="D6" s="71">
        <v>641</v>
      </c>
      <c r="E6" s="71">
        <v>7994</v>
      </c>
      <c r="F6" s="71">
        <v>5748</v>
      </c>
      <c r="G6" s="71">
        <v>4660</v>
      </c>
      <c r="H6" s="71">
        <v>8703</v>
      </c>
      <c r="I6" s="71">
        <v>51.62</v>
      </c>
      <c r="J6" s="71">
        <v>7.72</v>
      </c>
      <c r="K6" s="71">
        <v>44.46</v>
      </c>
      <c r="L6" s="71">
        <v>34.43</v>
      </c>
      <c r="M6" s="71">
        <v>3948</v>
      </c>
      <c r="N6" s="71">
        <v>1537</v>
      </c>
      <c r="O6" s="71">
        <v>3900</v>
      </c>
      <c r="P6" s="71">
        <v>3238</v>
      </c>
      <c r="Q6" s="71">
        <v>0</v>
      </c>
      <c r="R6" s="71">
        <v>0</v>
      </c>
      <c r="S6" s="71">
        <v>4800</v>
      </c>
      <c r="T6" s="71">
        <v>6763</v>
      </c>
      <c r="U6" s="71">
        <v>4073</v>
      </c>
      <c r="V6" s="71">
        <v>0</v>
      </c>
      <c r="W6" s="71">
        <v>0</v>
      </c>
      <c r="X6" s="71">
        <v>0</v>
      </c>
      <c r="Y6" s="71">
        <v>0</v>
      </c>
      <c r="Z6" s="71">
        <v>3516</v>
      </c>
      <c r="AA6" s="71">
        <v>556</v>
      </c>
      <c r="AB6" s="71">
        <v>1869</v>
      </c>
      <c r="AC6" s="71">
        <v>4555</v>
      </c>
      <c r="AD6" s="71">
        <v>4381</v>
      </c>
      <c r="AE6" s="71">
        <v>2297</v>
      </c>
    </row>
    <row r="7" spans="1:99" s="72" customFormat="1" ht="22.4" ph="1">
      <c r="B7" s="237" ph="1"/>
      <c r="C7" s="68" t="s" ph="1">
        <v>179</v>
      </c>
      <c r="D7" s="73" ph="1">
        <f>D6*33.183*LOOKUP(D8,密度!$A$2:$A$50,密度!$Q$2:$Q$50)</f>
        <v>20107.24283196</v>
      </c>
      <c r="E7" s="73" ph="1">
        <f>E6*51.53*LOOKUP(E8,密度!$A$2:$A$50,密度!$B$2:$B$50)</f>
        <v>320440.98487800005</v>
      </c>
      <c r="F7" s="73" ph="1">
        <f>F6*33.183*LOOKUP(F8,密度!$A$2:$A$50,密度!$C$2:$C$50)</f>
        <v>211220.91794159997</v>
      </c>
      <c r="G7" s="73" ph="1">
        <f xml:space="preserve"> (G6+2)*51.53*LOOKUP(G8,密度!$A$2:$A$50,密度!$B$2:$B$50)</f>
        <v>186660.93222000002</v>
      </c>
      <c r="H7" s="73" ph="1">
        <f>(H6)*51.53*LOOKUP(H8,密度!$A$2:$A$50,密度!$B$2:$B$50)</f>
        <v>350027.392995</v>
      </c>
      <c r="I7" s="73" ph="1">
        <f>I6*290.8*1.0267</f>
        <v>15411.892263199999</v>
      </c>
      <c r="J7" s="73" ph="1">
        <f>J6*290.8*0.7892</f>
        <v>1771.7350592</v>
      </c>
      <c r="K7" s="73" ph="1">
        <f>K6*290.8*1.1126</f>
        <v>14384.769796800001</v>
      </c>
      <c r="L7" s="73" ph="1">
        <f>L6*290.8*0.777</f>
        <v>7779.5135880000007</v>
      </c>
      <c r="M7" s="73" ph="1">
        <f>M6*33.183*LOOKUP(M8,密度!$A$2:$A$50,密度!$D$2:$D$50)</f>
        <v>134137.5389676</v>
      </c>
      <c r="N7" s="73" ph="1">
        <f>N6*33.183*LOOKUP(N8,密度!$A$2:$A$50,密度!$E$2:$E$50)</f>
        <v>39659.365929599997</v>
      </c>
      <c r="O7" s="73" ph="1">
        <f>O6*20.428*LOOKUP(O8,密度!$A$2:$A$50,密度!$C$2:$C$50)</f>
        <v>87875.127599999993</v>
      </c>
      <c r="P7" s="73" ph="1">
        <f>P6*51.53*LOOKUP(P8,密度!$A$2:$A$50,密度!$B$2:$B$50)</f>
        <v>129795.83550600002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31825.664639999995</v>
      </c>
      <c r="T7" s="73" ph="1">
        <f>T6*1.5*1.5*3.1416*LOOKUP(T8,密度!$A$2:$A$50,密度!$L$2:$L$50)</f>
        <v>44936.645292000001</v>
      </c>
      <c r="U7" s="73" ph="1">
        <f>U6*1.5*1.5*3.1416*LOOKUP(U8,密度!$A$2:$A$50,密度!$L$2:$L$50)</f>
        <v>26947.821700800003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109204.45660800001</v>
      </c>
      <c r="AA7" s="73" ph="1">
        <f>AA6*33.183*LOOKUP(AA8,密度!$A$2:$A$50,密度!$D$2:$D$50)</f>
        <v>18907.301750399998</v>
      </c>
      <c r="AB7" s="73" ph="1">
        <f>AB6*20.428*LOOKUP(AB8,密度!$A$2:$A$50,密度!$D$2:$D$50)</f>
        <v>39306.239994000003</v>
      </c>
      <c r="AC7" s="73" ph="1">
        <f>AC6*51.53*LOOKUP(AC8,密度!$A$2:$A$50,密度!$Q$2:$Q$50)</f>
        <v>222051.35747449999</v>
      </c>
      <c r="AD7" s="73" ph="1">
        <f>AD6*20.428*LOOKUP(AD8,密度!$A$2:$A$50,密度!$V$2:$V$50)</f>
        <v>85986.861334400004</v>
      </c>
      <c r="AE7" s="73" ph="1">
        <f>AE6*20.428</f>
        <v>46923.116000000002</v>
      </c>
    </row>
    <row r="8" spans="1:99" ph="1">
      <c r="B8" s="237" ph="1"/>
      <c r="C8" s="68" t="s" ph="1">
        <v>180</v>
      </c>
      <c r="D8" s="74">
        <v>27</v>
      </c>
      <c r="E8" s="74">
        <v>27</v>
      </c>
      <c r="F8" s="74">
        <v>27</v>
      </c>
      <c r="G8" s="74">
        <v>28</v>
      </c>
      <c r="H8" s="74">
        <v>24</v>
      </c>
      <c r="I8" s="74">
        <v>25</v>
      </c>
      <c r="J8" s="74">
        <v>25</v>
      </c>
      <c r="K8" s="74">
        <v>25</v>
      </c>
      <c r="L8" s="74">
        <v>25</v>
      </c>
      <c r="M8" s="74">
        <v>28</v>
      </c>
      <c r="N8" s="74">
        <v>30</v>
      </c>
      <c r="O8" s="74">
        <v>32</v>
      </c>
      <c r="P8" s="74">
        <v>27</v>
      </c>
      <c r="Q8" s="74">
        <v>27</v>
      </c>
      <c r="R8" s="74">
        <v>32</v>
      </c>
      <c r="S8" s="74">
        <v>24</v>
      </c>
      <c r="T8" s="74">
        <v>22</v>
      </c>
      <c r="U8" s="74">
        <v>26</v>
      </c>
      <c r="V8" s="74">
        <v>26</v>
      </c>
      <c r="W8" s="74">
        <v>27</v>
      </c>
      <c r="X8" s="74">
        <v>21</v>
      </c>
      <c r="Y8" s="74">
        <v>27</v>
      </c>
      <c r="Z8" s="74">
        <v>26</v>
      </c>
      <c r="AA8" s="74">
        <v>27</v>
      </c>
      <c r="AB8" s="74">
        <v>22</v>
      </c>
      <c r="AC8" s="74">
        <v>26</v>
      </c>
      <c r="AD8" s="74">
        <v>25</v>
      </c>
      <c r="AE8" s="74">
        <v>30</v>
      </c>
    </row>
    <row r="9" spans="1:99" ht="26.65" ph="1">
      <c r="B9" s="237" ph="1">
        <v>0.66666666666666663</v>
      </c>
      <c r="C9" s="156" t="s" ph="1">
        <v>181</v>
      </c>
      <c r="D9" s="71">
        <v>194</v>
      </c>
      <c r="E9" s="71">
        <v>7992</v>
      </c>
      <c r="F9" s="71">
        <v>5474</v>
      </c>
      <c r="G9" s="71">
        <v>5704</v>
      </c>
      <c r="H9" s="71">
        <v>9149</v>
      </c>
      <c r="I9" s="71">
        <v>51.62</v>
      </c>
      <c r="J9" s="71">
        <v>7.83</v>
      </c>
      <c r="K9" s="71">
        <v>11.82</v>
      </c>
      <c r="L9" s="71">
        <v>9.92</v>
      </c>
      <c r="M9" s="71">
        <v>3947</v>
      </c>
      <c r="N9" s="71">
        <v>1402</v>
      </c>
      <c r="O9" s="71">
        <v>3747</v>
      </c>
      <c r="P9" s="71">
        <v>3284</v>
      </c>
      <c r="Q9" s="71">
        <v>0</v>
      </c>
      <c r="R9" s="71">
        <v>0</v>
      </c>
      <c r="S9" s="71">
        <v>0</v>
      </c>
      <c r="T9" s="71">
        <v>6770</v>
      </c>
      <c r="U9" s="71">
        <v>6699</v>
      </c>
      <c r="V9" s="71">
        <v>4384</v>
      </c>
      <c r="W9" s="71">
        <v>0</v>
      </c>
      <c r="X9" s="71">
        <v>0</v>
      </c>
      <c r="Y9" s="71">
        <v>0</v>
      </c>
      <c r="Z9" s="71">
        <v>1214</v>
      </c>
      <c r="AA9" s="71">
        <v>556</v>
      </c>
      <c r="AB9" s="71">
        <v>1671</v>
      </c>
      <c r="AC9" s="71">
        <v>5000</v>
      </c>
      <c r="AD9" s="71">
        <v>4384</v>
      </c>
      <c r="AE9" s="71">
        <v>2255</v>
      </c>
    </row>
    <row r="10" spans="1:99" s="72" customFormat="1" ht="22.4" ph="1">
      <c r="B10" s="237" ph="1"/>
      <c r="C10" s="156" t="s" ph="1">
        <v>179</v>
      </c>
      <c r="D10" s="73" ph="1">
        <f>D9*33.183*LOOKUP(D11,密度!$A$2:$A$50,密度!$Q$2:$Q$50)</f>
        <v>6055.0500061800003</v>
      </c>
      <c r="E10" s="73" ph="1">
        <f>E9*51.53*LOOKUP(E11,密度!$A$2:$A$50,密度!$B$2:$B$50)</f>
        <v>318548.77236</v>
      </c>
      <c r="F10" s="73" ph="1">
        <f>F9*33.183*LOOKUP(F11,密度!$A$2:$A$50,密度!$C$2:$C$50)</f>
        <v>200734.49928419999</v>
      </c>
      <c r="G10" s="73" ph="1">
        <f xml:space="preserve"> (G9+2)*51.53*LOOKUP(G11,密度!$A$2:$A$50,密度!$B$2:$B$50)</f>
        <v>227432.34422999999</v>
      </c>
      <c r="H10" s="73" ph="1">
        <f>(H9)*51.53*LOOKUP(H11,密度!$A$2:$A$50,密度!$B$2:$B$50)</f>
        <v>364665.00479500002</v>
      </c>
      <c r="I10" s="73" ph="1">
        <f>I9*290.8*1.0267</f>
        <v>15411.892263199999</v>
      </c>
      <c r="J10" s="73" ph="1">
        <f>J9*290.8*0.7892</f>
        <v>1796.9799888</v>
      </c>
      <c r="K10" s="73" ph="1">
        <f>K9*290.8*1.1126</f>
        <v>3824.2910256000005</v>
      </c>
      <c r="L10" s="73" ph="1">
        <f>L9*290.8*0.777</f>
        <v>2241.4398719999999</v>
      </c>
      <c r="M10" s="73" ph="1">
        <f>M9*33.183*LOOKUP(M11,密度!$A$2:$A$50,密度!$D$2:$D$50)</f>
        <v>133042.6791558</v>
      </c>
      <c r="N10" s="73" ph="1">
        <f>N9*33.183*LOOKUP(N11,密度!$A$2:$A$50,密度!$E$2:$E$50)</f>
        <v>36175.947321599997</v>
      </c>
      <c r="O10" s="73" ph="1">
        <f>O9*20.428*LOOKUP(O11,密度!$A$2:$A$50,密度!$C$2:$C$50)</f>
        <v>84029.69142480001</v>
      </c>
      <c r="P10" s="73" ph="1">
        <f>P9*51.53*LOOKUP(P11,密度!$A$2:$A$50,密度!$B$2:$B$50)</f>
        <v>131047.46828799999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44887.447835999999</v>
      </c>
      <c r="U10" s="73" ph="1">
        <f>U9*1.5*1.5*3.1416*LOOKUP(U11,密度!$A$2:$A$50,密度!$L$2:$L$50)</f>
        <v>44227.283007600003</v>
      </c>
      <c r="V10" s="73" ph="1">
        <f>V9*1.5*1.5*3.1416*LOOKUP(V11,密度!$A$2:$A$50,密度!$L$2:$L$50)</f>
        <v>28788.541689600002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37423.986497999998</v>
      </c>
      <c r="AA10" s="73" ph="1">
        <f>AA9*33.183*LOOKUP(AA11,密度!$A$2:$A$50,密度!$D$2:$D$50)</f>
        <v>18660.075127200002</v>
      </c>
      <c r="AB10" s="73" ph="1">
        <f>AB9*20.428*LOOKUP(AB11,密度!$A$2:$A$50,密度!$D$2:$D$50)</f>
        <v>35046.5975196</v>
      </c>
      <c r="AC10" s="73" ph="1">
        <f>AC9*51.53*LOOKUP(AC11,密度!$A$2:$A$50,密度!$Q$2:$Q$50)</f>
        <v>242680.535</v>
      </c>
      <c r="AD10" s="73" ph="1">
        <f>AD9*20.428*LOOKUP(AD11,密度!$A$2:$A$50,密度!$V$2:$V$50)</f>
        <v>85759.162675200001</v>
      </c>
      <c r="AE10" s="73" ph="1">
        <f>AE9*20.428</f>
        <v>46065.14</v>
      </c>
    </row>
    <row r="11" spans="1:99" ph="1">
      <c r="A11" s="64" t="s" ph="1">
        <v>163</v>
      </c>
      <c r="B11" s="237" ph="1"/>
      <c r="C11" s="156" t="s" ph="1">
        <v>180</v>
      </c>
      <c r="D11" s="74">
        <v>34</v>
      </c>
      <c r="E11" s="74">
        <v>32</v>
      </c>
      <c r="F11" s="74">
        <v>30</v>
      </c>
      <c r="G11" s="74">
        <v>32</v>
      </c>
      <c r="H11" s="74">
        <v>32</v>
      </c>
      <c r="I11" s="74">
        <v>25</v>
      </c>
      <c r="J11" s="74">
        <v>25</v>
      </c>
      <c r="K11" s="74">
        <v>25</v>
      </c>
      <c r="L11" s="74">
        <v>25</v>
      </c>
      <c r="M11" s="74">
        <v>37</v>
      </c>
      <c r="N11" s="74">
        <v>30</v>
      </c>
      <c r="O11" s="74">
        <v>37</v>
      </c>
      <c r="P11" s="74">
        <v>31</v>
      </c>
      <c r="Q11" s="74">
        <v>41</v>
      </c>
      <c r="R11" s="74">
        <v>39</v>
      </c>
      <c r="S11" s="74">
        <v>30</v>
      </c>
      <c r="T11" s="74">
        <v>24</v>
      </c>
      <c r="U11" s="74">
        <v>28</v>
      </c>
      <c r="V11" s="74">
        <v>33</v>
      </c>
      <c r="W11" s="74">
        <v>46</v>
      </c>
      <c r="X11" s="74">
        <v>30</v>
      </c>
      <c r="Y11" s="74">
        <v>32</v>
      </c>
      <c r="Z11" s="74">
        <v>33</v>
      </c>
      <c r="AA11" s="74">
        <v>42</v>
      </c>
      <c r="AB11" s="74">
        <v>25</v>
      </c>
      <c r="AC11" s="74">
        <v>32</v>
      </c>
      <c r="AD11" s="74">
        <v>34</v>
      </c>
      <c r="AE11" s="74">
        <v>32</v>
      </c>
    </row>
    <row r="12" spans="1:99" ht="9.85" customHeight="1" ph="1"/>
    <row r="13" spans="1:99" s="72" customFormat="1" ht="29.2" customHeight="1" ph="1">
      <c r="B13" s="214" t="s" ph="1">
        <v>37</v>
      </c>
      <c r="C13" s="156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.2" ph="1">
      <c r="B14" s="215" ph="1"/>
      <c r="C14" s="67" t="s" ph="1">
        <v>36</v>
      </c>
      <c r="D14" s="77" t="s" ph="1">
        <v>622</v>
      </c>
      <c r="E14" s="77" t="s" ph="1">
        <v>622</v>
      </c>
      <c r="F14" s="77" t="s" ph="1">
        <v>645</v>
      </c>
      <c r="G14" s="77" t="s" ph="1">
        <v>623</v>
      </c>
      <c r="H14" s="77" t="s" ph="1">
        <v>624</v>
      </c>
      <c r="I14" s="140" t="s" ph="1">
        <v>625</v>
      </c>
      <c r="J14" s="77" t="s" ph="1">
        <v>626</v>
      </c>
      <c r="K14" s="77" t="s" ph="1">
        <v>187</v>
      </c>
      <c r="L14" s="77" t="s" ph="1">
        <v>41</v>
      </c>
      <c r="M14" s="104" t="s" ph="1">
        <v>627</v>
      </c>
      <c r="N14" s="104" t="s" ph="1">
        <v>628</v>
      </c>
      <c r="O14" s="104" t="s" ph="1">
        <v>626</v>
      </c>
      <c r="P14" s="77" t="s" ph="1">
        <v>629</v>
      </c>
      <c r="Q14" s="77" t="s" ph="1">
        <v>629</v>
      </c>
      <c r="R14" s="88" t="s" ph="1">
        <v>640</v>
      </c>
      <c r="S14" s="77" t="s" ph="1">
        <v>71</v>
      </c>
      <c r="T14" s="77" t="s" ph="1">
        <v>631</v>
      </c>
      <c r="U14" s="77" t="s" ph="1">
        <v>610</v>
      </c>
      <c r="V14" s="77" t="s" ph="1">
        <v>110</v>
      </c>
      <c r="W14" s="77" t="s" ph="1">
        <v>629</v>
      </c>
      <c r="X14" s="77" t="s" ph="1">
        <v>632</v>
      </c>
      <c r="Y14" s="138" t="s" ph="1">
        <v>0</v>
      </c>
      <c r="Z14" s="77" t="s" ph="1">
        <v>54</v>
      </c>
      <c r="AA14" s="77" t="s" ph="1">
        <v>619</v>
      </c>
      <c r="AB14" s="77" t="s" ph="1">
        <v>650</v>
      </c>
      <c r="AC14" s="77" t="s" ph="1">
        <v>650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16" ph="1">
        <v>0.33333333333333331</v>
      </c>
      <c r="C15" s="156" t="s" ph="1">
        <v>178</v>
      </c>
      <c r="D15" s="78">
        <v>5122</v>
      </c>
      <c r="E15" s="78">
        <v>73</v>
      </c>
      <c r="F15" s="78">
        <v>2841</v>
      </c>
      <c r="G15" s="78">
        <v>2306</v>
      </c>
      <c r="H15" s="78">
        <v>4372</v>
      </c>
      <c r="I15" s="78">
        <v>2612</v>
      </c>
      <c r="J15" s="78">
        <v>3546</v>
      </c>
      <c r="K15" s="78">
        <v>2843</v>
      </c>
      <c r="L15" s="78">
        <v>4770</v>
      </c>
      <c r="M15" s="78">
        <v>6692</v>
      </c>
      <c r="N15" s="78">
        <v>2397</v>
      </c>
      <c r="O15" s="78">
        <v>6126</v>
      </c>
      <c r="P15" s="78">
        <v>6979</v>
      </c>
      <c r="Q15" s="78">
        <v>5893</v>
      </c>
      <c r="R15" s="78">
        <v>0</v>
      </c>
      <c r="S15" s="78">
        <v>3705</v>
      </c>
      <c r="T15" s="78">
        <v>1063</v>
      </c>
      <c r="U15" s="78">
        <v>6508</v>
      </c>
      <c r="V15" s="78">
        <v>-141</v>
      </c>
      <c r="W15" s="71">
        <v>1405</v>
      </c>
      <c r="X15" s="78">
        <v>-88</v>
      </c>
      <c r="Y15" s="106">
        <v>-9905</v>
      </c>
      <c r="Z15" s="78">
        <v>0</v>
      </c>
      <c r="AA15" s="78">
        <v>6153</v>
      </c>
      <c r="AB15" s="78" ph="1">
        <v>7036</v>
      </c>
      <c r="AC15" s="78" ph="1">
        <v>7127</v>
      </c>
      <c r="AD15" s="78">
        <v>48.46</v>
      </c>
      <c r="AE15" s="78">
        <v>84.61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4" ph="1">
      <c r="B16" s="217" ph="1"/>
      <c r="C16" s="156" t="s" ph="1">
        <v>179</v>
      </c>
      <c r="D16" s="73" ph="1">
        <f>D15*7.0686*LOOKUP(D17,密度!$A$2:$A$50,密度!$L$2:$L$50)</f>
        <v>33924.430940400001</v>
      </c>
      <c r="E16" s="73" ph="1">
        <f>E15*7.0686*LOOKUP(E17,密度!$A$2:$A$50,密度!$L$2:$L$50)</f>
        <v>483.49930860000001</v>
      </c>
      <c r="F16" s="73" ph="1">
        <f>F15*9.0746*LOOKUP(F17,密度!$A$2:$A$50,密度!$L$2:$L$50)</f>
        <v>24156.739468200001</v>
      </c>
      <c r="G16" s="73" ph="1">
        <f>G15*9.0746*LOOKUP(G17,密度!$A$2:$A$50,密度!$B$2:$B$50)</f>
        <v>16295.09769212</v>
      </c>
      <c r="H16" s="73" ph="1">
        <f>H15*9.0746*LOOKUP(H17,密度!$A$2:$A$50,密度!$L$2:$L$50)</f>
        <v>37174.679674400002</v>
      </c>
      <c r="I16" s="73" ph="1">
        <f>I15*9.0746*LOOKUP(I17,密度!$A$2:$A$50,密度!$U$2:$U$50)</f>
        <v>24295.426579999999</v>
      </c>
      <c r="J16" s="73" ph="1">
        <f>J15*9.0746*LOOKUP(J17,密度!$A$2:$A$50,密度!$L$2:$L$50)</f>
        <v>30022.569982800003</v>
      </c>
      <c r="K16" s="73" ph="1">
        <f>K15*9.0746*LOOKUP(K17,密度!$A$2:$A$50,密度!$C$2:$C$50)</f>
        <v>28587.969191180004</v>
      </c>
      <c r="L16" s="73" ph="1">
        <f>L15*9.0746*LOOKUP(L17,密度!$A$2:$A$50,密度!$E$2:$E$50)</f>
        <v>33754.299591600007</v>
      </c>
      <c r="M16" s="73" ph="1">
        <f>M15*9.0746*LOOKUP(M17,密度!$A$2:$A$50,密度!$M$2:$M$50)</f>
        <v>52893.411407200001</v>
      </c>
      <c r="N16" s="73" ph="1">
        <f>N15*9.0746*LOOKUP(N17,密度!$A$2:$A$50,密度!$M$2:$M$50)</f>
        <v>19013.262540420001</v>
      </c>
      <c r="O16" s="73" ph="1">
        <f>O15*9.0746*LOOKUP(O17,密度!$A$2:$A$50,密度!$G$2:$G$50)</f>
        <v>53200.586617200002</v>
      </c>
      <c r="P16" s="73" ph="1">
        <f ca="1">P15*9.0746*LOOKUP(P17,密度!$A$2:$A$51,密度!$Q$2:$Q$50)</f>
        <v>59652.065499459997</v>
      </c>
      <c r="Q16" s="73" ph="1">
        <f>Q15*9.0746*LOOKUP(Q17,密度!$A$2:$A$50,密度!$Q$2:$Q$50)</f>
        <v>50628.453135971999</v>
      </c>
      <c r="R16" s="73" ph="1">
        <f>MAX(R15*9.0746*LOOKUP(R17,密度!$A$2:$A$50,密度!$B$2:$B$50),0)</f>
        <v>0</v>
      </c>
      <c r="S16" s="73" ph="1">
        <f>S15*9.0746*LOOKUP(S17,密度!$A$2:$A$50,密度!$Q$2:$Q$50)</f>
        <v>31759.440255660003</v>
      </c>
      <c r="T16" s="73" ph="1">
        <f>T15*9.0746*LOOKUP(T17,密度!$A$2:$A$50,密度!$O$2:$O$50)</f>
        <v>8932.4736148000011</v>
      </c>
      <c r="U16" s="73" ph="1">
        <f>U15*9.0746*LOOKUP(U17,密度!$A$2:$A$50,密度!$H$2:$H$50)</f>
        <v>53972.646325520007</v>
      </c>
      <c r="V16" s="73" ph="1">
        <f>MAX(5600*LOOKUP(V17,密度!$A$2:$A$50,密度!$Q$2:$Q$50)+V15*9.0476*LOOKUP(V17,密度!$A$2:$A$50,密度!$Q$2:$Q$50),0)</f>
        <v>4087.8363102880003</v>
      </c>
      <c r="W16" s="73" ph="1">
        <f>MAX(5600*LOOKUP(W17,密度!$A$2:$A$50,密度!$Q$2:$Q$50)+W15*9.0476*LOOKUP(W17,密度!$A$2:$A$50,密度!$Q$2:$Q$50),0)</f>
        <v>17297.76619636</v>
      </c>
      <c r="X16" s="73" ph="1">
        <f>MAX(5600*LOOKUP(X17,密度!$A$2:$A$50,密度!$I$2:$I$50)+X15*9.0476*LOOKUP(X17,密度!$A$2:$A$50,密度!$I$2:$I$50),0)</f>
        <v>4990.6794556799996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43434.835135020003</v>
      </c>
      <c r="AB16" s="73" ph="1">
        <f>AB15*9.0746*LOOKUP(AB17,密度!$A$2:$A$50,密度!$L$2:$L$50)</f>
        <v>59507.161379200006</v>
      </c>
      <c r="AC16" s="73" ph="1">
        <f>AC15*9.0746*LOOKUP(AC17,密度!$A$2:$A$50,密度!$L$2:$L$50)</f>
        <v>60470.820377000004</v>
      </c>
      <c r="AD16" s="73" ph="1">
        <f>AD15*268.68*LOOKUP(AD17,密度!$A$2:$A$50,密度!B2:B50)+IF(AD15&lt;=0,0,1566*LOOKUP(AD17,密度!$A$2:$A$50,密度!B2:B50))</f>
        <v>11371.427090879999</v>
      </c>
      <c r="AE16" s="73" ph="1">
        <f>AE15*268.68*LOOKUP(AE17,密度!$A$2:$A$50,密度!B2:B50)+IF(AE15&lt;=0,0,1566*LOOKUP(AE17,密度!$A$2:$A$50,密度!B2:B50))</f>
        <v>18943.511938079999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18" ph="1"/>
      <c r="C17" s="79" t="s" ph="1">
        <v>180</v>
      </c>
      <c r="D17" s="74">
        <v>25</v>
      </c>
      <c r="E17" s="74">
        <v>25</v>
      </c>
      <c r="F17" s="74">
        <v>25</v>
      </c>
      <c r="G17" s="74">
        <v>26</v>
      </c>
      <c r="H17" s="74">
        <v>25</v>
      </c>
      <c r="I17" s="74">
        <v>25</v>
      </c>
      <c r="J17" s="74">
        <v>29</v>
      </c>
      <c r="K17" s="74">
        <v>26</v>
      </c>
      <c r="L17" s="74">
        <v>28</v>
      </c>
      <c r="M17" s="74">
        <v>29</v>
      </c>
      <c r="N17" s="74">
        <v>26</v>
      </c>
      <c r="O17" s="74">
        <v>28</v>
      </c>
      <c r="P17" s="74">
        <v>32</v>
      </c>
      <c r="Q17" s="74">
        <v>25</v>
      </c>
      <c r="R17" s="74">
        <v>28</v>
      </c>
      <c r="S17" s="74">
        <v>28</v>
      </c>
      <c r="T17" s="74">
        <v>26</v>
      </c>
      <c r="U17" s="74">
        <v>26</v>
      </c>
      <c r="V17" s="74">
        <v>27</v>
      </c>
      <c r="W17" s="74">
        <v>28</v>
      </c>
      <c r="X17" s="74">
        <v>28</v>
      </c>
      <c r="Y17" s="108">
        <v>28</v>
      </c>
      <c r="Z17" s="74">
        <v>26</v>
      </c>
      <c r="AA17" s="74">
        <v>27</v>
      </c>
      <c r="AB17" s="74">
        <v>30</v>
      </c>
      <c r="AC17" s="74">
        <v>27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65" ph="1">
      <c r="B18" s="216" ph="1">
        <v>0.66666666666666663</v>
      </c>
      <c r="C18" s="79" t="s" ph="1">
        <v>181</v>
      </c>
      <c r="D18" s="71">
        <v>1510</v>
      </c>
      <c r="E18" s="71">
        <v>1854</v>
      </c>
      <c r="F18" s="71">
        <v>2839</v>
      </c>
      <c r="G18" s="71">
        <v>3180</v>
      </c>
      <c r="H18" s="71">
        <v>4374</v>
      </c>
      <c r="I18" s="71">
        <v>2613</v>
      </c>
      <c r="J18" s="71">
        <v>3307</v>
      </c>
      <c r="K18" s="71">
        <v>2844</v>
      </c>
      <c r="L18" s="71">
        <v>4781</v>
      </c>
      <c r="M18" s="71">
        <v>3743</v>
      </c>
      <c r="N18" s="71">
        <v>3311</v>
      </c>
      <c r="O18" s="71">
        <v>6132</v>
      </c>
      <c r="P18" s="71">
        <v>6981</v>
      </c>
      <c r="Q18" s="71">
        <v>6939</v>
      </c>
      <c r="R18" s="71">
        <v>0</v>
      </c>
      <c r="S18" s="71">
        <v>3710</v>
      </c>
      <c r="T18" s="71">
        <v>6639</v>
      </c>
      <c r="U18" s="71">
        <v>2551</v>
      </c>
      <c r="V18" s="71">
        <v>-142</v>
      </c>
      <c r="W18" s="71">
        <v>2073</v>
      </c>
      <c r="X18" s="71">
        <v>-90</v>
      </c>
      <c r="Y18" s="109">
        <v>-9905</v>
      </c>
      <c r="Z18" s="71">
        <v>0</v>
      </c>
      <c r="AA18" s="71">
        <v>6159</v>
      </c>
      <c r="AB18" s="71">
        <v>3160</v>
      </c>
      <c r="AC18" s="71">
        <v>7131</v>
      </c>
      <c r="AD18" s="71">
        <v>84.51</v>
      </c>
      <c r="AE18" s="71">
        <v>8.15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4" ph="1">
      <c r="B19" s="217" ph="1"/>
      <c r="C19" s="156" t="s" ph="1">
        <v>179</v>
      </c>
      <c r="D19" s="73" ph="1">
        <f>D18*7.0686*LOOKUP(D20,密度!$A$2:$A$50,密度!$L$2:$L$50)</f>
        <v>9894.4142219999994</v>
      </c>
      <c r="E19" s="73" ph="1">
        <f>E18*7.0686*LOOKUP(E20,密度!$A$2:$A$50,密度!$L$2:$L$50)</f>
        <v>12148.505938800001</v>
      </c>
      <c r="F19" s="73" ph="1">
        <f>F18*9.0746*LOOKUP(F20,密度!$A$2:$A$50,密度!$L$2:$L$50)</f>
        <v>23882.105773800002</v>
      </c>
      <c r="G19" s="73" ph="1">
        <f>G18*9.0746*LOOKUP(G20,密度!$A$2:$A$50,密度!$B$2:$B$50)</f>
        <v>22398.980373599999</v>
      </c>
      <c r="H19" s="73" ph="1">
        <f>H18*9.0746*LOOKUP(H20,密度!$A$2:$A$50,密度!$L$2:$L$50)</f>
        <v>37112.300874</v>
      </c>
      <c r="I19" s="73" ph="1">
        <f>I18*9.0746*LOOKUP(I20,密度!$A$2:$A$50,密度!$U$2:$U$50)</f>
        <v>24138.744536400001</v>
      </c>
      <c r="J19" s="73" ph="1">
        <f>J18*9.0746*LOOKUP(J20,密度!$A$2:$A$50,密度!$L$2:$L$50)</f>
        <v>27849.0036416</v>
      </c>
      <c r="K19" s="73" ph="1">
        <f>K18*9.0746*LOOKUP(K20,密度!$A$2:$A$50,密度!$C$2:$C$50)</f>
        <v>28440.594964800002</v>
      </c>
      <c r="L19" s="73" ph="1">
        <f>L18*9.0746*LOOKUP(L20,密度!$A$2:$A$50,密度!$E$2:$E$50)</f>
        <v>33686.797725770004</v>
      </c>
      <c r="M19" s="73" ph="1">
        <f>M18*9.0746*LOOKUP(M20,密度!$A$2:$A$50,密度!$M$2:$M$50)</f>
        <v>29405.242731016002</v>
      </c>
      <c r="N19" s="73" ph="1">
        <f>N18*9.0746*LOOKUP(N20,密度!$A$2:$A$50,密度!$M$2:$M$50)</f>
        <v>26200.112523199998</v>
      </c>
      <c r="O19" s="73" ph="1">
        <f>O18*9.0746*LOOKUP(O20,密度!$A$2:$A$50,密度!$G$2:$G$50)</f>
        <v>53124.708441840005</v>
      </c>
      <c r="P19" s="73" ph="1">
        <f ca="1">P18*9.0746*LOOKUP(P20,密度!$A$2:$A$51,密度!$Q$2:$Q$50)</f>
        <v>59627.982872250002</v>
      </c>
      <c r="Q19" s="73" ph="1">
        <f>Q18*9.0746*LOOKUP(Q20,密度!$A$2:$A$50,密度!$Q$2:$Q$50)</f>
        <v>59186.752317036</v>
      </c>
      <c r="R19" s="73" ph="1">
        <f>MAX(R18*9.0746*LOOKUP(R20,密度!$A$2:$A$50,密度!$B$2:$B$50),0)</f>
        <v>0</v>
      </c>
      <c r="S19" s="73" ph="1">
        <f>S18*9.0746*LOOKUP(S20,密度!$A$2:$A$50,密度!$Q$2:$Q$50)</f>
        <v>31733.620296280002</v>
      </c>
      <c r="T19" s="73" ph="1">
        <f>T18*9.0746*LOOKUP(T20,密度!$A$2:$A$50,密度!$O$2:$O$50)</f>
        <v>55788.045464400006</v>
      </c>
      <c r="U19" s="73" ph="1">
        <f>U18*9.0746*LOOKUP(U20,密度!$A$2:$A$50,密度!$H$2:$H$50)</f>
        <v>21043.87534663</v>
      </c>
      <c r="V19" s="73" ph="1">
        <f>MAX(5600*LOOKUP(V20,密度!$A$2:$A$50,密度!$Q$2:$Q$50)+V18*9.0476*LOOKUP(V20,密度!$A$2:$A$50,密度!$Q$2:$Q$50),0)</f>
        <v>4050.5007769199997</v>
      </c>
      <c r="W19" s="73" ph="1">
        <f>MAX(5600*LOOKUP(W20,密度!$A$2:$A$50,密度!$Q$2:$Q$50)+W18*9.0476*LOOKUP(W20,密度!$A$2:$A$50,密度!$Q$2:$Q$50),0)</f>
        <v>22846.110075895998</v>
      </c>
      <c r="X19" s="73" ph="1">
        <f>MAX(5600*LOOKUP(X20,密度!$A$2:$A$50,密度!$I$2:$I$50)+X18*9.0476*LOOKUP(X20,密度!$A$2:$A$50,密度!$I$2:$I$50),0)</f>
        <v>4945.0324856400002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43331.874723419998</v>
      </c>
      <c r="AB19" s="73" ph="1">
        <f>AB18*9.0746*LOOKUP(AB20,密度!$A$2:$A$50,密度!$L$2:$L$50)</f>
        <v>26668.434480000004</v>
      </c>
      <c r="AC19" s="73" ph="1">
        <f>AC18*9.0746*LOOKUP(AC20,密度!$A$2:$A$50,密度!$L$2:$L$50)</f>
        <v>60181.204518000006</v>
      </c>
      <c r="AD19" s="73" ph="1">
        <f>AD18*268.68*LOOKUP(AD20,密度!$A$2:$A$50,密度!B5:B53)+IF(AD18&lt;=0,0,1566*LOOKUP(AD20,密度!$A$2:$A$50,密度!B5:B53))</f>
        <v>18859.458063600003</v>
      </c>
      <c r="AE19" s="73" ph="1">
        <f>AE18*268.68*LOOKUP(AE20,密度!$A$2:$A$50,密度!B5:B53)+IF(AE18&lt;=0,0,1566*LOOKUP(AE20,密度!$A$2:$A$50,密度!B5:B53))</f>
        <v>2918.211534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17" ph="1"/>
      <c r="C20" s="80" t="s" ph="1">
        <v>180</v>
      </c>
      <c r="D20" s="81">
        <v>35</v>
      </c>
      <c r="E20" s="81">
        <v>35</v>
      </c>
      <c r="F20" s="81">
        <v>35</v>
      </c>
      <c r="G20" s="81">
        <v>29</v>
      </c>
      <c r="H20" s="81">
        <v>27</v>
      </c>
      <c r="I20" s="81">
        <v>32</v>
      </c>
      <c r="J20" s="81">
        <v>34</v>
      </c>
      <c r="K20" s="81">
        <v>33</v>
      </c>
      <c r="L20" s="81">
        <v>31</v>
      </c>
      <c r="M20" s="81">
        <v>34</v>
      </c>
      <c r="N20" s="81">
        <v>28</v>
      </c>
      <c r="O20" s="81">
        <v>30</v>
      </c>
      <c r="P20" s="81">
        <v>33</v>
      </c>
      <c r="Q20" s="81">
        <v>35</v>
      </c>
      <c r="R20" s="81">
        <v>33</v>
      </c>
      <c r="S20" s="81">
        <v>31</v>
      </c>
      <c r="T20" s="81">
        <v>29</v>
      </c>
      <c r="U20" s="81">
        <v>31</v>
      </c>
      <c r="V20" s="81">
        <v>37</v>
      </c>
      <c r="W20" s="81">
        <v>38</v>
      </c>
      <c r="X20" s="81">
        <v>33</v>
      </c>
      <c r="Y20" s="110">
        <v>33</v>
      </c>
      <c r="Z20" s="81">
        <v>35</v>
      </c>
      <c r="AA20" s="81">
        <v>30</v>
      </c>
      <c r="AB20" s="81">
        <v>32</v>
      </c>
      <c r="AC20" s="81">
        <v>32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15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633</v>
      </c>
      <c r="H23" s="88" t="s" ph="1">
        <v>633</v>
      </c>
      <c r="I23" s="88" t="s" ph="1">
        <v>634</v>
      </c>
      <c r="J23" s="88" t="s" ph="1">
        <v>635</v>
      </c>
      <c r="K23" s="88" t="s" ph="1">
        <v>635</v>
      </c>
      <c r="L23" s="88" t="s" ph="1">
        <v>635</v>
      </c>
      <c r="M23" s="88" t="s" ph="1">
        <v>630</v>
      </c>
      <c r="N23" s="88" t="s" ph="1">
        <v>630</v>
      </c>
      <c r="O23" s="88" t="s" ph="1">
        <v>321</v>
      </c>
      <c r="P23" s="88" t="s" ph="1">
        <v>637</v>
      </c>
      <c r="Q23" s="89" t="s" ph="1">
        <v>637</v>
      </c>
      <c r="R23" s="88" t="s" ph="1">
        <v>616</v>
      </c>
      <c r="S23" s="88" t="s" ph="1">
        <v>636</v>
      </c>
      <c r="T23" s="88" t="s" ph="1">
        <v>607</v>
      </c>
      <c r="U23" s="88" t="s" ph="1">
        <v>611</v>
      </c>
      <c r="V23" s="88" t="s" ph="1">
        <v>637</v>
      </c>
      <c r="W23" s="88" t="s" ph="1">
        <v>637</v>
      </c>
      <c r="X23" s="88" t="s" ph="1">
        <v>190</v>
      </c>
      <c r="Y23" s="88" t="s" ph="1">
        <v>638</v>
      </c>
      <c r="Z23" s="228" t="s" ph="1">
        <v>648</v>
      </c>
      <c r="AA23" s="229"/>
      <c r="AB23" s="229"/>
      <c r="AC23" s="229"/>
      <c r="AD23" s="229"/>
      <c r="AE23" s="230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37" ph="1">
        <v>0.33333333333333331</v>
      </c>
      <c r="C24" s="156" t="s" ph="1">
        <v>178</v>
      </c>
      <c r="D24" s="71">
        <v>81.540000000000006</v>
      </c>
      <c r="E24" s="71">
        <v>4.43</v>
      </c>
      <c r="F24" s="71">
        <v>4113</v>
      </c>
      <c r="G24" s="71">
        <v>2053</v>
      </c>
      <c r="H24" s="71">
        <v>1143</v>
      </c>
      <c r="I24" s="71">
        <v>2651</v>
      </c>
      <c r="J24" s="71">
        <v>3339</v>
      </c>
      <c r="K24" s="71">
        <v>5513</v>
      </c>
      <c r="L24" s="71">
        <v>5608</v>
      </c>
      <c r="M24" s="71">
        <v>1069</v>
      </c>
      <c r="N24" s="71">
        <v>1445</v>
      </c>
      <c r="O24" s="71">
        <v>1998</v>
      </c>
      <c r="P24" s="71">
        <v>1397</v>
      </c>
      <c r="Q24" s="90">
        <v>4593</v>
      </c>
      <c r="R24" s="71">
        <v>68</v>
      </c>
      <c r="S24" s="71">
        <v>2522</v>
      </c>
      <c r="T24" s="71">
        <v>1762</v>
      </c>
      <c r="U24" s="71">
        <v>5342</v>
      </c>
      <c r="V24" s="71">
        <v>9382</v>
      </c>
      <c r="W24" s="71">
        <v>10751</v>
      </c>
      <c r="X24" s="71">
        <v>5514</v>
      </c>
      <c r="Y24" s="71">
        <v>5830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37" ph="1"/>
      <c r="C25" s="68" t="s" ph="1">
        <v>179</v>
      </c>
      <c r="D25" s="91" ph="1">
        <f>D24*268.68*LOOKUP(D26,密度!$A$2:$A$50,密度!$Q$2:$Q$50)+IF(D24&lt;=0,0,1566*LOOKUP(D26,密度!$A$2:$A$50,密度!$Q$2:$Q$50))</f>
        <v>22223.933054928006</v>
      </c>
      <c r="E25" s="91" ph="1">
        <f>E24*268.68*LOOKUP(E26,密度!$A$2:$A$50,密度!$C$2:$C$50)+IF(E24&lt;=0,0,1566*LOOKUP(E26,密度!$A$2:$A$50,密度!$C$2:$C$50))</f>
        <v>3056.4082863599997</v>
      </c>
      <c r="F25" s="91" ph="1">
        <f>F24*11.702*LOOKUP(F26,密度!$A$2:$A$50,密度!$Q$2:$Q$50)</f>
        <v>45498.559774320005</v>
      </c>
      <c r="G25" s="91" ph="1">
        <f>G24*18.322*LOOKUP(G26,密度!$A$2:$A$50,密度!$B$2:$B$50)</f>
        <v>29226.906282</v>
      </c>
      <c r="H25" s="91" ph="1">
        <f>H24*18.322*LOOKUP(H26,密度!$A$2:$A$50,密度!$B$2:$B$50)</f>
        <v>16271.969741999999</v>
      </c>
      <c r="I25" s="91" ph="1">
        <f>I24*18.322*LOOKUP(I26,密度!$A$2:$A$50,密度!$Q$2:$Q$50)</f>
        <v>45915.725709040002</v>
      </c>
      <c r="J25" s="91" ph="1">
        <f>J24*18.322*LOOKUP(J26,密度!$A$2:$A$50,密度!$Q$2:$Q$50)</f>
        <v>57875.426782739996</v>
      </c>
      <c r="K25" s="91" ph="1">
        <f>K24*18.322*LOOKUP(K26,密度!$A$2:$A$50,密度!$Q$2:$Q$50)</f>
        <v>95557.72023158001</v>
      </c>
      <c r="L25" s="91" ph="1">
        <f>L24*18.322*LOOKUP(L26,密度!$A$2:$A$50,密度!$Q$2:$Q$50)</f>
        <v>97204.370589280006</v>
      </c>
      <c r="M25" s="91" ph="1">
        <f>M24*18.322*LOOKUP(M26,密度!$A$2:$A$50,密度!$Q$2:$Q$50)</f>
        <v>18515.243599760001</v>
      </c>
      <c r="N25" s="91" ph="1">
        <f>N24*18.322*LOOKUP(N26,密度!$A$2:$A$50,密度!$Q$2:$Q$50)</f>
        <v>25027.621142799999</v>
      </c>
      <c r="O25" s="91" ph="1">
        <f>O24*18.322*LOOKUP(O26,密度!$A$2:$A$50,密度!$C$2:$C$50)</f>
        <v>40538.986034399997</v>
      </c>
      <c r="P25" s="91" ph="1">
        <f>P24*11.702*LOOKUP(P26,密度!$A$2:$A$50,密度!$B$2:$B$50)</f>
        <v>12729.949317799999</v>
      </c>
      <c r="Q25" s="92" ph="1">
        <f>Q24*18.322*LOOKUP(Q26,密度!$A$2:$A$50,密度!$B$2:$B$50)</f>
        <v>65462.576693399998</v>
      </c>
      <c r="R25" s="91" ph="1">
        <f>R24*35.891*LOOKUP(R26,密度!$A$2:$A$50,密度!$C$2:$C$50)</f>
        <v>2702.7071511999998</v>
      </c>
      <c r="S25" s="91" ph="1">
        <f>S24*35.891*LOOKUP(S26,密度!$A$2:$A$50,密度!$B$2:$B$50)</f>
        <v>70413.253645799996</v>
      </c>
      <c r="T25" s="91" ph="1">
        <f>T24*35.891*LOOKUP(T26,密度!$A$2:$A$50,密度!$Q$2:$Q$50)</f>
        <v>59826.882330259999</v>
      </c>
      <c r="U25" s="91" ph="1">
        <f>U24*35.891</f>
        <v>191729.72199999998</v>
      </c>
      <c r="V25" s="91" ph="1">
        <f>V24*47.051*LOOKUP(V26,密度!$A$2:$A$50,密度!$B$2:$B$50)</f>
        <v>343390.32774780004</v>
      </c>
      <c r="W25" s="91" ph="1">
        <f>W24*47.051*LOOKUP(W26,密度!$A$2:$A$50,密度!$B$2:$B$50)</f>
        <v>393497.05964790005</v>
      </c>
      <c r="X25" s="91" ph="1">
        <f>X24*47.051*LOOKUP(X26,密度!$A$2:$A$50,密度!$I$2:$I$50)</f>
        <v>268934.68923239998</v>
      </c>
      <c r="Y25" s="91" ph="1">
        <f>Y24*47.051*LOOKUP(Y26,密度!$A$2:$A$50,密度!$L$2:$L$50)</f>
        <v>255654.43156000003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37" ph="1"/>
      <c r="C26" s="68" t="s" ph="1">
        <v>180</v>
      </c>
      <c r="D26" s="74">
        <v>25</v>
      </c>
      <c r="E26" s="74">
        <v>25</v>
      </c>
      <c r="F26" s="74">
        <v>27</v>
      </c>
      <c r="G26" s="74">
        <v>28</v>
      </c>
      <c r="H26" s="74">
        <v>28</v>
      </c>
      <c r="I26" s="74">
        <v>27</v>
      </c>
      <c r="J26" s="74">
        <v>26</v>
      </c>
      <c r="K26" s="74">
        <v>26</v>
      </c>
      <c r="L26" s="74">
        <v>26</v>
      </c>
      <c r="M26" s="74">
        <v>27</v>
      </c>
      <c r="N26" s="74">
        <v>27</v>
      </c>
      <c r="O26" s="74">
        <v>27</v>
      </c>
      <c r="P26" s="74">
        <v>26</v>
      </c>
      <c r="Q26" s="93">
        <v>27</v>
      </c>
      <c r="R26" s="74">
        <v>27</v>
      </c>
      <c r="S26" s="74">
        <v>27</v>
      </c>
      <c r="T26" s="74">
        <v>26</v>
      </c>
      <c r="U26" s="74">
        <v>26</v>
      </c>
      <c r="V26" s="74">
        <v>27</v>
      </c>
      <c r="W26" s="74">
        <v>27</v>
      </c>
      <c r="X26" s="74">
        <v>30</v>
      </c>
      <c r="Y26" s="74">
        <v>30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65" ph="1">
      <c r="A27" s="72" ph="1"/>
      <c r="B27" s="237" ph="1">
        <v>0.66666666666666663</v>
      </c>
      <c r="C27" s="156" t="s" ph="1">
        <v>181</v>
      </c>
      <c r="D27" s="71">
        <v>79.510000000000005</v>
      </c>
      <c r="E27" s="71">
        <v>4.45</v>
      </c>
      <c r="F27" s="71">
        <v>3642</v>
      </c>
      <c r="G27" s="71">
        <v>1563</v>
      </c>
      <c r="H27" s="71">
        <v>1118</v>
      </c>
      <c r="I27" s="71">
        <v>2649</v>
      </c>
      <c r="J27" s="71">
        <v>4894</v>
      </c>
      <c r="K27" s="71">
        <v>5510</v>
      </c>
      <c r="L27" s="71">
        <v>5604</v>
      </c>
      <c r="M27" s="71">
        <v>2219</v>
      </c>
      <c r="N27" s="71">
        <v>1814</v>
      </c>
      <c r="O27" s="71">
        <v>4320</v>
      </c>
      <c r="P27" s="71">
        <v>1395</v>
      </c>
      <c r="Q27" s="90">
        <v>2459</v>
      </c>
      <c r="R27" s="71">
        <v>64</v>
      </c>
      <c r="S27" s="71">
        <v>3821</v>
      </c>
      <c r="T27" s="71">
        <v>1760</v>
      </c>
      <c r="U27" s="71">
        <v>5219</v>
      </c>
      <c r="V27" s="71">
        <v>9866</v>
      </c>
      <c r="W27" s="71">
        <v>11211</v>
      </c>
      <c r="X27" s="71">
        <v>5515</v>
      </c>
      <c r="Y27" s="71">
        <v>6583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37" ph="1"/>
      <c r="C28" s="156" t="s" ph="1">
        <v>179</v>
      </c>
      <c r="D28" s="91" ph="1">
        <f>D27*268.68*LOOKUP(D29,密度!$A$2:$A$50,密度!$Q$2:$Q$50)+IF(D27&lt;=0,0,1566*LOOKUP(D29,密度!$A$2:$A$50,密度!$Q$2:$Q$50))</f>
        <v>21707.561745432002</v>
      </c>
      <c r="E28" s="91" ph="1">
        <f>E27*268.68*LOOKUP(E29,密度!$A$2:$A$50,密度!$C$2:$C$50)+IF(E27&lt;=0,0,1566*LOOKUP(E29,密度!$A$2:$A$50,密度!$C$2:$C$50))</f>
        <v>3062.3670714</v>
      </c>
      <c r="F28" s="91" ph="1">
        <f>F27*11.702*LOOKUP(F29,密度!$A$2:$A$50,密度!$Q$2:$Q$50)</f>
        <v>40142.5384596</v>
      </c>
      <c r="G28" s="91" ph="1">
        <f>G27*18.322*LOOKUP(G29,密度!$A$2:$A$50,密度!$B$2:$B$50)</f>
        <v>22150.940720999999</v>
      </c>
      <c r="H28" s="91" ph="1">
        <f>H27*18.322*LOOKUP(H29,密度!$A$2:$A$50,密度!$B$2:$B$50)</f>
        <v>15844.370905999998</v>
      </c>
      <c r="I28" s="91" ph="1">
        <f>I27*18.322*LOOKUP(I29,密度!$A$2:$A$50,密度!$Q$2:$Q$50)</f>
        <v>45683.548042499999</v>
      </c>
      <c r="J28" s="91" ph="1">
        <f>J27*18.322*LOOKUP(J29,密度!$A$2:$A$50,密度!$Q$2:$Q$50)</f>
        <v>84399.880755000006</v>
      </c>
      <c r="K28" s="91" ph="1">
        <f>K27*18.322*LOOKUP(K29,密度!$A$2:$A$50,密度!$Q$2:$Q$50)</f>
        <v>95023.159574999998</v>
      </c>
      <c r="L28" s="91" ph="1">
        <f>L27*18.322*LOOKUP(L29,密度!$A$2:$A$50,密度!$Q$2:$Q$50)</f>
        <v>96576.477847920003</v>
      </c>
      <c r="M28" s="91" ph="1">
        <f>M27*18.322*LOOKUP(M29,密度!$A$2:$A$50,密度!$Q$2:$Q$50)</f>
        <v>38214.687528919996</v>
      </c>
      <c r="N28" s="91" ph="1">
        <f>N27*18.322*LOOKUP(N29,密度!$A$2:$A$50,密度!$Q$2:$Q$50)</f>
        <v>31283.486655000001</v>
      </c>
      <c r="O28" s="91" ph="1">
        <f>O27*18.322*LOOKUP(O29,密度!$A$2:$A$50,密度!$C$2:$C$50)</f>
        <v>87224.446079999994</v>
      </c>
      <c r="P28" s="91" ph="1">
        <f>P27*11.702*LOOKUP(P29,密度!$A$2:$A$50,密度!$B$2:$B$50)</f>
        <v>12626.838314999999</v>
      </c>
      <c r="Q28" s="92" ph="1">
        <f>Q27*18.322*LOOKUP(Q29,密度!$A$2:$A$50,密度!$B$2:$B$50)</f>
        <v>34849.112752999994</v>
      </c>
      <c r="R28" s="91" ph="1">
        <f>R27*35.891*LOOKUP(R29,密度!$A$2:$A$50,密度!$C$2:$C$50)</f>
        <v>2531.3204479999999</v>
      </c>
      <c r="S28" s="91" ph="1">
        <f>S27*35.891*LOOKUP(S29,密度!$A$2:$A$50,密度!$B$2:$B$50)</f>
        <v>105967.7001497</v>
      </c>
      <c r="T28" s="91" ph="1">
        <f>T27*35.891*LOOKUP(T29,密度!$A$2:$A$50,密度!$Q$2:$Q$50)</f>
        <v>59415.3396144</v>
      </c>
      <c r="U28" s="91" ph="1">
        <f>U27*35.891</f>
        <v>187315.12899999999</v>
      </c>
      <c r="V28" s="91" ph="1">
        <f>V27*47.051*LOOKUP(V29,密度!$A$2:$A$50,密度!$B$2:$B$50)</f>
        <v>358691.33176820003</v>
      </c>
      <c r="W28" s="91" ph="1">
        <f>W27*47.051*LOOKUP(W29,密度!$A$2:$A$50,密度!$B$2:$B$50)</f>
        <v>408012.55663350003</v>
      </c>
      <c r="X28" s="91" ph="1">
        <f>X27*47.051*LOOKUP(X29,密度!$A$2:$A$50,密度!$I$2:$I$50)</f>
        <v>267548.50325354998</v>
      </c>
      <c r="Y28" s="91" ph="1">
        <f>Y27*47.051*LOOKUP(Y29,密度!$A$2:$A$50,密度!$L$2:$L$50)</f>
        <v>287435.68822400004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37" ph="1"/>
      <c r="C29" s="156" t="s" ph="1">
        <v>180</v>
      </c>
      <c r="D29" s="74">
        <v>25</v>
      </c>
      <c r="E29" s="74">
        <v>25</v>
      </c>
      <c r="F29" s="74">
        <v>32</v>
      </c>
      <c r="G29" s="74">
        <v>32</v>
      </c>
      <c r="H29" s="74">
        <v>32</v>
      </c>
      <c r="I29" s="74">
        <v>33</v>
      </c>
      <c r="J29" s="74">
        <v>33</v>
      </c>
      <c r="K29" s="74">
        <v>33</v>
      </c>
      <c r="L29" s="74">
        <v>34</v>
      </c>
      <c r="M29" s="74">
        <v>35</v>
      </c>
      <c r="N29" s="74">
        <v>33</v>
      </c>
      <c r="O29" s="74">
        <v>33</v>
      </c>
      <c r="P29" s="74">
        <v>32</v>
      </c>
      <c r="Q29" s="93">
        <v>32</v>
      </c>
      <c r="R29" s="74">
        <v>33</v>
      </c>
      <c r="S29" s="74">
        <v>33</v>
      </c>
      <c r="T29" s="74">
        <v>34</v>
      </c>
      <c r="U29" s="74">
        <v>34</v>
      </c>
      <c r="V29" s="74">
        <v>33</v>
      </c>
      <c r="W29" s="74">
        <v>32</v>
      </c>
      <c r="X29" s="74">
        <v>35</v>
      </c>
      <c r="Y29" s="74">
        <v>34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45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56" t="s" ph="1">
        <v>5</v>
      </c>
      <c r="F32" s="157" t="s" ph="1">
        <v>43</v>
      </c>
      <c r="G32" s="97" t="s" ph="1">
        <v>4</v>
      </c>
      <c r="H32" s="156" t="s" ph="1">
        <v>5</v>
      </c>
      <c r="I32" s="157" t="s" ph="1">
        <v>43</v>
      </c>
      <c r="J32" s="97" t="s" ph="1">
        <v>4</v>
      </c>
      <c r="K32" s="156" t="s" ph="1">
        <v>5</v>
      </c>
      <c r="L32" s="157" t="s" ph="1">
        <v>43</v>
      </c>
      <c r="M32" s="97" t="s" ph="1">
        <v>4</v>
      </c>
      <c r="N32" s="156" t="s" ph="1">
        <v>5</v>
      </c>
      <c r="O32" s="157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6" t="s" ph="1">
        <v>5</v>
      </c>
      <c r="U32" s="99" t="s" ph="1">
        <v>43</v>
      </c>
      <c r="V32" s="97" t="s" ph="1">
        <v>4</v>
      </c>
      <c r="W32" s="156" t="s" ph="1">
        <v>5</v>
      </c>
      <c r="X32" s="99" t="s" ph="1">
        <v>43</v>
      </c>
      <c r="Y32" s="100" t="s" ph="1">
        <v>4</v>
      </c>
      <c r="Z32" s="156" t="s" ph="1">
        <v>5</v>
      </c>
      <c r="AA32" s="157" t="s" ph="1">
        <v>43</v>
      </c>
      <c r="AB32" s="97" t="s" ph="1">
        <v>85</v>
      </c>
      <c r="AC32" s="156" t="s" ph="1">
        <v>84</v>
      </c>
      <c r="AD32" s="204" t="s" ph="1">
        <v>83</v>
      </c>
      <c r="AE32" s="205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06" t="s" ph="1">
        <v>182</v>
      </c>
      <c r="C33" s="207" ph="1"/>
      <c r="D33" s="186" ph="1">
        <f>AA10+AB10+Z19</f>
        <v>53706.672646799998</v>
      </c>
      <c r="E33" s="186" ph="1">
        <f>M10+I10</f>
        <v>148454.57141899999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[[#This Row],[F25]]</f>
        <v>3880</v>
      </c>
      <c r="G33" s="212" ph="1">
        <v>0</v>
      </c>
      <c r="H33" s="186" ph="1">
        <f>N19</f>
        <v>26200.112523199998</v>
      </c>
      <c r="I33" s="190" ph="1">
        <v>0</v>
      </c>
      <c r="J33" s="194" ph="1">
        <f>F10+O28</f>
        <v>287958.94536419999</v>
      </c>
      <c r="K33" s="186" ph="1">
        <f>O10+K10+E28+R28</f>
        <v>93447.669969800016</v>
      </c>
      <c r="L33" s="196" ph="1">
        <f>BE27</f>
        <v>7100</v>
      </c>
      <c r="M33" s="194" ph="1">
        <f>G10+H10+W28+S28+V28+E10</f>
        <v>1783317.7099364002</v>
      </c>
      <c r="N33" s="186" ph="1">
        <f>L10+P10++G28+H28</f>
        <v>171284.21978699998</v>
      </c>
      <c r="O33" s="190" ph="1">
        <f>BE17</f>
        <v>2270</v>
      </c>
      <c r="P33" s="194" ph="1">
        <f>L19</f>
        <v>33686.797725770004</v>
      </c>
      <c r="Q33" s="186" ph="1">
        <f>J10+N10</f>
        <v>37972.927310399995</v>
      </c>
      <c r="R33" s="190" ph="1">
        <f>BE23</f>
        <v>890</v>
      </c>
      <c r="S33" s="194" ph="1">
        <f>E10+X28</f>
        <v>586097.27561354998</v>
      </c>
      <c r="T33" s="186" ph="1">
        <f>X19</f>
        <v>4945.0324856400002</v>
      </c>
      <c r="U33" s="175" ph="1">
        <f>BE21</f>
        <v>730</v>
      </c>
      <c r="V33" s="188" ph="1">
        <f ca="1">P19+Q19+S19+M28+N28+J28</f>
        <v>304446.41042448604</v>
      </c>
      <c r="W33" s="188" ph="1">
        <f>D28+F28+V19+T28</f>
        <v>125315.940596352</v>
      </c>
      <c r="X33" s="190" ph="1">
        <f>BE29+BE31</f>
        <v>10200</v>
      </c>
      <c r="Y33" s="192" ph="1">
        <f>+Q10+R10+S10+T10+U10+V10+W10+X10+Y10</f>
        <v>117903.27253320001</v>
      </c>
      <c r="Z33" s="173" ph="1">
        <f>D10+T19+U19+Y28+Z10</f>
        <v>407746.64553921006</v>
      </c>
      <c r="AA33" s="175" ph="1">
        <f>BE19</f>
        <v>1440</v>
      </c>
      <c r="AB33" s="177" ph="1">
        <f>I19</f>
        <v>24138.744536400001</v>
      </c>
      <c r="AC33" s="179" ph="1">
        <f>AD10</f>
        <v>85759.162675200001</v>
      </c>
      <c r="AD33" s="181" ph="1">
        <v>0</v>
      </c>
      <c r="AE33" s="182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85" t="s" ph="1">
        <v>639</v>
      </c>
      <c r="AD35" s="185"/>
      <c r="AE35" s="185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45" ph="1">
      <c r="A36" s="64"/>
      <c r="B36" s="103" t="s" ph="1">
        <v>183</v>
      </c>
      <c r="I36" s="171" t="s" ph="1">
        <v>184</v>
      </c>
      <c r="J36" s="171" ph="1"/>
      <c r="K36" s="101" ph="1"/>
      <c r="P36" s="101" ph="1"/>
      <c r="R36" s="171" t="s" ph="1">
        <v>185</v>
      </c>
      <c r="S36" s="171" ph="1"/>
      <c r="Y36" s="102" ph="1"/>
      <c r="Z36" s="158" t="s" ph="1">
        <v>186</v>
      </c>
      <c r="AA36" s="158" ph="1"/>
      <c r="AB36" s="172" t="s" ph="1">
        <v>644</v>
      </c>
      <c r="AC36" s="172" ph="1"/>
      <c r="AD36" s="172" ph="1"/>
      <c r="AE36" s="172" ph="1"/>
      <c r="BA36" s="64" ph="1">
        <v>2270</v>
      </c>
    </row>
    <row r="37" spans="1:57" s="158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8" t="s" ph="1">
        <v>345</v>
      </c>
      <c r="AI37" s="158" t="s" ph="1">
        <v>212</v>
      </c>
      <c r="AJ37" s="158" t="s" ph="1">
        <v>213</v>
      </c>
      <c r="AK37" s="158" t="s" ph="1">
        <v>214</v>
      </c>
      <c r="AM37" s="158" t="s" ph="1">
        <v>213</v>
      </c>
      <c r="AN37" s="158" t="s" ph="1">
        <v>214</v>
      </c>
      <c r="AO37" s="158" t="s" ph="1">
        <v>215</v>
      </c>
      <c r="AP37" s="158" t="s" ph="1">
        <v>213</v>
      </c>
      <c r="AQ37" s="158" t="s" ph="1">
        <v>214</v>
      </c>
      <c r="AR37" s="158" t="s" ph="1">
        <v>215</v>
      </c>
      <c r="AS37" s="158" t="s" ph="1">
        <v>213</v>
      </c>
      <c r="AT37" s="158" t="s" ph="1">
        <v>214</v>
      </c>
      <c r="AU37" s="158" t="s" ph="1">
        <v>215</v>
      </c>
      <c r="AV37" s="158" t="s" ph="1">
        <v>213</v>
      </c>
      <c r="AW37" s="158" t="s" ph="1">
        <v>214</v>
      </c>
      <c r="AX37" s="158" t="s" ph="1">
        <v>215</v>
      </c>
      <c r="AY37" s="158" t="s" ph="1">
        <v>214</v>
      </c>
      <c r="AZ37" s="158" t="s" ph="1">
        <v>216</v>
      </c>
      <c r="BD37" s="158" t="s" ph="1">
        <v>308</v>
      </c>
      <c r="BE37" s="158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888" priority="97">
      <formula>ABS(D$7-D$10)&gt;=1000</formula>
    </cfRule>
  </conditionalFormatting>
  <conditionalFormatting sqref="E4 E6:E11">
    <cfRule type="expression" dxfId="887" priority="96">
      <formula>ABS(E$7-E$10)&gt;=1000</formula>
    </cfRule>
  </conditionalFormatting>
  <conditionalFormatting sqref="F4:F11">
    <cfRule type="expression" dxfId="886" priority="95">
      <formula>ABS(F$7-F$10)&gt;=1000</formula>
    </cfRule>
  </conditionalFormatting>
  <conditionalFormatting sqref="G4:G11">
    <cfRule type="expression" dxfId="885" priority="94">
      <formula>ABS(G$7-G$10)&gt;=1000</formula>
    </cfRule>
  </conditionalFormatting>
  <conditionalFormatting sqref="H4:H11">
    <cfRule type="expression" dxfId="884" priority="93">
      <formula>ABS(H$7-H$10)&gt;=1000</formula>
    </cfRule>
  </conditionalFormatting>
  <conditionalFormatting sqref="I4:I11">
    <cfRule type="expression" dxfId="883" priority="92">
      <formula>ABS(I$7-I$10)&gt;=1000</formula>
    </cfRule>
  </conditionalFormatting>
  <conditionalFormatting sqref="J4:J11">
    <cfRule type="expression" dxfId="882" priority="91">
      <formula>ABS(J$7-J$10)&gt;=1000</formula>
    </cfRule>
  </conditionalFormatting>
  <conditionalFormatting sqref="K4:K11">
    <cfRule type="expression" dxfId="881" priority="90">
      <formula>ABS(K$7-K$10)&gt;=1000</formula>
    </cfRule>
  </conditionalFormatting>
  <conditionalFormatting sqref="L4:L11">
    <cfRule type="expression" dxfId="880" priority="89">
      <formula>ABS(L$7-L$10)&gt;=1000</formula>
    </cfRule>
  </conditionalFormatting>
  <conditionalFormatting sqref="M4 M6:M11">
    <cfRule type="expression" dxfId="879" priority="88">
      <formula>ABS(M$7-M$10)&gt;=1000</formula>
    </cfRule>
  </conditionalFormatting>
  <conditionalFormatting sqref="N4 N6:N11">
    <cfRule type="expression" dxfId="878" priority="87">
      <formula>ABS(N$7-N$10)&gt;=1000</formula>
    </cfRule>
  </conditionalFormatting>
  <conditionalFormatting sqref="O4 O6:O11">
    <cfRule type="expression" dxfId="877" priority="86">
      <formula>ABS(O$7-O$10)&gt;=1000</formula>
    </cfRule>
  </conditionalFormatting>
  <conditionalFormatting sqref="P4 P6:P11">
    <cfRule type="expression" dxfId="876" priority="85">
      <formula>ABS(P$7-P$10)&gt;=1000</formula>
    </cfRule>
  </conditionalFormatting>
  <conditionalFormatting sqref="Q4:Q11">
    <cfRule type="expression" dxfId="875" priority="84">
      <formula>ABS(Q$7-Q$10)&gt;=1000</formula>
    </cfRule>
  </conditionalFormatting>
  <conditionalFormatting sqref="R4:R11">
    <cfRule type="expression" dxfId="874" priority="83">
      <formula>ABS(R$7-R$10)&gt;=1000</formula>
    </cfRule>
  </conditionalFormatting>
  <conditionalFormatting sqref="S4:S11">
    <cfRule type="expression" dxfId="873" priority="82">
      <formula>ABS(S$7-S$10)&gt;=1000</formula>
    </cfRule>
  </conditionalFormatting>
  <conditionalFormatting sqref="T4:T9 T11">
    <cfRule type="expression" dxfId="872" priority="81">
      <formula>ABS(T$7-T$10)&gt;=1000</formula>
    </cfRule>
  </conditionalFormatting>
  <conditionalFormatting sqref="U4:U9 U11">
    <cfRule type="expression" dxfId="871" priority="80">
      <formula>ABS(U$7-U$10)&gt;=1000</formula>
    </cfRule>
  </conditionalFormatting>
  <conditionalFormatting sqref="V4:V9 V11">
    <cfRule type="expression" dxfId="870" priority="79">
      <formula>ABS(V$7-V$10)&gt;=1000</formula>
    </cfRule>
  </conditionalFormatting>
  <conditionalFormatting sqref="W4:W9 W11">
    <cfRule type="expression" dxfId="869" priority="78">
      <formula>ABS(W$7-W$10)&gt;=1000</formula>
    </cfRule>
  </conditionalFormatting>
  <conditionalFormatting sqref="X4:X9 X11">
    <cfRule type="expression" dxfId="868" priority="77">
      <formula>ABS(X$7-X$10)&gt;=1000</formula>
    </cfRule>
  </conditionalFormatting>
  <conditionalFormatting sqref="Y4:Y9 Y11">
    <cfRule type="expression" dxfId="867" priority="76">
      <formula>ABS(Y$7-Y$10)&gt;=1000</formula>
    </cfRule>
  </conditionalFormatting>
  <conditionalFormatting sqref="Z4:Z11">
    <cfRule type="expression" dxfId="866" priority="75">
      <formula>ABS(Z$7-Z$10)&gt;=1000</formula>
    </cfRule>
  </conditionalFormatting>
  <conditionalFormatting sqref="AA4:AA11">
    <cfRule type="expression" dxfId="865" priority="74">
      <formula>ABS(AA$7-AA$10)&gt;=1000</formula>
    </cfRule>
  </conditionalFormatting>
  <conditionalFormatting sqref="AB4:AB11">
    <cfRule type="expression" dxfId="864" priority="73">
      <formula>ABS(AB$7-AB$10)&gt;=1000</formula>
    </cfRule>
  </conditionalFormatting>
  <conditionalFormatting sqref="AC4 AC6:AC11">
    <cfRule type="expression" dxfId="863" priority="72">
      <formula>ABS(AC$7-AC$10)&gt;=1000</formula>
    </cfRule>
  </conditionalFormatting>
  <conditionalFormatting sqref="AD4:AD11">
    <cfRule type="expression" dxfId="862" priority="71">
      <formula>ABS(AD$7-AD$10)&gt;=1000</formula>
    </cfRule>
  </conditionalFormatting>
  <conditionalFormatting sqref="AE4:AE11">
    <cfRule type="expression" dxfId="861" priority="70">
      <formula>ABS(AE$7-AE$10)&gt;=1000</formula>
    </cfRule>
  </conditionalFormatting>
  <conditionalFormatting sqref="D13:D20">
    <cfRule type="expression" dxfId="860" priority="69">
      <formula>ABS(D$16-D$19)&gt;=1000</formula>
    </cfRule>
  </conditionalFormatting>
  <conditionalFormatting sqref="E13:E20">
    <cfRule type="expression" dxfId="859" priority="68">
      <formula>ABS(E$16-E$19)&gt;=1000</formula>
    </cfRule>
  </conditionalFormatting>
  <conditionalFormatting sqref="F13 F15:F20">
    <cfRule type="expression" dxfId="858" priority="67">
      <formula>ABS(F$16-F$19)&gt;=1000</formula>
    </cfRule>
  </conditionalFormatting>
  <conditionalFormatting sqref="G13:G20">
    <cfRule type="expression" dxfId="857" priority="66">
      <formula>ABS(G$16-G$19)&gt;=1000</formula>
    </cfRule>
  </conditionalFormatting>
  <conditionalFormatting sqref="H13:H20">
    <cfRule type="expression" dxfId="856" priority="65">
      <formula>ABS(H$16-H$19)&gt;=1000</formula>
    </cfRule>
  </conditionalFormatting>
  <conditionalFormatting sqref="I13:I20">
    <cfRule type="expression" dxfId="855" priority="64">
      <formula>ABS(I$16-I$19)&gt;=1000</formula>
    </cfRule>
  </conditionalFormatting>
  <conditionalFormatting sqref="J13:J20">
    <cfRule type="expression" dxfId="854" priority="63">
      <formula>ABS(J$16-J$19)&gt;=1000</formula>
    </cfRule>
  </conditionalFormatting>
  <conditionalFormatting sqref="L13:L20">
    <cfRule type="expression" dxfId="853" priority="62">
      <formula>ABS(L$16-L$19)&gt;=1000</formula>
    </cfRule>
  </conditionalFormatting>
  <conditionalFormatting sqref="M13 M15 M17:M18 M20">
    <cfRule type="expression" dxfId="852" priority="61">
      <formula>ABS(M$16-M$19)&gt;=1000</formula>
    </cfRule>
  </conditionalFormatting>
  <conditionalFormatting sqref="N13:N20">
    <cfRule type="expression" dxfId="851" priority="60">
      <formula>ABS(N$16-N$19)&gt;=1000</formula>
    </cfRule>
  </conditionalFormatting>
  <conditionalFormatting sqref="O13:O20">
    <cfRule type="expression" dxfId="850" priority="59">
      <formula>ABS(O$16-O$19)&gt;=1000</formula>
    </cfRule>
  </conditionalFormatting>
  <conditionalFormatting sqref="P13:P20">
    <cfRule type="expression" dxfId="849" priority="58">
      <formula>ABS(P$16-P$19)&gt;=1000</formula>
    </cfRule>
  </conditionalFormatting>
  <conditionalFormatting sqref="Q13 Q15:Q20">
    <cfRule type="expression" dxfId="848" priority="57">
      <formula>ABS(Q$16-Q$19)&gt;=1000</formula>
    </cfRule>
  </conditionalFormatting>
  <conditionalFormatting sqref="R13:R20">
    <cfRule type="expression" dxfId="847" priority="56">
      <formula>ABS(R$16-R$19)&gt;=1000</formula>
    </cfRule>
  </conditionalFormatting>
  <conditionalFormatting sqref="S13:S20">
    <cfRule type="expression" dxfId="846" priority="55">
      <formula>ABS(S$16-S$19)&gt;=1000</formula>
    </cfRule>
  </conditionalFormatting>
  <conditionalFormatting sqref="T13:T20">
    <cfRule type="expression" dxfId="845" priority="54">
      <formula>ABS(T$16-T$19)&gt;=1000</formula>
    </cfRule>
  </conditionalFormatting>
  <conditionalFormatting sqref="U13:U20">
    <cfRule type="expression" dxfId="844" priority="53">
      <formula>ABS(U$16-U$19)&gt;=1000</formula>
    </cfRule>
  </conditionalFormatting>
  <conditionalFormatting sqref="V13:V20">
    <cfRule type="expression" dxfId="843" priority="52">
      <formula>ABS(V$16-V$19)&gt;=1000</formula>
    </cfRule>
  </conditionalFormatting>
  <conditionalFormatting sqref="W13 W20 W15:W18">
    <cfRule type="expression" dxfId="842" priority="51">
      <formula>ABS(W$16-W$19)&gt;=1000</formula>
    </cfRule>
  </conditionalFormatting>
  <conditionalFormatting sqref="X13 X15:X20 Y19">
    <cfRule type="expression" dxfId="841" priority="50">
      <formula>ABS(X$16-X$19)&gt;=1000</formula>
    </cfRule>
  </conditionalFormatting>
  <conditionalFormatting sqref="Y13 Y15:Y18 Y20">
    <cfRule type="expression" dxfId="840" priority="49">
      <formula>ABS(Y$16-Y$19)&gt;=1000</formula>
    </cfRule>
  </conditionalFormatting>
  <conditionalFormatting sqref="Z13:Z20">
    <cfRule type="expression" dxfId="839" priority="48">
      <formula>ABS(Z$16-Z$19)&gt;=1000</formula>
    </cfRule>
  </conditionalFormatting>
  <conditionalFormatting sqref="AA13:AA20">
    <cfRule type="expression" dxfId="838" priority="47">
      <formula>ABS(AA$16-AA$19)&gt;=1000</formula>
    </cfRule>
  </conditionalFormatting>
  <conditionalFormatting sqref="AB13 AB15:AB20">
    <cfRule type="expression" dxfId="837" priority="46">
      <formula>ABS(AB$16-AB$19)&gt;=1000</formula>
    </cfRule>
  </conditionalFormatting>
  <conditionalFormatting sqref="AC13 AC15:AC20">
    <cfRule type="expression" dxfId="836" priority="45">
      <formula>ABS(AC$16-AC$19)&gt;=1000</formula>
    </cfRule>
  </conditionalFormatting>
  <conditionalFormatting sqref="AD13:AD20">
    <cfRule type="expression" dxfId="835" priority="44">
      <formula>ABS(AD$16-AD$19)&gt;=1000</formula>
    </cfRule>
  </conditionalFormatting>
  <conditionalFormatting sqref="AE13:AE20">
    <cfRule type="expression" dxfId="834" priority="43">
      <formula>ABS(AE$16-AE$19)&gt;=1000</formula>
    </cfRule>
  </conditionalFormatting>
  <conditionalFormatting sqref="D22:D29">
    <cfRule type="expression" dxfId="833" priority="42">
      <formula>ABS(D$25-D$28)&gt;=1000</formula>
    </cfRule>
  </conditionalFormatting>
  <conditionalFormatting sqref="E22:E29">
    <cfRule type="expression" dxfId="832" priority="41">
      <formula>ABS(E$25-E$28)&gt;=1000</formula>
    </cfRule>
  </conditionalFormatting>
  <conditionalFormatting sqref="F22:F29">
    <cfRule type="expression" dxfId="831" priority="40">
      <formula>ABS(F$25-F$28)&gt;=1000</formula>
    </cfRule>
  </conditionalFormatting>
  <conditionalFormatting sqref="G22:G29">
    <cfRule type="expression" dxfId="830" priority="39">
      <formula>ABS(G$25-G$28)&gt;=1000</formula>
    </cfRule>
  </conditionalFormatting>
  <conditionalFormatting sqref="H22:H29">
    <cfRule type="expression" dxfId="829" priority="38">
      <formula>ABS(H$25-H$28)&gt;=1000</formula>
    </cfRule>
  </conditionalFormatting>
  <conditionalFormatting sqref="I22 I24:I29">
    <cfRule type="expression" dxfId="828" priority="37">
      <formula>ABS(I$25-I$28)&gt;=1000</formula>
    </cfRule>
  </conditionalFormatting>
  <conditionalFormatting sqref="J22:J29 K22">
    <cfRule type="expression" dxfId="827" priority="36">
      <formula>ABS(J$25-J$28)&gt;=1000</formula>
    </cfRule>
  </conditionalFormatting>
  <conditionalFormatting sqref="K23:K29 L25 L28">
    <cfRule type="expression" dxfId="826" priority="35">
      <formula>ABS(K$25-K$28)&gt;=1000</formula>
    </cfRule>
  </conditionalFormatting>
  <conditionalFormatting sqref="L22 L26:L27 L29 L24">
    <cfRule type="expression" dxfId="825" priority="34">
      <formula>ABS(L$25-L$28)&gt;=1000</formula>
    </cfRule>
  </conditionalFormatting>
  <conditionalFormatting sqref="M22:M29">
    <cfRule type="expression" dxfId="824" priority="33">
      <formula>ABS(M$25-M$28)&gt;=1000</formula>
    </cfRule>
  </conditionalFormatting>
  <conditionalFormatting sqref="N22:N29">
    <cfRule type="expression" dxfId="823" priority="32">
      <formula>ABS(N$25-N$28)&gt;=1000</formula>
    </cfRule>
  </conditionalFormatting>
  <conditionalFormatting sqref="O22:O29">
    <cfRule type="expression" dxfId="822" priority="31">
      <formula>ABS(O$25-O$28)&gt;=1000</formula>
    </cfRule>
  </conditionalFormatting>
  <conditionalFormatting sqref="P22:P29">
    <cfRule type="expression" dxfId="821" priority="30">
      <formula>ABS(P$25-P$28)&gt;=1000</formula>
    </cfRule>
  </conditionalFormatting>
  <conditionalFormatting sqref="Q22:Q29">
    <cfRule type="expression" dxfId="820" priority="29">
      <formula>ABS(Q$25-Q$28)&gt;=1000</formula>
    </cfRule>
  </conditionalFormatting>
  <conditionalFormatting sqref="R22:R29">
    <cfRule type="expression" dxfId="819" priority="28">
      <formula>ABS(R$25-R$28)&gt;=1000</formula>
    </cfRule>
  </conditionalFormatting>
  <conditionalFormatting sqref="S22:S29">
    <cfRule type="expression" dxfId="818" priority="27">
      <formula>ABS(S$25-S$28)&gt;=1000</formula>
    </cfRule>
  </conditionalFormatting>
  <conditionalFormatting sqref="T22:T29">
    <cfRule type="expression" dxfId="817" priority="26">
      <formula>ABS(T$25-T$28)&gt;=1000</formula>
    </cfRule>
  </conditionalFormatting>
  <conditionalFormatting sqref="U22:U29">
    <cfRule type="expression" dxfId="816" priority="25">
      <formula>ABS(U$25-U$28)&gt;=1000</formula>
    </cfRule>
  </conditionalFormatting>
  <conditionalFormatting sqref="V22:V29">
    <cfRule type="expression" dxfId="815" priority="24">
      <formula>ABS(V$25-V$28)&gt;=1000</formula>
    </cfRule>
  </conditionalFormatting>
  <conditionalFormatting sqref="W22:W29">
    <cfRule type="expression" dxfId="814" priority="23">
      <formula>ABS(W$25-W$28)&gt;=1000</formula>
    </cfRule>
  </conditionalFormatting>
  <conditionalFormatting sqref="X22:X29">
    <cfRule type="expression" dxfId="813" priority="22">
      <formula>ABS(X$25-X$28)&gt;=1000</formula>
    </cfRule>
  </conditionalFormatting>
  <conditionalFormatting sqref="Y22:Y29">
    <cfRule type="expression" dxfId="812" priority="21">
      <formula>ABS(Y$25-Y$28)&gt;=1000</formula>
    </cfRule>
  </conditionalFormatting>
  <conditionalFormatting sqref="I23">
    <cfRule type="expression" dxfId="811" priority="20">
      <formula>ABS(I$25-I$28)&gt;=1000</formula>
    </cfRule>
  </conditionalFormatting>
  <conditionalFormatting sqref="F14">
    <cfRule type="expression" dxfId="810" priority="19">
      <formula>ABS(F$16-F$19)&gt;=1000</formula>
    </cfRule>
  </conditionalFormatting>
  <conditionalFormatting sqref="Q14">
    <cfRule type="expression" dxfId="809" priority="18">
      <formula>ABS(Q$16-Q$19)&gt;=1000</formula>
    </cfRule>
  </conditionalFormatting>
  <conditionalFormatting sqref="W14">
    <cfRule type="expression" dxfId="808" priority="17">
      <formula>ABS(W$16-W$19)&gt;=1000</formula>
    </cfRule>
  </conditionalFormatting>
  <conditionalFormatting sqref="Y14">
    <cfRule type="expression" dxfId="807" priority="16">
      <formula>ABS(Y$16-Y$19)&gt;=1000</formula>
    </cfRule>
  </conditionalFormatting>
  <conditionalFormatting sqref="X14">
    <cfRule type="expression" dxfId="806" priority="15">
      <formula>ABS(X$16-X$19)&gt;=1000</formula>
    </cfRule>
  </conditionalFormatting>
  <conditionalFormatting sqref="T10:Y10">
    <cfRule type="expression" dxfId="805" priority="14">
      <formula>ABS(T$7-T$10)&gt;=1000</formula>
    </cfRule>
  </conditionalFormatting>
  <conditionalFormatting sqref="W19">
    <cfRule type="expression" dxfId="804" priority="13">
      <formula>ABS(W$16-W$19)&gt;=1000</formula>
    </cfRule>
  </conditionalFormatting>
  <conditionalFormatting sqref="AC5">
    <cfRule type="expression" dxfId="803" priority="12">
      <formula>ABS(AC$7-AC$10)&gt;=1000</formula>
    </cfRule>
  </conditionalFormatting>
  <conditionalFormatting sqref="M14">
    <cfRule type="expression" dxfId="802" priority="11">
      <formula>ABS(M$16-M$19)&gt;=1000</formula>
    </cfRule>
  </conditionalFormatting>
  <conditionalFormatting sqref="M16">
    <cfRule type="expression" dxfId="801" priority="10">
      <formula>ABS(M$16-M$19)&gt;=1000</formula>
    </cfRule>
  </conditionalFormatting>
  <conditionalFormatting sqref="M19">
    <cfRule type="expression" dxfId="800" priority="9">
      <formula>ABS(M$16-M$19)&gt;=1000</formula>
    </cfRule>
  </conditionalFormatting>
  <conditionalFormatting sqref="K13:K20">
    <cfRule type="expression" dxfId="799" priority="8">
      <formula>ABS(K$16-K$19)&gt;=1000</formula>
    </cfRule>
  </conditionalFormatting>
  <conditionalFormatting sqref="E5">
    <cfRule type="expression" dxfId="798" priority="7">
      <formula>ABS(E$7-E$10)&gt;=1000</formula>
    </cfRule>
  </conditionalFormatting>
  <conditionalFormatting sqref="AB14:AC14">
    <cfRule type="expression" dxfId="797" priority="6">
      <formula>ABS(AB$16-AB$19)&gt;=1000</formula>
    </cfRule>
  </conditionalFormatting>
  <conditionalFormatting sqref="M5">
    <cfRule type="expression" dxfId="796" priority="5">
      <formula>ABS(M$7-M$10)&gt;=1000</formula>
    </cfRule>
  </conditionalFormatting>
  <conditionalFormatting sqref="N5">
    <cfRule type="expression" dxfId="795" priority="4">
      <formula>ABS(N$7-N$10)&gt;=1000</formula>
    </cfRule>
  </conditionalFormatting>
  <conditionalFormatting sqref="O5">
    <cfRule type="expression" dxfId="794" priority="3">
      <formula>ABS(O$7-O$10)&gt;=1000</formula>
    </cfRule>
  </conditionalFormatting>
  <conditionalFormatting sqref="P5">
    <cfRule type="expression" dxfId="793" priority="2">
      <formula>ABS(P$7-P$10)&gt;=1000</formula>
    </cfRule>
  </conditionalFormatting>
  <conditionalFormatting sqref="L23">
    <cfRule type="expression" dxfId="792" priority="1">
      <formula>ABS(L$25-L$28)&gt;=1000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512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345782</xdr:rowOff>
                  </from>
                  <to>
                    <xdr:col>32</xdr:col>
                    <xdr:colOff>414938</xdr:colOff>
                    <xdr:row>3</xdr:row>
                    <xdr:rowOff>30736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86">
    <pageSetUpPr fitToPage="1"/>
  </sheetPr>
  <dimension ref="A1:CU223"/>
  <sheetViews>
    <sheetView view="pageBreakPreview" topLeftCell="A11" zoomScale="80" zoomScaleNormal="100" zoomScaleSheetLayoutView="80" workbookViewId="0">
      <selection activeCell="Z23" sqref="Z23:AE29"/>
    </sheetView>
  </sheetViews>
  <sheetFormatPr defaultColWidth="8.109375" defaultRowHeight="26.05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0.9" ph="1">
      <c r="A1" s="64"/>
      <c r="B1" s="238" t="s" ph="1">
        <v>162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.05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.05" customHeight="1" ph="1">
      <c r="B3" s="240" ph="1">
        <v>45862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" customHeight="1" ph="1">
      <c r="A5" s="65" ph="1"/>
      <c r="B5" s="219" ph="1"/>
      <c r="C5" s="67" t="s" ph="1">
        <v>36</v>
      </c>
      <c r="D5" s="70" t="s" ph="1">
        <v>161</v>
      </c>
      <c r="E5" s="70" t="s" ph="1">
        <v>640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61" t="s" ph="1">
        <v>178</v>
      </c>
      <c r="D6" s="71">
        <v>790</v>
      </c>
      <c r="E6" s="71">
        <v>7997</v>
      </c>
      <c r="F6" s="71">
        <v>4937</v>
      </c>
      <c r="G6" s="71">
        <v>5671</v>
      </c>
      <c r="H6" s="71">
        <v>9149</v>
      </c>
      <c r="I6" s="71">
        <v>51.76</v>
      </c>
      <c r="J6" s="71">
        <v>7.73</v>
      </c>
      <c r="K6" s="71">
        <v>52.76</v>
      </c>
      <c r="L6" s="71">
        <v>32.93</v>
      </c>
      <c r="M6" s="71">
        <v>3949</v>
      </c>
      <c r="N6" s="71">
        <v>1400</v>
      </c>
      <c r="O6" s="71">
        <v>4010</v>
      </c>
      <c r="P6" s="71">
        <v>3287</v>
      </c>
      <c r="Q6" s="71">
        <v>0</v>
      </c>
      <c r="R6" s="71">
        <v>0</v>
      </c>
      <c r="S6" s="71">
        <v>0</v>
      </c>
      <c r="T6" s="71">
        <v>6765</v>
      </c>
      <c r="U6" s="71">
        <v>6703</v>
      </c>
      <c r="V6" s="71">
        <v>4387</v>
      </c>
      <c r="W6" s="71">
        <v>0</v>
      </c>
      <c r="X6" s="71">
        <v>0</v>
      </c>
      <c r="Y6" s="71">
        <v>0</v>
      </c>
      <c r="Z6" s="71">
        <v>1220</v>
      </c>
      <c r="AA6" s="71">
        <v>556</v>
      </c>
      <c r="AB6" s="71">
        <v>1672</v>
      </c>
      <c r="AC6" s="71">
        <v>5013</v>
      </c>
      <c r="AD6" s="71">
        <v>4383</v>
      </c>
      <c r="AE6" s="71">
        <v>2410</v>
      </c>
    </row>
    <row r="7" spans="1:99" s="72" customFormat="1" ht="22.4" ph="1">
      <c r="B7" s="237" ph="1"/>
      <c r="C7" s="68" t="s" ph="1">
        <v>179</v>
      </c>
      <c r="D7" s="73" ph="1">
        <f>D6*33.183*LOOKUP(D8,密度!$A$2:$A$50,密度!$Q$2:$Q$50)</f>
        <v>24744.7190601</v>
      </c>
      <c r="E7" s="73" ph="1">
        <f>E6*51.53*LOOKUP(E8,密度!$A$2:$A$50,密度!$B$2:$B$50)</f>
        <v>320190.36357000005</v>
      </c>
      <c r="F7" s="73" ph="1">
        <f>F6*33.183*LOOKUP(F8,密度!$A$2:$A$50,密度!$C$2:$C$50)</f>
        <v>181288.15960859999</v>
      </c>
      <c r="G7" s="73" ph="1">
        <f xml:space="preserve"> (G6+2)*51.53*LOOKUP(G8,密度!$A$2:$A$50,密度!$B$2:$B$50)</f>
        <v>226906.30537799999</v>
      </c>
      <c r="H7" s="73" ph="1">
        <f>(H6)*51.53*LOOKUP(H8,密度!$A$2:$A$50,密度!$B$2:$B$50)</f>
        <v>367540.83741199999</v>
      </c>
      <c r="I7" s="73" ph="1">
        <f>I6*290.8*1.0267</f>
        <v>15453.691273599999</v>
      </c>
      <c r="J7" s="73" ph="1">
        <f>J6*290.8*0.7892</f>
        <v>1774.0300528</v>
      </c>
      <c r="K7" s="73" ph="1">
        <f>K6*290.8*1.1126</f>
        <v>17070.185660800002</v>
      </c>
      <c r="L7" s="73" ph="1">
        <f>L6*290.8*0.777</f>
        <v>7440.5861880000002</v>
      </c>
      <c r="M7" s="73" ph="1">
        <f>M6*33.183*LOOKUP(M8,密度!$A$2:$A$50,密度!$D$2:$D$50)</f>
        <v>134040.4753743</v>
      </c>
      <c r="N7" s="73" ph="1">
        <f>N6*33.183*LOOKUP(N8,密度!$A$2:$A$50,密度!$E$2:$E$50)</f>
        <v>36226.544759999997</v>
      </c>
      <c r="O7" s="73" ph="1">
        <f>O6*20.428*LOOKUP(O8,密度!$A$2:$A$50,密度!$C$2:$C$50)</f>
        <v>90271.740560000006</v>
      </c>
      <c r="P7" s="73" ph="1">
        <f>P6*51.53*LOOKUP(P8,密度!$A$2:$A$50,密度!$B$2:$B$50)</f>
        <v>131760.00966900002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44902.115180999994</v>
      </c>
      <c r="U7" s="73" ph="1">
        <f>U6*1.5*1.5*3.1416*LOOKUP(U8,密度!$A$2:$A$50,密度!$L$2:$L$50)</f>
        <v>44301.072122999998</v>
      </c>
      <c r="V7" s="73" ph="1">
        <f>V6*1.5*1.5*3.1416*LOOKUP(V8,密度!$A$2:$A$50,密度!$L$2:$L$50)</f>
        <v>28994.301567000002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37932.814620000005</v>
      </c>
      <c r="AA7" s="73" ph="1">
        <f>AA6*33.183*LOOKUP(AA8,密度!$A$2:$A$50,密度!$D$2:$D$50)</f>
        <v>18872.247229199998</v>
      </c>
      <c r="AB7" s="73" ph="1">
        <f>AB6*20.428*LOOKUP(AB8,密度!$A$2:$A$50,密度!$D$2:$D$50)</f>
        <v>35132.466617600003</v>
      </c>
      <c r="AC7" s="73" ph="1">
        <f>AC6*51.53*LOOKUP(AC8,密度!$A$2:$A$50,密度!$Q$2:$Q$50)</f>
        <v>244014.13449180001</v>
      </c>
      <c r="AD7" s="73" ph="1">
        <f>AD6*20.428*LOOKUP(AD8,密度!$A$2:$A$50,密度!$V$2:$V$50)</f>
        <v>85739.600822399996</v>
      </c>
      <c r="AE7" s="73" ph="1">
        <f>AE6*20.428</f>
        <v>49231.48</v>
      </c>
    </row>
    <row r="8" spans="1:99" ph="1">
      <c r="B8" s="237" ph="1"/>
      <c r="C8" s="68" t="s" ph="1">
        <v>180</v>
      </c>
      <c r="D8" s="74">
        <v>29</v>
      </c>
      <c r="E8" s="74">
        <v>28</v>
      </c>
      <c r="F8" s="74">
        <v>28</v>
      </c>
      <c r="G8" s="74">
        <v>29</v>
      </c>
      <c r="H8" s="74">
        <v>25</v>
      </c>
      <c r="I8" s="74">
        <v>25</v>
      </c>
      <c r="J8" s="74">
        <v>25</v>
      </c>
      <c r="K8" s="74">
        <v>25</v>
      </c>
      <c r="L8" s="74">
        <v>25</v>
      </c>
      <c r="M8" s="74">
        <v>29</v>
      </c>
      <c r="N8" s="74">
        <v>28</v>
      </c>
      <c r="O8" s="74">
        <v>33</v>
      </c>
      <c r="P8" s="74">
        <v>27</v>
      </c>
      <c r="Q8" s="74">
        <v>28</v>
      </c>
      <c r="R8" s="74">
        <v>34</v>
      </c>
      <c r="S8" s="74">
        <v>24</v>
      </c>
      <c r="T8" s="74">
        <v>23</v>
      </c>
      <c r="U8" s="74">
        <v>27</v>
      </c>
      <c r="V8" s="74">
        <v>27</v>
      </c>
      <c r="W8" s="74">
        <v>28</v>
      </c>
      <c r="X8" s="74">
        <v>20</v>
      </c>
      <c r="Y8" s="74">
        <v>27</v>
      </c>
      <c r="Z8" s="74">
        <v>25</v>
      </c>
      <c r="AA8" s="74">
        <v>29</v>
      </c>
      <c r="AB8" s="74">
        <v>23</v>
      </c>
      <c r="AC8" s="74">
        <v>28</v>
      </c>
      <c r="AD8" s="74">
        <v>27</v>
      </c>
      <c r="AE8" s="74">
        <v>34</v>
      </c>
    </row>
    <row r="9" spans="1:99" ht="26.65" ph="1">
      <c r="B9" s="237" ph="1">
        <v>0.66666666666666663</v>
      </c>
      <c r="C9" s="161" t="s" ph="1">
        <v>181</v>
      </c>
      <c r="D9" s="71">
        <v>1031</v>
      </c>
      <c r="E9" s="71">
        <v>7997</v>
      </c>
      <c r="F9" s="71">
        <v>5510</v>
      </c>
      <c r="G9" s="71">
        <v>6654</v>
      </c>
      <c r="H9" s="71">
        <v>9154</v>
      </c>
      <c r="I9" s="71">
        <v>51.72</v>
      </c>
      <c r="J9" s="71">
        <v>7.73</v>
      </c>
      <c r="K9" s="71">
        <v>14.82</v>
      </c>
      <c r="L9" s="71">
        <v>10.25</v>
      </c>
      <c r="M9" s="71">
        <v>3950</v>
      </c>
      <c r="N9" s="71">
        <v>1402</v>
      </c>
      <c r="O9" s="71">
        <v>4076</v>
      </c>
      <c r="P9" s="71">
        <v>3353</v>
      </c>
      <c r="Q9" s="71">
        <v>0</v>
      </c>
      <c r="R9" s="71">
        <v>0</v>
      </c>
      <c r="S9" s="71">
        <v>0</v>
      </c>
      <c r="T9" s="71">
        <v>6773</v>
      </c>
      <c r="U9" s="71">
        <v>5711</v>
      </c>
      <c r="V9" s="71">
        <v>4394</v>
      </c>
      <c r="W9" s="71">
        <v>4388</v>
      </c>
      <c r="X9" s="71">
        <v>770</v>
      </c>
      <c r="Y9" s="71">
        <v>0</v>
      </c>
      <c r="Z9" s="71">
        <v>1214</v>
      </c>
      <c r="AA9" s="71">
        <v>556</v>
      </c>
      <c r="AB9" s="71">
        <v>1672</v>
      </c>
      <c r="AC9" s="71">
        <v>5011</v>
      </c>
      <c r="AD9" s="71">
        <v>4395</v>
      </c>
      <c r="AE9" s="71">
        <v>2374</v>
      </c>
    </row>
    <row r="10" spans="1:99" s="72" customFormat="1" ht="22.4" ph="1">
      <c r="B10" s="237" ph="1"/>
      <c r="C10" s="161" t="s" ph="1">
        <v>179</v>
      </c>
      <c r="D10" s="73" ph="1">
        <f>D9*33.183*LOOKUP(D11,密度!$A$2:$A$50,密度!$Q$2:$Q$50)</f>
        <v>32156.919919620002</v>
      </c>
      <c r="E10" s="73" ph="1">
        <f>E9*51.53*LOOKUP(E11,密度!$A$2:$A$50,密度!$B$2:$B$50)</f>
        <v>318418.39630700008</v>
      </c>
      <c r="F10" s="73" ph="1">
        <f>F9*33.183*LOOKUP(F11,密度!$A$2:$A$50,密度!$C$2:$C$50)</f>
        <v>201871.80015299999</v>
      </c>
      <c r="G10" s="73" ph="1">
        <f xml:space="preserve"> (G9+2)*51.53*LOOKUP(G11,密度!$A$2:$A$50,密度!$B$2:$B$50)</f>
        <v>265297.87647999998</v>
      </c>
      <c r="H10" s="73" ph="1">
        <f>(H9)*51.53*LOOKUP(H11,密度!$A$2:$A$50,密度!$B$2:$B$50)</f>
        <v>364486.93257400003</v>
      </c>
      <c r="I10" s="73" ph="1">
        <f>I9*290.8*1.0267</f>
        <v>15441.748699199999</v>
      </c>
      <c r="J10" s="73" ph="1">
        <f>J9*290.8*0.7892</f>
        <v>1774.0300528</v>
      </c>
      <c r="K10" s="73" ph="1">
        <f>K9*290.8*1.1126</f>
        <v>4794.9232656000004</v>
      </c>
      <c r="L10" s="73" ph="1">
        <f>L9*290.8*0.777</f>
        <v>2316.0039000000002</v>
      </c>
      <c r="M10" s="73" ph="1">
        <f>M9*33.183*LOOKUP(M11,密度!$A$2:$A$50,密度!$D$2:$D$50)</f>
        <v>133379.73216000001</v>
      </c>
      <c r="N10" s="73" ph="1">
        <f>N9*33.183*LOOKUP(N11,密度!$A$2:$A$50,密度!$E$2:$E$50)</f>
        <v>36122.446370699996</v>
      </c>
      <c r="O10" s="73" ph="1">
        <f>O9*20.428*LOOKUP(O11,密度!$A$2:$A$50,密度!$C$2:$C$50)</f>
        <v>91407.79883840002</v>
      </c>
      <c r="P10" s="73" ph="1">
        <f>P9*51.53*LOOKUP(P11,密度!$A$2:$A$50,密度!$B$2:$B$50)</f>
        <v>133645.399615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44811.587620800005</v>
      </c>
      <c r="U10" s="73" ph="1">
        <f>U9*1.5*1.5*3.1416*LOOKUP(U11,密度!$A$2:$A$50,密度!$L$2:$L$50)</f>
        <v>37664.066701800002</v>
      </c>
      <c r="V10" s="73" ph="1">
        <f>V9*1.5*1.5*3.1416*LOOKUP(V11,密度!$A$2:$A$50,密度!$L$2:$L$50)</f>
        <v>28916.327840400001</v>
      </c>
      <c r="W10" s="73" ph="1">
        <f>W9*1.5*1.5*3.1416*LOOKUP(W11,密度!$A$2:$A$50,密度!$L$2:$L$50)</f>
        <v>28969.893691200003</v>
      </c>
      <c r="X10" s="73" ph="1">
        <f>X9*1.5*1.5*3.1416*LOOKUP(X11,密度!$A$2:$A$50,密度!$L$2:$L$50)</f>
        <v>5083.5957480000006</v>
      </c>
      <c r="Y10" s="73" ph="1">
        <f>Y9*1.5*1.5*3.1416*LOOKUP(Y11,密度!$A$2:$A$50,密度!$L$2:$L$50)</f>
        <v>0</v>
      </c>
      <c r="Z10" s="73" ph="1">
        <f>Z9*33.183*LOOKUP(Z11,密度!$A$2:$A$50,密度!$L$2:$L$50)</f>
        <v>37504.554821999998</v>
      </c>
      <c r="AA10" s="73" ph="1">
        <f>AA9*33.183*LOOKUP(AA11,密度!$A$2:$A$50,密度!$D$2:$D$50)</f>
        <v>18693.284673600003</v>
      </c>
      <c r="AB10" s="73" ph="1">
        <f>AB9*20.428*LOOKUP(AB11,密度!$A$2:$A$50,密度!$D$2:$D$50)</f>
        <v>35036.830892800004</v>
      </c>
      <c r="AC10" s="73" ph="1">
        <f>AC9*51.53*LOOKUP(AC11,密度!$A$2:$A$50,密度!$Q$2:$Q$50)</f>
        <v>243214.43217700001</v>
      </c>
      <c r="AD10" s="73" ph="1">
        <f>AD9*20.428*LOOKUP(AD11,密度!$A$2:$A$50,密度!$V$2:$V$50)</f>
        <v>85974.343055999998</v>
      </c>
      <c r="AE10" s="73" ph="1">
        <f>AE9*20.428</f>
        <v>48496.072</v>
      </c>
    </row>
    <row r="11" spans="1:99" ph="1">
      <c r="A11" s="64" t="s" ph="1">
        <v>163</v>
      </c>
      <c r="B11" s="237" ph="1"/>
      <c r="C11" s="161" t="s" ph="1">
        <v>180</v>
      </c>
      <c r="D11" s="74">
        <v>35</v>
      </c>
      <c r="E11" s="74">
        <v>33</v>
      </c>
      <c r="F11" s="74">
        <v>31</v>
      </c>
      <c r="G11" s="74">
        <v>32</v>
      </c>
      <c r="H11" s="74">
        <v>33</v>
      </c>
      <c r="I11" s="74">
        <v>25</v>
      </c>
      <c r="J11" s="74">
        <v>25</v>
      </c>
      <c r="K11" s="74">
        <v>25</v>
      </c>
      <c r="L11" s="74">
        <v>25</v>
      </c>
      <c r="M11" s="74">
        <v>35</v>
      </c>
      <c r="N11" s="74">
        <v>31</v>
      </c>
      <c r="O11" s="74">
        <v>37</v>
      </c>
      <c r="P11" s="74">
        <v>32</v>
      </c>
      <c r="Q11" s="74">
        <v>39</v>
      </c>
      <c r="R11" s="74">
        <v>37</v>
      </c>
      <c r="S11" s="74">
        <v>28</v>
      </c>
      <c r="T11" s="74">
        <v>26</v>
      </c>
      <c r="U11" s="74">
        <v>29</v>
      </c>
      <c r="V11" s="74">
        <v>31</v>
      </c>
      <c r="W11" s="74">
        <v>28</v>
      </c>
      <c r="X11" s="74">
        <v>28</v>
      </c>
      <c r="Y11" s="74">
        <v>32</v>
      </c>
      <c r="Z11" s="74">
        <v>31</v>
      </c>
      <c r="AA11" s="74">
        <v>40</v>
      </c>
      <c r="AB11" s="74">
        <v>26</v>
      </c>
      <c r="AC11" s="74">
        <v>32</v>
      </c>
      <c r="AD11" s="74">
        <v>33</v>
      </c>
      <c r="AE11" s="74">
        <v>35</v>
      </c>
    </row>
    <row r="12" spans="1:99" ht="9.85" customHeight="1" ph="1"/>
    <row r="13" spans="1:99" s="72" customFormat="1" ht="29.2" customHeight="1" ph="1">
      <c r="B13" s="214" t="s" ph="1">
        <v>37</v>
      </c>
      <c r="C13" s="161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.2" ph="1">
      <c r="B14" s="215" ph="1"/>
      <c r="C14" s="67" t="s" ph="1">
        <v>36</v>
      </c>
      <c r="D14" s="77" t="s" ph="1">
        <v>622</v>
      </c>
      <c r="E14" s="77" t="s" ph="1">
        <v>622</v>
      </c>
      <c r="F14" s="77" t="s" ph="1">
        <v>645</v>
      </c>
      <c r="G14" s="77" t="s" ph="1">
        <v>623</v>
      </c>
      <c r="H14" s="77" t="s" ph="1">
        <v>624</v>
      </c>
      <c r="I14" s="140" t="s" ph="1">
        <v>625</v>
      </c>
      <c r="J14" s="77" t="s" ph="1">
        <v>626</v>
      </c>
      <c r="K14" s="77" t="s" ph="1">
        <v>187</v>
      </c>
      <c r="L14" s="77" t="s" ph="1">
        <v>41</v>
      </c>
      <c r="M14" s="104" t="s" ph="1">
        <v>627</v>
      </c>
      <c r="N14" s="104" t="s" ph="1">
        <v>628</v>
      </c>
      <c r="O14" s="104" t="s" ph="1">
        <v>626</v>
      </c>
      <c r="P14" s="77" t="s" ph="1">
        <v>629</v>
      </c>
      <c r="Q14" s="77" t="s" ph="1">
        <v>629</v>
      </c>
      <c r="R14" s="88" t="s" ph="1">
        <v>640</v>
      </c>
      <c r="S14" s="77" t="s" ph="1">
        <v>71</v>
      </c>
      <c r="T14" s="77" t="s" ph="1">
        <v>631</v>
      </c>
      <c r="U14" s="77" t="s" ph="1">
        <v>610</v>
      </c>
      <c r="V14" s="77" t="s" ph="1">
        <v>110</v>
      </c>
      <c r="W14" s="77" t="s" ph="1">
        <v>629</v>
      </c>
      <c r="X14" s="77" t="s" ph="1">
        <v>632</v>
      </c>
      <c r="Y14" s="138" t="s" ph="1">
        <v>0</v>
      </c>
      <c r="Z14" s="77" t="s" ph="1">
        <v>54</v>
      </c>
      <c r="AA14" s="77" t="s" ph="1">
        <v>619</v>
      </c>
      <c r="AB14" s="77" t="s" ph="1">
        <v>650</v>
      </c>
      <c r="AC14" s="77" t="s" ph="1">
        <v>650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16" ph="1">
        <v>0.33333333333333331</v>
      </c>
      <c r="C15" s="161" t="s" ph="1">
        <v>178</v>
      </c>
      <c r="D15" s="78">
        <v>1509</v>
      </c>
      <c r="E15" s="78">
        <v>1855</v>
      </c>
      <c r="F15" s="78">
        <v>2834</v>
      </c>
      <c r="G15" s="78">
        <v>3236</v>
      </c>
      <c r="H15" s="78">
        <v>4375</v>
      </c>
      <c r="I15" s="78">
        <v>2614</v>
      </c>
      <c r="J15" s="78">
        <v>1323</v>
      </c>
      <c r="K15" s="78">
        <v>2905</v>
      </c>
      <c r="L15" s="78">
        <v>4777</v>
      </c>
      <c r="M15" s="78">
        <v>6457</v>
      </c>
      <c r="N15" s="78">
        <v>595</v>
      </c>
      <c r="O15" s="78">
        <v>6131</v>
      </c>
      <c r="P15" s="78">
        <v>6971</v>
      </c>
      <c r="Q15" s="78">
        <v>6925</v>
      </c>
      <c r="R15" s="78">
        <v>0</v>
      </c>
      <c r="S15" s="78">
        <v>3707</v>
      </c>
      <c r="T15" s="78">
        <v>6692</v>
      </c>
      <c r="U15" s="78">
        <v>2512</v>
      </c>
      <c r="V15" s="78">
        <v>-141</v>
      </c>
      <c r="W15" s="71">
        <v>2073</v>
      </c>
      <c r="X15" s="78">
        <v>-89</v>
      </c>
      <c r="Y15" s="106">
        <v>-9905</v>
      </c>
      <c r="Z15" s="78">
        <v>0</v>
      </c>
      <c r="AA15" s="78">
        <v>6156</v>
      </c>
      <c r="AB15" s="78" ph="1">
        <v>3154</v>
      </c>
      <c r="AC15" s="78" ph="1">
        <v>7131</v>
      </c>
      <c r="AD15" s="78">
        <v>69.45</v>
      </c>
      <c r="AE15" s="78">
        <v>25.03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4" ph="1">
      <c r="B16" s="217" ph="1"/>
      <c r="C16" s="161" t="s" ph="1">
        <v>179</v>
      </c>
      <c r="D16" s="73" ph="1">
        <f>D15*7.0686*LOOKUP(D17,密度!$A$2:$A$50,密度!$L$2:$L$50)</f>
        <v>9898.5281472000006</v>
      </c>
      <c r="E16" s="73" ph="1">
        <f>E15*7.0686*LOOKUP(E17,密度!$A$2:$A$50,密度!$L$2:$L$50)</f>
        <v>12168.170784000002</v>
      </c>
      <c r="F16" s="73" ph="1">
        <f>F15*9.0746*LOOKUP(F17,密度!$A$2:$A$50,密度!$L$2:$L$50)</f>
        <v>23891.479835600003</v>
      </c>
      <c r="G16" s="73" ph="1">
        <f>G15*9.0746*LOOKUP(G17,密度!$A$2:$A$50,密度!$B$2:$B$50)</f>
        <v>22843.349016240001</v>
      </c>
      <c r="H16" s="73" ph="1">
        <f>H15*9.0746*LOOKUP(H17,密度!$A$2:$A$50,密度!$L$2:$L$50)</f>
        <v>37200.188375000005</v>
      </c>
      <c r="I16" s="73" ph="1">
        <f>I15*9.0746*LOOKUP(I17,密度!$A$2:$A$50,密度!$U$2:$U$50)</f>
        <v>24266.5875012</v>
      </c>
      <c r="J16" s="73" ph="1">
        <f>J15*9.0746*LOOKUP(J17,密度!$A$2:$A$50,密度!$L$2:$L$50)</f>
        <v>11201.314181400001</v>
      </c>
      <c r="K16" s="73" ph="1">
        <f>K15*9.0746*LOOKUP(K17,密度!$A$2:$A$50,密度!$C$2:$C$50)</f>
        <v>29171.871605799999</v>
      </c>
      <c r="L16" s="73" ph="1">
        <f>L15*9.0746*LOOKUP(L17,密度!$A$2:$A$50,密度!$E$2:$E$50)</f>
        <v>33756.149902539997</v>
      </c>
      <c r="M16" s="73" ph="1">
        <f>M15*9.0746*LOOKUP(M17,密度!$A$2:$A$50,密度!$M$2:$M$50)</f>
        <v>50971.522744780006</v>
      </c>
      <c r="N16" s="73" ph="1">
        <f>N15*9.0746*LOOKUP(N17,密度!$A$2:$A$50,密度!$M$2:$M$50)</f>
        <v>4719.6041766999997</v>
      </c>
      <c r="O16" s="73" ph="1">
        <f>O15*9.0746*LOOKUP(O17,密度!$A$2:$A$50,密度!$G$2:$G$50)</f>
        <v>53182.808568339999</v>
      </c>
      <c r="P16" s="73" ph="1">
        <f ca="1">P15*9.0746*LOOKUP(P17,密度!$A$2:$A$51,密度!$Q$2:$Q$50)</f>
        <v>59626.702718428001</v>
      </c>
      <c r="Q16" s="73" ph="1">
        <f>Q15*9.0746*LOOKUP(Q17,密度!$A$2:$A$50,密度!$Q$2:$Q$50)</f>
        <v>59108.185246950008</v>
      </c>
      <c r="R16" s="73" ph="1">
        <f>MAX(R15*9.0746*LOOKUP(R17,密度!$A$2:$A$50,密度!$B$2:$B$50),0)</f>
        <v>0</v>
      </c>
      <c r="S16" s="73" ph="1">
        <f>S15*9.0746*LOOKUP(S17,密度!$A$2:$A$50,密度!$Q$2:$Q$50)</f>
        <v>31753.373068846005</v>
      </c>
      <c r="T16" s="73" ph="1">
        <f>T15*9.0746*LOOKUP(T17,密度!$A$2:$A$50,密度!$O$2:$O$50)</f>
        <v>56233.408683200003</v>
      </c>
      <c r="U16" s="73" ph="1">
        <f>U15*9.0746*LOOKUP(U17,密度!$A$2:$A$50,密度!$H$2:$H$50)</f>
        <v>20789.400422399998</v>
      </c>
      <c r="V16" s="73" ph="1">
        <f>MAX(5600*LOOKUP(V17,密度!$A$2:$A$50,密度!$Q$2:$Q$50)+V15*9.0476*LOOKUP(V17,密度!$A$2:$A$50,密度!$Q$2:$Q$50),0)</f>
        <v>4084.8093084080001</v>
      </c>
      <c r="W16" s="73" ph="1">
        <f>MAX(5600*LOOKUP(W17,密度!$A$2:$A$50,密度!$Q$2:$Q$50)+W15*9.0476*LOOKUP(W17,密度!$A$2:$A$50,密度!$Q$2:$Q$50),0)</f>
        <v>23006.857529575998</v>
      </c>
      <c r="X16" s="73" ph="1">
        <f>MAX(5600*LOOKUP(X17,密度!$A$2:$A$50,密度!$I$2:$I$50)+X15*9.0476*LOOKUP(X17,密度!$A$2:$A$50,密度!$I$2:$I$50),0)</f>
        <v>4970.2519477599999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43405.735615199999</v>
      </c>
      <c r="AB16" s="73" ph="1">
        <f>AB15*9.0746*LOOKUP(AB17,密度!$A$2:$A$50,密度!$L$2:$L$50)</f>
        <v>26646.419500400003</v>
      </c>
      <c r="AC16" s="73" ph="1">
        <f>AC15*9.0746*LOOKUP(AC17,密度!$A$2:$A$50,密度!$L$2:$L$50)</f>
        <v>60440.048408400005</v>
      </c>
      <c r="AD16" s="73" ph="1">
        <f>AD15*268.68*LOOKUP(AD17,密度!$A$2:$A$50,密度!B2:B50)+IF(AD15&lt;=0,0,1566*LOOKUP(AD17,密度!$A$2:$A$50,密度!B2:B50))</f>
        <v>15768.0539496</v>
      </c>
      <c r="AE16" s="73" ph="1">
        <f>AE15*268.68*LOOKUP(AE17,密度!$A$2:$A$50,密度!B2:B50)+IF(AE15&lt;=0,0,1566*LOOKUP(AE17,密度!$A$2:$A$50,密度!B2:B50))</f>
        <v>6463.7106878399991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18" ph="1"/>
      <c r="C17" s="79" t="s" ph="1">
        <v>180</v>
      </c>
      <c r="D17" s="74">
        <v>34</v>
      </c>
      <c r="E17" s="74">
        <v>34</v>
      </c>
      <c r="F17" s="74">
        <v>33</v>
      </c>
      <c r="G17" s="74">
        <v>27</v>
      </c>
      <c r="H17" s="74">
        <v>25</v>
      </c>
      <c r="I17" s="74">
        <v>27</v>
      </c>
      <c r="J17" s="74">
        <v>29</v>
      </c>
      <c r="K17" s="74">
        <v>28</v>
      </c>
      <c r="L17" s="74">
        <v>29</v>
      </c>
      <c r="M17" s="74">
        <v>30</v>
      </c>
      <c r="N17" s="74">
        <v>26</v>
      </c>
      <c r="O17" s="74">
        <v>29</v>
      </c>
      <c r="P17" s="74">
        <v>31</v>
      </c>
      <c r="Q17" s="74">
        <v>34</v>
      </c>
      <c r="R17" s="74">
        <v>29</v>
      </c>
      <c r="S17" s="74">
        <v>29</v>
      </c>
      <c r="T17" s="74">
        <v>27</v>
      </c>
      <c r="U17" s="74">
        <v>28</v>
      </c>
      <c r="V17" s="74">
        <v>28</v>
      </c>
      <c r="W17" s="74">
        <v>28</v>
      </c>
      <c r="X17" s="74">
        <v>30</v>
      </c>
      <c r="Y17" s="108">
        <v>30</v>
      </c>
      <c r="Z17" s="74">
        <v>28</v>
      </c>
      <c r="AA17" s="74">
        <v>28</v>
      </c>
      <c r="AB17" s="74">
        <v>31</v>
      </c>
      <c r="AC17" s="74">
        <v>28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65" ph="1">
      <c r="B18" s="216" ph="1">
        <v>0.66666666666666663</v>
      </c>
      <c r="C18" s="79" t="s" ph="1">
        <v>181</v>
      </c>
      <c r="D18" s="71">
        <v>1510</v>
      </c>
      <c r="E18" s="71">
        <v>3122</v>
      </c>
      <c r="F18" s="71">
        <v>2834</v>
      </c>
      <c r="G18" s="71">
        <v>3263</v>
      </c>
      <c r="H18" s="71">
        <v>4378</v>
      </c>
      <c r="I18" s="71">
        <v>2616</v>
      </c>
      <c r="J18" s="71">
        <v>391</v>
      </c>
      <c r="K18" s="71">
        <v>2907</v>
      </c>
      <c r="L18" s="71">
        <v>4788</v>
      </c>
      <c r="M18" s="71">
        <v>3554</v>
      </c>
      <c r="N18" s="71">
        <v>1572</v>
      </c>
      <c r="O18" s="71">
        <v>716</v>
      </c>
      <c r="P18" s="71">
        <v>6976</v>
      </c>
      <c r="Q18" s="71">
        <v>6926</v>
      </c>
      <c r="R18" s="71">
        <v>0</v>
      </c>
      <c r="S18" s="71">
        <v>3712</v>
      </c>
      <c r="T18" s="71">
        <v>5852</v>
      </c>
      <c r="U18" s="71">
        <v>2513</v>
      </c>
      <c r="V18" s="71">
        <v>-141</v>
      </c>
      <c r="W18" s="71">
        <v>2072</v>
      </c>
      <c r="X18" s="71">
        <v>-90</v>
      </c>
      <c r="Y18" s="109">
        <v>-9905</v>
      </c>
      <c r="Z18" s="71">
        <v>0</v>
      </c>
      <c r="AA18" s="71">
        <v>6162</v>
      </c>
      <c r="AB18" s="71">
        <v>2426</v>
      </c>
      <c r="AC18" s="71">
        <v>2542</v>
      </c>
      <c r="AD18" s="71">
        <v>84.73</v>
      </c>
      <c r="AE18" s="71">
        <v>49.02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4" ph="1">
      <c r="B19" s="217" ph="1"/>
      <c r="C19" s="161" t="s" ph="1">
        <v>179</v>
      </c>
      <c r="D19" s="73" ph="1">
        <f>D18*7.0686*LOOKUP(D20,密度!$A$2:$A$50,密度!$L$2:$L$50)</f>
        <v>9915.7613939999992</v>
      </c>
      <c r="E19" s="73" ph="1">
        <f>E18*7.0686*LOOKUP(E20,密度!$A$2:$A$50,密度!$L$2:$L$50)</f>
        <v>20501.329186800001</v>
      </c>
      <c r="F19" s="73" ph="1">
        <f>F18*9.0746*LOOKUP(F20,密度!$A$2:$A$50,密度!$L$2:$L$50)</f>
        <v>23814.327586400002</v>
      </c>
      <c r="G19" s="73" ph="1">
        <f>G18*9.0746*LOOKUP(G20,密度!$A$2:$A$50,密度!$B$2:$B$50)</f>
        <v>22956.958470940001</v>
      </c>
      <c r="H19" s="73" ph="1">
        <f>H18*9.0746*LOOKUP(H20,密度!$A$2:$A$50,密度!$L$2:$L$50)</f>
        <v>37106.5112792</v>
      </c>
      <c r="I19" s="73" ph="1">
        <f>I18*9.0746*LOOKUP(I20,密度!$A$2:$A$50,密度!$U$2:$U$50)</f>
        <v>24142.719211199998</v>
      </c>
      <c r="J19" s="73" ph="1">
        <f>J18*9.0746*LOOKUP(J20,密度!$A$2:$A$50,密度!$L$2:$L$50)</f>
        <v>3285.6041236000001</v>
      </c>
      <c r="K19" s="73" ph="1">
        <f>K18*9.0746*LOOKUP(K20,密度!$A$2:$A$50,密度!$C$2:$C$50)</f>
        <v>29070.608144400001</v>
      </c>
      <c r="L19" s="73" ph="1">
        <f>L18*9.0746*LOOKUP(L20,密度!$A$2:$A$50,密度!$E$2:$E$50)</f>
        <v>33687.021959136</v>
      </c>
      <c r="M19" s="73" ph="1">
        <f>M18*9.0746*LOOKUP(M20,密度!$A$2:$A$50,密度!$M$2:$M$50)</f>
        <v>27920.446878448001</v>
      </c>
      <c r="N19" s="73" ph="1">
        <f>N18*9.0746*LOOKUP(N20,密度!$A$2:$A$50,密度!$M$2:$M$50)</f>
        <v>12425.051215200001</v>
      </c>
      <c r="O19" s="73" ph="1">
        <f>O18*9.0746*LOOKUP(O20,密度!$A$2:$A$50,密度!$G$2:$G$50)</f>
        <v>6168.8393942479997</v>
      </c>
      <c r="P19" s="73" ph="1">
        <f ca="1">P18*9.0746*LOOKUP(P20,密度!$A$2:$A$51,密度!$Q$2:$Q$50)</f>
        <v>59626.423402239998</v>
      </c>
      <c r="Q19" s="73" ph="1">
        <f>Q18*9.0746*LOOKUP(Q20,密度!$A$2:$A$50,密度!$Q$2:$Q$50)</f>
        <v>59158.202173500002</v>
      </c>
      <c r="R19" s="73" ph="1">
        <f>MAX(R18*9.0746*LOOKUP(R20,密度!$A$2:$A$50,密度!$B$2:$B$50),0)</f>
        <v>0</v>
      </c>
      <c r="S19" s="73" ph="1">
        <f>S18*9.0746*LOOKUP(S20,密度!$A$2:$A$50,密度!$Q$2:$Q$50)</f>
        <v>31727.821626880002</v>
      </c>
      <c r="T19" s="73" ph="1">
        <f>T18*9.0746*LOOKUP(T20,密度!$A$2:$A$50,密度!$O$2:$O$50)</f>
        <v>48962.403582400002</v>
      </c>
      <c r="U19" s="73" ph="1">
        <f>U18*9.0746*LOOKUP(U20,密度!$A$2:$A$50,密度!$H$2:$H$50)</f>
        <v>20730.40327169</v>
      </c>
      <c r="V19" s="73" ph="1">
        <f>MAX(5600*LOOKUP(V20,密度!$A$2:$A$50,密度!$Q$2:$Q$50)+V18*9.0476*LOOKUP(V20,密度!$A$2:$A$50,密度!$Q$2:$Q$50),0)</f>
        <v>4058.9933066599997</v>
      </c>
      <c r="W19" s="73" ph="1">
        <f>MAX(5600*LOOKUP(W20,密度!$A$2:$A$50,密度!$Q$2:$Q$50)+W18*9.0476*LOOKUP(W20,密度!$A$2:$A$50,密度!$Q$2:$Q$50),0)</f>
        <v>22868.786928959998</v>
      </c>
      <c r="X19" s="73" ph="1">
        <f>MAX(5600*LOOKUP(X20,密度!$A$2:$A$50,密度!$I$2:$I$50)+X18*9.0476*LOOKUP(X20,密度!$A$2:$A$50,密度!$I$2:$I$50),0)</f>
        <v>4934.408196119999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43352.981335559998</v>
      </c>
      <c r="AB19" s="73" ph="1">
        <f>AB18*9.0746*LOOKUP(AB20,密度!$A$2:$A$50,密度!$L$2:$L$50)</f>
        <v>20473.931027999999</v>
      </c>
      <c r="AC19" s="73" ph="1">
        <f>AC18*9.0746*LOOKUP(AC20,密度!$A$2:$A$50,密度!$L$2:$L$50)</f>
        <v>21475.9665092</v>
      </c>
      <c r="AD19" s="73" ph="1">
        <f>AD18*268.68*LOOKUP(AD20,密度!$A$2:$A$50,密度!B5:B53)+IF(AD18&lt;=0,0,1566*LOOKUP(AD20,密度!$A$2:$A$50,密度!B5:B53))</f>
        <v>18905.3862228</v>
      </c>
      <c r="AE19" s="73" ph="1">
        <f>AE18*268.68*LOOKUP(AE20,密度!$A$2:$A$50,密度!B5:B53)+IF(AE18&lt;=0,0,1566*LOOKUP(AE20,密度!$A$2:$A$50,密度!B5:B53))</f>
        <v>11450.410927200001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17" ph="1"/>
      <c r="C20" s="80" t="s" ph="1">
        <v>180</v>
      </c>
      <c r="D20" s="81">
        <v>33</v>
      </c>
      <c r="E20" s="81">
        <v>33</v>
      </c>
      <c r="F20" s="81">
        <v>36</v>
      </c>
      <c r="G20" s="81">
        <v>30</v>
      </c>
      <c r="H20" s="81">
        <v>28</v>
      </c>
      <c r="I20" s="81">
        <v>33</v>
      </c>
      <c r="J20" s="81">
        <v>36</v>
      </c>
      <c r="K20" s="81">
        <v>33</v>
      </c>
      <c r="L20" s="81">
        <v>32</v>
      </c>
      <c r="M20" s="81">
        <v>34</v>
      </c>
      <c r="N20" s="81">
        <v>29</v>
      </c>
      <c r="O20" s="81">
        <v>35</v>
      </c>
      <c r="P20" s="81">
        <v>32</v>
      </c>
      <c r="Q20" s="81">
        <v>33</v>
      </c>
      <c r="R20" s="81">
        <v>32</v>
      </c>
      <c r="S20" s="81">
        <v>32</v>
      </c>
      <c r="T20" s="81">
        <v>30</v>
      </c>
      <c r="U20" s="81">
        <v>31</v>
      </c>
      <c r="V20" s="81">
        <v>37</v>
      </c>
      <c r="W20" s="81">
        <v>36</v>
      </c>
      <c r="X20" s="81">
        <v>35</v>
      </c>
      <c r="Y20" s="110">
        <v>35</v>
      </c>
      <c r="Z20" s="81">
        <v>32</v>
      </c>
      <c r="AA20" s="81">
        <v>30</v>
      </c>
      <c r="AB20" s="81">
        <v>32</v>
      </c>
      <c r="AC20" s="81">
        <v>31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15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633</v>
      </c>
      <c r="H23" s="88" t="s" ph="1">
        <v>633</v>
      </c>
      <c r="I23" s="88" t="s" ph="1">
        <v>634</v>
      </c>
      <c r="J23" s="88" t="s" ph="1">
        <v>635</v>
      </c>
      <c r="K23" s="88" t="s" ph="1">
        <v>635</v>
      </c>
      <c r="L23" s="88" t="s" ph="1">
        <v>635</v>
      </c>
      <c r="M23" s="88" t="s" ph="1">
        <v>630</v>
      </c>
      <c r="N23" s="88" t="s" ph="1">
        <v>630</v>
      </c>
      <c r="O23" s="88" t="s" ph="1">
        <v>321</v>
      </c>
      <c r="P23" s="88" t="s" ph="1">
        <v>637</v>
      </c>
      <c r="Q23" s="89" t="s" ph="1">
        <v>637</v>
      </c>
      <c r="R23" s="88" t="s" ph="1">
        <v>616</v>
      </c>
      <c r="S23" s="88" t="s" ph="1">
        <v>636</v>
      </c>
      <c r="T23" s="88" t="s" ph="1">
        <v>607</v>
      </c>
      <c r="U23" s="88" t="s" ph="1">
        <v>611</v>
      </c>
      <c r="V23" s="88" t="s" ph="1">
        <v>637</v>
      </c>
      <c r="W23" s="88" t="s" ph="1">
        <v>637</v>
      </c>
      <c r="X23" s="88" t="s" ph="1">
        <v>190</v>
      </c>
      <c r="Y23" s="88" t="s" ph="1">
        <v>638</v>
      </c>
      <c r="Z23" s="228" t="s" ph="1">
        <v>641</v>
      </c>
      <c r="AA23" s="229"/>
      <c r="AB23" s="229"/>
      <c r="AC23" s="229"/>
      <c r="AD23" s="229"/>
      <c r="AE23" s="230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37" ph="1">
        <v>0.33333333333333331</v>
      </c>
      <c r="C24" s="161" t="s" ph="1">
        <v>178</v>
      </c>
      <c r="D24" s="71">
        <v>76.349999999999994</v>
      </c>
      <c r="E24" s="71">
        <v>4.45</v>
      </c>
      <c r="F24" s="71">
        <v>3714</v>
      </c>
      <c r="G24" s="71">
        <v>2701</v>
      </c>
      <c r="H24" s="71">
        <v>1071</v>
      </c>
      <c r="I24" s="71">
        <v>2651</v>
      </c>
      <c r="J24" s="71">
        <v>4897</v>
      </c>
      <c r="K24" s="71">
        <v>5511</v>
      </c>
      <c r="L24" s="71">
        <v>5610</v>
      </c>
      <c r="M24" s="71">
        <v>2223</v>
      </c>
      <c r="N24" s="71">
        <v>2663</v>
      </c>
      <c r="O24" s="71">
        <v>4325</v>
      </c>
      <c r="P24" s="71">
        <v>352</v>
      </c>
      <c r="Q24" s="90">
        <v>1283</v>
      </c>
      <c r="R24" s="71">
        <v>69</v>
      </c>
      <c r="S24" s="71">
        <v>4841</v>
      </c>
      <c r="T24" s="71">
        <v>1763</v>
      </c>
      <c r="U24" s="71">
        <v>5369</v>
      </c>
      <c r="V24" s="71">
        <v>9869</v>
      </c>
      <c r="W24" s="71">
        <v>11241</v>
      </c>
      <c r="X24" s="71">
        <v>5514</v>
      </c>
      <c r="Y24" s="71">
        <v>6600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37" ph="1"/>
      <c r="C25" s="68" t="s" ph="1">
        <v>179</v>
      </c>
      <c r="D25" s="91" ph="1">
        <f>D24*268.68*LOOKUP(D26,密度!$A$2:$A$50,密度!$Q$2:$Q$50)+IF(D24&lt;=0,0,1566*LOOKUP(D26,密度!$A$2:$A$50,密度!$Q$2:$Q$50))</f>
        <v>20903.752219320002</v>
      </c>
      <c r="E25" s="91" ph="1">
        <f>E24*268.68*LOOKUP(E26,密度!$A$2:$A$50,密度!$C$2:$C$50)+IF(E24&lt;=0,0,1566*LOOKUP(E26,密度!$A$2:$A$50,密度!$C$2:$C$50))</f>
        <v>3062.3670714</v>
      </c>
      <c r="F25" s="91" ph="1">
        <f>F24*11.702*LOOKUP(F26,密度!$A$2:$A$50,密度!$Q$2:$Q$50)</f>
        <v>41084.768052960004</v>
      </c>
      <c r="G25" s="91" ph="1">
        <f>G24*18.322*LOOKUP(G26,密度!$A$2:$A$50,密度!$B$2:$B$50)</f>
        <v>38496.498943799998</v>
      </c>
      <c r="H25" s="91" ph="1">
        <f>H24*18.322*LOOKUP(H26,密度!$A$2:$A$50,密度!$B$2:$B$50)</f>
        <v>15264.624349799999</v>
      </c>
      <c r="I25" s="91" ph="1">
        <f>I24*18.322*LOOKUP(I26,密度!$A$2:$A$50,密度!$Q$2:$Q$50)</f>
        <v>45881.725573639997</v>
      </c>
      <c r="J25" s="91" ph="1">
        <f>J24*18.322*LOOKUP(J26,密度!$A$2:$A$50,密度!$Q$2:$Q$50)</f>
        <v>84816.789436880004</v>
      </c>
      <c r="K25" s="91" ph="1">
        <f>K24*18.322*LOOKUP(K26,密度!$A$2:$A$50,密度!$Q$2:$Q$50)</f>
        <v>95451.363403440002</v>
      </c>
      <c r="L25" s="91" ph="1">
        <f>L24*18.322*LOOKUP(L26,密度!$A$2:$A$50,密度!$Q$2:$Q$50)</f>
        <v>97094.108060400002</v>
      </c>
      <c r="M25" s="91" ph="1">
        <f>M24*18.322*LOOKUP(M26,密度!$A$2:$A$50,密度!$Q$2:$Q$50)</f>
        <v>38474.189343719998</v>
      </c>
      <c r="N25" s="91" ph="1">
        <f>N24*18.322*LOOKUP(N26,密度!$A$2:$A$50,密度!$Q$2:$Q$50)</f>
        <v>46123.567545519996</v>
      </c>
      <c r="O25" s="91" ph="1">
        <f>O24*18.322*LOOKUP(O26,密度!$A$2:$A$50,密度!$C$2:$C$50)</f>
        <v>87753.310609999986</v>
      </c>
      <c r="P25" s="91" ph="1">
        <f>P24*11.702*LOOKUP(P26,密度!$A$2:$A$50,密度!$B$2:$B$50)</f>
        <v>3204.2510016000006</v>
      </c>
      <c r="Q25" s="92" ph="1">
        <f>Q24*18.322*LOOKUP(Q26,密度!$A$2:$A$50,密度!$B$2:$B$50)</f>
        <v>18286.1933154</v>
      </c>
      <c r="R25" s="91" ph="1">
        <f>R24*35.891*LOOKUP(R26,密度!$A$2:$A$50,密度!$C$2:$C$50)</f>
        <v>2740.4716613999999</v>
      </c>
      <c r="S25" s="91" ph="1">
        <f>S24*35.891*LOOKUP(S26,密度!$A$2:$A$50,密度!$B$2:$B$50)</f>
        <v>135002.45318700001</v>
      </c>
      <c r="T25" s="91" ph="1">
        <f>T24*35.891*LOOKUP(T26,密度!$A$2:$A$50,密度!$Q$2:$Q$50)</f>
        <v>59815.910451560005</v>
      </c>
      <c r="U25" s="91" ph="1">
        <f>U24*35.891</f>
        <v>192698.77899999998</v>
      </c>
      <c r="V25" s="91" ph="1">
        <f>V24*47.051*LOOKUP(V26,密度!$A$2:$A$50,密度!$B$2:$B$50)</f>
        <v>360797.08986300003</v>
      </c>
      <c r="W25" s="91" ph="1">
        <f>W24*47.051*LOOKUP(W26,密度!$A$2:$A$50,密度!$B$2:$B$50)</f>
        <v>411431.53636889998</v>
      </c>
      <c r="X25" s="91" ph="1">
        <f>X24*47.051*LOOKUP(X26,密度!$A$2:$A$50,密度!$I$2:$I$50)</f>
        <v>269220.07236780005</v>
      </c>
      <c r="Y25" s="91" ph="1">
        <f>Y24*47.051*LOOKUP(Y26,密度!$A$2:$A$50,密度!$L$2:$L$50)</f>
        <v>289420.11120000004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37" ph="1"/>
      <c r="C26" s="68" t="s" ph="1">
        <v>180</v>
      </c>
      <c r="D26" s="74">
        <v>25</v>
      </c>
      <c r="E26" s="74">
        <v>25</v>
      </c>
      <c r="F26" s="74">
        <v>27</v>
      </c>
      <c r="G26" s="74">
        <v>27</v>
      </c>
      <c r="H26" s="74">
        <v>27</v>
      </c>
      <c r="I26" s="74">
        <v>28</v>
      </c>
      <c r="J26" s="74">
        <v>27</v>
      </c>
      <c r="K26" s="74">
        <v>27</v>
      </c>
      <c r="L26" s="74">
        <v>28</v>
      </c>
      <c r="M26" s="74">
        <v>28</v>
      </c>
      <c r="N26" s="74">
        <v>27</v>
      </c>
      <c r="O26" s="74">
        <v>27</v>
      </c>
      <c r="P26" s="74">
        <v>27</v>
      </c>
      <c r="Q26" s="93">
        <v>27</v>
      </c>
      <c r="R26" s="74">
        <v>28</v>
      </c>
      <c r="S26" s="74">
        <v>28</v>
      </c>
      <c r="T26" s="74">
        <v>27</v>
      </c>
      <c r="U26" s="74">
        <v>27</v>
      </c>
      <c r="V26" s="74">
        <v>28</v>
      </c>
      <c r="W26" s="74">
        <v>27</v>
      </c>
      <c r="X26" s="74">
        <v>29</v>
      </c>
      <c r="Y26" s="74">
        <v>30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65" ph="1">
      <c r="A27" s="72" ph="1"/>
      <c r="B27" s="237" ph="1">
        <v>0.66666666666666663</v>
      </c>
      <c r="C27" s="161" t="s" ph="1">
        <v>181</v>
      </c>
      <c r="D27" s="71">
        <v>75.12</v>
      </c>
      <c r="E27" s="71">
        <v>4.41</v>
      </c>
      <c r="F27" s="71">
        <v>3750</v>
      </c>
      <c r="G27" s="71">
        <v>2396</v>
      </c>
      <c r="H27" s="71">
        <v>0</v>
      </c>
      <c r="I27" s="71">
        <v>2652</v>
      </c>
      <c r="J27" s="71">
        <v>4900</v>
      </c>
      <c r="K27" s="71">
        <v>5514</v>
      </c>
      <c r="L27" s="71">
        <v>5611</v>
      </c>
      <c r="M27" s="71">
        <v>2223</v>
      </c>
      <c r="N27" s="71">
        <v>2662</v>
      </c>
      <c r="O27" s="71">
        <v>4323</v>
      </c>
      <c r="P27" s="71">
        <v>350</v>
      </c>
      <c r="Q27" s="90">
        <v>1852</v>
      </c>
      <c r="R27" s="71">
        <v>66</v>
      </c>
      <c r="S27" s="71">
        <v>4840</v>
      </c>
      <c r="T27" s="71">
        <v>1762</v>
      </c>
      <c r="U27" s="71">
        <v>5180</v>
      </c>
      <c r="V27" s="71">
        <v>10180</v>
      </c>
      <c r="W27" s="71">
        <v>11554</v>
      </c>
      <c r="X27" s="71">
        <v>5139</v>
      </c>
      <c r="Y27" s="71">
        <v>5509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37" ph="1"/>
      <c r="C28" s="161" t="s" ph="1">
        <v>179</v>
      </c>
      <c r="D28" s="91" ph="1">
        <f>D27*268.68*LOOKUP(D29,密度!$A$2:$A$50,密度!$Q$2:$Q$50)+IF(D27&lt;=0,0,1566*LOOKUP(D29,密度!$A$2:$A$50,密度!$Q$2:$Q$50))</f>
        <v>20590.876992384005</v>
      </c>
      <c r="E28" s="91" ph="1">
        <f>E27*268.68*LOOKUP(E29,密度!$A$2:$A$50,密度!$C$2:$C$50)+IF(E27&lt;=0,0,1566*LOOKUP(E29,密度!$A$2:$A$50,密度!$C$2:$C$50))</f>
        <v>3050.4495013199999</v>
      </c>
      <c r="F28" s="91" ph="1">
        <f>F27*11.702*LOOKUP(F29,密度!$A$2:$A$50,密度!$Q$2:$Q$50)</f>
        <v>41304.403125000004</v>
      </c>
      <c r="G28" s="91" ph="1">
        <f>G27*18.322*LOOKUP(G29,密度!$A$2:$A$50,密度!$B$2:$B$50)</f>
        <v>33956.272531999995</v>
      </c>
      <c r="H28" s="91" ph="1">
        <f>H27*18.322*LOOKUP(H29,密度!$A$2:$A$50,密度!$B$2:$B$50)</f>
        <v>0</v>
      </c>
      <c r="I28" s="91" ph="1">
        <f>I27*18.322*LOOKUP(I29,密度!$A$2:$A$50,密度!$Q$2:$Q$50)</f>
        <v>45766.868253599991</v>
      </c>
      <c r="J28" s="91" ph="1">
        <f>J27*18.322*LOOKUP(J29,密度!$A$2:$A$50,密度!$Q$2:$Q$50)</f>
        <v>84503.354250000004</v>
      </c>
      <c r="K28" s="91" ph="1">
        <f>K27*18.322*LOOKUP(K29,密度!$A$2:$A$50,密度!$Q$2:$Q$50)</f>
        <v>95302.279121640007</v>
      </c>
      <c r="L28" s="91" ph="1">
        <f>L27*18.322*LOOKUP(L29,密度!$A$2:$A$50,密度!$Q$2:$Q$50)</f>
        <v>96764.963407500007</v>
      </c>
      <c r="M28" s="91" ph="1">
        <f>M27*18.322*LOOKUP(M29,密度!$A$2:$A$50,密度!$Q$2:$Q$50)</f>
        <v>38363.404271399995</v>
      </c>
      <c r="N28" s="91" ph="1">
        <f>N27*18.322*LOOKUP(N29,密度!$A$2:$A$50,密度!$Q$2:$Q$50)</f>
        <v>45939.443171599996</v>
      </c>
      <c r="O28" s="91" ph="1">
        <f>O27*18.322*LOOKUP(O29,密度!$A$2:$A$50,密度!$C$2:$C$50)</f>
        <v>87530.557230599996</v>
      </c>
      <c r="P28" s="91" ph="1">
        <f>P27*11.702*LOOKUP(P29,密度!$A$2:$A$50,密度!$B$2:$B$50)</f>
        <v>3171.7100799999998</v>
      </c>
      <c r="Q28" s="92" ph="1">
        <f>Q27*18.322*LOOKUP(Q29,密度!$A$2:$A$50,密度!$B$2:$B$50)</f>
        <v>26219.522208800001</v>
      </c>
      <c r="R28" s="91" ph="1">
        <f>R27*35.891*LOOKUP(R29,密度!$A$2:$A$50,密度!$C$2:$C$50)</f>
        <v>2612.7930179999998</v>
      </c>
      <c r="S28" s="91" ph="1">
        <f>S27*35.891*LOOKUP(S29,密度!$A$2:$A$50,密度!$B$2:$B$50)</f>
        <v>134366.57233999998</v>
      </c>
      <c r="T28" s="91" ph="1">
        <f>T27*35.891*LOOKUP(T29,密度!$A$2:$A$50,密度!$Q$2:$Q$50)</f>
        <v>59565.701369799994</v>
      </c>
      <c r="U28" s="91" ph="1">
        <f>U27*35.891</f>
        <v>185915.38</v>
      </c>
      <c r="V28" s="91" ph="1">
        <f>V27*47.051*LOOKUP(V29,密度!$A$2:$A$50,密度!$B$2:$B$50)</f>
        <v>370490.39572999999</v>
      </c>
      <c r="W28" s="91" ph="1">
        <f>W27*47.051*LOOKUP(W29,密度!$A$2:$A$50,密度!$B$2:$B$50)</f>
        <v>420984.94549760007</v>
      </c>
      <c r="X28" s="91" ph="1">
        <f>X27*47.051*LOOKUP(X29,密度!$A$2:$A$50,密度!$I$2:$I$50)</f>
        <v>249844.44751281003</v>
      </c>
      <c r="Y28" s="91" ph="1">
        <f>Y27*47.051*LOOKUP(Y29,密度!$A$2:$A$50,密度!$L$2:$L$50)</f>
        <v>241059.68187000003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37" ph="1"/>
      <c r="C29" s="161" t="s" ph="1">
        <v>180</v>
      </c>
      <c r="D29" s="74">
        <v>25</v>
      </c>
      <c r="E29" s="74">
        <v>25</v>
      </c>
      <c r="F29" s="74">
        <v>33</v>
      </c>
      <c r="G29" s="74">
        <v>32</v>
      </c>
      <c r="H29" s="74">
        <v>32</v>
      </c>
      <c r="I29" s="74">
        <v>32</v>
      </c>
      <c r="J29" s="74">
        <v>33</v>
      </c>
      <c r="K29" s="74">
        <v>30</v>
      </c>
      <c r="L29" s="74">
        <v>33</v>
      </c>
      <c r="M29" s="74">
        <v>32</v>
      </c>
      <c r="N29" s="74">
        <v>32</v>
      </c>
      <c r="O29" s="74">
        <v>30</v>
      </c>
      <c r="P29" s="74">
        <v>31</v>
      </c>
      <c r="Q29" s="93">
        <v>33</v>
      </c>
      <c r="R29" s="74">
        <v>32</v>
      </c>
      <c r="S29" s="74">
        <v>32</v>
      </c>
      <c r="T29" s="74">
        <v>32</v>
      </c>
      <c r="U29" s="74">
        <v>31</v>
      </c>
      <c r="V29" s="74">
        <v>32</v>
      </c>
      <c r="W29" s="74">
        <v>31</v>
      </c>
      <c r="X29" s="74">
        <v>33</v>
      </c>
      <c r="Y29" s="74">
        <v>32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45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61" t="s" ph="1">
        <v>5</v>
      </c>
      <c r="F32" s="160" t="s" ph="1">
        <v>43</v>
      </c>
      <c r="G32" s="97" t="s" ph="1">
        <v>4</v>
      </c>
      <c r="H32" s="161" t="s" ph="1">
        <v>5</v>
      </c>
      <c r="I32" s="160" t="s" ph="1">
        <v>43</v>
      </c>
      <c r="J32" s="97" t="s" ph="1">
        <v>4</v>
      </c>
      <c r="K32" s="161" t="s" ph="1">
        <v>5</v>
      </c>
      <c r="L32" s="160" t="s" ph="1">
        <v>43</v>
      </c>
      <c r="M32" s="97" t="s" ph="1">
        <v>4</v>
      </c>
      <c r="N32" s="161" t="s" ph="1">
        <v>5</v>
      </c>
      <c r="O32" s="160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1" t="s" ph="1">
        <v>5</v>
      </c>
      <c r="U32" s="99" t="s" ph="1">
        <v>43</v>
      </c>
      <c r="V32" s="97" t="s" ph="1">
        <v>4</v>
      </c>
      <c r="W32" s="161" t="s" ph="1">
        <v>5</v>
      </c>
      <c r="X32" s="99" t="s" ph="1">
        <v>43</v>
      </c>
      <c r="Y32" s="100" t="s" ph="1">
        <v>4</v>
      </c>
      <c r="Z32" s="161" t="s" ph="1">
        <v>5</v>
      </c>
      <c r="AA32" s="160" t="s" ph="1">
        <v>43</v>
      </c>
      <c r="AB32" s="97" t="s" ph="1">
        <v>85</v>
      </c>
      <c r="AC32" s="161" t="s" ph="1">
        <v>84</v>
      </c>
      <c r="AD32" s="204" t="s" ph="1">
        <v>83</v>
      </c>
      <c r="AE32" s="205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06" t="s" ph="1">
        <v>182</v>
      </c>
      <c r="C33" s="207" ph="1"/>
      <c r="D33" s="186" ph="1">
        <f>AA10+AB10+Z19</f>
        <v>53730.115566400011</v>
      </c>
      <c r="E33" s="186" ph="1">
        <f>M10+I10</f>
        <v>148821.4808592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[[#This Row],[F25]]</f>
        <v>3880</v>
      </c>
      <c r="G33" s="212" ph="1">
        <v>0</v>
      </c>
      <c r="H33" s="186" ph="1">
        <f>N19</f>
        <v>12425.051215200001</v>
      </c>
      <c r="I33" s="190" ph="1">
        <v>0</v>
      </c>
      <c r="J33" s="194" ph="1">
        <f>F10+O28</f>
        <v>289402.35738359997</v>
      </c>
      <c r="K33" s="186" ph="1">
        <f>O10+K10+E28+R28</f>
        <v>101865.96462332002</v>
      </c>
      <c r="L33" s="196" ph="1">
        <f>BE27</f>
        <v>7100</v>
      </c>
      <c r="M33" s="194" ph="1">
        <f>G10+H10+W28+S28+V28+E10</f>
        <v>1874045.1189286001</v>
      </c>
      <c r="N33" s="186" ph="1">
        <f>L10+P10++G28+H28</f>
        <v>169917.67604700002</v>
      </c>
      <c r="O33" s="190" ph="1">
        <f>BE17</f>
        <v>2270</v>
      </c>
      <c r="P33" s="194" ph="1">
        <f>L19</f>
        <v>33687.021959136</v>
      </c>
      <c r="Q33" s="186" ph="1">
        <f>J10+N10</f>
        <v>37896.476423499997</v>
      </c>
      <c r="R33" s="190" ph="1">
        <f>BE23</f>
        <v>890</v>
      </c>
      <c r="S33" s="194" ph="1">
        <f>E10+X28</f>
        <v>568262.84381981008</v>
      </c>
      <c r="T33" s="186" ph="1">
        <f>X19</f>
        <v>4934.408196119999</v>
      </c>
      <c r="U33" s="175" ph="1">
        <f>BE21</f>
        <v>730</v>
      </c>
      <c r="V33" s="188" ph="1">
        <f ca="1">P19+Q19+S19+M28+N28+J28</f>
        <v>319318.64889562002</v>
      </c>
      <c r="W33" s="188" ph="1">
        <f>D28+F28+V19+T28</f>
        <v>125519.97479384401</v>
      </c>
      <c r="X33" s="190" ph="1">
        <f>BE29+BE31</f>
        <v>10200</v>
      </c>
      <c r="Y33" s="192" ph="1">
        <f>+Q10+R10+S10+T10+U10+V10+W10+X10+Y10</f>
        <v>145445.47160220001</v>
      </c>
      <c r="Z33" s="173" ph="1">
        <f>D10+T19+U19+Y28+Z10</f>
        <v>380413.96346571</v>
      </c>
      <c r="AA33" s="175" ph="1">
        <f>BE19</f>
        <v>1440</v>
      </c>
      <c r="AB33" s="177" ph="1">
        <f>I19</f>
        <v>24142.719211199998</v>
      </c>
      <c r="AC33" s="179" ph="1">
        <f>AD10</f>
        <v>85974.343055999998</v>
      </c>
      <c r="AD33" s="181" ph="1">
        <v>0</v>
      </c>
      <c r="AE33" s="182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85" t="s" ph="1">
        <v>639</v>
      </c>
      <c r="AD35" s="185"/>
      <c r="AE35" s="185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45" ph="1">
      <c r="A36" s="64"/>
      <c r="B36" s="103" t="s" ph="1">
        <v>183</v>
      </c>
      <c r="I36" s="171" t="s" ph="1">
        <v>184</v>
      </c>
      <c r="J36" s="171" ph="1"/>
      <c r="K36" s="101" ph="1"/>
      <c r="P36" s="101" ph="1"/>
      <c r="R36" s="171" t="s" ph="1">
        <v>185</v>
      </c>
      <c r="S36" s="171" ph="1"/>
      <c r="Y36" s="102" ph="1"/>
      <c r="Z36" s="159" t="s" ph="1">
        <v>186</v>
      </c>
      <c r="AA36" s="159" ph="1"/>
      <c r="AB36" s="172" t="s" ph="1">
        <v>644</v>
      </c>
      <c r="AC36" s="172" ph="1"/>
      <c r="AD36" s="172" ph="1"/>
      <c r="AE36" s="172" ph="1"/>
      <c r="BA36" s="64" ph="1">
        <v>2270</v>
      </c>
    </row>
    <row r="37" spans="1:57" s="15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9" t="s" ph="1">
        <v>345</v>
      </c>
      <c r="AI37" s="159" t="s" ph="1">
        <v>212</v>
      </c>
      <c r="AJ37" s="159" t="s" ph="1">
        <v>213</v>
      </c>
      <c r="AK37" s="159" t="s" ph="1">
        <v>214</v>
      </c>
      <c r="AM37" s="159" t="s" ph="1">
        <v>213</v>
      </c>
      <c r="AN37" s="159" t="s" ph="1">
        <v>214</v>
      </c>
      <c r="AO37" s="159" t="s" ph="1">
        <v>215</v>
      </c>
      <c r="AP37" s="159" t="s" ph="1">
        <v>213</v>
      </c>
      <c r="AQ37" s="159" t="s" ph="1">
        <v>214</v>
      </c>
      <c r="AR37" s="159" t="s" ph="1">
        <v>215</v>
      </c>
      <c r="AS37" s="159" t="s" ph="1">
        <v>213</v>
      </c>
      <c r="AT37" s="159" t="s" ph="1">
        <v>214</v>
      </c>
      <c r="AU37" s="159" t="s" ph="1">
        <v>215</v>
      </c>
      <c r="AV37" s="159" t="s" ph="1">
        <v>213</v>
      </c>
      <c r="AW37" s="159" t="s" ph="1">
        <v>214</v>
      </c>
      <c r="AX37" s="159" t="s" ph="1">
        <v>215</v>
      </c>
      <c r="AY37" s="159" t="s" ph="1">
        <v>214</v>
      </c>
      <c r="AZ37" s="159" t="s" ph="1">
        <v>216</v>
      </c>
      <c r="BD37" s="159" t="s" ph="1">
        <v>308</v>
      </c>
      <c r="BE37" s="159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761" priority="97">
      <formula>ABS(D$7-D$10)&gt;=1000</formula>
    </cfRule>
  </conditionalFormatting>
  <conditionalFormatting sqref="E4 E6:E11">
    <cfRule type="expression" dxfId="760" priority="96">
      <formula>ABS(E$7-E$10)&gt;=1000</formula>
    </cfRule>
  </conditionalFormatting>
  <conditionalFormatting sqref="F4:F11">
    <cfRule type="expression" dxfId="759" priority="95">
      <formula>ABS(F$7-F$10)&gt;=1000</formula>
    </cfRule>
  </conditionalFormatting>
  <conditionalFormatting sqref="G4:G11">
    <cfRule type="expression" dxfId="758" priority="94">
      <formula>ABS(G$7-G$10)&gt;=1000</formula>
    </cfRule>
  </conditionalFormatting>
  <conditionalFormatting sqref="H4:H11">
    <cfRule type="expression" dxfId="757" priority="93">
      <formula>ABS(H$7-H$10)&gt;=1000</formula>
    </cfRule>
  </conditionalFormatting>
  <conditionalFormatting sqref="I4:I11">
    <cfRule type="expression" dxfId="756" priority="92">
      <formula>ABS(I$7-I$10)&gt;=1000</formula>
    </cfRule>
  </conditionalFormatting>
  <conditionalFormatting sqref="J4:J11">
    <cfRule type="expression" dxfId="755" priority="91">
      <formula>ABS(J$7-J$10)&gt;=1000</formula>
    </cfRule>
  </conditionalFormatting>
  <conditionalFormatting sqref="K4:K11">
    <cfRule type="expression" dxfId="754" priority="90">
      <formula>ABS(K$7-K$10)&gt;=1000</formula>
    </cfRule>
  </conditionalFormatting>
  <conditionalFormatting sqref="L4:L11">
    <cfRule type="expression" dxfId="753" priority="89">
      <formula>ABS(L$7-L$10)&gt;=1000</formula>
    </cfRule>
  </conditionalFormatting>
  <conditionalFormatting sqref="M4 M6:M11">
    <cfRule type="expression" dxfId="752" priority="88">
      <formula>ABS(M$7-M$10)&gt;=1000</formula>
    </cfRule>
  </conditionalFormatting>
  <conditionalFormatting sqref="N4 N6:N11">
    <cfRule type="expression" dxfId="751" priority="87">
      <formula>ABS(N$7-N$10)&gt;=1000</formula>
    </cfRule>
  </conditionalFormatting>
  <conditionalFormatting sqref="O4 O6:O11">
    <cfRule type="expression" dxfId="750" priority="86">
      <formula>ABS(O$7-O$10)&gt;=1000</formula>
    </cfRule>
  </conditionalFormatting>
  <conditionalFormatting sqref="P4 P6:P11">
    <cfRule type="expression" dxfId="749" priority="85">
      <formula>ABS(P$7-P$10)&gt;=1000</formula>
    </cfRule>
  </conditionalFormatting>
  <conditionalFormatting sqref="Q4:Q11">
    <cfRule type="expression" dxfId="748" priority="84">
      <formula>ABS(Q$7-Q$10)&gt;=1000</formula>
    </cfRule>
  </conditionalFormatting>
  <conditionalFormatting sqref="R4:R11">
    <cfRule type="expression" dxfId="747" priority="83">
      <formula>ABS(R$7-R$10)&gt;=1000</formula>
    </cfRule>
  </conditionalFormatting>
  <conditionalFormatting sqref="S4:S11">
    <cfRule type="expression" dxfId="746" priority="82">
      <formula>ABS(S$7-S$10)&gt;=1000</formula>
    </cfRule>
  </conditionalFormatting>
  <conditionalFormatting sqref="T4:T9 T11">
    <cfRule type="expression" dxfId="745" priority="81">
      <formula>ABS(T$7-T$10)&gt;=1000</formula>
    </cfRule>
  </conditionalFormatting>
  <conditionalFormatting sqref="U4:U9 U11">
    <cfRule type="expression" dxfId="744" priority="80">
      <formula>ABS(U$7-U$10)&gt;=1000</formula>
    </cfRule>
  </conditionalFormatting>
  <conditionalFormatting sqref="V4:V9 V11">
    <cfRule type="expression" dxfId="743" priority="79">
      <formula>ABS(V$7-V$10)&gt;=1000</formula>
    </cfRule>
  </conditionalFormatting>
  <conditionalFormatting sqref="W4:W9 W11">
    <cfRule type="expression" dxfId="742" priority="78">
      <formula>ABS(W$7-W$10)&gt;=1000</formula>
    </cfRule>
  </conditionalFormatting>
  <conditionalFormatting sqref="X4:X9 X11">
    <cfRule type="expression" dxfId="741" priority="77">
      <formula>ABS(X$7-X$10)&gt;=1000</formula>
    </cfRule>
  </conditionalFormatting>
  <conditionalFormatting sqref="Y4:Y9 Y11">
    <cfRule type="expression" dxfId="740" priority="76">
      <formula>ABS(Y$7-Y$10)&gt;=1000</formula>
    </cfRule>
  </conditionalFormatting>
  <conditionalFormatting sqref="Z4:Z11">
    <cfRule type="expression" dxfId="739" priority="75">
      <formula>ABS(Z$7-Z$10)&gt;=1000</formula>
    </cfRule>
  </conditionalFormatting>
  <conditionalFormatting sqref="AA4:AA11">
    <cfRule type="expression" dxfId="738" priority="74">
      <formula>ABS(AA$7-AA$10)&gt;=1000</formula>
    </cfRule>
  </conditionalFormatting>
  <conditionalFormatting sqref="AB4:AB11">
    <cfRule type="expression" dxfId="737" priority="73">
      <formula>ABS(AB$7-AB$10)&gt;=1000</formula>
    </cfRule>
  </conditionalFormatting>
  <conditionalFormatting sqref="AC4 AC6:AC11">
    <cfRule type="expression" dxfId="736" priority="72">
      <formula>ABS(AC$7-AC$10)&gt;=1000</formula>
    </cfRule>
  </conditionalFormatting>
  <conditionalFormatting sqref="AD4:AD11">
    <cfRule type="expression" dxfId="735" priority="71">
      <formula>ABS(AD$7-AD$10)&gt;=1000</formula>
    </cfRule>
  </conditionalFormatting>
  <conditionalFormatting sqref="AE4:AE11">
    <cfRule type="expression" dxfId="734" priority="70">
      <formula>ABS(AE$7-AE$10)&gt;=1000</formula>
    </cfRule>
  </conditionalFormatting>
  <conditionalFormatting sqref="D13:D20">
    <cfRule type="expression" dxfId="733" priority="69">
      <formula>ABS(D$16-D$19)&gt;=1000</formula>
    </cfRule>
  </conditionalFormatting>
  <conditionalFormatting sqref="E13:E20">
    <cfRule type="expression" dxfId="732" priority="68">
      <formula>ABS(E$16-E$19)&gt;=1000</formula>
    </cfRule>
  </conditionalFormatting>
  <conditionalFormatting sqref="F13 F15:F20">
    <cfRule type="expression" dxfId="731" priority="67">
      <formula>ABS(F$16-F$19)&gt;=1000</formula>
    </cfRule>
  </conditionalFormatting>
  <conditionalFormatting sqref="G13:G20">
    <cfRule type="expression" dxfId="730" priority="66">
      <formula>ABS(G$16-G$19)&gt;=1000</formula>
    </cfRule>
  </conditionalFormatting>
  <conditionalFormatting sqref="H13:H20">
    <cfRule type="expression" dxfId="729" priority="65">
      <formula>ABS(H$16-H$19)&gt;=1000</formula>
    </cfRule>
  </conditionalFormatting>
  <conditionalFormatting sqref="I13:I20">
    <cfRule type="expression" dxfId="728" priority="64">
      <formula>ABS(I$16-I$19)&gt;=1000</formula>
    </cfRule>
  </conditionalFormatting>
  <conditionalFormatting sqref="J13:J20">
    <cfRule type="expression" dxfId="727" priority="63">
      <formula>ABS(J$16-J$19)&gt;=1000</formula>
    </cfRule>
  </conditionalFormatting>
  <conditionalFormatting sqref="L13:L20">
    <cfRule type="expression" dxfId="726" priority="62">
      <formula>ABS(L$16-L$19)&gt;=1000</formula>
    </cfRule>
  </conditionalFormatting>
  <conditionalFormatting sqref="M13 M15 M17:M18 M20">
    <cfRule type="expression" dxfId="725" priority="61">
      <formula>ABS(M$16-M$19)&gt;=1000</formula>
    </cfRule>
  </conditionalFormatting>
  <conditionalFormatting sqref="N13:N20">
    <cfRule type="expression" dxfId="724" priority="60">
      <formula>ABS(N$16-N$19)&gt;=1000</formula>
    </cfRule>
  </conditionalFormatting>
  <conditionalFormatting sqref="O13:O20">
    <cfRule type="expression" dxfId="723" priority="59">
      <formula>ABS(O$16-O$19)&gt;=1000</formula>
    </cfRule>
  </conditionalFormatting>
  <conditionalFormatting sqref="P13:P20">
    <cfRule type="expression" dxfId="722" priority="58">
      <formula>ABS(P$16-P$19)&gt;=1000</formula>
    </cfRule>
  </conditionalFormatting>
  <conditionalFormatting sqref="Q13 Q15:Q20">
    <cfRule type="expression" dxfId="721" priority="57">
      <formula>ABS(Q$16-Q$19)&gt;=1000</formula>
    </cfRule>
  </conditionalFormatting>
  <conditionalFormatting sqref="R13:R20">
    <cfRule type="expression" dxfId="720" priority="56">
      <formula>ABS(R$16-R$19)&gt;=1000</formula>
    </cfRule>
  </conditionalFormatting>
  <conditionalFormatting sqref="S13:S20">
    <cfRule type="expression" dxfId="719" priority="55">
      <formula>ABS(S$16-S$19)&gt;=1000</formula>
    </cfRule>
  </conditionalFormatting>
  <conditionalFormatting sqref="T13:T20">
    <cfRule type="expression" dxfId="718" priority="54">
      <formula>ABS(T$16-T$19)&gt;=1000</formula>
    </cfRule>
  </conditionalFormatting>
  <conditionalFormatting sqref="U13:U20">
    <cfRule type="expression" dxfId="717" priority="53">
      <formula>ABS(U$16-U$19)&gt;=1000</formula>
    </cfRule>
  </conditionalFormatting>
  <conditionalFormatting sqref="V13:V20">
    <cfRule type="expression" dxfId="716" priority="52">
      <formula>ABS(V$16-V$19)&gt;=1000</formula>
    </cfRule>
  </conditionalFormatting>
  <conditionalFormatting sqref="W13 W20 W15:W18">
    <cfRule type="expression" dxfId="715" priority="51">
      <formula>ABS(W$16-W$19)&gt;=1000</formula>
    </cfRule>
  </conditionalFormatting>
  <conditionalFormatting sqref="X13 X15:X20 Y19">
    <cfRule type="expression" dxfId="714" priority="50">
      <formula>ABS(X$16-X$19)&gt;=1000</formula>
    </cfRule>
  </conditionalFormatting>
  <conditionalFormatting sqref="Y13 Y15:Y18 Y20">
    <cfRule type="expression" dxfId="713" priority="49">
      <formula>ABS(Y$16-Y$19)&gt;=1000</formula>
    </cfRule>
  </conditionalFormatting>
  <conditionalFormatting sqref="Z13:Z20">
    <cfRule type="expression" dxfId="712" priority="48">
      <formula>ABS(Z$16-Z$19)&gt;=1000</formula>
    </cfRule>
  </conditionalFormatting>
  <conditionalFormatting sqref="AA13:AA20">
    <cfRule type="expression" dxfId="711" priority="47">
      <formula>ABS(AA$16-AA$19)&gt;=1000</formula>
    </cfRule>
  </conditionalFormatting>
  <conditionalFormatting sqref="AB13 AB15:AB20">
    <cfRule type="expression" dxfId="710" priority="46">
      <formula>ABS(AB$16-AB$19)&gt;=1000</formula>
    </cfRule>
  </conditionalFormatting>
  <conditionalFormatting sqref="AC13 AC15:AC20">
    <cfRule type="expression" dxfId="709" priority="45">
      <formula>ABS(AC$16-AC$19)&gt;=1000</formula>
    </cfRule>
  </conditionalFormatting>
  <conditionalFormatting sqref="AD13:AD20">
    <cfRule type="expression" dxfId="708" priority="44">
      <formula>ABS(AD$16-AD$19)&gt;=1000</formula>
    </cfRule>
  </conditionalFormatting>
  <conditionalFormatting sqref="AE13:AE20">
    <cfRule type="expression" dxfId="707" priority="43">
      <formula>ABS(AE$16-AE$19)&gt;=1000</formula>
    </cfRule>
  </conditionalFormatting>
  <conditionalFormatting sqref="D22:D29">
    <cfRule type="expression" dxfId="706" priority="42">
      <formula>ABS(D$25-D$28)&gt;=1000</formula>
    </cfRule>
  </conditionalFormatting>
  <conditionalFormatting sqref="E22:E29">
    <cfRule type="expression" dxfId="705" priority="41">
      <formula>ABS(E$25-E$28)&gt;=1000</formula>
    </cfRule>
  </conditionalFormatting>
  <conditionalFormatting sqref="F22:F29">
    <cfRule type="expression" dxfId="704" priority="40">
      <formula>ABS(F$25-F$28)&gt;=1000</formula>
    </cfRule>
  </conditionalFormatting>
  <conditionalFormatting sqref="G22:G29">
    <cfRule type="expression" dxfId="703" priority="39">
      <formula>ABS(G$25-G$28)&gt;=1000</formula>
    </cfRule>
  </conditionalFormatting>
  <conditionalFormatting sqref="H22:H29">
    <cfRule type="expression" dxfId="702" priority="38">
      <formula>ABS(H$25-H$28)&gt;=1000</formula>
    </cfRule>
  </conditionalFormatting>
  <conditionalFormatting sqref="I22 I24:I29">
    <cfRule type="expression" dxfId="701" priority="37">
      <formula>ABS(I$25-I$28)&gt;=1000</formula>
    </cfRule>
  </conditionalFormatting>
  <conditionalFormatting sqref="J22:J29 K22">
    <cfRule type="expression" dxfId="700" priority="36">
      <formula>ABS(J$25-J$28)&gt;=1000</formula>
    </cfRule>
  </conditionalFormatting>
  <conditionalFormatting sqref="K23:K29 L25 L28">
    <cfRule type="expression" dxfId="699" priority="35">
      <formula>ABS(K$25-K$28)&gt;=1000</formula>
    </cfRule>
  </conditionalFormatting>
  <conditionalFormatting sqref="L22 L26:L27 L29 L24">
    <cfRule type="expression" dxfId="698" priority="34">
      <formula>ABS(L$25-L$28)&gt;=1000</formula>
    </cfRule>
  </conditionalFormatting>
  <conditionalFormatting sqref="M22:M29">
    <cfRule type="expression" dxfId="697" priority="33">
      <formula>ABS(M$25-M$28)&gt;=1000</formula>
    </cfRule>
  </conditionalFormatting>
  <conditionalFormatting sqref="N22:N29">
    <cfRule type="expression" dxfId="696" priority="32">
      <formula>ABS(N$25-N$28)&gt;=1000</formula>
    </cfRule>
  </conditionalFormatting>
  <conditionalFormatting sqref="O22:O29">
    <cfRule type="expression" dxfId="695" priority="31">
      <formula>ABS(O$25-O$28)&gt;=1000</formula>
    </cfRule>
  </conditionalFormatting>
  <conditionalFormatting sqref="P22:P29">
    <cfRule type="expression" dxfId="694" priority="30">
      <formula>ABS(P$25-P$28)&gt;=1000</formula>
    </cfRule>
  </conditionalFormatting>
  <conditionalFormatting sqref="Q22:Q29">
    <cfRule type="expression" dxfId="693" priority="29">
      <formula>ABS(Q$25-Q$28)&gt;=1000</formula>
    </cfRule>
  </conditionalFormatting>
  <conditionalFormatting sqref="R22:R29">
    <cfRule type="expression" dxfId="692" priority="28">
      <formula>ABS(R$25-R$28)&gt;=1000</formula>
    </cfRule>
  </conditionalFormatting>
  <conditionalFormatting sqref="S22:S29">
    <cfRule type="expression" dxfId="691" priority="27">
      <formula>ABS(S$25-S$28)&gt;=1000</formula>
    </cfRule>
  </conditionalFormatting>
  <conditionalFormatting sqref="T22:T29">
    <cfRule type="expression" dxfId="690" priority="26">
      <formula>ABS(T$25-T$28)&gt;=1000</formula>
    </cfRule>
  </conditionalFormatting>
  <conditionalFormatting sqref="U22:U29">
    <cfRule type="expression" dxfId="689" priority="25">
      <formula>ABS(U$25-U$28)&gt;=1000</formula>
    </cfRule>
  </conditionalFormatting>
  <conditionalFormatting sqref="V22:V29">
    <cfRule type="expression" dxfId="688" priority="24">
      <formula>ABS(V$25-V$28)&gt;=1000</formula>
    </cfRule>
  </conditionalFormatting>
  <conditionalFormatting sqref="W22:W29">
    <cfRule type="expression" dxfId="687" priority="23">
      <formula>ABS(W$25-W$28)&gt;=1000</formula>
    </cfRule>
  </conditionalFormatting>
  <conditionalFormatting sqref="X22:X29">
    <cfRule type="expression" dxfId="686" priority="22">
      <formula>ABS(X$25-X$28)&gt;=1000</formula>
    </cfRule>
  </conditionalFormatting>
  <conditionalFormatting sqref="Y22:Y29">
    <cfRule type="expression" dxfId="685" priority="21">
      <formula>ABS(Y$25-Y$28)&gt;=1000</formula>
    </cfRule>
  </conditionalFormatting>
  <conditionalFormatting sqref="I23">
    <cfRule type="expression" dxfId="684" priority="20">
      <formula>ABS(I$25-I$28)&gt;=1000</formula>
    </cfRule>
  </conditionalFormatting>
  <conditionalFormatting sqref="F14">
    <cfRule type="expression" dxfId="683" priority="19">
      <formula>ABS(F$16-F$19)&gt;=1000</formula>
    </cfRule>
  </conditionalFormatting>
  <conditionalFormatting sqref="Q14">
    <cfRule type="expression" dxfId="682" priority="18">
      <formula>ABS(Q$16-Q$19)&gt;=1000</formula>
    </cfRule>
  </conditionalFormatting>
  <conditionalFormatting sqref="W14">
    <cfRule type="expression" dxfId="681" priority="17">
      <formula>ABS(W$16-W$19)&gt;=1000</formula>
    </cfRule>
  </conditionalFormatting>
  <conditionalFormatting sqref="Y14">
    <cfRule type="expression" dxfId="680" priority="16">
      <formula>ABS(Y$16-Y$19)&gt;=1000</formula>
    </cfRule>
  </conditionalFormatting>
  <conditionalFormatting sqref="X14">
    <cfRule type="expression" dxfId="679" priority="15">
      <formula>ABS(X$16-X$19)&gt;=1000</formula>
    </cfRule>
  </conditionalFormatting>
  <conditionalFormatting sqref="T10:Y10">
    <cfRule type="expression" dxfId="678" priority="14">
      <formula>ABS(T$7-T$10)&gt;=1000</formula>
    </cfRule>
  </conditionalFormatting>
  <conditionalFormatting sqref="W19">
    <cfRule type="expression" dxfId="677" priority="13">
      <formula>ABS(W$16-W$19)&gt;=1000</formula>
    </cfRule>
  </conditionalFormatting>
  <conditionalFormatting sqref="AC5">
    <cfRule type="expression" dxfId="676" priority="12">
      <formula>ABS(AC$7-AC$10)&gt;=1000</formula>
    </cfRule>
  </conditionalFormatting>
  <conditionalFormatting sqref="M14">
    <cfRule type="expression" dxfId="675" priority="11">
      <formula>ABS(M$16-M$19)&gt;=1000</formula>
    </cfRule>
  </conditionalFormatting>
  <conditionalFormatting sqref="M16">
    <cfRule type="expression" dxfId="674" priority="10">
      <formula>ABS(M$16-M$19)&gt;=1000</formula>
    </cfRule>
  </conditionalFormatting>
  <conditionalFormatting sqref="M19">
    <cfRule type="expression" dxfId="673" priority="9">
      <formula>ABS(M$16-M$19)&gt;=1000</formula>
    </cfRule>
  </conditionalFormatting>
  <conditionalFormatting sqref="K13:K20">
    <cfRule type="expression" dxfId="672" priority="8">
      <formula>ABS(K$16-K$19)&gt;=1000</formula>
    </cfRule>
  </conditionalFormatting>
  <conditionalFormatting sqref="E5">
    <cfRule type="expression" dxfId="671" priority="7">
      <formula>ABS(E$7-E$10)&gt;=1000</formula>
    </cfRule>
  </conditionalFormatting>
  <conditionalFormatting sqref="AB14:AC14">
    <cfRule type="expression" dxfId="670" priority="6">
      <formula>ABS(AB$16-AB$19)&gt;=1000</formula>
    </cfRule>
  </conditionalFormatting>
  <conditionalFormatting sqref="M5">
    <cfRule type="expression" dxfId="669" priority="5">
      <formula>ABS(M$7-M$10)&gt;=1000</formula>
    </cfRule>
  </conditionalFormatting>
  <conditionalFormatting sqref="N5">
    <cfRule type="expression" dxfId="668" priority="4">
      <formula>ABS(N$7-N$10)&gt;=1000</formula>
    </cfRule>
  </conditionalFormatting>
  <conditionalFormatting sqref="O5">
    <cfRule type="expression" dxfId="667" priority="3">
      <formula>ABS(O$7-O$10)&gt;=1000</formula>
    </cfRule>
  </conditionalFormatting>
  <conditionalFormatting sqref="P5">
    <cfRule type="expression" dxfId="666" priority="2">
      <formula>ABS(P$7-P$10)&gt;=1000</formula>
    </cfRule>
  </conditionalFormatting>
  <conditionalFormatting sqref="L23">
    <cfRule type="expression" dxfId="665" priority="1">
      <formula>ABS(L$25-L$28)&gt;=1000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716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345782</xdr:rowOff>
                  </from>
                  <to>
                    <xdr:col>32</xdr:col>
                    <xdr:colOff>414938</xdr:colOff>
                    <xdr:row>3</xdr:row>
                    <xdr:rowOff>30736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87">
    <pageSetUpPr fitToPage="1"/>
  </sheetPr>
  <dimension ref="A1:CU223"/>
  <sheetViews>
    <sheetView view="pageBreakPreview" zoomScale="80" zoomScaleNormal="100" zoomScaleSheetLayoutView="80" workbookViewId="0">
      <selection activeCell="Y27" sqref="Y27"/>
    </sheetView>
  </sheetViews>
  <sheetFormatPr defaultColWidth="8.109375" defaultRowHeight="26.05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0.9" ph="1">
      <c r="A1" s="64"/>
      <c r="B1" s="238" t="s" ph="1">
        <v>162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.05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.05" customHeight="1" ph="1">
      <c r="B3" s="240" ph="1">
        <v>45863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" customHeight="1" ph="1">
      <c r="A5" s="65" ph="1"/>
      <c r="B5" s="219" ph="1"/>
      <c r="C5" s="67" t="s" ph="1">
        <v>36</v>
      </c>
      <c r="D5" s="70" t="s" ph="1">
        <v>161</v>
      </c>
      <c r="E5" s="70" t="s" ph="1">
        <v>640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61" t="s" ph="1">
        <v>178</v>
      </c>
      <c r="D6" s="71">
        <v>1559</v>
      </c>
      <c r="E6" s="71">
        <v>7999</v>
      </c>
      <c r="F6" s="71">
        <v>4974</v>
      </c>
      <c r="G6" s="71">
        <v>6102</v>
      </c>
      <c r="H6" s="71">
        <v>9151</v>
      </c>
      <c r="I6" s="71">
        <v>51.72</v>
      </c>
      <c r="J6" s="71">
        <v>7.75</v>
      </c>
      <c r="K6" s="71">
        <v>49.76</v>
      </c>
      <c r="L6" s="71">
        <v>33.35</v>
      </c>
      <c r="M6" s="71">
        <v>3951</v>
      </c>
      <c r="N6" s="71">
        <v>1403</v>
      </c>
      <c r="O6" s="71">
        <v>4409</v>
      </c>
      <c r="P6" s="71">
        <v>2917</v>
      </c>
      <c r="Q6" s="71">
        <v>0</v>
      </c>
      <c r="R6" s="71">
        <v>0</v>
      </c>
      <c r="S6" s="71">
        <v>0</v>
      </c>
      <c r="T6" s="71">
        <v>6772</v>
      </c>
      <c r="U6" s="71">
        <v>6710</v>
      </c>
      <c r="V6" s="71">
        <v>4394</v>
      </c>
      <c r="W6" s="71">
        <v>4393</v>
      </c>
      <c r="X6" s="71">
        <v>770</v>
      </c>
      <c r="Y6" s="71">
        <v>0</v>
      </c>
      <c r="Z6" s="71">
        <v>1217</v>
      </c>
      <c r="AA6" s="71">
        <v>558</v>
      </c>
      <c r="AB6" s="71">
        <v>1673</v>
      </c>
      <c r="AC6" s="71">
        <v>4562</v>
      </c>
      <c r="AD6" s="71">
        <v>4393</v>
      </c>
      <c r="AE6" s="71">
        <v>2610</v>
      </c>
    </row>
    <row r="7" spans="1:99" s="72" customFormat="1" ht="22.4" ph="1">
      <c r="B7" s="237" ph="1"/>
      <c r="C7" s="68" t="s" ph="1">
        <v>179</v>
      </c>
      <c r="D7" s="73" ph="1">
        <f>D6*33.183*LOOKUP(D8,密度!$A$2:$A$50,密度!$Q$2:$Q$50)</f>
        <v>48726.650544299999</v>
      </c>
      <c r="E7" s="73" ph="1">
        <f>E6*51.53*LOOKUP(E8,密度!$A$2:$A$50,密度!$B$2:$B$50)</f>
        <v>320270.44119000004</v>
      </c>
      <c r="F7" s="73" ph="1">
        <f>F6*33.183*LOOKUP(F8,密度!$A$2:$A$50,密度!$C$2:$C$50)</f>
        <v>182646.81099719999</v>
      </c>
      <c r="G7" s="73" ph="1">
        <f xml:space="preserve"> (G6+2)*51.53*LOOKUP(G8,密度!$A$2:$A$50,密度!$B$2:$B$50)</f>
        <v>244145.264944</v>
      </c>
      <c r="H7" s="73" ph="1">
        <f>(H6)*51.53*LOOKUP(H8,密度!$A$2:$A$50,密度!$B$2:$B$50)</f>
        <v>367621.18298799999</v>
      </c>
      <c r="I7" s="73" ph="1">
        <f>I6*290.8*1.0267</f>
        <v>15441.748699199999</v>
      </c>
      <c r="J7" s="73" ph="1">
        <f>J6*290.8*0.7892</f>
        <v>1778.6200400000002</v>
      </c>
      <c r="K7" s="73" ph="1">
        <f>K6*290.8*1.1126</f>
        <v>16099.553420800001</v>
      </c>
      <c r="L7" s="73" ph="1">
        <f>L6*290.8*0.777</f>
        <v>7535.4858600000007</v>
      </c>
      <c r="M7" s="73" ph="1">
        <f>M6*33.183*LOOKUP(M8,密度!$A$2:$A$50,密度!$D$2:$D$50)</f>
        <v>134108.3611557</v>
      </c>
      <c r="N7" s="73" ph="1">
        <f>N6*33.183*LOOKUP(N8,密度!$A$2:$A$50,密度!$E$2:$E$50)</f>
        <v>36252.961746299996</v>
      </c>
      <c r="O7" s="73" ph="1">
        <f>O6*20.428*LOOKUP(O8,密度!$A$2:$A$50,密度!$C$2:$C$50)</f>
        <v>99154.817546800012</v>
      </c>
      <c r="P7" s="73" ph="1">
        <f>P6*51.53*LOOKUP(P8,密度!$A$2:$A$50,密度!$B$2:$B$50)</f>
        <v>116928.49047900001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44900.708529599993</v>
      </c>
      <c r="U7" s="73" ph="1">
        <f>U6*1.5*1.5*3.1416*LOOKUP(U8,密度!$A$2:$A$50,密度!$L$2:$L$50)</f>
        <v>44299.905804000002</v>
      </c>
      <c r="V7" s="73" ph="1">
        <f>V6*1.5*1.5*3.1416*LOOKUP(V8,密度!$A$2:$A$50,密度!$L$2:$L$50)</f>
        <v>29071.624982400001</v>
      </c>
      <c r="W7" s="73" ph="1">
        <f>W6*1.5*1.5*3.1416*LOOKUP(W8,密度!$A$2:$A$50,密度!$L$2:$L$50)</f>
        <v>29002.9040532</v>
      </c>
      <c r="X7" s="73" ph="1">
        <f>X6*1.5*1.5*3.1416*LOOKUP(X8,密度!$A$2:$A$50,密度!$L$2:$L$50)</f>
        <v>5127.1383239999996</v>
      </c>
      <c r="Y7" s="73" ph="1">
        <f>Y6*1.5*1.5*3.1416*LOOKUP(Y8,密度!$A$2:$A$50,密度!$L$2:$L$50)</f>
        <v>0</v>
      </c>
      <c r="Z7" s="73" ph="1">
        <f>Z6*33.183*LOOKUP(Z8,密度!$A$2:$A$50,密度!$L$2:$L$50)</f>
        <v>37879.920918000003</v>
      </c>
      <c r="AA7" s="73" ph="1">
        <f>AA6*33.183*LOOKUP(AA8,密度!$A$2:$A$50,密度!$D$2:$D$50)</f>
        <v>18975.313627200001</v>
      </c>
      <c r="AB7" s="73" ph="1">
        <f>AB6*20.428*LOOKUP(AB8,密度!$A$2:$A$50,密度!$D$2:$D$50)</f>
        <v>35153.478858399998</v>
      </c>
      <c r="AC7" s="73" ph="1">
        <f>AC6*51.53*LOOKUP(AC8,密度!$A$2:$A$50,密度!$Q$2:$Q$50)</f>
        <v>222225.69325520002</v>
      </c>
      <c r="AD7" s="73" ph="1">
        <f>AD6*20.428*LOOKUP(AD8,密度!$A$2:$A$50,密度!$V$2:$V$50)</f>
        <v>85935.219350400002</v>
      </c>
      <c r="AE7" s="73" ph="1">
        <f>AE6*20.428</f>
        <v>53317.08</v>
      </c>
    </row>
    <row r="8" spans="1:99" ph="1">
      <c r="B8" s="237" ph="1"/>
      <c r="C8" s="68" t="s" ph="1">
        <v>180</v>
      </c>
      <c r="D8" s="74">
        <v>32</v>
      </c>
      <c r="E8" s="74">
        <v>28</v>
      </c>
      <c r="F8" s="74">
        <v>28</v>
      </c>
      <c r="G8" s="74">
        <v>29</v>
      </c>
      <c r="H8" s="74">
        <v>25</v>
      </c>
      <c r="I8" s="74">
        <v>25</v>
      </c>
      <c r="J8" s="74">
        <v>25</v>
      </c>
      <c r="K8" s="74">
        <v>25</v>
      </c>
      <c r="L8" s="74">
        <v>25</v>
      </c>
      <c r="M8" s="74">
        <v>29</v>
      </c>
      <c r="N8" s="74">
        <v>29</v>
      </c>
      <c r="O8" s="74">
        <v>34</v>
      </c>
      <c r="P8" s="74">
        <v>27</v>
      </c>
      <c r="Q8" s="74">
        <v>27</v>
      </c>
      <c r="R8" s="74">
        <v>31</v>
      </c>
      <c r="S8" s="74">
        <v>24</v>
      </c>
      <c r="T8" s="74">
        <v>24</v>
      </c>
      <c r="U8" s="74">
        <v>28</v>
      </c>
      <c r="V8" s="74">
        <v>26</v>
      </c>
      <c r="W8" s="74">
        <v>28</v>
      </c>
      <c r="X8" s="74">
        <v>20</v>
      </c>
      <c r="Y8" s="74">
        <v>27</v>
      </c>
      <c r="Z8" s="74">
        <v>24</v>
      </c>
      <c r="AA8" s="74">
        <v>27</v>
      </c>
      <c r="AB8" s="74">
        <v>23</v>
      </c>
      <c r="AC8" s="74">
        <v>27</v>
      </c>
      <c r="AD8" s="74">
        <v>26</v>
      </c>
      <c r="AE8" s="74">
        <v>36</v>
      </c>
    </row>
    <row r="9" spans="1:99" ht="26.65" ph="1">
      <c r="B9" s="237" ph="1">
        <v>0.66666666666666663</v>
      </c>
      <c r="C9" s="161" t="s" ph="1">
        <v>181</v>
      </c>
      <c r="D9" s="71">
        <v>1813</v>
      </c>
      <c r="E9" s="71">
        <v>8000</v>
      </c>
      <c r="F9" s="71">
        <v>5537</v>
      </c>
      <c r="G9" s="71">
        <v>7979</v>
      </c>
      <c r="H9" s="71">
        <v>9154</v>
      </c>
      <c r="I9" s="71">
        <v>51.72</v>
      </c>
      <c r="J9" s="71">
        <v>7.73</v>
      </c>
      <c r="K9" s="71">
        <v>77.349999999999994</v>
      </c>
      <c r="L9" s="71">
        <v>9.52</v>
      </c>
      <c r="M9" s="71">
        <v>3951</v>
      </c>
      <c r="N9" s="71">
        <v>1402</v>
      </c>
      <c r="O9" s="71">
        <v>3466</v>
      </c>
      <c r="P9" s="71">
        <v>2656</v>
      </c>
      <c r="Q9" s="71">
        <v>0</v>
      </c>
      <c r="R9" s="71">
        <v>0</v>
      </c>
      <c r="S9" s="71">
        <v>0</v>
      </c>
      <c r="T9" s="71">
        <v>3515</v>
      </c>
      <c r="U9" s="71">
        <v>6714</v>
      </c>
      <c r="V9" s="71">
        <v>4398</v>
      </c>
      <c r="W9" s="71">
        <v>6660</v>
      </c>
      <c r="X9" s="71">
        <v>3072</v>
      </c>
      <c r="Y9" s="71">
        <v>0</v>
      </c>
      <c r="Z9" s="71">
        <v>1630</v>
      </c>
      <c r="AA9" s="71">
        <v>558</v>
      </c>
      <c r="AB9" s="71">
        <v>1575</v>
      </c>
      <c r="AC9" s="71">
        <v>4610</v>
      </c>
      <c r="AD9" s="71">
        <v>4395</v>
      </c>
      <c r="AE9" s="71">
        <v>2415</v>
      </c>
    </row>
    <row r="10" spans="1:99" s="72" customFormat="1" ht="22.4" ph="1">
      <c r="B10" s="237" ph="1"/>
      <c r="C10" s="161" t="s" ph="1">
        <v>179</v>
      </c>
      <c r="D10" s="73" ph="1">
        <f>D9*33.183*LOOKUP(D11,密度!$A$2:$A$50,密度!$Q$2:$Q$50)</f>
        <v>56626.333233750003</v>
      </c>
      <c r="E10" s="73" ph="1">
        <f>E9*51.53*LOOKUP(E11,密度!$A$2:$A$50,密度!$B$2:$B$50)</f>
        <v>319238.65600000002</v>
      </c>
      <c r="F10" s="73" ph="1">
        <f>F9*33.183*LOOKUP(F11,密度!$A$2:$A$50,密度!$C$2:$C$50)</f>
        <v>203191.73029890002</v>
      </c>
      <c r="G10" s="73" ph="1">
        <f xml:space="preserve"> (G9+2)*51.53*LOOKUP(G11,密度!$A$2:$A$50,密度!$B$2:$B$50)</f>
        <v>318480.46419199998</v>
      </c>
      <c r="H10" s="73" ph="1">
        <f>(H9)*51.53*LOOKUP(H11,密度!$A$2:$A$50,密度!$B$2:$B$50)</f>
        <v>365288.83212799998</v>
      </c>
      <c r="I10" s="73" ph="1">
        <f>I9*290.8*1.0267</f>
        <v>15441.748699199999</v>
      </c>
      <c r="J10" s="73" ph="1">
        <f>J9*290.8*0.7892</f>
        <v>1774.0300528</v>
      </c>
      <c r="K10" s="73" ph="1">
        <f>K9*290.8*1.1126</f>
        <v>25026.134588000001</v>
      </c>
      <c r="L10" s="73" ph="1">
        <f>L9*290.8*0.777</f>
        <v>2151.0592320000001</v>
      </c>
      <c r="M10" s="73" ph="1">
        <f>M9*33.183*LOOKUP(M11,密度!$A$2:$A$50,密度!$D$2:$D$50)</f>
        <v>133754.3748666</v>
      </c>
      <c r="N10" s="73" ph="1">
        <f>N9*33.183*LOOKUP(N11,密度!$A$2:$A$50,密度!$E$2:$E$50)</f>
        <v>36175.947321599997</v>
      </c>
      <c r="O10" s="73" ph="1">
        <f>O9*20.428*LOOKUP(O11,密度!$A$2:$A$50,密度!$C$2:$C$50)</f>
        <v>77798.828662400003</v>
      </c>
      <c r="P10" s="73" ph="1">
        <f>P9*51.53*LOOKUP(P11,密度!$A$2:$A$50,密度!$B$2:$B$50)</f>
        <v>105864.05647999998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23255.976744000003</v>
      </c>
      <c r="U10" s="73" ph="1">
        <f>U9*1.5*1.5*3.1416*LOOKUP(U11,密度!$A$2:$A$50,密度!$L$2:$L$50)</f>
        <v>44326.314093599998</v>
      </c>
      <c r="V10" s="73" ph="1">
        <f>V9*1.5*1.5*3.1416*LOOKUP(V11,密度!$A$2:$A$50,密度!$L$2:$L$50)</f>
        <v>28911.563603999999</v>
      </c>
      <c r="W10" s="73" ph="1">
        <f>W9*1.5*1.5*3.1416*LOOKUP(W11,密度!$A$2:$A$50,密度!$L$2:$L$50)</f>
        <v>43969.802184</v>
      </c>
      <c r="X10" s="73" ph="1">
        <f>X9*1.5*1.5*3.1416*LOOKUP(X11,密度!$A$2:$A$50,密度!$L$2:$L$50)</f>
        <v>20433.5695872</v>
      </c>
      <c r="Y10" s="73" ph="1">
        <f>Y9*1.5*1.5*3.1416*LOOKUP(Y11,密度!$A$2:$A$50,密度!$L$2:$L$50)</f>
        <v>0</v>
      </c>
      <c r="Z10" s="73" ph="1">
        <f>Z9*33.183*LOOKUP(Z11,密度!$A$2:$A$50,密度!$L$2:$L$50)</f>
        <v>50518.462860000007</v>
      </c>
      <c r="AA10" s="73" ph="1">
        <f>AA9*33.183*LOOKUP(AA11,密度!$A$2:$A$50,密度!$D$2:$D$50)</f>
        <v>18858.662109000001</v>
      </c>
      <c r="AB10" s="73" ph="1">
        <f>AB9*20.428*LOOKUP(AB11,密度!$A$2:$A$50,密度!$D$2:$D$50)</f>
        <v>33004.191780000001</v>
      </c>
      <c r="AC10" s="73" ph="1">
        <f>AC9*51.53*LOOKUP(AC11,密度!$A$2:$A$50,密度!$Q$2:$Q$50)</f>
        <v>223597.04362500002</v>
      </c>
      <c r="AD10" s="73" ph="1">
        <f>AD9*20.428*LOOKUP(AD11,密度!$A$2:$A$50,密度!$V$2:$V$50)</f>
        <v>85974.343055999998</v>
      </c>
      <c r="AE10" s="73" ph="1">
        <f>AE9*20.428</f>
        <v>49333.62</v>
      </c>
    </row>
    <row r="11" spans="1:99" ph="1">
      <c r="A11" s="64" t="s" ph="1">
        <v>163</v>
      </c>
      <c r="B11" s="237" ph="1"/>
      <c r="C11" s="161" t="s" ph="1">
        <v>180</v>
      </c>
      <c r="D11" s="74">
        <v>33</v>
      </c>
      <c r="E11" s="74">
        <v>31</v>
      </c>
      <c r="F11" s="74">
        <v>29</v>
      </c>
      <c r="G11" s="74">
        <v>31</v>
      </c>
      <c r="H11" s="74">
        <v>31</v>
      </c>
      <c r="I11" s="74">
        <v>25</v>
      </c>
      <c r="J11" s="74">
        <v>25</v>
      </c>
      <c r="K11" s="74">
        <v>25</v>
      </c>
      <c r="L11" s="74">
        <v>25</v>
      </c>
      <c r="M11" s="74">
        <v>32</v>
      </c>
      <c r="N11" s="74">
        <v>30</v>
      </c>
      <c r="O11" s="74">
        <v>36</v>
      </c>
      <c r="P11" s="74">
        <v>32</v>
      </c>
      <c r="Q11" s="74">
        <v>33</v>
      </c>
      <c r="R11" s="74">
        <v>37</v>
      </c>
      <c r="S11" s="74">
        <v>27</v>
      </c>
      <c r="T11" s="74">
        <v>26</v>
      </c>
      <c r="U11" s="74">
        <v>28</v>
      </c>
      <c r="V11" s="74">
        <v>32</v>
      </c>
      <c r="W11" s="74">
        <v>28</v>
      </c>
      <c r="X11" s="74">
        <v>21</v>
      </c>
      <c r="Y11" s="74">
        <v>32</v>
      </c>
      <c r="Z11" s="74">
        <v>28</v>
      </c>
      <c r="AA11" s="74">
        <v>34</v>
      </c>
      <c r="AB11" s="74">
        <v>26</v>
      </c>
      <c r="AC11" s="74">
        <v>33</v>
      </c>
      <c r="AD11" s="74">
        <v>32</v>
      </c>
      <c r="AE11" s="74">
        <v>37</v>
      </c>
    </row>
    <row r="12" spans="1:99" ht="9.85" customHeight="1" ph="1"/>
    <row r="13" spans="1:99" s="72" customFormat="1" ht="29.2" customHeight="1" ph="1">
      <c r="B13" s="214" t="s" ph="1">
        <v>37</v>
      </c>
      <c r="C13" s="161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.2" ph="1">
      <c r="B14" s="215" ph="1"/>
      <c r="C14" s="67" t="s" ph="1">
        <v>36</v>
      </c>
      <c r="D14" s="77" t="s" ph="1">
        <v>622</v>
      </c>
      <c r="E14" s="77" t="s" ph="1">
        <v>622</v>
      </c>
      <c r="F14" s="77" t="s" ph="1">
        <v>645</v>
      </c>
      <c r="G14" s="77" t="s" ph="1">
        <v>623</v>
      </c>
      <c r="H14" s="77" t="s" ph="1">
        <v>624</v>
      </c>
      <c r="I14" s="140" t="s" ph="1">
        <v>625</v>
      </c>
      <c r="J14" s="77" t="s" ph="1">
        <v>626</v>
      </c>
      <c r="K14" s="77" t="s" ph="1">
        <v>187</v>
      </c>
      <c r="L14" s="77" t="s" ph="1">
        <v>41</v>
      </c>
      <c r="M14" s="104" t="s" ph="1">
        <v>627</v>
      </c>
      <c r="N14" s="104" t="s" ph="1">
        <v>628</v>
      </c>
      <c r="O14" s="104" t="s" ph="1">
        <v>626</v>
      </c>
      <c r="P14" s="77" t="s" ph="1">
        <v>629</v>
      </c>
      <c r="Q14" s="77" t="s" ph="1">
        <v>629</v>
      </c>
      <c r="R14" s="88" t="s" ph="1">
        <v>640</v>
      </c>
      <c r="S14" s="77" t="s" ph="1">
        <v>71</v>
      </c>
      <c r="T14" s="77" t="s" ph="1">
        <v>631</v>
      </c>
      <c r="U14" s="77" t="s" ph="1">
        <v>610</v>
      </c>
      <c r="V14" s="77" t="s" ph="1">
        <v>110</v>
      </c>
      <c r="W14" s="77" t="s" ph="1">
        <v>629</v>
      </c>
      <c r="X14" s="77" t="s" ph="1">
        <v>632</v>
      </c>
      <c r="Y14" s="138" t="s" ph="1">
        <v>0</v>
      </c>
      <c r="Z14" s="77" t="s" ph="1">
        <v>54</v>
      </c>
      <c r="AA14" s="77" t="s" ph="1">
        <v>619</v>
      </c>
      <c r="AB14" s="77" t="s" ph="1">
        <v>650</v>
      </c>
      <c r="AC14" s="77" t="s" ph="1">
        <v>650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16" ph="1">
        <v>0.33333333333333331</v>
      </c>
      <c r="C15" s="161" t="s" ph="1">
        <v>178</v>
      </c>
      <c r="D15" s="78">
        <v>1509</v>
      </c>
      <c r="E15" s="78">
        <v>3121</v>
      </c>
      <c r="F15" s="78">
        <v>2978</v>
      </c>
      <c r="G15" s="78">
        <v>3330</v>
      </c>
      <c r="H15" s="78">
        <v>4376</v>
      </c>
      <c r="I15" s="78">
        <v>2615</v>
      </c>
      <c r="J15" s="78">
        <v>390</v>
      </c>
      <c r="K15" s="78">
        <v>2939</v>
      </c>
      <c r="L15" s="78">
        <v>4781</v>
      </c>
      <c r="M15" s="78">
        <v>3549</v>
      </c>
      <c r="N15" s="78">
        <v>1574</v>
      </c>
      <c r="O15" s="78">
        <v>1248</v>
      </c>
      <c r="P15" s="78">
        <v>6964</v>
      </c>
      <c r="Q15" s="78">
        <v>6911</v>
      </c>
      <c r="R15" s="78">
        <v>0</v>
      </c>
      <c r="S15" s="78">
        <v>3708</v>
      </c>
      <c r="T15" s="78">
        <v>4904</v>
      </c>
      <c r="U15" s="78">
        <v>2513</v>
      </c>
      <c r="V15" s="78">
        <v>-141</v>
      </c>
      <c r="W15" s="71">
        <v>2071</v>
      </c>
      <c r="X15" s="78">
        <v>-88</v>
      </c>
      <c r="Y15" s="106">
        <v>-9905</v>
      </c>
      <c r="Z15" s="78">
        <v>0</v>
      </c>
      <c r="AA15" s="78">
        <v>6155</v>
      </c>
      <c r="AB15" s="78" ph="1">
        <v>2422</v>
      </c>
      <c r="AC15" s="78" ph="1">
        <v>2541</v>
      </c>
      <c r="AD15" s="78">
        <v>48.56</v>
      </c>
      <c r="AE15" s="78">
        <v>84.92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4" ph="1">
      <c r="B16" s="217" ph="1"/>
      <c r="C16" s="161" t="s" ph="1">
        <v>179</v>
      </c>
      <c r="D16" s="73" ph="1">
        <f>D15*7.0686*LOOKUP(D17,密度!$A$2:$A$50,密度!$L$2:$L$50)</f>
        <v>9930.5276994000014</v>
      </c>
      <c r="E16" s="73" ph="1">
        <f>E15*7.0686*LOOKUP(E17,密度!$A$2:$A$50,密度!$L$2:$L$50)</f>
        <v>20538.884658600004</v>
      </c>
      <c r="F16" s="73" ph="1">
        <f>F15*9.0746*LOOKUP(F17,密度!$A$2:$A$50,密度!$L$2:$L$50)</f>
        <v>25186.516001600001</v>
      </c>
      <c r="G16" s="73" ph="1">
        <f>G15*9.0746*LOOKUP(G17,密度!$A$2:$A$50,密度!$B$2:$B$50)</f>
        <v>23479.710786000003</v>
      </c>
      <c r="H16" s="73" ph="1">
        <f>H15*9.0746*LOOKUP(H17,密度!$A$2:$A$50,密度!$L$2:$L$50)</f>
        <v>37168.980825600003</v>
      </c>
      <c r="I16" s="73" ph="1">
        <f>I15*9.0746*LOOKUP(I17,密度!$A$2:$A$50,密度!$U$2:$U$50)</f>
        <v>24323.330975000001</v>
      </c>
      <c r="J16" s="73" ph="1">
        <f>J15*9.0746*LOOKUP(J17,密度!$A$2:$A$50,密度!$L$2:$L$50)</f>
        <v>3309.0528900000004</v>
      </c>
      <c r="K16" s="73" ph="1">
        <f>K15*9.0746*LOOKUP(K17,密度!$A$2:$A$50,密度!$C$2:$C$50)</f>
        <v>29534.63418556</v>
      </c>
      <c r="L16" s="73" ph="1">
        <f>L15*9.0746*LOOKUP(L17,密度!$A$2:$A$50,密度!$E$2:$E$50)</f>
        <v>33736.691237760002</v>
      </c>
      <c r="M16" s="73" ph="1">
        <f>M15*9.0746*LOOKUP(M17,密度!$A$2:$A$50,密度!$M$2:$M$50)</f>
        <v>27982.614694398002</v>
      </c>
      <c r="N16" s="73" ph="1">
        <f>N15*9.0746*LOOKUP(N17,密度!$A$2:$A$50,密度!$M$2:$M$50)</f>
        <v>12485.13777164</v>
      </c>
      <c r="O16" s="73" ph="1">
        <f>O15*9.0746*LOOKUP(O17,密度!$A$2:$A$50,密度!$G$2:$G$50)</f>
        <v>10838.121465599999</v>
      </c>
      <c r="P16" s="73" ph="1">
        <f ca="1">P15*9.0746*LOOKUP(P17,密度!$A$2:$A$51,密度!$Q$2:$Q$50)</f>
        <v>59614.224598952002</v>
      </c>
      <c r="Q16" s="73" ph="1">
        <f>Q15*9.0746*LOOKUP(Q17,密度!$A$2:$A$50,密度!$Q$2:$Q$50)</f>
        <v>59113.490530348005</v>
      </c>
      <c r="R16" s="73" ph="1">
        <f>MAX(R15*9.0746*LOOKUP(R17,密度!$A$2:$A$50,密度!$B$2:$B$50),0)</f>
        <v>0</v>
      </c>
      <c r="S16" s="73" ph="1">
        <f>S15*9.0746*LOOKUP(S17,密度!$A$2:$A$50,密度!$Q$2:$Q$50)</f>
        <v>31741.749685944003</v>
      </c>
      <c r="T16" s="73" ph="1">
        <f>T15*9.0746*LOOKUP(T17,密度!$A$2:$A$50,密度!$O$2:$O$50)</f>
        <v>41208.702358400005</v>
      </c>
      <c r="U16" s="73" ph="1">
        <f>U15*9.0746*LOOKUP(U17,密度!$A$2:$A$50,密度!$H$2:$H$50)</f>
        <v>20841.004950220002</v>
      </c>
      <c r="V16" s="73" ph="1">
        <f>MAX(5600*LOOKUP(V17,密度!$A$2:$A$50,密度!$Q$2:$Q$50)+V15*9.0476*LOOKUP(V17,密度!$A$2:$A$50,密度!$Q$2:$Q$50),0)</f>
        <v>4087.8363102880003</v>
      </c>
      <c r="W16" s="73" ph="1">
        <f>MAX(5600*LOOKUP(W17,密度!$A$2:$A$50,密度!$Q$2:$Q$50)+W15*9.0476*LOOKUP(W17,密度!$A$2:$A$50,密度!$Q$2:$Q$50),0)</f>
        <v>22989.764441751999</v>
      </c>
      <c r="X16" s="73" ph="1">
        <f>MAX(5600*LOOKUP(X17,密度!$A$2:$A$50,密度!$I$2:$I$50)+X15*9.0476*LOOKUP(X17,密度!$A$2:$A$50,密度!$I$2:$I$50),0)</f>
        <v>4984.9148822400011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43398.684651000003</v>
      </c>
      <c r="AB16" s="73" ph="1">
        <f>AB15*9.0746*LOOKUP(AB17,密度!$A$2:$A$50,密度!$L$2:$L$50)</f>
        <v>20462.152197200001</v>
      </c>
      <c r="AC16" s="73" ph="1">
        <f>AC15*9.0746*LOOKUP(AC17,密度!$A$2:$A$50,密度!$L$2:$L$50)</f>
        <v>21559.752291000001</v>
      </c>
      <c r="AD16" s="73" ph="1">
        <f>AD15*268.68*LOOKUP(AD17,密度!$A$2:$A$50,密度!B2:B50)+IF(AD15&lt;=0,0,1566*LOOKUP(AD17,密度!$A$2:$A$50,密度!B2:B50))</f>
        <v>11392.37338368</v>
      </c>
      <c r="AE16" s="73" ph="1">
        <f>AE15*268.68*LOOKUP(AE17,密度!$A$2:$A$50,密度!B2:B50)+IF(AE15&lt;=0,0,1566*LOOKUP(AE17,密度!$A$2:$A$50,密度!B2:B50))</f>
        <v>19008.445445759997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18" ph="1"/>
      <c r="C17" s="79" t="s" ph="1">
        <v>180</v>
      </c>
      <c r="D17" s="74">
        <v>31</v>
      </c>
      <c r="E17" s="74">
        <v>31</v>
      </c>
      <c r="F17" s="74">
        <v>30</v>
      </c>
      <c r="G17" s="74">
        <v>28</v>
      </c>
      <c r="H17" s="74">
        <v>26</v>
      </c>
      <c r="I17" s="74">
        <v>25</v>
      </c>
      <c r="J17" s="74">
        <v>27</v>
      </c>
      <c r="K17" s="74">
        <v>27</v>
      </c>
      <c r="L17" s="74">
        <v>30</v>
      </c>
      <c r="M17" s="74">
        <v>31</v>
      </c>
      <c r="N17" s="74">
        <v>26</v>
      </c>
      <c r="O17" s="74">
        <v>28</v>
      </c>
      <c r="P17" s="74">
        <v>30</v>
      </c>
      <c r="Q17" s="74">
        <v>31</v>
      </c>
      <c r="R17" s="74">
        <v>28</v>
      </c>
      <c r="S17" s="74">
        <v>30</v>
      </c>
      <c r="T17" s="74">
        <v>27</v>
      </c>
      <c r="U17" s="74">
        <v>26</v>
      </c>
      <c r="V17" s="74">
        <v>27</v>
      </c>
      <c r="W17" s="74">
        <v>28</v>
      </c>
      <c r="X17" s="74">
        <v>29</v>
      </c>
      <c r="Y17" s="108">
        <v>29</v>
      </c>
      <c r="Z17" s="74">
        <v>28</v>
      </c>
      <c r="AA17" s="74">
        <v>28</v>
      </c>
      <c r="AB17" s="74">
        <v>31</v>
      </c>
      <c r="AC17" s="74">
        <v>27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65" ph="1">
      <c r="B18" s="216" ph="1">
        <v>0.66666666666666663</v>
      </c>
      <c r="C18" s="79" t="s" ph="1">
        <v>181</v>
      </c>
      <c r="D18" s="71">
        <v>0</v>
      </c>
      <c r="E18" s="71">
        <v>3124</v>
      </c>
      <c r="F18" s="71">
        <v>3035</v>
      </c>
      <c r="G18" s="71">
        <v>3366</v>
      </c>
      <c r="H18" s="71">
        <v>4379</v>
      </c>
      <c r="I18" s="71">
        <v>2608</v>
      </c>
      <c r="J18" s="71">
        <v>403</v>
      </c>
      <c r="K18" s="71">
        <v>3819</v>
      </c>
      <c r="L18" s="71">
        <v>4789</v>
      </c>
      <c r="M18" s="71">
        <v>5249</v>
      </c>
      <c r="N18" s="71">
        <v>1306</v>
      </c>
      <c r="O18" s="71">
        <v>1555</v>
      </c>
      <c r="P18" s="71">
        <v>5179</v>
      </c>
      <c r="Q18" s="71">
        <v>6912</v>
      </c>
      <c r="R18" s="71">
        <v>0</v>
      </c>
      <c r="S18" s="71">
        <v>3710</v>
      </c>
      <c r="T18" s="71">
        <v>4906</v>
      </c>
      <c r="U18" s="71">
        <v>2513</v>
      </c>
      <c r="V18" s="71">
        <v>-141</v>
      </c>
      <c r="W18" s="71">
        <v>2070</v>
      </c>
      <c r="X18" s="71">
        <v>-89</v>
      </c>
      <c r="Y18" s="109">
        <v>-9905</v>
      </c>
      <c r="Z18" s="71">
        <v>0</v>
      </c>
      <c r="AA18" s="71">
        <v>6160</v>
      </c>
      <c r="AB18" s="71">
        <v>2423</v>
      </c>
      <c r="AC18" s="71">
        <v>2541</v>
      </c>
      <c r="AD18" s="71">
        <v>83.76</v>
      </c>
      <c r="AE18" s="71">
        <v>5.46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4" ph="1">
      <c r="B19" s="217" ph="1"/>
      <c r="C19" s="161" t="s" ph="1">
        <v>179</v>
      </c>
      <c r="D19" s="73" ph="1">
        <f>D18*7.0686*LOOKUP(D20,密度!$A$2:$A$50,密度!$L$2:$L$50)</f>
        <v>0</v>
      </c>
      <c r="E19" s="73" ph="1">
        <f>E18*7.0686*LOOKUP(E20,密度!$A$2:$A$50,密度!$L$2:$L$50)</f>
        <v>20536.544952000004</v>
      </c>
      <c r="F19" s="73" ph="1">
        <f>F18*9.0746*LOOKUP(F20,密度!$A$2:$A$50,密度!$L$2:$L$50)</f>
        <v>25530.887997000002</v>
      </c>
      <c r="G19" s="73" ph="1">
        <f>G18*9.0746*LOOKUP(G20,密度!$A$2:$A$50,密度!$B$2:$B$50)</f>
        <v>23681.618821080003</v>
      </c>
      <c r="H19" s="73" ph="1">
        <f>H18*9.0746*LOOKUP(H20,密度!$A$2:$A$50,密度!$L$2:$L$50)</f>
        <v>37114.986955600005</v>
      </c>
      <c r="I19" s="73" ph="1">
        <f>I18*9.0746*LOOKUP(I20,密度!$A$2:$A$50,密度!$U$2:$U$50)</f>
        <v>24092.554822400001</v>
      </c>
      <c r="J19" s="73" ph="1">
        <f>J18*9.0746*LOOKUP(J20,密度!$A$2:$A$50,密度!$L$2:$L$50)</f>
        <v>3408.3834615999999</v>
      </c>
      <c r="K19" s="73" ph="1">
        <f>K18*9.0746*LOOKUP(K20,密度!$A$2:$A$50,密度!$C$2:$C$50)</f>
        <v>38298.232216739998</v>
      </c>
      <c r="L19" s="73" ph="1">
        <f>L18*9.0746*LOOKUP(L20,密度!$A$2:$A$50,密度!$E$2:$E$50)</f>
        <v>33694.057678008001</v>
      </c>
      <c r="M19" s="73" ph="1">
        <f>M18*9.0746*LOOKUP(M20,密度!$A$2:$A$50,密度!$M$2:$M$50)</f>
        <v>41336.501583628</v>
      </c>
      <c r="N19" s="73" ph="1">
        <f>N18*9.0746*LOOKUP(N20,密度!$A$2:$A$50,密度!$M$2:$M$50)</f>
        <v>10334.4448672</v>
      </c>
      <c r="O19" s="73" ph="1">
        <f>O18*9.0746*LOOKUP(O20,密度!$A$2:$A$50,密度!$G$2:$G$50)</f>
        <v>13471.7745641</v>
      </c>
      <c r="P19" s="73" ph="1">
        <f ca="1">P18*9.0746*LOOKUP(P20,密度!$A$2:$A$51,密度!$Q$2:$Q$50)</f>
        <v>44298.765367772001</v>
      </c>
      <c r="Q19" s="73" ph="1">
        <f>Q18*9.0746*LOOKUP(Q20,密度!$A$2:$A$50,密度!$Q$2:$Q$50)</f>
        <v>59079.391994880003</v>
      </c>
      <c r="R19" s="73" ph="1">
        <f>MAX(R18*9.0746*LOOKUP(R20,密度!$A$2:$A$50,密度!$B$2:$B$50),0)</f>
        <v>0</v>
      </c>
      <c r="S19" s="73" ph="1">
        <f>S18*9.0746*LOOKUP(S20,密度!$A$2:$A$50,密度!$Q$2:$Q$50)</f>
        <v>31733.620296280002</v>
      </c>
      <c r="T19" s="73" ph="1">
        <f>T18*9.0746*LOOKUP(T20,密度!$A$2:$A$50,密度!$O$2:$O$50)</f>
        <v>41047.428567200004</v>
      </c>
      <c r="U19" s="73" ph="1">
        <f>U18*9.0746*LOOKUP(U20,密度!$A$2:$A$50,密度!$H$2:$H$50)</f>
        <v>20752.067518</v>
      </c>
      <c r="V19" s="73" ph="1">
        <f>MAX(5600*LOOKUP(V20,密度!$A$2:$A$50,密度!$Q$2:$Q$50)+V18*9.0476*LOOKUP(V20,密度!$A$2:$A$50,密度!$Q$2:$Q$50),0)</f>
        <v>4070.2364564999998</v>
      </c>
      <c r="W19" s="73" ph="1">
        <f>MAX(5600*LOOKUP(W20,密度!$A$2:$A$50,密度!$Q$2:$Q$50)+W18*9.0476*LOOKUP(W20,密度!$A$2:$A$50,密度!$Q$2:$Q$50),0)</f>
        <v>22915.044290799997</v>
      </c>
      <c r="X19" s="73" ph="1">
        <f>MAX(5600*LOOKUP(X20,密度!$A$2:$A$50,密度!$I$2:$I$50)+X18*9.0476*LOOKUP(X20,密度!$A$2:$A$50,密度!$I$2:$I$50),0)</f>
        <v>4965.0256554360003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43389.2198432</v>
      </c>
      <c r="AB19" s="73" ph="1">
        <f>AB18*9.0746*LOOKUP(AB20,密度!$A$2:$A$50,密度!$L$2:$L$50)</f>
        <v>20470.600649799999</v>
      </c>
      <c r="AC19" s="73" ph="1">
        <f>AC18*9.0746*LOOKUP(AC20,密度!$A$2:$A$50,密度!$L$2:$L$50)</f>
        <v>21513.635173800001</v>
      </c>
      <c r="AD19" s="73" ph="1">
        <f>AD18*268.68*LOOKUP(AD20,密度!$A$2:$A$50,密度!B5:B53)+IF(AD18&lt;=0,0,1566*LOOKUP(AD20,密度!$A$2:$A$50,密度!B5:B53))</f>
        <v>18702.884793599998</v>
      </c>
      <c r="AE19" s="73" ph="1">
        <f>AE18*268.68*LOOKUP(AE20,密度!$A$2:$A$50,密度!B5:B53)+IF(AE18&lt;=0,0,1566*LOOKUP(AE20,密度!$A$2:$A$50,密度!B5:B53))</f>
        <v>2356.6354056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17" ph="1"/>
      <c r="C20" s="80" t="s" ph="1">
        <v>180</v>
      </c>
      <c r="D20" s="81">
        <v>32</v>
      </c>
      <c r="E20" s="81">
        <v>32</v>
      </c>
      <c r="F20" s="81">
        <v>35</v>
      </c>
      <c r="G20" s="81">
        <v>30</v>
      </c>
      <c r="H20" s="81">
        <v>28</v>
      </c>
      <c r="I20" s="81">
        <v>32</v>
      </c>
      <c r="J20" s="81">
        <v>30</v>
      </c>
      <c r="K20" s="81">
        <v>30</v>
      </c>
      <c r="L20" s="81">
        <v>32</v>
      </c>
      <c r="M20" s="81">
        <v>32</v>
      </c>
      <c r="N20" s="81">
        <v>28</v>
      </c>
      <c r="O20" s="81">
        <v>30</v>
      </c>
      <c r="P20" s="81">
        <v>31</v>
      </c>
      <c r="Q20" s="81">
        <v>32</v>
      </c>
      <c r="R20" s="81">
        <v>32</v>
      </c>
      <c r="S20" s="81">
        <v>31</v>
      </c>
      <c r="T20" s="81">
        <v>30</v>
      </c>
      <c r="U20" s="81">
        <v>30</v>
      </c>
      <c r="V20" s="81">
        <v>33</v>
      </c>
      <c r="W20" s="81">
        <v>32</v>
      </c>
      <c r="X20" s="81">
        <v>31</v>
      </c>
      <c r="Y20" s="110">
        <v>31</v>
      </c>
      <c r="Z20" s="81">
        <v>32</v>
      </c>
      <c r="AA20" s="81">
        <v>29</v>
      </c>
      <c r="AB20" s="81">
        <v>31</v>
      </c>
      <c r="AC20" s="81">
        <v>29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15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633</v>
      </c>
      <c r="H23" s="88" t="s" ph="1">
        <v>633</v>
      </c>
      <c r="I23" s="88" t="s" ph="1">
        <v>634</v>
      </c>
      <c r="J23" s="88" t="s" ph="1">
        <v>635</v>
      </c>
      <c r="K23" s="88" t="s" ph="1">
        <v>635</v>
      </c>
      <c r="L23" s="88" t="s" ph="1">
        <v>635</v>
      </c>
      <c r="M23" s="88" t="s" ph="1">
        <v>630</v>
      </c>
      <c r="N23" s="88" t="s" ph="1">
        <v>630</v>
      </c>
      <c r="O23" s="88" t="s" ph="1">
        <v>321</v>
      </c>
      <c r="P23" s="88" t="s" ph="1">
        <v>637</v>
      </c>
      <c r="Q23" s="89" t="s" ph="1">
        <v>637</v>
      </c>
      <c r="R23" s="88" t="s" ph="1">
        <v>616</v>
      </c>
      <c r="S23" s="88" t="s" ph="1">
        <v>636</v>
      </c>
      <c r="T23" s="88" t="s" ph="1">
        <v>607</v>
      </c>
      <c r="U23" s="88" t="s" ph="1">
        <v>611</v>
      </c>
      <c r="V23" s="88" t="s" ph="1">
        <v>637</v>
      </c>
      <c r="W23" s="88" t="s" ph="1">
        <v>637</v>
      </c>
      <c r="X23" s="88" t="s" ph="1">
        <v>190</v>
      </c>
      <c r="Y23" s="88" t="s" ph="1">
        <v>638</v>
      </c>
      <c r="Z23" s="228" t="s" ph="1">
        <v>641</v>
      </c>
      <c r="AA23" s="229"/>
      <c r="AB23" s="229"/>
      <c r="AC23" s="229"/>
      <c r="AD23" s="229"/>
      <c r="AE23" s="230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37" ph="1">
        <v>0.33333333333333331</v>
      </c>
      <c r="C24" s="161" t="s" ph="1">
        <v>178</v>
      </c>
      <c r="D24" s="71">
        <v>72.459999999999994</v>
      </c>
      <c r="E24" s="71">
        <v>4.45</v>
      </c>
      <c r="F24" s="71">
        <v>3808</v>
      </c>
      <c r="G24" s="71">
        <v>3225</v>
      </c>
      <c r="H24" s="71">
        <v>1</v>
      </c>
      <c r="I24" s="71">
        <v>2649</v>
      </c>
      <c r="J24" s="71">
        <v>4900</v>
      </c>
      <c r="K24" s="71">
        <v>5512</v>
      </c>
      <c r="L24" s="71">
        <v>5613</v>
      </c>
      <c r="M24" s="71">
        <v>2224</v>
      </c>
      <c r="N24" s="71">
        <v>2664</v>
      </c>
      <c r="O24" s="71">
        <v>4325</v>
      </c>
      <c r="P24" s="71">
        <v>353</v>
      </c>
      <c r="Q24" s="90">
        <v>1925</v>
      </c>
      <c r="R24" s="71">
        <v>70</v>
      </c>
      <c r="S24" s="71">
        <v>4844</v>
      </c>
      <c r="T24" s="71">
        <v>1764</v>
      </c>
      <c r="U24" s="71">
        <v>5323</v>
      </c>
      <c r="V24" s="71">
        <v>10354</v>
      </c>
      <c r="W24" s="71">
        <v>11727</v>
      </c>
      <c r="X24" s="71">
        <v>5138</v>
      </c>
      <c r="Y24" s="71">
        <v>4997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37" ph="1"/>
      <c r="C25" s="68" t="s" ph="1">
        <v>179</v>
      </c>
      <c r="D25" s="91" ph="1">
        <f>D24*268.68*LOOKUP(D26,密度!$A$2:$A$50,密度!$Q$2:$Q$50)+IF(D24&lt;=0,0,1566*LOOKUP(D26,密度!$A$2:$A$50,密度!$Q$2:$Q$50))</f>
        <v>19914.252517871999</v>
      </c>
      <c r="E25" s="91" ph="1">
        <f>E24*268.68*LOOKUP(E26,密度!$A$2:$A$50,密度!$C$2:$C$50)+IF(E24&lt;=0,0,1566*LOOKUP(E26,密度!$A$2:$A$50,密度!$C$2:$C$50))</f>
        <v>3062.3670714</v>
      </c>
      <c r="F25" s="91" ph="1">
        <f>F24*11.702*LOOKUP(F26,密度!$A$2:$A$50,密度!$Q$2:$Q$50)</f>
        <v>42156.247172480005</v>
      </c>
      <c r="G25" s="91" ph="1">
        <f>G24*18.322*LOOKUP(G26,密度!$A$2:$A$50,密度!$B$2:$B$50)</f>
        <v>46012.176014999997</v>
      </c>
      <c r="H25" s="91" ph="1">
        <f>H24*18.322*LOOKUP(H26,密度!$A$2:$A$50,密度!$B$2:$B$50)</f>
        <v>14.2526838</v>
      </c>
      <c r="I25" s="91" ph="1">
        <f>I24*18.322*LOOKUP(I26,密度!$A$2:$A$50,密度!$Q$2:$Q$50)</f>
        <v>45881.085402960001</v>
      </c>
      <c r="J25" s="91" ph="1">
        <f>J24*18.322*LOOKUP(J26,密度!$A$2:$A$50,密度!$Q$2:$Q$50)</f>
        <v>84996.234372000006</v>
      </c>
      <c r="K25" s="91" ph="1">
        <f>K24*18.322*LOOKUP(K26,密度!$A$2:$A$50,密度!$Q$2:$Q$50)</f>
        <v>95468.683556480013</v>
      </c>
      <c r="L25" s="91" ph="1">
        <f>L24*18.322*LOOKUP(L26,密度!$A$2:$A$50,密度!$Q$2:$Q$50)</f>
        <v>97291.036397579999</v>
      </c>
      <c r="M25" s="91" ph="1">
        <f>M24*18.322*LOOKUP(M26,密度!$A$2:$A$50,密度!$Q$2:$Q$50)</f>
        <v>38548.951531840001</v>
      </c>
      <c r="N25" s="91" ph="1">
        <f>N24*18.322*LOOKUP(N26,密度!$A$2:$A$50,密度!$Q$2:$Q$50)</f>
        <v>46140.88769856</v>
      </c>
      <c r="O25" s="91" ph="1">
        <f>O24*18.322*LOOKUP(O26,密度!$A$2:$A$50,密度!$C$2:$C$50)</f>
        <v>87753.310609999986</v>
      </c>
      <c r="P25" s="91" ph="1">
        <f>P24*11.702*LOOKUP(P26,密度!$A$2:$A$50,密度!$B$2:$B$50)</f>
        <v>3209.636262</v>
      </c>
      <c r="Q25" s="92" ph="1">
        <f>Q24*18.322*LOOKUP(Q26,密度!$A$2:$A$50,密度!$B$2:$B$50)</f>
        <v>27436.416314999999</v>
      </c>
      <c r="R25" s="91" ph="1">
        <f>R24*35.891*LOOKUP(R26,密度!$A$2:$A$50,密度!$C$2:$C$50)</f>
        <v>2783.9571970000002</v>
      </c>
      <c r="S25" s="91" ph="1">
        <f>S24*35.891*LOOKUP(S26,密度!$A$2:$A$50,密度!$B$2:$B$50)</f>
        <v>135381.67031479999</v>
      </c>
      <c r="T25" s="91" ph="1">
        <f>T24*35.891*LOOKUP(T26,密度!$A$2:$A$50,密度!$Q$2:$Q$50)</f>
        <v>59805.520724879992</v>
      </c>
      <c r="U25" s="91" ph="1">
        <f>U24*35.891</f>
        <v>191047.79300000001</v>
      </c>
      <c r="V25" s="91" ph="1">
        <f>V24*47.051*LOOKUP(V26,密度!$A$2:$A$50,密度!$B$2:$B$50)</f>
        <v>378966.47340660001</v>
      </c>
      <c r="W25" s="91" ph="1">
        <f>W24*47.051*LOOKUP(W26,密度!$A$2:$A$50,密度!$B$2:$B$50)</f>
        <v>429219.60919830005</v>
      </c>
      <c r="X25" s="91" ph="1">
        <f>X24*47.051*LOOKUP(X26,密度!$A$2:$A$50,密度!$I$2:$I$50)</f>
        <v>250861.93903260003</v>
      </c>
      <c r="Y25" s="91" ph="1">
        <f>Y24*47.051*LOOKUP(Y26,密度!$A$2:$A$50,密度!$L$2:$L$50)</f>
        <v>219596.33309800003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37" ph="1"/>
      <c r="C26" s="68" t="s" ph="1">
        <v>180</v>
      </c>
      <c r="D26" s="74">
        <v>25</v>
      </c>
      <c r="E26" s="74">
        <v>25</v>
      </c>
      <c r="F26" s="74">
        <v>26</v>
      </c>
      <c r="G26" s="74">
        <v>26</v>
      </c>
      <c r="H26" s="74">
        <v>27</v>
      </c>
      <c r="I26" s="74">
        <v>27</v>
      </c>
      <c r="J26" s="74">
        <v>25</v>
      </c>
      <c r="K26" s="74">
        <v>27</v>
      </c>
      <c r="L26" s="74">
        <v>26</v>
      </c>
      <c r="M26" s="74">
        <v>26</v>
      </c>
      <c r="N26" s="74">
        <v>27</v>
      </c>
      <c r="O26" s="74">
        <v>27</v>
      </c>
      <c r="P26" s="74">
        <v>28</v>
      </c>
      <c r="Q26" s="93">
        <v>27</v>
      </c>
      <c r="R26" s="74">
        <v>26</v>
      </c>
      <c r="S26" s="74">
        <v>26</v>
      </c>
      <c r="T26" s="74">
        <v>28</v>
      </c>
      <c r="U26" s="74">
        <v>26</v>
      </c>
      <c r="V26" s="74">
        <v>27</v>
      </c>
      <c r="W26" s="74">
        <v>27</v>
      </c>
      <c r="X26" s="74">
        <v>29</v>
      </c>
      <c r="Y26" s="74">
        <v>28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65" ph="1">
      <c r="A27" s="72" ph="1"/>
      <c r="B27" s="237" ph="1">
        <v>0.66666666666666663</v>
      </c>
      <c r="C27" s="161" t="s" ph="1">
        <v>181</v>
      </c>
      <c r="D27" s="71">
        <v>71.45</v>
      </c>
      <c r="E27" s="71">
        <v>4.43</v>
      </c>
      <c r="F27" s="71">
        <v>3834</v>
      </c>
      <c r="G27" s="71">
        <v>2737</v>
      </c>
      <c r="H27" s="71">
        <v>1124</v>
      </c>
      <c r="I27" s="71">
        <v>1738</v>
      </c>
      <c r="J27" s="71">
        <v>4901</v>
      </c>
      <c r="K27" s="71">
        <v>5513</v>
      </c>
      <c r="L27" s="71">
        <v>5613</v>
      </c>
      <c r="M27" s="71">
        <v>2224</v>
      </c>
      <c r="N27" s="71">
        <v>2664</v>
      </c>
      <c r="O27" s="71">
        <v>4324</v>
      </c>
      <c r="P27" s="71">
        <v>352</v>
      </c>
      <c r="Q27" s="90">
        <v>2703</v>
      </c>
      <c r="R27" s="71">
        <v>68</v>
      </c>
      <c r="S27" s="71">
        <v>4843</v>
      </c>
      <c r="T27" s="71">
        <v>1764</v>
      </c>
      <c r="U27" s="71">
        <v>5339</v>
      </c>
      <c r="V27" s="71">
        <v>10356</v>
      </c>
      <c r="W27" s="71">
        <v>11730</v>
      </c>
      <c r="X27" s="71">
        <v>5137</v>
      </c>
      <c r="Y27" s="71">
        <v>3927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37" ph="1"/>
      <c r="C28" s="161" t="s" ph="1">
        <v>179</v>
      </c>
      <c r="D28" s="91" ph="1">
        <f>D27*268.68*LOOKUP(D29,密度!$A$2:$A$50,密度!$Q$2:$Q$50)+IF(D27&lt;=0,0,1566*LOOKUP(D29,密度!$A$2:$A$50,密度!$Q$2:$Q$50))</f>
        <v>19657.338713640005</v>
      </c>
      <c r="E28" s="91" ph="1">
        <f>E27*268.68*LOOKUP(E29,密度!$A$2:$A$50,密度!$C$2:$C$50)+IF(E27&lt;=0,0,1566*LOOKUP(E29,密度!$A$2:$A$50,密度!$C$2:$C$50))</f>
        <v>3056.4082863599997</v>
      </c>
      <c r="F28" s="91" ph="1">
        <f>F27*11.702*LOOKUP(F29,密度!$A$2:$A$50,密度!$Q$2:$Q$50)</f>
        <v>42380.818382160003</v>
      </c>
      <c r="G28" s="91" ph="1">
        <f>G27*18.322*LOOKUP(G29,密度!$A$2:$A$50,密度!$B$2:$B$50)</f>
        <v>38964.462978000003</v>
      </c>
      <c r="H28" s="91" ph="1">
        <f>H27*18.322*LOOKUP(H29,密度!$A$2:$A$50,密度!$B$2:$B$50)</f>
        <v>15985.0069136</v>
      </c>
      <c r="I28" s="91" ph="1">
        <f>I27*18.322*LOOKUP(I29,密度!$A$2:$A$50,密度!$Q$2:$Q$50)</f>
        <v>30058.163329480001</v>
      </c>
      <c r="J28" s="91" ph="1">
        <f>J27*18.322*LOOKUP(J29,密度!$A$2:$A$50,密度!$Q$2:$Q$50)</f>
        <v>84823.212763640011</v>
      </c>
      <c r="K28" s="91" ph="1">
        <f>K27*18.322*LOOKUP(K29,密度!$A$2:$A$50,密度!$Q$2:$Q$50)</f>
        <v>95486.00370952001</v>
      </c>
      <c r="L28" s="91" ph="1">
        <f>L27*18.322*LOOKUP(L29,密度!$A$2:$A$50,密度!$Q$2:$Q$50)</f>
        <v>97146.030043320003</v>
      </c>
      <c r="M28" s="91" ph="1">
        <f>M27*18.322*LOOKUP(M29,密度!$A$2:$A$50,密度!$Q$2:$Q$50)</f>
        <v>38491.496671360001</v>
      </c>
      <c r="N28" s="91" ph="1">
        <f>N27*18.322*LOOKUP(N29,密度!$A$2:$A$50,密度!$Q$2:$Q$50)</f>
        <v>46073.04206544</v>
      </c>
      <c r="O28" s="91" ph="1">
        <f>O27*18.322*LOOKUP(O29,密度!$A$2:$A$50,密度!$C$2:$C$50)</f>
        <v>87614.1843352</v>
      </c>
      <c r="P28" s="91" t="e" ph="1">
        <f>P27*11.702*LOOKUP(P29,密度!$A$2:$A$50,密度!$B$2:$B$50)</f>
        <v>#N/A</v>
      </c>
      <c r="Q28" s="92" ph="1">
        <f>Q27*18.322*LOOKUP(Q29,密度!$A$2:$A$50,密度!$B$2:$B$50)</f>
        <v>38351.669030399993</v>
      </c>
      <c r="R28" s="91" ph="1">
        <f>R27*35.891*LOOKUP(R29,密度!$A$2:$A$50,密度!$C$2:$C$50)</f>
        <v>2700.7546807999997</v>
      </c>
      <c r="S28" s="91" ph="1">
        <f>S27*35.891*LOOKUP(S29,密度!$A$2:$A$50,密度!$B$2:$B$50)</f>
        <v>134919.1717106</v>
      </c>
      <c r="T28" s="91" ph="1">
        <f>T27*35.891*LOOKUP(T29,密度!$A$2:$A$50,密度!$Q$2:$Q$50)</f>
        <v>59849.838931679995</v>
      </c>
      <c r="U28" s="91" ph="1">
        <f>U27*35.891</f>
        <v>191622.049</v>
      </c>
      <c r="V28" s="91" ph="1">
        <f>V27*47.051*LOOKUP(V29,密度!$A$2:$A$50,密度!$B$2:$B$50)</f>
        <v>378211.33308720001</v>
      </c>
      <c r="W28" s="91" ph="1">
        <f>W27*47.051*LOOKUP(W29,密度!$A$2:$A$50,密度!$B$2:$B$50)</f>
        <v>427894.45071899996</v>
      </c>
      <c r="X28" s="91" ph="1">
        <f>X27*47.051*LOOKUP(X29,密度!$A$2:$A$50,密度!$I$2:$I$50)</f>
        <v>250283.78904837</v>
      </c>
      <c r="Y28" s="91" ph="1">
        <f>Y27*47.051*LOOKUP(Y29,密度!$A$2:$A$50,密度!$L$2:$L$50)</f>
        <v>171835.42761000001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37" ph="1"/>
      <c r="C29" s="161" t="s" ph="1">
        <v>180</v>
      </c>
      <c r="D29" s="74">
        <v>25</v>
      </c>
      <c r="E29" s="74">
        <v>25</v>
      </c>
      <c r="F29" s="74">
        <v>28</v>
      </c>
      <c r="G29" s="74">
        <v>28</v>
      </c>
      <c r="H29" s="74">
        <v>29</v>
      </c>
      <c r="I29" s="74">
        <v>29</v>
      </c>
      <c r="J29" s="74">
        <v>28</v>
      </c>
      <c r="K29" s="74">
        <v>27</v>
      </c>
      <c r="L29" s="74">
        <v>28</v>
      </c>
      <c r="M29" s="74">
        <v>28</v>
      </c>
      <c r="N29" s="74">
        <v>29</v>
      </c>
      <c r="O29" s="74">
        <v>29</v>
      </c>
      <c r="P29" s="74">
        <v>0</v>
      </c>
      <c r="Q29" s="93">
        <v>31</v>
      </c>
      <c r="R29" s="74">
        <v>28</v>
      </c>
      <c r="S29" s="74">
        <v>29</v>
      </c>
      <c r="T29" s="74">
        <v>27</v>
      </c>
      <c r="U29" s="74">
        <v>28</v>
      </c>
      <c r="V29" s="74">
        <v>29</v>
      </c>
      <c r="W29" s="74">
        <v>30</v>
      </c>
      <c r="X29" s="74">
        <v>31</v>
      </c>
      <c r="Y29" s="74">
        <v>32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45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61" t="s" ph="1">
        <v>5</v>
      </c>
      <c r="F32" s="160" t="s" ph="1">
        <v>43</v>
      </c>
      <c r="G32" s="97" t="s" ph="1">
        <v>4</v>
      </c>
      <c r="H32" s="161" t="s" ph="1">
        <v>5</v>
      </c>
      <c r="I32" s="160" t="s" ph="1">
        <v>43</v>
      </c>
      <c r="J32" s="97" t="s" ph="1">
        <v>4</v>
      </c>
      <c r="K32" s="161" t="s" ph="1">
        <v>5</v>
      </c>
      <c r="L32" s="160" t="s" ph="1">
        <v>43</v>
      </c>
      <c r="M32" s="97" t="s" ph="1">
        <v>4</v>
      </c>
      <c r="N32" s="161" t="s" ph="1">
        <v>5</v>
      </c>
      <c r="O32" s="160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1" t="s" ph="1">
        <v>5</v>
      </c>
      <c r="U32" s="99" t="s" ph="1">
        <v>43</v>
      </c>
      <c r="V32" s="97" t="s" ph="1">
        <v>4</v>
      </c>
      <c r="W32" s="161" t="s" ph="1">
        <v>5</v>
      </c>
      <c r="X32" s="99" t="s" ph="1">
        <v>43</v>
      </c>
      <c r="Y32" s="100" t="s" ph="1">
        <v>4</v>
      </c>
      <c r="Z32" s="161" t="s" ph="1">
        <v>5</v>
      </c>
      <c r="AA32" s="160" t="s" ph="1">
        <v>43</v>
      </c>
      <c r="AB32" s="97" t="s" ph="1">
        <v>85</v>
      </c>
      <c r="AC32" s="161" t="s" ph="1">
        <v>84</v>
      </c>
      <c r="AD32" s="204" t="s" ph="1">
        <v>83</v>
      </c>
      <c r="AE32" s="205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06" t="s" ph="1">
        <v>182</v>
      </c>
      <c r="C33" s="207" ph="1"/>
      <c r="D33" s="186" ph="1">
        <f>AA10+AB10+Z19</f>
        <v>51862.853889000005</v>
      </c>
      <c r="E33" s="186" ph="1">
        <f>M10+I10</f>
        <v>149196.12356579999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[[#This Row],[F25]]</f>
        <v>3880</v>
      </c>
      <c r="G33" s="212" ph="1">
        <v>0</v>
      </c>
      <c r="H33" s="186" ph="1">
        <f>N19</f>
        <v>10334.4448672</v>
      </c>
      <c r="I33" s="190" ph="1">
        <v>0</v>
      </c>
      <c r="J33" s="194" ph="1">
        <f>F10+O28</f>
        <v>290805.91463410005</v>
      </c>
      <c r="K33" s="186" ph="1">
        <f>O10+K10+E28+R28</f>
        <v>108582.12621756001</v>
      </c>
      <c r="L33" s="196" ph="1">
        <f>BE27</f>
        <v>7100</v>
      </c>
      <c r="M33" s="194" ph="1">
        <f>G10+H10+W28+S28+V28+E10</f>
        <v>1944032.9078368</v>
      </c>
      <c r="N33" s="186" ph="1">
        <f>L10+P10++G28+H28</f>
        <v>162964.58560359999</v>
      </c>
      <c r="O33" s="190" ph="1">
        <f>BE17</f>
        <v>2270</v>
      </c>
      <c r="P33" s="194" ph="1">
        <f>L19</f>
        <v>33694.057678008001</v>
      </c>
      <c r="Q33" s="186" ph="1">
        <f>J10+N10</f>
        <v>37949.977374399998</v>
      </c>
      <c r="R33" s="190" ph="1">
        <f>BE23</f>
        <v>890</v>
      </c>
      <c r="S33" s="194" ph="1">
        <f>E10+X28</f>
        <v>569522.44504837005</v>
      </c>
      <c r="T33" s="186" ph="1">
        <f>X19</f>
        <v>4965.0256554360003</v>
      </c>
      <c r="U33" s="175" ph="1">
        <f>BE21</f>
        <v>730</v>
      </c>
      <c r="V33" s="188" ph="1">
        <f ca="1">P19+Q19+S19+M28+N28+J28</f>
        <v>304499.52915937203</v>
      </c>
      <c r="W33" s="188" ph="1">
        <f>D28+F28+V19+T28</f>
        <v>125958.23248398001</v>
      </c>
      <c r="X33" s="190" ph="1">
        <f>BE29+BE31</f>
        <v>10200</v>
      </c>
      <c r="Y33" s="192" ph="1">
        <f>+Q10+R10+S10+T10+U10+V10+W10+X10+Y10</f>
        <v>160897.22621280001</v>
      </c>
      <c r="Z33" s="173" ph="1">
        <f>D10+T19+U19+Y28+Z10</f>
        <v>340779.71978895005</v>
      </c>
      <c r="AA33" s="175" ph="1">
        <f>BE19</f>
        <v>1440</v>
      </c>
      <c r="AB33" s="177" ph="1">
        <f>I19</f>
        <v>24092.554822400001</v>
      </c>
      <c r="AC33" s="179" ph="1">
        <f>AD10</f>
        <v>85974.343055999998</v>
      </c>
      <c r="AD33" s="181" ph="1">
        <v>0</v>
      </c>
      <c r="AE33" s="182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85" t="s" ph="1">
        <v>639</v>
      </c>
      <c r="AD35" s="185"/>
      <c r="AE35" s="185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45" ph="1">
      <c r="A36" s="64"/>
      <c r="B36" s="103" t="s" ph="1">
        <v>183</v>
      </c>
      <c r="I36" s="171" t="s" ph="1">
        <v>184</v>
      </c>
      <c r="J36" s="171" ph="1"/>
      <c r="K36" s="101" ph="1"/>
      <c r="P36" s="101" ph="1"/>
      <c r="R36" s="171" t="s" ph="1">
        <v>185</v>
      </c>
      <c r="S36" s="171" ph="1"/>
      <c r="Y36" s="102" ph="1"/>
      <c r="Z36" s="159" t="s" ph="1">
        <v>186</v>
      </c>
      <c r="AA36" s="159" ph="1"/>
      <c r="AB36" s="172" t="s" ph="1">
        <v>644</v>
      </c>
      <c r="AC36" s="172" ph="1"/>
      <c r="AD36" s="172" ph="1"/>
      <c r="AE36" s="172" ph="1"/>
      <c r="BA36" s="64" ph="1">
        <v>2270</v>
      </c>
    </row>
    <row r="37" spans="1:57" s="15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9" t="s" ph="1">
        <v>345</v>
      </c>
      <c r="AI37" s="159" t="s" ph="1">
        <v>212</v>
      </c>
      <c r="AJ37" s="159" t="s" ph="1">
        <v>213</v>
      </c>
      <c r="AK37" s="159" t="s" ph="1">
        <v>214</v>
      </c>
      <c r="AM37" s="159" t="s" ph="1">
        <v>213</v>
      </c>
      <c r="AN37" s="159" t="s" ph="1">
        <v>214</v>
      </c>
      <c r="AO37" s="159" t="s" ph="1">
        <v>215</v>
      </c>
      <c r="AP37" s="159" t="s" ph="1">
        <v>213</v>
      </c>
      <c r="AQ37" s="159" t="s" ph="1">
        <v>214</v>
      </c>
      <c r="AR37" s="159" t="s" ph="1">
        <v>215</v>
      </c>
      <c r="AS37" s="159" t="s" ph="1">
        <v>213</v>
      </c>
      <c r="AT37" s="159" t="s" ph="1">
        <v>214</v>
      </c>
      <c r="AU37" s="159" t="s" ph="1">
        <v>215</v>
      </c>
      <c r="AV37" s="159" t="s" ph="1">
        <v>213</v>
      </c>
      <c r="AW37" s="159" t="s" ph="1">
        <v>214</v>
      </c>
      <c r="AX37" s="159" t="s" ph="1">
        <v>215</v>
      </c>
      <c r="AY37" s="159" t="s" ph="1">
        <v>214</v>
      </c>
      <c r="AZ37" s="159" t="s" ph="1">
        <v>216</v>
      </c>
      <c r="BD37" s="159" t="s" ph="1">
        <v>308</v>
      </c>
      <c r="BE37" s="159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634" priority="97">
      <formula>ABS(D$7-D$10)&gt;=1000</formula>
    </cfRule>
  </conditionalFormatting>
  <conditionalFormatting sqref="E4 E6:E11">
    <cfRule type="expression" dxfId="633" priority="96">
      <formula>ABS(E$7-E$10)&gt;=1000</formula>
    </cfRule>
  </conditionalFormatting>
  <conditionalFormatting sqref="F4:F11">
    <cfRule type="expression" dxfId="632" priority="95">
      <formula>ABS(F$7-F$10)&gt;=1000</formula>
    </cfRule>
  </conditionalFormatting>
  <conditionalFormatting sqref="G4:G11">
    <cfRule type="expression" dxfId="631" priority="94">
      <formula>ABS(G$7-G$10)&gt;=1000</formula>
    </cfRule>
  </conditionalFormatting>
  <conditionalFormatting sqref="H4:H11">
    <cfRule type="expression" dxfId="630" priority="93">
      <formula>ABS(H$7-H$10)&gt;=1000</formula>
    </cfRule>
  </conditionalFormatting>
  <conditionalFormatting sqref="I4:I11">
    <cfRule type="expression" dxfId="629" priority="92">
      <formula>ABS(I$7-I$10)&gt;=1000</formula>
    </cfRule>
  </conditionalFormatting>
  <conditionalFormatting sqref="J4:J11">
    <cfRule type="expression" dxfId="628" priority="91">
      <formula>ABS(J$7-J$10)&gt;=1000</formula>
    </cfRule>
  </conditionalFormatting>
  <conditionalFormatting sqref="K4:K11">
    <cfRule type="expression" dxfId="627" priority="90">
      <formula>ABS(K$7-K$10)&gt;=1000</formula>
    </cfRule>
  </conditionalFormatting>
  <conditionalFormatting sqref="L4:L11">
    <cfRule type="expression" dxfId="626" priority="89">
      <formula>ABS(L$7-L$10)&gt;=1000</formula>
    </cfRule>
  </conditionalFormatting>
  <conditionalFormatting sqref="M4 M6:M11">
    <cfRule type="expression" dxfId="625" priority="88">
      <formula>ABS(M$7-M$10)&gt;=1000</formula>
    </cfRule>
  </conditionalFormatting>
  <conditionalFormatting sqref="N4 N6:N11">
    <cfRule type="expression" dxfId="624" priority="87">
      <formula>ABS(N$7-N$10)&gt;=1000</formula>
    </cfRule>
  </conditionalFormatting>
  <conditionalFormatting sqref="O4 O6:O11">
    <cfRule type="expression" dxfId="623" priority="86">
      <formula>ABS(O$7-O$10)&gt;=1000</formula>
    </cfRule>
  </conditionalFormatting>
  <conditionalFormatting sqref="P4 P6:P11">
    <cfRule type="expression" dxfId="622" priority="85">
      <formula>ABS(P$7-P$10)&gt;=1000</formula>
    </cfRule>
  </conditionalFormatting>
  <conditionalFormatting sqref="Q4:Q11">
    <cfRule type="expression" dxfId="621" priority="84">
      <formula>ABS(Q$7-Q$10)&gt;=1000</formula>
    </cfRule>
  </conditionalFormatting>
  <conditionalFormatting sqref="R4:R11">
    <cfRule type="expression" dxfId="620" priority="83">
      <formula>ABS(R$7-R$10)&gt;=1000</formula>
    </cfRule>
  </conditionalFormatting>
  <conditionalFormatting sqref="S4:S11">
    <cfRule type="expression" dxfId="619" priority="82">
      <formula>ABS(S$7-S$10)&gt;=1000</formula>
    </cfRule>
  </conditionalFormatting>
  <conditionalFormatting sqref="T4:T9 T11">
    <cfRule type="expression" dxfId="618" priority="81">
      <formula>ABS(T$7-T$10)&gt;=1000</formula>
    </cfRule>
  </conditionalFormatting>
  <conditionalFormatting sqref="U4:U9 U11">
    <cfRule type="expression" dxfId="617" priority="80">
      <formula>ABS(U$7-U$10)&gt;=1000</formula>
    </cfRule>
  </conditionalFormatting>
  <conditionalFormatting sqref="V4:V9 V11">
    <cfRule type="expression" dxfId="616" priority="79">
      <formula>ABS(V$7-V$10)&gt;=1000</formula>
    </cfRule>
  </conditionalFormatting>
  <conditionalFormatting sqref="W4:W9 W11">
    <cfRule type="expression" dxfId="615" priority="78">
      <formula>ABS(W$7-W$10)&gt;=1000</formula>
    </cfRule>
  </conditionalFormatting>
  <conditionalFormatting sqref="X4:X9 X11">
    <cfRule type="expression" dxfId="614" priority="77">
      <formula>ABS(X$7-X$10)&gt;=1000</formula>
    </cfRule>
  </conditionalFormatting>
  <conditionalFormatting sqref="Y4:Y9 Y11">
    <cfRule type="expression" dxfId="613" priority="76">
      <formula>ABS(Y$7-Y$10)&gt;=1000</formula>
    </cfRule>
  </conditionalFormatting>
  <conditionalFormatting sqref="Z4:Z11">
    <cfRule type="expression" dxfId="612" priority="75">
      <formula>ABS(Z$7-Z$10)&gt;=1000</formula>
    </cfRule>
  </conditionalFormatting>
  <conditionalFormatting sqref="AA4:AA11">
    <cfRule type="expression" dxfId="611" priority="74">
      <formula>ABS(AA$7-AA$10)&gt;=1000</formula>
    </cfRule>
  </conditionalFormatting>
  <conditionalFormatting sqref="AB4:AB11">
    <cfRule type="expression" dxfId="610" priority="73">
      <formula>ABS(AB$7-AB$10)&gt;=1000</formula>
    </cfRule>
  </conditionalFormatting>
  <conditionalFormatting sqref="AC4 AC6:AC11">
    <cfRule type="expression" dxfId="609" priority="72">
      <formula>ABS(AC$7-AC$10)&gt;=1000</formula>
    </cfRule>
  </conditionalFormatting>
  <conditionalFormatting sqref="AD4:AD11">
    <cfRule type="expression" dxfId="608" priority="71">
      <formula>ABS(AD$7-AD$10)&gt;=1000</formula>
    </cfRule>
  </conditionalFormatting>
  <conditionalFormatting sqref="AE4:AE11">
    <cfRule type="expression" dxfId="607" priority="70">
      <formula>ABS(AE$7-AE$10)&gt;=1000</formula>
    </cfRule>
  </conditionalFormatting>
  <conditionalFormatting sqref="D13:D20">
    <cfRule type="expression" dxfId="606" priority="69">
      <formula>ABS(D$16-D$19)&gt;=1000</formula>
    </cfRule>
  </conditionalFormatting>
  <conditionalFormatting sqref="E13:E20">
    <cfRule type="expression" dxfId="605" priority="68">
      <formula>ABS(E$16-E$19)&gt;=1000</formula>
    </cfRule>
  </conditionalFormatting>
  <conditionalFormatting sqref="F13 F15:F20">
    <cfRule type="expression" dxfId="604" priority="67">
      <formula>ABS(F$16-F$19)&gt;=1000</formula>
    </cfRule>
  </conditionalFormatting>
  <conditionalFormatting sqref="G13:G20">
    <cfRule type="expression" dxfId="603" priority="66">
      <formula>ABS(G$16-G$19)&gt;=1000</formula>
    </cfRule>
  </conditionalFormatting>
  <conditionalFormatting sqref="H13:H20">
    <cfRule type="expression" dxfId="602" priority="65">
      <formula>ABS(H$16-H$19)&gt;=1000</formula>
    </cfRule>
  </conditionalFormatting>
  <conditionalFormatting sqref="I13:I20">
    <cfRule type="expression" dxfId="601" priority="64">
      <formula>ABS(I$16-I$19)&gt;=1000</formula>
    </cfRule>
  </conditionalFormatting>
  <conditionalFormatting sqref="J13:J20">
    <cfRule type="expression" dxfId="600" priority="63">
      <formula>ABS(J$16-J$19)&gt;=1000</formula>
    </cfRule>
  </conditionalFormatting>
  <conditionalFormatting sqref="L13:L20">
    <cfRule type="expression" dxfId="599" priority="62">
      <formula>ABS(L$16-L$19)&gt;=1000</formula>
    </cfRule>
  </conditionalFormatting>
  <conditionalFormatting sqref="M13 M15 M17:M18 M20">
    <cfRule type="expression" dxfId="598" priority="61">
      <formula>ABS(M$16-M$19)&gt;=1000</formula>
    </cfRule>
  </conditionalFormatting>
  <conditionalFormatting sqref="N13:N20">
    <cfRule type="expression" dxfId="597" priority="60">
      <formula>ABS(N$16-N$19)&gt;=1000</formula>
    </cfRule>
  </conditionalFormatting>
  <conditionalFormatting sqref="O13:O20">
    <cfRule type="expression" dxfId="596" priority="59">
      <formula>ABS(O$16-O$19)&gt;=1000</formula>
    </cfRule>
  </conditionalFormatting>
  <conditionalFormatting sqref="P13:P20">
    <cfRule type="expression" dxfId="595" priority="58">
      <formula>ABS(P$16-P$19)&gt;=1000</formula>
    </cfRule>
  </conditionalFormatting>
  <conditionalFormatting sqref="Q13 Q15:Q20">
    <cfRule type="expression" dxfId="594" priority="57">
      <formula>ABS(Q$16-Q$19)&gt;=1000</formula>
    </cfRule>
  </conditionalFormatting>
  <conditionalFormatting sqref="R13:R20">
    <cfRule type="expression" dxfId="593" priority="56">
      <formula>ABS(R$16-R$19)&gt;=1000</formula>
    </cfRule>
  </conditionalFormatting>
  <conditionalFormatting sqref="S13:S20">
    <cfRule type="expression" dxfId="592" priority="55">
      <formula>ABS(S$16-S$19)&gt;=1000</formula>
    </cfRule>
  </conditionalFormatting>
  <conditionalFormatting sqref="T13:T20">
    <cfRule type="expression" dxfId="591" priority="54">
      <formula>ABS(T$16-T$19)&gt;=1000</formula>
    </cfRule>
  </conditionalFormatting>
  <conditionalFormatting sqref="U13:U20">
    <cfRule type="expression" dxfId="590" priority="53">
      <formula>ABS(U$16-U$19)&gt;=1000</formula>
    </cfRule>
  </conditionalFormatting>
  <conditionalFormatting sqref="V13:V20">
    <cfRule type="expression" dxfId="589" priority="52">
      <formula>ABS(V$16-V$19)&gt;=1000</formula>
    </cfRule>
  </conditionalFormatting>
  <conditionalFormatting sqref="W13 W20 W15:W18">
    <cfRule type="expression" dxfId="588" priority="51">
      <formula>ABS(W$16-W$19)&gt;=1000</formula>
    </cfRule>
  </conditionalFormatting>
  <conditionalFormatting sqref="X13 X15:X20 Y19">
    <cfRule type="expression" dxfId="587" priority="50">
      <formula>ABS(X$16-X$19)&gt;=1000</formula>
    </cfRule>
  </conditionalFormatting>
  <conditionalFormatting sqref="Y13 Y15:Y18 Y20">
    <cfRule type="expression" dxfId="586" priority="49">
      <formula>ABS(Y$16-Y$19)&gt;=1000</formula>
    </cfRule>
  </conditionalFormatting>
  <conditionalFormatting sqref="Z13:Z20">
    <cfRule type="expression" dxfId="585" priority="48">
      <formula>ABS(Z$16-Z$19)&gt;=1000</formula>
    </cfRule>
  </conditionalFormatting>
  <conditionalFormatting sqref="AA13:AA20">
    <cfRule type="expression" dxfId="584" priority="47">
      <formula>ABS(AA$16-AA$19)&gt;=1000</formula>
    </cfRule>
  </conditionalFormatting>
  <conditionalFormatting sqref="AB13 AB15:AB20">
    <cfRule type="expression" dxfId="583" priority="46">
      <formula>ABS(AB$16-AB$19)&gt;=1000</formula>
    </cfRule>
  </conditionalFormatting>
  <conditionalFormatting sqref="AC13 AC15:AC20">
    <cfRule type="expression" dxfId="582" priority="45">
      <formula>ABS(AC$16-AC$19)&gt;=1000</formula>
    </cfRule>
  </conditionalFormatting>
  <conditionalFormatting sqref="AD13:AD20">
    <cfRule type="expression" dxfId="581" priority="44">
      <formula>ABS(AD$16-AD$19)&gt;=1000</formula>
    </cfRule>
  </conditionalFormatting>
  <conditionalFormatting sqref="AE13:AE20">
    <cfRule type="expression" dxfId="580" priority="43">
      <formula>ABS(AE$16-AE$19)&gt;=1000</formula>
    </cfRule>
  </conditionalFormatting>
  <conditionalFormatting sqref="D22:D29">
    <cfRule type="expression" dxfId="579" priority="42">
      <formula>ABS(D$25-D$28)&gt;=1000</formula>
    </cfRule>
  </conditionalFormatting>
  <conditionalFormatting sqref="E22:E29">
    <cfRule type="expression" dxfId="578" priority="41">
      <formula>ABS(E$25-E$28)&gt;=1000</formula>
    </cfRule>
  </conditionalFormatting>
  <conditionalFormatting sqref="F22:F29">
    <cfRule type="expression" dxfId="577" priority="40">
      <formula>ABS(F$25-F$28)&gt;=1000</formula>
    </cfRule>
  </conditionalFormatting>
  <conditionalFormatting sqref="G22:G29">
    <cfRule type="expression" dxfId="576" priority="39">
      <formula>ABS(G$25-G$28)&gt;=1000</formula>
    </cfRule>
  </conditionalFormatting>
  <conditionalFormatting sqref="H22:H29">
    <cfRule type="expression" dxfId="575" priority="38">
      <formula>ABS(H$25-H$28)&gt;=1000</formula>
    </cfRule>
  </conditionalFormatting>
  <conditionalFormatting sqref="I22 I24:I29">
    <cfRule type="expression" dxfId="574" priority="37">
      <formula>ABS(I$25-I$28)&gt;=1000</formula>
    </cfRule>
  </conditionalFormatting>
  <conditionalFormatting sqref="J22:J29 K22">
    <cfRule type="expression" dxfId="573" priority="36">
      <formula>ABS(J$25-J$28)&gt;=1000</formula>
    </cfRule>
  </conditionalFormatting>
  <conditionalFormatting sqref="K23:K29 L25 L28">
    <cfRule type="expression" dxfId="572" priority="35">
      <formula>ABS(K$25-K$28)&gt;=1000</formula>
    </cfRule>
  </conditionalFormatting>
  <conditionalFormatting sqref="L22 L26:L27 L29 L24">
    <cfRule type="expression" dxfId="571" priority="34">
      <formula>ABS(L$25-L$28)&gt;=1000</formula>
    </cfRule>
  </conditionalFormatting>
  <conditionalFormatting sqref="M22:M29">
    <cfRule type="expression" dxfId="570" priority="33">
      <formula>ABS(M$25-M$28)&gt;=1000</formula>
    </cfRule>
  </conditionalFormatting>
  <conditionalFormatting sqref="N22:N29">
    <cfRule type="expression" dxfId="569" priority="32">
      <formula>ABS(N$25-N$28)&gt;=1000</formula>
    </cfRule>
  </conditionalFormatting>
  <conditionalFormatting sqref="O22:O29">
    <cfRule type="expression" dxfId="568" priority="31">
      <formula>ABS(O$25-O$28)&gt;=1000</formula>
    </cfRule>
  </conditionalFormatting>
  <conditionalFormatting sqref="P22:P29">
    <cfRule type="expression" dxfId="567" priority="30">
      <formula>ABS(P$25-P$28)&gt;=1000</formula>
    </cfRule>
  </conditionalFormatting>
  <conditionalFormatting sqref="Q22:Q29">
    <cfRule type="expression" dxfId="566" priority="29">
      <formula>ABS(Q$25-Q$28)&gt;=1000</formula>
    </cfRule>
  </conditionalFormatting>
  <conditionalFormatting sqref="R22:R29">
    <cfRule type="expression" dxfId="565" priority="28">
      <formula>ABS(R$25-R$28)&gt;=1000</formula>
    </cfRule>
  </conditionalFormatting>
  <conditionalFormatting sqref="S22:S29">
    <cfRule type="expression" dxfId="564" priority="27">
      <formula>ABS(S$25-S$28)&gt;=1000</formula>
    </cfRule>
  </conditionalFormatting>
  <conditionalFormatting sqref="T22:T29">
    <cfRule type="expression" dxfId="563" priority="26">
      <formula>ABS(T$25-T$28)&gt;=1000</formula>
    </cfRule>
  </conditionalFormatting>
  <conditionalFormatting sqref="U22:U29">
    <cfRule type="expression" dxfId="562" priority="25">
      <formula>ABS(U$25-U$28)&gt;=1000</formula>
    </cfRule>
  </conditionalFormatting>
  <conditionalFormatting sqref="V22:V29">
    <cfRule type="expression" dxfId="561" priority="24">
      <formula>ABS(V$25-V$28)&gt;=1000</formula>
    </cfRule>
  </conditionalFormatting>
  <conditionalFormatting sqref="W22:W29">
    <cfRule type="expression" dxfId="560" priority="23">
      <formula>ABS(W$25-W$28)&gt;=1000</formula>
    </cfRule>
  </conditionalFormatting>
  <conditionalFormatting sqref="X22:X29">
    <cfRule type="expression" dxfId="559" priority="22">
      <formula>ABS(X$25-X$28)&gt;=1000</formula>
    </cfRule>
  </conditionalFormatting>
  <conditionalFormatting sqref="Y22:Y29">
    <cfRule type="expression" dxfId="558" priority="21">
      <formula>ABS(Y$25-Y$28)&gt;=1000</formula>
    </cfRule>
  </conditionalFormatting>
  <conditionalFormatting sqref="I23">
    <cfRule type="expression" dxfId="557" priority="20">
      <formula>ABS(I$25-I$28)&gt;=1000</formula>
    </cfRule>
  </conditionalFormatting>
  <conditionalFormatting sqref="F14">
    <cfRule type="expression" dxfId="556" priority="19">
      <formula>ABS(F$16-F$19)&gt;=1000</formula>
    </cfRule>
  </conditionalFormatting>
  <conditionalFormatting sqref="Q14">
    <cfRule type="expression" dxfId="555" priority="18">
      <formula>ABS(Q$16-Q$19)&gt;=1000</formula>
    </cfRule>
  </conditionalFormatting>
  <conditionalFormatting sqref="W14">
    <cfRule type="expression" dxfId="554" priority="17">
      <formula>ABS(W$16-W$19)&gt;=1000</formula>
    </cfRule>
  </conditionalFormatting>
  <conditionalFormatting sqref="Y14">
    <cfRule type="expression" dxfId="553" priority="16">
      <formula>ABS(Y$16-Y$19)&gt;=1000</formula>
    </cfRule>
  </conditionalFormatting>
  <conditionalFormatting sqref="X14">
    <cfRule type="expression" dxfId="552" priority="15">
      <formula>ABS(X$16-X$19)&gt;=1000</formula>
    </cfRule>
  </conditionalFormatting>
  <conditionalFormatting sqref="T10:Y10">
    <cfRule type="expression" dxfId="551" priority="14">
      <formula>ABS(T$7-T$10)&gt;=1000</formula>
    </cfRule>
  </conditionalFormatting>
  <conditionalFormatting sqref="W19">
    <cfRule type="expression" dxfId="550" priority="13">
      <formula>ABS(W$16-W$19)&gt;=1000</formula>
    </cfRule>
  </conditionalFormatting>
  <conditionalFormatting sqref="AC5">
    <cfRule type="expression" dxfId="549" priority="12">
      <formula>ABS(AC$7-AC$10)&gt;=1000</formula>
    </cfRule>
  </conditionalFormatting>
  <conditionalFormatting sqref="M14">
    <cfRule type="expression" dxfId="548" priority="11">
      <formula>ABS(M$16-M$19)&gt;=1000</formula>
    </cfRule>
  </conditionalFormatting>
  <conditionalFormatting sqref="M16">
    <cfRule type="expression" dxfId="547" priority="10">
      <formula>ABS(M$16-M$19)&gt;=1000</formula>
    </cfRule>
  </conditionalFormatting>
  <conditionalFormatting sqref="M19">
    <cfRule type="expression" dxfId="546" priority="9">
      <formula>ABS(M$16-M$19)&gt;=1000</formula>
    </cfRule>
  </conditionalFormatting>
  <conditionalFormatting sqref="K13:K20">
    <cfRule type="expression" dxfId="545" priority="8">
      <formula>ABS(K$16-K$19)&gt;=1000</formula>
    </cfRule>
  </conditionalFormatting>
  <conditionalFormatting sqref="E5">
    <cfRule type="expression" dxfId="544" priority="7">
      <formula>ABS(E$7-E$10)&gt;=1000</formula>
    </cfRule>
  </conditionalFormatting>
  <conditionalFormatting sqref="AB14:AC14">
    <cfRule type="expression" dxfId="543" priority="6">
      <formula>ABS(AB$16-AB$19)&gt;=1000</formula>
    </cfRule>
  </conditionalFormatting>
  <conditionalFormatting sqref="M5">
    <cfRule type="expression" dxfId="542" priority="5">
      <formula>ABS(M$7-M$10)&gt;=1000</formula>
    </cfRule>
  </conditionalFormatting>
  <conditionalFormatting sqref="N5">
    <cfRule type="expression" dxfId="541" priority="4">
      <formula>ABS(N$7-N$10)&gt;=1000</formula>
    </cfRule>
  </conditionalFormatting>
  <conditionalFormatting sqref="O5">
    <cfRule type="expression" dxfId="540" priority="3">
      <formula>ABS(O$7-O$10)&gt;=1000</formula>
    </cfRule>
  </conditionalFormatting>
  <conditionalFormatting sqref="P5">
    <cfRule type="expression" dxfId="539" priority="2">
      <formula>ABS(P$7-P$10)&gt;=1000</formula>
    </cfRule>
  </conditionalFormatting>
  <conditionalFormatting sqref="L23">
    <cfRule type="expression" dxfId="538" priority="1">
      <formula>ABS(L$25-L$28)&gt;=1000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819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345782</xdr:rowOff>
                  </from>
                  <to>
                    <xdr:col>32</xdr:col>
                    <xdr:colOff>414938</xdr:colOff>
                    <xdr:row>3</xdr:row>
                    <xdr:rowOff>30736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88">
    <pageSetUpPr fitToPage="1"/>
  </sheetPr>
  <dimension ref="A1:CU223"/>
  <sheetViews>
    <sheetView view="pageBreakPreview" zoomScale="80" zoomScaleNormal="100" zoomScaleSheetLayoutView="80" workbookViewId="0">
      <selection activeCell="B2" sqref="B2:AE2"/>
    </sheetView>
  </sheetViews>
  <sheetFormatPr defaultColWidth="8.109375" defaultRowHeight="26.05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0.9" ph="1">
      <c r="A1" s="64"/>
      <c r="B1" s="238" t="s" ph="1">
        <v>162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.05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.05" customHeight="1" ph="1">
      <c r="B3" s="240" ph="1">
        <v>45866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" customHeight="1" ph="1">
      <c r="A5" s="65" ph="1"/>
      <c r="B5" s="219" ph="1"/>
      <c r="C5" s="67" t="s" ph="1">
        <v>36</v>
      </c>
      <c r="D5" s="70" t="s" ph="1">
        <v>161</v>
      </c>
      <c r="E5" s="70" t="s" ph="1">
        <v>640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61" t="s" ph="1">
        <v>178</v>
      </c>
      <c r="D6" s="71">
        <v>4196</v>
      </c>
      <c r="E6" s="71">
        <v>7994</v>
      </c>
      <c r="F6" s="71">
        <v>3374</v>
      </c>
      <c r="G6" s="71">
        <v>5808</v>
      </c>
      <c r="H6" s="71">
        <v>9145</v>
      </c>
      <c r="I6" s="71">
        <v>51.65</v>
      </c>
      <c r="J6" s="71">
        <v>7.76</v>
      </c>
      <c r="K6" s="71">
        <v>7.34</v>
      </c>
      <c r="L6" s="71">
        <v>35.86</v>
      </c>
      <c r="M6" s="71">
        <v>3947</v>
      </c>
      <c r="N6" s="71">
        <v>1402</v>
      </c>
      <c r="O6" s="71">
        <v>4485</v>
      </c>
      <c r="P6" s="71">
        <v>2468</v>
      </c>
      <c r="Q6" s="71">
        <v>0</v>
      </c>
      <c r="R6" s="71">
        <v>0</v>
      </c>
      <c r="S6" s="71">
        <v>0</v>
      </c>
      <c r="T6" s="71">
        <v>0</v>
      </c>
      <c r="U6" s="71">
        <v>0</v>
      </c>
      <c r="V6" s="71">
        <v>4385</v>
      </c>
      <c r="W6" s="71">
        <v>6659</v>
      </c>
      <c r="X6" s="71">
        <v>5700</v>
      </c>
      <c r="Y6" s="71">
        <v>6716</v>
      </c>
      <c r="Z6" s="71">
        <v>3820</v>
      </c>
      <c r="AA6" s="71">
        <v>555</v>
      </c>
      <c r="AB6" s="71">
        <v>1573</v>
      </c>
      <c r="AC6" s="71">
        <v>2463</v>
      </c>
      <c r="AD6" s="71">
        <v>4388</v>
      </c>
      <c r="AE6" s="71">
        <v>1783</v>
      </c>
    </row>
    <row r="7" spans="1:99" s="72" customFormat="1" ht="22.4" ph="1">
      <c r="B7" s="237" ph="1"/>
      <c r="C7" s="68" t="s" ph="1">
        <v>179</v>
      </c>
      <c r="D7" s="73" ph="1">
        <f>D6*33.183*LOOKUP(D8,密度!$A$2:$A$50,密度!$Q$2:$Q$50)</f>
        <v>131428.91288123999</v>
      </c>
      <c r="E7" s="73" ph="1">
        <f>E6*51.53*LOOKUP(E8,密度!$A$2:$A$50,密度!$B$2:$B$50)</f>
        <v>320770.52953399997</v>
      </c>
      <c r="F7" s="73" ph="1">
        <f>F6*33.183*LOOKUP(F8,密度!$A$2:$A$50,密度!$C$2:$C$50)</f>
        <v>123983.88607079998</v>
      </c>
      <c r="G7" s="73" ph="1">
        <f xml:space="preserve"> (G6+2)*51.53*LOOKUP(G8,密度!$A$2:$A$50,密度!$B$2:$B$50)</f>
        <v>232894.93647000002</v>
      </c>
      <c r="H7" s="73" ph="1">
        <f>(H6)*51.53*LOOKUP(H8,密度!$A$2:$A$50,密度!$B$2:$B$50)</f>
        <v>368228.38159</v>
      </c>
      <c r="I7" s="73" ph="1">
        <f>I6*290.8*1.0267</f>
        <v>15420.849193999999</v>
      </c>
      <c r="J7" s="73" ph="1">
        <f>J6*290.8*0.7892</f>
        <v>1780.9150336000002</v>
      </c>
      <c r="K7" s="73" ph="1">
        <f>K6*290.8*1.1126</f>
        <v>2374.8135472000004</v>
      </c>
      <c r="L7" s="73" ph="1">
        <f>L6*290.8*0.777</f>
        <v>8102.6243759999998</v>
      </c>
      <c r="M7" s="73" ph="1">
        <f>M6*33.183*LOOKUP(M8,密度!$A$2:$A$50,密度!$D$2:$D$50)</f>
        <v>134221.43886479997</v>
      </c>
      <c r="N7" s="73" ph="1">
        <f>N6*33.183*LOOKUP(N8,密度!$A$2:$A$50,密度!$E$2:$E$50)</f>
        <v>36385.298868600003</v>
      </c>
      <c r="O7" s="73" ph="1">
        <f>O6*20.428*LOOKUP(O8,密度!$A$2:$A$50,密度!$C$2:$C$50)</f>
        <v>101157.17827800001</v>
      </c>
      <c r="P7" s="73" ph="1">
        <f>P6*51.53*LOOKUP(P8,密度!$A$2:$A$50,密度!$B$2:$B$50)</f>
        <v>99146.440784000006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29012.079096000001</v>
      </c>
      <c r="W7" s="73" ph="1">
        <f>W6*1.5*1.5*3.1416*LOOKUP(W8,密度!$A$2:$A$50,密度!$L$2:$L$50)</f>
        <v>43963.200111600003</v>
      </c>
      <c r="X7" s="73" ph="1">
        <f>X6*1.5*1.5*3.1416*LOOKUP(X8,密度!$A$2:$A$50,密度!$L$2:$L$50)</f>
        <v>37954.140839999993</v>
      </c>
      <c r="Y7" s="73" ph="1">
        <f>Y6*1.5*1.5*3.1416*LOOKUP(Y8,密度!$A$2:$A$50,密度!$L$2:$L$50)</f>
        <v>44434.463673599996</v>
      </c>
      <c r="Z7" s="73" ph="1">
        <f>Z6*33.183*LOOKUP(Z8,密度!$A$2:$A$50,密度!$L$2:$L$50)</f>
        <v>118899.99827999999</v>
      </c>
      <c r="AA7" s="73" ph="1">
        <f>AA6*33.183*LOOKUP(AA8,密度!$A$2:$A$50,密度!$D$2:$D$50)</f>
        <v>18908.287285499999</v>
      </c>
      <c r="AB7" s="73" ph="1">
        <f>AB6*20.428*LOOKUP(AB8,密度!$A$2:$A$50,密度!$D$2:$D$50)</f>
        <v>33081.174698000003</v>
      </c>
      <c r="AC7" s="73" ph="1">
        <f>AC6*51.53*LOOKUP(AC8,密度!$A$2:$A$50,密度!$Q$2:$Q$50)</f>
        <v>120158.7165486</v>
      </c>
      <c r="AD7" s="73" ph="1">
        <f>AD6*20.428*LOOKUP(AD8,密度!$A$2:$A$50,密度!$V$2:$V$50)</f>
        <v>86124.251891199994</v>
      </c>
      <c r="AE7" s="73" ph="1">
        <f>AE6*20.428</f>
        <v>36423.124000000003</v>
      </c>
    </row>
    <row r="8" spans="1:99" ph="1">
      <c r="B8" s="237" ph="1"/>
      <c r="C8" s="68" t="s" ph="1">
        <v>180</v>
      </c>
      <c r="D8" s="74">
        <v>29</v>
      </c>
      <c r="E8" s="74">
        <v>26</v>
      </c>
      <c r="F8" s="74">
        <v>27</v>
      </c>
      <c r="G8" s="74">
        <v>27</v>
      </c>
      <c r="H8" s="74">
        <v>23</v>
      </c>
      <c r="I8" s="74">
        <v>25</v>
      </c>
      <c r="J8" s="74">
        <v>25</v>
      </c>
      <c r="K8" s="74">
        <v>25</v>
      </c>
      <c r="L8" s="74">
        <v>25</v>
      </c>
      <c r="M8" s="74">
        <v>27</v>
      </c>
      <c r="N8" s="74">
        <v>26</v>
      </c>
      <c r="O8" s="74">
        <v>31</v>
      </c>
      <c r="P8" s="74">
        <v>25</v>
      </c>
      <c r="Q8" s="74">
        <v>25</v>
      </c>
      <c r="R8" s="74">
        <v>31</v>
      </c>
      <c r="S8" s="74">
        <v>23</v>
      </c>
      <c r="T8" s="74">
        <v>22</v>
      </c>
      <c r="U8" s="74">
        <v>26</v>
      </c>
      <c r="V8" s="74">
        <v>26</v>
      </c>
      <c r="W8" s="74">
        <v>28</v>
      </c>
      <c r="X8" s="74">
        <v>20</v>
      </c>
      <c r="Y8" s="74">
        <v>26</v>
      </c>
      <c r="Z8" s="74">
        <v>24</v>
      </c>
      <c r="AA8" s="74">
        <v>25</v>
      </c>
      <c r="AB8" s="74">
        <v>22</v>
      </c>
      <c r="AC8" s="74">
        <v>25</v>
      </c>
      <c r="AD8" s="74">
        <v>25</v>
      </c>
      <c r="AE8" s="74">
        <v>29</v>
      </c>
    </row>
    <row r="9" spans="1:99" ht="26.65" ph="1">
      <c r="B9" s="237" ph="1">
        <v>0.66666666666666663</v>
      </c>
      <c r="C9" s="161" t="s" ph="1">
        <v>181</v>
      </c>
      <c r="D9" s="71">
        <v>4443</v>
      </c>
      <c r="E9" s="71">
        <v>7994</v>
      </c>
      <c r="F9" s="71">
        <v>3981</v>
      </c>
      <c r="G9" s="71">
        <v>5588</v>
      </c>
      <c r="H9" s="71">
        <v>9149</v>
      </c>
      <c r="I9" s="71">
        <v>44.96</v>
      </c>
      <c r="J9" s="71">
        <v>7.76</v>
      </c>
      <c r="K9" s="71">
        <v>25.06</v>
      </c>
      <c r="L9" s="71">
        <v>11.72</v>
      </c>
      <c r="M9" s="71">
        <v>3948</v>
      </c>
      <c r="N9" s="71">
        <v>1400</v>
      </c>
      <c r="O9" s="71">
        <v>4485</v>
      </c>
      <c r="P9" s="71">
        <v>2592</v>
      </c>
      <c r="Q9" s="71">
        <v>4177</v>
      </c>
      <c r="R9" s="71">
        <v>0</v>
      </c>
      <c r="S9" s="71">
        <v>0</v>
      </c>
      <c r="T9" s="71">
        <v>0</v>
      </c>
      <c r="U9" s="71">
        <v>0</v>
      </c>
      <c r="V9" s="71">
        <v>1490</v>
      </c>
      <c r="W9" s="71">
        <v>6663</v>
      </c>
      <c r="X9" s="71">
        <v>5700</v>
      </c>
      <c r="Y9" s="71">
        <v>6723</v>
      </c>
      <c r="Z9" s="71">
        <v>4440</v>
      </c>
      <c r="AA9" s="71">
        <v>556</v>
      </c>
      <c r="AB9" s="71">
        <v>1403</v>
      </c>
      <c r="AC9" s="71">
        <v>2238</v>
      </c>
      <c r="AD9" s="71">
        <v>3378</v>
      </c>
      <c r="AE9" s="71">
        <v>1595</v>
      </c>
    </row>
    <row r="10" spans="1:99" s="72" customFormat="1" ht="22.4" ph="1">
      <c r="B10" s="237" ph="1"/>
      <c r="C10" s="161" t="s" ph="1">
        <v>179</v>
      </c>
      <c r="D10" s="73" ph="1">
        <f>D9*33.183*LOOKUP(D11,密度!$A$2:$A$50,密度!$Q$2:$Q$50)</f>
        <v>138966.51959801998</v>
      </c>
      <c r="E10" s="73" ph="1">
        <f>E9*51.53*LOOKUP(E11,密度!$A$2:$A$50,密度!$B$2:$B$50)</f>
        <v>319740.70248400001</v>
      </c>
      <c r="F10" s="73" ph="1">
        <f>F9*33.183*LOOKUP(F11,密度!$A$2:$A$50,密度!$C$2:$C$50)</f>
        <v>146091.07428569999</v>
      </c>
      <c r="G10" s="73" ph="1">
        <f xml:space="preserve"> (G9+2)*51.53*LOOKUP(G11,密度!$A$2:$A$50,密度!$B$2:$B$50)</f>
        <v>223327.25831</v>
      </c>
      <c r="H10" s="73" ph="1">
        <f>(H9)*51.53*LOOKUP(H11,密度!$A$2:$A$50,密度!$B$2:$B$50)</f>
        <v>366739.37586300005</v>
      </c>
      <c r="I10" s="73" ph="1">
        <f>I9*290.8*1.0267</f>
        <v>13423.453625599999</v>
      </c>
      <c r="J10" s="73" ph="1">
        <f>J9*290.8*0.7892</f>
        <v>1780.9150336000002</v>
      </c>
      <c r="K10" s="73" ph="1">
        <f>K9*290.8*1.1126</f>
        <v>8108.0146448000005</v>
      </c>
      <c r="L10" s="73" ph="1">
        <f>L9*290.8*0.777</f>
        <v>2648.1527520000004</v>
      </c>
      <c r="M10" s="73" ph="1">
        <f>M9*33.183*LOOKUP(M11,密度!$A$2:$A$50,密度!$D$2:$D$50)</f>
        <v>133652.8149768</v>
      </c>
      <c r="N10" s="73" ph="1">
        <f>N9*33.183*LOOKUP(N11,密度!$A$2:$A$50,密度!$E$2:$E$50)</f>
        <v>36175.442939999994</v>
      </c>
      <c r="O10" s="73" ph="1">
        <f>O9*20.428*LOOKUP(O11,密度!$A$2:$A$50,密度!$C$2:$C$50)</f>
        <v>100964.77716000001</v>
      </c>
      <c r="P10" s="73" ph="1">
        <f>P9*51.53*LOOKUP(P11,密度!$A$2:$A$50,密度!$B$2:$B$50)</f>
        <v>103553.53372800001</v>
      </c>
      <c r="Q10" s="73" ph="1">
        <f>Q9*1.5*1.5*3.1416*LOOKUP(W11,密度!$A$2:$A$50,密度!$L$2:$L$50)</f>
        <v>27576.8564148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9858.1523040000011</v>
      </c>
      <c r="W10" s="73" ph="1">
        <f>W9*1.5*1.5*3.1416*LOOKUP(W11,密度!$A$2:$A$50,密度!$L$2:$L$50)</f>
        <v>43989.608401199999</v>
      </c>
      <c r="X10" s="73" ph="1">
        <f>X9*1.5*1.5*3.1416*LOOKUP(X11,密度!$A$2:$A$50,密度!$L$2:$L$50)</f>
        <v>37913.849819999996</v>
      </c>
      <c r="Y10" s="73" ph="1">
        <f>Y9*1.5*1.5*3.1416*LOOKUP(Y11,密度!$A$2:$A$50,密度!$L$2:$L$50)</f>
        <v>44433.254943000007</v>
      </c>
      <c r="Z10" s="73" ph="1">
        <f>Z9*33.183*LOOKUP(Z11,密度!$A$2:$A$50,密度!$L$2:$L$50)</f>
        <v>137755.9062</v>
      </c>
      <c r="AA10" s="73" ph="1">
        <f>AA9*33.183*LOOKUP(AA11,密度!$A$2:$A$50,密度!$D$2:$D$50)</f>
        <v>18807.673111200002</v>
      </c>
      <c r="AB10" s="73" ph="1">
        <f>AB9*20.428*LOOKUP(AB11,密度!$A$2:$A$50,密度!$D$2:$D$50)</f>
        <v>29480.1738424</v>
      </c>
      <c r="AC10" s="73" ph="1">
        <f>AC9*51.53*LOOKUP(AC11,密度!$A$2:$A$50,密度!$Q$2:$Q$50)</f>
        <v>108788.7209862</v>
      </c>
      <c r="AD10" s="73" ph="1">
        <f>AD9*20.428*LOOKUP(AD11,密度!$A$2:$A$50,密度!$V$2:$V$50)</f>
        <v>66079.938758400007</v>
      </c>
      <c r="AE10" s="73" ph="1">
        <f>AE9*20.428</f>
        <v>32582.66</v>
      </c>
    </row>
    <row r="11" spans="1:99" ph="1">
      <c r="A11" s="64" t="s" ph="1">
        <v>163</v>
      </c>
      <c r="B11" s="237" ph="1"/>
      <c r="C11" s="161" t="s" ph="1">
        <v>180</v>
      </c>
      <c r="D11" s="74">
        <v>31</v>
      </c>
      <c r="E11" s="74">
        <v>29</v>
      </c>
      <c r="F11" s="74">
        <v>29</v>
      </c>
      <c r="G11" s="74">
        <v>30</v>
      </c>
      <c r="H11" s="74">
        <v>27</v>
      </c>
      <c r="I11" s="74">
        <v>25</v>
      </c>
      <c r="J11" s="74">
        <v>25</v>
      </c>
      <c r="K11" s="74">
        <v>25</v>
      </c>
      <c r="L11" s="74">
        <v>25</v>
      </c>
      <c r="M11" s="74">
        <v>32</v>
      </c>
      <c r="N11" s="74">
        <v>29</v>
      </c>
      <c r="O11" s="74">
        <v>33</v>
      </c>
      <c r="P11" s="74">
        <v>30</v>
      </c>
      <c r="Q11" s="74">
        <v>27</v>
      </c>
      <c r="R11" s="74">
        <v>36</v>
      </c>
      <c r="S11" s="74">
        <v>27</v>
      </c>
      <c r="T11" s="74">
        <v>27</v>
      </c>
      <c r="U11" s="74">
        <v>30</v>
      </c>
      <c r="V11" s="74">
        <v>26</v>
      </c>
      <c r="W11" s="74">
        <v>28</v>
      </c>
      <c r="X11" s="74">
        <v>21</v>
      </c>
      <c r="Y11" s="74">
        <v>27</v>
      </c>
      <c r="Z11" s="74">
        <v>27</v>
      </c>
      <c r="AA11" s="74">
        <v>33</v>
      </c>
      <c r="AB11" s="74">
        <v>23</v>
      </c>
      <c r="AC11" s="74">
        <v>30</v>
      </c>
      <c r="AD11" s="74">
        <v>27</v>
      </c>
      <c r="AE11" s="74">
        <v>34</v>
      </c>
    </row>
    <row r="12" spans="1:99" ht="9.85" customHeight="1" ph="1"/>
    <row r="13" spans="1:99" s="72" customFormat="1" ht="29.2" customHeight="1" ph="1">
      <c r="B13" s="214" t="s" ph="1">
        <v>37</v>
      </c>
      <c r="C13" s="161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.2" ph="1">
      <c r="B14" s="215" ph="1"/>
      <c r="C14" s="67" t="s" ph="1">
        <v>36</v>
      </c>
      <c r="D14" s="77" t="s" ph="1">
        <v>622</v>
      </c>
      <c r="E14" s="77" t="s" ph="1">
        <v>622</v>
      </c>
      <c r="F14" s="77" t="s" ph="1">
        <v>645</v>
      </c>
      <c r="G14" s="77" t="s" ph="1">
        <v>623</v>
      </c>
      <c r="H14" s="77" t="s" ph="1">
        <v>624</v>
      </c>
      <c r="I14" s="140" t="s" ph="1">
        <v>625</v>
      </c>
      <c r="J14" s="77" t="s" ph="1">
        <v>626</v>
      </c>
      <c r="K14" s="77" t="s" ph="1">
        <v>187</v>
      </c>
      <c r="L14" s="77" t="s" ph="1">
        <v>41</v>
      </c>
      <c r="M14" s="104" t="s" ph="1">
        <v>627</v>
      </c>
      <c r="N14" s="104" t="s" ph="1">
        <v>628</v>
      </c>
      <c r="O14" s="104" t="s" ph="1">
        <v>626</v>
      </c>
      <c r="P14" s="77" t="s" ph="1">
        <v>629</v>
      </c>
      <c r="Q14" s="77" t="s" ph="1">
        <v>629</v>
      </c>
      <c r="R14" s="88" t="s" ph="1">
        <v>640</v>
      </c>
      <c r="S14" s="77" t="s" ph="1">
        <v>71</v>
      </c>
      <c r="T14" s="77" t="s" ph="1">
        <v>631</v>
      </c>
      <c r="U14" s="77" t="s" ph="1">
        <v>610</v>
      </c>
      <c r="V14" s="77" t="s" ph="1">
        <v>110</v>
      </c>
      <c r="W14" s="77" t="s" ph="1">
        <v>629</v>
      </c>
      <c r="X14" s="77" t="s" ph="1">
        <v>632</v>
      </c>
      <c r="Y14" s="138" t="s" ph="1">
        <v>0</v>
      </c>
      <c r="Z14" s="77" t="s" ph="1">
        <v>54</v>
      </c>
      <c r="AA14" s="77" t="s" ph="1">
        <v>619</v>
      </c>
      <c r="AB14" s="77" t="s" ph="1">
        <v>650</v>
      </c>
      <c r="AC14" s="77" t="s" ph="1">
        <v>650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16" ph="1">
        <v>0.33333333333333331</v>
      </c>
      <c r="C15" s="161" t="s" ph="1">
        <v>178</v>
      </c>
      <c r="D15" s="78">
        <v>1641</v>
      </c>
      <c r="E15" s="78">
        <v>4864</v>
      </c>
      <c r="F15" s="78">
        <v>3742</v>
      </c>
      <c r="G15" s="78">
        <v>3578</v>
      </c>
      <c r="H15" s="78">
        <v>4371</v>
      </c>
      <c r="I15" s="78">
        <v>1785</v>
      </c>
      <c r="J15" s="78">
        <v>412</v>
      </c>
      <c r="K15" s="78">
        <v>3859</v>
      </c>
      <c r="L15" s="78">
        <v>4766</v>
      </c>
      <c r="M15" s="78">
        <v>6390</v>
      </c>
      <c r="N15" s="78">
        <v>1841</v>
      </c>
      <c r="O15" s="78">
        <v>4228</v>
      </c>
      <c r="P15" s="78">
        <v>5161</v>
      </c>
      <c r="Q15" s="78">
        <v>6888</v>
      </c>
      <c r="R15" s="78">
        <v>0</v>
      </c>
      <c r="S15" s="78">
        <v>3701</v>
      </c>
      <c r="T15" s="78">
        <v>4897</v>
      </c>
      <c r="U15" s="78">
        <v>6087</v>
      </c>
      <c r="V15" s="78">
        <v>-140</v>
      </c>
      <c r="W15" s="71">
        <v>2067</v>
      </c>
      <c r="X15" s="78">
        <v>-87</v>
      </c>
      <c r="Y15" s="106">
        <v>-9905</v>
      </c>
      <c r="Z15" s="78">
        <v>0</v>
      </c>
      <c r="AA15" s="78">
        <v>6146</v>
      </c>
      <c r="AB15" s="78" ph="1">
        <v>2419</v>
      </c>
      <c r="AC15" s="78" ph="1">
        <v>2538</v>
      </c>
      <c r="AD15" s="78">
        <v>84.65</v>
      </c>
      <c r="AE15" s="78">
        <v>14.62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4" ph="1">
      <c r="B16" s="217" ph="1"/>
      <c r="C16" s="161" t="s" ph="1">
        <v>179</v>
      </c>
      <c r="D16" s="73" ph="1">
        <f>D15*7.0686*LOOKUP(D17,密度!$A$2:$A$50,密度!$L$2:$L$50)</f>
        <v>10845.600381</v>
      </c>
      <c r="E16" s="73" ph="1">
        <f>E15*7.0686*LOOKUP(E17,密度!$A$2:$A$50,密度!$L$2:$L$50)</f>
        <v>32146.861824000003</v>
      </c>
      <c r="F16" s="73" ph="1">
        <f>F15*9.0746*LOOKUP(F17,密度!$A$2:$A$50,密度!$L$2:$L$50)</f>
        <v>31715.981088800003</v>
      </c>
      <c r="G16" s="73" ph="1">
        <f>G15*9.0746*LOOKUP(G17,密度!$A$2:$A$50,密度!$B$2:$B$50)</f>
        <v>25283.547069559998</v>
      </c>
      <c r="H16" s="73" ph="1">
        <f>H15*9.0746*LOOKUP(H17,密度!$A$2:$A$50,密度!$L$2:$L$50)</f>
        <v>37166.176774200001</v>
      </c>
      <c r="I16" s="73" ph="1">
        <f>I15*9.0746*LOOKUP(I17,密度!$A$2:$A$50,密度!$U$2:$U$50)</f>
        <v>16603.115024999999</v>
      </c>
      <c r="J16" s="73" ph="1">
        <f>J15*9.0746*LOOKUP(J17,密度!$A$2:$A$50,密度!$L$2:$L$50)</f>
        <v>3499.4561472000005</v>
      </c>
      <c r="K16" s="73" ph="1">
        <f>K15*9.0746*LOOKUP(K17,密度!$A$2:$A$50,密度!$C$2:$C$50)</f>
        <v>38804.422479339999</v>
      </c>
      <c r="L16" s="73" ph="1">
        <f>L15*9.0746*LOOKUP(L17,密度!$A$2:$A$50,密度!$E$2:$E$50)</f>
        <v>33777.893551600006</v>
      </c>
      <c r="M16" s="73" ph="1">
        <f>M15*9.0746*LOOKUP(M17,密度!$A$2:$A$50,密度!$M$2:$M$50)</f>
        <v>50564.397168000003</v>
      </c>
      <c r="N16" s="73" ph="1">
        <f>N15*9.0746*LOOKUP(N17,密度!$A$2:$A$50,密度!$M$2:$M$50)</f>
        <v>14619.716908859999</v>
      </c>
      <c r="O16" s="73" ph="1">
        <f>O15*9.0746*LOOKUP(O17,密度!$A$2:$A$50,密度!$G$2:$G$50)</f>
        <v>36755.977630399997</v>
      </c>
      <c r="P16" s="73" ph="1">
        <f ca="1">P15*9.0746*LOOKUP(P17,密度!$A$2:$A$51,密度!$Q$2:$Q$50)</f>
        <v>44273.126900392002</v>
      </c>
      <c r="Q16" s="73" ph="1">
        <f>Q15*9.0746*LOOKUP(Q17,密度!$A$2:$A$50,密度!$Q$2:$Q$50)</f>
        <v>59088.025206336002</v>
      </c>
      <c r="R16" s="73" ph="1">
        <f>MAX(R15*9.0746*LOOKUP(R17,密度!$A$2:$A$50,密度!$B$2:$B$50),0)</f>
        <v>0</v>
      </c>
      <c r="S16" s="73" ph="1">
        <f>S15*9.0746*LOOKUP(S17,密度!$A$2:$A$50,密度!$Q$2:$Q$50)</f>
        <v>31748.661627272006</v>
      </c>
      <c r="T16" s="73" ph="1">
        <f>T15*9.0746*LOOKUP(T17,密度!$A$2:$A$50,密度!$O$2:$O$50)</f>
        <v>41149.880801200001</v>
      </c>
      <c r="U16" s="73" ph="1">
        <f>U15*9.0746*LOOKUP(U17,密度!$A$2:$A$50,密度!$H$2:$H$50)</f>
        <v>50481.176733780005</v>
      </c>
      <c r="V16" s="73" ph="1">
        <f>MAX(5600*LOOKUP(V17,密度!$A$2:$A$50,密度!$Q$2:$Q$50)+V15*9.0476*LOOKUP(V17,密度!$A$2:$A$50,密度!$Q$2:$Q$50),0)</f>
        <v>4099.4658560799999</v>
      </c>
      <c r="W16" s="73" ph="1">
        <f>MAX(5600*LOOKUP(W17,密度!$A$2:$A$50,密度!$Q$2:$Q$50)+W15*9.0476*LOOKUP(W17,密度!$A$2:$A$50,密度!$Q$2:$Q$50),0)</f>
        <v>22972.589238543998</v>
      </c>
      <c r="X16" s="73" ph="1">
        <f>MAX(5600*LOOKUP(X17,密度!$A$2:$A$50,密度!$I$2:$I$50)+X15*9.0476*LOOKUP(X17,密度!$A$2:$A$50,密度!$I$2:$I$50),0)</f>
        <v>4994.3035767600013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43385.421215640003</v>
      </c>
      <c r="AB16" s="73" ph="1">
        <f>AB15*9.0746*LOOKUP(AB17,密度!$A$2:$A$50,密度!$L$2:$L$50)</f>
        <v>20502.6612116</v>
      </c>
      <c r="AC16" s="73" ph="1">
        <f>AC15*9.0746*LOOKUP(AC17,密度!$A$2:$A$50,密度!$L$2:$L$50)</f>
        <v>21534.298038000001</v>
      </c>
      <c r="AD16" s="73" ph="1">
        <f>AD15*268.68*LOOKUP(AD17,密度!$A$2:$A$50,密度!B2:B50)+IF(AD15&lt;=0,0,1566*LOOKUP(AD17,密度!$A$2:$A$50,密度!B2:B50))</f>
        <v>18951.890455199999</v>
      </c>
      <c r="AE16" s="73" ph="1">
        <f>AE15*268.68*LOOKUP(AE17,密度!$A$2:$A$50,密度!B2:B50)+IF(AE15&lt;=0,0,1566*LOOKUP(AE17,密度!$A$2:$A$50,密度!B2:B50))</f>
        <v>4283.2016073599998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18" ph="1"/>
      <c r="C17" s="79" t="s" ph="1">
        <v>180</v>
      </c>
      <c r="D17" s="74">
        <v>27</v>
      </c>
      <c r="E17" s="74">
        <v>27</v>
      </c>
      <c r="F17" s="74">
        <v>28</v>
      </c>
      <c r="G17" s="74">
        <v>26</v>
      </c>
      <c r="H17" s="74">
        <v>25</v>
      </c>
      <c r="I17" s="74">
        <v>25</v>
      </c>
      <c r="J17" s="74">
        <v>26</v>
      </c>
      <c r="K17" s="74">
        <v>26</v>
      </c>
      <c r="L17" s="74">
        <v>27</v>
      </c>
      <c r="M17" s="74">
        <v>28</v>
      </c>
      <c r="N17" s="74">
        <v>25</v>
      </c>
      <c r="O17" s="74">
        <v>27</v>
      </c>
      <c r="P17" s="74">
        <v>27</v>
      </c>
      <c r="Q17" s="74">
        <v>27</v>
      </c>
      <c r="R17" s="74">
        <v>26</v>
      </c>
      <c r="S17" s="74">
        <v>27</v>
      </c>
      <c r="T17" s="74">
        <v>26</v>
      </c>
      <c r="U17" s="74">
        <v>26</v>
      </c>
      <c r="V17" s="74">
        <v>26</v>
      </c>
      <c r="W17" s="74">
        <v>27</v>
      </c>
      <c r="X17" s="74">
        <v>29</v>
      </c>
      <c r="Y17" s="108">
        <v>29</v>
      </c>
      <c r="Z17" s="74">
        <v>26</v>
      </c>
      <c r="AA17" s="74">
        <v>27</v>
      </c>
      <c r="AB17" s="74">
        <v>28</v>
      </c>
      <c r="AC17" s="74">
        <v>27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65" ph="1">
      <c r="B18" s="216" ph="1">
        <v>0.66666666666666663</v>
      </c>
      <c r="C18" s="79" t="s" ph="1">
        <v>181</v>
      </c>
      <c r="D18" s="71">
        <v>2944</v>
      </c>
      <c r="E18" s="71">
        <v>4868</v>
      </c>
      <c r="F18" s="71">
        <v>3851</v>
      </c>
      <c r="G18" s="71">
        <v>3599</v>
      </c>
      <c r="H18" s="71">
        <v>2145</v>
      </c>
      <c r="I18" s="71">
        <v>461</v>
      </c>
      <c r="J18" s="71">
        <v>421</v>
      </c>
      <c r="K18" s="71">
        <v>3865</v>
      </c>
      <c r="L18" s="71">
        <v>4771</v>
      </c>
      <c r="M18" s="71">
        <v>3427</v>
      </c>
      <c r="N18" s="71">
        <v>2780</v>
      </c>
      <c r="O18" s="71">
        <v>4595</v>
      </c>
      <c r="P18" s="71">
        <v>5164</v>
      </c>
      <c r="Q18" s="71">
        <v>6892</v>
      </c>
      <c r="R18" s="71">
        <v>0</v>
      </c>
      <c r="S18" s="71">
        <v>3705</v>
      </c>
      <c r="T18" s="71">
        <v>3565</v>
      </c>
      <c r="U18" s="71">
        <v>6087</v>
      </c>
      <c r="V18" s="71">
        <v>-141</v>
      </c>
      <c r="W18" s="71">
        <v>2065</v>
      </c>
      <c r="X18" s="71">
        <v>-239</v>
      </c>
      <c r="Y18" s="109">
        <v>-9905</v>
      </c>
      <c r="Z18" s="71">
        <v>0</v>
      </c>
      <c r="AA18" s="71">
        <v>6151</v>
      </c>
      <c r="AB18" s="71">
        <v>3691</v>
      </c>
      <c r="AC18" s="71">
        <v>2538</v>
      </c>
      <c r="AD18" s="71">
        <v>84.35</v>
      </c>
      <c r="AE18" s="71">
        <v>54.12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4" ph="1">
      <c r="B19" s="217" ph="1"/>
      <c r="C19" s="161" t="s" ph="1">
        <v>179</v>
      </c>
      <c r="D19" s="73" ph="1">
        <f>D18*7.0686*LOOKUP(D20,密度!$A$2:$A$50,密度!$L$2:$L$50)</f>
        <v>19415.691187200002</v>
      </c>
      <c r="E19" s="73" ph="1">
        <f>E18*7.0686*LOOKUP(E20,密度!$A$2:$A$50,密度!$L$2:$L$50)</f>
        <v>32104.4784984</v>
      </c>
      <c r="F19" s="73" ph="1">
        <f>F18*9.0746*LOOKUP(F20,密度!$A$2:$A$50,密度!$L$2:$L$50)</f>
        <v>32569.9372472</v>
      </c>
      <c r="G19" s="73" ph="1">
        <f>G18*9.0746*LOOKUP(G20,密度!$A$2:$A$50,密度!$B$2:$B$50)</f>
        <v>25376.420155800002</v>
      </c>
      <c r="H19" s="73" ph="1">
        <f>H18*9.0746*LOOKUP(H20,密度!$A$2:$A$50,密度!$L$2:$L$50)</f>
        <v>18238.720928999999</v>
      </c>
      <c r="I19" s="73" ph="1">
        <f>I18*9.0746*LOOKUP(I20,密度!$A$2:$A$50,密度!$U$2:$U$50)</f>
        <v>4267.0584119999994</v>
      </c>
      <c r="J19" s="73" ph="1">
        <f>J18*9.0746*LOOKUP(J20,密度!$A$2:$A$50,密度!$L$2:$L$50)</f>
        <v>3549.1577314000006</v>
      </c>
      <c r="K19" s="73" ph="1">
        <f>K18*9.0746*LOOKUP(K20,密度!$A$2:$A$50,密度!$C$2:$C$50)</f>
        <v>38787.594541099999</v>
      </c>
      <c r="L19" s="73" ph="1">
        <f>L18*9.0746*LOOKUP(L20,密度!$A$2:$A$50,密度!$E$2:$E$50)</f>
        <v>33713.75155642</v>
      </c>
      <c r="M19" s="73" ph="1">
        <f>M18*9.0746*LOOKUP(M20,密度!$A$2:$A$50,密度!$M$2:$M$50)</f>
        <v>27020.687674754001</v>
      </c>
      <c r="N19" s="73" ph="1">
        <f>N18*9.0746*LOOKUP(N20,密度!$A$2:$A$50,密度!$M$2:$M$50)</f>
        <v>22051.259850799997</v>
      </c>
      <c r="O19" s="73" ph="1">
        <f>O18*9.0746*LOOKUP(O20,密度!$A$2:$A$50,密度!$G$2:$G$50)</f>
        <v>39858.914593300004</v>
      </c>
      <c r="P19" s="73" ph="1">
        <f ca="1">P18*9.0746*LOOKUP(P20,密度!$A$2:$A$51,密度!$Q$2:$Q$50)</f>
        <v>44266.059238927999</v>
      </c>
      <c r="Q19" s="73" ph="1">
        <f>Q18*9.0746*LOOKUP(Q20,密度!$A$2:$A$50,密度!$Q$2:$Q$50)</f>
        <v>59035.405230775999</v>
      </c>
      <c r="R19" s="73" ph="1">
        <f>MAX(R18*9.0746*LOOKUP(R20,密度!$A$2:$A$50,密度!$B$2:$B$50),0)</f>
        <v>0</v>
      </c>
      <c r="S19" s="73" ph="1">
        <f>S18*9.0746*LOOKUP(S20,密度!$A$2:$A$50,密度!$Q$2:$Q$50)</f>
        <v>31736.241494490005</v>
      </c>
      <c r="T19" s="73" ph="1">
        <f>T18*9.0746*LOOKUP(T20,密度!$A$2:$A$50,密度!$O$2:$O$50)</f>
        <v>29956.978774000003</v>
      </c>
      <c r="U19" s="73" ph="1">
        <f>U18*9.0746*LOOKUP(U20,密度!$A$2:$A$50,密度!$H$2:$H$50)</f>
        <v>50376.2262624</v>
      </c>
      <c r="V19" s="73" ph="1">
        <f>MAX(5600*LOOKUP(V20,密度!$A$2:$A$50,密度!$Q$2:$Q$50)+V18*9.0476*LOOKUP(V20,密度!$A$2:$A$50,密度!$Q$2:$Q$50),0)</f>
        <v>4084.8093084080001</v>
      </c>
      <c r="W19" s="73" ph="1">
        <f>MAX(5600*LOOKUP(W20,密度!$A$2:$A$50,密度!$Q$2:$Q$50)+W18*9.0476*LOOKUP(W20,密度!$A$2:$A$50,密度!$Q$2:$Q$50),0)</f>
        <v>22921.729705419995</v>
      </c>
      <c r="X19" s="73" ph="1">
        <f>MAX(5600*LOOKUP(X20,密度!$A$2:$A$50,密度!$I$2:$I$50)+X18*9.0476*LOOKUP(X20,密度!$A$2:$A$50,密度!$I$2:$I$50),0)</f>
        <v>3563.4406237600006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43370.480794200004</v>
      </c>
      <c r="AB19" s="73" ph="1">
        <f>AB18*9.0746*LOOKUP(AB20,密度!$A$2:$A$50,密度!$L$2:$L$50)</f>
        <v>31149.744198</v>
      </c>
      <c r="AC19" s="73" ph="1">
        <f>AC18*9.0746*LOOKUP(AC20,密度!$A$2:$A$50,密度!$L$2:$L$50)</f>
        <v>21511.266703200003</v>
      </c>
      <c r="AD19" s="73" ph="1">
        <f>AD18*268.68*LOOKUP(AD20,密度!$A$2:$A$50,密度!B5:B53)+IF(AD18&lt;=0,0,1566*LOOKUP(AD20,密度!$A$2:$A$50,密度!B5:B53))</f>
        <v>18826.055765999998</v>
      </c>
      <c r="AE19" s="73" ph="1">
        <f>AE18*268.68*LOOKUP(AE20,密度!$A$2:$A$50,密度!B5:B53)+IF(AE18&lt;=0,0,1566*LOOKUP(AE20,密度!$A$2:$A$50,密度!B5:B53))</f>
        <v>12515.109163200001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17" ph="1"/>
      <c r="C20" s="80" t="s" ph="1">
        <v>180</v>
      </c>
      <c r="D20" s="81">
        <v>29</v>
      </c>
      <c r="E20" s="81">
        <v>29</v>
      </c>
      <c r="F20" s="81">
        <v>30</v>
      </c>
      <c r="G20" s="81">
        <v>28</v>
      </c>
      <c r="H20" s="81">
        <v>25</v>
      </c>
      <c r="I20" s="81">
        <v>30</v>
      </c>
      <c r="J20" s="81">
        <v>33</v>
      </c>
      <c r="K20" s="81">
        <v>29</v>
      </c>
      <c r="L20" s="81">
        <v>29</v>
      </c>
      <c r="M20" s="81">
        <v>31</v>
      </c>
      <c r="N20" s="81">
        <v>26</v>
      </c>
      <c r="O20" s="81">
        <v>29</v>
      </c>
      <c r="P20" s="81">
        <v>28</v>
      </c>
      <c r="Q20" s="81">
        <v>29</v>
      </c>
      <c r="R20" s="81">
        <v>29</v>
      </c>
      <c r="S20" s="81">
        <v>29</v>
      </c>
      <c r="T20" s="81">
        <v>28</v>
      </c>
      <c r="U20" s="81">
        <v>28</v>
      </c>
      <c r="V20" s="81">
        <v>28</v>
      </c>
      <c r="W20" s="81">
        <v>29</v>
      </c>
      <c r="X20" s="81">
        <v>30</v>
      </c>
      <c r="Y20" s="110">
        <v>30</v>
      </c>
      <c r="Z20" s="81">
        <v>32</v>
      </c>
      <c r="AA20" s="81">
        <v>28</v>
      </c>
      <c r="AB20" s="81">
        <v>32</v>
      </c>
      <c r="AC20" s="81">
        <v>28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15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633</v>
      </c>
      <c r="H23" s="88" t="s" ph="1">
        <v>633</v>
      </c>
      <c r="I23" s="88" t="s" ph="1">
        <v>634</v>
      </c>
      <c r="J23" s="88" t="s" ph="1">
        <v>635</v>
      </c>
      <c r="K23" s="88" t="s" ph="1">
        <v>635</v>
      </c>
      <c r="L23" s="88" t="s" ph="1">
        <v>635</v>
      </c>
      <c r="M23" s="88" t="s" ph="1">
        <v>630</v>
      </c>
      <c r="N23" s="88" t="s" ph="1">
        <v>630</v>
      </c>
      <c r="O23" s="88" t="s" ph="1">
        <v>321</v>
      </c>
      <c r="P23" s="88" t="s" ph="1">
        <v>637</v>
      </c>
      <c r="Q23" s="89" t="s" ph="1">
        <v>637</v>
      </c>
      <c r="R23" s="88" t="s" ph="1">
        <v>616</v>
      </c>
      <c r="S23" s="88" t="s" ph="1">
        <v>636</v>
      </c>
      <c r="T23" s="88" t="s" ph="1">
        <v>607</v>
      </c>
      <c r="U23" s="88" t="s" ph="1">
        <v>611</v>
      </c>
      <c r="V23" s="88" t="s" ph="1">
        <v>637</v>
      </c>
      <c r="W23" s="88" t="s" ph="1">
        <v>637</v>
      </c>
      <c r="X23" s="88" t="s" ph="1">
        <v>190</v>
      </c>
      <c r="Y23" s="88" t="s" ph="1">
        <v>638</v>
      </c>
      <c r="Z23" s="228" t="s" ph="1">
        <v>652</v>
      </c>
      <c r="AA23" s="229"/>
      <c r="AB23" s="229"/>
      <c r="AC23" s="229"/>
      <c r="AD23" s="229"/>
      <c r="AE23" s="230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37" ph="1">
        <v>0.33333333333333331</v>
      </c>
      <c r="C24" s="161" t="s" ph="1">
        <v>178</v>
      </c>
      <c r="D24" s="71">
        <v>68.89</v>
      </c>
      <c r="E24" s="71">
        <v>83.41</v>
      </c>
      <c r="F24" s="71">
        <v>3882</v>
      </c>
      <c r="G24" s="71">
        <v>1179</v>
      </c>
      <c r="H24" s="71">
        <v>2724</v>
      </c>
      <c r="I24" s="71">
        <v>1733</v>
      </c>
      <c r="J24" s="71">
        <v>4896</v>
      </c>
      <c r="K24" s="71">
        <v>5506</v>
      </c>
      <c r="L24" s="71">
        <v>5606</v>
      </c>
      <c r="M24" s="71">
        <v>2222</v>
      </c>
      <c r="N24" s="71">
        <v>2661</v>
      </c>
      <c r="O24" s="71">
        <v>4320</v>
      </c>
      <c r="P24" s="71">
        <v>353</v>
      </c>
      <c r="Q24" s="90">
        <v>4718</v>
      </c>
      <c r="R24" s="71">
        <v>735</v>
      </c>
      <c r="S24" s="71">
        <v>4839</v>
      </c>
      <c r="T24" s="71">
        <v>1762</v>
      </c>
      <c r="U24" s="71">
        <v>6214</v>
      </c>
      <c r="V24" s="71">
        <v>10826</v>
      </c>
      <c r="W24" s="71">
        <v>11716</v>
      </c>
      <c r="X24" s="71">
        <v>5137</v>
      </c>
      <c r="Y24" s="71">
        <v>3906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37" ph="1"/>
      <c r="C25" s="68" t="s" ph="1">
        <v>179</v>
      </c>
      <c r="D25" s="91" ph="1">
        <f>D24*268.68*LOOKUP(D26,密度!$A$2:$A$50,密度!$Q$2:$Q$50)+IF(D24&lt;=0,0,1566*LOOKUP(D26,密度!$A$2:$A$50,密度!$Q$2:$Q$50))</f>
        <v>19006.151249448001</v>
      </c>
      <c r="E25" s="91" ph="1">
        <f>E24*268.68*LOOKUP(E26,密度!$A$2:$A$50,密度!$C$2:$C$50)+IF(E24&lt;=0,0,1566*LOOKUP(E26,密度!$A$2:$A$50,密度!$C$2:$C$50))</f>
        <v>26587.650409320002</v>
      </c>
      <c r="F25" s="91" ph="1">
        <f>F24*11.702*LOOKUP(F26,密度!$A$2:$A$50,密度!$Q$2:$Q$50)</f>
        <v>43007.713245359999</v>
      </c>
      <c r="G25" s="91" ph="1">
        <f>G24*18.322*LOOKUP(G26,密度!$A$2:$A$50,密度!$B$2:$B$50)</f>
        <v>16840.636984799999</v>
      </c>
      <c r="H25" s="91" ph="1">
        <f>H24*18.322*LOOKUP(H26,密度!$A$2:$A$50,密度!$B$2:$B$50)</f>
        <v>38909.156188799992</v>
      </c>
      <c r="I25" s="91" ph="1">
        <f>I24*18.322*LOOKUP(I26,密度!$A$2:$A$50,密度!$Q$2:$Q$50)</f>
        <v>30060.913095239997</v>
      </c>
      <c r="J25" s="91" ph="1">
        <f>J24*18.322*LOOKUP(J26,密度!$A$2:$A$50,密度!$Q$2:$Q$50)</f>
        <v>84863.159487360012</v>
      </c>
      <c r="K25" s="91" ph="1">
        <f>K24*18.322*LOOKUP(K26,密度!$A$2:$A$50,密度!$Q$2:$Q$50)</f>
        <v>95436.388099960008</v>
      </c>
      <c r="L25" s="91" ph="1">
        <f>L24*18.322*LOOKUP(L26,密度!$A$2:$A$50,密度!$Q$2:$Q$50)</f>
        <v>97242.630589680004</v>
      </c>
      <c r="M25" s="91" ph="1">
        <f>M24*18.322*LOOKUP(M26,密度!$A$2:$A$50,密度!$Q$2:$Q$50)</f>
        <v>38485.380054879999</v>
      </c>
      <c r="N25" s="91" ph="1">
        <f>N24*18.322*LOOKUP(N26,密度!$A$2:$A$50,密度!$Q$2:$Q$50)</f>
        <v>46088.927239439996</v>
      </c>
      <c r="O25" s="91" ph="1">
        <f>O24*18.322*LOOKUP(O26,密度!$A$2:$A$50,密度!$C$2:$C$50)</f>
        <v>87707.267424000005</v>
      </c>
      <c r="P25" s="91" ph="1">
        <f>P24*11.702*LOOKUP(P26,密度!$A$2:$A$50,密度!$B$2:$B$50)</f>
        <v>3216.6586321999994</v>
      </c>
      <c r="Q25" s="92" ph="1">
        <f>Q24*18.322*LOOKUP(Q26,密度!$A$2:$A$50,密度!$B$2:$B$50)</f>
        <v>67391.115601599988</v>
      </c>
      <c r="R25" s="91" ph="1">
        <f>R24*35.891*LOOKUP(R26,密度!$A$2:$A$50,密度!$C$2:$C$50)</f>
        <v>29252.6544765</v>
      </c>
      <c r="S25" s="91" ph="1">
        <f>S24*35.891*LOOKUP(S26,密度!$A$2:$A$50,密度!$B$2:$B$50)</f>
        <v>135241.92870629998</v>
      </c>
      <c r="T25" s="91" ph="1">
        <f>T24*35.891*LOOKUP(T26,密度!$A$2:$A$50,密度!$Q$2:$Q$50)</f>
        <v>59871.782689079999</v>
      </c>
      <c r="U25" s="91" ph="1">
        <f>U24*35.891</f>
        <v>223026.674</v>
      </c>
      <c r="V25" s="91" ph="1">
        <f>V24*47.051*LOOKUP(V26,密度!$A$2:$A$50,密度!$B$2:$B$50)</f>
        <v>396242.13261540007</v>
      </c>
      <c r="W25" s="91" ph="1">
        <f>W24*47.051*LOOKUP(W26,密度!$A$2:$A$50,密度!$B$2:$B$50)</f>
        <v>429257.99810920004</v>
      </c>
      <c r="X25" s="91" ph="1">
        <f>X24*47.051*LOOKUP(X26,密度!$A$2:$A$50,密度!$I$2:$I$50)</f>
        <v>251369.02648000003</v>
      </c>
      <c r="Y25" s="91" ph="1">
        <f>Y24*47.051*LOOKUP(Y26,密度!$A$2:$A$50,密度!$L$2:$L$50)</f>
        <v>171467.86519800001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37" ph="1"/>
      <c r="C26" s="68" t="s" ph="1">
        <v>180</v>
      </c>
      <c r="D26" s="74">
        <v>25</v>
      </c>
      <c r="E26" s="74">
        <v>25</v>
      </c>
      <c r="F26" s="74">
        <v>25</v>
      </c>
      <c r="G26" s="74">
        <v>25</v>
      </c>
      <c r="H26" s="74">
        <v>25</v>
      </c>
      <c r="I26" s="74">
        <v>25</v>
      </c>
      <c r="J26" s="74">
        <v>26</v>
      </c>
      <c r="K26" s="74">
        <v>26</v>
      </c>
      <c r="L26" s="74">
        <v>25</v>
      </c>
      <c r="M26" s="74">
        <v>27</v>
      </c>
      <c r="N26" s="74">
        <v>27</v>
      </c>
      <c r="O26" s="74">
        <v>26</v>
      </c>
      <c r="P26" s="74">
        <v>26</v>
      </c>
      <c r="Q26" s="93">
        <v>25</v>
      </c>
      <c r="R26" s="74">
        <v>25</v>
      </c>
      <c r="S26" s="74">
        <v>26</v>
      </c>
      <c r="T26" s="74">
        <v>25</v>
      </c>
      <c r="U26" s="74">
        <v>26</v>
      </c>
      <c r="V26" s="74">
        <v>27</v>
      </c>
      <c r="W26" s="74">
        <v>26</v>
      </c>
      <c r="X26" s="74">
        <v>27</v>
      </c>
      <c r="Y26" s="74">
        <v>29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65" ph="1">
      <c r="A27" s="72" ph="1"/>
      <c r="B27" s="237" ph="1">
        <v>0.66666666666666663</v>
      </c>
      <c r="C27" s="161" t="s" ph="1">
        <v>181</v>
      </c>
      <c r="D27" s="71">
        <v>68.83</v>
      </c>
      <c r="E27" s="71">
        <v>3.92</v>
      </c>
      <c r="F27" s="71">
        <v>3884</v>
      </c>
      <c r="G27" s="71">
        <v>0</v>
      </c>
      <c r="H27" s="71">
        <v>2237</v>
      </c>
      <c r="I27" s="71">
        <v>1735</v>
      </c>
      <c r="J27" s="71">
        <v>4898</v>
      </c>
      <c r="K27" s="71">
        <v>5508</v>
      </c>
      <c r="L27" s="71">
        <v>5608</v>
      </c>
      <c r="M27" s="71">
        <v>2222</v>
      </c>
      <c r="N27" s="71">
        <v>2662</v>
      </c>
      <c r="O27" s="71">
        <v>4321</v>
      </c>
      <c r="P27" s="71">
        <v>354</v>
      </c>
      <c r="Q27" s="90">
        <v>5263</v>
      </c>
      <c r="R27" s="71">
        <v>1355</v>
      </c>
      <c r="S27" s="71">
        <v>4839</v>
      </c>
      <c r="T27" s="71">
        <v>1763</v>
      </c>
      <c r="U27" s="71">
        <v>6018</v>
      </c>
      <c r="V27" s="71">
        <v>10830</v>
      </c>
      <c r="W27" s="71">
        <v>11719</v>
      </c>
      <c r="X27" s="71">
        <v>5136</v>
      </c>
      <c r="Y27" s="71">
        <v>2306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37" ph="1"/>
      <c r="C28" s="161" t="s" ph="1">
        <v>179</v>
      </c>
      <c r="D28" s="91" ph="1">
        <f>D27*268.68*LOOKUP(D29,密度!$A$2:$A$50,密度!$Q$2:$Q$50)+IF(D27&lt;=0,0,1566*LOOKUP(D29,密度!$A$2:$A$50,密度!$Q$2:$Q$50))</f>
        <v>18990.889043256</v>
      </c>
      <c r="E28" s="91" ph="1">
        <f>E27*268.68*LOOKUP(E29,密度!$A$2:$A$50,密度!$C$2:$C$50)+IF(E27&lt;=0,0,1566*LOOKUP(E29,密度!$A$2:$A$50,密度!$C$2:$C$50))</f>
        <v>2904.4592678399999</v>
      </c>
      <c r="F28" s="91" ph="1">
        <f>F27*11.702*LOOKUP(F29,密度!$A$2:$A$50,密度!$Q$2:$Q$50)</f>
        <v>42997.600845040004</v>
      </c>
      <c r="G28" s="91" ph="1">
        <f>G27*18.322*LOOKUP(G29,密度!$A$2:$A$50,密度!$B$2:$B$50)</f>
        <v>0</v>
      </c>
      <c r="H28" s="91" ph="1">
        <f>H27*18.322*LOOKUP(H29,密度!$A$2:$A$50,密度!$B$2:$B$50)</f>
        <v>31916.042711799997</v>
      </c>
      <c r="I28" s="91" ph="1">
        <f>I27*18.322*LOOKUP(I29,密度!$A$2:$A$50,密度!$Q$2:$Q$50)</f>
        <v>30073.035480099999</v>
      </c>
      <c r="J28" s="91" ph="1">
        <f>J27*18.322*LOOKUP(J29,密度!$A$2:$A$50,密度!$Q$2:$Q$50)</f>
        <v>84834.109589920001</v>
      </c>
      <c r="K28" s="91" ph="1">
        <f>K27*18.322*LOOKUP(K29,密度!$A$2:$A$50,密度!$Q$2:$Q$50)</f>
        <v>95399.402944320012</v>
      </c>
      <c r="L28" s="91" ph="1">
        <f>L27*18.322*LOOKUP(L29,密度!$A$2:$A$50,密度!$Q$2:$Q$50)</f>
        <v>97131.418248319998</v>
      </c>
      <c r="M28" s="91" ph="1">
        <f>M27*18.322*LOOKUP(M29,密度!$A$2:$A$50,密度!$Q$2:$Q$50)</f>
        <v>38485.380054879999</v>
      </c>
      <c r="N28" s="91" ph="1">
        <f>N27*18.322*LOOKUP(N29,密度!$A$2:$A$50,密度!$Q$2:$Q$50)</f>
        <v>46072.106177679998</v>
      </c>
      <c r="O28" s="91" ph="1">
        <f>O27*18.322*LOOKUP(O29,密度!$A$2:$A$50,密度!$C$2:$C$50)</f>
        <v>87672.151478799991</v>
      </c>
      <c r="P28" s="91" ph="1">
        <f>P27*11.702*LOOKUP(P29,密度!$A$2:$A$50,密度!$B$2:$B$50)</f>
        <v>3222.4569732</v>
      </c>
      <c r="Q28" s="92" ph="1">
        <f>Q27*18.322*LOOKUP(Q29,密度!$A$2:$A$50,密度!$B$2:$B$50)</f>
        <v>75089.017788199999</v>
      </c>
      <c r="R28" s="91" ph="1">
        <f>R27*35.891*LOOKUP(R29,密度!$A$2:$A$50,密度!$C$2:$C$50)</f>
        <v>53889.457170500005</v>
      </c>
      <c r="S28" s="91" ph="1">
        <f>S27*35.891*LOOKUP(S29,密度!$A$2:$A$50,密度!$B$2:$B$50)</f>
        <v>135102.9874671</v>
      </c>
      <c r="T28" s="91" ph="1">
        <f>T27*35.891*LOOKUP(T29,密度!$A$2:$A$50,密度!$Q$2:$Q$50)</f>
        <v>59860.836292990003</v>
      </c>
      <c r="U28" s="91" ph="1">
        <f>U27*35.891</f>
        <v>215992.038</v>
      </c>
      <c r="V28" s="91" ph="1">
        <f>V27*47.051*LOOKUP(V29,密度!$A$2:$A$50,密度!$B$2:$B$50)</f>
        <v>395929.93041000003</v>
      </c>
      <c r="W28" s="91" ph="1">
        <f>W27*47.051*LOOKUP(W29,密度!$A$2:$A$50,密度!$B$2:$B$50)</f>
        <v>428926.8014151</v>
      </c>
      <c r="X28" s="91" ph="1">
        <f>X27*47.051*LOOKUP(X29,密度!$A$2:$A$50,密度!$I$2:$I$50)</f>
        <v>251054.2741104</v>
      </c>
      <c r="Y28" s="91" ph="1">
        <f>Y27*47.051*LOOKUP(Y29,密度!$A$2:$A$50,密度!$L$2:$L$50)</f>
        <v>101230.132398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37" ph="1"/>
      <c r="C29" s="161" t="s" ph="1">
        <v>180</v>
      </c>
      <c r="D29" s="74">
        <v>25</v>
      </c>
      <c r="E29" s="74">
        <v>25</v>
      </c>
      <c r="F29" s="74">
        <v>26</v>
      </c>
      <c r="G29" s="74">
        <v>26</v>
      </c>
      <c r="H29" s="74">
        <v>26</v>
      </c>
      <c r="I29" s="74">
        <v>26</v>
      </c>
      <c r="J29" s="74">
        <v>27</v>
      </c>
      <c r="K29" s="74">
        <v>27</v>
      </c>
      <c r="L29" s="74">
        <v>27</v>
      </c>
      <c r="M29" s="74">
        <v>27</v>
      </c>
      <c r="N29" s="74">
        <v>28</v>
      </c>
      <c r="O29" s="74">
        <v>27</v>
      </c>
      <c r="P29" s="74">
        <v>27</v>
      </c>
      <c r="Q29" s="93">
        <v>26</v>
      </c>
      <c r="R29" s="74">
        <v>26</v>
      </c>
      <c r="S29" s="74">
        <v>27</v>
      </c>
      <c r="T29" s="74">
        <v>26</v>
      </c>
      <c r="U29" s="74">
        <v>27</v>
      </c>
      <c r="V29" s="74">
        <v>28</v>
      </c>
      <c r="W29" s="74">
        <v>27</v>
      </c>
      <c r="X29" s="74">
        <v>28</v>
      </c>
      <c r="Y29" s="74">
        <v>29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45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61" t="s" ph="1">
        <v>5</v>
      </c>
      <c r="F32" s="160" t="s" ph="1">
        <v>43</v>
      </c>
      <c r="G32" s="97" t="s" ph="1">
        <v>4</v>
      </c>
      <c r="H32" s="161" t="s" ph="1">
        <v>5</v>
      </c>
      <c r="I32" s="160" t="s" ph="1">
        <v>43</v>
      </c>
      <c r="J32" s="97" t="s" ph="1">
        <v>4</v>
      </c>
      <c r="K32" s="161" t="s" ph="1">
        <v>5</v>
      </c>
      <c r="L32" s="160" t="s" ph="1">
        <v>43</v>
      </c>
      <c r="M32" s="97" t="s" ph="1">
        <v>4</v>
      </c>
      <c r="N32" s="161" t="s" ph="1">
        <v>5</v>
      </c>
      <c r="O32" s="160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1" t="s" ph="1">
        <v>5</v>
      </c>
      <c r="U32" s="99" t="s" ph="1">
        <v>43</v>
      </c>
      <c r="V32" s="97" t="s" ph="1">
        <v>4</v>
      </c>
      <c r="W32" s="161" t="s" ph="1">
        <v>5</v>
      </c>
      <c r="X32" s="99" t="s" ph="1">
        <v>43</v>
      </c>
      <c r="Y32" s="100" t="s" ph="1">
        <v>4</v>
      </c>
      <c r="Z32" s="161" t="s" ph="1">
        <v>5</v>
      </c>
      <c r="AA32" s="160" t="s" ph="1">
        <v>43</v>
      </c>
      <c r="AB32" s="97" t="s" ph="1">
        <v>85</v>
      </c>
      <c r="AC32" s="161" t="s" ph="1">
        <v>84</v>
      </c>
      <c r="AD32" s="204" t="s" ph="1">
        <v>83</v>
      </c>
      <c r="AE32" s="205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06" t="s" ph="1">
        <v>182</v>
      </c>
      <c r="C33" s="207" ph="1"/>
      <c r="D33" s="186" ph="1">
        <f>AA10+AB10+Z19</f>
        <v>48287.846953600005</v>
      </c>
      <c r="E33" s="186" ph="1">
        <f>M10+I10</f>
        <v>147076.2686024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[[#This Row],[F25]]</f>
        <v>3880</v>
      </c>
      <c r="G33" s="212" ph="1">
        <v>0</v>
      </c>
      <c r="H33" s="186" ph="1">
        <f>N19</f>
        <v>22051.259850799997</v>
      </c>
      <c r="I33" s="190" ph="1">
        <v>0</v>
      </c>
      <c r="J33" s="194" ph="1">
        <f>F10+O28</f>
        <v>233763.22576449998</v>
      </c>
      <c r="K33" s="186" ph="1">
        <f>O10+K10+E28+R28</f>
        <v>165866.70824314002</v>
      </c>
      <c r="L33" s="196" ph="1">
        <f>BE27</f>
        <v>7100</v>
      </c>
      <c r="M33" s="194" ph="1">
        <f>G10+H10+W28+S28+V28+E10</f>
        <v>1869767.0559491999</v>
      </c>
      <c r="N33" s="186" ph="1">
        <f>L10+P10++G28+H28</f>
        <v>138117.7291918</v>
      </c>
      <c r="O33" s="190" ph="1">
        <f>BE17</f>
        <v>2270</v>
      </c>
      <c r="P33" s="194" ph="1">
        <f>L19</f>
        <v>33713.75155642</v>
      </c>
      <c r="Q33" s="186" ph="1">
        <f>J10+N10</f>
        <v>37956.357973599996</v>
      </c>
      <c r="R33" s="190" ph="1">
        <f>BE23</f>
        <v>890</v>
      </c>
      <c r="S33" s="194" ph="1">
        <f>E10+X28</f>
        <v>570794.97659440001</v>
      </c>
      <c r="T33" s="186" ph="1">
        <f>X19</f>
        <v>3563.4406237600006</v>
      </c>
      <c r="U33" s="175" ph="1">
        <f>BE21</f>
        <v>730</v>
      </c>
      <c r="V33" s="188" ph="1">
        <f ca="1">P19+Q19+S19+M28+N28+J28</f>
        <v>304429.30178667395</v>
      </c>
      <c r="W33" s="188" ph="1">
        <f>D28+F28+V19+T28</f>
        <v>125934.135489694</v>
      </c>
      <c r="X33" s="190" ph="1">
        <f>BE29+BE31</f>
        <v>10200</v>
      </c>
      <c r="Y33" s="192" ph="1">
        <f>+Q10+R10+S10+T10+U10+V10+W10+X10+Y10</f>
        <v>163771.72188300002</v>
      </c>
      <c r="Z33" s="173" ph="1">
        <f>D10+T19+U19+Y28+Z10</f>
        <v>458285.76323241997</v>
      </c>
      <c r="AA33" s="175" ph="1">
        <f>BE19</f>
        <v>1440</v>
      </c>
      <c r="AB33" s="177" ph="1">
        <f>I19</f>
        <v>4267.0584119999994</v>
      </c>
      <c r="AC33" s="179" ph="1">
        <f>AD10</f>
        <v>66079.938758400007</v>
      </c>
      <c r="AD33" s="181" ph="1">
        <v>0</v>
      </c>
      <c r="AE33" s="182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85" t="s" ph="1">
        <v>639</v>
      </c>
      <c r="AD35" s="185"/>
      <c r="AE35" s="185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45" ph="1">
      <c r="A36" s="64"/>
      <c r="B36" s="103" t="s" ph="1">
        <v>183</v>
      </c>
      <c r="I36" s="171" t="s" ph="1">
        <v>184</v>
      </c>
      <c r="J36" s="171" ph="1"/>
      <c r="K36" s="101" ph="1"/>
      <c r="P36" s="101" ph="1"/>
      <c r="R36" s="171" t="s" ph="1">
        <v>185</v>
      </c>
      <c r="S36" s="171" ph="1"/>
      <c r="Y36" s="102" ph="1"/>
      <c r="Z36" s="159" t="s" ph="1">
        <v>186</v>
      </c>
      <c r="AA36" s="159" ph="1"/>
      <c r="AB36" s="172" t="s" ph="1">
        <v>644</v>
      </c>
      <c r="AC36" s="172" ph="1"/>
      <c r="AD36" s="172" ph="1"/>
      <c r="AE36" s="172" ph="1"/>
      <c r="BA36" s="64" ph="1">
        <v>2270</v>
      </c>
    </row>
    <row r="37" spans="1:57" s="15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9" t="s" ph="1">
        <v>345</v>
      </c>
      <c r="AI37" s="159" t="s" ph="1">
        <v>212</v>
      </c>
      <c r="AJ37" s="159" t="s" ph="1">
        <v>213</v>
      </c>
      <c r="AK37" s="159" t="s" ph="1">
        <v>214</v>
      </c>
      <c r="AM37" s="159" t="s" ph="1">
        <v>213</v>
      </c>
      <c r="AN37" s="159" t="s" ph="1">
        <v>214</v>
      </c>
      <c r="AO37" s="159" t="s" ph="1">
        <v>215</v>
      </c>
      <c r="AP37" s="159" t="s" ph="1">
        <v>213</v>
      </c>
      <c r="AQ37" s="159" t="s" ph="1">
        <v>214</v>
      </c>
      <c r="AR37" s="159" t="s" ph="1">
        <v>215</v>
      </c>
      <c r="AS37" s="159" t="s" ph="1">
        <v>213</v>
      </c>
      <c r="AT37" s="159" t="s" ph="1">
        <v>214</v>
      </c>
      <c r="AU37" s="159" t="s" ph="1">
        <v>215</v>
      </c>
      <c r="AV37" s="159" t="s" ph="1">
        <v>213</v>
      </c>
      <c r="AW37" s="159" t="s" ph="1">
        <v>214</v>
      </c>
      <c r="AX37" s="159" t="s" ph="1">
        <v>215</v>
      </c>
      <c r="AY37" s="159" t="s" ph="1">
        <v>214</v>
      </c>
      <c r="AZ37" s="159" t="s" ph="1">
        <v>216</v>
      </c>
      <c r="BD37" s="159" t="s" ph="1">
        <v>308</v>
      </c>
      <c r="BE37" s="159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507" priority="97">
      <formula>ABS(D$7-D$10)&gt;=1000</formula>
    </cfRule>
  </conditionalFormatting>
  <conditionalFormatting sqref="E4 E6:E11">
    <cfRule type="expression" dxfId="506" priority="96">
      <formula>ABS(E$7-E$10)&gt;=1000</formula>
    </cfRule>
  </conditionalFormatting>
  <conditionalFormatting sqref="F4:F11">
    <cfRule type="expression" dxfId="505" priority="95">
      <formula>ABS(F$7-F$10)&gt;=1000</formula>
    </cfRule>
  </conditionalFormatting>
  <conditionalFormatting sqref="G4:G11">
    <cfRule type="expression" dxfId="504" priority="94">
      <formula>ABS(G$7-G$10)&gt;=1000</formula>
    </cfRule>
  </conditionalFormatting>
  <conditionalFormatting sqref="H4:H11">
    <cfRule type="expression" dxfId="503" priority="93">
      <formula>ABS(H$7-H$10)&gt;=1000</formula>
    </cfRule>
  </conditionalFormatting>
  <conditionalFormatting sqref="I4:I11">
    <cfRule type="expression" dxfId="502" priority="92">
      <formula>ABS(I$7-I$10)&gt;=1000</formula>
    </cfRule>
  </conditionalFormatting>
  <conditionalFormatting sqref="J4:J11">
    <cfRule type="expression" dxfId="501" priority="91">
      <formula>ABS(J$7-J$10)&gt;=1000</formula>
    </cfRule>
  </conditionalFormatting>
  <conditionalFormatting sqref="K4:K11">
    <cfRule type="expression" dxfId="500" priority="90">
      <formula>ABS(K$7-K$10)&gt;=1000</formula>
    </cfRule>
  </conditionalFormatting>
  <conditionalFormatting sqref="L4:L11">
    <cfRule type="expression" dxfId="499" priority="89">
      <formula>ABS(L$7-L$10)&gt;=1000</formula>
    </cfRule>
  </conditionalFormatting>
  <conditionalFormatting sqref="M4 M6:M11">
    <cfRule type="expression" dxfId="498" priority="88">
      <formula>ABS(M$7-M$10)&gt;=1000</formula>
    </cfRule>
  </conditionalFormatting>
  <conditionalFormatting sqref="N4 N6:N11">
    <cfRule type="expression" dxfId="497" priority="87">
      <formula>ABS(N$7-N$10)&gt;=1000</formula>
    </cfRule>
  </conditionalFormatting>
  <conditionalFormatting sqref="O4 O6:O11">
    <cfRule type="expression" dxfId="496" priority="86">
      <formula>ABS(O$7-O$10)&gt;=1000</formula>
    </cfRule>
  </conditionalFormatting>
  <conditionalFormatting sqref="P4 P6:P11">
    <cfRule type="expression" dxfId="495" priority="85">
      <formula>ABS(P$7-P$10)&gt;=1000</formula>
    </cfRule>
  </conditionalFormatting>
  <conditionalFormatting sqref="Q4:Q11">
    <cfRule type="expression" dxfId="494" priority="84">
      <formula>ABS(Q$7-Q$10)&gt;=1000</formula>
    </cfRule>
  </conditionalFormatting>
  <conditionalFormatting sqref="R4:R11">
    <cfRule type="expression" dxfId="493" priority="83">
      <formula>ABS(R$7-R$10)&gt;=1000</formula>
    </cfRule>
  </conditionalFormatting>
  <conditionalFormatting sqref="S4:S11">
    <cfRule type="expression" dxfId="492" priority="82">
      <formula>ABS(S$7-S$10)&gt;=1000</formula>
    </cfRule>
  </conditionalFormatting>
  <conditionalFormatting sqref="T4:T9 T11">
    <cfRule type="expression" dxfId="491" priority="81">
      <formula>ABS(T$7-T$10)&gt;=1000</formula>
    </cfRule>
  </conditionalFormatting>
  <conditionalFormatting sqref="U4:U9 U11">
    <cfRule type="expression" dxfId="490" priority="80">
      <formula>ABS(U$7-U$10)&gt;=1000</formula>
    </cfRule>
  </conditionalFormatting>
  <conditionalFormatting sqref="V4:V9 V11">
    <cfRule type="expression" dxfId="489" priority="79">
      <formula>ABS(V$7-V$10)&gt;=1000</formula>
    </cfRule>
  </conditionalFormatting>
  <conditionalFormatting sqref="W4:W9 W11">
    <cfRule type="expression" dxfId="488" priority="78">
      <formula>ABS(W$7-W$10)&gt;=1000</formula>
    </cfRule>
  </conditionalFormatting>
  <conditionalFormatting sqref="X4:X9 X11">
    <cfRule type="expression" dxfId="487" priority="77">
      <formula>ABS(X$7-X$10)&gt;=1000</formula>
    </cfRule>
  </conditionalFormatting>
  <conditionalFormatting sqref="Y4:Y9 Y11">
    <cfRule type="expression" dxfId="486" priority="76">
      <formula>ABS(Y$7-Y$10)&gt;=1000</formula>
    </cfRule>
  </conditionalFormatting>
  <conditionalFormatting sqref="Z4:Z11">
    <cfRule type="expression" dxfId="485" priority="75">
      <formula>ABS(Z$7-Z$10)&gt;=1000</formula>
    </cfRule>
  </conditionalFormatting>
  <conditionalFormatting sqref="AA4:AA11">
    <cfRule type="expression" dxfId="484" priority="74">
      <formula>ABS(AA$7-AA$10)&gt;=1000</formula>
    </cfRule>
  </conditionalFormatting>
  <conditionalFormatting sqref="AB4:AB11">
    <cfRule type="expression" dxfId="483" priority="73">
      <formula>ABS(AB$7-AB$10)&gt;=1000</formula>
    </cfRule>
  </conditionalFormatting>
  <conditionalFormatting sqref="AC4 AC6:AC11">
    <cfRule type="expression" dxfId="482" priority="72">
      <formula>ABS(AC$7-AC$10)&gt;=1000</formula>
    </cfRule>
  </conditionalFormatting>
  <conditionalFormatting sqref="AD4:AD11">
    <cfRule type="expression" dxfId="481" priority="71">
      <formula>ABS(AD$7-AD$10)&gt;=1000</formula>
    </cfRule>
  </conditionalFormatting>
  <conditionalFormatting sqref="AE4:AE11">
    <cfRule type="expression" dxfId="480" priority="70">
      <formula>ABS(AE$7-AE$10)&gt;=1000</formula>
    </cfRule>
  </conditionalFormatting>
  <conditionalFormatting sqref="D13:D20">
    <cfRule type="expression" dxfId="479" priority="69">
      <formula>ABS(D$16-D$19)&gt;=1000</formula>
    </cfRule>
  </conditionalFormatting>
  <conditionalFormatting sqref="E13:E20">
    <cfRule type="expression" dxfId="478" priority="68">
      <formula>ABS(E$16-E$19)&gt;=1000</formula>
    </cfRule>
  </conditionalFormatting>
  <conditionalFormatting sqref="F13 F15:F20">
    <cfRule type="expression" dxfId="477" priority="67">
      <formula>ABS(F$16-F$19)&gt;=1000</formula>
    </cfRule>
  </conditionalFormatting>
  <conditionalFormatting sqref="G13:G20">
    <cfRule type="expression" dxfId="476" priority="66">
      <formula>ABS(G$16-G$19)&gt;=1000</formula>
    </cfRule>
  </conditionalFormatting>
  <conditionalFormatting sqref="H13:H20">
    <cfRule type="expression" dxfId="475" priority="65">
      <formula>ABS(H$16-H$19)&gt;=1000</formula>
    </cfRule>
  </conditionalFormatting>
  <conditionalFormatting sqref="I13:I20">
    <cfRule type="expression" dxfId="474" priority="64">
      <formula>ABS(I$16-I$19)&gt;=1000</formula>
    </cfRule>
  </conditionalFormatting>
  <conditionalFormatting sqref="J13:J20">
    <cfRule type="expression" dxfId="473" priority="63">
      <formula>ABS(J$16-J$19)&gt;=1000</formula>
    </cfRule>
  </conditionalFormatting>
  <conditionalFormatting sqref="L13:L20">
    <cfRule type="expression" dxfId="472" priority="62">
      <formula>ABS(L$16-L$19)&gt;=1000</formula>
    </cfRule>
  </conditionalFormatting>
  <conditionalFormatting sqref="M13 M15 M17:M18 M20">
    <cfRule type="expression" dxfId="471" priority="61">
      <formula>ABS(M$16-M$19)&gt;=1000</formula>
    </cfRule>
  </conditionalFormatting>
  <conditionalFormatting sqref="N13:N20">
    <cfRule type="expression" dxfId="470" priority="60">
      <formula>ABS(N$16-N$19)&gt;=1000</formula>
    </cfRule>
  </conditionalFormatting>
  <conditionalFormatting sqref="O13:O20">
    <cfRule type="expression" dxfId="469" priority="59">
      <formula>ABS(O$16-O$19)&gt;=1000</formula>
    </cfRule>
  </conditionalFormatting>
  <conditionalFormatting sqref="P13:P20">
    <cfRule type="expression" dxfId="468" priority="58">
      <formula>ABS(P$16-P$19)&gt;=1000</formula>
    </cfRule>
  </conditionalFormatting>
  <conditionalFormatting sqref="Q13 Q15:Q20">
    <cfRule type="expression" dxfId="467" priority="57">
      <formula>ABS(Q$16-Q$19)&gt;=1000</formula>
    </cfRule>
  </conditionalFormatting>
  <conditionalFormatting sqref="R13:R20">
    <cfRule type="expression" dxfId="466" priority="56">
      <formula>ABS(R$16-R$19)&gt;=1000</formula>
    </cfRule>
  </conditionalFormatting>
  <conditionalFormatting sqref="S13:S20">
    <cfRule type="expression" dxfId="465" priority="55">
      <formula>ABS(S$16-S$19)&gt;=1000</formula>
    </cfRule>
  </conditionalFormatting>
  <conditionalFormatting sqref="T13:T20">
    <cfRule type="expression" dxfId="464" priority="54">
      <formula>ABS(T$16-T$19)&gt;=1000</formula>
    </cfRule>
  </conditionalFormatting>
  <conditionalFormatting sqref="U13:U20">
    <cfRule type="expression" dxfId="463" priority="53">
      <formula>ABS(U$16-U$19)&gt;=1000</formula>
    </cfRule>
  </conditionalFormatting>
  <conditionalFormatting sqref="V13:V20">
    <cfRule type="expression" dxfId="462" priority="52">
      <formula>ABS(V$16-V$19)&gt;=1000</formula>
    </cfRule>
  </conditionalFormatting>
  <conditionalFormatting sqref="W13 W20 W15:W18">
    <cfRule type="expression" dxfId="461" priority="51">
      <formula>ABS(W$16-W$19)&gt;=1000</formula>
    </cfRule>
  </conditionalFormatting>
  <conditionalFormatting sqref="X13 X15:X20 Y19">
    <cfRule type="expression" dxfId="460" priority="50">
      <formula>ABS(X$16-X$19)&gt;=1000</formula>
    </cfRule>
  </conditionalFormatting>
  <conditionalFormatting sqref="Y13 Y15:Y18 Y20">
    <cfRule type="expression" dxfId="459" priority="49">
      <formula>ABS(Y$16-Y$19)&gt;=1000</formula>
    </cfRule>
  </conditionalFormatting>
  <conditionalFormatting sqref="Z13:Z20">
    <cfRule type="expression" dxfId="458" priority="48">
      <formula>ABS(Z$16-Z$19)&gt;=1000</formula>
    </cfRule>
  </conditionalFormatting>
  <conditionalFormatting sqref="AA13:AA20">
    <cfRule type="expression" dxfId="457" priority="47">
      <formula>ABS(AA$16-AA$19)&gt;=1000</formula>
    </cfRule>
  </conditionalFormatting>
  <conditionalFormatting sqref="AB13 AB15:AB20">
    <cfRule type="expression" dxfId="456" priority="46">
      <formula>ABS(AB$16-AB$19)&gt;=1000</formula>
    </cfRule>
  </conditionalFormatting>
  <conditionalFormatting sqref="AC13 AC15:AC20">
    <cfRule type="expression" dxfId="455" priority="45">
      <formula>ABS(AC$16-AC$19)&gt;=1000</formula>
    </cfRule>
  </conditionalFormatting>
  <conditionalFormatting sqref="AD13:AD20">
    <cfRule type="expression" dxfId="454" priority="44">
      <formula>ABS(AD$16-AD$19)&gt;=1000</formula>
    </cfRule>
  </conditionalFormatting>
  <conditionalFormatting sqref="AE13:AE20">
    <cfRule type="expression" dxfId="453" priority="43">
      <formula>ABS(AE$16-AE$19)&gt;=1000</formula>
    </cfRule>
  </conditionalFormatting>
  <conditionalFormatting sqref="D22:D29">
    <cfRule type="expression" dxfId="452" priority="42">
      <formula>ABS(D$25-D$28)&gt;=1000</formula>
    </cfRule>
  </conditionalFormatting>
  <conditionalFormatting sqref="E22:E29">
    <cfRule type="expression" dxfId="451" priority="41">
      <formula>ABS(E$25-E$28)&gt;=1000</formula>
    </cfRule>
  </conditionalFormatting>
  <conditionalFormatting sqref="F22:F29">
    <cfRule type="expression" dxfId="450" priority="40">
      <formula>ABS(F$25-F$28)&gt;=1000</formula>
    </cfRule>
  </conditionalFormatting>
  <conditionalFormatting sqref="G22:G29">
    <cfRule type="expression" dxfId="449" priority="39">
      <formula>ABS(G$25-G$28)&gt;=1000</formula>
    </cfRule>
  </conditionalFormatting>
  <conditionalFormatting sqref="H22:H29">
    <cfRule type="expression" dxfId="448" priority="38">
      <formula>ABS(H$25-H$28)&gt;=1000</formula>
    </cfRule>
  </conditionalFormatting>
  <conditionalFormatting sqref="I22 I24:I29">
    <cfRule type="expression" dxfId="447" priority="37">
      <formula>ABS(I$25-I$28)&gt;=1000</formula>
    </cfRule>
  </conditionalFormatting>
  <conditionalFormatting sqref="J22:J29 K22">
    <cfRule type="expression" dxfId="446" priority="36">
      <formula>ABS(J$25-J$28)&gt;=1000</formula>
    </cfRule>
  </conditionalFormatting>
  <conditionalFormatting sqref="K23:K29 L25 L28">
    <cfRule type="expression" dxfId="445" priority="35">
      <formula>ABS(K$25-K$28)&gt;=1000</formula>
    </cfRule>
  </conditionalFormatting>
  <conditionalFormatting sqref="L22 L26:L27 L29 L24">
    <cfRule type="expression" dxfId="444" priority="34">
      <formula>ABS(L$25-L$28)&gt;=1000</formula>
    </cfRule>
  </conditionalFormatting>
  <conditionalFormatting sqref="M22:M29">
    <cfRule type="expression" dxfId="443" priority="33">
      <formula>ABS(M$25-M$28)&gt;=1000</formula>
    </cfRule>
  </conditionalFormatting>
  <conditionalFormatting sqref="N22:N29">
    <cfRule type="expression" dxfId="442" priority="32">
      <formula>ABS(N$25-N$28)&gt;=1000</formula>
    </cfRule>
  </conditionalFormatting>
  <conditionalFormatting sqref="O22:O29">
    <cfRule type="expression" dxfId="441" priority="31">
      <formula>ABS(O$25-O$28)&gt;=1000</formula>
    </cfRule>
  </conditionalFormatting>
  <conditionalFormatting sqref="P22:P29">
    <cfRule type="expression" dxfId="440" priority="30">
      <formula>ABS(P$25-P$28)&gt;=1000</formula>
    </cfRule>
  </conditionalFormatting>
  <conditionalFormatting sqref="Q22:Q29">
    <cfRule type="expression" dxfId="439" priority="29">
      <formula>ABS(Q$25-Q$28)&gt;=1000</formula>
    </cfRule>
  </conditionalFormatting>
  <conditionalFormatting sqref="R22:R29">
    <cfRule type="expression" dxfId="438" priority="28">
      <formula>ABS(R$25-R$28)&gt;=1000</formula>
    </cfRule>
  </conditionalFormatting>
  <conditionalFormatting sqref="S22:S29">
    <cfRule type="expression" dxfId="437" priority="27">
      <formula>ABS(S$25-S$28)&gt;=1000</formula>
    </cfRule>
  </conditionalFormatting>
  <conditionalFormatting sqref="T22:T29">
    <cfRule type="expression" dxfId="436" priority="26">
      <formula>ABS(T$25-T$28)&gt;=1000</formula>
    </cfRule>
  </conditionalFormatting>
  <conditionalFormatting sqref="U22:U29">
    <cfRule type="expression" dxfId="435" priority="25">
      <formula>ABS(U$25-U$28)&gt;=1000</formula>
    </cfRule>
  </conditionalFormatting>
  <conditionalFormatting sqref="V22:V29">
    <cfRule type="expression" dxfId="434" priority="24">
      <formula>ABS(V$25-V$28)&gt;=1000</formula>
    </cfRule>
  </conditionalFormatting>
  <conditionalFormatting sqref="W22:W29">
    <cfRule type="expression" dxfId="433" priority="23">
      <formula>ABS(W$25-W$28)&gt;=1000</formula>
    </cfRule>
  </conditionalFormatting>
  <conditionalFormatting sqref="X22:X29">
    <cfRule type="expression" dxfId="432" priority="22">
      <formula>ABS(X$25-X$28)&gt;=1000</formula>
    </cfRule>
  </conditionalFormatting>
  <conditionalFormatting sqref="Y22:Y29">
    <cfRule type="expression" dxfId="431" priority="21">
      <formula>ABS(Y$25-Y$28)&gt;=1000</formula>
    </cfRule>
  </conditionalFormatting>
  <conditionalFormatting sqref="I23">
    <cfRule type="expression" dxfId="430" priority="20">
      <formula>ABS(I$25-I$28)&gt;=1000</formula>
    </cfRule>
  </conditionalFormatting>
  <conditionalFormatting sqref="F14">
    <cfRule type="expression" dxfId="429" priority="19">
      <formula>ABS(F$16-F$19)&gt;=1000</formula>
    </cfRule>
  </conditionalFormatting>
  <conditionalFormatting sqref="Q14">
    <cfRule type="expression" dxfId="428" priority="18">
      <formula>ABS(Q$16-Q$19)&gt;=1000</formula>
    </cfRule>
  </conditionalFormatting>
  <conditionalFormatting sqref="W14">
    <cfRule type="expression" dxfId="427" priority="17">
      <formula>ABS(W$16-W$19)&gt;=1000</formula>
    </cfRule>
  </conditionalFormatting>
  <conditionalFormatting sqref="Y14">
    <cfRule type="expression" dxfId="426" priority="16">
      <formula>ABS(Y$16-Y$19)&gt;=1000</formula>
    </cfRule>
  </conditionalFormatting>
  <conditionalFormatting sqref="X14">
    <cfRule type="expression" dxfId="425" priority="15">
      <formula>ABS(X$16-X$19)&gt;=1000</formula>
    </cfRule>
  </conditionalFormatting>
  <conditionalFormatting sqref="T10:Y10">
    <cfRule type="expression" dxfId="424" priority="14">
      <formula>ABS(T$7-T$10)&gt;=1000</formula>
    </cfRule>
  </conditionalFormatting>
  <conditionalFormatting sqref="W19">
    <cfRule type="expression" dxfId="423" priority="13">
      <formula>ABS(W$16-W$19)&gt;=1000</formula>
    </cfRule>
  </conditionalFormatting>
  <conditionalFormatting sqref="AC5">
    <cfRule type="expression" dxfId="422" priority="12">
      <formula>ABS(AC$7-AC$10)&gt;=1000</formula>
    </cfRule>
  </conditionalFormatting>
  <conditionalFormatting sqref="M14">
    <cfRule type="expression" dxfId="421" priority="11">
      <formula>ABS(M$16-M$19)&gt;=1000</formula>
    </cfRule>
  </conditionalFormatting>
  <conditionalFormatting sqref="M16">
    <cfRule type="expression" dxfId="420" priority="10">
      <formula>ABS(M$16-M$19)&gt;=1000</formula>
    </cfRule>
  </conditionalFormatting>
  <conditionalFormatting sqref="M19">
    <cfRule type="expression" dxfId="419" priority="9">
      <formula>ABS(M$16-M$19)&gt;=1000</formula>
    </cfRule>
  </conditionalFormatting>
  <conditionalFormatting sqref="K13:K20">
    <cfRule type="expression" dxfId="418" priority="8">
      <formula>ABS(K$16-K$19)&gt;=1000</formula>
    </cfRule>
  </conditionalFormatting>
  <conditionalFormatting sqref="E5">
    <cfRule type="expression" dxfId="417" priority="7">
      <formula>ABS(E$7-E$10)&gt;=1000</formula>
    </cfRule>
  </conditionalFormatting>
  <conditionalFormatting sqref="AB14:AC14">
    <cfRule type="expression" dxfId="416" priority="6">
      <formula>ABS(AB$16-AB$19)&gt;=1000</formula>
    </cfRule>
  </conditionalFormatting>
  <conditionalFormatting sqref="M5">
    <cfRule type="expression" dxfId="415" priority="5">
      <formula>ABS(M$7-M$10)&gt;=1000</formula>
    </cfRule>
  </conditionalFormatting>
  <conditionalFormatting sqref="N5">
    <cfRule type="expression" dxfId="414" priority="4">
      <formula>ABS(N$7-N$10)&gt;=1000</formula>
    </cfRule>
  </conditionalFormatting>
  <conditionalFormatting sqref="O5">
    <cfRule type="expression" dxfId="413" priority="3">
      <formula>ABS(O$7-O$10)&gt;=1000</formula>
    </cfRule>
  </conditionalFormatting>
  <conditionalFormatting sqref="P5">
    <cfRule type="expression" dxfId="412" priority="2">
      <formula>ABS(P$7-P$10)&gt;=1000</formula>
    </cfRule>
  </conditionalFormatting>
  <conditionalFormatting sqref="L23">
    <cfRule type="expression" dxfId="411" priority="1">
      <formula>ABS(L$25-L$28)&gt;=1000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921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345782</xdr:rowOff>
                  </from>
                  <to>
                    <xdr:col>32</xdr:col>
                    <xdr:colOff>414938</xdr:colOff>
                    <xdr:row>3</xdr:row>
                    <xdr:rowOff>30736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89">
    <pageSetUpPr fitToPage="1"/>
  </sheetPr>
  <dimension ref="A1:CU223"/>
  <sheetViews>
    <sheetView view="pageBreakPreview" topLeftCell="A4" zoomScale="80" zoomScaleNormal="100" zoomScaleSheetLayoutView="80" workbookViewId="0">
      <selection activeCell="Z23" sqref="Z23:AE29"/>
    </sheetView>
  </sheetViews>
  <sheetFormatPr defaultColWidth="8.109375" defaultRowHeight="26.05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0.9" ph="1">
      <c r="A1" s="64"/>
      <c r="B1" s="238" t="s" ph="1">
        <v>162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.05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.05" customHeight="1" ph="1">
      <c r="B3" s="240" ph="1">
        <v>45867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" customHeight="1" ph="1">
      <c r="A5" s="65" ph="1"/>
      <c r="B5" s="219" ph="1"/>
      <c r="C5" s="67" t="s" ph="1">
        <v>36</v>
      </c>
      <c r="D5" s="70" t="s" ph="1">
        <v>161</v>
      </c>
      <c r="E5" s="70" t="s" ph="1">
        <v>640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61" t="s" ph="1">
        <v>178</v>
      </c>
      <c r="D6" s="71">
        <v>5101</v>
      </c>
      <c r="E6" s="71">
        <v>7988</v>
      </c>
      <c r="F6" s="71">
        <v>3402</v>
      </c>
      <c r="G6" s="71">
        <v>4979</v>
      </c>
      <c r="H6" s="71">
        <v>9142</v>
      </c>
      <c r="I6" s="71">
        <v>40.56</v>
      </c>
      <c r="J6" s="71">
        <v>7.76</v>
      </c>
      <c r="K6" s="71">
        <v>53.76</v>
      </c>
      <c r="L6" s="71">
        <v>34.119999999999997</v>
      </c>
      <c r="M6" s="71">
        <v>3946</v>
      </c>
      <c r="N6" s="71">
        <v>1401</v>
      </c>
      <c r="O6" s="71">
        <v>4952</v>
      </c>
      <c r="P6" s="71">
        <v>2592</v>
      </c>
      <c r="Q6" s="71">
        <v>4178</v>
      </c>
      <c r="R6" s="71">
        <v>0</v>
      </c>
      <c r="S6" s="71">
        <v>0</v>
      </c>
      <c r="T6" s="71">
        <v>0</v>
      </c>
      <c r="U6" s="71">
        <v>0</v>
      </c>
      <c r="V6" s="71">
        <v>0</v>
      </c>
      <c r="W6" s="71">
        <v>5504</v>
      </c>
      <c r="X6" s="71">
        <v>5698</v>
      </c>
      <c r="Y6" s="71">
        <v>6717</v>
      </c>
      <c r="Z6" s="71">
        <v>4856</v>
      </c>
      <c r="AA6" s="71">
        <v>555</v>
      </c>
      <c r="AB6" s="71">
        <v>1402</v>
      </c>
      <c r="AC6" s="71">
        <v>1645</v>
      </c>
      <c r="AD6" s="71">
        <v>3376</v>
      </c>
      <c r="AE6" s="71">
        <v>1595</v>
      </c>
    </row>
    <row r="7" spans="1:99" s="72" customFormat="1" ht="22.4" ph="1">
      <c r="B7" s="237" ph="1"/>
      <c r="C7" s="68" t="s" ph="1">
        <v>179</v>
      </c>
      <c r="D7" s="73" ph="1">
        <f>D6*33.183*LOOKUP(D8,密度!$A$2:$A$50,密度!$Q$2:$Q$50)</f>
        <v>159674.15140839</v>
      </c>
      <c r="E7" s="73" ph="1">
        <f>E6*51.53*LOOKUP(E8,密度!$A$2:$A$50,密度!$B$2:$B$50)</f>
        <v>320529.771068</v>
      </c>
      <c r="F7" s="73" ph="1">
        <f>F6*33.183*LOOKUP(F8,密度!$A$2:$A$50,密度!$C$2:$C$50)</f>
        <v>125012.79798839999</v>
      </c>
      <c r="G7" s="73" ph="1">
        <f xml:space="preserve"> (G6+2)*51.53*LOOKUP(G8,密度!$A$2:$A$50,密度!$B$2:$B$50)</f>
        <v>199664.31644699999</v>
      </c>
      <c r="H7" s="73" ph="1">
        <f>(H6)*51.53*LOOKUP(H8,密度!$A$2:$A$50,密度!$B$2:$B$50)</f>
        <v>368107.58496399998</v>
      </c>
      <c r="I7" s="73" ph="1">
        <f>I6*290.8*1.0267</f>
        <v>12109.770441600002</v>
      </c>
      <c r="J7" s="73" ph="1">
        <f>J6*290.8*0.7892</f>
        <v>1780.9150336000002</v>
      </c>
      <c r="K7" s="73" ph="1">
        <f>K6*290.8*1.1126</f>
        <v>17393.729740800001</v>
      </c>
      <c r="L7" s="73" ph="1">
        <f>L6*290.8*0.777</f>
        <v>7709.4685920000002</v>
      </c>
      <c r="M7" s="73" ph="1">
        <f>M6*33.183*LOOKUP(M8,密度!$A$2:$A$50,密度!$D$2:$D$50)</f>
        <v>134187.43292639998</v>
      </c>
      <c r="N7" s="73" ph="1">
        <f>N6*33.183*LOOKUP(N8,密度!$A$2:$A$50,密度!$E$2:$E$50)</f>
        <v>36359.346444300005</v>
      </c>
      <c r="O7" s="73" ph="1">
        <f>O6*20.428*LOOKUP(O8,密度!$A$2:$A$50,密度!$C$2:$C$50)</f>
        <v>111690.15536960002</v>
      </c>
      <c r="P7" s="73" ph="1">
        <f>P6*51.53*LOOKUP(P8,密度!$A$2:$A$50,密度!$B$2:$B$50)</f>
        <v>104127.866496</v>
      </c>
      <c r="Q7" s="73" ph="1">
        <f>Q6*1.5*1.5*3.1416*LOOKUP(W8,密度!$A$2:$A$50,密度!$L$2:$L$50)</f>
        <v>27583.458487200001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36337.8064896</v>
      </c>
      <c r="X7" s="73" ph="1">
        <f>X6*1.5*1.5*3.1416*LOOKUP(X8,密度!$A$2:$A$50,密度!$L$2:$L$50)</f>
        <v>37940.8235976</v>
      </c>
      <c r="Y7" s="73" ph="1">
        <f>Y6*1.5*1.5*3.1416*LOOKUP(Y8,密度!$A$2:$A$50,密度!$L$2:$L$50)</f>
        <v>44393.600097000002</v>
      </c>
      <c r="Z7" s="73" ph="1">
        <f>Z6*33.183*LOOKUP(Z8,密度!$A$2:$A$50,密度!$L$2:$L$50)</f>
        <v>151307.31247199999</v>
      </c>
      <c r="AA7" s="73" ph="1">
        <f>AA6*33.183*LOOKUP(AA8,密度!$A$2:$A$50,密度!$D$2:$D$50)</f>
        <v>18908.287285499999</v>
      </c>
      <c r="AB7" s="73" ph="1">
        <f>AB6*20.428*LOOKUP(AB8,密度!$A$2:$A$50,密度!$D$2:$D$50)</f>
        <v>29539.353758400004</v>
      </c>
      <c r="AC7" s="73" ph="1">
        <f>AC6*51.53*LOOKUP(AC8,密度!$A$2:$A$50,密度!$Q$2:$Q$50)</f>
        <v>80252.167569000012</v>
      </c>
      <c r="AD7" s="73" ph="1">
        <f>AD6*20.428*LOOKUP(AD8,密度!$A$2:$A$50,密度!$V$2:$V$50)</f>
        <v>66261.502822399998</v>
      </c>
      <c r="AE7" s="73" ph="1">
        <f>AE6*20.428</f>
        <v>32582.66</v>
      </c>
    </row>
    <row r="8" spans="1:99" ph="1">
      <c r="B8" s="237" ph="1"/>
      <c r="C8" s="68" t="s" ph="1">
        <v>180</v>
      </c>
      <c r="D8" s="74">
        <v>30</v>
      </c>
      <c r="E8" s="74">
        <v>26</v>
      </c>
      <c r="F8" s="74">
        <v>27</v>
      </c>
      <c r="G8" s="74">
        <v>27</v>
      </c>
      <c r="H8" s="74">
        <v>23</v>
      </c>
      <c r="I8" s="74">
        <v>25</v>
      </c>
      <c r="J8" s="74">
        <v>25</v>
      </c>
      <c r="K8" s="74">
        <v>25</v>
      </c>
      <c r="L8" s="74">
        <v>25</v>
      </c>
      <c r="M8" s="74">
        <v>27</v>
      </c>
      <c r="N8" s="74">
        <v>26</v>
      </c>
      <c r="O8" s="74">
        <v>31</v>
      </c>
      <c r="P8" s="74">
        <v>25</v>
      </c>
      <c r="Q8" s="74">
        <v>26</v>
      </c>
      <c r="R8" s="74">
        <v>31</v>
      </c>
      <c r="S8" s="74">
        <v>22</v>
      </c>
      <c r="T8" s="74">
        <v>21</v>
      </c>
      <c r="U8" s="74">
        <v>25</v>
      </c>
      <c r="V8" s="74">
        <v>26</v>
      </c>
      <c r="W8" s="74">
        <v>28</v>
      </c>
      <c r="X8" s="74">
        <v>20</v>
      </c>
      <c r="Y8" s="74">
        <v>27</v>
      </c>
      <c r="Z8" s="74">
        <v>23</v>
      </c>
      <c r="AA8" s="74">
        <v>25</v>
      </c>
      <c r="AB8" s="74">
        <v>20</v>
      </c>
      <c r="AC8" s="74">
        <v>25</v>
      </c>
      <c r="AD8" s="74">
        <v>24</v>
      </c>
      <c r="AE8" s="74">
        <v>28</v>
      </c>
    </row>
    <row r="9" spans="1:99" ht="26.65" ph="1">
      <c r="B9" s="237" ph="1">
        <v>0.66666666666666663</v>
      </c>
      <c r="C9" s="161" t="s" ph="1">
        <v>181</v>
      </c>
      <c r="D9" s="71">
        <v>5484</v>
      </c>
      <c r="E9" s="71">
        <v>7985</v>
      </c>
      <c r="F9" s="71">
        <v>3945</v>
      </c>
      <c r="G9" s="71">
        <v>4723</v>
      </c>
      <c r="H9" s="71">
        <v>9145</v>
      </c>
      <c r="I9" s="71">
        <v>40.53</v>
      </c>
      <c r="J9" s="71">
        <v>7.82</v>
      </c>
      <c r="K9" s="71">
        <v>9.76</v>
      </c>
      <c r="L9" s="71">
        <v>8.5299999999999994</v>
      </c>
      <c r="M9" s="71">
        <v>3945</v>
      </c>
      <c r="N9" s="71">
        <v>1401</v>
      </c>
      <c r="O9" s="71">
        <v>5133</v>
      </c>
      <c r="P9" s="71">
        <v>2276</v>
      </c>
      <c r="Q9" s="71">
        <v>5180</v>
      </c>
      <c r="R9" s="71">
        <v>2299</v>
      </c>
      <c r="S9" s="71">
        <v>0</v>
      </c>
      <c r="T9" s="71">
        <v>0</v>
      </c>
      <c r="U9" s="71">
        <v>0</v>
      </c>
      <c r="V9" s="71">
        <v>0</v>
      </c>
      <c r="W9" s="71">
        <v>2405</v>
      </c>
      <c r="X9" s="71">
        <v>5702</v>
      </c>
      <c r="Y9" s="71">
        <v>6725</v>
      </c>
      <c r="Z9" s="71">
        <v>5526</v>
      </c>
      <c r="AA9" s="71">
        <v>555</v>
      </c>
      <c r="AB9" s="71">
        <v>1287</v>
      </c>
      <c r="AC9" s="71">
        <v>1397</v>
      </c>
      <c r="AD9" s="71">
        <v>3376</v>
      </c>
      <c r="AE9" s="71">
        <v>1460</v>
      </c>
    </row>
    <row r="10" spans="1:99" s="72" customFormat="1" ht="22.4" ph="1">
      <c r="B10" s="237" ph="1"/>
      <c r="C10" s="161" t="s" ph="1">
        <v>179</v>
      </c>
      <c r="D10" s="73" ph="1">
        <f>D9*33.183*LOOKUP(D11,密度!$A$2:$A$50,密度!$Q$2:$Q$50)</f>
        <v>171526.53465575998</v>
      </c>
      <c r="E10" s="73" ph="1">
        <f>E9*51.53*LOOKUP(E11,密度!$A$2:$A$50,密度!$B$2:$B$50)</f>
        <v>318269.76317499997</v>
      </c>
      <c r="F10" s="73" ph="1">
        <f>F9*33.183*LOOKUP(F11,密度!$A$2:$A$50,密度!$C$2:$C$50)</f>
        <v>144665.2538685</v>
      </c>
      <c r="G10" s="73" ph="1">
        <f xml:space="preserve"> (G9+2)*51.53*LOOKUP(G11,密度!$A$2:$A$50,密度!$B$2:$B$50)</f>
        <v>188550.33119999999</v>
      </c>
      <c r="H10" s="73" ph="1">
        <f>(H9)*51.53*LOOKUP(H11,密度!$A$2:$A$50,密度!$B$2:$B$50)</f>
        <v>364505.57097500004</v>
      </c>
      <c r="I10" s="73" ph="1">
        <f>I9*290.8*1.0267</f>
        <v>12100.813510800001</v>
      </c>
      <c r="J10" s="73" ph="1">
        <f>J9*290.8*0.7892</f>
        <v>1794.6849952</v>
      </c>
      <c r="K10" s="73" ph="1">
        <f>K9*290.8*1.1126</f>
        <v>3157.7902208</v>
      </c>
      <c r="L10" s="73" ph="1">
        <f>L9*290.8*0.777</f>
        <v>1927.367148</v>
      </c>
      <c r="M10" s="73" ph="1">
        <f>M9*33.183*LOOKUP(M11,密度!$A$2:$A$50,密度!$D$2:$D$50)</f>
        <v>133551.255087</v>
      </c>
      <c r="N10" s="73" ph="1">
        <f>N9*33.183*LOOKUP(N11,密度!$A$2:$A$50,密度!$E$2:$E$50)</f>
        <v>36201.282542100002</v>
      </c>
      <c r="O10" s="73" ph="1">
        <f>O9*20.428*LOOKUP(O11,密度!$A$2:$A$50,密度!$C$2:$C$50)</f>
        <v>115332.13070760001</v>
      </c>
      <c r="P10" s="73" ph="1">
        <f>P9*51.53*LOOKUP(P11,密度!$A$2:$A$50,密度!$B$2:$B$50)</f>
        <v>90823.397631999993</v>
      </c>
      <c r="Q10" s="73" ph="1">
        <f>Q9*1.5*1.5*3.1416*LOOKUP(W11,密度!$A$2:$A$50,密度!$L$2:$L$50)</f>
        <v>34162.119683999998</v>
      </c>
      <c r="R10" s="73" ph="1">
        <f>R9*1.5*1.5*3.1416*LOOKUP(R11,密度!$A$2:$A$50,密度!$L$2:$L$50)</f>
        <v>15113.161602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15860.984139</v>
      </c>
      <c r="X10" s="73" ph="1">
        <f>X9*1.5*1.5*3.1416*LOOKUP(X11,密度!$A$2:$A$50,密度!$L$2:$L$50)</f>
        <v>37886.847768</v>
      </c>
      <c r="Y10" s="73" ph="1">
        <f>Y9*1.5*1.5*3.1416*LOOKUP(Y11,密度!$A$2:$A$50,密度!$L$2:$L$50)</f>
        <v>44398.936890000004</v>
      </c>
      <c r="Z10" s="73" ph="1">
        <f>Z9*33.183*LOOKUP(Z11,密度!$A$2:$A$50,密度!$L$2:$L$50)</f>
        <v>171083.51771400002</v>
      </c>
      <c r="AA10" s="73" ph="1">
        <f>AA9*33.183*LOOKUP(AA11,密度!$A$2:$A$50,密度!$D$2:$D$50)</f>
        <v>18707.546727000001</v>
      </c>
      <c r="AB10" s="73" ph="1">
        <f>AB9*20.428*LOOKUP(AB11,密度!$A$2:$A$50,密度!$D$2:$D$50)</f>
        <v>27016.4630736</v>
      </c>
      <c r="AC10" s="73" ph="1">
        <f>AC9*51.53*LOOKUP(AC11,密度!$A$2:$A$50,密度!$Q$2:$Q$50)</f>
        <v>67853.892917799996</v>
      </c>
      <c r="AD10" s="73" ph="1">
        <f>AD9*20.428*LOOKUP(AD11,密度!$A$2:$A$50,密度!$V$2:$V$50)</f>
        <v>66040.815052799997</v>
      </c>
      <c r="AE10" s="73" ph="1">
        <f>AE9*20.428</f>
        <v>29824.880000000001</v>
      </c>
    </row>
    <row r="11" spans="1:99" ph="1">
      <c r="A11" s="64" t="s" ph="1">
        <v>163</v>
      </c>
      <c r="B11" s="237" ph="1"/>
      <c r="C11" s="161" t="s" ph="1">
        <v>180</v>
      </c>
      <c r="D11" s="74">
        <v>31</v>
      </c>
      <c r="E11" s="74">
        <v>32</v>
      </c>
      <c r="F11" s="74">
        <v>30</v>
      </c>
      <c r="G11" s="74">
        <v>31</v>
      </c>
      <c r="H11" s="74">
        <v>32</v>
      </c>
      <c r="I11" s="74">
        <v>25</v>
      </c>
      <c r="J11" s="74">
        <v>25</v>
      </c>
      <c r="K11" s="74">
        <v>25</v>
      </c>
      <c r="L11" s="74">
        <v>25</v>
      </c>
      <c r="M11" s="74">
        <v>32</v>
      </c>
      <c r="N11" s="74">
        <v>29</v>
      </c>
      <c r="O11" s="74">
        <v>35</v>
      </c>
      <c r="P11" s="74">
        <v>31</v>
      </c>
      <c r="Q11" s="74">
        <v>28</v>
      </c>
      <c r="R11" s="74">
        <v>32</v>
      </c>
      <c r="S11" s="74">
        <v>28</v>
      </c>
      <c r="T11" s="74">
        <v>31</v>
      </c>
      <c r="U11" s="74">
        <v>31</v>
      </c>
      <c r="V11" s="74">
        <v>28</v>
      </c>
      <c r="W11" s="74">
        <v>29</v>
      </c>
      <c r="X11" s="74">
        <v>22</v>
      </c>
      <c r="Y11" s="74">
        <v>28</v>
      </c>
      <c r="Z11" s="74">
        <v>29</v>
      </c>
      <c r="AA11" s="74">
        <v>37</v>
      </c>
      <c r="AB11" s="74">
        <v>24</v>
      </c>
      <c r="AC11" s="74">
        <v>31</v>
      </c>
      <c r="AD11" s="74">
        <v>31</v>
      </c>
      <c r="AE11" s="74">
        <v>32</v>
      </c>
    </row>
    <row r="12" spans="1:99" ht="9.85" customHeight="1" ph="1"/>
    <row r="13" spans="1:99" s="72" customFormat="1" ht="29.2" customHeight="1" ph="1">
      <c r="B13" s="214" t="s" ph="1">
        <v>37</v>
      </c>
      <c r="C13" s="161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.2" ph="1">
      <c r="B14" s="215" ph="1"/>
      <c r="C14" s="67" t="s" ph="1">
        <v>36</v>
      </c>
      <c r="D14" s="77" t="s" ph="1">
        <v>622</v>
      </c>
      <c r="E14" s="77" t="s" ph="1">
        <v>622</v>
      </c>
      <c r="F14" s="77" t="s" ph="1">
        <v>645</v>
      </c>
      <c r="G14" s="77" t="s" ph="1">
        <v>623</v>
      </c>
      <c r="H14" s="77" t="s" ph="1">
        <v>624</v>
      </c>
      <c r="I14" s="140" t="s" ph="1">
        <v>625</v>
      </c>
      <c r="J14" s="77" t="s" ph="1">
        <v>626</v>
      </c>
      <c r="K14" s="77" t="s" ph="1">
        <v>187</v>
      </c>
      <c r="L14" s="77" t="s" ph="1">
        <v>41</v>
      </c>
      <c r="M14" s="104" t="s" ph="1">
        <v>627</v>
      </c>
      <c r="N14" s="104" t="s" ph="1">
        <v>628</v>
      </c>
      <c r="O14" s="104" t="s" ph="1">
        <v>626</v>
      </c>
      <c r="P14" s="77" t="s" ph="1">
        <v>629</v>
      </c>
      <c r="Q14" s="77" t="s" ph="1">
        <v>629</v>
      </c>
      <c r="R14" s="88" t="s" ph="1">
        <v>640</v>
      </c>
      <c r="S14" s="77" t="s" ph="1">
        <v>71</v>
      </c>
      <c r="T14" s="77" t="s" ph="1">
        <v>631</v>
      </c>
      <c r="U14" s="77" t="s" ph="1">
        <v>610</v>
      </c>
      <c r="V14" s="77" t="s" ph="1">
        <v>110</v>
      </c>
      <c r="W14" s="77" t="s" ph="1">
        <v>629</v>
      </c>
      <c r="X14" s="77" t="s" ph="1">
        <v>632</v>
      </c>
      <c r="Y14" s="138" t="s" ph="1">
        <v>0</v>
      </c>
      <c r="Z14" s="77" t="s" ph="1">
        <v>54</v>
      </c>
      <c r="AA14" s="77" t="s" ph="1">
        <v>619</v>
      </c>
      <c r="AB14" s="77" t="s" ph="1">
        <v>650</v>
      </c>
      <c r="AC14" s="77" t="s" ph="1">
        <v>650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16" ph="1">
        <v>0.33333333333333331</v>
      </c>
      <c r="C15" s="161" t="s" ph="1">
        <v>178</v>
      </c>
      <c r="D15" s="78">
        <v>2942</v>
      </c>
      <c r="E15" s="78">
        <v>4861</v>
      </c>
      <c r="F15" s="78">
        <v>4017</v>
      </c>
      <c r="G15" s="78">
        <v>3664</v>
      </c>
      <c r="H15" s="78">
        <v>2142</v>
      </c>
      <c r="I15" s="78">
        <v>0</v>
      </c>
      <c r="J15" s="78">
        <v>412</v>
      </c>
      <c r="K15" s="78">
        <v>3870</v>
      </c>
      <c r="L15" s="78">
        <v>4764</v>
      </c>
      <c r="M15" s="78">
        <v>3419</v>
      </c>
      <c r="N15" s="78">
        <v>2779</v>
      </c>
      <c r="O15" s="78">
        <v>5273</v>
      </c>
      <c r="P15" s="78">
        <v>5157</v>
      </c>
      <c r="Q15" s="78">
        <v>6883</v>
      </c>
      <c r="R15" s="78">
        <v>0</v>
      </c>
      <c r="S15" s="78">
        <v>3699</v>
      </c>
      <c r="T15" s="78">
        <v>2612</v>
      </c>
      <c r="U15" s="78">
        <v>6080</v>
      </c>
      <c r="V15" s="78">
        <v>-141</v>
      </c>
      <c r="W15" s="71">
        <v>2064</v>
      </c>
      <c r="X15" s="78">
        <v>-213</v>
      </c>
      <c r="Y15" s="106">
        <v>-9905</v>
      </c>
      <c r="Z15" s="78">
        <v>0</v>
      </c>
      <c r="AA15" s="78">
        <v>6144</v>
      </c>
      <c r="AB15" s="78" ph="1">
        <v>4077</v>
      </c>
      <c r="AC15" s="78" ph="1">
        <v>2537</v>
      </c>
      <c r="AD15" s="78">
        <v>58.62</v>
      </c>
      <c r="AE15" s="78">
        <v>5.53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4" ph="1">
      <c r="B16" s="217" ph="1"/>
      <c r="C16" s="161" t="s" ph="1">
        <v>179</v>
      </c>
      <c r="D16" s="73" ph="1">
        <f>D15*7.0686*LOOKUP(D17,密度!$A$2:$A$50,密度!$L$2:$L$50)</f>
        <v>19423.297000800001</v>
      </c>
      <c r="E16" s="73" ph="1">
        <f>E15*7.0686*LOOKUP(E17,密度!$A$2:$A$50,密度!$L$2:$L$50)</f>
        <v>32092.673936400002</v>
      </c>
      <c r="F16" s="73" ph="1">
        <f>F15*9.0746*LOOKUP(F17,密度!$A$2:$A$50,密度!$L$2:$L$50)</f>
        <v>34046.792098800004</v>
      </c>
      <c r="G16" s="73" ph="1">
        <f>G15*9.0746*LOOKUP(G17,密度!$A$2:$A$50,密度!$B$2:$B$50)</f>
        <v>25891.256697279998</v>
      </c>
      <c r="H16" s="73" ph="1">
        <f>H15*9.0746*LOOKUP(H17,密度!$A$2:$A$50,密度!$L$2:$L$50)</f>
        <v>18252.087814799997</v>
      </c>
      <c r="I16" s="73" ph="1">
        <f>I15*9.0746*LOOKUP(I17,密度!$A$2:$A$50,密度!$U$2:$U$50)</f>
        <v>0</v>
      </c>
      <c r="J16" s="73" ph="1">
        <f>J15*9.0746*LOOKUP(J17,密度!$A$2:$A$50,密度!$L$2:$L$50)</f>
        <v>3503.1948824000001</v>
      </c>
      <c r="K16" s="73" ph="1">
        <f>K15*9.0746*LOOKUP(K17,密度!$A$2:$A$50,密度!$C$2:$C$50)</f>
        <v>38943.128647799997</v>
      </c>
      <c r="L16" s="73" ph="1">
        <f>L15*9.0746*LOOKUP(L17,密度!$A$2:$A$50,密度!$E$2:$E$50)</f>
        <v>33763.719026400002</v>
      </c>
      <c r="M16" s="73" ph="1">
        <f>M15*9.0746*LOOKUP(M17,密度!$A$2:$A$50,密度!$M$2:$M$50)</f>
        <v>27054.7220528</v>
      </c>
      <c r="N16" s="73" ph="1">
        <f>N15*9.0746*LOOKUP(N17,密度!$A$2:$A$50,密度!$M$2:$M$50)</f>
        <v>22068.546056339997</v>
      </c>
      <c r="O16" s="73" ph="1">
        <f>O15*9.0746*LOOKUP(O17,密度!$A$2:$A$50,密度!$G$2:$G$50)</f>
        <v>45840.650436399999</v>
      </c>
      <c r="P16" s="73" ph="1">
        <f ca="1">P15*9.0746*LOOKUP(P17,密度!$A$2:$A$51,密度!$Q$2:$Q$50)</f>
        <v>44238.813296904002</v>
      </c>
      <c r="Q16" s="73" ph="1">
        <f>Q15*9.0746*LOOKUP(Q17,密度!$A$2:$A$50,密度!$Q$2:$Q$50)</f>
        <v>59001.410871715998</v>
      </c>
      <c r="R16" s="73" ph="1">
        <f>MAX(R15*9.0746*LOOKUP(R17,密度!$A$2:$A$50,密度!$B$2:$B$50),0)</f>
        <v>0</v>
      </c>
      <c r="S16" s="73" ph="1">
        <f>S15*9.0746*LOOKUP(S17,密度!$A$2:$A$50,密度!$Q$2:$Q$50)</f>
        <v>31731.504825528005</v>
      </c>
      <c r="T16" s="73" ph="1">
        <f>T15*9.0746*LOOKUP(T17,密度!$A$2:$A$50,密度!$O$2:$O$50)</f>
        <v>21948.843915200003</v>
      </c>
      <c r="U16" s="73" ph="1">
        <f>U15*9.0746*LOOKUP(U17,密度!$A$2:$A$50,密度!$H$2:$H$50)</f>
        <v>50423.123795200001</v>
      </c>
      <c r="V16" s="73" ph="1">
        <f>MAX(5600*LOOKUP(V17,密度!$A$2:$A$50,密度!$Q$2:$Q$50)+V15*9.0476*LOOKUP(V17,密度!$A$2:$A$50,密度!$Q$2:$Q$50),0)</f>
        <v>4087.8363102880003</v>
      </c>
      <c r="W16" s="73" ph="1">
        <f>MAX(5600*LOOKUP(W17,密度!$A$2:$A$50,密度!$Q$2:$Q$50)+W15*9.0476*LOOKUP(W17,密度!$A$2:$A$50,密度!$Q$2:$Q$50),0)</f>
        <v>22964.165321791999</v>
      </c>
      <c r="X16" s="73" ph="1">
        <f>MAX(5600*LOOKUP(X17,密度!$A$2:$A$50,密度!$I$2:$I$50)+X15*9.0476*LOOKUP(X17,密度!$A$2:$A$50,密度!$I$2:$I$50),0)</f>
        <v>3815.7355006799999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43415.906426879999</v>
      </c>
      <c r="AB16" s="73" ph="1">
        <f>AB15*9.0746*LOOKUP(AB17,密度!$A$2:$A$50,密度!$L$2:$L$50)</f>
        <v>34444.341250200006</v>
      </c>
      <c r="AC16" s="73" ph="1">
        <f>AC15*9.0746*LOOKUP(AC17,密度!$A$2:$A$50,密度!$L$2:$L$50)</f>
        <v>21548.8355472</v>
      </c>
      <c r="AD16" s="73" ph="1">
        <f>AD15*268.68*LOOKUP(AD17,密度!$A$2:$A$50,密度!B2:B50)+IF(AD15&lt;=0,0,1566*LOOKUP(AD17,密度!$A$2:$A$50,密度!B2:B50))</f>
        <v>13499.570439359999</v>
      </c>
      <c r="AE16" s="73" ph="1">
        <f>AE15*268.68*LOOKUP(AE17,密度!$A$2:$A$50,密度!B2:B50)+IF(AE15&lt;=0,0,1566*LOOKUP(AE17,密度!$A$2:$A$50,密度!B2:B50))</f>
        <v>2379.1835918400002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18" ph="1"/>
      <c r="C17" s="79" t="s" ph="1">
        <v>180</v>
      </c>
      <c r="D17" s="74">
        <v>28</v>
      </c>
      <c r="E17" s="74">
        <v>28</v>
      </c>
      <c r="F17" s="74">
        <v>28</v>
      </c>
      <c r="G17" s="74">
        <v>26</v>
      </c>
      <c r="H17" s="74">
        <v>23</v>
      </c>
      <c r="I17" s="74">
        <v>24</v>
      </c>
      <c r="J17" s="74">
        <v>25</v>
      </c>
      <c r="K17" s="74">
        <v>25</v>
      </c>
      <c r="L17" s="74">
        <v>27</v>
      </c>
      <c r="M17" s="74">
        <v>28</v>
      </c>
      <c r="N17" s="74">
        <v>25</v>
      </c>
      <c r="O17" s="74">
        <v>27</v>
      </c>
      <c r="P17" s="74">
        <v>27</v>
      </c>
      <c r="Q17" s="74">
        <v>28</v>
      </c>
      <c r="R17" s="74">
        <v>26</v>
      </c>
      <c r="S17" s="74">
        <v>27</v>
      </c>
      <c r="T17" s="74">
        <v>27</v>
      </c>
      <c r="U17" s="74">
        <v>26</v>
      </c>
      <c r="V17" s="74">
        <v>27</v>
      </c>
      <c r="W17" s="74">
        <v>26</v>
      </c>
      <c r="X17" s="74">
        <v>28</v>
      </c>
      <c r="Y17" s="108">
        <v>28</v>
      </c>
      <c r="Z17" s="74">
        <v>25</v>
      </c>
      <c r="AA17" s="74">
        <v>26</v>
      </c>
      <c r="AB17" s="74">
        <v>31</v>
      </c>
      <c r="AC17" s="74">
        <v>26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65" ph="1">
      <c r="B18" s="216" ph="1">
        <v>0.66666666666666663</v>
      </c>
      <c r="C18" s="79" t="s" ph="1">
        <v>181</v>
      </c>
      <c r="D18" s="71">
        <v>2947</v>
      </c>
      <c r="E18" s="71">
        <v>4868</v>
      </c>
      <c r="F18" s="71">
        <v>4112</v>
      </c>
      <c r="G18" s="71">
        <v>3718</v>
      </c>
      <c r="H18" s="71">
        <v>2141</v>
      </c>
      <c r="I18" s="71">
        <v>2425</v>
      </c>
      <c r="J18" s="71">
        <v>411</v>
      </c>
      <c r="K18" s="71">
        <v>3890</v>
      </c>
      <c r="L18" s="71">
        <v>2844</v>
      </c>
      <c r="M18" s="71">
        <v>3424</v>
      </c>
      <c r="N18" s="71">
        <v>5680</v>
      </c>
      <c r="O18" s="71">
        <v>5634</v>
      </c>
      <c r="P18" s="71">
        <v>5162</v>
      </c>
      <c r="Q18" s="71">
        <v>6890</v>
      </c>
      <c r="R18" s="71">
        <v>0</v>
      </c>
      <c r="S18" s="71">
        <v>3705</v>
      </c>
      <c r="T18" s="71">
        <v>2612</v>
      </c>
      <c r="U18" s="71">
        <v>6084</v>
      </c>
      <c r="V18" s="71">
        <v>-142</v>
      </c>
      <c r="W18" s="71">
        <v>2177</v>
      </c>
      <c r="X18" s="71">
        <v>-215</v>
      </c>
      <c r="Y18" s="109">
        <v>-9905</v>
      </c>
      <c r="Z18" s="71">
        <v>0</v>
      </c>
      <c r="AA18" s="71">
        <v>6148</v>
      </c>
      <c r="AB18" s="71">
        <v>4659</v>
      </c>
      <c r="AC18" s="71">
        <v>3121</v>
      </c>
      <c r="AD18" s="71">
        <v>84.95</v>
      </c>
      <c r="AE18" s="71">
        <v>17.350000000000001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4" ph="1">
      <c r="B19" s="217" ph="1"/>
      <c r="C19" s="161" t="s" ph="1">
        <v>179</v>
      </c>
      <c r="D19" s="73" ph="1">
        <f>D18*7.0686*LOOKUP(D20,密度!$A$2:$A$50,密度!$L$2:$L$50)</f>
        <v>19414.6450344</v>
      </c>
      <c r="E19" s="73" ph="1">
        <f>E18*7.0686*LOOKUP(E20,密度!$A$2:$A$50,密度!$L$2:$L$50)</f>
        <v>32070.068553599998</v>
      </c>
      <c r="F19" s="73" ph="1">
        <f>F18*9.0746*LOOKUP(F20,密度!$A$2:$A$50,密度!$L$2:$L$50)</f>
        <v>34590.778070400003</v>
      </c>
      <c r="G19" s="73" ph="1">
        <f>G18*9.0746*LOOKUP(G20,密度!$A$2:$A$50,密度!$B$2:$B$50)</f>
        <v>26245.850322120004</v>
      </c>
      <c r="H19" s="73" ph="1">
        <f>H18*9.0746*LOOKUP(H20,密度!$A$2:$A$50,密度!$L$2:$L$50)</f>
        <v>18165.851891000002</v>
      </c>
      <c r="I19" s="73" ph="1">
        <f>I18*9.0746*LOOKUP(I20,密度!$A$2:$A$50,密度!$U$2:$U$50)</f>
        <v>22402.011289999999</v>
      </c>
      <c r="J19" s="73" ph="1">
        <f>J18*9.0746*LOOKUP(J20,密度!$A$2:$A$50,密度!$L$2:$L$50)</f>
        <v>3476.0436792000005</v>
      </c>
      <c r="K19" s="73" ph="1">
        <f>K18*9.0746*LOOKUP(K20,密度!$A$2:$A$50,密度!$C$2:$C$50)</f>
        <v>39010.244389400003</v>
      </c>
      <c r="L19" s="73" ph="1">
        <f>L18*9.0746*LOOKUP(L20,密度!$A$2:$A$50,密度!$E$2:$E$50)</f>
        <v>20068.427082239999</v>
      </c>
      <c r="M19" s="73" ph="1">
        <f>M18*9.0746*LOOKUP(M20,密度!$A$2:$A$50,密度!$M$2:$M$50)</f>
        <v>26997.033731648004</v>
      </c>
      <c r="N19" s="73" ph="1">
        <f>N18*9.0746*LOOKUP(N20,密度!$A$2:$A$50,密度!$M$2:$M$50)</f>
        <v>45002.828916800005</v>
      </c>
      <c r="O19" s="73" ph="1">
        <f>O18*9.0746*LOOKUP(O20,密度!$A$2:$A$50,密度!$G$2:$G$50)</f>
        <v>48810.275173080001</v>
      </c>
      <c r="P19" s="73" ph="1">
        <f ca="1">P18*9.0746*LOOKUP(P20,密度!$A$2:$A$51,密度!$Q$2:$Q$50)</f>
        <v>44188.487561716</v>
      </c>
      <c r="Q19" s="73" ph="1">
        <f>Q18*9.0746*LOOKUP(Q20,密度!$A$2:$A$50,密度!$Q$2:$Q$50)</f>
        <v>58980.759260020001</v>
      </c>
      <c r="R19" s="73" ph="1">
        <f>MAX(R18*9.0746*LOOKUP(R20,密度!$A$2:$A$50,密度!$B$2:$B$50),0)</f>
        <v>0</v>
      </c>
      <c r="S19" s="73" ph="1">
        <f>S18*9.0746*LOOKUP(S20,密度!$A$2:$A$50,密度!$Q$2:$Q$50)</f>
        <v>31716.068658690005</v>
      </c>
      <c r="T19" s="73" ph="1">
        <f>T18*9.0746*LOOKUP(T20,密度!$A$2:$A$50,密度!$O$2:$O$50)</f>
        <v>21854.032494400002</v>
      </c>
      <c r="U19" s="73" ph="1">
        <f>U18*9.0746*LOOKUP(U20,密度!$A$2:$A$50,密度!$H$2:$H$50)</f>
        <v>50296.188290400001</v>
      </c>
      <c r="V19" s="73" ph="1">
        <f>MAX(5600*LOOKUP(V20,密度!$A$2:$A$50,密度!$Q$2:$Q$50)+V18*9.0476*LOOKUP(V20,密度!$A$2:$A$50,密度!$Q$2:$Q$50),0)</f>
        <v>4058.872344072</v>
      </c>
      <c r="W19" s="73" ph="1">
        <f>MAX(5600*LOOKUP(W20,密度!$A$2:$A$50,密度!$Q$2:$Q$50)+W18*9.0476*LOOKUP(W20,密度!$A$2:$A$50,密度!$Q$2:$Q$50),0)</f>
        <v>23777.309890487999</v>
      </c>
      <c r="X19" s="73" ph="1">
        <f>MAX(5600*LOOKUP(X20,密度!$A$2:$A$50,密度!$I$2:$I$50)+X18*9.0476*LOOKUP(X20,密度!$A$2:$A$50,密度!$I$2:$I$50),0)</f>
        <v>3780.4899504000005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43349.327901600001</v>
      </c>
      <c r="AB19" s="73" ph="1">
        <f>AB18*9.0746*LOOKUP(AB20,密度!$A$2:$A$50,密度!$L$2:$L$50)</f>
        <v>39319.062102000004</v>
      </c>
      <c r="AC19" s="73" ph="1">
        <f>AC18*9.0746*LOOKUP(AC20,密度!$A$2:$A$50,密度!$L$2:$L$50)</f>
        <v>26395.942391200002</v>
      </c>
      <c r="AD19" s="73" ph="1">
        <f>AD18*268.68*LOOKUP(AD20,密度!$A$2:$A$50,密度!B5:B53)+IF(AD18&lt;=0,0,1566*LOOKUP(AD20,密度!$A$2:$A$50,密度!B5:B53))</f>
        <v>18951.314382</v>
      </c>
      <c r="AE19" s="73" ph="1">
        <f>AE18*268.68*LOOKUP(AE20,密度!$A$2:$A$50,密度!B5:B53)+IF(AE18&lt;=0,0,1566*LOOKUP(AE20,密度!$A$2:$A$50,密度!B5:B53))</f>
        <v>4838.8436460000003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17" ph="1"/>
      <c r="C20" s="80" t="s" ph="1">
        <v>180</v>
      </c>
      <c r="D20" s="81">
        <v>30</v>
      </c>
      <c r="E20" s="81">
        <v>30</v>
      </c>
      <c r="F20" s="81">
        <v>35</v>
      </c>
      <c r="G20" s="81">
        <v>27</v>
      </c>
      <c r="H20" s="81">
        <v>27</v>
      </c>
      <c r="I20" s="81">
        <v>32</v>
      </c>
      <c r="J20" s="81">
        <v>30</v>
      </c>
      <c r="K20" s="81">
        <v>30</v>
      </c>
      <c r="L20" s="81">
        <v>30</v>
      </c>
      <c r="M20" s="81">
        <v>31</v>
      </c>
      <c r="N20" s="81">
        <v>27</v>
      </c>
      <c r="O20" s="81">
        <v>30</v>
      </c>
      <c r="P20" s="81">
        <v>30</v>
      </c>
      <c r="Q20" s="81">
        <v>30</v>
      </c>
      <c r="R20" s="81">
        <v>32</v>
      </c>
      <c r="S20" s="81">
        <v>30</v>
      </c>
      <c r="T20" s="81">
        <v>30</v>
      </c>
      <c r="U20" s="81">
        <v>29</v>
      </c>
      <c r="V20" s="81">
        <v>34</v>
      </c>
      <c r="W20" s="81">
        <v>35</v>
      </c>
      <c r="X20" s="81">
        <v>32</v>
      </c>
      <c r="Y20" s="110">
        <v>32</v>
      </c>
      <c r="Z20" s="81">
        <v>35</v>
      </c>
      <c r="AA20" s="81">
        <v>28</v>
      </c>
      <c r="AB20" s="81">
        <v>32</v>
      </c>
      <c r="AC20" s="81">
        <v>30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15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633</v>
      </c>
      <c r="H23" s="88" t="s" ph="1">
        <v>633</v>
      </c>
      <c r="I23" s="88" t="s" ph="1">
        <v>634</v>
      </c>
      <c r="J23" s="88" t="s" ph="1">
        <v>635</v>
      </c>
      <c r="K23" s="88" t="s" ph="1">
        <v>635</v>
      </c>
      <c r="L23" s="88" t="s" ph="1">
        <v>635</v>
      </c>
      <c r="M23" s="88" t="s" ph="1">
        <v>630</v>
      </c>
      <c r="N23" s="88" t="s" ph="1">
        <v>630</v>
      </c>
      <c r="O23" s="88" t="s" ph="1">
        <v>321</v>
      </c>
      <c r="P23" s="88" t="s" ph="1">
        <v>637</v>
      </c>
      <c r="Q23" s="89" t="s" ph="1">
        <v>637</v>
      </c>
      <c r="R23" s="88" t="s" ph="1">
        <v>616</v>
      </c>
      <c r="S23" s="88" t="s" ph="1">
        <v>636</v>
      </c>
      <c r="T23" s="88" t="s" ph="1">
        <v>607</v>
      </c>
      <c r="U23" s="88" t="s" ph="1">
        <v>611</v>
      </c>
      <c r="V23" s="88" t="s" ph="1">
        <v>637</v>
      </c>
      <c r="W23" s="88" t="s" ph="1">
        <v>637</v>
      </c>
      <c r="X23" s="88" t="s" ph="1">
        <v>190</v>
      </c>
      <c r="Y23" s="88" t="s" ph="1">
        <v>638</v>
      </c>
      <c r="Z23" s="228" t="s" ph="1">
        <v>641</v>
      </c>
      <c r="AA23" s="229"/>
      <c r="AB23" s="229"/>
      <c r="AC23" s="229"/>
      <c r="AD23" s="229"/>
      <c r="AE23" s="230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37" ph="1">
        <v>0.33333333333333331</v>
      </c>
      <c r="C24" s="161" t="s" ph="1">
        <v>178</v>
      </c>
      <c r="D24" s="71">
        <v>68.760000000000005</v>
      </c>
      <c r="E24" s="71">
        <v>3.92</v>
      </c>
      <c r="F24" s="71">
        <v>3881</v>
      </c>
      <c r="G24" s="71">
        <v>2254</v>
      </c>
      <c r="H24" s="71">
        <v>2234</v>
      </c>
      <c r="I24" s="71">
        <v>1732</v>
      </c>
      <c r="J24" s="71">
        <v>4894</v>
      </c>
      <c r="K24" s="71">
        <v>5504</v>
      </c>
      <c r="L24" s="71">
        <v>5603</v>
      </c>
      <c r="M24" s="71">
        <v>2220</v>
      </c>
      <c r="N24" s="71">
        <v>2660</v>
      </c>
      <c r="O24" s="71">
        <v>4318</v>
      </c>
      <c r="P24" s="71">
        <v>353</v>
      </c>
      <c r="Q24" s="90">
        <v>5269</v>
      </c>
      <c r="R24" s="71">
        <v>851</v>
      </c>
      <c r="S24" s="71">
        <v>4836</v>
      </c>
      <c r="T24" s="71">
        <v>1762</v>
      </c>
      <c r="U24" s="71">
        <v>6167</v>
      </c>
      <c r="V24" s="71">
        <v>10820</v>
      </c>
      <c r="W24" s="71">
        <v>11711</v>
      </c>
      <c r="X24" s="71">
        <v>5136</v>
      </c>
      <c r="Y24" s="71">
        <v>2304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37" ph="1"/>
      <c r="C25" s="68" t="s" ph="1">
        <v>179</v>
      </c>
      <c r="D25" s="91" ph="1">
        <f>D24*268.68*LOOKUP(D26,密度!$A$2:$A$50,密度!$Q$2:$Q$50)+IF(D24&lt;=0,0,1566*LOOKUP(D26,密度!$A$2:$A$50,密度!$Q$2:$Q$50))</f>
        <v>18973.083136032004</v>
      </c>
      <c r="E25" s="91" ph="1">
        <f>E24*268.68*LOOKUP(E26,密度!$A$2:$A$50,密度!$C$2:$C$50)+IF(E24&lt;=0,0,1566*LOOKUP(E26,密度!$A$2:$A$50,密度!$C$2:$C$50))</f>
        <v>2904.4592678399999</v>
      </c>
      <c r="F25" s="91" ph="1">
        <f>F24*11.702*LOOKUP(F26,密度!$A$2:$A$50,密度!$Q$2:$Q$50)</f>
        <v>42996.634493880003</v>
      </c>
      <c r="G25" s="91" ph="1">
        <f>G24*18.322*LOOKUP(G26,密度!$A$2:$A$50,密度!$B$2:$B$50)</f>
        <v>32195.755524799999</v>
      </c>
      <c r="H25" s="91" ph="1">
        <f>H24*18.322*LOOKUP(H26,密度!$A$2:$A$50,密度!$B$2:$B$50)</f>
        <v>31910.078900799996</v>
      </c>
      <c r="I25" s="91" ph="1">
        <f>I24*18.322*LOOKUP(I26,密度!$A$2:$A$50,密度!$Q$2:$Q$50)</f>
        <v>30043.56692496</v>
      </c>
      <c r="J25" s="91" ph="1">
        <f>J24*18.322*LOOKUP(J26,密度!$A$2:$A$50,密度!$Q$2:$Q$50)</f>
        <v>84828.493164040003</v>
      </c>
      <c r="K25" s="91" ph="1">
        <f>K24*18.322*LOOKUP(K26,密度!$A$2:$A$50,密度!$Q$2:$Q$50)</f>
        <v>95401.721776639999</v>
      </c>
      <c r="L25" s="91" ph="1">
        <f>L24*18.322*LOOKUP(L26,密度!$A$2:$A$50,密度!$Q$2:$Q$50)</f>
        <v>97190.592078839996</v>
      </c>
      <c r="M25" s="91" ph="1">
        <f>M24*18.322*LOOKUP(M26,密度!$A$2:$A$50,密度!$Q$2:$Q$50)</f>
        <v>38508.498021599997</v>
      </c>
      <c r="N25" s="91" ph="1">
        <f>N24*18.322*LOOKUP(N26,密度!$A$2:$A$50,密度!$Q$2:$Q$50)</f>
        <v>46106.210015600001</v>
      </c>
      <c r="O25" s="91" ph="1">
        <f>O24*18.322*LOOKUP(O26,密度!$A$2:$A$50,密度!$C$2:$C$50)</f>
        <v>87666.662207600006</v>
      </c>
      <c r="P25" s="91" ph="1">
        <f>P24*11.702*LOOKUP(P26,密度!$A$2:$A$50,密度!$B$2:$B$50)</f>
        <v>3216.6586321999994</v>
      </c>
      <c r="Q25" s="92" ph="1">
        <f>Q24*18.322*LOOKUP(Q26,密度!$A$2:$A$50,密度!$B$2:$B$50)</f>
        <v>75097.3909422</v>
      </c>
      <c r="R25" s="91" ph="1">
        <f>R24*35.891*LOOKUP(R26,密度!$A$2:$A$50,密度!$C$2:$C$50)</f>
        <v>33823.585083399994</v>
      </c>
      <c r="S25" s="91" ph="1">
        <f>S24*35.891*LOOKUP(S26,密度!$A$2:$A$50,密度!$B$2:$B$50)</f>
        <v>135019.22864039999</v>
      </c>
      <c r="T25" s="91" ph="1">
        <f>T24*35.891*LOOKUP(T26,密度!$A$2:$A$50,密度!$Q$2:$Q$50)</f>
        <v>59826.882330259999</v>
      </c>
      <c r="U25" s="91" ph="1">
        <f>U24*35.891</f>
        <v>221339.79699999999</v>
      </c>
      <c r="V25" s="91" ph="1">
        <f>V24*47.051*LOOKUP(V26,密度!$A$2:$A$50,密度!$B$2:$B$50)</f>
        <v>396022.526778</v>
      </c>
      <c r="W25" s="91" ph="1">
        <f>W24*47.051*LOOKUP(W26,密度!$A$2:$A$50,密度!$B$2:$B$50)</f>
        <v>428633.99363190006</v>
      </c>
      <c r="X25" s="91" ph="1">
        <f>X24*47.051*LOOKUP(X26,密度!$A$2:$A$50,密度!$I$2:$I$50)</f>
        <v>251054.2741104</v>
      </c>
      <c r="Y25" s="91" ph="1">
        <f>Y24*47.051*LOOKUP(Y26,密度!$A$2:$A$50,密度!$L$2:$L$50)</f>
        <v>101359.14624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37" ph="1"/>
      <c r="C26" s="68" t="s" ph="1">
        <v>180</v>
      </c>
      <c r="D26" s="74">
        <v>25</v>
      </c>
      <c r="E26" s="74">
        <v>25</v>
      </c>
      <c r="F26" s="74">
        <v>25</v>
      </c>
      <c r="G26" s="74">
        <v>25</v>
      </c>
      <c r="H26" s="74">
        <v>25</v>
      </c>
      <c r="I26" s="74">
        <v>25</v>
      </c>
      <c r="J26" s="74">
        <v>26</v>
      </c>
      <c r="K26" s="74">
        <v>26</v>
      </c>
      <c r="L26" s="74">
        <v>25</v>
      </c>
      <c r="M26" s="74">
        <v>25</v>
      </c>
      <c r="N26" s="74">
        <v>26</v>
      </c>
      <c r="O26" s="74">
        <v>26</v>
      </c>
      <c r="P26" s="74">
        <v>26</v>
      </c>
      <c r="Q26" s="93">
        <v>27</v>
      </c>
      <c r="R26" s="74">
        <v>27</v>
      </c>
      <c r="S26" s="74">
        <v>27</v>
      </c>
      <c r="T26" s="74">
        <v>26</v>
      </c>
      <c r="U26" s="74">
        <v>26</v>
      </c>
      <c r="V26" s="74">
        <v>27</v>
      </c>
      <c r="W26" s="74">
        <v>27</v>
      </c>
      <c r="X26" s="74">
        <v>28</v>
      </c>
      <c r="Y26" s="74">
        <v>27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65" ph="1">
      <c r="A27" s="72" ph="1"/>
      <c r="B27" s="237" ph="1">
        <v>0.66666666666666663</v>
      </c>
      <c r="C27" s="161" t="s" ph="1">
        <v>181</v>
      </c>
      <c r="D27" s="71">
        <v>68.72</v>
      </c>
      <c r="E27" s="71">
        <v>3.85</v>
      </c>
      <c r="F27" s="71">
        <v>3883</v>
      </c>
      <c r="G27" s="71">
        <v>1782</v>
      </c>
      <c r="H27" s="71">
        <v>2173</v>
      </c>
      <c r="I27" s="71">
        <v>777</v>
      </c>
      <c r="J27" s="71">
        <v>4895</v>
      </c>
      <c r="K27" s="71">
        <v>5505</v>
      </c>
      <c r="L27" s="71">
        <v>5600</v>
      </c>
      <c r="M27" s="71">
        <v>2218</v>
      </c>
      <c r="N27" s="71">
        <v>2657</v>
      </c>
      <c r="O27" s="71">
        <v>4316</v>
      </c>
      <c r="P27" s="71">
        <v>350</v>
      </c>
      <c r="Q27" s="90">
        <v>1604</v>
      </c>
      <c r="R27" s="71">
        <v>847</v>
      </c>
      <c r="S27" s="71">
        <v>7028</v>
      </c>
      <c r="T27" s="71">
        <v>1760</v>
      </c>
      <c r="U27" s="71">
        <v>6209</v>
      </c>
      <c r="V27" s="71">
        <v>10823</v>
      </c>
      <c r="W27" s="71">
        <v>11713</v>
      </c>
      <c r="X27" s="71">
        <v>4660</v>
      </c>
      <c r="Y27" s="71">
        <v>1755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37" ph="1"/>
      <c r="C28" s="161" t="s" ph="1">
        <v>179</v>
      </c>
      <c r="D28" s="91" ph="1">
        <f>D27*268.68*LOOKUP(D29,密度!$A$2:$A$50,密度!$Q$2:$Q$50)+IF(D27&lt;=0,0,1566*LOOKUP(D29,密度!$A$2:$A$50,密度!$Q$2:$Q$50))</f>
        <v>18962.908331904004</v>
      </c>
      <c r="E28" s="91" ph="1">
        <f>E27*268.68*LOOKUP(E29,密度!$A$2:$A$50,密度!$C$2:$C$50)+IF(E27&lt;=0,0,1566*LOOKUP(E29,密度!$A$2:$A$50,密度!$C$2:$C$50))</f>
        <v>2883.6035202000003</v>
      </c>
      <c r="F28" s="91" ph="1">
        <f>F27*11.702*LOOKUP(F29,密度!$A$2:$A$50,密度!$Q$2:$Q$50)</f>
        <v>42798.867885400003</v>
      </c>
      <c r="G28" s="91" ph="1">
        <f>G27*18.322*LOOKUP(G29,密度!$A$2:$A$50,密度!$B$2:$B$50)</f>
        <v>25254.623393999998</v>
      </c>
      <c r="H28" s="91" ph="1">
        <f>H27*18.322*LOOKUP(H29,密度!$A$2:$A$50,密度!$B$2:$B$50)</f>
        <v>30831.733926399997</v>
      </c>
      <c r="I28" s="91" ph="1">
        <f>I27*18.322*LOOKUP(I29,密度!$A$2:$A$50,密度!$Q$2:$Q$50)</f>
        <v>13399.817602499999</v>
      </c>
      <c r="J28" s="91" ph="1">
        <f>J27*18.322*LOOKUP(J29,密度!$A$2:$A$50,密度!$Q$2:$Q$50)</f>
        <v>84417.126337499998</v>
      </c>
      <c r="K28" s="91" ph="1">
        <f>K27*18.322*LOOKUP(K29,密度!$A$2:$A$50,密度!$Q$2:$Q$50)</f>
        <v>95002.492358999996</v>
      </c>
      <c r="L28" s="91" ph="1">
        <f>L27*18.322*LOOKUP(L29,密度!$A$2:$A$50,密度!$Q$2:$Q$50)</f>
        <v>96641.954079999996</v>
      </c>
      <c r="M28" s="91" ph="1">
        <f>M27*18.322*LOOKUP(M29,密度!$A$2:$A$50,密度!$Q$2:$Q$50)</f>
        <v>38250.701985</v>
      </c>
      <c r="N28" s="91" ph="1">
        <f>N27*18.322*LOOKUP(N29,密度!$A$2:$A$50,密度!$Q$2:$Q$50)</f>
        <v>45886.259169319994</v>
      </c>
      <c r="O28" s="91" ph="1">
        <f>O27*18.322*LOOKUP(O29,密度!$A$2:$A$50,密度!$C$2:$C$50)</f>
        <v>87309.745983200002</v>
      </c>
      <c r="P28" s="91" ph="1">
        <f>P27*11.702*LOOKUP(P29,密度!$A$2:$A$50,密度!$B$2:$B$50)</f>
        <v>3171.7100799999998</v>
      </c>
      <c r="Q28" s="92" ph="1">
        <f>Q27*18.322*LOOKUP(Q29,密度!$A$2:$A$50,密度!$B$2:$B$50)</f>
        <v>22731.995467999997</v>
      </c>
      <c r="R28" s="91" ph="1">
        <f>R27*35.891*LOOKUP(R29,密度!$A$2:$A$50,密度!$C$2:$C$50)</f>
        <v>33530.843731000001</v>
      </c>
      <c r="S28" s="91" ph="1">
        <f>S27*35.891*LOOKUP(S29,密度!$A$2:$A$50,密度!$B$2:$B$50)</f>
        <v>194907.35321959999</v>
      </c>
      <c r="T28" s="91" ph="1">
        <f>T27*35.891*LOOKUP(T29,密度!$A$2:$A$50,密度!$Q$2:$Q$50)</f>
        <v>59498.089903999993</v>
      </c>
      <c r="U28" s="91" ph="1">
        <f>U27*35.891</f>
        <v>222847.21899999998</v>
      </c>
      <c r="V28" s="91" ph="1">
        <f>V27*47.051*LOOKUP(V29,密度!$A$2:$A$50,密度!$B$2:$B$50)</f>
        <v>394350.01429119997</v>
      </c>
      <c r="W28" s="91" ph="1">
        <f>W27*47.051*LOOKUP(W29,密度!$A$2:$A$50,密度!$B$2:$B$50)</f>
        <v>426282.31878049998</v>
      </c>
      <c r="X28" s="91" ph="1">
        <f>X27*47.051*LOOKUP(X29,密度!$A$2:$A$50,密度!$I$2:$I$50)</f>
        <v>226556.74750140001</v>
      </c>
      <c r="Y28" s="91" ph="1">
        <f>Y27*47.051*LOOKUP(Y29,密度!$A$2:$A$50,密度!$L$2:$L$50)</f>
        <v>76711.715145000009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37" ph="1"/>
      <c r="C29" s="161" t="s" ph="1">
        <v>180</v>
      </c>
      <c r="D29" s="74">
        <v>25</v>
      </c>
      <c r="E29" s="74">
        <v>25</v>
      </c>
      <c r="F29" s="74">
        <v>32</v>
      </c>
      <c r="G29" s="74">
        <v>32</v>
      </c>
      <c r="H29" s="74">
        <v>31</v>
      </c>
      <c r="I29" s="74">
        <v>33</v>
      </c>
      <c r="J29" s="74">
        <v>33</v>
      </c>
      <c r="K29" s="74">
        <v>32</v>
      </c>
      <c r="L29" s="74">
        <v>32</v>
      </c>
      <c r="M29" s="74">
        <v>33</v>
      </c>
      <c r="N29" s="74">
        <v>31</v>
      </c>
      <c r="O29" s="74">
        <v>31</v>
      </c>
      <c r="P29" s="74">
        <v>31</v>
      </c>
      <c r="Q29" s="93">
        <v>32</v>
      </c>
      <c r="R29" s="74">
        <v>32</v>
      </c>
      <c r="S29" s="74">
        <v>33</v>
      </c>
      <c r="T29" s="74">
        <v>32</v>
      </c>
      <c r="U29" s="74">
        <v>31</v>
      </c>
      <c r="V29" s="74">
        <v>31</v>
      </c>
      <c r="W29" s="74">
        <v>32</v>
      </c>
      <c r="X29" s="74">
        <v>33</v>
      </c>
      <c r="Y29" s="74">
        <v>33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45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61" t="s" ph="1">
        <v>5</v>
      </c>
      <c r="F32" s="160" t="s" ph="1">
        <v>43</v>
      </c>
      <c r="G32" s="97" t="s" ph="1">
        <v>4</v>
      </c>
      <c r="H32" s="161" t="s" ph="1">
        <v>5</v>
      </c>
      <c r="I32" s="160" t="s" ph="1">
        <v>43</v>
      </c>
      <c r="J32" s="97" t="s" ph="1">
        <v>4</v>
      </c>
      <c r="K32" s="161" t="s" ph="1">
        <v>5</v>
      </c>
      <c r="L32" s="160" t="s" ph="1">
        <v>43</v>
      </c>
      <c r="M32" s="97" t="s" ph="1">
        <v>4</v>
      </c>
      <c r="N32" s="161" t="s" ph="1">
        <v>5</v>
      </c>
      <c r="O32" s="160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1" t="s" ph="1">
        <v>5</v>
      </c>
      <c r="U32" s="99" t="s" ph="1">
        <v>43</v>
      </c>
      <c r="V32" s="97" t="s" ph="1">
        <v>4</v>
      </c>
      <c r="W32" s="161" t="s" ph="1">
        <v>5</v>
      </c>
      <c r="X32" s="99" t="s" ph="1">
        <v>43</v>
      </c>
      <c r="Y32" s="100" t="s" ph="1">
        <v>4</v>
      </c>
      <c r="Z32" s="161" t="s" ph="1">
        <v>5</v>
      </c>
      <c r="AA32" s="160" t="s" ph="1">
        <v>43</v>
      </c>
      <c r="AB32" s="97" t="s" ph="1">
        <v>85</v>
      </c>
      <c r="AC32" s="161" t="s" ph="1">
        <v>84</v>
      </c>
      <c r="AD32" s="204" t="s" ph="1">
        <v>83</v>
      </c>
      <c r="AE32" s="205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06" t="s" ph="1">
        <v>182</v>
      </c>
      <c r="C33" s="207" ph="1"/>
      <c r="D33" s="186" ph="1">
        <f>AA10+AB10+Z19</f>
        <v>45724.009800600004</v>
      </c>
      <c r="E33" s="186" ph="1">
        <f>M10+I10</f>
        <v>145652.06859780001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[[#This Row],[F25]]</f>
        <v>3880</v>
      </c>
      <c r="G33" s="212" ph="1">
        <v>0</v>
      </c>
      <c r="H33" s="186" ph="1">
        <f>N19</f>
        <v>45002.828916800005</v>
      </c>
      <c r="I33" s="190" ph="1">
        <v>0</v>
      </c>
      <c r="J33" s="194" ph="1">
        <f>F10+O28</f>
        <v>231974.99985170001</v>
      </c>
      <c r="K33" s="186" ph="1">
        <f>O10+K10+E28+R28</f>
        <v>154904.36817960002</v>
      </c>
      <c r="L33" s="196" ph="1">
        <f>BE27</f>
        <v>7100</v>
      </c>
      <c r="M33" s="194" ph="1">
        <f>G10+H10+W28+S28+V28+E10</f>
        <v>1886865.3516413001</v>
      </c>
      <c r="N33" s="186" ph="1">
        <f>L10+P10++G28+H28</f>
        <v>148837.12210039998</v>
      </c>
      <c r="O33" s="190" ph="1">
        <f>BE17</f>
        <v>2270</v>
      </c>
      <c r="P33" s="194" ph="1">
        <f>L19</f>
        <v>20068.427082239999</v>
      </c>
      <c r="Q33" s="186" ph="1">
        <f>J10+N10</f>
        <v>37995.967537299999</v>
      </c>
      <c r="R33" s="190" ph="1">
        <f>BE23</f>
        <v>890</v>
      </c>
      <c r="S33" s="194" ph="1">
        <f>E10+X28</f>
        <v>544826.51067640004</v>
      </c>
      <c r="T33" s="186" ph="1">
        <f>X19</f>
        <v>3780.4899504000005</v>
      </c>
      <c r="U33" s="175" ph="1">
        <f>BE21</f>
        <v>730</v>
      </c>
      <c r="V33" s="188" ph="1">
        <f ca="1">P19+Q19+S19+M28+N28+J28</f>
        <v>303439.402972246</v>
      </c>
      <c r="W33" s="188" ph="1">
        <f>D28+F28+V19+T28</f>
        <v>125318.73846537601</v>
      </c>
      <c r="X33" s="190" ph="1">
        <f>BE29+BE31</f>
        <v>10200</v>
      </c>
      <c r="Y33" s="192" ph="1">
        <f>+Q10+R10+S10+T10+U10+V10+W10+X10+Y10</f>
        <v>147422.05008300001</v>
      </c>
      <c r="Z33" s="173" ph="1">
        <f>D10+T19+U19+Y28+Z10</f>
        <v>491471.98829955998</v>
      </c>
      <c r="AA33" s="175" ph="1">
        <f>BE19</f>
        <v>1440</v>
      </c>
      <c r="AB33" s="177" ph="1">
        <f>I19</f>
        <v>22402.011289999999</v>
      </c>
      <c r="AC33" s="179" ph="1">
        <f>AD10</f>
        <v>66040.815052799997</v>
      </c>
      <c r="AD33" s="181" ph="1">
        <v>0</v>
      </c>
      <c r="AE33" s="182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85" t="s" ph="1">
        <v>639</v>
      </c>
      <c r="AD35" s="185"/>
      <c r="AE35" s="185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45" ph="1">
      <c r="A36" s="64"/>
      <c r="B36" s="103" t="s" ph="1">
        <v>183</v>
      </c>
      <c r="I36" s="171" t="s" ph="1">
        <v>184</v>
      </c>
      <c r="J36" s="171" ph="1"/>
      <c r="K36" s="101" ph="1"/>
      <c r="P36" s="101" ph="1"/>
      <c r="R36" s="171" t="s" ph="1">
        <v>185</v>
      </c>
      <c r="S36" s="171" ph="1"/>
      <c r="Y36" s="102" ph="1"/>
      <c r="Z36" s="159" t="s" ph="1">
        <v>186</v>
      </c>
      <c r="AA36" s="159" ph="1"/>
      <c r="AB36" s="172" t="s" ph="1">
        <v>644</v>
      </c>
      <c r="AC36" s="172" ph="1"/>
      <c r="AD36" s="172" ph="1"/>
      <c r="AE36" s="172" ph="1"/>
      <c r="BA36" s="64" ph="1">
        <v>2270</v>
      </c>
    </row>
    <row r="37" spans="1:57" s="15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9" t="s" ph="1">
        <v>345</v>
      </c>
      <c r="AI37" s="159" t="s" ph="1">
        <v>212</v>
      </c>
      <c r="AJ37" s="159" t="s" ph="1">
        <v>213</v>
      </c>
      <c r="AK37" s="159" t="s" ph="1">
        <v>214</v>
      </c>
      <c r="AM37" s="159" t="s" ph="1">
        <v>213</v>
      </c>
      <c r="AN37" s="159" t="s" ph="1">
        <v>214</v>
      </c>
      <c r="AO37" s="159" t="s" ph="1">
        <v>215</v>
      </c>
      <c r="AP37" s="159" t="s" ph="1">
        <v>213</v>
      </c>
      <c r="AQ37" s="159" t="s" ph="1">
        <v>214</v>
      </c>
      <c r="AR37" s="159" t="s" ph="1">
        <v>215</v>
      </c>
      <c r="AS37" s="159" t="s" ph="1">
        <v>213</v>
      </c>
      <c r="AT37" s="159" t="s" ph="1">
        <v>214</v>
      </c>
      <c r="AU37" s="159" t="s" ph="1">
        <v>215</v>
      </c>
      <c r="AV37" s="159" t="s" ph="1">
        <v>213</v>
      </c>
      <c r="AW37" s="159" t="s" ph="1">
        <v>214</v>
      </c>
      <c r="AX37" s="159" t="s" ph="1">
        <v>215</v>
      </c>
      <c r="AY37" s="159" t="s" ph="1">
        <v>214</v>
      </c>
      <c r="AZ37" s="159" t="s" ph="1">
        <v>216</v>
      </c>
      <c r="BD37" s="159" t="s" ph="1">
        <v>308</v>
      </c>
      <c r="BE37" s="159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380" priority="97">
      <formula>ABS(D$7-D$10)&gt;=1000</formula>
    </cfRule>
  </conditionalFormatting>
  <conditionalFormatting sqref="E4 E6:E11">
    <cfRule type="expression" dxfId="379" priority="96">
      <formula>ABS(E$7-E$10)&gt;=1000</formula>
    </cfRule>
  </conditionalFormatting>
  <conditionalFormatting sqref="F4:F11">
    <cfRule type="expression" dxfId="378" priority="95">
      <formula>ABS(F$7-F$10)&gt;=1000</formula>
    </cfRule>
  </conditionalFormatting>
  <conditionalFormatting sqref="G4:G11">
    <cfRule type="expression" dxfId="377" priority="94">
      <formula>ABS(G$7-G$10)&gt;=1000</formula>
    </cfRule>
  </conditionalFormatting>
  <conditionalFormatting sqref="H4:H11">
    <cfRule type="expression" dxfId="376" priority="93">
      <formula>ABS(H$7-H$10)&gt;=1000</formula>
    </cfRule>
  </conditionalFormatting>
  <conditionalFormatting sqref="I4:I11">
    <cfRule type="expression" dxfId="375" priority="92">
      <formula>ABS(I$7-I$10)&gt;=1000</formula>
    </cfRule>
  </conditionalFormatting>
  <conditionalFormatting sqref="J4:J11">
    <cfRule type="expression" dxfId="374" priority="91">
      <formula>ABS(J$7-J$10)&gt;=1000</formula>
    </cfRule>
  </conditionalFormatting>
  <conditionalFormatting sqref="K4:K11">
    <cfRule type="expression" dxfId="373" priority="90">
      <formula>ABS(K$7-K$10)&gt;=1000</formula>
    </cfRule>
  </conditionalFormatting>
  <conditionalFormatting sqref="L4:L11">
    <cfRule type="expression" dxfId="372" priority="89">
      <formula>ABS(L$7-L$10)&gt;=1000</formula>
    </cfRule>
  </conditionalFormatting>
  <conditionalFormatting sqref="M4 M6:M11">
    <cfRule type="expression" dxfId="371" priority="88">
      <formula>ABS(M$7-M$10)&gt;=1000</formula>
    </cfRule>
  </conditionalFormatting>
  <conditionalFormatting sqref="N4 N6:N11">
    <cfRule type="expression" dxfId="370" priority="87">
      <formula>ABS(N$7-N$10)&gt;=1000</formula>
    </cfRule>
  </conditionalFormatting>
  <conditionalFormatting sqref="O4 O6:O11">
    <cfRule type="expression" dxfId="369" priority="86">
      <formula>ABS(O$7-O$10)&gt;=1000</formula>
    </cfRule>
  </conditionalFormatting>
  <conditionalFormatting sqref="P4 P6:P11">
    <cfRule type="expression" dxfId="368" priority="85">
      <formula>ABS(P$7-P$10)&gt;=1000</formula>
    </cfRule>
  </conditionalFormatting>
  <conditionalFormatting sqref="Q4:Q11">
    <cfRule type="expression" dxfId="367" priority="84">
      <formula>ABS(Q$7-Q$10)&gt;=1000</formula>
    </cfRule>
  </conditionalFormatting>
  <conditionalFormatting sqref="R4:R11">
    <cfRule type="expression" dxfId="366" priority="83">
      <formula>ABS(R$7-R$10)&gt;=1000</formula>
    </cfRule>
  </conditionalFormatting>
  <conditionalFormatting sqref="S4:S11">
    <cfRule type="expression" dxfId="365" priority="82">
      <formula>ABS(S$7-S$10)&gt;=1000</formula>
    </cfRule>
  </conditionalFormatting>
  <conditionalFormatting sqref="T4:T9 T11">
    <cfRule type="expression" dxfId="364" priority="81">
      <formula>ABS(T$7-T$10)&gt;=1000</formula>
    </cfRule>
  </conditionalFormatting>
  <conditionalFormatting sqref="U4:U9 U11">
    <cfRule type="expression" dxfId="363" priority="80">
      <formula>ABS(U$7-U$10)&gt;=1000</formula>
    </cfRule>
  </conditionalFormatting>
  <conditionalFormatting sqref="V4:V9 V11">
    <cfRule type="expression" dxfId="362" priority="79">
      <formula>ABS(V$7-V$10)&gt;=1000</formula>
    </cfRule>
  </conditionalFormatting>
  <conditionalFormatting sqref="W4:W9 W11">
    <cfRule type="expression" dxfId="361" priority="78">
      <formula>ABS(W$7-W$10)&gt;=1000</formula>
    </cfRule>
  </conditionalFormatting>
  <conditionalFormatting sqref="X4:X9 X11">
    <cfRule type="expression" dxfId="360" priority="77">
      <formula>ABS(X$7-X$10)&gt;=1000</formula>
    </cfRule>
  </conditionalFormatting>
  <conditionalFormatting sqref="Y4:Y9 Y11">
    <cfRule type="expression" dxfId="359" priority="76">
      <formula>ABS(Y$7-Y$10)&gt;=1000</formula>
    </cfRule>
  </conditionalFormatting>
  <conditionalFormatting sqref="Z4:Z11">
    <cfRule type="expression" dxfId="358" priority="75">
      <formula>ABS(Z$7-Z$10)&gt;=1000</formula>
    </cfRule>
  </conditionalFormatting>
  <conditionalFormatting sqref="AA4:AA11">
    <cfRule type="expression" dxfId="357" priority="74">
      <formula>ABS(AA$7-AA$10)&gt;=1000</formula>
    </cfRule>
  </conditionalFormatting>
  <conditionalFormatting sqref="AB4:AB11">
    <cfRule type="expression" dxfId="356" priority="73">
      <formula>ABS(AB$7-AB$10)&gt;=1000</formula>
    </cfRule>
  </conditionalFormatting>
  <conditionalFormatting sqref="AC4 AC6:AC11">
    <cfRule type="expression" dxfId="355" priority="72">
      <formula>ABS(AC$7-AC$10)&gt;=1000</formula>
    </cfRule>
  </conditionalFormatting>
  <conditionalFormatting sqref="AD4:AD11">
    <cfRule type="expression" dxfId="354" priority="71">
      <formula>ABS(AD$7-AD$10)&gt;=1000</formula>
    </cfRule>
  </conditionalFormatting>
  <conditionalFormatting sqref="AE4:AE11">
    <cfRule type="expression" dxfId="353" priority="70">
      <formula>ABS(AE$7-AE$10)&gt;=1000</formula>
    </cfRule>
  </conditionalFormatting>
  <conditionalFormatting sqref="D13:D20">
    <cfRule type="expression" dxfId="352" priority="69">
      <formula>ABS(D$16-D$19)&gt;=1000</formula>
    </cfRule>
  </conditionalFormatting>
  <conditionalFormatting sqref="E13:E20">
    <cfRule type="expression" dxfId="351" priority="68">
      <formula>ABS(E$16-E$19)&gt;=1000</formula>
    </cfRule>
  </conditionalFormatting>
  <conditionalFormatting sqref="F13 F15:F20">
    <cfRule type="expression" dxfId="350" priority="67">
      <formula>ABS(F$16-F$19)&gt;=1000</formula>
    </cfRule>
  </conditionalFormatting>
  <conditionalFormatting sqref="G13:G20">
    <cfRule type="expression" dxfId="349" priority="66">
      <formula>ABS(G$16-G$19)&gt;=1000</formula>
    </cfRule>
  </conditionalFormatting>
  <conditionalFormatting sqref="H13:H20">
    <cfRule type="expression" dxfId="348" priority="65">
      <formula>ABS(H$16-H$19)&gt;=1000</formula>
    </cfRule>
  </conditionalFormatting>
  <conditionalFormatting sqref="I13:I20">
    <cfRule type="expression" dxfId="347" priority="64">
      <formula>ABS(I$16-I$19)&gt;=1000</formula>
    </cfRule>
  </conditionalFormatting>
  <conditionalFormatting sqref="J13:J20">
    <cfRule type="expression" dxfId="346" priority="63">
      <formula>ABS(J$16-J$19)&gt;=1000</formula>
    </cfRule>
  </conditionalFormatting>
  <conditionalFormatting sqref="L13:L20">
    <cfRule type="expression" dxfId="345" priority="62">
      <formula>ABS(L$16-L$19)&gt;=1000</formula>
    </cfRule>
  </conditionalFormatting>
  <conditionalFormatting sqref="M13 M15 M17:M18 M20">
    <cfRule type="expression" dxfId="344" priority="61">
      <formula>ABS(M$16-M$19)&gt;=1000</formula>
    </cfRule>
  </conditionalFormatting>
  <conditionalFormatting sqref="N13:N20">
    <cfRule type="expression" dxfId="343" priority="60">
      <formula>ABS(N$16-N$19)&gt;=1000</formula>
    </cfRule>
  </conditionalFormatting>
  <conditionalFormatting sqref="O13:O20">
    <cfRule type="expression" dxfId="342" priority="59">
      <formula>ABS(O$16-O$19)&gt;=1000</formula>
    </cfRule>
  </conditionalFormatting>
  <conditionalFormatting sqref="P13:P20">
    <cfRule type="expression" dxfId="341" priority="58">
      <formula>ABS(P$16-P$19)&gt;=1000</formula>
    </cfRule>
  </conditionalFormatting>
  <conditionalFormatting sqref="Q13 Q15:Q20">
    <cfRule type="expression" dxfId="340" priority="57">
      <formula>ABS(Q$16-Q$19)&gt;=1000</formula>
    </cfRule>
  </conditionalFormatting>
  <conditionalFormatting sqref="R13:R20">
    <cfRule type="expression" dxfId="339" priority="56">
      <formula>ABS(R$16-R$19)&gt;=1000</formula>
    </cfRule>
  </conditionalFormatting>
  <conditionalFormatting sqref="S13:S20">
    <cfRule type="expression" dxfId="338" priority="55">
      <formula>ABS(S$16-S$19)&gt;=1000</formula>
    </cfRule>
  </conditionalFormatting>
  <conditionalFormatting sqref="T13:T20">
    <cfRule type="expression" dxfId="337" priority="54">
      <formula>ABS(T$16-T$19)&gt;=1000</formula>
    </cfRule>
  </conditionalFormatting>
  <conditionalFormatting sqref="U13:U20">
    <cfRule type="expression" dxfId="336" priority="53">
      <formula>ABS(U$16-U$19)&gt;=1000</formula>
    </cfRule>
  </conditionalFormatting>
  <conditionalFormatting sqref="V13:V20">
    <cfRule type="expression" dxfId="335" priority="52">
      <formula>ABS(V$16-V$19)&gt;=1000</formula>
    </cfRule>
  </conditionalFormatting>
  <conditionalFormatting sqref="W13 W20 W15:W18">
    <cfRule type="expression" dxfId="334" priority="51">
      <formula>ABS(W$16-W$19)&gt;=1000</formula>
    </cfRule>
  </conditionalFormatting>
  <conditionalFormatting sqref="X13 X15:X20 Y19">
    <cfRule type="expression" dxfId="333" priority="50">
      <formula>ABS(X$16-X$19)&gt;=1000</formula>
    </cfRule>
  </conditionalFormatting>
  <conditionalFormatting sqref="Y13 Y15:Y18 Y20">
    <cfRule type="expression" dxfId="332" priority="49">
      <formula>ABS(Y$16-Y$19)&gt;=1000</formula>
    </cfRule>
  </conditionalFormatting>
  <conditionalFormatting sqref="Z13:Z20">
    <cfRule type="expression" dxfId="331" priority="48">
      <formula>ABS(Z$16-Z$19)&gt;=1000</formula>
    </cfRule>
  </conditionalFormatting>
  <conditionalFormatting sqref="AA13:AA20">
    <cfRule type="expression" dxfId="330" priority="47">
      <formula>ABS(AA$16-AA$19)&gt;=1000</formula>
    </cfRule>
  </conditionalFormatting>
  <conditionalFormatting sqref="AB13 AB15:AB20">
    <cfRule type="expression" dxfId="329" priority="46">
      <formula>ABS(AB$16-AB$19)&gt;=1000</formula>
    </cfRule>
  </conditionalFormatting>
  <conditionalFormatting sqref="AC13 AC15:AC20">
    <cfRule type="expression" dxfId="328" priority="45">
      <formula>ABS(AC$16-AC$19)&gt;=1000</formula>
    </cfRule>
  </conditionalFormatting>
  <conditionalFormatting sqref="AD13:AD20">
    <cfRule type="expression" dxfId="327" priority="44">
      <formula>ABS(AD$16-AD$19)&gt;=1000</formula>
    </cfRule>
  </conditionalFormatting>
  <conditionalFormatting sqref="AE13:AE20">
    <cfRule type="expression" dxfId="326" priority="43">
      <formula>ABS(AE$16-AE$19)&gt;=1000</formula>
    </cfRule>
  </conditionalFormatting>
  <conditionalFormatting sqref="D22:D29">
    <cfRule type="expression" dxfId="325" priority="42">
      <formula>ABS(D$25-D$28)&gt;=1000</formula>
    </cfRule>
  </conditionalFormatting>
  <conditionalFormatting sqref="E22:E29">
    <cfRule type="expression" dxfId="324" priority="41">
      <formula>ABS(E$25-E$28)&gt;=1000</formula>
    </cfRule>
  </conditionalFormatting>
  <conditionalFormatting sqref="F22:F29">
    <cfRule type="expression" dxfId="323" priority="40">
      <formula>ABS(F$25-F$28)&gt;=1000</formula>
    </cfRule>
  </conditionalFormatting>
  <conditionalFormatting sqref="G22:G29">
    <cfRule type="expression" dxfId="322" priority="39">
      <formula>ABS(G$25-G$28)&gt;=1000</formula>
    </cfRule>
  </conditionalFormatting>
  <conditionalFormatting sqref="H22:H29">
    <cfRule type="expression" dxfId="321" priority="38">
      <formula>ABS(H$25-H$28)&gt;=1000</formula>
    </cfRule>
  </conditionalFormatting>
  <conditionalFormatting sqref="I22 I24:I29">
    <cfRule type="expression" dxfId="320" priority="37">
      <formula>ABS(I$25-I$28)&gt;=1000</formula>
    </cfRule>
  </conditionalFormatting>
  <conditionalFormatting sqref="J22:J29 K22">
    <cfRule type="expression" dxfId="319" priority="36">
      <formula>ABS(J$25-J$28)&gt;=1000</formula>
    </cfRule>
  </conditionalFormatting>
  <conditionalFormatting sqref="K23:K29 L25 L28">
    <cfRule type="expression" dxfId="318" priority="35">
      <formula>ABS(K$25-K$28)&gt;=1000</formula>
    </cfRule>
  </conditionalFormatting>
  <conditionalFormatting sqref="L22 L26:L27 L29 L24">
    <cfRule type="expression" dxfId="317" priority="34">
      <formula>ABS(L$25-L$28)&gt;=1000</formula>
    </cfRule>
  </conditionalFormatting>
  <conditionalFormatting sqref="M22:M29">
    <cfRule type="expression" dxfId="316" priority="33">
      <formula>ABS(M$25-M$28)&gt;=1000</formula>
    </cfRule>
  </conditionalFormatting>
  <conditionalFormatting sqref="N22:N29">
    <cfRule type="expression" dxfId="315" priority="32">
      <formula>ABS(N$25-N$28)&gt;=1000</formula>
    </cfRule>
  </conditionalFormatting>
  <conditionalFormatting sqref="O22:O29">
    <cfRule type="expression" dxfId="314" priority="31">
      <formula>ABS(O$25-O$28)&gt;=1000</formula>
    </cfRule>
  </conditionalFormatting>
  <conditionalFormatting sqref="P22:P29">
    <cfRule type="expression" dxfId="313" priority="30">
      <formula>ABS(P$25-P$28)&gt;=1000</formula>
    </cfRule>
  </conditionalFormatting>
  <conditionalFormatting sqref="Q22:Q29">
    <cfRule type="expression" dxfId="312" priority="29">
      <formula>ABS(Q$25-Q$28)&gt;=1000</formula>
    </cfRule>
  </conditionalFormatting>
  <conditionalFormatting sqref="R22:R29">
    <cfRule type="expression" dxfId="311" priority="28">
      <formula>ABS(R$25-R$28)&gt;=1000</formula>
    </cfRule>
  </conditionalFormatting>
  <conditionalFormatting sqref="S22:S29">
    <cfRule type="expression" dxfId="310" priority="27">
      <formula>ABS(S$25-S$28)&gt;=1000</formula>
    </cfRule>
  </conditionalFormatting>
  <conditionalFormatting sqref="T22:T29">
    <cfRule type="expression" dxfId="309" priority="26">
      <formula>ABS(T$25-T$28)&gt;=1000</formula>
    </cfRule>
  </conditionalFormatting>
  <conditionalFormatting sqref="U22:U29">
    <cfRule type="expression" dxfId="308" priority="25">
      <formula>ABS(U$25-U$28)&gt;=1000</formula>
    </cfRule>
  </conditionalFormatting>
  <conditionalFormatting sqref="V22:V29">
    <cfRule type="expression" dxfId="307" priority="24">
      <formula>ABS(V$25-V$28)&gt;=1000</formula>
    </cfRule>
  </conditionalFormatting>
  <conditionalFormatting sqref="W22:W29">
    <cfRule type="expression" dxfId="306" priority="23">
      <formula>ABS(W$25-W$28)&gt;=1000</formula>
    </cfRule>
  </conditionalFormatting>
  <conditionalFormatting sqref="X22:X29">
    <cfRule type="expression" dxfId="305" priority="22">
      <formula>ABS(X$25-X$28)&gt;=1000</formula>
    </cfRule>
  </conditionalFormatting>
  <conditionalFormatting sqref="Y22:Y29">
    <cfRule type="expression" dxfId="304" priority="21">
      <formula>ABS(Y$25-Y$28)&gt;=1000</formula>
    </cfRule>
  </conditionalFormatting>
  <conditionalFormatting sqref="I23">
    <cfRule type="expression" dxfId="303" priority="20">
      <formula>ABS(I$25-I$28)&gt;=1000</formula>
    </cfRule>
  </conditionalFormatting>
  <conditionalFormatting sqref="F14">
    <cfRule type="expression" dxfId="302" priority="19">
      <formula>ABS(F$16-F$19)&gt;=1000</formula>
    </cfRule>
  </conditionalFormatting>
  <conditionalFormatting sqref="Q14">
    <cfRule type="expression" dxfId="301" priority="18">
      <formula>ABS(Q$16-Q$19)&gt;=1000</formula>
    </cfRule>
  </conditionalFormatting>
  <conditionalFormatting sqref="W14">
    <cfRule type="expression" dxfId="300" priority="17">
      <formula>ABS(W$16-W$19)&gt;=1000</formula>
    </cfRule>
  </conditionalFormatting>
  <conditionalFormatting sqref="Y14">
    <cfRule type="expression" dxfId="299" priority="16">
      <formula>ABS(Y$16-Y$19)&gt;=1000</formula>
    </cfRule>
  </conditionalFormatting>
  <conditionalFormatting sqref="X14">
    <cfRule type="expression" dxfId="298" priority="15">
      <formula>ABS(X$16-X$19)&gt;=1000</formula>
    </cfRule>
  </conditionalFormatting>
  <conditionalFormatting sqref="T10:Y10">
    <cfRule type="expression" dxfId="297" priority="14">
      <formula>ABS(T$7-T$10)&gt;=1000</formula>
    </cfRule>
  </conditionalFormatting>
  <conditionalFormatting sqref="W19">
    <cfRule type="expression" dxfId="296" priority="13">
      <formula>ABS(W$16-W$19)&gt;=1000</formula>
    </cfRule>
  </conditionalFormatting>
  <conditionalFormatting sqref="AC5">
    <cfRule type="expression" dxfId="295" priority="12">
      <formula>ABS(AC$7-AC$10)&gt;=1000</formula>
    </cfRule>
  </conditionalFormatting>
  <conditionalFormatting sqref="M14">
    <cfRule type="expression" dxfId="294" priority="11">
      <formula>ABS(M$16-M$19)&gt;=1000</formula>
    </cfRule>
  </conditionalFormatting>
  <conditionalFormatting sqref="M16">
    <cfRule type="expression" dxfId="293" priority="10">
      <formula>ABS(M$16-M$19)&gt;=1000</formula>
    </cfRule>
  </conditionalFormatting>
  <conditionalFormatting sqref="M19">
    <cfRule type="expression" dxfId="292" priority="9">
      <formula>ABS(M$16-M$19)&gt;=1000</formula>
    </cfRule>
  </conditionalFormatting>
  <conditionalFormatting sqref="K13:K20">
    <cfRule type="expression" dxfId="291" priority="8">
      <formula>ABS(K$16-K$19)&gt;=1000</formula>
    </cfRule>
  </conditionalFormatting>
  <conditionalFormatting sqref="E5">
    <cfRule type="expression" dxfId="290" priority="7">
      <formula>ABS(E$7-E$10)&gt;=1000</formula>
    </cfRule>
  </conditionalFormatting>
  <conditionalFormatting sqref="AB14:AC14">
    <cfRule type="expression" dxfId="289" priority="6">
      <formula>ABS(AB$16-AB$19)&gt;=1000</formula>
    </cfRule>
  </conditionalFormatting>
  <conditionalFormatting sqref="M5">
    <cfRule type="expression" dxfId="288" priority="5">
      <formula>ABS(M$7-M$10)&gt;=1000</formula>
    </cfRule>
  </conditionalFormatting>
  <conditionalFormatting sqref="N5">
    <cfRule type="expression" dxfId="287" priority="4">
      <formula>ABS(N$7-N$10)&gt;=1000</formula>
    </cfRule>
  </conditionalFormatting>
  <conditionalFormatting sqref="O5">
    <cfRule type="expression" dxfId="286" priority="3">
      <formula>ABS(O$7-O$10)&gt;=1000</formula>
    </cfRule>
  </conditionalFormatting>
  <conditionalFormatting sqref="P5">
    <cfRule type="expression" dxfId="285" priority="2">
      <formula>ABS(P$7-P$10)&gt;=1000</formula>
    </cfRule>
  </conditionalFormatting>
  <conditionalFormatting sqref="L23">
    <cfRule type="expression" dxfId="284" priority="1">
      <formula>ABS(L$25-L$28)&gt;=1000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7024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345782</xdr:rowOff>
                  </from>
                  <to>
                    <xdr:col>32</xdr:col>
                    <xdr:colOff>414938</xdr:colOff>
                    <xdr:row>3</xdr:row>
                    <xdr:rowOff>30736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90">
    <pageSetUpPr fitToPage="1"/>
  </sheetPr>
  <dimension ref="A1:CU223"/>
  <sheetViews>
    <sheetView view="pageBreakPreview" topLeftCell="A10" zoomScale="80" zoomScaleNormal="100" zoomScaleSheetLayoutView="80" workbookViewId="0">
      <selection activeCell="Z23" sqref="Z23:AE29"/>
    </sheetView>
  </sheetViews>
  <sheetFormatPr defaultColWidth="8.109375" defaultRowHeight="26.05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0.9" ph="1">
      <c r="A1" s="64"/>
      <c r="B1" s="238" t="s" ph="1">
        <v>162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.05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.05" customHeight="1" ph="1">
      <c r="B3" s="240" ph="1">
        <v>45868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" customHeight="1" ph="1">
      <c r="A5" s="65" ph="1"/>
      <c r="B5" s="219" ph="1"/>
      <c r="C5" s="67" t="s" ph="1">
        <v>36</v>
      </c>
      <c r="D5" s="70" t="s" ph="1">
        <v>161</v>
      </c>
      <c r="E5" s="70" t="s" ph="1">
        <v>640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61" t="s" ph="1">
        <v>178</v>
      </c>
      <c r="D6" s="71">
        <v>6133</v>
      </c>
      <c r="E6" s="71">
        <v>7990</v>
      </c>
      <c r="F6" s="71">
        <v>3404</v>
      </c>
      <c r="G6" s="71">
        <v>4143</v>
      </c>
      <c r="H6" s="71">
        <v>9143</v>
      </c>
      <c r="I6" s="71">
        <v>40.65</v>
      </c>
      <c r="J6" s="71">
        <v>7.72</v>
      </c>
      <c r="K6" s="71">
        <v>56.53</v>
      </c>
      <c r="L6" s="71">
        <v>25.23</v>
      </c>
      <c r="M6" s="71">
        <v>3947</v>
      </c>
      <c r="N6" s="71">
        <v>1176</v>
      </c>
      <c r="O6" s="71">
        <v>5344</v>
      </c>
      <c r="P6" s="71">
        <v>2145</v>
      </c>
      <c r="Q6" s="71">
        <v>4182</v>
      </c>
      <c r="R6" s="71">
        <v>2301</v>
      </c>
      <c r="S6" s="71">
        <v>0</v>
      </c>
      <c r="T6" s="71">
        <v>0</v>
      </c>
      <c r="U6" s="71">
        <v>0</v>
      </c>
      <c r="V6" s="71">
        <v>0</v>
      </c>
      <c r="W6" s="71">
        <v>0</v>
      </c>
      <c r="X6" s="71">
        <v>3895</v>
      </c>
      <c r="Y6" s="71">
        <v>6723</v>
      </c>
      <c r="Z6" s="71">
        <v>6241</v>
      </c>
      <c r="AA6" s="71">
        <v>555</v>
      </c>
      <c r="AB6" s="71">
        <v>1288</v>
      </c>
      <c r="AC6" s="71">
        <v>810</v>
      </c>
      <c r="AD6" s="71">
        <v>3376</v>
      </c>
      <c r="AE6" s="71">
        <v>1443</v>
      </c>
    </row>
    <row r="7" spans="1:99" s="72" customFormat="1" ht="22.4" ph="1">
      <c r="B7" s="237" ph="1"/>
      <c r="C7" s="68" t="s" ph="1">
        <v>179</v>
      </c>
      <c r="D7" s="73" ph="1">
        <f>D6*33.183*LOOKUP(D8,密度!$A$2:$A$50,密度!$Q$2:$Q$50)</f>
        <v>192100.45822227001</v>
      </c>
      <c r="E7" s="73" ph="1">
        <f>E6*51.53*LOOKUP(E8,密度!$A$2:$A$50,密度!$B$2:$B$50)</f>
        <v>320610.02389000001</v>
      </c>
      <c r="F7" s="73" ph="1">
        <f>F6*33.183*LOOKUP(F8,密度!$A$2:$A$50,密度!$C$2:$C$50)</f>
        <v>125086.29169679999</v>
      </c>
      <c r="G7" s="73" ph="1">
        <f xml:space="preserve"> (G6+2)*51.53*LOOKUP(G8,密度!$A$2:$A$50,密度!$B$2:$B$50)</f>
        <v>166153.10011500001</v>
      </c>
      <c r="H7" s="73" ph="1">
        <f>(H6)*51.53*LOOKUP(H8,密度!$A$2:$A$50,密度!$B$2:$B$50)</f>
        <v>368147.85050600005</v>
      </c>
      <c r="I7" s="73" ph="1">
        <f>I6*290.8*1.0267</f>
        <v>12136.641234000001</v>
      </c>
      <c r="J7" s="73" ph="1">
        <f>J6*290.8*0.7892</f>
        <v>1771.7350592</v>
      </c>
      <c r="K7" s="73" ph="1">
        <f>K6*290.8*1.1126</f>
        <v>18289.946842400004</v>
      </c>
      <c r="L7" s="73" ph="1">
        <f>L6*290.8*0.777</f>
        <v>5700.7588679999999</v>
      </c>
      <c r="M7" s="73" ph="1">
        <f>M6*33.183*LOOKUP(M8,密度!$A$2:$A$50,密度!$D$2:$D$50)</f>
        <v>134221.43886479997</v>
      </c>
      <c r="N7" s="73" ph="1">
        <f>N6*33.183*LOOKUP(N8,密度!$A$2:$A$50,密度!$E$2:$E$50)</f>
        <v>30520.050976800001</v>
      </c>
      <c r="O7" s="73" ph="1">
        <f>O6*20.428*LOOKUP(O8,密度!$A$2:$A$50,密度!$C$2:$C$50)</f>
        <v>120531.54085120001</v>
      </c>
      <c r="P7" s="73" ph="1">
        <f>P6*51.53*LOOKUP(P8,密度!$A$2:$A$50,密度!$B$2:$B$50)</f>
        <v>86270.108925000008</v>
      </c>
      <c r="Q7" s="73" ph="1">
        <f>Q6*1.5*1.5*3.1416*LOOKUP(W8,密度!$A$2:$A$50,密度!$L$2:$L$50)</f>
        <v>27668.988547200002</v>
      </c>
      <c r="R7" s="73" ph="1">
        <f>R6*1.5*1.5*3.1416*LOOKUP(R8,密度!$A$2:$A$50,密度!$L$2:$L$50)</f>
        <v>15142.574046600001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25962.861771</v>
      </c>
      <c r="Y7" s="73" ph="1">
        <f>Y6*1.5*1.5*3.1416*LOOKUP(Y8,密度!$A$2:$A$50,密度!$L$2:$L$50)</f>
        <v>44480.777140800004</v>
      </c>
      <c r="Z7" s="73" ph="1">
        <f>Z6*33.183*LOOKUP(Z8,密度!$A$2:$A$50,密度!$L$2:$L$50)</f>
        <v>194462.30171699999</v>
      </c>
      <c r="AA7" s="73" ph="1">
        <f>AA6*33.183*LOOKUP(AA8,密度!$A$2:$A$50,密度!$D$2:$D$50)</f>
        <v>18908.287285499999</v>
      </c>
      <c r="AB7" s="73" ph="1">
        <f>AB6*20.428*LOOKUP(AB8,密度!$A$2:$A$50,密度!$D$2:$D$50)</f>
        <v>27113.757552000003</v>
      </c>
      <c r="AC7" s="73" ph="1">
        <f>AC6*51.53*LOOKUP(AC8,密度!$A$2:$A$50,密度!$Q$2:$Q$50)</f>
        <v>39546.734571000001</v>
      </c>
      <c r="AD7" s="73" ph="1">
        <f>AD6*20.428*LOOKUP(AD8,密度!$A$2:$A$50,密度!$V$2:$V$50)</f>
        <v>66261.502822399998</v>
      </c>
      <c r="AE7" s="73" ph="1">
        <f>AE6*20.428</f>
        <v>29477.604000000003</v>
      </c>
    </row>
    <row r="8" spans="1:99" ph="1">
      <c r="B8" s="237" ph="1"/>
      <c r="C8" s="68" t="s" ph="1">
        <v>180</v>
      </c>
      <c r="D8" s="74">
        <v>29</v>
      </c>
      <c r="E8" s="74">
        <v>26</v>
      </c>
      <c r="F8" s="74">
        <v>27</v>
      </c>
      <c r="G8" s="74">
        <v>27</v>
      </c>
      <c r="H8" s="74">
        <v>23</v>
      </c>
      <c r="I8" s="74">
        <v>25</v>
      </c>
      <c r="J8" s="74">
        <v>25</v>
      </c>
      <c r="K8" s="74">
        <v>25</v>
      </c>
      <c r="L8" s="74">
        <v>25</v>
      </c>
      <c r="M8" s="74">
        <v>27</v>
      </c>
      <c r="N8" s="74">
        <v>26</v>
      </c>
      <c r="O8" s="74">
        <v>31</v>
      </c>
      <c r="P8" s="74">
        <v>24</v>
      </c>
      <c r="Q8" s="74">
        <v>27</v>
      </c>
      <c r="R8" s="74">
        <v>31</v>
      </c>
      <c r="S8" s="74">
        <v>22</v>
      </c>
      <c r="T8" s="74">
        <v>22</v>
      </c>
      <c r="U8" s="74">
        <v>26</v>
      </c>
      <c r="V8" s="74">
        <v>25</v>
      </c>
      <c r="W8" s="74">
        <v>26</v>
      </c>
      <c r="X8" s="74">
        <v>19</v>
      </c>
      <c r="Y8" s="74">
        <v>26</v>
      </c>
      <c r="Z8" s="74">
        <v>23</v>
      </c>
      <c r="AA8" s="74">
        <v>25</v>
      </c>
      <c r="AB8" s="74">
        <v>21</v>
      </c>
      <c r="AC8" s="74">
        <v>24</v>
      </c>
      <c r="AD8" s="74">
        <v>25</v>
      </c>
      <c r="AE8" s="74">
        <v>28</v>
      </c>
    </row>
    <row r="9" spans="1:99" ht="26.65" ph="1">
      <c r="B9" s="237" ph="1">
        <v>0.66666666666666663</v>
      </c>
      <c r="C9" s="161" t="s" ph="1">
        <v>181</v>
      </c>
      <c r="D9" s="71">
        <v>6426</v>
      </c>
      <c r="E9" s="71">
        <v>7986</v>
      </c>
      <c r="F9" s="71">
        <v>5592</v>
      </c>
      <c r="G9" s="71">
        <v>3894</v>
      </c>
      <c r="H9" s="71">
        <v>9143</v>
      </c>
      <c r="I9" s="71">
        <v>40.51</v>
      </c>
      <c r="J9" s="71">
        <v>7.76</v>
      </c>
      <c r="K9" s="71">
        <v>20.03</v>
      </c>
      <c r="L9" s="71">
        <v>12.82</v>
      </c>
      <c r="M9" s="71">
        <v>3945</v>
      </c>
      <c r="N9" s="71">
        <v>1175</v>
      </c>
      <c r="O9" s="71">
        <v>4902</v>
      </c>
      <c r="P9" s="71">
        <v>2133</v>
      </c>
      <c r="Q9" s="71">
        <v>6195</v>
      </c>
      <c r="R9" s="71">
        <v>2302</v>
      </c>
      <c r="S9" s="71">
        <v>0</v>
      </c>
      <c r="T9" s="71">
        <v>0</v>
      </c>
      <c r="U9" s="71">
        <v>0</v>
      </c>
      <c r="V9" s="71">
        <v>0</v>
      </c>
      <c r="W9" s="71">
        <v>0</v>
      </c>
      <c r="X9" s="71">
        <v>1098</v>
      </c>
      <c r="Y9" s="71">
        <v>6723</v>
      </c>
      <c r="Z9" s="71">
        <v>3942</v>
      </c>
      <c r="AA9" s="71">
        <v>555</v>
      </c>
      <c r="AB9" s="71">
        <v>1192</v>
      </c>
      <c r="AC9" s="71">
        <v>568</v>
      </c>
      <c r="AD9" s="71">
        <v>3375</v>
      </c>
      <c r="AE9" s="71">
        <v>1313</v>
      </c>
    </row>
    <row r="10" spans="1:99" s="72" customFormat="1" ht="22.4" ph="1">
      <c r="B10" s="237" ph="1"/>
      <c r="C10" s="161" t="s" ph="1">
        <v>179</v>
      </c>
      <c r="D10" s="73" ph="1">
        <f>D9*33.183*LOOKUP(D11,密度!$A$2:$A$50,密度!$Q$2:$Q$50)</f>
        <v>201149.98960014002</v>
      </c>
      <c r="E10" s="73" ph="1">
        <f>E9*51.53*LOOKUP(E11,密度!$A$2:$A$50,密度!$B$2:$B$50)</f>
        <v>319420.72179600003</v>
      </c>
      <c r="F10" s="73" ph="1">
        <f>F9*33.183*LOOKUP(F11,密度!$A$2:$A$50,密度!$C$2:$C$50)</f>
        <v>205210.06968240003</v>
      </c>
      <c r="G10" s="73" ph="1">
        <f xml:space="preserve"> (G9+2)*51.53*LOOKUP(G11,密度!$A$2:$A$50,密度!$B$2:$B$50)</f>
        <v>155830.59505599999</v>
      </c>
      <c r="H10" s="73" ph="1">
        <f>(H9)*51.53*LOOKUP(H11,密度!$A$2:$A$50,密度!$B$2:$B$50)</f>
        <v>366875.77577300003</v>
      </c>
      <c r="I10" s="73" ph="1">
        <f>I9*290.8*1.0267</f>
        <v>12094.842223599999</v>
      </c>
      <c r="J10" s="73" ph="1">
        <f>J9*290.8*0.7892</f>
        <v>1780.9150336000002</v>
      </c>
      <c r="K10" s="73" ph="1">
        <f>K9*290.8*1.1126</f>
        <v>6480.5879224</v>
      </c>
      <c r="L10" s="73" ph="1">
        <f>L9*290.8*0.777</f>
        <v>2896.6995120000001</v>
      </c>
      <c r="M10" s="73" ph="1">
        <f>M9*33.183*LOOKUP(M11,密度!$A$2:$A$50,密度!$D$2:$D$50)</f>
        <v>133786.88756999999</v>
      </c>
      <c r="N10" s="73" ph="1">
        <f>N9*33.183*LOOKUP(N11,密度!$A$2:$A$50,密度!$E$2:$E$50)</f>
        <v>30361.532467499997</v>
      </c>
      <c r="O10" s="73" ph="1">
        <f>O9*20.428*LOOKUP(O11,密度!$A$2:$A$50,密度!$C$2:$C$50)</f>
        <v>110452.27576799999</v>
      </c>
      <c r="P10" s="73" ph="1">
        <f>P9*51.53*LOOKUP(P11,密度!$A$2:$A$50,密度!$B$2:$B$50)</f>
        <v>85402.781730000002</v>
      </c>
      <c r="Q10" s="73" ph="1">
        <f>Q9*1.5*1.5*3.1416*LOOKUP(W11,密度!$A$2:$A$50,密度!$L$2:$L$50)</f>
        <v>40812.258564000003</v>
      </c>
      <c r="R10" s="73" ph="1">
        <f>R9*1.5*1.5*3.1416*LOOKUP(R11,密度!$A$2:$A$50,密度!$L$2:$L$50)</f>
        <v>15132.882996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7303.4047547999999</v>
      </c>
      <c r="Y10" s="73" ph="1">
        <f>Y9*1.5*1.5*3.1416*LOOKUP(Y11,密度!$A$2:$A$50,密度!$L$2:$L$50)</f>
        <v>44433.254943000007</v>
      </c>
      <c r="Z10" s="73" ph="1">
        <f>Z9*33.183*LOOKUP(Z11,密度!$A$2:$A$50,密度!$L$2:$L$50)</f>
        <v>122435.713296</v>
      </c>
      <c r="AA10" s="73" ph="1">
        <f>AA9*33.183*LOOKUP(AA11,密度!$A$2:$A$50,密度!$D$2:$D$50)</f>
        <v>18821.729429999999</v>
      </c>
      <c r="AB10" s="73" ph="1">
        <f>AB9*20.428*LOOKUP(AB11,密度!$A$2:$A$50,密度!$D$2:$D$50)</f>
        <v>25046.591033599998</v>
      </c>
      <c r="AC10" s="73" ph="1">
        <f>AC9*51.53*LOOKUP(AC11,密度!$A$2:$A$50,密度!$Q$2:$Q$50)</f>
        <v>27648.1205648</v>
      </c>
      <c r="AD10" s="73" ph="1">
        <f>AD9*20.428*LOOKUP(AD11,密度!$A$2:$A$50,密度!$V$2:$V$50)</f>
        <v>66021.253200000006</v>
      </c>
      <c r="AE10" s="73" ph="1">
        <f>AE9*20.428</f>
        <v>26821.964</v>
      </c>
    </row>
    <row r="11" spans="1:99" ph="1">
      <c r="A11" s="64" t="s" ph="1">
        <v>163</v>
      </c>
      <c r="B11" s="237" ph="1"/>
      <c r="C11" s="161" t="s" ph="1">
        <v>180</v>
      </c>
      <c r="D11" s="74">
        <v>30</v>
      </c>
      <c r="E11" s="74">
        <v>29</v>
      </c>
      <c r="F11" s="74">
        <v>29</v>
      </c>
      <c r="G11" s="74">
        <v>29</v>
      </c>
      <c r="H11" s="74">
        <v>26</v>
      </c>
      <c r="I11" s="74">
        <v>25</v>
      </c>
      <c r="J11" s="74">
        <v>25</v>
      </c>
      <c r="K11" s="74">
        <v>25</v>
      </c>
      <c r="L11" s="74">
        <v>25</v>
      </c>
      <c r="M11" s="74">
        <v>30</v>
      </c>
      <c r="N11" s="74">
        <v>29</v>
      </c>
      <c r="O11" s="74">
        <v>32</v>
      </c>
      <c r="P11" s="74">
        <v>28</v>
      </c>
      <c r="Q11" s="74">
        <v>27</v>
      </c>
      <c r="R11" s="74">
        <v>32</v>
      </c>
      <c r="S11" s="74">
        <v>25</v>
      </c>
      <c r="T11" s="74">
        <v>26</v>
      </c>
      <c r="U11" s="74">
        <v>28</v>
      </c>
      <c r="V11" s="74">
        <v>27</v>
      </c>
      <c r="W11" s="74">
        <v>30</v>
      </c>
      <c r="X11" s="74">
        <v>21</v>
      </c>
      <c r="Y11" s="74">
        <v>27</v>
      </c>
      <c r="Z11" s="74">
        <v>26</v>
      </c>
      <c r="AA11" s="74">
        <v>30</v>
      </c>
      <c r="AB11" s="74">
        <v>23</v>
      </c>
      <c r="AC11" s="74">
        <v>28</v>
      </c>
      <c r="AD11" s="74">
        <v>27</v>
      </c>
      <c r="AE11" s="74">
        <v>29</v>
      </c>
    </row>
    <row r="12" spans="1:99" ht="9.85" customHeight="1" ph="1"/>
    <row r="13" spans="1:99" s="72" customFormat="1" ht="29.2" customHeight="1" ph="1">
      <c r="B13" s="214" t="s" ph="1">
        <v>37</v>
      </c>
      <c r="C13" s="161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.2" ph="1">
      <c r="B14" s="215" ph="1"/>
      <c r="C14" s="67" t="s" ph="1">
        <v>36</v>
      </c>
      <c r="D14" s="77" t="s" ph="1">
        <v>622</v>
      </c>
      <c r="E14" s="77" t="s" ph="1">
        <v>622</v>
      </c>
      <c r="F14" s="77" t="s" ph="1">
        <v>645</v>
      </c>
      <c r="G14" s="77" t="s" ph="1">
        <v>623</v>
      </c>
      <c r="H14" s="77" t="s" ph="1">
        <v>624</v>
      </c>
      <c r="I14" s="140" t="s" ph="1">
        <v>625</v>
      </c>
      <c r="J14" s="77" t="s" ph="1">
        <v>626</v>
      </c>
      <c r="K14" s="77" t="s" ph="1">
        <v>187</v>
      </c>
      <c r="L14" s="77" t="s" ph="1">
        <v>41</v>
      </c>
      <c r="M14" s="104" t="s" ph="1">
        <v>627</v>
      </c>
      <c r="N14" s="104" t="s" ph="1">
        <v>628</v>
      </c>
      <c r="O14" s="104" t="s" ph="1">
        <v>626</v>
      </c>
      <c r="P14" s="77" t="s" ph="1">
        <v>629</v>
      </c>
      <c r="Q14" s="77" t="s" ph="1">
        <v>629</v>
      </c>
      <c r="R14" s="88" t="s" ph="1">
        <v>640</v>
      </c>
      <c r="S14" s="77" t="s" ph="1">
        <v>71</v>
      </c>
      <c r="T14" s="77" t="s" ph="1">
        <v>631</v>
      </c>
      <c r="U14" s="77" t="s" ph="1">
        <v>610</v>
      </c>
      <c r="V14" s="77" t="s" ph="1">
        <v>110</v>
      </c>
      <c r="W14" s="77" t="s" ph="1">
        <v>629</v>
      </c>
      <c r="X14" s="77" t="s" ph="1">
        <v>632</v>
      </c>
      <c r="Y14" s="138" t="s" ph="1">
        <v>0</v>
      </c>
      <c r="Z14" s="77" t="s" ph="1">
        <v>54</v>
      </c>
      <c r="AA14" s="77" t="s" ph="1">
        <v>619</v>
      </c>
      <c r="AB14" s="77" t="s" ph="1">
        <v>650</v>
      </c>
      <c r="AC14" s="77" t="s" ph="1">
        <v>650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16" ph="1">
        <v>0.33333333333333331</v>
      </c>
      <c r="C15" s="161" t="s" ph="1">
        <v>178</v>
      </c>
      <c r="D15" s="78">
        <v>2946</v>
      </c>
      <c r="E15" s="78">
        <v>4863</v>
      </c>
      <c r="F15" s="78">
        <v>4301</v>
      </c>
      <c r="G15" s="78">
        <v>3797</v>
      </c>
      <c r="H15" s="78">
        <v>2142</v>
      </c>
      <c r="I15" s="78">
        <v>2579</v>
      </c>
      <c r="J15" s="78">
        <v>420</v>
      </c>
      <c r="K15" s="78">
        <v>3945</v>
      </c>
      <c r="L15" s="78">
        <v>2838</v>
      </c>
      <c r="M15" s="78">
        <v>3421</v>
      </c>
      <c r="N15" s="78">
        <v>5764</v>
      </c>
      <c r="O15" s="78">
        <v>6409</v>
      </c>
      <c r="P15" s="78">
        <v>5161</v>
      </c>
      <c r="Q15" s="78">
        <v>6887</v>
      </c>
      <c r="R15" s="78">
        <v>0</v>
      </c>
      <c r="S15" s="78">
        <v>3701</v>
      </c>
      <c r="T15" s="78">
        <v>2612</v>
      </c>
      <c r="U15" s="78">
        <v>6082</v>
      </c>
      <c r="V15" s="78">
        <v>-141</v>
      </c>
      <c r="W15" s="71">
        <v>2178</v>
      </c>
      <c r="X15" s="78">
        <v>-213</v>
      </c>
      <c r="Y15" s="106">
        <v>-9905</v>
      </c>
      <c r="Z15" s="78">
        <v>0</v>
      </c>
      <c r="AA15" s="78">
        <v>6145</v>
      </c>
      <c r="AB15" s="78" ph="1">
        <v>4655</v>
      </c>
      <c r="AC15" s="78" ph="1">
        <v>3124</v>
      </c>
      <c r="AD15" s="78">
        <v>28.62</v>
      </c>
      <c r="AE15" s="78">
        <v>84.65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4" ph="1">
      <c r="B16" s="217" ph="1"/>
      <c r="C16" s="161" t="s" ph="1">
        <v>179</v>
      </c>
      <c r="D16" s="73" ph="1">
        <f>D15*7.0686*LOOKUP(D17,密度!$A$2:$A$50,密度!$L$2:$L$50)</f>
        <v>19470.529386000002</v>
      </c>
      <c r="E16" s="73" ph="1">
        <f>E15*7.0686*LOOKUP(E17,密度!$A$2:$A$50,密度!$L$2:$L$50)</f>
        <v>32827.744718999995</v>
      </c>
      <c r="F16" s="73" ph="1">
        <f>F15*9.0746*LOOKUP(F17,密度!$A$2:$A$50,密度!$L$2:$L$50)</f>
        <v>36492.914051</v>
      </c>
      <c r="G16" s="73" ph="1">
        <f>G15*9.0746*LOOKUP(G17,密度!$A$2:$A$50,密度!$B$2:$B$50)</f>
        <v>26862.09733352</v>
      </c>
      <c r="H16" s="73" ph="1">
        <f>H15*9.0746*LOOKUP(H17,密度!$A$2:$A$50,密度!$L$2:$L$50)</f>
        <v>18213.2122284</v>
      </c>
      <c r="I16" s="73" ph="1">
        <f>I15*9.0746*LOOKUP(I17,密度!$A$2:$A$50,密度!$U$2:$U$50)</f>
        <v>23965.074841600002</v>
      </c>
      <c r="J16" s="73" ph="1">
        <f>J15*9.0746*LOOKUP(J17,密度!$A$2:$A$50,密度!$L$2:$L$50)</f>
        <v>3567.4067519999999</v>
      </c>
      <c r="K16" s="73" ph="1">
        <f>K15*9.0746*LOOKUP(K17,密度!$A$2:$A$50,密度!$C$2:$C$50)</f>
        <v>39697.840443299996</v>
      </c>
      <c r="L16" s="73" ph="1">
        <f>L15*9.0746*LOOKUP(L17,密度!$A$2:$A$50,密度!$E$2:$E$50)</f>
        <v>20113.651258800001</v>
      </c>
      <c r="M16" s="73" ph="1">
        <f>M15*9.0746*LOOKUP(M17,密度!$A$2:$A$50,密度!$M$2:$M$50)</f>
        <v>27070.548155200002</v>
      </c>
      <c r="N16" s="73" ph="1">
        <f>N15*9.0746*LOOKUP(N17,密度!$A$2:$A$50,密度!$M$2:$M$50)</f>
        <v>45772.975699440001</v>
      </c>
      <c r="O16" s="73" ph="1">
        <f>O15*9.0746*LOOKUP(O17,密度!$A$2:$A$50,密度!$G$2:$G$50)</f>
        <v>55658.269609800001</v>
      </c>
      <c r="P16" s="73" ph="1">
        <f ca="1">P15*9.0746*LOOKUP(P17,密度!$A$2:$A$51,密度!$Q$2:$Q$50)</f>
        <v>44273.126900392002</v>
      </c>
      <c r="Q16" s="73" ph="1">
        <f>Q15*9.0746*LOOKUP(Q17,密度!$A$2:$A$50,密度!$Q$2:$Q$50)</f>
        <v>59079.446805464002</v>
      </c>
      <c r="R16" s="73" ph="1">
        <f>MAX(R15*9.0746*LOOKUP(R17,密度!$A$2:$A$50,密度!$B$2:$B$50),0)</f>
        <v>0</v>
      </c>
      <c r="S16" s="73" ph="1">
        <f>S15*9.0746*LOOKUP(S17,密度!$A$2:$A$50,密度!$Q$2:$Q$50)</f>
        <v>31748.661627272006</v>
      </c>
      <c r="T16" s="73" ph="1">
        <f>T15*9.0746*LOOKUP(T17,密度!$A$2:$A$50,密度!$O$2:$O$50)</f>
        <v>21948.843915200003</v>
      </c>
      <c r="U16" s="73" ph="1">
        <f>U15*9.0746*LOOKUP(U17,密度!$A$2:$A$50,密度!$H$2:$H$50)</f>
        <v>50439.71034908</v>
      </c>
      <c r="V16" s="73" ph="1">
        <f>MAX(5600*LOOKUP(V17,密度!$A$2:$A$50,密度!$Q$2:$Q$50)+V15*9.0476*LOOKUP(V17,密度!$A$2:$A$50,密度!$Q$2:$Q$50),0)</f>
        <v>4090.9065550519999</v>
      </c>
      <c r="W16" s="73" ph="1">
        <f>MAX(5600*LOOKUP(W17,密度!$A$2:$A$50,密度!$Q$2:$Q$50)+W15*9.0476*LOOKUP(W17,密度!$A$2:$A$50,密度!$Q$2:$Q$50),0)</f>
        <v>23921.958611295999</v>
      </c>
      <c r="X16" s="73" ph="1">
        <f>MAX(5600*LOOKUP(X17,密度!$A$2:$A$50,密度!$I$2:$I$50)+X15*9.0476*LOOKUP(X17,密度!$A$2:$A$50,密度!$I$2:$I$50),0)</f>
        <v>3815.7355006799999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43422.972817900001</v>
      </c>
      <c r="AB16" s="73" ph="1">
        <f>AB15*9.0746*LOOKUP(AB17,密度!$A$2:$A$50,密度!$L$2:$L$50)</f>
        <v>39369.789116</v>
      </c>
      <c r="AC16" s="73" ph="1">
        <f>AC15*9.0746*LOOKUP(AC17,密度!$A$2:$A$50,密度!$L$2:$L$50)</f>
        <v>26534.711174400003</v>
      </c>
      <c r="AD16" s="73" ph="1">
        <f>AD15*268.68*LOOKUP(AD17,密度!$A$2:$A$50,密度!B2:B50)+IF(AD15&lt;=0,0,1566*LOOKUP(AD17,密度!$A$2:$A$50,密度!B2:B50))</f>
        <v>7215.6825993599996</v>
      </c>
      <c r="AE16" s="73" ph="1">
        <f>AE15*268.68*LOOKUP(AE17,密度!$A$2:$A$50,密度!B2:B50)+IF(AE15&lt;=0,0,1566*LOOKUP(AE17,密度!$A$2:$A$50,密度!B2:B50))</f>
        <v>18951.890455199999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18" ph="1"/>
      <c r="C17" s="79" t="s" ph="1">
        <v>180</v>
      </c>
      <c r="D17" s="74">
        <v>27</v>
      </c>
      <c r="E17" s="74">
        <v>7</v>
      </c>
      <c r="F17" s="74">
        <v>27</v>
      </c>
      <c r="G17" s="74">
        <v>25</v>
      </c>
      <c r="H17" s="74">
        <v>25</v>
      </c>
      <c r="I17" s="74">
        <v>26</v>
      </c>
      <c r="J17" s="74">
        <v>26</v>
      </c>
      <c r="K17" s="74">
        <v>25</v>
      </c>
      <c r="L17" s="74">
        <v>27</v>
      </c>
      <c r="M17" s="74">
        <v>28</v>
      </c>
      <c r="N17" s="74">
        <v>25</v>
      </c>
      <c r="O17" s="74">
        <v>28</v>
      </c>
      <c r="P17" s="74">
        <v>27</v>
      </c>
      <c r="Q17" s="74">
        <v>27</v>
      </c>
      <c r="R17" s="74">
        <v>25</v>
      </c>
      <c r="S17" s="74">
        <v>27</v>
      </c>
      <c r="T17" s="74">
        <v>26</v>
      </c>
      <c r="U17" s="74">
        <v>26</v>
      </c>
      <c r="V17" s="74">
        <v>26</v>
      </c>
      <c r="W17" s="74">
        <v>27</v>
      </c>
      <c r="X17" s="74">
        <v>28</v>
      </c>
      <c r="Y17" s="108">
        <v>28</v>
      </c>
      <c r="Z17" s="74">
        <v>27</v>
      </c>
      <c r="AA17" s="74">
        <v>26</v>
      </c>
      <c r="AB17" s="74">
        <v>30</v>
      </c>
      <c r="AC17" s="74">
        <v>26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65" ph="1">
      <c r="B18" s="216" ph="1">
        <v>0.66666666666666663</v>
      </c>
      <c r="C18" s="79" t="s" ph="1">
        <v>181</v>
      </c>
      <c r="D18" s="71">
        <v>5961</v>
      </c>
      <c r="E18" s="71">
        <v>4279</v>
      </c>
      <c r="F18" s="71">
        <v>4396</v>
      </c>
      <c r="G18" s="71">
        <v>3838</v>
      </c>
      <c r="H18" s="71">
        <v>0</v>
      </c>
      <c r="I18" s="71">
        <v>502</v>
      </c>
      <c r="J18" s="71">
        <v>419</v>
      </c>
      <c r="K18" s="71">
        <v>3984</v>
      </c>
      <c r="L18" s="71">
        <v>2837</v>
      </c>
      <c r="M18" s="71">
        <v>5493</v>
      </c>
      <c r="N18" s="71">
        <v>4743</v>
      </c>
      <c r="O18" s="71">
        <v>6747</v>
      </c>
      <c r="P18" s="71">
        <v>5159</v>
      </c>
      <c r="Q18" s="71">
        <v>6886</v>
      </c>
      <c r="R18" s="71">
        <v>0</v>
      </c>
      <c r="S18" s="71">
        <v>3701</v>
      </c>
      <c r="T18" s="71">
        <v>2611</v>
      </c>
      <c r="U18" s="71">
        <v>6081</v>
      </c>
      <c r="V18" s="71">
        <v>-142</v>
      </c>
      <c r="W18" s="71">
        <v>2177</v>
      </c>
      <c r="X18" s="71">
        <v>-214</v>
      </c>
      <c r="Y18" s="109">
        <v>-9905</v>
      </c>
      <c r="Z18" s="71">
        <v>0</v>
      </c>
      <c r="AA18" s="71">
        <v>6145</v>
      </c>
      <c r="AB18" s="71">
        <v>6054</v>
      </c>
      <c r="AC18" s="71">
        <v>3123</v>
      </c>
      <c r="AD18" s="71">
        <v>64.760000000000005</v>
      </c>
      <c r="AE18" s="71">
        <v>84.32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4" ph="1">
      <c r="B19" s="217" ph="1"/>
      <c r="C19" s="161" t="s" ph="1">
        <v>179</v>
      </c>
      <c r="D19" s="73" ph="1">
        <f>D18*7.0686*LOOKUP(D20,密度!$A$2:$A$50,密度!$L$2:$L$50)</f>
        <v>39312.817651800004</v>
      </c>
      <c r="E19" s="73" ph="1">
        <f>E18*7.0686*LOOKUP(E20,密度!$A$2:$A$50,密度!$L$2:$L$50)</f>
        <v>28220.021260200003</v>
      </c>
      <c r="F19" s="73" ph="1">
        <f>F18*9.0746*LOOKUP(F20,密度!$A$2:$A$50,密度!$L$2:$L$50)</f>
        <v>37139.397629600004</v>
      </c>
      <c r="G19" s="73" ph="1">
        <f>G18*9.0746*LOOKUP(G20,密度!$A$2:$A$50,密度!$B$2:$B$50)</f>
        <v>27092.94608292</v>
      </c>
      <c r="H19" s="73" ph="1">
        <f>H18*9.0746*LOOKUP(H20,密度!$A$2:$A$50,密度!$L$2:$L$50)</f>
        <v>0</v>
      </c>
      <c r="I19" s="73" ph="1">
        <f>I18*9.0746*LOOKUP(I20,密度!$A$2:$A$50,密度!$U$2:$U$50)</f>
        <v>4642.0027347999994</v>
      </c>
      <c r="J19" s="73" ph="1">
        <f>J18*9.0746*LOOKUP(J20,密度!$A$2:$A$50,密度!$L$2:$L$50)</f>
        <v>3543.7038968000002</v>
      </c>
      <c r="K19" s="73" ph="1">
        <f>K18*9.0746*LOOKUP(K20,密度!$A$2:$A$50,密度!$C$2:$C$50)</f>
        <v>40007.138202240007</v>
      </c>
      <c r="L19" s="73" ph="1">
        <f>L18*9.0746*LOOKUP(L20,密度!$A$2:$A$50,密度!$E$2:$E$50)</f>
        <v>20075.670427960002</v>
      </c>
      <c r="M19" s="73" ph="1">
        <f>M18*9.0746*LOOKUP(M20,密度!$A$2:$A$50,密度!$M$2:$M$50)</f>
        <v>43361.712008220005</v>
      </c>
      <c r="N19" s="73" ph="1">
        <f>N18*9.0746*LOOKUP(N20,密度!$A$2:$A$50,密度!$M$2:$M$50)</f>
        <v>37621.987579979999</v>
      </c>
      <c r="O19" s="73" ph="1">
        <f>O18*9.0746*LOOKUP(O20,密度!$A$2:$A$50,密度!$G$2:$G$50)</f>
        <v>58526.245214579998</v>
      </c>
      <c r="P19" s="73" ph="1">
        <f ca="1">P18*9.0746*LOOKUP(P20,密度!$A$2:$A$51,密度!$Q$2:$Q$50)</f>
        <v>44223.198995668004</v>
      </c>
      <c r="Q19" s="73" ph="1">
        <f>Q18*9.0746*LOOKUP(Q20,密度!$A$2:$A$50,密度!$Q$2:$Q$50)</f>
        <v>58984.010507708001</v>
      </c>
      <c r="R19" s="73" ph="1">
        <f>MAX(R18*9.0746*LOOKUP(R20,密度!$A$2:$A$50,密度!$B$2:$B$50),0)</f>
        <v>0</v>
      </c>
      <c r="S19" s="73" ph="1">
        <f>S18*9.0746*LOOKUP(S20,密度!$A$2:$A$50,密度!$Q$2:$Q$50)</f>
        <v>31725.152061052006</v>
      </c>
      <c r="T19" s="73" ph="1">
        <f>T18*9.0746*LOOKUP(T20,密度!$A$2:$A$50,密度!$O$2:$O$50)</f>
        <v>21940.440835600002</v>
      </c>
      <c r="U19" s="73" ph="1">
        <f>U18*9.0746*LOOKUP(U20,密度!$A$2:$A$50,密度!$H$2:$H$50)</f>
        <v>50376.234429540003</v>
      </c>
      <c r="V19" s="73" ph="1">
        <f>MAX(5600*LOOKUP(V20,密度!$A$2:$A$50,密度!$Q$2:$Q$50)+V18*9.0476*LOOKUP(V20,密度!$A$2:$A$50,密度!$Q$2:$Q$50),0)</f>
        <v>4076.2627644960003</v>
      </c>
      <c r="W19" s="73" ph="1">
        <f>MAX(5600*LOOKUP(W20,密度!$A$2:$A$50,密度!$Q$2:$Q$50)+W18*9.0476*LOOKUP(W20,密度!$A$2:$A$50,密度!$Q$2:$Q$50),0)</f>
        <v>23878.243425036002</v>
      </c>
      <c r="X19" s="73" ph="1">
        <f>MAX(5600*LOOKUP(X20,密度!$A$2:$A$50,密度!$I$2:$I$50)+X18*9.0476*LOOKUP(X20,密度!$A$2:$A$50,密度!$I$2:$I$50),0)</f>
        <v>3789.8487878400006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43328.175009000006</v>
      </c>
      <c r="AB19" s="73" ph="1">
        <f>AB18*9.0746*LOOKUP(AB20,密度!$A$2:$A$50,密度!$L$2:$L$50)</f>
        <v>51091.994412000007</v>
      </c>
      <c r="AC19" s="73" ph="1">
        <f>AC18*9.0746*LOOKUP(AC20,密度!$A$2:$A$50,密度!$L$2:$L$50)</f>
        <v>26441.1974214</v>
      </c>
      <c r="AD19" s="73" ph="1">
        <f>AD18*268.68*LOOKUP(AD20,密度!$A$2:$A$50,密度!B5:B53)+IF(AD18&lt;=0,0,1566*LOOKUP(AD20,密度!$A$2:$A$50,密度!B5:B53))</f>
        <v>14736.361953600001</v>
      </c>
      <c r="AE19" s="73" ph="1">
        <f>AE18*268.68*LOOKUP(AE20,密度!$A$2:$A$50,密度!B5:B53)+IF(AE18&lt;=0,0,1566*LOOKUP(AE20,密度!$A$2:$A$50,密度!B5:B53))</f>
        <v>18819.792835199998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17" ph="1"/>
      <c r="C20" s="80" t="s" ph="1">
        <v>180</v>
      </c>
      <c r="D20" s="81">
        <v>29</v>
      </c>
      <c r="E20" s="81">
        <v>29</v>
      </c>
      <c r="F20" s="81">
        <v>31</v>
      </c>
      <c r="G20" s="81">
        <v>27</v>
      </c>
      <c r="H20" s="81">
        <v>26</v>
      </c>
      <c r="I20" s="81">
        <v>31</v>
      </c>
      <c r="J20" s="81">
        <v>30</v>
      </c>
      <c r="K20" s="81">
        <v>28</v>
      </c>
      <c r="L20" s="81">
        <v>28</v>
      </c>
      <c r="M20" s="81">
        <v>30</v>
      </c>
      <c r="N20" s="81">
        <v>26</v>
      </c>
      <c r="O20" s="81">
        <v>29</v>
      </c>
      <c r="P20" s="81">
        <v>28</v>
      </c>
      <c r="Q20" s="81">
        <v>29</v>
      </c>
      <c r="R20" s="81">
        <v>31</v>
      </c>
      <c r="S20" s="81">
        <v>28</v>
      </c>
      <c r="T20" s="81">
        <v>28</v>
      </c>
      <c r="U20" s="81">
        <v>27</v>
      </c>
      <c r="V20" s="81">
        <v>28</v>
      </c>
      <c r="W20" s="81">
        <v>29</v>
      </c>
      <c r="X20" s="81">
        <v>32</v>
      </c>
      <c r="Y20" s="110">
        <v>32</v>
      </c>
      <c r="Z20" s="81">
        <v>31</v>
      </c>
      <c r="AA20" s="81">
        <v>28</v>
      </c>
      <c r="AB20" s="81">
        <v>32</v>
      </c>
      <c r="AC20" s="81">
        <v>29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15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633</v>
      </c>
      <c r="H23" s="88" t="s" ph="1">
        <v>633</v>
      </c>
      <c r="I23" s="88" t="s" ph="1">
        <v>634</v>
      </c>
      <c r="J23" s="88" t="s" ph="1">
        <v>635</v>
      </c>
      <c r="K23" s="88" t="s" ph="1">
        <v>635</v>
      </c>
      <c r="L23" s="88" t="s" ph="1">
        <v>635</v>
      </c>
      <c r="M23" s="88" t="s" ph="1">
        <v>630</v>
      </c>
      <c r="N23" s="88" t="s" ph="1">
        <v>630</v>
      </c>
      <c r="O23" s="88" t="s" ph="1">
        <v>321</v>
      </c>
      <c r="P23" s="88" t="s" ph="1">
        <v>637</v>
      </c>
      <c r="Q23" s="89" t="s" ph="1">
        <v>637</v>
      </c>
      <c r="R23" s="88" t="s" ph="1">
        <v>616</v>
      </c>
      <c r="S23" s="88" t="s" ph="1">
        <v>636</v>
      </c>
      <c r="T23" s="88" t="s" ph="1">
        <v>607</v>
      </c>
      <c r="U23" s="88" t="s" ph="1">
        <v>611</v>
      </c>
      <c r="V23" s="88" t="s" ph="1">
        <v>637</v>
      </c>
      <c r="W23" s="88" t="s" ph="1">
        <v>637</v>
      </c>
      <c r="X23" s="88" t="s" ph="1">
        <v>190</v>
      </c>
      <c r="Y23" s="88" t="s" ph="1">
        <v>638</v>
      </c>
      <c r="Z23" s="228" t="s" ph="1">
        <v>648</v>
      </c>
      <c r="AA23" s="229"/>
      <c r="AB23" s="229"/>
      <c r="AC23" s="229"/>
      <c r="AD23" s="229"/>
      <c r="AE23" s="230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37" ph="1">
        <v>0.33333333333333331</v>
      </c>
      <c r="C24" s="161" t="s" ph="1">
        <v>178</v>
      </c>
      <c r="D24" s="71">
        <v>68.63</v>
      </c>
      <c r="E24" s="71">
        <v>3.92</v>
      </c>
      <c r="F24" s="71">
        <v>3883</v>
      </c>
      <c r="G24" s="71">
        <v>2395</v>
      </c>
      <c r="H24" s="71">
        <v>2140</v>
      </c>
      <c r="I24" s="71">
        <v>778</v>
      </c>
      <c r="J24" s="71">
        <v>4896</v>
      </c>
      <c r="K24" s="71">
        <v>5504</v>
      </c>
      <c r="L24" s="71">
        <v>5604</v>
      </c>
      <c r="M24" s="71">
        <v>2221</v>
      </c>
      <c r="N24" s="71">
        <v>2660</v>
      </c>
      <c r="O24" s="71">
        <v>4318</v>
      </c>
      <c r="P24" s="71">
        <v>354</v>
      </c>
      <c r="Q24" s="90">
        <v>1997</v>
      </c>
      <c r="R24" s="71">
        <v>851</v>
      </c>
      <c r="S24" s="71">
        <v>7032</v>
      </c>
      <c r="T24" s="71">
        <v>1762</v>
      </c>
      <c r="U24" s="71">
        <v>6393</v>
      </c>
      <c r="V24" s="71">
        <v>10821</v>
      </c>
      <c r="W24" s="71">
        <v>11713</v>
      </c>
      <c r="X24" s="71">
        <v>4662</v>
      </c>
      <c r="Y24" s="71">
        <v>1910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37" ph="1"/>
      <c r="C25" s="68" t="s" ph="1">
        <v>179</v>
      </c>
      <c r="D25" s="91" ph="1">
        <f>D24*268.68*LOOKUP(D26,密度!$A$2:$A$50,密度!$Q$2:$Q$50)+IF(D24&lt;=0,0,1566*LOOKUP(D26,密度!$A$2:$A$50,密度!$Q$2:$Q$50))</f>
        <v>18940.015022616</v>
      </c>
      <c r="E25" s="91" ph="1">
        <f>E24*268.68*LOOKUP(E26,密度!$A$2:$A$50,密度!$C$2:$C$50)+IF(E24&lt;=0,0,1566*LOOKUP(E26,密度!$A$2:$A$50,密度!$C$2:$C$50))</f>
        <v>2904.4592678399999</v>
      </c>
      <c r="F25" s="91" ph="1">
        <f>F24*11.702*LOOKUP(F26,密度!$A$2:$A$50,密度!$Q$2:$Q$50)</f>
        <v>43018.791996840002</v>
      </c>
      <c r="G25" s="91" ph="1">
        <f>G24*18.322*LOOKUP(G26,密度!$A$2:$A$50,密度!$B$2:$B$50)</f>
        <v>34170.282652999995</v>
      </c>
      <c r="H25" s="91" ph="1">
        <f>H24*18.322*LOOKUP(H26,密度!$A$2:$A$50,密度!$B$2:$B$50)</f>
        <v>30532.110595999999</v>
      </c>
      <c r="I25" s="91" ph="1">
        <f>I24*18.322*LOOKUP(I26,密度!$A$2:$A$50,密度!$Q$2:$Q$50)</f>
        <v>13475.07906512</v>
      </c>
      <c r="J25" s="91" ph="1">
        <f>J24*18.322*LOOKUP(J26,密度!$A$2:$A$50,密度!$Q$2:$Q$50)</f>
        <v>84863.159487360012</v>
      </c>
      <c r="K25" s="91" ph="1">
        <f>K24*18.322*LOOKUP(K26,密度!$A$2:$A$50,密度!$Q$2:$Q$50)</f>
        <v>95473.321221120001</v>
      </c>
      <c r="L25" s="91" ph="1">
        <f>L24*18.322*LOOKUP(L26,密度!$A$2:$A$50,密度!$Q$2:$Q$50)</f>
        <v>97207.938249119994</v>
      </c>
      <c r="M25" s="91" ph="1">
        <f>M24*18.322*LOOKUP(M26,密度!$A$2:$A$50,密度!$Q$2:$Q$50)</f>
        <v>38525.844191879994</v>
      </c>
      <c r="N25" s="91" ph="1">
        <f>N24*18.322*LOOKUP(N26,密度!$A$2:$A$50,密度!$Q$2:$Q$50)</f>
        <v>46106.210015600001</v>
      </c>
      <c r="O25" s="91" ph="1">
        <f>O24*18.322*LOOKUP(O26,密度!$A$2:$A$50,密度!$C$2:$C$50)</f>
        <v>87666.662207600006</v>
      </c>
      <c r="P25" s="91" ph="1">
        <f>P24*11.702*LOOKUP(P26,密度!$A$2:$A$50,密度!$B$2:$B$50)</f>
        <v>3222.4569732</v>
      </c>
      <c r="Q25" s="92" ph="1">
        <f>Q24*18.322*LOOKUP(Q26,密度!$A$2:$A$50,密度!$B$2:$B$50)</f>
        <v>28462.609548600001</v>
      </c>
      <c r="R25" s="91" ph="1">
        <f>R24*35.891*LOOKUP(R26,密度!$A$2:$A$50,密度!$C$2:$C$50)</f>
        <v>33844.9653521</v>
      </c>
      <c r="S25" s="91" ph="1">
        <f>S24*35.891*LOOKUP(S26,密度!$A$2:$A$50,密度!$B$2:$B$50)</f>
        <v>196759.74515519998</v>
      </c>
      <c r="T25" s="91" ph="1">
        <f>T24*35.891*LOOKUP(T26,密度!$A$2:$A$50,密度!$Q$2:$Q$50)</f>
        <v>59826.882330259999</v>
      </c>
      <c r="U25" s="91" ph="1">
        <f>U24*35.891</f>
        <v>229451.163</v>
      </c>
      <c r="V25" s="91" ph="1">
        <f>V24*47.051*LOOKUP(V26,密度!$A$2:$A$50,密度!$B$2:$B$50)</f>
        <v>396059.12775090005</v>
      </c>
      <c r="W25" s="91" ph="1">
        <f>W24*47.051*LOOKUP(W26,密度!$A$2:$A$50,密度!$B$2:$B$50)</f>
        <v>429148.0822681</v>
      </c>
      <c r="X25" s="91" ph="1">
        <f>X24*47.051*LOOKUP(X26,密度!$A$2:$A$50,密度!$I$2:$I$50)</f>
        <v>227884.54554180001</v>
      </c>
      <c r="Y25" s="91" ph="1">
        <f>Y24*47.051*LOOKUP(Y26,密度!$A$2:$A$50,密度!$L$2:$L$50)</f>
        <v>83756.426120000004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37" ph="1"/>
      <c r="C26" s="68" t="s" ph="1">
        <v>180</v>
      </c>
      <c r="D26" s="74">
        <v>25</v>
      </c>
      <c r="E26" s="74">
        <v>25</v>
      </c>
      <c r="F26" s="74">
        <v>25</v>
      </c>
      <c r="G26" s="74">
        <v>26</v>
      </c>
      <c r="H26" s="74">
        <v>26</v>
      </c>
      <c r="I26" s="74">
        <v>27</v>
      </c>
      <c r="J26" s="74">
        <v>26</v>
      </c>
      <c r="K26" s="74">
        <v>25</v>
      </c>
      <c r="L26" s="74">
        <v>25</v>
      </c>
      <c r="M26" s="74">
        <v>25</v>
      </c>
      <c r="N26" s="74">
        <v>26</v>
      </c>
      <c r="O26" s="74">
        <v>26</v>
      </c>
      <c r="P26" s="74">
        <v>27</v>
      </c>
      <c r="Q26" s="93">
        <v>27</v>
      </c>
      <c r="R26" s="74">
        <v>26</v>
      </c>
      <c r="S26" s="74">
        <v>25</v>
      </c>
      <c r="T26" s="74">
        <v>26</v>
      </c>
      <c r="U26" s="74">
        <v>26</v>
      </c>
      <c r="V26" s="74">
        <v>27</v>
      </c>
      <c r="W26" s="74">
        <v>26</v>
      </c>
      <c r="X26" s="74">
        <v>28</v>
      </c>
      <c r="Y26" s="74">
        <v>30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65" ph="1">
      <c r="A27" s="72" ph="1"/>
      <c r="B27" s="237" ph="1">
        <v>0.66666666666666663</v>
      </c>
      <c r="C27" s="161" t="s" ph="1">
        <v>181</v>
      </c>
      <c r="D27" s="71">
        <v>68.650000000000006</v>
      </c>
      <c r="E27" s="71">
        <v>3.92</v>
      </c>
      <c r="F27" s="71">
        <v>3882</v>
      </c>
      <c r="G27" s="71">
        <v>2196</v>
      </c>
      <c r="H27" s="71">
        <v>1076</v>
      </c>
      <c r="I27" s="71">
        <v>777</v>
      </c>
      <c r="J27" s="71">
        <v>4894</v>
      </c>
      <c r="K27" s="71">
        <v>5502</v>
      </c>
      <c r="L27" s="71">
        <v>5601</v>
      </c>
      <c r="M27" s="71">
        <v>3436</v>
      </c>
      <c r="N27" s="71">
        <v>2658</v>
      </c>
      <c r="O27" s="71">
        <v>4317</v>
      </c>
      <c r="P27" s="71">
        <v>352</v>
      </c>
      <c r="Q27" s="90">
        <v>2491</v>
      </c>
      <c r="R27" s="71">
        <v>849</v>
      </c>
      <c r="S27" s="71">
        <v>7029</v>
      </c>
      <c r="T27" s="71">
        <v>1761</v>
      </c>
      <c r="U27" s="71">
        <v>6349</v>
      </c>
      <c r="V27" s="71">
        <v>10820</v>
      </c>
      <c r="W27" s="71">
        <v>11710</v>
      </c>
      <c r="X27" s="71">
        <v>4661</v>
      </c>
      <c r="Y27" s="71">
        <v>2346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37" ph="1"/>
      <c r="C28" s="161" t="s" ph="1">
        <v>179</v>
      </c>
      <c r="D28" s="91" ph="1">
        <f>D27*268.68*LOOKUP(D29,密度!$A$2:$A$50,密度!$Q$2:$Q$50)+IF(D27&lt;=0,0,1566*LOOKUP(D29,密度!$A$2:$A$50,密度!$Q$2:$Q$50))</f>
        <v>18945.102424680004</v>
      </c>
      <c r="E28" s="91" ph="1">
        <f>E27*268.68*LOOKUP(E29,密度!$A$2:$A$50,密度!$C$2:$C$50)+IF(E27&lt;=0,0,1566*LOOKUP(E29,密度!$A$2:$A$50,密度!$C$2:$C$50))</f>
        <v>2904.4592678399999</v>
      </c>
      <c r="F28" s="91" ph="1">
        <f>F27*11.702*LOOKUP(F29,密度!$A$2:$A$50,密度!$Q$2:$Q$50)</f>
        <v>42975.459958920001</v>
      </c>
      <c r="G28" s="91" ph="1">
        <f>G27*18.322*LOOKUP(G29,密度!$A$2:$A$50,密度!$B$2:$B$50)</f>
        <v>31298.893624800003</v>
      </c>
      <c r="H28" s="91" ph="1">
        <f>H27*18.322*LOOKUP(H29,密度!$A$2:$A$50,密度!$B$2:$B$50)</f>
        <v>15335.887768799999</v>
      </c>
      <c r="I28" s="91" ph="1">
        <f>I27*18.322*LOOKUP(I29,密度!$A$2:$A$50,密度!$Q$2:$Q$50)</f>
        <v>13447.793576279999</v>
      </c>
      <c r="J28" s="91" ph="1">
        <f>J27*18.322*LOOKUP(J29,密度!$A$2:$A$50,密度!$Q$2:$Q$50)</f>
        <v>84764.82897776</v>
      </c>
      <c r="K28" s="91" ph="1">
        <f>K27*18.322*LOOKUP(K29,密度!$A$2:$A$50,密度!$Q$2:$Q$50)</f>
        <v>95367.055453320005</v>
      </c>
      <c r="L28" s="91" ph="1">
        <f>L27*18.322*LOOKUP(L29,密度!$A$2:$A$50,密度!$Q$2:$Q$50)</f>
        <v>97083.038457660004</v>
      </c>
      <c r="M28" s="91" ph="1">
        <f>M27*18.322*LOOKUP(M29,密度!$A$2:$A$50,密度!$Q$2:$Q$50)</f>
        <v>59556.743463760002</v>
      </c>
      <c r="N28" s="91" ph="1">
        <f>N27*18.322*LOOKUP(N29,密度!$A$2:$A$50,密度!$Q$2:$Q$50)</f>
        <v>46036.966780319999</v>
      </c>
      <c r="O28" s="91" ph="1">
        <f>O27*18.322*LOOKUP(O29,密度!$A$2:$A$50,密度!$C$2:$C$50)</f>
        <v>87590.992347599982</v>
      </c>
      <c r="P28" s="91" ph="1">
        <f>P27*11.702*LOOKUP(P29,密度!$A$2:$A$50,密度!$B$2:$B$50)</f>
        <v>3200.5438080000004</v>
      </c>
      <c r="Q28" s="92" ph="1">
        <f>Q27*18.322*LOOKUP(Q29,密度!$A$2:$A$50,密度!$B$2:$B$50)</f>
        <v>35462.359254000003</v>
      </c>
      <c r="R28" s="91" ph="1">
        <f>R27*35.891*LOOKUP(R29,密度!$A$2:$A$50,密度!$C$2:$C$50)</f>
        <v>33744.093696599994</v>
      </c>
      <c r="S28" s="91" ph="1">
        <f>S27*35.891*LOOKUP(S29,密度!$A$2:$A$50,密度!$B$2:$B$50)</f>
        <v>196448.75322929997</v>
      </c>
      <c r="T28" s="91" ph="1">
        <f>T27*35.891*LOOKUP(T29,密度!$A$2:$A$50,密度!$Q$2:$Q$50)</f>
        <v>59748.053491320003</v>
      </c>
      <c r="U28" s="91" ph="1">
        <f>U27*35.891</f>
        <v>227871.959</v>
      </c>
      <c r="V28" s="91" ph="1">
        <f>V27*47.051*LOOKUP(V29,密度!$A$2:$A$50,密度!$B$2:$B$50)</f>
        <v>395564.34414</v>
      </c>
      <c r="W28" s="91" ph="1">
        <f>W27*47.051*LOOKUP(W29,密度!$A$2:$A$50,密度!$B$2:$B$50)</f>
        <v>428597.39265900006</v>
      </c>
      <c r="X28" s="91" ph="1">
        <f>X27*47.051*LOOKUP(X29,密度!$A$2:$A$50,密度!$I$2:$I$50)</f>
        <v>227572.49860470003</v>
      </c>
      <c r="Y28" s="91" ph="1">
        <f>Y27*47.051*LOOKUP(Y29,密度!$A$2:$A$50,密度!$L$2:$L$50)</f>
        <v>102875.69407200001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37" ph="1"/>
      <c r="C29" s="161" t="s" ph="1">
        <v>180</v>
      </c>
      <c r="D29" s="74">
        <v>25</v>
      </c>
      <c r="E29" s="74">
        <v>25</v>
      </c>
      <c r="F29" s="74">
        <v>26</v>
      </c>
      <c r="G29" s="74">
        <v>27</v>
      </c>
      <c r="H29" s="74">
        <v>27</v>
      </c>
      <c r="I29" s="74">
        <v>28</v>
      </c>
      <c r="J29" s="74">
        <v>27</v>
      </c>
      <c r="K29" s="74">
        <v>26</v>
      </c>
      <c r="L29" s="74">
        <v>26</v>
      </c>
      <c r="M29" s="74">
        <v>26</v>
      </c>
      <c r="N29" s="74">
        <v>27</v>
      </c>
      <c r="O29" s="74">
        <v>27</v>
      </c>
      <c r="P29" s="74">
        <v>28</v>
      </c>
      <c r="Q29" s="93">
        <v>28</v>
      </c>
      <c r="R29" s="74">
        <v>27</v>
      </c>
      <c r="S29" s="74">
        <v>26</v>
      </c>
      <c r="T29" s="74">
        <v>27</v>
      </c>
      <c r="U29" s="74">
        <v>27</v>
      </c>
      <c r="V29" s="74">
        <v>28</v>
      </c>
      <c r="W29" s="74">
        <v>27</v>
      </c>
      <c r="X29" s="74">
        <v>29</v>
      </c>
      <c r="Y29" s="74">
        <v>30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45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61" t="s" ph="1">
        <v>5</v>
      </c>
      <c r="F32" s="160" t="s" ph="1">
        <v>43</v>
      </c>
      <c r="G32" s="97" t="s" ph="1">
        <v>4</v>
      </c>
      <c r="H32" s="161" t="s" ph="1">
        <v>5</v>
      </c>
      <c r="I32" s="160" t="s" ph="1">
        <v>43</v>
      </c>
      <c r="J32" s="97" t="s" ph="1">
        <v>4</v>
      </c>
      <c r="K32" s="161" t="s" ph="1">
        <v>5</v>
      </c>
      <c r="L32" s="160" t="s" ph="1">
        <v>43</v>
      </c>
      <c r="M32" s="97" t="s" ph="1">
        <v>4</v>
      </c>
      <c r="N32" s="161" t="s" ph="1">
        <v>5</v>
      </c>
      <c r="O32" s="160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1" t="s" ph="1">
        <v>5</v>
      </c>
      <c r="U32" s="99" t="s" ph="1">
        <v>43</v>
      </c>
      <c r="V32" s="97" t="s" ph="1">
        <v>4</v>
      </c>
      <c r="W32" s="161" t="s" ph="1">
        <v>5</v>
      </c>
      <c r="X32" s="99" t="s" ph="1">
        <v>43</v>
      </c>
      <c r="Y32" s="100" t="s" ph="1">
        <v>4</v>
      </c>
      <c r="Z32" s="161" t="s" ph="1">
        <v>5</v>
      </c>
      <c r="AA32" s="160" t="s" ph="1">
        <v>43</v>
      </c>
      <c r="AB32" s="97" t="s" ph="1">
        <v>85</v>
      </c>
      <c r="AC32" s="161" t="s" ph="1">
        <v>84</v>
      </c>
      <c r="AD32" s="204" t="s" ph="1">
        <v>83</v>
      </c>
      <c r="AE32" s="205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06" t="s" ph="1">
        <v>182</v>
      </c>
      <c r="C33" s="207" ph="1"/>
      <c r="D33" s="186" ph="1">
        <f>AA10+AB10+Z19</f>
        <v>43868.320463600001</v>
      </c>
      <c r="E33" s="186" ph="1">
        <f>M10+I10</f>
        <v>145881.72979359998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1522252632456786910111213141516171819202123456789101112131415161718192022232424356789101112131415161718192021222345678910111213141516171819202345678910111213149101516171819222123234567891012131415161711181920212224252345678910111213123[[#This Row],[F25]]</f>
        <v>3880</v>
      </c>
      <c r="G33" s="212" ph="1">
        <v>0</v>
      </c>
      <c r="H33" s="186" ph="1">
        <f>N19</f>
        <v>37621.987579979999</v>
      </c>
      <c r="I33" s="190" ph="1">
        <v>0</v>
      </c>
      <c r="J33" s="194" ph="1">
        <f>F10+O28</f>
        <v>292801.06203000003</v>
      </c>
      <c r="K33" s="186" ph="1">
        <f>O10+K10+E28+R28</f>
        <v>153581.41665483997</v>
      </c>
      <c r="L33" s="196" ph="1">
        <f>BE27</f>
        <v>7100</v>
      </c>
      <c r="M33" s="194" ph="1">
        <f>G10+H10+W28+S28+V28+E10</f>
        <v>1862737.5826532999</v>
      </c>
      <c r="N33" s="186" ph="1">
        <f>L10+P10++G28+H28</f>
        <v>134934.2626356</v>
      </c>
      <c r="O33" s="190" ph="1">
        <f>BE17</f>
        <v>2270</v>
      </c>
      <c r="P33" s="194" ph="1">
        <f>L19</f>
        <v>20075.670427960002</v>
      </c>
      <c r="Q33" s="186" ph="1">
        <f>J10+N10</f>
        <v>32142.447501099996</v>
      </c>
      <c r="R33" s="190" ph="1">
        <f>BE23</f>
        <v>890</v>
      </c>
      <c r="S33" s="194" ph="1">
        <f>E10+X28</f>
        <v>546993.22040070011</v>
      </c>
      <c r="T33" s="186" ph="1">
        <f>X19</f>
        <v>3789.8487878400006</v>
      </c>
      <c r="U33" s="175" ph="1">
        <f>BE21</f>
        <v>730</v>
      </c>
      <c r="V33" s="188" ph="1">
        <f ca="1">P19+Q19+S19+M28+N28+J28</f>
        <v>325290.900786268</v>
      </c>
      <c r="W33" s="188" ph="1">
        <f>D28+F28+V19+T28</f>
        <v>125744.87863941601</v>
      </c>
      <c r="X33" s="190" ph="1">
        <f>BE29+BE31</f>
        <v>10200</v>
      </c>
      <c r="Y33" s="192" ph="1">
        <f>+Q10+R10+S10+T10+U10+V10+W10+X10+Y10</f>
        <v>107681.80125780002</v>
      </c>
      <c r="Z33" s="173" ph="1">
        <f>D10+T19+U19+Y28+Z10</f>
        <v>498778.07223328005</v>
      </c>
      <c r="AA33" s="175" ph="1">
        <f>BE19</f>
        <v>1440</v>
      </c>
      <c r="AB33" s="177" ph="1">
        <f>I19</f>
        <v>4642.0027347999994</v>
      </c>
      <c r="AC33" s="179" ph="1">
        <f>AD10</f>
        <v>66021.253200000006</v>
      </c>
      <c r="AD33" s="181" ph="1">
        <v>0</v>
      </c>
      <c r="AE33" s="182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85" t="s" ph="1">
        <v>639</v>
      </c>
      <c r="AD35" s="185"/>
      <c r="AE35" s="185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45" ph="1">
      <c r="A36" s="64"/>
      <c r="B36" s="103" t="s" ph="1">
        <v>183</v>
      </c>
      <c r="I36" s="171" t="s" ph="1">
        <v>184</v>
      </c>
      <c r="J36" s="171" ph="1"/>
      <c r="K36" s="101" ph="1"/>
      <c r="P36" s="101" ph="1"/>
      <c r="R36" s="171" t="s" ph="1">
        <v>185</v>
      </c>
      <c r="S36" s="171" ph="1"/>
      <c r="Y36" s="102" ph="1"/>
      <c r="Z36" s="159" t="s" ph="1">
        <v>186</v>
      </c>
      <c r="AA36" s="159" ph="1"/>
      <c r="AB36" s="172" t="s" ph="1">
        <v>644</v>
      </c>
      <c r="AC36" s="172" ph="1"/>
      <c r="AD36" s="172" ph="1"/>
      <c r="AE36" s="172" ph="1"/>
      <c r="BA36" s="64" ph="1">
        <v>2270</v>
      </c>
    </row>
    <row r="37" spans="1:57" s="15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9" t="s" ph="1">
        <v>345</v>
      </c>
      <c r="AI37" s="159" t="s" ph="1">
        <v>212</v>
      </c>
      <c r="AJ37" s="159" t="s" ph="1">
        <v>213</v>
      </c>
      <c r="AK37" s="159" t="s" ph="1">
        <v>214</v>
      </c>
      <c r="AM37" s="159" t="s" ph="1">
        <v>213</v>
      </c>
      <c r="AN37" s="159" t="s" ph="1">
        <v>214</v>
      </c>
      <c r="AO37" s="159" t="s" ph="1">
        <v>215</v>
      </c>
      <c r="AP37" s="159" t="s" ph="1">
        <v>213</v>
      </c>
      <c r="AQ37" s="159" t="s" ph="1">
        <v>214</v>
      </c>
      <c r="AR37" s="159" t="s" ph="1">
        <v>215</v>
      </c>
      <c r="AS37" s="159" t="s" ph="1">
        <v>213</v>
      </c>
      <c r="AT37" s="159" t="s" ph="1">
        <v>214</v>
      </c>
      <c r="AU37" s="159" t="s" ph="1">
        <v>215</v>
      </c>
      <c r="AV37" s="159" t="s" ph="1">
        <v>213</v>
      </c>
      <c r="AW37" s="159" t="s" ph="1">
        <v>214</v>
      </c>
      <c r="AX37" s="159" t="s" ph="1">
        <v>215</v>
      </c>
      <c r="AY37" s="159" t="s" ph="1">
        <v>214</v>
      </c>
      <c r="AZ37" s="159" t="s" ph="1">
        <v>216</v>
      </c>
      <c r="BD37" s="159" t="s" ph="1">
        <v>308</v>
      </c>
      <c r="BE37" s="159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53" priority="97">
      <formula>ABS(D$7-D$10)&gt;=1000</formula>
    </cfRule>
  </conditionalFormatting>
  <conditionalFormatting sqref="E4 E6:E11">
    <cfRule type="expression" dxfId="252" priority="96">
      <formula>ABS(E$7-E$10)&gt;=1000</formula>
    </cfRule>
  </conditionalFormatting>
  <conditionalFormatting sqref="F4:F11">
    <cfRule type="expression" dxfId="251" priority="95">
      <formula>ABS(F$7-F$10)&gt;=1000</formula>
    </cfRule>
  </conditionalFormatting>
  <conditionalFormatting sqref="G4:G11">
    <cfRule type="expression" dxfId="250" priority="94">
      <formula>ABS(G$7-G$10)&gt;=1000</formula>
    </cfRule>
  </conditionalFormatting>
  <conditionalFormatting sqref="H4:H11">
    <cfRule type="expression" dxfId="249" priority="93">
      <formula>ABS(H$7-H$10)&gt;=1000</formula>
    </cfRule>
  </conditionalFormatting>
  <conditionalFormatting sqref="I4:I11">
    <cfRule type="expression" dxfId="248" priority="92">
      <formula>ABS(I$7-I$10)&gt;=1000</formula>
    </cfRule>
  </conditionalFormatting>
  <conditionalFormatting sqref="J4:J11">
    <cfRule type="expression" dxfId="247" priority="91">
      <formula>ABS(J$7-J$10)&gt;=1000</formula>
    </cfRule>
  </conditionalFormatting>
  <conditionalFormatting sqref="K4:K11">
    <cfRule type="expression" dxfId="246" priority="90">
      <formula>ABS(K$7-K$10)&gt;=1000</formula>
    </cfRule>
  </conditionalFormatting>
  <conditionalFormatting sqref="L4:L11">
    <cfRule type="expression" dxfId="245" priority="89">
      <formula>ABS(L$7-L$10)&gt;=1000</formula>
    </cfRule>
  </conditionalFormatting>
  <conditionalFormatting sqref="M4 M6:M11">
    <cfRule type="expression" dxfId="244" priority="88">
      <formula>ABS(M$7-M$10)&gt;=1000</formula>
    </cfRule>
  </conditionalFormatting>
  <conditionalFormatting sqref="N4 N6:N11">
    <cfRule type="expression" dxfId="243" priority="87">
      <formula>ABS(N$7-N$10)&gt;=1000</formula>
    </cfRule>
  </conditionalFormatting>
  <conditionalFormatting sqref="O4 O6:O11">
    <cfRule type="expression" dxfId="242" priority="86">
      <formula>ABS(O$7-O$10)&gt;=1000</formula>
    </cfRule>
  </conditionalFormatting>
  <conditionalFormatting sqref="P4 P6:P11">
    <cfRule type="expression" dxfId="241" priority="85">
      <formula>ABS(P$7-P$10)&gt;=1000</formula>
    </cfRule>
  </conditionalFormatting>
  <conditionalFormatting sqref="Q4:Q11">
    <cfRule type="expression" dxfId="240" priority="84">
      <formula>ABS(Q$7-Q$10)&gt;=1000</formula>
    </cfRule>
  </conditionalFormatting>
  <conditionalFormatting sqref="R4:R11">
    <cfRule type="expression" dxfId="239" priority="83">
      <formula>ABS(R$7-R$10)&gt;=1000</formula>
    </cfRule>
  </conditionalFormatting>
  <conditionalFormatting sqref="S4:S11">
    <cfRule type="expression" dxfId="238" priority="82">
      <formula>ABS(S$7-S$10)&gt;=1000</formula>
    </cfRule>
  </conditionalFormatting>
  <conditionalFormatting sqref="T4:T9 T11">
    <cfRule type="expression" dxfId="237" priority="81">
      <formula>ABS(T$7-T$10)&gt;=1000</formula>
    </cfRule>
  </conditionalFormatting>
  <conditionalFormatting sqref="U4:U9 U11">
    <cfRule type="expression" dxfId="236" priority="80">
      <formula>ABS(U$7-U$10)&gt;=1000</formula>
    </cfRule>
  </conditionalFormatting>
  <conditionalFormatting sqref="V4:V9 V11">
    <cfRule type="expression" dxfId="235" priority="79">
      <formula>ABS(V$7-V$10)&gt;=1000</formula>
    </cfRule>
  </conditionalFormatting>
  <conditionalFormatting sqref="W4:W9 W11">
    <cfRule type="expression" dxfId="234" priority="78">
      <formula>ABS(W$7-W$10)&gt;=1000</formula>
    </cfRule>
  </conditionalFormatting>
  <conditionalFormatting sqref="X4:X9 X11">
    <cfRule type="expression" dxfId="233" priority="77">
      <formula>ABS(X$7-X$10)&gt;=1000</formula>
    </cfRule>
  </conditionalFormatting>
  <conditionalFormatting sqref="Y4:Y9 Y11">
    <cfRule type="expression" dxfId="232" priority="76">
      <formula>ABS(Y$7-Y$10)&gt;=1000</formula>
    </cfRule>
  </conditionalFormatting>
  <conditionalFormatting sqref="Z4:Z11">
    <cfRule type="expression" dxfId="231" priority="75">
      <formula>ABS(Z$7-Z$10)&gt;=1000</formula>
    </cfRule>
  </conditionalFormatting>
  <conditionalFormatting sqref="AA4:AA11">
    <cfRule type="expression" dxfId="230" priority="74">
      <formula>ABS(AA$7-AA$10)&gt;=1000</formula>
    </cfRule>
  </conditionalFormatting>
  <conditionalFormatting sqref="AB4:AB11">
    <cfRule type="expression" dxfId="229" priority="73">
      <formula>ABS(AB$7-AB$10)&gt;=1000</formula>
    </cfRule>
  </conditionalFormatting>
  <conditionalFormatting sqref="AC4 AC6:AC11">
    <cfRule type="expression" dxfId="228" priority="72">
      <formula>ABS(AC$7-AC$10)&gt;=1000</formula>
    </cfRule>
  </conditionalFormatting>
  <conditionalFormatting sqref="AD4:AD11">
    <cfRule type="expression" dxfId="227" priority="71">
      <formula>ABS(AD$7-AD$10)&gt;=1000</formula>
    </cfRule>
  </conditionalFormatting>
  <conditionalFormatting sqref="AE4:AE11">
    <cfRule type="expression" dxfId="226" priority="70">
      <formula>ABS(AE$7-AE$10)&gt;=1000</formula>
    </cfRule>
  </conditionalFormatting>
  <conditionalFormatting sqref="D13:D20">
    <cfRule type="expression" dxfId="225" priority="69">
      <formula>ABS(D$16-D$19)&gt;=1000</formula>
    </cfRule>
  </conditionalFormatting>
  <conditionalFormatting sqref="E13:E20">
    <cfRule type="expression" dxfId="224" priority="68">
      <formula>ABS(E$16-E$19)&gt;=1000</formula>
    </cfRule>
  </conditionalFormatting>
  <conditionalFormatting sqref="F13 F15:F20">
    <cfRule type="expression" dxfId="223" priority="67">
      <formula>ABS(F$16-F$19)&gt;=1000</formula>
    </cfRule>
  </conditionalFormatting>
  <conditionalFormatting sqref="G13:G20">
    <cfRule type="expression" dxfId="222" priority="66">
      <formula>ABS(G$16-G$19)&gt;=1000</formula>
    </cfRule>
  </conditionalFormatting>
  <conditionalFormatting sqref="H13:H20">
    <cfRule type="expression" dxfId="221" priority="65">
      <formula>ABS(H$16-H$19)&gt;=1000</formula>
    </cfRule>
  </conditionalFormatting>
  <conditionalFormatting sqref="I13:I20">
    <cfRule type="expression" dxfId="220" priority="64">
      <formula>ABS(I$16-I$19)&gt;=1000</formula>
    </cfRule>
  </conditionalFormatting>
  <conditionalFormatting sqref="J13:J20">
    <cfRule type="expression" dxfId="219" priority="63">
      <formula>ABS(J$16-J$19)&gt;=1000</formula>
    </cfRule>
  </conditionalFormatting>
  <conditionalFormatting sqref="L13:L20">
    <cfRule type="expression" dxfId="218" priority="62">
      <formula>ABS(L$16-L$19)&gt;=1000</formula>
    </cfRule>
  </conditionalFormatting>
  <conditionalFormatting sqref="M13 M15 M17:M18 M20">
    <cfRule type="expression" dxfId="217" priority="61">
      <formula>ABS(M$16-M$19)&gt;=1000</formula>
    </cfRule>
  </conditionalFormatting>
  <conditionalFormatting sqref="N13:N20">
    <cfRule type="expression" dxfId="216" priority="60">
      <formula>ABS(N$16-N$19)&gt;=1000</formula>
    </cfRule>
  </conditionalFormatting>
  <conditionalFormatting sqref="O13:O20">
    <cfRule type="expression" dxfId="215" priority="59">
      <formula>ABS(O$16-O$19)&gt;=1000</formula>
    </cfRule>
  </conditionalFormatting>
  <conditionalFormatting sqref="P13:P20">
    <cfRule type="expression" dxfId="214" priority="58">
      <formula>ABS(P$16-P$19)&gt;=1000</formula>
    </cfRule>
  </conditionalFormatting>
  <conditionalFormatting sqref="Q13 Q15:Q20">
    <cfRule type="expression" dxfId="213" priority="57">
      <formula>ABS(Q$16-Q$19)&gt;=1000</formula>
    </cfRule>
  </conditionalFormatting>
  <conditionalFormatting sqref="R13:R20">
    <cfRule type="expression" dxfId="212" priority="56">
      <formula>ABS(R$16-R$19)&gt;=1000</formula>
    </cfRule>
  </conditionalFormatting>
  <conditionalFormatting sqref="S13:S20">
    <cfRule type="expression" dxfId="211" priority="55">
      <formula>ABS(S$16-S$19)&gt;=1000</formula>
    </cfRule>
  </conditionalFormatting>
  <conditionalFormatting sqref="T13:T20">
    <cfRule type="expression" dxfId="210" priority="54">
      <formula>ABS(T$16-T$19)&gt;=1000</formula>
    </cfRule>
  </conditionalFormatting>
  <conditionalFormatting sqref="U13:U20">
    <cfRule type="expression" dxfId="209" priority="53">
      <formula>ABS(U$16-U$19)&gt;=1000</formula>
    </cfRule>
  </conditionalFormatting>
  <conditionalFormatting sqref="V13:V20">
    <cfRule type="expression" dxfId="208" priority="52">
      <formula>ABS(V$16-V$19)&gt;=1000</formula>
    </cfRule>
  </conditionalFormatting>
  <conditionalFormatting sqref="W13 W20 W15:W18">
    <cfRule type="expression" dxfId="207" priority="51">
      <formula>ABS(W$16-W$19)&gt;=1000</formula>
    </cfRule>
  </conditionalFormatting>
  <conditionalFormatting sqref="X13 X15:X20 Y19">
    <cfRule type="expression" dxfId="206" priority="50">
      <formula>ABS(X$16-X$19)&gt;=1000</formula>
    </cfRule>
  </conditionalFormatting>
  <conditionalFormatting sqref="Y13 Y15:Y18 Y20">
    <cfRule type="expression" dxfId="205" priority="49">
      <formula>ABS(Y$16-Y$19)&gt;=1000</formula>
    </cfRule>
  </conditionalFormatting>
  <conditionalFormatting sqref="Z13:Z20">
    <cfRule type="expression" dxfId="204" priority="48">
      <formula>ABS(Z$16-Z$19)&gt;=1000</formula>
    </cfRule>
  </conditionalFormatting>
  <conditionalFormatting sqref="AA13:AA20">
    <cfRule type="expression" dxfId="203" priority="47">
      <formula>ABS(AA$16-AA$19)&gt;=1000</formula>
    </cfRule>
  </conditionalFormatting>
  <conditionalFormatting sqref="AB13 AB15:AB20">
    <cfRule type="expression" dxfId="202" priority="46">
      <formula>ABS(AB$16-AB$19)&gt;=1000</formula>
    </cfRule>
  </conditionalFormatting>
  <conditionalFormatting sqref="AC13 AC15:AC20">
    <cfRule type="expression" dxfId="201" priority="45">
      <formula>ABS(AC$16-AC$19)&gt;=1000</formula>
    </cfRule>
  </conditionalFormatting>
  <conditionalFormatting sqref="AD13:AD20">
    <cfRule type="expression" dxfId="200" priority="44">
      <formula>ABS(AD$16-AD$19)&gt;=1000</formula>
    </cfRule>
  </conditionalFormatting>
  <conditionalFormatting sqref="AE13:AE20">
    <cfRule type="expression" dxfId="199" priority="43">
      <formula>ABS(AE$16-AE$19)&gt;=1000</formula>
    </cfRule>
  </conditionalFormatting>
  <conditionalFormatting sqref="D22:D29">
    <cfRule type="expression" dxfId="198" priority="42">
      <formula>ABS(D$25-D$28)&gt;=1000</formula>
    </cfRule>
  </conditionalFormatting>
  <conditionalFormatting sqref="E22:E29">
    <cfRule type="expression" dxfId="197" priority="41">
      <formula>ABS(E$25-E$28)&gt;=1000</formula>
    </cfRule>
  </conditionalFormatting>
  <conditionalFormatting sqref="F22:F29">
    <cfRule type="expression" dxfId="196" priority="40">
      <formula>ABS(F$25-F$28)&gt;=1000</formula>
    </cfRule>
  </conditionalFormatting>
  <conditionalFormatting sqref="G22:G29">
    <cfRule type="expression" dxfId="195" priority="39">
      <formula>ABS(G$25-G$28)&gt;=1000</formula>
    </cfRule>
  </conditionalFormatting>
  <conditionalFormatting sqref="H22:H29">
    <cfRule type="expression" dxfId="194" priority="38">
      <formula>ABS(H$25-H$28)&gt;=1000</formula>
    </cfRule>
  </conditionalFormatting>
  <conditionalFormatting sqref="I22 I24:I29">
    <cfRule type="expression" dxfId="193" priority="37">
      <formula>ABS(I$25-I$28)&gt;=1000</formula>
    </cfRule>
  </conditionalFormatting>
  <conditionalFormatting sqref="J22:J29 K22">
    <cfRule type="expression" dxfId="192" priority="36">
      <formula>ABS(J$25-J$28)&gt;=1000</formula>
    </cfRule>
  </conditionalFormatting>
  <conditionalFormatting sqref="K23:K29 L25 L28">
    <cfRule type="expression" dxfId="191" priority="35">
      <formula>ABS(K$25-K$28)&gt;=1000</formula>
    </cfRule>
  </conditionalFormatting>
  <conditionalFormatting sqref="L22 L26:L27 L29 L24">
    <cfRule type="expression" dxfId="190" priority="34">
      <formula>ABS(L$25-L$28)&gt;=1000</formula>
    </cfRule>
  </conditionalFormatting>
  <conditionalFormatting sqref="M22:M29">
    <cfRule type="expression" dxfId="189" priority="33">
      <formula>ABS(M$25-M$28)&gt;=1000</formula>
    </cfRule>
  </conditionalFormatting>
  <conditionalFormatting sqref="N22:N29">
    <cfRule type="expression" dxfId="188" priority="32">
      <formula>ABS(N$25-N$28)&gt;=1000</formula>
    </cfRule>
  </conditionalFormatting>
  <conditionalFormatting sqref="O22:O29">
    <cfRule type="expression" dxfId="187" priority="31">
      <formula>ABS(O$25-O$28)&gt;=1000</formula>
    </cfRule>
  </conditionalFormatting>
  <conditionalFormatting sqref="P22:P29">
    <cfRule type="expression" dxfId="186" priority="30">
      <formula>ABS(P$25-P$28)&gt;=1000</formula>
    </cfRule>
  </conditionalFormatting>
  <conditionalFormatting sqref="Q22:Q29">
    <cfRule type="expression" dxfId="185" priority="29">
      <formula>ABS(Q$25-Q$28)&gt;=1000</formula>
    </cfRule>
  </conditionalFormatting>
  <conditionalFormatting sqref="R22:R29">
    <cfRule type="expression" dxfId="184" priority="28">
      <formula>ABS(R$25-R$28)&gt;=1000</formula>
    </cfRule>
  </conditionalFormatting>
  <conditionalFormatting sqref="S22:S29">
    <cfRule type="expression" dxfId="183" priority="27">
      <formula>ABS(S$25-S$28)&gt;=1000</formula>
    </cfRule>
  </conditionalFormatting>
  <conditionalFormatting sqref="T22:T29">
    <cfRule type="expression" dxfId="182" priority="26">
      <formula>ABS(T$25-T$28)&gt;=1000</formula>
    </cfRule>
  </conditionalFormatting>
  <conditionalFormatting sqref="U22:U29">
    <cfRule type="expression" dxfId="181" priority="25">
      <formula>ABS(U$25-U$28)&gt;=1000</formula>
    </cfRule>
  </conditionalFormatting>
  <conditionalFormatting sqref="V22:V29">
    <cfRule type="expression" dxfId="180" priority="24">
      <formula>ABS(V$25-V$28)&gt;=1000</formula>
    </cfRule>
  </conditionalFormatting>
  <conditionalFormatting sqref="W22:W29">
    <cfRule type="expression" dxfId="179" priority="23">
      <formula>ABS(W$25-W$28)&gt;=1000</formula>
    </cfRule>
  </conditionalFormatting>
  <conditionalFormatting sqref="X22:X29">
    <cfRule type="expression" dxfId="178" priority="22">
      <formula>ABS(X$25-X$28)&gt;=1000</formula>
    </cfRule>
  </conditionalFormatting>
  <conditionalFormatting sqref="Y22:Y29">
    <cfRule type="expression" dxfId="177" priority="21">
      <formula>ABS(Y$25-Y$28)&gt;=1000</formula>
    </cfRule>
  </conditionalFormatting>
  <conditionalFormatting sqref="I23">
    <cfRule type="expression" dxfId="176" priority="20">
      <formula>ABS(I$25-I$28)&gt;=1000</formula>
    </cfRule>
  </conditionalFormatting>
  <conditionalFormatting sqref="F14">
    <cfRule type="expression" dxfId="175" priority="19">
      <formula>ABS(F$16-F$19)&gt;=1000</formula>
    </cfRule>
  </conditionalFormatting>
  <conditionalFormatting sqref="Q14">
    <cfRule type="expression" dxfId="174" priority="18">
      <formula>ABS(Q$16-Q$19)&gt;=1000</formula>
    </cfRule>
  </conditionalFormatting>
  <conditionalFormatting sqref="W14">
    <cfRule type="expression" dxfId="173" priority="17">
      <formula>ABS(W$16-W$19)&gt;=1000</formula>
    </cfRule>
  </conditionalFormatting>
  <conditionalFormatting sqref="Y14">
    <cfRule type="expression" dxfId="172" priority="16">
      <formula>ABS(Y$16-Y$19)&gt;=1000</formula>
    </cfRule>
  </conditionalFormatting>
  <conditionalFormatting sqref="X14">
    <cfRule type="expression" dxfId="171" priority="15">
      <formula>ABS(X$16-X$19)&gt;=1000</formula>
    </cfRule>
  </conditionalFormatting>
  <conditionalFormatting sqref="T10:Y10">
    <cfRule type="expression" dxfId="170" priority="14">
      <formula>ABS(T$7-T$10)&gt;=1000</formula>
    </cfRule>
  </conditionalFormatting>
  <conditionalFormatting sqref="W19">
    <cfRule type="expression" dxfId="169" priority="13">
      <formula>ABS(W$16-W$19)&gt;=1000</formula>
    </cfRule>
  </conditionalFormatting>
  <conditionalFormatting sqref="AC5">
    <cfRule type="expression" dxfId="168" priority="12">
      <formula>ABS(AC$7-AC$10)&gt;=1000</formula>
    </cfRule>
  </conditionalFormatting>
  <conditionalFormatting sqref="M14">
    <cfRule type="expression" dxfId="167" priority="11">
      <formula>ABS(M$16-M$19)&gt;=1000</formula>
    </cfRule>
  </conditionalFormatting>
  <conditionalFormatting sqref="M16">
    <cfRule type="expression" dxfId="166" priority="10">
      <formula>ABS(M$16-M$19)&gt;=1000</formula>
    </cfRule>
  </conditionalFormatting>
  <conditionalFormatting sqref="M19">
    <cfRule type="expression" dxfId="165" priority="9">
      <formula>ABS(M$16-M$19)&gt;=1000</formula>
    </cfRule>
  </conditionalFormatting>
  <conditionalFormatting sqref="K13:K20">
    <cfRule type="expression" dxfId="164" priority="8">
      <formula>ABS(K$16-K$19)&gt;=1000</formula>
    </cfRule>
  </conditionalFormatting>
  <conditionalFormatting sqref="E5">
    <cfRule type="expression" dxfId="163" priority="7">
      <formula>ABS(E$7-E$10)&gt;=1000</formula>
    </cfRule>
  </conditionalFormatting>
  <conditionalFormatting sqref="AB14:AC14">
    <cfRule type="expression" dxfId="162" priority="6">
      <formula>ABS(AB$16-AB$19)&gt;=1000</formula>
    </cfRule>
  </conditionalFormatting>
  <conditionalFormatting sqref="M5">
    <cfRule type="expression" dxfId="161" priority="5">
      <formula>ABS(M$7-M$10)&gt;=1000</formula>
    </cfRule>
  </conditionalFormatting>
  <conditionalFormatting sqref="N5">
    <cfRule type="expression" dxfId="160" priority="4">
      <formula>ABS(N$7-N$10)&gt;=1000</formula>
    </cfRule>
  </conditionalFormatting>
  <conditionalFormatting sqref="O5">
    <cfRule type="expression" dxfId="159" priority="3">
      <formula>ABS(O$7-O$10)&gt;=1000</formula>
    </cfRule>
  </conditionalFormatting>
  <conditionalFormatting sqref="P5">
    <cfRule type="expression" dxfId="158" priority="2">
      <formula>ABS(P$7-P$10)&gt;=1000</formula>
    </cfRule>
  </conditionalFormatting>
  <conditionalFormatting sqref="L23">
    <cfRule type="expression" dxfId="157" priority="1">
      <formula>ABS(L$25-L$28)&gt;=1000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7126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345782</xdr:rowOff>
                  </from>
                  <to>
                    <xdr:col>32</xdr:col>
                    <xdr:colOff>414938</xdr:colOff>
                    <xdr:row>3</xdr:row>
                    <xdr:rowOff>30736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91">
    <pageSetUpPr fitToPage="1"/>
  </sheetPr>
  <dimension ref="A1:CU223"/>
  <sheetViews>
    <sheetView tabSelected="1" view="pageBreakPreview" topLeftCell="A13" zoomScale="80" zoomScaleNormal="100" zoomScaleSheetLayoutView="80" workbookViewId="0">
      <selection activeCell="D28" sqref="D28:Y28"/>
    </sheetView>
  </sheetViews>
  <sheetFormatPr defaultColWidth="8.109375" defaultRowHeight="26.05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0.9" ph="1">
      <c r="A1" s="64"/>
      <c r="B1" s="238" t="s" ph="1">
        <v>162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.05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.05" customHeight="1" ph="1">
      <c r="B3" s="240" ph="1">
        <v>45869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" customHeight="1" ph="1">
      <c r="A5" s="65" ph="1"/>
      <c r="B5" s="219" ph="1"/>
      <c r="C5" s="67" t="s" ph="1">
        <v>36</v>
      </c>
      <c r="D5" s="70" t="s" ph="1">
        <v>161</v>
      </c>
      <c r="E5" s="70" t="s" ph="1">
        <v>640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61" t="s" ph="1">
        <v>178</v>
      </c>
      <c r="D6" s="71">
        <v>6473</v>
      </c>
      <c r="E6" s="71">
        <v>7985</v>
      </c>
      <c r="F6" s="71">
        <v>5835</v>
      </c>
      <c r="G6" s="71">
        <v>3320</v>
      </c>
      <c r="H6" s="71">
        <v>9137</v>
      </c>
      <c r="I6" s="71">
        <v>40.51</v>
      </c>
      <c r="J6" s="71">
        <v>7.82</v>
      </c>
      <c r="K6" s="71">
        <v>52.46</v>
      </c>
      <c r="L6" s="71">
        <v>30.32</v>
      </c>
      <c r="M6" s="71">
        <v>3944</v>
      </c>
      <c r="N6" s="71">
        <v>1176</v>
      </c>
      <c r="O6" s="71">
        <v>4909</v>
      </c>
      <c r="P6" s="71">
        <v>1980</v>
      </c>
      <c r="Q6" s="71">
        <v>6194</v>
      </c>
      <c r="R6" s="71">
        <v>4649</v>
      </c>
      <c r="S6" s="71">
        <v>0</v>
      </c>
      <c r="T6" s="71">
        <v>0</v>
      </c>
      <c r="U6" s="71">
        <v>0</v>
      </c>
      <c r="V6" s="71">
        <v>0</v>
      </c>
      <c r="W6" s="71">
        <v>0</v>
      </c>
      <c r="X6" s="71">
        <v>0</v>
      </c>
      <c r="Y6" s="71">
        <v>6708</v>
      </c>
      <c r="Z6" s="71">
        <v>3920</v>
      </c>
      <c r="AA6" s="71">
        <v>555</v>
      </c>
      <c r="AB6" s="71">
        <v>1192</v>
      </c>
      <c r="AC6" s="71">
        <v>530</v>
      </c>
      <c r="AD6" s="71">
        <v>3589</v>
      </c>
      <c r="AE6" s="71">
        <v>1303</v>
      </c>
    </row>
    <row r="7" spans="1:99" s="72" customFormat="1" ht="22.4" ph="1">
      <c r="B7" s="237" ph="1"/>
      <c r="C7" s="68" t="s" ph="1">
        <v>179</v>
      </c>
      <c r="D7" s="73" ph="1">
        <f>D6*33.183*LOOKUP(D8,密度!$A$2:$A$50,密度!$Q$2:$Q$50)</f>
        <v>202898.29170258</v>
      </c>
      <c r="E7" s="73" ph="1">
        <f>E6*51.53*LOOKUP(E8,密度!$A$2:$A$50,密度!$B$2:$B$50)</f>
        <v>320409.39183499996</v>
      </c>
      <c r="F7" s="73" ph="1">
        <f>F6*33.183*LOOKUP(F8,密度!$A$2:$A$50,密度!$C$2:$C$50)</f>
        <v>214417.89425699998</v>
      </c>
      <c r="G7" s="73" ph="1">
        <f xml:space="preserve"> (G6+2)*51.53*LOOKUP(G8,密度!$A$2:$A$50,密度!$B$2:$B$50)</f>
        <v>133299.93734199999</v>
      </c>
      <c r="H7" s="73" ph="1">
        <f>(H6)*51.53*LOOKUP(H8,密度!$A$2:$A$50,密度!$B$2:$B$50)</f>
        <v>367906.257254</v>
      </c>
      <c r="I7" s="73" ph="1">
        <f>I6*290.8*1.0267</f>
        <v>12094.842223599999</v>
      </c>
      <c r="J7" s="73" ph="1">
        <f>J6*290.8*0.7892</f>
        <v>1794.6849952</v>
      </c>
      <c r="K7" s="73" ph="1">
        <f>K6*290.8*1.1126</f>
        <v>16973.1224368</v>
      </c>
      <c r="L7" s="73" ph="1">
        <f>L6*290.8*0.777</f>
        <v>6850.8525120000004</v>
      </c>
      <c r="M7" s="73" ph="1">
        <f>M6*33.183*LOOKUP(M8,密度!$A$2:$A$50,密度!$D$2:$D$50)</f>
        <v>134368.0811784</v>
      </c>
      <c r="N7" s="73" ph="1">
        <f>N6*33.183*LOOKUP(N8,密度!$A$2:$A$50,密度!$E$2:$E$50)</f>
        <v>30520.050976800001</v>
      </c>
      <c r="O7" s="73" ph="1">
        <f>O6*20.428*LOOKUP(O8,密度!$A$2:$A$50,密度!$C$2:$C$50)</f>
        <v>110820.59056520001</v>
      </c>
      <c r="P7" s="73" ph="1">
        <f>P6*51.53*LOOKUP(P8,密度!$A$2:$A$50,密度!$B$2:$B$50)</f>
        <v>79633.9467</v>
      </c>
      <c r="Q7" s="73" ph="1">
        <f>Q6*1.5*1.5*3.1416*LOOKUP(W8,密度!$A$2:$A$50,密度!$L$2:$L$50)</f>
        <v>41024.585170800005</v>
      </c>
      <c r="R7" s="73" ph="1">
        <f>R6*1.5*1.5*3.1416*LOOKUP(R8,密度!$A$2:$A$50,密度!$L$2:$L$50)</f>
        <v>30561.586902000003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44428.950165599999</v>
      </c>
      <c r="Z7" s="73" ph="1">
        <f>Z6*33.183*LOOKUP(Z8,密度!$A$2:$A$50,密度!$L$2:$L$50)</f>
        <v>122402.79575999999</v>
      </c>
      <c r="AA7" s="73" ph="1">
        <f>AA6*33.183*LOOKUP(AA8,密度!$A$2:$A$50,密度!$D$2:$D$50)</f>
        <v>18943.278758999997</v>
      </c>
      <c r="AB7" s="73" ph="1">
        <f>AB6*20.428*LOOKUP(AB8,密度!$A$2:$A$50,密度!$D$2:$D$50)</f>
        <v>25134.251667199998</v>
      </c>
      <c r="AC7" s="73" ph="1">
        <f>AC6*51.53*LOOKUP(AC8,密度!$A$2:$A$50,密度!$Q$2:$Q$50)</f>
        <v>25920.502081000002</v>
      </c>
      <c r="AD7" s="73" ph="1">
        <f>AD6*20.428*LOOKUP(AD8,密度!$A$2:$A$50,密度!$V$2:$V$50)</f>
        <v>70207.489699199999</v>
      </c>
      <c r="AE7" s="73" ph="1">
        <f>AE6*20.428</f>
        <v>26617.684000000001</v>
      </c>
    </row>
    <row r="8" spans="1:99" ph="1">
      <c r="B8" s="237" ph="1"/>
      <c r="C8" s="68" t="s" ph="1">
        <v>180</v>
      </c>
      <c r="D8" s="74">
        <v>28</v>
      </c>
      <c r="E8" s="74">
        <v>26</v>
      </c>
      <c r="F8" s="74">
        <v>27</v>
      </c>
      <c r="G8" s="74">
        <v>26</v>
      </c>
      <c r="H8" s="74">
        <v>23</v>
      </c>
      <c r="I8" s="74">
        <v>25</v>
      </c>
      <c r="J8" s="74">
        <v>25</v>
      </c>
      <c r="K8" s="74">
        <v>25</v>
      </c>
      <c r="L8" s="74">
        <v>25</v>
      </c>
      <c r="M8" s="74">
        <v>25</v>
      </c>
      <c r="N8" s="74">
        <v>26</v>
      </c>
      <c r="O8" s="74">
        <v>30</v>
      </c>
      <c r="P8" s="74">
        <v>24</v>
      </c>
      <c r="Q8" s="74">
        <v>26</v>
      </c>
      <c r="R8" s="74">
        <v>32</v>
      </c>
      <c r="S8" s="74">
        <v>21</v>
      </c>
      <c r="T8" s="74">
        <v>20</v>
      </c>
      <c r="U8" s="74">
        <v>25</v>
      </c>
      <c r="V8" s="74">
        <v>24</v>
      </c>
      <c r="W8" s="74">
        <v>25</v>
      </c>
      <c r="X8" s="74">
        <v>19</v>
      </c>
      <c r="Y8" s="74">
        <v>25</v>
      </c>
      <c r="Z8" s="74">
        <v>21</v>
      </c>
      <c r="AA8" s="74">
        <v>23</v>
      </c>
      <c r="AB8" s="74">
        <v>19</v>
      </c>
      <c r="AC8" s="74">
        <v>22</v>
      </c>
      <c r="AD8" s="74">
        <v>27</v>
      </c>
      <c r="AE8" s="74">
        <v>26</v>
      </c>
    </row>
    <row r="9" spans="1:99" ht="26.65" ph="1">
      <c r="B9" s="237" ph="1">
        <v>0.66666666666666663</v>
      </c>
      <c r="C9" s="161" t="s" ph="1">
        <v>181</v>
      </c>
      <c r="D9" s="71">
        <v>6471</v>
      </c>
      <c r="E9" s="71">
        <v>7980</v>
      </c>
      <c r="F9" s="71">
        <v>5582</v>
      </c>
      <c r="G9" s="71">
        <v>3996</v>
      </c>
      <c r="H9" s="71">
        <v>9137</v>
      </c>
      <c r="I9" s="71">
        <v>40.56</v>
      </c>
      <c r="J9" s="71">
        <v>7.82</v>
      </c>
      <c r="K9" s="71">
        <v>47.45</v>
      </c>
      <c r="L9" s="71">
        <v>9.6199999999999992</v>
      </c>
      <c r="M9" s="71">
        <v>3942</v>
      </c>
      <c r="N9" s="71">
        <v>1141</v>
      </c>
      <c r="O9" s="71">
        <v>5372</v>
      </c>
      <c r="P9" s="71">
        <v>1770</v>
      </c>
      <c r="Q9" s="71">
        <v>7174</v>
      </c>
      <c r="R9" s="71">
        <v>5227</v>
      </c>
      <c r="S9" s="71">
        <v>0</v>
      </c>
      <c r="T9" s="71">
        <v>0</v>
      </c>
      <c r="U9" s="71">
        <v>0</v>
      </c>
      <c r="V9" s="71">
        <v>0</v>
      </c>
      <c r="W9" s="71">
        <v>0</v>
      </c>
      <c r="X9" s="71">
        <v>0</v>
      </c>
      <c r="Y9" s="71">
        <v>3731</v>
      </c>
      <c r="Z9" s="71">
        <v>1649</v>
      </c>
      <c r="AA9" s="71">
        <v>555</v>
      </c>
      <c r="AB9" s="71">
        <v>1190</v>
      </c>
      <c r="AC9" s="71">
        <v>528</v>
      </c>
      <c r="AD9" s="71">
        <v>3584</v>
      </c>
      <c r="AE9" s="71">
        <v>1565</v>
      </c>
    </row>
    <row r="10" spans="1:99" s="72" customFormat="1" ht="22.4" ph="1">
      <c r="B10" s="237" ph="1"/>
      <c r="C10" s="161" t="s" ph="1">
        <v>179</v>
      </c>
      <c r="D10" s="73" ph="1">
        <f>D9*33.183*LOOKUP(D11,密度!$A$2:$A$50,密度!$Q$2:$Q$50)</f>
        <v>202835.60105165999</v>
      </c>
      <c r="E10" s="73" ph="1">
        <f>E9*51.53*LOOKUP(E11,密度!$A$2:$A$50,密度!$B$2:$B$50)</f>
        <v>319509.70380000002</v>
      </c>
      <c r="F10" s="73" ph="1">
        <f>F9*33.183*LOOKUP(F11,密度!$A$2:$A$50,密度!$C$2:$C$50)</f>
        <v>204972.75813959999</v>
      </c>
      <c r="G10" s="73" ph="1">
        <f xml:space="preserve"> (G9+2)*51.53*LOOKUP(G11,密度!$A$2:$A$50,密度!$B$2:$B$50)</f>
        <v>160075.16237999999</v>
      </c>
      <c r="H10" s="73" ph="1">
        <f>(H9)*51.53*LOOKUP(H11,密度!$A$2:$A$50,密度!$B$2:$B$50)</f>
        <v>367482.51060499996</v>
      </c>
      <c r="I10" s="73" ph="1">
        <f>I9*290.8*1.0267</f>
        <v>12109.770441600002</v>
      </c>
      <c r="J10" s="73" ph="1">
        <f>J9*290.8*0.7892</f>
        <v>1794.6849952</v>
      </c>
      <c r="K10" s="73" ph="1">
        <f>K9*290.8*1.1126</f>
        <v>15352.166596000001</v>
      </c>
      <c r="L10" s="73" ph="1">
        <f>L9*290.8*0.777</f>
        <v>2173.6543919999999</v>
      </c>
      <c r="M10" s="73" ph="1">
        <f>M9*33.183*LOOKUP(M11,密度!$A$2:$A$50,密度!$D$2:$D$50)</f>
        <v>133802.87513939998</v>
      </c>
      <c r="N10" s="73" ph="1">
        <f>N9*33.183*LOOKUP(N11,密度!$A$2:$A$50,密度!$E$2:$E$50)</f>
        <v>29524.633979400001</v>
      </c>
      <c r="O10" s="73" ph="1">
        <f>O9*20.428*LOOKUP(O11,密度!$A$2:$A$50,密度!$C$2:$C$50)</f>
        <v>121163.06838560001</v>
      </c>
      <c r="P10" s="73" ph="1">
        <f>P9*51.53*LOOKUP(P11,密度!$A$2:$A$50,密度!$B$2:$B$50)</f>
        <v>70950.780990000014</v>
      </c>
      <c r="Q10" s="73" ph="1">
        <f>Q9*1.5*1.5*3.1416*LOOKUP(W11,密度!$A$2:$A$50,密度!$L$2:$L$50)</f>
        <v>47261.847124799999</v>
      </c>
      <c r="R10" s="73" ph="1">
        <f>R9*1.5*1.5*3.1416*LOOKUP(R11,密度!$A$2:$A$50,密度!$L$2:$L$50)</f>
        <v>34361.242146000004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24658.705071</v>
      </c>
      <c r="Z10" s="73" ph="1">
        <f>Z9*33.183*LOOKUP(Z11,密度!$A$2:$A$50,密度!$L$2:$L$50)</f>
        <v>51326.203446</v>
      </c>
      <c r="AA10" s="73" ph="1">
        <f>AA9*33.183*LOOKUP(AA11,密度!$A$2:$A$50,密度!$D$2:$D$50)</f>
        <v>18838.304338499998</v>
      </c>
      <c r="AB10" s="73" ph="1">
        <f>AB9*20.428*LOOKUP(AB11,密度!$A$2:$A$50,密度!$D$2:$D$50)</f>
        <v>25050.754259999998</v>
      </c>
      <c r="AC10" s="73" ph="1">
        <f>AC9*51.53*LOOKUP(AC11,密度!$A$2:$A$50,密度!$Q$2:$Q$50)</f>
        <v>25720.115308800003</v>
      </c>
      <c r="AD10" s="73" ph="1">
        <f>AD9*20.428*LOOKUP(AD11,密度!$A$2:$A$50,密度!$V$2:$V$50)</f>
        <v>70109.680435200004</v>
      </c>
      <c r="AE10" s="73" ph="1">
        <f>AE9*20.428</f>
        <v>31969.82</v>
      </c>
    </row>
    <row r="11" spans="1:99" ph="1">
      <c r="A11" s="64" t="s" ph="1">
        <v>163</v>
      </c>
      <c r="B11" s="237" ph="1"/>
      <c r="C11" s="161" t="s" ph="1">
        <v>180</v>
      </c>
      <c r="D11" s="74">
        <v>28</v>
      </c>
      <c r="E11" s="74">
        <v>28</v>
      </c>
      <c r="F11" s="74">
        <v>28</v>
      </c>
      <c r="G11" s="74">
        <v>28</v>
      </c>
      <c r="H11" s="74">
        <v>24</v>
      </c>
      <c r="I11" s="74">
        <v>25</v>
      </c>
      <c r="J11" s="74">
        <v>25</v>
      </c>
      <c r="K11" s="74">
        <v>25</v>
      </c>
      <c r="L11" s="74">
        <v>25</v>
      </c>
      <c r="M11" s="74">
        <v>29</v>
      </c>
      <c r="N11" s="74">
        <v>28</v>
      </c>
      <c r="O11" s="74">
        <v>31</v>
      </c>
      <c r="P11" s="74">
        <v>27</v>
      </c>
      <c r="Q11" s="74">
        <v>27</v>
      </c>
      <c r="R11" s="74">
        <v>32</v>
      </c>
      <c r="S11" s="74">
        <v>25</v>
      </c>
      <c r="T11" s="74">
        <v>25</v>
      </c>
      <c r="U11" s="74">
        <v>27</v>
      </c>
      <c r="V11" s="74">
        <v>27</v>
      </c>
      <c r="W11" s="74">
        <v>30</v>
      </c>
      <c r="X11" s="74">
        <v>22</v>
      </c>
      <c r="Y11" s="74">
        <v>27</v>
      </c>
      <c r="Z11" s="74">
        <v>24</v>
      </c>
      <c r="AA11" s="74">
        <v>29</v>
      </c>
      <c r="AB11" s="74">
        <v>21</v>
      </c>
      <c r="AC11" s="74">
        <v>27</v>
      </c>
      <c r="AD11" s="74">
        <v>28</v>
      </c>
      <c r="AE11" s="74">
        <v>34</v>
      </c>
    </row>
    <row r="12" spans="1:99" ht="9.85" customHeight="1" ph="1"/>
    <row r="13" spans="1:99" s="72" customFormat="1" ht="29.2" customHeight="1" ph="1">
      <c r="B13" s="214" t="s" ph="1">
        <v>37</v>
      </c>
      <c r="C13" s="161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.2" ph="1">
      <c r="B14" s="215" ph="1"/>
      <c r="C14" s="67" t="s" ph="1">
        <v>36</v>
      </c>
      <c r="D14" s="77" t="s" ph="1">
        <v>622</v>
      </c>
      <c r="E14" s="77" t="s" ph="1">
        <v>622</v>
      </c>
      <c r="F14" s="151" t="s" ph="1">
        <v>647</v>
      </c>
      <c r="G14" s="77" t="s" ph="1">
        <v>623</v>
      </c>
      <c r="H14" s="77" t="s" ph="1">
        <v>624</v>
      </c>
      <c r="I14" s="140" t="s" ph="1">
        <v>625</v>
      </c>
      <c r="J14" s="77" t="s" ph="1">
        <v>626</v>
      </c>
      <c r="K14" s="77" t="s" ph="1">
        <v>187</v>
      </c>
      <c r="L14" s="77" t="s" ph="1">
        <v>41</v>
      </c>
      <c r="M14" s="104" t="s" ph="1">
        <v>627</v>
      </c>
      <c r="N14" s="104" t="s" ph="1">
        <v>628</v>
      </c>
      <c r="O14" s="104" t="s" ph="1">
        <v>626</v>
      </c>
      <c r="P14" s="77" t="s" ph="1">
        <v>629</v>
      </c>
      <c r="Q14" s="77" t="s" ph="1">
        <v>629</v>
      </c>
      <c r="R14" s="88" t="s" ph="1">
        <v>640</v>
      </c>
      <c r="S14" s="77" t="s" ph="1">
        <v>71</v>
      </c>
      <c r="T14" s="77" t="s" ph="1">
        <v>631</v>
      </c>
      <c r="U14" s="77" t="s" ph="1">
        <v>610</v>
      </c>
      <c r="V14" s="77" t="s" ph="1">
        <v>110</v>
      </c>
      <c r="W14" s="77" t="s" ph="1">
        <v>629</v>
      </c>
      <c r="X14" s="77" t="s" ph="1">
        <v>632</v>
      </c>
      <c r="Y14" s="138" t="s" ph="1">
        <v>0</v>
      </c>
      <c r="Z14" s="77" t="s" ph="1">
        <v>54</v>
      </c>
      <c r="AA14" s="77" t="s" ph="1">
        <v>619</v>
      </c>
      <c r="AB14" s="77" t="s" ph="1">
        <v>650</v>
      </c>
      <c r="AC14" s="77" t="s" ph="1">
        <v>650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16" ph="1">
        <v>0.33333333333333331</v>
      </c>
      <c r="C15" s="161" t="s" ph="1">
        <v>178</v>
      </c>
      <c r="D15" s="78">
        <v>5957</v>
      </c>
      <c r="E15" s="78">
        <v>4275</v>
      </c>
      <c r="F15" s="78">
        <v>4490</v>
      </c>
      <c r="G15" s="78">
        <v>3916</v>
      </c>
      <c r="H15" s="78">
        <v>0</v>
      </c>
      <c r="I15" s="78">
        <v>0</v>
      </c>
      <c r="J15" s="78">
        <v>828</v>
      </c>
      <c r="K15" s="78">
        <v>4074</v>
      </c>
      <c r="L15" s="78">
        <v>2832</v>
      </c>
      <c r="M15" s="78">
        <v>6939</v>
      </c>
      <c r="N15" s="78">
        <v>3202</v>
      </c>
      <c r="O15" s="78">
        <v>6873</v>
      </c>
      <c r="P15" s="78">
        <v>5154</v>
      </c>
      <c r="Q15" s="78">
        <v>6880</v>
      </c>
      <c r="R15" s="78">
        <v>0</v>
      </c>
      <c r="S15" s="78">
        <v>3697</v>
      </c>
      <c r="T15" s="78">
        <v>2609</v>
      </c>
      <c r="U15" s="78">
        <v>6077</v>
      </c>
      <c r="V15" s="78">
        <v>-141</v>
      </c>
      <c r="W15" s="71">
        <v>2176</v>
      </c>
      <c r="X15" s="78">
        <v>-212</v>
      </c>
      <c r="Y15" s="106">
        <v>-9905</v>
      </c>
      <c r="Z15" s="78">
        <v>0</v>
      </c>
      <c r="AA15" s="78">
        <v>6139</v>
      </c>
      <c r="AB15" s="78" ph="1">
        <v>7183</v>
      </c>
      <c r="AC15" s="78" ph="1">
        <v>776</v>
      </c>
      <c r="AD15" s="78">
        <v>50.92</v>
      </c>
      <c r="AE15" s="78">
        <v>64.73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4" ph="1">
      <c r="B16" s="217" ph="1"/>
      <c r="C16" s="161" t="s" ph="1">
        <v>179</v>
      </c>
      <c r="D16" s="73" ph="1">
        <f>D15*7.0686*LOOKUP(D17,密度!$A$2:$A$50,密度!$L$2:$L$50)</f>
        <v>39370.652936999999</v>
      </c>
      <c r="E16" s="73" ph="1">
        <f>E15*7.0686*LOOKUP(E17,密度!$A$2:$A$50,密度!$L$2:$L$50)</f>
        <v>28254.077775000002</v>
      </c>
      <c r="F16" s="73" ph="1">
        <f>F15*9.0746*LOOKUP(F17,密度!$A$2:$A$50,密度!$L$2:$L$50)</f>
        <v>38178.021897999999</v>
      </c>
      <c r="G16" s="73" ph="1">
        <f>G15*9.0746*LOOKUP(G17,密度!$A$2:$A$50,密度!$B$2:$B$50)</f>
        <v>27703.969754559999</v>
      </c>
      <c r="H16" s="73" ph="1">
        <f>H15*9.0746*LOOKUP(H17,密度!$A$2:$A$50,密度!$L$2:$L$50)</f>
        <v>0</v>
      </c>
      <c r="I16" s="73" ph="1">
        <f>I15*9.0746*LOOKUP(I17,密度!$A$2:$A$50,密度!$U$2:$U$50)</f>
        <v>0</v>
      </c>
      <c r="J16" s="73" ph="1">
        <f>J15*9.0746*LOOKUP(J17,密度!$A$2:$A$50,密度!$L$2:$L$50)</f>
        <v>7040.4013656000006</v>
      </c>
      <c r="K16" s="73" ph="1">
        <f>K15*9.0746*LOOKUP(K17,密度!$A$2:$A$50,密度!$C$2:$C$50)</f>
        <v>40995.944731560005</v>
      </c>
      <c r="L16" s="73" ph="1">
        <f>L15*9.0746*LOOKUP(L17,密度!$A$2:$A$50,密度!$E$2:$E$50)</f>
        <v>20127.666071040003</v>
      </c>
      <c r="M16" s="73" ph="1">
        <f>M15*9.0746*LOOKUP(M17,密度!$A$2:$A$50,密度!$M$2:$M$50)</f>
        <v>54977.927791139999</v>
      </c>
      <c r="N16" s="73" ph="1">
        <f>N15*9.0746*LOOKUP(N17,密度!$A$2:$A$50,密度!$M$2:$M$50)</f>
        <v>25427.666236920002</v>
      </c>
      <c r="O16" s="73" ph="1">
        <f>O15*9.0746*LOOKUP(O17,密度!$A$2:$A$50,密度!$G$2:$G$50)</f>
        <v>59812.567042199997</v>
      </c>
      <c r="P16" s="73" ph="1">
        <f ca="1">P15*9.0746*LOOKUP(P17,密度!$A$2:$A$51,密度!$Q$2:$Q$50)</f>
        <v>44246.285141052002</v>
      </c>
      <c r="Q16" s="73" ph="1">
        <f>Q15*9.0746*LOOKUP(Q17,密度!$A$2:$A$50,密度!$Q$2:$Q$50)</f>
        <v>59019.397999360001</v>
      </c>
      <c r="R16" s="73" ph="1">
        <f>MAX(R15*9.0746*LOOKUP(R17,密度!$A$2:$A$50,密度!$B$2:$B$50),0)</f>
        <v>0</v>
      </c>
      <c r="S16" s="73" ph="1">
        <f>S15*9.0746*LOOKUP(S17,密度!$A$2:$A$50,密度!$Q$2:$Q$50)</f>
        <v>31738.167669086004</v>
      </c>
      <c r="T16" s="73" ph="1">
        <f>T15*9.0746*LOOKUP(T17,密度!$A$2:$A$50,密度!$O$2:$O$50)</f>
        <v>21923.634676400005</v>
      </c>
      <c r="U16" s="73" ph="1">
        <f>U15*9.0746*LOOKUP(U17,密度!$A$2:$A$50,密度!$H$2:$H$50)</f>
        <v>50442.361039739997</v>
      </c>
      <c r="V16" s="73" ph="1">
        <f>MAX(5600*LOOKUP(V17,密度!$A$2:$A$50,密度!$Q$2:$Q$50)+V15*9.0476*LOOKUP(V17,密度!$A$2:$A$50,密度!$Q$2:$Q$50),0)</f>
        <v>4090.9065550519999</v>
      </c>
      <c r="W16" s="73" ph="1">
        <f>MAX(5600*LOOKUP(W17,密度!$A$2:$A$50,密度!$Q$2:$Q$50)+W15*9.0476*LOOKUP(W17,密度!$A$2:$A$50,密度!$Q$2:$Q$50),0)</f>
        <v>23940.761217023995</v>
      </c>
      <c r="X16" s="73" ph="1">
        <f>MAX(5600*LOOKUP(X17,密度!$A$2:$A$50,密度!$I$2:$I$50)+X15*9.0476*LOOKUP(X17,密度!$A$2:$A$50,密度!$I$2:$I$50),0)</f>
        <v>3829.185152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43380.574471779997</v>
      </c>
      <c r="AB16" s="73" ph="1">
        <f>AB15*9.0746*LOOKUP(AB17,密度!$A$2:$A$50,密度!$L$2:$L$50)</f>
        <v>60750.417877600004</v>
      </c>
      <c r="AC16" s="73" ph="1">
        <f>AC15*9.0746*LOOKUP(AC17,密度!$A$2:$A$50,密度!$L$2:$L$50)</f>
        <v>6605.2924448000003</v>
      </c>
      <c r="AD16" s="73" ph="1">
        <f>AD15*268.68*LOOKUP(AD17,密度!$A$2:$A$50,密度!B2:B50)+IF(AD15&lt;=0,0,1566*LOOKUP(AD17,密度!$A$2:$A$50,密度!B2:B50))</f>
        <v>11886.70589376</v>
      </c>
      <c r="AE16" s="73" ph="1">
        <f>AE15*268.68*LOOKUP(AE17,密度!$A$2:$A$50,密度!B2:B50)+IF(AE15&lt;=0,0,1566*LOOKUP(AE17,密度!$A$2:$A$50,密度!B2:B50))</f>
        <v>14779.38892944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18" ph="1"/>
      <c r="C17" s="79" t="s" ph="1">
        <v>180</v>
      </c>
      <c r="D17" s="74">
        <v>27</v>
      </c>
      <c r="E17" s="74">
        <v>27</v>
      </c>
      <c r="F17" s="74">
        <v>25</v>
      </c>
      <c r="G17" s="74">
        <v>25</v>
      </c>
      <c r="H17" s="74">
        <v>23</v>
      </c>
      <c r="I17" s="74">
        <v>24</v>
      </c>
      <c r="J17" s="74">
        <v>25</v>
      </c>
      <c r="K17" s="74">
        <v>25</v>
      </c>
      <c r="L17" s="74">
        <v>25</v>
      </c>
      <c r="M17" s="74">
        <v>27</v>
      </c>
      <c r="N17" s="74">
        <v>25</v>
      </c>
      <c r="O17" s="74">
        <v>26</v>
      </c>
      <c r="P17" s="74">
        <v>26</v>
      </c>
      <c r="Q17" s="74">
        <v>27</v>
      </c>
      <c r="R17" s="74">
        <v>25</v>
      </c>
      <c r="S17" s="74">
        <v>26</v>
      </c>
      <c r="T17" s="74">
        <v>25</v>
      </c>
      <c r="U17" s="74">
        <v>25</v>
      </c>
      <c r="V17" s="74">
        <v>26</v>
      </c>
      <c r="W17" s="74">
        <v>25</v>
      </c>
      <c r="X17" s="74">
        <v>27</v>
      </c>
      <c r="Y17" s="108">
        <v>27</v>
      </c>
      <c r="Z17" s="74">
        <v>25</v>
      </c>
      <c r="AA17" s="74">
        <v>26</v>
      </c>
      <c r="AB17" s="74">
        <v>30</v>
      </c>
      <c r="AC17" s="74">
        <v>24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65" ph="1">
      <c r="B18" s="216" ph="1">
        <v>0.66666666666666663</v>
      </c>
      <c r="C18" s="79" t="s" ph="1">
        <v>181</v>
      </c>
      <c r="D18" s="71">
        <v>5959</v>
      </c>
      <c r="E18" s="71">
        <v>5177</v>
      </c>
      <c r="F18" s="71">
        <v>4774</v>
      </c>
      <c r="G18" s="71">
        <v>3947</v>
      </c>
      <c r="H18" s="71">
        <v>0</v>
      </c>
      <c r="I18" s="71">
        <v>0</v>
      </c>
      <c r="J18" s="71">
        <v>903</v>
      </c>
      <c r="K18" s="71">
        <v>4084</v>
      </c>
      <c r="L18" s="71">
        <v>2830</v>
      </c>
      <c r="M18" s="71">
        <v>3978</v>
      </c>
      <c r="N18" s="71">
        <v>4708</v>
      </c>
      <c r="O18" s="71">
        <v>6873</v>
      </c>
      <c r="P18" s="71">
        <v>5155</v>
      </c>
      <c r="Q18" s="71">
        <v>6880</v>
      </c>
      <c r="R18" s="71">
        <v>0</v>
      </c>
      <c r="S18" s="71">
        <v>3699</v>
      </c>
      <c r="T18" s="71">
        <v>1925</v>
      </c>
      <c r="U18" s="71">
        <v>6076</v>
      </c>
      <c r="V18" s="71">
        <v>-142</v>
      </c>
      <c r="W18" s="71">
        <v>2175</v>
      </c>
      <c r="X18" s="71">
        <v>-215</v>
      </c>
      <c r="Y18" s="109">
        <v>-9905</v>
      </c>
      <c r="Z18" s="71">
        <v>0</v>
      </c>
      <c r="AA18" s="71">
        <v>6138</v>
      </c>
      <c r="AB18" s="71">
        <v>4943</v>
      </c>
      <c r="AC18" s="71">
        <v>776</v>
      </c>
      <c r="AD18" s="71">
        <v>84.51</v>
      </c>
      <c r="AE18" s="71">
        <v>0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4" ph="1">
      <c r="B19" s="217" ph="1"/>
      <c r="C19" s="161" t="s" ph="1">
        <v>179</v>
      </c>
      <c r="D19" s="73" ph="1">
        <f>D18*7.0686*LOOKUP(D20,密度!$A$2:$A$50,密度!$L$2:$L$50)</f>
        <v>39383.871219000001</v>
      </c>
      <c r="E19" s="73" ph="1">
        <f>E18*7.0686*LOOKUP(E20,密度!$A$2:$A$50,密度!$L$2:$L$50)</f>
        <v>34215.522957000001</v>
      </c>
      <c r="F19" s="73" ph="1">
        <f>F18*9.0746*LOOKUP(F20,密度!$A$2:$A$50,密度!$L$2:$L$50)</f>
        <v>40332.912712400008</v>
      </c>
      <c r="G19" s="73" ph="1">
        <f>G18*9.0746*LOOKUP(G20,密度!$A$2:$A$50,密度!$B$2:$B$50)</f>
        <v>27923.281057519998</v>
      </c>
      <c r="H19" s="73" ph="1">
        <f>H18*9.0746*LOOKUP(H20,密度!$A$2:$A$50,密度!$L$2:$L$50)</f>
        <v>0</v>
      </c>
      <c r="I19" s="73" ph="1">
        <f>I18*9.0746*LOOKUP(I20,密度!$A$2:$A$50,密度!$U$2:$U$50)</f>
        <v>0</v>
      </c>
      <c r="J19" s="73" ph="1">
        <f>J18*9.0746*LOOKUP(J20,密度!$A$2:$A$50,密度!$L$2:$L$50)</f>
        <v>7637.1470616000015</v>
      </c>
      <c r="K19" s="73" ph="1">
        <f>K18*9.0746*LOOKUP(K20,密度!$A$2:$A$50,密度!$C$2:$C$50)</f>
        <v>40985.390971760004</v>
      </c>
      <c r="L19" s="73" ph="1">
        <f>L18*9.0746*LOOKUP(L20,密度!$A$2:$A$50,密度!$E$2:$E$50)</f>
        <v>20056.953158000004</v>
      </c>
      <c r="M19" s="73" ph="1">
        <f>M18*9.0746*LOOKUP(M20,密度!$A$2:$A$50,密度!$M$2:$M$50)</f>
        <v>31442.018914800003</v>
      </c>
      <c r="N19" s="73" ph="1">
        <f>N18*9.0746*LOOKUP(N20,密度!$A$2:$A$50,密度!$M$2:$M$50)</f>
        <v>37344.363804879998</v>
      </c>
      <c r="O19" s="73" ph="1">
        <f>O18*9.0746*LOOKUP(O20,密度!$A$2:$A$50,密度!$G$2:$G$50)</f>
        <v>59687.827590599998</v>
      </c>
      <c r="P19" s="73" ph="1">
        <f ca="1">P18*9.0746*LOOKUP(P20,密度!$A$2:$A$51,密度!$Q$2:$Q$50)</f>
        <v>44188.910801060003</v>
      </c>
      <c r="Q19" s="73" ph="1">
        <f>Q18*9.0746*LOOKUP(Q20,密度!$A$2:$A$50,密度!$Q$2:$Q$50)</f>
        <v>59019.397999360001</v>
      </c>
      <c r="R19" s="73" ph="1">
        <f>MAX(R18*9.0746*LOOKUP(R20,密度!$A$2:$A$50,密度!$B$2:$B$50),0)</f>
        <v>0</v>
      </c>
      <c r="S19" s="73" ph="1">
        <f>S18*9.0746*LOOKUP(S20,密度!$A$2:$A$50,密度!$Q$2:$Q$50)</f>
        <v>31708.007963748005</v>
      </c>
      <c r="T19" s="73" ph="1">
        <f>T18*9.0746*LOOKUP(T20,密度!$A$2:$A$50,密度!$O$2:$O$50)</f>
        <v>16175.92823</v>
      </c>
      <c r="U19" s="73" ph="1">
        <f>U18*9.0746*LOOKUP(U20,密度!$A$2:$A$50,密度!$H$2:$H$50)</f>
        <v>50334.81341784</v>
      </c>
      <c r="V19" s="73" ph="1">
        <f>MAX(5600*LOOKUP(V20,密度!$A$2:$A$50,密度!$Q$2:$Q$50)+V18*9.0476*LOOKUP(V20,密度!$A$2:$A$50,密度!$Q$2:$Q$50),0)</f>
        <v>4070.6961038640002</v>
      </c>
      <c r="W19" s="73" ph="1">
        <f>MAX(5600*LOOKUP(W20,密度!$A$2:$A$50,密度!$Q$2:$Q$50)+W18*9.0476*LOOKUP(W20,密度!$A$2:$A$50,密度!$Q$2:$Q$50),0)</f>
        <v>23861.162822899998</v>
      </c>
      <c r="X19" s="73" ph="1">
        <f>MAX(5600*LOOKUP(X20,密度!$A$2:$A$50,密度!$I$2:$I$50)+X18*9.0476*LOOKUP(X20,密度!$A$2:$A$50,密度!$I$2:$I$50),0)</f>
        <v>3796.9363973999994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43328.948164920002</v>
      </c>
      <c r="AB19" s="73" ph="1">
        <f>AB18*9.0746*LOOKUP(AB20,密度!$A$2:$A$50,密度!$L$2:$L$50)</f>
        <v>41805.55694960001</v>
      </c>
      <c r="AC19" s="73" ph="1">
        <f>AC18*9.0746*LOOKUP(AC20,密度!$A$2:$A$50,密度!$L$2:$L$50)</f>
        <v>6577.1248864000008</v>
      </c>
      <c r="AD19" s="73" ph="1">
        <f>AD18*268.68*LOOKUP(AD20,密度!$A$2:$A$50,密度!B5:B53)+IF(AD18&lt;=0,0,1566*LOOKUP(AD20,密度!$A$2:$A$50,密度!B5:B53))</f>
        <v>18859.458063600003</v>
      </c>
      <c r="AE19" s="73" ph="1">
        <f>AE18*268.68*LOOKUP(AE20,密度!$A$2:$A$50,密度!B5:B53)+IF(AE18&lt;=0,0,1566*LOOKUP(AE20,密度!$A$2:$A$50,密度!B5:B53))</f>
        <v>0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17" ph="1"/>
      <c r="C20" s="80" t="s" ph="1">
        <v>180</v>
      </c>
      <c r="D20" s="81">
        <v>27</v>
      </c>
      <c r="E20" s="81">
        <v>27</v>
      </c>
      <c r="F20" s="81">
        <v>31</v>
      </c>
      <c r="G20" s="81">
        <v>25</v>
      </c>
      <c r="H20" s="81">
        <v>24</v>
      </c>
      <c r="I20" s="81">
        <v>30</v>
      </c>
      <c r="J20" s="81">
        <v>30</v>
      </c>
      <c r="K20" s="81">
        <v>29</v>
      </c>
      <c r="L20" s="81">
        <v>27</v>
      </c>
      <c r="M20" s="81">
        <v>29</v>
      </c>
      <c r="N20" s="81">
        <v>26</v>
      </c>
      <c r="O20" s="81">
        <v>28</v>
      </c>
      <c r="P20" s="81">
        <v>28</v>
      </c>
      <c r="Q20" s="81">
        <v>27</v>
      </c>
      <c r="R20" s="81">
        <v>29</v>
      </c>
      <c r="S20" s="81">
        <v>28</v>
      </c>
      <c r="T20" s="81">
        <v>27</v>
      </c>
      <c r="U20" s="81">
        <v>27</v>
      </c>
      <c r="V20" s="81">
        <v>30</v>
      </c>
      <c r="W20" s="81">
        <v>29</v>
      </c>
      <c r="X20" s="81">
        <v>28</v>
      </c>
      <c r="Y20" s="110">
        <v>28</v>
      </c>
      <c r="Z20" s="81">
        <v>29</v>
      </c>
      <c r="AA20" s="81">
        <v>27</v>
      </c>
      <c r="AB20" s="81">
        <v>30</v>
      </c>
      <c r="AC20" s="81">
        <v>28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15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633</v>
      </c>
      <c r="H23" s="88" t="s" ph="1">
        <v>633</v>
      </c>
      <c r="I23" s="88" t="s" ph="1">
        <v>634</v>
      </c>
      <c r="J23" s="88" t="s" ph="1">
        <v>635</v>
      </c>
      <c r="K23" s="88" t="s" ph="1">
        <v>635</v>
      </c>
      <c r="L23" s="88" t="s" ph="1">
        <v>635</v>
      </c>
      <c r="M23" s="88" t="s" ph="1">
        <v>630</v>
      </c>
      <c r="N23" s="88" t="s" ph="1">
        <v>630</v>
      </c>
      <c r="O23" s="88" t="s" ph="1">
        <v>321</v>
      </c>
      <c r="P23" s="88" t="s" ph="1">
        <v>637</v>
      </c>
      <c r="Q23" s="89" t="s" ph="1">
        <v>637</v>
      </c>
      <c r="R23" s="88" t="s" ph="1">
        <v>616</v>
      </c>
      <c r="S23" s="88" t="s" ph="1">
        <v>636</v>
      </c>
      <c r="T23" s="88" t="s" ph="1">
        <v>607</v>
      </c>
      <c r="U23" s="88" t="s" ph="1">
        <v>611</v>
      </c>
      <c r="V23" s="88" t="s" ph="1">
        <v>637</v>
      </c>
      <c r="W23" s="88" t="s" ph="1">
        <v>637</v>
      </c>
      <c r="X23" s="88" t="s" ph="1">
        <v>190</v>
      </c>
      <c r="Y23" s="88" t="s" ph="1">
        <v>638</v>
      </c>
      <c r="Z23" s="228" t="s" ph="1">
        <v>653</v>
      </c>
      <c r="AA23" s="229"/>
      <c r="AB23" s="229"/>
      <c r="AC23" s="229"/>
      <c r="AD23" s="229"/>
      <c r="AE23" s="230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237" ph="1">
        <v>0.33333333333333331</v>
      </c>
      <c r="C24" s="161" t="s" ph="1">
        <v>178</v>
      </c>
      <c r="D24" s="71">
        <v>68.56</v>
      </c>
      <c r="E24" s="71">
        <v>3.96</v>
      </c>
      <c r="F24" s="71">
        <v>3880</v>
      </c>
      <c r="G24" s="71">
        <v>3057</v>
      </c>
      <c r="H24" s="71">
        <v>1694</v>
      </c>
      <c r="I24" s="71">
        <v>776</v>
      </c>
      <c r="J24" s="71">
        <v>4892</v>
      </c>
      <c r="K24" s="71">
        <v>5501</v>
      </c>
      <c r="L24" s="71">
        <v>5600</v>
      </c>
      <c r="M24" s="71">
        <v>3437</v>
      </c>
      <c r="N24" s="71">
        <v>2659</v>
      </c>
      <c r="O24" s="71">
        <v>4317</v>
      </c>
      <c r="P24" s="71">
        <v>353</v>
      </c>
      <c r="Q24" s="90">
        <v>2515</v>
      </c>
      <c r="R24" s="71">
        <v>850</v>
      </c>
      <c r="S24" s="71">
        <v>7028</v>
      </c>
      <c r="T24" s="71">
        <v>1761</v>
      </c>
      <c r="U24" s="71">
        <v>6504</v>
      </c>
      <c r="V24" s="71">
        <v>10816</v>
      </c>
      <c r="W24" s="71">
        <v>11706</v>
      </c>
      <c r="X24" s="71">
        <v>4661</v>
      </c>
      <c r="Y24" s="71">
        <v>2513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237" ph="1"/>
      <c r="C25" s="68" t="s" ph="1">
        <v>179</v>
      </c>
      <c r="D25" s="91" ph="1">
        <f>D24*268.68*LOOKUP(D26,密度!$A$2:$A$50,密度!$Q$2:$Q$50)+IF(D24&lt;=0,0,1566*LOOKUP(D26,密度!$A$2:$A$50,密度!$Q$2:$Q$50))</f>
        <v>18922.209115392005</v>
      </c>
      <c r="E25" s="91" ph="1">
        <f>E24*268.68*LOOKUP(E26,密度!$A$2:$A$50,密度!$C$2:$C$50)+IF(E24&lt;=0,0,1566*LOOKUP(E26,密度!$A$2:$A$50,密度!$C$2:$C$50))</f>
        <v>2916.3768379200001</v>
      </c>
      <c r="F25" s="91" ph="1">
        <f>F24*11.702*LOOKUP(F26,密度!$A$2:$A$50,密度!$Q$2:$Q$50)</f>
        <v>42985.5557424</v>
      </c>
      <c r="G25" s="91" ph="1">
        <f>G24*18.322*LOOKUP(G26,密度!$A$2:$A$50,密度!$B$2:$B$50)</f>
        <v>43615.262659799999</v>
      </c>
      <c r="H25" s="91" ph="1">
        <f>H24*18.322*LOOKUP(H26,密度!$A$2:$A$50,密度!$B$2:$B$50)</f>
        <v>24168.876331599997</v>
      </c>
      <c r="I25" s="91" ph="1">
        <f>I24*18.322*LOOKUP(I26,密度!$A$2:$A$50,密度!$Q$2:$Q$50)</f>
        <v>13460.62813728</v>
      </c>
      <c r="J25" s="91" ph="1">
        <f>J24*18.322*LOOKUP(J26,密度!$A$2:$A$50,密度!$Q$2:$Q$50)</f>
        <v>84730.188671680007</v>
      </c>
      <c r="K25" s="91" ph="1">
        <f>K24*18.322*LOOKUP(K26,密度!$A$2:$A$50,密度!$Q$2:$Q$50)</f>
        <v>95349.72229166</v>
      </c>
      <c r="L25" s="91" ph="1">
        <f>L24*18.322*LOOKUP(L26,密度!$A$2:$A$50,密度!$Q$2:$Q$50)</f>
        <v>97065.705296</v>
      </c>
      <c r="M25" s="91" ph="1">
        <f>M24*18.322*LOOKUP(M26,密度!$A$2:$A$50,密度!$Q$2:$Q$50)</f>
        <v>59618.787252360002</v>
      </c>
      <c r="N25" s="91" ph="1">
        <f>N24*18.322*LOOKUP(N26,密度!$A$2:$A$50,密度!$Q$2:$Q$50)</f>
        <v>46123.466774519999</v>
      </c>
      <c r="O25" s="91" ph="1">
        <f>O24*18.322*LOOKUP(O26,密度!$A$2:$A$50,密度!$C$2:$C$50)</f>
        <v>87646.359599400006</v>
      </c>
      <c r="P25" s="91" ph="1">
        <f>P24*11.702*LOOKUP(P26,密度!$A$2:$A$50,密度!$B$2:$B$50)</f>
        <v>3220.3763575999997</v>
      </c>
      <c r="Q25" s="92" ph="1">
        <f>Q24*18.322*LOOKUP(Q26,密度!$A$2:$A$50,密度!$B$2:$B$50)</f>
        <v>35882.363620999997</v>
      </c>
      <c r="R25" s="91" ph="1">
        <f>R24*35.891*LOOKUP(R26,密度!$A$2:$A$50,密度!$C$2:$C$50)</f>
        <v>33805.194535000002</v>
      </c>
      <c r="S25" s="91" ph="1">
        <f>S24*35.891*LOOKUP(S26,密度!$A$2:$A$50,密度!$B$2:$B$50)</f>
        <v>196647.82266079998</v>
      </c>
      <c r="T25" s="91" ph="1">
        <f>T24*35.891*LOOKUP(T26,密度!$A$2:$A$50,密度!$Q$2:$Q$50)</f>
        <v>59837.803243740003</v>
      </c>
      <c r="U25" s="91" ph="1">
        <f>U24*35.891</f>
        <v>233435.06399999998</v>
      </c>
      <c r="V25" s="91" ph="1">
        <f>V24*47.051*LOOKUP(V26,密度!$A$2:$A$50,密度!$B$2:$B$50)</f>
        <v>395876.12288640003</v>
      </c>
      <c r="W25" s="91" ph="1">
        <f>W24*47.051*LOOKUP(W26,密度!$A$2:$A$50,密度!$B$2:$B$50)</f>
        <v>428891.61197219999</v>
      </c>
      <c r="X25" s="91" ph="1">
        <f>X24*47.051*LOOKUP(X26,密度!$A$2:$A$50,密度!$I$2:$I$50)</f>
        <v>227835.6642579</v>
      </c>
      <c r="Y25" s="91" ph="1">
        <f>Y24*47.051*LOOKUP(Y26,密度!$A$2:$A$50,密度!$L$2:$L$50)</f>
        <v>110198.89991600001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237" ph="1"/>
      <c r="C26" s="68" t="s" ph="1">
        <v>180</v>
      </c>
      <c r="D26" s="74">
        <v>25</v>
      </c>
      <c r="E26" s="74">
        <v>25</v>
      </c>
      <c r="F26" s="74">
        <v>25</v>
      </c>
      <c r="G26" s="74">
        <v>26</v>
      </c>
      <c r="H26" s="74">
        <v>26</v>
      </c>
      <c r="I26" s="74">
        <v>25</v>
      </c>
      <c r="J26" s="74">
        <v>27</v>
      </c>
      <c r="K26" s="74">
        <v>26</v>
      </c>
      <c r="L26" s="74">
        <v>26</v>
      </c>
      <c r="M26" s="74">
        <v>25</v>
      </c>
      <c r="N26" s="74">
        <v>25</v>
      </c>
      <c r="O26" s="74">
        <v>26</v>
      </c>
      <c r="P26" s="74">
        <v>25</v>
      </c>
      <c r="Q26" s="93">
        <v>26</v>
      </c>
      <c r="R26" s="74">
        <v>26</v>
      </c>
      <c r="S26" s="74">
        <v>25</v>
      </c>
      <c r="T26" s="74">
        <v>25</v>
      </c>
      <c r="U26" s="74">
        <v>26</v>
      </c>
      <c r="V26" s="74">
        <v>27</v>
      </c>
      <c r="W26" s="74">
        <v>26</v>
      </c>
      <c r="X26" s="74">
        <v>28</v>
      </c>
      <c r="Y26" s="74">
        <v>30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65" ph="1">
      <c r="A27" s="72" ph="1"/>
      <c r="B27" s="237" ph="1">
        <v>0.66666666666666663</v>
      </c>
      <c r="C27" s="161" t="s" ph="1">
        <v>181</v>
      </c>
      <c r="D27" s="71">
        <v>68.510000000000005</v>
      </c>
      <c r="E27" s="71">
        <v>3.82</v>
      </c>
      <c r="F27" s="71">
        <v>3880</v>
      </c>
      <c r="G27" s="71">
        <v>2583</v>
      </c>
      <c r="H27" s="71">
        <v>2506</v>
      </c>
      <c r="I27" s="71">
        <v>775</v>
      </c>
      <c r="J27" s="71">
        <v>4890</v>
      </c>
      <c r="K27" s="71">
        <v>5499</v>
      </c>
      <c r="L27" s="71">
        <v>5598</v>
      </c>
      <c r="M27" s="71">
        <v>3436</v>
      </c>
      <c r="N27" s="71">
        <v>2658</v>
      </c>
      <c r="O27" s="71">
        <v>4316</v>
      </c>
      <c r="P27" s="71">
        <v>678</v>
      </c>
      <c r="Q27" s="90">
        <v>3012</v>
      </c>
      <c r="R27" s="71">
        <v>849</v>
      </c>
      <c r="S27" s="71">
        <v>7026</v>
      </c>
      <c r="T27" s="71">
        <v>1760</v>
      </c>
      <c r="U27" s="71">
        <v>6574</v>
      </c>
      <c r="V27" s="71">
        <v>11294</v>
      </c>
      <c r="W27" s="71">
        <v>11704</v>
      </c>
      <c r="X27" s="71">
        <v>4660</v>
      </c>
      <c r="Y27" s="71">
        <v>2957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237" ph="1"/>
      <c r="C28" s="161" t="s" ph="1">
        <v>179</v>
      </c>
      <c r="D28" s="91" ph="1">
        <f>D27*268.68*LOOKUP(D29,密度!$A$2:$A$50,密度!$Q$2:$Q$50)+IF(D27&lt;=0,0,1566*LOOKUP(D29,密度!$A$2:$A$50,密度!$Q$2:$Q$50))</f>
        <v>18909.490610232002</v>
      </c>
      <c r="E28" s="91" ph="1">
        <f>E27*268.68*LOOKUP(E29,密度!$A$2:$A$50,密度!$C$2:$C$50)+IF(E27&lt;=0,0,1566*LOOKUP(E29,密度!$A$2:$A$50,密度!$C$2:$C$50))</f>
        <v>2874.6653426399998</v>
      </c>
      <c r="F28" s="91" ph="1">
        <f>F27*11.702*LOOKUP(F29,密度!$A$2:$A$50,密度!$Q$2:$Q$50)</f>
        <v>42921.082403200002</v>
      </c>
      <c r="G28" s="91" ph="1">
        <f>G27*18.322*LOOKUP(G29,密度!$A$2:$A$50,密度!$B$2:$B$50)</f>
        <v>36814.682255399995</v>
      </c>
      <c r="H28" s="91" ph="1">
        <f>H27*18.322*LOOKUP(H29,密度!$A$2:$A$50,密度!$B$2:$B$50)</f>
        <v>35717.225602800005</v>
      </c>
      <c r="I28" s="91" ph="1">
        <f>I27*18.322*LOOKUP(I29,密度!$A$2:$A$50,密度!$Q$2:$Q$50)</f>
        <v>13423.118606</v>
      </c>
      <c r="J28" s="91" ph="1">
        <f>J27*18.322*LOOKUP(J29,密度!$A$2:$A$50,密度!$Q$2:$Q$50)</f>
        <v>84632.832159600002</v>
      </c>
      <c r="K28" s="91" ph="1">
        <f>K27*18.322*LOOKUP(K29,密度!$A$2:$A$50,密度!$Q$2:$Q$50)</f>
        <v>95172.994692360007</v>
      </c>
      <c r="L28" s="91" ph="1">
        <f>L27*18.322*LOOKUP(L29,密度!$A$2:$A$50,密度!$Q$2:$Q$50)</f>
        <v>96958.216717920004</v>
      </c>
      <c r="M28" s="91" ph="1">
        <f>M27*18.322*LOOKUP(M29,密度!$A$2:$A$50,密度!$Q$2:$Q$50)</f>
        <v>59512.04584544</v>
      </c>
      <c r="N28" s="91" ph="1">
        <f>N27*18.322*LOOKUP(N29,密度!$A$2:$A$50,密度!$Q$2:$Q$50)</f>
        <v>46002.876867119994</v>
      </c>
      <c r="O28" s="91" ph="1">
        <f>O27*18.322*LOOKUP(O29,密度!$A$2:$A$50,密度!$C$2:$C$50)</f>
        <v>87507.440363199988</v>
      </c>
      <c r="P28" s="91" ph="1">
        <f>P27*11.702*LOOKUP(P29,密度!$A$2:$A$50,密度!$B$2:$B$50)</f>
        <v>6171.8243724000004</v>
      </c>
      <c r="Q28" s="92" ph="1">
        <f>Q27*18.322*LOOKUP(Q29,密度!$A$2:$A$50,密度!$B$2:$B$50)</f>
        <v>42835.267636799996</v>
      </c>
      <c r="R28" s="91" ph="1">
        <f>R27*35.891*LOOKUP(R29,密度!$A$2:$A$50,密度!$C$2:$C$50)</f>
        <v>33719.716529400001</v>
      </c>
      <c r="S28" s="91" ph="1">
        <f>S27*35.891*LOOKUP(S29,密度!$A$2:$A$50,密度!$B$2:$B$50)</f>
        <v>195936.21898199999</v>
      </c>
      <c r="T28" s="91" ph="1">
        <f>T27*35.891*LOOKUP(T29,密度!$A$2:$A$50,密度!$Q$2:$Q$50)</f>
        <v>59714.125011199998</v>
      </c>
      <c r="U28" s="91" ph="1">
        <f>U27*35.891</f>
        <v>235947.43399999998</v>
      </c>
      <c r="V28" s="91" ph="1">
        <f>V27*47.051*LOOKUP(V29,密度!$A$2:$A$50,密度!$B$2:$B$50)</f>
        <v>413371.38793260005</v>
      </c>
      <c r="W28" s="91" ph="1">
        <f>W27*47.051*LOOKUP(W29,密度!$A$2:$A$50,密度!$B$2:$B$50)</f>
        <v>428377.78682159999</v>
      </c>
      <c r="X28" s="91" ph="1">
        <f>X27*47.051*LOOKUP(X29,密度!$A$2:$A$50,密度!$I$2:$I$50)</f>
        <v>227523.67378200003</v>
      </c>
      <c r="Y28" s="91" ph="1">
        <f>Y27*47.051*LOOKUP(Y29,密度!$A$2:$A$50,密度!$L$2:$L$50)</f>
        <v>129529.850317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237" ph="1"/>
      <c r="C29" s="161" t="s" ph="1">
        <v>180</v>
      </c>
      <c r="D29" s="74">
        <v>25</v>
      </c>
      <c r="E29" s="74">
        <v>25</v>
      </c>
      <c r="F29" s="74">
        <v>27</v>
      </c>
      <c r="G29" s="74">
        <v>27</v>
      </c>
      <c r="H29" s="74">
        <v>27</v>
      </c>
      <c r="I29" s="74">
        <v>27</v>
      </c>
      <c r="J29" s="74">
        <v>28</v>
      </c>
      <c r="K29" s="74">
        <v>28</v>
      </c>
      <c r="L29" s="74">
        <v>27</v>
      </c>
      <c r="M29" s="74">
        <v>27</v>
      </c>
      <c r="N29" s="74">
        <v>28</v>
      </c>
      <c r="O29" s="74">
        <v>28</v>
      </c>
      <c r="P29" s="74">
        <v>27</v>
      </c>
      <c r="Q29" s="93">
        <v>29</v>
      </c>
      <c r="R29" s="74">
        <v>28</v>
      </c>
      <c r="S29" s="74">
        <v>28</v>
      </c>
      <c r="T29" s="74">
        <v>27</v>
      </c>
      <c r="U29" s="74">
        <v>27</v>
      </c>
      <c r="V29" s="74">
        <v>27</v>
      </c>
      <c r="W29" s="74">
        <v>27</v>
      </c>
      <c r="X29" s="74">
        <v>29</v>
      </c>
      <c r="Y29" s="74">
        <v>31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45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61" t="s" ph="1">
        <v>5</v>
      </c>
      <c r="F32" s="160" t="s" ph="1">
        <v>43</v>
      </c>
      <c r="G32" s="97" t="s" ph="1">
        <v>4</v>
      </c>
      <c r="H32" s="161" t="s" ph="1">
        <v>5</v>
      </c>
      <c r="I32" s="160" t="s" ph="1">
        <v>43</v>
      </c>
      <c r="J32" s="97" t="s" ph="1">
        <v>4</v>
      </c>
      <c r="K32" s="161" t="s" ph="1">
        <v>5</v>
      </c>
      <c r="L32" s="160" t="s" ph="1">
        <v>43</v>
      </c>
      <c r="M32" s="97" t="s" ph="1">
        <v>4</v>
      </c>
      <c r="N32" s="161" t="s" ph="1">
        <v>5</v>
      </c>
      <c r="O32" s="160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1" t="s" ph="1">
        <v>5</v>
      </c>
      <c r="U32" s="99" t="s" ph="1">
        <v>43</v>
      </c>
      <c r="V32" s="97" t="s" ph="1">
        <v>4</v>
      </c>
      <c r="W32" s="161" t="s" ph="1">
        <v>5</v>
      </c>
      <c r="X32" s="99" t="s" ph="1">
        <v>43</v>
      </c>
      <c r="Y32" s="100" t="s" ph="1">
        <v>4</v>
      </c>
      <c r="Z32" s="161" t="s" ph="1">
        <v>5</v>
      </c>
      <c r="AA32" s="160" t="s" ph="1">
        <v>43</v>
      </c>
      <c r="AB32" s="97" t="s" ph="1">
        <v>85</v>
      </c>
      <c r="AC32" s="161" t="s" ph="1">
        <v>84</v>
      </c>
      <c r="AD32" s="204" t="s" ph="1">
        <v>83</v>
      </c>
      <c r="AE32" s="205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06" t="s" ph="1">
        <v>182</v>
      </c>
      <c r="C33" s="207" ph="1"/>
      <c r="D33" s="186" ph="1">
        <f>AA10+AB10+Z19</f>
        <v>43889.058598499993</v>
      </c>
      <c r="E33" s="186" ph="1">
        <f>M10+I10</f>
        <v>145912.64558099999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1522252632456786910111213141516171819202123456789101112131415161718192022232424356789101112131415161718192021222345678910111213141516171819202345678910111213149101516171819222123234567891012131415161711181920212224252345678910111213124[[#This Row],[F25]]</f>
        <v>3880</v>
      </c>
      <c r="G33" s="212" ph="1">
        <v>0</v>
      </c>
      <c r="H33" s="186" ph="1">
        <f>N19</f>
        <v>37344.363804879998</v>
      </c>
      <c r="I33" s="190" ph="1">
        <v>0</v>
      </c>
      <c r="J33" s="194" ph="1">
        <f>F10+O28</f>
        <v>292480.19850279996</v>
      </c>
      <c r="K33" s="186" ph="1">
        <f>O10+K10+E28+R28</f>
        <v>173109.61685364001</v>
      </c>
      <c r="L33" s="196" ph="1">
        <f>BE27</f>
        <v>7100</v>
      </c>
      <c r="M33" s="194" ph="1">
        <f>G10+H10+W28+S28+V28+E10</f>
        <v>1884752.7705211998</v>
      </c>
      <c r="N33" s="186" ph="1">
        <f>L10+P10++G28+H28</f>
        <v>145656.34324020002</v>
      </c>
      <c r="O33" s="190" ph="1">
        <f>BE17</f>
        <v>2270</v>
      </c>
      <c r="P33" s="194" ph="1">
        <f>L19</f>
        <v>20056.953158000004</v>
      </c>
      <c r="Q33" s="186" ph="1">
        <f>J10+N10</f>
        <v>31319.318974600003</v>
      </c>
      <c r="R33" s="190" ph="1">
        <f>BE23</f>
        <v>890</v>
      </c>
      <c r="S33" s="194" ph="1">
        <f>E10+X28</f>
        <v>547033.3775820001</v>
      </c>
      <c r="T33" s="186" ph="1">
        <f>X19</f>
        <v>3796.9363973999994</v>
      </c>
      <c r="U33" s="175" ph="1">
        <f>BE21</f>
        <v>730</v>
      </c>
      <c r="V33" s="188" ph="1">
        <f ca="1">P19+Q19+S19+M28+N28+J28</f>
        <v>325064.07163632801</v>
      </c>
      <c r="W33" s="188" ph="1">
        <f>D28+F28+V19+T28</f>
        <v>125615.394128496</v>
      </c>
      <c r="X33" s="190" ph="1">
        <f>BE29+BE31</f>
        <v>10200</v>
      </c>
      <c r="Y33" s="192" ph="1">
        <f>+Q10+R10+S10+T10+U10+V10+W10+X10+Y10</f>
        <v>106281.79434180001</v>
      </c>
      <c r="Z33" s="173" ph="1">
        <f>D10+T19+U19+Y28+Z10</f>
        <v>450202.39646249998</v>
      </c>
      <c r="AA33" s="175" ph="1">
        <f>BE19</f>
        <v>1440</v>
      </c>
      <c r="AB33" s="177" ph="1">
        <f>I19</f>
        <v>0</v>
      </c>
      <c r="AC33" s="179" ph="1">
        <f>AD10</f>
        <v>70109.680435200004</v>
      </c>
      <c r="AD33" s="181" ph="1">
        <v>0</v>
      </c>
      <c r="AE33" s="182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185" t="s" ph="1">
        <v>639</v>
      </c>
      <c r="AD35" s="185"/>
      <c r="AE35" s="185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45" ph="1">
      <c r="A36" s="64"/>
      <c r="B36" s="103" t="s" ph="1">
        <v>183</v>
      </c>
      <c r="I36" s="171" t="s" ph="1">
        <v>184</v>
      </c>
      <c r="J36" s="171" ph="1"/>
      <c r="K36" s="101" ph="1"/>
      <c r="P36" s="101" ph="1"/>
      <c r="R36" s="171" t="s" ph="1">
        <v>185</v>
      </c>
      <c r="S36" s="171" ph="1"/>
      <c r="Y36" s="102" ph="1"/>
      <c r="Z36" s="159" t="s" ph="1">
        <v>186</v>
      </c>
      <c r="AA36" s="159" ph="1"/>
      <c r="AB36" s="172" t="s" ph="1">
        <v>644</v>
      </c>
      <c r="AC36" s="172" ph="1"/>
      <c r="AD36" s="172" ph="1"/>
      <c r="AE36" s="172" ph="1"/>
      <c r="BA36" s="64" ph="1">
        <v>2270</v>
      </c>
    </row>
    <row r="37" spans="1:57" s="15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9" t="s" ph="1">
        <v>345</v>
      </c>
      <c r="AI37" s="159" t="s" ph="1">
        <v>212</v>
      </c>
      <c r="AJ37" s="159" t="s" ph="1">
        <v>213</v>
      </c>
      <c r="AK37" s="159" t="s" ph="1">
        <v>214</v>
      </c>
      <c r="AM37" s="159" t="s" ph="1">
        <v>213</v>
      </c>
      <c r="AN37" s="159" t="s" ph="1">
        <v>214</v>
      </c>
      <c r="AO37" s="159" t="s" ph="1">
        <v>215</v>
      </c>
      <c r="AP37" s="159" t="s" ph="1">
        <v>213</v>
      </c>
      <c r="AQ37" s="159" t="s" ph="1">
        <v>214</v>
      </c>
      <c r="AR37" s="159" t="s" ph="1">
        <v>215</v>
      </c>
      <c r="AS37" s="159" t="s" ph="1">
        <v>213</v>
      </c>
      <c r="AT37" s="159" t="s" ph="1">
        <v>214</v>
      </c>
      <c r="AU37" s="159" t="s" ph="1">
        <v>215</v>
      </c>
      <c r="AV37" s="159" t="s" ph="1">
        <v>213</v>
      </c>
      <c r="AW37" s="159" t="s" ph="1">
        <v>214</v>
      </c>
      <c r="AX37" s="159" t="s" ph="1">
        <v>215</v>
      </c>
      <c r="AY37" s="159" t="s" ph="1">
        <v>214</v>
      </c>
      <c r="AZ37" s="159" t="s" ph="1">
        <v>216</v>
      </c>
      <c r="BD37" s="159" t="s" ph="1">
        <v>308</v>
      </c>
      <c r="BE37" s="159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26" priority="97">
      <formula>ABS(D$7-D$10)&gt;=1000</formula>
    </cfRule>
  </conditionalFormatting>
  <conditionalFormatting sqref="E4 E6:E11">
    <cfRule type="expression" dxfId="125" priority="96">
      <formula>ABS(E$7-E$10)&gt;=1000</formula>
    </cfRule>
  </conditionalFormatting>
  <conditionalFormatting sqref="F4:F11">
    <cfRule type="expression" dxfId="124" priority="95">
      <formula>ABS(F$7-F$10)&gt;=1000</formula>
    </cfRule>
  </conditionalFormatting>
  <conditionalFormatting sqref="G4:G11">
    <cfRule type="expression" dxfId="123" priority="94">
      <formula>ABS(G$7-G$10)&gt;=1000</formula>
    </cfRule>
  </conditionalFormatting>
  <conditionalFormatting sqref="H4:H11">
    <cfRule type="expression" dxfId="122" priority="93">
      <formula>ABS(H$7-H$10)&gt;=1000</formula>
    </cfRule>
  </conditionalFormatting>
  <conditionalFormatting sqref="I4:I11">
    <cfRule type="expression" dxfId="121" priority="92">
      <formula>ABS(I$7-I$10)&gt;=1000</formula>
    </cfRule>
  </conditionalFormatting>
  <conditionalFormatting sqref="J4:J11">
    <cfRule type="expression" dxfId="120" priority="91">
      <formula>ABS(J$7-J$10)&gt;=1000</formula>
    </cfRule>
  </conditionalFormatting>
  <conditionalFormatting sqref="K4:K11">
    <cfRule type="expression" dxfId="119" priority="90">
      <formula>ABS(K$7-K$10)&gt;=1000</formula>
    </cfRule>
  </conditionalFormatting>
  <conditionalFormatting sqref="L4:L11">
    <cfRule type="expression" dxfId="118" priority="89">
      <formula>ABS(L$7-L$10)&gt;=1000</formula>
    </cfRule>
  </conditionalFormatting>
  <conditionalFormatting sqref="M4 M6:M11">
    <cfRule type="expression" dxfId="117" priority="88">
      <formula>ABS(M$7-M$10)&gt;=1000</formula>
    </cfRule>
  </conditionalFormatting>
  <conditionalFormatting sqref="N4 N6:N11">
    <cfRule type="expression" dxfId="116" priority="87">
      <formula>ABS(N$7-N$10)&gt;=1000</formula>
    </cfRule>
  </conditionalFormatting>
  <conditionalFormatting sqref="O4 O6:O11">
    <cfRule type="expression" dxfId="115" priority="86">
      <formula>ABS(O$7-O$10)&gt;=1000</formula>
    </cfRule>
  </conditionalFormatting>
  <conditionalFormatting sqref="P4 P6:P11">
    <cfRule type="expression" dxfId="114" priority="85">
      <formula>ABS(P$7-P$10)&gt;=1000</formula>
    </cfRule>
  </conditionalFormatting>
  <conditionalFormatting sqref="Q4:Q11">
    <cfRule type="expression" dxfId="113" priority="84">
      <formula>ABS(Q$7-Q$10)&gt;=1000</formula>
    </cfRule>
  </conditionalFormatting>
  <conditionalFormatting sqref="R4:R11">
    <cfRule type="expression" dxfId="112" priority="83">
      <formula>ABS(R$7-R$10)&gt;=1000</formula>
    </cfRule>
  </conditionalFormatting>
  <conditionalFormatting sqref="S4:S11">
    <cfRule type="expression" dxfId="111" priority="82">
      <formula>ABS(S$7-S$10)&gt;=1000</formula>
    </cfRule>
  </conditionalFormatting>
  <conditionalFormatting sqref="T4:T9 T11">
    <cfRule type="expression" dxfId="110" priority="81">
      <formula>ABS(T$7-T$10)&gt;=1000</formula>
    </cfRule>
  </conditionalFormatting>
  <conditionalFormatting sqref="U4:U9 U11">
    <cfRule type="expression" dxfId="109" priority="80">
      <formula>ABS(U$7-U$10)&gt;=1000</formula>
    </cfRule>
  </conditionalFormatting>
  <conditionalFormatting sqref="V4:V9 V11">
    <cfRule type="expression" dxfId="108" priority="79">
      <formula>ABS(V$7-V$10)&gt;=1000</formula>
    </cfRule>
  </conditionalFormatting>
  <conditionalFormatting sqref="W4:W9 W11">
    <cfRule type="expression" dxfId="107" priority="78">
      <formula>ABS(W$7-W$10)&gt;=1000</formula>
    </cfRule>
  </conditionalFormatting>
  <conditionalFormatting sqref="X4:X9 X11">
    <cfRule type="expression" dxfId="106" priority="77">
      <formula>ABS(X$7-X$10)&gt;=1000</formula>
    </cfRule>
  </conditionalFormatting>
  <conditionalFormatting sqref="Y4:Y9 Y11">
    <cfRule type="expression" dxfId="105" priority="76">
      <formula>ABS(Y$7-Y$10)&gt;=1000</formula>
    </cfRule>
  </conditionalFormatting>
  <conditionalFormatting sqref="Z4:Z11">
    <cfRule type="expression" dxfId="104" priority="75">
      <formula>ABS(Z$7-Z$10)&gt;=1000</formula>
    </cfRule>
  </conditionalFormatting>
  <conditionalFormatting sqref="AA4:AA11">
    <cfRule type="expression" dxfId="103" priority="74">
      <formula>ABS(AA$7-AA$10)&gt;=1000</formula>
    </cfRule>
  </conditionalFormatting>
  <conditionalFormatting sqref="AB4:AB11">
    <cfRule type="expression" dxfId="102" priority="73">
      <formula>ABS(AB$7-AB$10)&gt;=1000</formula>
    </cfRule>
  </conditionalFormatting>
  <conditionalFormatting sqref="AC4 AC6:AC11">
    <cfRule type="expression" dxfId="101" priority="72">
      <formula>ABS(AC$7-AC$10)&gt;=1000</formula>
    </cfRule>
  </conditionalFormatting>
  <conditionalFormatting sqref="AD4:AD11">
    <cfRule type="expression" dxfId="100" priority="71">
      <formula>ABS(AD$7-AD$10)&gt;=1000</formula>
    </cfRule>
  </conditionalFormatting>
  <conditionalFormatting sqref="AE4:AE11">
    <cfRule type="expression" dxfId="99" priority="70">
      <formula>ABS(AE$7-AE$10)&gt;=1000</formula>
    </cfRule>
  </conditionalFormatting>
  <conditionalFormatting sqref="D13:D20">
    <cfRule type="expression" dxfId="98" priority="69">
      <formula>ABS(D$16-D$19)&gt;=1000</formula>
    </cfRule>
  </conditionalFormatting>
  <conditionalFormatting sqref="E13:E20">
    <cfRule type="expression" dxfId="97" priority="68">
      <formula>ABS(E$16-E$19)&gt;=1000</formula>
    </cfRule>
  </conditionalFormatting>
  <conditionalFormatting sqref="F13 F15:F20">
    <cfRule type="expression" dxfId="96" priority="67">
      <formula>ABS(F$16-F$19)&gt;=1000</formula>
    </cfRule>
  </conditionalFormatting>
  <conditionalFormatting sqref="G13:G20">
    <cfRule type="expression" dxfId="95" priority="66">
      <formula>ABS(G$16-G$19)&gt;=1000</formula>
    </cfRule>
  </conditionalFormatting>
  <conditionalFormatting sqref="H13:H20">
    <cfRule type="expression" dxfId="94" priority="65">
      <formula>ABS(H$16-H$19)&gt;=1000</formula>
    </cfRule>
  </conditionalFormatting>
  <conditionalFormatting sqref="I13:I20">
    <cfRule type="expression" dxfId="93" priority="64">
      <formula>ABS(I$16-I$19)&gt;=1000</formula>
    </cfRule>
  </conditionalFormatting>
  <conditionalFormatting sqref="J13:J20">
    <cfRule type="expression" dxfId="92" priority="63">
      <formula>ABS(J$16-J$19)&gt;=1000</formula>
    </cfRule>
  </conditionalFormatting>
  <conditionalFormatting sqref="L13:L20">
    <cfRule type="expression" dxfId="91" priority="62">
      <formula>ABS(L$16-L$19)&gt;=1000</formula>
    </cfRule>
  </conditionalFormatting>
  <conditionalFormatting sqref="M13 M15 M17:M18 M20">
    <cfRule type="expression" dxfId="90" priority="61">
      <formula>ABS(M$16-M$19)&gt;=1000</formula>
    </cfRule>
  </conditionalFormatting>
  <conditionalFormatting sqref="N13:N20">
    <cfRule type="expression" dxfId="89" priority="60">
      <formula>ABS(N$16-N$19)&gt;=1000</formula>
    </cfRule>
  </conditionalFormatting>
  <conditionalFormatting sqref="O13:O20">
    <cfRule type="expression" dxfId="88" priority="59">
      <formula>ABS(O$16-O$19)&gt;=1000</formula>
    </cfRule>
  </conditionalFormatting>
  <conditionalFormatting sqref="P13:P20">
    <cfRule type="expression" dxfId="87" priority="58">
      <formula>ABS(P$16-P$19)&gt;=1000</formula>
    </cfRule>
  </conditionalFormatting>
  <conditionalFormatting sqref="Q13 Q15:Q20">
    <cfRule type="expression" dxfId="86" priority="57">
      <formula>ABS(Q$16-Q$19)&gt;=1000</formula>
    </cfRule>
  </conditionalFormatting>
  <conditionalFormatting sqref="R13:R20">
    <cfRule type="expression" dxfId="85" priority="56">
      <formula>ABS(R$16-R$19)&gt;=1000</formula>
    </cfRule>
  </conditionalFormatting>
  <conditionalFormatting sqref="S13:S20">
    <cfRule type="expression" dxfId="84" priority="55">
      <formula>ABS(S$16-S$19)&gt;=1000</formula>
    </cfRule>
  </conditionalFormatting>
  <conditionalFormatting sqref="T13:T20">
    <cfRule type="expression" dxfId="83" priority="54">
      <formula>ABS(T$16-T$19)&gt;=1000</formula>
    </cfRule>
  </conditionalFormatting>
  <conditionalFormatting sqref="U13:U20">
    <cfRule type="expression" dxfId="82" priority="53">
      <formula>ABS(U$16-U$19)&gt;=1000</formula>
    </cfRule>
  </conditionalFormatting>
  <conditionalFormatting sqref="V13:V20">
    <cfRule type="expression" dxfId="81" priority="52">
      <formula>ABS(V$16-V$19)&gt;=1000</formula>
    </cfRule>
  </conditionalFormatting>
  <conditionalFormatting sqref="W13 W20 W15:W18">
    <cfRule type="expression" dxfId="80" priority="51">
      <formula>ABS(W$16-W$19)&gt;=1000</formula>
    </cfRule>
  </conditionalFormatting>
  <conditionalFormatting sqref="X13 X15:X20 Y19">
    <cfRule type="expression" dxfId="79" priority="50">
      <formula>ABS(X$16-X$19)&gt;=1000</formula>
    </cfRule>
  </conditionalFormatting>
  <conditionalFormatting sqref="Y13 Y15:Y18 Y20">
    <cfRule type="expression" dxfId="78" priority="49">
      <formula>ABS(Y$16-Y$19)&gt;=1000</formula>
    </cfRule>
  </conditionalFormatting>
  <conditionalFormatting sqref="Z13:Z20">
    <cfRule type="expression" dxfId="77" priority="48">
      <formula>ABS(Z$16-Z$19)&gt;=1000</formula>
    </cfRule>
  </conditionalFormatting>
  <conditionalFormatting sqref="AA13:AA20">
    <cfRule type="expression" dxfId="76" priority="47">
      <formula>ABS(AA$16-AA$19)&gt;=1000</formula>
    </cfRule>
  </conditionalFormatting>
  <conditionalFormatting sqref="AB13 AB15:AB20">
    <cfRule type="expression" dxfId="75" priority="46">
      <formula>ABS(AB$16-AB$19)&gt;=1000</formula>
    </cfRule>
  </conditionalFormatting>
  <conditionalFormatting sqref="AC13 AC15:AC20">
    <cfRule type="expression" dxfId="74" priority="45">
      <formula>ABS(AC$16-AC$19)&gt;=1000</formula>
    </cfRule>
  </conditionalFormatting>
  <conditionalFormatting sqref="AD13:AD20">
    <cfRule type="expression" dxfId="73" priority="44">
      <formula>ABS(AD$16-AD$19)&gt;=1000</formula>
    </cfRule>
  </conditionalFormatting>
  <conditionalFormatting sqref="AE13:AE20">
    <cfRule type="expression" dxfId="72" priority="43">
      <formula>ABS(AE$16-AE$19)&gt;=1000</formula>
    </cfRule>
  </conditionalFormatting>
  <conditionalFormatting sqref="D22:D29">
    <cfRule type="expression" dxfId="71" priority="42">
      <formula>ABS(D$25-D$28)&gt;=1000</formula>
    </cfRule>
  </conditionalFormatting>
  <conditionalFormatting sqref="E22:E29">
    <cfRule type="expression" dxfId="70" priority="41">
      <formula>ABS(E$25-E$28)&gt;=1000</formula>
    </cfRule>
  </conditionalFormatting>
  <conditionalFormatting sqref="F22:F29">
    <cfRule type="expression" dxfId="69" priority="40">
      <formula>ABS(F$25-F$28)&gt;=1000</formula>
    </cfRule>
  </conditionalFormatting>
  <conditionalFormatting sqref="G22:G29">
    <cfRule type="expression" dxfId="68" priority="39">
      <formula>ABS(G$25-G$28)&gt;=1000</formula>
    </cfRule>
  </conditionalFormatting>
  <conditionalFormatting sqref="H22:H29">
    <cfRule type="expression" dxfId="67" priority="38">
      <formula>ABS(H$25-H$28)&gt;=1000</formula>
    </cfRule>
  </conditionalFormatting>
  <conditionalFormatting sqref="I22 I24:I29">
    <cfRule type="expression" dxfId="66" priority="37">
      <formula>ABS(I$25-I$28)&gt;=1000</formula>
    </cfRule>
  </conditionalFormatting>
  <conditionalFormatting sqref="J22:J29 K22">
    <cfRule type="expression" dxfId="65" priority="36">
      <formula>ABS(J$25-J$28)&gt;=1000</formula>
    </cfRule>
  </conditionalFormatting>
  <conditionalFormatting sqref="K23:K29 L25 L28">
    <cfRule type="expression" dxfId="64" priority="35">
      <formula>ABS(K$25-K$28)&gt;=1000</formula>
    </cfRule>
  </conditionalFormatting>
  <conditionalFormatting sqref="L22 L26:L27 L29 L24">
    <cfRule type="expression" dxfId="63" priority="34">
      <formula>ABS(L$25-L$28)&gt;=1000</formula>
    </cfRule>
  </conditionalFormatting>
  <conditionalFormatting sqref="M22:M29">
    <cfRule type="expression" dxfId="62" priority="33">
      <formula>ABS(M$25-M$28)&gt;=1000</formula>
    </cfRule>
  </conditionalFormatting>
  <conditionalFormatting sqref="N22:N29">
    <cfRule type="expression" dxfId="61" priority="32">
      <formula>ABS(N$25-N$28)&gt;=1000</formula>
    </cfRule>
  </conditionalFormatting>
  <conditionalFormatting sqref="O22:O29">
    <cfRule type="expression" dxfId="60" priority="31">
      <formula>ABS(O$25-O$28)&gt;=1000</formula>
    </cfRule>
  </conditionalFormatting>
  <conditionalFormatting sqref="P22:P29">
    <cfRule type="expression" dxfId="59" priority="30">
      <formula>ABS(P$25-P$28)&gt;=1000</formula>
    </cfRule>
  </conditionalFormatting>
  <conditionalFormatting sqref="Q22:Q29">
    <cfRule type="expression" dxfId="58" priority="29">
      <formula>ABS(Q$25-Q$28)&gt;=1000</formula>
    </cfRule>
  </conditionalFormatting>
  <conditionalFormatting sqref="R22:R29">
    <cfRule type="expression" dxfId="57" priority="28">
      <formula>ABS(R$25-R$28)&gt;=1000</formula>
    </cfRule>
  </conditionalFormatting>
  <conditionalFormatting sqref="S22:S29">
    <cfRule type="expression" dxfId="56" priority="27">
      <formula>ABS(S$25-S$28)&gt;=1000</formula>
    </cfRule>
  </conditionalFormatting>
  <conditionalFormatting sqref="T22:T29">
    <cfRule type="expression" dxfId="55" priority="26">
      <formula>ABS(T$25-T$28)&gt;=1000</formula>
    </cfRule>
  </conditionalFormatting>
  <conditionalFormatting sqref="U22:U29">
    <cfRule type="expression" dxfId="54" priority="25">
      <formula>ABS(U$25-U$28)&gt;=1000</formula>
    </cfRule>
  </conditionalFormatting>
  <conditionalFormatting sqref="V22:V29">
    <cfRule type="expression" dxfId="53" priority="24">
      <formula>ABS(V$25-V$28)&gt;=1000</formula>
    </cfRule>
  </conditionalFormatting>
  <conditionalFormatting sqref="W22:W29">
    <cfRule type="expression" dxfId="52" priority="23">
      <formula>ABS(W$25-W$28)&gt;=1000</formula>
    </cfRule>
  </conditionalFormatting>
  <conditionalFormatting sqref="X22:X29">
    <cfRule type="expression" dxfId="51" priority="22">
      <formula>ABS(X$25-X$28)&gt;=1000</formula>
    </cfRule>
  </conditionalFormatting>
  <conditionalFormatting sqref="Y22:Y29">
    <cfRule type="expression" dxfId="50" priority="21">
      <formula>ABS(Y$25-Y$28)&gt;=1000</formula>
    </cfRule>
  </conditionalFormatting>
  <conditionalFormatting sqref="I23">
    <cfRule type="expression" dxfId="49" priority="20">
      <formula>ABS(I$25-I$28)&gt;=1000</formula>
    </cfRule>
  </conditionalFormatting>
  <conditionalFormatting sqref="F14">
    <cfRule type="expression" dxfId="48" priority="19">
      <formula>ABS(F$16-F$19)&gt;=1000</formula>
    </cfRule>
  </conditionalFormatting>
  <conditionalFormatting sqref="Q14">
    <cfRule type="expression" dxfId="47" priority="18">
      <formula>ABS(Q$16-Q$19)&gt;=1000</formula>
    </cfRule>
  </conditionalFormatting>
  <conditionalFormatting sqref="W14">
    <cfRule type="expression" dxfId="46" priority="17">
      <formula>ABS(W$16-W$19)&gt;=1000</formula>
    </cfRule>
  </conditionalFormatting>
  <conditionalFormatting sqref="Y14">
    <cfRule type="expression" dxfId="45" priority="16">
      <formula>ABS(Y$16-Y$19)&gt;=1000</formula>
    </cfRule>
  </conditionalFormatting>
  <conditionalFormatting sqref="X14">
    <cfRule type="expression" dxfId="44" priority="15">
      <formula>ABS(X$16-X$19)&gt;=1000</formula>
    </cfRule>
  </conditionalFormatting>
  <conditionalFormatting sqref="T10:Y10">
    <cfRule type="expression" dxfId="43" priority="14">
      <formula>ABS(T$7-T$10)&gt;=1000</formula>
    </cfRule>
  </conditionalFormatting>
  <conditionalFormatting sqref="W19">
    <cfRule type="expression" dxfId="42" priority="13">
      <formula>ABS(W$16-W$19)&gt;=1000</formula>
    </cfRule>
  </conditionalFormatting>
  <conditionalFormatting sqref="AC5">
    <cfRule type="expression" dxfId="41" priority="12">
      <formula>ABS(AC$7-AC$10)&gt;=1000</formula>
    </cfRule>
  </conditionalFormatting>
  <conditionalFormatting sqref="M14">
    <cfRule type="expression" dxfId="40" priority="11">
      <formula>ABS(M$16-M$19)&gt;=1000</formula>
    </cfRule>
  </conditionalFormatting>
  <conditionalFormatting sqref="M16">
    <cfRule type="expression" dxfId="39" priority="10">
      <formula>ABS(M$16-M$19)&gt;=1000</formula>
    </cfRule>
  </conditionalFormatting>
  <conditionalFormatting sqref="M19">
    <cfRule type="expression" dxfId="38" priority="9">
      <formula>ABS(M$16-M$19)&gt;=1000</formula>
    </cfRule>
  </conditionalFormatting>
  <conditionalFormatting sqref="K13:K20">
    <cfRule type="expression" dxfId="37" priority="8">
      <formula>ABS(K$16-K$19)&gt;=1000</formula>
    </cfRule>
  </conditionalFormatting>
  <conditionalFormatting sqref="E5">
    <cfRule type="expression" dxfId="36" priority="7">
      <formula>ABS(E$7-E$10)&gt;=1000</formula>
    </cfRule>
  </conditionalFormatting>
  <conditionalFormatting sqref="AB14:AC14">
    <cfRule type="expression" dxfId="35" priority="6">
      <formula>ABS(AB$16-AB$19)&gt;=1000</formula>
    </cfRule>
  </conditionalFormatting>
  <conditionalFormatting sqref="M5">
    <cfRule type="expression" dxfId="34" priority="5">
      <formula>ABS(M$7-M$10)&gt;=1000</formula>
    </cfRule>
  </conditionalFormatting>
  <conditionalFormatting sqref="N5">
    <cfRule type="expression" dxfId="33" priority="4">
      <formula>ABS(N$7-N$10)&gt;=1000</formula>
    </cfRule>
  </conditionalFormatting>
  <conditionalFormatting sqref="O5">
    <cfRule type="expression" dxfId="32" priority="3">
      <formula>ABS(O$7-O$10)&gt;=1000</formula>
    </cfRule>
  </conditionalFormatting>
  <conditionalFormatting sqref="P5">
    <cfRule type="expression" dxfId="31" priority="2">
      <formula>ABS(P$7-P$10)&gt;=1000</formula>
    </cfRule>
  </conditionalFormatting>
  <conditionalFormatting sqref="L23">
    <cfRule type="expression" dxfId="30" priority="1">
      <formula>ABS(L$25-L$28)&gt;=1000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7228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345782</xdr:rowOff>
                  </from>
                  <to>
                    <xdr:col>32</xdr:col>
                    <xdr:colOff>414938</xdr:colOff>
                    <xdr:row>3</xdr:row>
                    <xdr:rowOff>30736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25</vt:i4>
      </vt:variant>
      <vt:variant>
        <vt:lpstr>已命名的範圍</vt:lpstr>
      </vt:variant>
      <vt:variant>
        <vt:i4>25</vt:i4>
      </vt:variant>
    </vt:vector>
  </HeadingPairs>
  <TitlesOfParts>
    <vt:vector size="50" baseType="lpstr">
      <vt:lpstr>新增</vt:lpstr>
      <vt:lpstr>密度</vt:lpstr>
      <vt:lpstr>6.30</vt:lpstr>
      <vt:lpstr>7.1</vt:lpstr>
      <vt:lpstr>7.2</vt:lpstr>
      <vt:lpstr>7.3</vt:lpstr>
      <vt:lpstr>7.4</vt:lpstr>
      <vt:lpstr>7.8</vt:lpstr>
      <vt:lpstr>7.9</vt:lpstr>
      <vt:lpstr>7.10</vt:lpstr>
      <vt:lpstr>7.11</vt:lpstr>
      <vt:lpstr>7.14</vt:lpstr>
      <vt:lpstr>7.15</vt:lpstr>
      <vt:lpstr>7.16</vt:lpstr>
      <vt:lpstr>7.17</vt:lpstr>
      <vt:lpstr>7.18</vt:lpstr>
      <vt:lpstr>7.21</vt:lpstr>
      <vt:lpstr>7.22</vt:lpstr>
      <vt:lpstr>7.23</vt:lpstr>
      <vt:lpstr>7.24</vt:lpstr>
      <vt:lpstr>7.25</vt:lpstr>
      <vt:lpstr>7.28</vt:lpstr>
      <vt:lpstr>7.29</vt:lpstr>
      <vt:lpstr>7.30</vt:lpstr>
      <vt:lpstr>7.31</vt:lpstr>
      <vt:lpstr>'6.30'!Print_Area</vt:lpstr>
      <vt:lpstr>'7.1'!Print_Area</vt:lpstr>
      <vt:lpstr>'7.10'!Print_Area</vt:lpstr>
      <vt:lpstr>'7.11'!Print_Area</vt:lpstr>
      <vt:lpstr>'7.14'!Print_Area</vt:lpstr>
      <vt:lpstr>'7.15'!Print_Area</vt:lpstr>
      <vt:lpstr>'7.16'!Print_Area</vt:lpstr>
      <vt:lpstr>'7.17'!Print_Area</vt:lpstr>
      <vt:lpstr>'7.18'!Print_Area</vt:lpstr>
      <vt:lpstr>'7.2'!Print_Area</vt:lpstr>
      <vt:lpstr>'7.21'!Print_Area</vt:lpstr>
      <vt:lpstr>'7.22'!Print_Area</vt:lpstr>
      <vt:lpstr>'7.23'!Print_Area</vt:lpstr>
      <vt:lpstr>'7.24'!Print_Area</vt:lpstr>
      <vt:lpstr>'7.25'!Print_Area</vt:lpstr>
      <vt:lpstr>'7.28'!Print_Area</vt:lpstr>
      <vt:lpstr>'7.29'!Print_Area</vt:lpstr>
      <vt:lpstr>'7.3'!Print_Area</vt:lpstr>
      <vt:lpstr>'7.30'!Print_Area</vt:lpstr>
      <vt:lpstr>'7.31'!Print_Area</vt:lpstr>
      <vt:lpstr>'7.4'!Print_Area</vt:lpstr>
      <vt:lpstr>'7.8'!Print_Area</vt:lpstr>
      <vt:lpstr>'7.9'!Print_Area</vt:lpstr>
      <vt:lpstr>密度!Print_Area</vt:lpstr>
      <vt:lpstr>新增!Print_Area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C663</dc:creator>
  <cp:lastModifiedBy>user</cp:lastModifiedBy>
  <cp:lastPrinted>2025-07-30T06:53:51Z</cp:lastPrinted>
  <dcterms:created xsi:type="dcterms:W3CDTF">2006-09-16T00:00:00Z</dcterms:created>
  <dcterms:modified xsi:type="dcterms:W3CDTF">2025-08-27T07:07:33Z</dcterms:modified>
</cp:coreProperties>
</file>