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!儲槽作業日報\儲槽作業日報\2025\"/>
    </mc:Choice>
  </mc:AlternateContent>
  <bookViews>
    <workbookView xWindow="0" yWindow="0" windowWidth="2160" windowHeight="1212" firstSheet="7" activeTab="23"/>
  </bookViews>
  <sheets>
    <sheet name="新增" sheetId="1727" r:id="rId1"/>
    <sheet name="密度" sheetId="13" r:id="rId2"/>
    <sheet name="7.31" sheetId="1944" r:id="rId3"/>
    <sheet name="8.1" sheetId="1945" r:id="rId4"/>
    <sheet name="8.4" sheetId="1946" r:id="rId5"/>
    <sheet name="8.5" sheetId="1947" r:id="rId6"/>
    <sheet name="8.6" sheetId="1948" r:id="rId7"/>
    <sheet name="8.7" sheetId="1949" r:id="rId8"/>
    <sheet name="8.8" sheetId="1950" r:id="rId9"/>
    <sheet name="8.11" sheetId="1951" r:id="rId10"/>
    <sheet name="8.12" sheetId="1952" r:id="rId11"/>
    <sheet name="8.13" sheetId="1953" r:id="rId12"/>
    <sheet name="8.14" sheetId="1954" r:id="rId13"/>
    <sheet name="8.15" sheetId="1955" r:id="rId14"/>
    <sheet name="8.18" sheetId="1956" r:id="rId15"/>
    <sheet name="8.19" sheetId="1957" r:id="rId16"/>
    <sheet name="8.20" sheetId="1960" r:id="rId17"/>
    <sheet name="8.21" sheetId="1961" r:id="rId18"/>
    <sheet name="8.22" sheetId="1962" r:id="rId19"/>
    <sheet name="8.25" sheetId="1963" r:id="rId20"/>
    <sheet name="8.26" sheetId="1964" r:id="rId21"/>
    <sheet name="8.27" sheetId="1965" r:id="rId22"/>
    <sheet name="8.28" sheetId="1966" r:id="rId23"/>
    <sheet name="8.29" sheetId="1967" r:id="rId24"/>
  </sheets>
  <definedNames>
    <definedName name="_xlnm.Print_Area" localSheetId="2">'7.31'!$B$1:$AE$36</definedName>
    <definedName name="_xlnm.Print_Area" localSheetId="3">'8.1'!$B$1:$AE$36</definedName>
    <definedName name="_xlnm.Print_Area" localSheetId="9">'8.11'!$B$1:$AE$36</definedName>
    <definedName name="_xlnm.Print_Area" localSheetId="10">'8.12'!$B$1:$AE$36</definedName>
    <definedName name="_xlnm.Print_Area" localSheetId="11">'8.13'!$B$1:$AE$36</definedName>
    <definedName name="_xlnm.Print_Area" localSheetId="12">'8.14'!$B$1:$AE$36</definedName>
    <definedName name="_xlnm.Print_Area" localSheetId="13">'8.15'!$B$1:$AE$36</definedName>
    <definedName name="_xlnm.Print_Area" localSheetId="14">'8.18'!$B$1:$AE$36</definedName>
    <definedName name="_xlnm.Print_Area" localSheetId="15">'8.19'!$B$1:$AE$36</definedName>
    <definedName name="_xlnm.Print_Area" localSheetId="16">'8.20'!$B$1:$AE$36</definedName>
    <definedName name="_xlnm.Print_Area" localSheetId="17">'8.21'!$B$1:$AE$36</definedName>
    <definedName name="_xlnm.Print_Area" localSheetId="18">'8.22'!$B$1:$AE$36</definedName>
    <definedName name="_xlnm.Print_Area" localSheetId="19">'8.25'!$B$1:$AE$36</definedName>
    <definedName name="_xlnm.Print_Area" localSheetId="20">'8.26'!$B$1:$AE$36</definedName>
    <definedName name="_xlnm.Print_Area" localSheetId="21">'8.27'!$B$1:$AE$36</definedName>
    <definedName name="_xlnm.Print_Area" localSheetId="22">'8.28'!$B$1:$AE$36</definedName>
    <definedName name="_xlnm.Print_Area" localSheetId="23">'8.29'!$B$1:$AE$36</definedName>
    <definedName name="_xlnm.Print_Area" localSheetId="4">'8.4'!$B$1:$AE$36</definedName>
    <definedName name="_xlnm.Print_Area" localSheetId="5">'8.5'!$B$1:$AE$36</definedName>
    <definedName name="_xlnm.Print_Area" localSheetId="6">'8.6'!$B$1:$AE$36</definedName>
    <definedName name="_xlnm.Print_Area" localSheetId="7">'8.7'!$B$1:$AE$36</definedName>
    <definedName name="_xlnm.Print_Area" localSheetId="8">'8.8'!$B$1:$AE$36</definedName>
    <definedName name="_xlnm.Print_Area" localSheetId="1">密度!$A$1:$W$51</definedName>
    <definedName name="_xlnm.Print_Area" localSheetId="0">新增!$A$1:$M$45</definedName>
    <definedName name="Z_512059F6_F0DC_4056_8FD0_37088AB81F9E_.wvu.PrintArea" localSheetId="2" hidden="1">'7.31'!$B$3:$AE$36</definedName>
    <definedName name="Z_512059F6_F0DC_4056_8FD0_37088AB81F9E_.wvu.PrintArea" localSheetId="3" hidden="1">'8.1'!$B$3:$AE$36</definedName>
    <definedName name="Z_512059F6_F0DC_4056_8FD0_37088AB81F9E_.wvu.PrintArea" localSheetId="9" hidden="1">'8.11'!$B$3:$AE$36</definedName>
    <definedName name="Z_512059F6_F0DC_4056_8FD0_37088AB81F9E_.wvu.PrintArea" localSheetId="10" hidden="1">'8.12'!$B$3:$AE$36</definedName>
    <definedName name="Z_512059F6_F0DC_4056_8FD0_37088AB81F9E_.wvu.PrintArea" localSheetId="11" hidden="1">'8.13'!$B$3:$AE$36</definedName>
    <definedName name="Z_512059F6_F0DC_4056_8FD0_37088AB81F9E_.wvu.PrintArea" localSheetId="12" hidden="1">'8.14'!$B$3:$AE$36</definedName>
    <definedName name="Z_512059F6_F0DC_4056_8FD0_37088AB81F9E_.wvu.PrintArea" localSheetId="13" hidden="1">'8.15'!$B$3:$AE$36</definedName>
    <definedName name="Z_512059F6_F0DC_4056_8FD0_37088AB81F9E_.wvu.PrintArea" localSheetId="14" hidden="1">'8.18'!$B$3:$AE$36</definedName>
    <definedName name="Z_512059F6_F0DC_4056_8FD0_37088AB81F9E_.wvu.PrintArea" localSheetId="15" hidden="1">'8.19'!$B$3:$AE$36</definedName>
    <definedName name="Z_512059F6_F0DC_4056_8FD0_37088AB81F9E_.wvu.PrintArea" localSheetId="16" hidden="1">'8.20'!$B$3:$AE$36</definedName>
    <definedName name="Z_512059F6_F0DC_4056_8FD0_37088AB81F9E_.wvu.PrintArea" localSheetId="17" hidden="1">'8.21'!$B$3:$AE$36</definedName>
    <definedName name="Z_512059F6_F0DC_4056_8FD0_37088AB81F9E_.wvu.PrintArea" localSheetId="18" hidden="1">'8.22'!$B$3:$AE$36</definedName>
    <definedName name="Z_512059F6_F0DC_4056_8FD0_37088AB81F9E_.wvu.PrintArea" localSheetId="19" hidden="1">'8.25'!$B$3:$AE$36</definedName>
    <definedName name="Z_512059F6_F0DC_4056_8FD0_37088AB81F9E_.wvu.PrintArea" localSheetId="20" hidden="1">'8.26'!$B$3:$AE$36</definedName>
    <definedName name="Z_512059F6_F0DC_4056_8FD0_37088AB81F9E_.wvu.PrintArea" localSheetId="21" hidden="1">'8.27'!$B$3:$AE$36</definedName>
    <definedName name="Z_512059F6_F0DC_4056_8FD0_37088AB81F9E_.wvu.PrintArea" localSheetId="22" hidden="1">'8.28'!$B$3:$AE$36</definedName>
    <definedName name="Z_512059F6_F0DC_4056_8FD0_37088AB81F9E_.wvu.PrintArea" localSheetId="23" hidden="1">'8.29'!$B$3:$AE$36</definedName>
    <definedName name="Z_512059F6_F0DC_4056_8FD0_37088AB81F9E_.wvu.PrintArea" localSheetId="4" hidden="1">'8.4'!$B$3:$AE$36</definedName>
    <definedName name="Z_512059F6_F0DC_4056_8FD0_37088AB81F9E_.wvu.PrintArea" localSheetId="5" hidden="1">'8.5'!$B$3:$AE$36</definedName>
    <definedName name="Z_512059F6_F0DC_4056_8FD0_37088AB81F9E_.wvu.PrintArea" localSheetId="6" hidden="1">'8.6'!$B$3:$AE$36</definedName>
    <definedName name="Z_512059F6_F0DC_4056_8FD0_37088AB81F9E_.wvu.PrintArea" localSheetId="7" hidden="1">'8.7'!$B$3:$AE$36</definedName>
    <definedName name="Z_512059F6_F0DC_4056_8FD0_37088AB81F9E_.wvu.PrintArea" localSheetId="8" hidden="1">'8.8'!$B$3:$AE$36</definedName>
    <definedName name="Z_68643476_8805_447E_8170_A582EA1D0343_.wvu.PrintArea" localSheetId="2" hidden="1">'7.31'!$B$3:$AE$36</definedName>
    <definedName name="Z_68643476_8805_447E_8170_A582EA1D0343_.wvu.PrintArea" localSheetId="3" hidden="1">'8.1'!$B$3:$AE$36</definedName>
    <definedName name="Z_68643476_8805_447E_8170_A582EA1D0343_.wvu.PrintArea" localSheetId="9" hidden="1">'8.11'!$B$3:$AE$36</definedName>
    <definedName name="Z_68643476_8805_447E_8170_A582EA1D0343_.wvu.PrintArea" localSheetId="10" hidden="1">'8.12'!$B$3:$AE$36</definedName>
    <definedName name="Z_68643476_8805_447E_8170_A582EA1D0343_.wvu.PrintArea" localSheetId="11" hidden="1">'8.13'!$B$3:$AE$36</definedName>
    <definedName name="Z_68643476_8805_447E_8170_A582EA1D0343_.wvu.PrintArea" localSheetId="12" hidden="1">'8.14'!$B$3:$AE$36</definedName>
    <definedName name="Z_68643476_8805_447E_8170_A582EA1D0343_.wvu.PrintArea" localSheetId="13" hidden="1">'8.15'!$B$3:$AE$36</definedName>
    <definedName name="Z_68643476_8805_447E_8170_A582EA1D0343_.wvu.PrintArea" localSheetId="14" hidden="1">'8.18'!$B$3:$AE$36</definedName>
    <definedName name="Z_68643476_8805_447E_8170_A582EA1D0343_.wvu.PrintArea" localSheetId="15" hidden="1">'8.19'!$B$3:$AE$36</definedName>
    <definedName name="Z_68643476_8805_447E_8170_A582EA1D0343_.wvu.PrintArea" localSheetId="16" hidden="1">'8.20'!$B$3:$AE$36</definedName>
    <definedName name="Z_68643476_8805_447E_8170_A582EA1D0343_.wvu.PrintArea" localSheetId="17" hidden="1">'8.21'!$B$3:$AE$36</definedName>
    <definedName name="Z_68643476_8805_447E_8170_A582EA1D0343_.wvu.PrintArea" localSheetId="18" hidden="1">'8.22'!$B$3:$AE$36</definedName>
    <definedName name="Z_68643476_8805_447E_8170_A582EA1D0343_.wvu.PrintArea" localSheetId="19" hidden="1">'8.25'!$B$3:$AE$36</definedName>
    <definedName name="Z_68643476_8805_447E_8170_A582EA1D0343_.wvu.PrintArea" localSheetId="20" hidden="1">'8.26'!$B$3:$AE$36</definedName>
    <definedName name="Z_68643476_8805_447E_8170_A582EA1D0343_.wvu.PrintArea" localSheetId="21" hidden="1">'8.27'!$B$3:$AE$36</definedName>
    <definedName name="Z_68643476_8805_447E_8170_A582EA1D0343_.wvu.PrintArea" localSheetId="22" hidden="1">'8.28'!$B$3:$AE$36</definedName>
    <definedName name="Z_68643476_8805_447E_8170_A582EA1D0343_.wvu.PrintArea" localSheetId="23" hidden="1">'8.29'!$B$3:$AE$36</definedName>
    <definedName name="Z_68643476_8805_447E_8170_A582EA1D0343_.wvu.PrintArea" localSheetId="4" hidden="1">'8.4'!$B$3:$AE$36</definedName>
    <definedName name="Z_68643476_8805_447E_8170_A582EA1D0343_.wvu.PrintArea" localSheetId="5" hidden="1">'8.5'!$B$3:$AE$36</definedName>
    <definedName name="Z_68643476_8805_447E_8170_A582EA1D0343_.wvu.PrintArea" localSheetId="6" hidden="1">'8.6'!$B$3:$AE$36</definedName>
    <definedName name="Z_68643476_8805_447E_8170_A582EA1D0343_.wvu.PrintArea" localSheetId="7" hidden="1">'8.7'!$B$3:$AE$36</definedName>
    <definedName name="Z_68643476_8805_447E_8170_A582EA1D0343_.wvu.PrintArea" localSheetId="8" hidden="1">'8.8'!$B$3:$AE$36</definedName>
    <definedName name="Z_8E5926ED_4EBD_4129_B8FF_799CC47580D7_.wvu.PrintArea" localSheetId="2" hidden="1">'7.31'!$B$3:$AE$36</definedName>
    <definedName name="Z_8E5926ED_4EBD_4129_B8FF_799CC47580D7_.wvu.PrintArea" localSheetId="3" hidden="1">'8.1'!$B$3:$AE$36</definedName>
    <definedName name="Z_8E5926ED_4EBD_4129_B8FF_799CC47580D7_.wvu.PrintArea" localSheetId="9" hidden="1">'8.11'!$B$3:$AE$36</definedName>
    <definedName name="Z_8E5926ED_4EBD_4129_B8FF_799CC47580D7_.wvu.PrintArea" localSheetId="10" hidden="1">'8.12'!$B$3:$AE$36</definedName>
    <definedName name="Z_8E5926ED_4EBD_4129_B8FF_799CC47580D7_.wvu.PrintArea" localSheetId="11" hidden="1">'8.13'!$B$3:$AE$36</definedName>
    <definedName name="Z_8E5926ED_4EBD_4129_B8FF_799CC47580D7_.wvu.PrintArea" localSheetId="12" hidden="1">'8.14'!$B$3:$AE$36</definedName>
    <definedName name="Z_8E5926ED_4EBD_4129_B8FF_799CC47580D7_.wvu.PrintArea" localSheetId="13" hidden="1">'8.15'!$B$3:$AE$36</definedName>
    <definedName name="Z_8E5926ED_4EBD_4129_B8FF_799CC47580D7_.wvu.PrintArea" localSheetId="14" hidden="1">'8.18'!$B$3:$AE$36</definedName>
    <definedName name="Z_8E5926ED_4EBD_4129_B8FF_799CC47580D7_.wvu.PrintArea" localSheetId="15" hidden="1">'8.19'!$B$3:$AE$36</definedName>
    <definedName name="Z_8E5926ED_4EBD_4129_B8FF_799CC47580D7_.wvu.PrintArea" localSheetId="16" hidden="1">'8.20'!$B$3:$AE$36</definedName>
    <definedName name="Z_8E5926ED_4EBD_4129_B8FF_799CC47580D7_.wvu.PrintArea" localSheetId="17" hidden="1">'8.21'!$B$3:$AE$36</definedName>
    <definedName name="Z_8E5926ED_4EBD_4129_B8FF_799CC47580D7_.wvu.PrintArea" localSheetId="18" hidden="1">'8.22'!$B$3:$AE$36</definedName>
    <definedName name="Z_8E5926ED_4EBD_4129_B8FF_799CC47580D7_.wvu.PrintArea" localSheetId="19" hidden="1">'8.25'!$B$3:$AE$36</definedName>
    <definedName name="Z_8E5926ED_4EBD_4129_B8FF_799CC47580D7_.wvu.PrintArea" localSheetId="20" hidden="1">'8.26'!$B$3:$AE$36</definedName>
    <definedName name="Z_8E5926ED_4EBD_4129_B8FF_799CC47580D7_.wvu.PrintArea" localSheetId="21" hidden="1">'8.27'!$B$3:$AE$36</definedName>
    <definedName name="Z_8E5926ED_4EBD_4129_B8FF_799CC47580D7_.wvu.PrintArea" localSheetId="22" hidden="1">'8.28'!$B$3:$AE$36</definedName>
    <definedName name="Z_8E5926ED_4EBD_4129_B8FF_799CC47580D7_.wvu.PrintArea" localSheetId="23" hidden="1">'8.29'!$B$3:$AE$36</definedName>
    <definedName name="Z_8E5926ED_4EBD_4129_B8FF_799CC47580D7_.wvu.PrintArea" localSheetId="4" hidden="1">'8.4'!$B$3:$AE$36</definedName>
    <definedName name="Z_8E5926ED_4EBD_4129_B8FF_799CC47580D7_.wvu.PrintArea" localSheetId="5" hidden="1">'8.5'!$B$3:$AE$36</definedName>
    <definedName name="Z_8E5926ED_4EBD_4129_B8FF_799CC47580D7_.wvu.PrintArea" localSheetId="6" hidden="1">'8.6'!$B$3:$AE$36</definedName>
    <definedName name="Z_8E5926ED_4EBD_4129_B8FF_799CC47580D7_.wvu.PrintArea" localSheetId="7" hidden="1">'8.7'!$B$3:$AE$36</definedName>
    <definedName name="Z_8E5926ED_4EBD_4129_B8FF_799CC47580D7_.wvu.PrintArea" localSheetId="8" hidden="1">'8.8'!$B$3:$AE$36</definedName>
    <definedName name="Z_8FA8B620_C56C_11DB_A857_00055D5FD5FF_.wvu.PrintArea" localSheetId="2" hidden="1">'7.31'!$B$3:$AE$36</definedName>
    <definedName name="Z_8FA8B620_C56C_11DB_A857_00055D5FD5FF_.wvu.PrintArea" localSheetId="3" hidden="1">'8.1'!$B$3:$AE$36</definedName>
    <definedName name="Z_8FA8B620_C56C_11DB_A857_00055D5FD5FF_.wvu.PrintArea" localSheetId="9" hidden="1">'8.11'!$B$3:$AE$36</definedName>
    <definedName name="Z_8FA8B620_C56C_11DB_A857_00055D5FD5FF_.wvu.PrintArea" localSheetId="10" hidden="1">'8.12'!$B$3:$AE$36</definedName>
    <definedName name="Z_8FA8B620_C56C_11DB_A857_00055D5FD5FF_.wvu.PrintArea" localSheetId="11" hidden="1">'8.13'!$B$3:$AE$36</definedName>
    <definedName name="Z_8FA8B620_C56C_11DB_A857_00055D5FD5FF_.wvu.PrintArea" localSheetId="12" hidden="1">'8.14'!$B$3:$AE$36</definedName>
    <definedName name="Z_8FA8B620_C56C_11DB_A857_00055D5FD5FF_.wvu.PrintArea" localSheetId="13" hidden="1">'8.15'!$B$3:$AE$36</definedName>
    <definedName name="Z_8FA8B620_C56C_11DB_A857_00055D5FD5FF_.wvu.PrintArea" localSheetId="14" hidden="1">'8.18'!$B$3:$AE$36</definedName>
    <definedName name="Z_8FA8B620_C56C_11DB_A857_00055D5FD5FF_.wvu.PrintArea" localSheetId="15" hidden="1">'8.19'!$B$3:$AE$36</definedName>
    <definedName name="Z_8FA8B620_C56C_11DB_A857_00055D5FD5FF_.wvu.PrintArea" localSheetId="16" hidden="1">'8.20'!$B$3:$AE$36</definedName>
    <definedName name="Z_8FA8B620_C56C_11DB_A857_00055D5FD5FF_.wvu.PrintArea" localSheetId="17" hidden="1">'8.21'!$B$3:$AE$36</definedName>
    <definedName name="Z_8FA8B620_C56C_11DB_A857_00055D5FD5FF_.wvu.PrintArea" localSheetId="18" hidden="1">'8.22'!$B$3:$AE$36</definedName>
    <definedName name="Z_8FA8B620_C56C_11DB_A857_00055D5FD5FF_.wvu.PrintArea" localSheetId="19" hidden="1">'8.25'!$B$3:$AE$36</definedName>
    <definedName name="Z_8FA8B620_C56C_11DB_A857_00055D5FD5FF_.wvu.PrintArea" localSheetId="20" hidden="1">'8.26'!$B$3:$AE$36</definedName>
    <definedName name="Z_8FA8B620_C56C_11DB_A857_00055D5FD5FF_.wvu.PrintArea" localSheetId="21" hidden="1">'8.27'!$B$3:$AE$36</definedName>
    <definedName name="Z_8FA8B620_C56C_11DB_A857_00055D5FD5FF_.wvu.PrintArea" localSheetId="22" hidden="1">'8.28'!$B$3:$AE$36</definedName>
    <definedName name="Z_8FA8B620_C56C_11DB_A857_00055D5FD5FF_.wvu.PrintArea" localSheetId="23" hidden="1">'8.29'!$B$3:$AE$36</definedName>
    <definedName name="Z_8FA8B620_C56C_11DB_A857_00055D5FD5FF_.wvu.PrintArea" localSheetId="4" hidden="1">'8.4'!$B$3:$AE$36</definedName>
    <definedName name="Z_8FA8B620_C56C_11DB_A857_00055D5FD5FF_.wvu.PrintArea" localSheetId="5" hidden="1">'8.5'!$B$3:$AE$36</definedName>
    <definedName name="Z_8FA8B620_C56C_11DB_A857_00055D5FD5FF_.wvu.PrintArea" localSheetId="6" hidden="1">'8.6'!$B$3:$AE$36</definedName>
    <definedName name="Z_8FA8B620_C56C_11DB_A857_00055D5FD5FF_.wvu.PrintArea" localSheetId="7" hidden="1">'8.7'!$B$3:$AE$36</definedName>
    <definedName name="Z_8FA8B620_C56C_11DB_A857_00055D5FD5FF_.wvu.PrintArea" localSheetId="8" hidden="1">'8.8'!$B$3:$AE$36</definedName>
    <definedName name="Z_A3DB5619_047E_4CE2_8C39_700CFD25F2CB_.wvu.PrintArea" localSheetId="2" hidden="1">'7.31'!$B$3:$AE$36</definedName>
    <definedName name="Z_A3DB5619_047E_4CE2_8C39_700CFD25F2CB_.wvu.PrintArea" localSheetId="3" hidden="1">'8.1'!$B$3:$AE$36</definedName>
    <definedName name="Z_A3DB5619_047E_4CE2_8C39_700CFD25F2CB_.wvu.PrintArea" localSheetId="9" hidden="1">'8.11'!$B$3:$AE$36</definedName>
    <definedName name="Z_A3DB5619_047E_4CE2_8C39_700CFD25F2CB_.wvu.PrintArea" localSheetId="10" hidden="1">'8.12'!$B$3:$AE$36</definedName>
    <definedName name="Z_A3DB5619_047E_4CE2_8C39_700CFD25F2CB_.wvu.PrintArea" localSheetId="11" hidden="1">'8.13'!$B$3:$AE$36</definedName>
    <definedName name="Z_A3DB5619_047E_4CE2_8C39_700CFD25F2CB_.wvu.PrintArea" localSheetId="12" hidden="1">'8.14'!$B$3:$AE$36</definedName>
    <definedName name="Z_A3DB5619_047E_4CE2_8C39_700CFD25F2CB_.wvu.PrintArea" localSheetId="13" hidden="1">'8.15'!$B$3:$AE$36</definedName>
    <definedName name="Z_A3DB5619_047E_4CE2_8C39_700CFD25F2CB_.wvu.PrintArea" localSheetId="14" hidden="1">'8.18'!$B$3:$AE$36</definedName>
    <definedName name="Z_A3DB5619_047E_4CE2_8C39_700CFD25F2CB_.wvu.PrintArea" localSheetId="15" hidden="1">'8.19'!$B$3:$AE$36</definedName>
    <definedName name="Z_A3DB5619_047E_4CE2_8C39_700CFD25F2CB_.wvu.PrintArea" localSheetId="16" hidden="1">'8.20'!$B$3:$AE$36</definedName>
    <definedName name="Z_A3DB5619_047E_4CE2_8C39_700CFD25F2CB_.wvu.PrintArea" localSheetId="17" hidden="1">'8.21'!$B$3:$AE$36</definedName>
    <definedName name="Z_A3DB5619_047E_4CE2_8C39_700CFD25F2CB_.wvu.PrintArea" localSheetId="18" hidden="1">'8.22'!$B$3:$AE$36</definedName>
    <definedName name="Z_A3DB5619_047E_4CE2_8C39_700CFD25F2CB_.wvu.PrintArea" localSheetId="19" hidden="1">'8.25'!$B$3:$AE$36</definedName>
    <definedName name="Z_A3DB5619_047E_4CE2_8C39_700CFD25F2CB_.wvu.PrintArea" localSheetId="20" hidden="1">'8.26'!$B$3:$AE$36</definedName>
    <definedName name="Z_A3DB5619_047E_4CE2_8C39_700CFD25F2CB_.wvu.PrintArea" localSheetId="21" hidden="1">'8.27'!$B$3:$AE$36</definedName>
    <definedName name="Z_A3DB5619_047E_4CE2_8C39_700CFD25F2CB_.wvu.PrintArea" localSheetId="22" hidden="1">'8.28'!$B$3:$AE$36</definedName>
    <definedName name="Z_A3DB5619_047E_4CE2_8C39_700CFD25F2CB_.wvu.PrintArea" localSheetId="23" hidden="1">'8.29'!$B$3:$AE$36</definedName>
    <definedName name="Z_A3DB5619_047E_4CE2_8C39_700CFD25F2CB_.wvu.PrintArea" localSheetId="4" hidden="1">'8.4'!$B$3:$AE$36</definedName>
    <definedName name="Z_A3DB5619_047E_4CE2_8C39_700CFD25F2CB_.wvu.PrintArea" localSheetId="5" hidden="1">'8.5'!$B$3:$AE$36</definedName>
    <definedName name="Z_A3DB5619_047E_4CE2_8C39_700CFD25F2CB_.wvu.PrintArea" localSheetId="6" hidden="1">'8.6'!$B$3:$AE$36</definedName>
    <definedName name="Z_A3DB5619_047E_4CE2_8C39_700CFD25F2CB_.wvu.PrintArea" localSheetId="7" hidden="1">'8.7'!$B$3:$AE$36</definedName>
    <definedName name="Z_A3DB5619_047E_4CE2_8C39_700CFD25F2CB_.wvu.PrintArea" localSheetId="8" hidden="1">'8.8'!$B$3:$AE$36</definedName>
    <definedName name="Z_D903F940_B812_11DB_B168_0010B575B8B2_.wvu.PrintArea" localSheetId="2" hidden="1">'7.31'!$B$3:$AE$36</definedName>
    <definedName name="Z_D903F940_B812_11DB_B168_0010B575B8B2_.wvu.PrintArea" localSheetId="3" hidden="1">'8.1'!$B$3:$AE$36</definedName>
    <definedName name="Z_D903F940_B812_11DB_B168_0010B575B8B2_.wvu.PrintArea" localSheetId="9" hidden="1">'8.11'!$B$3:$AE$36</definedName>
    <definedName name="Z_D903F940_B812_11DB_B168_0010B575B8B2_.wvu.PrintArea" localSheetId="10" hidden="1">'8.12'!$B$3:$AE$36</definedName>
    <definedName name="Z_D903F940_B812_11DB_B168_0010B575B8B2_.wvu.PrintArea" localSheetId="11" hidden="1">'8.13'!$B$3:$AE$36</definedName>
    <definedName name="Z_D903F940_B812_11DB_B168_0010B575B8B2_.wvu.PrintArea" localSheetId="12" hidden="1">'8.14'!$B$3:$AE$36</definedName>
    <definedName name="Z_D903F940_B812_11DB_B168_0010B575B8B2_.wvu.PrintArea" localSheetId="13" hidden="1">'8.15'!$B$3:$AE$36</definedName>
    <definedName name="Z_D903F940_B812_11DB_B168_0010B575B8B2_.wvu.PrintArea" localSheetId="14" hidden="1">'8.18'!$B$3:$AE$36</definedName>
    <definedName name="Z_D903F940_B812_11DB_B168_0010B575B8B2_.wvu.PrintArea" localSheetId="15" hidden="1">'8.19'!$B$3:$AE$36</definedName>
    <definedName name="Z_D903F940_B812_11DB_B168_0010B575B8B2_.wvu.PrintArea" localSheetId="16" hidden="1">'8.20'!$B$3:$AE$36</definedName>
    <definedName name="Z_D903F940_B812_11DB_B168_0010B575B8B2_.wvu.PrintArea" localSheetId="17" hidden="1">'8.21'!$B$3:$AE$36</definedName>
    <definedName name="Z_D903F940_B812_11DB_B168_0010B575B8B2_.wvu.PrintArea" localSheetId="18" hidden="1">'8.22'!$B$3:$AE$36</definedName>
    <definedName name="Z_D903F940_B812_11DB_B168_0010B575B8B2_.wvu.PrintArea" localSheetId="19" hidden="1">'8.25'!$B$3:$AE$36</definedName>
    <definedName name="Z_D903F940_B812_11DB_B168_0010B575B8B2_.wvu.PrintArea" localSheetId="20" hidden="1">'8.26'!$B$3:$AE$36</definedName>
    <definedName name="Z_D903F940_B812_11DB_B168_0010B575B8B2_.wvu.PrintArea" localSheetId="21" hidden="1">'8.27'!$B$3:$AE$36</definedName>
    <definedName name="Z_D903F940_B812_11DB_B168_0010B575B8B2_.wvu.PrintArea" localSheetId="22" hidden="1">'8.28'!$B$3:$AE$36</definedName>
    <definedName name="Z_D903F940_B812_11DB_B168_0010B575B8B2_.wvu.PrintArea" localSheetId="23" hidden="1">'8.29'!$B$3:$AE$36</definedName>
    <definedName name="Z_D903F940_B812_11DB_B168_0010B575B8B2_.wvu.PrintArea" localSheetId="4" hidden="1">'8.4'!$B$3:$AE$36</definedName>
    <definedName name="Z_D903F940_B812_11DB_B168_0010B575B8B2_.wvu.PrintArea" localSheetId="5" hidden="1">'8.5'!$B$3:$AE$36</definedName>
    <definedName name="Z_D903F940_B812_11DB_B168_0010B575B8B2_.wvu.PrintArea" localSheetId="6" hidden="1">'8.6'!$B$3:$AE$36</definedName>
    <definedName name="Z_D903F940_B812_11DB_B168_0010B575B8B2_.wvu.PrintArea" localSheetId="7" hidden="1">'8.7'!$B$3:$AE$36</definedName>
    <definedName name="Z_D903F940_B812_11DB_B168_0010B575B8B2_.wvu.PrintArea" localSheetId="8" hidden="1">'8.8'!$B$3:$AE$36</definedName>
    <definedName name="取樣回收每月庫存表" localSheetId="2" hidden="1">'7.31'!#REF!</definedName>
    <definedName name="取樣回收每月庫存表" localSheetId="3" hidden="1">'8.1'!#REF!</definedName>
    <definedName name="取樣回收每月庫存表" localSheetId="9" hidden="1">'8.11'!#REF!</definedName>
    <definedName name="取樣回收每月庫存表" localSheetId="10" hidden="1">'8.12'!#REF!</definedName>
    <definedName name="取樣回收每月庫存表" localSheetId="11" hidden="1">'8.13'!#REF!</definedName>
    <definedName name="取樣回收每月庫存表" localSheetId="12" hidden="1">'8.14'!#REF!</definedName>
    <definedName name="取樣回收每月庫存表" localSheetId="13" hidden="1">'8.15'!#REF!</definedName>
    <definedName name="取樣回收每月庫存表" localSheetId="14" hidden="1">'8.18'!#REF!</definedName>
    <definedName name="取樣回收每月庫存表" localSheetId="15" hidden="1">'8.19'!#REF!</definedName>
    <definedName name="取樣回收每月庫存表" localSheetId="16" hidden="1">'8.20'!#REF!</definedName>
    <definedName name="取樣回收每月庫存表" localSheetId="17" hidden="1">'8.21'!#REF!</definedName>
    <definedName name="取樣回收每月庫存表" localSheetId="18" hidden="1">'8.22'!#REF!</definedName>
    <definedName name="取樣回收每月庫存表" localSheetId="19" hidden="1">'8.25'!#REF!</definedName>
    <definedName name="取樣回收每月庫存表" localSheetId="20" hidden="1">'8.26'!#REF!</definedName>
    <definedName name="取樣回收每月庫存表" localSheetId="21" hidden="1">'8.27'!#REF!</definedName>
    <definedName name="取樣回收每月庫存表" localSheetId="22" hidden="1">'8.28'!#REF!</definedName>
    <definedName name="取樣回收每月庫存表" localSheetId="23" hidden="1">'8.29'!#REF!</definedName>
    <definedName name="取樣回收每月庫存表" localSheetId="4" hidden="1">'8.4'!#REF!</definedName>
    <definedName name="取樣回收每月庫存表" localSheetId="5" hidden="1">'8.5'!#REF!</definedName>
    <definedName name="取樣回收每月庫存表" localSheetId="6" hidden="1">'8.6'!#REF!</definedName>
    <definedName name="取樣回收每月庫存表" localSheetId="7" hidden="1">'8.7'!#REF!</definedName>
    <definedName name="取樣回收每月庫存表" localSheetId="8" hidden="1">'8.8'!#REF!</definedName>
    <definedName name="取樣回收每月庫存表_0620更新" localSheetId="2" hidden="1">'7.31'!$AG$13:$BH$189</definedName>
    <definedName name="取樣回收每月庫存表_0620更新" localSheetId="3" hidden="1">'8.1'!$AG$13:$BH$189</definedName>
    <definedName name="取樣回收每月庫存表_0620更新" localSheetId="9" hidden="1">'8.11'!$AG$13:$BH$189</definedName>
    <definedName name="取樣回收每月庫存表_0620更新" localSheetId="10" hidden="1">'8.12'!$AG$13:$BH$189</definedName>
    <definedName name="取樣回收每月庫存表_0620更新" localSheetId="11" hidden="1">'8.13'!$AG$13:$BH$189</definedName>
    <definedName name="取樣回收每月庫存表_0620更新" localSheetId="12" hidden="1">'8.14'!$AG$13:$BH$189</definedName>
    <definedName name="取樣回收每月庫存表_0620更新" localSheetId="13" hidden="1">'8.15'!$AG$13:$BH$189</definedName>
    <definedName name="取樣回收每月庫存表_0620更新" localSheetId="14" hidden="1">'8.18'!$AG$13:$BH$189</definedName>
    <definedName name="取樣回收每月庫存表_0620更新" localSheetId="15" hidden="1">'8.19'!$AG$13:$BH$189</definedName>
    <definedName name="取樣回收每月庫存表_0620更新" localSheetId="16" hidden="1">'8.20'!$AG$13:$BH$189</definedName>
    <definedName name="取樣回收每月庫存表_0620更新" localSheetId="17" hidden="1">'8.21'!$AG$13:$BH$189</definedName>
    <definedName name="取樣回收每月庫存表_0620更新" localSheetId="18" hidden="1">'8.22'!$AG$13:$BH$189</definedName>
    <definedName name="取樣回收每月庫存表_0620更新" localSheetId="19" hidden="1">'8.25'!$AG$13:$BH$189</definedName>
    <definedName name="取樣回收每月庫存表_0620更新" localSheetId="20" hidden="1">'8.26'!$AG$13:$BH$189</definedName>
    <definedName name="取樣回收每月庫存表_0620更新" localSheetId="21" hidden="1">'8.27'!$AG$13:$BH$189</definedName>
    <definedName name="取樣回收每月庫存表_0620更新" localSheetId="22" hidden="1">'8.28'!$AG$13:$BH$189</definedName>
    <definedName name="取樣回收每月庫存表_0620更新" localSheetId="23" hidden="1">'8.29'!$AG$13:$BH$189</definedName>
    <definedName name="取樣回收每月庫存表_0620更新" localSheetId="4" hidden="1">'8.4'!$AG$13:$BH$189</definedName>
    <definedName name="取樣回收每月庫存表_0620更新" localSheetId="5" hidden="1">'8.5'!$AG$13:$BH$189</definedName>
    <definedName name="取樣回收每月庫存表_0620更新" localSheetId="6" hidden="1">'8.6'!$AG$13:$BH$189</definedName>
    <definedName name="取樣回收每月庫存表_0620更新" localSheetId="7" hidden="1">'8.7'!$AG$13:$BH$189</definedName>
    <definedName name="取樣回收每月庫存表_0620更新" localSheetId="8" hidden="1">'8.8'!$AG$13:$BH$189</definedName>
    <definedName name="複本_14_取樣回收每月庫存表" localSheetId="2" hidden="1">'7.31'!#REF!</definedName>
    <definedName name="複本_14_取樣回收每月庫存表" localSheetId="3" hidden="1">'8.1'!#REF!</definedName>
    <definedName name="複本_14_取樣回收每月庫存表" localSheetId="9" hidden="1">'8.11'!#REF!</definedName>
    <definedName name="複本_14_取樣回收每月庫存表" localSheetId="10" hidden="1">'8.12'!#REF!</definedName>
    <definedName name="複本_14_取樣回收每月庫存表" localSheetId="11" hidden="1">'8.13'!#REF!</definedName>
    <definedName name="複本_14_取樣回收每月庫存表" localSheetId="12" hidden="1">'8.14'!#REF!</definedName>
    <definedName name="複本_14_取樣回收每月庫存表" localSheetId="13" hidden="1">'8.15'!#REF!</definedName>
    <definedName name="複本_14_取樣回收每月庫存表" localSheetId="14" hidden="1">'8.18'!#REF!</definedName>
    <definedName name="複本_14_取樣回收每月庫存表" localSheetId="15" hidden="1">'8.19'!#REF!</definedName>
    <definedName name="複本_14_取樣回收每月庫存表" localSheetId="16" hidden="1">'8.20'!#REF!</definedName>
    <definedName name="複本_14_取樣回收每月庫存表" localSheetId="17" hidden="1">'8.21'!#REF!</definedName>
    <definedName name="複本_14_取樣回收每月庫存表" localSheetId="18" hidden="1">'8.22'!#REF!</definedName>
    <definedName name="複本_14_取樣回收每月庫存表" localSheetId="19" hidden="1">'8.25'!#REF!</definedName>
    <definedName name="複本_14_取樣回收每月庫存表" localSheetId="20" hidden="1">'8.26'!#REF!</definedName>
    <definedName name="複本_14_取樣回收每月庫存表" localSheetId="21" hidden="1">'8.27'!#REF!</definedName>
    <definedName name="複本_14_取樣回收每月庫存表" localSheetId="22" hidden="1">'8.28'!#REF!</definedName>
    <definedName name="複本_14_取樣回收每月庫存表" localSheetId="23" hidden="1">'8.29'!#REF!</definedName>
    <definedName name="複本_14_取樣回收每月庫存表" localSheetId="4" hidden="1">'8.4'!#REF!</definedName>
    <definedName name="複本_14_取樣回收每月庫存表" localSheetId="5" hidden="1">'8.5'!#REF!</definedName>
    <definedName name="複本_14_取樣回收每月庫存表" localSheetId="6" hidden="1">'8.6'!#REF!</definedName>
    <definedName name="複本_14_取樣回收每月庫存表" localSheetId="7" hidden="1">'8.7'!#REF!</definedName>
    <definedName name="複本_14_取樣回收每月庫存表" localSheetId="8" hidden="1">'8.8'!#REF!</definedName>
  </definedNames>
  <calcPr calcId="162913"/>
</workbook>
</file>

<file path=xl/calcChain.xml><?xml version="1.0" encoding="utf-8"?>
<calcChain xmlns="http://schemas.openxmlformats.org/spreadsheetml/2006/main">
  <c r="AA33" i="1967" l="1"/>
  <c r="X33" i="1967"/>
  <c r="U33" i="1967"/>
  <c r="R33" i="1967"/>
  <c r="O33" i="1967"/>
  <c r="L33" i="1967"/>
  <c r="F33" i="1967"/>
  <c r="Y28" i="1967"/>
  <c r="X28" i="1967"/>
  <c r="W28" i="1967"/>
  <c r="V28" i="1967"/>
  <c r="U28" i="1967"/>
  <c r="T28" i="1967"/>
  <c r="S28" i="1967"/>
  <c r="R28" i="1967"/>
  <c r="Q28" i="1967"/>
  <c r="P28" i="1967"/>
  <c r="O28" i="1967"/>
  <c r="N28" i="1967"/>
  <c r="M28" i="1967"/>
  <c r="L28" i="1967"/>
  <c r="K28" i="1967"/>
  <c r="J28" i="1967"/>
  <c r="I28" i="1967"/>
  <c r="H28" i="1967"/>
  <c r="G28" i="1967"/>
  <c r="F28" i="1967"/>
  <c r="E28" i="1967"/>
  <c r="D28" i="1967"/>
  <c r="Y25" i="1967"/>
  <c r="X25" i="1967"/>
  <c r="W25" i="1967"/>
  <c r="V25" i="1967"/>
  <c r="U25" i="1967"/>
  <c r="T25" i="1967"/>
  <c r="S25" i="1967"/>
  <c r="R25" i="1967"/>
  <c r="Q25" i="1967"/>
  <c r="P25" i="1967"/>
  <c r="O25" i="1967"/>
  <c r="N25" i="1967"/>
  <c r="M25" i="1967"/>
  <c r="L25" i="1967"/>
  <c r="K25" i="1967"/>
  <c r="J25" i="1967"/>
  <c r="I25" i="1967"/>
  <c r="H25" i="1967"/>
  <c r="G25" i="1967"/>
  <c r="F25" i="1967"/>
  <c r="E25" i="1967"/>
  <c r="D25" i="1967"/>
  <c r="AE19" i="1967"/>
  <c r="AD19" i="1967"/>
  <c r="AC19" i="1967"/>
  <c r="AB19" i="1967"/>
  <c r="AA19" i="1967"/>
  <c r="Z19" i="1967"/>
  <c r="Y19" i="1967"/>
  <c r="X19" i="1967"/>
  <c r="T33" i="1967" s="1"/>
  <c r="W19" i="1967"/>
  <c r="V19" i="1967"/>
  <c r="U19" i="1967"/>
  <c r="T19" i="1967"/>
  <c r="S19" i="1967"/>
  <c r="R19" i="1967"/>
  <c r="Q19" i="1967"/>
  <c r="P19" i="1967"/>
  <c r="O19" i="1967"/>
  <c r="N19" i="1967"/>
  <c r="H33" i="1967" s="1"/>
  <c r="M19" i="1967"/>
  <c r="L19" i="1967"/>
  <c r="P33" i="1967" s="1"/>
  <c r="K19" i="1967"/>
  <c r="J19" i="1967"/>
  <c r="I19" i="1967"/>
  <c r="AB33" i="1967" s="1"/>
  <c r="H19" i="1967"/>
  <c r="G19" i="1967"/>
  <c r="F19" i="1967"/>
  <c r="E19" i="1967"/>
  <c r="D19" i="1967"/>
  <c r="AE16" i="1967"/>
  <c r="AD16" i="1967"/>
  <c r="AC16" i="1967"/>
  <c r="AB16" i="1967"/>
  <c r="AA16" i="1967"/>
  <c r="Z16" i="1967"/>
  <c r="X16" i="1967"/>
  <c r="W16" i="1967"/>
  <c r="V16" i="1967"/>
  <c r="U16" i="1967"/>
  <c r="T16" i="1967"/>
  <c r="S16" i="1967"/>
  <c r="R16" i="1967"/>
  <c r="Q16" i="1967"/>
  <c r="P16" i="1967"/>
  <c r="O16" i="1967"/>
  <c r="N16" i="1967"/>
  <c r="M16" i="1967"/>
  <c r="L16" i="1967"/>
  <c r="K16" i="1967"/>
  <c r="J16" i="1967"/>
  <c r="I16" i="1967"/>
  <c r="H16" i="1967"/>
  <c r="G16" i="1967"/>
  <c r="F16" i="1967"/>
  <c r="E16" i="1967"/>
  <c r="D16" i="1967"/>
  <c r="AE10" i="1967"/>
  <c r="AD10" i="1967"/>
  <c r="AC33" i="1967" s="1"/>
  <c r="AC10" i="1967"/>
  <c r="AB10" i="1967"/>
  <c r="AA10" i="1967"/>
  <c r="Z10" i="1967"/>
  <c r="Y10" i="1967"/>
  <c r="X10" i="1967"/>
  <c r="W10" i="1967"/>
  <c r="V10" i="1967"/>
  <c r="U10" i="1967"/>
  <c r="T10" i="1967"/>
  <c r="S10" i="1967"/>
  <c r="R10" i="1967"/>
  <c r="Q10" i="1967"/>
  <c r="P10" i="1967"/>
  <c r="O10" i="1967"/>
  <c r="N10" i="1967"/>
  <c r="Q33" i="1967" s="1"/>
  <c r="M10" i="1967"/>
  <c r="L10" i="1967"/>
  <c r="K10" i="1967"/>
  <c r="J10" i="1967"/>
  <c r="I10" i="1967"/>
  <c r="H10" i="1967"/>
  <c r="G10" i="1967"/>
  <c r="F10" i="1967"/>
  <c r="J33" i="1967" s="1"/>
  <c r="E10" i="1967"/>
  <c r="S33" i="1967" s="1"/>
  <c r="D10" i="1967"/>
  <c r="AE7" i="1967"/>
  <c r="AD7" i="1967"/>
  <c r="AC7" i="1967"/>
  <c r="AB7" i="1967"/>
  <c r="AA7" i="1967"/>
  <c r="Z7" i="1967"/>
  <c r="Y7" i="1967"/>
  <c r="X7" i="1967"/>
  <c r="W7" i="1967"/>
  <c r="V7" i="1967"/>
  <c r="U7" i="1967"/>
  <c r="T7" i="1967"/>
  <c r="S7" i="1967"/>
  <c r="R7" i="1967"/>
  <c r="Q7" i="1967"/>
  <c r="P7" i="1967"/>
  <c r="O7" i="1967"/>
  <c r="N7" i="1967"/>
  <c r="M7" i="1967"/>
  <c r="L7" i="1967"/>
  <c r="K7" i="1967"/>
  <c r="J7" i="1967"/>
  <c r="I7" i="1967"/>
  <c r="H7" i="1967"/>
  <c r="G7" i="1967"/>
  <c r="F7" i="1967"/>
  <c r="E7" i="1967"/>
  <c r="D7" i="1967"/>
  <c r="N33" i="1967" l="1"/>
  <c r="K33" i="1967"/>
  <c r="W33" i="1967"/>
  <c r="Z33" i="1967"/>
  <c r="D33" i="1967"/>
  <c r="Y33" i="1967"/>
  <c r="E33" i="1967"/>
  <c r="M33" i="1967"/>
  <c r="V33" i="1967"/>
  <c r="AA33" i="1966"/>
  <c r="X33" i="1966"/>
  <c r="U33" i="1966"/>
  <c r="R33" i="1966"/>
  <c r="O33" i="1966"/>
  <c r="L33" i="1966"/>
  <c r="F33" i="1966"/>
  <c r="Y28" i="1966"/>
  <c r="X28" i="1966"/>
  <c r="W28" i="1966"/>
  <c r="V28" i="1966"/>
  <c r="U28" i="1966"/>
  <c r="T28" i="1966"/>
  <c r="S28" i="1966"/>
  <c r="R28" i="1966"/>
  <c r="Q28" i="1966"/>
  <c r="P28" i="1966"/>
  <c r="O28" i="1966"/>
  <c r="N28" i="1966"/>
  <c r="M28" i="1966"/>
  <c r="L28" i="1966"/>
  <c r="K28" i="1966"/>
  <c r="J28" i="1966"/>
  <c r="I28" i="1966"/>
  <c r="H28" i="1966"/>
  <c r="G28" i="1966"/>
  <c r="F28" i="1966"/>
  <c r="E28" i="1966"/>
  <c r="D28" i="1966"/>
  <c r="Y25" i="1966"/>
  <c r="X25" i="1966"/>
  <c r="W25" i="1966"/>
  <c r="V25" i="1966"/>
  <c r="U25" i="1966"/>
  <c r="T25" i="1966"/>
  <c r="S25" i="1966"/>
  <c r="R25" i="1966"/>
  <c r="Q25" i="1966"/>
  <c r="P25" i="1966"/>
  <c r="O25" i="1966"/>
  <c r="N25" i="1966"/>
  <c r="M25" i="1966"/>
  <c r="L25" i="1966"/>
  <c r="K25" i="1966"/>
  <c r="J25" i="1966"/>
  <c r="I25" i="1966"/>
  <c r="H25" i="1966"/>
  <c r="G25" i="1966"/>
  <c r="F25" i="1966"/>
  <c r="E25" i="1966"/>
  <c r="D25" i="1966"/>
  <c r="AE19" i="1966"/>
  <c r="AD19" i="1966"/>
  <c r="AC19" i="1966"/>
  <c r="AB19" i="1966"/>
  <c r="AA19" i="1966"/>
  <c r="Z19" i="1966"/>
  <c r="Y19" i="1966"/>
  <c r="X19" i="1966"/>
  <c r="T33" i="1966" s="1"/>
  <c r="W19" i="1966"/>
  <c r="V19" i="1966"/>
  <c r="U19" i="1966"/>
  <c r="T19" i="1966"/>
  <c r="S19" i="1966"/>
  <c r="R19" i="1966"/>
  <c r="Q19" i="1966"/>
  <c r="P19" i="1966"/>
  <c r="O19" i="1966"/>
  <c r="N19" i="1966"/>
  <c r="H33" i="1966" s="1"/>
  <c r="M19" i="1966"/>
  <c r="L19" i="1966"/>
  <c r="P33" i="1966" s="1"/>
  <c r="K19" i="1966"/>
  <c r="J19" i="1966"/>
  <c r="I19" i="1966"/>
  <c r="AB33" i="1966" s="1"/>
  <c r="H19" i="1966"/>
  <c r="G19" i="1966"/>
  <c r="F19" i="1966"/>
  <c r="E19" i="1966"/>
  <c r="D19" i="1966"/>
  <c r="AE16" i="1966"/>
  <c r="AD16" i="1966"/>
  <c r="AC16" i="1966"/>
  <c r="AB16" i="1966"/>
  <c r="AA16" i="1966"/>
  <c r="Z16" i="1966"/>
  <c r="X16" i="1966"/>
  <c r="W16" i="1966"/>
  <c r="V16" i="1966"/>
  <c r="U16" i="1966"/>
  <c r="T16" i="1966"/>
  <c r="S16" i="1966"/>
  <c r="R16" i="1966"/>
  <c r="Q16" i="1966"/>
  <c r="P16" i="1966"/>
  <c r="O16" i="1966"/>
  <c r="N16" i="1966"/>
  <c r="M16" i="1966"/>
  <c r="L16" i="1966"/>
  <c r="K16" i="1966"/>
  <c r="J16" i="1966"/>
  <c r="I16" i="1966"/>
  <c r="H16" i="1966"/>
  <c r="G16" i="1966"/>
  <c r="F16" i="1966"/>
  <c r="E16" i="1966"/>
  <c r="D16" i="1966"/>
  <c r="AE10" i="1966"/>
  <c r="AD10" i="1966"/>
  <c r="AC33" i="1966" s="1"/>
  <c r="AC10" i="1966"/>
  <c r="AB10" i="1966"/>
  <c r="AA10" i="1966"/>
  <c r="Z10" i="1966"/>
  <c r="Y10" i="1966"/>
  <c r="X10" i="1966"/>
  <c r="W10" i="1966"/>
  <c r="V10" i="1966"/>
  <c r="U10" i="1966"/>
  <c r="T10" i="1966"/>
  <c r="S10" i="1966"/>
  <c r="R10" i="1966"/>
  <c r="Q10" i="1966"/>
  <c r="P10" i="1966"/>
  <c r="O10" i="1966"/>
  <c r="N10" i="1966"/>
  <c r="Q33" i="1966" s="1"/>
  <c r="M10" i="1966"/>
  <c r="L10" i="1966"/>
  <c r="K10" i="1966"/>
  <c r="J10" i="1966"/>
  <c r="I10" i="1966"/>
  <c r="H10" i="1966"/>
  <c r="G10" i="1966"/>
  <c r="F10" i="1966"/>
  <c r="E10" i="1966"/>
  <c r="D10" i="1966"/>
  <c r="AE7" i="1966"/>
  <c r="AD7" i="1966"/>
  <c r="AC7" i="1966"/>
  <c r="AB7" i="1966"/>
  <c r="AA7" i="1966"/>
  <c r="Z7" i="1966"/>
  <c r="Y7" i="1966"/>
  <c r="X7" i="1966"/>
  <c r="W7" i="1966"/>
  <c r="V7" i="1966"/>
  <c r="U7" i="1966"/>
  <c r="T7" i="1966"/>
  <c r="S7" i="1966"/>
  <c r="R7" i="1966"/>
  <c r="Q7" i="1966"/>
  <c r="P7" i="1966"/>
  <c r="O7" i="1966"/>
  <c r="N7" i="1966"/>
  <c r="M7" i="1966"/>
  <c r="L7" i="1966"/>
  <c r="K7" i="1966"/>
  <c r="J7" i="1966"/>
  <c r="I7" i="1966"/>
  <c r="H7" i="1966"/>
  <c r="G7" i="1966"/>
  <c r="F7" i="1966"/>
  <c r="E7" i="1966"/>
  <c r="D7" i="1966"/>
  <c r="S33" i="1966" l="1"/>
  <c r="J33" i="1966"/>
  <c r="K33" i="1966"/>
  <c r="W33" i="1966"/>
  <c r="D33" i="1966"/>
  <c r="Z33" i="1966"/>
  <c r="Y33" i="1966"/>
  <c r="N33" i="1966"/>
  <c r="E33" i="1966"/>
  <c r="M33" i="1966"/>
  <c r="V33" i="1966"/>
  <c r="AA33" i="1965"/>
  <c r="X33" i="1965"/>
  <c r="U33" i="1965"/>
  <c r="R33" i="1965"/>
  <c r="O33" i="1965"/>
  <c r="L33" i="1965"/>
  <c r="F33" i="1965"/>
  <c r="Y28" i="1965"/>
  <c r="X28" i="1965"/>
  <c r="W28" i="1965"/>
  <c r="V28" i="1965"/>
  <c r="U28" i="1965"/>
  <c r="T28" i="1965"/>
  <c r="S28" i="1965"/>
  <c r="R28" i="1965"/>
  <c r="Q28" i="1965"/>
  <c r="P28" i="1965"/>
  <c r="O28" i="1965"/>
  <c r="N28" i="1965"/>
  <c r="M28" i="1965"/>
  <c r="L28" i="1965"/>
  <c r="K28" i="1965"/>
  <c r="J28" i="1965"/>
  <c r="I28" i="1965"/>
  <c r="H28" i="1965"/>
  <c r="G28" i="1965"/>
  <c r="F28" i="1965"/>
  <c r="E28" i="1965"/>
  <c r="D28" i="1965"/>
  <c r="Y25" i="1965"/>
  <c r="X25" i="1965"/>
  <c r="W25" i="1965"/>
  <c r="V25" i="1965"/>
  <c r="U25" i="1965"/>
  <c r="T25" i="1965"/>
  <c r="S25" i="1965"/>
  <c r="R25" i="1965"/>
  <c r="Q25" i="1965"/>
  <c r="P25" i="1965"/>
  <c r="O25" i="1965"/>
  <c r="N25" i="1965"/>
  <c r="M25" i="1965"/>
  <c r="L25" i="1965"/>
  <c r="K25" i="1965"/>
  <c r="J25" i="1965"/>
  <c r="I25" i="1965"/>
  <c r="H25" i="1965"/>
  <c r="G25" i="1965"/>
  <c r="F25" i="1965"/>
  <c r="E25" i="1965"/>
  <c r="D25" i="1965"/>
  <c r="AE19" i="1965"/>
  <c r="AD19" i="1965"/>
  <c r="AC19" i="1965"/>
  <c r="AB19" i="1965"/>
  <c r="AA19" i="1965"/>
  <c r="Z19" i="1965"/>
  <c r="Y19" i="1965"/>
  <c r="X19" i="1965"/>
  <c r="T33" i="1965" s="1"/>
  <c r="W19" i="1965"/>
  <c r="V19" i="1965"/>
  <c r="U19" i="1965"/>
  <c r="T19" i="1965"/>
  <c r="S19" i="1965"/>
  <c r="R19" i="1965"/>
  <c r="Q19" i="1965"/>
  <c r="P19" i="1965"/>
  <c r="O19" i="1965"/>
  <c r="N19" i="1965"/>
  <c r="H33" i="1965" s="1"/>
  <c r="M19" i="1965"/>
  <c r="L19" i="1965"/>
  <c r="P33" i="1965" s="1"/>
  <c r="K19" i="1965"/>
  <c r="J19" i="1965"/>
  <c r="I19" i="1965"/>
  <c r="AB33" i="1965" s="1"/>
  <c r="H19" i="1965"/>
  <c r="G19" i="1965"/>
  <c r="F19" i="1965"/>
  <c r="E19" i="1965"/>
  <c r="D19" i="1965"/>
  <c r="AE16" i="1965"/>
  <c r="AD16" i="1965"/>
  <c r="AC16" i="1965"/>
  <c r="AB16" i="1965"/>
  <c r="AA16" i="1965"/>
  <c r="Z16" i="1965"/>
  <c r="X16" i="1965"/>
  <c r="W16" i="1965"/>
  <c r="V16" i="1965"/>
  <c r="U16" i="1965"/>
  <c r="T16" i="1965"/>
  <c r="S16" i="1965"/>
  <c r="R16" i="1965"/>
  <c r="Q16" i="1965"/>
  <c r="P16" i="1965"/>
  <c r="O16" i="1965"/>
  <c r="N16" i="1965"/>
  <c r="M16" i="1965"/>
  <c r="L16" i="1965"/>
  <c r="K16" i="1965"/>
  <c r="J16" i="1965"/>
  <c r="I16" i="1965"/>
  <c r="H16" i="1965"/>
  <c r="G16" i="1965"/>
  <c r="F16" i="1965"/>
  <c r="E16" i="1965"/>
  <c r="D16" i="1965"/>
  <c r="AE10" i="1965"/>
  <c r="AD10" i="1965"/>
  <c r="AC33" i="1965" s="1"/>
  <c r="AC10" i="1965"/>
  <c r="AB10" i="1965"/>
  <c r="AA10" i="1965"/>
  <c r="Z10" i="1965"/>
  <c r="Y10" i="1965"/>
  <c r="X10" i="1965"/>
  <c r="W10" i="1965"/>
  <c r="V10" i="1965"/>
  <c r="U10" i="1965"/>
  <c r="T10" i="1965"/>
  <c r="S10" i="1965"/>
  <c r="R10" i="1965"/>
  <c r="Q10" i="1965"/>
  <c r="P10" i="1965"/>
  <c r="O10" i="1965"/>
  <c r="N10" i="1965"/>
  <c r="M10" i="1965"/>
  <c r="L10" i="1965"/>
  <c r="K10" i="1965"/>
  <c r="J10" i="1965"/>
  <c r="I10" i="1965"/>
  <c r="H10" i="1965"/>
  <c r="G10" i="1965"/>
  <c r="F10" i="1965"/>
  <c r="E10" i="1965"/>
  <c r="D10" i="1965"/>
  <c r="AE7" i="1965"/>
  <c r="AD7" i="1965"/>
  <c r="AC7" i="1965"/>
  <c r="AB7" i="1965"/>
  <c r="AA7" i="1965"/>
  <c r="Z7" i="1965"/>
  <c r="Y7" i="1965"/>
  <c r="X7" i="1965"/>
  <c r="W7" i="1965"/>
  <c r="V7" i="1965"/>
  <c r="U7" i="1965"/>
  <c r="T7" i="1965"/>
  <c r="S7" i="1965"/>
  <c r="R7" i="1965"/>
  <c r="Q7" i="1965"/>
  <c r="P7" i="1965"/>
  <c r="O7" i="1965"/>
  <c r="N7" i="1965"/>
  <c r="M7" i="1965"/>
  <c r="L7" i="1965"/>
  <c r="K7" i="1965"/>
  <c r="J7" i="1965"/>
  <c r="I7" i="1965"/>
  <c r="H7" i="1965"/>
  <c r="G7" i="1965"/>
  <c r="F7" i="1965"/>
  <c r="E7" i="1965"/>
  <c r="D7" i="1965"/>
  <c r="S33" i="1965" l="1"/>
  <c r="J33" i="1965"/>
  <c r="K33" i="1965"/>
  <c r="W33" i="1965"/>
  <c r="D33" i="1965"/>
  <c r="Z33" i="1965"/>
  <c r="Y33" i="1965"/>
  <c r="N33" i="1965"/>
  <c r="Q33" i="1965"/>
  <c r="E33" i="1965"/>
  <c r="M33" i="1965"/>
  <c r="V33" i="1965"/>
  <c r="AA33" i="1964"/>
  <c r="X33" i="1964"/>
  <c r="U33" i="1964"/>
  <c r="R33" i="1964"/>
  <c r="O33" i="1964"/>
  <c r="L33" i="1964"/>
  <c r="F33" i="1964"/>
  <c r="Y28" i="1964"/>
  <c r="X28" i="1964"/>
  <c r="W28" i="1964"/>
  <c r="V28" i="1964"/>
  <c r="U28" i="1964"/>
  <c r="T28" i="1964"/>
  <c r="S28" i="1964"/>
  <c r="R28" i="1964"/>
  <c r="Q28" i="1964"/>
  <c r="P28" i="1964"/>
  <c r="O28" i="1964"/>
  <c r="N28" i="1964"/>
  <c r="M28" i="1964"/>
  <c r="L28" i="1964"/>
  <c r="K28" i="1964"/>
  <c r="J28" i="1964"/>
  <c r="I28" i="1964"/>
  <c r="H28" i="1964"/>
  <c r="G28" i="1964"/>
  <c r="F28" i="1964"/>
  <c r="E28" i="1964"/>
  <c r="D28" i="1964"/>
  <c r="Y25" i="1964"/>
  <c r="X25" i="1964"/>
  <c r="W25" i="1964"/>
  <c r="V25" i="1964"/>
  <c r="U25" i="1964"/>
  <c r="T25" i="1964"/>
  <c r="S25" i="1964"/>
  <c r="R25" i="1964"/>
  <c r="Q25" i="1964"/>
  <c r="P25" i="1964"/>
  <c r="O25" i="1964"/>
  <c r="N25" i="1964"/>
  <c r="M25" i="1964"/>
  <c r="L25" i="1964"/>
  <c r="K25" i="1964"/>
  <c r="J25" i="1964"/>
  <c r="I25" i="1964"/>
  <c r="H25" i="1964"/>
  <c r="G25" i="1964"/>
  <c r="F25" i="1964"/>
  <c r="E25" i="1964"/>
  <c r="D25" i="1964"/>
  <c r="AE19" i="1964"/>
  <c r="AD19" i="1964"/>
  <c r="AC19" i="1964"/>
  <c r="AB19" i="1964"/>
  <c r="AA19" i="1964"/>
  <c r="Z19" i="1964"/>
  <c r="Y19" i="1964"/>
  <c r="X19" i="1964"/>
  <c r="T33" i="1964" s="1"/>
  <c r="W19" i="1964"/>
  <c r="V19" i="1964"/>
  <c r="U19" i="1964"/>
  <c r="T19" i="1964"/>
  <c r="S19" i="1964"/>
  <c r="R19" i="1964"/>
  <c r="Q19" i="1964"/>
  <c r="P19" i="1964"/>
  <c r="O19" i="1964"/>
  <c r="N19" i="1964"/>
  <c r="H33" i="1964" s="1"/>
  <c r="M19" i="1964"/>
  <c r="L19" i="1964"/>
  <c r="P33" i="1964" s="1"/>
  <c r="K19" i="1964"/>
  <c r="J19" i="1964"/>
  <c r="I19" i="1964"/>
  <c r="AB33" i="1964" s="1"/>
  <c r="H19" i="1964"/>
  <c r="G19" i="1964"/>
  <c r="F19" i="1964"/>
  <c r="E19" i="1964"/>
  <c r="D19" i="1964"/>
  <c r="AE16" i="1964"/>
  <c r="AD16" i="1964"/>
  <c r="AC16" i="1964"/>
  <c r="AB16" i="1964"/>
  <c r="AA16" i="1964"/>
  <c r="Z16" i="1964"/>
  <c r="X16" i="1964"/>
  <c r="W16" i="1964"/>
  <c r="V16" i="1964"/>
  <c r="U16" i="1964"/>
  <c r="T16" i="1964"/>
  <c r="S16" i="1964"/>
  <c r="R16" i="1964"/>
  <c r="Q16" i="1964"/>
  <c r="P16" i="1964"/>
  <c r="O16" i="1964"/>
  <c r="N16" i="1964"/>
  <c r="M16" i="1964"/>
  <c r="L16" i="1964"/>
  <c r="K16" i="1964"/>
  <c r="J16" i="1964"/>
  <c r="I16" i="1964"/>
  <c r="H16" i="1964"/>
  <c r="G16" i="1964"/>
  <c r="F16" i="1964"/>
  <c r="E16" i="1964"/>
  <c r="D16" i="1964"/>
  <c r="AE10" i="1964"/>
  <c r="AD10" i="1964"/>
  <c r="AC33" i="1964" s="1"/>
  <c r="AC10" i="1964"/>
  <c r="AB10" i="1964"/>
  <c r="AA10" i="1964"/>
  <c r="Z10" i="1964"/>
  <c r="Y10" i="1964"/>
  <c r="X10" i="1964"/>
  <c r="W10" i="1964"/>
  <c r="V10" i="1964"/>
  <c r="U10" i="1964"/>
  <c r="T10" i="1964"/>
  <c r="S10" i="1964"/>
  <c r="R10" i="1964"/>
  <c r="Q10" i="1964"/>
  <c r="P10" i="1964"/>
  <c r="O10" i="1964"/>
  <c r="N10" i="1964"/>
  <c r="M10" i="1964"/>
  <c r="L10" i="1964"/>
  <c r="N33" i="1964" s="1"/>
  <c r="K10" i="1964"/>
  <c r="J10" i="1964"/>
  <c r="I10" i="1964"/>
  <c r="H10" i="1964"/>
  <c r="G10" i="1964"/>
  <c r="F10" i="1964"/>
  <c r="J33" i="1964" s="1"/>
  <c r="E10" i="1964"/>
  <c r="S33" i="1964" s="1"/>
  <c r="D10" i="1964"/>
  <c r="AE7" i="1964"/>
  <c r="AD7" i="1964"/>
  <c r="AC7" i="1964"/>
  <c r="AB7" i="1964"/>
  <c r="AA7" i="1964"/>
  <c r="Z7" i="1964"/>
  <c r="Y7" i="1964"/>
  <c r="X7" i="1964"/>
  <c r="W7" i="1964"/>
  <c r="V7" i="1964"/>
  <c r="U7" i="1964"/>
  <c r="T7" i="1964"/>
  <c r="S7" i="1964"/>
  <c r="R7" i="1964"/>
  <c r="Q7" i="1964"/>
  <c r="P7" i="1964"/>
  <c r="O7" i="1964"/>
  <c r="N7" i="1964"/>
  <c r="M7" i="1964"/>
  <c r="L7" i="1964"/>
  <c r="K7" i="1964"/>
  <c r="J7" i="1964"/>
  <c r="I7" i="1964"/>
  <c r="H7" i="1964"/>
  <c r="G7" i="1964"/>
  <c r="F7" i="1964"/>
  <c r="E7" i="1964"/>
  <c r="D7" i="1964"/>
  <c r="K33" i="1964" l="1"/>
  <c r="W33" i="1964"/>
  <c r="Z33" i="1964"/>
  <c r="D33" i="1964"/>
  <c r="Y33" i="1964"/>
  <c r="Q33" i="1964"/>
  <c r="E33" i="1964"/>
  <c r="M33" i="1964"/>
  <c r="V33" i="1964"/>
  <c r="AA33" i="1963"/>
  <c r="X33" i="1963"/>
  <c r="U33" i="1963"/>
  <c r="R33" i="1963"/>
  <c r="O33" i="1963"/>
  <c r="L33" i="1963"/>
  <c r="F33" i="1963"/>
  <c r="Y28" i="1963"/>
  <c r="X28" i="1963"/>
  <c r="W28" i="1963"/>
  <c r="V28" i="1963"/>
  <c r="U28" i="1963"/>
  <c r="T28" i="1963"/>
  <c r="S28" i="1963"/>
  <c r="R28" i="1963"/>
  <c r="Q28" i="1963"/>
  <c r="P28" i="1963"/>
  <c r="O28" i="1963"/>
  <c r="N28" i="1963"/>
  <c r="M28" i="1963"/>
  <c r="L28" i="1963"/>
  <c r="K28" i="1963"/>
  <c r="J28" i="1963"/>
  <c r="I28" i="1963"/>
  <c r="H28" i="1963"/>
  <c r="G28" i="1963"/>
  <c r="F28" i="1963"/>
  <c r="E28" i="1963"/>
  <c r="D28" i="1963"/>
  <c r="Y25" i="1963"/>
  <c r="X25" i="1963"/>
  <c r="W25" i="1963"/>
  <c r="V25" i="1963"/>
  <c r="U25" i="1963"/>
  <c r="T25" i="1963"/>
  <c r="S25" i="1963"/>
  <c r="R25" i="1963"/>
  <c r="Q25" i="1963"/>
  <c r="P25" i="1963"/>
  <c r="O25" i="1963"/>
  <c r="N25" i="1963"/>
  <c r="M25" i="1963"/>
  <c r="L25" i="1963"/>
  <c r="K25" i="1963"/>
  <c r="J25" i="1963"/>
  <c r="I25" i="1963"/>
  <c r="H25" i="1963"/>
  <c r="G25" i="1963"/>
  <c r="F25" i="1963"/>
  <c r="E25" i="1963"/>
  <c r="D25" i="1963"/>
  <c r="AE19" i="1963"/>
  <c r="AD19" i="1963"/>
  <c r="AC19" i="1963"/>
  <c r="AB19" i="1963"/>
  <c r="AA19" i="1963"/>
  <c r="Z19" i="1963"/>
  <c r="Y19" i="1963"/>
  <c r="X19" i="1963"/>
  <c r="T33" i="1963" s="1"/>
  <c r="W19" i="1963"/>
  <c r="V19" i="1963"/>
  <c r="U19" i="1963"/>
  <c r="T19" i="1963"/>
  <c r="S19" i="1963"/>
  <c r="R19" i="1963"/>
  <c r="Q19" i="1963"/>
  <c r="P19" i="1963"/>
  <c r="O19" i="1963"/>
  <c r="N19" i="1963"/>
  <c r="H33" i="1963" s="1"/>
  <c r="M19" i="1963"/>
  <c r="L19" i="1963"/>
  <c r="P33" i="1963" s="1"/>
  <c r="K19" i="1963"/>
  <c r="J19" i="1963"/>
  <c r="I19" i="1963"/>
  <c r="AB33" i="1963" s="1"/>
  <c r="H19" i="1963"/>
  <c r="G19" i="1963"/>
  <c r="F19" i="1963"/>
  <c r="E19" i="1963"/>
  <c r="D19" i="1963"/>
  <c r="AE16" i="1963"/>
  <c r="AD16" i="1963"/>
  <c r="AC16" i="1963"/>
  <c r="AB16" i="1963"/>
  <c r="AA16" i="1963"/>
  <c r="Z16" i="1963"/>
  <c r="X16" i="1963"/>
  <c r="W16" i="1963"/>
  <c r="V16" i="1963"/>
  <c r="U16" i="1963"/>
  <c r="T16" i="1963"/>
  <c r="S16" i="1963"/>
  <c r="R16" i="1963"/>
  <c r="Q16" i="1963"/>
  <c r="P16" i="1963"/>
  <c r="O16" i="1963"/>
  <c r="N16" i="1963"/>
  <c r="M16" i="1963"/>
  <c r="L16" i="1963"/>
  <c r="K16" i="1963"/>
  <c r="J16" i="1963"/>
  <c r="I16" i="1963"/>
  <c r="H16" i="1963"/>
  <c r="G16" i="1963"/>
  <c r="F16" i="1963"/>
  <c r="E16" i="1963"/>
  <c r="D16" i="1963"/>
  <c r="AE10" i="1963"/>
  <c r="AD10" i="1963"/>
  <c r="AC33" i="1963" s="1"/>
  <c r="AC10" i="1963"/>
  <c r="AB10" i="1963"/>
  <c r="AA10" i="1963"/>
  <c r="Z10" i="1963"/>
  <c r="Y10" i="1963"/>
  <c r="X10" i="1963"/>
  <c r="W10" i="1963"/>
  <c r="V10" i="1963"/>
  <c r="U10" i="1963"/>
  <c r="T10" i="1963"/>
  <c r="S10" i="1963"/>
  <c r="R10" i="1963"/>
  <c r="Q10" i="1963"/>
  <c r="P10" i="1963"/>
  <c r="O10" i="1963"/>
  <c r="N10" i="1963"/>
  <c r="M10" i="1963"/>
  <c r="L10" i="1963"/>
  <c r="N33" i="1963" s="1"/>
  <c r="K10" i="1963"/>
  <c r="J10" i="1963"/>
  <c r="I10" i="1963"/>
  <c r="H10" i="1963"/>
  <c r="G10" i="1963"/>
  <c r="F10" i="1963"/>
  <c r="J33" i="1963" s="1"/>
  <c r="E10" i="1963"/>
  <c r="S33" i="1963" s="1"/>
  <c r="D10" i="1963"/>
  <c r="AE7" i="1963"/>
  <c r="AD7" i="1963"/>
  <c r="AC7" i="1963"/>
  <c r="AB7" i="1963"/>
  <c r="AA7" i="1963"/>
  <c r="Z7" i="1963"/>
  <c r="Y7" i="1963"/>
  <c r="X7" i="1963"/>
  <c r="W7" i="1963"/>
  <c r="V7" i="1963"/>
  <c r="U7" i="1963"/>
  <c r="T7" i="1963"/>
  <c r="S7" i="1963"/>
  <c r="R7" i="1963"/>
  <c r="Q7" i="1963"/>
  <c r="P7" i="1963"/>
  <c r="O7" i="1963"/>
  <c r="N7" i="1963"/>
  <c r="M7" i="1963"/>
  <c r="L7" i="1963"/>
  <c r="K7" i="1963"/>
  <c r="J7" i="1963"/>
  <c r="I7" i="1963"/>
  <c r="H7" i="1963"/>
  <c r="G7" i="1963"/>
  <c r="F7" i="1963"/>
  <c r="E7" i="1963"/>
  <c r="D7" i="1963"/>
  <c r="K33" i="1963" l="1"/>
  <c r="W33" i="1963"/>
  <c r="Z33" i="1963"/>
  <c r="D33" i="1963"/>
  <c r="Y33" i="1963"/>
  <c r="Q33" i="1963"/>
  <c r="E33" i="1963"/>
  <c r="M33" i="1963"/>
  <c r="V33" i="1963"/>
  <c r="AA33" i="1962"/>
  <c r="X33" i="1962"/>
  <c r="U33" i="1962"/>
  <c r="R33" i="1962"/>
  <c r="O33" i="1962"/>
  <c r="L33" i="1962"/>
  <c r="F33" i="1962"/>
  <c r="Y28" i="1962"/>
  <c r="X28" i="1962"/>
  <c r="W28" i="1962"/>
  <c r="V28" i="1962"/>
  <c r="U28" i="1962"/>
  <c r="T28" i="1962"/>
  <c r="S28" i="1962"/>
  <c r="R28" i="1962"/>
  <c r="Q28" i="1962"/>
  <c r="P28" i="1962"/>
  <c r="O28" i="1962"/>
  <c r="N28" i="1962"/>
  <c r="M28" i="1962"/>
  <c r="L28" i="1962"/>
  <c r="K28" i="1962"/>
  <c r="J28" i="1962"/>
  <c r="I28" i="1962"/>
  <c r="H28" i="1962"/>
  <c r="G28" i="1962"/>
  <c r="F28" i="1962"/>
  <c r="E28" i="1962"/>
  <c r="D28" i="1962"/>
  <c r="Y25" i="1962"/>
  <c r="X25" i="1962"/>
  <c r="W25" i="1962"/>
  <c r="V25" i="1962"/>
  <c r="U25" i="1962"/>
  <c r="T25" i="1962"/>
  <c r="S25" i="1962"/>
  <c r="R25" i="1962"/>
  <c r="Q25" i="1962"/>
  <c r="P25" i="1962"/>
  <c r="O25" i="1962"/>
  <c r="N25" i="1962"/>
  <c r="M25" i="1962"/>
  <c r="L25" i="1962"/>
  <c r="K25" i="1962"/>
  <c r="J25" i="1962"/>
  <c r="I25" i="1962"/>
  <c r="H25" i="1962"/>
  <c r="G25" i="1962"/>
  <c r="F25" i="1962"/>
  <c r="E25" i="1962"/>
  <c r="D25" i="1962"/>
  <c r="AE19" i="1962"/>
  <c r="AD19" i="1962"/>
  <c r="AC19" i="1962"/>
  <c r="AB19" i="1962"/>
  <c r="AA19" i="1962"/>
  <c r="Z19" i="1962"/>
  <c r="Y19" i="1962"/>
  <c r="X19" i="1962"/>
  <c r="T33" i="1962" s="1"/>
  <c r="W19" i="1962"/>
  <c r="V19" i="1962"/>
  <c r="U19" i="1962"/>
  <c r="T19" i="1962"/>
  <c r="S19" i="1962"/>
  <c r="R19" i="1962"/>
  <c r="Q19" i="1962"/>
  <c r="P19" i="1962"/>
  <c r="O19" i="1962"/>
  <c r="N19" i="1962"/>
  <c r="H33" i="1962" s="1"/>
  <c r="M19" i="1962"/>
  <c r="L19" i="1962"/>
  <c r="P33" i="1962" s="1"/>
  <c r="K19" i="1962"/>
  <c r="J19" i="1962"/>
  <c r="I19" i="1962"/>
  <c r="AB33" i="1962" s="1"/>
  <c r="H19" i="1962"/>
  <c r="G19" i="1962"/>
  <c r="F19" i="1962"/>
  <c r="E19" i="1962"/>
  <c r="D19" i="1962"/>
  <c r="AE16" i="1962"/>
  <c r="AD16" i="1962"/>
  <c r="AC16" i="1962"/>
  <c r="AB16" i="1962"/>
  <c r="AA16" i="1962"/>
  <c r="Z16" i="1962"/>
  <c r="X16" i="1962"/>
  <c r="W16" i="1962"/>
  <c r="V16" i="1962"/>
  <c r="U16" i="1962"/>
  <c r="T16" i="1962"/>
  <c r="S16" i="1962"/>
  <c r="R16" i="1962"/>
  <c r="Q16" i="1962"/>
  <c r="P16" i="1962"/>
  <c r="O16" i="1962"/>
  <c r="N16" i="1962"/>
  <c r="M16" i="1962"/>
  <c r="L16" i="1962"/>
  <c r="K16" i="1962"/>
  <c r="J16" i="1962"/>
  <c r="I16" i="1962"/>
  <c r="H16" i="1962"/>
  <c r="G16" i="1962"/>
  <c r="F16" i="1962"/>
  <c r="E16" i="1962"/>
  <c r="D16" i="1962"/>
  <c r="AE10" i="1962"/>
  <c r="AD10" i="1962"/>
  <c r="AC33" i="1962" s="1"/>
  <c r="AC10" i="1962"/>
  <c r="AB10" i="1962"/>
  <c r="AA10" i="1962"/>
  <c r="Z10" i="1962"/>
  <c r="Y10" i="1962"/>
  <c r="X10" i="1962"/>
  <c r="W10" i="1962"/>
  <c r="V10" i="1962"/>
  <c r="U10" i="1962"/>
  <c r="T10" i="1962"/>
  <c r="S10" i="1962"/>
  <c r="R10" i="1962"/>
  <c r="Q10" i="1962"/>
  <c r="P10" i="1962"/>
  <c r="O10" i="1962"/>
  <c r="N10" i="1962"/>
  <c r="Q33" i="1962" s="1"/>
  <c r="M10" i="1962"/>
  <c r="L10" i="1962"/>
  <c r="K10" i="1962"/>
  <c r="J10" i="1962"/>
  <c r="I10" i="1962"/>
  <c r="H10" i="1962"/>
  <c r="G10" i="1962"/>
  <c r="F10" i="1962"/>
  <c r="E10" i="1962"/>
  <c r="D10" i="1962"/>
  <c r="AE7" i="1962"/>
  <c r="AD7" i="1962"/>
  <c r="AC7" i="1962"/>
  <c r="AB7" i="1962"/>
  <c r="AA7" i="1962"/>
  <c r="Z7" i="1962"/>
  <c r="Y7" i="1962"/>
  <c r="X7" i="1962"/>
  <c r="W7" i="1962"/>
  <c r="V7" i="1962"/>
  <c r="U7" i="1962"/>
  <c r="T7" i="1962"/>
  <c r="S7" i="1962"/>
  <c r="R7" i="1962"/>
  <c r="Q7" i="1962"/>
  <c r="P7" i="1962"/>
  <c r="O7" i="1962"/>
  <c r="N7" i="1962"/>
  <c r="M7" i="1962"/>
  <c r="L7" i="1962"/>
  <c r="K7" i="1962"/>
  <c r="J7" i="1962"/>
  <c r="I7" i="1962"/>
  <c r="H7" i="1962"/>
  <c r="G7" i="1962"/>
  <c r="F7" i="1962"/>
  <c r="E7" i="1962"/>
  <c r="D7" i="1962"/>
  <c r="S33" i="1962" l="1"/>
  <c r="J33" i="1962"/>
  <c r="K33" i="1962"/>
  <c r="W33" i="1962"/>
  <c r="Z33" i="1962"/>
  <c r="D33" i="1962"/>
  <c r="Y33" i="1962"/>
  <c r="N33" i="1962"/>
  <c r="E33" i="1962"/>
  <c r="M33" i="1962"/>
  <c r="V33" i="1962"/>
  <c r="AA33" i="1961"/>
  <c r="X33" i="1961"/>
  <c r="U33" i="1961"/>
  <c r="R33" i="1961"/>
  <c r="O33" i="1961"/>
  <c r="L33" i="1961"/>
  <c r="F33" i="1961"/>
  <c r="Y28" i="1961"/>
  <c r="X28" i="1961"/>
  <c r="W28" i="1961"/>
  <c r="V28" i="1961"/>
  <c r="U28" i="1961"/>
  <c r="T28" i="1961"/>
  <c r="S28" i="1961"/>
  <c r="R28" i="1961"/>
  <c r="Q28" i="1961"/>
  <c r="P28" i="1961"/>
  <c r="O28" i="1961"/>
  <c r="N28" i="1961"/>
  <c r="M28" i="1961"/>
  <c r="L28" i="1961"/>
  <c r="K28" i="1961"/>
  <c r="J28" i="1961"/>
  <c r="I28" i="1961"/>
  <c r="H28" i="1961"/>
  <c r="G28" i="1961"/>
  <c r="F28" i="1961"/>
  <c r="E28" i="1961"/>
  <c r="D28" i="1961"/>
  <c r="Y25" i="1961"/>
  <c r="X25" i="1961"/>
  <c r="W25" i="1961"/>
  <c r="V25" i="1961"/>
  <c r="U25" i="1961"/>
  <c r="T25" i="1961"/>
  <c r="S25" i="1961"/>
  <c r="R25" i="1961"/>
  <c r="Q25" i="1961"/>
  <c r="P25" i="1961"/>
  <c r="O25" i="1961"/>
  <c r="N25" i="1961"/>
  <c r="M25" i="1961"/>
  <c r="L25" i="1961"/>
  <c r="K25" i="1961"/>
  <c r="J25" i="1961"/>
  <c r="I25" i="1961"/>
  <c r="H25" i="1961"/>
  <c r="G25" i="1961"/>
  <c r="F25" i="1961"/>
  <c r="E25" i="1961"/>
  <c r="D25" i="1961"/>
  <c r="AE19" i="1961"/>
  <c r="AD19" i="1961"/>
  <c r="AC19" i="1961"/>
  <c r="AB19" i="1961"/>
  <c r="AA19" i="1961"/>
  <c r="Z19" i="1961"/>
  <c r="Y19" i="1961"/>
  <c r="X19" i="1961"/>
  <c r="T33" i="1961" s="1"/>
  <c r="W19" i="1961"/>
  <c r="V19" i="1961"/>
  <c r="U19" i="1961"/>
  <c r="T19" i="1961"/>
  <c r="S19" i="1961"/>
  <c r="R19" i="1961"/>
  <c r="Q19" i="1961"/>
  <c r="P19" i="1961"/>
  <c r="O19" i="1961"/>
  <c r="N19" i="1961"/>
  <c r="H33" i="1961" s="1"/>
  <c r="M19" i="1961"/>
  <c r="L19" i="1961"/>
  <c r="P33" i="1961" s="1"/>
  <c r="K19" i="1961"/>
  <c r="J19" i="1961"/>
  <c r="I19" i="1961"/>
  <c r="AB33" i="1961" s="1"/>
  <c r="H19" i="1961"/>
  <c r="G19" i="1961"/>
  <c r="F19" i="1961"/>
  <c r="E19" i="1961"/>
  <c r="D19" i="1961"/>
  <c r="AE16" i="1961"/>
  <c r="AD16" i="1961"/>
  <c r="AC16" i="1961"/>
  <c r="AB16" i="1961"/>
  <c r="AA16" i="1961"/>
  <c r="Z16" i="1961"/>
  <c r="X16" i="1961"/>
  <c r="W16" i="1961"/>
  <c r="V16" i="1961"/>
  <c r="U16" i="1961"/>
  <c r="T16" i="1961"/>
  <c r="S16" i="1961"/>
  <c r="R16" i="1961"/>
  <c r="Q16" i="1961"/>
  <c r="P16" i="1961"/>
  <c r="O16" i="1961"/>
  <c r="N16" i="1961"/>
  <c r="M16" i="1961"/>
  <c r="L16" i="1961"/>
  <c r="K16" i="1961"/>
  <c r="J16" i="1961"/>
  <c r="I16" i="1961"/>
  <c r="H16" i="1961"/>
  <c r="G16" i="1961"/>
  <c r="F16" i="1961"/>
  <c r="E16" i="1961"/>
  <c r="D16" i="1961"/>
  <c r="AE10" i="1961"/>
  <c r="AD10" i="1961"/>
  <c r="AC33" i="1961" s="1"/>
  <c r="AC10" i="1961"/>
  <c r="AB10" i="1961"/>
  <c r="AA10" i="1961"/>
  <c r="Z10" i="1961"/>
  <c r="Y10" i="1961"/>
  <c r="X10" i="1961"/>
  <c r="W10" i="1961"/>
  <c r="V10" i="1961"/>
  <c r="U10" i="1961"/>
  <c r="T10" i="1961"/>
  <c r="S10" i="1961"/>
  <c r="R10" i="1961"/>
  <c r="Q10" i="1961"/>
  <c r="P10" i="1961"/>
  <c r="O10" i="1961"/>
  <c r="N10" i="1961"/>
  <c r="Q33" i="1961" s="1"/>
  <c r="M10" i="1961"/>
  <c r="L10" i="1961"/>
  <c r="N33" i="1961" s="1"/>
  <c r="K10" i="1961"/>
  <c r="J10" i="1961"/>
  <c r="I10" i="1961"/>
  <c r="H10" i="1961"/>
  <c r="G10" i="1961"/>
  <c r="F10" i="1961"/>
  <c r="J33" i="1961" s="1"/>
  <c r="E10" i="1961"/>
  <c r="S33" i="1961" s="1"/>
  <c r="D10" i="1961"/>
  <c r="AE7" i="1961"/>
  <c r="AD7" i="1961"/>
  <c r="AC7" i="1961"/>
  <c r="AB7" i="1961"/>
  <c r="AA7" i="1961"/>
  <c r="Z7" i="1961"/>
  <c r="Y7" i="1961"/>
  <c r="X7" i="1961"/>
  <c r="W7" i="1961"/>
  <c r="V7" i="1961"/>
  <c r="U7" i="1961"/>
  <c r="T7" i="1961"/>
  <c r="S7" i="1961"/>
  <c r="R7" i="1961"/>
  <c r="Q7" i="1961"/>
  <c r="P7" i="1961"/>
  <c r="O7" i="1961"/>
  <c r="N7" i="1961"/>
  <c r="M7" i="1961"/>
  <c r="L7" i="1961"/>
  <c r="K7" i="1961"/>
  <c r="J7" i="1961"/>
  <c r="I7" i="1961"/>
  <c r="H7" i="1961"/>
  <c r="G7" i="1961"/>
  <c r="F7" i="1961"/>
  <c r="E7" i="1961"/>
  <c r="D7" i="1961"/>
  <c r="K33" i="1961" l="1"/>
  <c r="W33" i="1961"/>
  <c r="Z33" i="1961"/>
  <c r="D33" i="1961"/>
  <c r="Y33" i="1961"/>
  <c r="E33" i="1961"/>
  <c r="M33" i="1961"/>
  <c r="V33" i="1961"/>
  <c r="AA33" i="1960"/>
  <c r="X33" i="1960"/>
  <c r="U33" i="1960"/>
  <c r="R33" i="1960"/>
  <c r="O33" i="1960"/>
  <c r="L33" i="1960"/>
  <c r="F33" i="1960"/>
  <c r="Y28" i="1960"/>
  <c r="X28" i="1960"/>
  <c r="W28" i="1960"/>
  <c r="V28" i="1960"/>
  <c r="U28" i="1960"/>
  <c r="T28" i="1960"/>
  <c r="S28" i="1960"/>
  <c r="R28" i="1960"/>
  <c r="Q28" i="1960"/>
  <c r="P28" i="1960"/>
  <c r="O28" i="1960"/>
  <c r="N28" i="1960"/>
  <c r="M28" i="1960"/>
  <c r="L28" i="1960"/>
  <c r="K28" i="1960"/>
  <c r="J28" i="1960"/>
  <c r="I28" i="1960"/>
  <c r="H28" i="1960"/>
  <c r="G28" i="1960"/>
  <c r="F28" i="1960"/>
  <c r="E28" i="1960"/>
  <c r="D28" i="1960"/>
  <c r="Y25" i="1960"/>
  <c r="X25" i="1960"/>
  <c r="W25" i="1960"/>
  <c r="V25" i="1960"/>
  <c r="U25" i="1960"/>
  <c r="T25" i="1960"/>
  <c r="S25" i="1960"/>
  <c r="R25" i="1960"/>
  <c r="Q25" i="1960"/>
  <c r="P25" i="1960"/>
  <c r="O25" i="1960"/>
  <c r="N25" i="1960"/>
  <c r="M25" i="1960"/>
  <c r="L25" i="1960"/>
  <c r="K25" i="1960"/>
  <c r="J25" i="1960"/>
  <c r="I25" i="1960"/>
  <c r="H25" i="1960"/>
  <c r="G25" i="1960"/>
  <c r="F25" i="1960"/>
  <c r="E25" i="1960"/>
  <c r="D25" i="1960"/>
  <c r="AE19" i="1960"/>
  <c r="AD19" i="1960"/>
  <c r="AC19" i="1960"/>
  <c r="AB19" i="1960"/>
  <c r="AA19" i="1960"/>
  <c r="Z19" i="1960"/>
  <c r="Y19" i="1960"/>
  <c r="X19" i="1960"/>
  <c r="T33" i="1960" s="1"/>
  <c r="W19" i="1960"/>
  <c r="V19" i="1960"/>
  <c r="U19" i="1960"/>
  <c r="T19" i="1960"/>
  <c r="S19" i="1960"/>
  <c r="R19" i="1960"/>
  <c r="Q19" i="1960"/>
  <c r="P19" i="1960"/>
  <c r="O19" i="1960"/>
  <c r="N19" i="1960"/>
  <c r="H33" i="1960" s="1"/>
  <c r="M19" i="1960"/>
  <c r="L19" i="1960"/>
  <c r="P33" i="1960" s="1"/>
  <c r="K19" i="1960"/>
  <c r="J19" i="1960"/>
  <c r="I19" i="1960"/>
  <c r="AB33" i="1960" s="1"/>
  <c r="H19" i="1960"/>
  <c r="G19" i="1960"/>
  <c r="F19" i="1960"/>
  <c r="E19" i="1960"/>
  <c r="D19" i="1960"/>
  <c r="AE16" i="1960"/>
  <c r="AD16" i="1960"/>
  <c r="AC16" i="1960"/>
  <c r="AB16" i="1960"/>
  <c r="AA16" i="1960"/>
  <c r="Z16" i="1960"/>
  <c r="X16" i="1960"/>
  <c r="W16" i="1960"/>
  <c r="V16" i="1960"/>
  <c r="U16" i="1960"/>
  <c r="T16" i="1960"/>
  <c r="S16" i="1960"/>
  <c r="R16" i="1960"/>
  <c r="Q16" i="1960"/>
  <c r="P16" i="1960"/>
  <c r="O16" i="1960"/>
  <c r="N16" i="1960"/>
  <c r="M16" i="1960"/>
  <c r="L16" i="1960"/>
  <c r="K16" i="1960"/>
  <c r="J16" i="1960"/>
  <c r="I16" i="1960"/>
  <c r="H16" i="1960"/>
  <c r="G16" i="1960"/>
  <c r="F16" i="1960"/>
  <c r="E16" i="1960"/>
  <c r="D16" i="1960"/>
  <c r="AE10" i="1960"/>
  <c r="AD10" i="1960"/>
  <c r="AC33" i="1960" s="1"/>
  <c r="AC10" i="1960"/>
  <c r="AB10" i="1960"/>
  <c r="AA10" i="1960"/>
  <c r="Z10" i="1960"/>
  <c r="Y10" i="1960"/>
  <c r="X10" i="1960"/>
  <c r="W10" i="1960"/>
  <c r="V10" i="1960"/>
  <c r="U10" i="1960"/>
  <c r="T10" i="1960"/>
  <c r="S10" i="1960"/>
  <c r="R10" i="1960"/>
  <c r="Q10" i="1960"/>
  <c r="P10" i="1960"/>
  <c r="O10" i="1960"/>
  <c r="N10" i="1960"/>
  <c r="M10" i="1960"/>
  <c r="L10" i="1960"/>
  <c r="N33" i="1960" s="1"/>
  <c r="K10" i="1960"/>
  <c r="J10" i="1960"/>
  <c r="I10" i="1960"/>
  <c r="H10" i="1960"/>
  <c r="G10" i="1960"/>
  <c r="F10" i="1960"/>
  <c r="E10" i="1960"/>
  <c r="S33" i="1960" s="1"/>
  <c r="D10" i="1960"/>
  <c r="AE7" i="1960"/>
  <c r="AD7" i="1960"/>
  <c r="AC7" i="1960"/>
  <c r="AB7" i="1960"/>
  <c r="AA7" i="1960"/>
  <c r="Z7" i="1960"/>
  <c r="Y7" i="1960"/>
  <c r="X7" i="1960"/>
  <c r="W7" i="1960"/>
  <c r="V7" i="1960"/>
  <c r="U7" i="1960"/>
  <c r="T7" i="1960"/>
  <c r="S7" i="1960"/>
  <c r="R7" i="1960"/>
  <c r="Q7" i="1960"/>
  <c r="P7" i="1960"/>
  <c r="O7" i="1960"/>
  <c r="N7" i="1960"/>
  <c r="M7" i="1960"/>
  <c r="L7" i="1960"/>
  <c r="K7" i="1960"/>
  <c r="J7" i="1960"/>
  <c r="I7" i="1960"/>
  <c r="H7" i="1960"/>
  <c r="G7" i="1960"/>
  <c r="F7" i="1960"/>
  <c r="E7" i="1960"/>
  <c r="D7" i="1960"/>
  <c r="J33" i="1960" l="1"/>
  <c r="K33" i="1960"/>
  <c r="W33" i="1960"/>
  <c r="Z33" i="1960"/>
  <c r="D33" i="1960"/>
  <c r="Y33" i="1960"/>
  <c r="Q33" i="1960"/>
  <c r="E33" i="1960"/>
  <c r="M33" i="1960"/>
  <c r="V33" i="1960"/>
  <c r="AA33" i="1957"/>
  <c r="X33" i="1957"/>
  <c r="U33" i="1957"/>
  <c r="R33" i="1957"/>
  <c r="O33" i="1957"/>
  <c r="L33" i="1957"/>
  <c r="F33" i="1957"/>
  <c r="Y28" i="1957"/>
  <c r="X28" i="1957"/>
  <c r="W28" i="1957"/>
  <c r="V28" i="1957"/>
  <c r="U28" i="1957"/>
  <c r="T28" i="1957"/>
  <c r="S28" i="1957"/>
  <c r="R28" i="1957"/>
  <c r="Q28" i="1957"/>
  <c r="P28" i="1957"/>
  <c r="O28" i="1957"/>
  <c r="N28" i="1957"/>
  <c r="M28" i="1957"/>
  <c r="L28" i="1957"/>
  <c r="K28" i="1957"/>
  <c r="J28" i="1957"/>
  <c r="I28" i="1957"/>
  <c r="H28" i="1957"/>
  <c r="G28" i="1957"/>
  <c r="F28" i="1957"/>
  <c r="E28" i="1957"/>
  <c r="D28" i="1957"/>
  <c r="Y25" i="1957"/>
  <c r="X25" i="1957"/>
  <c r="W25" i="1957"/>
  <c r="V25" i="1957"/>
  <c r="U25" i="1957"/>
  <c r="T25" i="1957"/>
  <c r="S25" i="1957"/>
  <c r="R25" i="1957"/>
  <c r="Q25" i="1957"/>
  <c r="P25" i="1957"/>
  <c r="O25" i="1957"/>
  <c r="N25" i="1957"/>
  <c r="M25" i="1957"/>
  <c r="L25" i="1957"/>
  <c r="K25" i="1957"/>
  <c r="J25" i="1957"/>
  <c r="I25" i="1957"/>
  <c r="H25" i="1957"/>
  <c r="G25" i="1957"/>
  <c r="F25" i="1957"/>
  <c r="E25" i="1957"/>
  <c r="D25" i="1957"/>
  <c r="AE19" i="1957"/>
  <c r="AD19" i="1957"/>
  <c r="AC19" i="1957"/>
  <c r="AB19" i="1957"/>
  <c r="AA19" i="1957"/>
  <c r="Z19" i="1957"/>
  <c r="Y19" i="1957"/>
  <c r="X19" i="1957"/>
  <c r="T33" i="1957" s="1"/>
  <c r="W19" i="1957"/>
  <c r="V19" i="1957"/>
  <c r="U19" i="1957"/>
  <c r="T19" i="1957"/>
  <c r="S19" i="1957"/>
  <c r="R19" i="1957"/>
  <c r="Q19" i="1957"/>
  <c r="P19" i="1957"/>
  <c r="O19" i="1957"/>
  <c r="N19" i="1957"/>
  <c r="H33" i="1957" s="1"/>
  <c r="M19" i="1957"/>
  <c r="L19" i="1957"/>
  <c r="P33" i="1957" s="1"/>
  <c r="K19" i="1957"/>
  <c r="J19" i="1957"/>
  <c r="I19" i="1957"/>
  <c r="AB33" i="1957" s="1"/>
  <c r="H19" i="1957"/>
  <c r="G19" i="1957"/>
  <c r="F19" i="1957"/>
  <c r="E19" i="1957"/>
  <c r="D19" i="1957"/>
  <c r="AE16" i="1957"/>
  <c r="AD16" i="1957"/>
  <c r="AC16" i="1957"/>
  <c r="AB16" i="1957"/>
  <c r="AA16" i="1957"/>
  <c r="Z16" i="1957"/>
  <c r="X16" i="1957"/>
  <c r="W16" i="1957"/>
  <c r="V16" i="1957"/>
  <c r="U16" i="1957"/>
  <c r="T16" i="1957"/>
  <c r="S16" i="1957"/>
  <c r="R16" i="1957"/>
  <c r="Q16" i="1957"/>
  <c r="P16" i="1957"/>
  <c r="O16" i="1957"/>
  <c r="N16" i="1957"/>
  <c r="M16" i="1957"/>
  <c r="L16" i="1957"/>
  <c r="K16" i="1957"/>
  <c r="J16" i="1957"/>
  <c r="I16" i="1957"/>
  <c r="H16" i="1957"/>
  <c r="G16" i="1957"/>
  <c r="F16" i="1957"/>
  <c r="E16" i="1957"/>
  <c r="D16" i="1957"/>
  <c r="AE10" i="1957"/>
  <c r="AD10" i="1957"/>
  <c r="AC33" i="1957" s="1"/>
  <c r="AC10" i="1957"/>
  <c r="AB10" i="1957"/>
  <c r="AA10" i="1957"/>
  <c r="D33" i="1957" s="1"/>
  <c r="Z10" i="1957"/>
  <c r="Y10" i="1957"/>
  <c r="X10" i="1957"/>
  <c r="W10" i="1957"/>
  <c r="V10" i="1957"/>
  <c r="U10" i="1957"/>
  <c r="T10" i="1957"/>
  <c r="S10" i="1957"/>
  <c r="R10" i="1957"/>
  <c r="Q10" i="1957"/>
  <c r="P10" i="1957"/>
  <c r="O10" i="1957"/>
  <c r="N10" i="1957"/>
  <c r="M10" i="1957"/>
  <c r="L10" i="1957"/>
  <c r="N33" i="1957" s="1"/>
  <c r="K10" i="1957"/>
  <c r="J10" i="1957"/>
  <c r="I10" i="1957"/>
  <c r="H10" i="1957"/>
  <c r="G10" i="1957"/>
  <c r="F10" i="1957"/>
  <c r="J33" i="1957" s="1"/>
  <c r="E10" i="1957"/>
  <c r="S33" i="1957" s="1"/>
  <c r="D10" i="1957"/>
  <c r="AE7" i="1957"/>
  <c r="AD7" i="1957"/>
  <c r="AC7" i="1957"/>
  <c r="AB7" i="1957"/>
  <c r="AA7" i="1957"/>
  <c r="Z7" i="1957"/>
  <c r="Y7" i="1957"/>
  <c r="X7" i="1957"/>
  <c r="W7" i="1957"/>
  <c r="V7" i="1957"/>
  <c r="U7" i="1957"/>
  <c r="T7" i="1957"/>
  <c r="S7" i="1957"/>
  <c r="R7" i="1957"/>
  <c r="Q7" i="1957"/>
  <c r="P7" i="1957"/>
  <c r="O7" i="1957"/>
  <c r="N7" i="1957"/>
  <c r="M7" i="1957"/>
  <c r="L7" i="1957"/>
  <c r="K7" i="1957"/>
  <c r="J7" i="1957"/>
  <c r="I7" i="1957"/>
  <c r="H7" i="1957"/>
  <c r="G7" i="1957"/>
  <c r="F7" i="1957"/>
  <c r="E7" i="1957"/>
  <c r="D7" i="1957"/>
  <c r="K33" i="1957" l="1"/>
  <c r="W33" i="1957"/>
  <c r="Z33" i="1957"/>
  <c r="Y33" i="1957"/>
  <c r="Q33" i="1957"/>
  <c r="E33" i="1957"/>
  <c r="M33" i="1957"/>
  <c r="V33" i="1957"/>
  <c r="AA33" i="1956"/>
  <c r="X33" i="1956"/>
  <c r="U33" i="1956"/>
  <c r="R33" i="1956"/>
  <c r="O33" i="1956"/>
  <c r="L33" i="1956"/>
  <c r="F33" i="1956"/>
  <c r="Y28" i="1956"/>
  <c r="X28" i="1956"/>
  <c r="W28" i="1956"/>
  <c r="V28" i="1956"/>
  <c r="U28" i="1956"/>
  <c r="T28" i="1956"/>
  <c r="S28" i="1956"/>
  <c r="R28" i="1956"/>
  <c r="Q28" i="1956"/>
  <c r="P28" i="1956"/>
  <c r="O28" i="1956"/>
  <c r="N28" i="1956"/>
  <c r="M28" i="1956"/>
  <c r="L28" i="1956"/>
  <c r="K28" i="1956"/>
  <c r="J28" i="1956"/>
  <c r="I28" i="1956"/>
  <c r="H28" i="1956"/>
  <c r="G28" i="1956"/>
  <c r="F28" i="1956"/>
  <c r="E28" i="1956"/>
  <c r="D28" i="1956"/>
  <c r="Y25" i="1956"/>
  <c r="X25" i="1956"/>
  <c r="W25" i="1956"/>
  <c r="V25" i="1956"/>
  <c r="U25" i="1956"/>
  <c r="T25" i="1956"/>
  <c r="S25" i="1956"/>
  <c r="R25" i="1956"/>
  <c r="Q25" i="1956"/>
  <c r="P25" i="1956"/>
  <c r="O25" i="1956"/>
  <c r="N25" i="1956"/>
  <c r="M25" i="1956"/>
  <c r="L25" i="1956"/>
  <c r="K25" i="1956"/>
  <c r="J25" i="1956"/>
  <c r="I25" i="1956"/>
  <c r="H25" i="1956"/>
  <c r="G25" i="1956"/>
  <c r="F25" i="1956"/>
  <c r="E25" i="1956"/>
  <c r="D25" i="1956"/>
  <c r="AE19" i="1956"/>
  <c r="AD19" i="1956"/>
  <c r="AC19" i="1956"/>
  <c r="AB19" i="1956"/>
  <c r="AA19" i="1956"/>
  <c r="Z19" i="1956"/>
  <c r="Y19" i="1956"/>
  <c r="X19" i="1956"/>
  <c r="T33" i="1956" s="1"/>
  <c r="W19" i="1956"/>
  <c r="V19" i="1956"/>
  <c r="U19" i="1956"/>
  <c r="T19" i="1956"/>
  <c r="S19" i="1956"/>
  <c r="R19" i="1956"/>
  <c r="Q19" i="1956"/>
  <c r="P19" i="1956"/>
  <c r="O19" i="1956"/>
  <c r="N19" i="1956"/>
  <c r="H33" i="1956" s="1"/>
  <c r="M19" i="1956"/>
  <c r="L19" i="1956"/>
  <c r="P33" i="1956" s="1"/>
  <c r="K19" i="1956"/>
  <c r="J19" i="1956"/>
  <c r="I19" i="1956"/>
  <c r="AB33" i="1956" s="1"/>
  <c r="H19" i="1956"/>
  <c r="G19" i="1956"/>
  <c r="F19" i="1956"/>
  <c r="E19" i="1956"/>
  <c r="D19" i="1956"/>
  <c r="AE16" i="1956"/>
  <c r="AD16" i="1956"/>
  <c r="AC16" i="1956"/>
  <c r="AB16" i="1956"/>
  <c r="AA16" i="1956"/>
  <c r="Z16" i="1956"/>
  <c r="X16" i="1956"/>
  <c r="W16" i="1956"/>
  <c r="V16" i="1956"/>
  <c r="U16" i="1956"/>
  <c r="T16" i="1956"/>
  <c r="S16" i="1956"/>
  <c r="R16" i="1956"/>
  <c r="Q16" i="1956"/>
  <c r="P16" i="1956"/>
  <c r="O16" i="1956"/>
  <c r="N16" i="1956"/>
  <c r="M16" i="1956"/>
  <c r="L16" i="1956"/>
  <c r="K16" i="1956"/>
  <c r="J16" i="1956"/>
  <c r="I16" i="1956"/>
  <c r="H16" i="1956"/>
  <c r="G16" i="1956"/>
  <c r="F16" i="1956"/>
  <c r="E16" i="1956"/>
  <c r="D16" i="1956"/>
  <c r="AE10" i="1956"/>
  <c r="AD10" i="1956"/>
  <c r="AC33" i="1956" s="1"/>
  <c r="AC10" i="1956"/>
  <c r="AB10" i="1956"/>
  <c r="AA10" i="1956"/>
  <c r="Z10" i="1956"/>
  <c r="Y10" i="1956"/>
  <c r="X10" i="1956"/>
  <c r="W10" i="1956"/>
  <c r="V10" i="1956"/>
  <c r="U10" i="1956"/>
  <c r="T10" i="1956"/>
  <c r="S10" i="1956"/>
  <c r="R10" i="1956"/>
  <c r="Q10" i="1956"/>
  <c r="P10" i="1956"/>
  <c r="O10" i="1956"/>
  <c r="N10" i="1956"/>
  <c r="M10" i="1956"/>
  <c r="E33" i="1956" s="1"/>
  <c r="L10" i="1956"/>
  <c r="K10" i="1956"/>
  <c r="J10" i="1956"/>
  <c r="Q33" i="1956" s="1"/>
  <c r="I10" i="1956"/>
  <c r="H10" i="1956"/>
  <c r="G10" i="1956"/>
  <c r="F10" i="1956"/>
  <c r="J33" i="1956" s="1"/>
  <c r="E10" i="1956"/>
  <c r="S33" i="1956" s="1"/>
  <c r="D10" i="1956"/>
  <c r="AE7" i="1956"/>
  <c r="AD7" i="1956"/>
  <c r="AC7" i="1956"/>
  <c r="AB7" i="1956"/>
  <c r="AA7" i="1956"/>
  <c r="Z7" i="1956"/>
  <c r="Y7" i="1956"/>
  <c r="X7" i="1956"/>
  <c r="W7" i="1956"/>
  <c r="V7" i="1956"/>
  <c r="U7" i="1956"/>
  <c r="T7" i="1956"/>
  <c r="S7" i="1956"/>
  <c r="R7" i="1956"/>
  <c r="Q7" i="1956"/>
  <c r="P7" i="1956"/>
  <c r="O7" i="1956"/>
  <c r="N7" i="1956"/>
  <c r="M7" i="1956"/>
  <c r="L7" i="1956"/>
  <c r="K7" i="1956"/>
  <c r="J7" i="1956"/>
  <c r="I7" i="1956"/>
  <c r="H7" i="1956"/>
  <c r="G7" i="1956"/>
  <c r="F7" i="1956"/>
  <c r="E7" i="1956"/>
  <c r="D7" i="1956"/>
  <c r="K33" i="1956" l="1"/>
  <c r="N33" i="1956"/>
  <c r="W33" i="1956"/>
  <c r="V33" i="1956"/>
  <c r="D33" i="1956"/>
  <c r="Z33" i="1956"/>
  <c r="Y33" i="1956"/>
  <c r="M33" i="1956"/>
  <c r="AA33" i="1955"/>
  <c r="X33" i="1955"/>
  <c r="U33" i="1955"/>
  <c r="R33" i="1955"/>
  <c r="O33" i="1955"/>
  <c r="L33" i="1955"/>
  <c r="F33" i="1955"/>
  <c r="Y28" i="1955"/>
  <c r="X28" i="1955"/>
  <c r="W28" i="1955"/>
  <c r="V28" i="1955"/>
  <c r="U28" i="1955"/>
  <c r="T28" i="1955"/>
  <c r="S28" i="1955"/>
  <c r="R28" i="1955"/>
  <c r="Q28" i="1955"/>
  <c r="P28" i="1955"/>
  <c r="O28" i="1955"/>
  <c r="N28" i="1955"/>
  <c r="M28" i="1955"/>
  <c r="L28" i="1955"/>
  <c r="K28" i="1955"/>
  <c r="J28" i="1955"/>
  <c r="I28" i="1955"/>
  <c r="H28" i="1955"/>
  <c r="G28" i="1955"/>
  <c r="F28" i="1955"/>
  <c r="E28" i="1955"/>
  <c r="D28" i="1955"/>
  <c r="Y25" i="1955"/>
  <c r="X25" i="1955"/>
  <c r="W25" i="1955"/>
  <c r="V25" i="1955"/>
  <c r="U25" i="1955"/>
  <c r="T25" i="1955"/>
  <c r="S25" i="1955"/>
  <c r="R25" i="1955"/>
  <c r="Q25" i="1955"/>
  <c r="P25" i="1955"/>
  <c r="O25" i="1955"/>
  <c r="N25" i="1955"/>
  <c r="M25" i="1955"/>
  <c r="L25" i="1955"/>
  <c r="K25" i="1955"/>
  <c r="J25" i="1955"/>
  <c r="I25" i="1955"/>
  <c r="H25" i="1955"/>
  <c r="G25" i="1955"/>
  <c r="F25" i="1955"/>
  <c r="E25" i="1955"/>
  <c r="D25" i="1955"/>
  <c r="AE19" i="1955"/>
  <c r="AD19" i="1955"/>
  <c r="AC19" i="1955"/>
  <c r="AB19" i="1955"/>
  <c r="AA19" i="1955"/>
  <c r="Z19" i="1955"/>
  <c r="Y19" i="1955"/>
  <c r="X19" i="1955"/>
  <c r="T33" i="1955" s="1"/>
  <c r="W19" i="1955"/>
  <c r="V19" i="1955"/>
  <c r="U19" i="1955"/>
  <c r="T19" i="1955"/>
  <c r="S19" i="1955"/>
  <c r="R19" i="1955"/>
  <c r="Q19" i="1955"/>
  <c r="P19" i="1955"/>
  <c r="O19" i="1955"/>
  <c r="N19" i="1955"/>
  <c r="H33" i="1955" s="1"/>
  <c r="M19" i="1955"/>
  <c r="L19" i="1955"/>
  <c r="P33" i="1955" s="1"/>
  <c r="K19" i="1955"/>
  <c r="J19" i="1955"/>
  <c r="I19" i="1955"/>
  <c r="AB33" i="1955" s="1"/>
  <c r="H19" i="1955"/>
  <c r="G19" i="1955"/>
  <c r="F19" i="1955"/>
  <c r="E19" i="1955"/>
  <c r="D19" i="1955"/>
  <c r="AE16" i="1955"/>
  <c r="AD16" i="1955"/>
  <c r="AC16" i="1955"/>
  <c r="AB16" i="1955"/>
  <c r="AA16" i="1955"/>
  <c r="Z16" i="1955"/>
  <c r="X16" i="1955"/>
  <c r="W16" i="1955"/>
  <c r="V16" i="1955"/>
  <c r="U16" i="1955"/>
  <c r="T16" i="1955"/>
  <c r="S16" i="1955"/>
  <c r="R16" i="1955"/>
  <c r="Q16" i="1955"/>
  <c r="P16" i="1955"/>
  <c r="O16" i="1955"/>
  <c r="N16" i="1955"/>
  <c r="M16" i="1955"/>
  <c r="L16" i="1955"/>
  <c r="K16" i="1955"/>
  <c r="J16" i="1955"/>
  <c r="I16" i="1955"/>
  <c r="H16" i="1955"/>
  <c r="G16" i="1955"/>
  <c r="F16" i="1955"/>
  <c r="E16" i="1955"/>
  <c r="D16" i="1955"/>
  <c r="AE10" i="1955"/>
  <c r="AD10" i="1955"/>
  <c r="AC33" i="1955" s="1"/>
  <c r="AC10" i="1955"/>
  <c r="AB10" i="1955"/>
  <c r="AA10" i="1955"/>
  <c r="Z10" i="1955"/>
  <c r="Y10" i="1955"/>
  <c r="X10" i="1955"/>
  <c r="W10" i="1955"/>
  <c r="V10" i="1955"/>
  <c r="U10" i="1955"/>
  <c r="T10" i="1955"/>
  <c r="S10" i="1955"/>
  <c r="R10" i="1955"/>
  <c r="Q10" i="1955"/>
  <c r="P10" i="1955"/>
  <c r="O10" i="1955"/>
  <c r="N10" i="1955"/>
  <c r="Q33" i="1955" s="1"/>
  <c r="M10" i="1955"/>
  <c r="L10" i="1955"/>
  <c r="N33" i="1955" s="1"/>
  <c r="K10" i="1955"/>
  <c r="J10" i="1955"/>
  <c r="I10" i="1955"/>
  <c r="H10" i="1955"/>
  <c r="G10" i="1955"/>
  <c r="F10" i="1955"/>
  <c r="J33" i="1955" s="1"/>
  <c r="E10" i="1955"/>
  <c r="S33" i="1955" s="1"/>
  <c r="D10" i="1955"/>
  <c r="AE7" i="1955"/>
  <c r="AD7" i="1955"/>
  <c r="AC7" i="1955"/>
  <c r="AB7" i="1955"/>
  <c r="AA7" i="1955"/>
  <c r="Z7" i="1955"/>
  <c r="Y7" i="1955"/>
  <c r="X7" i="1955"/>
  <c r="W7" i="1955"/>
  <c r="V7" i="1955"/>
  <c r="U7" i="1955"/>
  <c r="T7" i="1955"/>
  <c r="S7" i="1955"/>
  <c r="R7" i="1955"/>
  <c r="Q7" i="1955"/>
  <c r="P7" i="1955"/>
  <c r="O7" i="1955"/>
  <c r="N7" i="1955"/>
  <c r="M7" i="1955"/>
  <c r="L7" i="1955"/>
  <c r="K7" i="1955"/>
  <c r="J7" i="1955"/>
  <c r="I7" i="1955"/>
  <c r="H7" i="1955"/>
  <c r="G7" i="1955"/>
  <c r="F7" i="1955"/>
  <c r="E7" i="1955"/>
  <c r="D7" i="1955"/>
  <c r="K33" i="1955" l="1"/>
  <c r="W33" i="1955"/>
  <c r="Z33" i="1955"/>
  <c r="D33" i="1955"/>
  <c r="Y33" i="1955"/>
  <c r="E33" i="1955"/>
  <c r="M33" i="1955"/>
  <c r="V33" i="1955"/>
  <c r="AA33" i="1954"/>
  <c r="X33" i="1954"/>
  <c r="U33" i="1954"/>
  <c r="R33" i="1954"/>
  <c r="O33" i="1954"/>
  <c r="L33" i="1954"/>
  <c r="F33" i="1954"/>
  <c r="E33" i="1954"/>
  <c r="Y28" i="1954"/>
  <c r="X28" i="1954"/>
  <c r="W28" i="1954"/>
  <c r="V28" i="1954"/>
  <c r="U28" i="1954"/>
  <c r="T28" i="1954"/>
  <c r="S28" i="1954"/>
  <c r="R28" i="1954"/>
  <c r="Q28" i="1954"/>
  <c r="P28" i="1954"/>
  <c r="O28" i="1954"/>
  <c r="N28" i="1954"/>
  <c r="M28" i="1954"/>
  <c r="L28" i="1954"/>
  <c r="K28" i="1954"/>
  <c r="J28" i="1954"/>
  <c r="I28" i="1954"/>
  <c r="H28" i="1954"/>
  <c r="G28" i="1954"/>
  <c r="F28" i="1954"/>
  <c r="E28" i="1954"/>
  <c r="D28" i="1954"/>
  <c r="Y25" i="1954"/>
  <c r="X25" i="1954"/>
  <c r="W25" i="1954"/>
  <c r="V25" i="1954"/>
  <c r="U25" i="1954"/>
  <c r="T25" i="1954"/>
  <c r="S25" i="1954"/>
  <c r="R25" i="1954"/>
  <c r="Q25" i="1954"/>
  <c r="P25" i="1954"/>
  <c r="O25" i="1954"/>
  <c r="N25" i="1954"/>
  <c r="M25" i="1954"/>
  <c r="L25" i="1954"/>
  <c r="K25" i="1954"/>
  <c r="J25" i="1954"/>
  <c r="I25" i="1954"/>
  <c r="H25" i="1954"/>
  <c r="G25" i="1954"/>
  <c r="F25" i="1954"/>
  <c r="E25" i="1954"/>
  <c r="D25" i="1954"/>
  <c r="AE19" i="1954"/>
  <c r="AD19" i="1954"/>
  <c r="AC19" i="1954"/>
  <c r="AB19" i="1954"/>
  <c r="AA19" i="1954"/>
  <c r="Z19" i="1954"/>
  <c r="Y19" i="1954"/>
  <c r="X19" i="1954"/>
  <c r="T33" i="1954" s="1"/>
  <c r="W19" i="1954"/>
  <c r="V19" i="1954"/>
  <c r="U19" i="1954"/>
  <c r="T19" i="1954"/>
  <c r="S19" i="1954"/>
  <c r="R19" i="1954"/>
  <c r="Q19" i="1954"/>
  <c r="P19" i="1954"/>
  <c r="O19" i="1954"/>
  <c r="N19" i="1954"/>
  <c r="H33" i="1954" s="1"/>
  <c r="M19" i="1954"/>
  <c r="L19" i="1954"/>
  <c r="P33" i="1954" s="1"/>
  <c r="K19" i="1954"/>
  <c r="J19" i="1954"/>
  <c r="I19" i="1954"/>
  <c r="AB33" i="1954" s="1"/>
  <c r="H19" i="1954"/>
  <c r="G19" i="1954"/>
  <c r="F19" i="1954"/>
  <c r="E19" i="1954"/>
  <c r="D19" i="1954"/>
  <c r="AE16" i="1954"/>
  <c r="AD16" i="1954"/>
  <c r="AC16" i="1954"/>
  <c r="AB16" i="1954"/>
  <c r="AA16" i="1954"/>
  <c r="Z16" i="1954"/>
  <c r="X16" i="1954"/>
  <c r="W16" i="1954"/>
  <c r="V16" i="1954"/>
  <c r="U16" i="1954"/>
  <c r="T16" i="1954"/>
  <c r="S16" i="1954"/>
  <c r="R16" i="1954"/>
  <c r="Q16" i="1954"/>
  <c r="P16" i="1954"/>
  <c r="O16" i="1954"/>
  <c r="N16" i="1954"/>
  <c r="M16" i="1954"/>
  <c r="L16" i="1954"/>
  <c r="K16" i="1954"/>
  <c r="J16" i="1954"/>
  <c r="I16" i="1954"/>
  <c r="H16" i="1954"/>
  <c r="G16" i="1954"/>
  <c r="F16" i="1954"/>
  <c r="E16" i="1954"/>
  <c r="D16" i="1954"/>
  <c r="AE10" i="1954"/>
  <c r="AD10" i="1954"/>
  <c r="AC33" i="1954" s="1"/>
  <c r="AC10" i="1954"/>
  <c r="AB10" i="1954"/>
  <c r="AA10" i="1954"/>
  <c r="Z10" i="1954"/>
  <c r="Y10" i="1954"/>
  <c r="X10" i="1954"/>
  <c r="W10" i="1954"/>
  <c r="V10" i="1954"/>
  <c r="U10" i="1954"/>
  <c r="T10" i="1954"/>
  <c r="S10" i="1954"/>
  <c r="R10" i="1954"/>
  <c r="Q10" i="1954"/>
  <c r="P10" i="1954"/>
  <c r="O10" i="1954"/>
  <c r="N10" i="1954"/>
  <c r="M10" i="1954"/>
  <c r="L10" i="1954"/>
  <c r="N33" i="1954" s="1"/>
  <c r="K10" i="1954"/>
  <c r="J10" i="1954"/>
  <c r="I10" i="1954"/>
  <c r="H10" i="1954"/>
  <c r="G10" i="1954"/>
  <c r="F10" i="1954"/>
  <c r="J33" i="1954" s="1"/>
  <c r="E10" i="1954"/>
  <c r="S33" i="1954" s="1"/>
  <c r="D10" i="1954"/>
  <c r="AE7" i="1954"/>
  <c r="AD7" i="1954"/>
  <c r="AC7" i="1954"/>
  <c r="AB7" i="1954"/>
  <c r="AA7" i="1954"/>
  <c r="Z7" i="1954"/>
  <c r="Y7" i="1954"/>
  <c r="X7" i="1954"/>
  <c r="W7" i="1954"/>
  <c r="V7" i="1954"/>
  <c r="U7" i="1954"/>
  <c r="T7" i="1954"/>
  <c r="S7" i="1954"/>
  <c r="R7" i="1954"/>
  <c r="Q7" i="1954"/>
  <c r="P7" i="1954"/>
  <c r="O7" i="1954"/>
  <c r="N7" i="1954"/>
  <c r="M7" i="1954"/>
  <c r="L7" i="1954"/>
  <c r="K7" i="1954"/>
  <c r="J7" i="1954"/>
  <c r="I7" i="1954"/>
  <c r="H7" i="1954"/>
  <c r="G7" i="1954"/>
  <c r="F7" i="1954"/>
  <c r="E7" i="1954"/>
  <c r="D7" i="1954"/>
  <c r="K33" i="1954" l="1"/>
  <c r="W33" i="1954"/>
  <c r="Z33" i="1954"/>
  <c r="V33" i="1954"/>
  <c r="D33" i="1954"/>
  <c r="Y33" i="1954"/>
  <c r="Q33" i="1954"/>
  <c r="M33" i="1954"/>
  <c r="AA33" i="1953"/>
  <c r="X33" i="1953"/>
  <c r="U33" i="1953"/>
  <c r="R33" i="1953"/>
  <c r="O33" i="1953"/>
  <c r="N33" i="1953"/>
  <c r="L33" i="1953"/>
  <c r="F33" i="1953"/>
  <c r="Y28" i="1953"/>
  <c r="X28" i="1953"/>
  <c r="W28" i="1953"/>
  <c r="V28" i="1953"/>
  <c r="U28" i="1953"/>
  <c r="T28" i="1953"/>
  <c r="S28" i="1953"/>
  <c r="R28" i="1953"/>
  <c r="Q28" i="1953"/>
  <c r="P28" i="1953"/>
  <c r="O28" i="1953"/>
  <c r="N28" i="1953"/>
  <c r="M28" i="1953"/>
  <c r="L28" i="1953"/>
  <c r="K28" i="1953"/>
  <c r="J28" i="1953"/>
  <c r="I28" i="1953"/>
  <c r="H28" i="1953"/>
  <c r="G28" i="1953"/>
  <c r="F28" i="1953"/>
  <c r="E28" i="1953"/>
  <c r="D28" i="1953"/>
  <c r="Y25" i="1953"/>
  <c r="X25" i="1953"/>
  <c r="W25" i="1953"/>
  <c r="V25" i="1953"/>
  <c r="U25" i="1953"/>
  <c r="T25" i="1953"/>
  <c r="S25" i="1953"/>
  <c r="R25" i="1953"/>
  <c r="Q25" i="1953"/>
  <c r="P25" i="1953"/>
  <c r="O25" i="1953"/>
  <c r="N25" i="1953"/>
  <c r="M25" i="1953"/>
  <c r="L25" i="1953"/>
  <c r="K25" i="1953"/>
  <c r="J25" i="1953"/>
  <c r="I25" i="1953"/>
  <c r="H25" i="1953"/>
  <c r="G25" i="1953"/>
  <c r="F25" i="1953"/>
  <c r="E25" i="1953"/>
  <c r="D25" i="1953"/>
  <c r="AE19" i="1953"/>
  <c r="AD19" i="1953"/>
  <c r="AC19" i="1953"/>
  <c r="AB19" i="1953"/>
  <c r="AA19" i="1953"/>
  <c r="Z19" i="1953"/>
  <c r="Y19" i="1953"/>
  <c r="X19" i="1953"/>
  <c r="T33" i="1953" s="1"/>
  <c r="W19" i="1953"/>
  <c r="V19" i="1953"/>
  <c r="U19" i="1953"/>
  <c r="T19" i="1953"/>
  <c r="S19" i="1953"/>
  <c r="R19" i="1953"/>
  <c r="Q19" i="1953"/>
  <c r="P19" i="1953"/>
  <c r="O19" i="1953"/>
  <c r="N19" i="1953"/>
  <c r="H33" i="1953" s="1"/>
  <c r="M19" i="1953"/>
  <c r="L19" i="1953"/>
  <c r="P33" i="1953" s="1"/>
  <c r="K19" i="1953"/>
  <c r="J19" i="1953"/>
  <c r="I19" i="1953"/>
  <c r="AB33" i="1953" s="1"/>
  <c r="H19" i="1953"/>
  <c r="G19" i="1953"/>
  <c r="F19" i="1953"/>
  <c r="E19" i="1953"/>
  <c r="D19" i="1953"/>
  <c r="AE16" i="1953"/>
  <c r="AD16" i="1953"/>
  <c r="AC16" i="1953"/>
  <c r="AB16" i="1953"/>
  <c r="AA16" i="1953"/>
  <c r="Z16" i="1953"/>
  <c r="X16" i="1953"/>
  <c r="W16" i="1953"/>
  <c r="V16" i="1953"/>
  <c r="U16" i="1953"/>
  <c r="T16" i="1953"/>
  <c r="S16" i="1953"/>
  <c r="R16" i="1953"/>
  <c r="Q16" i="1953"/>
  <c r="P16" i="1953"/>
  <c r="O16" i="1953"/>
  <c r="N16" i="1953"/>
  <c r="M16" i="1953"/>
  <c r="L16" i="1953"/>
  <c r="K16" i="1953"/>
  <c r="J16" i="1953"/>
  <c r="I16" i="1953"/>
  <c r="H16" i="1953"/>
  <c r="G16" i="1953"/>
  <c r="F16" i="1953"/>
  <c r="E16" i="1953"/>
  <c r="D16" i="1953"/>
  <c r="AE10" i="1953"/>
  <c r="AD10" i="1953"/>
  <c r="AC33" i="1953" s="1"/>
  <c r="AC10" i="1953"/>
  <c r="AB10" i="1953"/>
  <c r="AA10" i="1953"/>
  <c r="D33" i="1953" s="1"/>
  <c r="Z10" i="1953"/>
  <c r="Y10" i="1953"/>
  <c r="X10" i="1953"/>
  <c r="W10" i="1953"/>
  <c r="V10" i="1953"/>
  <c r="U10" i="1953"/>
  <c r="T10" i="1953"/>
  <c r="S10" i="1953"/>
  <c r="R10" i="1953"/>
  <c r="Q10" i="1953"/>
  <c r="P10" i="1953"/>
  <c r="O10" i="1953"/>
  <c r="N10" i="1953"/>
  <c r="M10" i="1953"/>
  <c r="L10" i="1953"/>
  <c r="K10" i="1953"/>
  <c r="J10" i="1953"/>
  <c r="I10" i="1953"/>
  <c r="H10" i="1953"/>
  <c r="G10" i="1953"/>
  <c r="F10" i="1953"/>
  <c r="J33" i="1953" s="1"/>
  <c r="E10" i="1953"/>
  <c r="S33" i="1953" s="1"/>
  <c r="D10" i="1953"/>
  <c r="AE7" i="1953"/>
  <c r="AD7" i="1953"/>
  <c r="AC7" i="1953"/>
  <c r="AB7" i="1953"/>
  <c r="AA7" i="1953"/>
  <c r="Z7" i="1953"/>
  <c r="Y7" i="1953"/>
  <c r="X7" i="1953"/>
  <c r="W7" i="1953"/>
  <c r="V7" i="1953"/>
  <c r="U7" i="1953"/>
  <c r="T7" i="1953"/>
  <c r="S7" i="1953"/>
  <c r="R7" i="1953"/>
  <c r="Q7" i="1953"/>
  <c r="P7" i="1953"/>
  <c r="O7" i="1953"/>
  <c r="N7" i="1953"/>
  <c r="M7" i="1953"/>
  <c r="L7" i="1953"/>
  <c r="K7" i="1953"/>
  <c r="J7" i="1953"/>
  <c r="I7" i="1953"/>
  <c r="H7" i="1953"/>
  <c r="G7" i="1953"/>
  <c r="F7" i="1953"/>
  <c r="E7" i="1953"/>
  <c r="D7" i="1953"/>
  <c r="K33" i="1953" l="1"/>
  <c r="W33" i="1953"/>
  <c r="Z33" i="1953"/>
  <c r="Y33" i="1953"/>
  <c r="Q33" i="1953"/>
  <c r="E33" i="1953"/>
  <c r="M33" i="1953"/>
  <c r="V33" i="1953"/>
  <c r="AA33" i="1952"/>
  <c r="X33" i="1952"/>
  <c r="U33" i="1952"/>
  <c r="R33" i="1952"/>
  <c r="O33" i="1952"/>
  <c r="L33" i="1952"/>
  <c r="F33" i="1952"/>
  <c r="Y28" i="1952"/>
  <c r="X28" i="1952"/>
  <c r="W28" i="1952"/>
  <c r="V28" i="1952"/>
  <c r="U28" i="1952"/>
  <c r="T28" i="1952"/>
  <c r="S28" i="1952"/>
  <c r="R28" i="1952"/>
  <c r="Q28" i="1952"/>
  <c r="P28" i="1952"/>
  <c r="O28" i="1952"/>
  <c r="N28" i="1952"/>
  <c r="M28" i="1952"/>
  <c r="L28" i="1952"/>
  <c r="K28" i="1952"/>
  <c r="J28" i="1952"/>
  <c r="I28" i="1952"/>
  <c r="H28" i="1952"/>
  <c r="G28" i="1952"/>
  <c r="F28" i="1952"/>
  <c r="E28" i="1952"/>
  <c r="D28" i="1952"/>
  <c r="Y25" i="1952"/>
  <c r="X25" i="1952"/>
  <c r="W25" i="1952"/>
  <c r="V25" i="1952"/>
  <c r="U25" i="1952"/>
  <c r="T25" i="1952"/>
  <c r="S25" i="1952"/>
  <c r="R25" i="1952"/>
  <c r="Q25" i="1952"/>
  <c r="P25" i="1952"/>
  <c r="O25" i="1952"/>
  <c r="N25" i="1952"/>
  <c r="M25" i="1952"/>
  <c r="L25" i="1952"/>
  <c r="K25" i="1952"/>
  <c r="J25" i="1952"/>
  <c r="I25" i="1952"/>
  <c r="H25" i="1952"/>
  <c r="G25" i="1952"/>
  <c r="F25" i="1952"/>
  <c r="E25" i="1952"/>
  <c r="D25" i="1952"/>
  <c r="AE19" i="1952"/>
  <c r="AD19" i="1952"/>
  <c r="AC19" i="1952"/>
  <c r="AB19" i="1952"/>
  <c r="AA19" i="1952"/>
  <c r="Z19" i="1952"/>
  <c r="Y19" i="1952"/>
  <c r="X19" i="1952"/>
  <c r="T33" i="1952" s="1"/>
  <c r="W19" i="1952"/>
  <c r="V19" i="1952"/>
  <c r="U19" i="1952"/>
  <c r="T19" i="1952"/>
  <c r="S19" i="1952"/>
  <c r="R19" i="1952"/>
  <c r="Q19" i="1952"/>
  <c r="P19" i="1952"/>
  <c r="O19" i="1952"/>
  <c r="N19" i="1952"/>
  <c r="H33" i="1952" s="1"/>
  <c r="M19" i="1952"/>
  <c r="L19" i="1952"/>
  <c r="P33" i="1952" s="1"/>
  <c r="K19" i="1952"/>
  <c r="J19" i="1952"/>
  <c r="I19" i="1952"/>
  <c r="AB33" i="1952" s="1"/>
  <c r="H19" i="1952"/>
  <c r="G19" i="1952"/>
  <c r="F19" i="1952"/>
  <c r="E19" i="1952"/>
  <c r="D19" i="1952"/>
  <c r="AE16" i="1952"/>
  <c r="AD16" i="1952"/>
  <c r="AC16" i="1952"/>
  <c r="AB16" i="1952"/>
  <c r="AA16" i="1952"/>
  <c r="Z16" i="1952"/>
  <c r="X16" i="1952"/>
  <c r="W16" i="1952"/>
  <c r="V16" i="1952"/>
  <c r="U16" i="1952"/>
  <c r="T16" i="1952"/>
  <c r="S16" i="1952"/>
  <c r="R16" i="1952"/>
  <c r="Q16" i="1952"/>
  <c r="P16" i="1952"/>
  <c r="O16" i="1952"/>
  <c r="N16" i="1952"/>
  <c r="M16" i="1952"/>
  <c r="L16" i="1952"/>
  <c r="K16" i="1952"/>
  <c r="J16" i="1952"/>
  <c r="I16" i="1952"/>
  <c r="H16" i="1952"/>
  <c r="G16" i="1952"/>
  <c r="F16" i="1952"/>
  <c r="E16" i="1952"/>
  <c r="D16" i="1952"/>
  <c r="AE10" i="1952"/>
  <c r="AD10" i="1952"/>
  <c r="AC33" i="1952" s="1"/>
  <c r="AC10" i="1952"/>
  <c r="AB10" i="1952"/>
  <c r="AA10" i="1952"/>
  <c r="Z10" i="1952"/>
  <c r="Y10" i="1952"/>
  <c r="X10" i="1952"/>
  <c r="W10" i="1952"/>
  <c r="V10" i="1952"/>
  <c r="U10" i="1952"/>
  <c r="T10" i="1952"/>
  <c r="S10" i="1952"/>
  <c r="R10" i="1952"/>
  <c r="Q10" i="1952"/>
  <c r="P10" i="1952"/>
  <c r="O10" i="1952"/>
  <c r="N10" i="1952"/>
  <c r="Q33" i="1952" s="1"/>
  <c r="M10" i="1952"/>
  <c r="L10" i="1952"/>
  <c r="K10" i="1952"/>
  <c r="J10" i="1952"/>
  <c r="I10" i="1952"/>
  <c r="H10" i="1952"/>
  <c r="G10" i="1952"/>
  <c r="F10" i="1952"/>
  <c r="E10" i="1952"/>
  <c r="D10" i="1952"/>
  <c r="AE7" i="1952"/>
  <c r="AD7" i="1952"/>
  <c r="AC7" i="1952"/>
  <c r="AB7" i="1952"/>
  <c r="AA7" i="1952"/>
  <c r="Z7" i="1952"/>
  <c r="Y7" i="1952"/>
  <c r="X7" i="1952"/>
  <c r="W7" i="1952"/>
  <c r="V7" i="1952"/>
  <c r="U7" i="1952"/>
  <c r="T7" i="1952"/>
  <c r="S7" i="1952"/>
  <c r="R7" i="1952"/>
  <c r="Q7" i="1952"/>
  <c r="P7" i="1952"/>
  <c r="O7" i="1952"/>
  <c r="N7" i="1952"/>
  <c r="M7" i="1952"/>
  <c r="L7" i="1952"/>
  <c r="K7" i="1952"/>
  <c r="J7" i="1952"/>
  <c r="I7" i="1952"/>
  <c r="H7" i="1952"/>
  <c r="G7" i="1952"/>
  <c r="F7" i="1952"/>
  <c r="E7" i="1952"/>
  <c r="D7" i="1952"/>
  <c r="S33" i="1952" l="1"/>
  <c r="J33" i="1952"/>
  <c r="K33" i="1952"/>
  <c r="W33" i="1952"/>
  <c r="D33" i="1952"/>
  <c r="Z33" i="1952"/>
  <c r="Y33" i="1952"/>
  <c r="N33" i="1952"/>
  <c r="E33" i="1952"/>
  <c r="M33" i="1952"/>
  <c r="V33" i="1952"/>
  <c r="AA33" i="1951"/>
  <c r="X33" i="1951"/>
  <c r="U33" i="1951"/>
  <c r="R33" i="1951"/>
  <c r="O33" i="1951"/>
  <c r="L33" i="1951"/>
  <c r="F33" i="1951"/>
  <c r="Y28" i="1951"/>
  <c r="X28" i="1951"/>
  <c r="W28" i="1951"/>
  <c r="V28" i="1951"/>
  <c r="U28" i="1951"/>
  <c r="T28" i="1951"/>
  <c r="S28" i="1951"/>
  <c r="R28" i="1951"/>
  <c r="Q28" i="1951"/>
  <c r="P28" i="1951"/>
  <c r="O28" i="1951"/>
  <c r="N28" i="1951"/>
  <c r="M28" i="1951"/>
  <c r="L28" i="1951"/>
  <c r="K28" i="1951"/>
  <c r="J28" i="1951"/>
  <c r="I28" i="1951"/>
  <c r="H28" i="1951"/>
  <c r="G28" i="1951"/>
  <c r="F28" i="1951"/>
  <c r="E28" i="1951"/>
  <c r="D28" i="1951"/>
  <c r="Y25" i="1951"/>
  <c r="X25" i="1951"/>
  <c r="W25" i="1951"/>
  <c r="V25" i="1951"/>
  <c r="U25" i="1951"/>
  <c r="T25" i="1951"/>
  <c r="S25" i="1951"/>
  <c r="R25" i="1951"/>
  <c r="Q25" i="1951"/>
  <c r="P25" i="1951"/>
  <c r="O25" i="1951"/>
  <c r="N25" i="1951"/>
  <c r="M25" i="1951"/>
  <c r="L25" i="1951"/>
  <c r="K25" i="1951"/>
  <c r="J25" i="1951"/>
  <c r="I25" i="1951"/>
  <c r="H25" i="1951"/>
  <c r="G25" i="1951"/>
  <c r="F25" i="1951"/>
  <c r="E25" i="1951"/>
  <c r="D25" i="1951"/>
  <c r="AE19" i="1951"/>
  <c r="AD19" i="1951"/>
  <c r="AC19" i="1951"/>
  <c r="AB19" i="1951"/>
  <c r="AA19" i="1951"/>
  <c r="Z19" i="1951"/>
  <c r="Y19" i="1951"/>
  <c r="X19" i="1951"/>
  <c r="T33" i="1951" s="1"/>
  <c r="W19" i="1951"/>
  <c r="V19" i="1951"/>
  <c r="U19" i="1951"/>
  <c r="T19" i="1951"/>
  <c r="S19" i="1951"/>
  <c r="R19" i="1951"/>
  <c r="Q19" i="1951"/>
  <c r="P19" i="1951"/>
  <c r="O19" i="1951"/>
  <c r="N19" i="1951"/>
  <c r="H33" i="1951" s="1"/>
  <c r="M19" i="1951"/>
  <c r="L19" i="1951"/>
  <c r="P33" i="1951" s="1"/>
  <c r="K19" i="1951"/>
  <c r="J19" i="1951"/>
  <c r="I19" i="1951"/>
  <c r="AB33" i="1951" s="1"/>
  <c r="H19" i="1951"/>
  <c r="G19" i="1951"/>
  <c r="F19" i="1951"/>
  <c r="E19" i="1951"/>
  <c r="D19" i="1951"/>
  <c r="AE16" i="1951"/>
  <c r="AD16" i="1951"/>
  <c r="AC16" i="1951"/>
  <c r="AB16" i="1951"/>
  <c r="AA16" i="1951"/>
  <c r="Z16" i="1951"/>
  <c r="X16" i="1951"/>
  <c r="W16" i="1951"/>
  <c r="V16" i="1951"/>
  <c r="U16" i="1951"/>
  <c r="T16" i="1951"/>
  <c r="S16" i="1951"/>
  <c r="R16" i="1951"/>
  <c r="Q16" i="1951"/>
  <c r="P16" i="1951"/>
  <c r="O16" i="1951"/>
  <c r="N16" i="1951"/>
  <c r="M16" i="1951"/>
  <c r="L16" i="1951"/>
  <c r="K16" i="1951"/>
  <c r="J16" i="1951"/>
  <c r="I16" i="1951"/>
  <c r="H16" i="1951"/>
  <c r="G16" i="1951"/>
  <c r="F16" i="1951"/>
  <c r="E16" i="1951"/>
  <c r="D16" i="1951"/>
  <c r="AE10" i="1951"/>
  <c r="AD10" i="1951"/>
  <c r="AC33" i="1951" s="1"/>
  <c r="AC10" i="1951"/>
  <c r="AB10" i="1951"/>
  <c r="AA10" i="1951"/>
  <c r="Z10" i="1951"/>
  <c r="Y10" i="1951"/>
  <c r="X10" i="1951"/>
  <c r="W10" i="1951"/>
  <c r="V10" i="1951"/>
  <c r="U10" i="1951"/>
  <c r="T10" i="1951"/>
  <c r="S10" i="1951"/>
  <c r="R10" i="1951"/>
  <c r="Q10" i="1951"/>
  <c r="P10" i="1951"/>
  <c r="O10" i="1951"/>
  <c r="N10" i="1951"/>
  <c r="M10" i="1951"/>
  <c r="E33" i="1951" s="1"/>
  <c r="L10" i="1951"/>
  <c r="N33" i="1951" s="1"/>
  <c r="K10" i="1951"/>
  <c r="J10" i="1951"/>
  <c r="I10" i="1951"/>
  <c r="H10" i="1951"/>
  <c r="G10" i="1951"/>
  <c r="F10" i="1951"/>
  <c r="E10" i="1951"/>
  <c r="S33" i="1951" s="1"/>
  <c r="D10" i="1951"/>
  <c r="AE7" i="1951"/>
  <c r="AD7" i="1951"/>
  <c r="AC7" i="1951"/>
  <c r="AB7" i="1951"/>
  <c r="AA7" i="1951"/>
  <c r="Z7" i="1951"/>
  <c r="Y7" i="1951"/>
  <c r="X7" i="1951"/>
  <c r="W7" i="1951"/>
  <c r="V7" i="1951"/>
  <c r="U7" i="1951"/>
  <c r="T7" i="1951"/>
  <c r="S7" i="1951"/>
  <c r="R7" i="1951"/>
  <c r="Q7" i="1951"/>
  <c r="P7" i="1951"/>
  <c r="O7" i="1951"/>
  <c r="N7" i="1951"/>
  <c r="M7" i="1951"/>
  <c r="L7" i="1951"/>
  <c r="K7" i="1951"/>
  <c r="J7" i="1951"/>
  <c r="I7" i="1951"/>
  <c r="H7" i="1951"/>
  <c r="G7" i="1951"/>
  <c r="F7" i="1951"/>
  <c r="E7" i="1951"/>
  <c r="D7" i="1951"/>
  <c r="J33" i="1951" l="1"/>
  <c r="W33" i="1951"/>
  <c r="V33" i="1951"/>
  <c r="D33" i="1951"/>
  <c r="Z33" i="1951"/>
  <c r="Y33" i="1951"/>
  <c r="Q33" i="1951"/>
  <c r="K33" i="1951"/>
  <c r="M33" i="1951"/>
  <c r="AA33" i="1950"/>
  <c r="X33" i="1950"/>
  <c r="U33" i="1950"/>
  <c r="R33" i="1950"/>
  <c r="O33" i="1950"/>
  <c r="L33" i="1950"/>
  <c r="F33" i="1950"/>
  <c r="Y28" i="1950"/>
  <c r="X28" i="1950"/>
  <c r="W28" i="1950"/>
  <c r="V28" i="1950"/>
  <c r="U28" i="1950"/>
  <c r="T28" i="1950"/>
  <c r="S28" i="1950"/>
  <c r="R28" i="1950"/>
  <c r="Q28" i="1950"/>
  <c r="P28" i="1950"/>
  <c r="O28" i="1950"/>
  <c r="N28" i="1950"/>
  <c r="M28" i="1950"/>
  <c r="L28" i="1950"/>
  <c r="K28" i="1950"/>
  <c r="J28" i="1950"/>
  <c r="I28" i="1950"/>
  <c r="H28" i="1950"/>
  <c r="G28" i="1950"/>
  <c r="F28" i="1950"/>
  <c r="E28" i="1950"/>
  <c r="D28" i="1950"/>
  <c r="Y25" i="1950"/>
  <c r="X25" i="1950"/>
  <c r="W25" i="1950"/>
  <c r="V25" i="1950"/>
  <c r="U25" i="1950"/>
  <c r="T25" i="1950"/>
  <c r="S25" i="1950"/>
  <c r="R25" i="1950"/>
  <c r="Q25" i="1950"/>
  <c r="P25" i="1950"/>
  <c r="O25" i="1950"/>
  <c r="N25" i="1950"/>
  <c r="M25" i="1950"/>
  <c r="L25" i="1950"/>
  <c r="K25" i="1950"/>
  <c r="J25" i="1950"/>
  <c r="I25" i="1950"/>
  <c r="H25" i="1950"/>
  <c r="G25" i="1950"/>
  <c r="F25" i="1950"/>
  <c r="E25" i="1950"/>
  <c r="D25" i="1950"/>
  <c r="AE19" i="1950"/>
  <c r="AD19" i="1950"/>
  <c r="AC19" i="1950"/>
  <c r="AB19" i="1950"/>
  <c r="AA19" i="1950"/>
  <c r="Z19" i="1950"/>
  <c r="Y19" i="1950"/>
  <c r="X19" i="1950"/>
  <c r="T33" i="1950" s="1"/>
  <c r="W19" i="1950"/>
  <c r="V19" i="1950"/>
  <c r="U19" i="1950"/>
  <c r="T19" i="1950"/>
  <c r="S19" i="1950"/>
  <c r="R19" i="1950"/>
  <c r="Q19" i="1950"/>
  <c r="P19" i="1950"/>
  <c r="O19" i="1950"/>
  <c r="N19" i="1950"/>
  <c r="H33" i="1950" s="1"/>
  <c r="M19" i="1950"/>
  <c r="L19" i="1950"/>
  <c r="P33" i="1950" s="1"/>
  <c r="K19" i="1950"/>
  <c r="J19" i="1950"/>
  <c r="I19" i="1950"/>
  <c r="AB33" i="1950" s="1"/>
  <c r="H19" i="1950"/>
  <c r="G19" i="1950"/>
  <c r="F19" i="1950"/>
  <c r="E19" i="1950"/>
  <c r="D19" i="1950"/>
  <c r="AE16" i="1950"/>
  <c r="AD16" i="1950"/>
  <c r="AC16" i="1950"/>
  <c r="AB16" i="1950"/>
  <c r="AA16" i="1950"/>
  <c r="Z16" i="1950"/>
  <c r="X16" i="1950"/>
  <c r="W16" i="1950"/>
  <c r="V16" i="1950"/>
  <c r="U16" i="1950"/>
  <c r="T16" i="1950"/>
  <c r="S16" i="1950"/>
  <c r="R16" i="1950"/>
  <c r="Q16" i="1950"/>
  <c r="P16" i="1950"/>
  <c r="O16" i="1950"/>
  <c r="N16" i="1950"/>
  <c r="M16" i="1950"/>
  <c r="L16" i="1950"/>
  <c r="K16" i="1950"/>
  <c r="J16" i="1950"/>
  <c r="I16" i="1950"/>
  <c r="H16" i="1950"/>
  <c r="G16" i="1950"/>
  <c r="F16" i="1950"/>
  <c r="E16" i="1950"/>
  <c r="D16" i="1950"/>
  <c r="AE10" i="1950"/>
  <c r="AD10" i="1950"/>
  <c r="AC33" i="1950" s="1"/>
  <c r="AC10" i="1950"/>
  <c r="AB10" i="1950"/>
  <c r="AA10" i="1950"/>
  <c r="D33" i="1950" s="1"/>
  <c r="Z10" i="1950"/>
  <c r="Y10" i="1950"/>
  <c r="X10" i="1950"/>
  <c r="W10" i="1950"/>
  <c r="V10" i="1950"/>
  <c r="U10" i="1950"/>
  <c r="T10" i="1950"/>
  <c r="S10" i="1950"/>
  <c r="R10" i="1950"/>
  <c r="Q10" i="1950"/>
  <c r="P10" i="1950"/>
  <c r="O10" i="1950"/>
  <c r="N10" i="1950"/>
  <c r="Q33" i="1950" s="1"/>
  <c r="M10" i="1950"/>
  <c r="L10" i="1950"/>
  <c r="N33" i="1950" s="1"/>
  <c r="K10" i="1950"/>
  <c r="J10" i="1950"/>
  <c r="I10" i="1950"/>
  <c r="H10" i="1950"/>
  <c r="G10" i="1950"/>
  <c r="F10" i="1950"/>
  <c r="J33" i="1950" s="1"/>
  <c r="E10" i="1950"/>
  <c r="D10" i="1950"/>
  <c r="AE7" i="1950"/>
  <c r="AD7" i="1950"/>
  <c r="AC7" i="1950"/>
  <c r="AB7" i="1950"/>
  <c r="AA7" i="1950"/>
  <c r="Z7" i="1950"/>
  <c r="Y7" i="1950"/>
  <c r="X7" i="1950"/>
  <c r="W7" i="1950"/>
  <c r="V7" i="1950"/>
  <c r="U7" i="1950"/>
  <c r="T7" i="1950"/>
  <c r="S7" i="1950"/>
  <c r="R7" i="1950"/>
  <c r="Q7" i="1950"/>
  <c r="P7" i="1950"/>
  <c r="O7" i="1950"/>
  <c r="N7" i="1950"/>
  <c r="M7" i="1950"/>
  <c r="L7" i="1950"/>
  <c r="K7" i="1950"/>
  <c r="J7" i="1950"/>
  <c r="I7" i="1950"/>
  <c r="H7" i="1950"/>
  <c r="G7" i="1950"/>
  <c r="F7" i="1950"/>
  <c r="E7" i="1950"/>
  <c r="D7" i="1950"/>
  <c r="S33" i="1950" l="1"/>
  <c r="K33" i="1950"/>
  <c r="W33" i="1950"/>
  <c r="Z33" i="1950"/>
  <c r="Y33" i="1950"/>
  <c r="E33" i="1950"/>
  <c r="M33" i="1950"/>
  <c r="V33" i="1950"/>
  <c r="AA33" i="1949"/>
  <c r="X33" i="1949"/>
  <c r="U33" i="1949"/>
  <c r="R33" i="1949"/>
  <c r="O33" i="1949"/>
  <c r="L33" i="1949"/>
  <c r="F33" i="1949"/>
  <c r="Y28" i="1949"/>
  <c r="X28" i="1949"/>
  <c r="W28" i="1949"/>
  <c r="V28" i="1949"/>
  <c r="U28" i="1949"/>
  <c r="T28" i="1949"/>
  <c r="S28" i="1949"/>
  <c r="R28" i="1949"/>
  <c r="Q28" i="1949"/>
  <c r="P28" i="1949"/>
  <c r="O28" i="1949"/>
  <c r="N28" i="1949"/>
  <c r="M28" i="1949"/>
  <c r="L28" i="1949"/>
  <c r="K28" i="1949"/>
  <c r="J28" i="1949"/>
  <c r="I28" i="1949"/>
  <c r="H28" i="1949"/>
  <c r="G28" i="1949"/>
  <c r="F28" i="1949"/>
  <c r="E28" i="1949"/>
  <c r="D28" i="1949"/>
  <c r="Y25" i="1949"/>
  <c r="X25" i="1949"/>
  <c r="W25" i="1949"/>
  <c r="V25" i="1949"/>
  <c r="U25" i="1949"/>
  <c r="T25" i="1949"/>
  <c r="S25" i="1949"/>
  <c r="R25" i="1949"/>
  <c r="Q25" i="1949"/>
  <c r="P25" i="1949"/>
  <c r="O25" i="1949"/>
  <c r="N25" i="1949"/>
  <c r="M25" i="1949"/>
  <c r="L25" i="1949"/>
  <c r="K25" i="1949"/>
  <c r="J25" i="1949"/>
  <c r="I25" i="1949"/>
  <c r="H25" i="1949"/>
  <c r="G25" i="1949"/>
  <c r="F25" i="1949"/>
  <c r="E25" i="1949"/>
  <c r="D25" i="1949"/>
  <c r="AE19" i="1949"/>
  <c r="AD19" i="1949"/>
  <c r="AC19" i="1949"/>
  <c r="AB19" i="1949"/>
  <c r="AA19" i="1949"/>
  <c r="Z19" i="1949"/>
  <c r="Y19" i="1949"/>
  <c r="X19" i="1949"/>
  <c r="T33" i="1949" s="1"/>
  <c r="W19" i="1949"/>
  <c r="V19" i="1949"/>
  <c r="U19" i="1949"/>
  <c r="T19" i="1949"/>
  <c r="S19" i="1949"/>
  <c r="R19" i="1949"/>
  <c r="Q19" i="1949"/>
  <c r="P19" i="1949"/>
  <c r="O19" i="1949"/>
  <c r="N19" i="1949"/>
  <c r="H33" i="1949" s="1"/>
  <c r="M19" i="1949"/>
  <c r="L19" i="1949"/>
  <c r="P33" i="1949" s="1"/>
  <c r="K19" i="1949"/>
  <c r="J19" i="1949"/>
  <c r="I19" i="1949"/>
  <c r="AB33" i="1949" s="1"/>
  <c r="H19" i="1949"/>
  <c r="G19" i="1949"/>
  <c r="F19" i="1949"/>
  <c r="E19" i="1949"/>
  <c r="D19" i="1949"/>
  <c r="AE16" i="1949"/>
  <c r="AD16" i="1949"/>
  <c r="AC16" i="1949"/>
  <c r="AB16" i="1949"/>
  <c r="AA16" i="1949"/>
  <c r="Z16" i="1949"/>
  <c r="X16" i="1949"/>
  <c r="W16" i="1949"/>
  <c r="V16" i="1949"/>
  <c r="U16" i="1949"/>
  <c r="T16" i="1949"/>
  <c r="S16" i="1949"/>
  <c r="R16" i="1949"/>
  <c r="Q16" i="1949"/>
  <c r="P16" i="1949"/>
  <c r="O16" i="1949"/>
  <c r="N16" i="1949"/>
  <c r="M16" i="1949"/>
  <c r="L16" i="1949"/>
  <c r="K16" i="1949"/>
  <c r="J16" i="1949"/>
  <c r="I16" i="1949"/>
  <c r="H16" i="1949"/>
  <c r="G16" i="1949"/>
  <c r="F16" i="1949"/>
  <c r="E16" i="1949"/>
  <c r="D16" i="1949"/>
  <c r="AE10" i="1949"/>
  <c r="AD10" i="1949"/>
  <c r="AC33" i="1949" s="1"/>
  <c r="AC10" i="1949"/>
  <c r="AB10" i="1949"/>
  <c r="AA10" i="1949"/>
  <c r="D33" i="1949" s="1"/>
  <c r="Z10" i="1949"/>
  <c r="Y10" i="1949"/>
  <c r="X10" i="1949"/>
  <c r="W10" i="1949"/>
  <c r="V10" i="1949"/>
  <c r="U10" i="1949"/>
  <c r="T10" i="1949"/>
  <c r="S10" i="1949"/>
  <c r="R10" i="1949"/>
  <c r="Q10" i="1949"/>
  <c r="P10" i="1949"/>
  <c r="O10" i="1949"/>
  <c r="N10" i="1949"/>
  <c r="M10" i="1949"/>
  <c r="L10" i="1949"/>
  <c r="N33" i="1949" s="1"/>
  <c r="K10" i="1949"/>
  <c r="J10" i="1949"/>
  <c r="I10" i="1949"/>
  <c r="H10" i="1949"/>
  <c r="G10" i="1949"/>
  <c r="F10" i="1949"/>
  <c r="J33" i="1949" s="1"/>
  <c r="E10" i="1949"/>
  <c r="S33" i="1949" s="1"/>
  <c r="D10" i="1949"/>
  <c r="AE7" i="1949"/>
  <c r="AD7" i="1949"/>
  <c r="AC7" i="1949"/>
  <c r="AB7" i="1949"/>
  <c r="AA7" i="1949"/>
  <c r="Z7" i="1949"/>
  <c r="Y7" i="1949"/>
  <c r="X7" i="1949"/>
  <c r="W7" i="1949"/>
  <c r="V7" i="1949"/>
  <c r="U7" i="1949"/>
  <c r="T7" i="1949"/>
  <c r="S7" i="1949"/>
  <c r="R7" i="1949"/>
  <c r="Q7" i="1949"/>
  <c r="P7" i="1949"/>
  <c r="O7" i="1949"/>
  <c r="N7" i="1949"/>
  <c r="M7" i="1949"/>
  <c r="L7" i="1949"/>
  <c r="K7" i="1949"/>
  <c r="J7" i="1949"/>
  <c r="I7" i="1949"/>
  <c r="H7" i="1949"/>
  <c r="G7" i="1949"/>
  <c r="F7" i="1949"/>
  <c r="E7" i="1949"/>
  <c r="D7" i="1949"/>
  <c r="K33" i="1949" l="1"/>
  <c r="W33" i="1949"/>
  <c r="Z33" i="1949"/>
  <c r="Y33" i="1949"/>
  <c r="Q33" i="1949"/>
  <c r="E33" i="1949"/>
  <c r="M33" i="1949"/>
  <c r="V33" i="1949"/>
  <c r="AA33" i="1948"/>
  <c r="X33" i="1948"/>
  <c r="U33" i="1948"/>
  <c r="R33" i="1948"/>
  <c r="O33" i="1948"/>
  <c r="L33" i="1948"/>
  <c r="F33" i="1948"/>
  <c r="Y28" i="1948"/>
  <c r="X28" i="1948"/>
  <c r="W28" i="1948"/>
  <c r="V28" i="1948"/>
  <c r="U28" i="1948"/>
  <c r="T28" i="1948"/>
  <c r="S28" i="1948"/>
  <c r="R28" i="1948"/>
  <c r="Q28" i="1948"/>
  <c r="P28" i="1948"/>
  <c r="O28" i="1948"/>
  <c r="N28" i="1948"/>
  <c r="M28" i="1948"/>
  <c r="L28" i="1948"/>
  <c r="K28" i="1948"/>
  <c r="J28" i="1948"/>
  <c r="I28" i="1948"/>
  <c r="H28" i="1948"/>
  <c r="G28" i="1948"/>
  <c r="F28" i="1948"/>
  <c r="E28" i="1948"/>
  <c r="D28" i="1948"/>
  <c r="Y25" i="1948"/>
  <c r="X25" i="1948"/>
  <c r="W25" i="1948"/>
  <c r="V25" i="1948"/>
  <c r="U25" i="1948"/>
  <c r="T25" i="1948"/>
  <c r="S25" i="1948"/>
  <c r="R25" i="1948"/>
  <c r="Q25" i="1948"/>
  <c r="P25" i="1948"/>
  <c r="O25" i="1948"/>
  <c r="N25" i="1948"/>
  <c r="M25" i="1948"/>
  <c r="L25" i="1948"/>
  <c r="K25" i="1948"/>
  <c r="J25" i="1948"/>
  <c r="I25" i="1948"/>
  <c r="H25" i="1948"/>
  <c r="G25" i="1948"/>
  <c r="F25" i="1948"/>
  <c r="E25" i="1948"/>
  <c r="D25" i="1948"/>
  <c r="AE19" i="1948"/>
  <c r="AD19" i="1948"/>
  <c r="AC19" i="1948"/>
  <c r="AB19" i="1948"/>
  <c r="AA19" i="1948"/>
  <c r="Z19" i="1948"/>
  <c r="Y19" i="1948"/>
  <c r="X19" i="1948"/>
  <c r="T33" i="1948" s="1"/>
  <c r="W19" i="1948"/>
  <c r="V19" i="1948"/>
  <c r="U19" i="1948"/>
  <c r="T19" i="1948"/>
  <c r="S19" i="1948"/>
  <c r="R19" i="1948"/>
  <c r="Q19" i="1948"/>
  <c r="P19" i="1948"/>
  <c r="O19" i="1948"/>
  <c r="N19" i="1948"/>
  <c r="H33" i="1948" s="1"/>
  <c r="M19" i="1948"/>
  <c r="L19" i="1948"/>
  <c r="P33" i="1948" s="1"/>
  <c r="K19" i="1948"/>
  <c r="J19" i="1948"/>
  <c r="I19" i="1948"/>
  <c r="AB33" i="1948" s="1"/>
  <c r="H19" i="1948"/>
  <c r="G19" i="1948"/>
  <c r="F19" i="1948"/>
  <c r="E19" i="1948"/>
  <c r="D19" i="1948"/>
  <c r="AE16" i="1948"/>
  <c r="AD16" i="1948"/>
  <c r="AC16" i="1948"/>
  <c r="AB16" i="1948"/>
  <c r="AA16" i="1948"/>
  <c r="Z16" i="1948"/>
  <c r="X16" i="1948"/>
  <c r="W16" i="1948"/>
  <c r="V16" i="1948"/>
  <c r="U16" i="1948"/>
  <c r="T16" i="1948"/>
  <c r="S16" i="1948"/>
  <c r="R16" i="1948"/>
  <c r="Q16" i="1948"/>
  <c r="P16" i="1948"/>
  <c r="O16" i="1948"/>
  <c r="N16" i="1948"/>
  <c r="M16" i="1948"/>
  <c r="L16" i="1948"/>
  <c r="K16" i="1948"/>
  <c r="J16" i="1948"/>
  <c r="I16" i="1948"/>
  <c r="H16" i="1948"/>
  <c r="G16" i="1948"/>
  <c r="F16" i="1948"/>
  <c r="E16" i="1948"/>
  <c r="D16" i="1948"/>
  <c r="AE10" i="1948"/>
  <c r="AD10" i="1948"/>
  <c r="AC33" i="1948" s="1"/>
  <c r="AC10" i="1948"/>
  <c r="AB10" i="1948"/>
  <c r="AA10" i="1948"/>
  <c r="Z10" i="1948"/>
  <c r="Y10" i="1948"/>
  <c r="X10" i="1948"/>
  <c r="W10" i="1948"/>
  <c r="V10" i="1948"/>
  <c r="U10" i="1948"/>
  <c r="T10" i="1948"/>
  <c r="S10" i="1948"/>
  <c r="R10" i="1948"/>
  <c r="Q10" i="1948"/>
  <c r="P10" i="1948"/>
  <c r="O10" i="1948"/>
  <c r="N10" i="1948"/>
  <c r="M10" i="1948"/>
  <c r="L10" i="1948"/>
  <c r="N33" i="1948" s="1"/>
  <c r="K10" i="1948"/>
  <c r="J10" i="1948"/>
  <c r="I10" i="1948"/>
  <c r="H10" i="1948"/>
  <c r="G10" i="1948"/>
  <c r="F10" i="1948"/>
  <c r="J33" i="1948" s="1"/>
  <c r="E10" i="1948"/>
  <c r="S33" i="1948" s="1"/>
  <c r="D10" i="1948"/>
  <c r="AE7" i="1948"/>
  <c r="AD7" i="1948"/>
  <c r="AC7" i="1948"/>
  <c r="AB7" i="1948"/>
  <c r="AA7" i="1948"/>
  <c r="Z7" i="1948"/>
  <c r="Y7" i="1948"/>
  <c r="X7" i="1948"/>
  <c r="W7" i="1948"/>
  <c r="V7" i="1948"/>
  <c r="U7" i="1948"/>
  <c r="T7" i="1948"/>
  <c r="S7" i="1948"/>
  <c r="R7" i="1948"/>
  <c r="Q7" i="1948"/>
  <c r="P7" i="1948"/>
  <c r="O7" i="1948"/>
  <c r="N7" i="1948"/>
  <c r="M7" i="1948"/>
  <c r="L7" i="1948"/>
  <c r="K7" i="1948"/>
  <c r="J7" i="1948"/>
  <c r="I7" i="1948"/>
  <c r="H7" i="1948"/>
  <c r="G7" i="1948"/>
  <c r="F7" i="1948"/>
  <c r="E7" i="1948"/>
  <c r="D7" i="1948"/>
  <c r="K33" i="1948" l="1"/>
  <c r="W33" i="1948"/>
  <c r="Z33" i="1948"/>
  <c r="D33" i="1948"/>
  <c r="Y33" i="1948"/>
  <c r="Q33" i="1948"/>
  <c r="E33" i="1948"/>
  <c r="M33" i="1948"/>
  <c r="V33" i="1948"/>
  <c r="AA33" i="1947"/>
  <c r="X33" i="1947"/>
  <c r="U33" i="1947"/>
  <c r="R33" i="1947"/>
  <c r="O33" i="1947"/>
  <c r="L33" i="1947"/>
  <c r="F33" i="1947"/>
  <c r="Y28" i="1947"/>
  <c r="X28" i="1947"/>
  <c r="W28" i="1947"/>
  <c r="V28" i="1947"/>
  <c r="U28" i="1947"/>
  <c r="T28" i="1947"/>
  <c r="S28" i="1947"/>
  <c r="R28" i="1947"/>
  <c r="Q28" i="1947"/>
  <c r="P28" i="1947"/>
  <c r="O28" i="1947"/>
  <c r="N28" i="1947"/>
  <c r="M28" i="1947"/>
  <c r="L28" i="1947"/>
  <c r="K28" i="1947"/>
  <c r="J28" i="1947"/>
  <c r="I28" i="1947"/>
  <c r="H28" i="1947"/>
  <c r="G28" i="1947"/>
  <c r="F28" i="1947"/>
  <c r="E28" i="1947"/>
  <c r="D28" i="1947"/>
  <c r="Y25" i="1947"/>
  <c r="X25" i="1947"/>
  <c r="W25" i="1947"/>
  <c r="V25" i="1947"/>
  <c r="U25" i="1947"/>
  <c r="T25" i="1947"/>
  <c r="S25" i="1947"/>
  <c r="R25" i="1947"/>
  <c r="Q25" i="1947"/>
  <c r="P25" i="1947"/>
  <c r="O25" i="1947"/>
  <c r="N25" i="1947"/>
  <c r="M25" i="1947"/>
  <c r="L25" i="1947"/>
  <c r="K25" i="1947"/>
  <c r="J25" i="1947"/>
  <c r="I25" i="1947"/>
  <c r="H25" i="1947"/>
  <c r="G25" i="1947"/>
  <c r="F25" i="1947"/>
  <c r="E25" i="1947"/>
  <c r="D25" i="1947"/>
  <c r="AE19" i="1947"/>
  <c r="AD19" i="1947"/>
  <c r="AC19" i="1947"/>
  <c r="AB19" i="1947"/>
  <c r="AA19" i="1947"/>
  <c r="Z19" i="1947"/>
  <c r="Y19" i="1947"/>
  <c r="X19" i="1947"/>
  <c r="T33" i="1947" s="1"/>
  <c r="W19" i="1947"/>
  <c r="V19" i="1947"/>
  <c r="U19" i="1947"/>
  <c r="T19" i="1947"/>
  <c r="S19" i="1947"/>
  <c r="R19" i="1947"/>
  <c r="Q19" i="1947"/>
  <c r="P19" i="1947"/>
  <c r="O19" i="1947"/>
  <c r="N19" i="1947"/>
  <c r="H33" i="1947" s="1"/>
  <c r="M19" i="1947"/>
  <c r="L19" i="1947"/>
  <c r="P33" i="1947" s="1"/>
  <c r="K19" i="1947"/>
  <c r="J19" i="1947"/>
  <c r="I19" i="1947"/>
  <c r="AB33" i="1947" s="1"/>
  <c r="H19" i="1947"/>
  <c r="G19" i="1947"/>
  <c r="F19" i="1947"/>
  <c r="E19" i="1947"/>
  <c r="D19" i="1947"/>
  <c r="AE16" i="1947"/>
  <c r="AD16" i="1947"/>
  <c r="AC16" i="1947"/>
  <c r="AB16" i="1947"/>
  <c r="AA16" i="1947"/>
  <c r="Z16" i="1947"/>
  <c r="X16" i="1947"/>
  <c r="W16" i="1947"/>
  <c r="V16" i="1947"/>
  <c r="U16" i="1947"/>
  <c r="T16" i="1947"/>
  <c r="S16" i="1947"/>
  <c r="R16" i="1947"/>
  <c r="Q16" i="1947"/>
  <c r="P16" i="1947"/>
  <c r="O16" i="1947"/>
  <c r="N16" i="1947"/>
  <c r="M16" i="1947"/>
  <c r="L16" i="1947"/>
  <c r="K16" i="1947"/>
  <c r="J16" i="1947"/>
  <c r="I16" i="1947"/>
  <c r="H16" i="1947"/>
  <c r="G16" i="1947"/>
  <c r="F16" i="1947"/>
  <c r="E16" i="1947"/>
  <c r="D16" i="1947"/>
  <c r="AE10" i="1947"/>
  <c r="AD10" i="1947"/>
  <c r="AC33" i="1947" s="1"/>
  <c r="AC10" i="1947"/>
  <c r="AB10" i="1947"/>
  <c r="AA10" i="1947"/>
  <c r="Z10" i="1947"/>
  <c r="Y10" i="1947"/>
  <c r="X10" i="1947"/>
  <c r="W10" i="1947"/>
  <c r="V10" i="1947"/>
  <c r="U10" i="1947"/>
  <c r="T10" i="1947"/>
  <c r="S10" i="1947"/>
  <c r="R10" i="1947"/>
  <c r="Q10" i="1947"/>
  <c r="P10" i="1947"/>
  <c r="O10" i="1947"/>
  <c r="N10" i="1947"/>
  <c r="Q33" i="1947" s="1"/>
  <c r="M10" i="1947"/>
  <c r="E33" i="1947" s="1"/>
  <c r="L10" i="1947"/>
  <c r="N33" i="1947" s="1"/>
  <c r="K10" i="1947"/>
  <c r="J10" i="1947"/>
  <c r="I10" i="1947"/>
  <c r="H10" i="1947"/>
  <c r="G10" i="1947"/>
  <c r="F10" i="1947"/>
  <c r="J33" i="1947" s="1"/>
  <c r="E10" i="1947"/>
  <c r="S33" i="1947" s="1"/>
  <c r="D10" i="1947"/>
  <c r="AE7" i="1947"/>
  <c r="AD7" i="1947"/>
  <c r="AC7" i="1947"/>
  <c r="AB7" i="1947"/>
  <c r="AA7" i="1947"/>
  <c r="Z7" i="1947"/>
  <c r="Y7" i="1947"/>
  <c r="X7" i="1947"/>
  <c r="W7" i="1947"/>
  <c r="V7" i="1947"/>
  <c r="U7" i="1947"/>
  <c r="T7" i="1947"/>
  <c r="S7" i="1947"/>
  <c r="R7" i="1947"/>
  <c r="Q7" i="1947"/>
  <c r="P7" i="1947"/>
  <c r="O7" i="1947"/>
  <c r="N7" i="1947"/>
  <c r="M7" i="1947"/>
  <c r="L7" i="1947"/>
  <c r="K7" i="1947"/>
  <c r="J7" i="1947"/>
  <c r="I7" i="1947"/>
  <c r="H7" i="1947"/>
  <c r="G7" i="1947"/>
  <c r="F7" i="1947"/>
  <c r="E7" i="1947"/>
  <c r="D7" i="1947"/>
  <c r="K33" i="1947" l="1"/>
  <c r="W33" i="1947"/>
  <c r="V33" i="1947"/>
  <c r="D33" i="1947"/>
  <c r="Y33" i="1947"/>
  <c r="M33" i="1947"/>
  <c r="Z33" i="1947"/>
  <c r="AA33" i="1946"/>
  <c r="X33" i="1946"/>
  <c r="U33" i="1946"/>
  <c r="R33" i="1946"/>
  <c r="P33" i="1946"/>
  <c r="O33" i="1946"/>
  <c r="L33" i="1946"/>
  <c r="F33" i="1946"/>
  <c r="Y28" i="1946"/>
  <c r="X28" i="1946"/>
  <c r="W28" i="1946"/>
  <c r="V28" i="1946"/>
  <c r="U28" i="1946"/>
  <c r="T28" i="1946"/>
  <c r="S28" i="1946"/>
  <c r="R28" i="1946"/>
  <c r="Q28" i="1946"/>
  <c r="P28" i="1946"/>
  <c r="O28" i="1946"/>
  <c r="N28" i="1946"/>
  <c r="M28" i="1946"/>
  <c r="L28" i="1946"/>
  <c r="K28" i="1946"/>
  <c r="J28" i="1946"/>
  <c r="I28" i="1946"/>
  <c r="H28" i="1946"/>
  <c r="G28" i="1946"/>
  <c r="F28" i="1946"/>
  <c r="E28" i="1946"/>
  <c r="D28" i="1946"/>
  <c r="Y25" i="1946"/>
  <c r="X25" i="1946"/>
  <c r="W25" i="1946"/>
  <c r="V25" i="1946"/>
  <c r="U25" i="1946"/>
  <c r="T25" i="1946"/>
  <c r="S25" i="1946"/>
  <c r="R25" i="1946"/>
  <c r="Q25" i="1946"/>
  <c r="P25" i="1946"/>
  <c r="O25" i="1946"/>
  <c r="N25" i="1946"/>
  <c r="M25" i="1946"/>
  <c r="L25" i="1946"/>
  <c r="K25" i="1946"/>
  <c r="J25" i="1946"/>
  <c r="I25" i="1946"/>
  <c r="H25" i="1946"/>
  <c r="G25" i="1946"/>
  <c r="F25" i="1946"/>
  <c r="E25" i="1946"/>
  <c r="D25" i="1946"/>
  <c r="AE19" i="1946"/>
  <c r="AD19" i="1946"/>
  <c r="AC19" i="1946"/>
  <c r="AB19" i="1946"/>
  <c r="AA19" i="1946"/>
  <c r="Z19" i="1946"/>
  <c r="Y19" i="1946"/>
  <c r="X19" i="1946"/>
  <c r="T33" i="1946" s="1"/>
  <c r="W19" i="1946"/>
  <c r="V19" i="1946"/>
  <c r="U19" i="1946"/>
  <c r="T19" i="1946"/>
  <c r="S19" i="1946"/>
  <c r="R19" i="1946"/>
  <c r="Q19" i="1946"/>
  <c r="P19" i="1946"/>
  <c r="O19" i="1946"/>
  <c r="N19" i="1946"/>
  <c r="H33" i="1946" s="1"/>
  <c r="M19" i="1946"/>
  <c r="L19" i="1946"/>
  <c r="K19" i="1946"/>
  <c r="J19" i="1946"/>
  <c r="I19" i="1946"/>
  <c r="AB33" i="1946" s="1"/>
  <c r="H19" i="1946"/>
  <c r="G19" i="1946"/>
  <c r="F19" i="1946"/>
  <c r="E19" i="1946"/>
  <c r="D19" i="1946"/>
  <c r="AE16" i="1946"/>
  <c r="AD16" i="1946"/>
  <c r="AC16" i="1946"/>
  <c r="AB16" i="1946"/>
  <c r="AA16" i="1946"/>
  <c r="Z16" i="1946"/>
  <c r="X16" i="1946"/>
  <c r="W16" i="1946"/>
  <c r="V16" i="1946"/>
  <c r="U16" i="1946"/>
  <c r="T16" i="1946"/>
  <c r="S16" i="1946"/>
  <c r="R16" i="1946"/>
  <c r="Q16" i="1946"/>
  <c r="P16" i="1946"/>
  <c r="O16" i="1946"/>
  <c r="N16" i="1946"/>
  <c r="M16" i="1946"/>
  <c r="L16" i="1946"/>
  <c r="K16" i="1946"/>
  <c r="J16" i="1946"/>
  <c r="I16" i="1946"/>
  <c r="H16" i="1946"/>
  <c r="G16" i="1946"/>
  <c r="F16" i="1946"/>
  <c r="E16" i="1946"/>
  <c r="D16" i="1946"/>
  <c r="AE10" i="1946"/>
  <c r="AD10" i="1946"/>
  <c r="AC33" i="1946" s="1"/>
  <c r="AC10" i="1946"/>
  <c r="AB10" i="1946"/>
  <c r="AA10" i="1946"/>
  <c r="Z10" i="1946"/>
  <c r="Y10" i="1946"/>
  <c r="X10" i="1946"/>
  <c r="W10" i="1946"/>
  <c r="V10" i="1946"/>
  <c r="U10" i="1946"/>
  <c r="T10" i="1946"/>
  <c r="S10" i="1946"/>
  <c r="R10" i="1946"/>
  <c r="Q10" i="1946"/>
  <c r="P10" i="1946"/>
  <c r="O10" i="1946"/>
  <c r="N10" i="1946"/>
  <c r="Q33" i="1946" s="1"/>
  <c r="M10" i="1946"/>
  <c r="L10" i="1946"/>
  <c r="N33" i="1946" s="1"/>
  <c r="K10" i="1946"/>
  <c r="J10" i="1946"/>
  <c r="I10" i="1946"/>
  <c r="H10" i="1946"/>
  <c r="G10" i="1946"/>
  <c r="F10" i="1946"/>
  <c r="E10" i="1946"/>
  <c r="S33" i="1946" s="1"/>
  <c r="D10" i="1946"/>
  <c r="AE7" i="1946"/>
  <c r="AD7" i="1946"/>
  <c r="AC7" i="1946"/>
  <c r="AB7" i="1946"/>
  <c r="AA7" i="1946"/>
  <c r="Z7" i="1946"/>
  <c r="Y7" i="1946"/>
  <c r="X7" i="1946"/>
  <c r="W7" i="1946"/>
  <c r="V7" i="1946"/>
  <c r="U7" i="1946"/>
  <c r="T7" i="1946"/>
  <c r="S7" i="1946"/>
  <c r="R7" i="1946"/>
  <c r="Q7" i="1946"/>
  <c r="P7" i="1946"/>
  <c r="O7" i="1946"/>
  <c r="N7" i="1946"/>
  <c r="M7" i="1946"/>
  <c r="L7" i="1946"/>
  <c r="K7" i="1946"/>
  <c r="J7" i="1946"/>
  <c r="I7" i="1946"/>
  <c r="H7" i="1946"/>
  <c r="G7" i="1946"/>
  <c r="F7" i="1946"/>
  <c r="E7" i="1946"/>
  <c r="D7" i="1946"/>
  <c r="J33" i="1946" l="1"/>
  <c r="V33" i="1946"/>
  <c r="K33" i="1946"/>
  <c r="W33" i="1946"/>
  <c r="Z33" i="1946"/>
  <c r="D33" i="1946"/>
  <c r="Y33" i="1946"/>
  <c r="E33" i="1946"/>
  <c r="M33" i="1946"/>
  <c r="AA33" i="1945"/>
  <c r="X33" i="1945"/>
  <c r="U33" i="1945"/>
  <c r="R33" i="1945"/>
  <c r="O33" i="1945"/>
  <c r="L33" i="1945"/>
  <c r="F33" i="1945"/>
  <c r="Y28" i="1945"/>
  <c r="X28" i="1945"/>
  <c r="W28" i="1945"/>
  <c r="V28" i="1945"/>
  <c r="U28" i="1945"/>
  <c r="T28" i="1945"/>
  <c r="S28" i="1945"/>
  <c r="R28" i="1945"/>
  <c r="Q28" i="1945"/>
  <c r="P28" i="1945"/>
  <c r="O28" i="1945"/>
  <c r="N28" i="1945"/>
  <c r="M28" i="1945"/>
  <c r="L28" i="1945"/>
  <c r="K28" i="1945"/>
  <c r="J28" i="1945"/>
  <c r="I28" i="1945"/>
  <c r="H28" i="1945"/>
  <c r="G28" i="1945"/>
  <c r="F28" i="1945"/>
  <c r="E28" i="1945"/>
  <c r="D28" i="1945"/>
  <c r="Y25" i="1945"/>
  <c r="X25" i="1945"/>
  <c r="W25" i="1945"/>
  <c r="V25" i="1945"/>
  <c r="U25" i="1945"/>
  <c r="T25" i="1945"/>
  <c r="S25" i="1945"/>
  <c r="R25" i="1945"/>
  <c r="Q25" i="1945"/>
  <c r="P25" i="1945"/>
  <c r="O25" i="1945"/>
  <c r="N25" i="1945"/>
  <c r="M25" i="1945"/>
  <c r="L25" i="1945"/>
  <c r="K25" i="1945"/>
  <c r="J25" i="1945"/>
  <c r="I25" i="1945"/>
  <c r="H25" i="1945"/>
  <c r="G25" i="1945"/>
  <c r="F25" i="1945"/>
  <c r="E25" i="1945"/>
  <c r="D25" i="1945"/>
  <c r="AE19" i="1945"/>
  <c r="AD19" i="1945"/>
  <c r="AC19" i="1945"/>
  <c r="AB19" i="1945"/>
  <c r="AA19" i="1945"/>
  <c r="Z19" i="1945"/>
  <c r="Y19" i="1945"/>
  <c r="X19" i="1945"/>
  <c r="T33" i="1945" s="1"/>
  <c r="W19" i="1945"/>
  <c r="V19" i="1945"/>
  <c r="U19" i="1945"/>
  <c r="T19" i="1945"/>
  <c r="S19" i="1945"/>
  <c r="R19" i="1945"/>
  <c r="Q19" i="1945"/>
  <c r="P19" i="1945"/>
  <c r="O19" i="1945"/>
  <c r="N19" i="1945"/>
  <c r="H33" i="1945" s="1"/>
  <c r="M19" i="1945"/>
  <c r="L19" i="1945"/>
  <c r="P33" i="1945" s="1"/>
  <c r="K19" i="1945"/>
  <c r="J19" i="1945"/>
  <c r="I19" i="1945"/>
  <c r="AB33" i="1945" s="1"/>
  <c r="H19" i="1945"/>
  <c r="G19" i="1945"/>
  <c r="F19" i="1945"/>
  <c r="E19" i="1945"/>
  <c r="D19" i="1945"/>
  <c r="AE16" i="1945"/>
  <c r="AD16" i="1945"/>
  <c r="AC16" i="1945"/>
  <c r="AB16" i="1945"/>
  <c r="AA16" i="1945"/>
  <c r="Z16" i="1945"/>
  <c r="X16" i="1945"/>
  <c r="W16" i="1945"/>
  <c r="V16" i="1945"/>
  <c r="U16" i="1945"/>
  <c r="T16" i="1945"/>
  <c r="S16" i="1945"/>
  <c r="R16" i="1945"/>
  <c r="Q16" i="1945"/>
  <c r="P16" i="1945"/>
  <c r="O16" i="1945"/>
  <c r="N16" i="1945"/>
  <c r="M16" i="1945"/>
  <c r="L16" i="1945"/>
  <c r="K16" i="1945"/>
  <c r="J16" i="1945"/>
  <c r="I16" i="1945"/>
  <c r="H16" i="1945"/>
  <c r="G16" i="1945"/>
  <c r="F16" i="1945"/>
  <c r="E16" i="1945"/>
  <c r="D16" i="1945"/>
  <c r="AE10" i="1945"/>
  <c r="AD10" i="1945"/>
  <c r="AC33" i="1945" s="1"/>
  <c r="AC10" i="1945"/>
  <c r="AB10" i="1945"/>
  <c r="AA10" i="1945"/>
  <c r="Z10" i="1945"/>
  <c r="Y10" i="1945"/>
  <c r="X10" i="1945"/>
  <c r="W10" i="1945"/>
  <c r="V10" i="1945"/>
  <c r="U10" i="1945"/>
  <c r="T10" i="1945"/>
  <c r="S10" i="1945"/>
  <c r="R10" i="1945"/>
  <c r="Q10" i="1945"/>
  <c r="P10" i="1945"/>
  <c r="O10" i="1945"/>
  <c r="N10" i="1945"/>
  <c r="M10" i="1945"/>
  <c r="E33" i="1945" s="1"/>
  <c r="L10" i="1945"/>
  <c r="N33" i="1945" s="1"/>
  <c r="K10" i="1945"/>
  <c r="J10" i="1945"/>
  <c r="I10" i="1945"/>
  <c r="H10" i="1945"/>
  <c r="G10" i="1945"/>
  <c r="F10" i="1945"/>
  <c r="J33" i="1945" s="1"/>
  <c r="E10" i="1945"/>
  <c r="S33" i="1945" s="1"/>
  <c r="D10" i="1945"/>
  <c r="AE7" i="1945"/>
  <c r="AD7" i="1945"/>
  <c r="AC7" i="1945"/>
  <c r="AB7" i="1945"/>
  <c r="AA7" i="1945"/>
  <c r="Z7" i="1945"/>
  <c r="Y7" i="1945"/>
  <c r="X7" i="1945"/>
  <c r="W7" i="1945"/>
  <c r="V7" i="1945"/>
  <c r="U7" i="1945"/>
  <c r="T7" i="1945"/>
  <c r="S7" i="1945"/>
  <c r="R7" i="1945"/>
  <c r="Q7" i="1945"/>
  <c r="P7" i="1945"/>
  <c r="O7" i="1945"/>
  <c r="N7" i="1945"/>
  <c r="M7" i="1945"/>
  <c r="L7" i="1945"/>
  <c r="K7" i="1945"/>
  <c r="J7" i="1945"/>
  <c r="I7" i="1945"/>
  <c r="H7" i="1945"/>
  <c r="G7" i="1945"/>
  <c r="F7" i="1945"/>
  <c r="E7" i="1945"/>
  <c r="D7" i="1945"/>
  <c r="K33" i="1945" l="1"/>
  <c r="W33" i="1945"/>
  <c r="Z33" i="1945"/>
  <c r="D33" i="1945"/>
  <c r="Y33" i="1945"/>
  <c r="Q33" i="1945"/>
  <c r="M33" i="1945"/>
  <c r="V33" i="1945"/>
  <c r="AA33" i="1944"/>
  <c r="X33" i="1944"/>
  <c r="U33" i="1944"/>
  <c r="R33" i="1944"/>
  <c r="O33" i="1944"/>
  <c r="L33" i="1944"/>
  <c r="F33" i="1944"/>
  <c r="Y28" i="1944"/>
  <c r="X28" i="1944"/>
  <c r="W28" i="1944"/>
  <c r="V28" i="1944"/>
  <c r="U28" i="1944"/>
  <c r="T28" i="1944"/>
  <c r="S28" i="1944"/>
  <c r="R28" i="1944"/>
  <c r="Q28" i="1944"/>
  <c r="P28" i="1944"/>
  <c r="O28" i="1944"/>
  <c r="N28" i="1944"/>
  <c r="M28" i="1944"/>
  <c r="L28" i="1944"/>
  <c r="K28" i="1944"/>
  <c r="J28" i="1944"/>
  <c r="I28" i="1944"/>
  <c r="H28" i="1944"/>
  <c r="G28" i="1944"/>
  <c r="F28" i="1944"/>
  <c r="E28" i="1944"/>
  <c r="D28" i="1944"/>
  <c r="Y25" i="1944"/>
  <c r="X25" i="1944"/>
  <c r="W25" i="1944"/>
  <c r="V25" i="1944"/>
  <c r="U25" i="1944"/>
  <c r="T25" i="1944"/>
  <c r="S25" i="1944"/>
  <c r="R25" i="1944"/>
  <c r="Q25" i="1944"/>
  <c r="P25" i="1944"/>
  <c r="O25" i="1944"/>
  <c r="N25" i="1944"/>
  <c r="M25" i="1944"/>
  <c r="L25" i="1944"/>
  <c r="K25" i="1944"/>
  <c r="J25" i="1944"/>
  <c r="I25" i="1944"/>
  <c r="H25" i="1944"/>
  <c r="G25" i="1944"/>
  <c r="F25" i="1944"/>
  <c r="E25" i="1944"/>
  <c r="D25" i="1944"/>
  <c r="AE19" i="1944"/>
  <c r="AD19" i="1944"/>
  <c r="AC19" i="1944"/>
  <c r="AB19" i="1944"/>
  <c r="AA19" i="1944"/>
  <c r="Z19" i="1944"/>
  <c r="Y19" i="1944"/>
  <c r="X19" i="1944"/>
  <c r="T33" i="1944" s="1"/>
  <c r="W19" i="1944"/>
  <c r="V19" i="1944"/>
  <c r="U19" i="1944"/>
  <c r="T19" i="1944"/>
  <c r="S19" i="1944"/>
  <c r="R19" i="1944"/>
  <c r="Q19" i="1944"/>
  <c r="P19" i="1944"/>
  <c r="O19" i="1944"/>
  <c r="N19" i="1944"/>
  <c r="H33" i="1944" s="1"/>
  <c r="M19" i="1944"/>
  <c r="L19" i="1944"/>
  <c r="P33" i="1944" s="1"/>
  <c r="K19" i="1944"/>
  <c r="J19" i="1944"/>
  <c r="I19" i="1944"/>
  <c r="AB33" i="1944" s="1"/>
  <c r="H19" i="1944"/>
  <c r="G19" i="1944"/>
  <c r="F19" i="1944"/>
  <c r="E19" i="1944"/>
  <c r="D19" i="1944"/>
  <c r="AE16" i="1944"/>
  <c r="AD16" i="1944"/>
  <c r="AC16" i="1944"/>
  <c r="AB16" i="1944"/>
  <c r="AA16" i="1944"/>
  <c r="Z16" i="1944"/>
  <c r="X16" i="1944"/>
  <c r="W16" i="1944"/>
  <c r="V16" i="1944"/>
  <c r="U16" i="1944"/>
  <c r="T16" i="1944"/>
  <c r="S16" i="1944"/>
  <c r="R16" i="1944"/>
  <c r="Q16" i="1944"/>
  <c r="P16" i="1944"/>
  <c r="O16" i="1944"/>
  <c r="N16" i="1944"/>
  <c r="M16" i="1944"/>
  <c r="L16" i="1944"/>
  <c r="K16" i="1944"/>
  <c r="J16" i="1944"/>
  <c r="I16" i="1944"/>
  <c r="H16" i="1944"/>
  <c r="G16" i="1944"/>
  <c r="F16" i="1944"/>
  <c r="E16" i="1944"/>
  <c r="D16" i="1944"/>
  <c r="AE10" i="1944"/>
  <c r="AD10" i="1944"/>
  <c r="AC33" i="1944" s="1"/>
  <c r="AC10" i="1944"/>
  <c r="AB10" i="1944"/>
  <c r="AA10" i="1944"/>
  <c r="Z10" i="1944"/>
  <c r="Y10" i="1944"/>
  <c r="X10" i="1944"/>
  <c r="W10" i="1944"/>
  <c r="V10" i="1944"/>
  <c r="U10" i="1944"/>
  <c r="T10" i="1944"/>
  <c r="S10" i="1944"/>
  <c r="R10" i="1944"/>
  <c r="Q10" i="1944"/>
  <c r="P10" i="1944"/>
  <c r="O10" i="1944"/>
  <c r="N10" i="1944"/>
  <c r="Q33" i="1944" s="1"/>
  <c r="M10" i="1944"/>
  <c r="L10" i="1944"/>
  <c r="K10" i="1944"/>
  <c r="J10" i="1944"/>
  <c r="I10" i="1944"/>
  <c r="H10" i="1944"/>
  <c r="G10" i="1944"/>
  <c r="F10" i="1944"/>
  <c r="E10" i="1944"/>
  <c r="D10" i="1944"/>
  <c r="AE7" i="1944"/>
  <c r="AD7" i="1944"/>
  <c r="AC7" i="1944"/>
  <c r="AB7" i="1944"/>
  <c r="AA7" i="1944"/>
  <c r="Z7" i="1944"/>
  <c r="Y7" i="1944"/>
  <c r="X7" i="1944"/>
  <c r="W7" i="1944"/>
  <c r="V7" i="1944"/>
  <c r="U7" i="1944"/>
  <c r="T7" i="1944"/>
  <c r="S7" i="1944"/>
  <c r="R7" i="1944"/>
  <c r="Q7" i="1944"/>
  <c r="P7" i="1944"/>
  <c r="O7" i="1944"/>
  <c r="N7" i="1944"/>
  <c r="M7" i="1944"/>
  <c r="L7" i="1944"/>
  <c r="K7" i="1944"/>
  <c r="J7" i="1944"/>
  <c r="I7" i="1944"/>
  <c r="H7" i="1944"/>
  <c r="G7" i="1944"/>
  <c r="F7" i="1944"/>
  <c r="E7" i="1944"/>
  <c r="D7" i="1944"/>
  <c r="S33" i="1944" l="1"/>
  <c r="J33" i="1944"/>
  <c r="K33" i="1944"/>
  <c r="W33" i="1944"/>
  <c r="D33" i="1944"/>
  <c r="Z33" i="1944"/>
  <c r="Y33" i="1944"/>
  <c r="N33" i="1944"/>
  <c r="E33" i="1944"/>
  <c r="M33" i="1944"/>
  <c r="V33" i="1944"/>
  <c r="S36" i="13" l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<sst xmlns="http://schemas.openxmlformats.org/spreadsheetml/2006/main" count="30625" uniqueCount="651">
  <si>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</si>
  <si>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</si>
  <si>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</si>
  <si>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</si>
  <si>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</si>
  <si>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</si>
  <si>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</si>
  <si>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</si>
  <si>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</si>
  <si>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</si>
  <si>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</si>
  <si>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</si>
  <si>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</si>
  <si>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</si>
  <si>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</si>
  <si>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</si>
  <si>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</si>
  <si>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</si>
  <si>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</si>
  <si>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</si>
  <si>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</si>
  <si>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</si>
  <si>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</si>
  <si>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</si>
  <si>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</si>
  <si>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</si>
  <si>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</si>
  <si>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</si>
  <si>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</si>
  <si>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</si>
  <si>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</si>
  <si>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</si>
  <si>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</si>
  <si>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</si>
  <si>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</si>
  <si>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</si>
  <si>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</si>
  <si>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</si>
  <si>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</si>
  <si>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</si>
  <si>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</si>
  <si>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</si>
  <si>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</si>
  <si>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</si>
  <si>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</si>
  <si>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</si>
  <si>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</si>
  <si>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</si>
  <si>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</si>
  <si>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</si>
  <si>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</si>
  <si>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</si>
  <si>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</si>
  <si>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</si>
  <si>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</si>
  <si>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</si>
  <si>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</si>
  <si>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</si>
  <si>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</si>
  <si>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</si>
  <si>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</si>
  <si>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</si>
  <si>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</si>
  <si>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</si>
  <si>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</si>
  <si>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</si>
  <si>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</si>
  <si>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</si>
  <si>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</si>
  <si>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</si>
  <si>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</si>
  <si>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</si>
  <si>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</si>
  <si>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</si>
  <si>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</si>
  <si>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</si>
  <si>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</si>
  <si>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</si>
  <si>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</si>
  <si>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</si>
  <si>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</si>
  <si>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</si>
  <si>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</si>
  <si>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</si>
  <si>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</si>
  <si>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</si>
  <si>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</si>
  <si>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</si>
  <si>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</si>
  <si>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</si>
  <si>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</si>
  <si>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</si>
  <si>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</si>
  <si>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</si>
  <si>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</si>
  <si>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</si>
  <si>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</si>
  <si>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</si>
  <si>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</si>
  <si>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</si>
  <si>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</si>
  <si>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</si>
  <si>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</si>
  <si>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</si>
  <si>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</si>
  <si>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</si>
  <si>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</si>
  <si>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</si>
  <si>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</si>
  <si>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槽號</t>
    <phoneticPr fontId="2" type="noConversion"/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</si>
  <si>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</si>
  <si>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</si>
  <si>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</si>
  <si>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</si>
  <si>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</si>
  <si>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</si>
  <si>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</si>
  <si>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</si>
  <si>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</si>
  <si>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</si>
  <si>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</si>
  <si>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</si>
  <si>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</si>
  <si>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</si>
  <si>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</si>
  <si>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</si>
  <si>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</si>
  <si>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</si>
  <si>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</si>
  <si>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</si>
  <si>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</si>
  <si>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</si>
  <si>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</si>
  <si>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</si>
  <si>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</si>
  <si>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</si>
  <si>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</si>
  <si>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</si>
  <si>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</si>
  <si>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</si>
  <si>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</si>
  <si>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</si>
  <si>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</si>
  <si>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</si>
  <si>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</si>
  <si>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</si>
  <si>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</si>
  <si>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</si>
  <si>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</si>
  <si>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</si>
  <si>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</si>
  <si>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</si>
  <si>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</si>
  <si>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</si>
  <si>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</si>
  <si>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</si>
  <si>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</si>
  <si>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</si>
  <si>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</si>
  <si>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</si>
  <si>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</si>
  <si>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</si>
  <si>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</si>
  <si>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</si>
  <si>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</si>
  <si>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</si>
  <si>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</si>
  <si>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</si>
  <si>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</si>
  <si>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</si>
  <si>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</si>
  <si>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</si>
  <si>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</si>
  <si>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</si>
  <si>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</si>
  <si>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</si>
  <si>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</si>
  <si>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</si>
  <si>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</si>
  <si>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</si>
  <si>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</si>
  <si>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</si>
  <si>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</si>
  <si>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</si>
  <si>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</si>
  <si>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</si>
  <si>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</si>
  <si>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</si>
  <si>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溫度</t>
    <phoneticPr fontId="2" type="noConversion"/>
  </si>
  <si>
    <t>液位</t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</si>
  <si>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</si>
  <si>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</si>
  <si>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</si>
  <si>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</si>
  <si>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</si>
  <si>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</si>
  <si>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</si>
  <si>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</si>
  <si>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</si>
  <si>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</si>
  <si>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</si>
  <si>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</si>
  <si>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</si>
  <si>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</si>
  <si>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</si>
  <si>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</si>
  <si>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</si>
  <si>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</si>
  <si>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</si>
  <si>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</si>
  <si>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</si>
  <si>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</si>
  <si>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</si>
  <si>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</si>
  <si>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</si>
  <si>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</si>
  <si>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</si>
  <si>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</si>
  <si>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</si>
  <si>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</si>
  <si>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</si>
  <si>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</si>
  <si>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</si>
  <si>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</si>
  <si>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</si>
  <si>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</si>
  <si>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</si>
  <si>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</si>
  <si>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</si>
  <si>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</si>
  <si>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</si>
  <si>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</si>
  <si>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</si>
  <si>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</si>
  <si>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</si>
  <si>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</si>
  <si>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</si>
  <si>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</si>
  <si>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</si>
  <si>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</si>
  <si>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</si>
  <si>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</si>
  <si>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</si>
  <si>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</si>
  <si>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</si>
  <si>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</si>
  <si>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</si>
  <si>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</si>
  <si>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</si>
  <si>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</si>
  <si>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</si>
  <si>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</si>
  <si>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</si>
  <si>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</si>
  <si>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</si>
  <si>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</si>
  <si>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</si>
  <si>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</si>
  <si>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</si>
  <si>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</si>
  <si>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</si>
  <si>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</si>
  <si>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</si>
  <si>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</si>
  <si>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</si>
  <si>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</si>
  <si>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</si>
  <si>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</si>
  <si>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</si>
  <si>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</si>
  <si>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</si>
  <si>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</si>
  <si>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</si>
  <si>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</si>
  <si>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</si>
  <si>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</si>
  <si>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</si>
  <si>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</si>
  <si>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</si>
  <si>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</si>
  <si>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</si>
  <si>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</si>
  <si>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</si>
  <si>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</si>
  <si>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</si>
  <si>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</si>
  <si>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</si>
  <si>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</si>
  <si>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</si>
  <si>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</si>
  <si>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</si>
  <si>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</si>
  <si>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</si>
  <si>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</si>
  <si>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</si>
  <si>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</si>
  <si>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</si>
  <si>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</si>
  <si>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</si>
  <si>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</si>
  <si>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</si>
  <si>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</si>
  <si>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</si>
  <si>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</si>
  <si>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</si>
  <si>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</si>
  <si>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</si>
  <si>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</si>
  <si>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</si>
  <si>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</si>
  <si>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</si>
  <si>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</si>
  <si>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</si>
  <si>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</si>
  <si>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</si>
  <si>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</si>
  <si>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</si>
  <si>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</si>
  <si>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</si>
  <si>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</si>
  <si>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</si>
  <si>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</si>
  <si>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</si>
  <si>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</si>
  <si>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</si>
  <si>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</si>
  <si>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</si>
  <si>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</si>
  <si>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</si>
  <si>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</si>
  <si>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</si>
  <si>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</si>
  <si>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</si>
  <si>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</si>
  <si>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</si>
  <si>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</si>
  <si>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</si>
  <si>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</si>
  <si>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</si>
  <si>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</si>
  <si>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</si>
  <si>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</si>
  <si>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</si>
  <si>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</si>
  <si>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</si>
  <si>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</si>
  <si>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</si>
  <si>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</si>
  <si>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</si>
  <si>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</si>
  <si>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</si>
  <si>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</si>
  <si>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</si>
  <si>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</si>
  <si>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</si>
  <si>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</si>
  <si>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</si>
  <si>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</si>
  <si>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</si>
  <si>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</si>
  <si>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</si>
  <si>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</si>
  <si>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</si>
  <si>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</si>
  <si>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</si>
  <si>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</si>
  <si>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</si>
  <si>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</si>
  <si>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</si>
  <si>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</si>
  <si>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</si>
  <si>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</si>
  <si>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</si>
  <si>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</si>
  <si>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</si>
  <si>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</si>
  <si>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</si>
  <si>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</si>
  <si>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</si>
  <si>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</si>
  <si>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</si>
  <si>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</si>
  <si>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</si>
  <si>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</si>
  <si>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</si>
  <si>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</si>
  <si>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</si>
  <si>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</si>
  <si>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</si>
  <si>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</si>
  <si>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</si>
  <si>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</si>
  <si>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</si>
  <si>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</si>
  <si>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</si>
  <si>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</si>
  <si>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</si>
  <si>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</si>
  <si>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</si>
  <si>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</si>
  <si>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</si>
  <si>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</si>
  <si>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</si>
  <si>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</si>
  <si>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</si>
  <si>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</si>
  <si>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</si>
  <si>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</si>
  <si>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</si>
  <si>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</si>
  <si>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</si>
  <si>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</si>
  <si>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</si>
  <si>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</si>
  <si>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</si>
  <si>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</si>
  <si>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</si>
  <si>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</si>
  <si>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</si>
  <si>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</si>
  <si>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</si>
  <si>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</si>
  <si>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</si>
  <si>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</si>
  <si>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</si>
  <si>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</si>
  <si>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</si>
  <si>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</si>
  <si>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</si>
  <si>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</si>
  <si>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</si>
  <si>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</si>
  <si>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</si>
  <si>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</si>
  <si>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</si>
  <si>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</si>
  <si>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</si>
  <si>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</si>
  <si>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</si>
  <si>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</si>
  <si>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</si>
  <si>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</si>
  <si>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</si>
  <si>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</si>
  <si>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</si>
  <si>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</si>
  <si>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</si>
  <si>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</si>
  <si>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</si>
  <si>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</si>
  <si>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</si>
  <si>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</si>
  <si>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</si>
  <si>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</si>
  <si>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</si>
  <si>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</si>
  <si>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</si>
  <si>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</si>
  <si>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</si>
  <si>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</si>
  <si>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</si>
  <si>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</si>
  <si>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</si>
  <si>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</si>
  <si>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</si>
  <si>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</si>
  <si>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</si>
  <si>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</si>
  <si>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</si>
  <si>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</si>
  <si>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</si>
  <si>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</si>
  <si>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</si>
  <si>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</si>
  <si>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</si>
  <si>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</si>
  <si>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</si>
  <si>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</si>
  <si>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</si>
  <si>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</si>
  <si>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</si>
  <si>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</si>
  <si>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</si>
  <si>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</si>
  <si>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</si>
  <si>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</si>
  <si>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</si>
  <si>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</si>
  <si>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</si>
  <si>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</si>
  <si>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</si>
  <si>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</si>
  <si>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</si>
  <si>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</si>
  <si>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</si>
  <si>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</si>
  <si>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</si>
  <si>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</si>
  <si>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</si>
  <si>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</si>
  <si>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</si>
  <si>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</si>
  <si>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</si>
  <si>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</si>
  <si>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</si>
  <si>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</si>
  <si>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</si>
  <si>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</si>
  <si>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</si>
  <si>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</si>
  <si>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</si>
  <si>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</si>
  <si>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</si>
  <si>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</si>
  <si>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</si>
  <si>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</si>
  <si>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</si>
  <si>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</si>
  <si>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</si>
  <si>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</si>
  <si>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</si>
  <si>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</si>
  <si>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</si>
  <si>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</si>
  <si>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</si>
  <si>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</si>
  <si>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</si>
  <si>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</si>
  <si>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</si>
  <si>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</si>
  <si>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</si>
  <si>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</si>
  <si>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</si>
  <si>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</si>
  <si>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</si>
  <si>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</si>
  <si>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</si>
  <si>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</si>
  <si>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</si>
  <si>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</si>
  <si>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</si>
  <si>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</si>
  <si>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</si>
  <si>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</si>
  <si>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</si>
  <si>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</si>
  <si>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</si>
  <si>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</si>
  <si>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</si>
  <si>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</si>
  <si>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</si>
  <si>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</si>
  <si>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</si>
  <si>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</si>
  <si>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</si>
  <si>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</si>
  <si>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</si>
  <si>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</si>
  <si>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</si>
  <si>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</si>
  <si>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</si>
  <si>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</si>
  <si>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</si>
  <si>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</si>
  <si>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</si>
  <si>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</si>
  <si>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</si>
  <si>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</si>
  <si>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</si>
  <si>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</si>
  <si>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</si>
  <si>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</si>
  <si>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</si>
  <si>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</si>
  <si>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</si>
  <si>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</si>
  <si>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</si>
  <si>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</si>
  <si>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</si>
  <si>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</si>
  <si>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</si>
  <si>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</si>
  <si>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</si>
  <si>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</si>
  <si>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</si>
  <si>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</si>
  <si>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</si>
  <si>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</si>
  <si>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</si>
  <si>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</si>
  <si>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</si>
  <si>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</si>
  <si>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</si>
  <si>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</si>
  <si>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</si>
  <si>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</si>
  <si>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</si>
  <si>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</si>
  <si>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</si>
  <si>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</si>
  <si>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</si>
  <si>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</si>
  <si>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</si>
  <si>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</si>
  <si>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</si>
  <si>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</si>
  <si>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</si>
  <si>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</si>
  <si>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</si>
  <si>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</si>
  <si>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待處理廢水</t>
    <phoneticPr fontId="3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</si>
  <si>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</si>
  <si>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</si>
  <si>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</si>
  <si>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</si>
  <si>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</si>
  <si>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</si>
  <si>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</si>
  <si>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</si>
  <si>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</si>
  <si>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</si>
  <si>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</si>
  <si>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</si>
  <si>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</si>
  <si>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</si>
  <si>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</si>
  <si>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</si>
  <si>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</si>
  <si>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</si>
  <si>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</si>
  <si>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</si>
  <si>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</si>
  <si>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</si>
  <si>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</si>
  <si>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IPA-1</t>
  </si>
  <si>
    <t>IPA</t>
    <phoneticPr fontId="2" type="noConversion"/>
  </si>
  <si>
    <t>EBR-P1</t>
    <phoneticPr fontId="2" type="noConversion"/>
  </si>
  <si>
    <t>C50110-INV-01(01)</t>
    <phoneticPr fontId="3" type="noConversion"/>
  </si>
  <si>
    <t>IPA-1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</si>
  <si>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27
蒸氣壓力 ______ (最低氣溫低於16度開啟)</t>
    <phoneticPr fontId="3" type="noConversion"/>
  </si>
  <si>
    <t>涂敬宗</t>
    <phoneticPr fontId="2" type="noConversion"/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</si>
  <si>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</si>
  <si>
    <r>
      <t>EBR</t>
    </r>
    <r>
      <rPr>
        <sz val="7"/>
        <color rgb="FFC00000"/>
        <rFont val="微軟正黑體"/>
        <family val="2"/>
        <charset val="136"/>
      </rPr>
      <t>廢溶劑</t>
    </r>
    <phoneticPr fontId="3" type="noConversion"/>
  </si>
  <si>
    <t>DPM-1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</si>
  <si>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26
蒸氣壓力 ______ (最低氣溫低於16度開啟)</t>
    <phoneticPr fontId="3" type="noConversion"/>
  </si>
  <si>
    <t>陳志修</t>
    <phoneticPr fontId="2" type="noConversion"/>
  </si>
  <si>
    <r>
      <t>EBR</t>
    </r>
    <r>
      <rPr>
        <sz val="7"/>
        <color rgb="FFFF0000"/>
        <rFont val="微軟正黑體"/>
        <family val="2"/>
        <charset val="136"/>
      </rPr>
      <t>廢溶劑</t>
    </r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</si>
  <si>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28
蒸氣壓力 ______ (最低氣溫低於16度開啟)</t>
    <phoneticPr fontId="3" type="noConversion"/>
  </si>
  <si>
    <t>張立杰</t>
    <phoneticPr fontId="2" type="noConversion"/>
  </si>
  <si>
    <t>CPNE3</t>
    <phoneticPr fontId="2" type="noConversion"/>
  </si>
  <si>
    <t>EBR-P4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</si>
</sst>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_);[Red]\(0\)"/>
    <numFmt numFmtId="177" formatCode="0_ "/>
    <numFmt numFmtId="178" formatCode="_(* #,##0.00_);_(* \(#,##0.00\);_(* &quot;-&quot;??_);_(@_)"/>
    <numFmt numFmtId="179" formatCode="_(&quot;$&quot;* #,##0.00_);_(&quot;$&quot;* \(#,##0.00\);_(&quot;$&quot;* &quot;-&quot;??_);_(@_)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8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0"/>
      <color theme="7" tint="-0.499984740745262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8"/>
      <color rgb="FFC00000"/>
      <name val="微軟正黑體"/>
      <family val="2"/>
      <charset val="136"/>
    </font>
    <font>
      <sz val="7"/>
      <color rgb="FFC00000"/>
      <name val="微軟正黑體"/>
      <family val="2"/>
      <charset val="136"/>
    </font>
    <font>
      <sz val="8"/>
      <color rgb="FFFF0000"/>
      <name val="微軟正黑體"/>
      <family val="2"/>
      <charset val="136"/>
    </font>
    <font>
      <sz val="7"/>
      <color rgb="FFFF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37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7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6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6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6" fontId="20" fillId="2" borderId="11" xfId="1" applyNumberFormat="1" applyFont="1" applyFill="1" applyBorder="1" applyAlignment="1">
      <alignment horizontal="center" vertical="center" wrapText="1"/>
    </xf>
    <xf numFmtId="177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7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2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34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36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6" fillId="2" borderId="3" xfId="1" applyFont="1" applyFill="1" applyBorder="1" applyAlignment="1">
      <alignment horizontal="center" vertical="top" wrapText="1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2" borderId="0" xfId="1" applyFont="1" applyFill="1" applyAlignment="1">
      <alignment horizontal="center" vertical="center"/>
    </xf>
    <xf numFmtId="176" fontId="14" fillId="2" borderId="0" xfId="1" applyNumberFormat="1" applyFont="1" applyFill="1" applyAlignment="1">
      <alignment horizontal="center" vertical="center"/>
    </xf>
    <xf numFmtId="177" fontId="20" fillId="2" borderId="2" xfId="1" applyNumberFormat="1" applyFont="1" applyFill="1" applyBorder="1" applyAlignment="1">
      <alignment horizontal="center" vertical="center"/>
    </xf>
    <xf numFmtId="177" fontId="20" fillId="2" borderId="4" xfId="1" applyNumberFormat="1" applyFont="1" applyFill="1" applyBorder="1" applyAlignment="1">
      <alignment horizontal="center" vertical="center"/>
    </xf>
    <xf numFmtId="177" fontId="20" fillId="2" borderId="13" xfId="1" applyNumberFormat="1" applyFont="1" applyFill="1" applyBorder="1" applyAlignment="1">
      <alignment horizontal="center" vertical="center"/>
    </xf>
    <xf numFmtId="177" fontId="20" fillId="2" borderId="15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/>
    </xf>
    <xf numFmtId="177" fontId="20" fillId="2" borderId="16" xfId="1" applyNumberFormat="1" applyFont="1" applyFill="1" applyBorder="1" applyAlignment="1">
      <alignment horizontal="center" vertical="center"/>
    </xf>
    <xf numFmtId="176" fontId="20" fillId="2" borderId="2" xfId="1" applyNumberFormat="1" applyFont="1" applyFill="1" applyBorder="1" applyAlignment="1">
      <alignment horizontal="center" vertical="center"/>
    </xf>
    <xf numFmtId="176" fontId="20" fillId="2" borderId="4" xfId="1" applyNumberFormat="1" applyFont="1" applyFill="1" applyBorder="1" applyAlignment="1">
      <alignment horizontal="center" vertical="center"/>
    </xf>
    <xf numFmtId="177" fontId="20" fillId="2" borderId="37" xfId="1" applyNumberFormat="1" applyFont="1" applyFill="1" applyBorder="1" applyAlignment="1">
      <alignment horizontal="center" vertical="center"/>
    </xf>
    <xf numFmtId="177" fontId="20" fillId="2" borderId="61" xfId="1" applyNumberFormat="1" applyFont="1" applyFill="1" applyBorder="1" applyAlignment="1">
      <alignment horizontal="center" vertical="center"/>
    </xf>
    <xf numFmtId="177" fontId="20" fillId="2" borderId="40" xfId="1" applyNumberFormat="1" applyFont="1" applyFill="1" applyBorder="1" applyAlignment="1">
      <alignment horizontal="center" vertical="center"/>
    </xf>
    <xf numFmtId="177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7" fontId="20" fillId="2" borderId="2" xfId="1" applyNumberFormat="1" applyFont="1" applyFill="1" applyBorder="1" applyAlignment="1">
      <alignment horizontal="center" vertical="center" wrapText="1"/>
    </xf>
    <xf numFmtId="177" fontId="20" fillId="2" borderId="4" xfId="1" applyNumberFormat="1" applyFont="1" applyFill="1" applyBorder="1" applyAlignment="1">
      <alignment horizontal="center" vertical="center" wrapText="1"/>
    </xf>
    <xf numFmtId="176" fontId="20" fillId="2" borderId="2" xfId="1" applyNumberFormat="1" applyFont="1" applyFill="1" applyBorder="1" applyAlignment="1">
      <alignment horizontal="center" vertical="center" wrapText="1"/>
    </xf>
    <xf numFmtId="176" fontId="20" fillId="2" borderId="4" xfId="1" applyNumberFormat="1" applyFont="1" applyFill="1" applyBorder="1" applyAlignment="1">
      <alignment horizontal="center" vertical="center" wrapText="1"/>
    </xf>
    <xf numFmtId="177" fontId="20" fillId="2" borderId="13" xfId="1" applyNumberFormat="1" applyFont="1" applyFill="1" applyBorder="1" applyAlignment="1">
      <alignment horizontal="center" vertical="center" wrapText="1"/>
    </xf>
    <xf numFmtId="177" fontId="20" fillId="2" borderId="15" xfId="1" applyNumberFormat="1" applyFont="1" applyFill="1" applyBorder="1" applyAlignment="1">
      <alignment horizontal="center" vertical="center" wrapText="1"/>
    </xf>
    <xf numFmtId="176" fontId="20" fillId="2" borderId="14" xfId="1" applyNumberFormat="1" applyFont="1" applyFill="1" applyBorder="1" applyAlignment="1">
      <alignment horizontal="center" vertical="center"/>
    </xf>
    <xf numFmtId="176" fontId="20" fillId="2" borderId="16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 wrapText="1"/>
    </xf>
    <xf numFmtId="177" fontId="20" fillId="2" borderId="16" xfId="1" applyNumberFormat="1" applyFont="1" applyFill="1" applyBorder="1" applyAlignment="1">
      <alignment horizontal="center" vertical="center" wrapText="1"/>
    </xf>
    <xf numFmtId="177" fontId="20" fillId="2" borderId="13" xfId="4" applyNumberFormat="1" applyFont="1" applyFill="1" applyBorder="1" applyAlignment="1">
      <alignment horizontal="center" vertical="center" wrapText="1"/>
    </xf>
    <xf numFmtId="177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6" fontId="20" fillId="2" borderId="13" xfId="3" applyNumberFormat="1" applyFont="1" applyFill="1" applyBorder="1" applyAlignment="1">
      <alignment horizontal="center" vertical="center"/>
    </xf>
    <xf numFmtId="176" fontId="20" fillId="2" borderId="15" xfId="3" applyNumberFormat="1" applyFont="1" applyFill="1" applyBorder="1" applyAlignment="1">
      <alignment horizontal="center" vertical="center"/>
    </xf>
    <xf numFmtId="176" fontId="20" fillId="2" borderId="14" xfId="3" applyNumberFormat="1" applyFont="1" applyFill="1" applyBorder="1" applyAlignment="1">
      <alignment horizontal="center" vertical="center"/>
    </xf>
    <xf numFmtId="176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7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15</xdr:row>
          <xdr:rowOff>198120</xdr:rowOff>
        </xdr:from>
        <xdr:to>
          <xdr:col>15</xdr:col>
          <xdr:colOff>525780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72289" name="Button 1" hidden="1">
              <a:extLst>
                <a:ext uri="{63B3BB69-23CF-44E3-9099-C40C66FF867C}">
                  <a14:compatExt spid="_x0000_s257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73313" name="Button 1" hidden="1">
              <a:extLst>
                <a:ext uri="{63B3BB69-23CF-44E3-9099-C40C66FF867C}">
                  <a14:compatExt spid="_x0000_s257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75361" name="Button 1" hidden="1">
              <a:extLst>
                <a:ext uri="{63B3BB69-23CF-44E3-9099-C40C66FF867C}">
                  <a14:compatExt spid="_x0000_s257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76385" name="Button 1" hidden="1">
              <a:extLst>
                <a:ext uri="{63B3BB69-23CF-44E3-9099-C40C66FF867C}">
                  <a14:compatExt spid="_x0000_s257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77409" name="Button 1" hidden="1">
              <a:extLst>
                <a:ext uri="{63B3BB69-23CF-44E3-9099-C40C66FF867C}">
                  <a14:compatExt spid="_x0000_s257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78433" name="Button 1" hidden="1">
              <a:extLst>
                <a:ext uri="{63B3BB69-23CF-44E3-9099-C40C66FF867C}">
                  <a14:compatExt spid="_x0000_s257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79457" name="Button 1" hidden="1">
              <a:extLst>
                <a:ext uri="{63B3BB69-23CF-44E3-9099-C40C66FF867C}">
                  <a14:compatExt spid="_x0000_s257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80481" name="Button 1" hidden="1">
              <a:extLst>
                <a:ext uri="{63B3BB69-23CF-44E3-9099-C40C66FF867C}">
                  <a14:compatExt spid="_x0000_s258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82529" name="Button 1" hidden="1">
              <a:extLst>
                <a:ext uri="{63B3BB69-23CF-44E3-9099-C40C66FF867C}">
                  <a14:compatExt spid="_x0000_s258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83553" name="Button 1" hidden="1">
              <a:extLst>
                <a:ext uri="{63B3BB69-23CF-44E3-9099-C40C66FF867C}">
                  <a14:compatExt spid="_x0000_s258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84577" name="Button 1" hidden="1">
              <a:extLst>
                <a:ext uri="{63B3BB69-23CF-44E3-9099-C40C66FF867C}">
                  <a14:compatExt spid="_x0000_s258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85601" name="Button 1" hidden="1">
              <a:extLst>
                <a:ext uri="{63B3BB69-23CF-44E3-9099-C40C66FF867C}">
                  <a14:compatExt spid="_x0000_s258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86625" name="Button 1" hidden="1">
              <a:extLst>
                <a:ext uri="{63B3BB69-23CF-44E3-9099-C40C66FF867C}">
                  <a14:compatExt spid="_x0000_s258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87649" name="Button 1" hidden="1">
              <a:extLst>
                <a:ext uri="{63B3BB69-23CF-44E3-9099-C40C66FF867C}">
                  <a14:compatExt spid="_x0000_s258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90721" name="Button 1" hidden="1">
              <a:extLst>
                <a:ext uri="{63B3BB69-23CF-44E3-9099-C40C66FF867C}">
                  <a14:compatExt spid="_x0000_s259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91745" name="Button 1" hidden="1">
              <a:extLst>
                <a:ext uri="{63B3BB69-23CF-44E3-9099-C40C66FF867C}">
                  <a14:compatExt spid="_x0000_s259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92769" name="Button 1" hidden="1">
              <a:extLst>
                <a:ext uri="{63B3BB69-23CF-44E3-9099-C40C66FF867C}">
                  <a14:compatExt spid="_x0000_s259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93793" name="Button 1" hidden="1">
              <a:extLst>
                <a:ext uri="{63B3BB69-23CF-44E3-9099-C40C66FF867C}">
                  <a14:compatExt spid="_x0000_s259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94817" name="Button 1" hidden="1">
              <a:extLst>
                <a:ext uri="{63B3BB69-23CF-44E3-9099-C40C66FF867C}">
                  <a14:compatExt spid="_x0000_s259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95841" name="Button 1" hidden="1">
              <a:extLst>
                <a:ext uri="{63B3BB69-23CF-44E3-9099-C40C66FF867C}">
                  <a14:compatExt spid="_x0000_s259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97889" name="Button 1" hidden="1">
              <a:extLst>
                <a:ext uri="{63B3BB69-23CF-44E3-9099-C40C66FF867C}">
                  <a14:compatExt spid="_x0000_s259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98913" name="Button 1" hidden="1">
              <a:extLst>
                <a:ext uri="{63B3BB69-23CF-44E3-9099-C40C66FF867C}">
                  <a14:compatExt spid="_x0000_s259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2699" dataDxfId="2698" headerRowCellStyle="一般 2" dataCellStyle="一般 2">
  <autoFilter ref="AG13:BH189"/>
  <tableColumns count="28">
    <tableColumn id="1" uniqueName="1" name="請直接以10進位，謝謝" queryTableFieldId="1" dataDxfId="2697" dataCellStyle="一般 2"/>
    <tableColumn id="2" uniqueName="2" name="F2" queryTableFieldId="2" dataDxfId="2696" dataCellStyle="一般 2"/>
    <tableColumn id="3" uniqueName="3" name="F3" queryTableFieldId="3" dataDxfId="2695" dataCellStyle="一般 2"/>
    <tableColumn id="4" uniqueName="4" name="F4" queryTableFieldId="4" dataDxfId="2694" dataCellStyle="一般 2"/>
    <tableColumn id="5" uniqueName="5" name="F5" queryTableFieldId="5" dataDxfId="2693" dataCellStyle="一般 2"/>
    <tableColumn id="6" uniqueName="6" name="F6" queryTableFieldId="6" dataDxfId="2692" dataCellStyle="一般 2"/>
    <tableColumn id="7" uniqueName="7" name="F7" queryTableFieldId="7" dataDxfId="2691" dataCellStyle="一般 2"/>
    <tableColumn id="8" uniqueName="8" name="F8" queryTableFieldId="8" dataDxfId="2690" dataCellStyle="一般 2"/>
    <tableColumn id="9" uniqueName="9" name="F9" queryTableFieldId="9" dataDxfId="2689" dataCellStyle="一般 2"/>
    <tableColumn id="10" uniqueName="10" name="F10" queryTableFieldId="10" dataDxfId="2688" dataCellStyle="一般 2"/>
    <tableColumn id="11" uniqueName="11" name="F11" queryTableFieldId="11" dataDxfId="2687" dataCellStyle="一般 2"/>
    <tableColumn id="12" uniqueName="12" name="F12" queryTableFieldId="12" dataDxfId="2686" dataCellStyle="一般 2"/>
    <tableColumn id="13" uniqueName="13" name="F13" queryTableFieldId="13" dataDxfId="2685" dataCellStyle="一般 2"/>
    <tableColumn id="14" uniqueName="14" name="F14" queryTableFieldId="14" dataDxfId="2684" dataCellStyle="一般 2"/>
    <tableColumn id="15" uniqueName="15" name="F15" queryTableFieldId="15" dataDxfId="2683" dataCellStyle="一般 2"/>
    <tableColumn id="16" uniqueName="16" name="F16" queryTableFieldId="16" dataDxfId="2682" dataCellStyle="一般 2"/>
    <tableColumn id="17" uniqueName="17" name="F17" queryTableFieldId="17" dataDxfId="2681" dataCellStyle="一般 2"/>
    <tableColumn id="18" uniqueName="18" name="F18" queryTableFieldId="18" dataDxfId="2680" dataCellStyle="一般 2"/>
    <tableColumn id="19" uniqueName="19" name="F19" queryTableFieldId="19" dataDxfId="2679" dataCellStyle="一般 2"/>
    <tableColumn id="20" uniqueName="20" name="F20" queryTableFieldId="20" dataDxfId="2678" dataCellStyle="一般 2"/>
    <tableColumn id="21" uniqueName="21" name="F21" queryTableFieldId="21" dataDxfId="2677" dataCellStyle="一般 2"/>
    <tableColumn id="22" uniqueName="22" name="2024/6/24 14:52" queryTableFieldId="22" dataDxfId="2676" dataCellStyle="一般 2"/>
    <tableColumn id="23" uniqueName="23" name="F23" queryTableFieldId="23" dataDxfId="2675" dataCellStyle="一般 2"/>
    <tableColumn id="24" uniqueName="24" name="F24" queryTableFieldId="24" dataDxfId="2674" dataCellStyle="一般 2"/>
    <tableColumn id="25" uniqueName="25" name="F25" queryTableFieldId="25" dataDxfId="2673" dataCellStyle="一般 2"/>
    <tableColumn id="26" uniqueName="26" name="F26" queryTableFieldId="26" dataDxfId="2672" dataCellStyle="一般 2"/>
    <tableColumn id="27" uniqueName="27" name="F27" queryTableFieldId="27" dataDxfId="2671" dataCellStyle="一般 2"/>
    <tableColumn id="28" uniqueName="28" name="F28" queryTableFieldId="28" dataDxfId="2670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572" dataDxfId="2571" headerRowCellStyle="一般 2" dataCellStyle="一般 2">
  <autoFilter ref="AG13:BH189"/>
  <tableColumns count="28">
    <tableColumn id="1" uniqueName="1" name="請直接以10進位，謝謝" queryTableFieldId="1" dataDxfId="2570" dataCellStyle="一般 2"/>
    <tableColumn id="2" uniqueName="2" name="F2" queryTableFieldId="2" dataDxfId="2569" dataCellStyle="一般 2"/>
    <tableColumn id="3" uniqueName="3" name="F3" queryTableFieldId="3" dataDxfId="2568" dataCellStyle="一般 2"/>
    <tableColumn id="4" uniqueName="4" name="F4" queryTableFieldId="4" dataDxfId="2567" dataCellStyle="一般 2"/>
    <tableColumn id="5" uniqueName="5" name="F5" queryTableFieldId="5" dataDxfId="2566" dataCellStyle="一般 2"/>
    <tableColumn id="6" uniqueName="6" name="F6" queryTableFieldId="6" dataDxfId="2565" dataCellStyle="一般 2"/>
    <tableColumn id="7" uniqueName="7" name="F7" queryTableFieldId="7" dataDxfId="2564" dataCellStyle="一般 2"/>
    <tableColumn id="8" uniqueName="8" name="F8" queryTableFieldId="8" dataDxfId="2563" dataCellStyle="一般 2"/>
    <tableColumn id="9" uniqueName="9" name="F9" queryTableFieldId="9" dataDxfId="2562" dataCellStyle="一般 2"/>
    <tableColumn id="10" uniqueName="10" name="F10" queryTableFieldId="10" dataDxfId="2561" dataCellStyle="一般 2"/>
    <tableColumn id="11" uniqueName="11" name="F11" queryTableFieldId="11" dataDxfId="2560" dataCellStyle="一般 2"/>
    <tableColumn id="12" uniqueName="12" name="F12" queryTableFieldId="12" dataDxfId="2559" dataCellStyle="一般 2"/>
    <tableColumn id="13" uniqueName="13" name="F13" queryTableFieldId="13" dataDxfId="2558" dataCellStyle="一般 2"/>
    <tableColumn id="14" uniqueName="14" name="F14" queryTableFieldId="14" dataDxfId="2557" dataCellStyle="一般 2"/>
    <tableColumn id="15" uniqueName="15" name="F15" queryTableFieldId="15" dataDxfId="2556" dataCellStyle="一般 2"/>
    <tableColumn id="16" uniqueName="16" name="F16" queryTableFieldId="16" dataDxfId="2555" dataCellStyle="一般 2"/>
    <tableColumn id="17" uniqueName="17" name="F17" queryTableFieldId="17" dataDxfId="2554" dataCellStyle="一般 2"/>
    <tableColumn id="18" uniqueName="18" name="F18" queryTableFieldId="18" dataDxfId="2553" dataCellStyle="一般 2"/>
    <tableColumn id="19" uniqueName="19" name="F19" queryTableFieldId="19" dataDxfId="2552" dataCellStyle="一般 2"/>
    <tableColumn id="20" uniqueName="20" name="F20" queryTableFieldId="20" dataDxfId="2551" dataCellStyle="一般 2"/>
    <tableColumn id="21" uniqueName="21" name="F21" queryTableFieldId="21" dataDxfId="2550" dataCellStyle="一般 2"/>
    <tableColumn id="22" uniqueName="22" name="2024/6/24 14:52" queryTableFieldId="22" dataDxfId="2549" dataCellStyle="一般 2"/>
    <tableColumn id="23" uniqueName="23" name="F23" queryTableFieldId="23" dataDxfId="2548" dataCellStyle="一般 2"/>
    <tableColumn id="24" uniqueName="24" name="F24" queryTableFieldId="24" dataDxfId="2547" dataCellStyle="一般 2"/>
    <tableColumn id="25" uniqueName="25" name="F25" queryTableFieldId="25" dataDxfId="2546" dataCellStyle="一般 2"/>
    <tableColumn id="26" uniqueName="26" name="F26" queryTableFieldId="26" dataDxfId="2545" dataCellStyle="一般 2"/>
    <tableColumn id="27" uniqueName="27" name="F27" queryTableFieldId="27" dataDxfId="2544" dataCellStyle="一般 2"/>
    <tableColumn id="28" uniqueName="28" name="F28" queryTableFieldId="28" dataDxfId="2543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2445" dataDxfId="2444" headerRowCellStyle="一般 2" dataCellStyle="一般 2">
  <autoFilter ref="AG13:BH189"/>
  <tableColumns count="28">
    <tableColumn id="1" uniqueName="1" name="請直接以10進位，謝謝" queryTableFieldId="1" dataDxfId="2443" dataCellStyle="一般 2"/>
    <tableColumn id="2" uniqueName="2" name="F2" queryTableFieldId="2" dataDxfId="2442" dataCellStyle="一般 2"/>
    <tableColumn id="3" uniqueName="3" name="F3" queryTableFieldId="3" dataDxfId="2441" dataCellStyle="一般 2"/>
    <tableColumn id="4" uniqueName="4" name="F4" queryTableFieldId="4" dataDxfId="2440" dataCellStyle="一般 2"/>
    <tableColumn id="5" uniqueName="5" name="F5" queryTableFieldId="5" dataDxfId="2439" dataCellStyle="一般 2"/>
    <tableColumn id="6" uniqueName="6" name="F6" queryTableFieldId="6" dataDxfId="2438" dataCellStyle="一般 2"/>
    <tableColumn id="7" uniqueName="7" name="F7" queryTableFieldId="7" dataDxfId="2437" dataCellStyle="一般 2"/>
    <tableColumn id="8" uniqueName="8" name="F8" queryTableFieldId="8" dataDxfId="2436" dataCellStyle="一般 2"/>
    <tableColumn id="9" uniqueName="9" name="F9" queryTableFieldId="9" dataDxfId="2435" dataCellStyle="一般 2"/>
    <tableColumn id="10" uniqueName="10" name="F10" queryTableFieldId="10" dataDxfId="2434" dataCellStyle="一般 2"/>
    <tableColumn id="11" uniqueName="11" name="F11" queryTableFieldId="11" dataDxfId="2433" dataCellStyle="一般 2"/>
    <tableColumn id="12" uniqueName="12" name="F12" queryTableFieldId="12" dataDxfId="2432" dataCellStyle="一般 2"/>
    <tableColumn id="13" uniqueName="13" name="F13" queryTableFieldId="13" dataDxfId="2431" dataCellStyle="一般 2"/>
    <tableColumn id="14" uniqueName="14" name="F14" queryTableFieldId="14" dataDxfId="2430" dataCellStyle="一般 2"/>
    <tableColumn id="15" uniqueName="15" name="F15" queryTableFieldId="15" dataDxfId="2429" dataCellStyle="一般 2"/>
    <tableColumn id="16" uniqueName="16" name="F16" queryTableFieldId="16" dataDxfId="2428" dataCellStyle="一般 2"/>
    <tableColumn id="17" uniqueName="17" name="F17" queryTableFieldId="17" dataDxfId="2427" dataCellStyle="一般 2"/>
    <tableColumn id="18" uniqueName="18" name="F18" queryTableFieldId="18" dataDxfId="2426" dataCellStyle="一般 2"/>
    <tableColumn id="19" uniqueName="19" name="F19" queryTableFieldId="19" dataDxfId="2425" dataCellStyle="一般 2"/>
    <tableColumn id="20" uniqueName="20" name="F20" queryTableFieldId="20" dataDxfId="2424" dataCellStyle="一般 2"/>
    <tableColumn id="21" uniqueName="21" name="F21" queryTableFieldId="21" dataDxfId="2423" dataCellStyle="一般 2"/>
    <tableColumn id="22" uniqueName="22" name="2024/6/24 14:52" queryTableFieldId="22" dataDxfId="2422" dataCellStyle="一般 2"/>
    <tableColumn id="23" uniqueName="23" name="F23" queryTableFieldId="23" dataDxfId="2421" dataCellStyle="一般 2"/>
    <tableColumn id="24" uniqueName="24" name="F24" queryTableFieldId="24" dataDxfId="2420" dataCellStyle="一般 2"/>
    <tableColumn id="25" uniqueName="25" name="F25" queryTableFieldId="25" dataDxfId="2419" dataCellStyle="一般 2"/>
    <tableColumn id="26" uniqueName="26" name="F26" queryTableFieldId="26" dataDxfId="2418" dataCellStyle="一般 2"/>
    <tableColumn id="27" uniqueName="27" name="F27" queryTableFieldId="27" dataDxfId="2417" dataCellStyle="一般 2"/>
    <tableColumn id="28" uniqueName="28" name="F28" queryTableFieldId="28" dataDxfId="2416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2318" dataDxfId="2317" headerRowCellStyle="一般 2" dataCellStyle="一般 2">
  <autoFilter ref="AG13:BH189"/>
  <tableColumns count="28">
    <tableColumn id="1" uniqueName="1" name="請直接以10進位，謝謝" queryTableFieldId="1" dataDxfId="2316" dataCellStyle="一般 2"/>
    <tableColumn id="2" uniqueName="2" name="F2" queryTableFieldId="2" dataDxfId="2315" dataCellStyle="一般 2"/>
    <tableColumn id="3" uniqueName="3" name="F3" queryTableFieldId="3" dataDxfId="2314" dataCellStyle="一般 2"/>
    <tableColumn id="4" uniqueName="4" name="F4" queryTableFieldId="4" dataDxfId="2313" dataCellStyle="一般 2"/>
    <tableColumn id="5" uniqueName="5" name="F5" queryTableFieldId="5" dataDxfId="2312" dataCellStyle="一般 2"/>
    <tableColumn id="6" uniqueName="6" name="F6" queryTableFieldId="6" dataDxfId="2311" dataCellStyle="一般 2"/>
    <tableColumn id="7" uniqueName="7" name="F7" queryTableFieldId="7" dataDxfId="2310" dataCellStyle="一般 2"/>
    <tableColumn id="8" uniqueName="8" name="F8" queryTableFieldId="8" dataDxfId="2309" dataCellStyle="一般 2"/>
    <tableColumn id="9" uniqueName="9" name="F9" queryTableFieldId="9" dataDxfId="2308" dataCellStyle="一般 2"/>
    <tableColumn id="10" uniqueName="10" name="F10" queryTableFieldId="10" dataDxfId="2307" dataCellStyle="一般 2"/>
    <tableColumn id="11" uniqueName="11" name="F11" queryTableFieldId="11" dataDxfId="2306" dataCellStyle="一般 2"/>
    <tableColumn id="12" uniqueName="12" name="F12" queryTableFieldId="12" dataDxfId="2305" dataCellStyle="一般 2"/>
    <tableColumn id="13" uniqueName="13" name="F13" queryTableFieldId="13" dataDxfId="2304" dataCellStyle="一般 2"/>
    <tableColumn id="14" uniqueName="14" name="F14" queryTableFieldId="14" dataDxfId="2303" dataCellStyle="一般 2"/>
    <tableColumn id="15" uniqueName="15" name="F15" queryTableFieldId="15" dataDxfId="2302" dataCellStyle="一般 2"/>
    <tableColumn id="16" uniqueName="16" name="F16" queryTableFieldId="16" dataDxfId="2301" dataCellStyle="一般 2"/>
    <tableColumn id="17" uniqueName="17" name="F17" queryTableFieldId="17" dataDxfId="2300" dataCellStyle="一般 2"/>
    <tableColumn id="18" uniqueName="18" name="F18" queryTableFieldId="18" dataDxfId="2299" dataCellStyle="一般 2"/>
    <tableColumn id="19" uniqueName="19" name="F19" queryTableFieldId="19" dataDxfId="2298" dataCellStyle="一般 2"/>
    <tableColumn id="20" uniqueName="20" name="F20" queryTableFieldId="20" dataDxfId="2297" dataCellStyle="一般 2"/>
    <tableColumn id="21" uniqueName="21" name="F21" queryTableFieldId="21" dataDxfId="2296" dataCellStyle="一般 2"/>
    <tableColumn id="22" uniqueName="22" name="2024/6/24 14:52" queryTableFieldId="22" dataDxfId="2295" dataCellStyle="一般 2"/>
    <tableColumn id="23" uniqueName="23" name="F23" queryTableFieldId="23" dataDxfId="2294" dataCellStyle="一般 2"/>
    <tableColumn id="24" uniqueName="24" name="F24" queryTableFieldId="24" dataDxfId="2293" dataCellStyle="一般 2"/>
    <tableColumn id="25" uniqueName="25" name="F25" queryTableFieldId="25" dataDxfId="2292" dataCellStyle="一般 2"/>
    <tableColumn id="26" uniqueName="26" name="F26" queryTableFieldId="26" dataDxfId="2291" dataCellStyle="一般 2"/>
    <tableColumn id="27" uniqueName="27" name="F27" queryTableFieldId="27" dataDxfId="2290" dataCellStyle="一般 2"/>
    <tableColumn id="28" uniqueName="28" name="F28" queryTableFieldId="28" dataDxfId="2289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ref="AG13:BH189" tableType="queryTable" totalsRowShown="0" headerRowDxfId="2191" dataDxfId="2190" headerRowCellStyle="一般 2" dataCellStyle="一般 2">
  <autoFilter ref="AG13:BH189"/>
  <tableColumns count="28">
    <tableColumn id="1" uniqueName="1" name="請直接以10進位，謝謝" queryTableFieldId="1" dataDxfId="2189" dataCellStyle="一般 2"/>
    <tableColumn id="2" uniqueName="2" name="F2" queryTableFieldId="2" dataDxfId="2188" dataCellStyle="一般 2"/>
    <tableColumn id="3" uniqueName="3" name="F3" queryTableFieldId="3" dataDxfId="2187" dataCellStyle="一般 2"/>
    <tableColumn id="4" uniqueName="4" name="F4" queryTableFieldId="4" dataDxfId="2186" dataCellStyle="一般 2"/>
    <tableColumn id="5" uniqueName="5" name="F5" queryTableFieldId="5" dataDxfId="2185" dataCellStyle="一般 2"/>
    <tableColumn id="6" uniqueName="6" name="F6" queryTableFieldId="6" dataDxfId="2184" dataCellStyle="一般 2"/>
    <tableColumn id="7" uniqueName="7" name="F7" queryTableFieldId="7" dataDxfId="2183" dataCellStyle="一般 2"/>
    <tableColumn id="8" uniqueName="8" name="F8" queryTableFieldId="8" dataDxfId="2182" dataCellStyle="一般 2"/>
    <tableColumn id="9" uniqueName="9" name="F9" queryTableFieldId="9" dataDxfId="2181" dataCellStyle="一般 2"/>
    <tableColumn id="10" uniqueName="10" name="F10" queryTableFieldId="10" dataDxfId="2180" dataCellStyle="一般 2"/>
    <tableColumn id="11" uniqueName="11" name="F11" queryTableFieldId="11" dataDxfId="2179" dataCellStyle="一般 2"/>
    <tableColumn id="12" uniqueName="12" name="F12" queryTableFieldId="12" dataDxfId="2178" dataCellStyle="一般 2"/>
    <tableColumn id="13" uniqueName="13" name="F13" queryTableFieldId="13" dataDxfId="2177" dataCellStyle="一般 2"/>
    <tableColumn id="14" uniqueName="14" name="F14" queryTableFieldId="14" dataDxfId="2176" dataCellStyle="一般 2"/>
    <tableColumn id="15" uniqueName="15" name="F15" queryTableFieldId="15" dataDxfId="2175" dataCellStyle="一般 2"/>
    <tableColumn id="16" uniqueName="16" name="F16" queryTableFieldId="16" dataDxfId="2174" dataCellStyle="一般 2"/>
    <tableColumn id="17" uniqueName="17" name="F17" queryTableFieldId="17" dataDxfId="2173" dataCellStyle="一般 2"/>
    <tableColumn id="18" uniqueName="18" name="F18" queryTableFieldId="18" dataDxfId="2172" dataCellStyle="一般 2"/>
    <tableColumn id="19" uniqueName="19" name="F19" queryTableFieldId="19" dataDxfId="2171" dataCellStyle="一般 2"/>
    <tableColumn id="20" uniqueName="20" name="F20" queryTableFieldId="20" dataDxfId="2170" dataCellStyle="一般 2"/>
    <tableColumn id="21" uniqueName="21" name="F21" queryTableFieldId="21" dataDxfId="2169" dataCellStyle="一般 2"/>
    <tableColumn id="22" uniqueName="22" name="2024/6/24 14:52" queryTableFieldId="22" dataDxfId="2168" dataCellStyle="一般 2"/>
    <tableColumn id="23" uniqueName="23" name="F23" queryTableFieldId="23" dataDxfId="2167" dataCellStyle="一般 2"/>
    <tableColumn id="24" uniqueName="24" name="F24" queryTableFieldId="24" dataDxfId="2166" dataCellStyle="一般 2"/>
    <tableColumn id="25" uniqueName="25" name="F25" queryTableFieldId="25" dataDxfId="2165" dataCellStyle="一般 2"/>
    <tableColumn id="26" uniqueName="26" name="F26" queryTableFieldId="26" dataDxfId="2164" dataCellStyle="一般 2"/>
    <tableColumn id="27" uniqueName="27" name="F27" queryTableFieldId="27" dataDxfId="2163" dataCellStyle="一般 2"/>
    <tableColumn id="28" uniqueName="28" name="F28" queryTableFieldId="28" dataDxfId="2162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ref="AG13:BH189" tableType="queryTable" totalsRowShown="0" headerRowDxfId="2064" dataDxfId="2063" headerRowCellStyle="一般 2" dataCellStyle="一般 2">
  <autoFilter ref="AG13:BH189"/>
  <tableColumns count="28">
    <tableColumn id="1" uniqueName="1" name="請直接以10進位，謝謝" queryTableFieldId="1" dataDxfId="2062" dataCellStyle="一般 2"/>
    <tableColumn id="2" uniqueName="2" name="F2" queryTableFieldId="2" dataDxfId="2061" dataCellStyle="一般 2"/>
    <tableColumn id="3" uniqueName="3" name="F3" queryTableFieldId="3" dataDxfId="2060" dataCellStyle="一般 2"/>
    <tableColumn id="4" uniqueName="4" name="F4" queryTableFieldId="4" dataDxfId="2059" dataCellStyle="一般 2"/>
    <tableColumn id="5" uniqueName="5" name="F5" queryTableFieldId="5" dataDxfId="2058" dataCellStyle="一般 2"/>
    <tableColumn id="6" uniqueName="6" name="F6" queryTableFieldId="6" dataDxfId="2057" dataCellStyle="一般 2"/>
    <tableColumn id="7" uniqueName="7" name="F7" queryTableFieldId="7" dataDxfId="2056" dataCellStyle="一般 2"/>
    <tableColumn id="8" uniqueName="8" name="F8" queryTableFieldId="8" dataDxfId="2055" dataCellStyle="一般 2"/>
    <tableColumn id="9" uniqueName="9" name="F9" queryTableFieldId="9" dataDxfId="2054" dataCellStyle="一般 2"/>
    <tableColumn id="10" uniqueName="10" name="F10" queryTableFieldId="10" dataDxfId="2053" dataCellStyle="一般 2"/>
    <tableColumn id="11" uniqueName="11" name="F11" queryTableFieldId="11" dataDxfId="2052" dataCellStyle="一般 2"/>
    <tableColumn id="12" uniqueName="12" name="F12" queryTableFieldId="12" dataDxfId="2051" dataCellStyle="一般 2"/>
    <tableColumn id="13" uniqueName="13" name="F13" queryTableFieldId="13" dataDxfId="2050" dataCellStyle="一般 2"/>
    <tableColumn id="14" uniqueName="14" name="F14" queryTableFieldId="14" dataDxfId="2049" dataCellStyle="一般 2"/>
    <tableColumn id="15" uniqueName="15" name="F15" queryTableFieldId="15" dataDxfId="2048" dataCellStyle="一般 2"/>
    <tableColumn id="16" uniqueName="16" name="F16" queryTableFieldId="16" dataDxfId="2047" dataCellStyle="一般 2"/>
    <tableColumn id="17" uniqueName="17" name="F17" queryTableFieldId="17" dataDxfId="2046" dataCellStyle="一般 2"/>
    <tableColumn id="18" uniqueName="18" name="F18" queryTableFieldId="18" dataDxfId="2045" dataCellStyle="一般 2"/>
    <tableColumn id="19" uniqueName="19" name="F19" queryTableFieldId="19" dataDxfId="2044" dataCellStyle="一般 2"/>
    <tableColumn id="20" uniqueName="20" name="F20" queryTableFieldId="20" dataDxfId="2043" dataCellStyle="一般 2"/>
    <tableColumn id="21" uniqueName="21" name="F21" queryTableFieldId="21" dataDxfId="2042" dataCellStyle="一般 2"/>
    <tableColumn id="22" uniqueName="22" name="2024/6/24 14:52" queryTableFieldId="22" dataDxfId="2041" dataCellStyle="一般 2"/>
    <tableColumn id="23" uniqueName="23" name="F23" queryTableFieldId="23" dataDxfId="2040" dataCellStyle="一般 2"/>
    <tableColumn id="24" uniqueName="24" name="F24" queryTableFieldId="24" dataDxfId="2039" dataCellStyle="一般 2"/>
    <tableColumn id="25" uniqueName="25" name="F25" queryTableFieldId="25" dataDxfId="2038" dataCellStyle="一般 2"/>
    <tableColumn id="26" uniqueName="26" name="F26" queryTableFieldId="26" dataDxfId="2037" dataCellStyle="一般 2"/>
    <tableColumn id="27" uniqueName="27" name="F27" queryTableFieldId="27" dataDxfId="2036" dataCellStyle="一般 2"/>
    <tableColumn id="28" uniqueName="28" name="F28" queryTableFieldId="28" dataDxfId="2035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ref="AG13:BH189" tableType="queryTable" totalsRowShown="0" headerRowDxfId="1937" dataDxfId="1936" headerRowCellStyle="一般 2" dataCellStyle="一般 2">
  <autoFilter ref="AG13:BH189"/>
  <tableColumns count="28">
    <tableColumn id="1" uniqueName="1" name="請直接以10進位，謝謝" queryTableFieldId="1" dataDxfId="1935" dataCellStyle="一般 2"/>
    <tableColumn id="2" uniqueName="2" name="F2" queryTableFieldId="2" dataDxfId="1934" dataCellStyle="一般 2"/>
    <tableColumn id="3" uniqueName="3" name="F3" queryTableFieldId="3" dataDxfId="1933" dataCellStyle="一般 2"/>
    <tableColumn id="4" uniqueName="4" name="F4" queryTableFieldId="4" dataDxfId="1932" dataCellStyle="一般 2"/>
    <tableColumn id="5" uniqueName="5" name="F5" queryTableFieldId="5" dataDxfId="1931" dataCellStyle="一般 2"/>
    <tableColumn id="6" uniqueName="6" name="F6" queryTableFieldId="6" dataDxfId="1930" dataCellStyle="一般 2"/>
    <tableColumn id="7" uniqueName="7" name="F7" queryTableFieldId="7" dataDxfId="1929" dataCellStyle="一般 2"/>
    <tableColumn id="8" uniqueName="8" name="F8" queryTableFieldId="8" dataDxfId="1928" dataCellStyle="一般 2"/>
    <tableColumn id="9" uniqueName="9" name="F9" queryTableFieldId="9" dataDxfId="1927" dataCellStyle="一般 2"/>
    <tableColumn id="10" uniqueName="10" name="F10" queryTableFieldId="10" dataDxfId="1926" dataCellStyle="一般 2"/>
    <tableColumn id="11" uniqueName="11" name="F11" queryTableFieldId="11" dataDxfId="1925" dataCellStyle="一般 2"/>
    <tableColumn id="12" uniqueName="12" name="F12" queryTableFieldId="12" dataDxfId="1924" dataCellStyle="一般 2"/>
    <tableColumn id="13" uniqueName="13" name="F13" queryTableFieldId="13" dataDxfId="1923" dataCellStyle="一般 2"/>
    <tableColumn id="14" uniqueName="14" name="F14" queryTableFieldId="14" dataDxfId="1922" dataCellStyle="一般 2"/>
    <tableColumn id="15" uniqueName="15" name="F15" queryTableFieldId="15" dataDxfId="1921" dataCellStyle="一般 2"/>
    <tableColumn id="16" uniqueName="16" name="F16" queryTableFieldId="16" dataDxfId="1920" dataCellStyle="一般 2"/>
    <tableColumn id="17" uniqueName="17" name="F17" queryTableFieldId="17" dataDxfId="1919" dataCellStyle="一般 2"/>
    <tableColumn id="18" uniqueName="18" name="F18" queryTableFieldId="18" dataDxfId="1918" dataCellStyle="一般 2"/>
    <tableColumn id="19" uniqueName="19" name="F19" queryTableFieldId="19" dataDxfId="1917" dataCellStyle="一般 2"/>
    <tableColumn id="20" uniqueName="20" name="F20" queryTableFieldId="20" dataDxfId="1916" dataCellStyle="一般 2"/>
    <tableColumn id="21" uniqueName="21" name="F21" queryTableFieldId="21" dataDxfId="1915" dataCellStyle="一般 2"/>
    <tableColumn id="22" uniqueName="22" name="2024/6/24 14:52" queryTableFieldId="22" dataDxfId="1914" dataCellStyle="一般 2"/>
    <tableColumn id="23" uniqueName="23" name="F23" queryTableFieldId="23" dataDxfId="1913" dataCellStyle="一般 2"/>
    <tableColumn id="24" uniqueName="24" name="F24" queryTableFieldId="24" dataDxfId="1912" dataCellStyle="一般 2"/>
    <tableColumn id="25" uniqueName="25" name="F25" queryTableFieldId="25" dataDxfId="1911" dataCellStyle="一般 2"/>
    <tableColumn id="26" uniqueName="26" name="F26" queryTableFieldId="26" dataDxfId="1910" dataCellStyle="一般 2"/>
    <tableColumn id="27" uniqueName="27" name="F27" queryTableFieldId="27" dataDxfId="1909" dataCellStyle="一般 2"/>
    <tableColumn id="28" uniqueName="28" name="F28" queryTableFieldId="28" dataDxfId="1908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ref="AG13:BH189" tableType="queryTable" totalsRowShown="0" headerRowDxfId="1810" dataDxfId="1809" headerRowCellStyle="一般 2" dataCellStyle="一般 2">
  <autoFilter ref="AG13:BH189"/>
  <tableColumns count="28">
    <tableColumn id="1" uniqueName="1" name="請直接以10進位，謝謝" queryTableFieldId="1" dataDxfId="1808" dataCellStyle="一般 2"/>
    <tableColumn id="2" uniqueName="2" name="F2" queryTableFieldId="2" dataDxfId="1807" dataCellStyle="一般 2"/>
    <tableColumn id="3" uniqueName="3" name="F3" queryTableFieldId="3" dataDxfId="1806" dataCellStyle="一般 2"/>
    <tableColumn id="4" uniqueName="4" name="F4" queryTableFieldId="4" dataDxfId="1805" dataCellStyle="一般 2"/>
    <tableColumn id="5" uniqueName="5" name="F5" queryTableFieldId="5" dataDxfId="1804" dataCellStyle="一般 2"/>
    <tableColumn id="6" uniqueName="6" name="F6" queryTableFieldId="6" dataDxfId="1803" dataCellStyle="一般 2"/>
    <tableColumn id="7" uniqueName="7" name="F7" queryTableFieldId="7" dataDxfId="1802" dataCellStyle="一般 2"/>
    <tableColumn id="8" uniqueName="8" name="F8" queryTableFieldId="8" dataDxfId="1801" dataCellStyle="一般 2"/>
    <tableColumn id="9" uniqueName="9" name="F9" queryTableFieldId="9" dataDxfId="1800" dataCellStyle="一般 2"/>
    <tableColumn id="10" uniqueName="10" name="F10" queryTableFieldId="10" dataDxfId="1799" dataCellStyle="一般 2"/>
    <tableColumn id="11" uniqueName="11" name="F11" queryTableFieldId="11" dataDxfId="1798" dataCellStyle="一般 2"/>
    <tableColumn id="12" uniqueName="12" name="F12" queryTableFieldId="12" dataDxfId="1797" dataCellStyle="一般 2"/>
    <tableColumn id="13" uniqueName="13" name="F13" queryTableFieldId="13" dataDxfId="1796" dataCellStyle="一般 2"/>
    <tableColumn id="14" uniqueName="14" name="F14" queryTableFieldId="14" dataDxfId="1795" dataCellStyle="一般 2"/>
    <tableColumn id="15" uniqueName="15" name="F15" queryTableFieldId="15" dataDxfId="1794" dataCellStyle="一般 2"/>
    <tableColumn id="16" uniqueName="16" name="F16" queryTableFieldId="16" dataDxfId="1793" dataCellStyle="一般 2"/>
    <tableColumn id="17" uniqueName="17" name="F17" queryTableFieldId="17" dataDxfId="1792" dataCellStyle="一般 2"/>
    <tableColumn id="18" uniqueName="18" name="F18" queryTableFieldId="18" dataDxfId="1791" dataCellStyle="一般 2"/>
    <tableColumn id="19" uniqueName="19" name="F19" queryTableFieldId="19" dataDxfId="1790" dataCellStyle="一般 2"/>
    <tableColumn id="20" uniqueName="20" name="F20" queryTableFieldId="20" dataDxfId="1789" dataCellStyle="一般 2"/>
    <tableColumn id="21" uniqueName="21" name="F21" queryTableFieldId="21" dataDxfId="1788" dataCellStyle="一般 2"/>
    <tableColumn id="22" uniqueName="22" name="2024/6/24 14:52" queryTableFieldId="22" dataDxfId="1787" dataCellStyle="一般 2"/>
    <tableColumn id="23" uniqueName="23" name="F23" queryTableFieldId="23" dataDxfId="1786" dataCellStyle="一般 2"/>
    <tableColumn id="24" uniqueName="24" name="F24" queryTableFieldId="24" dataDxfId="1785" dataCellStyle="一般 2"/>
    <tableColumn id="25" uniqueName="25" name="F25" queryTableFieldId="25" dataDxfId="1784" dataCellStyle="一般 2"/>
    <tableColumn id="26" uniqueName="26" name="F26" queryTableFieldId="26" dataDxfId="1783" dataCellStyle="一般 2"/>
    <tableColumn id="27" uniqueName="27" name="F27" queryTableFieldId="27" dataDxfId="1782" dataCellStyle="一般 2"/>
    <tableColumn id="28" uniqueName="28" name="F28" queryTableFieldId="28" dataDxfId="1781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683" dataDxfId="1682" headerRowCellStyle="一般 2" dataCellStyle="一般 2">
  <autoFilter ref="AG13:BH189"/>
  <tableColumns count="28">
    <tableColumn id="1" uniqueName="1" name="請直接以10進位，謝謝" queryTableFieldId="1" dataDxfId="1681" dataCellStyle="一般 2"/>
    <tableColumn id="2" uniqueName="2" name="F2" queryTableFieldId="2" dataDxfId="1680" dataCellStyle="一般 2"/>
    <tableColumn id="3" uniqueName="3" name="F3" queryTableFieldId="3" dataDxfId="1679" dataCellStyle="一般 2"/>
    <tableColumn id="4" uniqueName="4" name="F4" queryTableFieldId="4" dataDxfId="1678" dataCellStyle="一般 2"/>
    <tableColumn id="5" uniqueName="5" name="F5" queryTableFieldId="5" dataDxfId="1677" dataCellStyle="一般 2"/>
    <tableColumn id="6" uniqueName="6" name="F6" queryTableFieldId="6" dataDxfId="1676" dataCellStyle="一般 2"/>
    <tableColumn id="7" uniqueName="7" name="F7" queryTableFieldId="7" dataDxfId="1675" dataCellStyle="一般 2"/>
    <tableColumn id="8" uniqueName="8" name="F8" queryTableFieldId="8" dataDxfId="1674" dataCellStyle="一般 2"/>
    <tableColumn id="9" uniqueName="9" name="F9" queryTableFieldId="9" dataDxfId="1673" dataCellStyle="一般 2"/>
    <tableColumn id="10" uniqueName="10" name="F10" queryTableFieldId="10" dataDxfId="1672" dataCellStyle="一般 2"/>
    <tableColumn id="11" uniqueName="11" name="F11" queryTableFieldId="11" dataDxfId="1671" dataCellStyle="一般 2"/>
    <tableColumn id="12" uniqueName="12" name="F12" queryTableFieldId="12" dataDxfId="1670" dataCellStyle="一般 2"/>
    <tableColumn id="13" uniqueName="13" name="F13" queryTableFieldId="13" dataDxfId="1669" dataCellStyle="一般 2"/>
    <tableColumn id="14" uniqueName="14" name="F14" queryTableFieldId="14" dataDxfId="1668" dataCellStyle="一般 2"/>
    <tableColumn id="15" uniqueName="15" name="F15" queryTableFieldId="15" dataDxfId="1667" dataCellStyle="一般 2"/>
    <tableColumn id="16" uniqueName="16" name="F16" queryTableFieldId="16" dataDxfId="1666" dataCellStyle="一般 2"/>
    <tableColumn id="17" uniqueName="17" name="F17" queryTableFieldId="17" dataDxfId="1665" dataCellStyle="一般 2"/>
    <tableColumn id="18" uniqueName="18" name="F18" queryTableFieldId="18" dataDxfId="1664" dataCellStyle="一般 2"/>
    <tableColumn id="19" uniqueName="19" name="F19" queryTableFieldId="19" dataDxfId="1663" dataCellStyle="一般 2"/>
    <tableColumn id="20" uniqueName="20" name="F20" queryTableFieldId="20" dataDxfId="1662" dataCellStyle="一般 2"/>
    <tableColumn id="21" uniqueName="21" name="F21" queryTableFieldId="21" dataDxfId="1661" dataCellStyle="一般 2"/>
    <tableColumn id="22" uniqueName="22" name="2024/6/24 14:52" queryTableFieldId="22" dataDxfId="1660" dataCellStyle="一般 2"/>
    <tableColumn id="23" uniqueName="23" name="F23" queryTableFieldId="23" dataDxfId="1659" dataCellStyle="一般 2"/>
    <tableColumn id="24" uniqueName="24" name="F24" queryTableFieldId="24" dataDxfId="1658" dataCellStyle="一般 2"/>
    <tableColumn id="25" uniqueName="25" name="F25" queryTableFieldId="25" dataDxfId="1657" dataCellStyle="一般 2"/>
    <tableColumn id="26" uniqueName="26" name="F26" queryTableFieldId="26" dataDxfId="1656" dataCellStyle="一般 2"/>
    <tableColumn id="27" uniqueName="27" name="F27" queryTableFieldId="27" dataDxfId="1655" dataCellStyle="一般 2"/>
    <tableColumn id="28" uniqueName="28" name="F28" queryTableFieldId="28" dataDxfId="1654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556" dataDxfId="1555" headerRowCellStyle="一般 2" dataCellStyle="一般 2">
  <autoFilter ref="AG13:BH189"/>
  <tableColumns count="28">
    <tableColumn id="1" uniqueName="1" name="請直接以10進位，謝謝" queryTableFieldId="1" dataDxfId="1554" dataCellStyle="一般 2"/>
    <tableColumn id="2" uniqueName="2" name="F2" queryTableFieldId="2" dataDxfId="1553" dataCellStyle="一般 2"/>
    <tableColumn id="3" uniqueName="3" name="F3" queryTableFieldId="3" dataDxfId="1552" dataCellStyle="一般 2"/>
    <tableColumn id="4" uniqueName="4" name="F4" queryTableFieldId="4" dataDxfId="1551" dataCellStyle="一般 2"/>
    <tableColumn id="5" uniqueName="5" name="F5" queryTableFieldId="5" dataDxfId="1550" dataCellStyle="一般 2"/>
    <tableColumn id="6" uniqueName="6" name="F6" queryTableFieldId="6" dataDxfId="1549" dataCellStyle="一般 2"/>
    <tableColumn id="7" uniqueName="7" name="F7" queryTableFieldId="7" dataDxfId="1548" dataCellStyle="一般 2"/>
    <tableColumn id="8" uniqueName="8" name="F8" queryTableFieldId="8" dataDxfId="1547" dataCellStyle="一般 2"/>
    <tableColumn id="9" uniqueName="9" name="F9" queryTableFieldId="9" dataDxfId="1546" dataCellStyle="一般 2"/>
    <tableColumn id="10" uniqueName="10" name="F10" queryTableFieldId="10" dataDxfId="1545" dataCellStyle="一般 2"/>
    <tableColumn id="11" uniqueName="11" name="F11" queryTableFieldId="11" dataDxfId="1544" dataCellStyle="一般 2"/>
    <tableColumn id="12" uniqueName="12" name="F12" queryTableFieldId="12" dataDxfId="1543" dataCellStyle="一般 2"/>
    <tableColumn id="13" uniqueName="13" name="F13" queryTableFieldId="13" dataDxfId="1542" dataCellStyle="一般 2"/>
    <tableColumn id="14" uniqueName="14" name="F14" queryTableFieldId="14" dataDxfId="1541" dataCellStyle="一般 2"/>
    <tableColumn id="15" uniqueName="15" name="F15" queryTableFieldId="15" dataDxfId="1540" dataCellStyle="一般 2"/>
    <tableColumn id="16" uniqueName="16" name="F16" queryTableFieldId="16" dataDxfId="1539" dataCellStyle="一般 2"/>
    <tableColumn id="17" uniqueName="17" name="F17" queryTableFieldId="17" dataDxfId="1538" dataCellStyle="一般 2"/>
    <tableColumn id="18" uniqueName="18" name="F18" queryTableFieldId="18" dataDxfId="1537" dataCellStyle="一般 2"/>
    <tableColumn id="19" uniqueName="19" name="F19" queryTableFieldId="19" dataDxfId="1536" dataCellStyle="一般 2"/>
    <tableColumn id="20" uniqueName="20" name="F20" queryTableFieldId="20" dataDxfId="1535" dataCellStyle="一般 2"/>
    <tableColumn id="21" uniqueName="21" name="F21" queryTableFieldId="21" dataDxfId="1534" dataCellStyle="一般 2"/>
    <tableColumn id="22" uniqueName="22" name="2024/6/24 14:52" queryTableFieldId="22" dataDxfId="1533" dataCellStyle="一般 2"/>
    <tableColumn id="23" uniqueName="23" name="F23" queryTableFieldId="23" dataDxfId="1532" dataCellStyle="一般 2"/>
    <tableColumn id="24" uniqueName="24" name="F24" queryTableFieldId="24" dataDxfId="1531" dataCellStyle="一般 2"/>
    <tableColumn id="25" uniqueName="25" name="F25" queryTableFieldId="25" dataDxfId="1530" dataCellStyle="一般 2"/>
    <tableColumn id="26" uniqueName="26" name="F26" queryTableFieldId="26" dataDxfId="1529" dataCellStyle="一般 2"/>
    <tableColumn id="27" uniqueName="27" name="F27" queryTableFieldId="27" dataDxfId="1528" dataCellStyle="一般 2"/>
    <tableColumn id="28" uniqueName="28" name="F28" queryTableFieldId="28" dataDxfId="1527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429" dataDxfId="1428" headerRowCellStyle="一般 2" dataCellStyle="一般 2">
  <autoFilter ref="AG13:BH189"/>
  <tableColumns count="28">
    <tableColumn id="1" uniqueName="1" name="請直接以10進位，謝謝" queryTableFieldId="1" dataDxfId="1427" dataCellStyle="一般 2"/>
    <tableColumn id="2" uniqueName="2" name="F2" queryTableFieldId="2" dataDxfId="1426" dataCellStyle="一般 2"/>
    <tableColumn id="3" uniqueName="3" name="F3" queryTableFieldId="3" dataDxfId="1425" dataCellStyle="一般 2"/>
    <tableColumn id="4" uniqueName="4" name="F4" queryTableFieldId="4" dataDxfId="1424" dataCellStyle="一般 2"/>
    <tableColumn id="5" uniqueName="5" name="F5" queryTableFieldId="5" dataDxfId="1423" dataCellStyle="一般 2"/>
    <tableColumn id="6" uniqueName="6" name="F6" queryTableFieldId="6" dataDxfId="1422" dataCellStyle="一般 2"/>
    <tableColumn id="7" uniqueName="7" name="F7" queryTableFieldId="7" dataDxfId="1421" dataCellStyle="一般 2"/>
    <tableColumn id="8" uniqueName="8" name="F8" queryTableFieldId="8" dataDxfId="1420" dataCellStyle="一般 2"/>
    <tableColumn id="9" uniqueName="9" name="F9" queryTableFieldId="9" dataDxfId="1419" dataCellStyle="一般 2"/>
    <tableColumn id="10" uniqueName="10" name="F10" queryTableFieldId="10" dataDxfId="1418" dataCellStyle="一般 2"/>
    <tableColumn id="11" uniqueName="11" name="F11" queryTableFieldId="11" dataDxfId="1417" dataCellStyle="一般 2"/>
    <tableColumn id="12" uniqueName="12" name="F12" queryTableFieldId="12" dataDxfId="1416" dataCellStyle="一般 2"/>
    <tableColumn id="13" uniqueName="13" name="F13" queryTableFieldId="13" dataDxfId="1415" dataCellStyle="一般 2"/>
    <tableColumn id="14" uniqueName="14" name="F14" queryTableFieldId="14" dataDxfId="1414" dataCellStyle="一般 2"/>
    <tableColumn id="15" uniqueName="15" name="F15" queryTableFieldId="15" dataDxfId="1413" dataCellStyle="一般 2"/>
    <tableColumn id="16" uniqueName="16" name="F16" queryTableFieldId="16" dataDxfId="1412" dataCellStyle="一般 2"/>
    <tableColumn id="17" uniqueName="17" name="F17" queryTableFieldId="17" dataDxfId="1411" dataCellStyle="一般 2"/>
    <tableColumn id="18" uniqueName="18" name="F18" queryTableFieldId="18" dataDxfId="1410" dataCellStyle="一般 2"/>
    <tableColumn id="19" uniqueName="19" name="F19" queryTableFieldId="19" dataDxfId="1409" dataCellStyle="一般 2"/>
    <tableColumn id="20" uniqueName="20" name="F20" queryTableFieldId="20" dataDxfId="1408" dataCellStyle="一般 2"/>
    <tableColumn id="21" uniqueName="21" name="F21" queryTableFieldId="21" dataDxfId="1407" dataCellStyle="一般 2"/>
    <tableColumn id="22" uniqueName="22" name="2024/6/24 14:52" queryTableFieldId="22" dataDxfId="1406" dataCellStyle="一般 2"/>
    <tableColumn id="23" uniqueName="23" name="F23" queryTableFieldId="23" dataDxfId="1405" dataCellStyle="一般 2"/>
    <tableColumn id="24" uniqueName="24" name="F24" queryTableFieldId="24" dataDxfId="1404" dataCellStyle="一般 2"/>
    <tableColumn id="25" uniqueName="25" name="F25" queryTableFieldId="25" dataDxfId="1403" dataCellStyle="一般 2"/>
    <tableColumn id="26" uniqueName="26" name="F26" queryTableFieldId="26" dataDxfId="1402" dataCellStyle="一般 2"/>
    <tableColumn id="27" uniqueName="27" name="F27" queryTableFieldId="27" dataDxfId="1401" dataCellStyle="一般 2"/>
    <tableColumn id="28" uniqueName="28" name="F28" queryTableFieldId="28" dataDxfId="140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302" dataDxfId="1301" headerRowCellStyle="一般 2" dataCellStyle="一般 2">
  <autoFilter ref="AG13:BH189"/>
  <tableColumns count="28">
    <tableColumn id="1" uniqueName="1" name="請直接以10進位，謝謝" queryTableFieldId="1" dataDxfId="1300" dataCellStyle="一般 2"/>
    <tableColumn id="2" uniqueName="2" name="F2" queryTableFieldId="2" dataDxfId="1299" dataCellStyle="一般 2"/>
    <tableColumn id="3" uniqueName="3" name="F3" queryTableFieldId="3" dataDxfId="1298" dataCellStyle="一般 2"/>
    <tableColumn id="4" uniqueName="4" name="F4" queryTableFieldId="4" dataDxfId="1297" dataCellStyle="一般 2"/>
    <tableColumn id="5" uniqueName="5" name="F5" queryTableFieldId="5" dataDxfId="1296" dataCellStyle="一般 2"/>
    <tableColumn id="6" uniqueName="6" name="F6" queryTableFieldId="6" dataDxfId="1295" dataCellStyle="一般 2"/>
    <tableColumn id="7" uniqueName="7" name="F7" queryTableFieldId="7" dataDxfId="1294" dataCellStyle="一般 2"/>
    <tableColumn id="8" uniqueName="8" name="F8" queryTableFieldId="8" dataDxfId="1293" dataCellStyle="一般 2"/>
    <tableColumn id="9" uniqueName="9" name="F9" queryTableFieldId="9" dataDxfId="1292" dataCellStyle="一般 2"/>
    <tableColumn id="10" uniqueName="10" name="F10" queryTableFieldId="10" dataDxfId="1291" dataCellStyle="一般 2"/>
    <tableColumn id="11" uniqueName="11" name="F11" queryTableFieldId="11" dataDxfId="1290" dataCellStyle="一般 2"/>
    <tableColumn id="12" uniqueName="12" name="F12" queryTableFieldId="12" dataDxfId="1289" dataCellStyle="一般 2"/>
    <tableColumn id="13" uniqueName="13" name="F13" queryTableFieldId="13" dataDxfId="1288" dataCellStyle="一般 2"/>
    <tableColumn id="14" uniqueName="14" name="F14" queryTableFieldId="14" dataDxfId="1287" dataCellStyle="一般 2"/>
    <tableColumn id="15" uniqueName="15" name="F15" queryTableFieldId="15" dataDxfId="1286" dataCellStyle="一般 2"/>
    <tableColumn id="16" uniqueName="16" name="F16" queryTableFieldId="16" dataDxfId="1285" dataCellStyle="一般 2"/>
    <tableColumn id="17" uniqueName="17" name="F17" queryTableFieldId="17" dataDxfId="1284" dataCellStyle="一般 2"/>
    <tableColumn id="18" uniqueName="18" name="F18" queryTableFieldId="18" dataDxfId="1283" dataCellStyle="一般 2"/>
    <tableColumn id="19" uniqueName="19" name="F19" queryTableFieldId="19" dataDxfId="1282" dataCellStyle="一般 2"/>
    <tableColumn id="20" uniqueName="20" name="F20" queryTableFieldId="20" dataDxfId="1281" dataCellStyle="一般 2"/>
    <tableColumn id="21" uniqueName="21" name="F21" queryTableFieldId="21" dataDxfId="1280" dataCellStyle="一般 2"/>
    <tableColumn id="22" uniqueName="22" name="2024/6/24 14:52" queryTableFieldId="22" dataDxfId="1279" dataCellStyle="一般 2"/>
    <tableColumn id="23" uniqueName="23" name="F23" queryTableFieldId="23" dataDxfId="1278" dataCellStyle="一般 2"/>
    <tableColumn id="24" uniqueName="24" name="F24" queryTableFieldId="24" dataDxfId="1277" dataCellStyle="一般 2"/>
    <tableColumn id="25" uniqueName="25" name="F25" queryTableFieldId="25" dataDxfId="1276" dataCellStyle="一般 2"/>
    <tableColumn id="26" uniqueName="26" name="F26" queryTableFieldId="26" dataDxfId="1275" dataCellStyle="一般 2"/>
    <tableColumn id="27" uniqueName="27" name="F27" queryTableFieldId="27" dataDxfId="1274" dataCellStyle="一般 2"/>
    <tableColumn id="28" uniqueName="28" name="F28" queryTableFieldId="28" dataDxfId="1273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175" dataDxfId="1174" headerRowCellStyle="一般 2" dataCellStyle="一般 2">
  <autoFilter ref="AG13:BH189"/>
  <tableColumns count="28">
    <tableColumn id="1" uniqueName="1" name="請直接以10進位，謝謝" queryTableFieldId="1" dataDxfId="1173" dataCellStyle="一般 2"/>
    <tableColumn id="2" uniqueName="2" name="F2" queryTableFieldId="2" dataDxfId="1172" dataCellStyle="一般 2"/>
    <tableColumn id="3" uniqueName="3" name="F3" queryTableFieldId="3" dataDxfId="1171" dataCellStyle="一般 2"/>
    <tableColumn id="4" uniqueName="4" name="F4" queryTableFieldId="4" dataDxfId="1170" dataCellStyle="一般 2"/>
    <tableColumn id="5" uniqueName="5" name="F5" queryTableFieldId="5" dataDxfId="1169" dataCellStyle="一般 2"/>
    <tableColumn id="6" uniqueName="6" name="F6" queryTableFieldId="6" dataDxfId="1168" dataCellStyle="一般 2"/>
    <tableColumn id="7" uniqueName="7" name="F7" queryTableFieldId="7" dataDxfId="1167" dataCellStyle="一般 2"/>
    <tableColumn id="8" uniqueName="8" name="F8" queryTableFieldId="8" dataDxfId="1166" dataCellStyle="一般 2"/>
    <tableColumn id="9" uniqueName="9" name="F9" queryTableFieldId="9" dataDxfId="1165" dataCellStyle="一般 2"/>
    <tableColumn id="10" uniqueName="10" name="F10" queryTableFieldId="10" dataDxfId="1164" dataCellStyle="一般 2"/>
    <tableColumn id="11" uniqueName="11" name="F11" queryTableFieldId="11" dataDxfId="1163" dataCellStyle="一般 2"/>
    <tableColumn id="12" uniqueName="12" name="F12" queryTableFieldId="12" dataDxfId="1162" dataCellStyle="一般 2"/>
    <tableColumn id="13" uniqueName="13" name="F13" queryTableFieldId="13" dataDxfId="1161" dataCellStyle="一般 2"/>
    <tableColumn id="14" uniqueName="14" name="F14" queryTableFieldId="14" dataDxfId="1160" dataCellStyle="一般 2"/>
    <tableColumn id="15" uniqueName="15" name="F15" queryTableFieldId="15" dataDxfId="1159" dataCellStyle="一般 2"/>
    <tableColumn id="16" uniqueName="16" name="F16" queryTableFieldId="16" dataDxfId="1158" dataCellStyle="一般 2"/>
    <tableColumn id="17" uniqueName="17" name="F17" queryTableFieldId="17" dataDxfId="1157" dataCellStyle="一般 2"/>
    <tableColumn id="18" uniqueName="18" name="F18" queryTableFieldId="18" dataDxfId="1156" dataCellStyle="一般 2"/>
    <tableColumn id="19" uniqueName="19" name="F19" queryTableFieldId="19" dataDxfId="1155" dataCellStyle="一般 2"/>
    <tableColumn id="20" uniqueName="20" name="F20" queryTableFieldId="20" dataDxfId="1154" dataCellStyle="一般 2"/>
    <tableColumn id="21" uniqueName="21" name="F21" queryTableFieldId="21" dataDxfId="1153" dataCellStyle="一般 2"/>
    <tableColumn id="22" uniqueName="22" name="2024/6/24 14:52" queryTableFieldId="22" dataDxfId="1152" dataCellStyle="一般 2"/>
    <tableColumn id="23" uniqueName="23" name="F23" queryTableFieldId="23" dataDxfId="1151" dataCellStyle="一般 2"/>
    <tableColumn id="24" uniqueName="24" name="F24" queryTableFieldId="24" dataDxfId="1150" dataCellStyle="一般 2"/>
    <tableColumn id="25" uniqueName="25" name="F25" queryTableFieldId="25" dataDxfId="1149" dataCellStyle="一般 2"/>
    <tableColumn id="26" uniqueName="26" name="F26" queryTableFieldId="26" dataDxfId="1148" dataCellStyle="一般 2"/>
    <tableColumn id="27" uniqueName="27" name="F27" queryTableFieldId="27" dataDxfId="1147" dataCellStyle="一般 2"/>
    <tableColumn id="28" uniqueName="28" name="F28" queryTableFieldId="28" dataDxfId="1146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048" dataDxfId="1047" headerRowCellStyle="一般 2" dataCellStyle="一般 2">
  <autoFilter ref="AG13:BH189"/>
  <tableColumns count="28">
    <tableColumn id="1" uniqueName="1" name="請直接以10進位，謝謝" queryTableFieldId="1" dataDxfId="1046" dataCellStyle="一般 2"/>
    <tableColumn id="2" uniqueName="2" name="F2" queryTableFieldId="2" dataDxfId="1045" dataCellStyle="一般 2"/>
    <tableColumn id="3" uniqueName="3" name="F3" queryTableFieldId="3" dataDxfId="1044" dataCellStyle="一般 2"/>
    <tableColumn id="4" uniqueName="4" name="F4" queryTableFieldId="4" dataDxfId="1043" dataCellStyle="一般 2"/>
    <tableColumn id="5" uniqueName="5" name="F5" queryTableFieldId="5" dataDxfId="1042" dataCellStyle="一般 2"/>
    <tableColumn id="6" uniqueName="6" name="F6" queryTableFieldId="6" dataDxfId="1041" dataCellStyle="一般 2"/>
    <tableColumn id="7" uniqueName="7" name="F7" queryTableFieldId="7" dataDxfId="1040" dataCellStyle="一般 2"/>
    <tableColumn id="8" uniqueName="8" name="F8" queryTableFieldId="8" dataDxfId="1039" dataCellStyle="一般 2"/>
    <tableColumn id="9" uniqueName="9" name="F9" queryTableFieldId="9" dataDxfId="1038" dataCellStyle="一般 2"/>
    <tableColumn id="10" uniqueName="10" name="F10" queryTableFieldId="10" dataDxfId="1037" dataCellStyle="一般 2"/>
    <tableColumn id="11" uniqueName="11" name="F11" queryTableFieldId="11" dataDxfId="1036" dataCellStyle="一般 2"/>
    <tableColumn id="12" uniqueName="12" name="F12" queryTableFieldId="12" dataDxfId="1035" dataCellStyle="一般 2"/>
    <tableColumn id="13" uniqueName="13" name="F13" queryTableFieldId="13" dataDxfId="1034" dataCellStyle="一般 2"/>
    <tableColumn id="14" uniqueName="14" name="F14" queryTableFieldId="14" dataDxfId="1033" dataCellStyle="一般 2"/>
    <tableColumn id="15" uniqueName="15" name="F15" queryTableFieldId="15" dataDxfId="1032" dataCellStyle="一般 2"/>
    <tableColumn id="16" uniqueName="16" name="F16" queryTableFieldId="16" dataDxfId="1031" dataCellStyle="一般 2"/>
    <tableColumn id="17" uniqueName="17" name="F17" queryTableFieldId="17" dataDxfId="1030" dataCellStyle="一般 2"/>
    <tableColumn id="18" uniqueName="18" name="F18" queryTableFieldId="18" dataDxfId="1029" dataCellStyle="一般 2"/>
    <tableColumn id="19" uniqueName="19" name="F19" queryTableFieldId="19" dataDxfId="1028" dataCellStyle="一般 2"/>
    <tableColumn id="20" uniqueName="20" name="F20" queryTableFieldId="20" dataDxfId="1027" dataCellStyle="一般 2"/>
    <tableColumn id="21" uniqueName="21" name="F21" queryTableFieldId="21" dataDxfId="1026" dataCellStyle="一般 2"/>
    <tableColumn id="22" uniqueName="22" name="2024/6/24 14:52" queryTableFieldId="22" dataDxfId="1025" dataCellStyle="一般 2"/>
    <tableColumn id="23" uniqueName="23" name="F23" queryTableFieldId="23" dataDxfId="1024" dataCellStyle="一般 2"/>
    <tableColumn id="24" uniqueName="24" name="F24" queryTableFieldId="24" dataDxfId="1023" dataCellStyle="一般 2"/>
    <tableColumn id="25" uniqueName="25" name="F25" queryTableFieldId="25" dataDxfId="1022" dataCellStyle="一般 2"/>
    <tableColumn id="26" uniqueName="26" name="F26" queryTableFieldId="26" dataDxfId="1021" dataCellStyle="一般 2"/>
    <tableColumn id="27" uniqueName="27" name="F27" queryTableFieldId="27" dataDxfId="1020" dataCellStyle="一般 2"/>
    <tableColumn id="28" uniqueName="28" name="F28" queryTableFieldId="28" dataDxfId="1019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921" dataDxfId="920" headerRowCellStyle="一般 2" dataCellStyle="一般 2">
  <autoFilter ref="AG13:BH189"/>
  <tableColumns count="28">
    <tableColumn id="1" uniqueName="1" name="請直接以10進位，謝謝" queryTableFieldId="1" dataDxfId="919" dataCellStyle="一般 2"/>
    <tableColumn id="2" uniqueName="2" name="F2" queryTableFieldId="2" dataDxfId="918" dataCellStyle="一般 2"/>
    <tableColumn id="3" uniqueName="3" name="F3" queryTableFieldId="3" dataDxfId="917" dataCellStyle="一般 2"/>
    <tableColumn id="4" uniqueName="4" name="F4" queryTableFieldId="4" dataDxfId="916" dataCellStyle="一般 2"/>
    <tableColumn id="5" uniqueName="5" name="F5" queryTableFieldId="5" dataDxfId="915" dataCellStyle="一般 2"/>
    <tableColumn id="6" uniqueName="6" name="F6" queryTableFieldId="6" dataDxfId="914" dataCellStyle="一般 2"/>
    <tableColumn id="7" uniqueName="7" name="F7" queryTableFieldId="7" dataDxfId="913" dataCellStyle="一般 2"/>
    <tableColumn id="8" uniqueName="8" name="F8" queryTableFieldId="8" dataDxfId="912" dataCellStyle="一般 2"/>
    <tableColumn id="9" uniqueName="9" name="F9" queryTableFieldId="9" dataDxfId="911" dataCellStyle="一般 2"/>
    <tableColumn id="10" uniqueName="10" name="F10" queryTableFieldId="10" dataDxfId="910" dataCellStyle="一般 2"/>
    <tableColumn id="11" uniqueName="11" name="F11" queryTableFieldId="11" dataDxfId="909" dataCellStyle="一般 2"/>
    <tableColumn id="12" uniqueName="12" name="F12" queryTableFieldId="12" dataDxfId="908" dataCellStyle="一般 2"/>
    <tableColumn id="13" uniqueName="13" name="F13" queryTableFieldId="13" dataDxfId="907" dataCellStyle="一般 2"/>
    <tableColumn id="14" uniqueName="14" name="F14" queryTableFieldId="14" dataDxfId="906" dataCellStyle="一般 2"/>
    <tableColumn id="15" uniqueName="15" name="F15" queryTableFieldId="15" dataDxfId="905" dataCellStyle="一般 2"/>
    <tableColumn id="16" uniqueName="16" name="F16" queryTableFieldId="16" dataDxfId="904" dataCellStyle="一般 2"/>
    <tableColumn id="17" uniqueName="17" name="F17" queryTableFieldId="17" dataDxfId="903" dataCellStyle="一般 2"/>
    <tableColumn id="18" uniqueName="18" name="F18" queryTableFieldId="18" dataDxfId="902" dataCellStyle="一般 2"/>
    <tableColumn id="19" uniqueName="19" name="F19" queryTableFieldId="19" dataDxfId="901" dataCellStyle="一般 2"/>
    <tableColumn id="20" uniqueName="20" name="F20" queryTableFieldId="20" dataDxfId="900" dataCellStyle="一般 2"/>
    <tableColumn id="21" uniqueName="21" name="F21" queryTableFieldId="21" dataDxfId="899" dataCellStyle="一般 2"/>
    <tableColumn id="22" uniqueName="22" name="2024/6/24 14:52" queryTableFieldId="22" dataDxfId="898" dataCellStyle="一般 2"/>
    <tableColumn id="23" uniqueName="23" name="F23" queryTableFieldId="23" dataDxfId="897" dataCellStyle="一般 2"/>
    <tableColumn id="24" uniqueName="24" name="F24" queryTableFieldId="24" dataDxfId="896" dataCellStyle="一般 2"/>
    <tableColumn id="25" uniqueName="25" name="F25" queryTableFieldId="25" dataDxfId="895" dataCellStyle="一般 2"/>
    <tableColumn id="26" uniqueName="26" name="F26" queryTableFieldId="26" dataDxfId="894" dataCellStyle="一般 2"/>
    <tableColumn id="27" uniqueName="27" name="F27" queryTableFieldId="27" dataDxfId="893" dataCellStyle="一般 2"/>
    <tableColumn id="28" uniqueName="28" name="F28" queryTableFieldId="28" dataDxfId="892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794" dataDxfId="793" headerRowCellStyle="一般 2" dataCellStyle="一般 2">
  <autoFilter ref="AG13:BH189"/>
  <tableColumns count="28">
    <tableColumn id="1" uniqueName="1" name="請直接以10進位，謝謝" queryTableFieldId="1" dataDxfId="792" dataCellStyle="一般 2"/>
    <tableColumn id="2" uniqueName="2" name="F2" queryTableFieldId="2" dataDxfId="791" dataCellStyle="一般 2"/>
    <tableColumn id="3" uniqueName="3" name="F3" queryTableFieldId="3" dataDxfId="790" dataCellStyle="一般 2"/>
    <tableColumn id="4" uniqueName="4" name="F4" queryTableFieldId="4" dataDxfId="789" dataCellStyle="一般 2"/>
    <tableColumn id="5" uniqueName="5" name="F5" queryTableFieldId="5" dataDxfId="788" dataCellStyle="一般 2"/>
    <tableColumn id="6" uniqueName="6" name="F6" queryTableFieldId="6" dataDxfId="787" dataCellStyle="一般 2"/>
    <tableColumn id="7" uniqueName="7" name="F7" queryTableFieldId="7" dataDxfId="786" dataCellStyle="一般 2"/>
    <tableColumn id="8" uniqueName="8" name="F8" queryTableFieldId="8" dataDxfId="785" dataCellStyle="一般 2"/>
    <tableColumn id="9" uniqueName="9" name="F9" queryTableFieldId="9" dataDxfId="784" dataCellStyle="一般 2"/>
    <tableColumn id="10" uniqueName="10" name="F10" queryTableFieldId="10" dataDxfId="783" dataCellStyle="一般 2"/>
    <tableColumn id="11" uniqueName="11" name="F11" queryTableFieldId="11" dataDxfId="782" dataCellStyle="一般 2"/>
    <tableColumn id="12" uniqueName="12" name="F12" queryTableFieldId="12" dataDxfId="781" dataCellStyle="一般 2"/>
    <tableColumn id="13" uniqueName="13" name="F13" queryTableFieldId="13" dataDxfId="780" dataCellStyle="一般 2"/>
    <tableColumn id="14" uniqueName="14" name="F14" queryTableFieldId="14" dataDxfId="779" dataCellStyle="一般 2"/>
    <tableColumn id="15" uniqueName="15" name="F15" queryTableFieldId="15" dataDxfId="778" dataCellStyle="一般 2"/>
    <tableColumn id="16" uniqueName="16" name="F16" queryTableFieldId="16" dataDxfId="777" dataCellStyle="一般 2"/>
    <tableColumn id="17" uniqueName="17" name="F17" queryTableFieldId="17" dataDxfId="776" dataCellStyle="一般 2"/>
    <tableColumn id="18" uniqueName="18" name="F18" queryTableFieldId="18" dataDxfId="775" dataCellStyle="一般 2"/>
    <tableColumn id="19" uniqueName="19" name="F19" queryTableFieldId="19" dataDxfId="774" dataCellStyle="一般 2"/>
    <tableColumn id="20" uniqueName="20" name="F20" queryTableFieldId="20" dataDxfId="773" dataCellStyle="一般 2"/>
    <tableColumn id="21" uniqueName="21" name="F21" queryTableFieldId="21" dataDxfId="772" dataCellStyle="一般 2"/>
    <tableColumn id="22" uniqueName="22" name="2024/6/24 14:52" queryTableFieldId="22" dataDxfId="771" dataCellStyle="一般 2"/>
    <tableColumn id="23" uniqueName="23" name="F23" queryTableFieldId="23" dataDxfId="770" dataCellStyle="一般 2"/>
    <tableColumn id="24" uniqueName="24" name="F24" queryTableFieldId="24" dataDxfId="769" dataCellStyle="一般 2"/>
    <tableColumn id="25" uniqueName="25" name="F25" queryTableFieldId="25" dataDxfId="768" dataCellStyle="一般 2"/>
    <tableColumn id="26" uniqueName="26" name="F26" queryTableFieldId="26" dataDxfId="767" dataCellStyle="一般 2"/>
    <tableColumn id="27" uniqueName="27" name="F27" queryTableFieldId="27" dataDxfId="766" dataCellStyle="一般 2"/>
    <tableColumn id="28" uniqueName="28" name="F28" queryTableFieldId="28" dataDxfId="765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667" dataDxfId="666" headerRowCellStyle="一般 2" dataCellStyle="一般 2">
  <autoFilter ref="AG13:BH189"/>
  <tableColumns count="28">
    <tableColumn id="1" uniqueName="1" name="請直接以10進位，謝謝" queryTableFieldId="1" dataDxfId="665" dataCellStyle="一般 2"/>
    <tableColumn id="2" uniqueName="2" name="F2" queryTableFieldId="2" dataDxfId="664" dataCellStyle="一般 2"/>
    <tableColumn id="3" uniqueName="3" name="F3" queryTableFieldId="3" dataDxfId="663" dataCellStyle="一般 2"/>
    <tableColumn id="4" uniqueName="4" name="F4" queryTableFieldId="4" dataDxfId="662" dataCellStyle="一般 2"/>
    <tableColumn id="5" uniqueName="5" name="F5" queryTableFieldId="5" dataDxfId="661" dataCellStyle="一般 2"/>
    <tableColumn id="6" uniqueName="6" name="F6" queryTableFieldId="6" dataDxfId="660" dataCellStyle="一般 2"/>
    <tableColumn id="7" uniqueName="7" name="F7" queryTableFieldId="7" dataDxfId="659" dataCellStyle="一般 2"/>
    <tableColumn id="8" uniqueName="8" name="F8" queryTableFieldId="8" dataDxfId="658" dataCellStyle="一般 2"/>
    <tableColumn id="9" uniqueName="9" name="F9" queryTableFieldId="9" dataDxfId="657" dataCellStyle="一般 2"/>
    <tableColumn id="10" uniqueName="10" name="F10" queryTableFieldId="10" dataDxfId="656" dataCellStyle="一般 2"/>
    <tableColumn id="11" uniqueName="11" name="F11" queryTableFieldId="11" dataDxfId="655" dataCellStyle="一般 2"/>
    <tableColumn id="12" uniqueName="12" name="F12" queryTableFieldId="12" dataDxfId="654" dataCellStyle="一般 2"/>
    <tableColumn id="13" uniqueName="13" name="F13" queryTableFieldId="13" dataDxfId="653" dataCellStyle="一般 2"/>
    <tableColumn id="14" uniqueName="14" name="F14" queryTableFieldId="14" dataDxfId="652" dataCellStyle="一般 2"/>
    <tableColumn id="15" uniqueName="15" name="F15" queryTableFieldId="15" dataDxfId="651" dataCellStyle="一般 2"/>
    <tableColumn id="16" uniqueName="16" name="F16" queryTableFieldId="16" dataDxfId="650" dataCellStyle="一般 2"/>
    <tableColumn id="17" uniqueName="17" name="F17" queryTableFieldId="17" dataDxfId="649" dataCellStyle="一般 2"/>
    <tableColumn id="18" uniqueName="18" name="F18" queryTableFieldId="18" dataDxfId="648" dataCellStyle="一般 2"/>
    <tableColumn id="19" uniqueName="19" name="F19" queryTableFieldId="19" dataDxfId="647" dataCellStyle="一般 2"/>
    <tableColumn id="20" uniqueName="20" name="F20" queryTableFieldId="20" dataDxfId="646" dataCellStyle="一般 2"/>
    <tableColumn id="21" uniqueName="21" name="F21" queryTableFieldId="21" dataDxfId="645" dataCellStyle="一般 2"/>
    <tableColumn id="22" uniqueName="22" name="2024/6/24 14:52" queryTableFieldId="22" dataDxfId="644" dataCellStyle="一般 2"/>
    <tableColumn id="23" uniqueName="23" name="F23" queryTableFieldId="23" dataDxfId="643" dataCellStyle="一般 2"/>
    <tableColumn id="24" uniqueName="24" name="F24" queryTableFieldId="24" dataDxfId="642" dataCellStyle="一般 2"/>
    <tableColumn id="25" uniqueName="25" name="F25" queryTableFieldId="25" dataDxfId="641" dataCellStyle="一般 2"/>
    <tableColumn id="26" uniqueName="26" name="F26" queryTableFieldId="26" dataDxfId="640" dataCellStyle="一般 2"/>
    <tableColumn id="27" uniqueName="27" name="F27" queryTableFieldId="27" dataDxfId="639" dataCellStyle="一般 2"/>
    <tableColumn id="28" uniqueName="28" name="F28" queryTableFieldId="28" dataDxfId="638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540" dataDxfId="539" headerRowCellStyle="一般 2" dataCellStyle="一般 2">
  <autoFilter ref="AG13:BH189"/>
  <tableColumns count="28">
    <tableColumn id="1" uniqueName="1" name="請直接以10進位，謝謝" queryTableFieldId="1" dataDxfId="538" dataCellStyle="一般 2"/>
    <tableColumn id="2" uniqueName="2" name="F2" queryTableFieldId="2" dataDxfId="537" dataCellStyle="一般 2"/>
    <tableColumn id="3" uniqueName="3" name="F3" queryTableFieldId="3" dataDxfId="536" dataCellStyle="一般 2"/>
    <tableColumn id="4" uniqueName="4" name="F4" queryTableFieldId="4" dataDxfId="535" dataCellStyle="一般 2"/>
    <tableColumn id="5" uniqueName="5" name="F5" queryTableFieldId="5" dataDxfId="534" dataCellStyle="一般 2"/>
    <tableColumn id="6" uniqueName="6" name="F6" queryTableFieldId="6" dataDxfId="533" dataCellStyle="一般 2"/>
    <tableColumn id="7" uniqueName="7" name="F7" queryTableFieldId="7" dataDxfId="532" dataCellStyle="一般 2"/>
    <tableColumn id="8" uniqueName="8" name="F8" queryTableFieldId="8" dataDxfId="531" dataCellStyle="一般 2"/>
    <tableColumn id="9" uniqueName="9" name="F9" queryTableFieldId="9" dataDxfId="530" dataCellStyle="一般 2"/>
    <tableColumn id="10" uniqueName="10" name="F10" queryTableFieldId="10" dataDxfId="529" dataCellStyle="一般 2"/>
    <tableColumn id="11" uniqueName="11" name="F11" queryTableFieldId="11" dataDxfId="528" dataCellStyle="一般 2"/>
    <tableColumn id="12" uniqueName="12" name="F12" queryTableFieldId="12" dataDxfId="527" dataCellStyle="一般 2"/>
    <tableColumn id="13" uniqueName="13" name="F13" queryTableFieldId="13" dataDxfId="526" dataCellStyle="一般 2"/>
    <tableColumn id="14" uniqueName="14" name="F14" queryTableFieldId="14" dataDxfId="525" dataCellStyle="一般 2"/>
    <tableColumn id="15" uniqueName="15" name="F15" queryTableFieldId="15" dataDxfId="524" dataCellStyle="一般 2"/>
    <tableColumn id="16" uniqueName="16" name="F16" queryTableFieldId="16" dataDxfId="523" dataCellStyle="一般 2"/>
    <tableColumn id="17" uniqueName="17" name="F17" queryTableFieldId="17" dataDxfId="522" dataCellStyle="一般 2"/>
    <tableColumn id="18" uniqueName="18" name="F18" queryTableFieldId="18" dataDxfId="521" dataCellStyle="一般 2"/>
    <tableColumn id="19" uniqueName="19" name="F19" queryTableFieldId="19" dataDxfId="520" dataCellStyle="一般 2"/>
    <tableColumn id="20" uniqueName="20" name="F20" queryTableFieldId="20" dataDxfId="519" dataCellStyle="一般 2"/>
    <tableColumn id="21" uniqueName="21" name="F21" queryTableFieldId="21" dataDxfId="518" dataCellStyle="一般 2"/>
    <tableColumn id="22" uniqueName="22" name="2024/6/24 14:52" queryTableFieldId="22" dataDxfId="517" dataCellStyle="一般 2"/>
    <tableColumn id="23" uniqueName="23" name="F23" queryTableFieldId="23" dataDxfId="516" dataCellStyle="一般 2"/>
    <tableColumn id="24" uniqueName="24" name="F24" queryTableFieldId="24" dataDxfId="515" dataCellStyle="一般 2"/>
    <tableColumn id="25" uniqueName="25" name="F25" queryTableFieldId="25" dataDxfId="514" dataCellStyle="一般 2"/>
    <tableColumn id="26" uniqueName="26" name="F26" queryTableFieldId="26" dataDxfId="513" dataCellStyle="一般 2"/>
    <tableColumn id="27" uniqueName="27" name="F27" queryTableFieldId="27" dataDxfId="512" dataCellStyle="一般 2"/>
    <tableColumn id="28" uniqueName="28" name="F28" queryTableFieldId="28" dataDxfId="511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413" dataDxfId="412" headerRowCellStyle="一般 2" dataCellStyle="一般 2">
  <autoFilter ref="AG13:BH189"/>
  <tableColumns count="28">
    <tableColumn id="1" uniqueName="1" name="請直接以10進位，謝謝" queryTableFieldId="1" dataDxfId="411" dataCellStyle="一般 2"/>
    <tableColumn id="2" uniqueName="2" name="F2" queryTableFieldId="2" dataDxfId="410" dataCellStyle="一般 2"/>
    <tableColumn id="3" uniqueName="3" name="F3" queryTableFieldId="3" dataDxfId="409" dataCellStyle="一般 2"/>
    <tableColumn id="4" uniqueName="4" name="F4" queryTableFieldId="4" dataDxfId="408" dataCellStyle="一般 2"/>
    <tableColumn id="5" uniqueName="5" name="F5" queryTableFieldId="5" dataDxfId="407" dataCellStyle="一般 2"/>
    <tableColumn id="6" uniqueName="6" name="F6" queryTableFieldId="6" dataDxfId="406" dataCellStyle="一般 2"/>
    <tableColumn id="7" uniqueName="7" name="F7" queryTableFieldId="7" dataDxfId="405" dataCellStyle="一般 2"/>
    <tableColumn id="8" uniqueName="8" name="F8" queryTableFieldId="8" dataDxfId="404" dataCellStyle="一般 2"/>
    <tableColumn id="9" uniqueName="9" name="F9" queryTableFieldId="9" dataDxfId="403" dataCellStyle="一般 2"/>
    <tableColumn id="10" uniqueName="10" name="F10" queryTableFieldId="10" dataDxfId="402" dataCellStyle="一般 2"/>
    <tableColumn id="11" uniqueName="11" name="F11" queryTableFieldId="11" dataDxfId="401" dataCellStyle="一般 2"/>
    <tableColumn id="12" uniqueName="12" name="F12" queryTableFieldId="12" dataDxfId="400" dataCellStyle="一般 2"/>
    <tableColumn id="13" uniqueName="13" name="F13" queryTableFieldId="13" dataDxfId="399" dataCellStyle="一般 2"/>
    <tableColumn id="14" uniqueName="14" name="F14" queryTableFieldId="14" dataDxfId="398" dataCellStyle="一般 2"/>
    <tableColumn id="15" uniqueName="15" name="F15" queryTableFieldId="15" dataDxfId="397" dataCellStyle="一般 2"/>
    <tableColumn id="16" uniqueName="16" name="F16" queryTableFieldId="16" dataDxfId="396" dataCellStyle="一般 2"/>
    <tableColumn id="17" uniqueName="17" name="F17" queryTableFieldId="17" dataDxfId="395" dataCellStyle="一般 2"/>
    <tableColumn id="18" uniqueName="18" name="F18" queryTableFieldId="18" dataDxfId="394" dataCellStyle="一般 2"/>
    <tableColumn id="19" uniqueName="19" name="F19" queryTableFieldId="19" dataDxfId="393" dataCellStyle="一般 2"/>
    <tableColumn id="20" uniqueName="20" name="F20" queryTableFieldId="20" dataDxfId="392" dataCellStyle="一般 2"/>
    <tableColumn id="21" uniqueName="21" name="F21" queryTableFieldId="21" dataDxfId="391" dataCellStyle="一般 2"/>
    <tableColumn id="22" uniqueName="22" name="2024/6/24 14:52" queryTableFieldId="22" dataDxfId="390" dataCellStyle="一般 2"/>
    <tableColumn id="23" uniqueName="23" name="F23" queryTableFieldId="23" dataDxfId="389" dataCellStyle="一般 2"/>
    <tableColumn id="24" uniqueName="24" name="F24" queryTableFieldId="24" dataDxfId="388" dataCellStyle="一般 2"/>
    <tableColumn id="25" uniqueName="25" name="F25" queryTableFieldId="25" dataDxfId="387" dataCellStyle="一般 2"/>
    <tableColumn id="26" uniqueName="26" name="F26" queryTableFieldId="26" dataDxfId="386" dataCellStyle="一般 2"/>
    <tableColumn id="27" uniqueName="27" name="F27" queryTableFieldId="27" dataDxfId="385" dataCellStyle="一般 2"/>
    <tableColumn id="28" uniqueName="28" name="F28" queryTableFieldId="28" dataDxfId="384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285" dataDxfId="284" headerRowCellStyle="一般 2" dataCellStyle="一般 2">
  <autoFilter ref="AG13:BH189"/>
  <tableColumns count="28">
    <tableColumn id="1" uniqueName="1" name="請直接以10進位，謝謝" queryTableFieldId="1" dataDxfId="283" dataCellStyle="一般 2"/>
    <tableColumn id="2" uniqueName="2" name="F2" queryTableFieldId="2" dataDxfId="282" dataCellStyle="一般 2"/>
    <tableColumn id="3" uniqueName="3" name="F3" queryTableFieldId="3" dataDxfId="281" dataCellStyle="一般 2"/>
    <tableColumn id="4" uniqueName="4" name="F4" queryTableFieldId="4" dataDxfId="280" dataCellStyle="一般 2"/>
    <tableColumn id="5" uniqueName="5" name="F5" queryTableFieldId="5" dataDxfId="279" dataCellStyle="一般 2"/>
    <tableColumn id="6" uniqueName="6" name="F6" queryTableFieldId="6" dataDxfId="278" dataCellStyle="一般 2"/>
    <tableColumn id="7" uniqueName="7" name="F7" queryTableFieldId="7" dataDxfId="277" dataCellStyle="一般 2"/>
    <tableColumn id="8" uniqueName="8" name="F8" queryTableFieldId="8" dataDxfId="276" dataCellStyle="一般 2"/>
    <tableColumn id="9" uniqueName="9" name="F9" queryTableFieldId="9" dataDxfId="275" dataCellStyle="一般 2"/>
    <tableColumn id="10" uniqueName="10" name="F10" queryTableFieldId="10" dataDxfId="274" dataCellStyle="一般 2"/>
    <tableColumn id="11" uniqueName="11" name="F11" queryTableFieldId="11" dataDxfId="273" dataCellStyle="一般 2"/>
    <tableColumn id="12" uniqueName="12" name="F12" queryTableFieldId="12" dataDxfId="272" dataCellStyle="一般 2"/>
    <tableColumn id="13" uniqueName="13" name="F13" queryTableFieldId="13" dataDxfId="271" dataCellStyle="一般 2"/>
    <tableColumn id="14" uniqueName="14" name="F14" queryTableFieldId="14" dataDxfId="270" dataCellStyle="一般 2"/>
    <tableColumn id="15" uniqueName="15" name="F15" queryTableFieldId="15" dataDxfId="269" dataCellStyle="一般 2"/>
    <tableColumn id="16" uniqueName="16" name="F16" queryTableFieldId="16" dataDxfId="268" dataCellStyle="一般 2"/>
    <tableColumn id="17" uniqueName="17" name="F17" queryTableFieldId="17" dataDxfId="267" dataCellStyle="一般 2"/>
    <tableColumn id="18" uniqueName="18" name="F18" queryTableFieldId="18" dataDxfId="266" dataCellStyle="一般 2"/>
    <tableColumn id="19" uniqueName="19" name="F19" queryTableFieldId="19" dataDxfId="265" dataCellStyle="一般 2"/>
    <tableColumn id="20" uniqueName="20" name="F20" queryTableFieldId="20" dataDxfId="264" dataCellStyle="一般 2"/>
    <tableColumn id="21" uniqueName="21" name="F21" queryTableFieldId="21" dataDxfId="263" dataCellStyle="一般 2"/>
    <tableColumn id="22" uniqueName="22" name="2024/6/24 14:52" queryTableFieldId="22" dataDxfId="262" dataCellStyle="一般 2"/>
    <tableColumn id="23" uniqueName="23" name="F23" queryTableFieldId="23" dataDxfId="261" dataCellStyle="一般 2"/>
    <tableColumn id="24" uniqueName="24" name="F24" queryTableFieldId="24" dataDxfId="260" dataCellStyle="一般 2"/>
    <tableColumn id="25" uniqueName="25" name="F25" queryTableFieldId="25" dataDxfId="259" dataCellStyle="一般 2"/>
    <tableColumn id="26" uniqueName="26" name="F26" queryTableFieldId="26" dataDxfId="258" dataCellStyle="一般 2"/>
    <tableColumn id="27" uniqueName="27" name="F27" queryTableFieldId="27" dataDxfId="257" dataCellStyle="一般 2"/>
    <tableColumn id="28" uniqueName="28" name="F28" queryTableFieldId="28" dataDxfId="256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157" dataDxfId="156" headerRowCellStyle="一般 2" dataCellStyle="一般 2">
  <autoFilter ref="AG13:BH189"/>
  <tableColumns count="28">
    <tableColumn id="1" uniqueName="1" name="請直接以10進位，謝謝" queryTableFieldId="1" dataDxfId="155" dataCellStyle="一般 2"/>
    <tableColumn id="2" uniqueName="2" name="F2" queryTableFieldId="2" dataDxfId="154" dataCellStyle="一般 2"/>
    <tableColumn id="3" uniqueName="3" name="F3" queryTableFieldId="3" dataDxfId="153" dataCellStyle="一般 2"/>
    <tableColumn id="4" uniqueName="4" name="F4" queryTableFieldId="4" dataDxfId="152" dataCellStyle="一般 2"/>
    <tableColumn id="5" uniqueName="5" name="F5" queryTableFieldId="5" dataDxfId="151" dataCellStyle="一般 2"/>
    <tableColumn id="6" uniqueName="6" name="F6" queryTableFieldId="6" dataDxfId="150" dataCellStyle="一般 2"/>
    <tableColumn id="7" uniqueName="7" name="F7" queryTableFieldId="7" dataDxfId="149" dataCellStyle="一般 2"/>
    <tableColumn id="8" uniqueName="8" name="F8" queryTableFieldId="8" dataDxfId="148" dataCellStyle="一般 2"/>
    <tableColumn id="9" uniqueName="9" name="F9" queryTableFieldId="9" dataDxfId="147" dataCellStyle="一般 2"/>
    <tableColumn id="10" uniqueName="10" name="F10" queryTableFieldId="10" dataDxfId="146" dataCellStyle="一般 2"/>
    <tableColumn id="11" uniqueName="11" name="F11" queryTableFieldId="11" dataDxfId="145" dataCellStyle="一般 2"/>
    <tableColumn id="12" uniqueName="12" name="F12" queryTableFieldId="12" dataDxfId="144" dataCellStyle="一般 2"/>
    <tableColumn id="13" uniqueName="13" name="F13" queryTableFieldId="13" dataDxfId="143" dataCellStyle="一般 2"/>
    <tableColumn id="14" uniqueName="14" name="F14" queryTableFieldId="14" dataDxfId="142" dataCellStyle="一般 2"/>
    <tableColumn id="15" uniqueName="15" name="F15" queryTableFieldId="15" dataDxfId="141" dataCellStyle="一般 2"/>
    <tableColumn id="16" uniqueName="16" name="F16" queryTableFieldId="16" dataDxfId="140" dataCellStyle="一般 2"/>
    <tableColumn id="17" uniqueName="17" name="F17" queryTableFieldId="17" dataDxfId="139" dataCellStyle="一般 2"/>
    <tableColumn id="18" uniqueName="18" name="F18" queryTableFieldId="18" dataDxfId="138" dataCellStyle="一般 2"/>
    <tableColumn id="19" uniqueName="19" name="F19" queryTableFieldId="19" dataDxfId="137" dataCellStyle="一般 2"/>
    <tableColumn id="20" uniqueName="20" name="F20" queryTableFieldId="20" dataDxfId="136" dataCellStyle="一般 2"/>
    <tableColumn id="21" uniqueName="21" name="F21" queryTableFieldId="21" dataDxfId="135" dataCellStyle="一般 2"/>
    <tableColumn id="22" uniqueName="22" name="2024/6/24 14:52" queryTableFieldId="22" dataDxfId="134" dataCellStyle="一般 2"/>
    <tableColumn id="23" uniqueName="23" name="F23" queryTableFieldId="23" dataDxfId="133" dataCellStyle="一般 2"/>
    <tableColumn id="24" uniqueName="24" name="F24" queryTableFieldId="24" dataDxfId="132" dataCellStyle="一般 2"/>
    <tableColumn id="25" uniqueName="25" name="F25" queryTableFieldId="25" dataDxfId="131" dataCellStyle="一般 2"/>
    <tableColumn id="26" uniqueName="26" name="F26" queryTableFieldId="26" dataDxfId="130" dataCellStyle="一般 2"/>
    <tableColumn id="27" uniqueName="27" name="F27" queryTableFieldId="27" dataDxfId="129" dataCellStyle="一般 2"/>
    <tableColumn id="28" uniqueName="28" name="F28" queryTableFieldId="28" dataDxfId="128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46"/>
  <sheetViews>
    <sheetView view="pageBreakPreview" topLeftCell="A24" zoomScale="80" zoomScaleNormal="100" zoomScaleSheetLayoutView="80" workbookViewId="0">
      <selection activeCell="K44" sqref="K4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59" t="s">
        <v>173</v>
      </c>
      <c r="B1" s="159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174</v>
      </c>
      <c r="Q1" s="55"/>
      <c r="R1" s="55"/>
      <c r="S1" s="55"/>
    </row>
    <row r="2" spans="1:24" s="59" customFormat="1" ht="25.65" customHeight="1" thickTop="1" thickBot="1">
      <c r="A2" s="114" t="s">
        <v>109</v>
      </c>
      <c r="B2" s="115" t="s">
        <v>32</v>
      </c>
      <c r="C2" s="116" t="s">
        <v>33</v>
      </c>
      <c r="D2" s="114" t="s">
        <v>31</v>
      </c>
      <c r="E2" s="115" t="s">
        <v>32</v>
      </c>
      <c r="F2" s="116" t="s">
        <v>188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189</v>
      </c>
      <c r="L2" s="117" t="s">
        <v>33</v>
      </c>
      <c r="M2" s="118" t="s">
        <v>175</v>
      </c>
      <c r="N2" s="56"/>
      <c r="O2" s="56"/>
      <c r="P2" s="57" t="s">
        <v>140</v>
      </c>
      <c r="Q2" s="58" t="s">
        <v>141</v>
      </c>
      <c r="S2" s="60" t="s">
        <v>142</v>
      </c>
      <c r="U2" s="137" t="s">
        <v>143</v>
      </c>
      <c r="V2" s="136">
        <v>0.01</v>
      </c>
      <c r="W2" s="137" t="s">
        <v>155</v>
      </c>
      <c r="X2" s="61" t="s">
        <v>146</v>
      </c>
    </row>
    <row r="3" spans="1:24" s="53" customFormat="1" ht="22.2" customHeight="1" thickTop="1">
      <c r="A3" s="119">
        <v>601</v>
      </c>
      <c r="B3" s="120">
        <v>6282</v>
      </c>
      <c r="C3" s="121">
        <v>31</v>
      </c>
      <c r="D3" s="122" t="s">
        <v>76</v>
      </c>
      <c r="E3" s="120">
        <v>5081</v>
      </c>
      <c r="F3" s="121">
        <v>19</v>
      </c>
      <c r="G3" s="119">
        <v>661</v>
      </c>
      <c r="H3" s="120">
        <v>5168</v>
      </c>
      <c r="I3" s="123">
        <v>29</v>
      </c>
      <c r="J3" s="119">
        <v>681</v>
      </c>
      <c r="K3" s="120">
        <v>2804</v>
      </c>
      <c r="L3" s="124">
        <v>28</v>
      </c>
      <c r="M3" s="160" t="s">
        <v>572</v>
      </c>
      <c r="N3" s="137" t="s">
        <v>143</v>
      </c>
      <c r="O3" s="137" t="s">
        <v>144</v>
      </c>
      <c r="P3" s="137" t="s">
        <v>145</v>
      </c>
      <c r="Q3" s="61" t="s">
        <v>146</v>
      </c>
      <c r="S3" s="53">
        <v>5900</v>
      </c>
      <c r="U3" s="137" t="s">
        <v>147</v>
      </c>
      <c r="V3" s="136">
        <v>0.01</v>
      </c>
      <c r="W3" s="137" t="s">
        <v>156</v>
      </c>
      <c r="X3" s="61" t="s">
        <v>149</v>
      </c>
    </row>
    <row r="4" spans="1:24" s="53" customFormat="1" ht="22.2" customHeight="1">
      <c r="A4" s="119">
        <v>602</v>
      </c>
      <c r="B4" s="120">
        <v>8974</v>
      </c>
      <c r="C4" s="121">
        <v>29</v>
      </c>
      <c r="D4" s="122" t="s">
        <v>77</v>
      </c>
      <c r="E4" s="120">
        <v>2509</v>
      </c>
      <c r="F4" s="121">
        <v>28</v>
      </c>
      <c r="G4" s="119">
        <v>662</v>
      </c>
      <c r="H4" s="120">
        <v>6951</v>
      </c>
      <c r="I4" s="123">
        <v>30</v>
      </c>
      <c r="J4" s="119">
        <v>682</v>
      </c>
      <c r="K4" s="120">
        <v>1975</v>
      </c>
      <c r="L4" s="133">
        <v>29</v>
      </c>
      <c r="M4" s="161"/>
      <c r="N4" s="137" t="s">
        <v>147</v>
      </c>
      <c r="O4" s="137" t="s">
        <v>144</v>
      </c>
      <c r="P4" s="137" t="s">
        <v>148</v>
      </c>
      <c r="Q4" s="61" t="s">
        <v>149</v>
      </c>
      <c r="S4" s="53">
        <v>5600</v>
      </c>
      <c r="U4" s="62">
        <v>680690</v>
      </c>
      <c r="V4" s="136">
        <v>0.01</v>
      </c>
      <c r="W4" s="137" t="s">
        <v>157</v>
      </c>
      <c r="X4" s="61" t="s">
        <v>149</v>
      </c>
    </row>
    <row r="5" spans="1:24" s="53" customFormat="1" ht="22.2" customHeight="1">
      <c r="A5" s="119">
        <v>603</v>
      </c>
      <c r="B5" s="120">
        <v>6840</v>
      </c>
      <c r="C5" s="121">
        <v>28</v>
      </c>
      <c r="D5" s="122">
        <v>631</v>
      </c>
      <c r="E5" s="120">
        <v>4949</v>
      </c>
      <c r="F5" s="121">
        <v>28</v>
      </c>
      <c r="G5" s="119">
        <v>663</v>
      </c>
      <c r="H5" s="120">
        <v>0</v>
      </c>
      <c r="I5" s="123">
        <v>29</v>
      </c>
      <c r="J5" s="119">
        <v>683</v>
      </c>
      <c r="K5" s="120">
        <v>2372</v>
      </c>
      <c r="L5" s="133">
        <v>29</v>
      </c>
      <c r="M5" s="161"/>
      <c r="N5" s="62">
        <v>680690</v>
      </c>
      <c r="O5" s="137" t="s">
        <v>144</v>
      </c>
      <c r="P5" s="137" t="s">
        <v>150</v>
      </c>
      <c r="Q5" s="61" t="s">
        <v>149</v>
      </c>
      <c r="S5" s="53">
        <v>4100</v>
      </c>
      <c r="U5" s="137" t="s">
        <v>151</v>
      </c>
      <c r="V5" s="136">
        <v>0.01</v>
      </c>
      <c r="W5" s="137" t="s">
        <v>158</v>
      </c>
      <c r="X5" s="61" t="s">
        <v>149</v>
      </c>
    </row>
    <row r="6" spans="1:24" s="53" customFormat="1" ht="22.2" customHeight="1">
      <c r="A6" s="119" t="s">
        <v>78</v>
      </c>
      <c r="B6" s="125">
        <v>8905</v>
      </c>
      <c r="C6" s="126">
        <v>29</v>
      </c>
      <c r="D6" s="127">
        <v>632</v>
      </c>
      <c r="E6" s="125">
        <v>287</v>
      </c>
      <c r="F6" s="126">
        <v>28</v>
      </c>
      <c r="G6" s="127">
        <v>664</v>
      </c>
      <c r="H6" s="125">
        <v>1654</v>
      </c>
      <c r="I6" s="124">
        <v>30</v>
      </c>
      <c r="J6" s="127">
        <v>684</v>
      </c>
      <c r="K6" s="125">
        <v>1572</v>
      </c>
      <c r="L6" s="133">
        <v>27</v>
      </c>
      <c r="M6" s="161"/>
      <c r="N6" s="137" t="s">
        <v>151</v>
      </c>
      <c r="O6" s="137" t="s">
        <v>144</v>
      </c>
      <c r="P6" s="137" t="s">
        <v>152</v>
      </c>
      <c r="Q6" s="61" t="s">
        <v>149</v>
      </c>
      <c r="S6" s="53">
        <v>7000</v>
      </c>
      <c r="U6" s="137" t="s">
        <v>153</v>
      </c>
      <c r="V6" s="136">
        <v>0.01</v>
      </c>
      <c r="W6" s="137" t="s">
        <v>159</v>
      </c>
      <c r="X6" s="61" t="s">
        <v>149</v>
      </c>
    </row>
    <row r="7" spans="1:24" s="53" customFormat="1" ht="22.2" customHeight="1">
      <c r="A7" s="119" t="s">
        <v>79</v>
      </c>
      <c r="B7" s="125">
        <v>8922</v>
      </c>
      <c r="C7" s="126">
        <v>25</v>
      </c>
      <c r="D7" s="127">
        <v>633</v>
      </c>
      <c r="E7" s="125">
        <v>152</v>
      </c>
      <c r="F7" s="126">
        <v>21</v>
      </c>
      <c r="G7" s="127">
        <v>665</v>
      </c>
      <c r="H7" s="125">
        <v>2194</v>
      </c>
      <c r="I7" s="124">
        <v>29</v>
      </c>
      <c r="J7" s="127">
        <v>685</v>
      </c>
      <c r="K7" s="125">
        <v>4923</v>
      </c>
      <c r="L7" s="133">
        <v>26</v>
      </c>
      <c r="M7" s="161"/>
      <c r="N7" s="137" t="s">
        <v>153</v>
      </c>
      <c r="O7" s="137" t="s">
        <v>144</v>
      </c>
      <c r="P7" s="137" t="s">
        <v>154</v>
      </c>
      <c r="Q7" s="61" t="s">
        <v>149</v>
      </c>
      <c r="S7" s="53">
        <v>11590</v>
      </c>
      <c r="X7" s="55"/>
    </row>
    <row r="8" spans="1:24" s="53" customFormat="1" ht="22.2" customHeight="1">
      <c r="A8" s="119">
        <v>611</v>
      </c>
      <c r="B8" s="125">
        <v>29.11</v>
      </c>
      <c r="C8" s="134">
        <v>25</v>
      </c>
      <c r="D8" s="127">
        <v>634</v>
      </c>
      <c r="E8" s="125">
        <v>392</v>
      </c>
      <c r="F8" s="126">
        <v>24</v>
      </c>
      <c r="G8" s="127">
        <v>666</v>
      </c>
      <c r="H8" s="125">
        <v>6810</v>
      </c>
      <c r="I8" s="124">
        <v>28</v>
      </c>
      <c r="J8" s="127">
        <v>686</v>
      </c>
      <c r="K8" s="125">
        <v>5611</v>
      </c>
      <c r="L8" s="133">
        <v>28</v>
      </c>
      <c r="M8" s="161"/>
      <c r="N8" s="137" t="s">
        <v>164</v>
      </c>
      <c r="O8" s="137" t="s">
        <v>144</v>
      </c>
      <c r="P8" s="137" t="s">
        <v>165</v>
      </c>
      <c r="Q8" s="61" t="s">
        <v>149</v>
      </c>
      <c r="S8" s="53">
        <v>9200</v>
      </c>
    </row>
    <row r="9" spans="1:24" s="53" customFormat="1" ht="22.2" customHeight="1">
      <c r="A9" s="119">
        <v>612</v>
      </c>
      <c r="B9" s="125">
        <v>7.01</v>
      </c>
      <c r="C9" s="134">
        <v>25</v>
      </c>
      <c r="D9" s="127">
        <v>641</v>
      </c>
      <c r="E9" s="125">
        <v>3540</v>
      </c>
      <c r="F9" s="126">
        <v>26</v>
      </c>
      <c r="G9" s="127">
        <v>667</v>
      </c>
      <c r="H9" s="125">
        <v>1438</v>
      </c>
      <c r="I9" s="124">
        <v>32</v>
      </c>
      <c r="J9" s="127">
        <v>687</v>
      </c>
      <c r="K9" s="125">
        <v>4353</v>
      </c>
      <c r="L9" s="133">
        <v>28</v>
      </c>
      <c r="M9" s="161"/>
      <c r="N9" s="137" t="s">
        <v>166</v>
      </c>
      <c r="O9" s="137" t="s">
        <v>144</v>
      </c>
      <c r="P9" s="137" t="s">
        <v>167</v>
      </c>
      <c r="Q9" s="61" t="s">
        <v>149</v>
      </c>
      <c r="S9" s="53">
        <v>6800</v>
      </c>
    </row>
    <row r="10" spans="1:24" s="53" customFormat="1" ht="22.2" customHeight="1">
      <c r="A10" s="119">
        <v>613</v>
      </c>
      <c r="B10" s="125">
        <v>85.21</v>
      </c>
      <c r="C10" s="134">
        <v>25</v>
      </c>
      <c r="D10" s="127">
        <v>642</v>
      </c>
      <c r="E10" s="125">
        <v>4645</v>
      </c>
      <c r="F10" s="126">
        <v>28</v>
      </c>
      <c r="G10" s="127">
        <v>668</v>
      </c>
      <c r="H10" s="125">
        <v>5393</v>
      </c>
      <c r="I10" s="124">
        <v>30</v>
      </c>
      <c r="J10" s="127">
        <v>688</v>
      </c>
      <c r="K10" s="125">
        <v>548</v>
      </c>
      <c r="L10" s="133">
        <v>27</v>
      </c>
      <c r="M10" s="161"/>
      <c r="N10" s="137" t="s">
        <v>168</v>
      </c>
      <c r="O10" s="136" t="s">
        <v>144</v>
      </c>
      <c r="P10" s="137" t="s">
        <v>169</v>
      </c>
      <c r="Q10" s="61" t="s">
        <v>149</v>
      </c>
      <c r="S10" s="53">
        <v>5500</v>
      </c>
    </row>
    <row r="11" spans="1:24" s="53" customFormat="1" ht="22.2" customHeight="1">
      <c r="A11" s="119">
        <v>614</v>
      </c>
      <c r="B11" s="125">
        <v>38.71</v>
      </c>
      <c r="C11" s="134">
        <v>25</v>
      </c>
      <c r="D11" s="127">
        <v>643</v>
      </c>
      <c r="E11" s="125">
        <v>2460</v>
      </c>
      <c r="F11" s="126">
        <v>30</v>
      </c>
      <c r="G11" s="127">
        <v>669</v>
      </c>
      <c r="H11" s="125">
        <v>1552</v>
      </c>
      <c r="I11" s="124">
        <v>32</v>
      </c>
      <c r="J11" s="127">
        <v>689</v>
      </c>
      <c r="K11" s="125">
        <v>4320</v>
      </c>
      <c r="L11" s="133">
        <v>28</v>
      </c>
      <c r="M11" s="161"/>
      <c r="N11" s="137" t="s">
        <v>170</v>
      </c>
      <c r="O11" s="136" t="s">
        <v>144</v>
      </c>
      <c r="P11" s="137">
        <v>9.0746000000000002</v>
      </c>
      <c r="Q11" s="61" t="s">
        <v>149</v>
      </c>
      <c r="S11" s="53">
        <v>7100</v>
      </c>
    </row>
    <row r="12" spans="1:24" s="53" customFormat="1" ht="22.2" customHeight="1">
      <c r="A12" s="119">
        <v>621</v>
      </c>
      <c r="B12" s="125">
        <v>2801</v>
      </c>
      <c r="C12" s="126">
        <v>31</v>
      </c>
      <c r="D12" s="127">
        <v>645</v>
      </c>
      <c r="E12" s="125">
        <v>4230</v>
      </c>
      <c r="F12" s="126">
        <v>30</v>
      </c>
      <c r="G12" s="127">
        <v>670</v>
      </c>
      <c r="H12" s="125">
        <v>-9908</v>
      </c>
      <c r="I12" s="124">
        <v>32</v>
      </c>
      <c r="J12" s="127">
        <v>690</v>
      </c>
      <c r="K12" s="125">
        <v>967</v>
      </c>
      <c r="L12" s="124">
        <v>28</v>
      </c>
      <c r="M12" s="161"/>
      <c r="N12" s="62" t="s">
        <v>171</v>
      </c>
      <c r="O12" s="136" t="s">
        <v>144</v>
      </c>
      <c r="P12" s="137">
        <v>9.0746000000000002</v>
      </c>
      <c r="Q12" s="61" t="s">
        <v>149</v>
      </c>
      <c r="S12" s="53">
        <v>5500</v>
      </c>
    </row>
    <row r="13" spans="1:24" s="53" customFormat="1" ht="22.2" customHeight="1">
      <c r="A13" s="119">
        <v>622</v>
      </c>
      <c r="B13" s="125">
        <v>6103</v>
      </c>
      <c r="C13" s="126">
        <v>30</v>
      </c>
      <c r="D13" s="127">
        <v>651</v>
      </c>
      <c r="E13" s="125">
        <v>2824</v>
      </c>
      <c r="F13" s="126">
        <v>29</v>
      </c>
      <c r="G13" s="127">
        <v>671</v>
      </c>
      <c r="H13" s="125">
        <v>0</v>
      </c>
      <c r="I13" s="124">
        <v>28</v>
      </c>
      <c r="J13" s="127">
        <v>691</v>
      </c>
      <c r="K13" s="125">
        <v>4221</v>
      </c>
      <c r="L13" s="133">
        <v>27</v>
      </c>
      <c r="M13" s="161"/>
      <c r="N13" s="163" t="s">
        <v>172</v>
      </c>
      <c r="O13" s="164" t="s">
        <v>144</v>
      </c>
      <c r="P13" s="165">
        <v>7.0686</v>
      </c>
      <c r="Q13" s="166" t="s">
        <v>149</v>
      </c>
      <c r="S13" s="158">
        <v>7000</v>
      </c>
    </row>
    <row r="14" spans="1:24" s="53" customFormat="1" ht="22.2" customHeight="1">
      <c r="A14" s="119">
        <v>623</v>
      </c>
      <c r="B14" s="125">
        <v>4441</v>
      </c>
      <c r="C14" s="126">
        <v>32</v>
      </c>
      <c r="D14" s="127">
        <v>652</v>
      </c>
      <c r="E14" s="125">
        <v>4356</v>
      </c>
      <c r="F14" s="126">
        <v>28</v>
      </c>
      <c r="G14" s="127">
        <v>672</v>
      </c>
      <c r="H14" s="125">
        <v>6127</v>
      </c>
      <c r="I14" s="124">
        <v>28</v>
      </c>
      <c r="J14" s="127">
        <v>692</v>
      </c>
      <c r="K14" s="125">
        <v>370</v>
      </c>
      <c r="L14" s="133">
        <v>27</v>
      </c>
      <c r="M14" s="161"/>
      <c r="N14" s="163"/>
      <c r="O14" s="164"/>
      <c r="P14" s="165"/>
      <c r="Q14" s="166"/>
      <c r="S14" s="158"/>
    </row>
    <row r="15" spans="1:24" s="53" customFormat="1" ht="22.2" customHeight="1">
      <c r="A15" s="122">
        <v>624</v>
      </c>
      <c r="B15" s="125">
        <v>2299</v>
      </c>
      <c r="C15" s="126">
        <v>28</v>
      </c>
      <c r="D15" s="128">
        <v>653</v>
      </c>
      <c r="E15" s="125">
        <v>0</v>
      </c>
      <c r="F15" s="126">
        <v>24</v>
      </c>
      <c r="G15" s="127">
        <v>673</v>
      </c>
      <c r="H15" s="125">
        <v>1097</v>
      </c>
      <c r="I15" s="124">
        <v>28</v>
      </c>
      <c r="J15" s="127">
        <v>693</v>
      </c>
      <c r="K15" s="125">
        <v>4134</v>
      </c>
      <c r="L15" s="133">
        <v>30</v>
      </c>
      <c r="M15" s="161"/>
      <c r="N15" s="163"/>
      <c r="O15" s="164"/>
      <c r="P15" s="165"/>
      <c r="Q15" s="166"/>
      <c r="R15" s="55"/>
      <c r="S15" s="158"/>
    </row>
    <row r="16" spans="1:24" s="53" customFormat="1" ht="22.2" customHeight="1">
      <c r="A16" s="122" t="s">
        <v>80</v>
      </c>
      <c r="B16" s="125">
        <v>0</v>
      </c>
      <c r="C16" s="126">
        <v>28</v>
      </c>
      <c r="D16" s="127">
        <v>654</v>
      </c>
      <c r="E16" s="125">
        <v>3929</v>
      </c>
      <c r="F16" s="126">
        <v>26</v>
      </c>
      <c r="G16" s="127">
        <v>674</v>
      </c>
      <c r="H16" s="125">
        <v>0</v>
      </c>
      <c r="I16" s="124">
        <v>28</v>
      </c>
      <c r="J16" s="127">
        <v>694</v>
      </c>
      <c r="K16" s="125">
        <v>1696</v>
      </c>
      <c r="L16" s="133">
        <v>29</v>
      </c>
      <c r="M16" s="161"/>
      <c r="Q16" s="55"/>
      <c r="R16" s="55"/>
      <c r="S16" s="55"/>
    </row>
    <row r="17" spans="1:19" s="53" customFormat="1" ht="22.2" customHeight="1">
      <c r="A17" s="122" t="s">
        <v>26</v>
      </c>
      <c r="B17" s="125">
        <v>0</v>
      </c>
      <c r="C17" s="126">
        <v>32</v>
      </c>
      <c r="D17" s="128">
        <v>655</v>
      </c>
      <c r="E17" s="125">
        <v>189</v>
      </c>
      <c r="F17" s="126">
        <v>29</v>
      </c>
      <c r="G17" s="127">
        <v>675</v>
      </c>
      <c r="H17" s="125">
        <v>67.510000000000005</v>
      </c>
      <c r="I17" s="133">
        <v>25</v>
      </c>
      <c r="J17" s="127">
        <v>695</v>
      </c>
      <c r="K17" s="125">
        <v>6890</v>
      </c>
      <c r="L17" s="133">
        <v>28</v>
      </c>
      <c r="M17" s="161"/>
      <c r="Q17" s="55"/>
      <c r="R17" s="55"/>
      <c r="S17" s="55"/>
    </row>
    <row r="18" spans="1:19" s="53" customFormat="1" ht="22.2" customHeight="1">
      <c r="A18" s="122" t="s">
        <v>27</v>
      </c>
      <c r="B18" s="125">
        <v>0</v>
      </c>
      <c r="C18" s="126">
        <v>24</v>
      </c>
      <c r="D18" s="127">
        <v>656</v>
      </c>
      <c r="E18" s="125">
        <v>3105</v>
      </c>
      <c r="F18" s="126">
        <v>29</v>
      </c>
      <c r="G18" s="127">
        <v>676</v>
      </c>
      <c r="H18" s="125">
        <v>5.61</v>
      </c>
      <c r="I18" s="133">
        <v>25</v>
      </c>
      <c r="J18" s="127">
        <v>696</v>
      </c>
      <c r="K18" s="125">
        <v>6682</v>
      </c>
      <c r="L18" s="133">
        <v>29</v>
      </c>
      <c r="M18" s="161"/>
      <c r="Q18" s="55"/>
      <c r="R18" s="55"/>
      <c r="S18" s="55"/>
    </row>
    <row r="19" spans="1:19" s="53" customFormat="1" ht="22.2" customHeight="1">
      <c r="A19" s="122" t="s">
        <v>28</v>
      </c>
      <c r="B19" s="125">
        <v>0</v>
      </c>
      <c r="C19" s="126">
        <v>24</v>
      </c>
      <c r="D19" s="127">
        <v>657</v>
      </c>
      <c r="E19" s="125">
        <v>7057</v>
      </c>
      <c r="F19" s="126">
        <v>30</v>
      </c>
      <c r="G19" s="127">
        <v>677</v>
      </c>
      <c r="H19" s="125">
        <v>85.31</v>
      </c>
      <c r="I19" s="133">
        <v>25</v>
      </c>
      <c r="J19" s="127">
        <v>697</v>
      </c>
      <c r="K19" s="125">
        <v>10694</v>
      </c>
      <c r="L19" s="133">
        <v>29</v>
      </c>
      <c r="M19" s="161"/>
      <c r="Q19" s="55"/>
      <c r="R19" s="55"/>
      <c r="S19" s="55"/>
    </row>
    <row r="20" spans="1:19" s="53" customFormat="1" ht="22.2" customHeight="1">
      <c r="A20" s="122" t="s">
        <v>29</v>
      </c>
      <c r="B20" s="125">
        <v>4929</v>
      </c>
      <c r="C20" s="126">
        <v>28</v>
      </c>
      <c r="D20" s="128">
        <v>658</v>
      </c>
      <c r="E20" s="125">
        <v>6977</v>
      </c>
      <c r="F20" s="126">
        <v>31</v>
      </c>
      <c r="G20" s="127">
        <v>678</v>
      </c>
      <c r="H20" s="125">
        <v>55.11</v>
      </c>
      <c r="I20" s="133">
        <v>25</v>
      </c>
      <c r="J20" s="127">
        <v>698</v>
      </c>
      <c r="K20" s="125">
        <v>4504</v>
      </c>
      <c r="L20" s="133">
        <v>30</v>
      </c>
      <c r="M20" s="161"/>
      <c r="Q20" s="55"/>
      <c r="R20" s="55"/>
      <c r="S20" s="55"/>
    </row>
    <row r="21" spans="1:19" s="53" customFormat="1" ht="22.2" customHeight="1">
      <c r="A21" s="122" t="s">
        <v>30</v>
      </c>
      <c r="B21" s="125">
        <v>4961</v>
      </c>
      <c r="C21" s="126">
        <v>26</v>
      </c>
      <c r="D21" s="127">
        <v>659</v>
      </c>
      <c r="E21" s="125">
        <v>2546</v>
      </c>
      <c r="F21" s="126">
        <v>28</v>
      </c>
      <c r="G21" s="127">
        <v>680</v>
      </c>
      <c r="H21" s="125">
        <v>3749</v>
      </c>
      <c r="I21" s="133">
        <v>28</v>
      </c>
      <c r="J21" s="127">
        <v>699</v>
      </c>
      <c r="K21" s="125">
        <v>2336</v>
      </c>
      <c r="L21" s="133">
        <v>30</v>
      </c>
      <c r="M21" s="161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6195</v>
      </c>
      <c r="C22" s="130">
        <v>28</v>
      </c>
      <c r="D22" s="131">
        <v>660</v>
      </c>
      <c r="E22" s="130">
        <v>6535</v>
      </c>
      <c r="F22" s="132">
        <v>30</v>
      </c>
      <c r="G22" s="131"/>
      <c r="H22" s="130"/>
      <c r="I22" s="132"/>
      <c r="J22" s="131"/>
      <c r="K22" s="130"/>
      <c r="L22" s="132"/>
      <c r="M22" s="162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59"/>
      <c r="B24" s="159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176</v>
      </c>
    </row>
    <row r="25" spans="1:19" ht="20.100000000000001" customHeight="1" thickTop="1" thickBot="1">
      <c r="A25" s="114"/>
      <c r="B25" s="115" t="s">
        <v>160</v>
      </c>
      <c r="C25" s="116" t="s">
        <v>33</v>
      </c>
      <c r="D25" s="114" t="s">
        <v>31</v>
      </c>
      <c r="E25" s="115" t="s">
        <v>160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175</v>
      </c>
    </row>
    <row r="26" spans="1:19" ht="21.75" customHeight="1" thickTop="1">
      <c r="A26" s="119">
        <v>601</v>
      </c>
      <c r="B26" s="120">
        <v>6436</v>
      </c>
      <c r="C26" s="121">
        <v>31</v>
      </c>
      <c r="D26" s="122" t="s">
        <v>76</v>
      </c>
      <c r="E26" s="120">
        <v>7029</v>
      </c>
      <c r="F26" s="121">
        <v>22</v>
      </c>
      <c r="G26" s="119">
        <v>661</v>
      </c>
      <c r="H26" s="120">
        <v>5176</v>
      </c>
      <c r="I26" s="123">
        <v>30</v>
      </c>
      <c r="J26" s="119">
        <v>681</v>
      </c>
      <c r="K26" s="120">
        <v>2305</v>
      </c>
      <c r="L26" s="124">
        <v>31</v>
      </c>
      <c r="M26" s="160"/>
    </row>
    <row r="27" spans="1:19" ht="21.75" customHeight="1">
      <c r="A27" s="119">
        <v>602</v>
      </c>
      <c r="B27" s="120">
        <v>8974</v>
      </c>
      <c r="C27" s="121">
        <v>35</v>
      </c>
      <c r="D27" s="122" t="s">
        <v>77</v>
      </c>
      <c r="E27" s="120">
        <v>4870</v>
      </c>
      <c r="F27" s="121">
        <v>30</v>
      </c>
      <c r="G27" s="119">
        <v>662</v>
      </c>
      <c r="H27" s="120">
        <v>5276</v>
      </c>
      <c r="I27" s="123">
        <v>31</v>
      </c>
      <c r="J27" s="119">
        <v>682</v>
      </c>
      <c r="K27" s="120">
        <v>1970</v>
      </c>
      <c r="L27" s="133">
        <v>33</v>
      </c>
      <c r="M27" s="161"/>
    </row>
    <row r="28" spans="1:19" ht="21.75" customHeight="1">
      <c r="A28" s="119">
        <v>603</v>
      </c>
      <c r="B28" s="120">
        <v>6845</v>
      </c>
      <c r="C28" s="121">
        <v>30</v>
      </c>
      <c r="D28" s="122">
        <v>631</v>
      </c>
      <c r="E28" s="120">
        <v>286</v>
      </c>
      <c r="F28" s="121">
        <v>30</v>
      </c>
      <c r="G28" s="119">
        <v>663</v>
      </c>
      <c r="H28" s="120">
        <v>0</v>
      </c>
      <c r="I28" s="123">
        <v>35</v>
      </c>
      <c r="J28" s="119">
        <v>683</v>
      </c>
      <c r="K28" s="120">
        <v>1461</v>
      </c>
      <c r="L28" s="133">
        <v>33</v>
      </c>
      <c r="M28" s="161"/>
    </row>
    <row r="29" spans="1:19" ht="21.75" customHeight="1">
      <c r="A29" s="119" t="s">
        <v>78</v>
      </c>
      <c r="B29" s="125">
        <v>8918</v>
      </c>
      <c r="C29" s="126">
        <v>35</v>
      </c>
      <c r="D29" s="127">
        <v>632</v>
      </c>
      <c r="E29" s="125">
        <v>5826</v>
      </c>
      <c r="F29" s="126">
        <v>35</v>
      </c>
      <c r="G29" s="127">
        <v>664</v>
      </c>
      <c r="H29" s="120">
        <v>1658</v>
      </c>
      <c r="I29" s="124">
        <v>30</v>
      </c>
      <c r="J29" s="127">
        <v>684</v>
      </c>
      <c r="K29" s="125">
        <v>1570</v>
      </c>
      <c r="L29" s="133">
        <v>29</v>
      </c>
      <c r="M29" s="161"/>
    </row>
    <row r="30" spans="1:19" ht="21.75" customHeight="1">
      <c r="A30" s="119" t="s">
        <v>79</v>
      </c>
      <c r="B30" s="125">
        <v>8931</v>
      </c>
      <c r="C30" s="126">
        <v>37</v>
      </c>
      <c r="D30" s="127">
        <v>633</v>
      </c>
      <c r="E30" s="125">
        <v>151</v>
      </c>
      <c r="F30" s="126">
        <v>35</v>
      </c>
      <c r="G30" s="127">
        <v>665</v>
      </c>
      <c r="H30" s="125">
        <v>1389</v>
      </c>
      <c r="I30" s="124">
        <v>33</v>
      </c>
      <c r="J30" s="127">
        <v>685</v>
      </c>
      <c r="K30" s="125">
        <v>4923</v>
      </c>
      <c r="L30" s="133">
        <v>30</v>
      </c>
      <c r="M30" s="161"/>
    </row>
    <row r="31" spans="1:19" ht="21.75" customHeight="1">
      <c r="A31" s="119">
        <v>611</v>
      </c>
      <c r="B31" s="125">
        <v>29.12</v>
      </c>
      <c r="C31" s="134">
        <v>25</v>
      </c>
      <c r="D31" s="127">
        <v>634</v>
      </c>
      <c r="E31" s="125">
        <v>608</v>
      </c>
      <c r="F31" s="126">
        <v>30</v>
      </c>
      <c r="G31" s="127">
        <v>666</v>
      </c>
      <c r="H31" s="125">
        <v>6816</v>
      </c>
      <c r="I31" s="124">
        <v>30</v>
      </c>
      <c r="J31" s="127">
        <v>686</v>
      </c>
      <c r="K31" s="125">
        <v>5609</v>
      </c>
      <c r="L31" s="133">
        <v>32</v>
      </c>
      <c r="M31" s="161"/>
    </row>
    <row r="32" spans="1:19" ht="21.75" customHeight="1">
      <c r="A32" s="119">
        <v>612</v>
      </c>
      <c r="B32" s="125">
        <v>7.11</v>
      </c>
      <c r="C32" s="134">
        <v>25</v>
      </c>
      <c r="D32" s="127">
        <v>641</v>
      </c>
      <c r="E32" s="125">
        <v>4116</v>
      </c>
      <c r="F32" s="126">
        <v>34</v>
      </c>
      <c r="G32" s="127">
        <v>667</v>
      </c>
      <c r="H32" s="125">
        <v>850</v>
      </c>
      <c r="I32" s="124">
        <v>38</v>
      </c>
      <c r="J32" s="127">
        <v>687</v>
      </c>
      <c r="K32" s="125">
        <v>4353</v>
      </c>
      <c r="L32" s="133">
        <v>32</v>
      </c>
      <c r="M32" s="161"/>
    </row>
    <row r="33" spans="1:13" ht="21.75" customHeight="1">
      <c r="A33" s="119">
        <v>613</v>
      </c>
      <c r="B33" s="125">
        <v>85.21</v>
      </c>
      <c r="C33" s="134">
        <v>25</v>
      </c>
      <c r="D33" s="127">
        <v>642</v>
      </c>
      <c r="E33" s="125">
        <v>4384</v>
      </c>
      <c r="F33" s="126">
        <v>31</v>
      </c>
      <c r="G33" s="127">
        <v>668</v>
      </c>
      <c r="H33" s="125">
        <v>5394</v>
      </c>
      <c r="I33" s="124">
        <v>32</v>
      </c>
      <c r="J33" s="127">
        <v>688</v>
      </c>
      <c r="K33" s="125">
        <v>544</v>
      </c>
      <c r="L33" s="133">
        <v>31</v>
      </c>
      <c r="M33" s="161"/>
    </row>
    <row r="34" spans="1:13" ht="21.75" customHeight="1">
      <c r="A34" s="119">
        <v>614</v>
      </c>
      <c r="B34" s="125">
        <v>37.01</v>
      </c>
      <c r="C34" s="134">
        <v>25</v>
      </c>
      <c r="D34" s="127">
        <v>643</v>
      </c>
      <c r="E34" s="125">
        <v>2163</v>
      </c>
      <c r="F34" s="126">
        <v>31</v>
      </c>
      <c r="G34" s="127">
        <v>669</v>
      </c>
      <c r="H34" s="125">
        <v>1289</v>
      </c>
      <c r="I34" s="124">
        <v>33</v>
      </c>
      <c r="J34" s="127">
        <v>689</v>
      </c>
      <c r="K34" s="125">
        <v>4317</v>
      </c>
      <c r="L34" s="133">
        <v>30</v>
      </c>
      <c r="M34" s="161"/>
    </row>
    <row r="35" spans="1:13" ht="21.75" customHeight="1">
      <c r="A35" s="119">
        <v>621</v>
      </c>
      <c r="B35" s="125">
        <v>2802</v>
      </c>
      <c r="C35" s="126">
        <v>32</v>
      </c>
      <c r="D35" s="127">
        <v>645</v>
      </c>
      <c r="E35" s="125">
        <v>4829</v>
      </c>
      <c r="F35" s="126">
        <v>31</v>
      </c>
      <c r="G35" s="127">
        <v>670</v>
      </c>
      <c r="H35" s="125">
        <v>-9908</v>
      </c>
      <c r="I35" s="124">
        <v>33</v>
      </c>
      <c r="J35" s="127">
        <v>690</v>
      </c>
      <c r="K35" s="125">
        <v>965</v>
      </c>
      <c r="L35" s="124">
        <v>30</v>
      </c>
      <c r="M35" s="161"/>
    </row>
    <row r="36" spans="1:13" ht="21.75" customHeight="1">
      <c r="A36" s="119">
        <v>622</v>
      </c>
      <c r="B36" s="125">
        <v>6109</v>
      </c>
      <c r="C36" s="126">
        <v>31</v>
      </c>
      <c r="D36" s="127">
        <v>651</v>
      </c>
      <c r="E36" s="125">
        <v>3007</v>
      </c>
      <c r="F36" s="126">
        <v>30</v>
      </c>
      <c r="G36" s="127">
        <v>671</v>
      </c>
      <c r="H36" s="125">
        <v>0</v>
      </c>
      <c r="I36" s="124">
        <v>34</v>
      </c>
      <c r="J36" s="127">
        <v>691</v>
      </c>
      <c r="K36" s="125">
        <v>4030</v>
      </c>
      <c r="L36" s="133">
        <v>31</v>
      </c>
      <c r="M36" s="161"/>
    </row>
    <row r="37" spans="1:13" ht="21.75" customHeight="1">
      <c r="A37" s="119">
        <v>623</v>
      </c>
      <c r="B37" s="125">
        <v>3521</v>
      </c>
      <c r="C37" s="126">
        <v>37</v>
      </c>
      <c r="D37" s="127">
        <v>652</v>
      </c>
      <c r="E37" s="125">
        <v>4399</v>
      </c>
      <c r="F37" s="126">
        <v>30</v>
      </c>
      <c r="G37" s="127">
        <v>672</v>
      </c>
      <c r="H37" s="125">
        <v>6135</v>
      </c>
      <c r="I37" s="124">
        <v>30</v>
      </c>
      <c r="J37" s="127">
        <v>692</v>
      </c>
      <c r="K37" s="125">
        <v>366</v>
      </c>
      <c r="L37" s="133">
        <v>31</v>
      </c>
      <c r="M37" s="161"/>
    </row>
    <row r="38" spans="1:13" ht="21.75" customHeight="1">
      <c r="A38" s="122">
        <v>624</v>
      </c>
      <c r="B38" s="125">
        <v>2282</v>
      </c>
      <c r="C38" s="126">
        <v>32</v>
      </c>
      <c r="D38" s="128">
        <v>653</v>
      </c>
      <c r="E38" s="125">
        <v>0</v>
      </c>
      <c r="F38" s="126">
        <v>30</v>
      </c>
      <c r="G38" s="127">
        <v>673</v>
      </c>
      <c r="H38" s="125">
        <v>1098</v>
      </c>
      <c r="I38" s="124">
        <v>33</v>
      </c>
      <c r="J38" s="127">
        <v>693</v>
      </c>
      <c r="K38" s="125">
        <v>3893</v>
      </c>
      <c r="L38" s="133">
        <v>31</v>
      </c>
      <c r="M38" s="161"/>
    </row>
    <row r="39" spans="1:13" ht="21.75" customHeight="1">
      <c r="A39" s="122" t="s">
        <v>80</v>
      </c>
      <c r="B39" s="125">
        <v>1107</v>
      </c>
      <c r="C39" s="126">
        <v>32</v>
      </c>
      <c r="D39" s="127">
        <v>654</v>
      </c>
      <c r="E39" s="125">
        <v>3933</v>
      </c>
      <c r="F39" s="126">
        <v>30</v>
      </c>
      <c r="G39" s="127">
        <v>674</v>
      </c>
      <c r="H39" s="125">
        <v>0</v>
      </c>
      <c r="I39" s="124">
        <v>32</v>
      </c>
      <c r="J39" s="127">
        <v>694</v>
      </c>
      <c r="K39" s="125">
        <v>1694</v>
      </c>
      <c r="L39" s="133">
        <v>32</v>
      </c>
      <c r="M39" s="161"/>
    </row>
    <row r="40" spans="1:13" ht="21.75" customHeight="1">
      <c r="A40" s="122" t="s">
        <v>26</v>
      </c>
      <c r="B40" s="125">
        <v>0</v>
      </c>
      <c r="C40" s="126">
        <v>38</v>
      </c>
      <c r="D40" s="128">
        <v>655</v>
      </c>
      <c r="E40" s="125">
        <v>191</v>
      </c>
      <c r="F40" s="126">
        <v>32</v>
      </c>
      <c r="G40" s="127">
        <v>675</v>
      </c>
      <c r="H40" s="125">
        <v>84.72</v>
      </c>
      <c r="I40" s="133">
        <v>25</v>
      </c>
      <c r="J40" s="127">
        <v>695</v>
      </c>
      <c r="K40" s="125">
        <v>6563</v>
      </c>
      <c r="L40" s="133">
        <v>31</v>
      </c>
      <c r="M40" s="161"/>
    </row>
    <row r="41" spans="1:13" ht="21.75" customHeight="1">
      <c r="A41" s="122" t="s">
        <v>27</v>
      </c>
      <c r="B41" s="125">
        <v>0</v>
      </c>
      <c r="C41" s="126">
        <v>27</v>
      </c>
      <c r="D41" s="127">
        <v>656</v>
      </c>
      <c r="E41" s="125">
        <v>3107</v>
      </c>
      <c r="F41" s="126">
        <v>30</v>
      </c>
      <c r="G41" s="127">
        <v>676</v>
      </c>
      <c r="H41" s="125">
        <v>31.41</v>
      </c>
      <c r="I41" s="133">
        <v>25</v>
      </c>
      <c r="J41" s="127">
        <v>696</v>
      </c>
      <c r="K41" s="125">
        <v>6682</v>
      </c>
      <c r="L41" s="133">
        <v>32</v>
      </c>
      <c r="M41" s="161"/>
    </row>
    <row r="42" spans="1:13" ht="21.75" customHeight="1">
      <c r="A42" s="122" t="s">
        <v>28</v>
      </c>
      <c r="B42" s="125">
        <v>0</v>
      </c>
      <c r="C42" s="126">
        <v>36</v>
      </c>
      <c r="D42" s="127">
        <v>657</v>
      </c>
      <c r="E42" s="125">
        <v>7076</v>
      </c>
      <c r="F42" s="126">
        <v>30</v>
      </c>
      <c r="G42" s="127">
        <v>677</v>
      </c>
      <c r="H42" s="125">
        <v>85.42</v>
      </c>
      <c r="I42" s="133">
        <v>25</v>
      </c>
      <c r="J42" s="127">
        <v>697</v>
      </c>
      <c r="K42" s="125">
        <v>10393</v>
      </c>
      <c r="L42" s="133">
        <v>32</v>
      </c>
      <c r="M42" s="161"/>
    </row>
    <row r="43" spans="1:13" ht="21.75" customHeight="1">
      <c r="A43" s="122" t="s">
        <v>29</v>
      </c>
      <c r="B43" s="125">
        <v>842</v>
      </c>
      <c r="C43" s="126">
        <v>33</v>
      </c>
      <c r="D43" s="128">
        <v>658</v>
      </c>
      <c r="E43" s="125">
        <v>5805</v>
      </c>
      <c r="F43" s="126">
        <v>33</v>
      </c>
      <c r="G43" s="127">
        <v>678</v>
      </c>
      <c r="H43" s="125">
        <v>55.22</v>
      </c>
      <c r="I43" s="133">
        <v>25</v>
      </c>
      <c r="J43" s="127">
        <v>698</v>
      </c>
      <c r="K43" s="125">
        <v>4499</v>
      </c>
      <c r="L43" s="133">
        <v>34</v>
      </c>
      <c r="M43" s="161"/>
    </row>
    <row r="44" spans="1:13" ht="21.75" customHeight="1">
      <c r="A44" s="122" t="s">
        <v>30</v>
      </c>
      <c r="B44" s="125">
        <v>4968</v>
      </c>
      <c r="C44" s="126">
        <v>26</v>
      </c>
      <c r="D44" s="127">
        <v>659</v>
      </c>
      <c r="E44" s="125">
        <v>1830</v>
      </c>
      <c r="F44" s="126">
        <v>29</v>
      </c>
      <c r="G44" s="127">
        <v>680</v>
      </c>
      <c r="H44" s="125">
        <v>3752</v>
      </c>
      <c r="I44" s="133">
        <v>32</v>
      </c>
      <c r="J44" s="127">
        <v>699</v>
      </c>
      <c r="K44" s="125">
        <v>1274</v>
      </c>
      <c r="L44" s="133">
        <v>33</v>
      </c>
      <c r="M44" s="161"/>
    </row>
    <row r="45" spans="1:13" ht="21.75" customHeight="1" thickBot="1">
      <c r="A45" s="129" t="s">
        <v>81</v>
      </c>
      <c r="B45" s="130">
        <v>6204</v>
      </c>
      <c r="C45" s="130">
        <v>30</v>
      </c>
      <c r="D45" s="131">
        <v>660</v>
      </c>
      <c r="E45" s="130">
        <v>6868</v>
      </c>
      <c r="F45" s="132">
        <v>31</v>
      </c>
      <c r="G45" s="131"/>
      <c r="H45" s="130"/>
      <c r="I45" s="132"/>
      <c r="J45" s="131"/>
      <c r="K45" s="130"/>
      <c r="L45" s="132"/>
      <c r="M45" s="162"/>
    </row>
    <row r="46" spans="1:13" ht="16.2" thickTop="1"/>
  </sheetData>
  <sheetProtection selectLockedCells="1"/>
  <mergeCells count="9">
    <mergeCell ref="S13:S15"/>
    <mergeCell ref="A24:B24"/>
    <mergeCell ref="M26:M45"/>
    <mergeCell ref="A1:B1"/>
    <mergeCell ref="M3:M22"/>
    <mergeCell ref="N13:N15"/>
    <mergeCell ref="O13:O15"/>
    <mergeCell ref="P13:P15"/>
    <mergeCell ref="Q13:Q15"/>
  </mergeCells>
  <phoneticPr fontId="2" type="noConversion"/>
  <dataValidations count="8">
    <dataValidation type="custom" errorStyle="warning" allowBlank="1" showInputMessage="1" showErrorMessage="1" error="***你在睡喔,醒醒好嗎" sqref="B6:B7 B4 B15 B38 E8 B29:B30 B27 E31">
      <formula1>B4&lt;=9100</formula1>
    </dataValidation>
    <dataValidation type="custom" errorStyle="warning" allowBlank="1" showInputMessage="1" showErrorMessage="1" error="***你在睡喔,醒醒好嗎" sqref="B8:B11 H40:H43 H17:H20 B31:B34">
      <formula1>B8&lt;=100</formula1>
    </dataValidation>
    <dataValidation type="custom" errorStyle="warning" allowBlank="1" showInputMessage="1" showErrorMessage="1" error="***你在睡喔,醒醒好嗎" sqref="B16:B22 H3:H16 E20:E22 E3:E4 E26:E27 B39:B45 E43:E45 H26:H39">
      <formula1>B3&lt;=7400</formula1>
    </dataValidation>
    <dataValidation type="custom" errorStyle="warning" allowBlank="1" showInputMessage="1" showErrorMessage="1" error="***你在睡喔,醒醒好嗎" sqref="E14:E19 E37:E42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28 B12:B13 B3 K14:K17 B5 K37:K40 B35:B36 B26 E28:E29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3:K11 E9:E13 K13 K26:K34 K36 B37 E30 E32:E36">
      <formula1>B3&lt;=5600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60960</xdr:colOff>
                <xdr:row>15</xdr:row>
                <xdr:rowOff>198120</xdr:rowOff>
              </from>
              <to>
                <xdr:col>15</xdr:col>
                <xdr:colOff>525780</xdr:colOff>
                <xdr:row>22</xdr:row>
                <xdr:rowOff>388620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4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N9" sqref="N9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1.0659000000000001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1.0648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1.0637000000000001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1.0603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1.0528999999999999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1.0556000000000001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1.0516000000000001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1.0506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1.0494000000000001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1.0483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1.0469999999999999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1.0454000000000001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1.0448999999999999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1.0437000000000001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1.0409999999999999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1.0388999999999999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1.0377000000000001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1.0366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1.0355099999999999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1.0344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1.03329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1.0321800000000001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1.0310699999999999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1.02996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1.0287999999999999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1.0277000000000001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1.0265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1.0254000000000001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1.0265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1.0277000000000001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1.0287999999999999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1.0310999999999999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1.0322199999999999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1.0333600000000001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1.0345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1.0356399999999999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1.03678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6.8" thickTop="1">
      <c r="B52" s="49"/>
      <c r="C52" s="49"/>
      <c r="D52" s="49"/>
      <c r="E52" s="49"/>
      <c r="F52" s="49"/>
      <c r="G52" s="49"/>
      <c r="H52" s="49"/>
      <c r="I52" s="49"/>
      <c r="J52" s="49"/>
      <c r="U52" s="8"/>
    </row>
    <row r="53" spans="1:24">
      <c r="U53" s="8"/>
    </row>
    <row r="54" spans="1:24">
      <c r="U54" s="8"/>
    </row>
    <row r="55" spans="1:24">
      <c r="U55" s="8"/>
    </row>
    <row r="56" spans="1:24">
      <c r="U56" s="8"/>
    </row>
    <row r="57" spans="1:24">
      <c r="U57" s="8"/>
    </row>
    <row r="58" spans="1:24">
      <c r="U58" s="8"/>
    </row>
    <row r="59" spans="1:24">
      <c r="U59" s="8"/>
    </row>
    <row r="60" spans="1:24">
      <c r="U60" s="8"/>
    </row>
    <row r="61" spans="1:24">
      <c r="U61" s="8"/>
    </row>
    <row r="62" spans="1:24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  <row r="94" spans="21:21">
      <c r="U94" s="8"/>
    </row>
  </sheetData>
  <phoneticPr fontId="2" type="noConversion"/>
  <pageMargins left="0.42" right="0.2" top="0.36" bottom="0.43" header="0.5" footer="0.5"/>
  <pageSetup paperSize="9" scale="48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91">
    <pageSetUpPr fitToPage="1"/>
  </sheetPr>
  <dimension ref="A1:CU223"/>
  <sheetViews>
    <sheetView view="pageBreakPreview" topLeftCell="A19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45869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43" t="s" ph="1">
        <v>178</v>
      </c>
      <c r="D6" s="71">
        <v>6473</v>
      </c>
      <c r="E6" s="71">
        <v>7985</v>
      </c>
      <c r="F6" s="71">
        <v>5835</v>
      </c>
      <c r="G6" s="71">
        <v>3320</v>
      </c>
      <c r="H6" s="71">
        <v>9137</v>
      </c>
      <c r="I6" s="71">
        <v>40.51</v>
      </c>
      <c r="J6" s="71">
        <v>7.82</v>
      </c>
      <c r="K6" s="71">
        <v>52.46</v>
      </c>
      <c r="L6" s="71">
        <v>30.32</v>
      </c>
      <c r="M6" s="71">
        <v>3944</v>
      </c>
      <c r="N6" s="71">
        <v>1176</v>
      </c>
      <c r="O6" s="71">
        <v>4909</v>
      </c>
      <c r="P6" s="71">
        <v>1980</v>
      </c>
      <c r="Q6" s="71">
        <v>6194</v>
      </c>
      <c r="R6" s="71">
        <v>4649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6708</v>
      </c>
      <c r="Z6" s="71">
        <v>3920</v>
      </c>
      <c r="AA6" s="71">
        <v>555</v>
      </c>
      <c r="AB6" s="71">
        <v>1192</v>
      </c>
      <c r="AC6" s="71">
        <v>530</v>
      </c>
      <c r="AD6" s="71">
        <v>3589</v>
      </c>
      <c r="AE6" s="71">
        <v>1303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202898.29170258</v>
      </c>
      <c r="E7" s="73" ph="1">
        <f>E6*51.53*LOOKUP(E8,密度!$A$2:$A$50,密度!$B$2:$B$50)</f>
        <v>320409.39183499996</v>
      </c>
      <c r="F7" s="73" ph="1">
        <f>F6*33.183*LOOKUP(F8,密度!$A$2:$A$50,密度!$C$2:$C$50)</f>
        <v>214417.89425699998</v>
      </c>
      <c r="G7" s="73" ph="1">
        <f xml:space="preserve"> (G6+2)*51.53*LOOKUP(G8,密度!$A$2:$A$50,密度!$B$2:$B$50)</f>
        <v>133299.93734199999</v>
      </c>
      <c r="H7" s="73" ph="1">
        <f>(H6)*51.53*LOOKUP(H8,密度!$A$2:$A$50,密度!$B$2:$B$50)</f>
        <v>367906.257254</v>
      </c>
      <c r="I7" s="73" ph="1">
        <f>I6*290.8*1.0267</f>
        <v>12094.842223599999</v>
      </c>
      <c r="J7" s="73" ph="1">
        <f>J6*290.8*0.7892</f>
        <v>1794.6849952</v>
      </c>
      <c r="K7" s="73" ph="1">
        <f>K6*290.8*1.1126</f>
        <v>16973.1224368</v>
      </c>
      <c r="L7" s="73" ph="1">
        <f>L6*290.8*0.777</f>
        <v>6850.8525120000004</v>
      </c>
      <c r="M7" s="73" ph="1">
        <f>M6*33.183*LOOKUP(M8,密度!$A$2:$A$50,密度!$D$2:$D$50)</f>
        <v>134368.0811784</v>
      </c>
      <c r="N7" s="73" ph="1">
        <f>N6*33.183*LOOKUP(N8,密度!$A$2:$A$50,密度!$E$2:$E$50)</f>
        <v>30520.050976800001</v>
      </c>
      <c r="O7" s="73" ph="1">
        <f>O6*20.428*LOOKUP(O8,密度!$A$2:$A$50,密度!$C$2:$C$50)</f>
        <v>110820.59056520001</v>
      </c>
      <c r="P7" s="73" ph="1">
        <f>P6*51.53*LOOKUP(P8,密度!$A$2:$A$50,密度!$B$2:$B$50)</f>
        <v>79633.9467</v>
      </c>
      <c r="Q7" s="73" ph="1">
        <f>Q6*1.5*1.5*3.1416*LOOKUP(W8,密度!$A$2:$A$50,密度!$L$2:$L$50)</f>
        <v>41024.585170800005</v>
      </c>
      <c r="R7" s="73" ph="1">
        <f>R6*1.5*1.5*3.1416*LOOKUP(R8,密度!$A$2:$A$50,密度!$L$2:$L$50)</f>
        <v>30561.586902000003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44428.950165599999</v>
      </c>
      <c r="Z7" s="73" ph="1">
        <f>Z6*33.183*LOOKUP(Z8,密度!$A$2:$A$50,密度!$L$2:$L$50)</f>
        <v>122402.79575999999</v>
      </c>
      <c r="AA7" s="73" ph="1">
        <f>AA6*33.183*LOOKUP(AA8,密度!$A$2:$A$50,密度!$D$2:$D$50)</f>
        <v>18943.278758999997</v>
      </c>
      <c r="AB7" s="73" ph="1">
        <f>AB6*20.428*LOOKUP(AB8,密度!$A$2:$A$50,密度!$D$2:$D$50)</f>
        <v>25134.251667199998</v>
      </c>
      <c r="AC7" s="73" ph="1">
        <f>AC6*51.53*LOOKUP(AC8,密度!$A$2:$A$50,密度!$Q$2:$Q$50)</f>
        <v>25920.502081000002</v>
      </c>
      <c r="AD7" s="73" ph="1">
        <f>AD6*20.428*LOOKUP(AD8,密度!$A$2:$A$50,密度!$V$2:$V$50)</f>
        <v>70207.489699199999</v>
      </c>
      <c r="AE7" s="73" ph="1">
        <f>AE6*20.428</f>
        <v>26617.684000000001</v>
      </c>
    </row>
    <row r="8" spans="1:99" ph="1">
      <c r="B8" s="233" ph="1"/>
      <c r="C8" s="68" t="s" ph="1">
        <v>180</v>
      </c>
      <c r="D8" s="74">
        <v>28</v>
      </c>
      <c r="E8" s="74">
        <v>26</v>
      </c>
      <c r="F8" s="74">
        <v>27</v>
      </c>
      <c r="G8" s="74">
        <v>26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26</v>
      </c>
      <c r="O8" s="74">
        <v>30</v>
      </c>
      <c r="P8" s="74">
        <v>24</v>
      </c>
      <c r="Q8" s="74">
        <v>26</v>
      </c>
      <c r="R8" s="74">
        <v>32</v>
      </c>
      <c r="S8" s="74">
        <v>21</v>
      </c>
      <c r="T8" s="74">
        <v>20</v>
      </c>
      <c r="U8" s="74">
        <v>25</v>
      </c>
      <c r="V8" s="74">
        <v>24</v>
      </c>
      <c r="W8" s="74">
        <v>25</v>
      </c>
      <c r="X8" s="74">
        <v>19</v>
      </c>
      <c r="Y8" s="74">
        <v>25</v>
      </c>
      <c r="Z8" s="74">
        <v>21</v>
      </c>
      <c r="AA8" s="74">
        <v>23</v>
      </c>
      <c r="AB8" s="74">
        <v>19</v>
      </c>
      <c r="AC8" s="74">
        <v>22</v>
      </c>
      <c r="AD8" s="74">
        <v>27</v>
      </c>
      <c r="AE8" s="74">
        <v>26</v>
      </c>
    </row>
    <row r="9" spans="1:99" ht="26.4" ph="1">
      <c r="B9" s="233" ph="1">
        <v>0.66666666666666663</v>
      </c>
      <c r="C9" s="143" t="s" ph="1">
        <v>181</v>
      </c>
      <c r="D9" s="71">
        <v>6471</v>
      </c>
      <c r="E9" s="71">
        <v>7980</v>
      </c>
      <c r="F9" s="71">
        <v>5582</v>
      </c>
      <c r="G9" s="71">
        <v>3996</v>
      </c>
      <c r="H9" s="71">
        <v>9137</v>
      </c>
      <c r="I9" s="71">
        <v>40.56</v>
      </c>
      <c r="J9" s="71">
        <v>7.82</v>
      </c>
      <c r="K9" s="71">
        <v>47.45</v>
      </c>
      <c r="L9" s="71">
        <v>9.6199999999999992</v>
      </c>
      <c r="M9" s="71">
        <v>3942</v>
      </c>
      <c r="N9" s="71">
        <v>1141</v>
      </c>
      <c r="O9" s="71">
        <v>5372</v>
      </c>
      <c r="P9" s="71">
        <v>1770</v>
      </c>
      <c r="Q9" s="71">
        <v>7174</v>
      </c>
      <c r="R9" s="71">
        <v>5227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3731</v>
      </c>
      <c r="Z9" s="71">
        <v>1649</v>
      </c>
      <c r="AA9" s="71">
        <v>555</v>
      </c>
      <c r="AB9" s="71">
        <v>1190</v>
      </c>
      <c r="AC9" s="71">
        <v>528</v>
      </c>
      <c r="AD9" s="71">
        <v>3584</v>
      </c>
      <c r="AE9" s="71">
        <v>1565</v>
      </c>
    </row>
    <row r="10" spans="1:99" s="72" customFormat="1" ht="22.2" ph="1">
      <c r="B10" s="233" ph="1"/>
      <c r="C10" s="143" t="s" ph="1">
        <v>179</v>
      </c>
      <c r="D10" s="73" ph="1">
        <f>D9*33.183*LOOKUP(D11,密度!$A$2:$A$50,密度!$Q$2:$Q$50)</f>
        <v>202835.60105165999</v>
      </c>
      <c r="E10" s="73" ph="1">
        <f>E9*51.53*LOOKUP(E11,密度!$A$2:$A$50,密度!$B$2:$B$50)</f>
        <v>319509.70380000002</v>
      </c>
      <c r="F10" s="73" ph="1">
        <f>F9*33.183*LOOKUP(F11,密度!$A$2:$A$50,密度!$C$2:$C$50)</f>
        <v>204972.75813959999</v>
      </c>
      <c r="G10" s="73" ph="1">
        <f xml:space="preserve"> (G9+2)*51.53*LOOKUP(G11,密度!$A$2:$A$50,密度!$B$2:$B$50)</f>
        <v>160075.16237999999</v>
      </c>
      <c r="H10" s="73" ph="1">
        <f>(H9)*51.53*LOOKUP(H11,密度!$A$2:$A$50,密度!$B$2:$B$50)</f>
        <v>367482.51060499996</v>
      </c>
      <c r="I10" s="73" ph="1">
        <f>I9*290.8*1.0267</f>
        <v>12109.770441600002</v>
      </c>
      <c r="J10" s="73" ph="1">
        <f>J9*290.8*0.7892</f>
        <v>1794.6849952</v>
      </c>
      <c r="K10" s="73" ph="1">
        <f>K9*290.8*1.1126</f>
        <v>15352.166596000001</v>
      </c>
      <c r="L10" s="73" ph="1">
        <f>L9*290.8*0.777</f>
        <v>2173.6543919999999</v>
      </c>
      <c r="M10" s="73" ph="1">
        <f>M9*33.183*LOOKUP(M11,密度!$A$2:$A$50,密度!$D$2:$D$50)</f>
        <v>133802.87513939998</v>
      </c>
      <c r="N10" s="73" ph="1">
        <f>N9*33.183*LOOKUP(N11,密度!$A$2:$A$50,密度!$E$2:$E$50)</f>
        <v>29524.633979400001</v>
      </c>
      <c r="O10" s="73" ph="1">
        <f>O9*20.428*LOOKUP(O11,密度!$A$2:$A$50,密度!$C$2:$C$50)</f>
        <v>121163.06838560001</v>
      </c>
      <c r="P10" s="73" ph="1">
        <f>P9*51.53*LOOKUP(P11,密度!$A$2:$A$50,密度!$B$2:$B$50)</f>
        <v>70950.780990000014</v>
      </c>
      <c r="Q10" s="73" ph="1">
        <f>Q9*1.5*1.5*3.1416*LOOKUP(W11,密度!$A$2:$A$50,密度!$L$2:$L$50)</f>
        <v>47261.847124799999</v>
      </c>
      <c r="R10" s="73" ph="1">
        <f>R9*1.5*1.5*3.1416*LOOKUP(R11,密度!$A$2:$A$50,密度!$L$2:$L$50)</f>
        <v>34361.242146000004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24658.705071</v>
      </c>
      <c r="Z10" s="73" ph="1">
        <f>Z9*33.183*LOOKUP(Z11,密度!$A$2:$A$50,密度!$L$2:$L$50)</f>
        <v>51326.203446</v>
      </c>
      <c r="AA10" s="73" ph="1">
        <f>AA9*33.183*LOOKUP(AA11,密度!$A$2:$A$50,密度!$D$2:$D$50)</f>
        <v>18838.304338499998</v>
      </c>
      <c r="AB10" s="73" ph="1">
        <f>AB9*20.428*LOOKUP(AB11,密度!$A$2:$A$50,密度!$D$2:$D$50)</f>
        <v>25050.754259999998</v>
      </c>
      <c r="AC10" s="73" ph="1">
        <f>AC9*51.53*LOOKUP(AC11,密度!$A$2:$A$50,密度!$Q$2:$Q$50)</f>
        <v>25720.115308800003</v>
      </c>
      <c r="AD10" s="73" ph="1">
        <f>AD9*20.428*LOOKUP(AD11,密度!$A$2:$A$50,密度!$V$2:$V$50)</f>
        <v>70109.680435200004</v>
      </c>
      <c r="AE10" s="73" ph="1">
        <f>AE9*20.428</f>
        <v>31969.82</v>
      </c>
    </row>
    <row r="11" spans="1:99" ph="1">
      <c r="A11" s="64" t="s" ph="1">
        <v>163</v>
      </c>
      <c r="B11" s="233" ph="1"/>
      <c r="C11" s="143" t="s" ph="1">
        <v>180</v>
      </c>
      <c r="D11" s="74">
        <v>28</v>
      </c>
      <c r="E11" s="74">
        <v>28</v>
      </c>
      <c r="F11" s="74">
        <v>28</v>
      </c>
      <c r="G11" s="74">
        <v>28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28</v>
      </c>
      <c r="O11" s="74">
        <v>31</v>
      </c>
      <c r="P11" s="74">
        <v>27</v>
      </c>
      <c r="Q11" s="74">
        <v>27</v>
      </c>
      <c r="R11" s="74">
        <v>32</v>
      </c>
      <c r="S11" s="74">
        <v>25</v>
      </c>
      <c r="T11" s="74">
        <v>25</v>
      </c>
      <c r="U11" s="74">
        <v>27</v>
      </c>
      <c r="V11" s="74">
        <v>27</v>
      </c>
      <c r="W11" s="74">
        <v>30</v>
      </c>
      <c r="X11" s="74">
        <v>22</v>
      </c>
      <c r="Y11" s="74">
        <v>27</v>
      </c>
      <c r="Z11" s="74">
        <v>24</v>
      </c>
      <c r="AA11" s="74">
        <v>29</v>
      </c>
      <c r="AB11" s="74">
        <v>21</v>
      </c>
      <c r="AC11" s="74">
        <v>27</v>
      </c>
      <c r="AD11" s="74">
        <v>28</v>
      </c>
      <c r="AE11" s="74">
        <v>34</v>
      </c>
    </row>
    <row r="12" spans="1:99" ht="9.9" customHeight="1" ph="1"/>
    <row r="13" spans="1:99" s="72" customFormat="1" ht="29.25" customHeight="1" ph="1">
      <c r="B13" s="210" t="s" ph="1">
        <v>37</v>
      </c>
      <c r="C13" s="14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140" t="s" ph="1">
        <v>642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43" t="s" ph="1">
        <v>178</v>
      </c>
      <c r="D15" s="78">
        <v>5957</v>
      </c>
      <c r="E15" s="78">
        <v>4275</v>
      </c>
      <c r="F15" s="78">
        <v>4490</v>
      </c>
      <c r="G15" s="78">
        <v>3916</v>
      </c>
      <c r="H15" s="78">
        <v>0</v>
      </c>
      <c r="I15" s="78">
        <v>0</v>
      </c>
      <c r="J15" s="78">
        <v>828</v>
      </c>
      <c r="K15" s="78">
        <v>4074</v>
      </c>
      <c r="L15" s="78">
        <v>2832</v>
      </c>
      <c r="M15" s="78">
        <v>6939</v>
      </c>
      <c r="N15" s="78">
        <v>3202</v>
      </c>
      <c r="O15" s="78">
        <v>6873</v>
      </c>
      <c r="P15" s="78">
        <v>5154</v>
      </c>
      <c r="Q15" s="78">
        <v>6880</v>
      </c>
      <c r="R15" s="78">
        <v>0</v>
      </c>
      <c r="S15" s="78">
        <v>3697</v>
      </c>
      <c r="T15" s="78">
        <v>2609</v>
      </c>
      <c r="U15" s="78">
        <v>6077</v>
      </c>
      <c r="V15" s="78">
        <v>-141</v>
      </c>
      <c r="W15" s="71">
        <v>2176</v>
      </c>
      <c r="X15" s="78">
        <v>-212</v>
      </c>
      <c r="Y15" s="106">
        <v>-9905</v>
      </c>
      <c r="Z15" s="78">
        <v>0</v>
      </c>
      <c r="AA15" s="78">
        <v>6139</v>
      </c>
      <c r="AB15" s="78" ph="1">
        <v>7183</v>
      </c>
      <c r="AC15" s="78" ph="1">
        <v>776</v>
      </c>
      <c r="AD15" s="78">
        <v>50.92</v>
      </c>
      <c r="AE15" s="78">
        <v>64.73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43" t="s" ph="1">
        <v>179</v>
      </c>
      <c r="D16" s="73" ph="1">
        <f>D15*7.0686*LOOKUP(D17,密度!$A$2:$A$50,密度!$L$2:$L$50)</f>
        <v>39370.652936999999</v>
      </c>
      <c r="E16" s="73" ph="1">
        <f>E15*7.0686*LOOKUP(E17,密度!$A$2:$A$50,密度!$L$2:$L$50)</f>
        <v>28254.077775000002</v>
      </c>
      <c r="F16" s="73" ph="1">
        <f>F15*9.0746*LOOKUP(F17,密度!$A$2:$A$50,密度!$L$2:$L$50)</f>
        <v>38178.021897999999</v>
      </c>
      <c r="G16" s="73" ph="1">
        <f>G15*9.0746*LOOKUP(G17,密度!$A$2:$A$50,密度!$B$2:$B$50)</f>
        <v>27703.969754559999</v>
      </c>
      <c r="H16" s="73" ph="1">
        <f>H15*9.0746*LOOKUP(H17,密度!$A$2:$A$50,密度!$L$2:$L$50)</f>
        <v>0</v>
      </c>
      <c r="I16" s="73" ph="1">
        <f>I15*9.0746*LOOKUP(I17,密度!$A$2:$A$50,密度!$U$2:$U$50)</f>
        <v>0</v>
      </c>
      <c r="J16" s="73" ph="1">
        <f>J15*9.0746*LOOKUP(J17,密度!$A$2:$A$50,密度!$L$2:$L$50)</f>
        <v>7040.4013656000006</v>
      </c>
      <c r="K16" s="73" ph="1">
        <f>K15*9.0746*LOOKUP(K17,密度!$A$2:$A$50,密度!$C$2:$C$50)</f>
        <v>40995.944731560005</v>
      </c>
      <c r="L16" s="73" ph="1">
        <f>L15*9.0746*LOOKUP(L17,密度!$A$2:$A$50,密度!$E$2:$E$50)</f>
        <v>20127.666071040003</v>
      </c>
      <c r="M16" s="73" ph="1">
        <f>M15*9.0746*LOOKUP(M17,密度!$A$2:$A$50,密度!$M$2:$M$50)</f>
        <v>54977.927791139999</v>
      </c>
      <c r="N16" s="73" ph="1">
        <f>N15*9.0746*LOOKUP(N17,密度!$A$2:$A$50,密度!$M$2:$M$50)</f>
        <v>25427.666236920002</v>
      </c>
      <c r="O16" s="73" ph="1">
        <f>O15*9.0746*LOOKUP(O17,密度!$A$2:$A$50,密度!$G$2:$G$50)</f>
        <v>59812.567042199997</v>
      </c>
      <c r="P16" s="73" ph="1">
        <f ca="1">P15*9.0746*LOOKUP(P17,密度!$A$2:$A$51,密度!$Q$2:$Q$50)</f>
        <v>44246.285141052002</v>
      </c>
      <c r="Q16" s="73" ph="1">
        <f>Q15*9.0746*LOOKUP(Q17,密度!$A$2:$A$50,密度!$Q$2:$Q$50)</f>
        <v>59019.397999360001</v>
      </c>
      <c r="R16" s="73" ph="1">
        <f>MAX(R15*9.0746*LOOKUP(R17,密度!$A$2:$A$50,密度!$B$2:$B$50),0)</f>
        <v>0</v>
      </c>
      <c r="S16" s="73" ph="1">
        <f>S15*9.0746*LOOKUP(S17,密度!$A$2:$A$50,密度!$Q$2:$Q$50)</f>
        <v>31738.167669086004</v>
      </c>
      <c r="T16" s="73" ph="1">
        <f>T15*9.0746*LOOKUP(T17,密度!$A$2:$A$50,密度!$O$2:$O$50)</f>
        <v>21923.634676400005</v>
      </c>
      <c r="U16" s="73" ph="1">
        <f>U15*9.0746*LOOKUP(U17,密度!$A$2:$A$50,密度!$H$2:$H$50)</f>
        <v>50442.361039739997</v>
      </c>
      <c r="V16" s="73" ph="1">
        <f>MAX(5600*LOOKUP(V17,密度!$A$2:$A$50,密度!$Q$2:$Q$50)+V15*9.0476*LOOKUP(V17,密度!$A$2:$A$50,密度!$Q$2:$Q$50),0)</f>
        <v>4090.9065550519999</v>
      </c>
      <c r="W16" s="73" ph="1">
        <f>MAX(5600*LOOKUP(W17,密度!$A$2:$A$50,密度!$Q$2:$Q$50)+W15*9.0476*LOOKUP(W17,密度!$A$2:$A$50,密度!$Q$2:$Q$50),0)</f>
        <v>23940.761217023995</v>
      </c>
      <c r="X16" s="73" ph="1">
        <f>MAX(5600*LOOKUP(X17,密度!$A$2:$A$50,密度!$I$2:$I$50)+X15*9.0476*LOOKUP(X17,密度!$A$2:$A$50,密度!$I$2:$I$50),0)</f>
        <v>3829.185152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43380.574471779997</v>
      </c>
      <c r="AB16" s="73" ph="1">
        <f>AB15*9.0746*LOOKUP(AB17,密度!$A$2:$A$50,密度!$L$2:$L$50)</f>
        <v>60750.417877600004</v>
      </c>
      <c r="AC16" s="73" ph="1">
        <f>AC15*9.0746*LOOKUP(AC17,密度!$A$2:$A$50,密度!$L$2:$L$50)</f>
        <v>6605.2924448000003</v>
      </c>
      <c r="AD16" s="73" ph="1">
        <f>AD15*268.68*LOOKUP(AD17,密度!$A$2:$A$50,密度!B2:B50)+IF(AD15&lt;=0,0,1566*LOOKUP(AD17,密度!$A$2:$A$50,密度!B2:B50))</f>
        <v>11886.70589376</v>
      </c>
      <c r="AE16" s="73" ph="1">
        <f>AE15*268.68*LOOKUP(AE17,密度!$A$2:$A$50,密度!B2:B50)+IF(AE15&lt;=0,0,1566*LOOKUP(AE17,密度!$A$2:$A$50,密度!B2:B50))</f>
        <v>14779.38892944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27</v>
      </c>
      <c r="E17" s="74">
        <v>27</v>
      </c>
      <c r="F17" s="74">
        <v>25</v>
      </c>
      <c r="G17" s="74">
        <v>25</v>
      </c>
      <c r="H17" s="74">
        <v>23</v>
      </c>
      <c r="I17" s="74">
        <v>24</v>
      </c>
      <c r="J17" s="74">
        <v>25</v>
      </c>
      <c r="K17" s="74">
        <v>25</v>
      </c>
      <c r="L17" s="74">
        <v>25</v>
      </c>
      <c r="M17" s="74">
        <v>27</v>
      </c>
      <c r="N17" s="74">
        <v>25</v>
      </c>
      <c r="O17" s="74">
        <v>26</v>
      </c>
      <c r="P17" s="74">
        <v>26</v>
      </c>
      <c r="Q17" s="74">
        <v>27</v>
      </c>
      <c r="R17" s="74">
        <v>25</v>
      </c>
      <c r="S17" s="74">
        <v>26</v>
      </c>
      <c r="T17" s="74">
        <v>25</v>
      </c>
      <c r="U17" s="74">
        <v>25</v>
      </c>
      <c r="V17" s="74">
        <v>26</v>
      </c>
      <c r="W17" s="74">
        <v>25</v>
      </c>
      <c r="X17" s="74">
        <v>27</v>
      </c>
      <c r="Y17" s="108">
        <v>27</v>
      </c>
      <c r="Z17" s="74">
        <v>25</v>
      </c>
      <c r="AA17" s="74">
        <v>26</v>
      </c>
      <c r="AB17" s="74">
        <v>30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5959</v>
      </c>
      <c r="E18" s="71">
        <v>5177</v>
      </c>
      <c r="F18" s="71">
        <v>4774</v>
      </c>
      <c r="G18" s="71">
        <v>3947</v>
      </c>
      <c r="H18" s="71">
        <v>0</v>
      </c>
      <c r="I18" s="71">
        <v>0</v>
      </c>
      <c r="J18" s="71">
        <v>903</v>
      </c>
      <c r="K18" s="71">
        <v>4084</v>
      </c>
      <c r="L18" s="71">
        <v>2830</v>
      </c>
      <c r="M18" s="71">
        <v>3978</v>
      </c>
      <c r="N18" s="71">
        <v>4708</v>
      </c>
      <c r="O18" s="71">
        <v>6873</v>
      </c>
      <c r="P18" s="71">
        <v>5155</v>
      </c>
      <c r="Q18" s="71">
        <v>6880</v>
      </c>
      <c r="R18" s="71">
        <v>0</v>
      </c>
      <c r="S18" s="71">
        <v>3699</v>
      </c>
      <c r="T18" s="71">
        <v>1925</v>
      </c>
      <c r="U18" s="71">
        <v>6076</v>
      </c>
      <c r="V18" s="71">
        <v>-142</v>
      </c>
      <c r="W18" s="71">
        <v>2175</v>
      </c>
      <c r="X18" s="71">
        <v>-215</v>
      </c>
      <c r="Y18" s="109">
        <v>-9905</v>
      </c>
      <c r="Z18" s="71">
        <v>0</v>
      </c>
      <c r="AA18" s="71">
        <v>6138</v>
      </c>
      <c r="AB18" s="71">
        <v>4943</v>
      </c>
      <c r="AC18" s="71">
        <v>776</v>
      </c>
      <c r="AD18" s="71">
        <v>84.51</v>
      </c>
      <c r="AE18" s="71">
        <v>0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43" t="s" ph="1">
        <v>179</v>
      </c>
      <c r="D19" s="73" ph="1">
        <f>D18*7.0686*LOOKUP(D20,密度!$A$2:$A$50,密度!$L$2:$L$50)</f>
        <v>39383.871219000001</v>
      </c>
      <c r="E19" s="73" ph="1">
        <f>E18*7.0686*LOOKUP(E20,密度!$A$2:$A$50,密度!$L$2:$L$50)</f>
        <v>34215.522957000001</v>
      </c>
      <c r="F19" s="73" ph="1">
        <f>F18*9.0746*LOOKUP(F20,密度!$A$2:$A$50,密度!$L$2:$L$50)</f>
        <v>40332.912712400008</v>
      </c>
      <c r="G19" s="73" ph="1">
        <f>G18*9.0746*LOOKUP(G20,密度!$A$2:$A$50,密度!$B$2:$B$50)</f>
        <v>27923.281057519998</v>
      </c>
      <c r="H19" s="73" ph="1">
        <f>H18*9.0746*LOOKUP(H20,密度!$A$2:$A$50,密度!$L$2:$L$50)</f>
        <v>0</v>
      </c>
      <c r="I19" s="73" ph="1">
        <f>I18*9.0746*LOOKUP(I20,密度!$A$2:$A$50,密度!$U$2:$U$50)</f>
        <v>0</v>
      </c>
      <c r="J19" s="73" ph="1">
        <f>J18*9.0746*LOOKUP(J20,密度!$A$2:$A$50,密度!$L$2:$L$50)</f>
        <v>7637.1470616000015</v>
      </c>
      <c r="K19" s="73" ph="1">
        <f>K18*9.0746*LOOKUP(K20,密度!$A$2:$A$50,密度!$C$2:$C$50)</f>
        <v>40985.390971760004</v>
      </c>
      <c r="L19" s="73" ph="1">
        <f>L18*9.0746*LOOKUP(L20,密度!$A$2:$A$50,密度!$E$2:$E$50)</f>
        <v>20056.953158000004</v>
      </c>
      <c r="M19" s="73" ph="1">
        <f>M18*9.0746*LOOKUP(M20,密度!$A$2:$A$50,密度!$M$2:$M$50)</f>
        <v>31442.018914800003</v>
      </c>
      <c r="N19" s="73" ph="1">
        <f>N18*9.0746*LOOKUP(N20,密度!$A$2:$A$50,密度!$M$2:$M$50)</f>
        <v>37344.363804879998</v>
      </c>
      <c r="O19" s="73" ph="1">
        <f>O18*9.0746*LOOKUP(O20,密度!$A$2:$A$50,密度!$G$2:$G$50)</f>
        <v>59687.827590599998</v>
      </c>
      <c r="P19" s="73" ph="1">
        <f ca="1">P18*9.0746*LOOKUP(P20,密度!$A$2:$A$51,密度!$Q$2:$Q$50)</f>
        <v>44188.910801060003</v>
      </c>
      <c r="Q19" s="73" ph="1">
        <f>Q18*9.0746*LOOKUP(Q20,密度!$A$2:$A$50,密度!$Q$2:$Q$50)</f>
        <v>59019.397999360001</v>
      </c>
      <c r="R19" s="73" ph="1">
        <f>MAX(R18*9.0746*LOOKUP(R20,密度!$A$2:$A$50,密度!$B$2:$B$50),0)</f>
        <v>0</v>
      </c>
      <c r="S19" s="73" ph="1">
        <f>S18*9.0746*LOOKUP(S20,密度!$A$2:$A$50,密度!$Q$2:$Q$50)</f>
        <v>31708.007963748005</v>
      </c>
      <c r="T19" s="73" ph="1">
        <f>T18*9.0746*LOOKUP(T20,密度!$A$2:$A$50,密度!$O$2:$O$50)</f>
        <v>16175.92823</v>
      </c>
      <c r="U19" s="73" ph="1">
        <f>U18*9.0746*LOOKUP(U20,密度!$A$2:$A$50,密度!$H$2:$H$50)</f>
        <v>50334.81341784</v>
      </c>
      <c r="V19" s="73" ph="1">
        <f>MAX(5600*LOOKUP(V20,密度!$A$2:$A$50,密度!$Q$2:$Q$50)+V18*9.0476*LOOKUP(V20,密度!$A$2:$A$50,密度!$Q$2:$Q$50),0)</f>
        <v>4070.6961038640002</v>
      </c>
      <c r="W19" s="73" ph="1">
        <f>MAX(5600*LOOKUP(W20,密度!$A$2:$A$50,密度!$Q$2:$Q$50)+W18*9.0476*LOOKUP(W20,密度!$A$2:$A$50,密度!$Q$2:$Q$50),0)</f>
        <v>23861.162822899998</v>
      </c>
      <c r="X19" s="73" ph="1">
        <f>MAX(5600*LOOKUP(X20,密度!$A$2:$A$50,密度!$I$2:$I$50)+X18*9.0476*LOOKUP(X20,密度!$A$2:$A$50,密度!$I$2:$I$50),0)</f>
        <v>3796.9363973999994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43328.948164920002</v>
      </c>
      <c r="AB19" s="73" ph="1">
        <f>AB18*9.0746*LOOKUP(AB20,密度!$A$2:$A$50,密度!$L$2:$L$50)</f>
        <v>41805.55694960001</v>
      </c>
      <c r="AC19" s="73" ph="1">
        <f>AC18*9.0746*LOOKUP(AC20,密度!$A$2:$A$50,密度!$L$2:$L$50)</f>
        <v>6577.1248864000008</v>
      </c>
      <c r="AD19" s="73" ph="1">
        <f>AD18*268.68*LOOKUP(AD20,密度!$A$2:$A$50,密度!B5:B53)+IF(AD18&lt;=0,0,1566*LOOKUP(AD20,密度!$A$2:$A$50,密度!B5:B53))</f>
        <v>18859.458063600003</v>
      </c>
      <c r="AE19" s="73" ph="1">
        <f>AE18*268.68*LOOKUP(AE20,密度!$A$2:$A$50,密度!B5:B53)+IF(AE18&lt;=0,0,1566*LOOKUP(AE20,密度!$A$2:$A$50,密度!B5:B53))</f>
        <v>0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27</v>
      </c>
      <c r="E20" s="81">
        <v>27</v>
      </c>
      <c r="F20" s="81">
        <v>31</v>
      </c>
      <c r="G20" s="81">
        <v>25</v>
      </c>
      <c r="H20" s="81">
        <v>24</v>
      </c>
      <c r="I20" s="81">
        <v>30</v>
      </c>
      <c r="J20" s="81">
        <v>30</v>
      </c>
      <c r="K20" s="81">
        <v>29</v>
      </c>
      <c r="L20" s="81">
        <v>27</v>
      </c>
      <c r="M20" s="81">
        <v>29</v>
      </c>
      <c r="N20" s="81">
        <v>26</v>
      </c>
      <c r="O20" s="81">
        <v>28</v>
      </c>
      <c r="P20" s="81">
        <v>28</v>
      </c>
      <c r="Q20" s="81">
        <v>27</v>
      </c>
      <c r="R20" s="81">
        <v>29</v>
      </c>
      <c r="S20" s="81">
        <v>28</v>
      </c>
      <c r="T20" s="81">
        <v>27</v>
      </c>
      <c r="U20" s="81">
        <v>27</v>
      </c>
      <c r="V20" s="81">
        <v>30</v>
      </c>
      <c r="W20" s="81">
        <v>29</v>
      </c>
      <c r="X20" s="81">
        <v>28</v>
      </c>
      <c r="Y20" s="110">
        <v>28</v>
      </c>
      <c r="Z20" s="81">
        <v>29</v>
      </c>
      <c r="AA20" s="81">
        <v>27</v>
      </c>
      <c r="AB20" s="81">
        <v>30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644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43" t="s" ph="1">
        <v>178</v>
      </c>
      <c r="D24" s="71">
        <v>68.56</v>
      </c>
      <c r="E24" s="71">
        <v>3.96</v>
      </c>
      <c r="F24" s="71">
        <v>3880</v>
      </c>
      <c r="G24" s="71">
        <v>3057</v>
      </c>
      <c r="H24" s="71">
        <v>1694</v>
      </c>
      <c r="I24" s="71">
        <v>776</v>
      </c>
      <c r="J24" s="71">
        <v>4892</v>
      </c>
      <c r="K24" s="71">
        <v>5501</v>
      </c>
      <c r="L24" s="71">
        <v>5600</v>
      </c>
      <c r="M24" s="71">
        <v>3437</v>
      </c>
      <c r="N24" s="71">
        <v>2659</v>
      </c>
      <c r="O24" s="71">
        <v>4317</v>
      </c>
      <c r="P24" s="71">
        <v>353</v>
      </c>
      <c r="Q24" s="90">
        <v>2515</v>
      </c>
      <c r="R24" s="71">
        <v>850</v>
      </c>
      <c r="S24" s="71">
        <v>7028</v>
      </c>
      <c r="T24" s="71">
        <v>1761</v>
      </c>
      <c r="U24" s="71">
        <v>6504</v>
      </c>
      <c r="V24" s="71">
        <v>10816</v>
      </c>
      <c r="W24" s="71">
        <v>11706</v>
      </c>
      <c r="X24" s="71">
        <v>4661</v>
      </c>
      <c r="Y24" s="71">
        <v>2513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18922.209115392005</v>
      </c>
      <c r="E25" s="91" ph="1">
        <f>E24*268.68*LOOKUP(E26,密度!$A$2:$A$50,密度!$C$2:$C$50)+IF(E24&lt;=0,0,1566*LOOKUP(E26,密度!$A$2:$A$50,密度!$C$2:$C$50))</f>
        <v>2916.3768379200001</v>
      </c>
      <c r="F25" s="91" ph="1">
        <f>F24*11.702*LOOKUP(F26,密度!$A$2:$A$50,密度!$Q$2:$Q$50)</f>
        <v>42985.5557424</v>
      </c>
      <c r="G25" s="91" ph="1">
        <f>G24*18.322*LOOKUP(G26,密度!$A$2:$A$50,密度!$B$2:$B$50)</f>
        <v>43615.262659799999</v>
      </c>
      <c r="H25" s="91" ph="1">
        <f>H24*18.322*LOOKUP(H26,密度!$A$2:$A$50,密度!$B$2:$B$50)</f>
        <v>24168.876331599997</v>
      </c>
      <c r="I25" s="91" ph="1">
        <f>I24*18.322*LOOKUP(I26,密度!$A$2:$A$50,密度!$Q$2:$Q$50)</f>
        <v>13460.62813728</v>
      </c>
      <c r="J25" s="91" ph="1">
        <f>J24*18.322*LOOKUP(J26,密度!$A$2:$A$50,密度!$Q$2:$Q$50)</f>
        <v>84730.188671680007</v>
      </c>
      <c r="K25" s="91" ph="1">
        <f>K24*18.322*LOOKUP(K26,密度!$A$2:$A$50,密度!$Q$2:$Q$50)</f>
        <v>95349.72229166</v>
      </c>
      <c r="L25" s="91" ph="1">
        <f>L24*18.322*LOOKUP(L26,密度!$A$2:$A$50,密度!$Q$2:$Q$50)</f>
        <v>97065.705296</v>
      </c>
      <c r="M25" s="91" ph="1">
        <f>M24*18.322*LOOKUP(M26,密度!$A$2:$A$50,密度!$Q$2:$Q$50)</f>
        <v>59618.787252360002</v>
      </c>
      <c r="N25" s="91" ph="1">
        <f>N24*18.322*LOOKUP(N26,密度!$A$2:$A$50,密度!$Q$2:$Q$50)</f>
        <v>46123.466774519999</v>
      </c>
      <c r="O25" s="91" ph="1">
        <f>O24*18.322*LOOKUP(O26,密度!$A$2:$A$50,密度!$C$2:$C$50)</f>
        <v>87646.359599400006</v>
      </c>
      <c r="P25" s="91" ph="1">
        <f>P24*11.702*LOOKUP(P26,密度!$A$2:$A$50,密度!$B$2:$B$50)</f>
        <v>3220.3763575999997</v>
      </c>
      <c r="Q25" s="92" ph="1">
        <f>Q24*18.322*LOOKUP(Q26,密度!$A$2:$A$50,密度!$B$2:$B$50)</f>
        <v>35882.363620999997</v>
      </c>
      <c r="R25" s="91" ph="1">
        <f>R24*35.891*LOOKUP(R26,密度!$A$2:$A$50,密度!$C$2:$C$50)</f>
        <v>33805.194535000002</v>
      </c>
      <c r="S25" s="91" ph="1">
        <f>S24*35.891*LOOKUP(S26,密度!$A$2:$A$50,密度!$B$2:$B$50)</f>
        <v>196647.82266079998</v>
      </c>
      <c r="T25" s="91" ph="1">
        <f>T24*35.891*LOOKUP(T26,密度!$A$2:$A$50,密度!$Q$2:$Q$50)</f>
        <v>59837.803243740003</v>
      </c>
      <c r="U25" s="91" ph="1">
        <f>U24*35.891</f>
        <v>233435.06399999998</v>
      </c>
      <c r="V25" s="91" ph="1">
        <f>V24*47.051*LOOKUP(V26,密度!$A$2:$A$50,密度!$B$2:$B$50)</f>
        <v>395876.12288640003</v>
      </c>
      <c r="W25" s="91" ph="1">
        <f>W24*47.051*LOOKUP(W26,密度!$A$2:$A$50,密度!$B$2:$B$50)</f>
        <v>428891.61197219999</v>
      </c>
      <c r="X25" s="91" ph="1">
        <f>X24*47.051*LOOKUP(X26,密度!$A$2:$A$50,密度!$I$2:$I$50)</f>
        <v>227835.6642579</v>
      </c>
      <c r="Y25" s="91" ph="1">
        <f>Y24*47.051*LOOKUP(Y26,密度!$A$2:$A$50,密度!$L$2:$L$50)</f>
        <v>110198.89991600001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25</v>
      </c>
      <c r="G26" s="74">
        <v>26</v>
      </c>
      <c r="H26" s="74">
        <v>26</v>
      </c>
      <c r="I26" s="74">
        <v>25</v>
      </c>
      <c r="J26" s="74">
        <v>27</v>
      </c>
      <c r="K26" s="74">
        <v>26</v>
      </c>
      <c r="L26" s="74">
        <v>26</v>
      </c>
      <c r="M26" s="74">
        <v>25</v>
      </c>
      <c r="N26" s="74">
        <v>25</v>
      </c>
      <c r="O26" s="74">
        <v>26</v>
      </c>
      <c r="P26" s="74">
        <v>25</v>
      </c>
      <c r="Q26" s="93">
        <v>26</v>
      </c>
      <c r="R26" s="74">
        <v>26</v>
      </c>
      <c r="S26" s="74">
        <v>25</v>
      </c>
      <c r="T26" s="74">
        <v>25</v>
      </c>
      <c r="U26" s="74">
        <v>26</v>
      </c>
      <c r="V26" s="74">
        <v>27</v>
      </c>
      <c r="W26" s="74">
        <v>26</v>
      </c>
      <c r="X26" s="74">
        <v>28</v>
      </c>
      <c r="Y26" s="74">
        <v>30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43" t="s" ph="1">
        <v>181</v>
      </c>
      <c r="D27" s="71">
        <v>68.510000000000005</v>
      </c>
      <c r="E27" s="71">
        <v>3.82</v>
      </c>
      <c r="F27" s="71">
        <v>3880</v>
      </c>
      <c r="G27" s="71">
        <v>2583</v>
      </c>
      <c r="H27" s="71">
        <v>2506</v>
      </c>
      <c r="I27" s="71">
        <v>775</v>
      </c>
      <c r="J27" s="71">
        <v>4890</v>
      </c>
      <c r="K27" s="71">
        <v>5499</v>
      </c>
      <c r="L27" s="71">
        <v>5598</v>
      </c>
      <c r="M27" s="71">
        <v>3436</v>
      </c>
      <c r="N27" s="71">
        <v>2658</v>
      </c>
      <c r="O27" s="71">
        <v>4316</v>
      </c>
      <c r="P27" s="71">
        <v>678</v>
      </c>
      <c r="Q27" s="90">
        <v>3012</v>
      </c>
      <c r="R27" s="71">
        <v>849</v>
      </c>
      <c r="S27" s="71">
        <v>7026</v>
      </c>
      <c r="T27" s="71">
        <v>1760</v>
      </c>
      <c r="U27" s="71">
        <v>6574</v>
      </c>
      <c r="V27" s="71">
        <v>11294</v>
      </c>
      <c r="W27" s="71">
        <v>11704</v>
      </c>
      <c r="X27" s="71">
        <v>4660</v>
      </c>
      <c r="Y27" s="71">
        <v>2957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43" t="s" ph="1">
        <v>179</v>
      </c>
      <c r="D28" s="91" ph="1">
        <f>D27*268.68*LOOKUP(D29,密度!$A$2:$A$50,密度!$Q$2:$Q$50)+IF(D27&lt;=0,0,1566*LOOKUP(D29,密度!$A$2:$A$50,密度!$Q$2:$Q$50))</f>
        <v>18909.490610232002</v>
      </c>
      <c r="E28" s="91" ph="1">
        <f>E27*268.68*LOOKUP(E29,密度!$A$2:$A$50,密度!$C$2:$C$50)+IF(E27&lt;=0,0,1566*LOOKUP(E29,密度!$A$2:$A$50,密度!$C$2:$C$50))</f>
        <v>2874.6653426399998</v>
      </c>
      <c r="F28" s="91" ph="1">
        <f>F27*11.702*LOOKUP(F29,密度!$A$2:$A$50,密度!$Q$2:$Q$50)</f>
        <v>42921.082403200002</v>
      </c>
      <c r="G28" s="91" ph="1">
        <f>G27*18.322*LOOKUP(G29,密度!$A$2:$A$50,密度!$B$2:$B$50)</f>
        <v>36814.682255399995</v>
      </c>
      <c r="H28" s="91" ph="1">
        <f>H27*18.322*LOOKUP(H29,密度!$A$2:$A$50,密度!$B$2:$B$50)</f>
        <v>35717.225602800005</v>
      </c>
      <c r="I28" s="91" ph="1">
        <f>I27*18.322*LOOKUP(I29,密度!$A$2:$A$50,密度!$Q$2:$Q$50)</f>
        <v>13423.118606</v>
      </c>
      <c r="J28" s="91" ph="1">
        <f>J27*18.322*LOOKUP(J29,密度!$A$2:$A$50,密度!$Q$2:$Q$50)</f>
        <v>84632.832159600002</v>
      </c>
      <c r="K28" s="91" ph="1">
        <f>K27*18.322*LOOKUP(K29,密度!$A$2:$A$50,密度!$Q$2:$Q$50)</f>
        <v>95172.994692360007</v>
      </c>
      <c r="L28" s="91" ph="1">
        <f>L27*18.322*LOOKUP(L29,密度!$A$2:$A$50,密度!$Q$2:$Q$50)</f>
        <v>96958.216717920004</v>
      </c>
      <c r="M28" s="91" ph="1">
        <f>M27*18.322*LOOKUP(M29,密度!$A$2:$A$50,密度!$Q$2:$Q$50)</f>
        <v>59512.04584544</v>
      </c>
      <c r="N28" s="91" ph="1">
        <f>N27*18.322*LOOKUP(N29,密度!$A$2:$A$50,密度!$Q$2:$Q$50)</f>
        <v>46002.876867119994</v>
      </c>
      <c r="O28" s="91" ph="1">
        <f>O27*18.322*LOOKUP(O29,密度!$A$2:$A$50,密度!$C$2:$C$50)</f>
        <v>87507.440363199988</v>
      </c>
      <c r="P28" s="91" ph="1">
        <f>P27*11.702*LOOKUP(P29,密度!$A$2:$A$50,密度!$B$2:$B$50)</f>
        <v>6171.8243724000004</v>
      </c>
      <c r="Q28" s="92" ph="1">
        <f>Q27*18.322*LOOKUP(Q29,密度!$A$2:$A$50,密度!$B$2:$B$50)</f>
        <v>42835.267636799996</v>
      </c>
      <c r="R28" s="91" ph="1">
        <f>R27*35.891*LOOKUP(R29,密度!$A$2:$A$50,密度!$C$2:$C$50)</f>
        <v>33719.716529400001</v>
      </c>
      <c r="S28" s="91" ph="1">
        <f>S27*35.891*LOOKUP(S29,密度!$A$2:$A$50,密度!$B$2:$B$50)</f>
        <v>195936.21898199999</v>
      </c>
      <c r="T28" s="91" ph="1">
        <f>T27*35.891*LOOKUP(T29,密度!$A$2:$A$50,密度!$Q$2:$Q$50)</f>
        <v>59714.125011199998</v>
      </c>
      <c r="U28" s="91" ph="1">
        <f>U27*35.891</f>
        <v>235947.43399999998</v>
      </c>
      <c r="V28" s="91" ph="1">
        <f>V27*47.051*LOOKUP(V29,密度!$A$2:$A$50,密度!$B$2:$B$50)</f>
        <v>413371.38793260005</v>
      </c>
      <c r="W28" s="91" ph="1">
        <f>W27*47.051*LOOKUP(W29,密度!$A$2:$A$50,密度!$B$2:$B$50)</f>
        <v>428377.78682159999</v>
      </c>
      <c r="X28" s="91" ph="1">
        <f>X27*47.051*LOOKUP(X29,密度!$A$2:$A$50,密度!$I$2:$I$50)</f>
        <v>227523.67378200003</v>
      </c>
      <c r="Y28" s="91" ph="1">
        <f>Y27*47.051*LOOKUP(Y29,密度!$A$2:$A$50,密度!$L$2:$L$50)</f>
        <v>129529.850317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43" t="s" ph="1">
        <v>180</v>
      </c>
      <c r="D29" s="74">
        <v>25</v>
      </c>
      <c r="E29" s="74">
        <v>25</v>
      </c>
      <c r="F29" s="74">
        <v>27</v>
      </c>
      <c r="G29" s="74">
        <v>27</v>
      </c>
      <c r="H29" s="74">
        <v>27</v>
      </c>
      <c r="I29" s="74">
        <v>27</v>
      </c>
      <c r="J29" s="74">
        <v>28</v>
      </c>
      <c r="K29" s="74">
        <v>28</v>
      </c>
      <c r="L29" s="74">
        <v>27</v>
      </c>
      <c r="M29" s="74">
        <v>27</v>
      </c>
      <c r="N29" s="74">
        <v>28</v>
      </c>
      <c r="O29" s="74">
        <v>28</v>
      </c>
      <c r="P29" s="74">
        <v>27</v>
      </c>
      <c r="Q29" s="93">
        <v>29</v>
      </c>
      <c r="R29" s="74">
        <v>28</v>
      </c>
      <c r="S29" s="74">
        <v>28</v>
      </c>
      <c r="T29" s="74">
        <v>27</v>
      </c>
      <c r="U29" s="74">
        <v>27</v>
      </c>
      <c r="V29" s="74">
        <v>27</v>
      </c>
      <c r="W29" s="74">
        <v>27</v>
      </c>
      <c r="X29" s="74">
        <v>29</v>
      </c>
      <c r="Y29" s="74">
        <v>31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43" t="s" ph="1">
        <v>5</v>
      </c>
      <c r="F32" s="142" t="s" ph="1">
        <v>43</v>
      </c>
      <c r="G32" s="97" t="s" ph="1">
        <v>4</v>
      </c>
      <c r="H32" s="143" t="s" ph="1">
        <v>5</v>
      </c>
      <c r="I32" s="142" t="s" ph="1">
        <v>43</v>
      </c>
      <c r="J32" s="97" t="s" ph="1">
        <v>4</v>
      </c>
      <c r="K32" s="143" t="s" ph="1">
        <v>5</v>
      </c>
      <c r="L32" s="142" t="s" ph="1">
        <v>43</v>
      </c>
      <c r="M32" s="97" t="s" ph="1">
        <v>4</v>
      </c>
      <c r="N32" s="143" t="s" ph="1">
        <v>5</v>
      </c>
      <c r="O32" s="14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3" t="s" ph="1">
        <v>5</v>
      </c>
      <c r="U32" s="99" t="s" ph="1">
        <v>43</v>
      </c>
      <c r="V32" s="97" t="s" ph="1">
        <v>4</v>
      </c>
      <c r="W32" s="143" t="s" ph="1">
        <v>5</v>
      </c>
      <c r="X32" s="99" t="s" ph="1">
        <v>43</v>
      </c>
      <c r="Y32" s="100" t="s" ph="1">
        <v>4</v>
      </c>
      <c r="Z32" s="143" t="s" ph="1">
        <v>5</v>
      </c>
      <c r="AA32" s="142" t="s" ph="1">
        <v>43</v>
      </c>
      <c r="AB32" s="97" t="s" ph="1">
        <v>85</v>
      </c>
      <c r="AC32" s="143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43889.058598499993</v>
      </c>
      <c r="E33" s="182" ph="1">
        <f>M10+I10</f>
        <v>145912.64558099999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08" ph="1">
        <v>0</v>
      </c>
      <c r="H33" s="182" ph="1">
        <f>N19</f>
        <v>37344.363804879998</v>
      </c>
      <c r="I33" s="186" ph="1">
        <v>0</v>
      </c>
      <c r="J33" s="190" ph="1">
        <f>F10+O28</f>
        <v>292480.19850279996</v>
      </c>
      <c r="K33" s="182" ph="1">
        <f>O10+K10+E28+R28</f>
        <v>173109.61685364001</v>
      </c>
      <c r="L33" s="192" ph="1">
        <f>BE27</f>
        <v>7100</v>
      </c>
      <c r="M33" s="190" ph="1">
        <f>G10+H10+W28+S28+V28+E10</f>
        <v>1884752.7705211998</v>
      </c>
      <c r="N33" s="182" ph="1">
        <f>L10+P10++G28+H28</f>
        <v>145656.34324020002</v>
      </c>
      <c r="O33" s="186" ph="1">
        <f>BE17</f>
        <v>2270</v>
      </c>
      <c r="P33" s="190" ph="1">
        <f>L19</f>
        <v>20056.953158000004</v>
      </c>
      <c r="Q33" s="182" ph="1">
        <f>J10+N10</f>
        <v>31319.318974600003</v>
      </c>
      <c r="R33" s="186" ph="1">
        <f>BE23</f>
        <v>890</v>
      </c>
      <c r="S33" s="190" ph="1">
        <f>E10+X28</f>
        <v>547033.3775820001</v>
      </c>
      <c r="T33" s="182" ph="1">
        <f>X19</f>
        <v>3796.9363973999994</v>
      </c>
      <c r="U33" s="171" ph="1">
        <f>BE21</f>
        <v>730</v>
      </c>
      <c r="V33" s="184" ph="1">
        <f ca="1">P19+Q19+S19+M28+N28+J28</f>
        <v>325064.07163632801</v>
      </c>
      <c r="W33" s="184" ph="1">
        <f>D28+F28+V19+T28</f>
        <v>125615.394128496</v>
      </c>
      <c r="X33" s="186" ph="1">
        <f>BE29+BE31</f>
        <v>10200</v>
      </c>
      <c r="Y33" s="188" ph="1">
        <f>+Q10+R10+S10+T10+U10+V10+W10+X10+Y10</f>
        <v>106281.79434180001</v>
      </c>
      <c r="Z33" s="169" ph="1">
        <f>D10+T19+U19+Y28+Z10</f>
        <v>450202.39646249998</v>
      </c>
      <c r="AA33" s="171" ph="1">
        <f>BE19</f>
        <v>1440</v>
      </c>
      <c r="AB33" s="173" ph="1">
        <f>I19</f>
        <v>0</v>
      </c>
      <c r="AC33" s="175" ph="1">
        <f>AD10</f>
        <v>70109.680435200004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41" t="s" ph="1">
        <v>186</v>
      </c>
      <c r="AA36" s="141" ph="1"/>
      <c r="AB36" s="168" t="s" ph="1">
        <v>640</v>
      </c>
      <c r="AC36" s="168" ph="1"/>
      <c r="AD36" s="168" ph="1"/>
      <c r="AE36" s="168" ph="1"/>
      <c r="BA36" s="64" ph="1">
        <v>2270</v>
      </c>
    </row>
    <row r="37" spans="1:57" s="14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1" t="s" ph="1">
        <v>345</v>
      </c>
      <c r="AI37" s="141" t="s" ph="1">
        <v>212</v>
      </c>
      <c r="AJ37" s="141" t="s" ph="1">
        <v>213</v>
      </c>
      <c r="AK37" s="141" t="s" ph="1">
        <v>214</v>
      </c>
      <c r="AM37" s="141" t="s" ph="1">
        <v>213</v>
      </c>
      <c r="AN37" s="141" t="s" ph="1">
        <v>214</v>
      </c>
      <c r="AO37" s="141" t="s" ph="1">
        <v>215</v>
      </c>
      <c r="AP37" s="141" t="s" ph="1">
        <v>213</v>
      </c>
      <c r="AQ37" s="141" t="s" ph="1">
        <v>214</v>
      </c>
      <c r="AR37" s="141" t="s" ph="1">
        <v>215</v>
      </c>
      <c r="AS37" s="141" t="s" ph="1">
        <v>213</v>
      </c>
      <c r="AT37" s="141" t="s" ph="1">
        <v>214</v>
      </c>
      <c r="AU37" s="141" t="s" ph="1">
        <v>215</v>
      </c>
      <c r="AV37" s="141" t="s" ph="1">
        <v>213</v>
      </c>
      <c r="AW37" s="141" t="s" ph="1">
        <v>214</v>
      </c>
      <c r="AX37" s="141" t="s" ph="1">
        <v>215</v>
      </c>
      <c r="AY37" s="141" t="s" ph="1">
        <v>214</v>
      </c>
      <c r="AZ37" s="141" t="s" ph="1">
        <v>216</v>
      </c>
      <c r="BD37" s="141" t="s" ph="1">
        <v>308</v>
      </c>
      <c r="BE37" s="14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796" priority="97">
      <formula>ABS(D$7-D$10)&gt;=1000</formula>
    </cfRule>
  </conditionalFormatting>
  <conditionalFormatting sqref="E4 E6:E11">
    <cfRule type="expression" dxfId="2795" priority="96">
      <formula>ABS(E$7-E$10)&gt;=1000</formula>
    </cfRule>
  </conditionalFormatting>
  <conditionalFormatting sqref="F4:F11">
    <cfRule type="expression" dxfId="2794" priority="95">
      <formula>ABS(F$7-F$10)&gt;=1000</formula>
    </cfRule>
  </conditionalFormatting>
  <conditionalFormatting sqref="G4:G11">
    <cfRule type="expression" dxfId="2793" priority="94">
      <formula>ABS(G$7-G$10)&gt;=1000</formula>
    </cfRule>
  </conditionalFormatting>
  <conditionalFormatting sqref="H4:H11">
    <cfRule type="expression" dxfId="2792" priority="93">
      <formula>ABS(H$7-H$10)&gt;=1000</formula>
    </cfRule>
  </conditionalFormatting>
  <conditionalFormatting sqref="I4:I11">
    <cfRule type="expression" dxfId="2791" priority="92">
      <formula>ABS(I$7-I$10)&gt;=1000</formula>
    </cfRule>
  </conditionalFormatting>
  <conditionalFormatting sqref="J4:J11">
    <cfRule type="expression" dxfId="2790" priority="91">
      <formula>ABS(J$7-J$10)&gt;=1000</formula>
    </cfRule>
  </conditionalFormatting>
  <conditionalFormatting sqref="K4:K11">
    <cfRule type="expression" dxfId="2789" priority="90">
      <formula>ABS(K$7-K$10)&gt;=1000</formula>
    </cfRule>
  </conditionalFormatting>
  <conditionalFormatting sqref="L4:L11">
    <cfRule type="expression" dxfId="2788" priority="89">
      <formula>ABS(L$7-L$10)&gt;=1000</formula>
    </cfRule>
  </conditionalFormatting>
  <conditionalFormatting sqref="M4 M6:M11">
    <cfRule type="expression" dxfId="2787" priority="88">
      <formula>ABS(M$7-M$10)&gt;=1000</formula>
    </cfRule>
  </conditionalFormatting>
  <conditionalFormatting sqref="N4 N6:N11">
    <cfRule type="expression" dxfId="2786" priority="87">
      <formula>ABS(N$7-N$10)&gt;=1000</formula>
    </cfRule>
  </conditionalFormatting>
  <conditionalFormatting sqref="O4 O6:O11">
    <cfRule type="expression" dxfId="2785" priority="86">
      <formula>ABS(O$7-O$10)&gt;=1000</formula>
    </cfRule>
  </conditionalFormatting>
  <conditionalFormatting sqref="P4 P6:P11">
    <cfRule type="expression" dxfId="2784" priority="85">
      <formula>ABS(P$7-P$10)&gt;=1000</formula>
    </cfRule>
  </conditionalFormatting>
  <conditionalFormatting sqref="Q4:Q11">
    <cfRule type="expression" dxfId="2783" priority="84">
      <formula>ABS(Q$7-Q$10)&gt;=1000</formula>
    </cfRule>
  </conditionalFormatting>
  <conditionalFormatting sqref="R4:R11">
    <cfRule type="expression" dxfId="2782" priority="83">
      <formula>ABS(R$7-R$10)&gt;=1000</formula>
    </cfRule>
  </conditionalFormatting>
  <conditionalFormatting sqref="S4:S11">
    <cfRule type="expression" dxfId="2781" priority="82">
      <formula>ABS(S$7-S$10)&gt;=1000</formula>
    </cfRule>
  </conditionalFormatting>
  <conditionalFormatting sqref="T4:T9 T11">
    <cfRule type="expression" dxfId="2780" priority="81">
      <formula>ABS(T$7-T$10)&gt;=1000</formula>
    </cfRule>
  </conditionalFormatting>
  <conditionalFormatting sqref="U4:U9 U11">
    <cfRule type="expression" dxfId="2779" priority="80">
      <formula>ABS(U$7-U$10)&gt;=1000</formula>
    </cfRule>
  </conditionalFormatting>
  <conditionalFormatting sqref="V4:V9 V11">
    <cfRule type="expression" dxfId="2778" priority="79">
      <formula>ABS(V$7-V$10)&gt;=1000</formula>
    </cfRule>
  </conditionalFormatting>
  <conditionalFormatting sqref="W4:W9 W11">
    <cfRule type="expression" dxfId="2777" priority="78">
      <formula>ABS(W$7-W$10)&gt;=1000</formula>
    </cfRule>
  </conditionalFormatting>
  <conditionalFormatting sqref="X4:X9 X11">
    <cfRule type="expression" dxfId="2776" priority="77">
      <formula>ABS(X$7-X$10)&gt;=1000</formula>
    </cfRule>
  </conditionalFormatting>
  <conditionalFormatting sqref="Y4:Y9 Y11">
    <cfRule type="expression" dxfId="2775" priority="76">
      <formula>ABS(Y$7-Y$10)&gt;=1000</formula>
    </cfRule>
  </conditionalFormatting>
  <conditionalFormatting sqref="Z4:Z11">
    <cfRule type="expression" dxfId="2774" priority="75">
      <formula>ABS(Z$7-Z$10)&gt;=1000</formula>
    </cfRule>
  </conditionalFormatting>
  <conditionalFormatting sqref="AA4:AA11">
    <cfRule type="expression" dxfId="2773" priority="74">
      <formula>ABS(AA$7-AA$10)&gt;=1000</formula>
    </cfRule>
  </conditionalFormatting>
  <conditionalFormatting sqref="AB4:AB11">
    <cfRule type="expression" dxfId="2772" priority="73">
      <formula>ABS(AB$7-AB$10)&gt;=1000</formula>
    </cfRule>
  </conditionalFormatting>
  <conditionalFormatting sqref="AC4 AC6:AC11">
    <cfRule type="expression" dxfId="2771" priority="72">
      <formula>ABS(AC$7-AC$10)&gt;=1000</formula>
    </cfRule>
  </conditionalFormatting>
  <conditionalFormatting sqref="AD4:AD11">
    <cfRule type="expression" dxfId="2770" priority="71">
      <formula>ABS(AD$7-AD$10)&gt;=1000</formula>
    </cfRule>
  </conditionalFormatting>
  <conditionalFormatting sqref="AE4:AE11">
    <cfRule type="expression" dxfId="2769" priority="70">
      <formula>ABS(AE$7-AE$10)&gt;=1000</formula>
    </cfRule>
  </conditionalFormatting>
  <conditionalFormatting sqref="D13:D20">
    <cfRule type="expression" dxfId="2768" priority="69">
      <formula>ABS(D$16-D$19)&gt;=1000</formula>
    </cfRule>
  </conditionalFormatting>
  <conditionalFormatting sqref="E13:E20">
    <cfRule type="expression" dxfId="2767" priority="68">
      <formula>ABS(E$16-E$19)&gt;=1000</formula>
    </cfRule>
  </conditionalFormatting>
  <conditionalFormatting sqref="F13 F15:F20">
    <cfRule type="expression" dxfId="2766" priority="67">
      <formula>ABS(F$16-F$19)&gt;=1000</formula>
    </cfRule>
  </conditionalFormatting>
  <conditionalFormatting sqref="G13:G20">
    <cfRule type="expression" dxfId="2765" priority="66">
      <formula>ABS(G$16-G$19)&gt;=1000</formula>
    </cfRule>
  </conditionalFormatting>
  <conditionalFormatting sqref="H13:H20">
    <cfRule type="expression" dxfId="2764" priority="65">
      <formula>ABS(H$16-H$19)&gt;=1000</formula>
    </cfRule>
  </conditionalFormatting>
  <conditionalFormatting sqref="I13:I20">
    <cfRule type="expression" dxfId="2763" priority="64">
      <formula>ABS(I$16-I$19)&gt;=1000</formula>
    </cfRule>
  </conditionalFormatting>
  <conditionalFormatting sqref="J13:J20">
    <cfRule type="expression" dxfId="2762" priority="63">
      <formula>ABS(J$16-J$19)&gt;=1000</formula>
    </cfRule>
  </conditionalFormatting>
  <conditionalFormatting sqref="L13:L20">
    <cfRule type="expression" dxfId="2761" priority="62">
      <formula>ABS(L$16-L$19)&gt;=1000</formula>
    </cfRule>
  </conditionalFormatting>
  <conditionalFormatting sqref="M13 M15 M17:M18 M20">
    <cfRule type="expression" dxfId="2760" priority="61">
      <formula>ABS(M$16-M$19)&gt;=1000</formula>
    </cfRule>
  </conditionalFormatting>
  <conditionalFormatting sqref="N13:N20">
    <cfRule type="expression" dxfId="2759" priority="60">
      <formula>ABS(N$16-N$19)&gt;=1000</formula>
    </cfRule>
  </conditionalFormatting>
  <conditionalFormatting sqref="O13:O20">
    <cfRule type="expression" dxfId="2758" priority="59">
      <formula>ABS(O$16-O$19)&gt;=1000</formula>
    </cfRule>
  </conditionalFormatting>
  <conditionalFormatting sqref="P13:P20">
    <cfRule type="expression" dxfId="2757" priority="58">
      <formula>ABS(P$16-P$19)&gt;=1000</formula>
    </cfRule>
  </conditionalFormatting>
  <conditionalFormatting sqref="Q13 Q15:Q20">
    <cfRule type="expression" dxfId="2756" priority="57">
      <formula>ABS(Q$16-Q$19)&gt;=1000</formula>
    </cfRule>
  </conditionalFormatting>
  <conditionalFormatting sqref="R13:R20">
    <cfRule type="expression" dxfId="2755" priority="56">
      <formula>ABS(R$16-R$19)&gt;=1000</formula>
    </cfRule>
  </conditionalFormatting>
  <conditionalFormatting sqref="S13:S20">
    <cfRule type="expression" dxfId="2754" priority="55">
      <formula>ABS(S$16-S$19)&gt;=1000</formula>
    </cfRule>
  </conditionalFormatting>
  <conditionalFormatting sqref="T13:T20">
    <cfRule type="expression" dxfId="2753" priority="54">
      <formula>ABS(T$16-T$19)&gt;=1000</formula>
    </cfRule>
  </conditionalFormatting>
  <conditionalFormatting sqref="U13:U20">
    <cfRule type="expression" dxfId="2752" priority="53">
      <formula>ABS(U$16-U$19)&gt;=1000</formula>
    </cfRule>
  </conditionalFormatting>
  <conditionalFormatting sqref="V13:V20">
    <cfRule type="expression" dxfId="2751" priority="52">
      <formula>ABS(V$16-V$19)&gt;=1000</formula>
    </cfRule>
  </conditionalFormatting>
  <conditionalFormatting sqref="W13 W20 W15:W18">
    <cfRule type="expression" dxfId="2750" priority="51">
      <formula>ABS(W$16-W$19)&gt;=1000</formula>
    </cfRule>
  </conditionalFormatting>
  <conditionalFormatting sqref="X13 X15:X20 Y19">
    <cfRule type="expression" dxfId="2749" priority="50">
      <formula>ABS(X$16-X$19)&gt;=1000</formula>
    </cfRule>
  </conditionalFormatting>
  <conditionalFormatting sqref="Y13 Y15:Y18 Y20">
    <cfRule type="expression" dxfId="2748" priority="49">
      <formula>ABS(Y$16-Y$19)&gt;=1000</formula>
    </cfRule>
  </conditionalFormatting>
  <conditionalFormatting sqref="Z13:Z20">
    <cfRule type="expression" dxfId="2747" priority="48">
      <formula>ABS(Z$16-Z$19)&gt;=1000</formula>
    </cfRule>
  </conditionalFormatting>
  <conditionalFormatting sqref="AA13:AA20">
    <cfRule type="expression" dxfId="2746" priority="47">
      <formula>ABS(AA$16-AA$19)&gt;=1000</formula>
    </cfRule>
  </conditionalFormatting>
  <conditionalFormatting sqref="AB13 AB15:AB20">
    <cfRule type="expression" dxfId="2745" priority="46">
      <formula>ABS(AB$16-AB$19)&gt;=1000</formula>
    </cfRule>
  </conditionalFormatting>
  <conditionalFormatting sqref="AC13 AC15:AC20">
    <cfRule type="expression" dxfId="2744" priority="45">
      <formula>ABS(AC$16-AC$19)&gt;=1000</formula>
    </cfRule>
  </conditionalFormatting>
  <conditionalFormatting sqref="AD13:AD20">
    <cfRule type="expression" dxfId="2743" priority="44">
      <formula>ABS(AD$16-AD$19)&gt;=1000</formula>
    </cfRule>
  </conditionalFormatting>
  <conditionalFormatting sqref="AE13:AE20">
    <cfRule type="expression" dxfId="2742" priority="43">
      <formula>ABS(AE$16-AE$19)&gt;=1000</formula>
    </cfRule>
  </conditionalFormatting>
  <conditionalFormatting sqref="D22:D29">
    <cfRule type="expression" dxfId="2741" priority="42">
      <formula>ABS(D$25-D$28)&gt;=1000</formula>
    </cfRule>
  </conditionalFormatting>
  <conditionalFormatting sqref="E22:E29">
    <cfRule type="expression" dxfId="2740" priority="41">
      <formula>ABS(E$25-E$28)&gt;=1000</formula>
    </cfRule>
  </conditionalFormatting>
  <conditionalFormatting sqref="F22:F29">
    <cfRule type="expression" dxfId="2739" priority="40">
      <formula>ABS(F$25-F$28)&gt;=1000</formula>
    </cfRule>
  </conditionalFormatting>
  <conditionalFormatting sqref="G22:G29">
    <cfRule type="expression" dxfId="2738" priority="39">
      <formula>ABS(G$25-G$28)&gt;=1000</formula>
    </cfRule>
  </conditionalFormatting>
  <conditionalFormatting sqref="H22:H29">
    <cfRule type="expression" dxfId="2737" priority="38">
      <formula>ABS(H$25-H$28)&gt;=1000</formula>
    </cfRule>
  </conditionalFormatting>
  <conditionalFormatting sqref="I22 I24:I29">
    <cfRule type="expression" dxfId="2736" priority="37">
      <formula>ABS(I$25-I$28)&gt;=1000</formula>
    </cfRule>
  </conditionalFormatting>
  <conditionalFormatting sqref="J22:J29 K22">
    <cfRule type="expression" dxfId="2735" priority="36">
      <formula>ABS(J$25-J$28)&gt;=1000</formula>
    </cfRule>
  </conditionalFormatting>
  <conditionalFormatting sqref="K23:K29 L25 L28">
    <cfRule type="expression" dxfId="2734" priority="35">
      <formula>ABS(K$25-K$28)&gt;=1000</formula>
    </cfRule>
  </conditionalFormatting>
  <conditionalFormatting sqref="L22 L26:L27 L29 L24">
    <cfRule type="expression" dxfId="2733" priority="34">
      <formula>ABS(L$25-L$28)&gt;=1000</formula>
    </cfRule>
  </conditionalFormatting>
  <conditionalFormatting sqref="M22:M29">
    <cfRule type="expression" dxfId="2732" priority="33">
      <formula>ABS(M$25-M$28)&gt;=1000</formula>
    </cfRule>
  </conditionalFormatting>
  <conditionalFormatting sqref="N22:N29">
    <cfRule type="expression" dxfId="2731" priority="32">
      <formula>ABS(N$25-N$28)&gt;=1000</formula>
    </cfRule>
  </conditionalFormatting>
  <conditionalFormatting sqref="O22:O29">
    <cfRule type="expression" dxfId="2730" priority="31">
      <formula>ABS(O$25-O$28)&gt;=1000</formula>
    </cfRule>
  </conditionalFormatting>
  <conditionalFormatting sqref="P22:P29">
    <cfRule type="expression" dxfId="2729" priority="30">
      <formula>ABS(P$25-P$28)&gt;=1000</formula>
    </cfRule>
  </conditionalFormatting>
  <conditionalFormatting sqref="Q22:Q29">
    <cfRule type="expression" dxfId="2728" priority="29">
      <formula>ABS(Q$25-Q$28)&gt;=1000</formula>
    </cfRule>
  </conditionalFormatting>
  <conditionalFormatting sqref="R22:R29">
    <cfRule type="expression" dxfId="2727" priority="28">
      <formula>ABS(R$25-R$28)&gt;=1000</formula>
    </cfRule>
  </conditionalFormatting>
  <conditionalFormatting sqref="S22:S29">
    <cfRule type="expression" dxfId="2726" priority="27">
      <formula>ABS(S$25-S$28)&gt;=1000</formula>
    </cfRule>
  </conditionalFormatting>
  <conditionalFormatting sqref="T22:T29">
    <cfRule type="expression" dxfId="2725" priority="26">
      <formula>ABS(T$25-T$28)&gt;=1000</formula>
    </cfRule>
  </conditionalFormatting>
  <conditionalFormatting sqref="U22:U29">
    <cfRule type="expression" dxfId="2724" priority="25">
      <formula>ABS(U$25-U$28)&gt;=1000</formula>
    </cfRule>
  </conditionalFormatting>
  <conditionalFormatting sqref="V22:V29">
    <cfRule type="expression" dxfId="2723" priority="24">
      <formula>ABS(V$25-V$28)&gt;=1000</formula>
    </cfRule>
  </conditionalFormatting>
  <conditionalFormatting sqref="W22:W29">
    <cfRule type="expression" dxfId="2722" priority="23">
      <formula>ABS(W$25-W$28)&gt;=1000</formula>
    </cfRule>
  </conditionalFormatting>
  <conditionalFormatting sqref="X22:X29">
    <cfRule type="expression" dxfId="2721" priority="22">
      <formula>ABS(X$25-X$28)&gt;=1000</formula>
    </cfRule>
  </conditionalFormatting>
  <conditionalFormatting sqref="Y22:Y29">
    <cfRule type="expression" dxfId="2720" priority="21">
      <formula>ABS(Y$25-Y$28)&gt;=1000</formula>
    </cfRule>
  </conditionalFormatting>
  <conditionalFormatting sqref="I23">
    <cfRule type="expression" dxfId="2719" priority="20">
      <formula>ABS(I$25-I$28)&gt;=1000</formula>
    </cfRule>
  </conditionalFormatting>
  <conditionalFormatting sqref="F14">
    <cfRule type="expression" dxfId="2718" priority="19">
      <formula>ABS(F$16-F$19)&gt;=1000</formula>
    </cfRule>
  </conditionalFormatting>
  <conditionalFormatting sqref="Q14">
    <cfRule type="expression" dxfId="2717" priority="18">
      <formula>ABS(Q$16-Q$19)&gt;=1000</formula>
    </cfRule>
  </conditionalFormatting>
  <conditionalFormatting sqref="W14">
    <cfRule type="expression" dxfId="2716" priority="17">
      <formula>ABS(W$16-W$19)&gt;=1000</formula>
    </cfRule>
  </conditionalFormatting>
  <conditionalFormatting sqref="Y14">
    <cfRule type="expression" dxfId="2715" priority="16">
      <formula>ABS(Y$16-Y$19)&gt;=1000</formula>
    </cfRule>
  </conditionalFormatting>
  <conditionalFormatting sqref="X14">
    <cfRule type="expression" dxfId="2714" priority="15">
      <formula>ABS(X$16-X$19)&gt;=1000</formula>
    </cfRule>
  </conditionalFormatting>
  <conditionalFormatting sqref="T10:Y10">
    <cfRule type="expression" dxfId="2713" priority="14">
      <formula>ABS(T$7-T$10)&gt;=1000</formula>
    </cfRule>
  </conditionalFormatting>
  <conditionalFormatting sqref="W19">
    <cfRule type="expression" dxfId="2712" priority="13">
      <formula>ABS(W$16-W$19)&gt;=1000</formula>
    </cfRule>
  </conditionalFormatting>
  <conditionalFormatting sqref="AC5">
    <cfRule type="expression" dxfId="2711" priority="12">
      <formula>ABS(AC$7-AC$10)&gt;=1000</formula>
    </cfRule>
  </conditionalFormatting>
  <conditionalFormatting sqref="M14">
    <cfRule type="expression" dxfId="2710" priority="11">
      <formula>ABS(M$16-M$19)&gt;=1000</formula>
    </cfRule>
  </conditionalFormatting>
  <conditionalFormatting sqref="M16">
    <cfRule type="expression" dxfId="2709" priority="10">
      <formula>ABS(M$16-M$19)&gt;=1000</formula>
    </cfRule>
  </conditionalFormatting>
  <conditionalFormatting sqref="M19">
    <cfRule type="expression" dxfId="2708" priority="9">
      <formula>ABS(M$16-M$19)&gt;=1000</formula>
    </cfRule>
  </conditionalFormatting>
  <conditionalFormatting sqref="K13:K20">
    <cfRule type="expression" dxfId="2707" priority="8">
      <formula>ABS(K$16-K$19)&gt;=1000</formula>
    </cfRule>
  </conditionalFormatting>
  <conditionalFormatting sqref="E5">
    <cfRule type="expression" dxfId="2706" priority="7">
      <formula>ABS(E$7-E$10)&gt;=1000</formula>
    </cfRule>
  </conditionalFormatting>
  <conditionalFormatting sqref="AB14:AC14">
    <cfRule type="expression" dxfId="2705" priority="6">
      <formula>ABS(AB$16-AB$19)&gt;=1000</formula>
    </cfRule>
  </conditionalFormatting>
  <conditionalFormatting sqref="M5">
    <cfRule type="expression" dxfId="2704" priority="5">
      <formula>ABS(M$7-M$10)&gt;=1000</formula>
    </cfRule>
  </conditionalFormatting>
  <conditionalFormatting sqref="N5">
    <cfRule type="expression" dxfId="2703" priority="4">
      <formula>ABS(N$7-N$10)&gt;=1000</formula>
    </cfRule>
  </conditionalFormatting>
  <conditionalFormatting sqref="O5">
    <cfRule type="expression" dxfId="2702" priority="3">
      <formula>ABS(O$7-O$10)&gt;=1000</formula>
    </cfRule>
  </conditionalFormatting>
  <conditionalFormatting sqref="P5">
    <cfRule type="expression" dxfId="2701" priority="2">
      <formula>ABS(P$7-P$10)&gt;=1000</formula>
    </cfRule>
  </conditionalFormatting>
  <conditionalFormatting sqref="L23">
    <cfRule type="expression" dxfId="2700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22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92">
    <pageSetUpPr fitToPage="1"/>
  </sheetPr>
  <dimension ref="A1:CU223"/>
  <sheetViews>
    <sheetView view="pageBreakPreview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45870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44" t="s" ph="1">
        <v>178</v>
      </c>
      <c r="D6" s="71">
        <v>6467</v>
      </c>
      <c r="E6" s="71">
        <v>7978</v>
      </c>
      <c r="F6" s="71">
        <v>4997</v>
      </c>
      <c r="G6" s="71">
        <v>4259</v>
      </c>
      <c r="H6" s="71">
        <v>9131</v>
      </c>
      <c r="I6" s="71">
        <v>40.51</v>
      </c>
      <c r="J6" s="71">
        <v>7.72</v>
      </c>
      <c r="K6" s="71">
        <v>85.45</v>
      </c>
      <c r="L6" s="71">
        <v>24.82</v>
      </c>
      <c r="M6" s="71">
        <v>3943</v>
      </c>
      <c r="N6" s="71">
        <v>1141</v>
      </c>
      <c r="O6" s="71">
        <v>5371</v>
      </c>
      <c r="P6" s="71">
        <v>1655</v>
      </c>
      <c r="Q6" s="71">
        <v>7165</v>
      </c>
      <c r="R6" s="71">
        <v>5227</v>
      </c>
      <c r="S6" s="71">
        <v>0</v>
      </c>
      <c r="T6" s="71">
        <v>343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1649</v>
      </c>
      <c r="AA6" s="71">
        <v>555</v>
      </c>
      <c r="AB6" s="71">
        <v>1191</v>
      </c>
      <c r="AC6" s="71">
        <v>528</v>
      </c>
      <c r="AD6" s="71">
        <v>3579</v>
      </c>
      <c r="AE6" s="71">
        <v>1925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202710.21974982001</v>
      </c>
      <c r="E7" s="73" ph="1">
        <f>E6*51.53*LOOKUP(E8,密度!$A$2:$A$50,密度!$B$2:$B$50)</f>
        <v>320498.50266400003</v>
      </c>
      <c r="F7" s="73" ph="1">
        <f>F6*33.183*LOOKUP(F8,密度!$A$2:$A$50,密度!$C$2:$C$50)</f>
        <v>183624.03043739998</v>
      </c>
      <c r="G7" s="73" ph="1">
        <f xml:space="preserve"> (G6+2)*51.53*LOOKUP(G8,密度!$A$2:$A$50,密度!$B$2:$B$50)</f>
        <v>170802.98180700003</v>
      </c>
      <c r="H7" s="73" ph="1">
        <f>(H6)*51.53*LOOKUP(H8,密度!$A$2:$A$50,密度!$B$2:$B$50)</f>
        <v>366817.727228</v>
      </c>
      <c r="I7" s="73" ph="1">
        <f>I6*290.8*1.0267</f>
        <v>12094.842223599999</v>
      </c>
      <c r="J7" s="73" ph="1">
        <f>J6*290.8*0.7892</f>
        <v>1771.7350592</v>
      </c>
      <c r="K7" s="73" ph="1">
        <f>K6*290.8*1.1126</f>
        <v>27646.841636000001</v>
      </c>
      <c r="L7" s="73" ph="1">
        <f>L6*290.8*0.777</f>
        <v>5608.1187120000004</v>
      </c>
      <c r="M7" s="73" ph="1">
        <f>M6*33.183*LOOKUP(M8,密度!$A$2:$A$50,密度!$D$2:$D$50)</f>
        <v>134085.41511119998</v>
      </c>
      <c r="N7" s="73" ph="1">
        <f>N6*33.183*LOOKUP(N8,密度!$A$2:$A$50,密度!$E$2:$E$50)</f>
        <v>29653.364109599999</v>
      </c>
      <c r="O7" s="73" ph="1">
        <f>O6*20.428*LOOKUP(O8,密度!$A$2:$A$50,密度!$C$2:$C$50)</f>
        <v>121250.2326188</v>
      </c>
      <c r="P7" s="73" ph="1">
        <f>P6*51.53*LOOKUP(P8,密度!$A$2:$A$50,密度!$B$2:$B$50)</f>
        <v>66485.964139999996</v>
      </c>
      <c r="Q7" s="73" ph="1">
        <f>Q6*1.5*1.5*3.1416*LOOKUP(W8,密度!$A$2:$A$50,密度!$L$2:$L$50)</f>
        <v>47405.141783999999</v>
      </c>
      <c r="R7" s="73" ph="1">
        <f>R6*1.5*1.5*3.1416*LOOKUP(R8,密度!$A$2:$A$50,密度!$L$2:$L$50)</f>
        <v>34398.189718200003</v>
      </c>
      <c r="S7" s="73" ph="1">
        <f>S6*1.5*1.5*3.1416*LOOKUP(S8,密度!$A$2:$A$50,密度!$L$2:$L$50)</f>
        <v>0</v>
      </c>
      <c r="T7" s="73" ph="1">
        <f>T6*1.5*1.5*3.1416*LOOKUP(T8,密度!$A$2:$A$50,密度!$L$2:$L$50)</f>
        <v>2281.4825417999996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51435.640979999996</v>
      </c>
      <c r="AA7" s="73" ph="1">
        <f>AA6*33.183*LOOKUP(AA8,密度!$A$2:$A$50,密度!$D$2:$D$50)</f>
        <v>18891.712377</v>
      </c>
      <c r="AB7" s="73" ph="1">
        <f>AB6*20.428*LOOKUP(AB8,密度!$A$2:$A$50,密度!$D$2:$D$50)</f>
        <v>25093.702087200003</v>
      </c>
      <c r="AC7" s="73" ph="1">
        <f>AC6*51.53*LOOKUP(AC8,密度!$A$2:$A$50,密度!$Q$2:$Q$50)</f>
        <v>25822.688865600001</v>
      </c>
      <c r="AD7" s="73" ph="1">
        <f>AD6*20.428*LOOKUP(AD8,密度!$A$2:$A$50,密度!$V$2:$V$50)</f>
        <v>70011.871171200008</v>
      </c>
      <c r="AE7" s="73" ph="1">
        <f>AE6*20.428</f>
        <v>39323.9</v>
      </c>
    </row>
    <row r="8" spans="1:99" ph="1">
      <c r="B8" s="233" ph="1"/>
      <c r="C8" s="68" t="s" ph="1">
        <v>180</v>
      </c>
      <c r="D8" s="74">
        <v>28</v>
      </c>
      <c r="E8" s="74">
        <v>25</v>
      </c>
      <c r="F8" s="74">
        <v>27</v>
      </c>
      <c r="G8" s="74">
        <v>27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25</v>
      </c>
      <c r="O8" s="74">
        <v>30</v>
      </c>
      <c r="P8" s="74">
        <v>25</v>
      </c>
      <c r="Q8" s="74">
        <v>26</v>
      </c>
      <c r="R8" s="74">
        <v>31</v>
      </c>
      <c r="S8" s="74">
        <v>21</v>
      </c>
      <c r="T8" s="74">
        <v>21</v>
      </c>
      <c r="U8" s="74">
        <v>25</v>
      </c>
      <c r="V8" s="74">
        <v>25</v>
      </c>
      <c r="W8" s="74">
        <v>26</v>
      </c>
      <c r="X8" s="74">
        <v>18</v>
      </c>
      <c r="Y8" s="74">
        <v>25</v>
      </c>
      <c r="Z8" s="74">
        <v>22</v>
      </c>
      <c r="AA8" s="74">
        <v>26</v>
      </c>
      <c r="AB8" s="74">
        <v>20</v>
      </c>
      <c r="AC8" s="74">
        <v>22</v>
      </c>
      <c r="AD8" s="74">
        <v>26</v>
      </c>
      <c r="AE8" s="74">
        <v>34</v>
      </c>
    </row>
    <row r="9" spans="1:99" ht="26.4" ph="1">
      <c r="B9" s="233" ph="1">
        <v>0.66666666666666663</v>
      </c>
      <c r="C9" s="144" t="s" ph="1">
        <v>181</v>
      </c>
      <c r="D9" s="71">
        <v>6471</v>
      </c>
      <c r="E9" s="71">
        <v>8057</v>
      </c>
      <c r="F9" s="71">
        <v>5540</v>
      </c>
      <c r="G9" s="71">
        <v>4742</v>
      </c>
      <c r="H9" s="71">
        <v>9137</v>
      </c>
      <c r="I9" s="71">
        <v>40.51</v>
      </c>
      <c r="J9" s="71">
        <v>7.71</v>
      </c>
      <c r="K9" s="71">
        <v>85.81</v>
      </c>
      <c r="L9" s="71">
        <v>10.42</v>
      </c>
      <c r="M9" s="71">
        <v>3943</v>
      </c>
      <c r="N9" s="71">
        <v>1141</v>
      </c>
      <c r="O9" s="71">
        <v>5373</v>
      </c>
      <c r="P9" s="71">
        <v>1635</v>
      </c>
      <c r="Q9" s="71">
        <v>5382</v>
      </c>
      <c r="R9" s="71">
        <v>5232</v>
      </c>
      <c r="S9" s="71">
        <v>3910</v>
      </c>
      <c r="T9" s="71">
        <v>2512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1783</v>
      </c>
      <c r="AA9" s="71">
        <v>555</v>
      </c>
      <c r="AB9" s="71">
        <v>1190</v>
      </c>
      <c r="AC9" s="71">
        <v>906</v>
      </c>
      <c r="AD9" s="71">
        <v>3575</v>
      </c>
      <c r="AE9" s="71">
        <v>2050</v>
      </c>
    </row>
    <row r="10" spans="1:99" s="72" customFormat="1" ht="22.2" ph="1">
      <c r="B10" s="233" ph="1"/>
      <c r="C10" s="144" t="s" ph="1">
        <v>179</v>
      </c>
      <c r="D10" s="73" ph="1">
        <f>D9*33.183*LOOKUP(D11,密度!$A$2:$A$50,密度!$Q$2:$Q$50)</f>
        <v>202558.60297268999</v>
      </c>
      <c r="E10" s="73" ph="1">
        <f>E9*51.53*LOOKUP(E11,密度!$A$2:$A$50,密度!$B$2:$B$50)</f>
        <v>321886.89091300004</v>
      </c>
      <c r="F10" s="73" ph="1">
        <f>F9*33.183*LOOKUP(F11,密度!$A$2:$A$50,密度!$C$2:$C$50)</f>
        <v>203301.82153800002</v>
      </c>
      <c r="G10" s="73" ph="1">
        <f xml:space="preserve"> (G9+2)*51.53*LOOKUP(G11,密度!$A$2:$A$50,密度!$B$2:$B$50)</f>
        <v>189528.535496</v>
      </c>
      <c r="H10" s="73" ph="1">
        <f>(H9)*51.53*LOOKUP(H11,密度!$A$2:$A$50,密度!$B$2:$B$50)</f>
        <v>365457.94328199996</v>
      </c>
      <c r="I10" s="73" ph="1">
        <f>I9*290.8*1.0267</f>
        <v>12094.842223599999</v>
      </c>
      <c r="J10" s="73" ph="1">
        <f>J9*290.8*0.7892</f>
        <v>1769.4400656000003</v>
      </c>
      <c r="K10" s="73" ph="1">
        <f>K9*290.8*1.1126</f>
        <v>27763.317504800005</v>
      </c>
      <c r="L10" s="73" ph="1">
        <f>L9*290.8*0.777</f>
        <v>2354.4156720000001</v>
      </c>
      <c r="M10" s="73" ph="1">
        <f>M9*33.183*LOOKUP(M11,密度!$A$2:$A$50,密度!$D$2:$D$50)</f>
        <v>133601.30500589998</v>
      </c>
      <c r="N10" s="73" ph="1">
        <f>N9*33.183*LOOKUP(N11,密度!$A$2:$A$50,密度!$E$2:$E$50)</f>
        <v>29397.796939349999</v>
      </c>
      <c r="O10" s="73" ph="1">
        <f>O9*20.428*LOOKUP(O11,密度!$A$2:$A$50,密度!$C$2:$C$50)</f>
        <v>120834.3920796</v>
      </c>
      <c r="P10" s="73" ph="1">
        <f>P9*51.53*LOOKUP(P11,密度!$A$2:$A$50,密度!$B$2:$B$50)</f>
        <v>65396.053110000001</v>
      </c>
      <c r="Q10" s="73" ph="1">
        <f>Q9*1.5*1.5*3.1416*LOOKUP(W11,密度!$A$2:$A$50,密度!$L$2:$L$50)</f>
        <v>35304.0944256</v>
      </c>
      <c r="R10" s="73" ph="1">
        <f>R9*1.5*1.5*3.1416*LOOKUP(R11,密度!$A$2:$A$50,密度!$L$2:$L$50)</f>
        <v>34320.145305599995</v>
      </c>
      <c r="S10" s="73" ph="1">
        <f>S9*1.5*1.5*3.1416*LOOKUP(S11,密度!$A$2:$A$50,密度!$L$2:$L$50)</f>
        <v>25924.655987999999</v>
      </c>
      <c r="T10" s="73" ph="1">
        <f>T9*1.5*1.5*3.1416*LOOKUP(T11,密度!$A$2:$A$50,密度!$L$2:$L$50)</f>
        <v>16690.943807999996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55319.545214999998</v>
      </c>
      <c r="AA10" s="73" ph="1">
        <f>AA9*33.183*LOOKUP(AA11,密度!$A$2:$A$50,密度!$D$2:$D$50)</f>
        <v>18740.696543999999</v>
      </c>
      <c r="AB10" s="73" ph="1">
        <f>AB9*20.428*LOOKUP(AB11,密度!$A$2:$A$50,密度!$D$2:$D$50)</f>
        <v>25004.566552</v>
      </c>
      <c r="AC10" s="73" ph="1">
        <f>AC9*51.53*LOOKUP(AC11,密度!$A$2:$A$50,密度!$Q$2:$Q$50)</f>
        <v>44040.4741794</v>
      </c>
      <c r="AD10" s="73" ph="1">
        <f>AD9*20.428*LOOKUP(AD11,密度!$A$2:$A$50,密度!$V$2:$V$50)</f>
        <v>69933.623760000002</v>
      </c>
      <c r="AE10" s="73" ph="1">
        <f>AE9*20.428</f>
        <v>41877.4</v>
      </c>
    </row>
    <row r="11" spans="1:99" ph="1">
      <c r="A11" s="64" t="s" ph="1">
        <v>163</v>
      </c>
      <c r="B11" s="233" ph="1"/>
      <c r="C11" s="144" t="s" ph="1">
        <v>180</v>
      </c>
      <c r="D11" s="74">
        <v>30</v>
      </c>
      <c r="E11" s="74">
        <v>30</v>
      </c>
      <c r="F11" s="74">
        <v>29</v>
      </c>
      <c r="G11" s="74">
        <v>30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31</v>
      </c>
      <c r="O11" s="74">
        <v>34</v>
      </c>
      <c r="P11" s="74">
        <v>29</v>
      </c>
      <c r="Q11" s="74">
        <v>29</v>
      </c>
      <c r="R11" s="74">
        <v>34</v>
      </c>
      <c r="S11" s="74">
        <v>24</v>
      </c>
      <c r="T11" s="74">
        <v>22</v>
      </c>
      <c r="U11" s="74">
        <v>31</v>
      </c>
      <c r="V11" s="74">
        <v>28</v>
      </c>
      <c r="W11" s="74">
        <v>34</v>
      </c>
      <c r="X11" s="74">
        <v>24</v>
      </c>
      <c r="Y11" s="74">
        <v>32</v>
      </c>
      <c r="Z11" s="74">
        <v>27</v>
      </c>
      <c r="AA11" s="74">
        <v>35</v>
      </c>
      <c r="AB11" s="74">
        <v>23</v>
      </c>
      <c r="AC11" s="74">
        <v>30</v>
      </c>
      <c r="AD11" s="74">
        <v>31</v>
      </c>
      <c r="AE11" s="74">
        <v>38</v>
      </c>
    </row>
    <row r="12" spans="1:99" ht="9.9" customHeight="1" ph="1"/>
    <row r="13" spans="1:99" s="72" customFormat="1" ht="29.25" customHeight="1" ph="1">
      <c r="B13" s="210" t="s" ph="1">
        <v>37</v>
      </c>
      <c r="C13" s="144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44" t="s" ph="1">
        <v>178</v>
      </c>
      <c r="D15" s="78">
        <v>5956</v>
      </c>
      <c r="E15" s="78">
        <v>4518</v>
      </c>
      <c r="F15" s="78">
        <v>4767</v>
      </c>
      <c r="G15" s="78">
        <v>4016</v>
      </c>
      <c r="H15" s="78">
        <v>0</v>
      </c>
      <c r="I15" s="78">
        <v>0</v>
      </c>
      <c r="J15" s="78">
        <v>903</v>
      </c>
      <c r="K15" s="78">
        <v>4176</v>
      </c>
      <c r="L15" s="78">
        <v>2828</v>
      </c>
      <c r="M15" s="78">
        <v>3974</v>
      </c>
      <c r="N15" s="78">
        <v>4708</v>
      </c>
      <c r="O15" s="78">
        <v>6869</v>
      </c>
      <c r="P15" s="78">
        <v>5151</v>
      </c>
      <c r="Q15" s="78">
        <v>6876</v>
      </c>
      <c r="R15" s="78">
        <v>0</v>
      </c>
      <c r="S15" s="78">
        <v>3696</v>
      </c>
      <c r="T15" s="78">
        <v>1232</v>
      </c>
      <c r="U15" s="78">
        <v>6074</v>
      </c>
      <c r="V15" s="78">
        <v>-142</v>
      </c>
      <c r="W15" s="71">
        <v>2174</v>
      </c>
      <c r="X15" s="78">
        <v>-213</v>
      </c>
      <c r="Y15" s="106">
        <v>-9905</v>
      </c>
      <c r="Z15" s="78">
        <v>0</v>
      </c>
      <c r="AA15" s="78">
        <v>6135</v>
      </c>
      <c r="AB15" s="78" ph="1">
        <v>1718</v>
      </c>
      <c r="AC15" s="78" ph="1">
        <v>775</v>
      </c>
      <c r="AD15" s="78">
        <v>8.6199999999999992</v>
      </c>
      <c r="AE15" s="78">
        <v>83.51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44" t="s" ph="1">
        <v>179</v>
      </c>
      <c r="D16" s="73" ph="1">
        <f>D15*7.0686*LOOKUP(D17,密度!$A$2:$A$50,密度!$L$2:$L$50)</f>
        <v>39364.043795999998</v>
      </c>
      <c r="E16" s="73" ph="1">
        <f>E15*7.0686*LOOKUP(E17,密度!$A$2:$A$50,密度!$L$2:$L$50)</f>
        <v>29860.099038</v>
      </c>
      <c r="F16" s="73" ph="1">
        <f>F15*9.0746*LOOKUP(F17,密度!$A$2:$A$50,密度!$L$2:$L$50)</f>
        <v>40317.032162400006</v>
      </c>
      <c r="G16" s="73" ph="1">
        <f>G15*9.0746*LOOKUP(G17,密度!$A$2:$A$50,密度!$B$2:$B$50)</f>
        <v>28411.425570559997</v>
      </c>
      <c r="H16" s="73" ph="1">
        <f>H15*9.0746*LOOKUP(H17,密度!$A$2:$A$50,密度!$L$2:$L$50)</f>
        <v>0</v>
      </c>
      <c r="I16" s="73" ph="1">
        <f>I15*9.0746*LOOKUP(I17,密度!$A$2:$A$50,密度!$U$2:$U$50)</f>
        <v>0</v>
      </c>
      <c r="J16" s="73" ph="1">
        <f>J15*9.0746*LOOKUP(J17,密度!$A$2:$A$50,密度!$L$2:$L$50)</f>
        <v>7678.1188806000018</v>
      </c>
      <c r="K16" s="73" ph="1">
        <f>K15*9.0746*LOOKUP(K17,密度!$A$2:$A$50,密度!$C$2:$C$50)</f>
        <v>41992.036349760005</v>
      </c>
      <c r="L16" s="73" ph="1">
        <f>L15*9.0746*LOOKUP(L17,密度!$A$2:$A$50,密度!$E$2:$E$50)</f>
        <v>20071.007898480002</v>
      </c>
      <c r="M16" s="73" ph="1">
        <f>M15*9.0746*LOOKUP(M17,密度!$A$2:$A$50,密度!$M$2:$M$50)</f>
        <v>31446.465468800005</v>
      </c>
      <c r="N16" s="73" ph="1">
        <f>N15*9.0746*LOOKUP(N17,密度!$A$2:$A$50,密度!$M$2:$M$50)</f>
        <v>37387.087021680003</v>
      </c>
      <c r="O16" s="73" ph="1">
        <f>O15*9.0746*LOOKUP(O17,密度!$A$2:$A$50,密度!$G$2:$G$50)</f>
        <v>59653.090021799995</v>
      </c>
      <c r="P16" s="73" ph="1">
        <f ca="1">P15*9.0746*LOOKUP(P17,密度!$A$2:$A$51,密度!$Q$2:$Q$50)</f>
        <v>44187.342891672008</v>
      </c>
      <c r="Q16" s="73" ph="1">
        <f>Q15*9.0746*LOOKUP(Q17,密度!$A$2:$A$50,密度!$Q$2:$Q$50)</f>
        <v>59560.384271184004</v>
      </c>
      <c r="R16" s="73" ph="1">
        <f>MAX(R15*9.0746*LOOKUP(R17,密度!$A$2:$A$50,密度!$B$2:$B$50),0)</f>
        <v>0</v>
      </c>
      <c r="S16" s="73" ph="1">
        <f>S15*9.0746*LOOKUP(S17,密度!$A$2:$A$50,密度!$Q$2:$Q$50)</f>
        <v>31705.769622912005</v>
      </c>
      <c r="T16" s="73" ph="1">
        <f>T15*9.0746*LOOKUP(T17,密度!$A$2:$A$50,密度!$O$2:$O$50)</f>
        <v>10352.5940672</v>
      </c>
      <c r="U16" s="73" ph="1">
        <f>U15*9.0746*LOOKUP(U17,密度!$A$2:$A$50,密度!$H$2:$H$50)</f>
        <v>50417.45942988</v>
      </c>
      <c r="V16" s="73" ph="1">
        <f>MAX(5600*LOOKUP(V17,密度!$A$2:$A$50,密度!$Q$2:$Q$50)+V15*9.0476*LOOKUP(V17,密度!$A$2:$A$50,密度!$Q$2:$Q$50),0)</f>
        <v>4082.347254024</v>
      </c>
      <c r="W16" s="73" ph="1">
        <f>MAX(5600*LOOKUP(W17,密度!$A$2:$A$50,密度!$Q$2:$Q$50)+W15*9.0476*LOOKUP(W17,密度!$A$2:$A$50,密度!$Q$2:$Q$50),0)</f>
        <v>23905.688434871998</v>
      </c>
      <c r="X16" s="73" ph="1">
        <f>MAX(5600*LOOKUP(X17,密度!$A$2:$A$50,密度!$I$2:$I$50)+X15*9.0476*LOOKUP(X17,密度!$A$2:$A$50,密度!$I$2:$I$50),0)</f>
        <v>3815.7355006799999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43307.770770900002</v>
      </c>
      <c r="AB16" s="73" ph="1">
        <f>AB15*9.0746*LOOKUP(AB17,密度!$A$2:$A$50,密度!$L$2:$L$50)</f>
        <v>14545.6218924</v>
      </c>
      <c r="AC16" s="73" ph="1">
        <f>AC15*9.0746*LOOKUP(AC17,密度!$A$2:$A$50,密度!$L$2:$L$50)</f>
        <v>6589.747655000001</v>
      </c>
      <c r="AD16" s="73" ph="1">
        <f>AD15*268.68*LOOKUP(AD17,密度!$A$2:$A$50,密度!B2:B50)+IF(AD15&lt;=0,0,1566*LOOKUP(AD17,密度!$A$2:$A$50,密度!B2:B50))</f>
        <v>3026.4240393599998</v>
      </c>
      <c r="AE16" s="73" ph="1">
        <f>AE15*268.68*LOOKUP(AE17,密度!$A$2:$A$50,密度!B2:B50)+IF(AE15&lt;=0,0,1566*LOOKUP(AE17,密度!$A$2:$A$50,密度!B2:B50))</f>
        <v>18713.102717279999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27</v>
      </c>
      <c r="E17" s="74">
        <v>27</v>
      </c>
      <c r="F17" s="74">
        <v>30</v>
      </c>
      <c r="G17" s="74">
        <v>25</v>
      </c>
      <c r="H17" s="74">
        <v>31</v>
      </c>
      <c r="I17" s="74">
        <v>25</v>
      </c>
      <c r="J17" s="74">
        <v>25</v>
      </c>
      <c r="K17" s="74">
        <v>26</v>
      </c>
      <c r="L17" s="74">
        <v>26</v>
      </c>
      <c r="M17" s="74">
        <v>28</v>
      </c>
      <c r="N17" s="74">
        <v>25</v>
      </c>
      <c r="O17" s="74">
        <v>28</v>
      </c>
      <c r="P17" s="74">
        <v>27</v>
      </c>
      <c r="Q17" s="74">
        <v>2</v>
      </c>
      <c r="R17" s="74">
        <v>27</v>
      </c>
      <c r="S17" s="74">
        <v>27</v>
      </c>
      <c r="T17" s="74">
        <v>25</v>
      </c>
      <c r="U17" s="74">
        <v>25</v>
      </c>
      <c r="V17" s="74">
        <v>26</v>
      </c>
      <c r="W17" s="74">
        <v>26</v>
      </c>
      <c r="X17" s="74">
        <v>28</v>
      </c>
      <c r="Y17" s="108">
        <v>28</v>
      </c>
      <c r="Z17" s="74">
        <v>26</v>
      </c>
      <c r="AA17" s="74">
        <v>27</v>
      </c>
      <c r="AB17" s="74">
        <v>29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2975</v>
      </c>
      <c r="E18" s="71">
        <v>5648</v>
      </c>
      <c r="F18" s="71">
        <v>4769</v>
      </c>
      <c r="G18" s="71">
        <v>2525</v>
      </c>
      <c r="H18" s="71">
        <v>0</v>
      </c>
      <c r="I18" s="71">
        <v>0</v>
      </c>
      <c r="J18" s="71">
        <v>904</v>
      </c>
      <c r="K18" s="71">
        <v>4178</v>
      </c>
      <c r="L18" s="71">
        <v>2833</v>
      </c>
      <c r="M18" s="71">
        <v>2934</v>
      </c>
      <c r="N18" s="71">
        <v>3878</v>
      </c>
      <c r="O18" s="71">
        <v>6876</v>
      </c>
      <c r="P18" s="71">
        <v>3547</v>
      </c>
      <c r="Q18" s="71">
        <v>6884</v>
      </c>
      <c r="R18" s="71">
        <v>0</v>
      </c>
      <c r="S18" s="71">
        <v>3702</v>
      </c>
      <c r="T18" s="71">
        <v>387</v>
      </c>
      <c r="U18" s="71">
        <v>6078</v>
      </c>
      <c r="V18" s="71">
        <v>-143</v>
      </c>
      <c r="W18" s="71">
        <v>2173</v>
      </c>
      <c r="X18" s="71">
        <v>-215</v>
      </c>
      <c r="Y18" s="109">
        <v>-9907</v>
      </c>
      <c r="Z18" s="71">
        <v>0</v>
      </c>
      <c r="AA18" s="71">
        <v>6141</v>
      </c>
      <c r="AB18" s="71">
        <v>356</v>
      </c>
      <c r="AC18" s="71">
        <v>773</v>
      </c>
      <c r="AD18" s="71">
        <v>50.58</v>
      </c>
      <c r="AE18" s="71">
        <v>82.62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44" t="s" ph="1">
        <v>179</v>
      </c>
      <c r="D19" s="73" ph="1">
        <f>D18*7.0686*LOOKUP(D20,密度!$A$2:$A$50,密度!$L$2:$L$50)</f>
        <v>19620.136305</v>
      </c>
      <c r="E19" s="73" ph="1">
        <f>E18*7.0686*LOOKUP(E20,密度!$A$2:$A$50,密度!$L$2:$L$50)</f>
        <v>37248.581462399998</v>
      </c>
      <c r="F19" s="73" ph="1">
        <f>F18*9.0746*LOOKUP(F20,密度!$A$2:$A$50,密度!$L$2:$L$50)</f>
        <v>40204.116914600003</v>
      </c>
      <c r="G19" s="73" ph="1">
        <f>G18*9.0746*LOOKUP(G20,密度!$A$2:$A$50,密度!$B$2:$B$50)</f>
        <v>17803.684605000002</v>
      </c>
      <c r="H19" s="73" ph="1">
        <f>H18*9.0746*LOOKUP(H20,密度!$A$2:$A$50,密度!$L$2:$L$50)</f>
        <v>0</v>
      </c>
      <c r="I19" s="73" ph="1">
        <f>I18*9.0746*LOOKUP(I20,密度!$A$2:$A$50,密度!$U$2:$U$50)</f>
        <v>0</v>
      </c>
      <c r="J19" s="73" ph="1">
        <f>J18*9.0746*LOOKUP(J20,密度!$A$2:$A$50,密度!$L$2:$L$50)</f>
        <v>7612.7908352000013</v>
      </c>
      <c r="K19" s="73" ph="1">
        <f>K18*9.0746*LOOKUP(K20,密度!$A$2:$A$50,密度!$C$2:$C$50)</f>
        <v>41860.492763080001</v>
      </c>
      <c r="L19" s="73" ph="1">
        <f>L18*9.0746*LOOKUP(L20,密度!$A$2:$A$50,密度!$E$2:$E$50)</f>
        <v>20019.08575966</v>
      </c>
      <c r="M19" s="73" ph="1">
        <f>M18*9.0746*LOOKUP(M20,密度!$A$2:$A$50,密度!$M$2:$M$50)</f>
        <v>23133.556357668003</v>
      </c>
      <c r="N19" s="73" ph="1">
        <f>N18*9.0746*LOOKUP(N20,密度!$A$2:$A$50,密度!$M$2:$M$50)</f>
        <v>30686.812553600004</v>
      </c>
      <c r="O19" s="73" ph="1">
        <f>O18*9.0746*LOOKUP(O20,密度!$A$2:$A$50,密度!$G$2:$G$50)</f>
        <v>59645.244122639997</v>
      </c>
      <c r="P19" s="73" ph="1">
        <f ca="1">P18*9.0746*LOOKUP(P20,密度!$A$2:$A$51,密度!$Q$2:$Q$50)</f>
        <v>30382.847120366005</v>
      </c>
      <c r="Q19" s="73" ph="1">
        <f>Q18*9.0746*LOOKUP(Q20,密度!$A$2:$A$50,密度!$Q$2:$Q$50)</f>
        <v>58966.878933352004</v>
      </c>
      <c r="R19" s="73" ph="1">
        <f>MAX(R18*9.0746*LOOKUP(R20,密度!$A$2:$A$50,密度!$B$2:$B$50),0)</f>
        <v>0</v>
      </c>
      <c r="S19" s="73" ph="1">
        <f>S18*9.0746*LOOKUP(S20,密度!$A$2:$A$50,密度!$Q$2:$Q$50)</f>
        <v>31690.387631436002</v>
      </c>
      <c r="T19" s="73" ph="1">
        <f>T18*9.0746*LOOKUP(T20,密度!$A$2:$A$50,密度!$O$2:$O$50)</f>
        <v>3237.9443244000004</v>
      </c>
      <c r="U19" s="73" ph="1">
        <f>U18*9.0746*LOOKUP(U20,密度!$A$2:$A$50,密度!$H$2:$H$50)</f>
        <v>50301.741945599999</v>
      </c>
      <c r="V19" s="73" ph="1">
        <f>MAX(5600*LOOKUP(V20,密度!$A$2:$A$50,密度!$Q$2:$Q$50)+V18*9.0476*LOOKUP(V20,密度!$A$2:$A$50,密度!$Q$2:$Q$50),0)</f>
        <v>4053.2043494999998</v>
      </c>
      <c r="W19" s="73" ph="1">
        <f>MAX(5600*LOOKUP(W20,密度!$A$2:$A$50,密度!$Q$2:$Q$50)+W18*9.0476*LOOKUP(W20,密度!$A$2:$A$50,密度!$Q$2:$Q$50),0)</f>
        <v>23776.384255500001</v>
      </c>
      <c r="X19" s="73" ph="1">
        <f>MAX(5600*LOOKUP(X20,密度!$A$2:$A$50,密度!$I$2:$I$50)+X18*9.0476*LOOKUP(X20,密度!$A$2:$A$50,密度!$I$2:$I$50),0)</f>
        <v>3784.5467406600001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43255.389457320001</v>
      </c>
      <c r="AB19" s="73" ph="1">
        <f>AB18*9.0746*LOOKUP(AB20,密度!$A$2:$A$50,密度!$L$2:$L$50)</f>
        <v>3001.1880104000002</v>
      </c>
      <c r="AC19" s="73" ph="1">
        <f>AC18*9.0746*LOOKUP(AC20,密度!$A$2:$A$50,密度!$L$2:$L$50)</f>
        <v>6523.6391940000003</v>
      </c>
      <c r="AD19" s="73" ph="1">
        <f>AD18*268.68*LOOKUP(AD20,密度!$A$2:$A$50,密度!B5:B53)+IF(AD18&lt;=0,0,1566*LOOKUP(AD20,密度!$A$2:$A$50,密度!B5:B53))</f>
        <v>11776.083328799999</v>
      </c>
      <c r="AE19" s="73" ph="1">
        <f>AE18*268.68*LOOKUP(AE20,密度!$A$2:$A$50,密度!B5:B53)+IF(AE18&lt;=0,0,1566*LOOKUP(AE20,密度!$A$2:$A$50,密度!B5:B53))</f>
        <v>18464.893423200003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29</v>
      </c>
      <c r="E20" s="81">
        <v>29</v>
      </c>
      <c r="F20" s="81">
        <v>33</v>
      </c>
      <c r="G20" s="81">
        <v>28</v>
      </c>
      <c r="H20" s="81">
        <v>31</v>
      </c>
      <c r="I20" s="81">
        <v>35</v>
      </c>
      <c r="J20" s="81">
        <v>34</v>
      </c>
      <c r="K20" s="81">
        <v>31</v>
      </c>
      <c r="L20" s="81">
        <v>29</v>
      </c>
      <c r="M20" s="81">
        <v>31</v>
      </c>
      <c r="N20" s="81">
        <v>28</v>
      </c>
      <c r="O20" s="81">
        <v>29</v>
      </c>
      <c r="P20" s="81">
        <v>29</v>
      </c>
      <c r="Q20" s="81">
        <v>29</v>
      </c>
      <c r="R20" s="81">
        <v>31</v>
      </c>
      <c r="S20" s="81">
        <v>30</v>
      </c>
      <c r="T20" s="81">
        <v>30</v>
      </c>
      <c r="U20" s="81">
        <v>28</v>
      </c>
      <c r="V20" s="81">
        <v>33</v>
      </c>
      <c r="W20" s="81">
        <v>33</v>
      </c>
      <c r="X20" s="81">
        <v>31</v>
      </c>
      <c r="Y20" s="110">
        <v>31</v>
      </c>
      <c r="Z20" s="81">
        <v>31</v>
      </c>
      <c r="AA20" s="81">
        <v>29</v>
      </c>
      <c r="AB20" s="81">
        <v>33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44" t="s" ph="1">
        <v>178</v>
      </c>
      <c r="D24" s="71">
        <v>68.53</v>
      </c>
      <c r="E24" s="71">
        <v>29.05</v>
      </c>
      <c r="F24" s="71">
        <v>3880</v>
      </c>
      <c r="G24" s="71">
        <v>3360</v>
      </c>
      <c r="H24" s="71">
        <v>2038</v>
      </c>
      <c r="I24" s="71">
        <v>777</v>
      </c>
      <c r="J24" s="71">
        <v>4889</v>
      </c>
      <c r="K24" s="71">
        <v>5498</v>
      </c>
      <c r="L24" s="71">
        <v>5598</v>
      </c>
      <c r="M24" s="71">
        <v>3435</v>
      </c>
      <c r="N24" s="71">
        <v>2658</v>
      </c>
      <c r="O24" s="71">
        <v>4316</v>
      </c>
      <c r="P24" s="71">
        <v>681</v>
      </c>
      <c r="Q24" s="90">
        <v>3795</v>
      </c>
      <c r="R24" s="71">
        <v>850</v>
      </c>
      <c r="S24" s="71">
        <v>7025</v>
      </c>
      <c r="T24" s="71">
        <v>1760</v>
      </c>
      <c r="U24" s="71">
        <v>6558</v>
      </c>
      <c r="V24" s="71">
        <v>11290</v>
      </c>
      <c r="W24" s="71">
        <v>11701</v>
      </c>
      <c r="X24" s="71">
        <v>4660</v>
      </c>
      <c r="Y24" s="71">
        <v>3521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18914.578012296002</v>
      </c>
      <c r="E25" s="91" ph="1">
        <f>E24*268.68*LOOKUP(E26,密度!$A$2:$A$50,密度!$C$2:$C$50)+IF(E24&lt;=0,0,1566*LOOKUP(E26,密度!$A$2:$A$50,密度!$C$2:$C$50))</f>
        <v>10391.672670599999</v>
      </c>
      <c r="F25" s="91" ph="1">
        <f>F24*11.702*LOOKUP(F26,密度!$A$2:$A$50,密度!$Q$2:$Q$50)</f>
        <v>42889.2997712</v>
      </c>
      <c r="G25" s="91" ph="1">
        <f>G24*18.322*LOOKUP(G26,密度!$A$2:$A$50,密度!$B$2:$B$50)</f>
        <v>47833.611839999998</v>
      </c>
      <c r="H25" s="91" ph="1">
        <f>H24*18.322*LOOKUP(H26,密度!$A$2:$A$50,密度!$B$2:$B$50)</f>
        <v>29013.363372</v>
      </c>
      <c r="I25" s="91" ph="1">
        <f>I24*18.322*LOOKUP(I26,密度!$A$2:$A$50,密度!$Q$2:$Q$50)</f>
        <v>13447.793576279999</v>
      </c>
      <c r="J25" s="91" ph="1">
        <f>J24*18.322*LOOKUP(J26,密度!$A$2:$A$50,密度!$Q$2:$Q$50)</f>
        <v>84615.524831960007</v>
      </c>
      <c r="K25" s="91" ph="1">
        <f>K24*18.322*LOOKUP(K26,密度!$A$2:$A$50,密度!$Q$2:$Q$50)</f>
        <v>95226.201413920004</v>
      </c>
      <c r="L25" s="91" ph="1">
        <f>L24*18.322*LOOKUP(L26,密度!$A$2:$A$50,密度!$Q$2:$Q$50)</f>
        <v>96886.420128719998</v>
      </c>
      <c r="M25" s="91" ph="1">
        <f>M24*18.322*LOOKUP(M26,密度!$A$2:$A$50,密度!$Q$2:$Q$50)</f>
        <v>59494.725692400003</v>
      </c>
      <c r="N25" s="91" ph="1">
        <f>N24*18.322*LOOKUP(N26,密度!$A$2:$A$50,密度!$Q$2:$Q$50)</f>
        <v>46036.966780319999</v>
      </c>
      <c r="O25" s="91" ph="1">
        <f>O24*18.322*LOOKUP(O26,密度!$A$2:$A$50,密度!$C$2:$C$50)</f>
        <v>87507.440363199988</v>
      </c>
      <c r="P25" s="91" ph="1">
        <f>P24*11.702*LOOKUP(P26,密度!$A$2:$A$50,密度!$B$2:$B$50)</f>
        <v>6205.5085793999997</v>
      </c>
      <c r="Q25" s="92" ph="1">
        <f>Q24*18.322*LOOKUP(Q26,密度!$A$2:$A$50,密度!$B$2:$B$50)</f>
        <v>54144.560612999987</v>
      </c>
      <c r="R25" s="91" ph="1">
        <f>R24*35.891*LOOKUP(R26,密度!$A$2:$A$50,密度!$C$2:$C$50)</f>
        <v>33783.839389999994</v>
      </c>
      <c r="S25" s="91" ph="1">
        <f>S24*35.891*LOOKUP(S26,密度!$A$2:$A$50,密度!$B$2:$B$50)</f>
        <v>196336.95994249999</v>
      </c>
      <c r="T25" s="91" ph="1">
        <f>T24*35.891*LOOKUP(T26,密度!$A$2:$A$50,密度!$Q$2:$Q$50)</f>
        <v>59669.9072992</v>
      </c>
      <c r="U25" s="91" ph="1">
        <f>U24*35.891</f>
        <v>235373.17799999999</v>
      </c>
      <c r="V25" s="91" ph="1">
        <f>V24*47.051*LOOKUP(V26,密度!$A$2:$A$50,密度!$B$2:$B$50)</f>
        <v>413649.94867299998</v>
      </c>
      <c r="W25" s="91" ph="1">
        <f>W24*47.051*LOOKUP(W26,密度!$A$2:$A$50,密度!$B$2:$B$50)</f>
        <v>427772.49452700006</v>
      </c>
      <c r="X25" s="91" ph="1">
        <f>X24*47.051*LOOKUP(X26,密度!$A$2:$A$50,密度!$I$2:$I$50)</f>
        <v>227786.782974</v>
      </c>
      <c r="Y25" s="91" ph="1">
        <f>Y24*47.051*LOOKUP(Y26,密度!$A$2:$A$50,密度!$L$2:$L$50)</f>
        <v>154401.24417200001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28</v>
      </c>
      <c r="G26" s="74">
        <v>28</v>
      </c>
      <c r="H26" s="74">
        <v>28</v>
      </c>
      <c r="I26" s="74">
        <v>28</v>
      </c>
      <c r="J26" s="74">
        <v>28</v>
      </c>
      <c r="K26" s="74">
        <v>27</v>
      </c>
      <c r="L26" s="74">
        <v>28</v>
      </c>
      <c r="M26" s="74">
        <v>27</v>
      </c>
      <c r="N26" s="74">
        <v>27</v>
      </c>
      <c r="O26" s="74">
        <v>28</v>
      </c>
      <c r="P26" s="74">
        <v>26</v>
      </c>
      <c r="Q26" s="93">
        <v>26</v>
      </c>
      <c r="R26" s="74">
        <v>27</v>
      </c>
      <c r="S26" s="74">
        <v>26</v>
      </c>
      <c r="T26" s="74">
        <v>28</v>
      </c>
      <c r="U26" s="74">
        <v>27</v>
      </c>
      <c r="V26" s="74">
        <v>26</v>
      </c>
      <c r="W26" s="74">
        <v>28</v>
      </c>
      <c r="X26" s="74">
        <v>28</v>
      </c>
      <c r="Y26" s="74">
        <v>30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44" t="s" ph="1">
        <v>181</v>
      </c>
      <c r="D27" s="71">
        <v>68.510000000000005</v>
      </c>
      <c r="E27" s="71">
        <v>12.71</v>
      </c>
      <c r="F27" s="71">
        <v>3883</v>
      </c>
      <c r="G27" s="71">
        <v>2898</v>
      </c>
      <c r="H27" s="71">
        <v>918</v>
      </c>
      <c r="I27" s="71">
        <v>775</v>
      </c>
      <c r="J27" s="71">
        <v>4891</v>
      </c>
      <c r="K27" s="71">
        <v>5498</v>
      </c>
      <c r="L27" s="71">
        <v>5596</v>
      </c>
      <c r="M27" s="71">
        <v>3435</v>
      </c>
      <c r="N27" s="71">
        <v>2656</v>
      </c>
      <c r="O27" s="71">
        <v>4315</v>
      </c>
      <c r="P27" s="71">
        <v>679</v>
      </c>
      <c r="Q27" s="90">
        <v>4272</v>
      </c>
      <c r="R27" s="71">
        <v>1136</v>
      </c>
      <c r="S27" s="71">
        <v>7024</v>
      </c>
      <c r="T27" s="71">
        <v>1759</v>
      </c>
      <c r="U27" s="71">
        <v>6345</v>
      </c>
      <c r="V27" s="71">
        <v>11776</v>
      </c>
      <c r="W27" s="71">
        <v>11702</v>
      </c>
      <c r="X27" s="71">
        <v>4660</v>
      </c>
      <c r="Y27" s="71">
        <v>2450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44" t="s" ph="1">
        <v>179</v>
      </c>
      <c r="D28" s="91" ph="1">
        <f>D27*268.68*LOOKUP(D29,密度!$A$2:$A$50,密度!$Q$2:$Q$50)+IF(D27&lt;=0,0,1566*LOOKUP(D29,密度!$A$2:$A$50,密度!$Q$2:$Q$50))</f>
        <v>18909.490610232002</v>
      </c>
      <c r="E28" s="91" ph="1">
        <f>E27*268.68*LOOKUP(E29,密度!$A$2:$A$50,密度!$C$2:$C$50)+IF(E27&lt;=0,0,1566*LOOKUP(E29,密度!$A$2:$A$50,密度!$C$2:$C$50))</f>
        <v>5523.3452929200002</v>
      </c>
      <c r="F28" s="91" ph="1">
        <f>F27*11.702*LOOKUP(F29,密度!$A$2:$A$50,密度!$Q$2:$Q$50)</f>
        <v>42863.845463780002</v>
      </c>
      <c r="G28" s="91" ph="1">
        <f>G27*18.322*LOOKUP(G29,密度!$A$2:$A$50,密度!$B$2:$B$50)</f>
        <v>41166.225046799998</v>
      </c>
      <c r="H28" s="91" ph="1">
        <f>H27*18.322*LOOKUP(H29,密度!$A$2:$A$50,密度!$B$2:$B$50)</f>
        <v>13040.232778799998</v>
      </c>
      <c r="I28" s="91" ph="1">
        <f>I27*18.322*LOOKUP(I29,密度!$A$2:$A$50,密度!$Q$2:$Q$50)</f>
        <v>13403.3812315</v>
      </c>
      <c r="J28" s="91" ph="1">
        <f>J27*18.322*LOOKUP(J29,密度!$A$2:$A$50,密度!$Q$2:$Q$50)</f>
        <v>84588.306584860009</v>
      </c>
      <c r="K28" s="91" ph="1">
        <f>K27*18.322*LOOKUP(K29,密度!$A$2:$A$50,密度!$Q$2:$Q$50)</f>
        <v>95025.740045479994</v>
      </c>
      <c r="L28" s="91" ph="1">
        <f>L27*18.322*LOOKUP(L29,密度!$A$2:$A$50,密度!$Q$2:$Q$50)</f>
        <v>96719.541886959996</v>
      </c>
      <c r="M28" s="91" ph="1">
        <f>M27*18.322*LOOKUP(M29,密度!$A$2:$A$50,密度!$Q$2:$Q$50)</f>
        <v>59407.244555100006</v>
      </c>
      <c r="N28" s="91" ph="1">
        <f>N27*18.322*LOOKUP(N29,密度!$A$2:$A$50,密度!$Q$2:$Q$50)</f>
        <v>45934.684581759997</v>
      </c>
      <c r="O28" s="91" ph="1">
        <f>O27*18.322*LOOKUP(O29,密度!$A$2:$A$50,密度!$C$2:$C$50)</f>
        <v>87431.823636999994</v>
      </c>
      <c r="P28" s="91" ph="1">
        <f>P27*11.702*LOOKUP(P29,密度!$A$2:$A$50,密度!$B$2:$B$50)</f>
        <v>6160.2686474000002</v>
      </c>
      <c r="Q28" s="92" ph="1">
        <f>Q27*18.322*LOOKUP(Q29,密度!$A$2:$A$50,密度!$B$2:$B$50)</f>
        <v>60683.9590752</v>
      </c>
      <c r="R28" s="91" ph="1">
        <f>R27*35.891*LOOKUP(R29,密度!$A$2:$A$50,密度!$C$2:$C$50)</f>
        <v>45057.331697599999</v>
      </c>
      <c r="S28" s="91" ph="1">
        <f>S27*35.891*LOOKUP(S29,密度!$A$2:$A$50,密度!$B$2:$B$50)</f>
        <v>195451.87711519998</v>
      </c>
      <c r="T28" s="91" ph="1">
        <f>T27*35.891*LOOKUP(T29,密度!$A$2:$A$50,密度!$Q$2:$Q$50)</f>
        <v>59592.442677170002</v>
      </c>
      <c r="U28" s="91" ph="1">
        <f>U27*35.891</f>
        <v>227728.39499999999</v>
      </c>
      <c r="V28" s="91" ph="1">
        <f>V27*47.051*LOOKUP(V29,密度!$A$2:$A$50,密度!$B$2:$B$50)</f>
        <v>430071.13349119999</v>
      </c>
      <c r="W28" s="91" ph="1">
        <f>W27*47.051*LOOKUP(W29,密度!$A$2:$A$50,密度!$B$2:$B$50)</f>
        <v>426873.04879060003</v>
      </c>
      <c r="X28" s="91" ph="1">
        <f>X27*47.051*LOOKUP(X29,密度!$A$2:$A$50,密度!$I$2:$I$50)</f>
        <v>227523.67378200003</v>
      </c>
      <c r="Y28" s="91" ph="1">
        <f>Y27*47.051*LOOKUP(Y29,密度!$A$2:$A$50,密度!$L$2:$L$50)</f>
        <v>107436.25340000002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44" t="s" ph="1">
        <v>180</v>
      </c>
      <c r="D29" s="74">
        <v>25</v>
      </c>
      <c r="E29" s="74">
        <v>25</v>
      </c>
      <c r="F29" s="74">
        <v>30</v>
      </c>
      <c r="G29" s="74">
        <v>30</v>
      </c>
      <c r="H29" s="74">
        <v>30</v>
      </c>
      <c r="I29" s="74">
        <v>29</v>
      </c>
      <c r="J29" s="74">
        <v>29</v>
      </c>
      <c r="K29" s="74">
        <v>30</v>
      </c>
      <c r="L29" s="74">
        <v>30</v>
      </c>
      <c r="M29" s="74">
        <v>29</v>
      </c>
      <c r="N29" s="74">
        <v>29</v>
      </c>
      <c r="O29" s="74">
        <v>29</v>
      </c>
      <c r="P29" s="74">
        <v>30</v>
      </c>
      <c r="Q29" s="93">
        <v>30</v>
      </c>
      <c r="R29" s="74">
        <v>30</v>
      </c>
      <c r="S29" s="74">
        <v>30</v>
      </c>
      <c r="T29" s="74">
        <v>29</v>
      </c>
      <c r="U29" s="74">
        <v>29</v>
      </c>
      <c r="V29" s="74">
        <v>29</v>
      </c>
      <c r="W29" s="74">
        <v>30</v>
      </c>
      <c r="X29" s="74">
        <v>29</v>
      </c>
      <c r="Y29" s="74">
        <v>30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85</v>
      </c>
      <c r="AC32" s="144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43745.263095999995</v>
      </c>
      <c r="E33" s="182" ph="1">
        <f>M10+I10</f>
        <v>145696.14722949997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08" ph="1">
        <v>0</v>
      </c>
      <c r="H33" s="182" ph="1">
        <f>N19</f>
        <v>30686.812553600004</v>
      </c>
      <c r="I33" s="186" ph="1">
        <v>0</v>
      </c>
      <c r="J33" s="190" ph="1">
        <f>F10+O28</f>
        <v>290733.64517500001</v>
      </c>
      <c r="K33" s="182" ph="1">
        <f>O10+K10+E28+R28</f>
        <v>199178.38657492</v>
      </c>
      <c r="L33" s="192" ph="1">
        <f>BE27</f>
        <v>7100</v>
      </c>
      <c r="M33" s="190" ph="1">
        <f>G10+H10+W28+S28+V28+E10</f>
        <v>1929269.429088</v>
      </c>
      <c r="N33" s="182" ph="1">
        <f>L10+P10++G28+H28</f>
        <v>121956.92660759999</v>
      </c>
      <c r="O33" s="186" ph="1">
        <f>BE17</f>
        <v>2270</v>
      </c>
      <c r="P33" s="190" ph="1">
        <f>L19</f>
        <v>20019.08575966</v>
      </c>
      <c r="Q33" s="182" ph="1">
        <f>J10+N10</f>
        <v>31167.237004949999</v>
      </c>
      <c r="R33" s="186" ph="1">
        <f>BE23</f>
        <v>890</v>
      </c>
      <c r="S33" s="190" ph="1">
        <f>E10+X28</f>
        <v>549410.56469500007</v>
      </c>
      <c r="T33" s="182" ph="1">
        <f>X19</f>
        <v>3784.5467406600001</v>
      </c>
      <c r="U33" s="171" ph="1">
        <f>BE21</f>
        <v>730</v>
      </c>
      <c r="V33" s="184" ph="1">
        <f ca="1">P19+Q19+S19+M28+N28+J28</f>
        <v>310970.34940687404</v>
      </c>
      <c r="W33" s="184" ph="1">
        <f>D28+F28+V19+T28</f>
        <v>125418.983100682</v>
      </c>
      <c r="X33" s="186" ph="1">
        <f>BE29+BE31</f>
        <v>10200</v>
      </c>
      <c r="Y33" s="188" ph="1">
        <f>+Q10+R10+S10+T10+U10+V10+W10+X10+Y10</f>
        <v>112239.83952719999</v>
      </c>
      <c r="Z33" s="169" ph="1">
        <f>D10+T19+U19+Y28+Z10</f>
        <v>418854.08785769</v>
      </c>
      <c r="AA33" s="171" ph="1">
        <f>BE19</f>
        <v>1440</v>
      </c>
      <c r="AB33" s="173" ph="1">
        <f>I19</f>
        <v>0</v>
      </c>
      <c r="AC33" s="175" ph="1">
        <f>AD10</f>
        <v>69933.623760000002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46" t="s" ph="1">
        <v>186</v>
      </c>
      <c r="AA36" s="146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345</v>
      </c>
      <c r="AI37" s="146" t="s" ph="1">
        <v>212</v>
      </c>
      <c r="AJ37" s="146" t="s" ph="1">
        <v>213</v>
      </c>
      <c r="AK37" s="146" t="s" ph="1">
        <v>214</v>
      </c>
      <c r="AM37" s="146" t="s" ph="1">
        <v>213</v>
      </c>
      <c r="AN37" s="146" t="s" ph="1">
        <v>214</v>
      </c>
      <c r="AO37" s="146" t="s" ph="1">
        <v>215</v>
      </c>
      <c r="AP37" s="146" t="s" ph="1">
        <v>213</v>
      </c>
      <c r="AQ37" s="146" t="s" ph="1">
        <v>214</v>
      </c>
      <c r="AR37" s="146" t="s" ph="1">
        <v>215</v>
      </c>
      <c r="AS37" s="146" t="s" ph="1">
        <v>213</v>
      </c>
      <c r="AT37" s="146" t="s" ph="1">
        <v>214</v>
      </c>
      <c r="AU37" s="146" t="s" ph="1">
        <v>215</v>
      </c>
      <c r="AV37" s="146" t="s" ph="1">
        <v>213</v>
      </c>
      <c r="AW37" s="146" t="s" ph="1">
        <v>214</v>
      </c>
      <c r="AX37" s="146" t="s" ph="1">
        <v>215</v>
      </c>
      <c r="AY37" s="146" t="s" ph="1">
        <v>214</v>
      </c>
      <c r="AZ37" s="146" t="s" ph="1">
        <v>216</v>
      </c>
      <c r="BD37" s="146" t="s" ph="1">
        <v>308</v>
      </c>
      <c r="BE37" s="146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69" priority="98">
      <formula>ABS(D$7-D$10)&gt;=1000</formula>
    </cfRule>
  </conditionalFormatting>
  <conditionalFormatting sqref="E4 E6:E11">
    <cfRule type="expression" dxfId="2668" priority="97">
      <formula>ABS(E$7-E$10)&gt;=1000</formula>
    </cfRule>
  </conditionalFormatting>
  <conditionalFormatting sqref="F4:F11">
    <cfRule type="expression" dxfId="2667" priority="96">
      <formula>ABS(F$7-F$10)&gt;=1000</formula>
    </cfRule>
  </conditionalFormatting>
  <conditionalFormatting sqref="G4:G11">
    <cfRule type="expression" dxfId="2666" priority="95">
      <formula>ABS(G$7-G$10)&gt;=1000</formula>
    </cfRule>
  </conditionalFormatting>
  <conditionalFormatting sqref="H4:H11">
    <cfRule type="expression" dxfId="2665" priority="94">
      <formula>ABS(H$7-H$10)&gt;=1000</formula>
    </cfRule>
  </conditionalFormatting>
  <conditionalFormatting sqref="I4:I11">
    <cfRule type="expression" dxfId="2664" priority="93">
      <formula>ABS(I$7-I$10)&gt;=1000</formula>
    </cfRule>
  </conditionalFormatting>
  <conditionalFormatting sqref="J4:J11">
    <cfRule type="expression" dxfId="2663" priority="92">
      <formula>ABS(J$7-J$10)&gt;=1000</formula>
    </cfRule>
  </conditionalFormatting>
  <conditionalFormatting sqref="K4:K11">
    <cfRule type="expression" dxfId="2662" priority="91">
      <formula>ABS(K$7-K$10)&gt;=1000</formula>
    </cfRule>
  </conditionalFormatting>
  <conditionalFormatting sqref="L4:L11">
    <cfRule type="expression" dxfId="2661" priority="90">
      <formula>ABS(L$7-L$10)&gt;=1000</formula>
    </cfRule>
  </conditionalFormatting>
  <conditionalFormatting sqref="M4 M6:M11">
    <cfRule type="expression" dxfId="2660" priority="89">
      <formula>ABS(M$7-M$10)&gt;=1000</formula>
    </cfRule>
  </conditionalFormatting>
  <conditionalFormatting sqref="N4 N6:N11">
    <cfRule type="expression" dxfId="2659" priority="88">
      <formula>ABS(N$7-N$10)&gt;=1000</formula>
    </cfRule>
  </conditionalFormatting>
  <conditionalFormatting sqref="O4 O6:O11">
    <cfRule type="expression" dxfId="2658" priority="87">
      <formula>ABS(O$7-O$10)&gt;=1000</formula>
    </cfRule>
  </conditionalFormatting>
  <conditionalFormatting sqref="P4 P6:P11">
    <cfRule type="expression" dxfId="2657" priority="86">
      <formula>ABS(P$7-P$10)&gt;=1000</formula>
    </cfRule>
  </conditionalFormatting>
  <conditionalFormatting sqref="Q4:Q11">
    <cfRule type="expression" dxfId="2656" priority="85">
      <formula>ABS(Q$7-Q$10)&gt;=1000</formula>
    </cfRule>
  </conditionalFormatting>
  <conditionalFormatting sqref="R4:R11">
    <cfRule type="expression" dxfId="2655" priority="84">
      <formula>ABS(R$7-R$10)&gt;=1000</formula>
    </cfRule>
  </conditionalFormatting>
  <conditionalFormatting sqref="S4:S11">
    <cfRule type="expression" dxfId="2654" priority="83">
      <formula>ABS(S$7-S$10)&gt;=1000</formula>
    </cfRule>
  </conditionalFormatting>
  <conditionalFormatting sqref="T4:T9 T11">
    <cfRule type="expression" dxfId="2653" priority="82">
      <formula>ABS(T$7-T$10)&gt;=1000</formula>
    </cfRule>
  </conditionalFormatting>
  <conditionalFormatting sqref="U4:U9 U11">
    <cfRule type="expression" dxfId="2652" priority="81">
      <formula>ABS(U$7-U$10)&gt;=1000</formula>
    </cfRule>
  </conditionalFormatting>
  <conditionalFormatting sqref="V4:V9 V11">
    <cfRule type="expression" dxfId="2651" priority="80">
      <formula>ABS(V$7-V$10)&gt;=1000</formula>
    </cfRule>
  </conditionalFormatting>
  <conditionalFormatting sqref="W4:W9 W11">
    <cfRule type="expression" dxfId="2650" priority="79">
      <formula>ABS(W$7-W$10)&gt;=1000</formula>
    </cfRule>
  </conditionalFormatting>
  <conditionalFormatting sqref="X4:X9 X11">
    <cfRule type="expression" dxfId="2649" priority="78">
      <formula>ABS(X$7-X$10)&gt;=1000</formula>
    </cfRule>
  </conditionalFormatting>
  <conditionalFormatting sqref="Y4:Y9 Y11">
    <cfRule type="expression" dxfId="2648" priority="77">
      <formula>ABS(Y$7-Y$10)&gt;=1000</formula>
    </cfRule>
  </conditionalFormatting>
  <conditionalFormatting sqref="Z4:Z11">
    <cfRule type="expression" dxfId="2647" priority="76">
      <formula>ABS(Z$7-Z$10)&gt;=1000</formula>
    </cfRule>
  </conditionalFormatting>
  <conditionalFormatting sqref="AA4:AA11">
    <cfRule type="expression" dxfId="2646" priority="75">
      <formula>ABS(AA$7-AA$10)&gt;=1000</formula>
    </cfRule>
  </conditionalFormatting>
  <conditionalFormatting sqref="AB4:AB11">
    <cfRule type="expression" dxfId="2645" priority="74">
      <formula>ABS(AB$7-AB$10)&gt;=1000</formula>
    </cfRule>
  </conditionalFormatting>
  <conditionalFormatting sqref="AC4 AC6:AC11">
    <cfRule type="expression" dxfId="2644" priority="73">
      <formula>ABS(AC$7-AC$10)&gt;=1000</formula>
    </cfRule>
  </conditionalFormatting>
  <conditionalFormatting sqref="AD4:AD11">
    <cfRule type="expression" dxfId="2643" priority="72">
      <formula>ABS(AD$7-AD$10)&gt;=1000</formula>
    </cfRule>
  </conditionalFormatting>
  <conditionalFormatting sqref="AE4:AE11">
    <cfRule type="expression" dxfId="2642" priority="71">
      <formula>ABS(AE$7-AE$10)&gt;=1000</formula>
    </cfRule>
  </conditionalFormatting>
  <conditionalFormatting sqref="D13:D20">
    <cfRule type="expression" dxfId="2641" priority="70">
      <formula>ABS(D$16-D$19)&gt;=1000</formula>
    </cfRule>
  </conditionalFormatting>
  <conditionalFormatting sqref="E13:E20">
    <cfRule type="expression" dxfId="2640" priority="69">
      <formula>ABS(E$16-E$19)&gt;=1000</formula>
    </cfRule>
  </conditionalFormatting>
  <conditionalFormatting sqref="F13 F15:F20">
    <cfRule type="expression" dxfId="2639" priority="68">
      <formula>ABS(F$16-F$19)&gt;=1000</formula>
    </cfRule>
  </conditionalFormatting>
  <conditionalFormatting sqref="G13:G20">
    <cfRule type="expression" dxfId="2638" priority="67">
      <formula>ABS(G$16-G$19)&gt;=1000</formula>
    </cfRule>
  </conditionalFormatting>
  <conditionalFormatting sqref="H13:H20">
    <cfRule type="expression" dxfId="2637" priority="66">
      <formula>ABS(H$16-H$19)&gt;=1000</formula>
    </cfRule>
  </conditionalFormatting>
  <conditionalFormatting sqref="I13:I20">
    <cfRule type="expression" dxfId="2636" priority="65">
      <formula>ABS(I$16-I$19)&gt;=1000</formula>
    </cfRule>
  </conditionalFormatting>
  <conditionalFormatting sqref="J13:J20">
    <cfRule type="expression" dxfId="2635" priority="64">
      <formula>ABS(J$16-J$19)&gt;=1000</formula>
    </cfRule>
  </conditionalFormatting>
  <conditionalFormatting sqref="L13:L20">
    <cfRule type="expression" dxfId="2634" priority="63">
      <formula>ABS(L$16-L$19)&gt;=1000</formula>
    </cfRule>
  </conditionalFormatting>
  <conditionalFormatting sqref="M13 M15 M17:M18 M20">
    <cfRule type="expression" dxfId="2633" priority="62">
      <formula>ABS(M$16-M$19)&gt;=1000</formula>
    </cfRule>
  </conditionalFormatting>
  <conditionalFormatting sqref="N13:N20">
    <cfRule type="expression" dxfId="2632" priority="61">
      <formula>ABS(N$16-N$19)&gt;=1000</formula>
    </cfRule>
  </conditionalFormatting>
  <conditionalFormatting sqref="O13:O20">
    <cfRule type="expression" dxfId="2631" priority="60">
      <formula>ABS(O$16-O$19)&gt;=1000</formula>
    </cfRule>
  </conditionalFormatting>
  <conditionalFormatting sqref="P13:P20">
    <cfRule type="expression" dxfId="2630" priority="59">
      <formula>ABS(P$16-P$19)&gt;=1000</formula>
    </cfRule>
  </conditionalFormatting>
  <conditionalFormatting sqref="Q13 Q15:Q20">
    <cfRule type="expression" dxfId="2629" priority="58">
      <formula>ABS(Q$16-Q$19)&gt;=1000</formula>
    </cfRule>
  </conditionalFormatting>
  <conditionalFormatting sqref="R13:R20">
    <cfRule type="expression" dxfId="2628" priority="57">
      <formula>ABS(R$16-R$19)&gt;=1000</formula>
    </cfRule>
  </conditionalFormatting>
  <conditionalFormatting sqref="S13:S20">
    <cfRule type="expression" dxfId="2627" priority="56">
      <formula>ABS(S$16-S$19)&gt;=1000</formula>
    </cfRule>
  </conditionalFormatting>
  <conditionalFormatting sqref="T13:T20">
    <cfRule type="expression" dxfId="2626" priority="55">
      <formula>ABS(T$16-T$19)&gt;=1000</formula>
    </cfRule>
  </conditionalFormatting>
  <conditionalFormatting sqref="U13:U20">
    <cfRule type="expression" dxfId="2625" priority="54">
      <formula>ABS(U$16-U$19)&gt;=1000</formula>
    </cfRule>
  </conditionalFormatting>
  <conditionalFormatting sqref="V13:V20">
    <cfRule type="expression" dxfId="2624" priority="53">
      <formula>ABS(V$16-V$19)&gt;=1000</formula>
    </cfRule>
  </conditionalFormatting>
  <conditionalFormatting sqref="W13 W20 W15:W18">
    <cfRule type="expression" dxfId="2623" priority="52">
      <formula>ABS(W$16-W$19)&gt;=1000</formula>
    </cfRule>
  </conditionalFormatting>
  <conditionalFormatting sqref="X13 X15:X20 Y19">
    <cfRule type="expression" dxfId="2622" priority="51">
      <formula>ABS(X$16-X$19)&gt;=1000</formula>
    </cfRule>
  </conditionalFormatting>
  <conditionalFormatting sqref="Y13 Y15:Y18 Y20">
    <cfRule type="expression" dxfId="2621" priority="50">
      <formula>ABS(Y$16-Y$19)&gt;=1000</formula>
    </cfRule>
  </conditionalFormatting>
  <conditionalFormatting sqref="Z13:Z20">
    <cfRule type="expression" dxfId="2620" priority="49">
      <formula>ABS(Z$16-Z$19)&gt;=1000</formula>
    </cfRule>
  </conditionalFormatting>
  <conditionalFormatting sqref="AA13:AA20">
    <cfRule type="expression" dxfId="2619" priority="48">
      <formula>ABS(AA$16-AA$19)&gt;=1000</formula>
    </cfRule>
  </conditionalFormatting>
  <conditionalFormatting sqref="AB13 AB15:AB20">
    <cfRule type="expression" dxfId="2618" priority="47">
      <formula>ABS(AB$16-AB$19)&gt;=1000</formula>
    </cfRule>
  </conditionalFormatting>
  <conditionalFormatting sqref="AC13 AC15:AC20">
    <cfRule type="expression" dxfId="2617" priority="46">
      <formula>ABS(AC$16-AC$19)&gt;=1000</formula>
    </cfRule>
  </conditionalFormatting>
  <conditionalFormatting sqref="AD13:AD20">
    <cfRule type="expression" dxfId="2616" priority="45">
      <formula>ABS(AD$16-AD$19)&gt;=1000</formula>
    </cfRule>
  </conditionalFormatting>
  <conditionalFormatting sqref="AE13:AE20">
    <cfRule type="expression" dxfId="2615" priority="44">
      <formula>ABS(AE$16-AE$19)&gt;=1000</formula>
    </cfRule>
  </conditionalFormatting>
  <conditionalFormatting sqref="D22:D29">
    <cfRule type="expression" dxfId="2614" priority="43">
      <formula>ABS(D$25-D$28)&gt;=1000</formula>
    </cfRule>
  </conditionalFormatting>
  <conditionalFormatting sqref="E22:E29">
    <cfRule type="expression" dxfId="2613" priority="42">
      <formula>ABS(E$25-E$28)&gt;=1000</formula>
    </cfRule>
  </conditionalFormatting>
  <conditionalFormatting sqref="F22:F29">
    <cfRule type="expression" dxfId="2612" priority="41">
      <formula>ABS(F$25-F$28)&gt;=1000</formula>
    </cfRule>
  </conditionalFormatting>
  <conditionalFormatting sqref="G22:G29">
    <cfRule type="expression" dxfId="2611" priority="40">
      <formula>ABS(G$25-G$28)&gt;=1000</formula>
    </cfRule>
  </conditionalFormatting>
  <conditionalFormatting sqref="H22:H29">
    <cfRule type="expression" dxfId="2610" priority="39">
      <formula>ABS(H$25-H$28)&gt;=1000</formula>
    </cfRule>
  </conditionalFormatting>
  <conditionalFormatting sqref="I22 I24:I29">
    <cfRule type="expression" dxfId="2609" priority="38">
      <formula>ABS(I$25-I$28)&gt;=1000</formula>
    </cfRule>
  </conditionalFormatting>
  <conditionalFormatting sqref="J22:J29 K22">
    <cfRule type="expression" dxfId="2608" priority="37">
      <formula>ABS(J$25-J$28)&gt;=1000</formula>
    </cfRule>
  </conditionalFormatting>
  <conditionalFormatting sqref="K23:K29 L25 L28">
    <cfRule type="expression" dxfId="2607" priority="36">
      <formula>ABS(K$25-K$28)&gt;=1000</formula>
    </cfRule>
  </conditionalFormatting>
  <conditionalFormatting sqref="L22 L26:L27 L29 L24">
    <cfRule type="expression" dxfId="2606" priority="35">
      <formula>ABS(L$25-L$28)&gt;=1000</formula>
    </cfRule>
  </conditionalFormatting>
  <conditionalFormatting sqref="M22:M29">
    <cfRule type="expression" dxfId="2605" priority="34">
      <formula>ABS(M$25-M$28)&gt;=1000</formula>
    </cfRule>
  </conditionalFormatting>
  <conditionalFormatting sqref="N22:N29">
    <cfRule type="expression" dxfId="2604" priority="33">
      <formula>ABS(N$25-N$28)&gt;=1000</formula>
    </cfRule>
  </conditionalFormatting>
  <conditionalFormatting sqref="O22:O29">
    <cfRule type="expression" dxfId="2603" priority="32">
      <formula>ABS(O$25-O$28)&gt;=1000</formula>
    </cfRule>
  </conditionalFormatting>
  <conditionalFormatting sqref="P22:P29">
    <cfRule type="expression" dxfId="2602" priority="31">
      <formula>ABS(P$25-P$28)&gt;=1000</formula>
    </cfRule>
  </conditionalFormatting>
  <conditionalFormatting sqref="Q22:Q29">
    <cfRule type="expression" dxfId="2601" priority="30">
      <formula>ABS(Q$25-Q$28)&gt;=1000</formula>
    </cfRule>
  </conditionalFormatting>
  <conditionalFormatting sqref="R22:R29">
    <cfRule type="expression" dxfId="2600" priority="29">
      <formula>ABS(R$25-R$28)&gt;=1000</formula>
    </cfRule>
  </conditionalFormatting>
  <conditionalFormatting sqref="S22:S29">
    <cfRule type="expression" dxfId="2599" priority="28">
      <formula>ABS(S$25-S$28)&gt;=1000</formula>
    </cfRule>
  </conditionalFormatting>
  <conditionalFormatting sqref="T22:T29">
    <cfRule type="expression" dxfId="2598" priority="27">
      <formula>ABS(T$25-T$28)&gt;=1000</formula>
    </cfRule>
  </conditionalFormatting>
  <conditionalFormatting sqref="U22:U29">
    <cfRule type="expression" dxfId="2597" priority="26">
      <formula>ABS(U$25-U$28)&gt;=1000</formula>
    </cfRule>
  </conditionalFormatting>
  <conditionalFormatting sqref="V22:V29">
    <cfRule type="expression" dxfId="2596" priority="25">
      <formula>ABS(V$25-V$28)&gt;=1000</formula>
    </cfRule>
  </conditionalFormatting>
  <conditionalFormatting sqref="W22:W29">
    <cfRule type="expression" dxfId="2595" priority="24">
      <formula>ABS(W$25-W$28)&gt;=1000</formula>
    </cfRule>
  </conditionalFormatting>
  <conditionalFormatting sqref="X22:X29">
    <cfRule type="expression" dxfId="2594" priority="23">
      <formula>ABS(X$25-X$28)&gt;=1000</formula>
    </cfRule>
  </conditionalFormatting>
  <conditionalFormatting sqref="Y22:Y29">
    <cfRule type="expression" dxfId="2593" priority="22">
      <formula>ABS(Y$25-Y$28)&gt;=1000</formula>
    </cfRule>
  </conditionalFormatting>
  <conditionalFormatting sqref="I23">
    <cfRule type="expression" dxfId="2592" priority="21">
      <formula>ABS(I$25-I$28)&gt;=1000</formula>
    </cfRule>
  </conditionalFormatting>
  <conditionalFormatting sqref="Q14">
    <cfRule type="expression" dxfId="2591" priority="19">
      <formula>ABS(Q$16-Q$19)&gt;=1000</formula>
    </cfRule>
  </conditionalFormatting>
  <conditionalFormatting sqref="W14">
    <cfRule type="expression" dxfId="2590" priority="18">
      <formula>ABS(W$16-W$19)&gt;=1000</formula>
    </cfRule>
  </conditionalFormatting>
  <conditionalFormatting sqref="Y14">
    <cfRule type="expression" dxfId="2589" priority="17">
      <formula>ABS(Y$16-Y$19)&gt;=1000</formula>
    </cfRule>
  </conditionalFormatting>
  <conditionalFormatting sqref="X14">
    <cfRule type="expression" dxfId="2588" priority="16">
      <formula>ABS(X$16-X$19)&gt;=1000</formula>
    </cfRule>
  </conditionalFormatting>
  <conditionalFormatting sqref="T10:Y10">
    <cfRule type="expression" dxfId="2587" priority="15">
      <formula>ABS(T$7-T$10)&gt;=1000</formula>
    </cfRule>
  </conditionalFormatting>
  <conditionalFormatting sqref="W19">
    <cfRule type="expression" dxfId="2586" priority="14">
      <formula>ABS(W$16-W$19)&gt;=1000</formula>
    </cfRule>
  </conditionalFormatting>
  <conditionalFormatting sqref="AC5">
    <cfRule type="expression" dxfId="2585" priority="13">
      <formula>ABS(AC$7-AC$10)&gt;=1000</formula>
    </cfRule>
  </conditionalFormatting>
  <conditionalFormatting sqref="M14">
    <cfRule type="expression" dxfId="2584" priority="12">
      <formula>ABS(M$16-M$19)&gt;=1000</formula>
    </cfRule>
  </conditionalFormatting>
  <conditionalFormatting sqref="M16">
    <cfRule type="expression" dxfId="2583" priority="11">
      <formula>ABS(M$16-M$19)&gt;=1000</formula>
    </cfRule>
  </conditionalFormatting>
  <conditionalFormatting sqref="M19">
    <cfRule type="expression" dxfId="2582" priority="10">
      <formula>ABS(M$16-M$19)&gt;=1000</formula>
    </cfRule>
  </conditionalFormatting>
  <conditionalFormatting sqref="K13:K20">
    <cfRule type="expression" dxfId="2581" priority="9">
      <formula>ABS(K$16-K$19)&gt;=1000</formula>
    </cfRule>
  </conditionalFormatting>
  <conditionalFormatting sqref="E5">
    <cfRule type="expression" dxfId="2580" priority="8">
      <formula>ABS(E$7-E$10)&gt;=1000</formula>
    </cfRule>
  </conditionalFormatting>
  <conditionalFormatting sqref="AB14:AC14">
    <cfRule type="expression" dxfId="2579" priority="7">
      <formula>ABS(AB$16-AB$19)&gt;=1000</formula>
    </cfRule>
  </conditionalFormatting>
  <conditionalFormatting sqref="M5">
    <cfRule type="expression" dxfId="2578" priority="6">
      <formula>ABS(M$7-M$10)&gt;=1000</formula>
    </cfRule>
  </conditionalFormatting>
  <conditionalFormatting sqref="N5">
    <cfRule type="expression" dxfId="2577" priority="5">
      <formula>ABS(N$7-N$10)&gt;=1000</formula>
    </cfRule>
  </conditionalFormatting>
  <conditionalFormatting sqref="O5">
    <cfRule type="expression" dxfId="2576" priority="4">
      <formula>ABS(O$7-O$10)&gt;=1000</formula>
    </cfRule>
  </conditionalFormatting>
  <conditionalFormatting sqref="P5">
    <cfRule type="expression" dxfId="2575" priority="3">
      <formula>ABS(P$7-P$10)&gt;=1000</formula>
    </cfRule>
  </conditionalFormatting>
  <conditionalFormatting sqref="L23">
    <cfRule type="expression" dxfId="2574" priority="2">
      <formula>ABS(L$25-L$28)&gt;=1000</formula>
    </cfRule>
  </conditionalFormatting>
  <conditionalFormatting sqref="F14">
    <cfRule type="expression" dxfId="2573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33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93">
    <pageSetUpPr fitToPage="1"/>
  </sheetPr>
  <dimension ref="A1:CU223"/>
  <sheetViews>
    <sheetView view="pageBreakPreview" zoomScale="80" zoomScaleNormal="100" zoomScaleSheetLayoutView="80" workbookViewId="0">
      <selection activeCell="J14" sqref="J1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45873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49" t="s" ph="1">
        <v>178</v>
      </c>
      <c r="D6" s="71">
        <v>6504</v>
      </c>
      <c r="E6" s="71">
        <v>7997</v>
      </c>
      <c r="F6" s="71">
        <v>3345</v>
      </c>
      <c r="G6" s="71">
        <v>3089</v>
      </c>
      <c r="H6" s="71">
        <v>9118</v>
      </c>
      <c r="I6" s="71">
        <v>40.51</v>
      </c>
      <c r="J6" s="71">
        <v>7.81</v>
      </c>
      <c r="K6" s="71">
        <v>85.21</v>
      </c>
      <c r="L6" s="71">
        <v>25.31</v>
      </c>
      <c r="M6" s="71">
        <v>3939</v>
      </c>
      <c r="N6" s="71">
        <v>1141</v>
      </c>
      <c r="O6" s="71">
        <v>5367</v>
      </c>
      <c r="P6" s="71">
        <v>1376</v>
      </c>
      <c r="Q6" s="71">
        <v>0</v>
      </c>
      <c r="R6" s="71">
        <v>4340</v>
      </c>
      <c r="S6" s="71">
        <v>3907</v>
      </c>
      <c r="T6" s="71">
        <v>7149</v>
      </c>
      <c r="U6" s="71">
        <v>3446</v>
      </c>
      <c r="V6" s="71">
        <v>0</v>
      </c>
      <c r="W6" s="71">
        <v>0</v>
      </c>
      <c r="X6" s="71">
        <v>0</v>
      </c>
      <c r="Y6" s="71">
        <v>0</v>
      </c>
      <c r="Z6" s="71">
        <v>2901</v>
      </c>
      <c r="AA6" s="71">
        <v>555</v>
      </c>
      <c r="AB6" s="71">
        <v>1190</v>
      </c>
      <c r="AC6" s="71">
        <v>1117</v>
      </c>
      <c r="AD6" s="71">
        <v>3540</v>
      </c>
      <c r="AE6" s="71">
        <v>1976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204327.53992367999</v>
      </c>
      <c r="E7" s="73" ph="1">
        <f>E6*51.53*LOOKUP(E8,密度!$A$2:$A$50,密度!$B$2:$B$50)</f>
        <v>320890.90876700002</v>
      </c>
      <c r="F7" s="73" ph="1">
        <f>F6*33.183*LOOKUP(F8,密度!$A$2:$A$50,密度!$C$2:$C$50)</f>
        <v>123162.42099599999</v>
      </c>
      <c r="G7" s="73" ph="1">
        <f xml:space="preserve"> (G6+2)*51.53*LOOKUP(G8,密度!$A$2:$A$50,密度!$B$2:$B$50)</f>
        <v>124174.08770800001</v>
      </c>
      <c r="H7" s="73" ph="1">
        <f>(H6)*51.53*LOOKUP(H8,密度!$A$2:$A$50,密度!$B$2:$B$50)</f>
        <v>368409.80841400003</v>
      </c>
      <c r="I7" s="73" ph="1">
        <f>I6*290.8*1.0267</f>
        <v>12094.842223599999</v>
      </c>
      <c r="J7" s="73" ph="1">
        <f>J6*290.8*0.7892</f>
        <v>1792.3900016000002</v>
      </c>
      <c r="K7" s="73" ph="1">
        <f>K6*290.8*1.1126</f>
        <v>27569.191056799998</v>
      </c>
      <c r="L7" s="73" ph="1">
        <f>L6*290.8*0.777</f>
        <v>5718.8349960000005</v>
      </c>
      <c r="M7" s="73" ph="1">
        <f>M6*33.183*LOOKUP(M8,密度!$A$2:$A$50,密度!$D$2:$D$50)</f>
        <v>134197.7362479</v>
      </c>
      <c r="N7" s="73" ph="1">
        <f>N6*33.183*LOOKUP(N8,密度!$A$2:$A$50,密度!$E$2:$E$50)</f>
        <v>29698.798273199998</v>
      </c>
      <c r="O7" s="73" ph="1">
        <f>O6*20.428*LOOKUP(O8,密度!$A$2:$A$50,密度!$C$2:$C$50)</f>
        <v>121247.64234840001</v>
      </c>
      <c r="P7" s="73" ph="1">
        <f>P6*51.53*LOOKUP(P8,密度!$A$2:$A$50,密度!$B$2:$B$50)</f>
        <v>55469.200543999999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28591.638768000001</v>
      </c>
      <c r="S7" s="73" ph="1">
        <f>S6*1.5*1.5*3.1416*LOOKUP(S8,密度!$A$2:$A$50,密度!$L$2:$L$50)</f>
        <v>25932.381967799996</v>
      </c>
      <c r="T7" s="73" ph="1">
        <f>T6*1.5*1.5*3.1416*LOOKUP(T8,密度!$A$2:$A$50,密度!$L$2:$L$50)</f>
        <v>47602.482958799999</v>
      </c>
      <c r="U7" s="73" ph="1">
        <f>U6*1.5*1.5*3.1416*LOOKUP(U8,密度!$A$2:$A$50,密度!$L$2:$L$50)</f>
        <v>22848.175072799997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90680.577785999994</v>
      </c>
      <c r="AA7" s="73" ph="1">
        <f>AA6*33.183*LOOKUP(AA8,密度!$A$2:$A$50,密度!$D$2:$D$50)</f>
        <v>18908.287285499999</v>
      </c>
      <c r="AB7" s="73" ph="1">
        <f>AB6*20.428*LOOKUP(AB8,密度!$A$2:$A$50,密度!$D$2:$D$50)</f>
        <v>25113.958491999998</v>
      </c>
      <c r="AC7" s="73" ph="1">
        <f>AC6*51.53*LOOKUP(AC8,密度!$A$2:$A$50,密度!$Q$2:$Q$50)</f>
        <v>54663.216206900004</v>
      </c>
      <c r="AD7" s="73" ph="1">
        <f>AD6*20.428*LOOKUP(AD8,密度!$A$2:$A$50,密度!$V$2:$V$50)</f>
        <v>69480.367296000011</v>
      </c>
      <c r="AE7" s="73" ph="1">
        <f>AE6*20.428</f>
        <v>40365.728000000003</v>
      </c>
    </row>
    <row r="8" spans="1:99" ph="1">
      <c r="B8" s="233" ph="1"/>
      <c r="C8" s="68" t="s" ph="1">
        <v>180</v>
      </c>
      <c r="D8" s="74">
        <v>25</v>
      </c>
      <c r="E8" s="74">
        <v>26</v>
      </c>
      <c r="F8" s="74">
        <v>24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24</v>
      </c>
      <c r="O8" s="74">
        <v>29</v>
      </c>
      <c r="P8" s="74">
        <v>22</v>
      </c>
      <c r="Q8" s="74">
        <v>23</v>
      </c>
      <c r="R8" s="74">
        <v>30</v>
      </c>
      <c r="S8" s="74">
        <v>23</v>
      </c>
      <c r="T8" s="74">
        <v>20</v>
      </c>
      <c r="U8" s="74">
        <v>24</v>
      </c>
      <c r="V8" s="74">
        <v>29</v>
      </c>
      <c r="W8" s="74">
        <v>24</v>
      </c>
      <c r="X8" s="74">
        <v>15</v>
      </c>
      <c r="Y8" s="74">
        <v>24</v>
      </c>
      <c r="Z8" s="74">
        <v>20</v>
      </c>
      <c r="AA8" s="74">
        <v>25</v>
      </c>
      <c r="AB8" s="74">
        <v>18</v>
      </c>
      <c r="AC8" s="74">
        <v>21</v>
      </c>
      <c r="AD8" s="74">
        <v>24</v>
      </c>
      <c r="AE8" s="74">
        <v>29</v>
      </c>
    </row>
    <row r="9" spans="1:99" ht="26.4" ph="1">
      <c r="B9" s="233" ph="1">
        <v>0.66666666666666663</v>
      </c>
      <c r="C9" s="149" t="s" ph="1">
        <v>181</v>
      </c>
      <c r="D9" s="71">
        <v>6503</v>
      </c>
      <c r="E9" s="71">
        <v>7996</v>
      </c>
      <c r="F9" s="71">
        <v>3884</v>
      </c>
      <c r="G9" s="71">
        <v>3683</v>
      </c>
      <c r="H9" s="71">
        <v>9116</v>
      </c>
      <c r="I9" s="71">
        <v>40.51</v>
      </c>
      <c r="J9" s="71">
        <v>7.81</v>
      </c>
      <c r="K9" s="71">
        <v>85.21</v>
      </c>
      <c r="L9" s="71">
        <v>8.7100000000000009</v>
      </c>
      <c r="M9" s="71">
        <v>3936</v>
      </c>
      <c r="N9" s="71">
        <v>923</v>
      </c>
      <c r="O9" s="71">
        <v>5365</v>
      </c>
      <c r="P9" s="71">
        <v>1444</v>
      </c>
      <c r="Q9" s="71">
        <v>0</v>
      </c>
      <c r="R9" s="71">
        <v>240</v>
      </c>
      <c r="S9" s="71">
        <v>3907</v>
      </c>
      <c r="T9" s="71">
        <v>7150</v>
      </c>
      <c r="U9" s="71">
        <v>7010</v>
      </c>
      <c r="V9" s="71">
        <v>4384</v>
      </c>
      <c r="W9" s="71">
        <v>0</v>
      </c>
      <c r="X9" s="71">
        <v>0</v>
      </c>
      <c r="Y9" s="71">
        <v>0</v>
      </c>
      <c r="Z9" s="71">
        <v>3725</v>
      </c>
      <c r="AA9" s="71">
        <v>554</v>
      </c>
      <c r="AB9" s="71">
        <v>847</v>
      </c>
      <c r="AC9" s="71">
        <v>1413</v>
      </c>
      <c r="AD9" s="71">
        <v>3537</v>
      </c>
      <c r="AE9" s="71">
        <v>1715</v>
      </c>
    </row>
    <row r="10" spans="1:99" s="72" customFormat="1" ht="22.2" ph="1">
      <c r="B10" s="233" ph="1"/>
      <c r="C10" s="149" t="s" ph="1">
        <v>179</v>
      </c>
      <c r="D10" s="73" ph="1">
        <f>D9*33.183*LOOKUP(D11,密度!$A$2:$A$50,密度!$Q$2:$Q$50)</f>
        <v>204296.12425026001</v>
      </c>
      <c r="E10" s="73" ph="1">
        <f>E9*51.53*LOOKUP(E11,密度!$A$2:$A$50,密度!$B$2:$B$50)</f>
        <v>320850.78235599998</v>
      </c>
      <c r="F10" s="73" ph="1">
        <f>F9*33.183*LOOKUP(F11,密度!$A$2:$A$50,密度!$C$2:$C$50)</f>
        <v>143008.32381119998</v>
      </c>
      <c r="G10" s="73" ph="1">
        <f xml:space="preserve"> (G9+2)*51.53*LOOKUP(G11,密度!$A$2:$A$50,密度!$B$2:$B$50)</f>
        <v>147865.82453499999</v>
      </c>
      <c r="H10" s="73" ph="1">
        <f>(H9)*51.53*LOOKUP(H11,密度!$A$2:$A$50,密度!$B$2:$B$50)</f>
        <v>367906.22633599996</v>
      </c>
      <c r="I10" s="73" ph="1">
        <f>I9*290.8*1.0267</f>
        <v>12094.842223599999</v>
      </c>
      <c r="J10" s="73" ph="1">
        <f>J9*290.8*0.7892</f>
        <v>1792.3900016000002</v>
      </c>
      <c r="K10" s="73" ph="1">
        <f>K9*290.8*1.1126</f>
        <v>27569.191056799998</v>
      </c>
      <c r="L10" s="73" ph="1">
        <f>L9*290.8*0.777</f>
        <v>1968.0384360000003</v>
      </c>
      <c r="M10" s="73" ph="1">
        <f>M9*33.183*LOOKUP(M11,密度!$A$2:$A$50,密度!$D$2:$D$50)</f>
        <v>134213.0767488</v>
      </c>
      <c r="N10" s="73" ph="1">
        <f>N9*33.183*LOOKUP(N11,密度!$A$2:$A$50,密度!$E$2:$E$50)</f>
        <v>23987.778328799999</v>
      </c>
      <c r="O10" s="73" ph="1">
        <f>O9*20.428*LOOKUP(O11,密度!$A$2:$A$50,密度!$C$2:$C$50)</f>
        <v>121279.177052</v>
      </c>
      <c r="P10" s="73" ph="1">
        <f>P9*51.53*LOOKUP(P11,密度!$A$2:$A$50,密度!$B$2:$B$50)</f>
        <v>58076.474260000003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1581.104448</v>
      </c>
      <c r="S10" s="73" ph="1">
        <f>S9*1.5*1.5*3.1416*LOOKUP(S11,密度!$A$2:$A$50,密度!$L$2:$L$50)</f>
        <v>25877.147927400001</v>
      </c>
      <c r="T10" s="73" ph="1">
        <f>T9*1.5*1.5*3.1416*LOOKUP(T11,密度!$A$2:$A$50,密度!$L$2:$L$50)</f>
        <v>47558.601089999996</v>
      </c>
      <c r="U10" s="73" ph="1">
        <f>U9*1.5*1.5*3.1416*LOOKUP(U11,密度!$A$2:$A$50,密度!$L$2:$L$50)</f>
        <v>46429.180182000004</v>
      </c>
      <c r="V10" s="73" ph="1">
        <f>V9*1.5*1.5*3.1416*LOOKUP(V11,密度!$A$2:$A$50,密度!$L$2:$L$50)</f>
        <v>29160.406598399997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116313.881175</v>
      </c>
      <c r="AA10" s="73" ph="1">
        <f>AA9*33.183*LOOKUP(AA11,密度!$A$2:$A$50,密度!$D$2:$D$50)</f>
        <v>18874.2182994</v>
      </c>
      <c r="AB10" s="73" ph="1">
        <f>AB9*20.428*LOOKUP(AB11,密度!$A$2:$A$50,密度!$D$2:$D$50)</f>
        <v>17859.657015199999</v>
      </c>
      <c r="AC10" s="73" ph="1">
        <f>AC9*51.53*LOOKUP(AC11,密度!$A$2:$A$50,密度!$Q$2:$Q$50)</f>
        <v>69040.234098000001</v>
      </c>
      <c r="AD10" s="73" ph="1">
        <f>AD9*20.428*LOOKUP(AD11,密度!$A$2:$A$50,密度!$V$2:$V$50)</f>
        <v>69421.485628800001</v>
      </c>
      <c r="AE10" s="73" ph="1">
        <f>AE9*20.428</f>
        <v>35034.020000000004</v>
      </c>
    </row>
    <row r="11" spans="1:99" ph="1">
      <c r="A11" s="64" t="s" ph="1">
        <v>163</v>
      </c>
      <c r="B11" s="233" ph="1"/>
      <c r="C11" s="149" t="s" ph="1">
        <v>180</v>
      </c>
      <c r="D11" s="74">
        <v>25</v>
      </c>
      <c r="E11" s="74">
        <v>26</v>
      </c>
      <c r="F11" s="74">
        <v>24</v>
      </c>
      <c r="G11" s="74">
        <v>26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24</v>
      </c>
      <c r="N11" s="74">
        <v>25</v>
      </c>
      <c r="O11" s="74">
        <v>28</v>
      </c>
      <c r="P11" s="74">
        <v>24</v>
      </c>
      <c r="Q11" s="74">
        <v>25</v>
      </c>
      <c r="R11" s="74">
        <v>30</v>
      </c>
      <c r="S11" s="74">
        <v>25</v>
      </c>
      <c r="T11" s="74">
        <v>21</v>
      </c>
      <c r="U11" s="74">
        <v>25</v>
      </c>
      <c r="V11" s="74">
        <v>21</v>
      </c>
      <c r="W11" s="74">
        <v>26</v>
      </c>
      <c r="X11" s="74">
        <v>17</v>
      </c>
      <c r="Y11" s="74">
        <v>25</v>
      </c>
      <c r="Z11" s="74">
        <v>21</v>
      </c>
      <c r="AA11" s="74">
        <v>25</v>
      </c>
      <c r="AB11" s="74">
        <v>19</v>
      </c>
      <c r="AC11" s="74">
        <v>23</v>
      </c>
      <c r="AD11" s="74">
        <v>23</v>
      </c>
      <c r="AE11" s="74">
        <v>29</v>
      </c>
    </row>
    <row r="12" spans="1:99" ht="9.9" customHeight="1" ph="1"/>
    <row r="13" spans="1:99" s="72" customFormat="1" ht="29.25" customHeight="1" ph="1">
      <c r="B13" s="210" t="s" ph="1">
        <v>37</v>
      </c>
      <c r="C13" s="14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49" t="s" ph="1">
        <v>178</v>
      </c>
      <c r="D15" s="78">
        <v>4248</v>
      </c>
      <c r="E15" s="78">
        <v>5627</v>
      </c>
      <c r="F15" s="78">
        <v>4751</v>
      </c>
      <c r="G15" s="78">
        <v>2773</v>
      </c>
      <c r="H15" s="78">
        <v>0</v>
      </c>
      <c r="I15" s="78">
        <v>0</v>
      </c>
      <c r="J15" s="78">
        <v>902</v>
      </c>
      <c r="K15" s="78">
        <v>4436</v>
      </c>
      <c r="L15" s="78">
        <v>2821</v>
      </c>
      <c r="M15" s="78">
        <v>6013</v>
      </c>
      <c r="N15" s="78">
        <v>3049</v>
      </c>
      <c r="O15" s="78">
        <v>6857</v>
      </c>
      <c r="P15" s="78">
        <v>3537</v>
      </c>
      <c r="Q15" s="78">
        <v>6865</v>
      </c>
      <c r="R15" s="78">
        <v>0</v>
      </c>
      <c r="S15" s="78">
        <v>3692</v>
      </c>
      <c r="T15" s="78">
        <v>386</v>
      </c>
      <c r="U15" s="78">
        <v>6065</v>
      </c>
      <c r="V15" s="78">
        <v>-142</v>
      </c>
      <c r="W15" s="71">
        <v>2171</v>
      </c>
      <c r="X15" s="78">
        <v>-214</v>
      </c>
      <c r="Y15" s="106">
        <v>-9905</v>
      </c>
      <c r="Z15" s="78">
        <v>0</v>
      </c>
      <c r="AA15" s="78">
        <v>6122</v>
      </c>
      <c r="AB15" s="78" ph="1">
        <v>359</v>
      </c>
      <c r="AC15" s="78" ph="1">
        <v>775</v>
      </c>
      <c r="AD15" s="78">
        <v>83.51</v>
      </c>
      <c r="AE15" s="78">
        <v>6.12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49" t="s" ph="1">
        <v>179</v>
      </c>
      <c r="D16" s="73" ph="1">
        <f>D15*7.0686*LOOKUP(D17,密度!$A$2:$A$50,密度!$L$2:$L$50)</f>
        <v>28135.685793600001</v>
      </c>
      <c r="E16" s="73" ph="1">
        <f>E15*7.0686*LOOKUP(E17,密度!$A$2:$A$50,密度!$L$2:$L$50)</f>
        <v>37269.186431399998</v>
      </c>
      <c r="F16" s="73" ph="1">
        <f>F15*9.0746*LOOKUP(F17,密度!$A$2:$A$50,密度!$L$2:$L$50)</f>
        <v>40397.278850200004</v>
      </c>
      <c r="G16" s="73" ph="1">
        <f>G15*9.0746*LOOKUP(G17,密度!$A$2:$A$50,密度!$B$2:$B$50)</f>
        <v>19663.044736119999</v>
      </c>
      <c r="H16" s="73" ph="1">
        <f>H15*9.0746*LOOKUP(H17,密度!$A$2:$A$50,密度!$L$2:$L$50)</f>
        <v>0</v>
      </c>
      <c r="I16" s="73" ph="1">
        <f>I15*9.0746*LOOKUP(I17,密度!$A$2:$A$50,密度!$U$2:$U$50)</f>
        <v>0</v>
      </c>
      <c r="J16" s="73" ph="1">
        <f>J15*9.0746*LOOKUP(J17,密度!$A$2:$A$50,密度!$L$2:$L$50)</f>
        <v>7669.6159804000008</v>
      </c>
      <c r="K16" s="73" ph="1">
        <f>K15*9.0746*LOOKUP(K17,密度!$A$2:$A$50,密度!$C$2:$C$50)</f>
        <v>44666.865445759999</v>
      </c>
      <c r="L16" s="73" ph="1">
        <f>L15*9.0746*LOOKUP(L17,密度!$A$2:$A$50,密度!$E$2:$E$50)</f>
        <v>20080.205913039998</v>
      </c>
      <c r="M16" s="73" ph="1">
        <f>M15*9.0746*LOOKUP(M17,密度!$A$2:$A$50,密度!$M$2:$M$50)</f>
        <v>47750.330131980001</v>
      </c>
      <c r="N16" s="73" ph="1">
        <f>N15*9.0746*LOOKUP(N17,密度!$A$2:$A$50,密度!$M$2:$M$50)</f>
        <v>24234.800084859999</v>
      </c>
      <c r="O16" s="73" ph="1">
        <f>O15*9.0746*LOOKUP(O17,密度!$A$2:$A$50,密度!$G$2:$G$50)</f>
        <v>59747.995818440002</v>
      </c>
      <c r="P16" s="73" ph="1">
        <f ca="1">P15*9.0746*LOOKUP(P17,密度!$A$2:$A$51,密度!$Q$2:$Q$50)</f>
        <v>30387.381425748001</v>
      </c>
      <c r="Q16" s="73" ph="1">
        <f>Q15*9.0746*LOOKUP(Q17,密度!$A$2:$A$50,密度!$Q$2:$Q$50)</f>
        <v>58979.18390946</v>
      </c>
      <c r="R16" s="73" ph="1">
        <f>MAX(R15*9.0746*LOOKUP(R17,密度!$A$2:$A$50,密度!$B$2:$B$50),0)</f>
        <v>0</v>
      </c>
      <c r="S16" s="73" ph="1">
        <f>S15*9.0746*LOOKUP(S17,密度!$A$2:$A$50,密度!$Q$2:$Q$50)</f>
        <v>31719.030880367998</v>
      </c>
      <c r="T16" s="73" ph="1">
        <f>T15*9.0746*LOOKUP(T17,密度!$A$2:$A$50,密度!$O$2:$O$50)</f>
        <v>3257.5999080000001</v>
      </c>
      <c r="U16" s="73" ph="1">
        <f>U15*9.0746*LOOKUP(U17,密度!$A$2:$A$50,密度!$H$2:$H$50)</f>
        <v>50513.370692199998</v>
      </c>
      <c r="V16" s="73" ph="1">
        <f>MAX(5600*LOOKUP(V17,密度!$A$2:$A$50,密度!$Q$2:$Q$50)+V15*9.0476*LOOKUP(V17,密度!$A$2:$A$50,密度!$Q$2:$Q$50),0)</f>
        <v>4095.5518908719996</v>
      </c>
      <c r="W16" s="73" ph="1">
        <f>MAX(5600*LOOKUP(W17,密度!$A$2:$A$50,密度!$Q$2:$Q$50)+W15*9.0476*LOOKUP(W17,密度!$A$2:$A$50,密度!$Q$2:$Q$50),0)</f>
        <v>23957.252090963997</v>
      </c>
      <c r="X16" s="73" ph="1">
        <f>MAX(5600*LOOKUP(X17,密度!$A$2:$A$50,密度!$I$2:$I$50)+X15*9.0476*LOOKUP(X17,密度!$A$2:$A$50,密度!$I$2:$I$50),0)</f>
        <v>3818.7929152800002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43310.445055520002</v>
      </c>
      <c r="AB16" s="73" ph="1">
        <f>AB15*9.0746*LOOKUP(AB17,密度!$A$2:$A$50,密度!$L$2:$L$50)</f>
        <v>3059.0567346000003</v>
      </c>
      <c r="AC16" s="73" ph="1">
        <f>AC15*9.0746*LOOKUP(AC17,密度!$A$2:$A$50,密度!$L$2:$L$50)</f>
        <v>6603.8132850000002</v>
      </c>
      <c r="AD16" s="73" ph="1">
        <f>AD15*268.68*LOOKUP(AD17,密度!$A$2:$A$50,密度!B2:B50)+IF(AD15&lt;=0,0,1566*LOOKUP(AD17,密度!$A$2:$A$50,密度!B2:B50))</f>
        <v>18713.102717279999</v>
      </c>
      <c r="AE16" s="73" ph="1">
        <f>AE15*268.68*LOOKUP(AE17,密度!$A$2:$A$50,密度!B2:B50)+IF(AE15&lt;=0,0,1566*LOOKUP(AE17,密度!$A$2:$A$50,密度!B2:B50))</f>
        <v>2502.76671936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25</v>
      </c>
      <c r="E17" s="74">
        <v>25</v>
      </c>
      <c r="F17" s="74">
        <v>25</v>
      </c>
      <c r="G17" s="74">
        <v>23</v>
      </c>
      <c r="H17" s="74">
        <v>20</v>
      </c>
      <c r="I17" s="74">
        <v>25</v>
      </c>
      <c r="J17" s="74">
        <v>25</v>
      </c>
      <c r="K17" s="74">
        <v>24</v>
      </c>
      <c r="L17" s="74">
        <v>24</v>
      </c>
      <c r="M17" s="74">
        <v>25</v>
      </c>
      <c r="N17" s="74">
        <v>24</v>
      </c>
      <c r="O17" s="74">
        <v>25</v>
      </c>
      <c r="P17" s="74">
        <v>25</v>
      </c>
      <c r="Q17" s="74">
        <v>25</v>
      </c>
      <c r="R17" s="74">
        <v>24</v>
      </c>
      <c r="S17" s="74">
        <v>25</v>
      </c>
      <c r="T17" s="74">
        <v>24</v>
      </c>
      <c r="U17" s="74">
        <v>22</v>
      </c>
      <c r="V17" s="74">
        <v>22</v>
      </c>
      <c r="W17" s="74">
        <v>22</v>
      </c>
      <c r="X17" s="74">
        <v>25</v>
      </c>
      <c r="Y17" s="108">
        <v>25</v>
      </c>
      <c r="Z17" s="74">
        <v>24</v>
      </c>
      <c r="AA17" s="74">
        <v>25</v>
      </c>
      <c r="AB17" s="74">
        <v>23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1944</v>
      </c>
      <c r="E18" s="71">
        <v>5626</v>
      </c>
      <c r="F18" s="71">
        <v>4750</v>
      </c>
      <c r="G18" s="71">
        <v>2812</v>
      </c>
      <c r="H18" s="71">
        <v>0</v>
      </c>
      <c r="I18" s="71">
        <v>2657</v>
      </c>
      <c r="J18" s="71">
        <v>919</v>
      </c>
      <c r="K18" s="71">
        <v>4473</v>
      </c>
      <c r="L18" s="71">
        <v>2822</v>
      </c>
      <c r="M18" s="71">
        <v>4797</v>
      </c>
      <c r="N18" s="71">
        <v>2203</v>
      </c>
      <c r="O18" s="71">
        <v>6857</v>
      </c>
      <c r="P18" s="71">
        <v>3538</v>
      </c>
      <c r="Q18" s="71">
        <v>6865</v>
      </c>
      <c r="R18" s="71">
        <v>0</v>
      </c>
      <c r="S18" s="71">
        <v>3692</v>
      </c>
      <c r="T18" s="71">
        <v>6485</v>
      </c>
      <c r="U18" s="71">
        <v>1750</v>
      </c>
      <c r="V18" s="71">
        <v>-143</v>
      </c>
      <c r="W18" s="71">
        <v>2173</v>
      </c>
      <c r="X18" s="71">
        <v>-213</v>
      </c>
      <c r="Y18" s="109">
        <v>-9906</v>
      </c>
      <c r="Z18" s="71">
        <v>0</v>
      </c>
      <c r="AA18" s="71">
        <v>6122</v>
      </c>
      <c r="AB18" s="71">
        <v>358</v>
      </c>
      <c r="AC18" s="71">
        <v>774</v>
      </c>
      <c r="AD18" s="71">
        <v>83.11</v>
      </c>
      <c r="AE18" s="71">
        <v>50.12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49" t="s" ph="1">
        <v>179</v>
      </c>
      <c r="D19" s="73" ph="1">
        <f>D18*7.0686*LOOKUP(D20,密度!$A$2:$A$50,密度!$L$2:$L$50)</f>
        <v>12903.135537599999</v>
      </c>
      <c r="E19" s="73" ph="1">
        <f>E18*7.0686*LOOKUP(E20,密度!$A$2:$A$50,密度!$L$2:$L$50)</f>
        <v>37342.099040399997</v>
      </c>
      <c r="F19" s="73" ph="1">
        <f>F18*9.0746*LOOKUP(F20,密度!$A$2:$A$50,密度!$L$2:$L$50)</f>
        <v>40388.775950000003</v>
      </c>
      <c r="G19" s="73" ph="1">
        <f>G18*9.0746*LOOKUP(G20,密度!$A$2:$A$50,密度!$B$2:$B$50)</f>
        <v>19916.623543599999</v>
      </c>
      <c r="H19" s="73" ph="1">
        <f>H18*9.0746*LOOKUP(H20,密度!$A$2:$A$50,密度!$L$2:$L$50)</f>
        <v>0</v>
      </c>
      <c r="I19" s="73" ph="1">
        <f>I18*9.0746*LOOKUP(I20,密度!$A$2:$A$50,密度!$U$2:$U$50)</f>
        <v>24762.214929400001</v>
      </c>
      <c r="J19" s="73" ph="1">
        <f>J18*9.0746*LOOKUP(J20,密度!$A$2:$A$50,密度!$L$2:$L$50)</f>
        <v>7830.8443985999993</v>
      </c>
      <c r="K19" s="73" ph="1">
        <f>K18*9.0746*LOOKUP(K20,密度!$A$2:$A$50,密度!$C$2:$C$50)</f>
        <v>45011.011483620001</v>
      </c>
      <c r="L19" s="73" ph="1">
        <f>L18*9.0746*LOOKUP(L20,密度!$A$2:$A$50,密度!$E$2:$E$50)</f>
        <v>20056.593803839998</v>
      </c>
      <c r="M19" s="73" ph="1">
        <f>M18*9.0746*LOOKUP(M20,密度!$A$2:$A$50,密度!$M$2:$M$50)</f>
        <v>38093.852260619999</v>
      </c>
      <c r="N19" s="73" ph="1">
        <f>N18*9.0746*LOOKUP(N20,密度!$A$2:$A$50,密度!$M$2:$M$50)</f>
        <v>17510.418034419999</v>
      </c>
      <c r="O19" s="73" ph="1">
        <f>O18*9.0746*LOOKUP(O20,密度!$A$2:$A$50,密度!$G$2:$G$50)</f>
        <v>59747.995818440002</v>
      </c>
      <c r="P19" s="73" ph="1">
        <f ca="1">P18*9.0746*LOOKUP(P20,密度!$A$2:$A$51,密度!$Q$2:$Q$50)</f>
        <v>30395.972712552</v>
      </c>
      <c r="Q19" s="73" ph="1">
        <f>Q18*9.0746*LOOKUP(Q20,密度!$A$2:$A$50,密度!$Q$2:$Q$50)</f>
        <v>59070.137717800004</v>
      </c>
      <c r="R19" s="73" ph="1">
        <f>MAX(R18*9.0746*LOOKUP(R20,密度!$A$2:$A$50,密度!$B$2:$B$50),0)</f>
        <v>0</v>
      </c>
      <c r="S19" s="73" ph="1">
        <f>S18*9.0746*LOOKUP(S20,密度!$A$2:$A$50,密度!$Q$2:$Q$50)</f>
        <v>31719.030880367998</v>
      </c>
      <c r="T19" s="73" ph="1">
        <f>T18*9.0746*LOOKUP(T20,密度!$A$2:$A$50,密度!$O$2:$O$50)</f>
        <v>54729.366330000004</v>
      </c>
      <c r="U19" s="73" ph="1">
        <f>U18*9.0746*LOOKUP(U20,密度!$A$2:$A$50,密度!$H$2:$H$50)</f>
        <v>14557.700185</v>
      </c>
      <c r="V19" s="73" ph="1">
        <f>MAX(5600*LOOKUP(V20,密度!$A$2:$A$50,密度!$Q$2:$Q$50)+V18*9.0476*LOOKUP(V20,密度!$A$2:$A$50,密度!$Q$2:$Q$50),0)</f>
        <v>4079.9888712040001</v>
      </c>
      <c r="W19" s="73" ph="1">
        <f>MAX(5600*LOOKUP(W20,密度!$A$2:$A$50,密度!$Q$2:$Q$50)+W18*9.0476*LOOKUP(W20,密度!$A$2:$A$50,密度!$Q$2:$Q$50),0)</f>
        <v>23879.194225136001</v>
      </c>
      <c r="X19" s="73" ph="1">
        <f>MAX(5600*LOOKUP(X20,密度!$A$2:$A$50,密度!$I$2:$I$50)+X18*9.0476*LOOKUP(X20,密度!$A$2:$A$50,密度!$I$2:$I$50),0)</f>
        <v>3819.7756480000003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43260.445824440001</v>
      </c>
      <c r="AB19" s="73" ph="1">
        <f>AB18*9.0746*LOOKUP(AB20,密度!$A$2:$A$50,密度!$L$2:$L$50)</f>
        <v>3044.0382715999999</v>
      </c>
      <c r="AC19" s="73" ph="1">
        <f>AC18*9.0746*LOOKUP(AC20,密度!$A$2:$A$50,密度!$L$2:$L$50)</f>
        <v>6588.2684952</v>
      </c>
      <c r="AD19" s="73" ph="1">
        <f>AD18*268.68*LOOKUP(AD20,密度!$A$2:$A$50,密度!B5:B53)+IF(AD18&lt;=0,0,1566*LOOKUP(AD20,密度!$A$2:$A$50,密度!B5:B53))</f>
        <v>18567.1879596</v>
      </c>
      <c r="AE19" s="73" ph="1">
        <f>AE18*268.68*LOOKUP(AE20,密度!$A$2:$A$50,密度!B5:B53)+IF(AE18&lt;=0,0,1566*LOOKUP(AE20,密度!$A$2:$A$50,密度!B5:B53))</f>
        <v>11680.051723199998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23</v>
      </c>
      <c r="E20" s="81">
        <v>23</v>
      </c>
      <c r="F20" s="81">
        <v>25</v>
      </c>
      <c r="G20" s="81">
        <v>24</v>
      </c>
      <c r="H20" s="81">
        <v>22</v>
      </c>
      <c r="I20" s="81">
        <v>23</v>
      </c>
      <c r="J20" s="81">
        <v>23</v>
      </c>
      <c r="K20" s="81">
        <v>25</v>
      </c>
      <c r="L20" s="81">
        <v>25</v>
      </c>
      <c r="M20" s="81">
        <v>25</v>
      </c>
      <c r="N20" s="81">
        <v>24</v>
      </c>
      <c r="O20" s="81">
        <v>25</v>
      </c>
      <c r="P20" s="81">
        <v>25</v>
      </c>
      <c r="Q20" s="81">
        <v>23</v>
      </c>
      <c r="R20" s="81">
        <v>25</v>
      </c>
      <c r="S20" s="81">
        <v>25</v>
      </c>
      <c r="T20" s="81">
        <v>24</v>
      </c>
      <c r="U20" s="81">
        <v>23</v>
      </c>
      <c r="V20" s="81">
        <v>24</v>
      </c>
      <c r="W20" s="81">
        <v>27</v>
      </c>
      <c r="X20" s="81">
        <v>27</v>
      </c>
      <c r="Y20" s="110">
        <v>27</v>
      </c>
      <c r="Z20" s="81">
        <v>26</v>
      </c>
      <c r="AA20" s="81">
        <v>26</v>
      </c>
      <c r="AB20" s="81">
        <v>25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644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49" t="s" ph="1">
        <v>178</v>
      </c>
      <c r="D24" s="71">
        <v>68.31</v>
      </c>
      <c r="E24" s="71">
        <v>54.31</v>
      </c>
      <c r="F24" s="71">
        <v>3875</v>
      </c>
      <c r="G24" s="71">
        <v>3927</v>
      </c>
      <c r="H24" s="71">
        <v>3138</v>
      </c>
      <c r="I24" s="71">
        <v>776</v>
      </c>
      <c r="J24" s="71">
        <v>4038</v>
      </c>
      <c r="K24" s="71">
        <v>5492</v>
      </c>
      <c r="L24" s="71">
        <v>5590</v>
      </c>
      <c r="M24" s="71">
        <v>3431</v>
      </c>
      <c r="N24" s="71">
        <v>2655</v>
      </c>
      <c r="O24" s="71">
        <v>4313</v>
      </c>
      <c r="P24" s="71">
        <v>681</v>
      </c>
      <c r="Q24" s="90">
        <v>4530</v>
      </c>
      <c r="R24" s="71">
        <v>2251</v>
      </c>
      <c r="S24" s="71">
        <v>7019</v>
      </c>
      <c r="T24" s="71">
        <v>1759</v>
      </c>
      <c r="U24" s="71">
        <v>6223</v>
      </c>
      <c r="V24" s="71">
        <v>11756</v>
      </c>
      <c r="W24" s="71">
        <v>11688</v>
      </c>
      <c r="X24" s="71">
        <v>4658</v>
      </c>
      <c r="Y24" s="71">
        <v>2531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18858.616589592002</v>
      </c>
      <c r="E25" s="91" ph="1">
        <f>E24*268.68*LOOKUP(E26,密度!$A$2:$A$50,密度!$C$2:$C$50)+IF(E24&lt;=0,0,1566*LOOKUP(E26,密度!$A$2:$A$50,密度!$C$2:$C$50))</f>
        <v>17917.618176120002</v>
      </c>
      <c r="F25" s="91" ph="1">
        <f>F24*11.702*LOOKUP(F26,密度!$A$2:$A$50,密度!$Q$2:$Q$50)</f>
        <v>42930.161984999999</v>
      </c>
      <c r="G25" s="91" ph="1">
        <f>G24*18.322*LOOKUP(G26,密度!$A$2:$A$50,密度!$B$2:$B$50)</f>
        <v>56157.360566999989</v>
      </c>
      <c r="H25" s="91" ph="1">
        <f>H24*18.322*LOOKUP(H26,密度!$A$2:$A$50,密度!$B$2:$B$50)</f>
        <v>44874.407297999991</v>
      </c>
      <c r="I25" s="91" ph="1">
        <f>I24*18.322*LOOKUP(I26,密度!$A$2:$A$50,密度!$Q$2:$Q$50)</f>
        <v>13471.00718384</v>
      </c>
      <c r="J25" s="91" ph="1">
        <f>J24*18.322*LOOKUP(J26,密度!$A$2:$A$50,密度!$Q$2:$Q$50)</f>
        <v>70043.835590639996</v>
      </c>
      <c r="K25" s="91" ph="1">
        <f>K24*18.322*LOOKUP(K26,密度!$A$2:$A$50,密度!$Q$2:$Q$50)</f>
        <v>95265.167177759999</v>
      </c>
      <c r="L25" s="91" ph="1">
        <f>L24*18.322*LOOKUP(L26,密度!$A$2:$A$50,密度!$Q$2:$Q$50)</f>
        <v>97039.858450600004</v>
      </c>
      <c r="M25" s="91" ph="1">
        <f>M24*18.322*LOOKUP(M26,密度!$A$2:$A$50,密度!$Q$2:$Q$50)</f>
        <v>59514.710230680001</v>
      </c>
      <c r="N25" s="91" ph="1">
        <f>N24*18.322*LOOKUP(N26,密度!$A$2:$A$50,密度!$Q$2:$Q$50)</f>
        <v>46054.0820934</v>
      </c>
      <c r="O25" s="91" ph="1">
        <f>O24*18.322*LOOKUP(O26,密度!$A$2:$A$50,密度!$C$2:$C$50)</f>
        <v>87628.367395399997</v>
      </c>
      <c r="P25" s="91" ph="1">
        <f>P24*11.702*LOOKUP(P26,密度!$A$2:$A$50,密度!$B$2:$B$50)</f>
        <v>6219.8528909999995</v>
      </c>
      <c r="Q25" s="92" ph="1">
        <f>Q24*18.322*LOOKUP(Q26,密度!$A$2:$A$50,密度!$B$2:$B$50)</f>
        <v>64705.755336000002</v>
      </c>
      <c r="R25" s="91" ph="1">
        <f>R24*35.891*LOOKUP(R26,密度!$A$2:$A$50,密度!$C$2:$C$50)</f>
        <v>89588.741804899997</v>
      </c>
      <c r="S25" s="91" ph="1">
        <f>S24*35.891*LOOKUP(S26,密度!$A$2:$A$50,密度!$B$2:$B$50)</f>
        <v>196395.99704839996</v>
      </c>
      <c r="T25" s="91" ph="1">
        <f>T24*35.891*LOOKUP(T26,密度!$A$2:$A$50,密度!$Q$2:$Q$50)</f>
        <v>59769.844353060005</v>
      </c>
      <c r="U25" s="91" ph="1">
        <f>U24*35.891</f>
        <v>223349.693</v>
      </c>
      <c r="V25" s="91" ph="1">
        <f>V24*47.051*LOOKUP(V26,密度!$A$2:$A$50,密度!$B$2:$B$50)</f>
        <v>431719.179458</v>
      </c>
      <c r="W25" s="91" ph="1">
        <f>W24*47.051*LOOKUP(W26,密度!$A$2:$A$50,密度!$B$2:$B$50)</f>
        <v>428232.11692559998</v>
      </c>
      <c r="X25" s="91" ph="1">
        <f>X24*47.051*LOOKUP(X26,密度!$A$2:$A$50,密度!$I$2:$I$50)</f>
        <v>227689.0204062</v>
      </c>
      <c r="Y25" s="91" ph="1">
        <f>Y24*47.051*LOOKUP(Y26,密度!$A$2:$A$50,密度!$L$2:$L$50)</f>
        <v>111464.57181600001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25</v>
      </c>
      <c r="G26" s="74">
        <v>24</v>
      </c>
      <c r="H26" s="74">
        <v>24</v>
      </c>
      <c r="I26" s="74">
        <v>24</v>
      </c>
      <c r="J26" s="74">
        <v>25</v>
      </c>
      <c r="K26" s="74">
        <v>25</v>
      </c>
      <c r="L26" s="74">
        <v>24</v>
      </c>
      <c r="M26" s="74">
        <v>25</v>
      </c>
      <c r="N26" s="74">
        <v>25</v>
      </c>
      <c r="O26" s="74">
        <v>25</v>
      </c>
      <c r="P26" s="74">
        <v>24</v>
      </c>
      <c r="Q26" s="93">
        <v>25</v>
      </c>
      <c r="R26" s="74">
        <v>25</v>
      </c>
      <c r="S26" s="74">
        <v>25</v>
      </c>
      <c r="T26" s="74">
        <v>25</v>
      </c>
      <c r="U26" s="74">
        <v>24</v>
      </c>
      <c r="V26" s="74">
        <v>24</v>
      </c>
      <c r="W26" s="74">
        <v>26</v>
      </c>
      <c r="X26" s="74">
        <v>28</v>
      </c>
      <c r="Y26" s="74">
        <v>26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49" t="s" ph="1">
        <v>181</v>
      </c>
      <c r="D27" s="71">
        <v>68.31</v>
      </c>
      <c r="E27" s="71">
        <v>62.3</v>
      </c>
      <c r="F27" s="71">
        <v>3875</v>
      </c>
      <c r="G27" s="71">
        <v>3524</v>
      </c>
      <c r="H27" s="71">
        <v>2071</v>
      </c>
      <c r="I27" s="71">
        <v>776</v>
      </c>
      <c r="J27" s="71">
        <v>3480</v>
      </c>
      <c r="K27" s="71">
        <v>5491</v>
      </c>
      <c r="L27" s="71">
        <v>5589</v>
      </c>
      <c r="M27" s="71">
        <v>3430</v>
      </c>
      <c r="N27" s="71">
        <v>2655</v>
      </c>
      <c r="O27" s="71">
        <v>4313</v>
      </c>
      <c r="P27" s="71">
        <v>680</v>
      </c>
      <c r="Q27" s="90">
        <v>4075</v>
      </c>
      <c r="R27" s="71">
        <v>2461</v>
      </c>
      <c r="S27" s="71">
        <v>7016</v>
      </c>
      <c r="T27" s="71">
        <v>1758</v>
      </c>
      <c r="U27" s="71">
        <v>6227</v>
      </c>
      <c r="V27" s="71">
        <v>11754</v>
      </c>
      <c r="W27" s="71">
        <v>11684</v>
      </c>
      <c r="X27" s="71">
        <v>6284</v>
      </c>
      <c r="Y27" s="71">
        <v>1562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49" t="s" ph="1">
        <v>179</v>
      </c>
      <c r="D28" s="91" ph="1">
        <f>D27*268.68*LOOKUP(D29,密度!$A$2:$A$50,密度!$Q$2:$Q$50)+IF(D27&lt;=0,0,1566*LOOKUP(D29,密度!$A$2:$A$50,密度!$Q$2:$Q$50))</f>
        <v>18858.616589592002</v>
      </c>
      <c r="E28" s="91" ph="1">
        <f>E27*268.68*LOOKUP(E29,密度!$A$2:$A$50,密度!$C$2:$C$50)+IF(E27&lt;=0,0,1566*LOOKUP(E29,密度!$A$2:$A$50,密度!$C$2:$C$50))</f>
        <v>20298.1527996</v>
      </c>
      <c r="F28" s="91" ph="1">
        <f>F27*11.702*LOOKUP(F29,密度!$A$2:$A$50,密度!$Q$2:$Q$50)</f>
        <v>42897.966857500003</v>
      </c>
      <c r="G28" s="91" ph="1">
        <f>G27*18.322*LOOKUP(G29,密度!$A$2:$A$50,密度!$B$2:$B$50)</f>
        <v>50336.221148799996</v>
      </c>
      <c r="H28" s="91" ph="1">
        <f>H27*18.322*LOOKUP(H29,密度!$A$2:$A$50,密度!$B$2:$B$50)</f>
        <v>29581.814415199999</v>
      </c>
      <c r="I28" s="91" ph="1">
        <f>I27*18.322*LOOKUP(I29,密度!$A$2:$A$50,密度!$Q$2:$Q$50)</f>
        <v>13460.62813728</v>
      </c>
      <c r="J28" s="91" ph="1">
        <f>J27*18.322*LOOKUP(J29,密度!$A$2:$A$50,密度!$Q$2:$Q$50)</f>
        <v>60411.217783200002</v>
      </c>
      <c r="K28" s="91" ph="1">
        <f>K27*18.322*LOOKUP(K29,密度!$A$2:$A$50,密度!$Q$2:$Q$50)</f>
        <v>95321.263461940005</v>
      </c>
      <c r="L28" s="91" ph="1">
        <f>L27*18.322*LOOKUP(L29,密度!$A$2:$A$50,密度!$Q$2:$Q$50)</f>
        <v>96947.745694919999</v>
      </c>
      <c r="M28" s="91" ph="1">
        <f>M27*18.322*LOOKUP(M29,密度!$A$2:$A$50,密度!$Q$2:$Q$50)</f>
        <v>59497.364060400003</v>
      </c>
      <c r="N28" s="91" ph="1">
        <f>N27*18.322*LOOKUP(N29,密度!$A$2:$A$50,密度!$Q$2:$Q$50)</f>
        <v>46054.0820934</v>
      </c>
      <c r="O28" s="91" ph="1">
        <f>O27*18.322*LOOKUP(O29,密度!$A$2:$A$50,密度!$C$2:$C$50)</f>
        <v>87683.683345599988</v>
      </c>
      <c r="P28" s="91" ph="1">
        <f>P27*11.702*LOOKUP(P29,密度!$A$2:$A$50,密度!$B$2:$B$50)</f>
        <v>6210.7194799999997</v>
      </c>
      <c r="Q28" s="92" ph="1">
        <f>Q27*18.322*LOOKUP(Q29,密度!$A$2:$A$50,密度!$B$2:$B$50)</f>
        <v>58273.808074999994</v>
      </c>
      <c r="R28" s="91" ph="1">
        <f>R27*35.891*LOOKUP(R29,密度!$A$2:$A$50,密度!$C$2:$C$50)</f>
        <v>98008.472509599975</v>
      </c>
      <c r="S28" s="91" ph="1">
        <f>S27*35.891*LOOKUP(S29,密度!$A$2:$A$50,密度!$B$2:$B$50)</f>
        <v>196538.68530799999</v>
      </c>
      <c r="T28" s="91" ph="1">
        <f>T27*35.891*LOOKUP(T29,密度!$A$2:$A$50,密度!$Q$2:$Q$50)</f>
        <v>59691.066479339999</v>
      </c>
      <c r="U28" s="91" ph="1">
        <f>U27*35.891</f>
        <v>223493.25699999998</v>
      </c>
      <c r="V28" s="91" ph="1">
        <f>V27*47.051*LOOKUP(V29,密度!$A$2:$A$50,密度!$B$2:$B$50)</f>
        <v>431147.99913840002</v>
      </c>
      <c r="W28" s="91" ph="1">
        <f>W27*47.051*LOOKUP(W29,密度!$A$2:$A$50,密度!$B$2:$B$50)</f>
        <v>428580.33196640003</v>
      </c>
      <c r="X28" s="91" ph="1">
        <f>X27*47.051*LOOKUP(X29,密度!$A$2:$A$50,密度!$I$2:$I$50)</f>
        <v>307169.98802759999</v>
      </c>
      <c r="Y28" s="91" ph="1">
        <f>Y27*47.051*LOOKUP(Y29,密度!$A$2:$A$50,密度!$L$2:$L$50)</f>
        <v>68790.067632000006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49" t="s" ph="1">
        <v>180</v>
      </c>
      <c r="D29" s="74">
        <v>25</v>
      </c>
      <c r="E29" s="74">
        <v>25</v>
      </c>
      <c r="F29" s="74">
        <v>26</v>
      </c>
      <c r="G29" s="74">
        <v>25</v>
      </c>
      <c r="H29" s="74">
        <v>25</v>
      </c>
      <c r="I29" s="74">
        <v>25</v>
      </c>
      <c r="J29" s="74">
        <v>24</v>
      </c>
      <c r="K29" s="74">
        <v>24</v>
      </c>
      <c r="L29" s="74">
        <v>25</v>
      </c>
      <c r="M29" s="74">
        <v>25</v>
      </c>
      <c r="N29" s="74">
        <v>25</v>
      </c>
      <c r="O29" s="74">
        <v>24</v>
      </c>
      <c r="P29" s="74">
        <v>24</v>
      </c>
      <c r="Q29" s="93">
        <v>24</v>
      </c>
      <c r="R29" s="74">
        <v>24</v>
      </c>
      <c r="S29" s="74">
        <v>24</v>
      </c>
      <c r="T29" s="74">
        <v>26</v>
      </c>
      <c r="U29" s="74">
        <v>25</v>
      </c>
      <c r="V29" s="74">
        <v>25</v>
      </c>
      <c r="W29" s="74">
        <v>25</v>
      </c>
      <c r="X29" s="74">
        <v>28</v>
      </c>
      <c r="Y29" s="74">
        <v>26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36733.875314599994</v>
      </c>
      <c r="E33" s="182" ph="1">
        <f>M10+I10</f>
        <v>146307.91897239999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08" ph="1">
        <v>0</v>
      </c>
      <c r="H33" s="182" ph="1">
        <f>N19</f>
        <v>17510.418034419999</v>
      </c>
      <c r="I33" s="186" ph="1">
        <v>0</v>
      </c>
      <c r="J33" s="190" ph="1">
        <f>F10+O28</f>
        <v>230692.00715679995</v>
      </c>
      <c r="K33" s="182" ph="1">
        <f>O10+K10+E28+R28</f>
        <v>267154.993418</v>
      </c>
      <c r="L33" s="192" ph="1">
        <f>BE27</f>
        <v>7100</v>
      </c>
      <c r="M33" s="190" ph="1">
        <f>G10+H10+W28+S28+V28+E10</f>
        <v>1892889.8496397999</v>
      </c>
      <c r="N33" s="182" ph="1">
        <f>L10+P10++G28+H28</f>
        <v>139962.54826000001</v>
      </c>
      <c r="O33" s="186" ph="1">
        <f>BE17</f>
        <v>2270</v>
      </c>
      <c r="P33" s="190" ph="1">
        <f>L19</f>
        <v>20056.593803839998</v>
      </c>
      <c r="Q33" s="182" ph="1">
        <f>J10+N10</f>
        <v>25780.1683304</v>
      </c>
      <c r="R33" s="186" ph="1">
        <f>BE23</f>
        <v>890</v>
      </c>
      <c r="S33" s="190" ph="1">
        <f>E10+X28</f>
        <v>628020.77038359991</v>
      </c>
      <c r="T33" s="182" ph="1">
        <f>X19</f>
        <v>3819.7756480000003</v>
      </c>
      <c r="U33" s="171" ph="1">
        <f>BE21</f>
        <v>730</v>
      </c>
      <c r="V33" s="184" ph="1">
        <f ca="1">P19+Q19+S19+M28+N28+J28</f>
        <v>287147.80524771998</v>
      </c>
      <c r="W33" s="184" ph="1">
        <f>D28+F28+V19+T28</f>
        <v>125527.638797636</v>
      </c>
      <c r="X33" s="186" ph="1">
        <f>BE29+BE31</f>
        <v>10200</v>
      </c>
      <c r="Y33" s="188" ph="1">
        <f>+Q10+R10+S10+T10+U10+V10+W10+X10+Y10</f>
        <v>150606.44024580001</v>
      </c>
      <c r="Z33" s="169" ph="1">
        <f>D10+T19+U19+Y28+Z10</f>
        <v>458687.13957226003</v>
      </c>
      <c r="AA33" s="171" ph="1">
        <f>BE19</f>
        <v>1440</v>
      </c>
      <c r="AB33" s="173" ph="1">
        <f>I19</f>
        <v>24762.214929400001</v>
      </c>
      <c r="AC33" s="175" ph="1">
        <f>AD10</f>
        <v>69421.485628800001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47" t="s" ph="1">
        <v>186</v>
      </c>
      <c r="AA36" s="147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345</v>
      </c>
      <c r="AI37" s="147" t="s" ph="1">
        <v>212</v>
      </c>
      <c r="AJ37" s="147" t="s" ph="1">
        <v>213</v>
      </c>
      <c r="AK37" s="147" t="s" ph="1">
        <v>214</v>
      </c>
      <c r="AM37" s="147" t="s" ph="1">
        <v>213</v>
      </c>
      <c r="AN37" s="147" t="s" ph="1">
        <v>214</v>
      </c>
      <c r="AO37" s="147" t="s" ph="1">
        <v>215</v>
      </c>
      <c r="AP37" s="147" t="s" ph="1">
        <v>213</v>
      </c>
      <c r="AQ37" s="147" t="s" ph="1">
        <v>214</v>
      </c>
      <c r="AR37" s="147" t="s" ph="1">
        <v>215</v>
      </c>
      <c r="AS37" s="147" t="s" ph="1">
        <v>213</v>
      </c>
      <c r="AT37" s="147" t="s" ph="1">
        <v>214</v>
      </c>
      <c r="AU37" s="147" t="s" ph="1">
        <v>215</v>
      </c>
      <c r="AV37" s="147" t="s" ph="1">
        <v>213</v>
      </c>
      <c r="AW37" s="147" t="s" ph="1">
        <v>214</v>
      </c>
      <c r="AX37" s="147" t="s" ph="1">
        <v>215</v>
      </c>
      <c r="AY37" s="147" t="s" ph="1">
        <v>214</v>
      </c>
      <c r="AZ37" s="147" t="s" ph="1">
        <v>216</v>
      </c>
      <c r="BD37" s="147" t="s" ph="1">
        <v>308</v>
      </c>
      <c r="BE37" s="147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42" priority="97">
      <formula>ABS(D$7-D$10)&gt;=1000</formula>
    </cfRule>
  </conditionalFormatting>
  <conditionalFormatting sqref="E4 E6:E11">
    <cfRule type="expression" dxfId="2541" priority="96">
      <formula>ABS(E$7-E$10)&gt;=1000</formula>
    </cfRule>
  </conditionalFormatting>
  <conditionalFormatting sqref="F4:F11">
    <cfRule type="expression" dxfId="2540" priority="95">
      <formula>ABS(F$7-F$10)&gt;=1000</formula>
    </cfRule>
  </conditionalFormatting>
  <conditionalFormatting sqref="G4:G11">
    <cfRule type="expression" dxfId="2539" priority="94">
      <formula>ABS(G$7-G$10)&gt;=1000</formula>
    </cfRule>
  </conditionalFormatting>
  <conditionalFormatting sqref="H4:H11">
    <cfRule type="expression" dxfId="2538" priority="93">
      <formula>ABS(H$7-H$10)&gt;=1000</formula>
    </cfRule>
  </conditionalFormatting>
  <conditionalFormatting sqref="I4:I11">
    <cfRule type="expression" dxfId="2537" priority="92">
      <formula>ABS(I$7-I$10)&gt;=1000</formula>
    </cfRule>
  </conditionalFormatting>
  <conditionalFormatting sqref="J4:J11">
    <cfRule type="expression" dxfId="2536" priority="91">
      <formula>ABS(J$7-J$10)&gt;=1000</formula>
    </cfRule>
  </conditionalFormatting>
  <conditionalFormatting sqref="K4:K11">
    <cfRule type="expression" dxfId="2535" priority="90">
      <formula>ABS(K$7-K$10)&gt;=1000</formula>
    </cfRule>
  </conditionalFormatting>
  <conditionalFormatting sqref="L4:L11">
    <cfRule type="expression" dxfId="2534" priority="89">
      <formula>ABS(L$7-L$10)&gt;=1000</formula>
    </cfRule>
  </conditionalFormatting>
  <conditionalFormatting sqref="M4 M6:M11">
    <cfRule type="expression" dxfId="2533" priority="88">
      <formula>ABS(M$7-M$10)&gt;=1000</formula>
    </cfRule>
  </conditionalFormatting>
  <conditionalFormatting sqref="N4 N6:N11">
    <cfRule type="expression" dxfId="2532" priority="87">
      <formula>ABS(N$7-N$10)&gt;=1000</formula>
    </cfRule>
  </conditionalFormatting>
  <conditionalFormatting sqref="O4 O6:O11">
    <cfRule type="expression" dxfId="2531" priority="86">
      <formula>ABS(O$7-O$10)&gt;=1000</formula>
    </cfRule>
  </conditionalFormatting>
  <conditionalFormatting sqref="P4 P6:P11">
    <cfRule type="expression" dxfId="2530" priority="85">
      <formula>ABS(P$7-P$10)&gt;=1000</formula>
    </cfRule>
  </conditionalFormatting>
  <conditionalFormatting sqref="Q4:Q11">
    <cfRule type="expression" dxfId="2529" priority="84">
      <formula>ABS(Q$7-Q$10)&gt;=1000</formula>
    </cfRule>
  </conditionalFormatting>
  <conditionalFormatting sqref="R4:R11">
    <cfRule type="expression" dxfId="2528" priority="83">
      <formula>ABS(R$7-R$10)&gt;=1000</formula>
    </cfRule>
  </conditionalFormatting>
  <conditionalFormatting sqref="S4:S11">
    <cfRule type="expression" dxfId="2527" priority="82">
      <formula>ABS(S$7-S$10)&gt;=1000</formula>
    </cfRule>
  </conditionalFormatting>
  <conditionalFormatting sqref="T4:T9 T11">
    <cfRule type="expression" dxfId="2526" priority="81">
      <formula>ABS(T$7-T$10)&gt;=1000</formula>
    </cfRule>
  </conditionalFormatting>
  <conditionalFormatting sqref="U4:U9 U11">
    <cfRule type="expression" dxfId="2525" priority="80">
      <formula>ABS(U$7-U$10)&gt;=1000</formula>
    </cfRule>
  </conditionalFormatting>
  <conditionalFormatting sqref="V4:V9 V11">
    <cfRule type="expression" dxfId="2524" priority="79">
      <formula>ABS(V$7-V$10)&gt;=1000</formula>
    </cfRule>
  </conditionalFormatting>
  <conditionalFormatting sqref="W4:W9 W11">
    <cfRule type="expression" dxfId="2523" priority="78">
      <formula>ABS(W$7-W$10)&gt;=1000</formula>
    </cfRule>
  </conditionalFormatting>
  <conditionalFormatting sqref="X4:X9 X11">
    <cfRule type="expression" dxfId="2522" priority="77">
      <formula>ABS(X$7-X$10)&gt;=1000</formula>
    </cfRule>
  </conditionalFormatting>
  <conditionalFormatting sqref="Y4:Y9 Y11">
    <cfRule type="expression" dxfId="2521" priority="76">
      <formula>ABS(Y$7-Y$10)&gt;=1000</formula>
    </cfRule>
  </conditionalFormatting>
  <conditionalFormatting sqref="Z4:Z11">
    <cfRule type="expression" dxfId="2520" priority="75">
      <formula>ABS(Z$7-Z$10)&gt;=1000</formula>
    </cfRule>
  </conditionalFormatting>
  <conditionalFormatting sqref="AA4:AA11">
    <cfRule type="expression" dxfId="2519" priority="74">
      <formula>ABS(AA$7-AA$10)&gt;=1000</formula>
    </cfRule>
  </conditionalFormatting>
  <conditionalFormatting sqref="AB4:AB11">
    <cfRule type="expression" dxfId="2518" priority="73">
      <formula>ABS(AB$7-AB$10)&gt;=1000</formula>
    </cfRule>
  </conditionalFormatting>
  <conditionalFormatting sqref="AC4 AC6:AC11">
    <cfRule type="expression" dxfId="2517" priority="72">
      <formula>ABS(AC$7-AC$10)&gt;=1000</formula>
    </cfRule>
  </conditionalFormatting>
  <conditionalFormatting sqref="AD4:AD11">
    <cfRule type="expression" dxfId="2516" priority="71">
      <formula>ABS(AD$7-AD$10)&gt;=1000</formula>
    </cfRule>
  </conditionalFormatting>
  <conditionalFormatting sqref="AE4:AE11">
    <cfRule type="expression" dxfId="2515" priority="70">
      <formula>ABS(AE$7-AE$10)&gt;=1000</formula>
    </cfRule>
  </conditionalFormatting>
  <conditionalFormatting sqref="D13:D20">
    <cfRule type="expression" dxfId="2514" priority="69">
      <formula>ABS(D$16-D$19)&gt;=1000</formula>
    </cfRule>
  </conditionalFormatting>
  <conditionalFormatting sqref="E13:E20">
    <cfRule type="expression" dxfId="2513" priority="68">
      <formula>ABS(E$16-E$19)&gt;=1000</formula>
    </cfRule>
  </conditionalFormatting>
  <conditionalFormatting sqref="F13 F15:F20">
    <cfRule type="expression" dxfId="2512" priority="67">
      <formula>ABS(F$16-F$19)&gt;=1000</formula>
    </cfRule>
  </conditionalFormatting>
  <conditionalFormatting sqref="G13:G20">
    <cfRule type="expression" dxfId="2511" priority="66">
      <formula>ABS(G$16-G$19)&gt;=1000</formula>
    </cfRule>
  </conditionalFormatting>
  <conditionalFormatting sqref="H13:H20">
    <cfRule type="expression" dxfId="2510" priority="65">
      <formula>ABS(H$16-H$19)&gt;=1000</formula>
    </cfRule>
  </conditionalFormatting>
  <conditionalFormatting sqref="I13:I20">
    <cfRule type="expression" dxfId="2509" priority="64">
      <formula>ABS(I$16-I$19)&gt;=1000</formula>
    </cfRule>
  </conditionalFormatting>
  <conditionalFormatting sqref="J13:J20">
    <cfRule type="expression" dxfId="2508" priority="63">
      <formula>ABS(J$16-J$19)&gt;=1000</formula>
    </cfRule>
  </conditionalFormatting>
  <conditionalFormatting sqref="L13:L20">
    <cfRule type="expression" dxfId="2507" priority="62">
      <formula>ABS(L$16-L$19)&gt;=1000</formula>
    </cfRule>
  </conditionalFormatting>
  <conditionalFormatting sqref="M13 M15 M17:M18 M20">
    <cfRule type="expression" dxfId="2506" priority="61">
      <formula>ABS(M$16-M$19)&gt;=1000</formula>
    </cfRule>
  </conditionalFormatting>
  <conditionalFormatting sqref="N13:N20">
    <cfRule type="expression" dxfId="2505" priority="60">
      <formula>ABS(N$16-N$19)&gt;=1000</formula>
    </cfRule>
  </conditionalFormatting>
  <conditionalFormatting sqref="O13:O20">
    <cfRule type="expression" dxfId="2504" priority="59">
      <formula>ABS(O$16-O$19)&gt;=1000</formula>
    </cfRule>
  </conditionalFormatting>
  <conditionalFormatting sqref="P13:P20">
    <cfRule type="expression" dxfId="2503" priority="58">
      <formula>ABS(P$16-P$19)&gt;=1000</formula>
    </cfRule>
  </conditionalFormatting>
  <conditionalFormatting sqref="Q13 Q15:Q20">
    <cfRule type="expression" dxfId="2502" priority="57">
      <formula>ABS(Q$16-Q$19)&gt;=1000</formula>
    </cfRule>
  </conditionalFormatting>
  <conditionalFormatting sqref="R13:R20">
    <cfRule type="expression" dxfId="2501" priority="56">
      <formula>ABS(R$16-R$19)&gt;=1000</formula>
    </cfRule>
  </conditionalFormatting>
  <conditionalFormatting sqref="S13:S20">
    <cfRule type="expression" dxfId="2500" priority="55">
      <formula>ABS(S$16-S$19)&gt;=1000</formula>
    </cfRule>
  </conditionalFormatting>
  <conditionalFormatting sqref="T13:T20">
    <cfRule type="expression" dxfId="2499" priority="54">
      <formula>ABS(T$16-T$19)&gt;=1000</formula>
    </cfRule>
  </conditionalFormatting>
  <conditionalFormatting sqref="U13:U20">
    <cfRule type="expression" dxfId="2498" priority="53">
      <formula>ABS(U$16-U$19)&gt;=1000</formula>
    </cfRule>
  </conditionalFormatting>
  <conditionalFormatting sqref="V13:V20">
    <cfRule type="expression" dxfId="2497" priority="52">
      <formula>ABS(V$16-V$19)&gt;=1000</formula>
    </cfRule>
  </conditionalFormatting>
  <conditionalFormatting sqref="W13 W20 W15:W18">
    <cfRule type="expression" dxfId="2496" priority="51">
      <formula>ABS(W$16-W$19)&gt;=1000</formula>
    </cfRule>
  </conditionalFormatting>
  <conditionalFormatting sqref="X13 X15:X20 Y19">
    <cfRule type="expression" dxfId="2495" priority="50">
      <formula>ABS(X$16-X$19)&gt;=1000</formula>
    </cfRule>
  </conditionalFormatting>
  <conditionalFormatting sqref="Y13 Y15:Y18 Y20">
    <cfRule type="expression" dxfId="2494" priority="49">
      <formula>ABS(Y$16-Y$19)&gt;=1000</formula>
    </cfRule>
  </conditionalFormatting>
  <conditionalFormatting sqref="Z13:Z20">
    <cfRule type="expression" dxfId="2493" priority="48">
      <formula>ABS(Z$16-Z$19)&gt;=1000</formula>
    </cfRule>
  </conditionalFormatting>
  <conditionalFormatting sqref="AA13:AA20">
    <cfRule type="expression" dxfId="2492" priority="47">
      <formula>ABS(AA$16-AA$19)&gt;=1000</formula>
    </cfRule>
  </conditionalFormatting>
  <conditionalFormatting sqref="AB13 AB15:AB20">
    <cfRule type="expression" dxfId="2491" priority="46">
      <formula>ABS(AB$16-AB$19)&gt;=1000</formula>
    </cfRule>
  </conditionalFormatting>
  <conditionalFormatting sqref="AC13 AC15:AC20">
    <cfRule type="expression" dxfId="2490" priority="45">
      <formula>ABS(AC$16-AC$19)&gt;=1000</formula>
    </cfRule>
  </conditionalFormatting>
  <conditionalFormatting sqref="AD13:AD20">
    <cfRule type="expression" dxfId="2489" priority="44">
      <formula>ABS(AD$16-AD$19)&gt;=1000</formula>
    </cfRule>
  </conditionalFormatting>
  <conditionalFormatting sqref="AE13:AE20">
    <cfRule type="expression" dxfId="2488" priority="43">
      <formula>ABS(AE$16-AE$19)&gt;=1000</formula>
    </cfRule>
  </conditionalFormatting>
  <conditionalFormatting sqref="D22:D29">
    <cfRule type="expression" dxfId="2487" priority="42">
      <formula>ABS(D$25-D$28)&gt;=1000</formula>
    </cfRule>
  </conditionalFormatting>
  <conditionalFormatting sqref="E22:E29">
    <cfRule type="expression" dxfId="2486" priority="41">
      <formula>ABS(E$25-E$28)&gt;=1000</formula>
    </cfRule>
  </conditionalFormatting>
  <conditionalFormatting sqref="F22:F29">
    <cfRule type="expression" dxfId="2485" priority="40">
      <formula>ABS(F$25-F$28)&gt;=1000</formula>
    </cfRule>
  </conditionalFormatting>
  <conditionalFormatting sqref="G22:G29">
    <cfRule type="expression" dxfId="2484" priority="39">
      <formula>ABS(G$25-G$28)&gt;=1000</formula>
    </cfRule>
  </conditionalFormatting>
  <conditionalFormatting sqref="H22:H29">
    <cfRule type="expression" dxfId="2483" priority="38">
      <formula>ABS(H$25-H$28)&gt;=1000</formula>
    </cfRule>
  </conditionalFormatting>
  <conditionalFormatting sqref="I22 I24:I29">
    <cfRule type="expression" dxfId="2482" priority="37">
      <formula>ABS(I$25-I$28)&gt;=1000</formula>
    </cfRule>
  </conditionalFormatting>
  <conditionalFormatting sqref="J22:J29 K22">
    <cfRule type="expression" dxfId="2481" priority="36">
      <formula>ABS(J$25-J$28)&gt;=1000</formula>
    </cfRule>
  </conditionalFormatting>
  <conditionalFormatting sqref="K23:K29 L25 L28">
    <cfRule type="expression" dxfId="2480" priority="35">
      <formula>ABS(K$25-K$28)&gt;=1000</formula>
    </cfRule>
  </conditionalFormatting>
  <conditionalFormatting sqref="L22 L26:L27 L29 L24">
    <cfRule type="expression" dxfId="2479" priority="34">
      <formula>ABS(L$25-L$28)&gt;=1000</formula>
    </cfRule>
  </conditionalFormatting>
  <conditionalFormatting sqref="M22:M29">
    <cfRule type="expression" dxfId="2478" priority="33">
      <formula>ABS(M$25-M$28)&gt;=1000</formula>
    </cfRule>
  </conditionalFormatting>
  <conditionalFormatting sqref="N22:N29">
    <cfRule type="expression" dxfId="2477" priority="32">
      <formula>ABS(N$25-N$28)&gt;=1000</formula>
    </cfRule>
  </conditionalFormatting>
  <conditionalFormatting sqref="O22:O29">
    <cfRule type="expression" dxfId="2476" priority="31">
      <formula>ABS(O$25-O$28)&gt;=1000</formula>
    </cfRule>
  </conditionalFormatting>
  <conditionalFormatting sqref="P22:P29">
    <cfRule type="expression" dxfId="2475" priority="30">
      <formula>ABS(P$25-P$28)&gt;=1000</formula>
    </cfRule>
  </conditionalFormatting>
  <conditionalFormatting sqref="Q22:Q29">
    <cfRule type="expression" dxfId="2474" priority="29">
      <formula>ABS(Q$25-Q$28)&gt;=1000</formula>
    </cfRule>
  </conditionalFormatting>
  <conditionalFormatting sqref="R22:R29">
    <cfRule type="expression" dxfId="2473" priority="28">
      <formula>ABS(R$25-R$28)&gt;=1000</formula>
    </cfRule>
  </conditionalFormatting>
  <conditionalFormatting sqref="S22:S29">
    <cfRule type="expression" dxfId="2472" priority="27">
      <formula>ABS(S$25-S$28)&gt;=1000</formula>
    </cfRule>
  </conditionalFormatting>
  <conditionalFormatting sqref="T22:T29">
    <cfRule type="expression" dxfId="2471" priority="26">
      <formula>ABS(T$25-T$28)&gt;=1000</formula>
    </cfRule>
  </conditionalFormatting>
  <conditionalFormatting sqref="U22:U29">
    <cfRule type="expression" dxfId="2470" priority="25">
      <formula>ABS(U$25-U$28)&gt;=1000</formula>
    </cfRule>
  </conditionalFormatting>
  <conditionalFormatting sqref="V22:V29">
    <cfRule type="expression" dxfId="2469" priority="24">
      <formula>ABS(V$25-V$28)&gt;=1000</formula>
    </cfRule>
  </conditionalFormatting>
  <conditionalFormatting sqref="W22:W29">
    <cfRule type="expression" dxfId="2468" priority="23">
      <formula>ABS(W$25-W$28)&gt;=1000</formula>
    </cfRule>
  </conditionalFormatting>
  <conditionalFormatting sqref="X22:X29">
    <cfRule type="expression" dxfId="2467" priority="22">
      <formula>ABS(X$25-X$28)&gt;=1000</formula>
    </cfRule>
  </conditionalFormatting>
  <conditionalFormatting sqref="Y22:Y29">
    <cfRule type="expression" dxfId="2466" priority="21">
      <formula>ABS(Y$25-Y$28)&gt;=1000</formula>
    </cfRule>
  </conditionalFormatting>
  <conditionalFormatting sqref="I23">
    <cfRule type="expression" dxfId="2465" priority="20">
      <formula>ABS(I$25-I$28)&gt;=1000</formula>
    </cfRule>
  </conditionalFormatting>
  <conditionalFormatting sqref="Q14">
    <cfRule type="expression" dxfId="2464" priority="19">
      <formula>ABS(Q$16-Q$19)&gt;=1000</formula>
    </cfRule>
  </conditionalFormatting>
  <conditionalFormatting sqref="W14">
    <cfRule type="expression" dxfId="2463" priority="18">
      <formula>ABS(W$16-W$19)&gt;=1000</formula>
    </cfRule>
  </conditionalFormatting>
  <conditionalFormatting sqref="Y14">
    <cfRule type="expression" dxfId="2462" priority="17">
      <formula>ABS(Y$16-Y$19)&gt;=1000</formula>
    </cfRule>
  </conditionalFormatting>
  <conditionalFormatting sqref="X14">
    <cfRule type="expression" dxfId="2461" priority="16">
      <formula>ABS(X$16-X$19)&gt;=1000</formula>
    </cfRule>
  </conditionalFormatting>
  <conditionalFormatting sqref="T10:Y10">
    <cfRule type="expression" dxfId="2460" priority="15">
      <formula>ABS(T$7-T$10)&gt;=1000</formula>
    </cfRule>
  </conditionalFormatting>
  <conditionalFormatting sqref="W19">
    <cfRule type="expression" dxfId="2459" priority="14">
      <formula>ABS(W$16-W$19)&gt;=1000</formula>
    </cfRule>
  </conditionalFormatting>
  <conditionalFormatting sqref="AC5">
    <cfRule type="expression" dxfId="2458" priority="13">
      <formula>ABS(AC$7-AC$10)&gt;=1000</formula>
    </cfRule>
  </conditionalFormatting>
  <conditionalFormatting sqref="M14">
    <cfRule type="expression" dxfId="2457" priority="12">
      <formula>ABS(M$16-M$19)&gt;=1000</formula>
    </cfRule>
  </conditionalFormatting>
  <conditionalFormatting sqref="M16">
    <cfRule type="expression" dxfId="2456" priority="11">
      <formula>ABS(M$16-M$19)&gt;=1000</formula>
    </cfRule>
  </conditionalFormatting>
  <conditionalFormatting sqref="M19">
    <cfRule type="expression" dxfId="2455" priority="10">
      <formula>ABS(M$16-M$19)&gt;=1000</formula>
    </cfRule>
  </conditionalFormatting>
  <conditionalFormatting sqref="K13:K20">
    <cfRule type="expression" dxfId="2454" priority="9">
      <formula>ABS(K$16-K$19)&gt;=1000</formula>
    </cfRule>
  </conditionalFormatting>
  <conditionalFormatting sqref="E5">
    <cfRule type="expression" dxfId="2453" priority="8">
      <formula>ABS(E$7-E$10)&gt;=1000</formula>
    </cfRule>
  </conditionalFormatting>
  <conditionalFormatting sqref="AB14:AC14">
    <cfRule type="expression" dxfId="2452" priority="7">
      <formula>ABS(AB$16-AB$19)&gt;=1000</formula>
    </cfRule>
  </conditionalFormatting>
  <conditionalFormatting sqref="M5">
    <cfRule type="expression" dxfId="2451" priority="6">
      <formula>ABS(M$7-M$10)&gt;=1000</formula>
    </cfRule>
  </conditionalFormatting>
  <conditionalFormatting sqref="N5">
    <cfRule type="expression" dxfId="2450" priority="5">
      <formula>ABS(N$7-N$10)&gt;=1000</formula>
    </cfRule>
  </conditionalFormatting>
  <conditionalFormatting sqref="O5">
    <cfRule type="expression" dxfId="2449" priority="4">
      <formula>ABS(O$7-O$10)&gt;=1000</formula>
    </cfRule>
  </conditionalFormatting>
  <conditionalFormatting sqref="P5">
    <cfRule type="expression" dxfId="2448" priority="3">
      <formula>ABS(P$7-P$10)&gt;=1000</formula>
    </cfRule>
  </conditionalFormatting>
  <conditionalFormatting sqref="L23">
    <cfRule type="expression" dxfId="2447" priority="2">
      <formula>ABS(L$25-L$28)&gt;=1000</formula>
    </cfRule>
  </conditionalFormatting>
  <conditionalFormatting sqref="F14">
    <cfRule type="expression" dxfId="2446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53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94">
    <pageSetUpPr fitToPage="1"/>
  </sheetPr>
  <dimension ref="A1:CU223"/>
  <sheetViews>
    <sheetView view="pageBreakPreview" zoomScale="80" zoomScaleNormal="100" zoomScaleSheetLayoutView="80" workbookViewId="0">
      <selection activeCell="D9" sqref="D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45874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49" t="s" ph="1">
        <v>178</v>
      </c>
      <c r="D6" s="71">
        <v>6500</v>
      </c>
      <c r="E6" s="71">
        <v>7992</v>
      </c>
      <c r="F6" s="71">
        <v>3336</v>
      </c>
      <c r="G6" s="71">
        <v>4007</v>
      </c>
      <c r="H6" s="71">
        <v>9114</v>
      </c>
      <c r="I6" s="71">
        <v>40.409999999999997</v>
      </c>
      <c r="J6" s="71">
        <v>7.72</v>
      </c>
      <c r="K6" s="71">
        <v>85.22</v>
      </c>
      <c r="L6" s="71">
        <v>23.81</v>
      </c>
      <c r="M6" s="71">
        <v>3936</v>
      </c>
      <c r="N6" s="71">
        <v>795</v>
      </c>
      <c r="O6" s="71">
        <v>5364</v>
      </c>
      <c r="P6" s="71">
        <v>1444</v>
      </c>
      <c r="Q6" s="71">
        <v>0</v>
      </c>
      <c r="R6" s="71">
        <v>0</v>
      </c>
      <c r="S6" s="71">
        <v>2032</v>
      </c>
      <c r="T6" s="71">
        <v>7149</v>
      </c>
      <c r="U6" s="71">
        <v>7010</v>
      </c>
      <c r="V6" s="71">
        <v>4385</v>
      </c>
      <c r="W6" s="71">
        <v>0</v>
      </c>
      <c r="X6" s="71">
        <v>0</v>
      </c>
      <c r="Y6" s="71">
        <v>0</v>
      </c>
      <c r="Z6" s="71">
        <v>4147</v>
      </c>
      <c r="AA6" s="71">
        <v>554</v>
      </c>
      <c r="AB6" s="71">
        <v>847</v>
      </c>
      <c r="AC6" s="71">
        <v>1417</v>
      </c>
      <c r="AD6" s="71">
        <v>3534</v>
      </c>
      <c r="AE6" s="71">
        <v>1713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204201.87723000001</v>
      </c>
      <c r="E7" s="73" ph="1">
        <f>E6*51.53*LOOKUP(E8,密度!$A$2:$A$50,密度!$B$2:$B$50)</f>
        <v>321060.92169599998</v>
      </c>
      <c r="F7" s="73" ph="1">
        <f>F6*33.183*LOOKUP(F8,密度!$A$2:$A$50,密度!$C$2:$C$50)</f>
        <v>122753.55334319999</v>
      </c>
      <c r="G7" s="73" ph="1">
        <f xml:space="preserve"> (G6+2)*51.53*LOOKUP(G8,密度!$A$2:$A$50,密度!$B$2:$B$50)</f>
        <v>161052.707092</v>
      </c>
      <c r="H7" s="73" ph="1">
        <f>(H6)*51.53*LOOKUP(H8,密度!$A$2:$A$50,密度!$B$2:$B$50)</f>
        <v>367825.50974399998</v>
      </c>
      <c r="I7" s="73" ph="1">
        <f>I6*290.8*1.0267</f>
        <v>12064.985787599999</v>
      </c>
      <c r="J7" s="73" ph="1">
        <f>J6*290.8*0.7892</f>
        <v>1771.7350592</v>
      </c>
      <c r="K7" s="73" ph="1">
        <f>K6*290.8*1.1126</f>
        <v>27572.426497600005</v>
      </c>
      <c r="L7" s="73" ph="1">
        <f>L6*290.8*0.777</f>
        <v>5379.907596</v>
      </c>
      <c r="M7" s="73" ph="1">
        <f>M6*33.183*LOOKUP(M8,密度!$A$2:$A$50,密度!$D$2:$D$50)</f>
        <v>134095.5292896</v>
      </c>
      <c r="N7" s="73" ph="1">
        <f>N6*33.183*LOOKUP(N8,密度!$A$2:$A$50,密度!$E$2:$E$50)</f>
        <v>20661.195852000001</v>
      </c>
      <c r="O7" s="73" ph="1">
        <f>O6*20.428*LOOKUP(O8,密度!$A$2:$A$50,密度!$C$2:$C$50)</f>
        <v>121256.5714272</v>
      </c>
      <c r="P7" s="73" ph="1">
        <f>P6*51.53*LOOKUP(P8,密度!$A$2:$A$50,密度!$B$2:$B$50)</f>
        <v>58143.442648000004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13458.5013024</v>
      </c>
      <c r="T7" s="73" ph="1">
        <f>T6*1.5*1.5*3.1416*LOOKUP(T8,密度!$A$2:$A$50,密度!$L$2:$L$50)</f>
        <v>47602.482958799999</v>
      </c>
      <c r="U7" s="73" ph="1">
        <f>U6*1.5*1.5*3.1416*LOOKUP(U8,密度!$A$2:$A$50,密度!$L$2:$L$50)</f>
        <v>46429.180182000004</v>
      </c>
      <c r="V7" s="73" ph="1">
        <f>V6*1.5*1.5*3.1416*LOOKUP(V8,密度!$A$2:$A$50,密度!$L$2:$L$50)</f>
        <v>28950.087474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129490.916841</v>
      </c>
      <c r="AA7" s="73" ph="1">
        <f>AA6*33.183*LOOKUP(AA8,密度!$A$2:$A$50,密度!$D$2:$D$50)</f>
        <v>18874.2182994</v>
      </c>
      <c r="AB7" s="73" ph="1">
        <f>AB6*20.428*LOOKUP(AB8,密度!$A$2:$A$50,密度!$D$2:$D$50)</f>
        <v>17875.229279599997</v>
      </c>
      <c r="AC7" s="73" ph="1">
        <f>AC6*51.53*LOOKUP(AC8,密度!$A$2:$A$50,密度!$Q$2:$Q$50)</f>
        <v>69235.677081999995</v>
      </c>
      <c r="AD7" s="73" ph="1">
        <f>AD6*20.428*LOOKUP(AD8,密度!$A$2:$A$50,密度!$V$2:$V$50)</f>
        <v>69362.603961599991</v>
      </c>
      <c r="AE7" s="73" ph="1">
        <f>AE6*20.428</f>
        <v>34993.164000000004</v>
      </c>
    </row>
    <row r="8" spans="1:99" ph="1">
      <c r="B8" s="233" ph="1"/>
      <c r="C8" s="68" t="s" ph="1">
        <v>180</v>
      </c>
      <c r="D8" s="74">
        <v>25</v>
      </c>
      <c r="E8" s="74">
        <v>25</v>
      </c>
      <c r="F8" s="74">
        <v>25</v>
      </c>
      <c r="G8" s="74">
        <v>25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28</v>
      </c>
      <c r="P8" s="74">
        <v>23</v>
      </c>
      <c r="Q8" s="74">
        <v>25</v>
      </c>
      <c r="R8" s="74">
        <v>30</v>
      </c>
      <c r="S8" s="74">
        <v>25</v>
      </c>
      <c r="T8" s="74">
        <v>20</v>
      </c>
      <c r="U8" s="74">
        <v>25</v>
      </c>
      <c r="V8" s="74">
        <v>28</v>
      </c>
      <c r="W8" s="74">
        <v>25</v>
      </c>
      <c r="X8" s="74">
        <v>16</v>
      </c>
      <c r="Y8" s="74">
        <v>25</v>
      </c>
      <c r="Z8" s="74">
        <v>21</v>
      </c>
      <c r="AA8" s="74">
        <v>25</v>
      </c>
      <c r="AB8" s="74">
        <v>18</v>
      </c>
      <c r="AC8" s="74">
        <v>23</v>
      </c>
      <c r="AD8" s="74">
        <v>23</v>
      </c>
      <c r="AE8" s="74">
        <v>28</v>
      </c>
    </row>
    <row r="9" spans="1:99" ht="26.4" ph="1">
      <c r="B9" s="233" ph="1">
        <v>0.66666666666666663</v>
      </c>
      <c r="C9" s="149" t="s" ph="1">
        <v>181</v>
      </c>
      <c r="D9" s="71">
        <v>6503</v>
      </c>
      <c r="E9" s="71">
        <v>7990</v>
      </c>
      <c r="F9" s="71">
        <v>3895</v>
      </c>
      <c r="G9" s="71">
        <v>5487</v>
      </c>
      <c r="H9" s="71">
        <v>9116</v>
      </c>
      <c r="I9" s="71">
        <v>40.51</v>
      </c>
      <c r="J9" s="71">
        <v>7.71</v>
      </c>
      <c r="K9" s="71">
        <v>85.31</v>
      </c>
      <c r="L9" s="71">
        <v>23.81</v>
      </c>
      <c r="M9" s="71">
        <v>3346</v>
      </c>
      <c r="N9" s="71">
        <v>796</v>
      </c>
      <c r="O9" s="71">
        <v>5364</v>
      </c>
      <c r="P9" s="71">
        <v>1503</v>
      </c>
      <c r="Q9" s="71">
        <v>0</v>
      </c>
      <c r="R9" s="71">
        <v>0</v>
      </c>
      <c r="S9" s="71">
        <v>0</v>
      </c>
      <c r="T9" s="71">
        <v>5911</v>
      </c>
      <c r="U9" s="71">
        <v>7015</v>
      </c>
      <c r="V9" s="71">
        <v>7015</v>
      </c>
      <c r="W9" s="71">
        <v>2629</v>
      </c>
      <c r="X9" s="71">
        <v>0</v>
      </c>
      <c r="Y9" s="71">
        <v>0</v>
      </c>
      <c r="Z9" s="71">
        <v>4853</v>
      </c>
      <c r="AA9" s="71">
        <v>555</v>
      </c>
      <c r="AB9" s="71">
        <v>846</v>
      </c>
      <c r="AC9" s="71">
        <v>1632</v>
      </c>
      <c r="AD9" s="71">
        <v>3533</v>
      </c>
      <c r="AE9" s="71">
        <v>1710</v>
      </c>
    </row>
    <row r="10" spans="1:99" s="72" customFormat="1" ht="22.2" ph="1">
      <c r="B10" s="233" ph="1"/>
      <c r="C10" s="149" t="s" ph="1">
        <v>179</v>
      </c>
      <c r="D10" s="73" ph="1">
        <f>D9*33.183*LOOKUP(D11,密度!$A$2:$A$50,密度!$Q$2:$Q$50)</f>
        <v>203989.70380068</v>
      </c>
      <c r="E10" s="73" ph="1">
        <f>E9*51.53*LOOKUP(E11,密度!$A$2:$A$50,密度!$B$2:$B$50)</f>
        <v>320280.64413000003</v>
      </c>
      <c r="F10" s="73" ph="1">
        <f>F9*33.183*LOOKUP(F11,密度!$A$2:$A$50,密度!$C$2:$C$50)</f>
        <v>143128.99710899999</v>
      </c>
      <c r="G10" s="73" ph="1">
        <f xml:space="preserve"> (G9+2)*51.53*LOOKUP(G11,密度!$A$2:$A$50,密度!$B$2:$B$50)</f>
        <v>220027.59144299998</v>
      </c>
      <c r="H10" s="73" ph="1">
        <f>(H9)*51.53*LOOKUP(H11,密度!$A$2:$A$50,密度!$B$2:$B$50)</f>
        <v>364993.79196</v>
      </c>
      <c r="I10" s="73" ph="1">
        <f>I9*290.8*1.0267</f>
        <v>12094.842223599999</v>
      </c>
      <c r="J10" s="73" ph="1">
        <f>J9*290.8*0.7892</f>
        <v>1769.4400656000003</v>
      </c>
      <c r="K10" s="73" ph="1">
        <f>K9*290.8*1.1126</f>
        <v>27601.545464800001</v>
      </c>
      <c r="L10" s="73" ph="1">
        <f>L9*290.8*0.777</f>
        <v>5379.907596</v>
      </c>
      <c r="M10" s="73" ph="1">
        <f>M9*33.183*LOOKUP(M11,密度!$A$2:$A$50,密度!$D$2:$D$50)</f>
        <v>113683.9426002</v>
      </c>
      <c r="N10" s="73" ph="1">
        <f>N9*33.183*LOOKUP(N11,密度!$A$2:$A$50,密度!$E$2:$E$50)</f>
        <v>20568.323271599998</v>
      </c>
      <c r="O10" s="73" ph="1">
        <f>O9*20.428*LOOKUP(O11,密度!$A$2:$A$50,密度!$C$2:$C$50)</f>
        <v>121092.20773919999</v>
      </c>
      <c r="P10" s="73" ph="1">
        <f>P9*51.53*LOOKUP(P11,密度!$A$2:$A$50,密度!$B$2:$B$50)</f>
        <v>60248.036060999999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39275.544923999994</v>
      </c>
      <c r="U10" s="73" ph="1">
        <f>U9*1.5*1.5*3.1416*LOOKUP(U11,密度!$A$2:$A$50,密度!$L$2:$L$50)</f>
        <v>46462.296573</v>
      </c>
      <c r="V10" s="73" ph="1">
        <f>V9*1.5*1.5*3.1416*LOOKUP(V11,密度!$A$2:$A$50,密度!$L$2:$L$50)</f>
        <v>46313.537886000006</v>
      </c>
      <c r="W10" s="73" ph="1">
        <f>W9*1.5*1.5*3.1416*LOOKUP(W11,密度!$A$2:$A$50,密度!$L$2:$L$50)</f>
        <v>17412.598387800001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150891.76176299999</v>
      </c>
      <c r="AA10" s="73" ph="1">
        <f>AA9*33.183*LOOKUP(AA11,密度!$A$2:$A$50,密度!$D$2:$D$50)</f>
        <v>18788.579612999998</v>
      </c>
      <c r="AB10" s="73" ph="1">
        <f>AB9*20.428*LOOKUP(AB11,密度!$A$2:$A$50,密度!$D$2:$D$50)</f>
        <v>17776.355716800001</v>
      </c>
      <c r="AC10" s="73" ph="1">
        <f>AC9*51.53*LOOKUP(AC11,密度!$A$2:$A$50,密度!$Q$2:$Q$50)</f>
        <v>79498.538227200013</v>
      </c>
      <c r="AD10" s="73" ph="1">
        <f>AD9*20.428*LOOKUP(AD11,密度!$A$2:$A$50,密度!$V$2:$V$50)</f>
        <v>69342.976739199992</v>
      </c>
      <c r="AE10" s="73" ph="1">
        <f>AE9*20.428</f>
        <v>34931.880000000005</v>
      </c>
    </row>
    <row r="11" spans="1:99" ph="1">
      <c r="A11" s="64" t="s" ph="1">
        <v>163</v>
      </c>
      <c r="B11" s="233" ph="1"/>
      <c r="C11" s="149" t="s" ph="1">
        <v>180</v>
      </c>
      <c r="D11" s="74">
        <v>27</v>
      </c>
      <c r="E11" s="74">
        <v>27</v>
      </c>
      <c r="F11" s="74">
        <v>27</v>
      </c>
      <c r="G11" s="74">
        <v>27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29</v>
      </c>
      <c r="O11" s="74">
        <v>30</v>
      </c>
      <c r="P11" s="74">
        <v>27</v>
      </c>
      <c r="Q11" s="74">
        <v>30</v>
      </c>
      <c r="R11" s="74">
        <v>25</v>
      </c>
      <c r="S11" s="74">
        <v>26</v>
      </c>
      <c r="T11" s="74">
        <v>22</v>
      </c>
      <c r="U11" s="74">
        <v>25</v>
      </c>
      <c r="V11" s="74">
        <v>28</v>
      </c>
      <c r="W11" s="74">
        <v>25</v>
      </c>
      <c r="X11" s="74">
        <v>22</v>
      </c>
      <c r="Y11" s="74">
        <v>30</v>
      </c>
      <c r="Z11" s="74">
        <v>25</v>
      </c>
      <c r="AA11" s="74">
        <v>32</v>
      </c>
      <c r="AB11" s="74">
        <v>23</v>
      </c>
      <c r="AC11" s="74">
        <v>27</v>
      </c>
      <c r="AD11" s="74">
        <v>25</v>
      </c>
      <c r="AE11" s="74">
        <v>29</v>
      </c>
    </row>
    <row r="12" spans="1:99" ht="9.9" customHeight="1" ph="1"/>
    <row r="13" spans="1:99" s="72" customFormat="1" ht="29.25" customHeight="1" ph="1">
      <c r="B13" s="210" t="s" ph="1">
        <v>37</v>
      </c>
      <c r="C13" s="14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49" t="s" ph="1">
        <v>178</v>
      </c>
      <c r="D15" s="78">
        <v>1943</v>
      </c>
      <c r="E15" s="78">
        <v>5626</v>
      </c>
      <c r="F15" s="78">
        <v>4748</v>
      </c>
      <c r="G15" s="78">
        <v>2871</v>
      </c>
      <c r="H15" s="78">
        <v>0</v>
      </c>
      <c r="I15" s="78">
        <v>2656</v>
      </c>
      <c r="J15" s="78">
        <v>919</v>
      </c>
      <c r="K15" s="78">
        <v>4475</v>
      </c>
      <c r="L15" s="78">
        <v>2820</v>
      </c>
      <c r="M15" s="78">
        <v>6352</v>
      </c>
      <c r="N15" s="78">
        <v>568</v>
      </c>
      <c r="O15" s="78">
        <v>6855</v>
      </c>
      <c r="P15" s="78">
        <v>3535</v>
      </c>
      <c r="Q15" s="78">
        <v>6863</v>
      </c>
      <c r="R15" s="78">
        <v>0</v>
      </c>
      <c r="S15" s="78">
        <v>3691</v>
      </c>
      <c r="T15" s="78">
        <v>6467</v>
      </c>
      <c r="U15" s="78">
        <v>1749</v>
      </c>
      <c r="V15" s="78">
        <v>-143</v>
      </c>
      <c r="W15" s="71">
        <v>2169</v>
      </c>
      <c r="X15" s="78">
        <v>-213</v>
      </c>
      <c r="Y15" s="106">
        <v>-9906</v>
      </c>
      <c r="Z15" s="78">
        <v>0</v>
      </c>
      <c r="AA15" s="78">
        <v>6119</v>
      </c>
      <c r="AB15" s="78" ph="1">
        <v>358</v>
      </c>
      <c r="AC15" s="78" ph="1">
        <v>774</v>
      </c>
      <c r="AD15" s="78">
        <v>59.02</v>
      </c>
      <c r="AE15" s="78">
        <v>84.71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49" t="s" ph="1">
        <v>179</v>
      </c>
      <c r="D16" s="73" ph="1">
        <f>D15*7.0686*LOOKUP(D17,密度!$A$2:$A$50,密度!$L$2:$L$50)</f>
        <v>12869.029542600001</v>
      </c>
      <c r="E16" s="73" ph="1">
        <f>E15*7.0686*LOOKUP(E17,密度!$A$2:$A$50,密度!$L$2:$L$50)</f>
        <v>37262.563153200004</v>
      </c>
      <c r="F16" s="73" ph="1">
        <f>F15*9.0746*LOOKUP(F17,密度!$A$2:$A$50,密度!$L$2:$L$50)</f>
        <v>40371.770149600001</v>
      </c>
      <c r="G16" s="73" ph="1">
        <f>G15*9.0746*LOOKUP(G17,密度!$A$2:$A$50,密度!$B$2:$B$50)</f>
        <v>20357.952195239999</v>
      </c>
      <c r="H16" s="73" ph="1">
        <f>H15*9.0746*LOOKUP(H17,密度!$A$2:$A$50,密度!$L$2:$L$50)</f>
        <v>0</v>
      </c>
      <c r="I16" s="73" ph="1">
        <f>I15*9.0746*LOOKUP(I17,密度!$A$2:$A$50,密度!$U$2:$U$50)</f>
        <v>24704.691040000002</v>
      </c>
      <c r="J16" s="73" ph="1">
        <f>J15*9.0746*LOOKUP(J17,密度!$A$2:$A$50,密度!$L$2:$L$50)</f>
        <v>7814.1652838</v>
      </c>
      <c r="K16" s="73" ph="1">
        <f>K15*9.0746*LOOKUP(K17,密度!$A$2:$A$50,密度!$C$2:$C$50)</f>
        <v>45120.476568499995</v>
      </c>
      <c r="L16" s="73" ph="1">
        <f>L15*9.0746*LOOKUP(L17,密度!$A$2:$A$50,密度!$E$2:$E$50)</f>
        <v>20073.087796799999</v>
      </c>
      <c r="M16" s="73" ph="1">
        <f>M15*9.0746*LOOKUP(M17,密度!$A$2:$A$50,密度!$M$2:$M$50)</f>
        <v>50384.749126719995</v>
      </c>
      <c r="N16" s="73" ph="1">
        <f>N15*9.0746*LOOKUP(N17,密度!$A$2:$A$50,密度!$M$2:$M$50)</f>
        <v>4514.7151355200003</v>
      </c>
      <c r="O16" s="73" ph="1">
        <f>O15*9.0746*LOOKUP(O17,密度!$A$2:$A$50,密度!$G$2:$G$50)</f>
        <v>59730.568956600007</v>
      </c>
      <c r="P16" s="73" ph="1">
        <f ca="1">P15*9.0746*LOOKUP(P17,密度!$A$2:$A$51,密度!$Q$2:$Q$50)</f>
        <v>30370.198852140002</v>
      </c>
      <c r="Q16" s="73" ph="1">
        <f>Q15*9.0746*LOOKUP(Q17,密度!$A$2:$A$50,密度!$Q$2:$Q$50)</f>
        <v>58962.001335852001</v>
      </c>
      <c r="R16" s="73" ph="1">
        <f>MAX(R15*9.0746*LOOKUP(R17,密度!$A$2:$A$50,密度!$B$2:$B$50),0)</f>
        <v>0</v>
      </c>
      <c r="S16" s="73" ph="1">
        <f>S15*9.0746*LOOKUP(S17,密度!$A$2:$A$50,密度!$Q$2:$Q$50)</f>
        <v>31710.439593563999</v>
      </c>
      <c r="T16" s="73" ph="1">
        <f>T15*9.0746*LOOKUP(T17,密度!$A$2:$A$50,密度!$O$2:$O$50)</f>
        <v>54577.457526000006</v>
      </c>
      <c r="U16" s="73" ph="1">
        <f>U15*9.0746*LOOKUP(U17,密度!$A$2:$A$50,密度!$H$2:$H$50)</f>
        <v>14549.381499180001</v>
      </c>
      <c r="V16" s="73" ph="1">
        <f>MAX(5600*LOOKUP(V17,密度!$A$2:$A$50,密度!$Q$2:$Q$50)+V15*9.0476*LOOKUP(V17,密度!$A$2:$A$50,密度!$Q$2:$Q$50),0)</f>
        <v>4079.9888712040001</v>
      </c>
      <c r="W16" s="73" ph="1">
        <f>MAX(5600*LOOKUP(W17,密度!$A$2:$A$50,密度!$Q$2:$Q$50)+W15*9.0476*LOOKUP(W17,密度!$A$2:$A$50,密度!$Q$2:$Q$50),0)</f>
        <v>23899.214841667999</v>
      </c>
      <c r="X16" s="73" ph="1">
        <f>MAX(5600*LOOKUP(X17,密度!$A$2:$A$50,密度!$I$2:$I$50)+X15*9.0476*LOOKUP(X17,密度!$A$2:$A$50,密度!$I$2:$I$50),0)</f>
        <v>3823.4485092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43239.246651380003</v>
      </c>
      <c r="AB16" s="73" ph="1">
        <f>AB15*9.0746*LOOKUP(AB17,密度!$A$2:$A$50,密度!$L$2:$L$50)</f>
        <v>3044.0382715999999</v>
      </c>
      <c r="AC16" s="73" ph="1">
        <f>AC15*9.0746*LOOKUP(AC17,密度!$A$2:$A$50,密度!$L$2:$L$50)</f>
        <v>6588.2684952</v>
      </c>
      <c r="AD16" s="73" ph="1">
        <f>AD15*268.68*LOOKUP(AD17,密度!$A$2:$A$50,密度!B2:B50)+IF(AD15&lt;=0,0,1566*LOOKUP(AD17,密度!$A$2:$A$50,密度!B2:B50))</f>
        <v>13583.355610560002</v>
      </c>
      <c r="AE16" s="73" ph="1">
        <f>AE15*268.68*LOOKUP(AE17,密度!$A$2:$A$50,密度!B2:B50)+IF(AE15&lt;=0,0,1566*LOOKUP(AE17,密度!$A$2:$A$50,密度!B2:B50))</f>
        <v>18964.458230879998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25</v>
      </c>
      <c r="E17" s="74">
        <v>25</v>
      </c>
      <c r="F17" s="74">
        <v>25</v>
      </c>
      <c r="G17" s="74">
        <v>23</v>
      </c>
      <c r="H17" s="74">
        <v>23</v>
      </c>
      <c r="I17" s="74">
        <v>25</v>
      </c>
      <c r="J17" s="74">
        <v>25</v>
      </c>
      <c r="K17" s="74">
        <v>22</v>
      </c>
      <c r="L17" s="74">
        <v>24</v>
      </c>
      <c r="M17" s="74">
        <v>26</v>
      </c>
      <c r="N17" s="74">
        <v>24</v>
      </c>
      <c r="O17" s="74">
        <v>25</v>
      </c>
      <c r="P17" s="74">
        <v>25</v>
      </c>
      <c r="Q17" s="74">
        <v>25</v>
      </c>
      <c r="R17" s="74">
        <v>25</v>
      </c>
      <c r="S17" s="74">
        <v>25</v>
      </c>
      <c r="T17" s="74">
        <v>24</v>
      </c>
      <c r="U17" s="74">
        <v>23</v>
      </c>
      <c r="V17" s="74">
        <v>24</v>
      </c>
      <c r="W17" s="74">
        <v>24</v>
      </c>
      <c r="X17" s="74">
        <v>26</v>
      </c>
      <c r="Y17" s="108">
        <v>26</v>
      </c>
      <c r="Z17" s="74">
        <v>25</v>
      </c>
      <c r="AA17" s="74">
        <v>26</v>
      </c>
      <c r="AB17" s="74">
        <v>25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4674</v>
      </c>
      <c r="E18" s="71">
        <v>3896</v>
      </c>
      <c r="F18" s="71">
        <v>4749</v>
      </c>
      <c r="G18" s="71">
        <v>2915</v>
      </c>
      <c r="H18" s="71">
        <v>0</v>
      </c>
      <c r="I18" s="71">
        <v>5200</v>
      </c>
      <c r="J18" s="71">
        <v>980</v>
      </c>
      <c r="K18" s="71">
        <v>4504</v>
      </c>
      <c r="L18" s="71">
        <v>2824</v>
      </c>
      <c r="M18" s="71">
        <v>3754</v>
      </c>
      <c r="N18" s="71">
        <v>1150</v>
      </c>
      <c r="O18" s="71">
        <v>6860</v>
      </c>
      <c r="P18" s="71">
        <v>3538</v>
      </c>
      <c r="Q18" s="71">
        <v>6869</v>
      </c>
      <c r="R18" s="71">
        <v>0</v>
      </c>
      <c r="S18" s="71">
        <v>3694</v>
      </c>
      <c r="T18" s="71">
        <v>5608</v>
      </c>
      <c r="U18" s="71">
        <v>1757</v>
      </c>
      <c r="V18" s="71">
        <v>-143</v>
      </c>
      <c r="W18" s="71">
        <v>2168</v>
      </c>
      <c r="X18" s="71">
        <v>-216</v>
      </c>
      <c r="Y18" s="109">
        <v>-9907</v>
      </c>
      <c r="Z18" s="71">
        <v>0</v>
      </c>
      <c r="AA18" s="71">
        <v>6123</v>
      </c>
      <c r="AB18" s="71">
        <v>356</v>
      </c>
      <c r="AC18" s="71">
        <v>773</v>
      </c>
      <c r="AD18" s="71">
        <v>84.61</v>
      </c>
      <c r="AE18" s="71">
        <v>23.61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49" t="s" ph="1">
        <v>179</v>
      </c>
      <c r="D19" s="73" ph="1">
        <f>D18*7.0686*LOOKUP(D20,密度!$A$2:$A$50,密度!$L$2:$L$50)</f>
        <v>30924.163670400005</v>
      </c>
      <c r="E19" s="73" ph="1">
        <f>E18*7.0686*LOOKUP(E20,密度!$A$2:$A$50,密度!$L$2:$L$50)</f>
        <v>25776.752601600001</v>
      </c>
      <c r="F19" s="73" ph="1">
        <f>F18*9.0746*LOOKUP(F20,密度!$A$2:$A$50,密度!$L$2:$L$50)</f>
        <v>40380.273049800002</v>
      </c>
      <c r="G19" s="73" ph="1">
        <f>G18*9.0746*LOOKUP(G20,密度!$A$2:$A$50,密度!$B$2:$B$50)</f>
        <v>20622.337036399997</v>
      </c>
      <c r="H19" s="73" ph="1">
        <f>H18*9.0746*LOOKUP(H20,密度!$A$2:$A$50,密度!$L$2:$L$50)</f>
        <v>0</v>
      </c>
      <c r="I19" s="73" ph="1">
        <f>I18*9.0746*LOOKUP(I20,密度!$A$2:$A$50,密度!$U$2:$U$50)</f>
        <v>48226.054239999998</v>
      </c>
      <c r="J19" s="73" ph="1">
        <f>J18*9.0746*LOOKUP(J20,密度!$A$2:$A$50,密度!$L$2:$L$50)</f>
        <v>8279.4835480000002</v>
      </c>
      <c r="K19" s="73" ph="1">
        <f>K18*9.0746*LOOKUP(K20,密度!$A$2:$A$50,密度!$C$2:$C$50)</f>
        <v>45261.651028159999</v>
      </c>
      <c r="L19" s="73" ph="1">
        <f>L18*9.0746*LOOKUP(L20,密度!$A$2:$A$50,密度!$E$2:$E$50)</f>
        <v>20070.808257279998</v>
      </c>
      <c r="M19" s="73" ph="1">
        <f>M18*9.0746*LOOKUP(M20,密度!$A$2:$A$50,密度!$M$2:$M$50)</f>
        <v>29743.066858039998</v>
      </c>
      <c r="N19" s="73" ph="1">
        <f>N18*9.0746*LOOKUP(N20,密度!$A$2:$A$50,密度!$M$2:$M$50)</f>
        <v>9100.0088800000012</v>
      </c>
      <c r="O19" s="73" ph="1">
        <f>O18*9.0746*LOOKUP(O20,密度!$A$2:$A$50,密度!$G$2:$G$50)</f>
        <v>59637.182247999997</v>
      </c>
      <c r="P19" s="73" ph="1">
        <f ca="1">P18*9.0746*LOOKUP(P20,密度!$A$2:$A$51,密度!$Q$2:$Q$50)</f>
        <v>30327.908130775999</v>
      </c>
      <c r="Q19" s="73" ph="1">
        <f>Q18*9.0746*LOOKUP(Q20,密度!$A$2:$A$50,密度!$Q$2:$Q$50)</f>
        <v>58969.292323222006</v>
      </c>
      <c r="R19" s="73" ph="1">
        <f>MAX(R18*9.0746*LOOKUP(R20,密度!$A$2:$A$50,密度!$B$2:$B$50),0)</f>
        <v>0</v>
      </c>
      <c r="S19" s="73" ph="1">
        <f>S18*9.0746*LOOKUP(S20,密度!$A$2:$A$50,密度!$Q$2:$Q$50)</f>
        <v>31688.612821168001</v>
      </c>
      <c r="T19" s="73" ph="1">
        <f>T18*9.0746*LOOKUP(T20,密度!$A$2:$A$50,密度!$O$2:$O$50)</f>
        <v>47124.470396800003</v>
      </c>
      <c r="U19" s="73" ph="1">
        <f>U18*9.0746*LOOKUP(U20,密度!$A$2:$A$50,密度!$H$2:$H$50)</f>
        <v>14584.04284134</v>
      </c>
      <c r="V19" s="73" ph="1">
        <f>MAX(5600*LOOKUP(V20,密度!$A$2:$A$50,密度!$Q$2:$Q$50)+V18*9.0476*LOOKUP(V20,密度!$A$2:$A$50,密度!$Q$2:$Q$50),0)</f>
        <v>4064.7449472759999</v>
      </c>
      <c r="W19" s="73" ph="1">
        <f>MAX(5600*LOOKUP(W20,密度!$A$2:$A$50,密度!$Q$2:$Q$50)+W18*9.0476*LOOKUP(W20,密度!$A$2:$A$50,密度!$Q$2:$Q$50),0)</f>
        <v>23801.380715423998</v>
      </c>
      <c r="X19" s="73" ph="1">
        <f>MAX(5600*LOOKUP(X20,密度!$A$2:$A$50,密度!$I$2:$I$50)+X18*9.0476*LOOKUP(X20,密度!$A$2:$A$50,密度!$I$2:$I$50),0)</f>
        <v>3787.5368457599998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43223.061194820002</v>
      </c>
      <c r="AB19" s="73" ph="1">
        <f>AB18*9.0746*LOOKUP(AB20,密度!$A$2:$A$50,密度!$L$2:$L$50)</f>
        <v>3010.8796832000003</v>
      </c>
      <c r="AC19" s="73" ph="1">
        <f>AC18*9.0746*LOOKUP(AC20,密度!$A$2:$A$50,密度!$L$2:$L$50)</f>
        <v>6544.6831914000004</v>
      </c>
      <c r="AD19" s="73" ph="1">
        <f>AD18*268.68*LOOKUP(AD20,密度!$A$2:$A$50,密度!B5:B53)+IF(AD18&lt;=0,0,1566*LOOKUP(AD20,密度!$A$2:$A$50,密度!B5:B53))</f>
        <v>18880.334499600001</v>
      </c>
      <c r="AE19" s="73" ph="1">
        <f>AE18*268.68*LOOKUP(AE20,密度!$A$2:$A$50,密度!B5:B53)+IF(AE18&lt;=0,0,1566*LOOKUP(AE20,密度!$A$2:$A$50,密度!B5:B53))</f>
        <v>6145.7085396000002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26</v>
      </c>
      <c r="E20" s="81">
        <v>26</v>
      </c>
      <c r="F20" s="81">
        <v>25</v>
      </c>
      <c r="G20" s="81">
        <v>25</v>
      </c>
      <c r="H20" s="81">
        <v>27</v>
      </c>
      <c r="I20" s="81">
        <v>28</v>
      </c>
      <c r="J20" s="81">
        <v>31</v>
      </c>
      <c r="K20" s="81">
        <v>27</v>
      </c>
      <c r="L20" s="81">
        <v>25</v>
      </c>
      <c r="M20" s="81">
        <v>27</v>
      </c>
      <c r="N20" s="81">
        <v>28</v>
      </c>
      <c r="O20" s="81">
        <v>27</v>
      </c>
      <c r="P20" s="81">
        <v>28</v>
      </c>
      <c r="Q20" s="81">
        <v>26</v>
      </c>
      <c r="R20" s="81">
        <v>30</v>
      </c>
      <c r="S20" s="81">
        <v>27</v>
      </c>
      <c r="T20" s="81">
        <v>26</v>
      </c>
      <c r="U20" s="81">
        <v>25</v>
      </c>
      <c r="V20" s="81">
        <v>29</v>
      </c>
      <c r="W20" s="81">
        <v>29</v>
      </c>
      <c r="X20" s="81">
        <v>28</v>
      </c>
      <c r="Y20" s="110">
        <v>28</v>
      </c>
      <c r="Z20" s="81">
        <v>31</v>
      </c>
      <c r="AA20" s="81">
        <v>27</v>
      </c>
      <c r="AB20" s="81">
        <v>30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644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49" t="s" ph="1">
        <v>178</v>
      </c>
      <c r="D24" s="71">
        <v>68.319999999999993</v>
      </c>
      <c r="E24" s="71">
        <v>33.11</v>
      </c>
      <c r="F24" s="71">
        <v>3874</v>
      </c>
      <c r="G24" s="71">
        <v>2714</v>
      </c>
      <c r="H24" s="71">
        <v>3126</v>
      </c>
      <c r="I24" s="71">
        <v>776</v>
      </c>
      <c r="J24" s="71">
        <v>2319</v>
      </c>
      <c r="K24" s="71">
        <v>5490</v>
      </c>
      <c r="L24" s="71">
        <v>5587</v>
      </c>
      <c r="M24" s="71">
        <v>3429</v>
      </c>
      <c r="N24" s="71">
        <v>2654</v>
      </c>
      <c r="O24" s="71">
        <v>4312</v>
      </c>
      <c r="P24" s="71">
        <v>680</v>
      </c>
      <c r="Q24" s="90">
        <v>4406</v>
      </c>
      <c r="R24" s="71">
        <v>3126</v>
      </c>
      <c r="S24" s="71">
        <v>7015</v>
      </c>
      <c r="T24" s="71">
        <v>1758</v>
      </c>
      <c r="U24" s="71">
        <v>6379</v>
      </c>
      <c r="V24" s="71">
        <v>11749</v>
      </c>
      <c r="W24" s="71">
        <v>11679</v>
      </c>
      <c r="X24" s="71">
        <v>4284</v>
      </c>
      <c r="Y24" s="71">
        <v>1560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18861.160290624</v>
      </c>
      <c r="E25" s="91" ph="1">
        <f>E24*268.68*LOOKUP(E26,密度!$A$2:$A$50,密度!$C$2:$C$50)+IF(E24&lt;=0,0,1566*LOOKUP(E26,密度!$A$2:$A$50,密度!$C$2:$C$50))</f>
        <v>11601.30603372</v>
      </c>
      <c r="F25" s="91" ph="1">
        <f>F24*11.702*LOOKUP(F26,密度!$A$2:$A$50,密度!$Q$2:$Q$50)</f>
        <v>42919.083233520003</v>
      </c>
      <c r="G25" s="91" ph="1">
        <f>G24*18.322*LOOKUP(G26,密度!$A$2:$A$50,密度!$B$2:$B$50)</f>
        <v>38766.317876799993</v>
      </c>
      <c r="H25" s="91" ph="1">
        <f>H24*18.322*LOOKUP(H26,密度!$A$2:$A$50,密度!$B$2:$B$50)</f>
        <v>44651.256331199998</v>
      </c>
      <c r="I25" s="91" ph="1">
        <f>I24*18.322*LOOKUP(I26,密度!$A$2:$A$50,密度!$Q$2:$Q$50)</f>
        <v>13471.00718384</v>
      </c>
      <c r="J25" s="91" ph="1">
        <f>J24*18.322*LOOKUP(J26,密度!$A$2:$A$50,密度!$Q$2:$Q$50)</f>
        <v>40225.76887932</v>
      </c>
      <c r="K25" s="91" ph="1">
        <f>K24*18.322*LOOKUP(K26,密度!$A$2:$A$50,密度!$Q$2:$Q$50)</f>
        <v>95230.474837200003</v>
      </c>
      <c r="L25" s="91" ph="1">
        <f>L24*18.322*LOOKUP(L26,密度!$A$2:$A$50,密度!$Q$2:$Q$50)</f>
        <v>96987.779814580004</v>
      </c>
      <c r="M25" s="91" ph="1">
        <f>M24*18.322*LOOKUP(M26,密度!$A$2:$A$50,密度!$Q$2:$Q$50)</f>
        <v>59525.880970860002</v>
      </c>
      <c r="N25" s="91" ph="1">
        <f>N24*18.322*LOOKUP(N26,密度!$A$2:$A$50,密度!$Q$2:$Q$50)</f>
        <v>46072.233332359996</v>
      </c>
      <c r="O25" s="91" ph="1">
        <f>O24*18.322*LOOKUP(O26,密度!$A$2:$A$50,密度!$C$2:$C$50)</f>
        <v>87608.050129599986</v>
      </c>
      <c r="P25" s="91" ph="1">
        <f>P24*11.702*LOOKUP(P26,密度!$A$2:$A$50,密度!$B$2:$B$50)</f>
        <v>6203.5578559999994</v>
      </c>
      <c r="Q25" s="92" ph="1">
        <f>Q24*18.322*LOOKUP(Q26,密度!$A$2:$A$50,密度!$B$2:$B$50)</f>
        <v>62861.906208399996</v>
      </c>
      <c r="R25" s="91" ph="1">
        <f>R24*35.891*LOOKUP(R26,密度!$A$2:$A$50,密度!$C$2:$C$50)</f>
        <v>124323.5742546</v>
      </c>
      <c r="S25" s="91" ph="1">
        <f>S24*35.891*LOOKUP(S26,密度!$A$2:$A$50,密度!$B$2:$B$50)</f>
        <v>196284.07455399999</v>
      </c>
      <c r="T25" s="91" ph="1">
        <f>T24*35.891*LOOKUP(T26,密度!$A$2:$A$50,密度!$Q$2:$Q$50)</f>
        <v>59735.864907719995</v>
      </c>
      <c r="U25" s="91" ph="1">
        <f>U24*35.891</f>
        <v>228948.68899999998</v>
      </c>
      <c r="V25" s="91" ph="1">
        <f>V24*47.051*LOOKUP(V26,密度!$A$2:$A$50,密度!$B$2:$B$50)</f>
        <v>430964.59434040001</v>
      </c>
      <c r="W25" s="91" ph="1">
        <f>W24*47.051*LOOKUP(W26,密度!$A$2:$A$50,密度!$B$2:$B$50)</f>
        <v>427902.36940230004</v>
      </c>
      <c r="X25" s="91" ph="1">
        <f>X24*47.051*LOOKUP(X26,密度!$A$2:$A$50,密度!$I$2:$I$50)</f>
        <v>209629.14336000002</v>
      </c>
      <c r="Y25" s="91" ph="1">
        <f>Y24*47.051*LOOKUP(Y26,密度!$A$2:$A$50,密度!$L$2:$L$50)</f>
        <v>68701.988160000008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25</v>
      </c>
      <c r="G26" s="74">
        <v>25</v>
      </c>
      <c r="H26" s="74">
        <v>25</v>
      </c>
      <c r="I26" s="74">
        <v>24</v>
      </c>
      <c r="J26" s="74">
        <v>25</v>
      </c>
      <c r="K26" s="74">
        <v>25</v>
      </c>
      <c r="L26" s="74">
        <v>24</v>
      </c>
      <c r="M26" s="74">
        <v>24</v>
      </c>
      <c r="N26" s="74">
        <v>24</v>
      </c>
      <c r="O26" s="74">
        <v>25</v>
      </c>
      <c r="P26" s="74">
        <v>25</v>
      </c>
      <c r="Q26" s="93">
        <v>26</v>
      </c>
      <c r="R26" s="74">
        <v>26</v>
      </c>
      <c r="S26" s="74">
        <v>25</v>
      </c>
      <c r="T26" s="74">
        <v>25</v>
      </c>
      <c r="U26" s="74">
        <v>25</v>
      </c>
      <c r="V26" s="74">
        <v>25</v>
      </c>
      <c r="W26" s="74">
        <v>26</v>
      </c>
      <c r="X26" s="74">
        <v>27</v>
      </c>
      <c r="Y26" s="74">
        <v>26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49" t="s" ph="1">
        <v>181</v>
      </c>
      <c r="D27" s="71">
        <v>68.209999999999994</v>
      </c>
      <c r="E27" s="71">
        <v>5.91</v>
      </c>
      <c r="F27" s="71">
        <v>3877</v>
      </c>
      <c r="G27" s="71">
        <v>3753</v>
      </c>
      <c r="H27" s="71">
        <v>2042</v>
      </c>
      <c r="I27" s="71">
        <v>0</v>
      </c>
      <c r="J27" s="71">
        <v>1783</v>
      </c>
      <c r="K27" s="71">
        <v>5490</v>
      </c>
      <c r="L27" s="71">
        <v>5586</v>
      </c>
      <c r="M27" s="71">
        <v>3429</v>
      </c>
      <c r="N27" s="71">
        <v>3869</v>
      </c>
      <c r="O27" s="71">
        <v>4310</v>
      </c>
      <c r="P27" s="71">
        <v>680</v>
      </c>
      <c r="Q27" s="90">
        <v>4868</v>
      </c>
      <c r="R27" s="71">
        <v>3013</v>
      </c>
      <c r="S27" s="71">
        <v>7013</v>
      </c>
      <c r="T27" s="71">
        <v>1690</v>
      </c>
      <c r="U27" s="71">
        <v>5910</v>
      </c>
      <c r="V27" s="71">
        <v>11751</v>
      </c>
      <c r="W27" s="71">
        <v>11679</v>
      </c>
      <c r="X27" s="71">
        <v>3805</v>
      </c>
      <c r="Y27" s="71">
        <v>497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49" t="s" ph="1">
        <v>179</v>
      </c>
      <c r="D28" s="91" ph="1">
        <f>D27*268.68*LOOKUP(D29,密度!$A$2:$A$50,密度!$Q$2:$Q$50)+IF(D27&lt;=0,0,1566*LOOKUP(D29,密度!$A$2:$A$50,密度!$Q$2:$Q$50))</f>
        <v>18833.179579272</v>
      </c>
      <c r="E28" s="91" ph="1">
        <f>E27*268.68*LOOKUP(E29,密度!$A$2:$A$50,密度!$C$2:$C$50)+IF(E27&lt;=0,0,1566*LOOKUP(E29,密度!$A$2:$A$50,密度!$C$2:$C$50))</f>
        <v>3497.35837932</v>
      </c>
      <c r="F28" s="91" ph="1">
        <f>F27*11.702*LOOKUP(F29,密度!$A$2:$A$50,密度!$Q$2:$Q$50)</f>
        <v>42887.895999280001</v>
      </c>
      <c r="G28" s="91" ph="1">
        <f>G27*18.322*LOOKUP(G29,密度!$A$2:$A$50,密度!$B$2:$B$50)</f>
        <v>53490.322301400003</v>
      </c>
      <c r="H28" s="91" ph="1">
        <f>H27*18.322*LOOKUP(H29,密度!$A$2:$A$50,密度!$B$2:$B$50)</f>
        <v>29103.980319599999</v>
      </c>
      <c r="I28" s="91" ph="1">
        <f>I27*18.322*LOOKUP(I29,密度!$A$2:$A$50,密度!$Q$2:$Q$50)</f>
        <v>0</v>
      </c>
      <c r="J28" s="91" ph="1">
        <f>J27*18.322*LOOKUP(J29,密度!$A$2:$A$50,密度!$Q$2:$Q$50)</f>
        <v>30881.832870320002</v>
      </c>
      <c r="K28" s="91" ph="1">
        <f>K27*18.322*LOOKUP(K29,密度!$A$2:$A$50,密度!$Q$2:$Q$50)</f>
        <v>95017.228743600004</v>
      </c>
      <c r="L28" s="91" ph="1">
        <f>L27*18.322*LOOKUP(L29,密度!$A$2:$A$50,密度!$Q$2:$Q$50)</f>
        <v>96750.374881440002</v>
      </c>
      <c r="M28" s="91" ph="1">
        <f>M27*18.322*LOOKUP(M29,密度!$A$2:$A$50,密度!$Q$2:$Q$50)</f>
        <v>59435.41133214</v>
      </c>
      <c r="N28" s="91" ph="1">
        <f>N27*18.322*LOOKUP(N29,密度!$A$2:$A$50,密度!$Q$2:$Q$50)</f>
        <v>67062.002462539996</v>
      </c>
      <c r="O28" s="91" ph="1">
        <f>O27*18.322*LOOKUP(O29,密度!$A$2:$A$50,密度!$C$2:$C$50)</f>
        <v>87567.415597999992</v>
      </c>
      <c r="P28" s="91" ph="1">
        <f>P27*11.702*LOOKUP(P29,密度!$A$2:$A$50,密度!$B$2:$B$50)</f>
        <v>6203.5578559999994</v>
      </c>
      <c r="Q28" s="92" ph="1">
        <f>Q27*18.322*LOOKUP(Q29,密度!$A$2:$A$50,密度!$B$2:$B$50)</f>
        <v>69382.064738400004</v>
      </c>
      <c r="R28" s="91" ph="1">
        <f>R27*35.891*LOOKUP(R29,密度!$A$2:$A$50,密度!$C$2:$C$50)</f>
        <v>119667.2625478</v>
      </c>
      <c r="S28" s="91" ph="1">
        <f>S27*35.891*LOOKUP(S29,密度!$A$2:$A$50,密度!$B$2:$B$50)</f>
        <v>195573.683991</v>
      </c>
      <c r="T28" s="91" ph="1">
        <f>T27*35.891*LOOKUP(T29,密度!$A$2:$A$50,密度!$Q$2:$Q$50)</f>
        <v>57339.131402799998</v>
      </c>
      <c r="U28" s="91" ph="1">
        <f>U27*35.891</f>
        <v>212115.81</v>
      </c>
      <c r="V28" s="91" ph="1">
        <f>V27*47.051*LOOKUP(V29,密度!$A$2:$A$50,密度!$B$2:$B$50)</f>
        <v>429600.42587699997</v>
      </c>
      <c r="W28" s="91" ph="1">
        <f>W27*47.051*LOOKUP(W29,密度!$A$2:$A$50,密度!$B$2:$B$50)</f>
        <v>426968.20473300008</v>
      </c>
      <c r="X28" s="91" ph="1">
        <f>X27*47.051*LOOKUP(X29,密度!$A$2:$A$50,密度!$I$2:$I$50)</f>
        <v>185778.4503735</v>
      </c>
      <c r="Y28" s="91" ph="1">
        <f>Y27*47.051*LOOKUP(Y29,密度!$A$2:$A$50,密度!$L$2:$L$50)</f>
        <v>21817.595751000004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49" t="s" ph="1">
        <v>180</v>
      </c>
      <c r="D29" s="74">
        <v>25</v>
      </c>
      <c r="E29" s="74">
        <v>25</v>
      </c>
      <c r="F29" s="74">
        <v>27</v>
      </c>
      <c r="G29" s="74">
        <v>27</v>
      </c>
      <c r="H29" s="74">
        <v>27</v>
      </c>
      <c r="I29" s="74">
        <v>28</v>
      </c>
      <c r="J29" s="74">
        <v>27</v>
      </c>
      <c r="K29" s="74">
        <v>28</v>
      </c>
      <c r="L29" s="74">
        <v>27</v>
      </c>
      <c r="M29" s="74">
        <v>26</v>
      </c>
      <c r="N29" s="74">
        <v>26</v>
      </c>
      <c r="O29" s="74">
        <v>25</v>
      </c>
      <c r="P29" s="74">
        <v>25</v>
      </c>
      <c r="Q29" s="93">
        <v>27</v>
      </c>
      <c r="R29" s="74">
        <v>28</v>
      </c>
      <c r="S29" s="74">
        <v>28</v>
      </c>
      <c r="T29" s="74">
        <v>27</v>
      </c>
      <c r="U29" s="74">
        <v>27</v>
      </c>
      <c r="V29" s="74">
        <v>28</v>
      </c>
      <c r="W29" s="74">
        <v>28</v>
      </c>
      <c r="X29" s="74">
        <v>29</v>
      </c>
      <c r="Y29" s="74">
        <v>29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36564.935329799999</v>
      </c>
      <c r="E33" s="182" ph="1">
        <f>M10+I10</f>
        <v>125778.7848238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08" ph="1">
        <v>0</v>
      </c>
      <c r="H33" s="182" ph="1">
        <f>N19</f>
        <v>9100.0088800000012</v>
      </c>
      <c r="I33" s="186" ph="1">
        <v>0</v>
      </c>
      <c r="J33" s="190" ph="1">
        <f>F10+O28</f>
        <v>230696.41270699998</v>
      </c>
      <c r="K33" s="182" ph="1">
        <f>O10+K10+E28+R28</f>
        <v>271858.37413112004</v>
      </c>
      <c r="L33" s="192" ph="1">
        <f>BE27</f>
        <v>7100</v>
      </c>
      <c r="M33" s="190" ph="1">
        <f>G10+H10+W28+S28+V28+E10</f>
        <v>1957444.3421340003</v>
      </c>
      <c r="N33" s="182" ph="1">
        <f>L10+P10++G28+H28</f>
        <v>148222.24627800001</v>
      </c>
      <c r="O33" s="186" ph="1">
        <f>BE17</f>
        <v>2270</v>
      </c>
      <c r="P33" s="190" ph="1">
        <f>L19</f>
        <v>20070.808257279998</v>
      </c>
      <c r="Q33" s="182" ph="1">
        <f>J10+N10</f>
        <v>22337.763337199998</v>
      </c>
      <c r="R33" s="186" ph="1">
        <f>BE23</f>
        <v>890</v>
      </c>
      <c r="S33" s="190" ph="1">
        <f>E10+X28</f>
        <v>506059.09450350003</v>
      </c>
      <c r="T33" s="182" ph="1">
        <f>X19</f>
        <v>3787.5368457599998</v>
      </c>
      <c r="U33" s="171" ph="1">
        <f>BE21</f>
        <v>730</v>
      </c>
      <c r="V33" s="184" ph="1">
        <f ca="1">P19+Q19+S19+M28+N28+J28</f>
        <v>278365.05994016601</v>
      </c>
      <c r="W33" s="184" ph="1">
        <f>D28+F28+V19+T28</f>
        <v>123124.951928628</v>
      </c>
      <c r="X33" s="186" ph="1">
        <f>BE29+BE31</f>
        <v>10200</v>
      </c>
      <c r="Y33" s="188" ph="1">
        <f>+Q10+R10+S10+T10+U10+V10+W10+X10+Y10</f>
        <v>149463.9777708</v>
      </c>
      <c r="Z33" s="169" ph="1">
        <f>D10+T19+U19+Y28+Z10</f>
        <v>438407.57455281995</v>
      </c>
      <c r="AA33" s="171" ph="1">
        <f>BE19</f>
        <v>1440</v>
      </c>
      <c r="AB33" s="173" ph="1">
        <f>I19</f>
        <v>48226.054239999998</v>
      </c>
      <c r="AC33" s="175" ph="1">
        <f>AD10</f>
        <v>69342.976739199992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47" t="s" ph="1">
        <v>186</v>
      </c>
      <c r="AA36" s="147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345</v>
      </c>
      <c r="AI37" s="147" t="s" ph="1">
        <v>212</v>
      </c>
      <c r="AJ37" s="147" t="s" ph="1">
        <v>213</v>
      </c>
      <c r="AK37" s="147" t="s" ph="1">
        <v>214</v>
      </c>
      <c r="AM37" s="147" t="s" ph="1">
        <v>213</v>
      </c>
      <c r="AN37" s="147" t="s" ph="1">
        <v>214</v>
      </c>
      <c r="AO37" s="147" t="s" ph="1">
        <v>215</v>
      </c>
      <c r="AP37" s="147" t="s" ph="1">
        <v>213</v>
      </c>
      <c r="AQ37" s="147" t="s" ph="1">
        <v>214</v>
      </c>
      <c r="AR37" s="147" t="s" ph="1">
        <v>215</v>
      </c>
      <c r="AS37" s="147" t="s" ph="1">
        <v>213</v>
      </c>
      <c r="AT37" s="147" t="s" ph="1">
        <v>214</v>
      </c>
      <c r="AU37" s="147" t="s" ph="1">
        <v>215</v>
      </c>
      <c r="AV37" s="147" t="s" ph="1">
        <v>213</v>
      </c>
      <c r="AW37" s="147" t="s" ph="1">
        <v>214</v>
      </c>
      <c r="AX37" s="147" t="s" ph="1">
        <v>215</v>
      </c>
      <c r="AY37" s="147" t="s" ph="1">
        <v>214</v>
      </c>
      <c r="AZ37" s="147" t="s" ph="1">
        <v>216</v>
      </c>
      <c r="BD37" s="147" t="s" ph="1">
        <v>308</v>
      </c>
      <c r="BE37" s="147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415" priority="97">
      <formula>ABS(D$7-D$10)&gt;=1000</formula>
    </cfRule>
  </conditionalFormatting>
  <conditionalFormatting sqref="E4 E6:E11">
    <cfRule type="expression" dxfId="2414" priority="96">
      <formula>ABS(E$7-E$10)&gt;=1000</formula>
    </cfRule>
  </conditionalFormatting>
  <conditionalFormatting sqref="F4:F11">
    <cfRule type="expression" dxfId="2413" priority="95">
      <formula>ABS(F$7-F$10)&gt;=1000</formula>
    </cfRule>
  </conditionalFormatting>
  <conditionalFormatting sqref="G4:G11">
    <cfRule type="expression" dxfId="2412" priority="94">
      <formula>ABS(G$7-G$10)&gt;=1000</formula>
    </cfRule>
  </conditionalFormatting>
  <conditionalFormatting sqref="H4:H11">
    <cfRule type="expression" dxfId="2411" priority="93">
      <formula>ABS(H$7-H$10)&gt;=1000</formula>
    </cfRule>
  </conditionalFormatting>
  <conditionalFormatting sqref="I4:I11">
    <cfRule type="expression" dxfId="2410" priority="92">
      <formula>ABS(I$7-I$10)&gt;=1000</formula>
    </cfRule>
  </conditionalFormatting>
  <conditionalFormatting sqref="J4:J11">
    <cfRule type="expression" dxfId="2409" priority="91">
      <formula>ABS(J$7-J$10)&gt;=1000</formula>
    </cfRule>
  </conditionalFormatting>
  <conditionalFormatting sqref="K4:K11">
    <cfRule type="expression" dxfId="2408" priority="90">
      <formula>ABS(K$7-K$10)&gt;=1000</formula>
    </cfRule>
  </conditionalFormatting>
  <conditionalFormatting sqref="L4:L11">
    <cfRule type="expression" dxfId="2407" priority="89">
      <formula>ABS(L$7-L$10)&gt;=1000</formula>
    </cfRule>
  </conditionalFormatting>
  <conditionalFormatting sqref="M4 M6:M11">
    <cfRule type="expression" dxfId="2406" priority="88">
      <formula>ABS(M$7-M$10)&gt;=1000</formula>
    </cfRule>
  </conditionalFormatting>
  <conditionalFormatting sqref="N4 N6:N11">
    <cfRule type="expression" dxfId="2405" priority="87">
      <formula>ABS(N$7-N$10)&gt;=1000</formula>
    </cfRule>
  </conditionalFormatting>
  <conditionalFormatting sqref="O4 O6:O11">
    <cfRule type="expression" dxfId="2404" priority="86">
      <formula>ABS(O$7-O$10)&gt;=1000</formula>
    </cfRule>
  </conditionalFormatting>
  <conditionalFormatting sqref="P4 P6:P11">
    <cfRule type="expression" dxfId="2403" priority="85">
      <formula>ABS(P$7-P$10)&gt;=1000</formula>
    </cfRule>
  </conditionalFormatting>
  <conditionalFormatting sqref="Q4:Q11">
    <cfRule type="expression" dxfId="2402" priority="84">
      <formula>ABS(Q$7-Q$10)&gt;=1000</formula>
    </cfRule>
  </conditionalFormatting>
  <conditionalFormatting sqref="R4:R11">
    <cfRule type="expression" dxfId="2401" priority="83">
      <formula>ABS(R$7-R$10)&gt;=1000</formula>
    </cfRule>
  </conditionalFormatting>
  <conditionalFormatting sqref="S4:S11">
    <cfRule type="expression" dxfId="2400" priority="82">
      <formula>ABS(S$7-S$10)&gt;=1000</formula>
    </cfRule>
  </conditionalFormatting>
  <conditionalFormatting sqref="T4:T9 T11">
    <cfRule type="expression" dxfId="2399" priority="81">
      <formula>ABS(T$7-T$10)&gt;=1000</formula>
    </cfRule>
  </conditionalFormatting>
  <conditionalFormatting sqref="U4:U9 U11">
    <cfRule type="expression" dxfId="2398" priority="80">
      <formula>ABS(U$7-U$10)&gt;=1000</formula>
    </cfRule>
  </conditionalFormatting>
  <conditionalFormatting sqref="V4:V9 V11">
    <cfRule type="expression" dxfId="2397" priority="79">
      <formula>ABS(V$7-V$10)&gt;=1000</formula>
    </cfRule>
  </conditionalFormatting>
  <conditionalFormatting sqref="W4:W9 W11">
    <cfRule type="expression" dxfId="2396" priority="78">
      <formula>ABS(W$7-W$10)&gt;=1000</formula>
    </cfRule>
  </conditionalFormatting>
  <conditionalFormatting sqref="X4:X9 X11">
    <cfRule type="expression" dxfId="2395" priority="77">
      <formula>ABS(X$7-X$10)&gt;=1000</formula>
    </cfRule>
  </conditionalFormatting>
  <conditionalFormatting sqref="Y4:Y9 Y11">
    <cfRule type="expression" dxfId="2394" priority="76">
      <formula>ABS(Y$7-Y$10)&gt;=1000</formula>
    </cfRule>
  </conditionalFormatting>
  <conditionalFormatting sqref="Z4:Z11">
    <cfRule type="expression" dxfId="2393" priority="75">
      <formula>ABS(Z$7-Z$10)&gt;=1000</formula>
    </cfRule>
  </conditionalFormatting>
  <conditionalFormatting sqref="AA4:AA11">
    <cfRule type="expression" dxfId="2392" priority="74">
      <formula>ABS(AA$7-AA$10)&gt;=1000</formula>
    </cfRule>
  </conditionalFormatting>
  <conditionalFormatting sqref="AB4:AB11">
    <cfRule type="expression" dxfId="2391" priority="73">
      <formula>ABS(AB$7-AB$10)&gt;=1000</formula>
    </cfRule>
  </conditionalFormatting>
  <conditionalFormatting sqref="AC4 AC6:AC11">
    <cfRule type="expression" dxfId="2390" priority="72">
      <formula>ABS(AC$7-AC$10)&gt;=1000</formula>
    </cfRule>
  </conditionalFormatting>
  <conditionalFormatting sqref="AD4:AD11">
    <cfRule type="expression" dxfId="2389" priority="71">
      <formula>ABS(AD$7-AD$10)&gt;=1000</formula>
    </cfRule>
  </conditionalFormatting>
  <conditionalFormatting sqref="AE4:AE11">
    <cfRule type="expression" dxfId="2388" priority="70">
      <formula>ABS(AE$7-AE$10)&gt;=1000</formula>
    </cfRule>
  </conditionalFormatting>
  <conditionalFormatting sqref="D13:D20">
    <cfRule type="expression" dxfId="2387" priority="69">
      <formula>ABS(D$16-D$19)&gt;=1000</formula>
    </cfRule>
  </conditionalFormatting>
  <conditionalFormatting sqref="E13:E20">
    <cfRule type="expression" dxfId="2386" priority="68">
      <formula>ABS(E$16-E$19)&gt;=1000</formula>
    </cfRule>
  </conditionalFormatting>
  <conditionalFormatting sqref="F13 F15:F20">
    <cfRule type="expression" dxfId="2385" priority="67">
      <formula>ABS(F$16-F$19)&gt;=1000</formula>
    </cfRule>
  </conditionalFormatting>
  <conditionalFormatting sqref="G13:G20">
    <cfRule type="expression" dxfId="2384" priority="66">
      <formula>ABS(G$16-G$19)&gt;=1000</formula>
    </cfRule>
  </conditionalFormatting>
  <conditionalFormatting sqref="H13:H20">
    <cfRule type="expression" dxfId="2383" priority="65">
      <formula>ABS(H$16-H$19)&gt;=1000</formula>
    </cfRule>
  </conditionalFormatting>
  <conditionalFormatting sqref="I13:I20">
    <cfRule type="expression" dxfId="2382" priority="64">
      <formula>ABS(I$16-I$19)&gt;=1000</formula>
    </cfRule>
  </conditionalFormatting>
  <conditionalFormatting sqref="J13:J20">
    <cfRule type="expression" dxfId="2381" priority="63">
      <formula>ABS(J$16-J$19)&gt;=1000</formula>
    </cfRule>
  </conditionalFormatting>
  <conditionalFormatting sqref="L13:L20">
    <cfRule type="expression" dxfId="2380" priority="62">
      <formula>ABS(L$16-L$19)&gt;=1000</formula>
    </cfRule>
  </conditionalFormatting>
  <conditionalFormatting sqref="M13 M15 M17:M18 M20">
    <cfRule type="expression" dxfId="2379" priority="61">
      <formula>ABS(M$16-M$19)&gt;=1000</formula>
    </cfRule>
  </conditionalFormatting>
  <conditionalFormatting sqref="N13:N20">
    <cfRule type="expression" dxfId="2378" priority="60">
      <formula>ABS(N$16-N$19)&gt;=1000</formula>
    </cfRule>
  </conditionalFormatting>
  <conditionalFormatting sqref="O13:O20">
    <cfRule type="expression" dxfId="2377" priority="59">
      <formula>ABS(O$16-O$19)&gt;=1000</formula>
    </cfRule>
  </conditionalFormatting>
  <conditionalFormatting sqref="P13:P20">
    <cfRule type="expression" dxfId="2376" priority="58">
      <formula>ABS(P$16-P$19)&gt;=1000</formula>
    </cfRule>
  </conditionalFormatting>
  <conditionalFormatting sqref="Q13 Q15:Q20">
    <cfRule type="expression" dxfId="2375" priority="57">
      <formula>ABS(Q$16-Q$19)&gt;=1000</formula>
    </cfRule>
  </conditionalFormatting>
  <conditionalFormatting sqref="R13:R20">
    <cfRule type="expression" dxfId="2374" priority="56">
      <formula>ABS(R$16-R$19)&gt;=1000</formula>
    </cfRule>
  </conditionalFormatting>
  <conditionalFormatting sqref="S13:S20">
    <cfRule type="expression" dxfId="2373" priority="55">
      <formula>ABS(S$16-S$19)&gt;=1000</formula>
    </cfRule>
  </conditionalFormatting>
  <conditionalFormatting sqref="T13:T20">
    <cfRule type="expression" dxfId="2372" priority="54">
      <formula>ABS(T$16-T$19)&gt;=1000</formula>
    </cfRule>
  </conditionalFormatting>
  <conditionalFormatting sqref="U13:U20">
    <cfRule type="expression" dxfId="2371" priority="53">
      <formula>ABS(U$16-U$19)&gt;=1000</formula>
    </cfRule>
  </conditionalFormatting>
  <conditionalFormatting sqref="V13:V20">
    <cfRule type="expression" dxfId="2370" priority="52">
      <formula>ABS(V$16-V$19)&gt;=1000</formula>
    </cfRule>
  </conditionalFormatting>
  <conditionalFormatting sqref="W13 W20 W15:W18">
    <cfRule type="expression" dxfId="2369" priority="51">
      <formula>ABS(W$16-W$19)&gt;=1000</formula>
    </cfRule>
  </conditionalFormatting>
  <conditionalFormatting sqref="X13 X15:X20 Y19">
    <cfRule type="expression" dxfId="2368" priority="50">
      <formula>ABS(X$16-X$19)&gt;=1000</formula>
    </cfRule>
  </conditionalFormatting>
  <conditionalFormatting sqref="Y13 Y15:Y18 Y20">
    <cfRule type="expression" dxfId="2367" priority="49">
      <formula>ABS(Y$16-Y$19)&gt;=1000</formula>
    </cfRule>
  </conditionalFormatting>
  <conditionalFormatting sqref="Z13:Z20">
    <cfRule type="expression" dxfId="2366" priority="48">
      <formula>ABS(Z$16-Z$19)&gt;=1000</formula>
    </cfRule>
  </conditionalFormatting>
  <conditionalFormatting sqref="AA13:AA20">
    <cfRule type="expression" dxfId="2365" priority="47">
      <formula>ABS(AA$16-AA$19)&gt;=1000</formula>
    </cfRule>
  </conditionalFormatting>
  <conditionalFormatting sqref="AB13 AB15:AB20">
    <cfRule type="expression" dxfId="2364" priority="46">
      <formula>ABS(AB$16-AB$19)&gt;=1000</formula>
    </cfRule>
  </conditionalFormatting>
  <conditionalFormatting sqref="AC13 AC15:AC20">
    <cfRule type="expression" dxfId="2363" priority="45">
      <formula>ABS(AC$16-AC$19)&gt;=1000</formula>
    </cfRule>
  </conditionalFormatting>
  <conditionalFormatting sqref="AD13:AD20">
    <cfRule type="expression" dxfId="2362" priority="44">
      <formula>ABS(AD$16-AD$19)&gt;=1000</formula>
    </cfRule>
  </conditionalFormatting>
  <conditionalFormatting sqref="AE13:AE20">
    <cfRule type="expression" dxfId="2361" priority="43">
      <formula>ABS(AE$16-AE$19)&gt;=1000</formula>
    </cfRule>
  </conditionalFormatting>
  <conditionalFormatting sqref="D22:D29">
    <cfRule type="expression" dxfId="2360" priority="42">
      <formula>ABS(D$25-D$28)&gt;=1000</formula>
    </cfRule>
  </conditionalFormatting>
  <conditionalFormatting sqref="E22:E29">
    <cfRule type="expression" dxfId="2359" priority="41">
      <formula>ABS(E$25-E$28)&gt;=1000</formula>
    </cfRule>
  </conditionalFormatting>
  <conditionalFormatting sqref="F22:F29">
    <cfRule type="expression" dxfId="2358" priority="40">
      <formula>ABS(F$25-F$28)&gt;=1000</formula>
    </cfRule>
  </conditionalFormatting>
  <conditionalFormatting sqref="G22:G29">
    <cfRule type="expression" dxfId="2357" priority="39">
      <formula>ABS(G$25-G$28)&gt;=1000</formula>
    </cfRule>
  </conditionalFormatting>
  <conditionalFormatting sqref="H22:H29">
    <cfRule type="expression" dxfId="2356" priority="38">
      <formula>ABS(H$25-H$28)&gt;=1000</formula>
    </cfRule>
  </conditionalFormatting>
  <conditionalFormatting sqref="I22 I24:I29">
    <cfRule type="expression" dxfId="2355" priority="37">
      <formula>ABS(I$25-I$28)&gt;=1000</formula>
    </cfRule>
  </conditionalFormatting>
  <conditionalFormatting sqref="J22:J29 K22">
    <cfRule type="expression" dxfId="2354" priority="36">
      <formula>ABS(J$25-J$28)&gt;=1000</formula>
    </cfRule>
  </conditionalFormatting>
  <conditionalFormatting sqref="K23:K29 L25 L28">
    <cfRule type="expression" dxfId="2353" priority="35">
      <formula>ABS(K$25-K$28)&gt;=1000</formula>
    </cfRule>
  </conditionalFormatting>
  <conditionalFormatting sqref="L22 L26:L27 L29 L24">
    <cfRule type="expression" dxfId="2352" priority="34">
      <formula>ABS(L$25-L$28)&gt;=1000</formula>
    </cfRule>
  </conditionalFormatting>
  <conditionalFormatting sqref="M22:M29">
    <cfRule type="expression" dxfId="2351" priority="33">
      <formula>ABS(M$25-M$28)&gt;=1000</formula>
    </cfRule>
  </conditionalFormatting>
  <conditionalFormatting sqref="N22:N29">
    <cfRule type="expression" dxfId="2350" priority="32">
      <formula>ABS(N$25-N$28)&gt;=1000</formula>
    </cfRule>
  </conditionalFormatting>
  <conditionalFormatting sqref="O22:O29">
    <cfRule type="expression" dxfId="2349" priority="31">
      <formula>ABS(O$25-O$28)&gt;=1000</formula>
    </cfRule>
  </conditionalFormatting>
  <conditionalFormatting sqref="P22:P29">
    <cfRule type="expression" dxfId="2348" priority="30">
      <formula>ABS(P$25-P$28)&gt;=1000</formula>
    </cfRule>
  </conditionalFormatting>
  <conditionalFormatting sqref="Q22:Q29">
    <cfRule type="expression" dxfId="2347" priority="29">
      <formula>ABS(Q$25-Q$28)&gt;=1000</formula>
    </cfRule>
  </conditionalFormatting>
  <conditionalFormatting sqref="R22:R29">
    <cfRule type="expression" dxfId="2346" priority="28">
      <formula>ABS(R$25-R$28)&gt;=1000</formula>
    </cfRule>
  </conditionalFormatting>
  <conditionalFormatting sqref="S22:S29">
    <cfRule type="expression" dxfId="2345" priority="27">
      <formula>ABS(S$25-S$28)&gt;=1000</formula>
    </cfRule>
  </conditionalFormatting>
  <conditionalFormatting sqref="T22:T29">
    <cfRule type="expression" dxfId="2344" priority="26">
      <formula>ABS(T$25-T$28)&gt;=1000</formula>
    </cfRule>
  </conditionalFormatting>
  <conditionalFormatting sqref="U22:U29">
    <cfRule type="expression" dxfId="2343" priority="25">
      <formula>ABS(U$25-U$28)&gt;=1000</formula>
    </cfRule>
  </conditionalFormatting>
  <conditionalFormatting sqref="V22:V29">
    <cfRule type="expression" dxfId="2342" priority="24">
      <formula>ABS(V$25-V$28)&gt;=1000</formula>
    </cfRule>
  </conditionalFormatting>
  <conditionalFormatting sqref="W22:W29">
    <cfRule type="expression" dxfId="2341" priority="23">
      <formula>ABS(W$25-W$28)&gt;=1000</formula>
    </cfRule>
  </conditionalFormatting>
  <conditionalFormatting sqref="X22:X29">
    <cfRule type="expression" dxfId="2340" priority="22">
      <formula>ABS(X$25-X$28)&gt;=1000</formula>
    </cfRule>
  </conditionalFormatting>
  <conditionalFormatting sqref="Y22:Y29">
    <cfRule type="expression" dxfId="2339" priority="21">
      <formula>ABS(Y$25-Y$28)&gt;=1000</formula>
    </cfRule>
  </conditionalFormatting>
  <conditionalFormatting sqref="I23">
    <cfRule type="expression" dxfId="2338" priority="20">
      <formula>ABS(I$25-I$28)&gt;=1000</formula>
    </cfRule>
  </conditionalFormatting>
  <conditionalFormatting sqref="Q14">
    <cfRule type="expression" dxfId="2337" priority="19">
      <formula>ABS(Q$16-Q$19)&gt;=1000</formula>
    </cfRule>
  </conditionalFormatting>
  <conditionalFormatting sqref="W14">
    <cfRule type="expression" dxfId="2336" priority="18">
      <formula>ABS(W$16-W$19)&gt;=1000</formula>
    </cfRule>
  </conditionalFormatting>
  <conditionalFormatting sqref="Y14">
    <cfRule type="expression" dxfId="2335" priority="17">
      <formula>ABS(Y$16-Y$19)&gt;=1000</formula>
    </cfRule>
  </conditionalFormatting>
  <conditionalFormatting sqref="X14">
    <cfRule type="expression" dxfId="2334" priority="16">
      <formula>ABS(X$16-X$19)&gt;=1000</formula>
    </cfRule>
  </conditionalFormatting>
  <conditionalFormatting sqref="T10:Y10">
    <cfRule type="expression" dxfId="2333" priority="15">
      <formula>ABS(T$7-T$10)&gt;=1000</formula>
    </cfRule>
  </conditionalFormatting>
  <conditionalFormatting sqref="W19">
    <cfRule type="expression" dxfId="2332" priority="14">
      <formula>ABS(W$16-W$19)&gt;=1000</formula>
    </cfRule>
  </conditionalFormatting>
  <conditionalFormatting sqref="AC5">
    <cfRule type="expression" dxfId="2331" priority="13">
      <formula>ABS(AC$7-AC$10)&gt;=1000</formula>
    </cfRule>
  </conditionalFormatting>
  <conditionalFormatting sqref="M14">
    <cfRule type="expression" dxfId="2330" priority="12">
      <formula>ABS(M$16-M$19)&gt;=1000</formula>
    </cfRule>
  </conditionalFormatting>
  <conditionalFormatting sqref="M16">
    <cfRule type="expression" dxfId="2329" priority="11">
      <formula>ABS(M$16-M$19)&gt;=1000</formula>
    </cfRule>
  </conditionalFormatting>
  <conditionalFormatting sqref="M19">
    <cfRule type="expression" dxfId="2328" priority="10">
      <formula>ABS(M$16-M$19)&gt;=1000</formula>
    </cfRule>
  </conditionalFormatting>
  <conditionalFormatting sqref="K13:K20">
    <cfRule type="expression" dxfId="2327" priority="9">
      <formula>ABS(K$16-K$19)&gt;=1000</formula>
    </cfRule>
  </conditionalFormatting>
  <conditionalFormatting sqref="E5">
    <cfRule type="expression" dxfId="2326" priority="8">
      <formula>ABS(E$7-E$10)&gt;=1000</formula>
    </cfRule>
  </conditionalFormatting>
  <conditionalFormatting sqref="AB14:AC14">
    <cfRule type="expression" dxfId="2325" priority="7">
      <formula>ABS(AB$16-AB$19)&gt;=1000</formula>
    </cfRule>
  </conditionalFormatting>
  <conditionalFormatting sqref="M5">
    <cfRule type="expression" dxfId="2324" priority="6">
      <formula>ABS(M$7-M$10)&gt;=1000</formula>
    </cfRule>
  </conditionalFormatting>
  <conditionalFormatting sqref="N5">
    <cfRule type="expression" dxfId="2323" priority="5">
      <formula>ABS(N$7-N$10)&gt;=1000</formula>
    </cfRule>
  </conditionalFormatting>
  <conditionalFormatting sqref="O5">
    <cfRule type="expression" dxfId="2322" priority="4">
      <formula>ABS(O$7-O$10)&gt;=1000</formula>
    </cfRule>
  </conditionalFormatting>
  <conditionalFormatting sqref="P5">
    <cfRule type="expression" dxfId="2321" priority="3">
      <formula>ABS(P$7-P$10)&gt;=1000</formula>
    </cfRule>
  </conditionalFormatting>
  <conditionalFormatting sqref="L23">
    <cfRule type="expression" dxfId="2320" priority="2">
      <formula>ABS(L$25-L$28)&gt;=1000</formula>
    </cfRule>
  </conditionalFormatting>
  <conditionalFormatting sqref="F14">
    <cfRule type="expression" dxfId="2319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63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95">
    <pageSetUpPr fitToPage="1"/>
  </sheetPr>
  <dimension ref="A1:CU223"/>
  <sheetViews>
    <sheetView view="pageBreakPreview" zoomScale="80" zoomScaleNormal="100" zoomScaleSheetLayoutView="80" workbookViewId="0">
      <selection activeCell="AD9" sqref="AD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45875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49" t="s" ph="1">
        <v>178</v>
      </c>
      <c r="D6" s="71">
        <v>6504</v>
      </c>
      <c r="E6" s="71">
        <v>7992</v>
      </c>
      <c r="F6" s="71">
        <v>3345</v>
      </c>
      <c r="G6" s="71">
        <v>4940</v>
      </c>
      <c r="H6" s="71">
        <v>9114</v>
      </c>
      <c r="I6" s="71">
        <v>40.51</v>
      </c>
      <c r="J6" s="71">
        <v>7.71</v>
      </c>
      <c r="K6" s="71">
        <v>85.21</v>
      </c>
      <c r="L6" s="71">
        <v>16.11</v>
      </c>
      <c r="M6" s="71">
        <v>3347</v>
      </c>
      <c r="N6" s="71">
        <v>570</v>
      </c>
      <c r="O6" s="71">
        <v>5364</v>
      </c>
      <c r="P6" s="71">
        <v>1717</v>
      </c>
      <c r="Q6" s="71">
        <v>0</v>
      </c>
      <c r="R6" s="71">
        <v>0</v>
      </c>
      <c r="S6" s="71">
        <v>0</v>
      </c>
      <c r="T6" s="71">
        <v>2673</v>
      </c>
      <c r="U6" s="71">
        <v>7019</v>
      </c>
      <c r="V6" s="71">
        <v>7020</v>
      </c>
      <c r="W6" s="71">
        <v>2632</v>
      </c>
      <c r="X6" s="71">
        <v>0</v>
      </c>
      <c r="Y6" s="71">
        <v>0</v>
      </c>
      <c r="Z6" s="71">
        <v>5490</v>
      </c>
      <c r="AA6" s="71">
        <v>555</v>
      </c>
      <c r="AB6" s="71">
        <v>848</v>
      </c>
      <c r="AC6" s="71">
        <v>1632</v>
      </c>
      <c r="AD6" s="71">
        <v>3530</v>
      </c>
      <c r="AE6" s="71">
        <v>1712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204174.30613896</v>
      </c>
      <c r="E7" s="73" ph="1">
        <f>E6*51.53*LOOKUP(E8,密度!$A$2:$A$50,密度!$B$2:$B$50)</f>
        <v>320690.27671199996</v>
      </c>
      <c r="F7" s="73" ph="1">
        <f>F6*33.183*LOOKUP(F8,密度!$A$2:$A$50,密度!$C$2:$C$50)</f>
        <v>122995.9252935</v>
      </c>
      <c r="G7" s="73" ph="1">
        <f xml:space="preserve"> (G6+2)*51.53*LOOKUP(G8,密度!$A$2:$A$50,密度!$B$2:$B$50)</f>
        <v>198100.99415400001</v>
      </c>
      <c r="H7" s="73" ph="1">
        <f>(H6)*51.53*LOOKUP(H8,密度!$A$2:$A$50,密度!$B$2:$B$50)</f>
        <v>366980.14978799998</v>
      </c>
      <c r="I7" s="73" ph="1">
        <f>I6*290.8*1.0267</f>
        <v>12094.842223599999</v>
      </c>
      <c r="J7" s="73" ph="1">
        <f>J6*290.8*0.7892</f>
        <v>1769.4400656000003</v>
      </c>
      <c r="K7" s="73" ph="1">
        <f>K6*290.8*1.1126</f>
        <v>27569.191056799998</v>
      </c>
      <c r="L7" s="73" ph="1">
        <f>L6*290.8*0.777</f>
        <v>3640.0802760000006</v>
      </c>
      <c r="M7" s="73" ph="1">
        <f>M6*33.183*LOOKUP(M8,密度!$A$2:$A$50,密度!$D$2:$D$50)</f>
        <v>113817.87582479999</v>
      </c>
      <c r="N7" s="73" ph="1">
        <f>N6*33.183*LOOKUP(N8,密度!$A$2:$A$50,密度!$E$2:$E$50)</f>
        <v>14772.076110000002</v>
      </c>
      <c r="O7" s="73" ph="1">
        <f>O6*20.428*LOOKUP(O8,密度!$A$2:$A$50,密度!$C$2:$C$50)</f>
        <v>121179.86837280002</v>
      </c>
      <c r="P7" s="73" ph="1">
        <f>P6*51.53*LOOKUP(P8,密度!$A$2:$A$50,密度!$B$2:$B$50)</f>
        <v>68826.266078999994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17760.705731999999</v>
      </c>
      <c r="U7" s="73" ph="1">
        <f>U6*1.5*1.5*3.1416*LOOKUP(U8,密度!$A$2:$A$50,密度!$L$2:$L$50)</f>
        <v>46488.789685800002</v>
      </c>
      <c r="V7" s="73" ph="1">
        <f>V6*1.5*1.5*3.1416*LOOKUP(V8,密度!$A$2:$A$50,密度!$L$2:$L$50)</f>
        <v>46396.169820000003</v>
      </c>
      <c r="W7" s="73" ph="1">
        <f>W6*1.5*1.5*3.1416*LOOKUP(W8,密度!$A$2:$A$50,密度!$L$2:$L$50)</f>
        <v>17432.468222399999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171062.01513000001</v>
      </c>
      <c r="AA7" s="73" ph="1">
        <f>AA6*33.183*LOOKUP(AA8,密度!$A$2:$A$50,密度!$D$2:$D$50)</f>
        <v>18856.720903499998</v>
      </c>
      <c r="AB7" s="73" ph="1">
        <f>AB6*20.428*LOOKUP(AB8,密度!$A$2:$A$50,密度!$D$2:$D$50)</f>
        <v>17866.884441600003</v>
      </c>
      <c r="AC7" s="73" ph="1">
        <f>AC6*51.53*LOOKUP(AC8,密度!$A$2:$A$50,密度!$Q$2:$Q$50)</f>
        <v>79617.955910400007</v>
      </c>
      <c r="AD7" s="73" ph="1">
        <f>AD6*20.428*LOOKUP(AD8,密度!$A$2:$A$50,密度!$V$2:$V$50)</f>
        <v>69284.095071999996</v>
      </c>
      <c r="AE7" s="73" ph="1">
        <f>AE6*20.428</f>
        <v>34972.736000000004</v>
      </c>
    </row>
    <row r="8" spans="1:99" ph="1">
      <c r="B8" s="233" ph="1"/>
      <c r="C8" s="68" t="s" ph="1">
        <v>180</v>
      </c>
      <c r="D8" s="74">
        <v>26</v>
      </c>
      <c r="E8" s="74">
        <v>26</v>
      </c>
      <c r="F8" s="74">
        <v>26</v>
      </c>
      <c r="G8" s="74">
        <v>27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27</v>
      </c>
      <c r="O8" s="74">
        <v>29</v>
      </c>
      <c r="P8" s="74">
        <v>27</v>
      </c>
      <c r="Q8" s="74">
        <v>27</v>
      </c>
      <c r="R8" s="74">
        <v>33</v>
      </c>
      <c r="S8" s="74">
        <v>25</v>
      </c>
      <c r="T8" s="74">
        <v>22</v>
      </c>
      <c r="U8" s="74">
        <v>25</v>
      </c>
      <c r="V8" s="74">
        <v>27</v>
      </c>
      <c r="W8" s="74">
        <v>25</v>
      </c>
      <c r="X8" s="74">
        <v>18</v>
      </c>
      <c r="Y8" s="74">
        <v>27</v>
      </c>
      <c r="Z8" s="74">
        <v>23</v>
      </c>
      <c r="AA8" s="74">
        <v>28</v>
      </c>
      <c r="AB8" s="74">
        <v>20</v>
      </c>
      <c r="AC8" s="74">
        <v>25</v>
      </c>
      <c r="AD8" s="74">
        <v>24</v>
      </c>
      <c r="AE8" s="74">
        <v>28</v>
      </c>
    </row>
    <row r="9" spans="1:99" ht="26.4" ph="1">
      <c r="B9" s="233" ph="1">
        <v>0.66666666666666663</v>
      </c>
      <c r="C9" s="149" t="s" ph="1">
        <v>181</v>
      </c>
      <c r="D9" s="71">
        <v>6509</v>
      </c>
      <c r="E9" s="71">
        <v>7996</v>
      </c>
      <c r="F9" s="71">
        <v>3866</v>
      </c>
      <c r="G9" s="71">
        <v>5274</v>
      </c>
      <c r="H9" s="71">
        <v>9123</v>
      </c>
      <c r="I9" s="71">
        <v>40.51</v>
      </c>
      <c r="J9" s="71">
        <v>7.81</v>
      </c>
      <c r="K9" s="71">
        <v>86.11</v>
      </c>
      <c r="L9" s="71">
        <v>9.31</v>
      </c>
      <c r="M9" s="71">
        <v>3347</v>
      </c>
      <c r="N9" s="71">
        <v>575</v>
      </c>
      <c r="O9" s="71">
        <v>5368</v>
      </c>
      <c r="P9" s="71">
        <v>1299</v>
      </c>
      <c r="Q9" s="71">
        <v>0</v>
      </c>
      <c r="R9" s="71">
        <v>0</v>
      </c>
      <c r="S9" s="71">
        <v>0</v>
      </c>
      <c r="T9" s="71">
        <v>0</v>
      </c>
      <c r="U9" s="71">
        <v>6107</v>
      </c>
      <c r="V9" s="71">
        <v>7035</v>
      </c>
      <c r="W9" s="71">
        <v>3258</v>
      </c>
      <c r="X9" s="71">
        <v>0</v>
      </c>
      <c r="Y9" s="71">
        <v>0</v>
      </c>
      <c r="Z9" s="71">
        <v>3966</v>
      </c>
      <c r="AA9" s="71">
        <v>555</v>
      </c>
      <c r="AB9" s="71">
        <v>846</v>
      </c>
      <c r="AC9" s="71">
        <v>1859</v>
      </c>
      <c r="AD9" s="71">
        <v>3583</v>
      </c>
      <c r="AE9" s="71">
        <v>1616</v>
      </c>
    </row>
    <row r="10" spans="1:99" s="72" customFormat="1" ht="22.2" ph="1">
      <c r="B10" s="233" ph="1"/>
      <c r="C10" s="149" t="s" ph="1">
        <v>179</v>
      </c>
      <c r="D10" s="73" ph="1">
        <f>D9*33.183*LOOKUP(D11,密度!$A$2:$A$50,密度!$Q$2:$Q$50)</f>
        <v>203877.69159771001</v>
      </c>
      <c r="E10" s="73" ph="1">
        <f>E9*51.53*LOOKUP(E11,密度!$A$2:$A$50,密度!$B$2:$B$50)</f>
        <v>319079.03667200002</v>
      </c>
      <c r="F10" s="73" ph="1">
        <f>F9*33.183*LOOKUP(F11,密度!$A$2:$A$50,密度!$C$2:$C$50)</f>
        <v>141768.28173779999</v>
      </c>
      <c r="G10" s="73" ph="1">
        <f xml:space="preserve"> (G9+2)*51.53*LOOKUP(G11,密度!$A$2:$A$50,密度!$B$2:$B$50)</f>
        <v>210782.57868400001</v>
      </c>
      <c r="H10" s="73" ph="1">
        <f>(H9)*51.53*LOOKUP(H11,密度!$A$2:$A$50,密度!$B$2:$B$50)</f>
        <v>364897.97707800003</v>
      </c>
      <c r="I10" s="73" ph="1">
        <f>I9*290.8*1.0267</f>
        <v>12094.842223599999</v>
      </c>
      <c r="J10" s="73" ph="1">
        <f>J9*290.8*0.7892</f>
        <v>1792.3900016000002</v>
      </c>
      <c r="K10" s="73" ph="1">
        <f>K9*290.8*1.1126</f>
        <v>27860.380728800003</v>
      </c>
      <c r="L10" s="73" ph="1">
        <f>L9*290.8*0.777</f>
        <v>2103.6093960000003</v>
      </c>
      <c r="M10" s="73" ph="1">
        <f>M9*33.183*LOOKUP(M11,密度!$A$2:$A$50,密度!$D$2:$D$50)</f>
        <v>113606.85517289999</v>
      </c>
      <c r="N10" s="73" ph="1">
        <f>N9*33.183*LOOKUP(N11,密度!$A$2:$A$50,密度!$E$2:$E$50)</f>
        <v>14728.598084249999</v>
      </c>
      <c r="O10" s="73" ph="1">
        <f>O9*20.428*LOOKUP(O11,密度!$A$2:$A$50,密度!$C$2:$C$50)</f>
        <v>120721.9461536</v>
      </c>
      <c r="P10" s="73" ph="1">
        <f>P9*51.53*LOOKUP(P11,密度!$A$2:$A$50,密度!$B$2:$B$50)</f>
        <v>51896.620491000001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40405.192027199999</v>
      </c>
      <c r="V10" s="73" ph="1">
        <f>V9*1.5*1.5*3.1416*LOOKUP(V11,密度!$A$2:$A$50,密度!$L$2:$L$50)</f>
        <v>46445.579334000002</v>
      </c>
      <c r="W10" s="73" ph="1">
        <f>W9*1.5*1.5*3.1416*LOOKUP(W11,密度!$A$2:$A$50,密度!$L$2:$L$50)</f>
        <v>21532.581378000003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122654.72109599999</v>
      </c>
      <c r="AA10" s="73" ph="1">
        <f>AA9*33.183*LOOKUP(AA11,密度!$A$2:$A$50,密度!$D$2:$D$50)</f>
        <v>18821.729429999999</v>
      </c>
      <c r="AB10" s="73" ph="1">
        <f>AB9*20.428*LOOKUP(AB11,密度!$A$2:$A$50,密度!$D$2:$D$50)</f>
        <v>17662.293936000002</v>
      </c>
      <c r="AC10" s="73" ph="1">
        <f>AC9*51.53*LOOKUP(AC11,密度!$A$2:$A$50,密度!$Q$2:$Q$50)</f>
        <v>90365.608719099997</v>
      </c>
      <c r="AD10" s="73" ph="1">
        <f>AD9*20.428*LOOKUP(AD11,密度!$A$2:$A$50,密度!$V$2:$V$50)</f>
        <v>70090.118582399999</v>
      </c>
      <c r="AE10" s="73" ph="1">
        <f>AE9*20.428</f>
        <v>33011.648000000001</v>
      </c>
    </row>
    <row r="11" spans="1:99" ph="1">
      <c r="A11" s="64" t="s" ph="1">
        <v>163</v>
      </c>
      <c r="B11" s="233" ph="1"/>
      <c r="C11" s="149" t="s" ph="1">
        <v>180</v>
      </c>
      <c r="D11" s="74">
        <v>29</v>
      </c>
      <c r="E11" s="74">
        <v>31</v>
      </c>
      <c r="F11" s="74">
        <v>30</v>
      </c>
      <c r="G11" s="74">
        <v>30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35</v>
      </c>
      <c r="O11" s="74">
        <v>34</v>
      </c>
      <c r="P11" s="74">
        <v>30</v>
      </c>
      <c r="Q11" s="74">
        <v>40</v>
      </c>
      <c r="R11" s="74">
        <v>30</v>
      </c>
      <c r="S11" s="74">
        <v>29</v>
      </c>
      <c r="T11" s="74">
        <v>34</v>
      </c>
      <c r="U11" s="74">
        <v>26</v>
      </c>
      <c r="V11" s="74">
        <v>28</v>
      </c>
      <c r="W11" s="74">
        <v>27</v>
      </c>
      <c r="X11" s="74">
        <v>23</v>
      </c>
      <c r="Y11" s="74">
        <v>34</v>
      </c>
      <c r="Z11" s="74">
        <v>30</v>
      </c>
      <c r="AA11" s="74">
        <v>30</v>
      </c>
      <c r="AB11" s="74">
        <v>30</v>
      </c>
      <c r="AC11" s="74">
        <v>30</v>
      </c>
      <c r="AD11" s="74">
        <v>31</v>
      </c>
      <c r="AE11" s="74">
        <v>30</v>
      </c>
    </row>
    <row r="12" spans="1:99" ht="9.9" customHeight="1" ph="1"/>
    <row r="13" spans="1:99" s="72" customFormat="1" ht="29.25" customHeight="1" ph="1">
      <c r="B13" s="210" t="s" ph="1">
        <v>37</v>
      </c>
      <c r="C13" s="14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49" t="s" ph="1">
        <v>178</v>
      </c>
      <c r="D15" s="78">
        <v>4675</v>
      </c>
      <c r="E15" s="78">
        <v>3733</v>
      </c>
      <c r="F15" s="78">
        <v>4750</v>
      </c>
      <c r="G15" s="78">
        <v>2892</v>
      </c>
      <c r="H15" s="78">
        <v>0</v>
      </c>
      <c r="I15" s="78">
        <v>5268</v>
      </c>
      <c r="J15" s="78">
        <v>980</v>
      </c>
      <c r="K15" s="78">
        <v>4507</v>
      </c>
      <c r="L15" s="78">
        <v>2824</v>
      </c>
      <c r="M15" s="78">
        <v>3754</v>
      </c>
      <c r="N15" s="78">
        <v>1153</v>
      </c>
      <c r="O15" s="78">
        <v>6863</v>
      </c>
      <c r="P15" s="78">
        <v>3538</v>
      </c>
      <c r="Q15" s="78">
        <v>6871</v>
      </c>
      <c r="R15" s="78">
        <v>0</v>
      </c>
      <c r="S15" s="78">
        <v>3695</v>
      </c>
      <c r="T15" s="78">
        <v>5606</v>
      </c>
      <c r="U15" s="78">
        <v>1758</v>
      </c>
      <c r="V15" s="78">
        <v>-142</v>
      </c>
      <c r="W15" s="71">
        <v>2168</v>
      </c>
      <c r="X15" s="78">
        <v>-215</v>
      </c>
      <c r="Y15" s="106">
        <v>-9907</v>
      </c>
      <c r="Z15" s="78">
        <v>0</v>
      </c>
      <c r="AA15" s="78">
        <v>6124</v>
      </c>
      <c r="AB15" s="78" ph="1">
        <v>355</v>
      </c>
      <c r="AC15" s="78" ph="1">
        <v>772</v>
      </c>
      <c r="AD15" s="78">
        <v>34.11</v>
      </c>
      <c r="AE15" s="78">
        <v>84.71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49" t="s" ph="1">
        <v>179</v>
      </c>
      <c r="D16" s="73" ph="1">
        <f>D15*7.0686*LOOKUP(D17,密度!$A$2:$A$50,密度!$L$2:$L$50)</f>
        <v>30963.825585000002</v>
      </c>
      <c r="E16" s="73" ph="1">
        <f>E15*7.0686*LOOKUP(E17,密度!$A$2:$A$50,密度!$L$2:$L$50)</f>
        <v>24724.697520600002</v>
      </c>
      <c r="F16" s="73" ph="1">
        <f>F15*9.0746*LOOKUP(F17,密度!$A$2:$A$50,密度!$L$2:$L$50)</f>
        <v>40216.358550000004</v>
      </c>
      <c r="G16" s="73" ph="1">
        <f>G15*9.0746*LOOKUP(G17,密度!$A$2:$A$50,密度!$B$2:$B$50)</f>
        <v>20459.622198720001</v>
      </c>
      <c r="H16" s="73" ph="1">
        <f>H15*9.0746*LOOKUP(H17,密度!$A$2:$A$50,密度!$L$2:$L$50)</f>
        <v>0</v>
      </c>
      <c r="I16" s="73" ph="1">
        <f>I15*9.0746*LOOKUP(I17,密度!$A$2:$A$50,密度!$U$2:$U$50)</f>
        <v>49000.117619999997</v>
      </c>
      <c r="J16" s="73" ph="1">
        <f>J15*9.0746*LOOKUP(J17,密度!$A$2:$A$50,密度!$L$2:$L$50)</f>
        <v>8323.9490880000012</v>
      </c>
      <c r="K16" s="73" ph="1">
        <f>K15*9.0746*LOOKUP(K17,密度!$A$2:$A$50,密度!$C$2:$C$50)</f>
        <v>45291.798664280002</v>
      </c>
      <c r="L16" s="73" ph="1">
        <f>L15*9.0746*LOOKUP(L17,密度!$A$2:$A$50,密度!$E$2:$E$50)</f>
        <v>19983.67757792</v>
      </c>
      <c r="M16" s="73" ph="1">
        <f>M15*9.0746*LOOKUP(M17,密度!$A$2:$A$50,密度!$M$2:$M$50)</f>
        <v>29705.5942048</v>
      </c>
      <c r="N16" s="73" ph="1">
        <f>N15*9.0746*LOOKUP(N17,密度!$A$2:$A$50,密度!$M$2:$M$50)</f>
        <v>9135.25734878</v>
      </c>
      <c r="O16" s="73" ph="1">
        <f>O15*9.0746*LOOKUP(O17,密度!$A$2:$A$50,密度!$G$2:$G$50)</f>
        <v>59600.983668599998</v>
      </c>
      <c r="P16" s="73" ph="1">
        <f ca="1">P15*9.0746*LOOKUP(P17,密度!$A$2:$A$51,密度!$Q$2:$Q$50)</f>
        <v>30350.382285136002</v>
      </c>
      <c r="Q16" s="73" ph="1">
        <f>Q15*9.0746*LOOKUP(Q17,密度!$A$2:$A$50,密度!$Q$2:$Q$50)</f>
        <v>59030.731630284004</v>
      </c>
      <c r="R16" s="73" ph="1">
        <f>MAX(R15*9.0746*LOOKUP(R17,密度!$A$2:$A$50,密度!$B$2:$B$50),0)</f>
        <v>0</v>
      </c>
      <c r="S16" s="73" ph="1">
        <f>S15*9.0746*LOOKUP(S17,密度!$A$2:$A$50,密度!$Q$2:$Q$50)</f>
        <v>31720.997981409997</v>
      </c>
      <c r="T16" s="73" ph="1">
        <f>T15*9.0746*LOOKUP(T17,密度!$A$2:$A$50,密度!$O$2:$O$50)</f>
        <v>47107.664237600002</v>
      </c>
      <c r="U16" s="73" ph="1">
        <f>U15*9.0746*LOOKUP(U17,密度!$A$2:$A$50,密度!$H$2:$H$50)</f>
        <v>14592.34337796</v>
      </c>
      <c r="V16" s="73" ph="1">
        <f>MAX(5600*LOOKUP(V17,密度!$A$2:$A$50,密度!$Q$2:$Q$50)+V15*9.0476*LOOKUP(V17,密度!$A$2:$A$50,密度!$Q$2:$Q$50),0)</f>
        <v>4076.2627644960003</v>
      </c>
      <c r="W16" s="73" ph="1">
        <f>MAX(5600*LOOKUP(W17,密度!$A$2:$A$50,密度!$Q$2:$Q$50)+W15*9.0476*LOOKUP(W17,密度!$A$2:$A$50,密度!$Q$2:$Q$50),0)</f>
        <v>23818.779201215999</v>
      </c>
      <c r="X16" s="73" ph="1">
        <f>MAX(5600*LOOKUP(X17,密度!$A$2:$A$50,密度!$I$2:$I$50)+X15*9.0476*LOOKUP(X17,密度!$A$2:$A$50,密度!$I$2:$I$50),0)</f>
        <v>3800.9566400000003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43230.120326160002</v>
      </c>
      <c r="AB16" s="73" ph="1">
        <f>AB15*9.0746*LOOKUP(AB17,密度!$A$2:$A$50,密度!$L$2:$L$50)</f>
        <v>3012.0866050000004</v>
      </c>
      <c r="AC16" s="73" ph="1">
        <f>AC15*9.0746*LOOKUP(AC17,密度!$A$2:$A$50,密度!$L$2:$L$50)</f>
        <v>6550.2277720000002</v>
      </c>
      <c r="AD16" s="73" ph="1">
        <f>AD15*268.68*LOOKUP(AD17,密度!$A$2:$A$50,密度!B2:B50)+IF(AD15&lt;=0,0,1566*LOOKUP(AD17,密度!$A$2:$A$50,密度!B2:B50))</f>
        <v>8365.6340740800006</v>
      </c>
      <c r="AE16" s="73" ph="1">
        <f>AE15*268.68*LOOKUP(AE17,密度!$A$2:$A$50,密度!B2:B50)+IF(AE15&lt;=0,0,1566*LOOKUP(AE17,密度!$A$2:$A$50,密度!B2:B50))</f>
        <v>18964.458230879998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25</v>
      </c>
      <c r="E17" s="74">
        <v>25</v>
      </c>
      <c r="F17" s="74">
        <v>29</v>
      </c>
      <c r="G17" s="74">
        <v>25</v>
      </c>
      <c r="H17" s="74">
        <v>24</v>
      </c>
      <c r="I17" s="74">
        <v>25</v>
      </c>
      <c r="J17" s="74">
        <v>26</v>
      </c>
      <c r="K17" s="74">
        <v>27</v>
      </c>
      <c r="L17" s="74">
        <v>28</v>
      </c>
      <c r="M17" s="74">
        <v>28</v>
      </c>
      <c r="N17" s="74">
        <v>27</v>
      </c>
      <c r="O17" s="74">
        <v>28</v>
      </c>
      <c r="P17" s="74">
        <v>27</v>
      </c>
      <c r="Q17" s="74">
        <v>25</v>
      </c>
      <c r="R17" s="74">
        <v>26</v>
      </c>
      <c r="S17" s="74">
        <v>26</v>
      </c>
      <c r="T17" s="74">
        <v>25</v>
      </c>
      <c r="U17" s="74">
        <v>25</v>
      </c>
      <c r="V17" s="74">
        <v>28</v>
      </c>
      <c r="W17" s="74">
        <v>28</v>
      </c>
      <c r="X17" s="74">
        <v>27</v>
      </c>
      <c r="Y17" s="108">
        <v>27</v>
      </c>
      <c r="Z17" s="74">
        <v>26</v>
      </c>
      <c r="AA17" s="74">
        <v>27</v>
      </c>
      <c r="AB17" s="74">
        <v>27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4686</v>
      </c>
      <c r="E18" s="71">
        <v>1030</v>
      </c>
      <c r="F18" s="71">
        <v>4755</v>
      </c>
      <c r="G18" s="71">
        <v>3029</v>
      </c>
      <c r="H18" s="71">
        <v>0</v>
      </c>
      <c r="I18" s="71">
        <v>5273</v>
      </c>
      <c r="J18" s="71">
        <v>983</v>
      </c>
      <c r="K18" s="71">
        <v>4547</v>
      </c>
      <c r="L18" s="71">
        <v>2833</v>
      </c>
      <c r="M18" s="71">
        <v>3765</v>
      </c>
      <c r="N18" s="71">
        <v>4803</v>
      </c>
      <c r="O18" s="71">
        <v>6875</v>
      </c>
      <c r="P18" s="71">
        <v>3545</v>
      </c>
      <c r="Q18" s="71">
        <v>6884</v>
      </c>
      <c r="R18" s="71">
        <v>0</v>
      </c>
      <c r="S18" s="71">
        <v>5529</v>
      </c>
      <c r="T18" s="71">
        <v>4646</v>
      </c>
      <c r="U18" s="71">
        <v>1760</v>
      </c>
      <c r="V18" s="71">
        <v>-143</v>
      </c>
      <c r="W18" s="71">
        <v>2168</v>
      </c>
      <c r="X18" s="71">
        <v>-261</v>
      </c>
      <c r="Y18" s="109">
        <v>-9908</v>
      </c>
      <c r="Z18" s="71">
        <v>0</v>
      </c>
      <c r="AA18" s="71">
        <v>6135</v>
      </c>
      <c r="AB18" s="71">
        <v>354</v>
      </c>
      <c r="AC18" s="71">
        <v>772</v>
      </c>
      <c r="AD18" s="71">
        <v>77.510000000000005</v>
      </c>
      <c r="AE18" s="71">
        <v>83.71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49" t="s" ph="1">
        <v>179</v>
      </c>
      <c r="D19" s="73" ph="1">
        <f>D18*7.0686*LOOKUP(D20,密度!$A$2:$A$50,密度!$L$2:$L$50)</f>
        <v>30904.187806800004</v>
      </c>
      <c r="E19" s="73" ph="1">
        <f>E18*7.0686*LOOKUP(E20,密度!$A$2:$A$50,密度!$L$2:$L$50)</f>
        <v>6792.8539140000003</v>
      </c>
      <c r="F19" s="73" ph="1">
        <f>F18*9.0746*LOOKUP(F20,密度!$A$2:$A$50,密度!$L$2:$L$50)</f>
        <v>40086.092666999997</v>
      </c>
      <c r="G19" s="73" ph="1">
        <f>G18*9.0746*LOOKUP(G20,密度!$A$2:$A$50,密度!$B$2:$B$50)</f>
        <v>21357.370561800002</v>
      </c>
      <c r="H19" s="73" ph="1">
        <f>H18*9.0746*LOOKUP(H20,密度!$A$2:$A$50,密度!$L$2:$L$50)</f>
        <v>0</v>
      </c>
      <c r="I19" s="73" ph="1">
        <f>I18*9.0746*LOOKUP(I20,密度!$A$2:$A$50,密度!$U$2:$U$50)</f>
        <v>48855.223481799992</v>
      </c>
      <c r="J19" s="73" ph="1">
        <f>J18*9.0746*LOOKUP(J20,密度!$A$2:$A$50,密度!$L$2:$L$50)</f>
        <v>8313.7492376000009</v>
      </c>
      <c r="K19" s="73" ph="1">
        <f>K18*9.0746*LOOKUP(K20,密度!$A$2:$A$50,密度!$C$2:$C$50)</f>
        <v>45557.601865420002</v>
      </c>
      <c r="L19" s="73" ph="1">
        <f>L18*9.0746*LOOKUP(L20,密度!$A$2:$A$50,密度!$E$2:$E$50)</f>
        <v>20019.08575966</v>
      </c>
      <c r="M19" s="73" ph="1">
        <f>M18*9.0746*LOOKUP(M20,密度!$A$2:$A$50,密度!$M$2:$M$50)</f>
        <v>29792.637768000001</v>
      </c>
      <c r="N19" s="73" ph="1">
        <f>N18*9.0746*LOOKUP(N20,密度!$A$2:$A$50,密度!$M$2:$M$50)</f>
        <v>37914.855775620003</v>
      </c>
      <c r="O19" s="73" ph="1">
        <f>O18*9.0746*LOOKUP(O20,密度!$A$2:$A$50,密度!$G$2:$G$50)</f>
        <v>59561.704262500003</v>
      </c>
      <c r="P19" s="73" ph="1">
        <f ca="1">P18*9.0746*LOOKUP(P20,密度!$A$2:$A$51,密度!$Q$2:$Q$50)</f>
        <v>30365.715546010004</v>
      </c>
      <c r="Q19" s="73" ph="1">
        <f>Q18*9.0746*LOOKUP(Q20,密度!$A$2:$A$50,密度!$Q$2:$Q$50)</f>
        <v>58966.878933352004</v>
      </c>
      <c r="R19" s="73" ph="1">
        <f>MAX(R18*9.0746*LOOKUP(R20,密度!$A$2:$A$50,密度!$B$2:$B$50),0)</f>
        <v>0</v>
      </c>
      <c r="S19" s="73" ph="1">
        <f>S18*9.0746*LOOKUP(S20,密度!$A$2:$A$50,密度!$Q$2:$Q$50)</f>
        <v>47360.237307162002</v>
      </c>
      <c r="T19" s="73" ph="1">
        <f>T18*9.0746*LOOKUP(T20,密度!$A$2:$A$50,密度!$O$2:$O$50)</f>
        <v>39040.707821600001</v>
      </c>
      <c r="U19" s="73" ph="1">
        <f>U18*9.0746*LOOKUP(U20,密度!$A$2:$A$50,密度!$H$2:$H$50)</f>
        <v>14580.196118400001</v>
      </c>
      <c r="V19" s="73" ph="1">
        <f>MAX(5600*LOOKUP(V20,密度!$A$2:$A$50,密度!$Q$2:$Q$50)+V18*9.0476*LOOKUP(V20,密度!$A$2:$A$50,密度!$Q$2:$Q$50),0)</f>
        <v>4053.2043494999998</v>
      </c>
      <c r="W19" s="73" ph="1">
        <f>MAX(5600*LOOKUP(W20,密度!$A$2:$A$50,密度!$Q$2:$Q$50)+W18*9.0476*LOOKUP(W20,密度!$A$2:$A$50,密度!$Q$2:$Q$50),0)</f>
        <v>23733.803988</v>
      </c>
      <c r="X19" s="73" ph="1">
        <f>MAX(5600*LOOKUP(X20,密度!$A$2:$A$50,密度!$I$2:$I$50)+X18*9.0476*LOOKUP(X20,密度!$A$2:$A$50,密度!$I$2:$I$50),0)</f>
        <v>3346.3886083560001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43213.1272302</v>
      </c>
      <c r="AB19" s="73" ph="1">
        <f>AB18*9.0746*LOOKUP(AB20,密度!$A$2:$A$50,密度!$L$2:$L$50)</f>
        <v>2984.3274036000003</v>
      </c>
      <c r="AC19" s="73" ph="1">
        <f>AC18*9.0746*LOOKUP(AC20,密度!$A$2:$A$50,密度!$L$2:$L$50)</f>
        <v>6501.1886335999998</v>
      </c>
      <c r="AD19" s="73" ph="1">
        <f>AD18*268.68*LOOKUP(AD20,密度!$A$2:$A$50,密度!B5:B53)+IF(AD18&lt;=0,0,1566*LOOKUP(AD20,密度!$A$2:$A$50,密度!B5:B53))</f>
        <v>17398.107543599999</v>
      </c>
      <c r="AE19" s="73" ph="1">
        <f>AE18*268.68*LOOKUP(AE20,密度!$A$2:$A$50,密度!B5:B53)+IF(AE18&lt;=0,0,1566*LOOKUP(AE20,密度!$A$2:$A$50,密度!B5:B53))</f>
        <v>18692.446575599999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29</v>
      </c>
      <c r="E20" s="81">
        <v>29</v>
      </c>
      <c r="F20" s="81">
        <v>33</v>
      </c>
      <c r="G20" s="81">
        <v>28</v>
      </c>
      <c r="H20" s="81">
        <v>32</v>
      </c>
      <c r="I20" s="81">
        <v>29</v>
      </c>
      <c r="J20" s="81">
        <v>30</v>
      </c>
      <c r="K20" s="81">
        <v>31</v>
      </c>
      <c r="L20" s="81">
        <v>29</v>
      </c>
      <c r="M20" s="81">
        <v>28</v>
      </c>
      <c r="N20" s="81">
        <v>30</v>
      </c>
      <c r="O20" s="81">
        <v>30</v>
      </c>
      <c r="P20" s="81">
        <v>29</v>
      </c>
      <c r="Q20" s="81">
        <v>29</v>
      </c>
      <c r="R20" s="81">
        <v>32</v>
      </c>
      <c r="S20" s="81">
        <v>29</v>
      </c>
      <c r="T20" s="81">
        <v>29</v>
      </c>
      <c r="U20" s="81">
        <v>27</v>
      </c>
      <c r="V20" s="81">
        <v>33</v>
      </c>
      <c r="W20" s="81">
        <v>33</v>
      </c>
      <c r="X20" s="81">
        <v>33</v>
      </c>
      <c r="Y20" s="110">
        <v>33</v>
      </c>
      <c r="Z20" s="81">
        <v>33</v>
      </c>
      <c r="AA20" s="81">
        <v>29</v>
      </c>
      <c r="AB20" s="81">
        <v>33</v>
      </c>
      <c r="AC20" s="81">
        <v>34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644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49" t="s" ph="1">
        <v>178</v>
      </c>
      <c r="D24" s="71">
        <v>68.209999999999994</v>
      </c>
      <c r="E24" s="71">
        <v>40.409999999999997</v>
      </c>
      <c r="F24" s="71">
        <v>3879</v>
      </c>
      <c r="G24" s="71">
        <v>3315</v>
      </c>
      <c r="H24" s="71">
        <v>3184</v>
      </c>
      <c r="I24" s="71">
        <v>0</v>
      </c>
      <c r="J24" s="71">
        <v>533</v>
      </c>
      <c r="K24" s="71">
        <v>5490</v>
      </c>
      <c r="L24" s="71">
        <v>5590</v>
      </c>
      <c r="M24" s="71">
        <v>3431</v>
      </c>
      <c r="N24" s="71">
        <v>3863</v>
      </c>
      <c r="O24" s="71">
        <v>4312</v>
      </c>
      <c r="P24" s="71">
        <v>680</v>
      </c>
      <c r="Q24" s="90">
        <v>5023</v>
      </c>
      <c r="R24" s="71">
        <v>3258</v>
      </c>
      <c r="S24" s="71">
        <v>7015</v>
      </c>
      <c r="T24" s="71">
        <v>1692</v>
      </c>
      <c r="U24" s="71">
        <v>6041</v>
      </c>
      <c r="V24" s="71">
        <v>11753</v>
      </c>
      <c r="W24" s="71">
        <v>11681</v>
      </c>
      <c r="X24" s="71">
        <v>3806</v>
      </c>
      <c r="Y24" s="71">
        <v>496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18833.179579272</v>
      </c>
      <c r="E25" s="91" ph="1">
        <f>E24*268.68*LOOKUP(E26,密度!$A$2:$A$50,密度!$C$2:$C$50)+IF(E24&lt;=0,0,1566*LOOKUP(E26,密度!$A$2:$A$50,密度!$C$2:$C$50))</f>
        <v>13776.262573319998</v>
      </c>
      <c r="F25" s="91" ph="1">
        <f>F24*11.702*LOOKUP(F26,密度!$A$2:$A$50,密度!$Q$2:$Q$50)</f>
        <v>42942.248629739996</v>
      </c>
      <c r="G25" s="91" ph="1">
        <f>G24*18.322*LOOKUP(G26,密度!$A$2:$A$50,密度!$B$2:$B$50)</f>
        <v>47296.236741000001</v>
      </c>
      <c r="H25" s="91" ph="1">
        <f>H24*18.322*LOOKUP(H26,密度!$A$2:$A$50,密度!$B$2:$B$50)</f>
        <v>45427.2150176</v>
      </c>
      <c r="I25" s="91" ph="1">
        <f>I24*18.322*LOOKUP(I26,密度!$A$2:$A$50,密度!$Q$2:$Q$50)</f>
        <v>0</v>
      </c>
      <c r="J25" s="91" ph="1">
        <f>J24*18.322*LOOKUP(J26,密度!$A$2:$A$50,密度!$Q$2:$Q$50)</f>
        <v>9238.5751647800007</v>
      </c>
      <c r="K25" s="91" ph="1">
        <f>K24*18.322*LOOKUP(K26,密度!$A$2:$A$50,密度!$Q$2:$Q$50)</f>
        <v>95159.057513399996</v>
      </c>
      <c r="L25" s="91" ph="1">
        <f>L24*18.322*LOOKUP(L26,密度!$A$2:$A$50,密度!$Q$2:$Q$50)</f>
        <v>96819.655493600003</v>
      </c>
      <c r="M25" s="91" ph="1">
        <f>M24*18.322*LOOKUP(M26,密度!$A$2:$A$50,密度!$Q$2:$Q$50)</f>
        <v>59425.445080240002</v>
      </c>
      <c r="N25" s="91" ph="1">
        <f>N24*18.322*LOOKUP(N26,密度!$A$2:$A$50,密度!$Q$2:$Q$50)</f>
        <v>66958.003492579999</v>
      </c>
      <c r="O25" s="91" ph="1">
        <f>O24*18.322*LOOKUP(O26,密度!$A$2:$A$50,密度!$C$2:$C$50)</f>
        <v>87544.846558399993</v>
      </c>
      <c r="P25" s="91" ph="1">
        <f>P24*11.702*LOOKUP(P26,密度!$A$2:$A$50,密度!$B$2:$B$50)</f>
        <v>6190.0303439999998</v>
      </c>
      <c r="Q25" s="92" ph="1">
        <f>Q24*18.322*LOOKUP(Q26,密度!$A$2:$A$50,密度!$B$2:$B$50)</f>
        <v>71747.684117600002</v>
      </c>
      <c r="R25" s="91" ph="1">
        <f>R24*35.891*LOOKUP(R26,密度!$A$2:$A$50,密度!$C$2:$C$50)</f>
        <v>129573.32211180001</v>
      </c>
      <c r="S25" s="91" ph="1">
        <f>S24*35.891*LOOKUP(S26,密度!$A$2:$A$50,密度!$B$2:$B$50)</f>
        <v>196057.47672549999</v>
      </c>
      <c r="T25" s="91" ph="1">
        <f>T24*35.891*LOOKUP(T26,密度!$A$2:$A$50,密度!$Q$2:$Q$50)</f>
        <v>57450.104939160003</v>
      </c>
      <c r="U25" s="91" ph="1">
        <f>U24*35.891</f>
        <v>216817.53099999999</v>
      </c>
      <c r="V25" s="91" ph="1">
        <f>V24*47.051*LOOKUP(V26,密度!$A$2:$A$50,密度!$B$2:$B$50)</f>
        <v>429673.54313100007</v>
      </c>
      <c r="W25" s="91" ph="1">
        <f>W24*47.051*LOOKUP(W26,密度!$A$2:$A$50,密度!$B$2:$B$50)</f>
        <v>427041.32198700006</v>
      </c>
      <c r="X25" s="91" ph="1">
        <f>X24*47.051*LOOKUP(X26,密度!$A$2:$A$50,密度!$I$2:$I$50)</f>
        <v>186042.1665234</v>
      </c>
      <c r="Y25" s="91" ph="1">
        <f>Y24*47.051*LOOKUP(Y26,密度!$A$2:$A$50,密度!$L$2:$L$50)</f>
        <v>21820.371760000002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26</v>
      </c>
      <c r="G26" s="74">
        <v>26</v>
      </c>
      <c r="H26" s="74">
        <v>26</v>
      </c>
      <c r="I26" s="74">
        <v>27</v>
      </c>
      <c r="J26" s="74">
        <v>26</v>
      </c>
      <c r="K26" s="74">
        <v>26</v>
      </c>
      <c r="L26" s="74">
        <v>27</v>
      </c>
      <c r="M26" s="74">
        <v>27</v>
      </c>
      <c r="N26" s="74">
        <v>26</v>
      </c>
      <c r="O26" s="74">
        <v>26</v>
      </c>
      <c r="P26" s="74">
        <v>27</v>
      </c>
      <c r="Q26" s="93">
        <v>25</v>
      </c>
      <c r="R26" s="74">
        <v>26</v>
      </c>
      <c r="S26" s="74">
        <v>26</v>
      </c>
      <c r="T26" s="74">
        <v>26</v>
      </c>
      <c r="U26" s="74">
        <v>27</v>
      </c>
      <c r="V26" s="74">
        <v>28</v>
      </c>
      <c r="W26" s="74">
        <v>28</v>
      </c>
      <c r="X26" s="74">
        <v>28</v>
      </c>
      <c r="Y26" s="74">
        <v>27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49" t="s" ph="1">
        <v>181</v>
      </c>
      <c r="D27" s="71">
        <v>68.31</v>
      </c>
      <c r="E27" s="71">
        <v>9.01</v>
      </c>
      <c r="F27" s="71">
        <v>3882</v>
      </c>
      <c r="G27" s="71">
        <v>3122</v>
      </c>
      <c r="H27" s="71">
        <v>3154</v>
      </c>
      <c r="I27" s="71">
        <v>0</v>
      </c>
      <c r="J27" s="71">
        <v>1089</v>
      </c>
      <c r="K27" s="71">
        <v>5494</v>
      </c>
      <c r="L27" s="71">
        <v>5590</v>
      </c>
      <c r="M27" s="71">
        <v>4534</v>
      </c>
      <c r="N27" s="71">
        <v>4091</v>
      </c>
      <c r="O27" s="71">
        <v>4310</v>
      </c>
      <c r="P27" s="71">
        <v>678</v>
      </c>
      <c r="Q27" s="90">
        <v>5272</v>
      </c>
      <c r="R27" s="71">
        <v>3739</v>
      </c>
      <c r="S27" s="71">
        <v>7016</v>
      </c>
      <c r="T27" s="71">
        <v>1690</v>
      </c>
      <c r="U27" s="71">
        <v>5968</v>
      </c>
      <c r="V27" s="71">
        <v>11762</v>
      </c>
      <c r="W27" s="71">
        <v>11688</v>
      </c>
      <c r="X27" s="71">
        <v>4398</v>
      </c>
      <c r="Y27" s="71">
        <v>1047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49" t="s" ph="1">
        <v>179</v>
      </c>
      <c r="D28" s="91" ph="1">
        <f>D27*268.68*LOOKUP(D29,密度!$A$2:$A$50,密度!$Q$2:$Q$50)+IF(D27&lt;=0,0,1566*LOOKUP(D29,密度!$A$2:$A$50,密度!$Q$2:$Q$50))</f>
        <v>18858.616589592002</v>
      </c>
      <c r="E28" s="91" ph="1">
        <f>E27*268.68*LOOKUP(E29,密度!$A$2:$A$50,密度!$C$2:$C$50)+IF(E27&lt;=0,0,1566*LOOKUP(E29,密度!$A$2:$A$50,密度!$C$2:$C$50))</f>
        <v>4420.9700605199996</v>
      </c>
      <c r="F28" s="91" ph="1">
        <f>F27*11.702*LOOKUP(F29,密度!$A$2:$A$50,密度!$Q$2:$Q$50)</f>
        <v>42787.845771599998</v>
      </c>
      <c r="G28" s="91" ph="1">
        <f>G27*18.322*LOOKUP(G29,密度!$A$2:$A$50,密度!$B$2:$B$50)</f>
        <v>44296.674329599999</v>
      </c>
      <c r="H28" s="91" ph="1">
        <f>H27*18.322*LOOKUP(H29,密度!$A$2:$A$50,密度!$B$2:$B$50)</f>
        <v>44854.725805599999</v>
      </c>
      <c r="I28" s="91" ph="1">
        <f>I27*18.322*LOOKUP(I29,密度!$A$2:$A$50,密度!$Q$2:$Q$50)</f>
        <v>0</v>
      </c>
      <c r="J28" s="91" ph="1">
        <f>J27*18.322*LOOKUP(J29,密度!$A$2:$A$50,密度!$Q$2:$Q$50)</f>
        <v>18821.940871139999</v>
      </c>
      <c r="K28" s="91" ph="1">
        <f>K27*18.322*LOOKUP(K29,密度!$A$2:$A$50,密度!$Q$2:$Q$50)</f>
        <v>94956.605276439994</v>
      </c>
      <c r="L28" s="91" ph="1">
        <f>L27*18.322*LOOKUP(L29,密度!$A$2:$A$50,密度!$Q$2:$Q$50)</f>
        <v>96539.024748399999</v>
      </c>
      <c r="M28" s="91" ph="1">
        <f>M27*18.322*LOOKUP(M29,密度!$A$2:$A$50,密度!$Q$2:$Q$50)</f>
        <v>78301.956745839983</v>
      </c>
      <c r="N28" s="91" ph="1">
        <f>N27*18.322*LOOKUP(N29,密度!$A$2:$A$50,密度!$Q$2:$Q$50)</f>
        <v>70551.678007499999</v>
      </c>
      <c r="O28" s="91" ph="1">
        <f>O27*18.322*LOOKUP(O29,密度!$A$2:$A$50,密度!$C$2:$C$50)</f>
        <v>87101.505459999986</v>
      </c>
      <c r="P28" s="91" ph="1">
        <f>P27*11.702*LOOKUP(P29,密度!$A$2:$A$50,密度!$B$2:$B$50)</f>
        <v>6151.1960867999996</v>
      </c>
      <c r="Q28" s="92" ph="1">
        <f>Q27*18.322*LOOKUP(Q29,密度!$A$2:$A$50,密度!$B$2:$B$50)</f>
        <v>74889.005675199995</v>
      </c>
      <c r="R28" s="91" ph="1">
        <f>R27*35.891*LOOKUP(R29,密度!$A$2:$A$50,密度!$C$2:$C$50)</f>
        <v>148300.49578989999</v>
      </c>
      <c r="S28" s="91" ph="1">
        <f>S27*35.891*LOOKUP(S29,密度!$A$2:$A$50,密度!$B$2:$B$50)</f>
        <v>195455.89690719999</v>
      </c>
      <c r="T28" s="91" ph="1">
        <f>T27*35.891*LOOKUP(T29,密度!$A$2:$A$50,密度!$Q$2:$Q$50)</f>
        <v>57296.672349799992</v>
      </c>
      <c r="U28" s="91" ph="1">
        <f>U27*35.891</f>
        <v>214197.48799999998</v>
      </c>
      <c r="V28" s="91" ph="1">
        <f>V27*47.051*LOOKUP(V29,密度!$A$2:$A$50,密度!$B$2:$B$50)</f>
        <v>428563.69473279995</v>
      </c>
      <c r="W28" s="91" ph="1">
        <f>W27*47.051*LOOKUP(W29,密度!$A$2:$A$50,密度!$B$2:$B$50)</f>
        <v>426362.34782639996</v>
      </c>
      <c r="X28" s="91" ph="1">
        <f>X27*47.051*LOOKUP(X29,密度!$A$2:$A$50,密度!$I$2:$I$50)</f>
        <v>213819.00762042002</v>
      </c>
      <c r="Y28" s="91" ph="1">
        <f>Y27*47.051*LOOKUP(Y29,密度!$A$2:$A$50,密度!$L$2:$L$50)</f>
        <v>45961.816401000004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49" t="s" ph="1">
        <v>180</v>
      </c>
      <c r="D29" s="74">
        <v>25</v>
      </c>
      <c r="E29" s="74">
        <v>25</v>
      </c>
      <c r="F29" s="74">
        <v>32</v>
      </c>
      <c r="G29" s="74">
        <v>31</v>
      </c>
      <c r="H29" s="74">
        <v>29</v>
      </c>
      <c r="I29" s="74">
        <v>29</v>
      </c>
      <c r="J29" s="74">
        <v>30</v>
      </c>
      <c r="K29" s="74">
        <v>30</v>
      </c>
      <c r="L29" s="74">
        <v>31</v>
      </c>
      <c r="M29" s="74">
        <v>31</v>
      </c>
      <c r="N29" s="74">
        <v>33</v>
      </c>
      <c r="O29" s="74">
        <v>32</v>
      </c>
      <c r="P29" s="74">
        <v>30</v>
      </c>
      <c r="Q29" s="93">
        <v>30</v>
      </c>
      <c r="R29" s="74">
        <v>30</v>
      </c>
      <c r="S29" s="74">
        <v>29</v>
      </c>
      <c r="T29" s="74">
        <v>28</v>
      </c>
      <c r="U29" s="74">
        <v>31</v>
      </c>
      <c r="V29" s="74">
        <v>31</v>
      </c>
      <c r="W29" s="74">
        <v>30</v>
      </c>
      <c r="X29" s="74">
        <v>33</v>
      </c>
      <c r="Y29" s="74">
        <v>29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36484.023366000001</v>
      </c>
      <c r="E33" s="182" ph="1">
        <f>M10+I10</f>
        <v>125701.69739649999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[[#This Row],[F25]]</f>
        <v>3880</v>
      </c>
      <c r="G33" s="208" ph="1">
        <v>0</v>
      </c>
      <c r="H33" s="182" ph="1">
        <f>N19</f>
        <v>37914.855775620003</v>
      </c>
      <c r="I33" s="186" ph="1">
        <v>0</v>
      </c>
      <c r="J33" s="190" ph="1">
        <f>F10+O28</f>
        <v>228869.78719779997</v>
      </c>
      <c r="K33" s="182" ph="1">
        <f>O10+K10+E28+R28</f>
        <v>301303.79273281997</v>
      </c>
      <c r="L33" s="192" ph="1">
        <f>BE27</f>
        <v>7100</v>
      </c>
      <c r="M33" s="190" ph="1">
        <f>G10+H10+W28+S28+V28+E10</f>
        <v>1945141.5319003998</v>
      </c>
      <c r="N33" s="182" ph="1">
        <f>L10+P10++G28+H28</f>
        <v>143151.6300222</v>
      </c>
      <c r="O33" s="186" ph="1">
        <f>BE17</f>
        <v>2270</v>
      </c>
      <c r="P33" s="190" ph="1">
        <f>L19</f>
        <v>20019.08575966</v>
      </c>
      <c r="Q33" s="182" ph="1">
        <f>J10+N10</f>
        <v>16520.98808585</v>
      </c>
      <c r="R33" s="186" ph="1">
        <f>BE23</f>
        <v>890</v>
      </c>
      <c r="S33" s="190" ph="1">
        <f>E10+X28</f>
        <v>532898.04429242003</v>
      </c>
      <c r="T33" s="182" ph="1">
        <f>X19</f>
        <v>3346.3886083560001</v>
      </c>
      <c r="U33" s="171" ph="1">
        <f>BE21</f>
        <v>730</v>
      </c>
      <c r="V33" s="184" ph="1">
        <f ca="1">P19+Q19+S19+M28+N28+J28</f>
        <v>304368.40741100401</v>
      </c>
      <c r="W33" s="184" ph="1">
        <f>D28+F28+V19+T28</f>
        <v>122996.33906049198</v>
      </c>
      <c r="X33" s="186" ph="1">
        <f>BE29+BE31</f>
        <v>10200</v>
      </c>
      <c r="Y33" s="188" ph="1">
        <f>+Q10+R10+S10+T10+U10+V10+W10+X10+Y10</f>
        <v>108383.3527392</v>
      </c>
      <c r="Z33" s="169" ph="1">
        <f>D10+T19+U19+Y28+Z10</f>
        <v>426115.13303471002</v>
      </c>
      <c r="AA33" s="171" ph="1">
        <f>BE19</f>
        <v>1440</v>
      </c>
      <c r="AB33" s="173" ph="1">
        <f>I19</f>
        <v>48855.223481799992</v>
      </c>
      <c r="AC33" s="175" ph="1">
        <f>AD10</f>
        <v>70090.118582399999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47" t="s" ph="1">
        <v>186</v>
      </c>
      <c r="AA36" s="147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345</v>
      </c>
      <c r="AI37" s="147" t="s" ph="1">
        <v>212</v>
      </c>
      <c r="AJ37" s="147" t="s" ph="1">
        <v>213</v>
      </c>
      <c r="AK37" s="147" t="s" ph="1">
        <v>214</v>
      </c>
      <c r="AM37" s="147" t="s" ph="1">
        <v>213</v>
      </c>
      <c r="AN37" s="147" t="s" ph="1">
        <v>214</v>
      </c>
      <c r="AO37" s="147" t="s" ph="1">
        <v>215</v>
      </c>
      <c r="AP37" s="147" t="s" ph="1">
        <v>213</v>
      </c>
      <c r="AQ37" s="147" t="s" ph="1">
        <v>214</v>
      </c>
      <c r="AR37" s="147" t="s" ph="1">
        <v>215</v>
      </c>
      <c r="AS37" s="147" t="s" ph="1">
        <v>213</v>
      </c>
      <c r="AT37" s="147" t="s" ph="1">
        <v>214</v>
      </c>
      <c r="AU37" s="147" t="s" ph="1">
        <v>215</v>
      </c>
      <c r="AV37" s="147" t="s" ph="1">
        <v>213</v>
      </c>
      <c r="AW37" s="147" t="s" ph="1">
        <v>214</v>
      </c>
      <c r="AX37" s="147" t="s" ph="1">
        <v>215</v>
      </c>
      <c r="AY37" s="147" t="s" ph="1">
        <v>214</v>
      </c>
      <c r="AZ37" s="147" t="s" ph="1">
        <v>216</v>
      </c>
      <c r="BD37" s="147" t="s" ph="1">
        <v>308</v>
      </c>
      <c r="BE37" s="147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288" priority="97">
      <formula>ABS(D$7-D$10)&gt;=1000</formula>
    </cfRule>
  </conditionalFormatting>
  <conditionalFormatting sqref="E4 E6:E11">
    <cfRule type="expression" dxfId="2287" priority="96">
      <formula>ABS(E$7-E$10)&gt;=1000</formula>
    </cfRule>
  </conditionalFormatting>
  <conditionalFormatting sqref="F4:F11">
    <cfRule type="expression" dxfId="2286" priority="95">
      <formula>ABS(F$7-F$10)&gt;=1000</formula>
    </cfRule>
  </conditionalFormatting>
  <conditionalFormatting sqref="G4:G11">
    <cfRule type="expression" dxfId="2285" priority="94">
      <formula>ABS(G$7-G$10)&gt;=1000</formula>
    </cfRule>
  </conditionalFormatting>
  <conditionalFormatting sqref="H4:H11">
    <cfRule type="expression" dxfId="2284" priority="93">
      <formula>ABS(H$7-H$10)&gt;=1000</formula>
    </cfRule>
  </conditionalFormatting>
  <conditionalFormatting sqref="I4:I11">
    <cfRule type="expression" dxfId="2283" priority="92">
      <formula>ABS(I$7-I$10)&gt;=1000</formula>
    </cfRule>
  </conditionalFormatting>
  <conditionalFormatting sqref="J4:J11">
    <cfRule type="expression" dxfId="2282" priority="91">
      <formula>ABS(J$7-J$10)&gt;=1000</formula>
    </cfRule>
  </conditionalFormatting>
  <conditionalFormatting sqref="K4:K11">
    <cfRule type="expression" dxfId="2281" priority="90">
      <formula>ABS(K$7-K$10)&gt;=1000</formula>
    </cfRule>
  </conditionalFormatting>
  <conditionalFormatting sqref="L4:L11">
    <cfRule type="expression" dxfId="2280" priority="89">
      <formula>ABS(L$7-L$10)&gt;=1000</formula>
    </cfRule>
  </conditionalFormatting>
  <conditionalFormatting sqref="M4 M6:M11">
    <cfRule type="expression" dxfId="2279" priority="88">
      <formula>ABS(M$7-M$10)&gt;=1000</formula>
    </cfRule>
  </conditionalFormatting>
  <conditionalFormatting sqref="N4 N6:N11">
    <cfRule type="expression" dxfId="2278" priority="87">
      <formula>ABS(N$7-N$10)&gt;=1000</formula>
    </cfRule>
  </conditionalFormatting>
  <conditionalFormatting sqref="O4 O6:O11">
    <cfRule type="expression" dxfId="2277" priority="86">
      <formula>ABS(O$7-O$10)&gt;=1000</formula>
    </cfRule>
  </conditionalFormatting>
  <conditionalFormatting sqref="P4 P6:P11">
    <cfRule type="expression" dxfId="2276" priority="85">
      <formula>ABS(P$7-P$10)&gt;=1000</formula>
    </cfRule>
  </conditionalFormatting>
  <conditionalFormatting sqref="Q4:Q11">
    <cfRule type="expression" dxfId="2275" priority="84">
      <formula>ABS(Q$7-Q$10)&gt;=1000</formula>
    </cfRule>
  </conditionalFormatting>
  <conditionalFormatting sqref="R4:R11">
    <cfRule type="expression" dxfId="2274" priority="83">
      <formula>ABS(R$7-R$10)&gt;=1000</formula>
    </cfRule>
  </conditionalFormatting>
  <conditionalFormatting sqref="S4:S11">
    <cfRule type="expression" dxfId="2273" priority="82">
      <formula>ABS(S$7-S$10)&gt;=1000</formula>
    </cfRule>
  </conditionalFormatting>
  <conditionalFormatting sqref="T4:T9 T11">
    <cfRule type="expression" dxfId="2272" priority="81">
      <formula>ABS(T$7-T$10)&gt;=1000</formula>
    </cfRule>
  </conditionalFormatting>
  <conditionalFormatting sqref="U4:U9 U11">
    <cfRule type="expression" dxfId="2271" priority="80">
      <formula>ABS(U$7-U$10)&gt;=1000</formula>
    </cfRule>
  </conditionalFormatting>
  <conditionalFormatting sqref="V4:V9 V11">
    <cfRule type="expression" dxfId="2270" priority="79">
      <formula>ABS(V$7-V$10)&gt;=1000</formula>
    </cfRule>
  </conditionalFormatting>
  <conditionalFormatting sqref="W4:W9 W11">
    <cfRule type="expression" dxfId="2269" priority="78">
      <formula>ABS(W$7-W$10)&gt;=1000</formula>
    </cfRule>
  </conditionalFormatting>
  <conditionalFormatting sqref="X4:X9 X11">
    <cfRule type="expression" dxfId="2268" priority="77">
      <formula>ABS(X$7-X$10)&gt;=1000</formula>
    </cfRule>
  </conditionalFormatting>
  <conditionalFormatting sqref="Y4:Y9 Y11">
    <cfRule type="expression" dxfId="2267" priority="76">
      <formula>ABS(Y$7-Y$10)&gt;=1000</formula>
    </cfRule>
  </conditionalFormatting>
  <conditionalFormatting sqref="Z4:Z11">
    <cfRule type="expression" dxfId="2266" priority="75">
      <formula>ABS(Z$7-Z$10)&gt;=1000</formula>
    </cfRule>
  </conditionalFormatting>
  <conditionalFormatting sqref="AA4:AA11">
    <cfRule type="expression" dxfId="2265" priority="74">
      <formula>ABS(AA$7-AA$10)&gt;=1000</formula>
    </cfRule>
  </conditionalFormatting>
  <conditionalFormatting sqref="AB4:AB11">
    <cfRule type="expression" dxfId="2264" priority="73">
      <formula>ABS(AB$7-AB$10)&gt;=1000</formula>
    </cfRule>
  </conditionalFormatting>
  <conditionalFormatting sqref="AC4 AC6:AC11">
    <cfRule type="expression" dxfId="2263" priority="72">
      <formula>ABS(AC$7-AC$10)&gt;=1000</formula>
    </cfRule>
  </conditionalFormatting>
  <conditionalFormatting sqref="AD4:AD11">
    <cfRule type="expression" dxfId="2262" priority="71">
      <formula>ABS(AD$7-AD$10)&gt;=1000</formula>
    </cfRule>
  </conditionalFormatting>
  <conditionalFormatting sqref="AE4:AE11">
    <cfRule type="expression" dxfId="2261" priority="70">
      <formula>ABS(AE$7-AE$10)&gt;=1000</formula>
    </cfRule>
  </conditionalFormatting>
  <conditionalFormatting sqref="D13:D20">
    <cfRule type="expression" dxfId="2260" priority="69">
      <formula>ABS(D$16-D$19)&gt;=1000</formula>
    </cfRule>
  </conditionalFormatting>
  <conditionalFormatting sqref="E13:E20">
    <cfRule type="expression" dxfId="2259" priority="68">
      <formula>ABS(E$16-E$19)&gt;=1000</formula>
    </cfRule>
  </conditionalFormatting>
  <conditionalFormatting sqref="F13 F15:F20">
    <cfRule type="expression" dxfId="2258" priority="67">
      <formula>ABS(F$16-F$19)&gt;=1000</formula>
    </cfRule>
  </conditionalFormatting>
  <conditionalFormatting sqref="G13:G20">
    <cfRule type="expression" dxfId="2257" priority="66">
      <formula>ABS(G$16-G$19)&gt;=1000</formula>
    </cfRule>
  </conditionalFormatting>
  <conditionalFormatting sqref="H13:H20">
    <cfRule type="expression" dxfId="2256" priority="65">
      <formula>ABS(H$16-H$19)&gt;=1000</formula>
    </cfRule>
  </conditionalFormatting>
  <conditionalFormatting sqref="I13:I20">
    <cfRule type="expression" dxfId="2255" priority="64">
      <formula>ABS(I$16-I$19)&gt;=1000</formula>
    </cfRule>
  </conditionalFormatting>
  <conditionalFormatting sqref="J13:J20">
    <cfRule type="expression" dxfId="2254" priority="63">
      <formula>ABS(J$16-J$19)&gt;=1000</formula>
    </cfRule>
  </conditionalFormatting>
  <conditionalFormatting sqref="L13:L20">
    <cfRule type="expression" dxfId="2253" priority="62">
      <formula>ABS(L$16-L$19)&gt;=1000</formula>
    </cfRule>
  </conditionalFormatting>
  <conditionalFormatting sqref="M13 M15 M17:M18 M20">
    <cfRule type="expression" dxfId="2252" priority="61">
      <formula>ABS(M$16-M$19)&gt;=1000</formula>
    </cfRule>
  </conditionalFormatting>
  <conditionalFormatting sqref="N13:N20">
    <cfRule type="expression" dxfId="2251" priority="60">
      <formula>ABS(N$16-N$19)&gt;=1000</formula>
    </cfRule>
  </conditionalFormatting>
  <conditionalFormatting sqref="O13:O20">
    <cfRule type="expression" dxfId="2250" priority="59">
      <formula>ABS(O$16-O$19)&gt;=1000</formula>
    </cfRule>
  </conditionalFormatting>
  <conditionalFormatting sqref="P13:P20">
    <cfRule type="expression" dxfId="2249" priority="58">
      <formula>ABS(P$16-P$19)&gt;=1000</formula>
    </cfRule>
  </conditionalFormatting>
  <conditionalFormatting sqref="Q13 Q15:Q20">
    <cfRule type="expression" dxfId="2248" priority="57">
      <formula>ABS(Q$16-Q$19)&gt;=1000</formula>
    </cfRule>
  </conditionalFormatting>
  <conditionalFormatting sqref="R13:R20">
    <cfRule type="expression" dxfId="2247" priority="56">
      <formula>ABS(R$16-R$19)&gt;=1000</formula>
    </cfRule>
  </conditionalFormatting>
  <conditionalFormatting sqref="S13:S20">
    <cfRule type="expression" dxfId="2246" priority="55">
      <formula>ABS(S$16-S$19)&gt;=1000</formula>
    </cfRule>
  </conditionalFormatting>
  <conditionalFormatting sqref="T13:T20">
    <cfRule type="expression" dxfId="2245" priority="54">
      <formula>ABS(T$16-T$19)&gt;=1000</formula>
    </cfRule>
  </conditionalFormatting>
  <conditionalFormatting sqref="U13:U20">
    <cfRule type="expression" dxfId="2244" priority="53">
      <formula>ABS(U$16-U$19)&gt;=1000</formula>
    </cfRule>
  </conditionalFormatting>
  <conditionalFormatting sqref="V13:V20">
    <cfRule type="expression" dxfId="2243" priority="52">
      <formula>ABS(V$16-V$19)&gt;=1000</formula>
    </cfRule>
  </conditionalFormatting>
  <conditionalFormatting sqref="W13 W20 W15:W18">
    <cfRule type="expression" dxfId="2242" priority="51">
      <formula>ABS(W$16-W$19)&gt;=1000</formula>
    </cfRule>
  </conditionalFormatting>
  <conditionalFormatting sqref="X13 X15:X20 Y19">
    <cfRule type="expression" dxfId="2241" priority="50">
      <formula>ABS(X$16-X$19)&gt;=1000</formula>
    </cfRule>
  </conditionalFormatting>
  <conditionalFormatting sqref="Y13 Y15:Y18 Y20">
    <cfRule type="expression" dxfId="2240" priority="49">
      <formula>ABS(Y$16-Y$19)&gt;=1000</formula>
    </cfRule>
  </conditionalFormatting>
  <conditionalFormatting sqref="Z13:Z20">
    <cfRule type="expression" dxfId="2239" priority="48">
      <formula>ABS(Z$16-Z$19)&gt;=1000</formula>
    </cfRule>
  </conditionalFormatting>
  <conditionalFormatting sqref="AA13:AA20">
    <cfRule type="expression" dxfId="2238" priority="47">
      <formula>ABS(AA$16-AA$19)&gt;=1000</formula>
    </cfRule>
  </conditionalFormatting>
  <conditionalFormatting sqref="AB13 AB15:AB20">
    <cfRule type="expression" dxfId="2237" priority="46">
      <formula>ABS(AB$16-AB$19)&gt;=1000</formula>
    </cfRule>
  </conditionalFormatting>
  <conditionalFormatting sqref="AC13 AC15:AC20">
    <cfRule type="expression" dxfId="2236" priority="45">
      <formula>ABS(AC$16-AC$19)&gt;=1000</formula>
    </cfRule>
  </conditionalFormatting>
  <conditionalFormatting sqref="AD13:AD20">
    <cfRule type="expression" dxfId="2235" priority="44">
      <formula>ABS(AD$16-AD$19)&gt;=1000</formula>
    </cfRule>
  </conditionalFormatting>
  <conditionalFormatting sqref="AE13:AE20">
    <cfRule type="expression" dxfId="2234" priority="43">
      <formula>ABS(AE$16-AE$19)&gt;=1000</formula>
    </cfRule>
  </conditionalFormatting>
  <conditionalFormatting sqref="D22:D29">
    <cfRule type="expression" dxfId="2233" priority="42">
      <formula>ABS(D$25-D$28)&gt;=1000</formula>
    </cfRule>
  </conditionalFormatting>
  <conditionalFormatting sqref="E22:E29">
    <cfRule type="expression" dxfId="2232" priority="41">
      <formula>ABS(E$25-E$28)&gt;=1000</formula>
    </cfRule>
  </conditionalFormatting>
  <conditionalFormatting sqref="F22:F29">
    <cfRule type="expression" dxfId="2231" priority="40">
      <formula>ABS(F$25-F$28)&gt;=1000</formula>
    </cfRule>
  </conditionalFormatting>
  <conditionalFormatting sqref="G22:G29">
    <cfRule type="expression" dxfId="2230" priority="39">
      <formula>ABS(G$25-G$28)&gt;=1000</formula>
    </cfRule>
  </conditionalFormatting>
  <conditionalFormatting sqref="H22:H29">
    <cfRule type="expression" dxfId="2229" priority="38">
      <formula>ABS(H$25-H$28)&gt;=1000</formula>
    </cfRule>
  </conditionalFormatting>
  <conditionalFormatting sqref="I22 I24:I29">
    <cfRule type="expression" dxfId="2228" priority="37">
      <formula>ABS(I$25-I$28)&gt;=1000</formula>
    </cfRule>
  </conditionalFormatting>
  <conditionalFormatting sqref="J22:J29 K22">
    <cfRule type="expression" dxfId="2227" priority="36">
      <formula>ABS(J$25-J$28)&gt;=1000</formula>
    </cfRule>
  </conditionalFormatting>
  <conditionalFormatting sqref="K23:K29 L25 L28">
    <cfRule type="expression" dxfId="2226" priority="35">
      <formula>ABS(K$25-K$28)&gt;=1000</formula>
    </cfRule>
  </conditionalFormatting>
  <conditionalFormatting sqref="L22 L26:L27 L29 L24">
    <cfRule type="expression" dxfId="2225" priority="34">
      <formula>ABS(L$25-L$28)&gt;=1000</formula>
    </cfRule>
  </conditionalFormatting>
  <conditionalFormatting sqref="M22:M29">
    <cfRule type="expression" dxfId="2224" priority="33">
      <formula>ABS(M$25-M$28)&gt;=1000</formula>
    </cfRule>
  </conditionalFormatting>
  <conditionalFormatting sqref="N22:N29">
    <cfRule type="expression" dxfId="2223" priority="32">
      <formula>ABS(N$25-N$28)&gt;=1000</formula>
    </cfRule>
  </conditionalFormatting>
  <conditionalFormatting sqref="O22:O29">
    <cfRule type="expression" dxfId="2222" priority="31">
      <formula>ABS(O$25-O$28)&gt;=1000</formula>
    </cfRule>
  </conditionalFormatting>
  <conditionalFormatting sqref="P22:P29">
    <cfRule type="expression" dxfId="2221" priority="30">
      <formula>ABS(P$25-P$28)&gt;=1000</formula>
    </cfRule>
  </conditionalFormatting>
  <conditionalFormatting sqref="Q22:Q29">
    <cfRule type="expression" dxfId="2220" priority="29">
      <formula>ABS(Q$25-Q$28)&gt;=1000</formula>
    </cfRule>
  </conditionalFormatting>
  <conditionalFormatting sqref="R22:R29">
    <cfRule type="expression" dxfId="2219" priority="28">
      <formula>ABS(R$25-R$28)&gt;=1000</formula>
    </cfRule>
  </conditionalFormatting>
  <conditionalFormatting sqref="S22:S29">
    <cfRule type="expression" dxfId="2218" priority="27">
      <formula>ABS(S$25-S$28)&gt;=1000</formula>
    </cfRule>
  </conditionalFormatting>
  <conditionalFormatting sqref="T22:T29">
    <cfRule type="expression" dxfId="2217" priority="26">
      <formula>ABS(T$25-T$28)&gt;=1000</formula>
    </cfRule>
  </conditionalFormatting>
  <conditionalFormatting sqref="U22:U29">
    <cfRule type="expression" dxfId="2216" priority="25">
      <formula>ABS(U$25-U$28)&gt;=1000</formula>
    </cfRule>
  </conditionalFormatting>
  <conditionalFormatting sqref="V22:V29">
    <cfRule type="expression" dxfId="2215" priority="24">
      <formula>ABS(V$25-V$28)&gt;=1000</formula>
    </cfRule>
  </conditionalFormatting>
  <conditionalFormatting sqref="W22:W29">
    <cfRule type="expression" dxfId="2214" priority="23">
      <formula>ABS(W$25-W$28)&gt;=1000</formula>
    </cfRule>
  </conditionalFormatting>
  <conditionalFormatting sqref="X22:X29">
    <cfRule type="expression" dxfId="2213" priority="22">
      <formula>ABS(X$25-X$28)&gt;=1000</formula>
    </cfRule>
  </conditionalFormatting>
  <conditionalFormatting sqref="Y22:Y29">
    <cfRule type="expression" dxfId="2212" priority="21">
      <formula>ABS(Y$25-Y$28)&gt;=1000</formula>
    </cfRule>
  </conditionalFormatting>
  <conditionalFormatting sqref="I23">
    <cfRule type="expression" dxfId="2211" priority="20">
      <formula>ABS(I$25-I$28)&gt;=1000</formula>
    </cfRule>
  </conditionalFormatting>
  <conditionalFormatting sqref="Q14">
    <cfRule type="expression" dxfId="2210" priority="19">
      <formula>ABS(Q$16-Q$19)&gt;=1000</formula>
    </cfRule>
  </conditionalFormatting>
  <conditionalFormatting sqref="W14">
    <cfRule type="expression" dxfId="2209" priority="18">
      <formula>ABS(W$16-W$19)&gt;=1000</formula>
    </cfRule>
  </conditionalFormatting>
  <conditionalFormatting sqref="Y14">
    <cfRule type="expression" dxfId="2208" priority="17">
      <formula>ABS(Y$16-Y$19)&gt;=1000</formula>
    </cfRule>
  </conditionalFormatting>
  <conditionalFormatting sqref="X14">
    <cfRule type="expression" dxfId="2207" priority="16">
      <formula>ABS(X$16-X$19)&gt;=1000</formula>
    </cfRule>
  </conditionalFormatting>
  <conditionalFormatting sqref="T10:Y10">
    <cfRule type="expression" dxfId="2206" priority="15">
      <formula>ABS(T$7-T$10)&gt;=1000</formula>
    </cfRule>
  </conditionalFormatting>
  <conditionalFormatting sqref="W19">
    <cfRule type="expression" dxfId="2205" priority="14">
      <formula>ABS(W$16-W$19)&gt;=1000</formula>
    </cfRule>
  </conditionalFormatting>
  <conditionalFormatting sqref="AC5">
    <cfRule type="expression" dxfId="2204" priority="13">
      <formula>ABS(AC$7-AC$10)&gt;=1000</formula>
    </cfRule>
  </conditionalFormatting>
  <conditionalFormatting sqref="M14">
    <cfRule type="expression" dxfId="2203" priority="12">
      <formula>ABS(M$16-M$19)&gt;=1000</formula>
    </cfRule>
  </conditionalFormatting>
  <conditionalFormatting sqref="M16">
    <cfRule type="expression" dxfId="2202" priority="11">
      <formula>ABS(M$16-M$19)&gt;=1000</formula>
    </cfRule>
  </conditionalFormatting>
  <conditionalFormatting sqref="M19">
    <cfRule type="expression" dxfId="2201" priority="10">
      <formula>ABS(M$16-M$19)&gt;=1000</formula>
    </cfRule>
  </conditionalFormatting>
  <conditionalFormatting sqref="K13:K20">
    <cfRule type="expression" dxfId="2200" priority="9">
      <formula>ABS(K$16-K$19)&gt;=1000</formula>
    </cfRule>
  </conditionalFormatting>
  <conditionalFormatting sqref="E5">
    <cfRule type="expression" dxfId="2199" priority="8">
      <formula>ABS(E$7-E$10)&gt;=1000</formula>
    </cfRule>
  </conditionalFormatting>
  <conditionalFormatting sqref="AB14:AC14">
    <cfRule type="expression" dxfId="2198" priority="7">
      <formula>ABS(AB$16-AB$19)&gt;=1000</formula>
    </cfRule>
  </conditionalFormatting>
  <conditionalFormatting sqref="M5">
    <cfRule type="expression" dxfId="2197" priority="6">
      <formula>ABS(M$7-M$10)&gt;=1000</formula>
    </cfRule>
  </conditionalFormatting>
  <conditionalFormatting sqref="N5">
    <cfRule type="expression" dxfId="2196" priority="5">
      <formula>ABS(N$7-N$10)&gt;=1000</formula>
    </cfRule>
  </conditionalFormatting>
  <conditionalFormatting sqref="O5">
    <cfRule type="expression" dxfId="2195" priority="4">
      <formula>ABS(O$7-O$10)&gt;=1000</formula>
    </cfRule>
  </conditionalFormatting>
  <conditionalFormatting sqref="P5">
    <cfRule type="expression" dxfId="2194" priority="3">
      <formula>ABS(P$7-P$10)&gt;=1000</formula>
    </cfRule>
  </conditionalFormatting>
  <conditionalFormatting sqref="L23">
    <cfRule type="expression" dxfId="2193" priority="2">
      <formula>ABS(L$25-L$28)&gt;=1000</formula>
    </cfRule>
  </conditionalFormatting>
  <conditionalFormatting sqref="F14">
    <cfRule type="expression" dxfId="2192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74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96">
    <pageSetUpPr fitToPage="1"/>
  </sheetPr>
  <dimension ref="A1:CU223"/>
  <sheetViews>
    <sheetView view="pageBreakPreview" zoomScale="80" zoomScaleNormal="100" zoomScaleSheetLayoutView="80" workbookViewId="0">
      <selection activeCell="AD6" sqref="AD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45876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49" t="s" ph="1">
        <v>178</v>
      </c>
      <c r="D6" s="71">
        <v>6512</v>
      </c>
      <c r="E6" s="71">
        <v>8001</v>
      </c>
      <c r="F6" s="71">
        <v>3332</v>
      </c>
      <c r="G6" s="71">
        <v>5472</v>
      </c>
      <c r="H6" s="71">
        <v>9123</v>
      </c>
      <c r="I6" s="71">
        <v>40.619999999999997</v>
      </c>
      <c r="J6" s="71">
        <v>7.71</v>
      </c>
      <c r="K6" s="71">
        <v>85.31</v>
      </c>
      <c r="L6" s="71">
        <v>59.85</v>
      </c>
      <c r="M6" s="71">
        <v>3350</v>
      </c>
      <c r="N6" s="71">
        <v>569</v>
      </c>
      <c r="O6" s="71">
        <v>5368</v>
      </c>
      <c r="P6" s="71">
        <v>1496</v>
      </c>
      <c r="Q6" s="71">
        <v>0</v>
      </c>
      <c r="R6" s="71">
        <v>9</v>
      </c>
      <c r="S6" s="71">
        <v>0</v>
      </c>
      <c r="T6" s="71">
        <v>0</v>
      </c>
      <c r="U6" s="71">
        <v>1988</v>
      </c>
      <c r="V6" s="71">
        <v>7034</v>
      </c>
      <c r="W6" s="71">
        <v>5424</v>
      </c>
      <c r="X6" s="71">
        <v>0</v>
      </c>
      <c r="Y6" s="71">
        <v>0</v>
      </c>
      <c r="Z6" s="71">
        <v>3952</v>
      </c>
      <c r="AA6" s="71">
        <v>555</v>
      </c>
      <c r="AB6" s="71">
        <v>848</v>
      </c>
      <c r="AC6" s="71">
        <v>1873</v>
      </c>
      <c r="AD6" s="71">
        <v>3334</v>
      </c>
      <c r="AE6" s="71">
        <v>1602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204272.02078272001</v>
      </c>
      <c r="E7" s="73" ph="1">
        <f>E6*51.53*LOOKUP(E8,密度!$A$2:$A$50,密度!$B$2:$B$50)</f>
        <v>321051.41441099998</v>
      </c>
      <c r="F7" s="73" ph="1">
        <f>F6*33.183*LOOKUP(F8,密度!$A$2:$A$50,密度!$C$2:$C$50)</f>
        <v>122517.9142236</v>
      </c>
      <c r="G7" s="73" ph="1">
        <f xml:space="preserve"> (G6+2)*51.53*LOOKUP(G8,密度!$A$2:$A$50,密度!$B$2:$B$50)</f>
        <v>219426.31363800002</v>
      </c>
      <c r="H7" s="73" ph="1">
        <f>(H6)*51.53*LOOKUP(H8,密度!$A$2:$A$50,密度!$B$2:$B$50)</f>
        <v>365697.16100100003</v>
      </c>
      <c r="I7" s="73" ph="1">
        <f>I6*290.8*1.0267</f>
        <v>12127.6843032</v>
      </c>
      <c r="J7" s="73" ph="1">
        <f>J6*290.8*0.7892</f>
        <v>1769.4400656000003</v>
      </c>
      <c r="K7" s="73" ph="1">
        <f>K6*290.8*1.1126</f>
        <v>27601.545464800001</v>
      </c>
      <c r="L7" s="73" ph="1">
        <f>L6*290.8*0.777</f>
        <v>13523.203260000002</v>
      </c>
      <c r="M7" s="73" ph="1">
        <f>M6*33.183*LOOKUP(M8,密度!$A$2:$A$50,密度!$D$2:$D$50)</f>
        <v>113919.89363999999</v>
      </c>
      <c r="N7" s="73" ph="1">
        <f>N6*33.183*LOOKUP(N8,密度!$A$2:$A$50,密度!$E$2:$E$50)</f>
        <v>14702.733594899999</v>
      </c>
      <c r="O7" s="73" ph="1">
        <f>O6*20.428*LOOKUP(O8,密度!$A$2:$A$50,密度!$C$2:$C$50)</f>
        <v>121182.50767039999</v>
      </c>
      <c r="P7" s="73" ph="1">
        <f>P6*51.53*LOOKUP(P8,密度!$A$2:$A$50,密度!$B$2:$B$50)</f>
        <v>60098.490848000001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59.164181999999997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13138.972308</v>
      </c>
      <c r="V7" s="73" ph="1">
        <f>V6*1.5*1.5*3.1416*LOOKUP(V8,密度!$A$2:$A$50,密度!$L$2:$L$50)</f>
        <v>46438.977261599997</v>
      </c>
      <c r="W7" s="73" ph="1">
        <f>W6*1.5*1.5*3.1416*LOOKUP(W8,密度!$A$2:$A$50,密度!$L$2:$L$50)</f>
        <v>35847.980783999999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123008.58460799998</v>
      </c>
      <c r="AA7" s="73" ph="1">
        <f>AA6*33.183*LOOKUP(AA8,密度!$A$2:$A$50,密度!$D$2:$D$50)</f>
        <v>18891.712377</v>
      </c>
      <c r="AB7" s="73" ph="1">
        <f>AB6*20.428*LOOKUP(AB8,密度!$A$2:$A$50,密度!$D$2:$D$50)</f>
        <v>17866.884441600003</v>
      </c>
      <c r="AC7" s="73" ph="1">
        <f>AC6*51.53*LOOKUP(AC8,密度!$A$2:$A$50,密度!$Q$2:$Q$50)</f>
        <v>91375.264350600002</v>
      </c>
      <c r="AD7" s="73" ph="1">
        <f>AD6*20.428*LOOKUP(AD8,密度!$A$2:$A$50,密度!$V$2:$V$50)</f>
        <v>65437.159481600007</v>
      </c>
      <c r="AE7" s="73" ph="1">
        <f>AE6*20.428</f>
        <v>32725.656000000003</v>
      </c>
    </row>
    <row r="8" spans="1:99" ph="1">
      <c r="B8" s="233" ph="1"/>
      <c r="C8" s="68" t="s" ph="1">
        <v>180</v>
      </c>
      <c r="D8" s="74">
        <v>27</v>
      </c>
      <c r="E8" s="74">
        <v>26</v>
      </c>
      <c r="F8" s="74">
        <v>26</v>
      </c>
      <c r="G8" s="74">
        <v>27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29</v>
      </c>
      <c r="O8" s="74">
        <v>30</v>
      </c>
      <c r="P8" s="74">
        <v>25</v>
      </c>
      <c r="Q8" s="74">
        <v>27</v>
      </c>
      <c r="R8" s="74">
        <v>32</v>
      </c>
      <c r="S8" s="74">
        <v>25</v>
      </c>
      <c r="T8" s="74">
        <v>27</v>
      </c>
      <c r="U8" s="74">
        <v>27</v>
      </c>
      <c r="V8" s="74">
        <v>28</v>
      </c>
      <c r="W8" s="74">
        <v>27</v>
      </c>
      <c r="X8" s="74">
        <v>18</v>
      </c>
      <c r="Y8" s="74">
        <v>26</v>
      </c>
      <c r="Z8" s="74">
        <v>24</v>
      </c>
      <c r="AA8" s="74">
        <v>26</v>
      </c>
      <c r="AB8" s="74">
        <v>20</v>
      </c>
      <c r="AC8" s="74">
        <v>25</v>
      </c>
      <c r="AD8" s="74">
        <v>25</v>
      </c>
      <c r="AE8" s="74">
        <v>28</v>
      </c>
    </row>
    <row r="9" spans="1:99" ht="26.4" ph="1">
      <c r="B9" s="233" ph="1">
        <v>0.66666666666666663</v>
      </c>
      <c r="C9" s="149" t="s" ph="1">
        <v>181</v>
      </c>
      <c r="D9" s="71">
        <v>6516</v>
      </c>
      <c r="E9" s="71">
        <v>8003</v>
      </c>
      <c r="F9" s="71">
        <v>3855</v>
      </c>
      <c r="G9" s="71">
        <v>7692</v>
      </c>
      <c r="H9" s="71">
        <v>9128</v>
      </c>
      <c r="I9" s="71">
        <v>40.51</v>
      </c>
      <c r="J9" s="71">
        <v>7.81</v>
      </c>
      <c r="K9" s="71">
        <v>86.05</v>
      </c>
      <c r="L9" s="71">
        <v>28.15</v>
      </c>
      <c r="M9" s="71">
        <v>3351</v>
      </c>
      <c r="N9" s="71">
        <v>573</v>
      </c>
      <c r="O9" s="71">
        <v>5371</v>
      </c>
      <c r="P9" s="71">
        <v>1940</v>
      </c>
      <c r="Q9" s="71">
        <v>0</v>
      </c>
      <c r="R9" s="71">
        <v>2</v>
      </c>
      <c r="S9" s="71">
        <v>0</v>
      </c>
      <c r="T9" s="71">
        <v>0</v>
      </c>
      <c r="U9" s="71">
        <v>0</v>
      </c>
      <c r="V9" s="71">
        <v>5152</v>
      </c>
      <c r="W9" s="71">
        <v>7022</v>
      </c>
      <c r="X9" s="71">
        <v>7073</v>
      </c>
      <c r="Y9" s="71">
        <v>244</v>
      </c>
      <c r="Z9" s="71">
        <v>2455</v>
      </c>
      <c r="AA9" s="71">
        <v>555</v>
      </c>
      <c r="AB9" s="71">
        <v>751</v>
      </c>
      <c r="AC9" s="71">
        <v>2048</v>
      </c>
      <c r="AD9" s="71">
        <v>3600</v>
      </c>
      <c r="AE9" s="71">
        <v>1474</v>
      </c>
    </row>
    <row r="10" spans="1:99" s="72" customFormat="1" ht="22.2" ph="1">
      <c r="B10" s="233" ph="1"/>
      <c r="C10" s="149" t="s" ph="1">
        <v>179</v>
      </c>
      <c r="D10" s="73" ph="1">
        <f>D9*33.183*LOOKUP(D11,密度!$A$2:$A$50,密度!$Q$2:$Q$50)</f>
        <v>203967.21634523998</v>
      </c>
      <c r="E10" s="73" ph="1">
        <f>E9*51.53*LOOKUP(E11,密度!$A$2:$A$50,密度!$B$2:$B$50)</f>
        <v>318987.21536500001</v>
      </c>
      <c r="F10" s="73" ph="1">
        <f>F9*33.183*LOOKUP(F11,密度!$A$2:$A$50,密度!$C$2:$C$50)</f>
        <v>141364.9058715</v>
      </c>
      <c r="G10" s="73" ph="1">
        <f xml:space="preserve"> (G9+2)*51.53*LOOKUP(G11,密度!$A$2:$A$50,密度!$B$2:$B$50)</f>
        <v>307384.60204600001</v>
      </c>
      <c r="H10" s="73" ph="1">
        <f>(H9)*51.53*LOOKUP(H11,密度!$A$2:$A$50,密度!$B$2:$B$50)</f>
        <v>363451.68456800003</v>
      </c>
      <c r="I10" s="73" ph="1">
        <f>I9*290.8*1.0267</f>
        <v>12094.842223599999</v>
      </c>
      <c r="J10" s="73" ph="1">
        <f>J9*290.8*0.7892</f>
        <v>1792.3900016000002</v>
      </c>
      <c r="K10" s="73" ph="1">
        <f>K9*290.8*1.1126</f>
        <v>27840.968084</v>
      </c>
      <c r="L10" s="73" ph="1">
        <f>L9*290.8*0.777</f>
        <v>6360.5375400000003</v>
      </c>
      <c r="M10" s="73" ph="1">
        <f>M9*33.183*LOOKUP(M11,密度!$A$2:$A$50,密度!$D$2:$D$50)</f>
        <v>113353.43992020001</v>
      </c>
      <c r="N10" s="73" ph="1">
        <f>N9*33.183*LOOKUP(N11,密度!$A$2:$A$50,密度!$E$2:$E$50)</f>
        <v>14698.853838539999</v>
      </c>
      <c r="O10" s="73" ph="1">
        <f>O9*20.428*LOOKUP(O11,密度!$A$2:$A$50,密度!$C$2:$C$50)</f>
        <v>120679.69492120002</v>
      </c>
      <c r="P10" s="73" ph="1">
        <f>P9*51.53*LOOKUP(P11,密度!$A$2:$A$50,密度!$B$2:$B$50)</f>
        <v>77415.374079999994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13.048635600000001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34013.877004800001</v>
      </c>
      <c r="W10" s="73" ph="1">
        <f>W9*1.5*1.5*3.1416*LOOKUP(W11,密度!$A$2:$A$50,密度!$L$2:$L$50)</f>
        <v>46310.116683599997</v>
      </c>
      <c r="X10" s="73" ph="1">
        <f>X9*1.5*1.5*3.1416*LOOKUP(X11,密度!$A$2:$A$50,密度!$L$2:$L$50)</f>
        <v>46996.435331999994</v>
      </c>
      <c r="Y10" s="73" ph="1">
        <f>Y9*1.5*1.5*3.1416*LOOKUP(Y11,密度!$A$2:$A$50,密度!$L$2:$L$50)</f>
        <v>1600.5572352000002</v>
      </c>
      <c r="Z10" s="73" ph="1">
        <f>Z9*33.183*LOOKUP(Z11,密度!$A$2:$A$50,密度!$L$2:$L$50)</f>
        <v>76006.159245000003</v>
      </c>
      <c r="AA10" s="73" ph="1">
        <f>AA9*33.183*LOOKUP(AA11,密度!$A$2:$A$50,密度!$D$2:$D$50)</f>
        <v>18740.696543999999</v>
      </c>
      <c r="AB10" s="73" ph="1">
        <f>AB9*20.428*LOOKUP(AB11,密度!$A$2:$A$50,密度!$D$2:$D$50)</f>
        <v>15678.939416000001</v>
      </c>
      <c r="AC10" s="73" ph="1">
        <f>AC9*51.53*LOOKUP(AC11,密度!$A$2:$A$50,密度!$Q$2:$Q$50)</f>
        <v>99473.709875200002</v>
      </c>
      <c r="AD10" s="73" ph="1">
        <f>AD9*20.428*LOOKUP(AD11,密度!$A$2:$A$50,密度!$V$2:$V$50)</f>
        <v>70422.670079999996</v>
      </c>
      <c r="AE10" s="73" ph="1">
        <f>AE9*20.428</f>
        <v>30110.872000000003</v>
      </c>
    </row>
    <row r="11" spans="1:99" ph="1">
      <c r="A11" s="64" t="s" ph="1">
        <v>163</v>
      </c>
      <c r="B11" s="233" ph="1"/>
      <c r="C11" s="149" t="s" ph="1">
        <v>180</v>
      </c>
      <c r="D11" s="74">
        <v>30</v>
      </c>
      <c r="E11" s="74">
        <v>32</v>
      </c>
      <c r="F11" s="74">
        <v>30</v>
      </c>
      <c r="G11" s="74">
        <v>30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34</v>
      </c>
      <c r="O11" s="74">
        <v>35</v>
      </c>
      <c r="P11" s="74">
        <v>31</v>
      </c>
      <c r="Q11" s="74">
        <v>40</v>
      </c>
      <c r="R11" s="74">
        <v>39</v>
      </c>
      <c r="S11" s="74">
        <v>31</v>
      </c>
      <c r="T11" s="74">
        <v>35</v>
      </c>
      <c r="U11" s="74">
        <v>35</v>
      </c>
      <c r="V11" s="74">
        <v>28</v>
      </c>
      <c r="W11" s="74">
        <v>29</v>
      </c>
      <c r="X11" s="74">
        <v>22</v>
      </c>
      <c r="Y11" s="74">
        <v>34</v>
      </c>
      <c r="Z11" s="74">
        <v>29</v>
      </c>
      <c r="AA11" s="74">
        <v>35</v>
      </c>
      <c r="AB11" s="74">
        <v>30</v>
      </c>
      <c r="AC11" s="74">
        <v>31</v>
      </c>
      <c r="AD11" s="74">
        <v>34</v>
      </c>
      <c r="AE11" s="74">
        <v>31</v>
      </c>
    </row>
    <row r="12" spans="1:99" ht="9.9" customHeight="1" ph="1"/>
    <row r="13" spans="1:99" s="72" customFormat="1" ht="29.25" customHeight="1" ph="1">
      <c r="B13" s="210" t="s" ph="1">
        <v>37</v>
      </c>
      <c r="C13" s="14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49" t="s" ph="1">
        <v>178</v>
      </c>
      <c r="D15" s="78">
        <v>4684</v>
      </c>
      <c r="E15" s="78">
        <v>938</v>
      </c>
      <c r="F15" s="78">
        <v>4755</v>
      </c>
      <c r="G15" s="78">
        <v>3101</v>
      </c>
      <c r="H15" s="78">
        <v>0</v>
      </c>
      <c r="I15" s="78">
        <v>5272</v>
      </c>
      <c r="J15" s="78">
        <v>1004</v>
      </c>
      <c r="K15" s="78">
        <v>4551</v>
      </c>
      <c r="L15" s="78">
        <v>2826</v>
      </c>
      <c r="M15" s="78">
        <v>3769</v>
      </c>
      <c r="N15" s="78">
        <v>4802</v>
      </c>
      <c r="O15" s="78">
        <v>6874</v>
      </c>
      <c r="P15" s="78">
        <v>3544</v>
      </c>
      <c r="Q15" s="78">
        <v>6884</v>
      </c>
      <c r="R15" s="78">
        <v>0</v>
      </c>
      <c r="S15" s="78">
        <v>5950</v>
      </c>
      <c r="T15" s="78">
        <v>4645</v>
      </c>
      <c r="U15" s="78">
        <v>1760</v>
      </c>
      <c r="V15" s="78">
        <v>-142</v>
      </c>
      <c r="W15" s="71">
        <v>2169</v>
      </c>
      <c r="X15" s="78">
        <v>-260</v>
      </c>
      <c r="Y15" s="106">
        <v>-9908</v>
      </c>
      <c r="Z15" s="78">
        <v>0</v>
      </c>
      <c r="AA15" s="78">
        <v>6133</v>
      </c>
      <c r="AB15" s="78" ph="1">
        <v>355</v>
      </c>
      <c r="AC15" s="78" ph="1">
        <v>773</v>
      </c>
      <c r="AD15" s="78">
        <v>84.21</v>
      </c>
      <c r="AE15" s="78">
        <v>83.62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49" t="s" ph="1">
        <v>179</v>
      </c>
      <c r="D16" s="73" ph="1">
        <f>D15*7.0686*LOOKUP(D17,密度!$A$2:$A$50,密度!$L$2:$L$50)</f>
        <v>30924.107121599998</v>
      </c>
      <c r="E16" s="73" ph="1">
        <f>E15*7.0686*LOOKUP(E17,密度!$A$2:$A$50,密度!$L$2:$L$50)</f>
        <v>6192.7439112000002</v>
      </c>
      <c r="F16" s="73" ph="1">
        <f>F15*9.0746*LOOKUP(F17,密度!$A$2:$A$50,密度!$L$2:$L$50)</f>
        <v>40301.841282000001</v>
      </c>
      <c r="G16" s="73" ph="1">
        <f>G15*9.0746*LOOKUP(G17,密度!$A$2:$A$50,密度!$B$2:$B$50)</f>
        <v>21938.204854160002</v>
      </c>
      <c r="H16" s="73" ph="1">
        <f>H15*9.0746*LOOKUP(H17,密度!$A$2:$A$50,密度!$L$2:$L$50)</f>
        <v>0</v>
      </c>
      <c r="I16" s="73" ph="1">
        <f>I15*9.0746*LOOKUP(I17,密度!$A$2:$A$50,密度!$U$2:$U$50)</f>
        <v>49037.323479999992</v>
      </c>
      <c r="J16" s="73" ph="1">
        <f>J15*9.0746*LOOKUP(J17,密度!$A$2:$A$50,密度!$L$2:$L$50)</f>
        <v>8527.8009024000003</v>
      </c>
      <c r="K16" s="73" ph="1">
        <f>K15*9.0746*LOOKUP(K17,密度!$A$2:$A$50,密度!$C$2:$C$50)</f>
        <v>45762.872947260003</v>
      </c>
      <c r="L16" s="73" ph="1">
        <f>L15*9.0746*LOOKUP(L17,密度!$A$2:$A$50,密度!$E$2:$E$50)</f>
        <v>19997.830324080001</v>
      </c>
      <c r="M16" s="73" ph="1">
        <f>M15*9.0746*LOOKUP(M17,密度!$A$2:$A$50,密度!$M$2:$M$50)</f>
        <v>29790.087805399999</v>
      </c>
      <c r="N16" s="73" ph="1">
        <f>N15*9.0746*LOOKUP(N17,密度!$A$2:$A$50,密度!$M$2:$M$50)</f>
        <v>37998.471862400002</v>
      </c>
      <c r="O16" s="73" ph="1">
        <f>O15*9.0746*LOOKUP(O17,密度!$A$2:$A$50,密度!$G$2:$G$50)</f>
        <v>59627.895302359997</v>
      </c>
      <c r="P16" s="73" ph="1">
        <f ca="1">P15*9.0746*LOOKUP(P17,密度!$A$2:$A$51,密度!$Q$2:$Q$50)</f>
        <v>30379.340422688001</v>
      </c>
      <c r="Q16" s="73" ph="1">
        <f>Q15*9.0746*LOOKUP(Q17,密度!$A$2:$A$50,密度!$Q$2:$Q$50)</f>
        <v>59009.982920367998</v>
      </c>
      <c r="R16" s="73" ph="1">
        <f>MAX(R15*9.0746*LOOKUP(R17,密度!$A$2:$A$50,密度!$B$2:$B$50),0)</f>
        <v>0</v>
      </c>
      <c r="S16" s="73" ph="1">
        <f>S15*9.0746*LOOKUP(S17,密度!$A$2:$A$50,密度!$Q$2:$Q$50)</f>
        <v>51003.689479400004</v>
      </c>
      <c r="T16" s="73" ph="1">
        <f>T15*9.0746*LOOKUP(T17,密度!$A$2:$A$50,密度!$O$2:$O$50)</f>
        <v>39032.304742</v>
      </c>
      <c r="U16" s="73" ph="1">
        <f>U15*9.0746*LOOKUP(U17,密度!$A$2:$A$50,密度!$H$2:$H$50)</f>
        <v>14608.944451199999</v>
      </c>
      <c r="V16" s="73" ph="1">
        <f>MAX(5600*LOOKUP(V17,密度!$A$2:$A$50,密度!$Q$2:$Q$50)+V15*9.0476*LOOKUP(V17,密度!$A$2:$A$50,密度!$Q$2:$Q$50),0)</f>
        <v>4070.6961038640002</v>
      </c>
      <c r="W16" s="73" ph="1">
        <f>MAX(5600*LOOKUP(W17,密度!$A$2:$A$50,密度!$Q$2:$Q$50)+W15*9.0476*LOOKUP(W17,密度!$A$2:$A$50,密度!$Q$2:$Q$50),0)</f>
        <v>23794.786469852002</v>
      </c>
      <c r="X16" s="73" ph="1">
        <f>MAX(5600*LOOKUP(X17,密度!$A$2:$A$50,密度!$I$2:$I$50)+X15*9.0476*LOOKUP(X17,密度!$A$2:$A$50,密度!$I$2:$I$50),0)</f>
        <v>3373.9565735999995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43293.652508220002</v>
      </c>
      <c r="AB16" s="73" ph="1">
        <f>AB15*9.0746*LOOKUP(AB17,密度!$A$2:$A$50,密度!$L$2:$L$50)</f>
        <v>3015.3080880000002</v>
      </c>
      <c r="AC16" s="73" ph="1">
        <f>AC15*9.0746*LOOKUP(AC17,密度!$A$2:$A$50,密度!$L$2:$L$50)</f>
        <v>6572.7418545999999</v>
      </c>
      <c r="AD16" s="73" ph="1">
        <f>AD15*268.68*LOOKUP(AD17,密度!$A$2:$A$50,密度!B2:B50)+IF(AD15&lt;=0,0,1566*LOOKUP(AD17,密度!$A$2:$A$50,密度!B2:B50))</f>
        <v>18859.726766879998</v>
      </c>
      <c r="AE16" s="73" ph="1">
        <f>AE15*268.68*LOOKUP(AE17,密度!$A$2:$A$50,密度!B2:B50)+IF(AE15&lt;=0,0,1566*LOOKUP(AE17,密度!$A$2:$A$50,密度!B2:B50))</f>
        <v>18736.143639359998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28</v>
      </c>
      <c r="E17" s="74">
        <v>28</v>
      </c>
      <c r="F17" s="74">
        <v>28</v>
      </c>
      <c r="G17" s="74">
        <v>25</v>
      </c>
      <c r="H17" s="74">
        <v>23</v>
      </c>
      <c r="I17" s="74">
        <v>25</v>
      </c>
      <c r="J17" s="74">
        <v>26</v>
      </c>
      <c r="K17" s="74">
        <v>26</v>
      </c>
      <c r="L17" s="74">
        <v>28</v>
      </c>
      <c r="M17" s="74">
        <v>29</v>
      </c>
      <c r="N17" s="74">
        <v>28</v>
      </c>
      <c r="O17" s="74">
        <v>29</v>
      </c>
      <c r="P17" s="74">
        <v>28</v>
      </c>
      <c r="Q17" s="74">
        <v>28</v>
      </c>
      <c r="R17" s="74">
        <v>27</v>
      </c>
      <c r="S17" s="74">
        <v>28</v>
      </c>
      <c r="T17" s="74">
        <v>26</v>
      </c>
      <c r="U17" s="74">
        <v>25</v>
      </c>
      <c r="V17" s="74">
        <v>30</v>
      </c>
      <c r="W17" s="74">
        <v>30</v>
      </c>
      <c r="X17" s="74">
        <v>28</v>
      </c>
      <c r="Y17" s="108">
        <v>28</v>
      </c>
      <c r="Z17" s="74">
        <v>26</v>
      </c>
      <c r="AA17" s="74">
        <v>27</v>
      </c>
      <c r="AB17" s="74">
        <v>26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5907</v>
      </c>
      <c r="E18" s="71">
        <v>939</v>
      </c>
      <c r="F18" s="71">
        <v>2468</v>
      </c>
      <c r="G18" s="71">
        <v>3148</v>
      </c>
      <c r="H18" s="71">
        <v>0</v>
      </c>
      <c r="I18" s="71">
        <v>4996</v>
      </c>
      <c r="J18" s="71">
        <v>1030</v>
      </c>
      <c r="K18" s="71">
        <v>4585</v>
      </c>
      <c r="L18" s="71">
        <v>2835</v>
      </c>
      <c r="M18" s="71">
        <v>6688</v>
      </c>
      <c r="N18" s="71">
        <v>2915</v>
      </c>
      <c r="O18" s="71">
        <v>6884</v>
      </c>
      <c r="P18" s="71">
        <v>3549</v>
      </c>
      <c r="Q18" s="71">
        <v>6892</v>
      </c>
      <c r="R18" s="71">
        <v>0</v>
      </c>
      <c r="S18" s="71">
        <v>5957</v>
      </c>
      <c r="T18" s="71">
        <v>4040</v>
      </c>
      <c r="U18" s="71">
        <v>1760</v>
      </c>
      <c r="V18" s="71">
        <v>-143</v>
      </c>
      <c r="W18" s="71">
        <v>2169</v>
      </c>
      <c r="X18" s="71">
        <v>-263</v>
      </c>
      <c r="Y18" s="109">
        <v>-9907</v>
      </c>
      <c r="Z18" s="71">
        <v>0</v>
      </c>
      <c r="AA18" s="71">
        <v>6142</v>
      </c>
      <c r="AB18" s="71">
        <v>353</v>
      </c>
      <c r="AC18" s="71">
        <v>773</v>
      </c>
      <c r="AD18" s="71">
        <v>84.03</v>
      </c>
      <c r="AE18" s="71">
        <v>83.41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49" t="s" ph="1">
        <v>179</v>
      </c>
      <c r="D19" s="73" ph="1">
        <f>D18*7.0686*LOOKUP(D20,密度!$A$2:$A$50,密度!$L$2:$L$50)</f>
        <v>38914.933226400004</v>
      </c>
      <c r="E19" s="73" ph="1">
        <f>E18*7.0686*LOOKUP(E20,密度!$A$2:$A$50,密度!$L$2:$L$50)</f>
        <v>6186.0711528000002</v>
      </c>
      <c r="F19" s="73" ph="1">
        <f>F18*9.0746*LOOKUP(F20,密度!$A$2:$A$50,密度!$L$2:$L$50)</f>
        <v>20805.988791200001</v>
      </c>
      <c r="G19" s="73" ph="1">
        <f>G18*9.0746*LOOKUP(G20,密度!$A$2:$A$50,密度!$B$2:$B$50)</f>
        <v>22147.871672240002</v>
      </c>
      <c r="H19" s="73" ph="1">
        <f>H18*9.0746*LOOKUP(H20,密度!$A$2:$A$50,密度!$L$2:$L$50)</f>
        <v>0</v>
      </c>
      <c r="I19" s="73" ph="1">
        <f>I18*9.0746*LOOKUP(I20,密度!$A$2:$A$50,密度!$U$2:$U$50)</f>
        <v>46062.088825600003</v>
      </c>
      <c r="J19" s="73" ph="1">
        <f>J18*9.0746*LOOKUP(J20,密度!$A$2:$A$50,密度!$L$2:$L$50)</f>
        <v>8664.5188259999995</v>
      </c>
      <c r="K19" s="73" ph="1">
        <f>K18*9.0746*LOOKUP(K20,密度!$A$2:$A$50,密度!$C$2:$C$50)</f>
        <v>45938.3339681</v>
      </c>
      <c r="L19" s="73" ph="1">
        <f>L18*9.0746*LOOKUP(L20,密度!$A$2:$A$50,密度!$E$2:$E$50)</f>
        <v>20004.9194016</v>
      </c>
      <c r="M19" s="73" ph="1">
        <f>M18*9.0746*LOOKUP(M20,密度!$A$2:$A$50,密度!$M$2:$M$50)</f>
        <v>52668.798359936001</v>
      </c>
      <c r="N19" s="73" ph="1">
        <f>N18*9.0746*LOOKUP(N20,密度!$A$2:$A$50,密度!$M$2:$M$50)</f>
        <v>23010.994084099999</v>
      </c>
      <c r="O19" s="73" ph="1">
        <f>O18*9.0746*LOOKUP(O20,密度!$A$2:$A$50,密度!$G$2:$G$50)</f>
        <v>59639.675948079996</v>
      </c>
      <c r="P19" s="73" ph="1">
        <f ca="1">P18*9.0746*LOOKUP(P20,密度!$A$2:$A$51,密度!$Q$2:$Q$50)</f>
        <v>30380.655241482003</v>
      </c>
      <c r="Q19" s="73" ph="1">
        <f>Q18*9.0746*LOOKUP(Q20,密度!$A$2:$A$50,密度!$Q$2:$Q$50)</f>
        <v>58997.879944856002</v>
      </c>
      <c r="R19" s="73" ph="1">
        <f>MAX(R18*9.0746*LOOKUP(R20,密度!$A$2:$A$50,密度!$B$2:$B$50),0)</f>
        <v>0</v>
      </c>
      <c r="S19" s="73" ph="1">
        <f>S18*9.0746*LOOKUP(S20,密度!$A$2:$A$50,密度!$Q$2:$Q$50)</f>
        <v>50993.959784026003</v>
      </c>
      <c r="T19" s="73" ph="1">
        <f>T18*9.0746*LOOKUP(T20,密度!$A$2:$A$50,密度!$O$2:$O$50)</f>
        <v>33801.796047999997</v>
      </c>
      <c r="U19" s="73" ph="1">
        <f>U18*9.0746*LOOKUP(U20,密度!$A$2:$A$50,密度!$H$2:$H$50)</f>
        <v>14549.850656000001</v>
      </c>
      <c r="V19" s="73" ph="1">
        <f>MAX(5600*LOOKUP(V20,密度!$A$2:$A$50,密度!$Q$2:$Q$50)+V18*9.0476*LOOKUP(V20,密度!$A$2:$A$50,密度!$Q$2:$Q$50),0)</f>
        <v>4047.5632364080002</v>
      </c>
      <c r="W19" s="73" ph="1">
        <f>MAX(5600*LOOKUP(W20,密度!$A$2:$A$50,密度!$Q$2:$Q$50)+W18*9.0476*LOOKUP(W20,密度!$A$2:$A$50,密度!$Q$2:$Q$50),0)</f>
        <v>23709.276281335999</v>
      </c>
      <c r="X19" s="73" ph="1">
        <f>MAX(5600*LOOKUP(X20,密度!$A$2:$A$50,密度!$I$2:$I$50)+X18*9.0476*LOOKUP(X20,密度!$A$2:$A$50,密度!$I$2:$I$50),0)</f>
        <v>3324.1162850160003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43212.270587960003</v>
      </c>
      <c r="AB19" s="73" ph="1">
        <f>AB18*9.0746*LOOKUP(AB20,密度!$A$2:$A$50,密度!$L$2:$L$50)</f>
        <v>2972.6937664000002</v>
      </c>
      <c r="AC19" s="73" ph="1">
        <f>AC18*9.0746*LOOKUP(AC20,密度!$A$2:$A$50,密度!$L$2:$L$50)</f>
        <v>6516.6245282</v>
      </c>
      <c r="AD19" s="73" ph="1">
        <f>AD18*268.68*LOOKUP(AD20,密度!$A$2:$A$50,密度!B5:B53)+IF(AD18&lt;=0,0,1566*LOOKUP(AD20,密度!$A$2:$A$50,密度!B5:B53))</f>
        <v>18759.251170800002</v>
      </c>
      <c r="AE19" s="73" ph="1">
        <f>AE18*268.68*LOOKUP(AE20,密度!$A$2:$A$50,密度!B5:B53)+IF(AE18&lt;=0,0,1566*LOOKUP(AE20,密度!$A$2:$A$50,密度!B5:B53))</f>
        <v>18629.817267599999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30</v>
      </c>
      <c r="E20" s="81">
        <v>30</v>
      </c>
      <c r="F20" s="81">
        <v>33</v>
      </c>
      <c r="G20" s="81">
        <v>30</v>
      </c>
      <c r="H20" s="81">
        <v>35</v>
      </c>
      <c r="I20" s="81">
        <v>34</v>
      </c>
      <c r="J20" s="81">
        <v>35</v>
      </c>
      <c r="K20" s="81">
        <v>31</v>
      </c>
      <c r="L20" s="81">
        <v>30</v>
      </c>
      <c r="M20" s="81">
        <v>32</v>
      </c>
      <c r="N20" s="81">
        <v>30</v>
      </c>
      <c r="O20" s="81">
        <v>30</v>
      </c>
      <c r="P20" s="81">
        <v>30</v>
      </c>
      <c r="Q20" s="81">
        <v>30</v>
      </c>
      <c r="R20" s="81">
        <v>33</v>
      </c>
      <c r="S20" s="81">
        <v>30</v>
      </c>
      <c r="T20" s="81">
        <v>30</v>
      </c>
      <c r="U20" s="81">
        <v>29</v>
      </c>
      <c r="V20" s="81">
        <v>35</v>
      </c>
      <c r="W20" s="81">
        <v>35</v>
      </c>
      <c r="X20" s="81">
        <v>34</v>
      </c>
      <c r="Y20" s="110">
        <v>34</v>
      </c>
      <c r="Z20" s="81">
        <v>34</v>
      </c>
      <c r="AA20" s="81">
        <v>30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644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49" t="s" ph="1">
        <v>178</v>
      </c>
      <c r="D24" s="71">
        <v>68.31</v>
      </c>
      <c r="E24" s="71">
        <v>40.11</v>
      </c>
      <c r="F24" s="71">
        <v>3886</v>
      </c>
      <c r="G24" s="71">
        <v>2739</v>
      </c>
      <c r="H24" s="71">
        <v>2097</v>
      </c>
      <c r="I24" s="71">
        <v>0</v>
      </c>
      <c r="J24" s="71">
        <v>1138</v>
      </c>
      <c r="K24" s="71">
        <v>5498</v>
      </c>
      <c r="L24" s="71">
        <v>5598</v>
      </c>
      <c r="M24" s="71">
        <v>4543</v>
      </c>
      <c r="N24" s="71">
        <v>2768</v>
      </c>
      <c r="O24" s="71">
        <v>4315</v>
      </c>
      <c r="P24" s="71">
        <v>682</v>
      </c>
      <c r="Q24" s="90">
        <v>4336</v>
      </c>
      <c r="R24" s="71">
        <v>4006</v>
      </c>
      <c r="S24" s="71">
        <v>7023</v>
      </c>
      <c r="T24" s="71">
        <v>1694</v>
      </c>
      <c r="U24" s="71">
        <v>6099</v>
      </c>
      <c r="V24" s="71">
        <v>11766</v>
      </c>
      <c r="W24" s="71">
        <v>11691</v>
      </c>
      <c r="X24" s="71">
        <v>3924</v>
      </c>
      <c r="Y24" s="71">
        <v>1664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18858.616589592002</v>
      </c>
      <c r="E25" s="91" ph="1">
        <f>E24*268.68*LOOKUP(E26,密度!$A$2:$A$50,密度!$C$2:$C$50)+IF(E24&lt;=0,0,1566*LOOKUP(E26,密度!$A$2:$A$50,密度!$C$2:$C$50))</f>
        <v>13686.880797719999</v>
      </c>
      <c r="F25" s="91" ph="1">
        <f>F24*11.702*LOOKUP(F26,密度!$A$2:$A$50,密度!$Q$2:$Q$50)</f>
        <v>42924.246389960004</v>
      </c>
      <c r="G25" s="91" ph="1">
        <f>G24*18.322*LOOKUP(G26,密度!$A$2:$A$50,密度!$B$2:$B$50)</f>
        <v>38952.7881996</v>
      </c>
      <c r="H25" s="91" ph="1">
        <f>H24*18.322*LOOKUP(H26,密度!$A$2:$A$50,密度!$B$2:$B$50)</f>
        <v>29853.298817999999</v>
      </c>
      <c r="I25" s="91" ph="1">
        <f>I24*18.322*LOOKUP(I26,密度!$A$2:$A$50,密度!$Q$2:$Q$50)</f>
        <v>0</v>
      </c>
      <c r="J25" s="91" ph="1">
        <f>J24*18.322*LOOKUP(J26,密度!$A$2:$A$50,密度!$Q$2:$Q$50)</f>
        <v>19668.841791879997</v>
      </c>
      <c r="K25" s="91" ph="1">
        <f>K24*18.322*LOOKUP(K26,密度!$A$2:$A$50,密度!$Q$2:$Q$50)</f>
        <v>95086.180659080012</v>
      </c>
      <c r="L25" s="91" ph="1">
        <f>L24*18.322*LOOKUP(L26,密度!$A$2:$A$50,密度!$Q$2:$Q$50)</f>
        <v>96815.649205080001</v>
      </c>
      <c r="M25" s="91" ph="1">
        <f>M24*18.322*LOOKUP(M26,密度!$A$2:$A$50,密度!$Q$2:$Q$50)</f>
        <v>78519.813937179992</v>
      </c>
      <c r="N25" s="91" ph="1">
        <f>N24*18.322*LOOKUP(N26,密度!$A$2:$A$50,密度!$Q$2:$Q$50)</f>
        <v>47906.682907519993</v>
      </c>
      <c r="O25" s="91" ph="1">
        <f>O24*18.322*LOOKUP(O26,密度!$A$2:$A$50,密度!$C$2:$C$50)</f>
        <v>87431.823636999994</v>
      </c>
      <c r="P25" s="91" ph="1">
        <f>P24*11.702*LOOKUP(P26,密度!$A$2:$A$50,密度!$B$2:$B$50)</f>
        <v>6187.4863292</v>
      </c>
      <c r="Q25" s="92" ph="1">
        <f>Q24*18.322*LOOKUP(Q26,密度!$A$2:$A$50,密度!$B$2:$B$50)</f>
        <v>61593.082057599997</v>
      </c>
      <c r="R25" s="91" ph="1">
        <f>R24*35.891*LOOKUP(R26,密度!$A$2:$A$50,密度!$C$2:$C$50)</f>
        <v>158746.7759186</v>
      </c>
      <c r="S25" s="91" ph="1">
        <f>S24*35.891*LOOKUP(S26,密度!$A$2:$A$50,密度!$B$2:$B$50)</f>
        <v>195424.0508229</v>
      </c>
      <c r="T25" s="91" ph="1">
        <f>T24*35.891*LOOKUP(T26,密度!$A$2:$A$50,密度!$Q$2:$Q$50)</f>
        <v>57390.33422122</v>
      </c>
      <c r="U25" s="91" ph="1">
        <f>U24*35.891</f>
        <v>218899.209</v>
      </c>
      <c r="V25" s="91" ph="1">
        <f>V24*47.051*LOOKUP(V26,密度!$A$2:$A$50,密度!$B$2:$B$50)</f>
        <v>429207.68176979996</v>
      </c>
      <c r="W25" s="91" ph="1">
        <f>W24*47.051*LOOKUP(W26,密度!$A$2:$A$50,密度!$B$2:$B$50)</f>
        <v>427406.90825700003</v>
      </c>
      <c r="X25" s="91" ph="1">
        <f>X24*47.051*LOOKUP(X26,密度!$A$2:$A$50,密度!$I$2:$I$50)</f>
        <v>190774.39424796001</v>
      </c>
      <c r="Y25" s="91" ph="1">
        <f>Y24*47.051*LOOKUP(Y26,密度!$A$2:$A$50,密度!$L$2:$L$50)</f>
        <v>73047.242112000007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29</v>
      </c>
      <c r="G26" s="74">
        <v>29</v>
      </c>
      <c r="H26" s="74">
        <v>28</v>
      </c>
      <c r="I26" s="74">
        <v>28</v>
      </c>
      <c r="J26" s="74">
        <v>30</v>
      </c>
      <c r="K26" s="74">
        <v>29</v>
      </c>
      <c r="L26" s="74">
        <v>29</v>
      </c>
      <c r="M26" s="74">
        <v>30</v>
      </c>
      <c r="N26" s="74">
        <v>28</v>
      </c>
      <c r="O26" s="74">
        <v>29</v>
      </c>
      <c r="P26" s="74">
        <v>30</v>
      </c>
      <c r="Q26" s="93">
        <v>30</v>
      </c>
      <c r="R26" s="74">
        <v>31</v>
      </c>
      <c r="S26" s="74">
        <v>30</v>
      </c>
      <c r="T26" s="74">
        <v>29</v>
      </c>
      <c r="U26" s="74">
        <v>29</v>
      </c>
      <c r="V26" s="74">
        <v>30</v>
      </c>
      <c r="W26" s="74">
        <v>28</v>
      </c>
      <c r="X26" s="74">
        <v>33</v>
      </c>
      <c r="Y26" s="74">
        <v>29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49" t="s" ph="1">
        <v>181</v>
      </c>
      <c r="D27" s="71">
        <v>68.31</v>
      </c>
      <c r="E27" s="71">
        <v>18.309999999999999</v>
      </c>
      <c r="F27" s="71">
        <v>3890</v>
      </c>
      <c r="G27" s="71">
        <v>2515</v>
      </c>
      <c r="H27" s="71">
        <v>999</v>
      </c>
      <c r="I27" s="71">
        <v>0</v>
      </c>
      <c r="J27" s="71">
        <v>1084</v>
      </c>
      <c r="K27" s="71">
        <v>5500</v>
      </c>
      <c r="L27" s="71">
        <v>5596</v>
      </c>
      <c r="M27" s="71">
        <v>4542</v>
      </c>
      <c r="N27" s="71">
        <v>3521</v>
      </c>
      <c r="O27" s="71">
        <v>4310</v>
      </c>
      <c r="P27" s="71">
        <v>678</v>
      </c>
      <c r="Q27" s="90">
        <v>3716</v>
      </c>
      <c r="R27" s="71">
        <v>3834</v>
      </c>
      <c r="S27" s="71">
        <v>7022</v>
      </c>
      <c r="T27" s="71">
        <v>1690</v>
      </c>
      <c r="U27" s="71">
        <v>6019</v>
      </c>
      <c r="V27" s="71">
        <v>11770</v>
      </c>
      <c r="W27" s="71">
        <v>11695</v>
      </c>
      <c r="X27" s="71">
        <v>4530</v>
      </c>
      <c r="Y27" s="71">
        <v>2229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49" t="s" ph="1">
        <v>179</v>
      </c>
      <c r="D28" s="91" ph="1">
        <f>D27*268.68*LOOKUP(D29,密度!$A$2:$A$50,密度!$Q$2:$Q$50)+IF(D27&lt;=0,0,1566*LOOKUP(D29,密度!$A$2:$A$50,密度!$Q$2:$Q$50))</f>
        <v>18858.616589592002</v>
      </c>
      <c r="E28" s="91" ph="1">
        <f>E27*268.68*LOOKUP(E29,密度!$A$2:$A$50,密度!$C$2:$C$50)+IF(E27&lt;=0,0,1566*LOOKUP(E29,密度!$A$2:$A$50,密度!$C$2:$C$50))</f>
        <v>7191.8051041199997</v>
      </c>
      <c r="F28" s="91" ph="1">
        <f>F27*11.702*LOOKUP(F29,密度!$A$2:$A$50,密度!$Q$2:$Q$50)</f>
        <v>42906.976812399997</v>
      </c>
      <c r="G28" s="91" ph="1">
        <f>G27*18.322*LOOKUP(G29,密度!$A$2:$A$50,密度!$B$2:$B$50)</f>
        <v>35605.884640999997</v>
      </c>
      <c r="H28" s="91" ph="1">
        <f>H27*18.322*LOOKUP(H29,密度!$A$2:$A$50,密度!$B$2:$B$50)</f>
        <v>14157.894933</v>
      </c>
      <c r="I28" s="91" ph="1">
        <f>I27*18.322*LOOKUP(I29,密度!$A$2:$A$50,密度!$Q$2:$Q$50)</f>
        <v>0</v>
      </c>
      <c r="J28" s="91" ph="1">
        <f>J27*18.322*LOOKUP(J29,密度!$A$2:$A$50,密度!$Q$2:$Q$50)</f>
        <v>18720.626623839999</v>
      </c>
      <c r="K28" s="91" ph="1">
        <f>K27*18.322*LOOKUP(K29,密度!$A$2:$A$50,密度!$Q$2:$Q$50)</f>
        <v>94984.729179999995</v>
      </c>
      <c r="L28" s="91" ph="1">
        <f>L27*18.322*LOOKUP(L29,密度!$A$2:$A$50,密度!$Q$2:$Q$50)</f>
        <v>96642.644452959998</v>
      </c>
      <c r="M28" s="91" ph="1">
        <f>M27*18.322*LOOKUP(M29,密度!$A$2:$A$50,密度!$Q$2:$Q$50)</f>
        <v>78502.530244919995</v>
      </c>
      <c r="N28" s="91" ph="1">
        <f>N27*18.322*LOOKUP(N29,密度!$A$2:$A$50,密度!$Q$2:$Q$50)</f>
        <v>60855.880447459997</v>
      </c>
      <c r="O28" s="91" ph="1">
        <f>O27*18.322*LOOKUP(O29,密度!$A$2:$A$50,密度!$C$2:$C$50)</f>
        <v>87022.537639999995</v>
      </c>
      <c r="P28" s="91" ph="1">
        <f>P27*11.702*LOOKUP(P29,密度!$A$2:$A$50,密度!$B$2:$B$50)</f>
        <v>6116.2866804000005</v>
      </c>
      <c r="Q28" s="92" ph="1">
        <f>Q27*18.322*LOOKUP(Q29,密度!$A$2:$A$50,密度!$B$2:$B$50)</f>
        <v>52547.657233600003</v>
      </c>
      <c r="R28" s="91" ph="1">
        <f>R27*35.891*LOOKUP(R29,密度!$A$2:$A$50,密度!$C$2:$C$50)</f>
        <v>151490.54888459999</v>
      </c>
      <c r="S28" s="91" ph="1">
        <f>S27*35.891*LOOKUP(S29,密度!$A$2:$A$50,密度!$B$2:$B$50)</f>
        <v>194514.13142359999</v>
      </c>
      <c r="T28" s="91" ph="1">
        <f>T27*35.891*LOOKUP(T29,密度!$A$2:$A$50,密度!$Q$2:$Q$50)</f>
        <v>57052.229516099993</v>
      </c>
      <c r="U28" s="91" ph="1">
        <f>U27*35.891</f>
        <v>216027.929</v>
      </c>
      <c r="V28" s="91" ph="1">
        <f>V27*47.051*LOOKUP(V29,密度!$A$2:$A$50,密度!$B$2:$B$50)</f>
        <v>427913.74162900005</v>
      </c>
      <c r="W28" s="91" ph="1">
        <f>W27*47.051*LOOKUP(W29,密度!$A$2:$A$50,密度!$B$2:$B$50)</f>
        <v>424691.78325100004</v>
      </c>
      <c r="X28" s="91" ph="1">
        <f>X27*47.051*LOOKUP(X29,密度!$A$2:$A$50,密度!$I$2:$I$50)</f>
        <v>219763.32180209999</v>
      </c>
      <c r="Y28" s="91" ph="1">
        <f>Y27*47.051*LOOKUP(Y29,密度!$A$2:$A$50,密度!$L$2:$L$50)</f>
        <v>97430.434791000007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49" t="s" ph="1">
        <v>180</v>
      </c>
      <c r="D29" s="74">
        <v>25</v>
      </c>
      <c r="E29" s="74">
        <v>25</v>
      </c>
      <c r="F29" s="74">
        <v>31</v>
      </c>
      <c r="G29" s="74">
        <v>33</v>
      </c>
      <c r="H29" s="74">
        <v>32</v>
      </c>
      <c r="I29" s="74">
        <v>32</v>
      </c>
      <c r="J29" s="74">
        <v>31</v>
      </c>
      <c r="K29" s="74">
        <v>31</v>
      </c>
      <c r="L29" s="74">
        <v>31</v>
      </c>
      <c r="M29" s="74">
        <v>30</v>
      </c>
      <c r="N29" s="74">
        <v>30</v>
      </c>
      <c r="O29" s="74">
        <v>33</v>
      </c>
      <c r="P29" s="74">
        <v>35</v>
      </c>
      <c r="Q29" s="93">
        <v>34</v>
      </c>
      <c r="R29" s="74">
        <v>34</v>
      </c>
      <c r="S29" s="74">
        <v>34</v>
      </c>
      <c r="T29" s="74">
        <v>34</v>
      </c>
      <c r="U29" s="74">
        <v>32</v>
      </c>
      <c r="V29" s="74">
        <v>33</v>
      </c>
      <c r="W29" s="74">
        <v>34</v>
      </c>
      <c r="X29" s="74">
        <v>35</v>
      </c>
      <c r="Y29" s="74">
        <v>33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34419.63596</v>
      </c>
      <c r="E33" s="182" ph="1">
        <f>M10+I10</f>
        <v>125448.28214380001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[[#This Row],[F25]]</f>
        <v>3880</v>
      </c>
      <c r="G33" s="208" ph="1">
        <v>0</v>
      </c>
      <c r="H33" s="182" ph="1">
        <f>N19</f>
        <v>23010.994084099999</v>
      </c>
      <c r="I33" s="186" ph="1">
        <v>0</v>
      </c>
      <c r="J33" s="190" ph="1">
        <f>F10+O28</f>
        <v>228387.44351149999</v>
      </c>
      <c r="K33" s="182" ph="1">
        <f>O10+K10+E28+R28</f>
        <v>307203.01699391997</v>
      </c>
      <c r="L33" s="192" ph="1">
        <f>BE27</f>
        <v>7100</v>
      </c>
      <c r="M33" s="190" ph="1">
        <f>G10+H10+W28+S28+V28+E10</f>
        <v>2036943.1582826003</v>
      </c>
      <c r="N33" s="182" ph="1">
        <f>L10+P10++G28+H28</f>
        <v>133539.69119399998</v>
      </c>
      <c r="O33" s="186" ph="1">
        <f>BE17</f>
        <v>2270</v>
      </c>
      <c r="P33" s="190" ph="1">
        <f>L19</f>
        <v>20004.9194016</v>
      </c>
      <c r="Q33" s="182" ph="1">
        <f>J10+N10</f>
        <v>16491.24384014</v>
      </c>
      <c r="R33" s="186" ph="1">
        <f>BE23</f>
        <v>890</v>
      </c>
      <c r="S33" s="190" ph="1">
        <f>E10+X28</f>
        <v>538750.5371671</v>
      </c>
      <c r="T33" s="182" ph="1">
        <f>X19</f>
        <v>3324.1162850160003</v>
      </c>
      <c r="U33" s="171" ph="1">
        <f>BE21</f>
        <v>730</v>
      </c>
      <c r="V33" s="184" ph="1">
        <f ca="1">P19+Q19+S19+M28+N28+J28</f>
        <v>298451.53228658403</v>
      </c>
      <c r="W33" s="184" ph="1">
        <f>D28+F28+V19+T28</f>
        <v>122865.38615449998</v>
      </c>
      <c r="X33" s="186" ph="1">
        <f>BE29+BE31</f>
        <v>10200</v>
      </c>
      <c r="Y33" s="188" ph="1">
        <f>+Q10+R10+S10+T10+U10+V10+W10+X10+Y10</f>
        <v>128934.03489119999</v>
      </c>
      <c r="Z33" s="169" ph="1">
        <f>D10+T19+U19+Y28+Z10</f>
        <v>425755.45708523993</v>
      </c>
      <c r="AA33" s="171" ph="1">
        <f>BE19</f>
        <v>1440</v>
      </c>
      <c r="AB33" s="173" ph="1">
        <f>I19</f>
        <v>46062.088825600003</v>
      </c>
      <c r="AC33" s="175" ph="1">
        <f>AD10</f>
        <v>70422.670079999996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47" t="s" ph="1">
        <v>186</v>
      </c>
      <c r="AA36" s="147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345</v>
      </c>
      <c r="AI37" s="147" t="s" ph="1">
        <v>212</v>
      </c>
      <c r="AJ37" s="147" t="s" ph="1">
        <v>213</v>
      </c>
      <c r="AK37" s="147" t="s" ph="1">
        <v>214</v>
      </c>
      <c r="AM37" s="147" t="s" ph="1">
        <v>213</v>
      </c>
      <c r="AN37" s="147" t="s" ph="1">
        <v>214</v>
      </c>
      <c r="AO37" s="147" t="s" ph="1">
        <v>215</v>
      </c>
      <c r="AP37" s="147" t="s" ph="1">
        <v>213</v>
      </c>
      <c r="AQ37" s="147" t="s" ph="1">
        <v>214</v>
      </c>
      <c r="AR37" s="147" t="s" ph="1">
        <v>215</v>
      </c>
      <c r="AS37" s="147" t="s" ph="1">
        <v>213</v>
      </c>
      <c r="AT37" s="147" t="s" ph="1">
        <v>214</v>
      </c>
      <c r="AU37" s="147" t="s" ph="1">
        <v>215</v>
      </c>
      <c r="AV37" s="147" t="s" ph="1">
        <v>213</v>
      </c>
      <c r="AW37" s="147" t="s" ph="1">
        <v>214</v>
      </c>
      <c r="AX37" s="147" t="s" ph="1">
        <v>215</v>
      </c>
      <c r="AY37" s="147" t="s" ph="1">
        <v>214</v>
      </c>
      <c r="AZ37" s="147" t="s" ph="1">
        <v>216</v>
      </c>
      <c r="BD37" s="147" t="s" ph="1">
        <v>308</v>
      </c>
      <c r="BE37" s="147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161" priority="97">
      <formula>ABS(D$7-D$10)&gt;=1000</formula>
    </cfRule>
  </conditionalFormatting>
  <conditionalFormatting sqref="E4 E6:E11">
    <cfRule type="expression" dxfId="2160" priority="96">
      <formula>ABS(E$7-E$10)&gt;=1000</formula>
    </cfRule>
  </conditionalFormatting>
  <conditionalFormatting sqref="F4:F11">
    <cfRule type="expression" dxfId="2159" priority="95">
      <formula>ABS(F$7-F$10)&gt;=1000</formula>
    </cfRule>
  </conditionalFormatting>
  <conditionalFormatting sqref="G4:G11">
    <cfRule type="expression" dxfId="2158" priority="94">
      <formula>ABS(G$7-G$10)&gt;=1000</formula>
    </cfRule>
  </conditionalFormatting>
  <conditionalFormatting sqref="H4:H11">
    <cfRule type="expression" dxfId="2157" priority="93">
      <formula>ABS(H$7-H$10)&gt;=1000</formula>
    </cfRule>
  </conditionalFormatting>
  <conditionalFormatting sqref="I4:I11">
    <cfRule type="expression" dxfId="2156" priority="92">
      <formula>ABS(I$7-I$10)&gt;=1000</formula>
    </cfRule>
  </conditionalFormatting>
  <conditionalFormatting sqref="J4:J11">
    <cfRule type="expression" dxfId="2155" priority="91">
      <formula>ABS(J$7-J$10)&gt;=1000</formula>
    </cfRule>
  </conditionalFormatting>
  <conditionalFormatting sqref="K4:K11">
    <cfRule type="expression" dxfId="2154" priority="90">
      <formula>ABS(K$7-K$10)&gt;=1000</formula>
    </cfRule>
  </conditionalFormatting>
  <conditionalFormatting sqref="L4:L11">
    <cfRule type="expression" dxfId="2153" priority="89">
      <formula>ABS(L$7-L$10)&gt;=1000</formula>
    </cfRule>
  </conditionalFormatting>
  <conditionalFormatting sqref="M4 M6:M11">
    <cfRule type="expression" dxfId="2152" priority="88">
      <formula>ABS(M$7-M$10)&gt;=1000</formula>
    </cfRule>
  </conditionalFormatting>
  <conditionalFormatting sqref="N4 N6:N11">
    <cfRule type="expression" dxfId="2151" priority="87">
      <formula>ABS(N$7-N$10)&gt;=1000</formula>
    </cfRule>
  </conditionalFormatting>
  <conditionalFormatting sqref="O4 O6:O11">
    <cfRule type="expression" dxfId="2150" priority="86">
      <formula>ABS(O$7-O$10)&gt;=1000</formula>
    </cfRule>
  </conditionalFormatting>
  <conditionalFormatting sqref="P4 P6:P11">
    <cfRule type="expression" dxfId="2149" priority="85">
      <formula>ABS(P$7-P$10)&gt;=1000</formula>
    </cfRule>
  </conditionalFormatting>
  <conditionalFormatting sqref="Q4:Q11">
    <cfRule type="expression" dxfId="2148" priority="84">
      <formula>ABS(Q$7-Q$10)&gt;=1000</formula>
    </cfRule>
  </conditionalFormatting>
  <conditionalFormatting sqref="R4:R11">
    <cfRule type="expression" dxfId="2147" priority="83">
      <formula>ABS(R$7-R$10)&gt;=1000</formula>
    </cfRule>
  </conditionalFormatting>
  <conditionalFormatting sqref="S4:S11">
    <cfRule type="expression" dxfId="2146" priority="82">
      <formula>ABS(S$7-S$10)&gt;=1000</formula>
    </cfRule>
  </conditionalFormatting>
  <conditionalFormatting sqref="T4:T9 T11">
    <cfRule type="expression" dxfId="2145" priority="81">
      <formula>ABS(T$7-T$10)&gt;=1000</formula>
    </cfRule>
  </conditionalFormatting>
  <conditionalFormatting sqref="U4:U9 U11">
    <cfRule type="expression" dxfId="2144" priority="80">
      <formula>ABS(U$7-U$10)&gt;=1000</formula>
    </cfRule>
  </conditionalFormatting>
  <conditionalFormatting sqref="V4:V9 V11">
    <cfRule type="expression" dxfId="2143" priority="79">
      <formula>ABS(V$7-V$10)&gt;=1000</formula>
    </cfRule>
  </conditionalFormatting>
  <conditionalFormatting sqref="W4:W9 W11">
    <cfRule type="expression" dxfId="2142" priority="78">
      <formula>ABS(W$7-W$10)&gt;=1000</formula>
    </cfRule>
  </conditionalFormatting>
  <conditionalFormatting sqref="X4:X9 X11">
    <cfRule type="expression" dxfId="2141" priority="77">
      <formula>ABS(X$7-X$10)&gt;=1000</formula>
    </cfRule>
  </conditionalFormatting>
  <conditionalFormatting sqref="Y4:Y9 Y11">
    <cfRule type="expression" dxfId="2140" priority="76">
      <formula>ABS(Y$7-Y$10)&gt;=1000</formula>
    </cfRule>
  </conditionalFormatting>
  <conditionalFormatting sqref="Z4:Z11">
    <cfRule type="expression" dxfId="2139" priority="75">
      <formula>ABS(Z$7-Z$10)&gt;=1000</formula>
    </cfRule>
  </conditionalFormatting>
  <conditionalFormatting sqref="AA4:AA11">
    <cfRule type="expression" dxfId="2138" priority="74">
      <formula>ABS(AA$7-AA$10)&gt;=1000</formula>
    </cfRule>
  </conditionalFormatting>
  <conditionalFormatting sqref="AB4:AB11">
    <cfRule type="expression" dxfId="2137" priority="73">
      <formula>ABS(AB$7-AB$10)&gt;=1000</formula>
    </cfRule>
  </conditionalFormatting>
  <conditionalFormatting sqref="AC4 AC6:AC11">
    <cfRule type="expression" dxfId="2136" priority="72">
      <formula>ABS(AC$7-AC$10)&gt;=1000</formula>
    </cfRule>
  </conditionalFormatting>
  <conditionalFormatting sqref="AD4:AD11">
    <cfRule type="expression" dxfId="2135" priority="71">
      <formula>ABS(AD$7-AD$10)&gt;=1000</formula>
    </cfRule>
  </conditionalFormatting>
  <conditionalFormatting sqref="AE4:AE11">
    <cfRule type="expression" dxfId="2134" priority="70">
      <formula>ABS(AE$7-AE$10)&gt;=1000</formula>
    </cfRule>
  </conditionalFormatting>
  <conditionalFormatting sqref="D13:D20">
    <cfRule type="expression" dxfId="2133" priority="69">
      <formula>ABS(D$16-D$19)&gt;=1000</formula>
    </cfRule>
  </conditionalFormatting>
  <conditionalFormatting sqref="E13:E20">
    <cfRule type="expression" dxfId="2132" priority="68">
      <formula>ABS(E$16-E$19)&gt;=1000</formula>
    </cfRule>
  </conditionalFormatting>
  <conditionalFormatting sqref="F13 F15:F20">
    <cfRule type="expression" dxfId="2131" priority="67">
      <formula>ABS(F$16-F$19)&gt;=1000</formula>
    </cfRule>
  </conditionalFormatting>
  <conditionalFormatting sqref="G13:G20">
    <cfRule type="expression" dxfId="2130" priority="66">
      <formula>ABS(G$16-G$19)&gt;=1000</formula>
    </cfRule>
  </conditionalFormatting>
  <conditionalFormatting sqref="H13:H20">
    <cfRule type="expression" dxfId="2129" priority="65">
      <formula>ABS(H$16-H$19)&gt;=1000</formula>
    </cfRule>
  </conditionalFormatting>
  <conditionalFormatting sqref="I13:I20">
    <cfRule type="expression" dxfId="2128" priority="64">
      <formula>ABS(I$16-I$19)&gt;=1000</formula>
    </cfRule>
  </conditionalFormatting>
  <conditionalFormatting sqref="J13:J20">
    <cfRule type="expression" dxfId="2127" priority="63">
      <formula>ABS(J$16-J$19)&gt;=1000</formula>
    </cfRule>
  </conditionalFormatting>
  <conditionalFormatting sqref="L13:L20">
    <cfRule type="expression" dxfId="2126" priority="62">
      <formula>ABS(L$16-L$19)&gt;=1000</formula>
    </cfRule>
  </conditionalFormatting>
  <conditionalFormatting sqref="M13 M15 M17:M18 M20">
    <cfRule type="expression" dxfId="2125" priority="61">
      <formula>ABS(M$16-M$19)&gt;=1000</formula>
    </cfRule>
  </conditionalFormatting>
  <conditionalFormatting sqref="N13:N20">
    <cfRule type="expression" dxfId="2124" priority="60">
      <formula>ABS(N$16-N$19)&gt;=1000</formula>
    </cfRule>
  </conditionalFormatting>
  <conditionalFormatting sqref="O13:O20">
    <cfRule type="expression" dxfId="2123" priority="59">
      <formula>ABS(O$16-O$19)&gt;=1000</formula>
    </cfRule>
  </conditionalFormatting>
  <conditionalFormatting sqref="P13:P20">
    <cfRule type="expression" dxfId="2122" priority="58">
      <formula>ABS(P$16-P$19)&gt;=1000</formula>
    </cfRule>
  </conditionalFormatting>
  <conditionalFormatting sqref="Q13 Q15:Q20">
    <cfRule type="expression" dxfId="2121" priority="57">
      <formula>ABS(Q$16-Q$19)&gt;=1000</formula>
    </cfRule>
  </conditionalFormatting>
  <conditionalFormatting sqref="R13:R20">
    <cfRule type="expression" dxfId="2120" priority="56">
      <formula>ABS(R$16-R$19)&gt;=1000</formula>
    </cfRule>
  </conditionalFormatting>
  <conditionalFormatting sqref="S13:S20">
    <cfRule type="expression" dxfId="2119" priority="55">
      <formula>ABS(S$16-S$19)&gt;=1000</formula>
    </cfRule>
  </conditionalFormatting>
  <conditionalFormatting sqref="T13:T20">
    <cfRule type="expression" dxfId="2118" priority="54">
      <formula>ABS(T$16-T$19)&gt;=1000</formula>
    </cfRule>
  </conditionalFormatting>
  <conditionalFormatting sqref="U13:U20">
    <cfRule type="expression" dxfId="2117" priority="53">
      <formula>ABS(U$16-U$19)&gt;=1000</formula>
    </cfRule>
  </conditionalFormatting>
  <conditionalFormatting sqref="V13:V20">
    <cfRule type="expression" dxfId="2116" priority="52">
      <formula>ABS(V$16-V$19)&gt;=1000</formula>
    </cfRule>
  </conditionalFormatting>
  <conditionalFormatting sqref="W13 W20 W15:W18">
    <cfRule type="expression" dxfId="2115" priority="51">
      <formula>ABS(W$16-W$19)&gt;=1000</formula>
    </cfRule>
  </conditionalFormatting>
  <conditionalFormatting sqref="X13 X15:X20 Y19">
    <cfRule type="expression" dxfId="2114" priority="50">
      <formula>ABS(X$16-X$19)&gt;=1000</formula>
    </cfRule>
  </conditionalFormatting>
  <conditionalFormatting sqref="Y13 Y15:Y18 Y20">
    <cfRule type="expression" dxfId="2113" priority="49">
      <formula>ABS(Y$16-Y$19)&gt;=1000</formula>
    </cfRule>
  </conditionalFormatting>
  <conditionalFormatting sqref="Z13:Z20">
    <cfRule type="expression" dxfId="2112" priority="48">
      <formula>ABS(Z$16-Z$19)&gt;=1000</formula>
    </cfRule>
  </conditionalFormatting>
  <conditionalFormatting sqref="AA13:AA20">
    <cfRule type="expression" dxfId="2111" priority="47">
      <formula>ABS(AA$16-AA$19)&gt;=1000</formula>
    </cfRule>
  </conditionalFormatting>
  <conditionalFormatting sqref="AB13 AB15:AB20">
    <cfRule type="expression" dxfId="2110" priority="46">
      <formula>ABS(AB$16-AB$19)&gt;=1000</formula>
    </cfRule>
  </conditionalFormatting>
  <conditionalFormatting sqref="AC13 AC15:AC20">
    <cfRule type="expression" dxfId="2109" priority="45">
      <formula>ABS(AC$16-AC$19)&gt;=1000</formula>
    </cfRule>
  </conditionalFormatting>
  <conditionalFormatting sqref="AD13:AD20">
    <cfRule type="expression" dxfId="2108" priority="44">
      <formula>ABS(AD$16-AD$19)&gt;=1000</formula>
    </cfRule>
  </conditionalFormatting>
  <conditionalFormatting sqref="AE13:AE20">
    <cfRule type="expression" dxfId="2107" priority="43">
      <formula>ABS(AE$16-AE$19)&gt;=1000</formula>
    </cfRule>
  </conditionalFormatting>
  <conditionalFormatting sqref="D22:D29">
    <cfRule type="expression" dxfId="2106" priority="42">
      <formula>ABS(D$25-D$28)&gt;=1000</formula>
    </cfRule>
  </conditionalFormatting>
  <conditionalFormatting sqref="E22:E29">
    <cfRule type="expression" dxfId="2105" priority="41">
      <formula>ABS(E$25-E$28)&gt;=1000</formula>
    </cfRule>
  </conditionalFormatting>
  <conditionalFormatting sqref="F22:F29">
    <cfRule type="expression" dxfId="2104" priority="40">
      <formula>ABS(F$25-F$28)&gt;=1000</formula>
    </cfRule>
  </conditionalFormatting>
  <conditionalFormatting sqref="G22:G29">
    <cfRule type="expression" dxfId="2103" priority="39">
      <formula>ABS(G$25-G$28)&gt;=1000</formula>
    </cfRule>
  </conditionalFormatting>
  <conditionalFormatting sqref="H22:H29">
    <cfRule type="expression" dxfId="2102" priority="38">
      <formula>ABS(H$25-H$28)&gt;=1000</formula>
    </cfRule>
  </conditionalFormatting>
  <conditionalFormatting sqref="I22 I24:I29">
    <cfRule type="expression" dxfId="2101" priority="37">
      <formula>ABS(I$25-I$28)&gt;=1000</formula>
    </cfRule>
  </conditionalFormatting>
  <conditionalFormatting sqref="J22:J29 K22">
    <cfRule type="expression" dxfId="2100" priority="36">
      <formula>ABS(J$25-J$28)&gt;=1000</formula>
    </cfRule>
  </conditionalFormatting>
  <conditionalFormatting sqref="K23:K29 L25 L28">
    <cfRule type="expression" dxfId="2099" priority="35">
      <formula>ABS(K$25-K$28)&gt;=1000</formula>
    </cfRule>
  </conditionalFormatting>
  <conditionalFormatting sqref="L22 L26:L27 L29 L24">
    <cfRule type="expression" dxfId="2098" priority="34">
      <formula>ABS(L$25-L$28)&gt;=1000</formula>
    </cfRule>
  </conditionalFormatting>
  <conditionalFormatting sqref="M22:M29">
    <cfRule type="expression" dxfId="2097" priority="33">
      <formula>ABS(M$25-M$28)&gt;=1000</formula>
    </cfRule>
  </conditionalFormatting>
  <conditionalFormatting sqref="N22:N29">
    <cfRule type="expression" dxfId="2096" priority="32">
      <formula>ABS(N$25-N$28)&gt;=1000</formula>
    </cfRule>
  </conditionalFormatting>
  <conditionalFormatting sqref="O22:O29">
    <cfRule type="expression" dxfId="2095" priority="31">
      <formula>ABS(O$25-O$28)&gt;=1000</formula>
    </cfRule>
  </conditionalFormatting>
  <conditionalFormatting sqref="P22:P29">
    <cfRule type="expression" dxfId="2094" priority="30">
      <formula>ABS(P$25-P$28)&gt;=1000</formula>
    </cfRule>
  </conditionalFormatting>
  <conditionalFormatting sqref="Q22:Q29">
    <cfRule type="expression" dxfId="2093" priority="29">
      <formula>ABS(Q$25-Q$28)&gt;=1000</formula>
    </cfRule>
  </conditionalFormatting>
  <conditionalFormatting sqref="R22:R29">
    <cfRule type="expression" dxfId="2092" priority="28">
      <formula>ABS(R$25-R$28)&gt;=1000</formula>
    </cfRule>
  </conditionalFormatting>
  <conditionalFormatting sqref="S22:S29">
    <cfRule type="expression" dxfId="2091" priority="27">
      <formula>ABS(S$25-S$28)&gt;=1000</formula>
    </cfRule>
  </conditionalFormatting>
  <conditionalFormatting sqref="T22:T29">
    <cfRule type="expression" dxfId="2090" priority="26">
      <formula>ABS(T$25-T$28)&gt;=1000</formula>
    </cfRule>
  </conditionalFormatting>
  <conditionalFormatting sqref="U22:U29">
    <cfRule type="expression" dxfId="2089" priority="25">
      <formula>ABS(U$25-U$28)&gt;=1000</formula>
    </cfRule>
  </conditionalFormatting>
  <conditionalFormatting sqref="V22:V29">
    <cfRule type="expression" dxfId="2088" priority="24">
      <formula>ABS(V$25-V$28)&gt;=1000</formula>
    </cfRule>
  </conditionalFormatting>
  <conditionalFormatting sqref="W22:W29">
    <cfRule type="expression" dxfId="2087" priority="23">
      <formula>ABS(W$25-W$28)&gt;=1000</formula>
    </cfRule>
  </conditionalFormatting>
  <conditionalFormatting sqref="X22:X29">
    <cfRule type="expression" dxfId="2086" priority="22">
      <formula>ABS(X$25-X$28)&gt;=1000</formula>
    </cfRule>
  </conditionalFormatting>
  <conditionalFormatting sqref="Y22:Y29">
    <cfRule type="expression" dxfId="2085" priority="21">
      <formula>ABS(Y$25-Y$28)&gt;=1000</formula>
    </cfRule>
  </conditionalFormatting>
  <conditionalFormatting sqref="I23">
    <cfRule type="expression" dxfId="2084" priority="20">
      <formula>ABS(I$25-I$28)&gt;=1000</formula>
    </cfRule>
  </conditionalFormatting>
  <conditionalFormatting sqref="Q14">
    <cfRule type="expression" dxfId="2083" priority="19">
      <formula>ABS(Q$16-Q$19)&gt;=1000</formula>
    </cfRule>
  </conditionalFormatting>
  <conditionalFormatting sqref="W14">
    <cfRule type="expression" dxfId="2082" priority="18">
      <formula>ABS(W$16-W$19)&gt;=1000</formula>
    </cfRule>
  </conditionalFormatting>
  <conditionalFormatting sqref="Y14">
    <cfRule type="expression" dxfId="2081" priority="17">
      <formula>ABS(Y$16-Y$19)&gt;=1000</formula>
    </cfRule>
  </conditionalFormatting>
  <conditionalFormatting sqref="X14">
    <cfRule type="expression" dxfId="2080" priority="16">
      <formula>ABS(X$16-X$19)&gt;=1000</formula>
    </cfRule>
  </conditionalFormatting>
  <conditionalFormatting sqref="T10:Y10">
    <cfRule type="expression" dxfId="2079" priority="15">
      <formula>ABS(T$7-T$10)&gt;=1000</formula>
    </cfRule>
  </conditionalFormatting>
  <conditionalFormatting sqref="W19">
    <cfRule type="expression" dxfId="2078" priority="14">
      <formula>ABS(W$16-W$19)&gt;=1000</formula>
    </cfRule>
  </conditionalFormatting>
  <conditionalFormatting sqref="AC5">
    <cfRule type="expression" dxfId="2077" priority="13">
      <formula>ABS(AC$7-AC$10)&gt;=1000</formula>
    </cfRule>
  </conditionalFormatting>
  <conditionalFormatting sqref="M14">
    <cfRule type="expression" dxfId="2076" priority="12">
      <formula>ABS(M$16-M$19)&gt;=1000</formula>
    </cfRule>
  </conditionalFormatting>
  <conditionalFormatting sqref="M16">
    <cfRule type="expression" dxfId="2075" priority="11">
      <formula>ABS(M$16-M$19)&gt;=1000</formula>
    </cfRule>
  </conditionalFormatting>
  <conditionalFormatting sqref="M19">
    <cfRule type="expression" dxfId="2074" priority="10">
      <formula>ABS(M$16-M$19)&gt;=1000</formula>
    </cfRule>
  </conditionalFormatting>
  <conditionalFormatting sqref="K13:K20">
    <cfRule type="expression" dxfId="2073" priority="9">
      <formula>ABS(K$16-K$19)&gt;=1000</formula>
    </cfRule>
  </conditionalFormatting>
  <conditionalFormatting sqref="E5">
    <cfRule type="expression" dxfId="2072" priority="8">
      <formula>ABS(E$7-E$10)&gt;=1000</formula>
    </cfRule>
  </conditionalFormatting>
  <conditionalFormatting sqref="AB14:AC14">
    <cfRule type="expression" dxfId="2071" priority="7">
      <formula>ABS(AB$16-AB$19)&gt;=1000</formula>
    </cfRule>
  </conditionalFormatting>
  <conditionalFormatting sqref="M5">
    <cfRule type="expression" dxfId="2070" priority="6">
      <formula>ABS(M$7-M$10)&gt;=1000</formula>
    </cfRule>
  </conditionalFormatting>
  <conditionalFormatting sqref="N5">
    <cfRule type="expression" dxfId="2069" priority="5">
      <formula>ABS(N$7-N$10)&gt;=1000</formula>
    </cfRule>
  </conditionalFormatting>
  <conditionalFormatting sqref="O5">
    <cfRule type="expression" dxfId="2068" priority="4">
      <formula>ABS(O$7-O$10)&gt;=1000</formula>
    </cfRule>
  </conditionalFormatting>
  <conditionalFormatting sqref="P5">
    <cfRule type="expression" dxfId="2067" priority="3">
      <formula>ABS(P$7-P$10)&gt;=1000</formula>
    </cfRule>
  </conditionalFormatting>
  <conditionalFormatting sqref="L23">
    <cfRule type="expression" dxfId="2066" priority="2">
      <formula>ABS(L$25-L$28)&gt;=1000</formula>
    </cfRule>
  </conditionalFormatting>
  <conditionalFormatting sqref="F14">
    <cfRule type="expression" dxfId="2065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84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97">
    <pageSetUpPr fitToPage="1"/>
  </sheetPr>
  <dimension ref="A1:CU223"/>
  <sheetViews>
    <sheetView view="pageBreakPreview" zoomScale="80" zoomScaleNormal="100" zoomScaleSheetLayoutView="80" workbookViewId="0">
      <selection activeCell="D7" sqref="D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45877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49" t="s" ph="1">
        <v>178</v>
      </c>
      <c r="D6" s="71">
        <v>6518</v>
      </c>
      <c r="E6" s="71">
        <v>8003</v>
      </c>
      <c r="F6" s="71">
        <v>3315</v>
      </c>
      <c r="G6" s="71">
        <v>8121</v>
      </c>
      <c r="H6" s="71">
        <v>9128</v>
      </c>
      <c r="I6" s="71">
        <v>40.65</v>
      </c>
      <c r="J6" s="71">
        <v>7.76</v>
      </c>
      <c r="K6" s="71">
        <v>85.34</v>
      </c>
      <c r="L6" s="71">
        <v>61.95</v>
      </c>
      <c r="M6" s="71">
        <v>3353</v>
      </c>
      <c r="N6" s="71">
        <v>570</v>
      </c>
      <c r="O6" s="71">
        <v>5371</v>
      </c>
      <c r="P6" s="71">
        <v>2303</v>
      </c>
      <c r="Q6" s="71">
        <v>0</v>
      </c>
      <c r="R6" s="71">
        <v>9</v>
      </c>
      <c r="S6" s="71">
        <v>0</v>
      </c>
      <c r="T6" s="71">
        <v>0</v>
      </c>
      <c r="U6" s="71">
        <v>0</v>
      </c>
      <c r="V6" s="71">
        <v>1757</v>
      </c>
      <c r="W6" s="71">
        <v>7021</v>
      </c>
      <c r="X6" s="71">
        <v>7076</v>
      </c>
      <c r="Y6" s="71">
        <v>243</v>
      </c>
      <c r="Z6" s="71">
        <v>2454</v>
      </c>
      <c r="AA6" s="71">
        <v>556</v>
      </c>
      <c r="AB6" s="71">
        <v>754</v>
      </c>
      <c r="AC6" s="71">
        <v>2051</v>
      </c>
      <c r="AD6" s="71">
        <v>3606</v>
      </c>
      <c r="AE6" s="71">
        <v>1470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204308.83134827999</v>
      </c>
      <c r="E7" s="73" ph="1">
        <f>E6*51.53*LOOKUP(E8,密度!$A$2:$A$50,密度!$B$2:$B$50)</f>
        <v>320801.75156100001</v>
      </c>
      <c r="F7" s="73" ph="1">
        <f>F6*33.183*LOOKUP(F8,密度!$A$2:$A$50,密度!$C$2:$C$50)</f>
        <v>121727.820357</v>
      </c>
      <c r="G7" s="73" ph="1">
        <f xml:space="preserve"> (G6+2)*51.53*LOOKUP(G8,密度!$A$2:$A$50,密度!$B$2:$B$50)</f>
        <v>325235.25362999999</v>
      </c>
      <c r="H7" s="73" ph="1">
        <f>(H6)*51.53*LOOKUP(H8,密度!$A$2:$A$50,密度!$B$2:$B$50)</f>
        <v>367120.53811999998</v>
      </c>
      <c r="I7" s="73" ph="1">
        <f>I6*290.8*1.0267</f>
        <v>12136.641234000001</v>
      </c>
      <c r="J7" s="73" ph="1">
        <f>J6*290.8*0.7892</f>
        <v>1780.9150336000002</v>
      </c>
      <c r="K7" s="73" ph="1">
        <f>K6*290.8*1.1126</f>
        <v>27611.251787200003</v>
      </c>
      <c r="L7" s="73" ph="1">
        <f>L6*290.8*0.777</f>
        <v>13997.701620000002</v>
      </c>
      <c r="M7" s="73" ph="1">
        <f>M6*33.183*LOOKUP(M8,密度!$A$2:$A$50,密度!$D$2:$D$50)</f>
        <v>113921.77511610001</v>
      </c>
      <c r="N7" s="73" ph="1">
        <f>N6*33.183*LOOKUP(N8,密度!$A$2:$A$50,密度!$E$2:$E$50)</f>
        <v>14772.076110000002</v>
      </c>
      <c r="O7" s="73" ph="1">
        <f>O6*20.428*LOOKUP(O8,密度!$A$2:$A$50,密度!$C$2:$C$50)</f>
        <v>121019.823164</v>
      </c>
      <c r="P7" s="73" ph="1">
        <f>P6*51.53*LOOKUP(P8,密度!$A$2:$A$50,密度!$B$2:$B$50)</f>
        <v>92411.124532999995</v>
      </c>
      <c r="Q7" s="73" ph="1">
        <f>Q6*1.5*1.5*3.1416*LOOKUP(W8,密度!$A$2:$A$50,密度!$L$2:$L$50)</f>
        <v>0</v>
      </c>
      <c r="R7" s="73" ph="1">
        <f>R6*1.5*1.5*3.1416*LOOKUP(R8,密度!$A$2:$A$50,密度!$L$2:$L$50)</f>
        <v>59.164181999999997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11612.260737000001</v>
      </c>
      <c r="W7" s="73" ph="1">
        <f>W6*1.5*1.5*3.1416*LOOKUP(W8,密度!$A$2:$A$50,密度!$L$2:$L$50)</f>
        <v>46353.150320400004</v>
      </c>
      <c r="X7" s="73" ph="1">
        <f>X6*1.5*1.5*3.1416*LOOKUP(X8,密度!$A$2:$A$50,密度!$L$2:$L$50)</f>
        <v>47116.403611199996</v>
      </c>
      <c r="Y7" s="73" ph="1">
        <f>Y6*1.5*1.5*3.1416*LOOKUP(Y8,密度!$A$2:$A$50,密度!$L$2:$L$50)</f>
        <v>1607.7389327999999</v>
      </c>
      <c r="Z7" s="73" ph="1">
        <f>Z6*33.183*LOOKUP(Z8,密度!$A$2:$A$50,密度!$L$2:$L$50)</f>
        <v>76382.354915999997</v>
      </c>
      <c r="AA7" s="73" ph="1">
        <f>AA6*33.183*LOOKUP(AA8,密度!$A$2:$A$50,密度!$D$2:$D$50)</f>
        <v>18907.301750399998</v>
      </c>
      <c r="AB7" s="73" ph="1">
        <f>AB6*20.428*LOOKUP(AB8,密度!$A$2:$A$50,密度!$D$2:$D$50)</f>
        <v>15872.494716000001</v>
      </c>
      <c r="AC7" s="73" ph="1">
        <f>AC6*51.53*LOOKUP(AC8,密度!$A$2:$A$50,密度!$Q$2:$Q$50)</f>
        <v>99984.047020900005</v>
      </c>
      <c r="AD7" s="73" ph="1">
        <f>AD6*20.428*LOOKUP(AD8,密度!$A$2:$A$50,密度!$V$2:$V$50)</f>
        <v>70775.763974400004</v>
      </c>
      <c r="AE7" s="73" ph="1">
        <f>AE6*20.428</f>
        <v>30029.16</v>
      </c>
    </row>
    <row r="8" spans="1:99" ph="1">
      <c r="B8" s="233" ph="1"/>
      <c r="C8" s="68" t="s" ph="1">
        <v>180</v>
      </c>
      <c r="D8" s="74">
        <v>28</v>
      </c>
      <c r="E8" s="74">
        <v>27</v>
      </c>
      <c r="F8" s="74">
        <v>28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32</v>
      </c>
      <c r="P8" s="74">
        <v>26</v>
      </c>
      <c r="Q8" s="74">
        <v>27</v>
      </c>
      <c r="R8" s="74">
        <v>32</v>
      </c>
      <c r="S8" s="74">
        <v>24</v>
      </c>
      <c r="T8" s="74">
        <v>23</v>
      </c>
      <c r="U8" s="74">
        <v>27</v>
      </c>
      <c r="V8" s="74">
        <v>27</v>
      </c>
      <c r="W8" s="74">
        <v>28</v>
      </c>
      <c r="X8" s="74">
        <v>20</v>
      </c>
      <c r="Y8" s="74">
        <v>26</v>
      </c>
      <c r="Z8" s="74">
        <v>24</v>
      </c>
      <c r="AA8" s="74">
        <v>27</v>
      </c>
      <c r="AB8" s="74">
        <v>21</v>
      </c>
      <c r="AC8" s="74">
        <v>26</v>
      </c>
      <c r="AD8" s="74">
        <v>25</v>
      </c>
      <c r="AE8" s="74">
        <v>29</v>
      </c>
    </row>
    <row r="9" spans="1:99" ht="26.4" ph="1">
      <c r="B9" s="233" ph="1">
        <v>0.66666666666666663</v>
      </c>
      <c r="C9" s="149" t="s" ph="1">
        <v>181</v>
      </c>
      <c r="D9" s="71">
        <v>6521</v>
      </c>
      <c r="E9" s="71">
        <v>8007</v>
      </c>
      <c r="F9" s="71">
        <v>3857</v>
      </c>
      <c r="G9" s="71">
        <v>8125</v>
      </c>
      <c r="H9" s="71">
        <v>9133</v>
      </c>
      <c r="I9" s="71">
        <v>40.61</v>
      </c>
      <c r="J9" s="71">
        <v>7.82</v>
      </c>
      <c r="K9" s="71">
        <v>85.35</v>
      </c>
      <c r="L9" s="71">
        <v>33.36</v>
      </c>
      <c r="M9" s="71">
        <v>3353</v>
      </c>
      <c r="N9" s="71">
        <v>518</v>
      </c>
      <c r="O9" s="71">
        <v>5374</v>
      </c>
      <c r="P9" s="71">
        <v>2189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7029</v>
      </c>
      <c r="X9" s="71">
        <v>7085</v>
      </c>
      <c r="Y9" s="71">
        <v>3032</v>
      </c>
      <c r="Z9" s="71">
        <v>928</v>
      </c>
      <c r="AA9" s="71">
        <v>555</v>
      </c>
      <c r="AB9" s="71">
        <v>660</v>
      </c>
      <c r="AC9" s="71">
        <v>2048</v>
      </c>
      <c r="AD9" s="71">
        <v>4208</v>
      </c>
      <c r="AE9" s="71">
        <v>1495</v>
      </c>
    </row>
    <row r="10" spans="1:99" s="72" customFormat="1" ht="22.2" ph="1">
      <c r="B10" s="233" ph="1"/>
      <c r="C10" s="149" t="s" ph="1">
        <v>179</v>
      </c>
      <c r="D10" s="73" ph="1">
        <f>D9*33.183*LOOKUP(D11,密度!$A$2:$A$50,密度!$Q$2:$Q$50)</f>
        <v>204123.72894219001</v>
      </c>
      <c r="E10" s="73" ph="1">
        <f>E9*51.53*LOOKUP(E11,密度!$A$2:$A$50,密度!$B$2:$B$50)</f>
        <v>318816.56861700001</v>
      </c>
      <c r="F10" s="73" ph="1">
        <f>F9*33.183*LOOKUP(F11,密度!$A$2:$A$50,密度!$C$2:$C$50)</f>
        <v>141310.26010710001</v>
      </c>
      <c r="G10" s="73" ph="1">
        <f xml:space="preserve"> (G9+2)*51.53*LOOKUP(G11,密度!$A$2:$A$50,密度!$B$2:$B$50)</f>
        <v>323594.636337</v>
      </c>
      <c r="H10" s="73" ph="1">
        <f>(H9)*51.53*LOOKUP(H11,密度!$A$2:$A$50,密度!$B$2:$B$50)</f>
        <v>361956.526159</v>
      </c>
      <c r="I10" s="73" ph="1">
        <f>I9*290.8*1.0267</f>
        <v>12124.698659600001</v>
      </c>
      <c r="J10" s="73" ph="1">
        <f>J9*290.8*0.7892</f>
        <v>1794.6849952</v>
      </c>
      <c r="K10" s="73" ph="1">
        <f>K9*290.8*1.1126</f>
        <v>27614.487227999998</v>
      </c>
      <c r="L10" s="73" ph="1">
        <f>L9*290.8*0.777</f>
        <v>7537.7453759999999</v>
      </c>
      <c r="M10" s="73" ph="1">
        <f>M9*33.183*LOOKUP(M11,密度!$A$2:$A$50,密度!$D$2:$D$50)</f>
        <v>113421.09342060001</v>
      </c>
      <c r="N10" s="73" ph="1">
        <f>N9*33.183*LOOKUP(N11,密度!$A$2:$A$50,密度!$E$2:$E$50)</f>
        <v>13268.545752420001</v>
      </c>
      <c r="O10" s="73" ph="1">
        <f>O9*20.428*LOOKUP(O11,密度!$A$2:$A$50,密度!$C$2:$C$50)</f>
        <v>120626.3431136</v>
      </c>
      <c r="P10" s="73" ph="1">
        <f>P9*51.53*LOOKUP(P11,密度!$A$2:$A$50,密度!$B$2:$B$50)</f>
        <v>87159.918659000003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46356.281710199997</v>
      </c>
      <c r="X10" s="73" ph="1">
        <f>X9*1.5*1.5*3.1416*LOOKUP(X11,密度!$A$2:$A$50,密度!$L$2:$L$50)</f>
        <v>47026.088108999997</v>
      </c>
      <c r="Y10" s="73" ph="1">
        <f>Y9*1.5*1.5*3.1416*LOOKUP(Y11,密度!$A$2:$A$50,密度!$L$2:$L$50)</f>
        <v>20060.347507200004</v>
      </c>
      <c r="Z10" s="73" ph="1">
        <f>Z9*33.183*LOOKUP(Z11,密度!$A$2:$A$50,密度!$L$2:$L$50)</f>
        <v>28669.050144000001</v>
      </c>
      <c r="AA10" s="73" ph="1">
        <f>AA9*33.183*LOOKUP(AA11,密度!$A$2:$A$50,密度!$D$2:$D$50)</f>
        <v>18707.546727000001</v>
      </c>
      <c r="AB10" s="73" ph="1">
        <f>AB9*20.428*LOOKUP(AB11,密度!$A$2:$A$50,密度!$D$2:$D$50)</f>
        <v>13766.960327999999</v>
      </c>
      <c r="AC10" s="73" ph="1">
        <f>AC9*51.53*LOOKUP(AC11,密度!$A$2:$A$50,密度!$Q$2:$Q$50)</f>
        <v>99333.35040000001</v>
      </c>
      <c r="AD10" s="73" ph="1">
        <f>AD9*20.428*LOOKUP(AD11,密度!$A$2:$A$50,密度!$V$2:$V$50)</f>
        <v>82316.276582400009</v>
      </c>
      <c r="AE10" s="73" ph="1">
        <f>AE9*20.428</f>
        <v>30539.86</v>
      </c>
    </row>
    <row r="11" spans="1:99" ph="1">
      <c r="A11" s="64" t="s" ph="1">
        <v>163</v>
      </c>
      <c r="B11" s="233" ph="1"/>
      <c r="C11" s="149" t="s" ph="1">
        <v>180</v>
      </c>
      <c r="D11" s="74">
        <v>30</v>
      </c>
      <c r="E11" s="74">
        <v>33</v>
      </c>
      <c r="F11" s="74">
        <v>31</v>
      </c>
      <c r="G11" s="74">
        <v>33</v>
      </c>
      <c r="H11" s="74">
        <v>37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35</v>
      </c>
      <c r="O11" s="74">
        <v>36</v>
      </c>
      <c r="P11" s="74">
        <v>33</v>
      </c>
      <c r="Q11" s="74">
        <v>39</v>
      </c>
      <c r="R11" s="74">
        <v>39</v>
      </c>
      <c r="S11" s="74">
        <v>31</v>
      </c>
      <c r="T11" s="74">
        <v>34</v>
      </c>
      <c r="U11" s="74">
        <v>36</v>
      </c>
      <c r="V11" s="74">
        <v>27</v>
      </c>
      <c r="W11" s="74">
        <v>29</v>
      </c>
      <c r="X11" s="74">
        <v>23</v>
      </c>
      <c r="Y11" s="74">
        <v>26</v>
      </c>
      <c r="Z11" s="74">
        <v>31</v>
      </c>
      <c r="AA11" s="74">
        <v>37</v>
      </c>
      <c r="AB11" s="74">
        <v>31</v>
      </c>
      <c r="AC11" s="74">
        <v>33</v>
      </c>
      <c r="AD11" s="74">
        <v>42</v>
      </c>
      <c r="AE11" s="74">
        <v>32</v>
      </c>
    </row>
    <row r="12" spans="1:99" ht="9.9" customHeight="1" ph="1"/>
    <row r="13" spans="1:99" s="72" customFormat="1" ht="29.25" customHeight="1" ph="1">
      <c r="B13" s="210" t="s" ph="1">
        <v>37</v>
      </c>
      <c r="C13" s="14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153" t="s" ph="1">
        <v>646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49" t="s" ph="1">
        <v>178</v>
      </c>
      <c r="D15" s="78">
        <v>5905</v>
      </c>
      <c r="E15" s="78">
        <v>939</v>
      </c>
      <c r="F15" s="78">
        <v>2468</v>
      </c>
      <c r="G15" s="78">
        <v>3215</v>
      </c>
      <c r="H15" s="78">
        <v>0</v>
      </c>
      <c r="I15" s="78">
        <v>3987</v>
      </c>
      <c r="J15" s="78">
        <v>1028</v>
      </c>
      <c r="K15" s="78">
        <v>4617</v>
      </c>
      <c r="L15" s="78">
        <v>2828</v>
      </c>
      <c r="M15" s="78">
        <v>6693</v>
      </c>
      <c r="N15" s="78">
        <v>2822</v>
      </c>
      <c r="O15" s="78">
        <v>6882</v>
      </c>
      <c r="P15" s="78">
        <v>3549</v>
      </c>
      <c r="Q15" s="78">
        <v>6891</v>
      </c>
      <c r="R15" s="78">
        <v>0</v>
      </c>
      <c r="S15" s="78">
        <v>5954</v>
      </c>
      <c r="T15" s="78">
        <v>3430</v>
      </c>
      <c r="U15" s="78">
        <v>1762</v>
      </c>
      <c r="V15" s="78">
        <v>-142</v>
      </c>
      <c r="W15" s="71">
        <v>2170</v>
      </c>
      <c r="X15" s="78">
        <v>-261</v>
      </c>
      <c r="Y15" s="106">
        <v>-9905</v>
      </c>
      <c r="Z15" s="78">
        <v>0</v>
      </c>
      <c r="AA15" s="78">
        <v>6139</v>
      </c>
      <c r="AB15" s="78" ph="1">
        <v>357</v>
      </c>
      <c r="AC15" s="78" ph="1">
        <v>775</v>
      </c>
      <c r="AD15" s="78">
        <v>84.01</v>
      </c>
      <c r="AE15" s="78">
        <v>83.42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49" t="s" ph="1">
        <v>179</v>
      </c>
      <c r="D16" s="73" ph="1">
        <f>D15*7.0686*LOOKUP(D17,密度!$A$2:$A$50,密度!$L$2:$L$50)</f>
        <v>38943.497438999999</v>
      </c>
      <c r="E16" s="73" ph="1">
        <f>E15*7.0686*LOOKUP(E17,密度!$A$2:$A$50,密度!$L$2:$L$50)</f>
        <v>6192.7085682000006</v>
      </c>
      <c r="F16" s="73" ph="1">
        <f>F15*9.0746*LOOKUP(F17,密度!$A$2:$A$50,密度!$L$2:$L$50)</f>
        <v>20895.573242400002</v>
      </c>
      <c r="G16" s="73" ph="1">
        <f>G15*9.0746*LOOKUP(G17,密度!$A$2:$A$50,密度!$B$2:$B$50)</f>
        <v>22695.107258100001</v>
      </c>
      <c r="H16" s="73" ph="1">
        <f>H15*9.0746*LOOKUP(H17,密度!$A$2:$A$50,密度!$L$2:$L$50)</f>
        <v>0</v>
      </c>
      <c r="I16" s="73" ph="1">
        <f>I15*9.0746*LOOKUP(I17,密度!$A$2:$A$50,密度!$U$2:$U$50)</f>
        <v>37084.940954999998</v>
      </c>
      <c r="J16" s="73" ph="1">
        <f>J15*9.0746*LOOKUP(J17,密度!$A$2:$A$50,密度!$L$2:$L$50)</f>
        <v>8722.3240280000009</v>
      </c>
      <c r="K16" s="73" ph="1">
        <f>K15*9.0746*LOOKUP(K17,密度!$A$2:$A$50,密度!$C$2:$C$50)</f>
        <v>46397.211988679999</v>
      </c>
      <c r="L16" s="73" ph="1">
        <f>L15*9.0746*LOOKUP(L17,密度!$A$2:$A$50,密度!$E$2:$E$50)</f>
        <v>19955.524538879999</v>
      </c>
      <c r="M16" s="73" ph="1">
        <f>M15*9.0746*LOOKUP(M17,密度!$A$2:$A$50,密度!$M$2:$M$50)</f>
        <v>52834.505456220002</v>
      </c>
      <c r="N16" s="73" ph="1">
        <f>N15*9.0746*LOOKUP(N17,密度!$A$2:$A$50,密度!$M$2:$M$50)</f>
        <v>22384.408380919998</v>
      </c>
      <c r="O16" s="73" ph="1">
        <f>O15*9.0746*LOOKUP(O17,密度!$A$2:$A$50,密度!$G$2:$G$50)</f>
        <v>59765.987120399994</v>
      </c>
      <c r="P16" s="73" ph="1">
        <f ca="1">P15*9.0746*LOOKUP(P17,密度!$A$2:$A$51,密度!$Q$2:$Q$50)</f>
        <v>30444.744694728004</v>
      </c>
      <c r="Q16" s="73" ph="1">
        <f>Q15*9.0746*LOOKUP(Q17,密度!$A$2:$A$50,密度!$Q$2:$Q$50)</f>
        <v>59026.839443598001</v>
      </c>
      <c r="R16" s="73" ph="1">
        <f>MAX(R15*9.0746*LOOKUP(R17,密度!$A$2:$A$50,密度!$B$2:$B$50),0)</f>
        <v>0</v>
      </c>
      <c r="S16" s="73" ph="1">
        <f>S15*9.0746*LOOKUP(S17,密度!$A$2:$A$50,密度!$Q$2:$Q$50)</f>
        <v>51000.696857812007</v>
      </c>
      <c r="T16" s="73" ph="1">
        <f>T15*9.0746*LOOKUP(T17,密度!$A$2:$A$50,密度!$O$2:$O$50)</f>
        <v>28822.563028</v>
      </c>
      <c r="U16" s="73" ph="1">
        <f>U15*9.0746*LOOKUP(U17,密度!$A$2:$A$50,密度!$H$2:$H$50)</f>
        <v>14596.764523080001</v>
      </c>
      <c r="V16" s="73" ph="1">
        <f>MAX(5600*LOOKUP(V17,密度!$A$2:$A$50,密度!$Q$2:$Q$50)+V15*9.0476*LOOKUP(V17,密度!$A$2:$A$50,密度!$Q$2:$Q$50),0)</f>
        <v>4070.6961038640002</v>
      </c>
      <c r="W16" s="73" ph="1">
        <f>MAX(5600*LOOKUP(W17,密度!$A$2:$A$50,密度!$Q$2:$Q$50)+W15*9.0476*LOOKUP(W17,密度!$A$2:$A$50,密度!$Q$2:$Q$50),0)</f>
        <v>23803.321342359999</v>
      </c>
      <c r="X16" s="73" ph="1">
        <f>MAX(5600*LOOKUP(X17,密度!$A$2:$A$50,密度!$I$2:$I$50)+X15*9.0476*LOOKUP(X17,密度!$A$2:$A$50,密度!$I$2:$I$50),0)</f>
        <v>3368.1194560000004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43336.007296260002</v>
      </c>
      <c r="AB16" s="73" ph="1">
        <f>AB15*9.0746*LOOKUP(AB17,密度!$A$2:$A$50,密度!$L$2:$L$50)</f>
        <v>3029.0561070000003</v>
      </c>
      <c r="AC16" s="73" ph="1">
        <f>AC15*9.0746*LOOKUP(AC17,密度!$A$2:$A$50,密度!$L$2:$L$50)</f>
        <v>6582.7148400000005</v>
      </c>
      <c r="AD16" s="73" ph="1">
        <f>AD15*268.68*LOOKUP(AD17,密度!$A$2:$A$50,密度!B2:B50)+IF(AD15&lt;=0,0,1566*LOOKUP(AD17,密度!$A$2:$A$50,密度!B2:B50))</f>
        <v>18817.834181279999</v>
      </c>
      <c r="AE16" s="73" ph="1">
        <f>AE15*268.68*LOOKUP(AE17,密度!$A$2:$A$50,密度!B2:B50)+IF(AE15&lt;=0,0,1566*LOOKUP(AE17,密度!$A$2:$A$50,密度!B2:B50))</f>
        <v>18694.251053759996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29</v>
      </c>
      <c r="E17" s="74">
        <v>29</v>
      </c>
      <c r="F17" s="74">
        <v>29</v>
      </c>
      <c r="G17" s="74">
        <v>27</v>
      </c>
      <c r="H17" s="74">
        <v>23</v>
      </c>
      <c r="I17" s="74">
        <v>25</v>
      </c>
      <c r="J17" s="74">
        <v>27</v>
      </c>
      <c r="K17" s="74">
        <v>27</v>
      </c>
      <c r="L17" s="74">
        <v>30</v>
      </c>
      <c r="M17" s="74">
        <v>30</v>
      </c>
      <c r="N17" s="74">
        <v>26</v>
      </c>
      <c r="O17" s="74">
        <v>28</v>
      </c>
      <c r="P17" s="74">
        <v>27</v>
      </c>
      <c r="Q17" s="74">
        <v>29</v>
      </c>
      <c r="R17" s="74">
        <v>27</v>
      </c>
      <c r="S17" s="74">
        <v>29</v>
      </c>
      <c r="T17" s="74">
        <v>27</v>
      </c>
      <c r="U17" s="74">
        <v>27</v>
      </c>
      <c r="V17" s="74">
        <v>30</v>
      </c>
      <c r="W17" s="74">
        <v>30</v>
      </c>
      <c r="X17" s="74">
        <v>27</v>
      </c>
      <c r="Y17" s="108">
        <v>27</v>
      </c>
      <c r="Z17" s="74">
        <v>26</v>
      </c>
      <c r="AA17" s="74">
        <v>27</v>
      </c>
      <c r="AB17" s="74">
        <v>27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5911</v>
      </c>
      <c r="E18" s="71">
        <v>2410</v>
      </c>
      <c r="F18" s="71">
        <v>2610</v>
      </c>
      <c r="G18" s="71">
        <v>3256</v>
      </c>
      <c r="H18" s="71">
        <v>0</v>
      </c>
      <c r="I18" s="71">
        <v>3931</v>
      </c>
      <c r="J18" s="71">
        <v>1031</v>
      </c>
      <c r="K18" s="71">
        <v>4619</v>
      </c>
      <c r="L18" s="71">
        <v>2836</v>
      </c>
      <c r="M18" s="71">
        <v>5406</v>
      </c>
      <c r="N18" s="71">
        <v>1923</v>
      </c>
      <c r="O18" s="71">
        <v>6890</v>
      </c>
      <c r="P18" s="71">
        <v>3551</v>
      </c>
      <c r="Q18" s="71">
        <v>6897</v>
      </c>
      <c r="R18" s="71">
        <v>0</v>
      </c>
      <c r="S18" s="71">
        <v>5961</v>
      </c>
      <c r="T18" s="71">
        <v>3432</v>
      </c>
      <c r="U18" s="71">
        <v>1761</v>
      </c>
      <c r="V18" s="71">
        <v>-143</v>
      </c>
      <c r="W18" s="71">
        <v>2169</v>
      </c>
      <c r="X18" s="71">
        <v>-262</v>
      </c>
      <c r="Y18" s="109">
        <v>-9905</v>
      </c>
      <c r="Z18" s="71">
        <v>0</v>
      </c>
      <c r="AA18" s="71">
        <v>6144</v>
      </c>
      <c r="AB18" s="71">
        <v>354</v>
      </c>
      <c r="AC18" s="71">
        <v>774</v>
      </c>
      <c r="AD18" s="71">
        <v>83.92</v>
      </c>
      <c r="AE18" s="71">
        <v>82.81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49" t="s" ph="1">
        <v>179</v>
      </c>
      <c r="D19" s="73" ph="1">
        <f>D18*7.0686*LOOKUP(D20,密度!$A$2:$A$50,密度!$L$2:$L$50)</f>
        <v>38941.284967200001</v>
      </c>
      <c r="E19" s="73" ph="1">
        <f>E18*7.0686*LOOKUP(E20,密度!$A$2:$A$50,密度!$L$2:$L$50)</f>
        <v>15876.923832000002</v>
      </c>
      <c r="F19" s="73" ph="1">
        <f>F18*9.0746*LOOKUP(F20,密度!$A$2:$A$50,密度!$L$2:$L$50)</f>
        <v>21955.722462000002</v>
      </c>
      <c r="G19" s="73" ph="1">
        <f>G18*9.0746*LOOKUP(G20,密度!$A$2:$A$50,密度!$B$2:$B$50)</f>
        <v>22934.301917119999</v>
      </c>
      <c r="H19" s="73" ph="1">
        <f>H18*9.0746*LOOKUP(H20,密度!$A$2:$A$50,密度!$L$2:$L$50)</f>
        <v>0</v>
      </c>
      <c r="I19" s="73" ph="1">
        <f>I18*9.0746*LOOKUP(I20,密度!$A$2:$A$50,密度!$U$2:$U$50)</f>
        <v>36278.680894199999</v>
      </c>
      <c r="J19" s="73" ph="1">
        <f>J18*9.0746*LOOKUP(J20,密度!$A$2:$A$50,密度!$L$2:$L$50)</f>
        <v>8644.8632424000007</v>
      </c>
      <c r="K19" s="73" ph="1">
        <f>K18*9.0746*LOOKUP(K20,密度!$A$2:$A$50,密度!$C$2:$C$50)</f>
        <v>46190.966294800004</v>
      </c>
      <c r="L19" s="73" ph="1">
        <f>L18*9.0746*LOOKUP(L20,密度!$A$2:$A$50,密度!$E$2:$E$50)</f>
        <v>19982.379910120002</v>
      </c>
      <c r="M19" s="73" ph="1">
        <f>M18*9.0746*LOOKUP(M20,密度!$A$2:$A$50,密度!$M$2:$M$50)</f>
        <v>42469.875021072003</v>
      </c>
      <c r="N19" s="73" ph="1">
        <f>N18*9.0746*LOOKUP(N20,密度!$A$2:$A$50,密度!$M$2:$M$50)</f>
        <v>15199.347001799999</v>
      </c>
      <c r="O19" s="73" ph="1">
        <f>O18*9.0746*LOOKUP(O20,密度!$A$2:$A$50,密度!$G$2:$G$50)</f>
        <v>59691.6570718</v>
      </c>
      <c r="P19" s="73" ph="1">
        <f ca="1">P18*9.0746*LOOKUP(P20,密度!$A$2:$A$51,密度!$Q$2:$Q$50)</f>
        <v>30397.775926318001</v>
      </c>
      <c r="Q19" s="73" ph="1">
        <f>Q18*9.0746*LOOKUP(Q20,密度!$A$2:$A$50,密度!$Q$2:$Q$50)</f>
        <v>59040.681656945999</v>
      </c>
      <c r="R19" s="73" ph="1">
        <f>MAX(R18*9.0746*LOOKUP(R20,密度!$A$2:$A$50,密度!$B$2:$B$50),0)</f>
        <v>0</v>
      </c>
      <c r="S19" s="73" ph="1">
        <f>S18*9.0746*LOOKUP(S20,密度!$A$2:$A$50,密度!$Q$2:$Q$50)</f>
        <v>50987.630885748003</v>
      </c>
      <c r="T19" s="73" ph="1">
        <f>T18*9.0746*LOOKUP(T20,密度!$A$2:$A$50,密度!$O$2:$O$50)</f>
        <v>28714.793078400002</v>
      </c>
      <c r="U19" s="73" ph="1">
        <f>U18*9.0746*LOOKUP(U20,密度!$A$2:$A$50,密度!$H$2:$H$50)</f>
        <v>14526.95589393</v>
      </c>
      <c r="V19" s="73" ph="1">
        <f>MAX(5600*LOOKUP(V20,密度!$A$2:$A$50,密度!$Q$2:$Q$50)+V18*9.0476*LOOKUP(V20,密度!$A$2:$A$50,密度!$Q$2:$Q$50),0)</f>
        <v>4047.5632364080002</v>
      </c>
      <c r="W19" s="73" ph="1">
        <f>MAX(5600*LOOKUP(W20,密度!$A$2:$A$50,密度!$Q$2:$Q$50)+W18*9.0476*LOOKUP(W20,密度!$A$2:$A$50,密度!$Q$2:$Q$50),0)</f>
        <v>23709.276281335999</v>
      </c>
      <c r="X19" s="73" ph="1">
        <f>MAX(5600*LOOKUP(X20,密度!$A$2:$A$50,密度!$I$2:$I$50)+X18*9.0476*LOOKUP(X20,密度!$A$2:$A$50,密度!$I$2:$I$50),0)</f>
        <v>3337.0398137520001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42930.843648000002</v>
      </c>
      <c r="AB19" s="73" ph="1">
        <f>AB18*9.0746*LOOKUP(AB20,密度!$A$2:$A$50,密度!$L$2:$L$50)</f>
        <v>2984.3274036000003</v>
      </c>
      <c r="AC19" s="73" ph="1">
        <f>AC18*9.0746*LOOKUP(AC20,密度!$A$2:$A$50,密度!$L$2:$L$50)</f>
        <v>6525.0548316000013</v>
      </c>
      <c r="AD19" s="73" ph="1">
        <f>AD18*268.68*LOOKUP(AD20,密度!$A$2:$A$50,密度!B5:B53)+IF(AD18&lt;=0,0,1566*LOOKUP(AD20,密度!$A$2:$A$50,密度!B5:B53))</f>
        <v>18736.2870912</v>
      </c>
      <c r="AE19" s="73" ph="1">
        <f>AE18*268.68*LOOKUP(AE20,密度!$A$2:$A$50,密度!B5:B53)+IF(AE18&lt;=0,0,1566*LOOKUP(AE20,密度!$A$2:$A$50,密度!B5:B53))</f>
        <v>18504.5586516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30</v>
      </c>
      <c r="E20" s="81">
        <v>30</v>
      </c>
      <c r="F20" s="81">
        <v>35</v>
      </c>
      <c r="G20" s="81">
        <v>29</v>
      </c>
      <c r="H20" s="81">
        <v>37</v>
      </c>
      <c r="I20" s="81">
        <v>33</v>
      </c>
      <c r="J20" s="81">
        <v>38</v>
      </c>
      <c r="K20" s="81">
        <v>33</v>
      </c>
      <c r="L20" s="81">
        <v>31</v>
      </c>
      <c r="M20" s="81">
        <v>34</v>
      </c>
      <c r="N20" s="81">
        <v>29</v>
      </c>
      <c r="O20" s="81">
        <v>30</v>
      </c>
      <c r="P20" s="81">
        <v>30</v>
      </c>
      <c r="Q20" s="81">
        <v>30</v>
      </c>
      <c r="R20" s="81">
        <v>33</v>
      </c>
      <c r="S20" s="81">
        <v>31</v>
      </c>
      <c r="T20" s="81">
        <v>30</v>
      </c>
      <c r="U20" s="81">
        <v>31</v>
      </c>
      <c r="V20" s="81">
        <v>35</v>
      </c>
      <c r="W20" s="81">
        <v>35</v>
      </c>
      <c r="X20" s="81">
        <v>33</v>
      </c>
      <c r="Y20" s="110">
        <v>37</v>
      </c>
      <c r="Z20" s="81">
        <v>29</v>
      </c>
      <c r="AA20" s="81">
        <v>36</v>
      </c>
      <c r="AB20" s="81">
        <v>33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49" t="s" ph="1">
        <v>178</v>
      </c>
      <c r="D24" s="71">
        <v>68.33</v>
      </c>
      <c r="E24" s="71">
        <v>41.51</v>
      </c>
      <c r="F24" s="71">
        <v>3893</v>
      </c>
      <c r="G24" s="71">
        <v>2329</v>
      </c>
      <c r="H24" s="71">
        <v>1011</v>
      </c>
      <c r="I24" s="71">
        <v>0</v>
      </c>
      <c r="J24" s="71">
        <v>1274</v>
      </c>
      <c r="K24" s="71">
        <v>5503</v>
      </c>
      <c r="L24" s="71">
        <v>5603</v>
      </c>
      <c r="M24" s="71">
        <v>4546</v>
      </c>
      <c r="N24" s="71">
        <v>3099</v>
      </c>
      <c r="O24" s="71">
        <v>4315</v>
      </c>
      <c r="P24" s="71">
        <v>682</v>
      </c>
      <c r="Q24" s="90">
        <v>2481</v>
      </c>
      <c r="R24" s="71">
        <v>4166</v>
      </c>
      <c r="S24" s="71">
        <v>7027</v>
      </c>
      <c r="T24" s="71">
        <v>1694</v>
      </c>
      <c r="U24" s="71">
        <v>6271</v>
      </c>
      <c r="V24" s="71">
        <v>11773</v>
      </c>
      <c r="W24" s="71">
        <v>11700</v>
      </c>
      <c r="X24" s="71">
        <v>4046</v>
      </c>
      <c r="Y24" s="71">
        <v>2795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18863.703991656002</v>
      </c>
      <c r="E25" s="91" ph="1">
        <f>E24*268.68*LOOKUP(E26,密度!$A$2:$A$50,密度!$C$2:$C$50)+IF(E24&lt;=0,0,1566*LOOKUP(E26,密度!$A$2:$A$50,密度!$C$2:$C$50))</f>
        <v>14103.99575052</v>
      </c>
      <c r="F25" s="91" ph="1">
        <f>F24*11.702*LOOKUP(F26,密度!$A$2:$A$50,密度!$Q$2:$Q$50)</f>
        <v>43064.890153519998</v>
      </c>
      <c r="G25" s="91" ph="1">
        <f>G24*18.322*LOOKUP(G26,密度!$A$2:$A$50,密度!$B$2:$B$50)</f>
        <v>33194.500570199998</v>
      </c>
      <c r="H25" s="91" ph="1">
        <f>H24*18.322*LOOKUP(H26,密度!$A$2:$A$50,密度!$B$2:$B$50)</f>
        <v>14409.463321799998</v>
      </c>
      <c r="I25" s="91" ph="1">
        <f>I24*18.322*LOOKUP(I26,密度!$A$2:$A$50,密度!$Q$2:$Q$50)</f>
        <v>0</v>
      </c>
      <c r="J25" s="91" ph="1">
        <f>J24*18.322*LOOKUP(J26,密度!$A$2:$A$50,密度!$Q$2:$Q$50)</f>
        <v>22082.447954840001</v>
      </c>
      <c r="K25" s="91" ph="1">
        <f>K24*18.322*LOOKUP(K26,密度!$A$2:$A$50,密度!$Q$2:$Q$50)</f>
        <v>95312.802179120001</v>
      </c>
      <c r="L25" s="91" ph="1">
        <f>L24*18.322*LOOKUP(L26,密度!$A$2:$A$50,密度!$Q$2:$Q$50)</f>
        <v>97044.817483120001</v>
      </c>
      <c r="M25" s="91" ph="1">
        <f>M24*18.322*LOOKUP(M26,密度!$A$2:$A$50,密度!$Q$2:$Q$50)</f>
        <v>78796.552906359997</v>
      </c>
      <c r="N25" s="91" ph="1">
        <f>N24*18.322*LOOKUP(N26,密度!$A$2:$A$50,密度!$Q$2:$Q$50)</f>
        <v>53675.154270960003</v>
      </c>
      <c r="O25" s="91" ph="1">
        <f>O24*18.322*LOOKUP(O26,密度!$A$2:$A$50,密度!$C$2:$C$50)</f>
        <v>87605.754382999992</v>
      </c>
      <c r="P25" s="91" ph="1">
        <f>P24*11.702*LOOKUP(P26,密度!$A$2:$A$50,密度!$B$2:$B$50)</f>
        <v>6214.6209267999993</v>
      </c>
      <c r="Q25" s="92" ph="1">
        <f>Q24*18.322*LOOKUP(Q26,密度!$A$2:$A$50,密度!$B$2:$B$50)</f>
        <v>35319.997314</v>
      </c>
      <c r="R25" s="91" ph="1">
        <f>R24*35.891*LOOKUP(R26,密度!$A$2:$A$50,密度!$C$2:$C$50)</f>
        <v>165580.55870439997</v>
      </c>
      <c r="S25" s="91" ph="1">
        <f>S24*35.891*LOOKUP(S26,密度!$A$2:$A$50,密度!$B$2:$B$50)</f>
        <v>195964.10628900002</v>
      </c>
      <c r="T25" s="91" ph="1">
        <f>T24*35.891*LOOKUP(T26,密度!$A$2:$A$50,密度!$Q$2:$Q$50)</f>
        <v>57432.285775479999</v>
      </c>
      <c r="U25" s="91" ph="1">
        <f>U24*35.891</f>
        <v>225072.46099999998</v>
      </c>
      <c r="V25" s="91" ph="1">
        <f>V24*47.051*LOOKUP(V26,密度!$A$2:$A$50,密度!$B$2:$B$50)</f>
        <v>430903.25395170006</v>
      </c>
      <c r="W25" s="91" ph="1">
        <f>W24*47.051*LOOKUP(W26,密度!$A$2:$A$50,密度!$B$2:$B$50)</f>
        <v>428231.38293000008</v>
      </c>
      <c r="X25" s="91" ph="1">
        <f>X24*47.051*LOOKUP(X26,密度!$A$2:$A$50,密度!$I$2:$I$50)</f>
        <v>197773.67465940001</v>
      </c>
      <c r="Y25" s="91" ph="1">
        <f>Y24*47.051*LOOKUP(Y26,密度!$A$2:$A$50,密度!$L$2:$L$50)</f>
        <v>122696.53948500002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27</v>
      </c>
      <c r="G26" s="74">
        <v>27</v>
      </c>
      <c r="H26" s="74">
        <v>27</v>
      </c>
      <c r="I26" s="74">
        <v>28</v>
      </c>
      <c r="J26" s="74">
        <v>26</v>
      </c>
      <c r="K26" s="74">
        <v>27</v>
      </c>
      <c r="L26" s="74">
        <v>27</v>
      </c>
      <c r="M26" s="74">
        <v>26</v>
      </c>
      <c r="N26" s="74">
        <v>27</v>
      </c>
      <c r="O26" s="74">
        <v>26</v>
      </c>
      <c r="P26" s="74">
        <v>26</v>
      </c>
      <c r="Q26" s="93">
        <v>28</v>
      </c>
      <c r="R26" s="74">
        <v>27</v>
      </c>
      <c r="S26" s="74">
        <v>28</v>
      </c>
      <c r="T26" s="74">
        <v>28</v>
      </c>
      <c r="U26" s="74">
        <v>27</v>
      </c>
      <c r="V26" s="74">
        <v>27</v>
      </c>
      <c r="W26" s="74">
        <v>27</v>
      </c>
      <c r="X26" s="74">
        <v>28</v>
      </c>
      <c r="Y26" s="74">
        <v>29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49" t="s" ph="1">
        <v>181</v>
      </c>
      <c r="D27" s="71">
        <v>68.349999999999994</v>
      </c>
      <c r="E27" s="71">
        <v>20.21</v>
      </c>
      <c r="F27" s="71">
        <v>3896</v>
      </c>
      <c r="G27" s="71">
        <v>1891</v>
      </c>
      <c r="H27" s="71">
        <v>1007</v>
      </c>
      <c r="I27" s="71">
        <v>0</v>
      </c>
      <c r="J27" s="71">
        <v>1156</v>
      </c>
      <c r="K27" s="71">
        <v>5505</v>
      </c>
      <c r="L27" s="71">
        <v>5600</v>
      </c>
      <c r="M27" s="71">
        <v>4546</v>
      </c>
      <c r="N27" s="71">
        <v>2713</v>
      </c>
      <c r="O27" s="71">
        <v>4312</v>
      </c>
      <c r="P27" s="71">
        <v>679</v>
      </c>
      <c r="Q27" s="90">
        <v>1881</v>
      </c>
      <c r="R27" s="71">
        <v>4366</v>
      </c>
      <c r="S27" s="71">
        <v>7027</v>
      </c>
      <c r="T27" s="71">
        <v>1692</v>
      </c>
      <c r="U27" s="71">
        <v>6154</v>
      </c>
      <c r="V27" s="71">
        <v>11780</v>
      </c>
      <c r="W27" s="71">
        <v>11704</v>
      </c>
      <c r="X27" s="71">
        <v>4044</v>
      </c>
      <c r="Y27" s="71">
        <v>3064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49" t="s" ph="1">
        <v>179</v>
      </c>
      <c r="D28" s="91" ph="1">
        <f>D27*268.68*LOOKUP(D29,密度!$A$2:$A$50,密度!$Q$2:$Q$50)+IF(D27&lt;=0,0,1566*LOOKUP(D29,密度!$A$2:$A$50,密度!$Q$2:$Q$50))</f>
        <v>18868.791393719999</v>
      </c>
      <c r="E28" s="91" ph="1">
        <f>E27*268.68*LOOKUP(E29,密度!$A$2:$A$50,密度!$C$2:$C$50)+IF(E27&lt;=0,0,1566*LOOKUP(E29,密度!$A$2:$A$50,密度!$C$2:$C$50))</f>
        <v>7757.8896829200012</v>
      </c>
      <c r="F28" s="91" ph="1">
        <f>F27*11.702*LOOKUP(F29,密度!$A$2:$A$50,密度!$Q$2:$Q$50)</f>
        <v>43034.70507856</v>
      </c>
      <c r="G28" s="91" ph="1">
        <f>G27*18.322*LOOKUP(G29,密度!$A$2:$A$50,密度!$B$2:$B$50)</f>
        <v>26771.661175400004</v>
      </c>
      <c r="H28" s="91" ph="1">
        <f>H27*18.322*LOOKUP(H29,密度!$A$2:$A$50,密度!$B$2:$B$50)</f>
        <v>14271.271468999999</v>
      </c>
      <c r="I28" s="91" ph="1">
        <f>I27*18.322*LOOKUP(I29,密度!$A$2:$A$50,密度!$Q$2:$Q$50)</f>
        <v>0</v>
      </c>
      <c r="J28" s="91" ph="1">
        <f>J27*18.322*LOOKUP(J29,密度!$A$2:$A$50,密度!$Q$2:$Q$50)</f>
        <v>19964.063078560001</v>
      </c>
      <c r="K28" s="91" ph="1">
        <f>K27*18.322*LOOKUP(K29,密度!$A$2:$A$50,密度!$Q$2:$Q$50)</f>
        <v>95071.078933800003</v>
      </c>
      <c r="L28" s="91" ph="1">
        <f>L27*18.322*LOOKUP(L29,密度!$A$2:$A$50,密度!$Q$2:$Q$50)</f>
        <v>96711.724256000001</v>
      </c>
      <c r="M28" s="91" ph="1">
        <f>M27*18.322*LOOKUP(M29,密度!$A$2:$A$50,密度!$Q$2:$Q$50)</f>
        <v>78571.665013959995</v>
      </c>
      <c r="N28" s="91" ph="1">
        <f>N27*18.322*LOOKUP(N29,密度!$A$2:$A$50,密度!$Q$2:$Q$50)</f>
        <v>46890.657101379998</v>
      </c>
      <c r="O28" s="91" ph="1">
        <f>O27*18.322*LOOKUP(O29,密度!$A$2:$A$50,密度!$C$2:$C$50)</f>
        <v>87062.919328000004</v>
      </c>
      <c r="P28" s="91" ph="1">
        <f>P27*11.702*LOOKUP(P29,密度!$A$2:$A$50,密度!$B$2:$B$50)</f>
        <v>6125.3077522000003</v>
      </c>
      <c r="Q28" s="92" ph="1">
        <f>Q27*18.322*LOOKUP(Q29,密度!$A$2:$A$50,密度!$B$2:$B$50)</f>
        <v>26599.069767600002</v>
      </c>
      <c r="R28" s="91" ph="1">
        <f>R27*35.891*LOOKUP(R29,密度!$A$2:$A$50,密度!$C$2:$C$50)</f>
        <v>172511.14669540001</v>
      </c>
      <c r="S28" s="91" ph="1">
        <f>S27*35.891*LOOKUP(S29,密度!$A$2:$A$50,密度!$B$2:$B$50)</f>
        <v>194652.6347926</v>
      </c>
      <c r="T28" s="91" ph="1">
        <f>T27*35.891*LOOKUP(T29,密度!$A$2:$A$50,密度!$Q$2:$Q$50)</f>
        <v>57119.746947480002</v>
      </c>
      <c r="U28" s="91" ph="1">
        <f>U27*35.891</f>
        <v>220873.21399999998</v>
      </c>
      <c r="V28" s="91" ph="1">
        <f>V27*47.051*LOOKUP(V29,密度!$A$2:$A$50,密度!$B$2:$B$50)</f>
        <v>428277.30470600002</v>
      </c>
      <c r="W28" s="91" ph="1">
        <f>W27*47.051*LOOKUP(W29,密度!$A$2:$A$50,密度!$B$2:$B$50)</f>
        <v>425018.60890719999</v>
      </c>
      <c r="X28" s="91" ph="1">
        <f>X27*47.051*LOOKUP(X29,密度!$A$2:$A$50,密度!$I$2:$I$50)</f>
        <v>196186.06476107999</v>
      </c>
      <c r="Y28" s="91" ph="1">
        <f>Y27*47.051*LOOKUP(Y29,密度!$A$2:$A$50,密度!$L$2:$L$50)</f>
        <v>133928.60125599999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49" t="s" ph="1">
        <v>180</v>
      </c>
      <c r="D29" s="74">
        <v>25</v>
      </c>
      <c r="E29" s="74">
        <v>25</v>
      </c>
      <c r="F29" s="74">
        <v>29</v>
      </c>
      <c r="G29" s="74">
        <v>33</v>
      </c>
      <c r="H29" s="74">
        <v>32</v>
      </c>
      <c r="I29" s="74">
        <v>32</v>
      </c>
      <c r="J29" s="74">
        <v>31</v>
      </c>
      <c r="K29" s="74">
        <v>31</v>
      </c>
      <c r="L29" s="74">
        <v>31</v>
      </c>
      <c r="M29" s="74">
        <v>30</v>
      </c>
      <c r="N29" s="74">
        <v>30</v>
      </c>
      <c r="O29" s="74">
        <v>33</v>
      </c>
      <c r="P29" s="74">
        <v>35</v>
      </c>
      <c r="Q29" s="93">
        <v>34</v>
      </c>
      <c r="R29" s="74">
        <v>34</v>
      </c>
      <c r="S29" s="74">
        <v>34</v>
      </c>
      <c r="T29" s="74">
        <v>34</v>
      </c>
      <c r="U29" s="74">
        <v>32</v>
      </c>
      <c r="V29" s="74">
        <v>33</v>
      </c>
      <c r="W29" s="74">
        <v>34</v>
      </c>
      <c r="X29" s="74">
        <v>35</v>
      </c>
      <c r="Y29" s="74">
        <v>33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32474.507055000002</v>
      </c>
      <c r="E33" s="182" ph="1">
        <f>M10+I10</f>
        <v>125545.79208020002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[[#This Row],[F25]]</f>
        <v>3880</v>
      </c>
      <c r="G33" s="208" ph="1">
        <v>0</v>
      </c>
      <c r="H33" s="182" ph="1">
        <f>N19</f>
        <v>15199.347001799999</v>
      </c>
      <c r="I33" s="186" ph="1">
        <v>0</v>
      </c>
      <c r="J33" s="190" ph="1">
        <f>F10+O28</f>
        <v>228373.1794351</v>
      </c>
      <c r="K33" s="182" ph="1">
        <f>O10+K10+E28+R28</f>
        <v>328509.86671992001</v>
      </c>
      <c r="L33" s="192" ph="1">
        <f>BE27</f>
        <v>7100</v>
      </c>
      <c r="M33" s="190" ph="1">
        <f>G10+H10+W28+S28+V28+E10</f>
        <v>2052316.2795188001</v>
      </c>
      <c r="N33" s="182" ph="1">
        <f>L10+P10++G28+H28</f>
        <v>135740.59667940001</v>
      </c>
      <c r="O33" s="186" ph="1">
        <f>BE17</f>
        <v>2270</v>
      </c>
      <c r="P33" s="190" ph="1">
        <f>L19</f>
        <v>19982.379910120002</v>
      </c>
      <c r="Q33" s="182" ph="1">
        <f>J10+N10</f>
        <v>15063.23074762</v>
      </c>
      <c r="R33" s="186" ph="1">
        <f>BE23</f>
        <v>890</v>
      </c>
      <c r="S33" s="190" ph="1">
        <f>E10+X28</f>
        <v>515002.63337807998</v>
      </c>
      <c r="T33" s="182" ph="1">
        <f>X19</f>
        <v>3337.0398137520001</v>
      </c>
      <c r="U33" s="171" ph="1">
        <f>BE21</f>
        <v>730</v>
      </c>
      <c r="V33" s="184" ph="1">
        <f ca="1">P19+Q19+S19+M28+N28+J28</f>
        <v>285852.47366291197</v>
      </c>
      <c r="W33" s="184" ph="1">
        <f>D28+F28+V19+T28</f>
        <v>123070.806656168</v>
      </c>
      <c r="X33" s="186" ph="1">
        <f>BE29+BE31</f>
        <v>10200</v>
      </c>
      <c r="Y33" s="188" ph="1">
        <f>+Q10+R10+S10+T10+U10+V10+W10+X10+Y10</f>
        <v>113442.71732639999</v>
      </c>
      <c r="Z33" s="169" ph="1">
        <f>D10+T19+U19+Y28+Z10</f>
        <v>409963.12931451993</v>
      </c>
      <c r="AA33" s="171" ph="1">
        <f>BE19</f>
        <v>1440</v>
      </c>
      <c r="AB33" s="173" ph="1">
        <f>I19</f>
        <v>36278.680894199999</v>
      </c>
      <c r="AC33" s="175" ph="1">
        <f>AD10</f>
        <v>82316.276582400009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47" t="s" ph="1">
        <v>186</v>
      </c>
      <c r="AA36" s="147" ph="1"/>
      <c r="AB36" s="168" t="s" ph="1">
        <v>640</v>
      </c>
      <c r="AC36" s="168" ph="1"/>
      <c r="AD36" s="168" ph="1"/>
      <c r="AE36" s="168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345</v>
      </c>
      <c r="AI37" s="147" t="s" ph="1">
        <v>212</v>
      </c>
      <c r="AJ37" s="147" t="s" ph="1">
        <v>213</v>
      </c>
      <c r="AK37" s="147" t="s" ph="1">
        <v>214</v>
      </c>
      <c r="AM37" s="147" t="s" ph="1">
        <v>213</v>
      </c>
      <c r="AN37" s="147" t="s" ph="1">
        <v>214</v>
      </c>
      <c r="AO37" s="147" t="s" ph="1">
        <v>215</v>
      </c>
      <c r="AP37" s="147" t="s" ph="1">
        <v>213</v>
      </c>
      <c r="AQ37" s="147" t="s" ph="1">
        <v>214</v>
      </c>
      <c r="AR37" s="147" t="s" ph="1">
        <v>215</v>
      </c>
      <c r="AS37" s="147" t="s" ph="1">
        <v>213</v>
      </c>
      <c r="AT37" s="147" t="s" ph="1">
        <v>214</v>
      </c>
      <c r="AU37" s="147" t="s" ph="1">
        <v>215</v>
      </c>
      <c r="AV37" s="147" t="s" ph="1">
        <v>213</v>
      </c>
      <c r="AW37" s="147" t="s" ph="1">
        <v>214</v>
      </c>
      <c r="AX37" s="147" t="s" ph="1">
        <v>215</v>
      </c>
      <c r="AY37" s="147" t="s" ph="1">
        <v>214</v>
      </c>
      <c r="AZ37" s="147" t="s" ph="1">
        <v>216</v>
      </c>
      <c r="BD37" s="147" t="s" ph="1">
        <v>308</v>
      </c>
      <c r="BE37" s="147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034" priority="97">
      <formula>ABS(D$7-D$10)&gt;=1000</formula>
    </cfRule>
  </conditionalFormatting>
  <conditionalFormatting sqref="E4 E6:E11">
    <cfRule type="expression" dxfId="2033" priority="96">
      <formula>ABS(E$7-E$10)&gt;=1000</formula>
    </cfRule>
  </conditionalFormatting>
  <conditionalFormatting sqref="F4:F11">
    <cfRule type="expression" dxfId="2032" priority="95">
      <formula>ABS(F$7-F$10)&gt;=1000</formula>
    </cfRule>
  </conditionalFormatting>
  <conditionalFormatting sqref="G4:G11">
    <cfRule type="expression" dxfId="2031" priority="94">
      <formula>ABS(G$7-G$10)&gt;=1000</formula>
    </cfRule>
  </conditionalFormatting>
  <conditionalFormatting sqref="H4:H11">
    <cfRule type="expression" dxfId="2030" priority="93">
      <formula>ABS(H$7-H$10)&gt;=1000</formula>
    </cfRule>
  </conditionalFormatting>
  <conditionalFormatting sqref="I4:I11">
    <cfRule type="expression" dxfId="2029" priority="92">
      <formula>ABS(I$7-I$10)&gt;=1000</formula>
    </cfRule>
  </conditionalFormatting>
  <conditionalFormatting sqref="J4:J11">
    <cfRule type="expression" dxfId="2028" priority="91">
      <formula>ABS(J$7-J$10)&gt;=1000</formula>
    </cfRule>
  </conditionalFormatting>
  <conditionalFormatting sqref="K4:K11">
    <cfRule type="expression" dxfId="2027" priority="90">
      <formula>ABS(K$7-K$10)&gt;=1000</formula>
    </cfRule>
  </conditionalFormatting>
  <conditionalFormatting sqref="L4:L11">
    <cfRule type="expression" dxfId="2026" priority="89">
      <formula>ABS(L$7-L$10)&gt;=1000</formula>
    </cfRule>
  </conditionalFormatting>
  <conditionalFormatting sqref="M4 M6:M11">
    <cfRule type="expression" dxfId="2025" priority="88">
      <formula>ABS(M$7-M$10)&gt;=1000</formula>
    </cfRule>
  </conditionalFormatting>
  <conditionalFormatting sqref="N4 N6:N11">
    <cfRule type="expression" dxfId="2024" priority="87">
      <formula>ABS(N$7-N$10)&gt;=1000</formula>
    </cfRule>
  </conditionalFormatting>
  <conditionalFormatting sqref="O4 O6:O11">
    <cfRule type="expression" dxfId="2023" priority="86">
      <formula>ABS(O$7-O$10)&gt;=1000</formula>
    </cfRule>
  </conditionalFormatting>
  <conditionalFormatting sqref="P4 P6:P11">
    <cfRule type="expression" dxfId="2022" priority="85">
      <formula>ABS(P$7-P$10)&gt;=1000</formula>
    </cfRule>
  </conditionalFormatting>
  <conditionalFormatting sqref="Q4:Q11">
    <cfRule type="expression" dxfId="2021" priority="84">
      <formula>ABS(Q$7-Q$10)&gt;=1000</formula>
    </cfRule>
  </conditionalFormatting>
  <conditionalFormatting sqref="R4:R11">
    <cfRule type="expression" dxfId="2020" priority="83">
      <formula>ABS(R$7-R$10)&gt;=1000</formula>
    </cfRule>
  </conditionalFormatting>
  <conditionalFormatting sqref="S4:S11">
    <cfRule type="expression" dxfId="2019" priority="82">
      <formula>ABS(S$7-S$10)&gt;=1000</formula>
    </cfRule>
  </conditionalFormatting>
  <conditionalFormatting sqref="T4:T9 T11">
    <cfRule type="expression" dxfId="2018" priority="81">
      <formula>ABS(T$7-T$10)&gt;=1000</formula>
    </cfRule>
  </conditionalFormatting>
  <conditionalFormatting sqref="U4:U9 U11">
    <cfRule type="expression" dxfId="2017" priority="80">
      <formula>ABS(U$7-U$10)&gt;=1000</formula>
    </cfRule>
  </conditionalFormatting>
  <conditionalFormatting sqref="V4:V9 V11">
    <cfRule type="expression" dxfId="2016" priority="79">
      <formula>ABS(V$7-V$10)&gt;=1000</formula>
    </cfRule>
  </conditionalFormatting>
  <conditionalFormatting sqref="W4:W9 W11">
    <cfRule type="expression" dxfId="2015" priority="78">
      <formula>ABS(W$7-W$10)&gt;=1000</formula>
    </cfRule>
  </conditionalFormatting>
  <conditionalFormatting sqref="X4:X9 X11">
    <cfRule type="expression" dxfId="2014" priority="77">
      <formula>ABS(X$7-X$10)&gt;=1000</formula>
    </cfRule>
  </conditionalFormatting>
  <conditionalFormatting sqref="Y4:Y9 Y11">
    <cfRule type="expression" dxfId="2013" priority="76">
      <formula>ABS(Y$7-Y$10)&gt;=1000</formula>
    </cfRule>
  </conditionalFormatting>
  <conditionalFormatting sqref="Z4:Z11">
    <cfRule type="expression" dxfId="2012" priority="75">
      <formula>ABS(Z$7-Z$10)&gt;=1000</formula>
    </cfRule>
  </conditionalFormatting>
  <conditionalFormatting sqref="AA4:AA11">
    <cfRule type="expression" dxfId="2011" priority="74">
      <formula>ABS(AA$7-AA$10)&gt;=1000</formula>
    </cfRule>
  </conditionalFormatting>
  <conditionalFormatting sqref="AB4:AB11">
    <cfRule type="expression" dxfId="2010" priority="73">
      <formula>ABS(AB$7-AB$10)&gt;=1000</formula>
    </cfRule>
  </conditionalFormatting>
  <conditionalFormatting sqref="AC4 AC6:AC11">
    <cfRule type="expression" dxfId="2009" priority="72">
      <formula>ABS(AC$7-AC$10)&gt;=1000</formula>
    </cfRule>
  </conditionalFormatting>
  <conditionalFormatting sqref="AD4:AD11">
    <cfRule type="expression" dxfId="2008" priority="71">
      <formula>ABS(AD$7-AD$10)&gt;=1000</formula>
    </cfRule>
  </conditionalFormatting>
  <conditionalFormatting sqref="AE4:AE11">
    <cfRule type="expression" dxfId="2007" priority="70">
      <formula>ABS(AE$7-AE$10)&gt;=1000</formula>
    </cfRule>
  </conditionalFormatting>
  <conditionalFormatting sqref="D13:D20">
    <cfRule type="expression" dxfId="2006" priority="69">
      <formula>ABS(D$16-D$19)&gt;=1000</formula>
    </cfRule>
  </conditionalFormatting>
  <conditionalFormatting sqref="E13:E20">
    <cfRule type="expression" dxfId="2005" priority="68">
      <formula>ABS(E$16-E$19)&gt;=1000</formula>
    </cfRule>
  </conditionalFormatting>
  <conditionalFormatting sqref="F13 F15:F20">
    <cfRule type="expression" dxfId="2004" priority="67">
      <formula>ABS(F$16-F$19)&gt;=1000</formula>
    </cfRule>
  </conditionalFormatting>
  <conditionalFormatting sqref="G13:G20">
    <cfRule type="expression" dxfId="2003" priority="66">
      <formula>ABS(G$16-G$19)&gt;=1000</formula>
    </cfRule>
  </conditionalFormatting>
  <conditionalFormatting sqref="H13:H20">
    <cfRule type="expression" dxfId="2002" priority="65">
      <formula>ABS(H$16-H$19)&gt;=1000</formula>
    </cfRule>
  </conditionalFormatting>
  <conditionalFormatting sqref="I13:I20">
    <cfRule type="expression" dxfId="2001" priority="64">
      <formula>ABS(I$16-I$19)&gt;=1000</formula>
    </cfRule>
  </conditionalFormatting>
  <conditionalFormatting sqref="J13:J20">
    <cfRule type="expression" dxfId="2000" priority="63">
      <formula>ABS(J$16-J$19)&gt;=1000</formula>
    </cfRule>
  </conditionalFormatting>
  <conditionalFormatting sqref="L13:L20">
    <cfRule type="expression" dxfId="1999" priority="62">
      <formula>ABS(L$16-L$19)&gt;=1000</formula>
    </cfRule>
  </conditionalFormatting>
  <conditionalFormatting sqref="M13 M15 M17:M18 M20">
    <cfRule type="expression" dxfId="1998" priority="61">
      <formula>ABS(M$16-M$19)&gt;=1000</formula>
    </cfRule>
  </conditionalFormatting>
  <conditionalFormatting sqref="N13:N20">
    <cfRule type="expression" dxfId="1997" priority="60">
      <formula>ABS(N$16-N$19)&gt;=1000</formula>
    </cfRule>
  </conditionalFormatting>
  <conditionalFormatting sqref="O13:O20">
    <cfRule type="expression" dxfId="1996" priority="59">
      <formula>ABS(O$16-O$19)&gt;=1000</formula>
    </cfRule>
  </conditionalFormatting>
  <conditionalFormatting sqref="P13:P20">
    <cfRule type="expression" dxfId="1995" priority="58">
      <formula>ABS(P$16-P$19)&gt;=1000</formula>
    </cfRule>
  </conditionalFormatting>
  <conditionalFormatting sqref="Q13 Q15:Q20">
    <cfRule type="expression" dxfId="1994" priority="57">
      <formula>ABS(Q$16-Q$19)&gt;=1000</formula>
    </cfRule>
  </conditionalFormatting>
  <conditionalFormatting sqref="R13:R20">
    <cfRule type="expression" dxfId="1993" priority="56">
      <formula>ABS(R$16-R$19)&gt;=1000</formula>
    </cfRule>
  </conditionalFormatting>
  <conditionalFormatting sqref="S13:S20">
    <cfRule type="expression" dxfId="1992" priority="55">
      <formula>ABS(S$16-S$19)&gt;=1000</formula>
    </cfRule>
  </conditionalFormatting>
  <conditionalFormatting sqref="T13:T20">
    <cfRule type="expression" dxfId="1991" priority="54">
      <formula>ABS(T$16-T$19)&gt;=1000</formula>
    </cfRule>
  </conditionalFormatting>
  <conditionalFormatting sqref="U13:U20">
    <cfRule type="expression" dxfId="1990" priority="53">
      <formula>ABS(U$16-U$19)&gt;=1000</formula>
    </cfRule>
  </conditionalFormatting>
  <conditionalFormatting sqref="V13:V20">
    <cfRule type="expression" dxfId="1989" priority="52">
      <formula>ABS(V$16-V$19)&gt;=1000</formula>
    </cfRule>
  </conditionalFormatting>
  <conditionalFormatting sqref="W13 W20 W15:W18">
    <cfRule type="expression" dxfId="1988" priority="51">
      <formula>ABS(W$16-W$19)&gt;=1000</formula>
    </cfRule>
  </conditionalFormatting>
  <conditionalFormatting sqref="X13 X15:X20 Y19">
    <cfRule type="expression" dxfId="1987" priority="50">
      <formula>ABS(X$16-X$19)&gt;=1000</formula>
    </cfRule>
  </conditionalFormatting>
  <conditionalFormatting sqref="Y13 Y15:Y18 Y20">
    <cfRule type="expression" dxfId="1986" priority="49">
      <formula>ABS(Y$16-Y$19)&gt;=1000</formula>
    </cfRule>
  </conditionalFormatting>
  <conditionalFormatting sqref="Z13:Z20">
    <cfRule type="expression" dxfId="1985" priority="48">
      <formula>ABS(Z$16-Z$19)&gt;=1000</formula>
    </cfRule>
  </conditionalFormatting>
  <conditionalFormatting sqref="AA13:AA20">
    <cfRule type="expression" dxfId="1984" priority="47">
      <formula>ABS(AA$16-AA$19)&gt;=1000</formula>
    </cfRule>
  </conditionalFormatting>
  <conditionalFormatting sqref="AB13 AB15:AB20">
    <cfRule type="expression" dxfId="1983" priority="46">
      <formula>ABS(AB$16-AB$19)&gt;=1000</formula>
    </cfRule>
  </conditionalFormatting>
  <conditionalFormatting sqref="AC13 AC15:AC20">
    <cfRule type="expression" dxfId="1982" priority="45">
      <formula>ABS(AC$16-AC$19)&gt;=1000</formula>
    </cfRule>
  </conditionalFormatting>
  <conditionalFormatting sqref="AD13:AD20">
    <cfRule type="expression" dxfId="1981" priority="44">
      <formula>ABS(AD$16-AD$19)&gt;=1000</formula>
    </cfRule>
  </conditionalFormatting>
  <conditionalFormatting sqref="AE13:AE20">
    <cfRule type="expression" dxfId="1980" priority="43">
      <formula>ABS(AE$16-AE$19)&gt;=1000</formula>
    </cfRule>
  </conditionalFormatting>
  <conditionalFormatting sqref="D22:D29">
    <cfRule type="expression" dxfId="1979" priority="42">
      <formula>ABS(D$25-D$28)&gt;=1000</formula>
    </cfRule>
  </conditionalFormatting>
  <conditionalFormatting sqref="E22:E29">
    <cfRule type="expression" dxfId="1978" priority="41">
      <formula>ABS(E$25-E$28)&gt;=1000</formula>
    </cfRule>
  </conditionalFormatting>
  <conditionalFormatting sqref="F22:F29">
    <cfRule type="expression" dxfId="1977" priority="40">
      <formula>ABS(F$25-F$28)&gt;=1000</formula>
    </cfRule>
  </conditionalFormatting>
  <conditionalFormatting sqref="G22:G29">
    <cfRule type="expression" dxfId="1976" priority="39">
      <formula>ABS(G$25-G$28)&gt;=1000</formula>
    </cfRule>
  </conditionalFormatting>
  <conditionalFormatting sqref="H22:H29">
    <cfRule type="expression" dxfId="1975" priority="38">
      <formula>ABS(H$25-H$28)&gt;=1000</formula>
    </cfRule>
  </conditionalFormatting>
  <conditionalFormatting sqref="I22 I24:I29">
    <cfRule type="expression" dxfId="1974" priority="37">
      <formula>ABS(I$25-I$28)&gt;=1000</formula>
    </cfRule>
  </conditionalFormatting>
  <conditionalFormatting sqref="J22:J29 K22">
    <cfRule type="expression" dxfId="1973" priority="36">
      <formula>ABS(J$25-J$28)&gt;=1000</formula>
    </cfRule>
  </conditionalFormatting>
  <conditionalFormatting sqref="K23:K29 L25 L28">
    <cfRule type="expression" dxfId="1972" priority="35">
      <formula>ABS(K$25-K$28)&gt;=1000</formula>
    </cfRule>
  </conditionalFormatting>
  <conditionalFormatting sqref="L22 L26:L27 L29 L24">
    <cfRule type="expression" dxfId="1971" priority="34">
      <formula>ABS(L$25-L$28)&gt;=1000</formula>
    </cfRule>
  </conditionalFormatting>
  <conditionalFormatting sqref="M22:M29">
    <cfRule type="expression" dxfId="1970" priority="33">
      <formula>ABS(M$25-M$28)&gt;=1000</formula>
    </cfRule>
  </conditionalFormatting>
  <conditionalFormatting sqref="N22:N29">
    <cfRule type="expression" dxfId="1969" priority="32">
      <formula>ABS(N$25-N$28)&gt;=1000</formula>
    </cfRule>
  </conditionalFormatting>
  <conditionalFormatting sqref="O22:O29">
    <cfRule type="expression" dxfId="1968" priority="31">
      <formula>ABS(O$25-O$28)&gt;=1000</formula>
    </cfRule>
  </conditionalFormatting>
  <conditionalFormatting sqref="P22:P29">
    <cfRule type="expression" dxfId="1967" priority="30">
      <formula>ABS(P$25-P$28)&gt;=1000</formula>
    </cfRule>
  </conditionalFormatting>
  <conditionalFormatting sqref="Q22:Q29">
    <cfRule type="expression" dxfId="1966" priority="29">
      <formula>ABS(Q$25-Q$28)&gt;=1000</formula>
    </cfRule>
  </conditionalFormatting>
  <conditionalFormatting sqref="R22:R29">
    <cfRule type="expression" dxfId="1965" priority="28">
      <formula>ABS(R$25-R$28)&gt;=1000</formula>
    </cfRule>
  </conditionalFormatting>
  <conditionalFormatting sqref="S22:S29">
    <cfRule type="expression" dxfId="1964" priority="27">
      <formula>ABS(S$25-S$28)&gt;=1000</formula>
    </cfRule>
  </conditionalFormatting>
  <conditionalFormatting sqref="T22:T29">
    <cfRule type="expression" dxfId="1963" priority="26">
      <formula>ABS(T$25-T$28)&gt;=1000</formula>
    </cfRule>
  </conditionalFormatting>
  <conditionalFormatting sqref="U22:U29">
    <cfRule type="expression" dxfId="1962" priority="25">
      <formula>ABS(U$25-U$28)&gt;=1000</formula>
    </cfRule>
  </conditionalFormatting>
  <conditionalFormatting sqref="V22:V29">
    <cfRule type="expression" dxfId="1961" priority="24">
      <formula>ABS(V$25-V$28)&gt;=1000</formula>
    </cfRule>
  </conditionalFormatting>
  <conditionalFormatting sqref="W22:W29">
    <cfRule type="expression" dxfId="1960" priority="23">
      <formula>ABS(W$25-W$28)&gt;=1000</formula>
    </cfRule>
  </conditionalFormatting>
  <conditionalFormatting sqref="X22:X29">
    <cfRule type="expression" dxfId="1959" priority="22">
      <formula>ABS(X$25-X$28)&gt;=1000</formula>
    </cfRule>
  </conditionalFormatting>
  <conditionalFormatting sqref="Y22:Y29">
    <cfRule type="expression" dxfId="1958" priority="21">
      <formula>ABS(Y$25-Y$28)&gt;=1000</formula>
    </cfRule>
  </conditionalFormatting>
  <conditionalFormatting sqref="I23">
    <cfRule type="expression" dxfId="1957" priority="20">
      <formula>ABS(I$25-I$28)&gt;=1000</formula>
    </cfRule>
  </conditionalFormatting>
  <conditionalFormatting sqref="Q14">
    <cfRule type="expression" dxfId="1956" priority="19">
      <formula>ABS(Q$16-Q$19)&gt;=1000</formula>
    </cfRule>
  </conditionalFormatting>
  <conditionalFormatting sqref="W14">
    <cfRule type="expression" dxfId="1955" priority="18">
      <formula>ABS(W$16-W$19)&gt;=1000</formula>
    </cfRule>
  </conditionalFormatting>
  <conditionalFormatting sqref="Y14">
    <cfRule type="expression" dxfId="1954" priority="17">
      <formula>ABS(Y$16-Y$19)&gt;=1000</formula>
    </cfRule>
  </conditionalFormatting>
  <conditionalFormatting sqref="X14">
    <cfRule type="expression" dxfId="1953" priority="16">
      <formula>ABS(X$16-X$19)&gt;=1000</formula>
    </cfRule>
  </conditionalFormatting>
  <conditionalFormatting sqref="T10:Y10">
    <cfRule type="expression" dxfId="1952" priority="15">
      <formula>ABS(T$7-T$10)&gt;=1000</formula>
    </cfRule>
  </conditionalFormatting>
  <conditionalFormatting sqref="W19">
    <cfRule type="expression" dxfId="1951" priority="14">
      <formula>ABS(W$16-W$19)&gt;=1000</formula>
    </cfRule>
  </conditionalFormatting>
  <conditionalFormatting sqref="AC5">
    <cfRule type="expression" dxfId="1950" priority="13">
      <formula>ABS(AC$7-AC$10)&gt;=1000</formula>
    </cfRule>
  </conditionalFormatting>
  <conditionalFormatting sqref="M14">
    <cfRule type="expression" dxfId="1949" priority="12">
      <formula>ABS(M$16-M$19)&gt;=1000</formula>
    </cfRule>
  </conditionalFormatting>
  <conditionalFormatting sqref="M16">
    <cfRule type="expression" dxfId="1948" priority="11">
      <formula>ABS(M$16-M$19)&gt;=1000</formula>
    </cfRule>
  </conditionalFormatting>
  <conditionalFormatting sqref="M19">
    <cfRule type="expression" dxfId="1947" priority="10">
      <formula>ABS(M$16-M$19)&gt;=1000</formula>
    </cfRule>
  </conditionalFormatting>
  <conditionalFormatting sqref="K13:K20">
    <cfRule type="expression" dxfId="1946" priority="9">
      <formula>ABS(K$16-K$19)&gt;=1000</formula>
    </cfRule>
  </conditionalFormatting>
  <conditionalFormatting sqref="E5">
    <cfRule type="expression" dxfId="1945" priority="8">
      <formula>ABS(E$7-E$10)&gt;=1000</formula>
    </cfRule>
  </conditionalFormatting>
  <conditionalFormatting sqref="AB14:AC14">
    <cfRule type="expression" dxfId="1944" priority="7">
      <formula>ABS(AB$16-AB$19)&gt;=1000</formula>
    </cfRule>
  </conditionalFormatting>
  <conditionalFormatting sqref="M5">
    <cfRule type="expression" dxfId="1943" priority="6">
      <formula>ABS(M$7-M$10)&gt;=1000</formula>
    </cfRule>
  </conditionalFormatting>
  <conditionalFormatting sqref="N5">
    <cfRule type="expression" dxfId="1942" priority="5">
      <formula>ABS(N$7-N$10)&gt;=1000</formula>
    </cfRule>
  </conditionalFormatting>
  <conditionalFormatting sqref="O5">
    <cfRule type="expression" dxfId="1941" priority="4">
      <formula>ABS(O$7-O$10)&gt;=1000</formula>
    </cfRule>
  </conditionalFormatting>
  <conditionalFormatting sqref="P5">
    <cfRule type="expression" dxfId="1940" priority="3">
      <formula>ABS(P$7-P$10)&gt;=1000</formula>
    </cfRule>
  </conditionalFormatting>
  <conditionalFormatting sqref="L23">
    <cfRule type="expression" dxfId="1939" priority="2">
      <formula>ABS(L$25-L$28)&gt;=1000</formula>
    </cfRule>
  </conditionalFormatting>
  <conditionalFormatting sqref="F14">
    <cfRule type="expression" dxfId="1938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94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98">
    <pageSetUpPr fitToPage="1"/>
  </sheetPr>
  <dimension ref="A1:CU223"/>
  <sheetViews>
    <sheetView view="pageBreakPreview" zoomScale="80" zoomScaleNormal="100" zoomScaleSheetLayoutView="80" workbookViewId="0">
      <selection activeCell="D9" sqref="D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45880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49" t="s" ph="1">
        <v>178</v>
      </c>
      <c r="D6" s="71">
        <v>6527</v>
      </c>
      <c r="E6" s="71">
        <v>8022</v>
      </c>
      <c r="F6" s="71">
        <v>4425</v>
      </c>
      <c r="G6" s="71">
        <v>8131</v>
      </c>
      <c r="H6" s="71">
        <v>7734</v>
      </c>
      <c r="I6" s="71">
        <v>40.61</v>
      </c>
      <c r="J6" s="71">
        <v>7.71</v>
      </c>
      <c r="K6" s="71">
        <v>85.31</v>
      </c>
      <c r="L6" s="71">
        <v>29.21</v>
      </c>
      <c r="M6" s="71">
        <v>3358</v>
      </c>
      <c r="N6" s="71">
        <v>347</v>
      </c>
      <c r="O6" s="71">
        <v>5378</v>
      </c>
      <c r="P6" s="71">
        <v>3439</v>
      </c>
      <c r="Q6" s="71">
        <v>7132</v>
      </c>
      <c r="R6" s="71">
        <v>1380</v>
      </c>
      <c r="S6" s="71">
        <v>0</v>
      </c>
      <c r="T6" s="71">
        <v>0</v>
      </c>
      <c r="U6" s="71">
        <v>0</v>
      </c>
      <c r="V6" s="71">
        <v>0</v>
      </c>
      <c r="W6" s="71">
        <v>5337</v>
      </c>
      <c r="X6" s="71">
        <v>7098</v>
      </c>
      <c r="Y6" s="71">
        <v>6080</v>
      </c>
      <c r="Z6" s="71">
        <v>1498</v>
      </c>
      <c r="AA6" s="71">
        <v>556</v>
      </c>
      <c r="AB6" s="71">
        <v>661</v>
      </c>
      <c r="AC6" s="71">
        <v>2051</v>
      </c>
      <c r="AD6" s="71">
        <v>4172</v>
      </c>
      <c r="AE6" s="71">
        <v>2215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204590.93927742</v>
      </c>
      <c r="E7" s="73" ph="1">
        <f>E6*51.53*LOOKUP(E8,密度!$A$2:$A$50,密度!$B$2:$B$50)</f>
        <v>321191.33382000006</v>
      </c>
      <c r="F7" s="73" ph="1">
        <f>F6*33.183*LOOKUP(F8,密度!$A$2:$A$50,密度!$C$2:$C$50)</f>
        <v>162487.36201499999</v>
      </c>
      <c r="G7" s="73" ph="1">
        <f xml:space="preserve"> (G6+2)*51.53*LOOKUP(G8,密度!$A$2:$A$50,密度!$B$2:$B$50)</f>
        <v>325300.36693800002</v>
      </c>
      <c r="H7" s="73" ph="1">
        <f>(H6)*51.53*LOOKUP(H8,密度!$A$2:$A$50,密度!$B$2:$B$50)</f>
        <v>310337.66267400002</v>
      </c>
      <c r="I7" s="73" ph="1">
        <f>I6*290.8*1.0267</f>
        <v>12124.698659600001</v>
      </c>
      <c r="J7" s="73" ph="1">
        <f>J6*290.8*0.7892</f>
        <v>1769.4400656000003</v>
      </c>
      <c r="K7" s="73" ph="1">
        <f>K6*290.8*1.1126</f>
        <v>27601.545464800001</v>
      </c>
      <c r="L7" s="73" ph="1">
        <f>L6*290.8*0.777</f>
        <v>6600.0462360000001</v>
      </c>
      <c r="M7" s="73" ph="1">
        <f>M6*33.183*LOOKUP(M8,密度!$A$2:$A$50,密度!$D$2:$D$50)</f>
        <v>113980.22697059999</v>
      </c>
      <c r="N7" s="73" ph="1">
        <f>N6*33.183*LOOKUP(N8,密度!$A$2:$A$50,密度!$E$2:$E$50)</f>
        <v>8953.6759775999999</v>
      </c>
      <c r="O7" s="73" ph="1">
        <f>O6*20.428*LOOKUP(O8,密度!$A$2:$A$50,密度!$C$2:$C$50)</f>
        <v>121067.68596800001</v>
      </c>
      <c r="P7" s="73" ph="1">
        <f>P6*51.53*LOOKUP(P8,密度!$A$2:$A$50,密度!$B$2:$B$50)</f>
        <v>137852.95809300002</v>
      </c>
      <c r="Q7" s="73" ph="1">
        <f>Q6*1.5*1.5*3.1416*LOOKUP(W8,密度!$A$2:$A$50,密度!$L$2:$L$50)</f>
        <v>46985.153846400004</v>
      </c>
      <c r="R7" s="73" ph="1">
        <f>R6*1.5*1.5*3.1416*LOOKUP(R8,密度!$A$2:$A$50,密度!$L$2:$L$50)</f>
        <v>9062.0865720000002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35159.810162399997</v>
      </c>
      <c r="X7" s="73" ph="1">
        <f>X6*1.5*1.5*3.1416*LOOKUP(X8,密度!$A$2:$A$50,密度!$L$2:$L$50)</f>
        <v>47614.103737199999</v>
      </c>
      <c r="Y7" s="73" ph="1">
        <f>Y6*1.5*1.5*3.1416*LOOKUP(Y8,密度!$A$2:$A$50,密度!$L$2:$L$50)</f>
        <v>40140.600191999998</v>
      </c>
      <c r="Z7" s="73" ph="1">
        <f>Z6*33.183*LOOKUP(Z8,密度!$A$2:$A$50,密度!$L$2:$L$50)</f>
        <v>46526.813424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13901.243786000003</v>
      </c>
      <c r="AC7" s="73" ph="1">
        <f>AC6*51.53*LOOKUP(AC8,密度!$A$2:$A$50,密度!$Q$2:$Q$50)</f>
        <v>99984.047020900005</v>
      </c>
      <c r="AD7" s="73" ph="1">
        <f>AD6*20.428*LOOKUP(AD8,密度!$A$2:$A$50,密度!$V$2:$V$50)</f>
        <v>81612.049881600004</v>
      </c>
      <c r="AE7" s="73" ph="1">
        <f>AE6*20.428</f>
        <v>45248.020000000004</v>
      </c>
    </row>
    <row r="8" spans="1:99" ph="1">
      <c r="B8" s="233" ph="1"/>
      <c r="C8" s="68" t="s" ph="1">
        <v>180</v>
      </c>
      <c r="D8" s="74">
        <v>28</v>
      </c>
      <c r="E8" s="74">
        <v>28</v>
      </c>
      <c r="F8" s="74">
        <v>28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33</v>
      </c>
      <c r="P8" s="74">
        <v>27</v>
      </c>
      <c r="Q8" s="74">
        <v>29</v>
      </c>
      <c r="R8" s="74">
        <v>33</v>
      </c>
      <c r="S8" s="74">
        <v>27</v>
      </c>
      <c r="T8" s="74">
        <v>24</v>
      </c>
      <c r="U8" s="74">
        <v>27</v>
      </c>
      <c r="V8" s="74">
        <v>28</v>
      </c>
      <c r="W8" s="74">
        <v>30</v>
      </c>
      <c r="X8" s="74">
        <v>13</v>
      </c>
      <c r="Y8" s="74">
        <v>28</v>
      </c>
      <c r="Z8" s="74">
        <v>26</v>
      </c>
      <c r="AA8" s="74">
        <v>28</v>
      </c>
      <c r="AB8" s="74">
        <v>22</v>
      </c>
      <c r="AC8" s="74">
        <v>26</v>
      </c>
      <c r="AD8" s="74">
        <v>31</v>
      </c>
      <c r="AE8" s="74">
        <v>35</v>
      </c>
    </row>
    <row r="9" spans="1:99" ht="26.4" ph="1">
      <c r="B9" s="233" ph="1">
        <v>0.66666666666666663</v>
      </c>
      <c r="C9" s="149" t="s" ph="1">
        <v>181</v>
      </c>
      <c r="D9" s="71">
        <v>6588</v>
      </c>
      <c r="E9" s="71">
        <v>8022</v>
      </c>
      <c r="F9" s="71">
        <v>5228</v>
      </c>
      <c r="G9" s="71">
        <v>8135</v>
      </c>
      <c r="H9" s="71">
        <v>7460</v>
      </c>
      <c r="I9" s="71">
        <v>40.520000000000003</v>
      </c>
      <c r="J9" s="71">
        <v>7.73</v>
      </c>
      <c r="K9" s="71">
        <v>85.31</v>
      </c>
      <c r="L9" s="71">
        <v>41.81</v>
      </c>
      <c r="M9" s="71">
        <v>3358</v>
      </c>
      <c r="N9" s="71">
        <v>325</v>
      </c>
      <c r="O9" s="71">
        <v>5380</v>
      </c>
      <c r="P9" s="71">
        <v>3080</v>
      </c>
      <c r="Q9" s="71">
        <v>7142</v>
      </c>
      <c r="R9" s="71">
        <v>4325</v>
      </c>
      <c r="S9" s="71">
        <v>0</v>
      </c>
      <c r="T9" s="71">
        <v>0</v>
      </c>
      <c r="U9" s="71">
        <v>0</v>
      </c>
      <c r="V9" s="71">
        <v>0</v>
      </c>
      <c r="W9" s="71">
        <v>1214</v>
      </c>
      <c r="X9" s="71">
        <v>7104</v>
      </c>
      <c r="Y9" s="71">
        <v>0</v>
      </c>
      <c r="Z9" s="71">
        <v>2383</v>
      </c>
      <c r="AA9" s="71">
        <v>555</v>
      </c>
      <c r="AB9" s="71">
        <v>658</v>
      </c>
      <c r="AC9" s="71">
        <v>2049</v>
      </c>
      <c r="AD9" s="71">
        <v>4174</v>
      </c>
      <c r="AE9" s="71">
        <v>2365</v>
      </c>
    </row>
    <row r="10" spans="1:99" s="72" customFormat="1" ht="22.2" ph="1">
      <c r="B10" s="233" ph="1"/>
      <c r="C10" s="149" t="s" ph="1">
        <v>179</v>
      </c>
      <c r="D10" s="73" ph="1">
        <f>D9*33.183*LOOKUP(D11,密度!$A$2:$A$50,密度!$Q$2:$Q$50)</f>
        <v>206220.99774132</v>
      </c>
      <c r="E10" s="73" ph="1">
        <f>E9*51.53*LOOKUP(E11,密度!$A$2:$A$50,密度!$B$2:$B$50)</f>
        <v>319041.79078800004</v>
      </c>
      <c r="F10" s="73" ph="1">
        <f>F9*33.183*LOOKUP(F11,密度!$A$2:$A$50,密度!$C$2:$C$50)</f>
        <v>191540.06736839999</v>
      </c>
      <c r="G10" s="73" ph="1">
        <f xml:space="preserve"> (G9+2)*51.53*LOOKUP(G11,密度!$A$2:$A$50,密度!$B$2:$B$50)</f>
        <v>323615.438998</v>
      </c>
      <c r="H10" s="73" ph="1">
        <f>(H9)*51.53*LOOKUP(H11,密度!$A$2:$A$50,密度!$B$2:$B$50)</f>
        <v>295652.65357999998</v>
      </c>
      <c r="I10" s="73" ph="1">
        <f>I9*290.8*1.0267</f>
        <v>12097.827867200001</v>
      </c>
      <c r="J10" s="73" ph="1">
        <f>J9*290.8*0.7892</f>
        <v>1774.0300528</v>
      </c>
      <c r="K10" s="73" ph="1">
        <f>K9*290.8*1.1126</f>
        <v>27601.545464800001</v>
      </c>
      <c r="L10" s="73" ph="1">
        <f>L9*290.8*0.777</f>
        <v>9447.0363960000013</v>
      </c>
      <c r="M10" s="73" ph="1">
        <f>M9*33.183*LOOKUP(M11,密度!$A$2:$A$50,密度!$D$2:$D$50)</f>
        <v>113489.941509</v>
      </c>
      <c r="N10" s="73" ph="1">
        <f>N9*33.183*LOOKUP(N11,密度!$A$2:$A$50,密度!$E$2:$E$50)</f>
        <v>8324.8597867500011</v>
      </c>
      <c r="O10" s="73" ph="1">
        <f>O9*20.428*LOOKUP(O11,密度!$A$2:$A$50,密度!$C$2:$C$50)</f>
        <v>120651.11819200001</v>
      </c>
      <c r="P10" s="73" ph="1">
        <f>P9*51.53*LOOKUP(P11,密度!$A$2:$A$50,密度!$B$2:$B$50)</f>
        <v>122764.04139999999</v>
      </c>
      <c r="Q10" s="73" ph="1">
        <f>Q9*1.5*1.5*3.1416*LOOKUP(W11,密度!$A$2:$A$50,密度!$L$2:$L$50)</f>
        <v>46899.5813748</v>
      </c>
      <c r="R10" s="73" ph="1">
        <f>R9*1.5*1.5*3.1416*LOOKUP(R11,密度!$A$2:$A$50,密度!$L$2:$L$50)</f>
        <v>28370.53296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7972.0094915999998</v>
      </c>
      <c r="X10" s="73" ph="1">
        <f>X9*1.5*1.5*3.1416*LOOKUP(X11,密度!$A$2:$A$50,密度!$L$2:$L$50)</f>
        <v>47152.199001599998</v>
      </c>
      <c r="Y10" s="73" ph="1">
        <f>Y9*1.5*1.5*3.1416*LOOKUP(Y11,密度!$A$2:$A$50,密度!$L$2:$L$50)</f>
        <v>0</v>
      </c>
      <c r="Z10" s="73" ph="1">
        <f>Z9*33.183*LOOKUP(Z11,密度!$A$2:$A$50,密度!$L$2:$L$50)</f>
        <v>73539.832769999994</v>
      </c>
      <c r="AA10" s="73" ph="1">
        <f>AA9*33.183*LOOKUP(AA11,密度!$A$2:$A$50,密度!$D$2:$D$50)</f>
        <v>18676.2385665</v>
      </c>
      <c r="AB10" s="73" ph="1">
        <f>AB9*20.428*LOOKUP(AB11,密度!$A$2:$A$50,密度!$D$2:$D$50)</f>
        <v>13713.1448048</v>
      </c>
      <c r="AC10" s="73" ph="1">
        <f>AC9*51.53*LOOKUP(AC11,密度!$A$2:$A$50,密度!$Q$2:$Q$50)</f>
        <v>99450.483242999995</v>
      </c>
      <c r="AD10" s="73" ph="1">
        <f>AD9*20.428*LOOKUP(AD11,密度!$A$2:$A$50,密度!$V$2:$V$50)</f>
        <v>81651.173587200014</v>
      </c>
      <c r="AE10" s="73" ph="1">
        <f>AE9*20.428</f>
        <v>48312.22</v>
      </c>
    </row>
    <row r="11" spans="1:99" ph="1">
      <c r="A11" s="64" t="s" ph="1">
        <v>163</v>
      </c>
      <c r="B11" s="233" ph="1"/>
      <c r="C11" s="149" t="s" ph="1">
        <v>180</v>
      </c>
      <c r="D11" s="74">
        <v>30</v>
      </c>
      <c r="E11" s="74">
        <v>34</v>
      </c>
      <c r="F11" s="74">
        <v>31</v>
      </c>
      <c r="G11" s="74">
        <v>34</v>
      </c>
      <c r="H11" s="74">
        <v>37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35</v>
      </c>
      <c r="O11" s="74">
        <v>37</v>
      </c>
      <c r="P11" s="74">
        <v>32</v>
      </c>
      <c r="Q11" s="74">
        <v>32</v>
      </c>
      <c r="R11" s="74">
        <v>34</v>
      </c>
      <c r="S11" s="74">
        <v>30</v>
      </c>
      <c r="T11" s="74">
        <v>34</v>
      </c>
      <c r="U11" s="74">
        <v>34</v>
      </c>
      <c r="V11" s="74">
        <v>28</v>
      </c>
      <c r="W11" s="74">
        <v>33</v>
      </c>
      <c r="X11" s="74">
        <v>23</v>
      </c>
      <c r="Y11" s="74">
        <v>30</v>
      </c>
      <c r="Z11" s="74">
        <v>32</v>
      </c>
      <c r="AA11" s="74">
        <v>39</v>
      </c>
      <c r="AB11" s="74">
        <v>32</v>
      </c>
      <c r="AC11" s="74">
        <v>32</v>
      </c>
      <c r="AD11" s="74">
        <v>37</v>
      </c>
      <c r="AE11" s="74">
        <v>40</v>
      </c>
    </row>
    <row r="12" spans="1:99" ht="9.9" customHeight="1" ph="1"/>
    <row r="13" spans="1:99" s="72" customFormat="1" ht="29.25" customHeight="1" ph="1">
      <c r="B13" s="210" t="s" ph="1">
        <v>37</v>
      </c>
      <c r="C13" s="14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153" t="s" ph="1">
        <v>646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49" t="s" ph="1">
        <v>178</v>
      </c>
      <c r="D15" s="78">
        <v>5913</v>
      </c>
      <c r="E15" s="78">
        <v>3547</v>
      </c>
      <c r="F15" s="78">
        <v>2749</v>
      </c>
      <c r="G15" s="78">
        <v>3591</v>
      </c>
      <c r="H15" s="78">
        <v>0</v>
      </c>
      <c r="I15" s="78">
        <v>3932</v>
      </c>
      <c r="J15" s="78">
        <v>1074</v>
      </c>
      <c r="K15" s="78">
        <v>2017</v>
      </c>
      <c r="L15" s="78">
        <v>2831</v>
      </c>
      <c r="M15" s="78">
        <v>6474</v>
      </c>
      <c r="N15" s="78">
        <v>2885</v>
      </c>
      <c r="O15" s="78">
        <v>6893</v>
      </c>
      <c r="P15" s="78">
        <v>3552</v>
      </c>
      <c r="Q15" s="78">
        <v>6900</v>
      </c>
      <c r="R15" s="78">
        <v>0</v>
      </c>
      <c r="S15" s="78">
        <v>5961</v>
      </c>
      <c r="T15" s="78">
        <v>3431</v>
      </c>
      <c r="U15" s="78">
        <v>1764</v>
      </c>
      <c r="V15" s="78">
        <v>-141</v>
      </c>
      <c r="W15" s="71">
        <v>2170</v>
      </c>
      <c r="X15" s="78">
        <v>-261</v>
      </c>
      <c r="Y15" s="106">
        <v>-9909</v>
      </c>
      <c r="Z15" s="78">
        <v>0</v>
      </c>
      <c r="AA15" s="78">
        <v>6147</v>
      </c>
      <c r="AB15" s="78" ph="1">
        <v>356</v>
      </c>
      <c r="AC15" s="78" ph="1">
        <v>774</v>
      </c>
      <c r="AD15" s="78">
        <v>50.83</v>
      </c>
      <c r="AE15" s="78">
        <v>53.72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49" t="s" ph="1">
        <v>179</v>
      </c>
      <c r="D16" s="73" ph="1">
        <f>D15*7.0686*LOOKUP(D17,密度!$A$2:$A$50,密度!$L$2:$L$50)</f>
        <v>38954.460837600003</v>
      </c>
      <c r="E16" s="73" ph="1">
        <f>E15*7.0686*LOOKUP(E17,密度!$A$2:$A$50,密度!$L$2:$L$50)</f>
        <v>23367.4061544</v>
      </c>
      <c r="F16" s="73" ph="1">
        <f>F15*9.0746*LOOKUP(F17,密度!$A$2:$A$50,密度!$L$2:$L$50)</f>
        <v>23224.796197400003</v>
      </c>
      <c r="G16" s="73" ph="1">
        <f>G15*9.0746*LOOKUP(G17,密度!$A$2:$A$50,密度!$B$2:$B$50)</f>
        <v>25293.942931320002</v>
      </c>
      <c r="H16" s="73" ph="1">
        <f>H15*9.0746*LOOKUP(H17,密度!$A$2:$A$50,密度!$L$2:$L$50)</f>
        <v>0</v>
      </c>
      <c r="I16" s="73" ph="1">
        <f>I15*9.0746*LOOKUP(I17,密度!$A$2:$A$50,密度!$U$2:$U$50)</f>
        <v>36466.316398399998</v>
      </c>
      <c r="J16" s="73" ph="1">
        <f>J15*9.0746*LOOKUP(J17,密度!$A$2:$A$50,密度!$L$2:$L$50)</f>
        <v>9102.8764535999999</v>
      </c>
      <c r="K16" s="73" ph="1">
        <f>K15*9.0746*LOOKUP(K17,密度!$A$2:$A$50,密度!$C$2:$C$50)</f>
        <v>20241.805482380001</v>
      </c>
      <c r="L16" s="73" ph="1">
        <f>L15*9.0746*LOOKUP(L17,密度!$A$2:$A$50,密度!$E$2:$E$50)</f>
        <v>19976.693765759999</v>
      </c>
      <c r="M16" s="73" ph="1">
        <f>M15*9.0746*LOOKUP(M17,密度!$A$2:$A$50,密度!$M$2:$M$50)</f>
        <v>51045.209222748003</v>
      </c>
      <c r="N16" s="73" ph="1">
        <f>N15*9.0746*LOOKUP(N17,密度!$A$2:$A$50,密度!$M$2:$M$50)</f>
        <v>22829.152712000003</v>
      </c>
      <c r="O16" s="73" ph="1">
        <f>O15*9.0746*LOOKUP(O17,密度!$A$2:$A$50,密度!$G$2:$G$50)</f>
        <v>59717.647633659995</v>
      </c>
      <c r="P16" s="73" ph="1">
        <f ca="1">P15*9.0746*LOOKUP(P17,密度!$A$2:$A$51,密度!$Q$2:$Q$50)</f>
        <v>30406.336268736002</v>
      </c>
      <c r="Q16" s="73" ph="1">
        <f>Q15*9.0746*LOOKUP(Q17,密度!$A$2:$A$50,密度!$Q$2:$Q$50)</f>
        <v>59066.362684200001</v>
      </c>
      <c r="R16" s="73" ph="1">
        <f>MAX(R15*9.0746*LOOKUP(R17,密度!$A$2:$A$50,密度!$B$2:$B$50),0)</f>
        <v>0</v>
      </c>
      <c r="S16" s="73" ph="1">
        <f>S15*9.0746*LOOKUP(S17,密度!$A$2:$A$50,密度!$Q$2:$Q$50)</f>
        <v>51028.201153697999</v>
      </c>
      <c r="T16" s="73" ph="1">
        <f>T15*9.0746*LOOKUP(T17,密度!$A$2:$A$50,密度!$O$2:$O$50)</f>
        <v>28830.966107600001</v>
      </c>
      <c r="U16" s="73" ph="1">
        <f>U15*9.0746*LOOKUP(U17,密度!$A$2:$A$50,密度!$H$2:$H$50)</f>
        <v>14613.332927760001</v>
      </c>
      <c r="V16" s="73" ph="1">
        <f>MAX(5600*LOOKUP(V17,密度!$A$2:$A$50,密度!$Q$2:$Q$50)+V15*9.0476*LOOKUP(V17,密度!$A$2:$A$50,密度!$Q$2:$Q$50),0)</f>
        <v>4079.2309763720004</v>
      </c>
      <c r="W16" s="73" ph="1">
        <f>MAX(5600*LOOKUP(W17,密度!$A$2:$A$50,密度!$Q$2:$Q$50)+W15*9.0476*LOOKUP(W17,密度!$A$2:$A$50,密度!$Q$2:$Q$50),0)</f>
        <v>23803.321342359999</v>
      </c>
      <c r="X16" s="73" ph="1">
        <f>MAX(5600*LOOKUP(X17,密度!$A$2:$A$50,密度!$I$2:$I$50)+X15*9.0476*LOOKUP(X17,密度!$A$2:$A$50,密度!$I$2:$I$50),0)</f>
        <v>3353.5782479640002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43342.276937400005</v>
      </c>
      <c r="AB16" s="73" ph="1">
        <f>AB15*9.0746*LOOKUP(AB17,密度!$A$2:$A$50,密度!$L$2:$L$50)</f>
        <v>3017.3407984</v>
      </c>
      <c r="AC16" s="73" ph="1">
        <f>AC15*9.0746*LOOKUP(AC17,密度!$A$2:$A$50,密度!$L$2:$L$50)</f>
        <v>6567.197274000001</v>
      </c>
      <c r="AD16" s="73" ph="1">
        <f>AD15*268.68*LOOKUP(AD17,密度!$A$2:$A$50,密度!B2:B50)+IF(AD15&lt;=0,0,1566*LOOKUP(AD17,密度!$A$2:$A$50,密度!B2:B50))</f>
        <v>11867.85423024</v>
      </c>
      <c r="AE16" s="73" ph="1">
        <f>AE15*268.68*LOOKUP(AE17,密度!$A$2:$A$50,密度!B2:B50)+IF(AE15&lt;=0,0,1566*LOOKUP(AE17,密度!$A$2:$A$50,密度!B2:B50))</f>
        <v>12473.20209216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30</v>
      </c>
      <c r="E17" s="74">
        <v>30</v>
      </c>
      <c r="F17" s="74">
        <v>31</v>
      </c>
      <c r="G17" s="74">
        <v>29</v>
      </c>
      <c r="H17" s="74">
        <v>25</v>
      </c>
      <c r="I17" s="74">
        <v>28</v>
      </c>
      <c r="J17" s="74">
        <v>28</v>
      </c>
      <c r="K17" s="74">
        <v>29</v>
      </c>
      <c r="L17" s="74">
        <v>30</v>
      </c>
      <c r="M17" s="74">
        <v>31</v>
      </c>
      <c r="N17" s="74">
        <v>28</v>
      </c>
      <c r="O17" s="74">
        <v>30</v>
      </c>
      <c r="P17" s="74">
        <v>30</v>
      </c>
      <c r="Q17" s="74">
        <v>30</v>
      </c>
      <c r="R17" s="74">
        <v>28</v>
      </c>
      <c r="S17" s="74">
        <v>30</v>
      </c>
      <c r="T17" s="74">
        <v>28</v>
      </c>
      <c r="U17" s="74">
        <v>27</v>
      </c>
      <c r="V17" s="74">
        <v>30</v>
      </c>
      <c r="W17" s="74">
        <v>30</v>
      </c>
      <c r="X17" s="74">
        <v>31</v>
      </c>
      <c r="Y17" s="108">
        <v>31</v>
      </c>
      <c r="Z17" s="74">
        <v>30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5921</v>
      </c>
      <c r="E18" s="71">
        <v>4886</v>
      </c>
      <c r="F18" s="71">
        <v>3236</v>
      </c>
      <c r="G18" s="71">
        <v>3633</v>
      </c>
      <c r="H18" s="71">
        <v>0</v>
      </c>
      <c r="I18" s="71">
        <v>3935</v>
      </c>
      <c r="J18" s="71">
        <v>1075</v>
      </c>
      <c r="K18" s="71">
        <v>3108</v>
      </c>
      <c r="L18" s="71">
        <v>2838</v>
      </c>
      <c r="M18" s="71">
        <v>6485</v>
      </c>
      <c r="N18" s="71">
        <v>3872</v>
      </c>
      <c r="O18" s="71">
        <v>6900</v>
      </c>
      <c r="P18" s="71">
        <v>3556</v>
      </c>
      <c r="Q18" s="71">
        <v>6907</v>
      </c>
      <c r="R18" s="71">
        <v>0</v>
      </c>
      <c r="S18" s="71">
        <v>5965</v>
      </c>
      <c r="T18" s="71">
        <v>2002</v>
      </c>
      <c r="U18" s="71">
        <v>1764</v>
      </c>
      <c r="V18" s="71">
        <v>-143</v>
      </c>
      <c r="W18" s="71">
        <v>2511</v>
      </c>
      <c r="X18" s="71">
        <v>-262</v>
      </c>
      <c r="Y18" s="109">
        <v>-9909</v>
      </c>
      <c r="Z18" s="71">
        <v>0</v>
      </c>
      <c r="AA18" s="71">
        <v>6153</v>
      </c>
      <c r="AB18" s="71">
        <v>353</v>
      </c>
      <c r="AC18" s="71">
        <v>775</v>
      </c>
      <c r="AD18" s="71">
        <v>52.71</v>
      </c>
      <c r="AE18" s="71">
        <v>5.32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49" t="s" ph="1">
        <v>179</v>
      </c>
      <c r="D19" s="73" ph="1">
        <f>D18*7.0686*LOOKUP(D20,密度!$A$2:$A$50,密度!$L$2:$L$50)</f>
        <v>38881.604777400004</v>
      </c>
      <c r="E19" s="73" ph="1">
        <f>E18*7.0686*LOOKUP(E20,密度!$A$2:$A$50,密度!$L$2:$L$50)</f>
        <v>32085.039848400003</v>
      </c>
      <c r="F19" s="73" ph="1">
        <f>F18*9.0746*LOOKUP(F20,密度!$A$2:$A$50,密度!$L$2:$L$50)</f>
        <v>27251.096396800003</v>
      </c>
      <c r="G19" s="73" ph="1">
        <f>G18*9.0746*LOOKUP(G20,密度!$A$2:$A$50,密度!$B$2:$B$50)</f>
        <v>25560.10730154</v>
      </c>
      <c r="H19" s="73" ph="1">
        <f>H18*9.0746*LOOKUP(H20,密度!$A$2:$A$50,密度!$L$2:$L$50)</f>
        <v>0</v>
      </c>
      <c r="I19" s="73" ph="1">
        <f>I18*9.0746*LOOKUP(I20,密度!$A$2:$A$50,密度!$U$2:$U$50)</f>
        <v>36315.596366999998</v>
      </c>
      <c r="J19" s="73" ph="1">
        <f>J18*9.0746*LOOKUP(J20,密度!$A$2:$A$50,密度!$L$2:$L$50)</f>
        <v>9033.3105699999996</v>
      </c>
      <c r="K19" s="73" ph="1">
        <f>K18*9.0746*LOOKUP(K20,密度!$A$2:$A$50,密度!$C$2:$C$50)</f>
        <v>31108.854050400001</v>
      </c>
      <c r="L19" s="73" ph="1">
        <f>L18*9.0746*LOOKUP(L20,密度!$A$2:$A$50,密度!$E$2:$E$50)</f>
        <v>19996.471856460001</v>
      </c>
      <c r="M19" s="73" ph="1">
        <f>M18*9.0746*LOOKUP(M20,密度!$A$2:$A$50,密度!$M$2:$M$50)</f>
        <v>51008.357907370002</v>
      </c>
      <c r="N19" s="73" ph="1">
        <f>N18*9.0746*LOOKUP(N20,密度!$A$2:$A$50,密度!$M$2:$M$50)</f>
        <v>30604.197395199997</v>
      </c>
      <c r="O19" s="73" ph="1">
        <f>O18*9.0746*LOOKUP(O20,密度!$A$2:$A$50,密度!$G$2:$G$50)</f>
        <v>59716.303685399995</v>
      </c>
      <c r="P19" s="73" ph="1">
        <f ca="1">P18*9.0746*LOOKUP(P20,密度!$A$2:$A$51,密度!$Q$2:$Q$50)</f>
        <v>30416.375680207999</v>
      </c>
      <c r="Q19" s="73" ph="1">
        <f>Q18*9.0746*LOOKUP(Q20,密度!$A$2:$A$50,密度!$Q$2:$Q$50)</f>
        <v>58995.914295750008</v>
      </c>
      <c r="R19" s="73" ph="1">
        <f>MAX(R18*9.0746*LOOKUP(R20,密度!$A$2:$A$50,密度!$B$2:$B$50),0)</f>
        <v>0</v>
      </c>
      <c r="S19" s="73" ph="1">
        <f>S18*9.0746*LOOKUP(S20,密度!$A$2:$A$50,密度!$Q$2:$Q$50)</f>
        <v>50985.036639099999</v>
      </c>
      <c r="T19" s="73" ph="1">
        <f>T18*9.0746*LOOKUP(T20,密度!$A$2:$A$50,密度!$O$2:$O$50)</f>
        <v>16764.829841759998</v>
      </c>
      <c r="U19" s="73" ph="1">
        <f>U18*9.0746*LOOKUP(U20,密度!$A$2:$A$50,密度!$H$2:$H$50)</f>
        <v>14551.70368932</v>
      </c>
      <c r="V19" s="73" ph="1">
        <f>MAX(5600*LOOKUP(V20,密度!$A$2:$A$50,密度!$Q$2:$Q$50)+V18*9.0476*LOOKUP(V20,密度!$A$2:$A$50,密度!$Q$2:$Q$50),0)</f>
        <v>4053.2043494999998</v>
      </c>
      <c r="W19" s="73" ph="1">
        <f>MAX(5600*LOOKUP(W20,密度!$A$2:$A$50,密度!$Q$2:$Q$50)+W18*9.0476*LOOKUP(W20,密度!$A$2:$A$50,密度!$Q$2:$Q$50),0)</f>
        <v>26654.810338499999</v>
      </c>
      <c r="X19" s="73" ph="1">
        <f>MAX(5600*LOOKUP(X20,密度!$A$2:$A$50,密度!$I$2:$I$50)+X18*9.0476*LOOKUP(X20,密度!$A$2:$A$50,密度!$I$2:$I$50),0)</f>
        <v>3333.4550367840002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43189.1566743</v>
      </c>
      <c r="AB19" s="73" ph="1">
        <f>AB18*9.0746*LOOKUP(AB20,密度!$A$2:$A$50,密度!$L$2:$L$50)</f>
        <v>2966.2870988</v>
      </c>
      <c r="AC19" s="73" ph="1">
        <f>AC18*9.0746*LOOKUP(AC20,密度!$A$2:$A$50,密度!$L$2:$L$50)</f>
        <v>6533.4851350000008</v>
      </c>
      <c r="AD19" s="73" ph="1">
        <f>AD18*268.68*LOOKUP(AD20,密度!$A$2:$A$50,密度!B5:B53)+IF(AD18&lt;=0,0,1566*LOOKUP(AD20,密度!$A$2:$A$50,密度!B5:B53))</f>
        <v>12220.7514156</v>
      </c>
      <c r="AE19" s="73" ph="1">
        <f>AE18*268.68*LOOKUP(AE20,密度!$A$2:$A$50,密度!B5:B53)+IF(AE18&lt;=0,0,1566*LOOKUP(AE20,密度!$A$2:$A$50,密度!B5:B53))</f>
        <v>2327.4083952000001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33</v>
      </c>
      <c r="E20" s="81">
        <v>33</v>
      </c>
      <c r="F20" s="81">
        <v>34</v>
      </c>
      <c r="G20" s="81">
        <v>30</v>
      </c>
      <c r="H20" s="81">
        <v>32</v>
      </c>
      <c r="I20" s="81">
        <v>33</v>
      </c>
      <c r="J20" s="81">
        <v>36</v>
      </c>
      <c r="K20" s="81">
        <v>32</v>
      </c>
      <c r="L20" s="81">
        <v>31</v>
      </c>
      <c r="M20" s="81">
        <v>33</v>
      </c>
      <c r="N20" s="81">
        <v>29</v>
      </c>
      <c r="O20" s="81">
        <v>31</v>
      </c>
      <c r="P20" s="81">
        <v>31</v>
      </c>
      <c r="Q20" s="81">
        <v>33</v>
      </c>
      <c r="R20" s="81">
        <v>33</v>
      </c>
      <c r="S20" s="81">
        <v>32</v>
      </c>
      <c r="T20" s="81">
        <v>31</v>
      </c>
      <c r="U20" s="81">
        <v>31</v>
      </c>
      <c r="V20" s="81">
        <v>33</v>
      </c>
      <c r="W20" s="81">
        <v>33</v>
      </c>
      <c r="X20" s="81">
        <v>34</v>
      </c>
      <c r="Y20" s="110">
        <v>34</v>
      </c>
      <c r="Z20" s="81">
        <v>36</v>
      </c>
      <c r="AA20" s="81">
        <v>32</v>
      </c>
      <c r="AB20" s="81">
        <v>36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49" t="s" ph="1">
        <v>178</v>
      </c>
      <c r="D24" s="71">
        <v>68.12</v>
      </c>
      <c r="E24" s="71">
        <v>55.21</v>
      </c>
      <c r="F24" s="71">
        <v>3902</v>
      </c>
      <c r="G24" s="71">
        <v>0</v>
      </c>
      <c r="H24" s="71">
        <v>2465</v>
      </c>
      <c r="I24" s="71">
        <v>0</v>
      </c>
      <c r="J24" s="71">
        <v>440</v>
      </c>
      <c r="K24" s="71">
        <v>5512</v>
      </c>
      <c r="L24" s="71">
        <v>5613</v>
      </c>
      <c r="M24" s="71">
        <v>1773</v>
      </c>
      <c r="N24" s="71">
        <v>1507</v>
      </c>
      <c r="O24" s="71">
        <v>4319</v>
      </c>
      <c r="P24" s="71">
        <v>682</v>
      </c>
      <c r="Q24" s="90">
        <v>1312</v>
      </c>
      <c r="R24" s="71">
        <v>3512</v>
      </c>
      <c r="S24" s="71">
        <v>7036</v>
      </c>
      <c r="T24" s="71">
        <v>1697</v>
      </c>
      <c r="U24" s="71">
        <v>5528</v>
      </c>
      <c r="V24" s="71">
        <v>11792</v>
      </c>
      <c r="W24" s="71">
        <v>11718</v>
      </c>
      <c r="X24" s="71">
        <v>4045</v>
      </c>
      <c r="Y24" s="71">
        <v>3060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18810.286269984004</v>
      </c>
      <c r="E25" s="91" ph="1">
        <f>E24*268.68*LOOKUP(E26,密度!$A$2:$A$50,密度!$C$2:$C$50)+IF(E24&lt;=0,0,1566*LOOKUP(E26,密度!$A$2:$A$50,密度!$C$2:$C$50))</f>
        <v>18185.763502919999</v>
      </c>
      <c r="F25" s="91" ph="1">
        <f>F24*11.702*LOOKUP(F26,密度!$A$2:$A$50,密度!$Q$2:$Q$50)</f>
        <v>43132.486522480001</v>
      </c>
      <c r="G25" s="91" ph="1">
        <f>G24*18.322*LOOKUP(G26,密度!$A$2:$A$50,密度!$B$2:$B$50)</f>
        <v>0</v>
      </c>
      <c r="H25" s="91" ph="1">
        <f>H24*18.322*LOOKUP(H26,密度!$A$2:$A$50,密度!$B$2:$B$50)</f>
        <v>35092.218209999999</v>
      </c>
      <c r="I25" s="91" ph="1">
        <f>I24*18.322*LOOKUP(I26,密度!$A$2:$A$50,密度!$Q$2:$Q$50)</f>
        <v>0</v>
      </c>
      <c r="J25" s="91" ph="1">
        <f>J24*18.322*LOOKUP(J26,密度!$A$2:$A$50,密度!$Q$2:$Q$50)</f>
        <v>7615.2241615999992</v>
      </c>
      <c r="K25" s="91" ph="1">
        <f>K24*18.322*LOOKUP(K26,密度!$A$2:$A$50,密度!$Q$2:$Q$50)</f>
        <v>95328.306255520001</v>
      </c>
      <c r="L25" s="91" ph="1">
        <f>L24*18.322*LOOKUP(L26,密度!$A$2:$A$50,密度!$Q$2:$Q$50)</f>
        <v>97075.069486980006</v>
      </c>
      <c r="M25" s="91" ph="1">
        <f>M24*18.322*LOOKUP(M26,密度!$A$2:$A$50,密度!$Q$2:$Q$50)</f>
        <v>30663.477320580001</v>
      </c>
      <c r="N25" s="91" ph="1">
        <f>N24*18.322*LOOKUP(N26,密度!$A$2:$A$50,密度!$Q$2:$Q$50)</f>
        <v>26046.524235819998</v>
      </c>
      <c r="O25" s="91" ph="1">
        <f>O24*18.322*LOOKUP(O26,密度!$A$2:$A$50,密度!$C$2:$C$50)</f>
        <v>87449.566661799996</v>
      </c>
      <c r="P25" s="91" ph="1">
        <f>P24*11.702*LOOKUP(P26,密度!$A$2:$A$50,密度!$B$2:$B$50)</f>
        <v>6201.0536280000006</v>
      </c>
      <c r="Q25" s="92" ph="1">
        <f>Q24*18.322*LOOKUP(Q26,密度!$A$2:$A$50,密度!$B$2:$B$50)</f>
        <v>18677.886527999999</v>
      </c>
      <c r="R25" s="91" ph="1">
        <f>R24*35.891*LOOKUP(R26,密度!$A$2:$A$50,密度!$C$2:$C$50)</f>
        <v>139586.87522079999</v>
      </c>
      <c r="S25" s="91" ph="1">
        <f>S24*35.891*LOOKUP(S26,密度!$A$2:$A$50,密度!$B$2:$B$50)</f>
        <v>196215.09205199999</v>
      </c>
      <c r="T25" s="91" ph="1">
        <f>T24*35.891*LOOKUP(T26,密度!$A$2:$A$50,密度!$Q$2:$Q$50)</f>
        <v>57455.425779909994</v>
      </c>
      <c r="U25" s="91" ph="1">
        <f>U24*35.891</f>
        <v>198405.448</v>
      </c>
      <c r="V25" s="91" ph="1">
        <f>V24*47.051*LOOKUP(V26,密度!$A$2:$A$50,密度!$B$2:$B$50)</f>
        <v>431099.32958399999</v>
      </c>
      <c r="W25" s="91" ph="1">
        <f>W24*47.051*LOOKUP(W26,密度!$A$2:$A$50,密度!$B$2:$B$50)</f>
        <v>427952.91629160004</v>
      </c>
      <c r="X25" s="91" ph="1">
        <f>X24*47.051*LOOKUP(X26,密度!$A$2:$A$50,密度!$I$2:$I$50)</f>
        <v>197287.054397</v>
      </c>
      <c r="Y25" s="91" ph="1">
        <f>Y24*47.051*LOOKUP(Y26,密度!$A$2:$A$50,密度!$L$2:$L$50)</f>
        <v>134329.66398000001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28</v>
      </c>
      <c r="G26" s="74">
        <v>28</v>
      </c>
      <c r="H26" s="74">
        <v>28</v>
      </c>
      <c r="I26" s="74">
        <v>28</v>
      </c>
      <c r="J26" s="74">
        <v>28</v>
      </c>
      <c r="K26" s="74">
        <v>29</v>
      </c>
      <c r="L26" s="74">
        <v>29</v>
      </c>
      <c r="M26" s="74">
        <v>29</v>
      </c>
      <c r="N26" s="74">
        <v>30</v>
      </c>
      <c r="O26" s="74">
        <v>30</v>
      </c>
      <c r="P26" s="74">
        <v>28</v>
      </c>
      <c r="Q26" s="93">
        <v>28</v>
      </c>
      <c r="R26" s="74">
        <v>27</v>
      </c>
      <c r="S26" s="74">
        <v>28</v>
      </c>
      <c r="T26" s="74">
        <v>30</v>
      </c>
      <c r="U26" s="74">
        <v>28</v>
      </c>
      <c r="V26" s="74">
        <v>28</v>
      </c>
      <c r="W26" s="74">
        <v>29</v>
      </c>
      <c r="X26" s="74">
        <v>30</v>
      </c>
      <c r="Y26" s="74">
        <v>29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49" t="s" ph="1">
        <v>181</v>
      </c>
      <c r="D27" s="71">
        <v>68.209999999999994</v>
      </c>
      <c r="E27" s="71">
        <v>55.21</v>
      </c>
      <c r="F27" s="71">
        <v>3903</v>
      </c>
      <c r="G27" s="71">
        <v>1183</v>
      </c>
      <c r="H27" s="71">
        <v>1978</v>
      </c>
      <c r="I27" s="71">
        <v>0</v>
      </c>
      <c r="J27" s="71">
        <v>432</v>
      </c>
      <c r="K27" s="71">
        <v>5513</v>
      </c>
      <c r="L27" s="71">
        <v>5609</v>
      </c>
      <c r="M27" s="71">
        <v>1413</v>
      </c>
      <c r="N27" s="71">
        <v>1286</v>
      </c>
      <c r="O27" s="71">
        <v>4315</v>
      </c>
      <c r="P27" s="71">
        <v>679</v>
      </c>
      <c r="Q27" s="90">
        <v>1759</v>
      </c>
      <c r="R27" s="71">
        <v>3507</v>
      </c>
      <c r="S27" s="71">
        <v>7036</v>
      </c>
      <c r="T27" s="71">
        <v>1694</v>
      </c>
      <c r="U27" s="71">
        <v>5524</v>
      </c>
      <c r="V27" s="71">
        <v>11795</v>
      </c>
      <c r="W27" s="71">
        <v>11719</v>
      </c>
      <c r="X27" s="71">
        <v>3570</v>
      </c>
      <c r="Y27" s="71">
        <v>1990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49" t="s" ph="1">
        <v>179</v>
      </c>
      <c r="D28" s="91" ph="1">
        <f>D27*268.68*LOOKUP(D29,密度!$A$2:$A$50,密度!$Q$2:$Q$50)+IF(D27&lt;=0,0,1566*LOOKUP(D29,密度!$A$2:$A$50,密度!$Q$2:$Q$50))</f>
        <v>18833.179579272</v>
      </c>
      <c r="E28" s="91" ph="1">
        <f>E27*268.68*LOOKUP(E29,密度!$A$2:$A$50,密度!$C$2:$C$50)+IF(E27&lt;=0,0,1566*LOOKUP(E29,密度!$A$2:$A$50,密度!$C$2:$C$50))</f>
        <v>18185.763502919999</v>
      </c>
      <c r="F28" s="91" ph="1">
        <f>F27*11.702*LOOKUP(F29,密度!$A$2:$A$50,密度!$Q$2:$Q$50)</f>
        <v>42989.622772500006</v>
      </c>
      <c r="G28" s="91" ph="1">
        <f>G27*18.322*LOOKUP(G29,密度!$A$2:$A$50,密度!$B$2:$B$50)</f>
        <v>16748.215320200001</v>
      </c>
      <c r="H28" s="91" ph="1">
        <f>H27*18.322*LOOKUP(H29,密度!$A$2:$A$50,密度!$B$2:$B$50)</f>
        <v>28032.348525999998</v>
      </c>
      <c r="I28" s="91" ph="1">
        <f>I27*18.322*LOOKUP(I29,密度!$A$2:$A$50,密度!$Q$2:$Q$50)</f>
        <v>0</v>
      </c>
      <c r="J28" s="91" ph="1">
        <f>J27*18.322*LOOKUP(J29,密度!$A$2:$A$50,密度!$Q$2:$Q$50)</f>
        <v>7450.0916399999996</v>
      </c>
      <c r="K28" s="91" ph="1">
        <f>K27*18.322*LOOKUP(K29,密度!$A$2:$A$50,密度!$Q$2:$Q$50)</f>
        <v>95008.230259740012</v>
      </c>
      <c r="L28" s="91" ph="1">
        <f>L27*18.322*LOOKUP(L29,密度!$A$2:$A$50,密度!$Q$2:$Q$50)</f>
        <v>96730.472242500007</v>
      </c>
      <c r="M28" s="91" ph="1">
        <f>M27*18.322*LOOKUP(M29,密度!$A$2:$A$50,密度!$Q$2:$Q$50)</f>
        <v>24384.835913399995</v>
      </c>
      <c r="N28" s="91" ph="1">
        <f>N27*18.322*LOOKUP(N29,密度!$A$2:$A$50,密度!$Q$2:$Q$50)</f>
        <v>22209.156677359999</v>
      </c>
      <c r="O28" s="91" ph="1">
        <f>O27*18.322*LOOKUP(O29,密度!$A$2:$A$50,密度!$C$2:$C$50)</f>
        <v>87289.516663000002</v>
      </c>
      <c r="P28" s="91" ph="1">
        <f>P27*11.702*LOOKUP(P29,密度!$A$2:$A$50,密度!$B$2:$B$50)</f>
        <v>6145.9664629999997</v>
      </c>
      <c r="Q28" s="92" ph="1">
        <f>Q27*18.322*LOOKUP(Q29,密度!$A$2:$A$50,密度!$B$2:$B$50)</f>
        <v>24928.665852999999</v>
      </c>
      <c r="R28" s="91" ph="1">
        <f>R27*35.891*LOOKUP(R29,密度!$A$2:$A$50,密度!$C$2:$C$50)</f>
        <v>138972.7766217</v>
      </c>
      <c r="S28" s="91" ph="1">
        <f>S27*35.891*LOOKUP(S29,密度!$A$2:$A$50,密度!$B$2:$B$50)</f>
        <v>195558.5164544</v>
      </c>
      <c r="T28" s="91" ph="1">
        <f>T27*35.891*LOOKUP(T29,密度!$A$2:$A$50,密度!$Q$2:$Q$50)</f>
        <v>57353.854608820002</v>
      </c>
      <c r="U28" s="91" ph="1">
        <f>U27*35.891</f>
        <v>198261.88399999999</v>
      </c>
      <c r="V28" s="91" ph="1">
        <f>V27*47.051*LOOKUP(V29,密度!$A$2:$A$50,密度!$B$2:$B$50)</f>
        <v>429766.09244800004</v>
      </c>
      <c r="W28" s="91" ph="1">
        <f>W27*47.051*LOOKUP(W29,密度!$A$2:$A$50,密度!$B$2:$B$50)</f>
        <v>426996.93407359999</v>
      </c>
      <c r="X28" s="91" ph="1">
        <f>X27*47.051*LOOKUP(X29,密度!$A$2:$A$50,密度!$I$2:$I$50)</f>
        <v>173563.86021030002</v>
      </c>
      <c r="Y28" s="91" ph="1">
        <f>Y27*47.051*LOOKUP(Y29,密度!$A$2:$A$50,密度!$L$2:$L$50)</f>
        <v>87077.285700000008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49" t="s" ph="1">
        <v>180</v>
      </c>
      <c r="D29" s="74">
        <v>25</v>
      </c>
      <c r="E29" s="74">
        <v>25</v>
      </c>
      <c r="F29" s="74">
        <v>33</v>
      </c>
      <c r="G29" s="74">
        <v>33</v>
      </c>
      <c r="H29" s="74">
        <v>32</v>
      </c>
      <c r="I29" s="74">
        <v>32</v>
      </c>
      <c r="J29" s="74">
        <v>33</v>
      </c>
      <c r="K29" s="74">
        <v>34</v>
      </c>
      <c r="L29" s="74">
        <v>33</v>
      </c>
      <c r="M29" s="74">
        <v>32</v>
      </c>
      <c r="N29" s="74">
        <v>31</v>
      </c>
      <c r="O29" s="74">
        <v>31</v>
      </c>
      <c r="P29" s="74">
        <v>32</v>
      </c>
      <c r="Q29" s="93">
        <v>32</v>
      </c>
      <c r="R29" s="74">
        <v>31</v>
      </c>
      <c r="S29" s="74">
        <v>31</v>
      </c>
      <c r="T29" s="74">
        <v>30</v>
      </c>
      <c r="U29" s="74">
        <v>31</v>
      </c>
      <c r="V29" s="74">
        <v>31</v>
      </c>
      <c r="W29" s="74">
        <v>31</v>
      </c>
      <c r="X29" s="74">
        <v>33</v>
      </c>
      <c r="Y29" s="74">
        <v>32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32389.383371299999</v>
      </c>
      <c r="E33" s="182" ph="1">
        <f>M10+I10</f>
        <v>125587.7693762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[[#This Row],[F25]]</f>
        <v>3880</v>
      </c>
      <c r="G33" s="208" ph="1">
        <v>0</v>
      </c>
      <c r="H33" s="182" ph="1">
        <f>N19</f>
        <v>30604.197395199997</v>
      </c>
      <c r="I33" s="186" ph="1">
        <v>0</v>
      </c>
      <c r="J33" s="190" ph="1">
        <f>F10+O28</f>
        <v>278829.58403139998</v>
      </c>
      <c r="K33" s="182" ph="1">
        <f>O10+K10+E28+R28</f>
        <v>305411.20378142002</v>
      </c>
      <c r="L33" s="192" ph="1">
        <f>BE27</f>
        <v>7100</v>
      </c>
      <c r="M33" s="190" ph="1">
        <f>G10+H10+W28+S28+V28+E10</f>
        <v>1990631.426342</v>
      </c>
      <c r="N33" s="182" ph="1">
        <f>L10+P10++G28+H28</f>
        <v>176991.64164219997</v>
      </c>
      <c r="O33" s="186" ph="1">
        <f>BE17</f>
        <v>2270</v>
      </c>
      <c r="P33" s="190" ph="1">
        <f>L19</f>
        <v>19996.471856460001</v>
      </c>
      <c r="Q33" s="182" ph="1">
        <f>J10+N10</f>
        <v>10098.889839550002</v>
      </c>
      <c r="R33" s="186" ph="1">
        <f>BE23</f>
        <v>890</v>
      </c>
      <c r="S33" s="190" ph="1">
        <f>E10+X28</f>
        <v>492605.65099830006</v>
      </c>
      <c r="T33" s="182" ph="1">
        <f>X19</f>
        <v>3333.4550367840002</v>
      </c>
      <c r="U33" s="171" ph="1">
        <f>BE21</f>
        <v>730</v>
      </c>
      <c r="V33" s="184" ph="1">
        <f ca="1">P19+Q19+S19+M28+N28+J28</f>
        <v>194441.410845818</v>
      </c>
      <c r="W33" s="184" ph="1">
        <f>D28+F28+V19+T28</f>
        <v>123229.861310092</v>
      </c>
      <c r="X33" s="186" ph="1">
        <f>BE29+BE31</f>
        <v>10200</v>
      </c>
      <c r="Y33" s="188" ph="1">
        <f>+Q10+R10+S10+T10+U10+V10+W10+X10+Y10</f>
        <v>130394.322828</v>
      </c>
      <c r="Z33" s="169" ph="1">
        <f>D10+T19+U19+Y28+Z10</f>
        <v>398154.64974239998</v>
      </c>
      <c r="AA33" s="171" ph="1">
        <f>BE19</f>
        <v>1440</v>
      </c>
      <c r="AB33" s="173" ph="1">
        <f>I19</f>
        <v>36315.596366999998</v>
      </c>
      <c r="AC33" s="175" ph="1">
        <f>AD10</f>
        <v>81651.173587200014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47" t="s" ph="1">
        <v>186</v>
      </c>
      <c r="AA36" s="147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345</v>
      </c>
      <c r="AI37" s="147" t="s" ph="1">
        <v>212</v>
      </c>
      <c r="AJ37" s="147" t="s" ph="1">
        <v>213</v>
      </c>
      <c r="AK37" s="147" t="s" ph="1">
        <v>214</v>
      </c>
      <c r="AM37" s="147" t="s" ph="1">
        <v>213</v>
      </c>
      <c r="AN37" s="147" t="s" ph="1">
        <v>214</v>
      </c>
      <c r="AO37" s="147" t="s" ph="1">
        <v>215</v>
      </c>
      <c r="AP37" s="147" t="s" ph="1">
        <v>213</v>
      </c>
      <c r="AQ37" s="147" t="s" ph="1">
        <v>214</v>
      </c>
      <c r="AR37" s="147" t="s" ph="1">
        <v>215</v>
      </c>
      <c r="AS37" s="147" t="s" ph="1">
        <v>213</v>
      </c>
      <c r="AT37" s="147" t="s" ph="1">
        <v>214</v>
      </c>
      <c r="AU37" s="147" t="s" ph="1">
        <v>215</v>
      </c>
      <c r="AV37" s="147" t="s" ph="1">
        <v>213</v>
      </c>
      <c r="AW37" s="147" t="s" ph="1">
        <v>214</v>
      </c>
      <c r="AX37" s="147" t="s" ph="1">
        <v>215</v>
      </c>
      <c r="AY37" s="147" t="s" ph="1">
        <v>214</v>
      </c>
      <c r="AZ37" s="147" t="s" ph="1">
        <v>216</v>
      </c>
      <c r="BD37" s="147" t="s" ph="1">
        <v>308</v>
      </c>
      <c r="BE37" s="147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907" priority="97">
      <formula>ABS(D$7-D$10)&gt;=1000</formula>
    </cfRule>
  </conditionalFormatting>
  <conditionalFormatting sqref="E4 E6:E11">
    <cfRule type="expression" dxfId="1906" priority="96">
      <formula>ABS(E$7-E$10)&gt;=1000</formula>
    </cfRule>
  </conditionalFormatting>
  <conditionalFormatting sqref="F4:F11">
    <cfRule type="expression" dxfId="1905" priority="95">
      <formula>ABS(F$7-F$10)&gt;=1000</formula>
    </cfRule>
  </conditionalFormatting>
  <conditionalFormatting sqref="G4:G11">
    <cfRule type="expression" dxfId="1904" priority="94">
      <formula>ABS(G$7-G$10)&gt;=1000</formula>
    </cfRule>
  </conditionalFormatting>
  <conditionalFormatting sqref="H4:H11">
    <cfRule type="expression" dxfId="1903" priority="93">
      <formula>ABS(H$7-H$10)&gt;=1000</formula>
    </cfRule>
  </conditionalFormatting>
  <conditionalFormatting sqref="I4:I11">
    <cfRule type="expression" dxfId="1902" priority="92">
      <formula>ABS(I$7-I$10)&gt;=1000</formula>
    </cfRule>
  </conditionalFormatting>
  <conditionalFormatting sqref="J4:J11">
    <cfRule type="expression" dxfId="1901" priority="91">
      <formula>ABS(J$7-J$10)&gt;=1000</formula>
    </cfRule>
  </conditionalFormatting>
  <conditionalFormatting sqref="K4:K11">
    <cfRule type="expression" dxfId="1900" priority="90">
      <formula>ABS(K$7-K$10)&gt;=1000</formula>
    </cfRule>
  </conditionalFormatting>
  <conditionalFormatting sqref="L4:L11">
    <cfRule type="expression" dxfId="1899" priority="89">
      <formula>ABS(L$7-L$10)&gt;=1000</formula>
    </cfRule>
  </conditionalFormatting>
  <conditionalFormatting sqref="M4 M6:M11">
    <cfRule type="expression" dxfId="1898" priority="88">
      <formula>ABS(M$7-M$10)&gt;=1000</formula>
    </cfRule>
  </conditionalFormatting>
  <conditionalFormatting sqref="N4 N6:N11">
    <cfRule type="expression" dxfId="1897" priority="87">
      <formula>ABS(N$7-N$10)&gt;=1000</formula>
    </cfRule>
  </conditionalFormatting>
  <conditionalFormatting sqref="O4 O6:O11">
    <cfRule type="expression" dxfId="1896" priority="86">
      <formula>ABS(O$7-O$10)&gt;=1000</formula>
    </cfRule>
  </conditionalFormatting>
  <conditionalFormatting sqref="P4 P6:P11">
    <cfRule type="expression" dxfId="1895" priority="85">
      <formula>ABS(P$7-P$10)&gt;=1000</formula>
    </cfRule>
  </conditionalFormatting>
  <conditionalFormatting sqref="Q4:Q11">
    <cfRule type="expression" dxfId="1894" priority="84">
      <formula>ABS(Q$7-Q$10)&gt;=1000</formula>
    </cfRule>
  </conditionalFormatting>
  <conditionalFormatting sqref="R4:R11">
    <cfRule type="expression" dxfId="1893" priority="83">
      <formula>ABS(R$7-R$10)&gt;=1000</formula>
    </cfRule>
  </conditionalFormatting>
  <conditionalFormatting sqref="S4:S11">
    <cfRule type="expression" dxfId="1892" priority="82">
      <formula>ABS(S$7-S$10)&gt;=1000</formula>
    </cfRule>
  </conditionalFormatting>
  <conditionalFormatting sqref="T4:T9 T11">
    <cfRule type="expression" dxfId="1891" priority="81">
      <formula>ABS(T$7-T$10)&gt;=1000</formula>
    </cfRule>
  </conditionalFormatting>
  <conditionalFormatting sqref="U4:U9 U11">
    <cfRule type="expression" dxfId="1890" priority="80">
      <formula>ABS(U$7-U$10)&gt;=1000</formula>
    </cfRule>
  </conditionalFormatting>
  <conditionalFormatting sqref="V4:V9 V11">
    <cfRule type="expression" dxfId="1889" priority="79">
      <formula>ABS(V$7-V$10)&gt;=1000</formula>
    </cfRule>
  </conditionalFormatting>
  <conditionalFormatting sqref="W4:W9 W11">
    <cfRule type="expression" dxfId="1888" priority="78">
      <formula>ABS(W$7-W$10)&gt;=1000</formula>
    </cfRule>
  </conditionalFormatting>
  <conditionalFormatting sqref="X4:X9 X11">
    <cfRule type="expression" dxfId="1887" priority="77">
      <formula>ABS(X$7-X$10)&gt;=1000</formula>
    </cfRule>
  </conditionalFormatting>
  <conditionalFormatting sqref="Y4:Y9 Y11">
    <cfRule type="expression" dxfId="1886" priority="76">
      <formula>ABS(Y$7-Y$10)&gt;=1000</formula>
    </cfRule>
  </conditionalFormatting>
  <conditionalFormatting sqref="Z4:Z11">
    <cfRule type="expression" dxfId="1885" priority="75">
      <formula>ABS(Z$7-Z$10)&gt;=1000</formula>
    </cfRule>
  </conditionalFormatting>
  <conditionalFormatting sqref="AA4:AA11">
    <cfRule type="expression" dxfId="1884" priority="74">
      <formula>ABS(AA$7-AA$10)&gt;=1000</formula>
    </cfRule>
  </conditionalFormatting>
  <conditionalFormatting sqref="AB4:AB11">
    <cfRule type="expression" dxfId="1883" priority="73">
      <formula>ABS(AB$7-AB$10)&gt;=1000</formula>
    </cfRule>
  </conditionalFormatting>
  <conditionalFormatting sqref="AC4 AC6:AC11">
    <cfRule type="expression" dxfId="1882" priority="72">
      <formula>ABS(AC$7-AC$10)&gt;=1000</formula>
    </cfRule>
  </conditionalFormatting>
  <conditionalFormatting sqref="AD4:AD11">
    <cfRule type="expression" dxfId="1881" priority="71">
      <formula>ABS(AD$7-AD$10)&gt;=1000</formula>
    </cfRule>
  </conditionalFormatting>
  <conditionalFormatting sqref="AE4:AE11">
    <cfRule type="expression" dxfId="1880" priority="70">
      <formula>ABS(AE$7-AE$10)&gt;=1000</formula>
    </cfRule>
  </conditionalFormatting>
  <conditionalFormatting sqref="D13:D20">
    <cfRule type="expression" dxfId="1879" priority="69">
      <formula>ABS(D$16-D$19)&gt;=1000</formula>
    </cfRule>
  </conditionalFormatting>
  <conditionalFormatting sqref="E13:E20">
    <cfRule type="expression" dxfId="1878" priority="68">
      <formula>ABS(E$16-E$19)&gt;=1000</formula>
    </cfRule>
  </conditionalFormatting>
  <conditionalFormatting sqref="F13 F15:F20">
    <cfRule type="expression" dxfId="1877" priority="67">
      <formula>ABS(F$16-F$19)&gt;=1000</formula>
    </cfRule>
  </conditionalFormatting>
  <conditionalFormatting sqref="G13:G20">
    <cfRule type="expression" dxfId="1876" priority="66">
      <formula>ABS(G$16-G$19)&gt;=1000</formula>
    </cfRule>
  </conditionalFormatting>
  <conditionalFormatting sqref="H13:H20">
    <cfRule type="expression" dxfId="1875" priority="65">
      <formula>ABS(H$16-H$19)&gt;=1000</formula>
    </cfRule>
  </conditionalFormatting>
  <conditionalFormatting sqref="I13:I20">
    <cfRule type="expression" dxfId="1874" priority="64">
      <formula>ABS(I$16-I$19)&gt;=1000</formula>
    </cfRule>
  </conditionalFormatting>
  <conditionalFormatting sqref="J13:J20">
    <cfRule type="expression" dxfId="1873" priority="63">
      <formula>ABS(J$16-J$19)&gt;=1000</formula>
    </cfRule>
  </conditionalFormatting>
  <conditionalFormatting sqref="L13:L20">
    <cfRule type="expression" dxfId="1872" priority="62">
      <formula>ABS(L$16-L$19)&gt;=1000</formula>
    </cfRule>
  </conditionalFormatting>
  <conditionalFormatting sqref="M13 M15 M17:M18 M20">
    <cfRule type="expression" dxfId="1871" priority="61">
      <formula>ABS(M$16-M$19)&gt;=1000</formula>
    </cfRule>
  </conditionalFormatting>
  <conditionalFormatting sqref="N13:N20">
    <cfRule type="expression" dxfId="1870" priority="60">
      <formula>ABS(N$16-N$19)&gt;=1000</formula>
    </cfRule>
  </conditionalFormatting>
  <conditionalFormatting sqref="O13:O20">
    <cfRule type="expression" dxfId="1869" priority="59">
      <formula>ABS(O$16-O$19)&gt;=1000</formula>
    </cfRule>
  </conditionalFormatting>
  <conditionalFormatting sqref="P13:P20">
    <cfRule type="expression" dxfId="1868" priority="58">
      <formula>ABS(P$16-P$19)&gt;=1000</formula>
    </cfRule>
  </conditionalFormatting>
  <conditionalFormatting sqref="Q13 Q15:Q20">
    <cfRule type="expression" dxfId="1867" priority="57">
      <formula>ABS(Q$16-Q$19)&gt;=1000</formula>
    </cfRule>
  </conditionalFormatting>
  <conditionalFormatting sqref="R13:R20">
    <cfRule type="expression" dxfId="1866" priority="56">
      <formula>ABS(R$16-R$19)&gt;=1000</formula>
    </cfRule>
  </conditionalFormatting>
  <conditionalFormatting sqref="S13:S20">
    <cfRule type="expression" dxfId="1865" priority="55">
      <formula>ABS(S$16-S$19)&gt;=1000</formula>
    </cfRule>
  </conditionalFormatting>
  <conditionalFormatting sqref="T13:T20">
    <cfRule type="expression" dxfId="1864" priority="54">
      <formula>ABS(T$16-T$19)&gt;=1000</formula>
    </cfRule>
  </conditionalFormatting>
  <conditionalFormatting sqref="U13:U20">
    <cfRule type="expression" dxfId="1863" priority="53">
      <formula>ABS(U$16-U$19)&gt;=1000</formula>
    </cfRule>
  </conditionalFormatting>
  <conditionalFormatting sqref="V13:V20">
    <cfRule type="expression" dxfId="1862" priority="52">
      <formula>ABS(V$16-V$19)&gt;=1000</formula>
    </cfRule>
  </conditionalFormatting>
  <conditionalFormatting sqref="W13 W20 W15:W18">
    <cfRule type="expression" dxfId="1861" priority="51">
      <formula>ABS(W$16-W$19)&gt;=1000</formula>
    </cfRule>
  </conditionalFormatting>
  <conditionalFormatting sqref="X13 X15:X20 Y19">
    <cfRule type="expression" dxfId="1860" priority="50">
      <formula>ABS(X$16-X$19)&gt;=1000</formula>
    </cfRule>
  </conditionalFormatting>
  <conditionalFormatting sqref="Y13 Y15:Y18 Y20">
    <cfRule type="expression" dxfId="1859" priority="49">
      <formula>ABS(Y$16-Y$19)&gt;=1000</formula>
    </cfRule>
  </conditionalFormatting>
  <conditionalFormatting sqref="Z13:Z20">
    <cfRule type="expression" dxfId="1858" priority="48">
      <formula>ABS(Z$16-Z$19)&gt;=1000</formula>
    </cfRule>
  </conditionalFormatting>
  <conditionalFormatting sqref="AA13:AA20">
    <cfRule type="expression" dxfId="1857" priority="47">
      <formula>ABS(AA$16-AA$19)&gt;=1000</formula>
    </cfRule>
  </conditionalFormatting>
  <conditionalFormatting sqref="AB13 AB15:AB20">
    <cfRule type="expression" dxfId="1856" priority="46">
      <formula>ABS(AB$16-AB$19)&gt;=1000</formula>
    </cfRule>
  </conditionalFormatting>
  <conditionalFormatting sqref="AC13 AC15:AC20">
    <cfRule type="expression" dxfId="1855" priority="45">
      <formula>ABS(AC$16-AC$19)&gt;=1000</formula>
    </cfRule>
  </conditionalFormatting>
  <conditionalFormatting sqref="AD13:AD20">
    <cfRule type="expression" dxfId="1854" priority="44">
      <formula>ABS(AD$16-AD$19)&gt;=1000</formula>
    </cfRule>
  </conditionalFormatting>
  <conditionalFormatting sqref="AE13:AE20">
    <cfRule type="expression" dxfId="1853" priority="43">
      <formula>ABS(AE$16-AE$19)&gt;=1000</formula>
    </cfRule>
  </conditionalFormatting>
  <conditionalFormatting sqref="D22:D29">
    <cfRule type="expression" dxfId="1852" priority="42">
      <formula>ABS(D$25-D$28)&gt;=1000</formula>
    </cfRule>
  </conditionalFormatting>
  <conditionalFormatting sqref="E22:E29">
    <cfRule type="expression" dxfId="1851" priority="41">
      <formula>ABS(E$25-E$28)&gt;=1000</formula>
    </cfRule>
  </conditionalFormatting>
  <conditionalFormatting sqref="F22:F29">
    <cfRule type="expression" dxfId="1850" priority="40">
      <formula>ABS(F$25-F$28)&gt;=1000</formula>
    </cfRule>
  </conditionalFormatting>
  <conditionalFormatting sqref="G22:G29">
    <cfRule type="expression" dxfId="1849" priority="39">
      <formula>ABS(G$25-G$28)&gt;=1000</formula>
    </cfRule>
  </conditionalFormatting>
  <conditionalFormatting sqref="H22:H29">
    <cfRule type="expression" dxfId="1848" priority="38">
      <formula>ABS(H$25-H$28)&gt;=1000</formula>
    </cfRule>
  </conditionalFormatting>
  <conditionalFormatting sqref="I22 I24:I29">
    <cfRule type="expression" dxfId="1847" priority="37">
      <formula>ABS(I$25-I$28)&gt;=1000</formula>
    </cfRule>
  </conditionalFormatting>
  <conditionalFormatting sqref="J22:J29 K22">
    <cfRule type="expression" dxfId="1846" priority="36">
      <formula>ABS(J$25-J$28)&gt;=1000</formula>
    </cfRule>
  </conditionalFormatting>
  <conditionalFormatting sqref="K23:K29 L25 L28">
    <cfRule type="expression" dxfId="1845" priority="35">
      <formula>ABS(K$25-K$28)&gt;=1000</formula>
    </cfRule>
  </conditionalFormatting>
  <conditionalFormatting sqref="L22 L26:L27 L29 L24">
    <cfRule type="expression" dxfId="1844" priority="34">
      <formula>ABS(L$25-L$28)&gt;=1000</formula>
    </cfRule>
  </conditionalFormatting>
  <conditionalFormatting sqref="M22:M29">
    <cfRule type="expression" dxfId="1843" priority="33">
      <formula>ABS(M$25-M$28)&gt;=1000</formula>
    </cfRule>
  </conditionalFormatting>
  <conditionalFormatting sqref="N22:N29">
    <cfRule type="expression" dxfId="1842" priority="32">
      <formula>ABS(N$25-N$28)&gt;=1000</formula>
    </cfRule>
  </conditionalFormatting>
  <conditionalFormatting sqref="O22:O29">
    <cfRule type="expression" dxfId="1841" priority="31">
      <formula>ABS(O$25-O$28)&gt;=1000</formula>
    </cfRule>
  </conditionalFormatting>
  <conditionalFormatting sqref="P22:P29">
    <cfRule type="expression" dxfId="1840" priority="30">
      <formula>ABS(P$25-P$28)&gt;=1000</formula>
    </cfRule>
  </conditionalFormatting>
  <conditionalFormatting sqref="Q22:Q29">
    <cfRule type="expression" dxfId="1839" priority="29">
      <formula>ABS(Q$25-Q$28)&gt;=1000</formula>
    </cfRule>
  </conditionalFormatting>
  <conditionalFormatting sqref="R22:R29">
    <cfRule type="expression" dxfId="1838" priority="28">
      <formula>ABS(R$25-R$28)&gt;=1000</formula>
    </cfRule>
  </conditionalFormatting>
  <conditionalFormatting sqref="S22:S29">
    <cfRule type="expression" dxfId="1837" priority="27">
      <formula>ABS(S$25-S$28)&gt;=1000</formula>
    </cfRule>
  </conditionalFormatting>
  <conditionalFormatting sqref="T22:T29">
    <cfRule type="expression" dxfId="1836" priority="26">
      <formula>ABS(T$25-T$28)&gt;=1000</formula>
    </cfRule>
  </conditionalFormatting>
  <conditionalFormatting sqref="U22:U29">
    <cfRule type="expression" dxfId="1835" priority="25">
      <formula>ABS(U$25-U$28)&gt;=1000</formula>
    </cfRule>
  </conditionalFormatting>
  <conditionalFormatting sqref="V22:V29">
    <cfRule type="expression" dxfId="1834" priority="24">
      <formula>ABS(V$25-V$28)&gt;=1000</formula>
    </cfRule>
  </conditionalFormatting>
  <conditionalFormatting sqref="W22:W29">
    <cfRule type="expression" dxfId="1833" priority="23">
      <formula>ABS(W$25-W$28)&gt;=1000</formula>
    </cfRule>
  </conditionalFormatting>
  <conditionalFormatting sqref="X22:X29">
    <cfRule type="expression" dxfId="1832" priority="22">
      <formula>ABS(X$25-X$28)&gt;=1000</formula>
    </cfRule>
  </conditionalFormatting>
  <conditionalFormatting sqref="Y22:Y29">
    <cfRule type="expression" dxfId="1831" priority="21">
      <formula>ABS(Y$25-Y$28)&gt;=1000</formula>
    </cfRule>
  </conditionalFormatting>
  <conditionalFormatting sqref="I23">
    <cfRule type="expression" dxfId="1830" priority="20">
      <formula>ABS(I$25-I$28)&gt;=1000</formula>
    </cfRule>
  </conditionalFormatting>
  <conditionalFormatting sqref="Q14">
    <cfRule type="expression" dxfId="1829" priority="19">
      <formula>ABS(Q$16-Q$19)&gt;=1000</formula>
    </cfRule>
  </conditionalFormatting>
  <conditionalFormatting sqref="W14">
    <cfRule type="expression" dxfId="1828" priority="18">
      <formula>ABS(W$16-W$19)&gt;=1000</formula>
    </cfRule>
  </conditionalFormatting>
  <conditionalFormatting sqref="Y14">
    <cfRule type="expression" dxfId="1827" priority="17">
      <formula>ABS(Y$16-Y$19)&gt;=1000</formula>
    </cfRule>
  </conditionalFormatting>
  <conditionalFormatting sqref="X14">
    <cfRule type="expression" dxfId="1826" priority="16">
      <formula>ABS(X$16-X$19)&gt;=1000</formula>
    </cfRule>
  </conditionalFormatting>
  <conditionalFormatting sqref="T10:Y10">
    <cfRule type="expression" dxfId="1825" priority="15">
      <formula>ABS(T$7-T$10)&gt;=1000</formula>
    </cfRule>
  </conditionalFormatting>
  <conditionalFormatting sqref="W19">
    <cfRule type="expression" dxfId="1824" priority="14">
      <formula>ABS(W$16-W$19)&gt;=1000</formula>
    </cfRule>
  </conditionalFormatting>
  <conditionalFormatting sqref="AC5">
    <cfRule type="expression" dxfId="1823" priority="13">
      <formula>ABS(AC$7-AC$10)&gt;=1000</formula>
    </cfRule>
  </conditionalFormatting>
  <conditionalFormatting sqref="M14">
    <cfRule type="expression" dxfId="1822" priority="12">
      <formula>ABS(M$16-M$19)&gt;=1000</formula>
    </cfRule>
  </conditionalFormatting>
  <conditionalFormatting sqref="M16">
    <cfRule type="expression" dxfId="1821" priority="11">
      <formula>ABS(M$16-M$19)&gt;=1000</formula>
    </cfRule>
  </conditionalFormatting>
  <conditionalFormatting sqref="M19">
    <cfRule type="expression" dxfId="1820" priority="10">
      <formula>ABS(M$16-M$19)&gt;=1000</formula>
    </cfRule>
  </conditionalFormatting>
  <conditionalFormatting sqref="K13:K20">
    <cfRule type="expression" dxfId="1819" priority="9">
      <formula>ABS(K$16-K$19)&gt;=1000</formula>
    </cfRule>
  </conditionalFormatting>
  <conditionalFormatting sqref="E5">
    <cfRule type="expression" dxfId="1818" priority="8">
      <formula>ABS(E$7-E$10)&gt;=1000</formula>
    </cfRule>
  </conditionalFormatting>
  <conditionalFormatting sqref="AB14:AC14">
    <cfRule type="expression" dxfId="1817" priority="7">
      <formula>ABS(AB$16-AB$19)&gt;=1000</formula>
    </cfRule>
  </conditionalFormatting>
  <conditionalFormatting sqref="M5">
    <cfRule type="expression" dxfId="1816" priority="6">
      <formula>ABS(M$7-M$10)&gt;=1000</formula>
    </cfRule>
  </conditionalFormatting>
  <conditionalFormatting sqref="N5">
    <cfRule type="expression" dxfId="1815" priority="5">
      <formula>ABS(N$7-N$10)&gt;=1000</formula>
    </cfRule>
  </conditionalFormatting>
  <conditionalFormatting sqref="O5">
    <cfRule type="expression" dxfId="1814" priority="4">
      <formula>ABS(O$7-O$10)&gt;=1000</formula>
    </cfRule>
  </conditionalFormatting>
  <conditionalFormatting sqref="P5">
    <cfRule type="expression" dxfId="1813" priority="3">
      <formula>ABS(P$7-P$10)&gt;=1000</formula>
    </cfRule>
  </conditionalFormatting>
  <conditionalFormatting sqref="L23">
    <cfRule type="expression" dxfId="1812" priority="2">
      <formula>ABS(L$25-L$28)&gt;=1000</formula>
    </cfRule>
  </conditionalFormatting>
  <conditionalFormatting sqref="F14">
    <cfRule type="expression" dxfId="1811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04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99">
    <pageSetUpPr fitToPage="1"/>
  </sheetPr>
  <dimension ref="A1:CU223"/>
  <sheetViews>
    <sheetView view="pageBreakPreview" zoomScale="80" zoomScaleNormal="100" zoomScaleSheetLayoutView="80" workbookViewId="0">
      <selection activeCell="F11" sqref="F1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45881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6587</v>
      </c>
      <c r="E6" s="71">
        <v>8025</v>
      </c>
      <c r="F6" s="71">
        <v>2552</v>
      </c>
      <c r="G6" s="71">
        <v>8133</v>
      </c>
      <c r="H6" s="71">
        <v>6915</v>
      </c>
      <c r="I6" s="71">
        <v>40.61</v>
      </c>
      <c r="J6" s="71">
        <v>7.71</v>
      </c>
      <c r="K6" s="71">
        <v>85.41</v>
      </c>
      <c r="L6" s="71">
        <v>43.11</v>
      </c>
      <c r="M6" s="71">
        <v>3359</v>
      </c>
      <c r="N6" s="71">
        <v>325</v>
      </c>
      <c r="O6" s="71">
        <v>5379</v>
      </c>
      <c r="P6" s="71">
        <v>3239</v>
      </c>
      <c r="Q6" s="71">
        <v>7142</v>
      </c>
      <c r="R6" s="71">
        <v>4328</v>
      </c>
      <c r="S6" s="71">
        <v>225</v>
      </c>
      <c r="T6" s="71">
        <v>0</v>
      </c>
      <c r="U6" s="71">
        <v>0</v>
      </c>
      <c r="V6" s="71">
        <v>0</v>
      </c>
      <c r="W6" s="71">
        <v>0</v>
      </c>
      <c r="X6" s="71">
        <v>4066</v>
      </c>
      <c r="Y6" s="71">
        <v>6083</v>
      </c>
      <c r="Z6" s="71">
        <v>3316</v>
      </c>
      <c r="AA6" s="71">
        <v>556</v>
      </c>
      <c r="AB6" s="71">
        <v>662</v>
      </c>
      <c r="AC6" s="71">
        <v>2074</v>
      </c>
      <c r="AD6" s="71">
        <v>4151</v>
      </c>
      <c r="AE6" s="71">
        <v>2692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206189.69522193001</v>
      </c>
      <c r="E7" s="73" ph="1">
        <f>E6*51.53*LOOKUP(E8,密度!$A$2:$A$50,密度!$B$2:$B$50)</f>
        <v>321311.45024999999</v>
      </c>
      <c r="F7" s="73" ph="1">
        <f>F6*33.183*LOOKUP(F8,密度!$A$2:$A$50,密度!$C$2:$C$50)</f>
        <v>93710.225505599999</v>
      </c>
      <c r="G7" s="73" ph="1">
        <f xml:space="preserve"> (G6+2)*51.53*LOOKUP(G8,密度!$A$2:$A$50,密度!$B$2:$B$50)</f>
        <v>325380.36210999999</v>
      </c>
      <c r="H7" s="73" ph="1">
        <f>(H6)*51.53*LOOKUP(H8,密度!$A$2:$A$50,密度!$B$2:$B$50)</f>
        <v>277474.13206500001</v>
      </c>
      <c r="I7" s="73" ph="1">
        <f>I6*290.8*1.0267</f>
        <v>12124.698659600001</v>
      </c>
      <c r="J7" s="73" ph="1">
        <f>J6*290.8*0.7892</f>
        <v>1769.4400656000003</v>
      </c>
      <c r="K7" s="73" ph="1">
        <f>K6*290.8*1.1126</f>
        <v>27633.899872800001</v>
      </c>
      <c r="L7" s="73" ph="1">
        <f>L6*290.8*0.777</f>
        <v>9740.7734760000003</v>
      </c>
      <c r="M7" s="73" ph="1">
        <f>M6*33.183*LOOKUP(M8,密度!$A$2:$A$50,密度!$D$2:$D$50)</f>
        <v>113913.854334</v>
      </c>
      <c r="N7" s="73" ph="1">
        <f>N6*33.183*LOOKUP(N8,密度!$A$2:$A$50,密度!$E$2:$E$50)</f>
        <v>8397.870682499999</v>
      </c>
      <c r="O7" s="73" ph="1">
        <f>O6*20.428*LOOKUP(O8,密度!$A$2:$A$50,密度!$C$2:$C$50)</f>
        <v>120969.3271908</v>
      </c>
      <c r="P7" s="73" ph="1">
        <f>P6*51.53*LOOKUP(P8,密度!$A$2:$A$50,密度!$B$2:$B$50)</f>
        <v>129685.70559000001</v>
      </c>
      <c r="Q7" s="73" ph="1">
        <f>Q6*1.5*1.5*3.1416*LOOKUP(W8,密度!$A$2:$A$50,密度!$L$2:$L$50)</f>
        <v>47152.001080800001</v>
      </c>
      <c r="R7" s="73" ph="1">
        <f>R6*1.5*1.5*3.1416*LOOKUP(R8,密度!$A$2:$A$50,密度!$L$2:$L$50)</f>
        <v>28390.211942400001</v>
      </c>
      <c r="S7" s="73" ph="1">
        <f>S6*1.5*1.5*3.1416*LOOKUP(S8,密度!$A$2:$A$50,密度!$L$2:$L$50)</f>
        <v>1488.64716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27016.471943999997</v>
      </c>
      <c r="Y7" s="73" ph="1">
        <f>Y6*1.5*1.5*3.1416*LOOKUP(Y8,密度!$A$2:$A$50,密度!$L$2:$L$50)</f>
        <v>40117.408115400001</v>
      </c>
      <c r="Z7" s="73" ph="1">
        <f>Z6*33.183*LOOKUP(Z8,密度!$A$2:$A$50,密度!$L$2:$L$50)</f>
        <v>102772.529352</v>
      </c>
      <c r="AA7" s="73" ph="1">
        <f>AA6*33.183*LOOKUP(AA8,密度!$A$2:$A$50,密度!$D$2:$D$50)</f>
        <v>18872.247229199998</v>
      </c>
      <c r="AB7" s="73" ph="1">
        <f>AB6*20.428*LOOKUP(AB8,密度!$A$2:$A$50,密度!$D$2:$D$50)</f>
        <v>13910.1034096</v>
      </c>
      <c r="AC7" s="73" ph="1">
        <f>AC6*51.53*LOOKUP(AC8,密度!$A$2:$A$50,密度!$Q$2:$Q$50)</f>
        <v>101029.39233040001</v>
      </c>
      <c r="AD7" s="73" ph="1">
        <f>AD6*20.428*LOOKUP(AD8,密度!$A$2:$A$50,密度!$V$2:$V$50)</f>
        <v>81201.2509728</v>
      </c>
      <c r="AE7" s="73" ph="1">
        <f>AE6*20.428</f>
        <v>54992.175999999999</v>
      </c>
    </row>
    <row r="8" spans="1:99" ph="1">
      <c r="B8" s="233" ph="1"/>
      <c r="C8" s="68" t="s" ph="1">
        <v>180</v>
      </c>
      <c r="D8" s="74">
        <v>30</v>
      </c>
      <c r="E8" s="74">
        <v>28</v>
      </c>
      <c r="F8" s="74">
        <v>28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29</v>
      </c>
      <c r="O8" s="74">
        <v>34</v>
      </c>
      <c r="P8" s="74">
        <v>28</v>
      </c>
      <c r="Q8" s="74">
        <v>30</v>
      </c>
      <c r="R8" s="74">
        <v>34</v>
      </c>
      <c r="S8" s="74">
        <v>26</v>
      </c>
      <c r="T8" s="74">
        <v>24</v>
      </c>
      <c r="U8" s="74">
        <v>28</v>
      </c>
      <c r="V8" s="74">
        <v>28</v>
      </c>
      <c r="W8" s="74">
        <v>28</v>
      </c>
      <c r="X8" s="74">
        <v>22</v>
      </c>
      <c r="Y8" s="74">
        <v>29</v>
      </c>
      <c r="Z8" s="74">
        <v>28</v>
      </c>
      <c r="AA8" s="74">
        <v>29</v>
      </c>
      <c r="AB8" s="74">
        <v>23</v>
      </c>
      <c r="AC8" s="74">
        <v>27</v>
      </c>
      <c r="AD8" s="74">
        <v>30</v>
      </c>
      <c r="AE8" s="74">
        <v>32</v>
      </c>
    </row>
    <row r="9" spans="1:99" ht="26.4" ph="1">
      <c r="B9" s="233" ph="1">
        <v>0.66666666666666663</v>
      </c>
      <c r="C9" s="150" t="s" ph="1">
        <v>181</v>
      </c>
      <c r="D9" s="71">
        <v>6591</v>
      </c>
      <c r="E9" s="71">
        <v>8110</v>
      </c>
      <c r="F9" s="71">
        <v>6037</v>
      </c>
      <c r="G9" s="71">
        <v>8138</v>
      </c>
      <c r="H9" s="71">
        <v>6641</v>
      </c>
      <c r="I9" s="71">
        <v>40.619999999999997</v>
      </c>
      <c r="J9" s="71">
        <v>7.72</v>
      </c>
      <c r="K9" s="71">
        <v>85.31</v>
      </c>
      <c r="L9" s="71">
        <v>29.03</v>
      </c>
      <c r="M9" s="71">
        <v>3360</v>
      </c>
      <c r="N9" s="71">
        <v>329</v>
      </c>
      <c r="O9" s="71">
        <v>5380</v>
      </c>
      <c r="P9" s="71">
        <v>3275</v>
      </c>
      <c r="Q9" s="71">
        <v>7150</v>
      </c>
      <c r="R9" s="71">
        <v>7232</v>
      </c>
      <c r="S9" s="71">
        <v>2841</v>
      </c>
      <c r="T9" s="71">
        <v>0</v>
      </c>
      <c r="U9" s="71">
        <v>0</v>
      </c>
      <c r="V9" s="71">
        <v>0</v>
      </c>
      <c r="W9" s="71">
        <v>0</v>
      </c>
      <c r="X9" s="71">
        <v>1999</v>
      </c>
      <c r="Y9" s="71">
        <v>6092</v>
      </c>
      <c r="Z9" s="71">
        <v>3738</v>
      </c>
      <c r="AA9" s="71">
        <v>556</v>
      </c>
      <c r="AB9" s="71">
        <v>658</v>
      </c>
      <c r="AC9" s="71">
        <v>2490</v>
      </c>
      <c r="AD9" s="71">
        <v>4138</v>
      </c>
      <c r="AE9" s="71">
        <v>2734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206314.90529949</v>
      </c>
      <c r="E10" s="73" ph="1">
        <f>E9*51.53*LOOKUP(E11,密度!$A$2:$A$50,密度!$B$2:$B$50)</f>
        <v>322165.50847</v>
      </c>
      <c r="F10" s="73" ph="1">
        <f>F9*33.183*LOOKUP(F11,密度!$A$2:$A$50,密度!$C$2:$C$50)</f>
        <v>221380.0095321</v>
      </c>
      <c r="G10" s="73" ph="1">
        <f xml:space="preserve"> (G9+2)*51.53*LOOKUP(G11,密度!$A$2:$A$50,密度!$B$2:$B$50)</f>
        <v>323734.75156</v>
      </c>
      <c r="H10" s="73" ph="1">
        <f>(H9)*51.53*LOOKUP(H11,密度!$A$2:$A$50,密度!$B$2:$B$50)</f>
        <v>263194.27244299999</v>
      </c>
      <c r="I10" s="73" ph="1">
        <f>I9*290.8*1.0267</f>
        <v>12127.6843032</v>
      </c>
      <c r="J10" s="73" ph="1">
        <f>J9*290.8*0.7892</f>
        <v>1771.7350592</v>
      </c>
      <c r="K10" s="73" ph="1">
        <f>K9*290.8*1.1126</f>
        <v>27601.545464800001</v>
      </c>
      <c r="L10" s="73" ph="1">
        <f>L9*290.8*0.777</f>
        <v>6559.3749480000006</v>
      </c>
      <c r="M10" s="73" ph="1">
        <f>M9*33.183*LOOKUP(M11,密度!$A$2:$A$50,密度!$D$2:$D$50)</f>
        <v>113657.88067200001</v>
      </c>
      <c r="N10" s="73" ph="1">
        <f>N9*33.183*LOOKUP(N11,密度!$A$2:$A$50,密度!$E$2:$E$50)</f>
        <v>8451.9924873300006</v>
      </c>
      <c r="O10" s="73" ph="1">
        <f>O9*20.428*LOOKUP(O11,密度!$A$2:$A$50,密度!$C$2:$C$50)</f>
        <v>120651.11819200001</v>
      </c>
      <c r="P10" s="73" ph="1">
        <f>P9*51.53*LOOKUP(P11,密度!$A$2:$A$50,密度!$B$2:$B$50)</f>
        <v>130536.44012499999</v>
      </c>
      <c r="Q10" s="73" ph="1">
        <f>Q9*1.5*1.5*3.1416*LOOKUP(W11,密度!$A$2:$A$50,密度!$L$2:$L$50)</f>
        <v>46446.710310000002</v>
      </c>
      <c r="R10" s="73" ph="1">
        <f>R9*1.5*1.5*3.1416*LOOKUP(R11,密度!$A$2:$A$50,密度!$L$2:$L$50)</f>
        <v>47388.346790399999</v>
      </c>
      <c r="S10" s="73" ph="1">
        <f>S9*1.5*1.5*3.1416*LOOKUP(S11,密度!$A$2:$A$50,密度!$L$2:$L$50)</f>
        <v>18796.651473599999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13239.933121800001</v>
      </c>
      <c r="Y10" s="73" ph="1">
        <f>Y9*1.5*1.5*3.1416*LOOKUP(Y11,密度!$A$2:$A$50,密度!$L$2:$L$50)</f>
        <v>40133.701238400005</v>
      </c>
      <c r="Z10" s="73" ph="1">
        <f>Z9*33.183*LOOKUP(Z11,密度!$A$2:$A$50,密度!$L$2:$L$50)</f>
        <v>115603.46632800001</v>
      </c>
      <c r="AA10" s="73" ph="1">
        <f>AA9*33.183*LOOKUP(AA11,密度!$A$2:$A$50,密度!$D$2:$D$50)</f>
        <v>18774.4635648</v>
      </c>
      <c r="AB10" s="73" ph="1">
        <f>AB9*20.428*LOOKUP(AB11,密度!$A$2:$A$50,密度!$D$2:$D$50)</f>
        <v>13713.1448048</v>
      </c>
      <c r="AC10" s="73" ph="1">
        <f>AC9*51.53*LOOKUP(AC11,密度!$A$2:$A$50,密度!$Q$2:$Q$50)</f>
        <v>120854.90642999999</v>
      </c>
      <c r="AD10" s="73" ph="1">
        <f>AD9*20.428*LOOKUP(AD11,密度!$A$2:$A$50,密度!$V$2:$V$50)</f>
        <v>80946.946886399994</v>
      </c>
      <c r="AE10" s="73" ph="1">
        <f>AE9*20.428</f>
        <v>55850.152000000002</v>
      </c>
    </row>
    <row r="11" spans="1:99" ph="1">
      <c r="A11" s="64" t="s" ph="1">
        <v>163</v>
      </c>
      <c r="B11" s="233" ph="1"/>
      <c r="C11" s="150" t="s" ph="1">
        <v>180</v>
      </c>
      <c r="D11" s="74">
        <v>30</v>
      </c>
      <c r="E11" s="74">
        <v>35</v>
      </c>
      <c r="F11" s="74">
        <v>30</v>
      </c>
      <c r="G11" s="74">
        <v>34</v>
      </c>
      <c r="H11" s="74">
        <v>37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33</v>
      </c>
      <c r="O11" s="74">
        <v>37</v>
      </c>
      <c r="P11" s="74">
        <v>32</v>
      </c>
      <c r="Q11" s="74">
        <v>33</v>
      </c>
      <c r="R11" s="74">
        <v>35</v>
      </c>
      <c r="S11" s="74">
        <v>26</v>
      </c>
      <c r="T11" s="74">
        <v>33</v>
      </c>
      <c r="U11" s="74">
        <v>34</v>
      </c>
      <c r="V11" s="74">
        <v>28</v>
      </c>
      <c r="W11" s="74">
        <v>43</v>
      </c>
      <c r="X11" s="74">
        <v>25</v>
      </c>
      <c r="Y11" s="74">
        <v>30</v>
      </c>
      <c r="Z11" s="74">
        <v>30</v>
      </c>
      <c r="AA11" s="74">
        <v>35</v>
      </c>
      <c r="AB11" s="74">
        <v>32</v>
      </c>
      <c r="AC11" s="74">
        <v>32</v>
      </c>
      <c r="AD11" s="74">
        <v>36</v>
      </c>
      <c r="AE11" s="74">
        <v>40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5915</v>
      </c>
      <c r="E15" s="78">
        <v>4884</v>
      </c>
      <c r="F15" s="78">
        <v>3232</v>
      </c>
      <c r="G15" s="78">
        <v>3685</v>
      </c>
      <c r="H15" s="78">
        <v>0</v>
      </c>
      <c r="I15" s="78">
        <v>3933</v>
      </c>
      <c r="J15" s="78">
        <v>1109</v>
      </c>
      <c r="K15" s="78">
        <v>3107</v>
      </c>
      <c r="L15" s="78">
        <v>2831</v>
      </c>
      <c r="M15" s="78">
        <v>6474</v>
      </c>
      <c r="N15" s="78">
        <v>3871</v>
      </c>
      <c r="O15" s="78">
        <v>6893</v>
      </c>
      <c r="P15" s="78">
        <v>3553</v>
      </c>
      <c r="Q15" s="78">
        <v>6901</v>
      </c>
      <c r="R15" s="78">
        <v>0</v>
      </c>
      <c r="S15" s="78">
        <v>5960</v>
      </c>
      <c r="T15" s="78">
        <v>2005</v>
      </c>
      <c r="U15" s="78">
        <v>1764</v>
      </c>
      <c r="V15" s="78">
        <v>-142</v>
      </c>
      <c r="W15" s="71">
        <v>2512</v>
      </c>
      <c r="X15" s="78">
        <v>-262</v>
      </c>
      <c r="Y15" s="106">
        <v>-9908</v>
      </c>
      <c r="Z15" s="78">
        <v>0</v>
      </c>
      <c r="AA15" s="78">
        <v>6147</v>
      </c>
      <c r="AB15" s="78" ph="1">
        <v>356</v>
      </c>
      <c r="AC15" s="78" ph="1">
        <v>776</v>
      </c>
      <c r="AD15" s="78">
        <v>5.51</v>
      </c>
      <c r="AE15" s="78">
        <v>53.72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38967.636708000005</v>
      </c>
      <c r="E16" s="73" ph="1">
        <f>E15*7.0686*LOOKUP(E17,密度!$A$2:$A$50,密度!$L$2:$L$50)</f>
        <v>32175.475516800001</v>
      </c>
      <c r="F16" s="73" ph="1">
        <f>F15*9.0746*LOOKUP(F17,密度!$A$2:$A$50,密度!$L$2:$L$50)</f>
        <v>27334.727910400004</v>
      </c>
      <c r="G16" s="73" ph="1">
        <f>G15*9.0746*LOOKUP(G17,密度!$A$2:$A$50,密度!$B$2:$B$50)</f>
        <v>25956.051156199999</v>
      </c>
      <c r="H16" s="73" ph="1">
        <f>H15*9.0746*LOOKUP(H17,密度!$A$2:$A$50,密度!$L$2:$L$50)</f>
        <v>0</v>
      </c>
      <c r="I16" s="73" ph="1">
        <f>I15*9.0746*LOOKUP(I17,密度!$A$2:$A$50,密度!$U$2:$U$50)</f>
        <v>36404.209836000002</v>
      </c>
      <c r="J16" s="73" ph="1">
        <f>J15*9.0746*LOOKUP(J17,密度!$A$2:$A$50,密度!$L$2:$L$50)</f>
        <v>9379.3976648000007</v>
      </c>
      <c r="K16" s="73" ph="1">
        <f>K15*9.0746*LOOKUP(K17,密度!$A$2:$A$50,密度!$C$2:$C$50)</f>
        <v>31180.609634980006</v>
      </c>
      <c r="L16" s="73" ph="1">
        <f>L15*9.0746*LOOKUP(L17,密度!$A$2:$A$50,密度!$E$2:$E$50)</f>
        <v>19976.693765759999</v>
      </c>
      <c r="M16" s="73" ph="1">
        <f>M15*9.0746*LOOKUP(M17,密度!$A$2:$A$50,密度!$M$2:$M$50)</f>
        <v>51045.209222748003</v>
      </c>
      <c r="N16" s="73" ph="1">
        <f>N15*9.0746*LOOKUP(N17,密度!$A$2:$A$50,密度!$M$2:$M$50)</f>
        <v>30631.421195199997</v>
      </c>
      <c r="O16" s="73" ph="1">
        <f>O15*9.0746*LOOKUP(O17,密度!$A$2:$A$50,密度!$G$2:$G$50)</f>
        <v>59717.647633659995</v>
      </c>
      <c r="P16" s="73" ph="1">
        <f ca="1">P15*9.0746*LOOKUP(P17,密度!$A$2:$A$51,密度!$Q$2:$Q$50)</f>
        <v>30414.896611154003</v>
      </c>
      <c r="Q16" s="73" ph="1">
        <f>Q15*9.0746*LOOKUP(Q17,密度!$A$2:$A$50,密度!$Q$2:$Q$50)</f>
        <v>59074.923026618002</v>
      </c>
      <c r="R16" s="73" ph="1">
        <f>MAX(R15*9.0746*LOOKUP(R17,密度!$A$2:$A$50,密度!$B$2:$B$50),0)</f>
        <v>0</v>
      </c>
      <c r="S16" s="73" ph="1">
        <f>S15*9.0746*LOOKUP(S17,密度!$A$2:$A$50,密度!$Q$2:$Q$50)</f>
        <v>51019.640811280005</v>
      </c>
      <c r="T16" s="73" ph="1">
        <f>T15*9.0746*LOOKUP(T17,密度!$A$2:$A$50,密度!$O$2:$O$50)</f>
        <v>16848.174598000001</v>
      </c>
      <c r="U16" s="73" ph="1">
        <f>U15*9.0746*LOOKUP(U17,密度!$A$2:$A$50,密度!$H$2:$H$50)</f>
        <v>14598.9260928</v>
      </c>
      <c r="V16" s="73" ph="1">
        <f>MAX(5600*LOOKUP(V17,密度!$A$2:$A$50,密度!$Q$2:$Q$50)+V15*9.0476*LOOKUP(V17,密度!$A$2:$A$50,密度!$Q$2:$Q$50),0)</f>
        <v>4067.4596732639993</v>
      </c>
      <c r="W16" s="73" ph="1">
        <f>MAX(5600*LOOKUP(W17,密度!$A$2:$A$50,密度!$Q$2:$Q$50)+W15*9.0476*LOOKUP(W17,密度!$A$2:$A$50,密度!$Q$2:$Q$50),0)</f>
        <v>26722.247740095998</v>
      </c>
      <c r="X16" s="73" ph="1">
        <f>MAX(5600*LOOKUP(X17,密度!$A$2:$A$50,密度!$I$2:$I$50)+X15*9.0476*LOOKUP(X17,密度!$A$2:$A$50,密度!$I$2:$I$50),0)</f>
        <v>3351.2820357600008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43197.244865280001</v>
      </c>
      <c r="AB16" s="73" ph="1">
        <f>AB15*9.0746*LOOKUP(AB17,密度!$A$2:$A$50,密度!$L$2:$L$50)</f>
        <v>3017.3407984</v>
      </c>
      <c r="AC16" s="73" ph="1">
        <f>AC15*9.0746*LOOKUP(AC17,密度!$A$2:$A$50,密度!$L$2:$L$50)</f>
        <v>6577.1248864000008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12473.20209216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30</v>
      </c>
      <c r="E17" s="74">
        <v>30</v>
      </c>
      <c r="F17" s="74">
        <v>30</v>
      </c>
      <c r="G17" s="74">
        <v>29</v>
      </c>
      <c r="H17" s="74">
        <v>34</v>
      </c>
      <c r="I17" s="74">
        <v>30</v>
      </c>
      <c r="J17" s="74">
        <v>30</v>
      </c>
      <c r="K17" s="74">
        <v>29</v>
      </c>
      <c r="L17" s="74">
        <v>30</v>
      </c>
      <c r="M17" s="74">
        <v>31</v>
      </c>
      <c r="N17" s="74">
        <v>28</v>
      </c>
      <c r="O17" s="74">
        <v>30</v>
      </c>
      <c r="P17" s="74">
        <v>30</v>
      </c>
      <c r="Q17" s="74">
        <v>30</v>
      </c>
      <c r="R17" s="74">
        <v>30</v>
      </c>
      <c r="S17" s="74">
        <v>30</v>
      </c>
      <c r="T17" s="74">
        <v>29</v>
      </c>
      <c r="U17" s="74">
        <v>28</v>
      </c>
      <c r="V17" s="74">
        <v>31</v>
      </c>
      <c r="W17" s="74">
        <v>30</v>
      </c>
      <c r="X17" s="74">
        <v>29</v>
      </c>
      <c r="Y17" s="108">
        <v>29</v>
      </c>
      <c r="Z17" s="74">
        <v>28</v>
      </c>
      <c r="AA17" s="74">
        <v>31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3385</v>
      </c>
      <c r="E18" s="71">
        <v>5763</v>
      </c>
      <c r="F18" s="71">
        <v>3233</v>
      </c>
      <c r="G18" s="71">
        <v>3723</v>
      </c>
      <c r="H18" s="71">
        <v>0</v>
      </c>
      <c r="I18" s="71">
        <v>3935</v>
      </c>
      <c r="J18" s="71">
        <v>1129</v>
      </c>
      <c r="K18" s="71">
        <v>3108</v>
      </c>
      <c r="L18" s="71">
        <v>2828</v>
      </c>
      <c r="M18" s="71">
        <v>4523</v>
      </c>
      <c r="N18" s="71">
        <v>3693</v>
      </c>
      <c r="O18" s="71">
        <v>6901</v>
      </c>
      <c r="P18" s="71">
        <v>1821</v>
      </c>
      <c r="Q18" s="71">
        <v>6909</v>
      </c>
      <c r="R18" s="71">
        <v>0</v>
      </c>
      <c r="S18" s="71">
        <v>5967</v>
      </c>
      <c r="T18" s="71">
        <v>2004</v>
      </c>
      <c r="U18" s="71">
        <v>1760</v>
      </c>
      <c r="V18" s="71">
        <v>-142</v>
      </c>
      <c r="W18" s="71">
        <v>2511</v>
      </c>
      <c r="X18" s="71">
        <v>-263</v>
      </c>
      <c r="Y18" s="109">
        <v>-9908</v>
      </c>
      <c r="Z18" s="71">
        <v>0</v>
      </c>
      <c r="AA18" s="71">
        <v>6154</v>
      </c>
      <c r="AB18" s="71">
        <v>355</v>
      </c>
      <c r="AC18" s="71">
        <v>777</v>
      </c>
      <c r="AD18" s="71">
        <v>15.85</v>
      </c>
      <c r="AE18" s="71">
        <v>84.53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22252.306230000002</v>
      </c>
      <c r="E19" s="73" ph="1">
        <f>E18*7.0686*LOOKUP(E20,密度!$A$2:$A$50,密度!$L$2:$L$50)</f>
        <v>37884.797874000004</v>
      </c>
      <c r="F19" s="73" ph="1">
        <f>F18*9.0746*LOOKUP(F20,密度!$A$2:$A$50,密度!$L$2:$L$50)</f>
        <v>27225.832710400002</v>
      </c>
      <c r="G19" s="73" ph="1">
        <f>G18*9.0746*LOOKUP(G20,密度!$A$2:$A$50,密度!$B$2:$B$50)</f>
        <v>26193.305665740001</v>
      </c>
      <c r="H19" s="73" ph="1">
        <f>H18*9.0746*LOOKUP(H20,密度!$A$2:$A$50,密度!$L$2:$L$50)</f>
        <v>0</v>
      </c>
      <c r="I19" s="73" ph="1">
        <f>I18*9.0746*LOOKUP(I20,密度!$A$2:$A$50,密度!$U$2:$U$50)</f>
        <v>36351.304918000002</v>
      </c>
      <c r="J19" s="73" ph="1">
        <f>J18*9.0746*LOOKUP(J20,密度!$A$2:$A$50,密度!$L$2:$L$50)</f>
        <v>9507.5673152000018</v>
      </c>
      <c r="K19" s="73" ph="1">
        <f>K18*9.0746*LOOKUP(K20,密度!$A$2:$A$50,密度!$C$2:$C$50)</f>
        <v>31108.854050400001</v>
      </c>
      <c r="L19" s="73" ph="1">
        <f>L18*9.0746*LOOKUP(L20,密度!$A$2:$A$50,密度!$E$2:$E$50)</f>
        <v>19897.012970016003</v>
      </c>
      <c r="M19" s="73" ph="1">
        <f>M18*9.0746*LOOKUP(M20,密度!$A$2:$A$50,密度!$M$2:$M$50)</f>
        <v>35532.971646376005</v>
      </c>
      <c r="N19" s="73" ph="1">
        <f>N18*9.0746*LOOKUP(N20,密度!$A$2:$A$50,密度!$M$2:$M$50)</f>
        <v>29152.521836219999</v>
      </c>
      <c r="O19" s="73" ph="1">
        <f>O18*9.0746*LOOKUP(O20,密度!$A$2:$A$50,密度!$G$2:$G$50)</f>
        <v>59724.958222166002</v>
      </c>
      <c r="P19" s="73" ph="1">
        <f ca="1">P18*9.0746*LOOKUP(P20,密度!$A$2:$A$51,密度!$Q$2:$Q$50)</f>
        <v>15575.989908228001</v>
      </c>
      <c r="Q19" s="73" ph="1">
        <f>Q18*9.0746*LOOKUP(Q20,密度!$A$2:$A$50,密度!$Q$2:$Q$50)</f>
        <v>59053.749897660004</v>
      </c>
      <c r="R19" s="73" ph="1">
        <f>MAX(R18*9.0746*LOOKUP(R20,密度!$A$2:$A$50,密度!$B$2:$B$50),0)</f>
        <v>0</v>
      </c>
      <c r="S19" s="73" ph="1">
        <f>S18*9.0746*LOOKUP(S20,密度!$A$2:$A$50,密度!$Q$2:$Q$50)</f>
        <v>51002.131370579998</v>
      </c>
      <c r="T19" s="73" ph="1">
        <f>T18*9.0746*LOOKUP(T20,密度!$A$2:$A$50,密度!$O$2:$O$50)</f>
        <v>16781.577923519999</v>
      </c>
      <c r="U19" s="73" ph="1">
        <f>U18*9.0746*LOOKUP(U20,密度!$A$2:$A$50,密度!$H$2:$H$50)</f>
        <v>14503.214471679999</v>
      </c>
      <c r="V19" s="73" ph="1">
        <f>MAX(5600*LOOKUP(V20,密度!$A$2:$A$50,密度!$Q$2:$Q$50)+V18*9.0476*LOOKUP(V20,密度!$A$2:$A$50,密度!$Q$2:$Q$50),0)</f>
        <v>4058.872344072</v>
      </c>
      <c r="W19" s="73" ph="1">
        <f>MAX(5600*LOOKUP(W20,密度!$A$2:$A$50,密度!$Q$2:$Q$50)+W18*9.0476*LOOKUP(W20,密度!$A$2:$A$50,密度!$Q$2:$Q$50),0)</f>
        <v>26636.120112923996</v>
      </c>
      <c r="X19" s="73" ph="1">
        <f>MAX(5600*LOOKUP(X20,密度!$A$2:$A$50,密度!$I$2:$I$50)+X18*9.0476*LOOKUP(X20,密度!$A$2:$A$50,密度!$I$2:$I$50),0)</f>
        <v>3327.6910191480001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43196.175877399997</v>
      </c>
      <c r="AB19" s="73" ph="1">
        <f>AB18*9.0746*LOOKUP(AB20,密度!$A$2:$A$50,密度!$L$2:$L$50)</f>
        <v>2989.5362240000004</v>
      </c>
      <c r="AC19" s="73" ph="1">
        <f>AC18*9.0746*LOOKUP(AC20,密度!$A$2:$A$50,密度!$L$2:$L$50)</f>
        <v>6550.3457418000007</v>
      </c>
      <c r="AD19" s="73" ph="1">
        <f>AD18*268.68*LOOKUP(AD20,密度!$A$2:$A$50,密度!B5:B53)+IF(AD18&lt;=0,0,1566*LOOKUP(AD20,密度!$A$2:$A$50,密度!B5:B53))</f>
        <v>4525.6971060000005</v>
      </c>
      <c r="AE19" s="73" ph="1">
        <f>AE18*268.68*LOOKUP(AE20,密度!$A$2:$A$50,密度!B5:B53)+IF(AE18&lt;=0,0,1566*LOOKUP(AE20,密度!$A$2:$A$50,密度!B5:B53))</f>
        <v>18863.633350800003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32</v>
      </c>
      <c r="E20" s="81">
        <v>32</v>
      </c>
      <c r="F20" s="81">
        <v>34</v>
      </c>
      <c r="G20" s="81">
        <v>30</v>
      </c>
      <c r="H20" s="81">
        <v>35</v>
      </c>
      <c r="I20" s="81">
        <v>32</v>
      </c>
      <c r="J20" s="81">
        <v>34</v>
      </c>
      <c r="K20" s="81">
        <v>32</v>
      </c>
      <c r="L20" s="81">
        <v>32</v>
      </c>
      <c r="M20" s="81">
        <v>34</v>
      </c>
      <c r="N20" s="81">
        <v>30</v>
      </c>
      <c r="O20" s="81">
        <v>31</v>
      </c>
      <c r="P20" s="81">
        <v>31</v>
      </c>
      <c r="Q20" s="81">
        <v>32</v>
      </c>
      <c r="R20" s="81">
        <v>35</v>
      </c>
      <c r="S20" s="81">
        <v>32</v>
      </c>
      <c r="T20" s="81">
        <v>31</v>
      </c>
      <c r="U20" s="81">
        <v>32</v>
      </c>
      <c r="V20" s="81">
        <v>34</v>
      </c>
      <c r="W20" s="81">
        <v>34</v>
      </c>
      <c r="X20" s="81">
        <v>33</v>
      </c>
      <c r="Y20" s="110">
        <v>33</v>
      </c>
      <c r="Z20" s="81">
        <v>35</v>
      </c>
      <c r="AA20" s="81">
        <v>32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647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68.11</v>
      </c>
      <c r="E24" s="71">
        <v>55.21</v>
      </c>
      <c r="F24" s="71">
        <v>3903</v>
      </c>
      <c r="G24" s="71">
        <v>2215</v>
      </c>
      <c r="H24" s="71">
        <v>1640</v>
      </c>
      <c r="I24" s="71">
        <v>0</v>
      </c>
      <c r="J24" s="71">
        <v>429</v>
      </c>
      <c r="K24" s="71">
        <v>5513</v>
      </c>
      <c r="L24" s="71">
        <v>5614</v>
      </c>
      <c r="M24" s="71">
        <v>808</v>
      </c>
      <c r="N24" s="71">
        <v>743</v>
      </c>
      <c r="O24" s="71">
        <v>4320</v>
      </c>
      <c r="P24" s="71">
        <v>682</v>
      </c>
      <c r="Q24" s="90">
        <v>1963</v>
      </c>
      <c r="R24" s="71">
        <v>3511</v>
      </c>
      <c r="S24" s="71">
        <v>7040</v>
      </c>
      <c r="T24" s="71">
        <v>1696</v>
      </c>
      <c r="U24" s="71">
        <v>5669</v>
      </c>
      <c r="V24" s="71">
        <v>11795</v>
      </c>
      <c r="W24" s="71">
        <v>11721</v>
      </c>
      <c r="X24" s="71">
        <v>3569</v>
      </c>
      <c r="Y24" s="71">
        <v>1991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18807.742568952002</v>
      </c>
      <c r="E25" s="91" ph="1">
        <f>E24*268.68*LOOKUP(E26,密度!$A$2:$A$50,密度!$C$2:$C$50)+IF(E24&lt;=0,0,1566*LOOKUP(E26,密度!$A$2:$A$50,密度!$C$2:$C$50))</f>
        <v>18185.763502919999</v>
      </c>
      <c r="F25" s="91" ph="1">
        <f>F24*11.702*LOOKUP(F26,密度!$A$2:$A$50,密度!$Q$2:$Q$50)</f>
        <v>43084.622416980004</v>
      </c>
      <c r="G25" s="91" ph="1">
        <f>G24*18.322*LOOKUP(G26,密度!$A$2:$A$50,密度!$B$2:$B$50)</f>
        <v>31427.653311999995</v>
      </c>
      <c r="H25" s="91" ph="1">
        <f>H24*18.322*LOOKUP(H26,密度!$A$2:$A$50,密度!$B$2:$B$50)</f>
        <v>23269.233151999997</v>
      </c>
      <c r="I25" s="91" ph="1">
        <f>I24*18.322*LOOKUP(I26,密度!$A$2:$A$50,密度!$Q$2:$Q$50)</f>
        <v>0</v>
      </c>
      <c r="J25" s="91" ph="1">
        <f>J24*18.322*LOOKUP(J26,密度!$A$2:$A$50,密度!$Q$2:$Q$50)</f>
        <v>7408.8088760399996</v>
      </c>
      <c r="K25" s="91" ph="1">
        <f>K24*18.322*LOOKUP(K26,密度!$A$2:$A$50,密度!$Q$2:$Q$50)</f>
        <v>95284.995429379996</v>
      </c>
      <c r="L25" s="91" ph="1">
        <f>L24*18.322*LOOKUP(L26,密度!$A$2:$A$50,密度!$Q$2:$Q$50)</f>
        <v>97092.364172440008</v>
      </c>
      <c r="M25" s="91" ph="1">
        <f>M24*18.322*LOOKUP(M26,密度!$A$2:$A$50,密度!$Q$2:$Q$50)</f>
        <v>13944.053374399999</v>
      </c>
      <c r="N25" s="91" ph="1">
        <f>N24*18.322*LOOKUP(N26,密度!$A$2:$A$50,密度!$Q$2:$Q$50)</f>
        <v>12849.95129678</v>
      </c>
      <c r="O25" s="91" ph="1">
        <f>O24*18.322*LOOKUP(O26,密度!$A$2:$A$50,密度!$C$2:$C$50)</f>
        <v>87533.135135999997</v>
      </c>
      <c r="P25" s="91" ph="1">
        <f>P24*11.702*LOOKUP(P26,密度!$A$2:$A$50,密度!$B$2:$B$50)</f>
        <v>6194.6690168000005</v>
      </c>
      <c r="Q25" s="92" ph="1">
        <f>Q24*18.322*LOOKUP(Q26,密度!$A$2:$A$50,密度!$B$2:$B$50)</f>
        <v>27884.506475799997</v>
      </c>
      <c r="R25" s="91" ph="1">
        <f>R24*35.891*LOOKUP(R26,密度!$A$2:$A$50,密度!$C$2:$C$50)</f>
        <v>139131.2856341</v>
      </c>
      <c r="S25" s="91" ph="1">
        <f>S24*35.891*LOOKUP(S26,密度!$A$2:$A$50,密度!$B$2:$B$50)</f>
        <v>195897.09779199999</v>
      </c>
      <c r="T25" s="91" ph="1">
        <f>T24*35.891*LOOKUP(T26,密度!$A$2:$A$50,密度!$Q$2:$Q$50)</f>
        <v>57458.091404480001</v>
      </c>
      <c r="U25" s="91" ph="1">
        <f>U24*35.891</f>
        <v>203466.079</v>
      </c>
      <c r="V25" s="91" ph="1">
        <f>V24*47.051*LOOKUP(V26,密度!$A$2:$A$50,密度!$B$2:$B$50)</f>
        <v>430265.56233850005</v>
      </c>
      <c r="W25" s="91" ph="1">
        <f>W24*47.051*LOOKUP(W26,密度!$A$2:$A$50,密度!$B$2:$B$50)</f>
        <v>427566.14295630006</v>
      </c>
      <c r="X25" s="91" ph="1">
        <f>X24*47.051*LOOKUP(X26,密度!$A$2:$A$50,密度!$I$2:$I$50)</f>
        <v>173888.03642468998</v>
      </c>
      <c r="Y25" s="91" ph="1">
        <f>Y24*47.051*LOOKUP(Y26,密度!$A$2:$A$50,密度!$L$2:$L$50)</f>
        <v>87308.400212000008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30</v>
      </c>
      <c r="G26" s="74">
        <v>31</v>
      </c>
      <c r="H26" s="74">
        <v>31</v>
      </c>
      <c r="I26" s="74">
        <v>32</v>
      </c>
      <c r="J26" s="74">
        <v>31</v>
      </c>
      <c r="K26" s="74">
        <v>30</v>
      </c>
      <c r="L26" s="74">
        <v>29</v>
      </c>
      <c r="M26" s="74">
        <v>32</v>
      </c>
      <c r="N26" s="74">
        <v>29</v>
      </c>
      <c r="O26" s="74">
        <v>29</v>
      </c>
      <c r="P26" s="74">
        <v>29</v>
      </c>
      <c r="Q26" s="93">
        <v>30</v>
      </c>
      <c r="R26" s="74">
        <v>31</v>
      </c>
      <c r="S26" s="74">
        <v>30</v>
      </c>
      <c r="T26" s="74">
        <v>29</v>
      </c>
      <c r="U26" s="74">
        <v>29</v>
      </c>
      <c r="V26" s="74">
        <v>30</v>
      </c>
      <c r="W26" s="74">
        <v>30</v>
      </c>
      <c r="X26" s="74">
        <v>31</v>
      </c>
      <c r="Y26" s="74">
        <v>30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68.05</v>
      </c>
      <c r="E27" s="71">
        <v>55.26</v>
      </c>
      <c r="F27" s="71">
        <v>3904</v>
      </c>
      <c r="G27" s="71">
        <v>1694</v>
      </c>
      <c r="H27" s="71">
        <v>563</v>
      </c>
      <c r="I27" s="71">
        <v>0</v>
      </c>
      <c r="J27" s="71">
        <v>420</v>
      </c>
      <c r="K27" s="71">
        <v>5514</v>
      </c>
      <c r="L27" s="71">
        <v>5610</v>
      </c>
      <c r="M27" s="71">
        <v>777</v>
      </c>
      <c r="N27" s="71">
        <v>545</v>
      </c>
      <c r="O27" s="71">
        <v>4315</v>
      </c>
      <c r="P27" s="71">
        <v>678</v>
      </c>
      <c r="Q27" s="90">
        <v>2174</v>
      </c>
      <c r="R27" s="71">
        <v>3506</v>
      </c>
      <c r="S27" s="71">
        <v>7038</v>
      </c>
      <c r="T27" s="71">
        <v>1694</v>
      </c>
      <c r="U27" s="71">
        <v>5571</v>
      </c>
      <c r="V27" s="71">
        <v>11800</v>
      </c>
      <c r="W27" s="71">
        <v>11722</v>
      </c>
      <c r="X27" s="71">
        <v>3401</v>
      </c>
      <c r="Y27" s="71">
        <v>918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18792.480362760001</v>
      </c>
      <c r="E28" s="91" ph="1">
        <f>E27*268.68*LOOKUP(E29,密度!$A$2:$A$50,密度!$C$2:$C$50)+IF(E27&lt;=0,0,1566*LOOKUP(E29,密度!$A$2:$A$50,密度!$C$2:$C$50))</f>
        <v>18200.660465519999</v>
      </c>
      <c r="F28" s="91" ph="1">
        <f>F27*11.702*LOOKUP(F29,密度!$A$2:$A$50,密度!$Q$2:$Q$50)</f>
        <v>43095.661264640003</v>
      </c>
      <c r="G28" s="91" ph="1">
        <f>G27*18.322*LOOKUP(G29,密度!$A$2:$A$50,密度!$B$2:$B$50)</f>
        <v>24007.481497999997</v>
      </c>
      <c r="H28" s="91" ph="1">
        <f>H27*18.322*LOOKUP(H29,密度!$A$2:$A$50,密度!$B$2:$B$50)</f>
        <v>7978.8737209999999</v>
      </c>
      <c r="I28" s="91" ph="1">
        <f>I27*18.322*LOOKUP(I29,密度!$A$2:$A$50,密度!$Q$2:$Q$50)</f>
        <v>0</v>
      </c>
      <c r="J28" s="91" ph="1">
        <f>J27*18.322*LOOKUP(J29,密度!$A$2:$A$50,密度!$Q$2:$Q$50)</f>
        <v>7253.3793191999994</v>
      </c>
      <c r="K28" s="91" ph="1">
        <f>K27*18.322*LOOKUP(K29,密度!$A$2:$A$50,密度!$Q$2:$Q$50)</f>
        <v>95092.141905000011</v>
      </c>
      <c r="L28" s="91" ph="1">
        <f>L27*18.322*LOOKUP(L29,密度!$A$2:$A$50,密度!$Q$2:$Q$50)</f>
        <v>96814.528997999994</v>
      </c>
      <c r="M28" s="91" ph="1">
        <f>M27*18.322*LOOKUP(M29,密度!$A$2:$A$50,密度!$Q$2:$Q$50)</f>
        <v>13399.817602499999</v>
      </c>
      <c r="N28" s="91" ph="1">
        <f>N27*18.322*LOOKUP(N29,密度!$A$2:$A$50,密度!$Q$2:$Q$50)</f>
        <v>9392.2520390999998</v>
      </c>
      <c r="O28" s="91" ph="1">
        <f>O27*18.322*LOOKUP(O29,密度!$A$2:$A$50,密度!$C$2:$C$50)</f>
        <v>87036.526486999996</v>
      </c>
      <c r="P28" s="91" ph="1">
        <f>P27*11.702*LOOKUP(P29,密度!$A$2:$A$50,密度!$B$2:$B$50)</f>
        <v>6123.4272408000006</v>
      </c>
      <c r="Q28" s="92" ph="1">
        <f>Q27*18.322*LOOKUP(Q29,密度!$A$2:$A$50,密度!$B$2:$B$50)</f>
        <v>30810.073657999998</v>
      </c>
      <c r="R28" s="91" ph="1">
        <f>R27*35.891*LOOKUP(R29,密度!$A$2:$A$50,密度!$C$2:$C$50)</f>
        <v>138794.73213799999</v>
      </c>
      <c r="S28" s="91" ph="1">
        <f>S27*35.891*LOOKUP(S29,密度!$A$2:$A$50,密度!$B$2:$B$50)</f>
        <v>195614.10443519999</v>
      </c>
      <c r="T28" s="91" ph="1">
        <f>T27*35.891*LOOKUP(T29,密度!$A$2:$A$50,密度!$Q$2:$Q$50)</f>
        <v>57227.391952500002</v>
      </c>
      <c r="U28" s="91" ph="1">
        <f>U27*35.891</f>
        <v>199948.761</v>
      </c>
      <c r="V28" s="91" ph="1">
        <f>V27*47.051*LOOKUP(V29,密度!$A$2:$A$50,密度!$B$2:$B$50)</f>
        <v>429004.43086000008</v>
      </c>
      <c r="W28" s="91" ph="1">
        <f>W27*47.051*LOOKUP(W29,密度!$A$2:$A$50,密度!$B$2:$B$50)</f>
        <v>425672.26021960005</v>
      </c>
      <c r="X28" s="91" ph="1">
        <f>X27*47.051*LOOKUP(X29,密度!$A$2:$A$50,密度!$I$2:$I$50)</f>
        <v>165347.53181379</v>
      </c>
      <c r="Y28" s="91" ph="1">
        <f>Y27*47.051*LOOKUP(Y29,密度!$A$2:$A$50,密度!$L$2:$L$50)</f>
        <v>40082.935104000004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30</v>
      </c>
      <c r="G29" s="74">
        <v>32</v>
      </c>
      <c r="H29" s="74">
        <v>32</v>
      </c>
      <c r="I29" s="74">
        <v>31</v>
      </c>
      <c r="J29" s="74">
        <v>31</v>
      </c>
      <c r="K29" s="74">
        <v>33</v>
      </c>
      <c r="L29" s="74">
        <v>32</v>
      </c>
      <c r="M29" s="74">
        <v>33</v>
      </c>
      <c r="N29" s="74">
        <v>34</v>
      </c>
      <c r="O29" s="74">
        <v>34</v>
      </c>
      <c r="P29" s="74">
        <v>34</v>
      </c>
      <c r="Q29" s="93">
        <v>32</v>
      </c>
      <c r="R29" s="74">
        <v>32</v>
      </c>
      <c r="S29" s="74">
        <v>31</v>
      </c>
      <c r="T29" s="74">
        <v>33</v>
      </c>
      <c r="U29" s="74">
        <v>32</v>
      </c>
      <c r="V29" s="74">
        <v>33</v>
      </c>
      <c r="W29" s="74">
        <v>34</v>
      </c>
      <c r="X29" s="74">
        <v>33</v>
      </c>
      <c r="Y29" s="74">
        <v>34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32487.608369599999</v>
      </c>
      <c r="E33" s="182" ph="1">
        <f>M10+I10</f>
        <v>125785.56497520002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08" ph="1">
        <v>0</v>
      </c>
      <c r="H33" s="182" ph="1">
        <f>N19</f>
        <v>29152.521836219999</v>
      </c>
      <c r="I33" s="186" ph="1">
        <v>0</v>
      </c>
      <c r="J33" s="190" ph="1">
        <f>F10+O28</f>
        <v>308416.53601909999</v>
      </c>
      <c r="K33" s="182" ph="1">
        <f>O10+K10+E28+R28</f>
        <v>305248.05626032001</v>
      </c>
      <c r="L33" s="192" ph="1">
        <f>BE27</f>
        <v>7100</v>
      </c>
      <c r="M33" s="190" ph="1">
        <f>G10+H10+W28+S28+V28+E10</f>
        <v>1959385.3279878001</v>
      </c>
      <c r="N33" s="182" ph="1">
        <f>L10+P10++G28+H28</f>
        <v>169082.17029200002</v>
      </c>
      <c r="O33" s="186" ph="1">
        <f>BE17</f>
        <v>2270</v>
      </c>
      <c r="P33" s="190" ph="1">
        <f>L19</f>
        <v>19897.012970016003</v>
      </c>
      <c r="Q33" s="182" ph="1">
        <f>J10+N10</f>
        <v>10223.727546530001</v>
      </c>
      <c r="R33" s="186" ph="1">
        <f>BE23</f>
        <v>890</v>
      </c>
      <c r="S33" s="190" ph="1">
        <f>E10+X28</f>
        <v>487513.04028378997</v>
      </c>
      <c r="T33" s="182" ph="1">
        <f>X19</f>
        <v>3327.6910191480001</v>
      </c>
      <c r="U33" s="171" ph="1">
        <f>BE21</f>
        <v>730</v>
      </c>
      <c r="V33" s="184" ph="1">
        <f ca="1">P19+Q19+S19+M28+N28+J28</f>
        <v>155677.32013726799</v>
      </c>
      <c r="W33" s="184" ph="1">
        <f>D28+F28+V19+T28</f>
        <v>123174.40592397202</v>
      </c>
      <c r="X33" s="186" ph="1">
        <f>BE29+BE31</f>
        <v>10200</v>
      </c>
      <c r="Y33" s="188" ph="1">
        <f>+Q10+R10+S10+T10+U10+V10+W10+X10+Y10</f>
        <v>166005.34293420002</v>
      </c>
      <c r="Z33" s="169" ph="1">
        <f>D10+T19+U19+Y28+Z10</f>
        <v>393286.09912669001</v>
      </c>
      <c r="AA33" s="171" ph="1">
        <f>BE19</f>
        <v>1440</v>
      </c>
      <c r="AB33" s="173" ph="1">
        <f>I19</f>
        <v>36351.304918000002</v>
      </c>
      <c r="AC33" s="175" ph="1">
        <f>AD10</f>
        <v>80946.946886399994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780" priority="97">
      <formula>ABS(D$7-D$10)&gt;=1000</formula>
    </cfRule>
  </conditionalFormatting>
  <conditionalFormatting sqref="E4 E6:E11">
    <cfRule type="expression" dxfId="1779" priority="96">
      <formula>ABS(E$7-E$10)&gt;=1000</formula>
    </cfRule>
  </conditionalFormatting>
  <conditionalFormatting sqref="F4:F11">
    <cfRule type="expression" dxfId="1778" priority="95">
      <formula>ABS(F$7-F$10)&gt;=1000</formula>
    </cfRule>
  </conditionalFormatting>
  <conditionalFormatting sqref="G4:G11">
    <cfRule type="expression" dxfId="1777" priority="94">
      <formula>ABS(G$7-G$10)&gt;=1000</formula>
    </cfRule>
  </conditionalFormatting>
  <conditionalFormatting sqref="H4:H11">
    <cfRule type="expression" dxfId="1776" priority="93">
      <formula>ABS(H$7-H$10)&gt;=1000</formula>
    </cfRule>
  </conditionalFormatting>
  <conditionalFormatting sqref="I4:I11">
    <cfRule type="expression" dxfId="1775" priority="92">
      <formula>ABS(I$7-I$10)&gt;=1000</formula>
    </cfRule>
  </conditionalFormatting>
  <conditionalFormatting sqref="J4:J11">
    <cfRule type="expression" dxfId="1774" priority="91">
      <formula>ABS(J$7-J$10)&gt;=1000</formula>
    </cfRule>
  </conditionalFormatting>
  <conditionalFormatting sqref="K4:K11">
    <cfRule type="expression" dxfId="1773" priority="90">
      <formula>ABS(K$7-K$10)&gt;=1000</formula>
    </cfRule>
  </conditionalFormatting>
  <conditionalFormatting sqref="L4:L11">
    <cfRule type="expression" dxfId="1772" priority="89">
      <formula>ABS(L$7-L$10)&gt;=1000</formula>
    </cfRule>
  </conditionalFormatting>
  <conditionalFormatting sqref="M4 M6:M11">
    <cfRule type="expression" dxfId="1771" priority="88">
      <formula>ABS(M$7-M$10)&gt;=1000</formula>
    </cfRule>
  </conditionalFormatting>
  <conditionalFormatting sqref="N4 N6:N11">
    <cfRule type="expression" dxfId="1770" priority="87">
      <formula>ABS(N$7-N$10)&gt;=1000</formula>
    </cfRule>
  </conditionalFormatting>
  <conditionalFormatting sqref="O4 O6:O11">
    <cfRule type="expression" dxfId="1769" priority="86">
      <formula>ABS(O$7-O$10)&gt;=1000</formula>
    </cfRule>
  </conditionalFormatting>
  <conditionalFormatting sqref="P4 P6:P11">
    <cfRule type="expression" dxfId="1768" priority="85">
      <formula>ABS(P$7-P$10)&gt;=1000</formula>
    </cfRule>
  </conditionalFormatting>
  <conditionalFormatting sqref="Q4:Q11">
    <cfRule type="expression" dxfId="1767" priority="84">
      <formula>ABS(Q$7-Q$10)&gt;=1000</formula>
    </cfRule>
  </conditionalFormatting>
  <conditionalFormatting sqref="R4:R11">
    <cfRule type="expression" dxfId="1766" priority="83">
      <formula>ABS(R$7-R$10)&gt;=1000</formula>
    </cfRule>
  </conditionalFormatting>
  <conditionalFormatting sqref="S4:S11">
    <cfRule type="expression" dxfId="1765" priority="82">
      <formula>ABS(S$7-S$10)&gt;=1000</formula>
    </cfRule>
  </conditionalFormatting>
  <conditionalFormatting sqref="T4:T9 T11">
    <cfRule type="expression" dxfId="1764" priority="81">
      <formula>ABS(T$7-T$10)&gt;=1000</formula>
    </cfRule>
  </conditionalFormatting>
  <conditionalFormatting sqref="U4:U9 U11">
    <cfRule type="expression" dxfId="1763" priority="80">
      <formula>ABS(U$7-U$10)&gt;=1000</formula>
    </cfRule>
  </conditionalFormatting>
  <conditionalFormatting sqref="V4:V9 V11">
    <cfRule type="expression" dxfId="1762" priority="79">
      <formula>ABS(V$7-V$10)&gt;=1000</formula>
    </cfRule>
  </conditionalFormatting>
  <conditionalFormatting sqref="W4:W9 W11">
    <cfRule type="expression" dxfId="1761" priority="78">
      <formula>ABS(W$7-W$10)&gt;=1000</formula>
    </cfRule>
  </conditionalFormatting>
  <conditionalFormatting sqref="X4:X9 X11">
    <cfRule type="expression" dxfId="1760" priority="77">
      <formula>ABS(X$7-X$10)&gt;=1000</formula>
    </cfRule>
  </conditionalFormatting>
  <conditionalFormatting sqref="Y4:Y9 Y11">
    <cfRule type="expression" dxfId="1759" priority="76">
      <formula>ABS(Y$7-Y$10)&gt;=1000</formula>
    </cfRule>
  </conditionalFormatting>
  <conditionalFormatting sqref="Z4:Z11">
    <cfRule type="expression" dxfId="1758" priority="75">
      <formula>ABS(Z$7-Z$10)&gt;=1000</formula>
    </cfRule>
  </conditionalFormatting>
  <conditionalFormatting sqref="AA4:AA11">
    <cfRule type="expression" dxfId="1757" priority="74">
      <formula>ABS(AA$7-AA$10)&gt;=1000</formula>
    </cfRule>
  </conditionalFormatting>
  <conditionalFormatting sqref="AB4:AB11">
    <cfRule type="expression" dxfId="1756" priority="73">
      <formula>ABS(AB$7-AB$10)&gt;=1000</formula>
    </cfRule>
  </conditionalFormatting>
  <conditionalFormatting sqref="AC4 AC6:AC11">
    <cfRule type="expression" dxfId="1755" priority="72">
      <formula>ABS(AC$7-AC$10)&gt;=1000</formula>
    </cfRule>
  </conditionalFormatting>
  <conditionalFormatting sqref="AD4:AD11">
    <cfRule type="expression" dxfId="1754" priority="71">
      <formula>ABS(AD$7-AD$10)&gt;=1000</formula>
    </cfRule>
  </conditionalFormatting>
  <conditionalFormatting sqref="AE4:AE11">
    <cfRule type="expression" dxfId="1753" priority="70">
      <formula>ABS(AE$7-AE$10)&gt;=1000</formula>
    </cfRule>
  </conditionalFormatting>
  <conditionalFormatting sqref="D13:D20">
    <cfRule type="expression" dxfId="1752" priority="69">
      <formula>ABS(D$16-D$19)&gt;=1000</formula>
    </cfRule>
  </conditionalFormatting>
  <conditionalFormatting sqref="E13:E20">
    <cfRule type="expression" dxfId="1751" priority="68">
      <formula>ABS(E$16-E$19)&gt;=1000</formula>
    </cfRule>
  </conditionalFormatting>
  <conditionalFormatting sqref="F13 F15:F20">
    <cfRule type="expression" dxfId="1750" priority="67">
      <formula>ABS(F$16-F$19)&gt;=1000</formula>
    </cfRule>
  </conditionalFormatting>
  <conditionalFormatting sqref="G13:G20">
    <cfRule type="expression" dxfId="1749" priority="66">
      <formula>ABS(G$16-G$19)&gt;=1000</formula>
    </cfRule>
  </conditionalFormatting>
  <conditionalFormatting sqref="H13:H20">
    <cfRule type="expression" dxfId="1748" priority="65">
      <formula>ABS(H$16-H$19)&gt;=1000</formula>
    </cfRule>
  </conditionalFormatting>
  <conditionalFormatting sqref="I13:I20">
    <cfRule type="expression" dxfId="1747" priority="64">
      <formula>ABS(I$16-I$19)&gt;=1000</formula>
    </cfRule>
  </conditionalFormatting>
  <conditionalFormatting sqref="J13:J20">
    <cfRule type="expression" dxfId="1746" priority="63">
      <formula>ABS(J$16-J$19)&gt;=1000</formula>
    </cfRule>
  </conditionalFormatting>
  <conditionalFormatting sqref="L13:L20">
    <cfRule type="expression" dxfId="1745" priority="62">
      <formula>ABS(L$16-L$19)&gt;=1000</formula>
    </cfRule>
  </conditionalFormatting>
  <conditionalFormatting sqref="M13 M15 M17:M18 M20">
    <cfRule type="expression" dxfId="1744" priority="61">
      <formula>ABS(M$16-M$19)&gt;=1000</formula>
    </cfRule>
  </conditionalFormatting>
  <conditionalFormatting sqref="N13:N20">
    <cfRule type="expression" dxfId="1743" priority="60">
      <formula>ABS(N$16-N$19)&gt;=1000</formula>
    </cfRule>
  </conditionalFormatting>
  <conditionalFormatting sqref="O13:O20">
    <cfRule type="expression" dxfId="1742" priority="59">
      <formula>ABS(O$16-O$19)&gt;=1000</formula>
    </cfRule>
  </conditionalFormatting>
  <conditionalFormatting sqref="P13:P20">
    <cfRule type="expression" dxfId="1741" priority="58">
      <formula>ABS(P$16-P$19)&gt;=1000</formula>
    </cfRule>
  </conditionalFormatting>
  <conditionalFormatting sqref="Q13 Q15:Q20">
    <cfRule type="expression" dxfId="1740" priority="57">
      <formula>ABS(Q$16-Q$19)&gt;=1000</formula>
    </cfRule>
  </conditionalFormatting>
  <conditionalFormatting sqref="R13:R20">
    <cfRule type="expression" dxfId="1739" priority="56">
      <formula>ABS(R$16-R$19)&gt;=1000</formula>
    </cfRule>
  </conditionalFormatting>
  <conditionalFormatting sqref="S13:S20">
    <cfRule type="expression" dxfId="1738" priority="55">
      <formula>ABS(S$16-S$19)&gt;=1000</formula>
    </cfRule>
  </conditionalFormatting>
  <conditionalFormatting sqref="T13:T20">
    <cfRule type="expression" dxfId="1737" priority="54">
      <formula>ABS(T$16-T$19)&gt;=1000</formula>
    </cfRule>
  </conditionalFormatting>
  <conditionalFormatting sqref="U13:U20">
    <cfRule type="expression" dxfId="1736" priority="53">
      <formula>ABS(U$16-U$19)&gt;=1000</formula>
    </cfRule>
  </conditionalFormatting>
  <conditionalFormatting sqref="V13:V20">
    <cfRule type="expression" dxfId="1735" priority="52">
      <formula>ABS(V$16-V$19)&gt;=1000</formula>
    </cfRule>
  </conditionalFormatting>
  <conditionalFormatting sqref="W13 W20 W15:W18">
    <cfRule type="expression" dxfId="1734" priority="51">
      <formula>ABS(W$16-W$19)&gt;=1000</formula>
    </cfRule>
  </conditionalFormatting>
  <conditionalFormatting sqref="X13 X15:X20 Y19">
    <cfRule type="expression" dxfId="1733" priority="50">
      <formula>ABS(X$16-X$19)&gt;=1000</formula>
    </cfRule>
  </conditionalFormatting>
  <conditionalFormatting sqref="Y13 Y15:Y18 Y20">
    <cfRule type="expression" dxfId="1732" priority="49">
      <formula>ABS(Y$16-Y$19)&gt;=1000</formula>
    </cfRule>
  </conditionalFormatting>
  <conditionalFormatting sqref="Z13:Z20">
    <cfRule type="expression" dxfId="1731" priority="48">
      <formula>ABS(Z$16-Z$19)&gt;=1000</formula>
    </cfRule>
  </conditionalFormatting>
  <conditionalFormatting sqref="AA13:AA20">
    <cfRule type="expression" dxfId="1730" priority="47">
      <formula>ABS(AA$16-AA$19)&gt;=1000</formula>
    </cfRule>
  </conditionalFormatting>
  <conditionalFormatting sqref="AB13 AB15:AB20">
    <cfRule type="expression" dxfId="1729" priority="46">
      <formula>ABS(AB$16-AB$19)&gt;=1000</formula>
    </cfRule>
  </conditionalFormatting>
  <conditionalFormatting sqref="AC13 AC15:AC20">
    <cfRule type="expression" dxfId="1728" priority="45">
      <formula>ABS(AC$16-AC$19)&gt;=1000</formula>
    </cfRule>
  </conditionalFormatting>
  <conditionalFormatting sqref="AD13:AD20">
    <cfRule type="expression" dxfId="1727" priority="44">
      <formula>ABS(AD$16-AD$19)&gt;=1000</formula>
    </cfRule>
  </conditionalFormatting>
  <conditionalFormatting sqref="AE13:AE20">
    <cfRule type="expression" dxfId="1726" priority="43">
      <formula>ABS(AE$16-AE$19)&gt;=1000</formula>
    </cfRule>
  </conditionalFormatting>
  <conditionalFormatting sqref="D22:D29">
    <cfRule type="expression" dxfId="1725" priority="42">
      <formula>ABS(D$25-D$28)&gt;=1000</formula>
    </cfRule>
  </conditionalFormatting>
  <conditionalFormatting sqref="E22:E29">
    <cfRule type="expression" dxfId="1724" priority="41">
      <formula>ABS(E$25-E$28)&gt;=1000</formula>
    </cfRule>
  </conditionalFormatting>
  <conditionalFormatting sqref="F22:F29">
    <cfRule type="expression" dxfId="1723" priority="40">
      <formula>ABS(F$25-F$28)&gt;=1000</formula>
    </cfRule>
  </conditionalFormatting>
  <conditionalFormatting sqref="G22:G29">
    <cfRule type="expression" dxfId="1722" priority="39">
      <formula>ABS(G$25-G$28)&gt;=1000</formula>
    </cfRule>
  </conditionalFormatting>
  <conditionalFormatting sqref="H22:H29">
    <cfRule type="expression" dxfId="1721" priority="38">
      <formula>ABS(H$25-H$28)&gt;=1000</formula>
    </cfRule>
  </conditionalFormatting>
  <conditionalFormatting sqref="I22 I24:I29">
    <cfRule type="expression" dxfId="1720" priority="37">
      <formula>ABS(I$25-I$28)&gt;=1000</formula>
    </cfRule>
  </conditionalFormatting>
  <conditionalFormatting sqref="J22:J29 K22">
    <cfRule type="expression" dxfId="1719" priority="36">
      <formula>ABS(J$25-J$28)&gt;=1000</formula>
    </cfRule>
  </conditionalFormatting>
  <conditionalFormatting sqref="K23:K29 L25 L28">
    <cfRule type="expression" dxfId="1718" priority="35">
      <formula>ABS(K$25-K$28)&gt;=1000</formula>
    </cfRule>
  </conditionalFormatting>
  <conditionalFormatting sqref="L22 L26:L27 L29 L24">
    <cfRule type="expression" dxfId="1717" priority="34">
      <formula>ABS(L$25-L$28)&gt;=1000</formula>
    </cfRule>
  </conditionalFormatting>
  <conditionalFormatting sqref="M22:M29">
    <cfRule type="expression" dxfId="1716" priority="33">
      <formula>ABS(M$25-M$28)&gt;=1000</formula>
    </cfRule>
  </conditionalFormatting>
  <conditionalFormatting sqref="N22:N29">
    <cfRule type="expression" dxfId="1715" priority="32">
      <formula>ABS(N$25-N$28)&gt;=1000</formula>
    </cfRule>
  </conditionalFormatting>
  <conditionalFormatting sqref="O22:O29">
    <cfRule type="expression" dxfId="1714" priority="31">
      <formula>ABS(O$25-O$28)&gt;=1000</formula>
    </cfRule>
  </conditionalFormatting>
  <conditionalFormatting sqref="P22:P29">
    <cfRule type="expression" dxfId="1713" priority="30">
      <formula>ABS(P$25-P$28)&gt;=1000</formula>
    </cfRule>
  </conditionalFormatting>
  <conditionalFormatting sqref="Q22:Q29">
    <cfRule type="expression" dxfId="1712" priority="29">
      <formula>ABS(Q$25-Q$28)&gt;=1000</formula>
    </cfRule>
  </conditionalFormatting>
  <conditionalFormatting sqref="R22:R29">
    <cfRule type="expression" dxfId="1711" priority="28">
      <formula>ABS(R$25-R$28)&gt;=1000</formula>
    </cfRule>
  </conditionalFormatting>
  <conditionalFormatting sqref="S22:S29">
    <cfRule type="expression" dxfId="1710" priority="27">
      <formula>ABS(S$25-S$28)&gt;=1000</formula>
    </cfRule>
  </conditionalFormatting>
  <conditionalFormatting sqref="T22:T29">
    <cfRule type="expression" dxfId="1709" priority="26">
      <formula>ABS(T$25-T$28)&gt;=1000</formula>
    </cfRule>
  </conditionalFormatting>
  <conditionalFormatting sqref="U22:U29">
    <cfRule type="expression" dxfId="1708" priority="25">
      <formula>ABS(U$25-U$28)&gt;=1000</formula>
    </cfRule>
  </conditionalFormatting>
  <conditionalFormatting sqref="V22:V29">
    <cfRule type="expression" dxfId="1707" priority="24">
      <formula>ABS(V$25-V$28)&gt;=1000</formula>
    </cfRule>
  </conditionalFormatting>
  <conditionalFormatting sqref="W22:W29">
    <cfRule type="expression" dxfId="1706" priority="23">
      <formula>ABS(W$25-W$28)&gt;=1000</formula>
    </cfRule>
  </conditionalFormatting>
  <conditionalFormatting sqref="X22:X29">
    <cfRule type="expression" dxfId="1705" priority="22">
      <formula>ABS(X$25-X$28)&gt;=1000</formula>
    </cfRule>
  </conditionalFormatting>
  <conditionalFormatting sqref="Y22:Y29">
    <cfRule type="expression" dxfId="1704" priority="21">
      <formula>ABS(Y$25-Y$28)&gt;=1000</formula>
    </cfRule>
  </conditionalFormatting>
  <conditionalFormatting sqref="I23">
    <cfRule type="expression" dxfId="1703" priority="20">
      <formula>ABS(I$25-I$28)&gt;=1000</formula>
    </cfRule>
  </conditionalFormatting>
  <conditionalFormatting sqref="Q14">
    <cfRule type="expression" dxfId="1702" priority="19">
      <formula>ABS(Q$16-Q$19)&gt;=1000</formula>
    </cfRule>
  </conditionalFormatting>
  <conditionalFormatting sqref="W14">
    <cfRule type="expression" dxfId="1701" priority="18">
      <formula>ABS(W$16-W$19)&gt;=1000</formula>
    </cfRule>
  </conditionalFormatting>
  <conditionalFormatting sqref="Y14">
    <cfRule type="expression" dxfId="1700" priority="17">
      <formula>ABS(Y$16-Y$19)&gt;=1000</formula>
    </cfRule>
  </conditionalFormatting>
  <conditionalFormatting sqref="X14">
    <cfRule type="expression" dxfId="1699" priority="16">
      <formula>ABS(X$16-X$19)&gt;=1000</formula>
    </cfRule>
  </conditionalFormatting>
  <conditionalFormatting sqref="T10:Y10">
    <cfRule type="expression" dxfId="1698" priority="15">
      <formula>ABS(T$7-T$10)&gt;=1000</formula>
    </cfRule>
  </conditionalFormatting>
  <conditionalFormatting sqref="W19">
    <cfRule type="expression" dxfId="1697" priority="14">
      <formula>ABS(W$16-W$19)&gt;=1000</formula>
    </cfRule>
  </conditionalFormatting>
  <conditionalFormatting sqref="AC5">
    <cfRule type="expression" dxfId="1696" priority="13">
      <formula>ABS(AC$7-AC$10)&gt;=1000</formula>
    </cfRule>
  </conditionalFormatting>
  <conditionalFormatting sqref="M14">
    <cfRule type="expression" dxfId="1695" priority="12">
      <formula>ABS(M$16-M$19)&gt;=1000</formula>
    </cfRule>
  </conditionalFormatting>
  <conditionalFormatting sqref="M16">
    <cfRule type="expression" dxfId="1694" priority="11">
      <formula>ABS(M$16-M$19)&gt;=1000</formula>
    </cfRule>
  </conditionalFormatting>
  <conditionalFormatting sqref="M19">
    <cfRule type="expression" dxfId="1693" priority="10">
      <formula>ABS(M$16-M$19)&gt;=1000</formula>
    </cfRule>
  </conditionalFormatting>
  <conditionalFormatting sqref="K13:K20">
    <cfRule type="expression" dxfId="1692" priority="9">
      <formula>ABS(K$16-K$19)&gt;=1000</formula>
    </cfRule>
  </conditionalFormatting>
  <conditionalFormatting sqref="E5">
    <cfRule type="expression" dxfId="1691" priority="8">
      <formula>ABS(E$7-E$10)&gt;=1000</formula>
    </cfRule>
  </conditionalFormatting>
  <conditionalFormatting sqref="AB14:AC14">
    <cfRule type="expression" dxfId="1690" priority="7">
      <formula>ABS(AB$16-AB$19)&gt;=1000</formula>
    </cfRule>
  </conditionalFormatting>
  <conditionalFormatting sqref="M5">
    <cfRule type="expression" dxfId="1689" priority="6">
      <formula>ABS(M$7-M$10)&gt;=1000</formula>
    </cfRule>
  </conditionalFormatting>
  <conditionalFormatting sqref="N5">
    <cfRule type="expression" dxfId="1688" priority="5">
      <formula>ABS(N$7-N$10)&gt;=1000</formula>
    </cfRule>
  </conditionalFormatting>
  <conditionalFormatting sqref="O5">
    <cfRule type="expression" dxfId="1687" priority="4">
      <formula>ABS(O$7-O$10)&gt;=1000</formula>
    </cfRule>
  </conditionalFormatting>
  <conditionalFormatting sqref="P5">
    <cfRule type="expression" dxfId="1686" priority="3">
      <formula>ABS(P$7-P$10)&gt;=1000</formula>
    </cfRule>
  </conditionalFormatting>
  <conditionalFormatting sqref="L23">
    <cfRule type="expression" dxfId="1685" priority="2">
      <formula>ABS(L$25-L$28)&gt;=1000</formula>
    </cfRule>
  </conditionalFormatting>
  <conditionalFormatting sqref="F14">
    <cfRule type="expression" dxfId="1684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25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00">
    <pageSetUpPr fitToPage="1"/>
  </sheetPr>
  <dimension ref="A1:CU223"/>
  <sheetViews>
    <sheetView view="pageBreakPreview" topLeftCell="A19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45882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6589</v>
      </c>
      <c r="E6" s="71">
        <v>8114</v>
      </c>
      <c r="F6" s="71">
        <v>6035</v>
      </c>
      <c r="G6" s="71">
        <v>8137</v>
      </c>
      <c r="H6" s="71">
        <v>6093</v>
      </c>
      <c r="I6" s="71">
        <v>40.61</v>
      </c>
      <c r="J6" s="71">
        <v>7.71</v>
      </c>
      <c r="K6" s="71">
        <v>85.31</v>
      </c>
      <c r="L6" s="71">
        <v>23.31</v>
      </c>
      <c r="M6" s="71">
        <v>3360</v>
      </c>
      <c r="N6" s="71">
        <v>184</v>
      </c>
      <c r="O6" s="71">
        <v>5380</v>
      </c>
      <c r="P6" s="71">
        <v>3159</v>
      </c>
      <c r="Q6" s="71">
        <v>7148</v>
      </c>
      <c r="R6" s="71">
        <v>7235</v>
      </c>
      <c r="S6" s="71">
        <v>3458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3771</v>
      </c>
      <c r="Z6" s="71">
        <v>4431</v>
      </c>
      <c r="AA6" s="71">
        <v>558</v>
      </c>
      <c r="AB6" s="71">
        <v>661</v>
      </c>
      <c r="AC6" s="71">
        <v>2698</v>
      </c>
      <c r="AD6" s="71">
        <v>4105</v>
      </c>
      <c r="AE6" s="71">
        <v>2735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206383.48593291003</v>
      </c>
      <c r="E7" s="73" ph="1">
        <f>E6*51.53*LOOKUP(E8,密度!$A$2:$A$50,密度!$B$2:$B$50)</f>
        <v>324874.90434000001</v>
      </c>
      <c r="F7" s="73" ph="1">
        <f>F6*33.183*LOOKUP(F8,密度!$A$2:$A$50,密度!$C$2:$C$50)</f>
        <v>221607.057573</v>
      </c>
      <c r="G7" s="73" ph="1">
        <f xml:space="preserve"> (G6+2)*51.53*LOOKUP(G8,密度!$A$2:$A$50,密度!$B$2:$B$50)</f>
        <v>325540.35245399998</v>
      </c>
      <c r="H7" s="73" ph="1">
        <f>(H6)*51.53*LOOKUP(H8,密度!$A$2:$A$50,密度!$B$2:$B$50)</f>
        <v>244239.044391</v>
      </c>
      <c r="I7" s="73" ph="1">
        <f>I6*290.8*1.0267</f>
        <v>12124.698659600001</v>
      </c>
      <c r="J7" s="73" ph="1">
        <f>J6*290.8*0.7892</f>
        <v>1769.4400656000003</v>
      </c>
      <c r="K7" s="73" ph="1">
        <f>K6*290.8*1.1126</f>
        <v>27601.545464800001</v>
      </c>
      <c r="L7" s="73" ph="1">
        <f>L6*290.8*0.777</f>
        <v>5266.9317959999998</v>
      </c>
      <c r="M7" s="73" ph="1">
        <f>M6*33.183*LOOKUP(M8,密度!$A$2:$A$50,密度!$D$2:$D$50)</f>
        <v>114048.112752</v>
      </c>
      <c r="N7" s="73" ph="1">
        <f>N6*33.183*LOOKUP(N8,密度!$A$2:$A$50,密度!$E$2:$E$50)</f>
        <v>4761.2030255999998</v>
      </c>
      <c r="O7" s="73" ph="1">
        <f>O6*20.428*LOOKUP(O8,密度!$A$2:$A$50,密度!$C$2:$C$50)</f>
        <v>120991.816376</v>
      </c>
      <c r="P7" s="73" ph="1">
        <f>P6*51.53*LOOKUP(P8,密度!$A$2:$A$50,密度!$B$2:$B$50)</f>
        <v>126482.60079</v>
      </c>
      <c r="Q7" s="73" ph="1">
        <f>Q6*1.5*1.5*3.1416*LOOKUP(W8,密度!$A$2:$A$50,密度!$L$2:$L$50)</f>
        <v>47191.613515200006</v>
      </c>
      <c r="R7" s="73" ph="1">
        <f>R6*1.5*1.5*3.1416*LOOKUP(R8,密度!$A$2:$A$50,密度!$L$2:$L$50)</f>
        <v>47459.145887999999</v>
      </c>
      <c r="S7" s="73" ph="1">
        <f>S6*1.5*1.5*3.1416*LOOKUP(S8,密度!$A$2:$A$50,密度!$L$2:$L$50)</f>
        <v>22903.296015600001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24843.103639199999</v>
      </c>
      <c r="Z7" s="73" ph="1">
        <f>Z6*33.183*LOOKUP(Z8,密度!$A$2:$A$50,密度!$L$2:$L$50)</f>
        <v>137329.63738199999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13901.243786000003</v>
      </c>
      <c r="AC7" s="73" ph="1">
        <f>AC6*51.53*LOOKUP(AC8,密度!$A$2:$A$50,密度!$Q$2:$Q$50)</f>
        <v>131425.89224080002</v>
      </c>
      <c r="AD7" s="73" ph="1">
        <f>AD6*20.428*LOOKUP(AD8,密度!$A$2:$A$50,密度!$V$2:$V$50)</f>
        <v>80301.405744000003</v>
      </c>
      <c r="AE7" s="73" ph="1">
        <f>AE6*20.428</f>
        <v>55870.58</v>
      </c>
    </row>
    <row r="8" spans="1:99" ph="1">
      <c r="B8" s="233" ph="1"/>
      <c r="C8" s="68" t="s" ph="1">
        <v>180</v>
      </c>
      <c r="D8" s="74">
        <v>29</v>
      </c>
      <c r="E8" s="74">
        <v>28</v>
      </c>
      <c r="F8" s="74">
        <v>28</v>
      </c>
      <c r="G8" s="74">
        <v>29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28</v>
      </c>
      <c r="O8" s="74">
        <v>34</v>
      </c>
      <c r="P8" s="74">
        <v>28</v>
      </c>
      <c r="Q8" s="74">
        <v>31</v>
      </c>
      <c r="R8" s="74">
        <v>34</v>
      </c>
      <c r="S8" s="74">
        <v>25</v>
      </c>
      <c r="T8" s="74">
        <v>24</v>
      </c>
      <c r="U8" s="74">
        <v>28</v>
      </c>
      <c r="V8" s="74">
        <v>28</v>
      </c>
      <c r="W8" s="74">
        <v>28</v>
      </c>
      <c r="X8" s="74">
        <v>20</v>
      </c>
      <c r="Y8" s="74">
        <v>30</v>
      </c>
      <c r="Z8" s="74">
        <v>28</v>
      </c>
      <c r="AA8" s="74">
        <v>28</v>
      </c>
      <c r="AB8" s="74">
        <v>22</v>
      </c>
      <c r="AC8" s="74">
        <v>27</v>
      </c>
      <c r="AD8" s="74">
        <v>30</v>
      </c>
      <c r="AE8" s="74">
        <v>35</v>
      </c>
    </row>
    <row r="9" spans="1:99" ht="26.4" ph="1">
      <c r="B9" s="233" ph="1">
        <v>0.66666666666666663</v>
      </c>
      <c r="C9" s="150" t="s" ph="1">
        <v>181</v>
      </c>
      <c r="D9" s="71">
        <v>6589</v>
      </c>
      <c r="E9" s="71">
        <v>8112</v>
      </c>
      <c r="F9" s="71">
        <v>6035</v>
      </c>
      <c r="G9" s="71">
        <v>9021</v>
      </c>
      <c r="H9" s="71">
        <v>6258</v>
      </c>
      <c r="I9" s="71">
        <v>40.61</v>
      </c>
      <c r="J9" s="71">
        <v>7.72</v>
      </c>
      <c r="K9" s="71">
        <v>8.24</v>
      </c>
      <c r="L9" s="71">
        <v>93.45</v>
      </c>
      <c r="M9" s="71">
        <v>3358</v>
      </c>
      <c r="N9" s="71">
        <v>184</v>
      </c>
      <c r="O9" s="71">
        <v>5380</v>
      </c>
      <c r="P9" s="71">
        <v>2755</v>
      </c>
      <c r="Q9" s="71">
        <v>7149</v>
      </c>
      <c r="R9" s="71">
        <v>7238</v>
      </c>
      <c r="S9" s="71">
        <v>5549</v>
      </c>
      <c r="T9" s="71">
        <v>2975</v>
      </c>
      <c r="U9" s="71">
        <v>0</v>
      </c>
      <c r="V9" s="71">
        <v>0</v>
      </c>
      <c r="W9" s="71">
        <v>0</v>
      </c>
      <c r="X9" s="71">
        <v>0</v>
      </c>
      <c r="Y9" s="71">
        <v>4288</v>
      </c>
      <c r="Z9" s="71">
        <v>4427</v>
      </c>
      <c r="AA9" s="71">
        <v>556</v>
      </c>
      <c r="AB9" s="71">
        <v>661</v>
      </c>
      <c r="AC9" s="71">
        <v>3055</v>
      </c>
      <c r="AD9" s="71">
        <v>4074</v>
      </c>
      <c r="AE9" s="71">
        <v>2643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206252.30026071001</v>
      </c>
      <c r="E10" s="73" ph="1">
        <f>E9*51.53*LOOKUP(E11,密度!$A$2:$A$50,密度!$B$2:$B$50)</f>
        <v>324084.20740799996</v>
      </c>
      <c r="F10" s="73" ph="1">
        <f>F9*33.183*LOOKUP(F11,密度!$A$2:$A$50,密度!$C$2:$C$50)</f>
        <v>221306.6684655</v>
      </c>
      <c r="G10" s="73" ph="1">
        <f xml:space="preserve"> (G9+2)*51.53*LOOKUP(G11,密度!$A$2:$A$50,密度!$B$2:$B$50)</f>
        <v>360479.75880700001</v>
      </c>
      <c r="H10" s="73" ph="1">
        <f>(H9)*51.53*LOOKUP(H11,密度!$A$2:$A$50,密度!$B$2:$B$50)</f>
        <v>250562.87298000001</v>
      </c>
      <c r="I10" s="73" ph="1">
        <f>I9*290.8*1.0267</f>
        <v>12124.698659600001</v>
      </c>
      <c r="J10" s="73" ph="1">
        <f>J9*290.8*0.7892</f>
        <v>1771.7350592</v>
      </c>
      <c r="K10" s="73" ph="1">
        <f>K9*290.8*1.1126</f>
        <v>2666.0032191999999</v>
      </c>
      <c r="L10" s="73" ph="1">
        <f>L9*290.8*0.777</f>
        <v>21115.177020000003</v>
      </c>
      <c r="M10" s="73" ph="1">
        <f>M9*33.183*LOOKUP(M11,密度!$A$2:$A$50,密度!$D$2:$D$50)</f>
        <v>113679.3699828</v>
      </c>
      <c r="N10" s="73" ph="1">
        <f>N9*33.183*LOOKUP(N11,密度!$A$2:$A$50,密度!$E$2:$E$50)</f>
        <v>4747.7705471999998</v>
      </c>
      <c r="O10" s="73" ph="1">
        <f>O9*20.428*LOOKUP(O11,密度!$A$2:$A$50,密度!$C$2:$C$50)</f>
        <v>120881.91373600002</v>
      </c>
      <c r="P10" s="73" ph="1">
        <f>P9*51.53*LOOKUP(P11,密度!$A$2:$A$50,密度!$B$2:$B$50)</f>
        <v>110065.58079499999</v>
      </c>
      <c r="Q10" s="73" ph="1">
        <f>Q9*1.5*1.5*3.1416*LOOKUP(W11,密度!$A$2:$A$50,密度!$L$2:$L$50)</f>
        <v>46996.081902000005</v>
      </c>
      <c r="R10" s="73" ph="1">
        <f>R9*1.5*1.5*3.1416*LOOKUP(R11,密度!$A$2:$A$50,密度!$L$2:$L$50)</f>
        <v>47427.662343600001</v>
      </c>
      <c r="S10" s="73" ph="1">
        <f>S9*1.5*1.5*3.1416*LOOKUP(S11,密度!$A$2:$A$50,密度!$L$2:$L$50)</f>
        <v>36713.347070399999</v>
      </c>
      <c r="T10" s="73" ph="1">
        <f>T9*1.5*1.5*3.1416*LOOKUP(T11,密度!$A$2:$A$50,密度!$L$2:$L$50)</f>
        <v>19767.339899999999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28279.376294400001</v>
      </c>
      <c r="Z10" s="73" ph="1">
        <f>Z9*33.183*LOOKUP(Z11,密度!$A$2:$A$50,密度!$L$2:$L$50)</f>
        <v>137205.66569400002</v>
      </c>
      <c r="AA10" s="73" ph="1">
        <f>AA9*33.183*LOOKUP(AA11,密度!$A$2:$A$50,密度!$D$2:$D$50)</f>
        <v>18822.4329096</v>
      </c>
      <c r="AB10" s="73" ph="1">
        <f>AB9*20.428*LOOKUP(AB11,密度!$A$2:$A$50,密度!$D$2:$D$50)</f>
        <v>13863.4356436</v>
      </c>
      <c r="AC10" s="73" ph="1">
        <f>AC9*51.53*LOOKUP(AC11,密度!$A$2:$A$50,密度!$Q$2:$Q$50)</f>
        <v>148597.37790950001</v>
      </c>
      <c r="AD10" s="73" ph="1">
        <f>AD9*20.428*LOOKUP(AD11,密度!$A$2:$A$50,密度!$V$2:$V$50)</f>
        <v>79694.988307200008</v>
      </c>
      <c r="AE10" s="73" ph="1">
        <f>AE9*20.428</f>
        <v>53991.204000000005</v>
      </c>
    </row>
    <row r="11" spans="1:99" ph="1">
      <c r="A11" s="64" t="s" ph="1">
        <v>163</v>
      </c>
      <c r="B11" s="233" ph="1"/>
      <c r="C11" s="150" t="s" ph="1">
        <v>180</v>
      </c>
      <c r="D11" s="74">
        <v>30</v>
      </c>
      <c r="E11" s="74">
        <v>30</v>
      </c>
      <c r="F11" s="74">
        <v>30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30</v>
      </c>
      <c r="O11" s="74">
        <v>35</v>
      </c>
      <c r="P11" s="74">
        <v>30</v>
      </c>
      <c r="Q11" s="74">
        <v>31</v>
      </c>
      <c r="R11" s="74">
        <v>35</v>
      </c>
      <c r="S11" s="74">
        <v>26</v>
      </c>
      <c r="T11" s="74">
        <v>22</v>
      </c>
      <c r="U11" s="74">
        <v>30</v>
      </c>
      <c r="V11" s="74">
        <v>28</v>
      </c>
      <c r="W11" s="74">
        <v>32</v>
      </c>
      <c r="X11" s="74">
        <v>23</v>
      </c>
      <c r="Y11" s="74">
        <v>29</v>
      </c>
      <c r="Z11" s="74">
        <v>28</v>
      </c>
      <c r="AA11" s="74">
        <v>32</v>
      </c>
      <c r="AB11" s="74">
        <v>25</v>
      </c>
      <c r="AC11" s="74">
        <v>29</v>
      </c>
      <c r="AD11" s="74">
        <v>30</v>
      </c>
      <c r="AE11" s="74">
        <v>36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1801</v>
      </c>
      <c r="E15" s="78">
        <v>5759</v>
      </c>
      <c r="F15" s="78">
        <v>3230</v>
      </c>
      <c r="G15" s="78">
        <v>3785</v>
      </c>
      <c r="H15" s="78">
        <v>0</v>
      </c>
      <c r="I15" s="78">
        <v>3933</v>
      </c>
      <c r="J15" s="78">
        <v>1143</v>
      </c>
      <c r="K15" s="78">
        <v>3108</v>
      </c>
      <c r="L15" s="78">
        <v>2823</v>
      </c>
      <c r="M15" s="78">
        <v>6597</v>
      </c>
      <c r="N15" s="78">
        <v>1531</v>
      </c>
      <c r="O15" s="78">
        <v>6895</v>
      </c>
      <c r="P15" s="78">
        <v>1821</v>
      </c>
      <c r="Q15" s="78">
        <v>6903</v>
      </c>
      <c r="R15" s="78">
        <v>0</v>
      </c>
      <c r="S15" s="78">
        <v>5961</v>
      </c>
      <c r="T15" s="78">
        <v>2005</v>
      </c>
      <c r="U15" s="78">
        <v>1760</v>
      </c>
      <c r="V15" s="78">
        <v>-141</v>
      </c>
      <c r="W15" s="71">
        <v>2513</v>
      </c>
      <c r="X15" s="78">
        <v>-261</v>
      </c>
      <c r="Y15" s="106">
        <v>-9907</v>
      </c>
      <c r="Z15" s="78">
        <v>0</v>
      </c>
      <c r="AA15" s="78">
        <v>6148</v>
      </c>
      <c r="AB15" s="78" ph="1">
        <v>359</v>
      </c>
      <c r="AC15" s="78" ph="1">
        <v>778</v>
      </c>
      <c r="AD15" s="78">
        <v>84.61</v>
      </c>
      <c r="AE15" s="78">
        <v>5.21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11864.871295200001</v>
      </c>
      <c r="E16" s="73" ph="1">
        <f>E15*7.0686*LOOKUP(E17,密度!$A$2:$A$50,密度!$L$2:$L$50)</f>
        <v>37939.918816800004</v>
      </c>
      <c r="F16" s="73" ph="1">
        <f>F15*9.0746*LOOKUP(F17,密度!$A$2:$A$50,密度!$L$2:$L$50)</f>
        <v>27317.812856000004</v>
      </c>
      <c r="G16" s="73" ph="1">
        <f>G15*9.0746*LOOKUP(G17,密度!$A$2:$A$50,密度!$B$2:$B$50)</f>
        <v>26660.421608200002</v>
      </c>
      <c r="H16" s="73" ph="1">
        <f>H15*9.0746*LOOKUP(H17,密度!$A$2:$A$50,密度!$L$2:$L$50)</f>
        <v>0</v>
      </c>
      <c r="I16" s="73" ph="1">
        <f>I15*9.0746*LOOKUP(I17,密度!$A$2:$A$50,密度!$U$2:$U$50)</f>
        <v>36475.590639599999</v>
      </c>
      <c r="J16" s="73" ph="1">
        <f>J15*9.0746*LOOKUP(J17,密度!$A$2:$A$50,密度!$L$2:$L$50)</f>
        <v>9687.6981252000005</v>
      </c>
      <c r="K16" s="73" ph="1">
        <f>K15*9.0746*LOOKUP(K17,密度!$A$2:$A$50,密度!$C$2:$C$50)</f>
        <v>31190.645235120006</v>
      </c>
      <c r="L16" s="73" ph="1">
        <f>L15*9.0746*LOOKUP(L17,密度!$A$2:$A$50,密度!$E$2:$E$50)</f>
        <v>19920.242494079997</v>
      </c>
      <c r="M16" s="73" ph="1">
        <f>M15*9.0746*LOOKUP(M17,密度!$A$2:$A$50,密度!$M$2:$M$50)</f>
        <v>52076.681980380003</v>
      </c>
      <c r="N16" s="73" ph="1">
        <f>N15*9.0746*LOOKUP(N17,密度!$A$2:$A$50,密度!$M$2:$M$50)</f>
        <v>12114.881387200001</v>
      </c>
      <c r="O16" s="73" ph="1">
        <f>O15*9.0746*LOOKUP(O17,密度!$A$2:$A$50,密度!$G$2:$G$50)</f>
        <v>59734.974674899997</v>
      </c>
      <c r="P16" s="73" ph="1">
        <f ca="1">P15*9.0746*LOOKUP(P17,密度!$A$2:$A$51,密度!$Q$2:$Q$50)</f>
        <v>15598.298451138002</v>
      </c>
      <c r="Q16" s="73" ph="1">
        <f>Q15*9.0746*LOOKUP(Q17,密度!$A$2:$A$50,密度!$Q$2:$Q$50)</f>
        <v>59092.043711454004</v>
      </c>
      <c r="R16" s="73" ph="1">
        <f>MAX(R15*9.0746*LOOKUP(R17,密度!$A$2:$A$50,密度!$B$2:$B$50),0)</f>
        <v>0</v>
      </c>
      <c r="S16" s="73" ph="1">
        <f>S15*9.0746*LOOKUP(S17,密度!$A$2:$A$50,密度!$Q$2:$Q$50)</f>
        <v>51097.982014572</v>
      </c>
      <c r="T16" s="73" ph="1">
        <f>T15*9.0746*LOOKUP(T17,密度!$A$2:$A$50,密度!$O$2:$O$50)</f>
        <v>16848.174598000001</v>
      </c>
      <c r="U16" s="73" ph="1">
        <f>U15*9.0746*LOOKUP(U17,密度!$A$2:$A$50,密度!$H$2:$H$50)</f>
        <v>14565.821952</v>
      </c>
      <c r="V16" s="73" ph="1">
        <f>MAX(5600*LOOKUP(V17,密度!$A$2:$A$50,密度!$Q$2:$Q$50)+V15*9.0476*LOOKUP(V17,密度!$A$2:$A$50,密度!$Q$2:$Q$50),0)</f>
        <v>4084.8093084080001</v>
      </c>
      <c r="W16" s="73" ph="1">
        <f>MAX(5600*LOOKUP(W17,密度!$A$2:$A$50,密度!$Q$2:$Q$50)+W15*9.0476*LOOKUP(W17,密度!$A$2:$A$50,密度!$Q$2:$Q$50),0)</f>
        <v>26767.336850855998</v>
      </c>
      <c r="X16" s="73" ph="1">
        <f>MAX(5600*LOOKUP(X17,密度!$A$2:$A$50,密度!$I$2:$I$50)+X15*9.0476*LOOKUP(X17,密度!$A$2:$A$50,密度!$I$2:$I$50),0)</f>
        <v>3364.5570219599999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43349.327901600001</v>
      </c>
      <c r="AB16" s="73" ph="1">
        <f>AB15*9.0746*LOOKUP(AB17,密度!$A$2:$A$50,密度!$L$2:$L$50)</f>
        <v>3032.9944834000003</v>
      </c>
      <c r="AC16" s="73" ph="1">
        <f>AC15*9.0746*LOOKUP(AC17,密度!$A$2:$A$50,密度!$L$2:$L$50)</f>
        <v>6594.0762392000006</v>
      </c>
      <c r="AD16" s="73" ph="1">
        <f>AD15*268.68*LOOKUP(AD17,密度!$A$2:$A$50,密度!B2:B50)+IF(AD15&lt;=0,0,1566*LOOKUP(AD17,密度!$A$2:$A$50,密度!B2:B50))</f>
        <v>18943.511938079999</v>
      </c>
      <c r="AE16" s="73" ph="1">
        <f>AE15*268.68*LOOKUP(AE17,密度!$A$2:$A$50,密度!B2:B50)+IF(AE15&lt;=0,0,1566*LOOKUP(AE17,密度!$A$2:$A$50,密度!B2:B50))</f>
        <v>2312.1554548799995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30</v>
      </c>
      <c r="E17" s="74">
        <v>30</v>
      </c>
      <c r="F17" s="74">
        <v>30</v>
      </c>
      <c r="G17" s="74">
        <v>29</v>
      </c>
      <c r="H17" s="74">
        <v>24</v>
      </c>
      <c r="I17" s="74">
        <v>28</v>
      </c>
      <c r="J17" s="74">
        <v>28</v>
      </c>
      <c r="K17" s="74">
        <v>29</v>
      </c>
      <c r="L17" s="74">
        <v>30</v>
      </c>
      <c r="M17" s="74">
        <v>30</v>
      </c>
      <c r="N17" s="74">
        <v>28</v>
      </c>
      <c r="O17" s="74">
        <v>30</v>
      </c>
      <c r="P17" s="74">
        <v>29</v>
      </c>
      <c r="Q17" s="74">
        <v>30</v>
      </c>
      <c r="R17" s="74">
        <v>29</v>
      </c>
      <c r="S17" s="74">
        <v>28</v>
      </c>
      <c r="T17" s="74">
        <v>29</v>
      </c>
      <c r="U17" s="74">
        <v>28</v>
      </c>
      <c r="V17" s="74">
        <v>28</v>
      </c>
      <c r="W17" s="74">
        <v>28</v>
      </c>
      <c r="X17" s="74">
        <v>28</v>
      </c>
      <c r="Y17" s="108">
        <v>30</v>
      </c>
      <c r="Z17" s="74">
        <v>30</v>
      </c>
      <c r="AA17" s="74">
        <v>28</v>
      </c>
      <c r="AB17" s="74">
        <v>31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2871</v>
      </c>
      <c r="E18" s="71">
        <v>2844</v>
      </c>
      <c r="F18" s="71">
        <v>3229</v>
      </c>
      <c r="G18" s="71">
        <v>3811</v>
      </c>
      <c r="H18" s="71">
        <v>0</v>
      </c>
      <c r="I18" s="71">
        <v>3933</v>
      </c>
      <c r="J18" s="71">
        <v>1154</v>
      </c>
      <c r="K18" s="71">
        <v>3107</v>
      </c>
      <c r="L18" s="71">
        <v>4582</v>
      </c>
      <c r="M18" s="71">
        <v>6597</v>
      </c>
      <c r="N18" s="71">
        <v>2588</v>
      </c>
      <c r="O18" s="71">
        <v>6895</v>
      </c>
      <c r="P18" s="71">
        <v>1820</v>
      </c>
      <c r="Q18" s="71">
        <v>6902</v>
      </c>
      <c r="R18" s="71">
        <v>0</v>
      </c>
      <c r="S18" s="71">
        <v>5960</v>
      </c>
      <c r="T18" s="71">
        <v>2004</v>
      </c>
      <c r="U18" s="71">
        <v>3544</v>
      </c>
      <c r="V18" s="71">
        <v>-142</v>
      </c>
      <c r="W18" s="71">
        <v>2512</v>
      </c>
      <c r="X18" s="71">
        <v>-262</v>
      </c>
      <c r="Y18" s="109">
        <v>-9907</v>
      </c>
      <c r="Z18" s="71">
        <v>0</v>
      </c>
      <c r="AA18" s="71">
        <v>6148</v>
      </c>
      <c r="AB18" s="71">
        <v>357</v>
      </c>
      <c r="AC18" s="71">
        <v>776</v>
      </c>
      <c r="AD18" s="71">
        <v>84.15</v>
      </c>
      <c r="AE18" s="71">
        <v>47.11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18913.961959200002</v>
      </c>
      <c r="E19" s="73" ph="1">
        <f>E18*7.0686*LOOKUP(E20,密度!$A$2:$A$50,密度!$L$2:$L$50)</f>
        <v>18736.087708800002</v>
      </c>
      <c r="F19" s="73" ph="1">
        <f>F18*9.0746*LOOKUP(F20,密度!$A$2:$A$50,密度!$L$2:$L$50)</f>
        <v>27192.147795200002</v>
      </c>
      <c r="G19" s="73" ph="1">
        <f>G18*9.0746*LOOKUP(G20,密度!$A$2:$A$50,密度!$B$2:$B$50)</f>
        <v>26812.43295518</v>
      </c>
      <c r="H19" s="73" ph="1">
        <f>H18*9.0746*LOOKUP(H20,密度!$A$2:$A$50,密度!$L$2:$L$50)</f>
        <v>0</v>
      </c>
      <c r="I19" s="73" ph="1">
        <f>I18*9.0746*LOOKUP(I20,密度!$A$2:$A$50,密度!$U$2:$U$50)</f>
        <v>36404.209836000002</v>
      </c>
      <c r="J19" s="73" ph="1">
        <f>J18*9.0746*LOOKUP(J20,密度!$A$2:$A$50,密度!$L$2:$L$50)</f>
        <v>9749.5143004000001</v>
      </c>
      <c r="K19" s="73" ph="1">
        <f>K18*9.0746*LOOKUP(K20,密度!$A$2:$A$50,密度!$C$2:$C$50)</f>
        <v>31129.859027020004</v>
      </c>
      <c r="L19" s="73" ph="1">
        <f>L18*9.0746*LOOKUP(L20,密度!$A$2:$A$50,密度!$E$2:$E$50)</f>
        <v>32332.465854719998</v>
      </c>
      <c r="M19" s="73" ph="1">
        <f>M18*9.0746*LOOKUP(M20,密度!$A$2:$A$50,密度!$M$2:$M$50)</f>
        <v>51952.162497084006</v>
      </c>
      <c r="N19" s="73" ph="1">
        <f>N18*9.0746*LOOKUP(N20,密度!$A$2:$A$50,密度!$M$2:$M$50)</f>
        <v>20478.9765056</v>
      </c>
      <c r="O19" s="73" ph="1">
        <f>O18*9.0746*LOOKUP(O20,密度!$A$2:$A$50,密度!$G$2:$G$50)</f>
        <v>59734.974674899997</v>
      </c>
      <c r="P19" s="73" ph="1">
        <f ca="1">P18*9.0746*LOOKUP(P20,密度!$A$2:$A$51,密度!$Q$2:$Q$50)</f>
        <v>15579.82320076</v>
      </c>
      <c r="Q19" s="73" ph="1">
        <f>Q18*9.0746*LOOKUP(Q20,密度!$A$2:$A$50,密度!$Q$2:$Q$50)</f>
        <v>59083.483369036003</v>
      </c>
      <c r="R19" s="73" ph="1">
        <f>MAX(R18*9.0746*LOOKUP(R20,密度!$A$2:$A$50,密度!$B$2:$B$50),0)</f>
        <v>0</v>
      </c>
      <c r="S19" s="73" ph="1">
        <f>S18*9.0746*LOOKUP(S20,密度!$A$2:$A$50,密度!$Q$2:$Q$50)</f>
        <v>51019.640811280005</v>
      </c>
      <c r="T19" s="73" ph="1">
        <f>T18*9.0746*LOOKUP(T20,密度!$A$2:$A$50,密度!$O$2:$O$50)</f>
        <v>16767.0295248</v>
      </c>
      <c r="U19" s="73" ph="1">
        <f>U18*9.0746*LOOKUP(U20,密度!$A$2:$A$50,密度!$H$2:$H$50)</f>
        <v>29265.947984000002</v>
      </c>
      <c r="V19" s="73" ph="1">
        <f>MAX(5600*LOOKUP(V20,密度!$A$2:$A$50,密度!$Q$2:$Q$50)+V18*9.0476*LOOKUP(V20,密度!$A$2:$A$50,密度!$Q$2:$Q$50),0)</f>
        <v>4070.6961038640002</v>
      </c>
      <c r="W19" s="73" ph="1">
        <f>MAX(5600*LOOKUP(W20,密度!$A$2:$A$50,密度!$Q$2:$Q$50)+W18*9.0476*LOOKUP(W20,密度!$A$2:$A$50,密度!$Q$2:$Q$50),0)</f>
        <v>26722.247740095998</v>
      </c>
      <c r="X19" s="73" ph="1">
        <f>MAX(5600*LOOKUP(X20,密度!$A$2:$A$50,密度!$I$2:$I$50)+X18*9.0476*LOOKUP(X20,密度!$A$2:$A$50,密度!$I$2:$I$50),0)</f>
        <v>3344.2093676879999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43204.272235520002</v>
      </c>
      <c r="AB19" s="73" ph="1">
        <f>AB18*9.0746*LOOKUP(AB20,密度!$A$2:$A$50,密度!$L$2:$L$50)</f>
        <v>3016.0975782</v>
      </c>
      <c r="AC19" s="73" ph="1">
        <f>AC18*9.0746*LOOKUP(AC20,密度!$A$2:$A$50,密度!$L$2:$L$50)</f>
        <v>6563.0411072000006</v>
      </c>
      <c r="AD19" s="73" ph="1">
        <f>AD18*268.68*LOOKUP(AD20,密度!$A$2:$A$50,密度!B5:B53)+IF(AD18&lt;=0,0,1566*LOOKUP(AD20,密度!$A$2:$A$50,密度!B5:B53))</f>
        <v>18784.302894</v>
      </c>
      <c r="AE19" s="73" ph="1">
        <f>AE18*268.68*LOOKUP(AE20,密度!$A$2:$A$50,密度!B5:B53)+IF(AE18&lt;=0,0,1566*LOOKUP(AE20,密度!$A$2:$A$50,密度!B5:B53))</f>
        <v>11051.670999600001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30</v>
      </c>
      <c r="E20" s="81">
        <v>30</v>
      </c>
      <c r="F20" s="81">
        <v>34</v>
      </c>
      <c r="G20" s="81">
        <v>30</v>
      </c>
      <c r="H20" s="81">
        <v>29</v>
      </c>
      <c r="I20" s="81">
        <v>30</v>
      </c>
      <c r="J20" s="81">
        <v>31</v>
      </c>
      <c r="K20" s="81">
        <v>31</v>
      </c>
      <c r="L20" s="81">
        <v>30</v>
      </c>
      <c r="M20" s="81">
        <v>32</v>
      </c>
      <c r="N20" s="81">
        <v>28</v>
      </c>
      <c r="O20" s="81">
        <v>30</v>
      </c>
      <c r="P20" s="81">
        <v>30</v>
      </c>
      <c r="Q20" s="81">
        <v>30</v>
      </c>
      <c r="R20" s="81">
        <v>31</v>
      </c>
      <c r="S20" s="81">
        <v>30</v>
      </c>
      <c r="T20" s="81">
        <v>30</v>
      </c>
      <c r="U20" s="81">
        <v>30</v>
      </c>
      <c r="V20" s="81">
        <v>30</v>
      </c>
      <c r="W20" s="81">
        <v>30</v>
      </c>
      <c r="X20" s="81">
        <v>31</v>
      </c>
      <c r="Y20" s="110">
        <v>31</v>
      </c>
      <c r="Z20" s="81">
        <v>32</v>
      </c>
      <c r="AA20" s="81">
        <v>31</v>
      </c>
      <c r="AB20" s="81">
        <v>31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644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67.91</v>
      </c>
      <c r="E24" s="71">
        <v>55.21</v>
      </c>
      <c r="F24" s="71">
        <v>2803</v>
      </c>
      <c r="G24" s="71">
        <v>2829</v>
      </c>
      <c r="H24" s="71">
        <v>565</v>
      </c>
      <c r="I24" s="71">
        <v>0</v>
      </c>
      <c r="J24" s="71">
        <v>425</v>
      </c>
      <c r="K24" s="71">
        <v>4927</v>
      </c>
      <c r="L24" s="71">
        <v>5615</v>
      </c>
      <c r="M24" s="71">
        <v>763</v>
      </c>
      <c r="N24" s="71">
        <v>548</v>
      </c>
      <c r="O24" s="71">
        <v>4322</v>
      </c>
      <c r="P24" s="71">
        <v>969</v>
      </c>
      <c r="Q24" s="90">
        <v>2226</v>
      </c>
      <c r="R24" s="71">
        <v>3511</v>
      </c>
      <c r="S24" s="71">
        <v>7043</v>
      </c>
      <c r="T24" s="71">
        <v>1697</v>
      </c>
      <c r="U24" s="71">
        <v>5715</v>
      </c>
      <c r="V24" s="71">
        <v>11801</v>
      </c>
      <c r="W24" s="71">
        <v>11726</v>
      </c>
      <c r="X24" s="71">
        <v>3094</v>
      </c>
      <c r="Y24" s="71">
        <v>1116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18756.868548312003</v>
      </c>
      <c r="E25" s="91" ph="1">
        <f>E24*268.68*LOOKUP(E26,密度!$A$2:$A$50,密度!$C$2:$C$50)+IF(E24&lt;=0,0,1566*LOOKUP(E26,密度!$A$2:$A$50,密度!$C$2:$C$50))</f>
        <v>18185.763502919999</v>
      </c>
      <c r="F25" s="91" ph="1">
        <f>F24*11.702*LOOKUP(F26,密度!$A$2:$A$50,密度!$Q$2:$Q$50)</f>
        <v>30984.20290172</v>
      </c>
      <c r="G25" s="91" ph="1">
        <f>G24*18.322*LOOKUP(G26,密度!$A$2:$A$50,密度!$B$2:$B$50)</f>
        <v>40274.192825999999</v>
      </c>
      <c r="H25" s="91" ph="1">
        <f>H24*18.322*LOOKUP(H26,密度!$A$2:$A$50,密度!$B$2:$B$50)</f>
        <v>8043.4496100000006</v>
      </c>
      <c r="I25" s="91" ph="1">
        <f>I24*18.322*LOOKUP(I26,密度!$A$2:$A$50,密度!$Q$2:$Q$50)</f>
        <v>0</v>
      </c>
      <c r="J25" s="91" ph="1">
        <f>J24*18.322*LOOKUP(J26,密度!$A$2:$A$50,密度!$Q$2:$Q$50)</f>
        <v>7350.2413205000003</v>
      </c>
      <c r="K25" s="91" ph="1">
        <f>K24*18.322*LOOKUP(K26,密度!$A$2:$A$50,密度!$Q$2:$Q$50)</f>
        <v>85210.915261419999</v>
      </c>
      <c r="L25" s="91" ph="1">
        <f>L24*18.322*LOOKUP(L26,密度!$A$2:$A$50,密度!$Q$2:$Q$50)</f>
        <v>97180.644698599994</v>
      </c>
      <c r="M25" s="91" ph="1">
        <f>M24*18.322*LOOKUP(M26,密度!$A$2:$A$50,密度!$Q$2:$Q$50)</f>
        <v>13205.49098932</v>
      </c>
      <c r="N25" s="91" ph="1">
        <f>N24*18.322*LOOKUP(N26,密度!$A$2:$A$50,密度!$Q$2:$Q$50)</f>
        <v>9484.4155467199998</v>
      </c>
      <c r="O25" s="91" ph="1">
        <f>O24*18.322*LOOKUP(O26,密度!$A$2:$A$50,密度!$C$2:$C$50)</f>
        <v>87573.659735599998</v>
      </c>
      <c r="P25" s="91" ph="1">
        <f>P24*11.702*LOOKUP(P26,密度!$A$2:$A$50,密度!$B$2:$B$50)</f>
        <v>8791.3112213999993</v>
      </c>
      <c r="Q25" s="92" ph="1">
        <f>Q24*18.322*LOOKUP(Q26,密度!$A$2:$A$50,密度!$B$2:$B$50)</f>
        <v>31657.140026399997</v>
      </c>
      <c r="R25" s="91" ph="1">
        <f>R24*35.891*LOOKUP(R26,密度!$A$2:$A$50,密度!$C$2:$C$50)</f>
        <v>139446.3188866</v>
      </c>
      <c r="S25" s="91" ph="1">
        <f>S24*35.891*LOOKUP(S26,密度!$A$2:$A$50,密度!$B$2:$B$50)</f>
        <v>196410.303201</v>
      </c>
      <c r="T25" s="91" ph="1">
        <f>T24*35.891*LOOKUP(T26,密度!$A$2:$A$50,密度!$Q$2:$Q$50)</f>
        <v>57533.995844739999</v>
      </c>
      <c r="U25" s="91" ph="1">
        <f>U24*35.891</f>
        <v>205117.065</v>
      </c>
      <c r="V25" s="91" ph="1">
        <f>V24*47.051*LOOKUP(V26,密度!$A$2:$A$50,密度!$B$2:$B$50)</f>
        <v>431428.35722700006</v>
      </c>
      <c r="W25" s="91" ph="1">
        <f>W24*47.051*LOOKUP(W26,密度!$A$2:$A$50,密度!$B$2:$B$50)</f>
        <v>428245.08418120007</v>
      </c>
      <c r="X25" s="91" ph="1">
        <f>X24*47.051*LOOKUP(X26,密度!$A$2:$A$50,密度!$I$2:$I$50)</f>
        <v>150903.86806039998</v>
      </c>
      <c r="Y25" s="91" ph="1">
        <f>Y24*47.051*LOOKUP(Y26,密度!$A$2:$A$50,密度!$L$2:$L$50)</f>
        <v>48990.818628000008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28</v>
      </c>
      <c r="G26" s="74">
        <v>28</v>
      </c>
      <c r="H26" s="74">
        <v>28</v>
      </c>
      <c r="I26" s="74">
        <v>28</v>
      </c>
      <c r="J26" s="74">
        <v>29</v>
      </c>
      <c r="K26" s="74">
        <v>29</v>
      </c>
      <c r="L26" s="74">
        <v>28</v>
      </c>
      <c r="M26" s="74">
        <v>28</v>
      </c>
      <c r="N26" s="74">
        <v>28</v>
      </c>
      <c r="O26" s="74">
        <v>29</v>
      </c>
      <c r="P26" s="74">
        <v>30</v>
      </c>
      <c r="Q26" s="93">
        <v>29</v>
      </c>
      <c r="R26" s="74">
        <v>28</v>
      </c>
      <c r="S26" s="74">
        <v>28</v>
      </c>
      <c r="T26" s="74">
        <v>28</v>
      </c>
      <c r="U26" s="74">
        <v>29</v>
      </c>
      <c r="V26" s="74">
        <v>28</v>
      </c>
      <c r="W26" s="74">
        <v>29</v>
      </c>
      <c r="X26" s="74">
        <v>30</v>
      </c>
      <c r="Y26" s="74">
        <v>29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67.52</v>
      </c>
      <c r="E27" s="71">
        <v>55.24</v>
      </c>
      <c r="F27" s="71">
        <v>1726</v>
      </c>
      <c r="G27" s="71">
        <v>2303</v>
      </c>
      <c r="H27" s="71">
        <v>548</v>
      </c>
      <c r="I27" s="71">
        <v>0</v>
      </c>
      <c r="J27" s="71">
        <v>422</v>
      </c>
      <c r="K27" s="71">
        <v>4925</v>
      </c>
      <c r="L27" s="71">
        <v>5613</v>
      </c>
      <c r="M27" s="71">
        <v>944</v>
      </c>
      <c r="N27" s="71">
        <v>546</v>
      </c>
      <c r="O27" s="71">
        <v>4321</v>
      </c>
      <c r="P27" s="71">
        <v>967</v>
      </c>
      <c r="Q27" s="90">
        <v>2470</v>
      </c>
      <c r="R27" s="71">
        <v>3510</v>
      </c>
      <c r="S27" s="71">
        <v>7041</v>
      </c>
      <c r="T27" s="71">
        <v>1696</v>
      </c>
      <c r="U27" s="71">
        <v>5635</v>
      </c>
      <c r="V27" s="71">
        <v>11801</v>
      </c>
      <c r="W27" s="71">
        <v>11725</v>
      </c>
      <c r="X27" s="71">
        <v>3694</v>
      </c>
      <c r="Y27" s="71">
        <v>1425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18657.664208064001</v>
      </c>
      <c r="E28" s="91" ph="1">
        <f>E27*268.68*LOOKUP(E29,密度!$A$2:$A$50,密度!$C$2:$C$50)+IF(E27&lt;=0,0,1566*LOOKUP(E29,密度!$A$2:$A$50,密度!$C$2:$C$50))</f>
        <v>18194.701680480001</v>
      </c>
      <c r="F28" s="91" ph="1">
        <f>F27*11.702*LOOKUP(F29,密度!$A$2:$A$50,密度!$Q$2:$Q$50)</f>
        <v>19053.051061159997</v>
      </c>
      <c r="G28" s="91" ph="1">
        <f>G27*18.322*LOOKUP(G29,密度!$A$2:$A$50,密度!$B$2:$B$50)</f>
        <v>32752.1983292</v>
      </c>
      <c r="H28" s="91" ph="1">
        <f>H27*18.322*LOOKUP(H29,密度!$A$2:$A$50,密度!$B$2:$B$50)</f>
        <v>7784.3655368</v>
      </c>
      <c r="I28" s="91" ph="1">
        <f>I27*18.322*LOOKUP(I29,密度!$A$2:$A$50,密度!$Q$2:$Q$50)</f>
        <v>0</v>
      </c>
      <c r="J28" s="91" ph="1">
        <f>J27*18.322*LOOKUP(J29,密度!$A$2:$A$50,密度!$Q$2:$Q$50)</f>
        <v>7298.3572641200008</v>
      </c>
      <c r="K28" s="91" ph="1">
        <f>K27*18.322*LOOKUP(K29,密度!$A$2:$A$50,密度!$Q$2:$Q$50)</f>
        <v>85176.325890499997</v>
      </c>
      <c r="L28" s="91" ph="1">
        <f>L27*18.322*LOOKUP(L29,密度!$A$2:$A$50,密度!$Q$2:$Q$50)</f>
        <v>97013.364655379992</v>
      </c>
      <c r="M28" s="91" ph="1">
        <f>M27*18.322*LOOKUP(M29,密度!$A$2:$A$50,密度!$Q$2:$Q$50)</f>
        <v>16315.805493440001</v>
      </c>
      <c r="N28" s="91" ph="1">
        <f>N27*18.322*LOOKUP(N29,密度!$A$2:$A$50,密度!$Q$2:$Q$50)</f>
        <v>9436.8959739599995</v>
      </c>
      <c r="O28" s="91" ph="1">
        <f>O27*18.322*LOOKUP(O29,密度!$A$2:$A$50,密度!$C$2:$C$50)</f>
        <v>87553.397435799998</v>
      </c>
      <c r="P28" s="91" ph="1">
        <f>P27*11.702*LOOKUP(P29,密度!$A$2:$A$50,密度!$B$2:$B$50)</f>
        <v>8792.4030180000009</v>
      </c>
      <c r="Q28" s="92" ph="1">
        <f>Q27*18.322*LOOKUP(Q29,密度!$A$2:$A$50,密度!$B$2:$B$50)</f>
        <v>35127.194907999998</v>
      </c>
      <c r="R28" s="91" ph="1">
        <f>R27*35.891*LOOKUP(R29,密度!$A$2:$A$50,密度!$C$2:$C$50)</f>
        <v>139318.41771899999</v>
      </c>
      <c r="S28" s="91" ph="1">
        <f>S27*35.891*LOOKUP(S29,密度!$A$2:$A$50,密度!$B$2:$B$50)</f>
        <v>195924.9240843</v>
      </c>
      <c r="T28" s="91" ph="1">
        <f>T27*35.891*LOOKUP(T29,密度!$A$2:$A$50,密度!$Q$2:$Q$50)</f>
        <v>57421.568722880002</v>
      </c>
      <c r="U28" s="91" ph="1">
        <f>U27*35.891</f>
        <v>202245.785</v>
      </c>
      <c r="V28" s="91" ph="1">
        <f>V27*47.051*LOOKUP(V29,密度!$A$2:$A$50,密度!$B$2:$B$50)</f>
        <v>430984.1581462</v>
      </c>
      <c r="W28" s="91" ph="1">
        <f>W27*47.051*LOOKUP(W29,密度!$A$2:$A$50,密度!$B$2:$B$50)</f>
        <v>428208.563195</v>
      </c>
      <c r="X28" s="91" ph="1">
        <f>X27*47.051*LOOKUP(X29,密度!$A$2:$A$50,密度!$I$2:$I$50)</f>
        <v>179785.3339536</v>
      </c>
      <c r="Y28" s="91" ph="1">
        <f>Y27*47.051*LOOKUP(Y29,密度!$A$2:$A$50,密度!$L$2:$L$50)</f>
        <v>62488.433100000009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30</v>
      </c>
      <c r="G29" s="74">
        <v>29</v>
      </c>
      <c r="H29" s="74">
        <v>30</v>
      </c>
      <c r="I29" s="74">
        <v>29</v>
      </c>
      <c r="J29" s="74">
        <v>29</v>
      </c>
      <c r="K29" s="74">
        <v>29</v>
      </c>
      <c r="L29" s="74">
        <v>30</v>
      </c>
      <c r="M29" s="74">
        <v>30</v>
      </c>
      <c r="N29" s="74">
        <v>30</v>
      </c>
      <c r="O29" s="74">
        <v>29</v>
      </c>
      <c r="P29" s="74">
        <v>28</v>
      </c>
      <c r="Q29" s="93">
        <v>29</v>
      </c>
      <c r="R29" s="74">
        <v>29</v>
      </c>
      <c r="S29" s="74">
        <v>30</v>
      </c>
      <c r="T29" s="74">
        <v>30</v>
      </c>
      <c r="U29" s="74">
        <v>30</v>
      </c>
      <c r="V29" s="74">
        <v>29</v>
      </c>
      <c r="W29" s="74">
        <v>29</v>
      </c>
      <c r="X29" s="74">
        <v>32</v>
      </c>
      <c r="Y29" s="74">
        <v>30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32685.868553200002</v>
      </c>
      <c r="E33" s="182" ph="1">
        <f>M10+I10</f>
        <v>125804.0686424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08" ph="1">
        <v>0</v>
      </c>
      <c r="H33" s="182" ph="1">
        <f>N19</f>
        <v>20478.9765056</v>
      </c>
      <c r="I33" s="186" ph="1">
        <v>0</v>
      </c>
      <c r="J33" s="190" ph="1">
        <f>F10+O28</f>
        <v>308860.0659013</v>
      </c>
      <c r="K33" s="182" ph="1">
        <f>O10+K10+E28+R28</f>
        <v>281061.03635468002</v>
      </c>
      <c r="L33" s="192" ph="1">
        <f>BE27</f>
        <v>7100</v>
      </c>
      <c r="M33" s="190" ph="1">
        <f>G10+H10+W28+S28+V28+E10</f>
        <v>1990244.4846204999</v>
      </c>
      <c r="N33" s="182" ph="1">
        <f>L10+P10++G28+H28</f>
        <v>171717.321681</v>
      </c>
      <c r="O33" s="186" ph="1">
        <f>BE17</f>
        <v>2270</v>
      </c>
      <c r="P33" s="190" ph="1">
        <f>L19</f>
        <v>32332.465854719998</v>
      </c>
      <c r="Q33" s="182" ph="1">
        <f>J10+N10</f>
        <v>6519.5056064</v>
      </c>
      <c r="R33" s="186" ph="1">
        <f>BE23</f>
        <v>890</v>
      </c>
      <c r="S33" s="190" ph="1">
        <f>E10+X28</f>
        <v>503869.54136159993</v>
      </c>
      <c r="T33" s="182" ph="1">
        <f>X19</f>
        <v>3344.2093676879999</v>
      </c>
      <c r="U33" s="171" ph="1">
        <f>BE21</f>
        <v>730</v>
      </c>
      <c r="V33" s="184" ph="1">
        <f ca="1">P19+Q19+S19+M28+N28+J28</f>
        <v>158734.00611259602</v>
      </c>
      <c r="W33" s="184" ph="1">
        <f>D28+F28+V19+T28</f>
        <v>99202.980095968</v>
      </c>
      <c r="X33" s="186" ph="1">
        <f>BE29+BE31</f>
        <v>10200</v>
      </c>
      <c r="Y33" s="188" ph="1">
        <f>+Q10+R10+S10+T10+U10+V10+W10+X10+Y10</f>
        <v>179183.80751039999</v>
      </c>
      <c r="Z33" s="169" ph="1">
        <f>D10+T19+U19+Y28+Z10</f>
        <v>451979.37656351004</v>
      </c>
      <c r="AA33" s="171" ph="1">
        <f>BE19</f>
        <v>1440</v>
      </c>
      <c r="AB33" s="173" ph="1">
        <f>I19</f>
        <v>36404.209836000002</v>
      </c>
      <c r="AC33" s="175" ph="1">
        <f>AD10</f>
        <v>79694.988307200008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653" priority="97">
      <formula>ABS(D$7-D$10)&gt;=1000</formula>
    </cfRule>
  </conditionalFormatting>
  <conditionalFormatting sqref="E4 E6:E11">
    <cfRule type="expression" dxfId="1652" priority="96">
      <formula>ABS(E$7-E$10)&gt;=1000</formula>
    </cfRule>
  </conditionalFormatting>
  <conditionalFormatting sqref="F4:F11">
    <cfRule type="expression" dxfId="1651" priority="95">
      <formula>ABS(F$7-F$10)&gt;=1000</formula>
    </cfRule>
  </conditionalFormatting>
  <conditionalFormatting sqref="G4:G11">
    <cfRule type="expression" dxfId="1650" priority="94">
      <formula>ABS(G$7-G$10)&gt;=1000</formula>
    </cfRule>
  </conditionalFormatting>
  <conditionalFormatting sqref="H4:H11">
    <cfRule type="expression" dxfId="1649" priority="93">
      <formula>ABS(H$7-H$10)&gt;=1000</formula>
    </cfRule>
  </conditionalFormatting>
  <conditionalFormatting sqref="I4:I11">
    <cfRule type="expression" dxfId="1648" priority="92">
      <formula>ABS(I$7-I$10)&gt;=1000</formula>
    </cfRule>
  </conditionalFormatting>
  <conditionalFormatting sqref="J4:J11">
    <cfRule type="expression" dxfId="1647" priority="91">
      <formula>ABS(J$7-J$10)&gt;=1000</formula>
    </cfRule>
  </conditionalFormatting>
  <conditionalFormatting sqref="K4:K11">
    <cfRule type="expression" dxfId="1646" priority="90">
      <formula>ABS(K$7-K$10)&gt;=1000</formula>
    </cfRule>
  </conditionalFormatting>
  <conditionalFormatting sqref="L4:L11">
    <cfRule type="expression" dxfId="1645" priority="89">
      <formula>ABS(L$7-L$10)&gt;=1000</formula>
    </cfRule>
  </conditionalFormatting>
  <conditionalFormatting sqref="M4 M6:M11">
    <cfRule type="expression" dxfId="1644" priority="88">
      <formula>ABS(M$7-M$10)&gt;=1000</formula>
    </cfRule>
  </conditionalFormatting>
  <conditionalFormatting sqref="N4 N6:N11">
    <cfRule type="expression" dxfId="1643" priority="87">
      <formula>ABS(N$7-N$10)&gt;=1000</formula>
    </cfRule>
  </conditionalFormatting>
  <conditionalFormatting sqref="O4 O6:O11">
    <cfRule type="expression" dxfId="1642" priority="86">
      <formula>ABS(O$7-O$10)&gt;=1000</formula>
    </cfRule>
  </conditionalFormatting>
  <conditionalFormatting sqref="P4 P6:P11">
    <cfRule type="expression" dxfId="1641" priority="85">
      <formula>ABS(P$7-P$10)&gt;=1000</formula>
    </cfRule>
  </conditionalFormatting>
  <conditionalFormatting sqref="Q4:Q11">
    <cfRule type="expression" dxfId="1640" priority="84">
      <formula>ABS(Q$7-Q$10)&gt;=1000</formula>
    </cfRule>
  </conditionalFormatting>
  <conditionalFormatting sqref="R4:R11">
    <cfRule type="expression" dxfId="1639" priority="83">
      <formula>ABS(R$7-R$10)&gt;=1000</formula>
    </cfRule>
  </conditionalFormatting>
  <conditionalFormatting sqref="S4:S11">
    <cfRule type="expression" dxfId="1638" priority="82">
      <formula>ABS(S$7-S$10)&gt;=1000</formula>
    </cfRule>
  </conditionalFormatting>
  <conditionalFormatting sqref="T4:T9 T11">
    <cfRule type="expression" dxfId="1637" priority="81">
      <formula>ABS(T$7-T$10)&gt;=1000</formula>
    </cfRule>
  </conditionalFormatting>
  <conditionalFormatting sqref="U4:U9 U11">
    <cfRule type="expression" dxfId="1636" priority="80">
      <formula>ABS(U$7-U$10)&gt;=1000</formula>
    </cfRule>
  </conditionalFormatting>
  <conditionalFormatting sqref="V4:V9 V11">
    <cfRule type="expression" dxfId="1635" priority="79">
      <formula>ABS(V$7-V$10)&gt;=1000</formula>
    </cfRule>
  </conditionalFormatting>
  <conditionalFormatting sqref="W4:W9 W11">
    <cfRule type="expression" dxfId="1634" priority="78">
      <formula>ABS(W$7-W$10)&gt;=1000</formula>
    </cfRule>
  </conditionalFormatting>
  <conditionalFormatting sqref="X4:X9 X11">
    <cfRule type="expression" dxfId="1633" priority="77">
      <formula>ABS(X$7-X$10)&gt;=1000</formula>
    </cfRule>
  </conditionalFormatting>
  <conditionalFormatting sqref="Y4:Y9 Y11">
    <cfRule type="expression" dxfId="1632" priority="76">
      <formula>ABS(Y$7-Y$10)&gt;=1000</formula>
    </cfRule>
  </conditionalFormatting>
  <conditionalFormatting sqref="Z4:Z11">
    <cfRule type="expression" dxfId="1631" priority="75">
      <formula>ABS(Z$7-Z$10)&gt;=1000</formula>
    </cfRule>
  </conditionalFormatting>
  <conditionalFormatting sqref="AA4:AA11">
    <cfRule type="expression" dxfId="1630" priority="74">
      <formula>ABS(AA$7-AA$10)&gt;=1000</formula>
    </cfRule>
  </conditionalFormatting>
  <conditionalFormatting sqref="AB4:AB11">
    <cfRule type="expression" dxfId="1629" priority="73">
      <formula>ABS(AB$7-AB$10)&gt;=1000</formula>
    </cfRule>
  </conditionalFormatting>
  <conditionalFormatting sqref="AC4 AC6:AC11">
    <cfRule type="expression" dxfId="1628" priority="72">
      <formula>ABS(AC$7-AC$10)&gt;=1000</formula>
    </cfRule>
  </conditionalFormatting>
  <conditionalFormatting sqref="AD4:AD11">
    <cfRule type="expression" dxfId="1627" priority="71">
      <formula>ABS(AD$7-AD$10)&gt;=1000</formula>
    </cfRule>
  </conditionalFormatting>
  <conditionalFormatting sqref="AE4:AE11">
    <cfRule type="expression" dxfId="1626" priority="70">
      <formula>ABS(AE$7-AE$10)&gt;=1000</formula>
    </cfRule>
  </conditionalFormatting>
  <conditionalFormatting sqref="D13:D20">
    <cfRule type="expression" dxfId="1625" priority="69">
      <formula>ABS(D$16-D$19)&gt;=1000</formula>
    </cfRule>
  </conditionalFormatting>
  <conditionalFormatting sqref="E13:E20">
    <cfRule type="expression" dxfId="1624" priority="68">
      <formula>ABS(E$16-E$19)&gt;=1000</formula>
    </cfRule>
  </conditionalFormatting>
  <conditionalFormatting sqref="F13 F15:F20">
    <cfRule type="expression" dxfId="1623" priority="67">
      <formula>ABS(F$16-F$19)&gt;=1000</formula>
    </cfRule>
  </conditionalFormatting>
  <conditionalFormatting sqref="G13:G20">
    <cfRule type="expression" dxfId="1622" priority="66">
      <formula>ABS(G$16-G$19)&gt;=1000</formula>
    </cfRule>
  </conditionalFormatting>
  <conditionalFormatting sqref="H13:H20">
    <cfRule type="expression" dxfId="1621" priority="65">
      <formula>ABS(H$16-H$19)&gt;=1000</formula>
    </cfRule>
  </conditionalFormatting>
  <conditionalFormatting sqref="I13:I20">
    <cfRule type="expression" dxfId="1620" priority="64">
      <formula>ABS(I$16-I$19)&gt;=1000</formula>
    </cfRule>
  </conditionalFormatting>
  <conditionalFormatting sqref="J13:J20">
    <cfRule type="expression" dxfId="1619" priority="63">
      <formula>ABS(J$16-J$19)&gt;=1000</formula>
    </cfRule>
  </conditionalFormatting>
  <conditionalFormatting sqref="L13:L20">
    <cfRule type="expression" dxfId="1618" priority="62">
      <formula>ABS(L$16-L$19)&gt;=1000</formula>
    </cfRule>
  </conditionalFormatting>
  <conditionalFormatting sqref="M13 M15 M17:M18 M20">
    <cfRule type="expression" dxfId="1617" priority="61">
      <formula>ABS(M$16-M$19)&gt;=1000</formula>
    </cfRule>
  </conditionalFormatting>
  <conditionalFormatting sqref="N13:N20">
    <cfRule type="expression" dxfId="1616" priority="60">
      <formula>ABS(N$16-N$19)&gt;=1000</formula>
    </cfRule>
  </conditionalFormatting>
  <conditionalFormatting sqref="O13:O20">
    <cfRule type="expression" dxfId="1615" priority="59">
      <formula>ABS(O$16-O$19)&gt;=1000</formula>
    </cfRule>
  </conditionalFormatting>
  <conditionalFormatting sqref="P13:P20">
    <cfRule type="expression" dxfId="1614" priority="58">
      <formula>ABS(P$16-P$19)&gt;=1000</formula>
    </cfRule>
  </conditionalFormatting>
  <conditionalFormatting sqref="Q13 Q15:Q20">
    <cfRule type="expression" dxfId="1613" priority="57">
      <formula>ABS(Q$16-Q$19)&gt;=1000</formula>
    </cfRule>
  </conditionalFormatting>
  <conditionalFormatting sqref="R13:R20">
    <cfRule type="expression" dxfId="1612" priority="56">
      <formula>ABS(R$16-R$19)&gt;=1000</formula>
    </cfRule>
  </conditionalFormatting>
  <conditionalFormatting sqref="S13:S20">
    <cfRule type="expression" dxfId="1611" priority="55">
      <formula>ABS(S$16-S$19)&gt;=1000</formula>
    </cfRule>
  </conditionalFormatting>
  <conditionalFormatting sqref="T13:T20">
    <cfRule type="expression" dxfId="1610" priority="54">
      <formula>ABS(T$16-T$19)&gt;=1000</formula>
    </cfRule>
  </conditionalFormatting>
  <conditionalFormatting sqref="U13:U20">
    <cfRule type="expression" dxfId="1609" priority="53">
      <formula>ABS(U$16-U$19)&gt;=1000</formula>
    </cfRule>
  </conditionalFormatting>
  <conditionalFormatting sqref="V13:V20">
    <cfRule type="expression" dxfId="1608" priority="52">
      <formula>ABS(V$16-V$19)&gt;=1000</formula>
    </cfRule>
  </conditionalFormatting>
  <conditionalFormatting sqref="W13 W20 W15:W18">
    <cfRule type="expression" dxfId="1607" priority="51">
      <formula>ABS(W$16-W$19)&gt;=1000</formula>
    </cfRule>
  </conditionalFormatting>
  <conditionalFormatting sqref="X13 X15:X20 Y19">
    <cfRule type="expression" dxfId="1606" priority="50">
      <formula>ABS(X$16-X$19)&gt;=1000</formula>
    </cfRule>
  </conditionalFormatting>
  <conditionalFormatting sqref="Y13 Y15:Y18 Y20">
    <cfRule type="expression" dxfId="1605" priority="49">
      <formula>ABS(Y$16-Y$19)&gt;=1000</formula>
    </cfRule>
  </conditionalFormatting>
  <conditionalFormatting sqref="Z13:Z20">
    <cfRule type="expression" dxfId="1604" priority="48">
      <formula>ABS(Z$16-Z$19)&gt;=1000</formula>
    </cfRule>
  </conditionalFormatting>
  <conditionalFormatting sqref="AA13:AA20">
    <cfRule type="expression" dxfId="1603" priority="47">
      <formula>ABS(AA$16-AA$19)&gt;=1000</formula>
    </cfRule>
  </conditionalFormatting>
  <conditionalFormatting sqref="AB13 AB15:AB20">
    <cfRule type="expression" dxfId="1602" priority="46">
      <formula>ABS(AB$16-AB$19)&gt;=1000</formula>
    </cfRule>
  </conditionalFormatting>
  <conditionalFormatting sqref="AC13 AC15:AC20">
    <cfRule type="expression" dxfId="1601" priority="45">
      <formula>ABS(AC$16-AC$19)&gt;=1000</formula>
    </cfRule>
  </conditionalFormatting>
  <conditionalFormatting sqref="AD13:AD20">
    <cfRule type="expression" dxfId="1600" priority="44">
      <formula>ABS(AD$16-AD$19)&gt;=1000</formula>
    </cfRule>
  </conditionalFormatting>
  <conditionalFormatting sqref="AE13:AE20">
    <cfRule type="expression" dxfId="1599" priority="43">
      <formula>ABS(AE$16-AE$19)&gt;=1000</formula>
    </cfRule>
  </conditionalFormatting>
  <conditionalFormatting sqref="D22:D29">
    <cfRule type="expression" dxfId="1598" priority="42">
      <formula>ABS(D$25-D$28)&gt;=1000</formula>
    </cfRule>
  </conditionalFormatting>
  <conditionalFormatting sqref="E22:E29">
    <cfRule type="expression" dxfId="1597" priority="41">
      <formula>ABS(E$25-E$28)&gt;=1000</formula>
    </cfRule>
  </conditionalFormatting>
  <conditionalFormatting sqref="F22:F29">
    <cfRule type="expression" dxfId="1596" priority="40">
      <formula>ABS(F$25-F$28)&gt;=1000</formula>
    </cfRule>
  </conditionalFormatting>
  <conditionalFormatting sqref="G22:G29">
    <cfRule type="expression" dxfId="1595" priority="39">
      <formula>ABS(G$25-G$28)&gt;=1000</formula>
    </cfRule>
  </conditionalFormatting>
  <conditionalFormatting sqref="H22:H29">
    <cfRule type="expression" dxfId="1594" priority="38">
      <formula>ABS(H$25-H$28)&gt;=1000</formula>
    </cfRule>
  </conditionalFormatting>
  <conditionalFormatting sqref="I22 I24:I29">
    <cfRule type="expression" dxfId="1593" priority="37">
      <formula>ABS(I$25-I$28)&gt;=1000</formula>
    </cfRule>
  </conditionalFormatting>
  <conditionalFormatting sqref="J22:J29 K22">
    <cfRule type="expression" dxfId="1592" priority="36">
      <formula>ABS(J$25-J$28)&gt;=1000</formula>
    </cfRule>
  </conditionalFormatting>
  <conditionalFormatting sqref="K23:K29 L25 L28">
    <cfRule type="expression" dxfId="1591" priority="35">
      <formula>ABS(K$25-K$28)&gt;=1000</formula>
    </cfRule>
  </conditionalFormatting>
  <conditionalFormatting sqref="L22 L26:L27 L29 L24">
    <cfRule type="expression" dxfId="1590" priority="34">
      <formula>ABS(L$25-L$28)&gt;=1000</formula>
    </cfRule>
  </conditionalFormatting>
  <conditionalFormatting sqref="M22:M29">
    <cfRule type="expression" dxfId="1589" priority="33">
      <formula>ABS(M$25-M$28)&gt;=1000</formula>
    </cfRule>
  </conditionalFormatting>
  <conditionalFormatting sqref="N22:N29">
    <cfRule type="expression" dxfId="1588" priority="32">
      <formula>ABS(N$25-N$28)&gt;=1000</formula>
    </cfRule>
  </conditionalFormatting>
  <conditionalFormatting sqref="O22:O29">
    <cfRule type="expression" dxfId="1587" priority="31">
      <formula>ABS(O$25-O$28)&gt;=1000</formula>
    </cfRule>
  </conditionalFormatting>
  <conditionalFormatting sqref="P22:P29">
    <cfRule type="expression" dxfId="1586" priority="30">
      <formula>ABS(P$25-P$28)&gt;=1000</formula>
    </cfRule>
  </conditionalFormatting>
  <conditionalFormatting sqref="Q22:Q29">
    <cfRule type="expression" dxfId="1585" priority="29">
      <formula>ABS(Q$25-Q$28)&gt;=1000</formula>
    </cfRule>
  </conditionalFormatting>
  <conditionalFormatting sqref="R22:R29">
    <cfRule type="expression" dxfId="1584" priority="28">
      <formula>ABS(R$25-R$28)&gt;=1000</formula>
    </cfRule>
  </conditionalFormatting>
  <conditionalFormatting sqref="S22:S29">
    <cfRule type="expression" dxfId="1583" priority="27">
      <formula>ABS(S$25-S$28)&gt;=1000</formula>
    </cfRule>
  </conditionalFormatting>
  <conditionalFormatting sqref="T22:T29">
    <cfRule type="expression" dxfId="1582" priority="26">
      <formula>ABS(T$25-T$28)&gt;=1000</formula>
    </cfRule>
  </conditionalFormatting>
  <conditionalFormatting sqref="U22:U29">
    <cfRule type="expression" dxfId="1581" priority="25">
      <formula>ABS(U$25-U$28)&gt;=1000</formula>
    </cfRule>
  </conditionalFormatting>
  <conditionalFormatting sqref="V22:V29">
    <cfRule type="expression" dxfId="1580" priority="24">
      <formula>ABS(V$25-V$28)&gt;=1000</formula>
    </cfRule>
  </conditionalFormatting>
  <conditionalFormatting sqref="W22:W29">
    <cfRule type="expression" dxfId="1579" priority="23">
      <formula>ABS(W$25-W$28)&gt;=1000</formula>
    </cfRule>
  </conditionalFormatting>
  <conditionalFormatting sqref="X22:X29">
    <cfRule type="expression" dxfId="1578" priority="22">
      <formula>ABS(X$25-X$28)&gt;=1000</formula>
    </cfRule>
  </conditionalFormatting>
  <conditionalFormatting sqref="Y22:Y29">
    <cfRule type="expression" dxfId="1577" priority="21">
      <formula>ABS(Y$25-Y$28)&gt;=1000</formula>
    </cfRule>
  </conditionalFormatting>
  <conditionalFormatting sqref="I23">
    <cfRule type="expression" dxfId="1576" priority="20">
      <formula>ABS(I$25-I$28)&gt;=1000</formula>
    </cfRule>
  </conditionalFormatting>
  <conditionalFormatting sqref="Q14">
    <cfRule type="expression" dxfId="1575" priority="19">
      <formula>ABS(Q$16-Q$19)&gt;=1000</formula>
    </cfRule>
  </conditionalFormatting>
  <conditionalFormatting sqref="W14">
    <cfRule type="expression" dxfId="1574" priority="18">
      <formula>ABS(W$16-W$19)&gt;=1000</formula>
    </cfRule>
  </conditionalFormatting>
  <conditionalFormatting sqref="Y14">
    <cfRule type="expression" dxfId="1573" priority="17">
      <formula>ABS(Y$16-Y$19)&gt;=1000</formula>
    </cfRule>
  </conditionalFormatting>
  <conditionalFormatting sqref="X14">
    <cfRule type="expression" dxfId="1572" priority="16">
      <formula>ABS(X$16-X$19)&gt;=1000</formula>
    </cfRule>
  </conditionalFormatting>
  <conditionalFormatting sqref="T10:Y10">
    <cfRule type="expression" dxfId="1571" priority="15">
      <formula>ABS(T$7-T$10)&gt;=1000</formula>
    </cfRule>
  </conditionalFormatting>
  <conditionalFormatting sqref="W19">
    <cfRule type="expression" dxfId="1570" priority="14">
      <formula>ABS(W$16-W$19)&gt;=1000</formula>
    </cfRule>
  </conditionalFormatting>
  <conditionalFormatting sqref="AC5">
    <cfRule type="expression" dxfId="1569" priority="13">
      <formula>ABS(AC$7-AC$10)&gt;=1000</formula>
    </cfRule>
  </conditionalFormatting>
  <conditionalFormatting sqref="M14">
    <cfRule type="expression" dxfId="1568" priority="12">
      <formula>ABS(M$16-M$19)&gt;=1000</formula>
    </cfRule>
  </conditionalFormatting>
  <conditionalFormatting sqref="M16">
    <cfRule type="expression" dxfId="1567" priority="11">
      <formula>ABS(M$16-M$19)&gt;=1000</formula>
    </cfRule>
  </conditionalFormatting>
  <conditionalFormatting sqref="M19">
    <cfRule type="expression" dxfId="1566" priority="10">
      <formula>ABS(M$16-M$19)&gt;=1000</formula>
    </cfRule>
  </conditionalFormatting>
  <conditionalFormatting sqref="K13:K20">
    <cfRule type="expression" dxfId="1565" priority="9">
      <formula>ABS(K$16-K$19)&gt;=1000</formula>
    </cfRule>
  </conditionalFormatting>
  <conditionalFormatting sqref="E5">
    <cfRule type="expression" dxfId="1564" priority="8">
      <formula>ABS(E$7-E$10)&gt;=1000</formula>
    </cfRule>
  </conditionalFormatting>
  <conditionalFormatting sqref="AB14:AC14">
    <cfRule type="expression" dxfId="1563" priority="7">
      <formula>ABS(AB$16-AB$19)&gt;=1000</formula>
    </cfRule>
  </conditionalFormatting>
  <conditionalFormatting sqref="M5">
    <cfRule type="expression" dxfId="1562" priority="6">
      <formula>ABS(M$7-M$10)&gt;=1000</formula>
    </cfRule>
  </conditionalFormatting>
  <conditionalFormatting sqref="N5">
    <cfRule type="expression" dxfId="1561" priority="5">
      <formula>ABS(N$7-N$10)&gt;=1000</formula>
    </cfRule>
  </conditionalFormatting>
  <conditionalFormatting sqref="O5">
    <cfRule type="expression" dxfId="1560" priority="4">
      <formula>ABS(O$7-O$10)&gt;=1000</formula>
    </cfRule>
  </conditionalFormatting>
  <conditionalFormatting sqref="P5">
    <cfRule type="expression" dxfId="1559" priority="3">
      <formula>ABS(P$7-P$10)&gt;=1000</formula>
    </cfRule>
  </conditionalFormatting>
  <conditionalFormatting sqref="L23">
    <cfRule type="expression" dxfId="1558" priority="2">
      <formula>ABS(L$25-L$28)&gt;=1000</formula>
    </cfRule>
  </conditionalFormatting>
  <conditionalFormatting sqref="F14">
    <cfRule type="expression" dxfId="1557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35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01">
    <pageSetUpPr fitToPage="1"/>
  </sheetPr>
  <dimension ref="A1:CU223"/>
  <sheetViews>
    <sheetView view="pageBreakPreview" topLeftCell="A19" zoomScale="80" zoomScaleNormal="100" zoomScaleSheetLayoutView="80" workbookViewId="0">
      <selection activeCell="X24" sqref="X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45883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6584</v>
      </c>
      <c r="E6" s="71">
        <v>8108</v>
      </c>
      <c r="F6" s="71">
        <v>6031</v>
      </c>
      <c r="G6" s="71">
        <v>9018</v>
      </c>
      <c r="H6" s="71">
        <v>5696</v>
      </c>
      <c r="I6" s="71">
        <v>40.51</v>
      </c>
      <c r="J6" s="71">
        <v>64.819999999999993</v>
      </c>
      <c r="K6" s="71">
        <v>85.31</v>
      </c>
      <c r="L6" s="71">
        <v>30.51</v>
      </c>
      <c r="M6" s="71">
        <v>3357</v>
      </c>
      <c r="N6" s="71">
        <v>185</v>
      </c>
      <c r="O6" s="71">
        <v>5378</v>
      </c>
      <c r="P6" s="71">
        <v>2642</v>
      </c>
      <c r="Q6" s="71">
        <v>6417</v>
      </c>
      <c r="R6" s="71">
        <v>7237</v>
      </c>
      <c r="S6" s="71">
        <v>5549</v>
      </c>
      <c r="T6" s="71">
        <v>2979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4430</v>
      </c>
      <c r="AA6" s="71">
        <v>556</v>
      </c>
      <c r="AB6" s="71">
        <v>660</v>
      </c>
      <c r="AC6" s="71">
        <v>3062</v>
      </c>
      <c r="AD6" s="71">
        <v>3872</v>
      </c>
      <c r="AE6" s="71">
        <v>2654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206095.78766376001</v>
      </c>
      <c r="E7" s="73" ph="1">
        <f>E6*51.53*LOOKUP(E8,密度!$A$2:$A$50,密度!$B$2:$B$50)</f>
        <v>324300.42728800001</v>
      </c>
      <c r="F7" s="73" ph="1">
        <f>F6*33.183*LOOKUP(F8,密度!$A$2:$A$50,密度!$C$2:$C$50)</f>
        <v>221320.08767070004</v>
      </c>
      <c r="G7" s="73" ph="1">
        <f xml:space="preserve"> (G6+2)*51.53*LOOKUP(G8,密度!$A$2:$A$50,密度!$B$2:$B$50)</f>
        <v>360778.22572000005</v>
      </c>
      <c r="H7" s="73" ph="1">
        <f>(H6)*51.53*LOOKUP(H8,密度!$A$2:$A$50,密度!$B$2:$B$50)</f>
        <v>227562.08646399999</v>
      </c>
      <c r="I7" s="73" ph="1">
        <f>I6*290.8*1.0267</f>
        <v>12094.842223599999</v>
      </c>
      <c r="J7" s="73" ph="1">
        <f>J6*290.8*0.7892</f>
        <v>14876.148515199999</v>
      </c>
      <c r="K7" s="73" ph="1">
        <f>K6*290.8*1.1126</f>
        <v>27601.545464800001</v>
      </c>
      <c r="L7" s="73" ph="1">
        <f>L6*290.8*0.777</f>
        <v>6893.7833160000009</v>
      </c>
      <c r="M7" s="73" ph="1">
        <f>M6*33.183*LOOKUP(M8,密度!$A$2:$A$50,密度!$D$2:$D$50)</f>
        <v>113846.02828200001</v>
      </c>
      <c r="N7" s="73" ph="1">
        <f>N6*33.183*LOOKUP(N8,密度!$A$2:$A$50,密度!$E$2:$E$50)</f>
        <v>4766.5139647499991</v>
      </c>
      <c r="O7" s="73" ph="1">
        <f>O6*20.428*LOOKUP(O8,密度!$A$2:$A$50,密度!$C$2:$C$50)</f>
        <v>121067.68596800001</v>
      </c>
      <c r="P7" s="73" ph="1">
        <f>P6*51.53*LOOKUP(P8,密度!$A$2:$A$50,密度!$B$2:$B$50)</f>
        <v>105905.06405400002</v>
      </c>
      <c r="Q7" s="73" ph="1">
        <f>Q6*1.5*1.5*3.1416*LOOKUP(W8,密度!$A$2:$A$50,密度!$L$2:$L$50)</f>
        <v>42320.139384600006</v>
      </c>
      <c r="R7" s="73" ph="1">
        <f>R6*1.5*1.5*3.1416*LOOKUP(R8,密度!$A$2:$A$50,密度!$L$2:$L$50)</f>
        <v>47472.265209600002</v>
      </c>
      <c r="S7" s="73" ph="1">
        <f>S6*1.5*1.5*3.1416*LOOKUP(S8,密度!$A$2:$A$50,密度!$L$2:$L$50)</f>
        <v>36752.570731799999</v>
      </c>
      <c r="T7" s="73" ph="1">
        <f>T6*1.5*1.5*3.1416*LOOKUP(T8,密度!$A$2:$A$50,密度!$L$2:$L$50)</f>
        <v>19751.803117200001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137445.64515</v>
      </c>
      <c r="AA7" s="73" ph="1">
        <f>AA6*33.183*LOOKUP(AA8,密度!$A$2:$A$50,密度!$D$2:$D$50)</f>
        <v>18855.642456000001</v>
      </c>
      <c r="AB7" s="73" ph="1">
        <f>AB6*20.428*LOOKUP(AB8,密度!$A$2:$A$50,密度!$D$2:$D$50)</f>
        <v>13868.078928000001</v>
      </c>
      <c r="AC7" s="73" ph="1">
        <f>AC6*51.53*LOOKUP(AC8,密度!$A$2:$A$50,密度!$Q$2:$Q$50)</f>
        <v>149157.18385520001</v>
      </c>
      <c r="AD7" s="73" ph="1">
        <f>AD6*20.428*LOOKUP(AD8,密度!$A$2:$A$50,密度!$V$2:$V$50)</f>
        <v>75743.494041600003</v>
      </c>
      <c r="AE7" s="73" ph="1">
        <f>AE6*20.428</f>
        <v>54215.912000000004</v>
      </c>
    </row>
    <row r="8" spans="1:99" ph="1">
      <c r="B8" s="233" ph="1"/>
      <c r="C8" s="68" t="s" ph="1">
        <v>180</v>
      </c>
      <c r="D8" s="74">
        <v>30</v>
      </c>
      <c r="E8" s="74">
        <v>29</v>
      </c>
      <c r="F8" s="74">
        <v>29</v>
      </c>
      <c r="G8" s="74">
        <v>29</v>
      </c>
      <c r="H8" s="74">
        <v>30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33</v>
      </c>
      <c r="P8" s="74">
        <v>27</v>
      </c>
      <c r="Q8" s="74">
        <v>30</v>
      </c>
      <c r="R8" s="74">
        <v>34</v>
      </c>
      <c r="S8" s="74">
        <v>25</v>
      </c>
      <c r="T8" s="74">
        <v>24</v>
      </c>
      <c r="U8" s="74">
        <v>28</v>
      </c>
      <c r="V8" s="74">
        <v>28</v>
      </c>
      <c r="W8" s="74">
        <v>29</v>
      </c>
      <c r="X8" s="74">
        <v>20</v>
      </c>
      <c r="Y8" s="74">
        <v>28</v>
      </c>
      <c r="Z8" s="74">
        <v>27</v>
      </c>
      <c r="AA8" s="74">
        <v>30</v>
      </c>
      <c r="AB8" s="74">
        <v>23</v>
      </c>
      <c r="AC8" s="74">
        <v>27</v>
      </c>
      <c r="AD8" s="74">
        <v>28</v>
      </c>
      <c r="AE8" s="74">
        <v>34</v>
      </c>
    </row>
    <row r="9" spans="1:99" ht="26.4" ph="1">
      <c r="B9" s="233" ph="1">
        <v>0.66666666666666663</v>
      </c>
      <c r="C9" s="150" t="s" ph="1">
        <v>181</v>
      </c>
      <c r="D9" s="71">
        <v>6588</v>
      </c>
      <c r="E9" s="71">
        <v>8108</v>
      </c>
      <c r="F9" s="71">
        <v>6853</v>
      </c>
      <c r="G9" s="71">
        <v>9022</v>
      </c>
      <c r="H9" s="71">
        <v>6486</v>
      </c>
      <c r="I9" s="71">
        <v>40.61</v>
      </c>
      <c r="J9" s="71">
        <v>27.22</v>
      </c>
      <c r="K9" s="71">
        <v>85.31</v>
      </c>
      <c r="L9" s="71">
        <v>30.51</v>
      </c>
      <c r="M9" s="71">
        <v>3358</v>
      </c>
      <c r="N9" s="71">
        <v>846</v>
      </c>
      <c r="O9" s="71">
        <v>5379</v>
      </c>
      <c r="P9" s="71">
        <v>2799</v>
      </c>
      <c r="Q9" s="71">
        <v>4099</v>
      </c>
      <c r="R9" s="71">
        <v>7246</v>
      </c>
      <c r="S9" s="71">
        <v>5557</v>
      </c>
      <c r="T9" s="71">
        <v>5759</v>
      </c>
      <c r="U9" s="71">
        <v>2893</v>
      </c>
      <c r="V9" s="71">
        <v>0</v>
      </c>
      <c r="W9" s="71">
        <v>0</v>
      </c>
      <c r="X9" s="71">
        <v>0</v>
      </c>
      <c r="Y9" s="71">
        <v>0</v>
      </c>
      <c r="Z9" s="71">
        <v>2903</v>
      </c>
      <c r="AA9" s="71">
        <v>555</v>
      </c>
      <c r="AB9" s="71">
        <v>658</v>
      </c>
      <c r="AC9" s="71">
        <v>3157</v>
      </c>
      <c r="AD9" s="71">
        <v>3593</v>
      </c>
      <c r="AE9" s="71">
        <v>2654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206057.04053832</v>
      </c>
      <c r="E10" s="73" ph="1">
        <f>E9*51.53*LOOKUP(E11,密度!$A$2:$A$50,密度!$B$2:$B$50)</f>
        <v>323548.37785599998</v>
      </c>
      <c r="F10" s="73" ph="1">
        <f>F9*33.183*LOOKUP(F11,密度!$A$2:$A$50,密度!$C$2:$C$50)</f>
        <v>251303.16470489997</v>
      </c>
      <c r="G10" s="73" ph="1">
        <f xml:space="preserve"> (G9+2)*51.53*LOOKUP(G11,密度!$A$2:$A$50,密度!$B$2:$B$50)</f>
        <v>358473.68044800003</v>
      </c>
      <c r="H10" s="73" ph="1">
        <f>(H9)*51.53*LOOKUP(H11,密度!$A$2:$A$50,密度!$B$2:$B$50)</f>
        <v>256783.97651400001</v>
      </c>
      <c r="I10" s="73" ph="1">
        <f>I9*290.8*1.0267</f>
        <v>12124.698659600001</v>
      </c>
      <c r="J10" s="73" ph="1">
        <f>J9*290.8*0.7892</f>
        <v>6246.9725791999999</v>
      </c>
      <c r="K10" s="73" ph="1">
        <f>K9*290.8*1.1126</f>
        <v>27601.545464800001</v>
      </c>
      <c r="L10" s="73" ph="1">
        <f>L9*290.8*0.777</f>
        <v>6893.7833160000009</v>
      </c>
      <c r="M10" s="73" ph="1">
        <f>M9*33.183*LOOKUP(M11,密度!$A$2:$A$50,密度!$D$2:$D$50)</f>
        <v>113489.941509</v>
      </c>
      <c r="N10" s="73" ph="1">
        <f>N9*33.183*LOOKUP(N11,密度!$A$2:$A$50,密度!$E$2:$E$50)</f>
        <v>21797.1395361</v>
      </c>
      <c r="O10" s="73" ph="1">
        <f>O9*20.428*LOOKUP(O11,密度!$A$2:$A$50,密度!$C$2:$C$50)</f>
        <v>120507.8219004</v>
      </c>
      <c r="P10" s="73" ph="1">
        <f>P9*51.53*LOOKUP(P11,密度!$A$2:$A$50,密度!$B$2:$B$50)</f>
        <v>110929.192677</v>
      </c>
      <c r="Q10" s="73" ph="1">
        <f>Q9*1.5*1.5*3.1416*LOOKUP(W11,密度!$A$2:$A$50,密度!$L$2:$L$50)</f>
        <v>26598.307705200001</v>
      </c>
      <c r="R10" s="73" ph="1">
        <f>R9*1.5*1.5*3.1416*LOOKUP(R11,密度!$A$2:$A$50,密度!$L$2:$L$50)</f>
        <v>47428.8640056</v>
      </c>
      <c r="S10" s="73" ph="1">
        <f>S9*1.5*1.5*3.1416*LOOKUP(S11,密度!$A$2:$A$50,密度!$L$2:$L$50)</f>
        <v>36726.996537000006</v>
      </c>
      <c r="T10" s="73" ph="1">
        <f>T9*1.5*1.5*3.1416*LOOKUP(T11,密度!$A$2:$A$50,密度!$L$2:$L$50)</f>
        <v>38184.167221199998</v>
      </c>
      <c r="U10" s="73" ph="1">
        <f>U9*1.5*1.5*3.1416*LOOKUP(U11,密度!$A$2:$A$50,密度!$L$2:$L$50)</f>
        <v>19140.694372800001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89876.122317000001</v>
      </c>
      <c r="AA10" s="73" ph="1">
        <f>AA9*33.183*LOOKUP(AA11,密度!$A$2:$A$50,密度!$D$2:$D$50)</f>
        <v>18740.696543999999</v>
      </c>
      <c r="AB10" s="73" ph="1">
        <f>AB9*20.428*LOOKUP(AB11,密度!$A$2:$A$50,密度!$D$2:$D$50)</f>
        <v>13713.1448048</v>
      </c>
      <c r="AC10" s="73" ph="1">
        <f>AC9*51.53*LOOKUP(AC11,密度!$A$2:$A$50,密度!$Q$2:$Q$50)</f>
        <v>153461.12249929999</v>
      </c>
      <c r="AD10" s="73" ph="1">
        <f>AD9*20.428*LOOKUP(AD11,密度!$A$2:$A$50,密度!$V$2:$V$50)</f>
        <v>70285.737110400005</v>
      </c>
      <c r="AE10" s="73" ph="1">
        <f>AE9*20.428</f>
        <v>54215.912000000004</v>
      </c>
    </row>
    <row r="11" spans="1:99" ph="1">
      <c r="A11" s="64" t="s" ph="1">
        <v>163</v>
      </c>
      <c r="B11" s="233" ph="1"/>
      <c r="C11" s="150" t="s" ph="1">
        <v>180</v>
      </c>
      <c r="D11" s="74">
        <v>31</v>
      </c>
      <c r="E11" s="74">
        <v>31</v>
      </c>
      <c r="F11" s="74">
        <v>30</v>
      </c>
      <c r="G11" s="74">
        <v>35</v>
      </c>
      <c r="H11" s="74">
        <v>38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31</v>
      </c>
      <c r="O11" s="74">
        <v>38</v>
      </c>
      <c r="P11" s="74">
        <v>37</v>
      </c>
      <c r="Q11" s="74">
        <v>33</v>
      </c>
      <c r="R11" s="74">
        <v>36</v>
      </c>
      <c r="S11" s="74">
        <v>27</v>
      </c>
      <c r="T11" s="74">
        <v>24</v>
      </c>
      <c r="U11" s="74">
        <v>26</v>
      </c>
      <c r="V11" s="74">
        <v>29</v>
      </c>
      <c r="W11" s="74">
        <v>44</v>
      </c>
      <c r="X11" s="74">
        <v>29</v>
      </c>
      <c r="Y11" s="74">
        <v>32</v>
      </c>
      <c r="Z11" s="74">
        <v>29</v>
      </c>
      <c r="AA11" s="74">
        <v>35</v>
      </c>
      <c r="AB11" s="74">
        <v>32</v>
      </c>
      <c r="AC11" s="74">
        <v>30</v>
      </c>
      <c r="AD11" s="74">
        <v>36</v>
      </c>
      <c r="AE11" s="74">
        <v>36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2869</v>
      </c>
      <c r="E15" s="78">
        <v>2710</v>
      </c>
      <c r="F15" s="78">
        <v>3289</v>
      </c>
      <c r="G15" s="78">
        <v>3863</v>
      </c>
      <c r="H15" s="78">
        <v>0</v>
      </c>
      <c r="I15" s="78">
        <v>3930</v>
      </c>
      <c r="J15" s="78">
        <v>1158</v>
      </c>
      <c r="K15" s="78">
        <v>3106</v>
      </c>
      <c r="L15" s="78">
        <v>2581</v>
      </c>
      <c r="M15" s="78">
        <v>6588</v>
      </c>
      <c r="N15" s="78">
        <v>2588</v>
      </c>
      <c r="O15" s="78">
        <v>6890</v>
      </c>
      <c r="P15" s="78">
        <v>1818</v>
      </c>
      <c r="Q15" s="78">
        <v>6548</v>
      </c>
      <c r="R15" s="78">
        <v>0</v>
      </c>
      <c r="S15" s="78">
        <v>5955</v>
      </c>
      <c r="T15" s="78">
        <v>2001</v>
      </c>
      <c r="U15" s="78">
        <v>3541</v>
      </c>
      <c r="V15" s="78">
        <v>-142</v>
      </c>
      <c r="W15" s="71">
        <v>2511</v>
      </c>
      <c r="X15" s="78">
        <v>-262</v>
      </c>
      <c r="Y15" s="106">
        <v>-9907</v>
      </c>
      <c r="Z15" s="78">
        <v>0</v>
      </c>
      <c r="AA15" s="78">
        <v>6142</v>
      </c>
      <c r="AB15" s="78" ph="1">
        <v>356</v>
      </c>
      <c r="AC15" s="78" ph="1">
        <v>774</v>
      </c>
      <c r="AD15" s="78">
        <v>47.72</v>
      </c>
      <c r="AE15" s="78">
        <v>5.1100000000000003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18900.7860888</v>
      </c>
      <c r="E16" s="73" ph="1">
        <f>E15*7.0686*LOOKUP(E17,密度!$A$2:$A$50,密度!$L$2:$L$50)</f>
        <v>17853.304392000002</v>
      </c>
      <c r="F16" s="73" ph="1">
        <f>F15*9.0746*LOOKUP(F17,密度!$A$2:$A$50,密度!$L$2:$L$50)</f>
        <v>27757.114242000003</v>
      </c>
      <c r="G16" s="73" ph="1">
        <f>G15*9.0746*LOOKUP(G17,密度!$A$2:$A$50,密度!$B$2:$B$50)</f>
        <v>27209.830560759998</v>
      </c>
      <c r="H16" s="73" ph="1">
        <f>H15*9.0746*LOOKUP(H17,密度!$A$2:$A$50,密度!$L$2:$L$50)</f>
        <v>0</v>
      </c>
      <c r="I16" s="73" ph="1">
        <f>I15*9.0746*LOOKUP(I17,密度!$A$2:$A$50,密度!$U$2:$U$50)</f>
        <v>36412.104737999995</v>
      </c>
      <c r="J16" s="73" ph="1">
        <f>J15*9.0746*LOOKUP(J17,密度!$A$2:$A$50,密度!$L$2:$L$50)</f>
        <v>9804.3248844000009</v>
      </c>
      <c r="K16" s="73" ph="1">
        <f>K15*9.0746*LOOKUP(K17,密度!$A$2:$A$50,密度!$C$2:$C$50)</f>
        <v>31170.574034840003</v>
      </c>
      <c r="L16" s="73" ph="1">
        <f>L15*9.0746*LOOKUP(L17,密度!$A$2:$A$50,密度!$E$2:$E$50)</f>
        <v>18212.591525759999</v>
      </c>
      <c r="M16" s="73" ph="1">
        <f>M15*9.0746*LOOKUP(M17,密度!$A$2:$A$50,密度!$M$2:$M$50)</f>
        <v>51944.059060776002</v>
      </c>
      <c r="N16" s="73" ph="1">
        <f>N15*9.0746*LOOKUP(N17,密度!$A$2:$A$50,密度!$M$2:$M$50)</f>
        <v>20478.9765056</v>
      </c>
      <c r="O16" s="73" ph="1">
        <f>O15*9.0746*LOOKUP(O17,密度!$A$2:$A$50,密度!$G$2:$G$50)</f>
        <v>59691.6570718</v>
      </c>
      <c r="P16" s="73" ph="1">
        <f ca="1">P15*9.0746*LOOKUP(P17,密度!$A$2:$A$51,密度!$Q$2:$Q$50)</f>
        <v>15572.601089604002</v>
      </c>
      <c r="Q16" s="73" ph="1">
        <f>Q15*9.0746*LOOKUP(Q17,密度!$A$2:$A$50,密度!$Q$2:$Q$50)</f>
        <v>56053.122153064003</v>
      </c>
      <c r="R16" s="73" ph="1">
        <f>MAX(R15*9.0746*LOOKUP(R17,密度!$A$2:$A$50,密度!$B$2:$B$50),0)</f>
        <v>0</v>
      </c>
      <c r="S16" s="73" ph="1">
        <f>S15*9.0746*LOOKUP(S17,密度!$A$2:$A$50,密度!$Q$2:$Q$50)</f>
        <v>50976.839099190001</v>
      </c>
      <c r="T16" s="73" ph="1">
        <f>T15*9.0746*LOOKUP(T17,密度!$A$2:$A$50,密度!$O$2:$O$50)</f>
        <v>16814.562279600003</v>
      </c>
      <c r="U16" s="73" ph="1">
        <f>U15*9.0746*LOOKUP(U17,密度!$A$2:$A$50,密度!$H$2:$H$50)</f>
        <v>29305.440643200003</v>
      </c>
      <c r="V16" s="73" ph="1">
        <f>MAX(5600*LOOKUP(V17,密度!$A$2:$A$50,密度!$Q$2:$Q$50)+V15*9.0476*LOOKUP(V17,密度!$A$2:$A$50,密度!$Q$2:$Q$50),0)</f>
        <v>4070.6961038640002</v>
      </c>
      <c r="W16" s="73" ph="1">
        <f>MAX(5600*LOOKUP(W17,密度!$A$2:$A$50,密度!$Q$2:$Q$50)+W15*9.0476*LOOKUP(W17,密度!$A$2:$A$50,密度!$Q$2:$Q$50),0)</f>
        <v>26713.712867587998</v>
      </c>
      <c r="X16" s="73" ph="1">
        <f>MAX(5600*LOOKUP(X17,密度!$A$2:$A$50,密度!$I$2:$I$50)+X15*9.0476*LOOKUP(X17,密度!$A$2:$A$50,密度!$I$2:$I$50),0)</f>
        <v>3347.7295540800001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43212.270587960003</v>
      </c>
      <c r="AB16" s="73" ph="1">
        <f>AB15*9.0746*LOOKUP(AB17,密度!$A$2:$A$50,密度!$L$2:$L$50)</f>
        <v>3017.3407984</v>
      </c>
      <c r="AC16" s="73" ph="1">
        <f>AC15*9.0746*LOOKUP(AC17,密度!$A$2:$A$50,密度!$L$2:$L$50)</f>
        <v>6560.1735336000011</v>
      </c>
      <c r="AD16" s="73" ph="1">
        <f>AD15*268.68*LOOKUP(AD17,密度!$A$2:$A$50,密度!B2:B50)+IF(AD15&lt;=0,0,1566*LOOKUP(AD17,密度!$A$2:$A$50,密度!B2:B50))</f>
        <v>11216.42452416</v>
      </c>
      <c r="AE16" s="73" ph="1">
        <f>AE15*268.68*LOOKUP(AE17,密度!$A$2:$A$50,密度!B2:B50)+IF(AE15&lt;=0,0,1566*LOOKUP(AE17,密度!$A$2:$A$50,密度!B2:B50))</f>
        <v>2291.2091620800002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30</v>
      </c>
      <c r="E17" s="74">
        <v>30</v>
      </c>
      <c r="F17" s="74">
        <v>32</v>
      </c>
      <c r="G17" s="74">
        <v>29</v>
      </c>
      <c r="H17" s="74">
        <v>25</v>
      </c>
      <c r="I17" s="74">
        <v>29</v>
      </c>
      <c r="J17" s="74">
        <v>29</v>
      </c>
      <c r="K17" s="74">
        <v>29</v>
      </c>
      <c r="L17" s="74">
        <v>30</v>
      </c>
      <c r="M17" s="74">
        <v>31</v>
      </c>
      <c r="N17" s="74">
        <v>28</v>
      </c>
      <c r="O17" s="74">
        <v>30</v>
      </c>
      <c r="P17" s="74">
        <v>29</v>
      </c>
      <c r="Q17" s="74">
        <v>30</v>
      </c>
      <c r="R17" s="74">
        <v>30</v>
      </c>
      <c r="S17" s="74">
        <v>30</v>
      </c>
      <c r="T17" s="74">
        <v>28</v>
      </c>
      <c r="U17" s="74">
        <v>28</v>
      </c>
      <c r="V17" s="74">
        <v>30</v>
      </c>
      <c r="W17" s="74">
        <v>30</v>
      </c>
      <c r="X17" s="74">
        <v>30</v>
      </c>
      <c r="Y17" s="108">
        <v>30</v>
      </c>
      <c r="Z17" s="74">
        <v>29</v>
      </c>
      <c r="AA17" s="74">
        <v>30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4287</v>
      </c>
      <c r="E18" s="71">
        <v>2221</v>
      </c>
      <c r="F18" s="71">
        <v>3290</v>
      </c>
      <c r="G18" s="71">
        <v>3908</v>
      </c>
      <c r="H18" s="71">
        <v>0</v>
      </c>
      <c r="I18" s="71">
        <v>3934</v>
      </c>
      <c r="J18" s="71">
        <v>1235</v>
      </c>
      <c r="K18" s="71">
        <v>3107</v>
      </c>
      <c r="L18" s="71">
        <v>4319</v>
      </c>
      <c r="M18" s="71">
        <v>6602</v>
      </c>
      <c r="N18" s="71">
        <v>4003</v>
      </c>
      <c r="O18" s="71">
        <v>6899</v>
      </c>
      <c r="P18" s="71">
        <v>1819</v>
      </c>
      <c r="Q18" s="71">
        <v>5442</v>
      </c>
      <c r="R18" s="71">
        <v>0</v>
      </c>
      <c r="S18" s="71">
        <v>5962</v>
      </c>
      <c r="T18" s="71">
        <v>1133</v>
      </c>
      <c r="U18" s="71">
        <v>3544</v>
      </c>
      <c r="V18" s="71">
        <v>-142</v>
      </c>
      <c r="W18" s="71">
        <v>2511</v>
      </c>
      <c r="X18" s="71">
        <v>-264</v>
      </c>
      <c r="Y18" s="109">
        <v>-9906</v>
      </c>
      <c r="Z18" s="71">
        <v>0</v>
      </c>
      <c r="AA18" s="71">
        <v>6148</v>
      </c>
      <c r="AB18" s="71">
        <v>355</v>
      </c>
      <c r="AC18" s="71">
        <v>776</v>
      </c>
      <c r="AD18" s="71">
        <v>84.61</v>
      </c>
      <c r="AE18" s="71">
        <v>7.31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28181.872026000001</v>
      </c>
      <c r="E19" s="73" ph="1">
        <f>E18*7.0686*LOOKUP(E20,密度!$A$2:$A$50,密度!$L$2:$L$50)</f>
        <v>14600.405358</v>
      </c>
      <c r="F19" s="73" ph="1">
        <f>F18*9.0746*LOOKUP(F20,密度!$A$2:$A$50,密度!$L$2:$L$50)</f>
        <v>27795.409054000003</v>
      </c>
      <c r="G19" s="73" ph="1">
        <f>G18*9.0746*LOOKUP(G20,密度!$A$2:$A$50,密度!$B$2:$B$50)</f>
        <v>27494.880081040003</v>
      </c>
      <c r="H19" s="73" ph="1">
        <f>H18*9.0746*LOOKUP(H20,密度!$A$2:$A$50,密度!$L$2:$L$50)</f>
        <v>0</v>
      </c>
      <c r="I19" s="73" ph="1">
        <f>I18*9.0746*LOOKUP(I20,密度!$A$2:$A$50,密度!$U$2:$U$50)</f>
        <v>36377.766451599993</v>
      </c>
      <c r="J19" s="73" ph="1">
        <f>J18*9.0746*LOOKUP(J20,密度!$A$2:$A$50,密度!$L$2:$L$50)</f>
        <v>10411.424698999999</v>
      </c>
      <c r="K19" s="73" ph="1">
        <f>K18*9.0746*LOOKUP(K20,密度!$A$2:$A$50,密度!$C$2:$C$50)</f>
        <v>31129.859027020004</v>
      </c>
      <c r="L19" s="73" ph="1">
        <f>L18*9.0746*LOOKUP(L20,密度!$A$2:$A$50,密度!$E$2:$E$50)</f>
        <v>30431.558121230002</v>
      </c>
      <c r="M19" s="73" ph="1">
        <f>M18*9.0746*LOOKUP(M20,密度!$A$2:$A$50,密度!$M$2:$M$50)</f>
        <v>51928.632059284006</v>
      </c>
      <c r="N19" s="73" ph="1">
        <f>N18*9.0746*LOOKUP(N20,密度!$A$2:$A$50,密度!$M$2:$M$50)</f>
        <v>31639.6183298</v>
      </c>
      <c r="O19" s="73" ph="1">
        <f>O18*9.0746*LOOKUP(O20,密度!$A$2:$A$50,密度!$G$2:$G$50)</f>
        <v>59769.62875738</v>
      </c>
      <c r="P19" s="73" ph="1">
        <f ca="1">P18*9.0746*LOOKUP(P20,密度!$A$2:$A$51,密度!$Q$2:$Q$50)</f>
        <v>15571.262858342001</v>
      </c>
      <c r="Q19" s="73" ph="1">
        <f>Q18*9.0746*LOOKUP(Q20,密度!$A$2:$A$50,密度!$Q$2:$Q$50)</f>
        <v>46514.764357079999</v>
      </c>
      <c r="R19" s="73" ph="1">
        <f>MAX(R18*9.0746*LOOKUP(R20,密度!$A$2:$A$50,密度!$B$2:$B$50),0)</f>
        <v>0</v>
      </c>
      <c r="S19" s="73" ph="1">
        <f>S18*9.0746*LOOKUP(S20,密度!$A$2:$A$50,密度!$Q$2:$Q$50)</f>
        <v>50959.394541879999</v>
      </c>
      <c r="T19" s="73" ph="1">
        <f>T18*9.0746*LOOKUP(T20,密度!$A$2:$A$50,密度!$O$2:$O$50)</f>
        <v>9479.5630996</v>
      </c>
      <c r="U19" s="73" ph="1">
        <f>U18*9.0746*LOOKUP(U20,密度!$A$2:$A$50,密度!$H$2:$H$50)</f>
        <v>29265.947984000002</v>
      </c>
      <c r="V19" s="73" ph="1">
        <f>MAX(5600*LOOKUP(V20,密度!$A$2:$A$50,密度!$Q$2:$Q$50)+V18*9.0476*LOOKUP(V20,密度!$A$2:$A$50,密度!$Q$2:$Q$50),0)</f>
        <v>4064.5253095199996</v>
      </c>
      <c r="W19" s="73" ph="1">
        <f>MAX(5600*LOOKUP(W20,密度!$A$2:$A$50,密度!$Q$2:$Q$50)+W18*9.0476*LOOKUP(W20,密度!$A$2:$A$50,密度!$Q$2:$Q$50),0)</f>
        <v>26673.217378839996</v>
      </c>
      <c r="X19" s="73" ph="1">
        <f>MAX(5600*LOOKUP(X20,密度!$A$2:$A$50,密度!$I$2:$I$50)+X18*9.0476*LOOKUP(X20,密度!$A$2:$A$50,密度!$I$2:$I$50),0)</f>
        <v>3321.9069158400007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43154.060658800001</v>
      </c>
      <c r="AB19" s="73" ph="1">
        <f>AB18*9.0746*LOOKUP(AB20,密度!$A$2:$A$50,密度!$L$2:$L$50)</f>
        <v>2995.9791900000005</v>
      </c>
      <c r="AC19" s="73" ph="1">
        <f>AC18*9.0746*LOOKUP(AC20,密度!$A$2:$A$50,密度!$L$2:$L$50)</f>
        <v>6548.9573280000004</v>
      </c>
      <c r="AD19" s="73" ph="1">
        <f>AD18*268.68*LOOKUP(AD20,密度!$A$2:$A$50,密度!B5:B53)+IF(AD18&lt;=0,0,1566*LOOKUP(AD20,密度!$A$2:$A$50,密度!B5:B53))</f>
        <v>18880.334499600001</v>
      </c>
      <c r="AE19" s="73" ph="1">
        <f>AE18*268.68*LOOKUP(AE20,密度!$A$2:$A$50,密度!B5:B53)+IF(AE18&lt;=0,0,1566*LOOKUP(AE20,密度!$A$2:$A$50,密度!B5:B53))</f>
        <v>2742.8494716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32</v>
      </c>
      <c r="E20" s="81">
        <v>32</v>
      </c>
      <c r="F20" s="81">
        <v>31</v>
      </c>
      <c r="G20" s="81">
        <v>30</v>
      </c>
      <c r="H20" s="81">
        <v>34</v>
      </c>
      <c r="I20" s="81">
        <v>31</v>
      </c>
      <c r="J20" s="81">
        <v>33</v>
      </c>
      <c r="K20" s="81">
        <v>31</v>
      </c>
      <c r="L20" s="81">
        <v>31</v>
      </c>
      <c r="M20" s="81">
        <v>33</v>
      </c>
      <c r="N20" s="81">
        <v>29</v>
      </c>
      <c r="O20" s="81">
        <v>30</v>
      </c>
      <c r="P20" s="81">
        <v>30</v>
      </c>
      <c r="Q20" s="81">
        <v>32</v>
      </c>
      <c r="R20" s="81">
        <v>35</v>
      </c>
      <c r="S20" s="81">
        <v>32</v>
      </c>
      <c r="T20" s="81">
        <v>32</v>
      </c>
      <c r="U20" s="81">
        <v>30</v>
      </c>
      <c r="V20" s="81">
        <v>32</v>
      </c>
      <c r="W20" s="81">
        <v>32</v>
      </c>
      <c r="X20" s="81">
        <v>32</v>
      </c>
      <c r="Y20" s="110">
        <v>32</v>
      </c>
      <c r="Z20" s="81">
        <v>34</v>
      </c>
      <c r="AA20" s="81">
        <v>32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647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66.52</v>
      </c>
      <c r="E24" s="71">
        <v>55.22</v>
      </c>
      <c r="F24" s="71">
        <v>897</v>
      </c>
      <c r="G24" s="71">
        <v>3103</v>
      </c>
      <c r="H24" s="71">
        <v>1690</v>
      </c>
      <c r="I24" s="71">
        <v>95</v>
      </c>
      <c r="J24" s="71">
        <v>423</v>
      </c>
      <c r="K24" s="71">
        <v>4923</v>
      </c>
      <c r="L24" s="71">
        <v>5610</v>
      </c>
      <c r="M24" s="71">
        <v>1913</v>
      </c>
      <c r="N24" s="71">
        <v>548</v>
      </c>
      <c r="O24" s="71">
        <v>4321</v>
      </c>
      <c r="P24" s="71">
        <v>967</v>
      </c>
      <c r="Q24" s="90">
        <v>2519</v>
      </c>
      <c r="R24" s="71">
        <v>3510</v>
      </c>
      <c r="S24" s="71">
        <v>7040</v>
      </c>
      <c r="T24" s="71">
        <v>1696</v>
      </c>
      <c r="U24" s="71">
        <v>5790</v>
      </c>
      <c r="V24" s="71">
        <v>11796</v>
      </c>
      <c r="W24" s="71">
        <v>11721</v>
      </c>
      <c r="X24" s="71">
        <v>3696</v>
      </c>
      <c r="Y24" s="71">
        <v>2107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18403.294104864002</v>
      </c>
      <c r="E25" s="91" ph="1">
        <f>E24*268.68*LOOKUP(E26,密度!$A$2:$A$50,密度!$C$2:$C$50)+IF(E24&lt;=0,0,1566*LOOKUP(E26,密度!$A$2:$A$50,密度!$C$2:$C$50))</f>
        <v>18188.742895440002</v>
      </c>
      <c r="F25" s="91" ph="1">
        <f>F24*11.702*LOOKUP(F26,密度!$A$2:$A$50,密度!$Q$2:$Q$50)</f>
        <v>9915.3870862799995</v>
      </c>
      <c r="G25" s="91" ph="1">
        <f>G24*18.322*LOOKUP(G26,密度!$A$2:$A$50,密度!$B$2:$B$50)</f>
        <v>44078.259599799996</v>
      </c>
      <c r="H25" s="91" ph="1">
        <f>H24*18.322*LOOKUP(H26,密度!$A$2:$A$50,密度!$B$2:$B$50)</f>
        <v>24034.396516000001</v>
      </c>
      <c r="I25" s="91" ph="1">
        <f>I24*18.322*LOOKUP(I26,密度!$A$2:$A$50,密度!$Q$2:$Q$50)</f>
        <v>1642.9951186999999</v>
      </c>
      <c r="J25" s="91" ph="1">
        <f>J24*18.322*LOOKUP(J26,密度!$A$2:$A$50,密度!$Q$2:$Q$50)</f>
        <v>7311.001825979999</v>
      </c>
      <c r="K25" s="91" ph="1">
        <f>K24*18.322*LOOKUP(K26,密度!$A$2:$A$50,密度!$Q$2:$Q$50)</f>
        <v>85141.736519579994</v>
      </c>
      <c r="L25" s="91" ph="1">
        <f>L24*18.322*LOOKUP(L26,密度!$A$2:$A$50,密度!$Q$2:$Q$50)</f>
        <v>97094.108060400002</v>
      </c>
      <c r="M25" s="91" ph="1">
        <f>M24*18.322*LOOKUP(M26,密度!$A$2:$A$50,密度!$Q$2:$Q$50)</f>
        <v>33063.70329338</v>
      </c>
      <c r="N25" s="91" ph="1">
        <f>N24*18.322*LOOKUP(N26,密度!$A$2:$A$50,密度!$Q$2:$Q$50)</f>
        <v>9484.4155467199998</v>
      </c>
      <c r="O25" s="91" ph="1">
        <f>O24*18.322*LOOKUP(O26,密度!$A$2:$A$50,密度!$C$2:$C$50)</f>
        <v>87553.397435799998</v>
      </c>
      <c r="P25" s="91" ph="1">
        <f>P24*11.702*LOOKUP(P26,密度!$A$2:$A$50,密度!$B$2:$B$50)</f>
        <v>8773.1661002000001</v>
      </c>
      <c r="Q25" s="92" ph="1">
        <f>Q24*18.322*LOOKUP(Q26,密度!$A$2:$A$50,密度!$B$2:$B$50)</f>
        <v>35824.050191599999</v>
      </c>
      <c r="R25" s="91" ph="1">
        <f>R24*35.891*LOOKUP(R26,密度!$A$2:$A$50,密度!$C$2:$C$50)</f>
        <v>139318.41771899999</v>
      </c>
      <c r="S25" s="91" ph="1">
        <f>S24*35.891*LOOKUP(S26,密度!$A$2:$A$50,密度!$B$2:$B$50)</f>
        <v>196124.503168</v>
      </c>
      <c r="T25" s="91" ph="1">
        <f>T24*35.891*LOOKUP(T26,密度!$A$2:$A$50,密度!$Q$2:$Q$50)</f>
        <v>57458.091404480001</v>
      </c>
      <c r="U25" s="91" ph="1">
        <f>U24*35.891</f>
        <v>207808.88999999998</v>
      </c>
      <c r="V25" s="91" ph="1">
        <f>V24*47.051*LOOKUP(V26,密度!$A$2:$A$50,密度!$B$2:$B$50)</f>
        <v>430302.04097879998</v>
      </c>
      <c r="W25" s="91" ph="1">
        <f>W24*47.051*LOOKUP(W26,密度!$A$2:$A$50,密度!$B$2:$B$50)</f>
        <v>427566.14295630006</v>
      </c>
      <c r="X25" s="91" ph="1">
        <f>X24*47.051*LOOKUP(X26,密度!$A$2:$A$50,密度!$I$2:$I$50)</f>
        <v>179882.67306240002</v>
      </c>
      <c r="Y25" s="91" ph="1">
        <f>Y24*47.051*LOOKUP(Y26,密度!$A$2:$A$50,密度!$L$2:$L$50)</f>
        <v>92395.177924000018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28</v>
      </c>
      <c r="G26" s="74">
        <v>30</v>
      </c>
      <c r="H26" s="74">
        <v>29</v>
      </c>
      <c r="I26" s="74">
        <v>29</v>
      </c>
      <c r="J26" s="74">
        <v>30</v>
      </c>
      <c r="K26" s="74">
        <v>29</v>
      </c>
      <c r="L26" s="74">
        <v>28</v>
      </c>
      <c r="M26" s="74">
        <v>30</v>
      </c>
      <c r="N26" s="74">
        <v>28</v>
      </c>
      <c r="O26" s="74">
        <v>29</v>
      </c>
      <c r="P26" s="74">
        <v>30</v>
      </c>
      <c r="Q26" s="93">
        <v>29</v>
      </c>
      <c r="R26" s="74">
        <v>29</v>
      </c>
      <c r="S26" s="74">
        <v>29</v>
      </c>
      <c r="T26" s="74">
        <v>29</v>
      </c>
      <c r="U26" s="74">
        <v>29</v>
      </c>
      <c r="V26" s="74">
        <v>30</v>
      </c>
      <c r="W26" s="74">
        <v>30</v>
      </c>
      <c r="X26" s="74">
        <v>32</v>
      </c>
      <c r="Y26" s="74">
        <v>30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66.31</v>
      </c>
      <c r="E27" s="71">
        <v>55.22</v>
      </c>
      <c r="F27" s="71">
        <v>901</v>
      </c>
      <c r="G27" s="71">
        <v>2499</v>
      </c>
      <c r="H27" s="71">
        <v>576</v>
      </c>
      <c r="I27" s="71">
        <v>601</v>
      </c>
      <c r="J27" s="71">
        <v>419</v>
      </c>
      <c r="K27" s="71">
        <v>4924</v>
      </c>
      <c r="L27" s="71">
        <v>5609</v>
      </c>
      <c r="M27" s="71">
        <v>1911</v>
      </c>
      <c r="N27" s="71">
        <v>544</v>
      </c>
      <c r="O27" s="71">
        <v>4318</v>
      </c>
      <c r="P27" s="71">
        <v>965</v>
      </c>
      <c r="Q27" s="90">
        <v>3118</v>
      </c>
      <c r="R27" s="71">
        <v>2976</v>
      </c>
      <c r="S27" s="71">
        <v>7040</v>
      </c>
      <c r="T27" s="71">
        <v>1694</v>
      </c>
      <c r="U27" s="71">
        <v>5837</v>
      </c>
      <c r="V27" s="71">
        <v>11802</v>
      </c>
      <c r="W27" s="71">
        <v>11726</v>
      </c>
      <c r="X27" s="71">
        <v>3924</v>
      </c>
      <c r="Y27" s="71">
        <v>2357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18349.876383192001</v>
      </c>
      <c r="E28" s="91" ph="1">
        <f>E27*268.68*LOOKUP(E29,密度!$A$2:$A$50,密度!$C$2:$C$50)+IF(E27&lt;=0,0,1566*LOOKUP(E29,密度!$A$2:$A$50,密度!$C$2:$C$50))</f>
        <v>18188.742895440002</v>
      </c>
      <c r="F28" s="91" ph="1">
        <f>F27*11.702*LOOKUP(F29,密度!$A$2:$A$50,密度!$Q$2:$Q$50)</f>
        <v>9952.3278428600006</v>
      </c>
      <c r="G28" s="91" ph="1">
        <f>G27*18.322*LOOKUP(G29,密度!$A$2:$A$50,密度!$B$2:$B$50)</f>
        <v>35498.411453399996</v>
      </c>
      <c r="H28" s="91" ph="1">
        <f>H27*18.322*LOOKUP(H29,密度!$A$2:$A$50,密度!$B$2:$B$50)</f>
        <v>8182.1068415999998</v>
      </c>
      <c r="I28" s="91" ph="1">
        <f>I27*18.322*LOOKUP(I29,密度!$A$2:$A$50,密度!$Q$2:$Q$50)</f>
        <v>10379.240406759998</v>
      </c>
      <c r="J28" s="91" ph="1">
        <f>J27*18.322*LOOKUP(J29,密度!$A$2:$A$50,密度!$Q$2:$Q$50)</f>
        <v>7230.8890641999997</v>
      </c>
      <c r="K28" s="91" ph="1">
        <f>K27*18.322*LOOKUP(K29,密度!$A$2:$A$50,密度!$Q$2:$Q$50)</f>
        <v>85037.237542239993</v>
      </c>
      <c r="L28" s="91" ph="1">
        <f>L27*18.322*LOOKUP(L29,密度!$A$2:$A$50,密度!$Q$2:$Q$50)</f>
        <v>96944.229886339992</v>
      </c>
      <c r="M28" s="91" ph="1">
        <f>M27*18.322*LOOKUP(M29,密度!$A$2:$A$50,密度!$Q$2:$Q$50)</f>
        <v>33029.13590886</v>
      </c>
      <c r="N28" s="91" ph="1">
        <f>N27*18.322*LOOKUP(N29,密度!$A$2:$A$50,密度!$Q$2:$Q$50)</f>
        <v>9402.3285894399996</v>
      </c>
      <c r="O28" s="91" ph="1">
        <f>O27*18.322*LOOKUP(O29,密度!$A$2:$A$50,密度!$C$2:$C$50)</f>
        <v>87429.319019599992</v>
      </c>
      <c r="P28" s="91" ph="1">
        <f>P27*11.702*LOOKUP(P29,密度!$A$2:$A$50,密度!$B$2:$B$50)</f>
        <v>8755.0209790000008</v>
      </c>
      <c r="Q28" s="92" ph="1">
        <f>Q27*18.322*LOOKUP(Q29,密度!$A$2:$A$50,密度!$B$2:$B$50)</f>
        <v>44291.335298799997</v>
      </c>
      <c r="R28" s="91" ph="1">
        <f>R27*35.891*LOOKUP(R29,密度!$A$2:$A$50,密度!$C$2:$C$50)</f>
        <v>118122.96613440001</v>
      </c>
      <c r="S28" s="91" ph="1">
        <f>S27*35.891*LOOKUP(S29,密度!$A$2:$A$50,密度!$B$2:$B$50)</f>
        <v>196124.503168</v>
      </c>
      <c r="T28" s="91" ph="1">
        <f>T27*35.891*LOOKUP(T29,密度!$A$2:$A$50,密度!$Q$2:$Q$50)</f>
        <v>57353.854608820002</v>
      </c>
      <c r="U28" s="91" ph="1">
        <f>U27*35.891</f>
        <v>209495.76699999999</v>
      </c>
      <c r="V28" s="91" ph="1">
        <f>V27*47.051*LOOKUP(V29,密度!$A$2:$A$50,密度!$B$2:$B$50)</f>
        <v>430520.91282059997</v>
      </c>
      <c r="W28" s="91" ph="1">
        <f>W27*47.051*LOOKUP(W29,密度!$A$2:$A$50,密度!$B$2:$B$50)</f>
        <v>427251.98813440005</v>
      </c>
      <c r="X28" s="91" ph="1">
        <f>X27*47.051*LOOKUP(X29,密度!$A$2:$A$50,密度!$I$2:$I$50)</f>
        <v>190979.3314656</v>
      </c>
      <c r="Y28" s="91" ph="1">
        <f>Y27*47.051*LOOKUP(Y29,密度!$A$2:$A$50,密度!$L$2:$L$50)</f>
        <v>103247.16171700001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29</v>
      </c>
      <c r="G29" s="74">
        <v>30</v>
      </c>
      <c r="H29" s="74">
        <v>30</v>
      </c>
      <c r="I29" s="74">
        <v>31</v>
      </c>
      <c r="J29" s="74">
        <v>32</v>
      </c>
      <c r="K29" s="74">
        <v>31</v>
      </c>
      <c r="L29" s="74">
        <v>30</v>
      </c>
      <c r="M29" s="74">
        <v>30</v>
      </c>
      <c r="N29" s="74">
        <v>30</v>
      </c>
      <c r="O29" s="74">
        <v>30</v>
      </c>
      <c r="P29" s="74">
        <v>30</v>
      </c>
      <c r="Q29" s="93">
        <v>30</v>
      </c>
      <c r="R29" s="74">
        <v>29</v>
      </c>
      <c r="S29" s="74">
        <v>29</v>
      </c>
      <c r="T29" s="74">
        <v>30</v>
      </c>
      <c r="U29" s="74">
        <v>31</v>
      </c>
      <c r="V29" s="74">
        <v>30</v>
      </c>
      <c r="W29" s="74">
        <v>31</v>
      </c>
      <c r="X29" s="74">
        <v>32</v>
      </c>
      <c r="Y29" s="74">
        <v>31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32453.841348800001</v>
      </c>
      <c r="E33" s="182" ph="1">
        <f>M10+I10</f>
        <v>125614.6401686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08" ph="1">
        <v>0</v>
      </c>
      <c r="H33" s="182" ph="1">
        <f>N19</f>
        <v>31639.6183298</v>
      </c>
      <c r="I33" s="186" ph="1">
        <v>0</v>
      </c>
      <c r="J33" s="190" ph="1">
        <f>F10+O28</f>
        <v>338732.48372449994</v>
      </c>
      <c r="K33" s="182" ph="1">
        <f>O10+K10+E28+R28</f>
        <v>284421.07639504003</v>
      </c>
      <c r="L33" s="192" ph="1">
        <f>BE27</f>
        <v>7100</v>
      </c>
      <c r="M33" s="190" ph="1">
        <f>G10+H10+W28+S28+V28+E10</f>
        <v>1992703.438941</v>
      </c>
      <c r="N33" s="182" ph="1">
        <f>L10+P10++G28+H28</f>
        <v>161503.49428800002</v>
      </c>
      <c r="O33" s="186" ph="1">
        <f>BE17</f>
        <v>2270</v>
      </c>
      <c r="P33" s="190" ph="1">
        <f>L19</f>
        <v>30431.558121230002</v>
      </c>
      <c r="Q33" s="182" ph="1">
        <f>J10+N10</f>
        <v>28044.112115299999</v>
      </c>
      <c r="R33" s="186" ph="1">
        <f>BE23</f>
        <v>890</v>
      </c>
      <c r="S33" s="190" ph="1">
        <f>E10+X28</f>
        <v>514527.70932159998</v>
      </c>
      <c r="T33" s="182" ph="1">
        <f>X19</f>
        <v>3321.9069158400007</v>
      </c>
      <c r="U33" s="171" ph="1">
        <f>BE21</f>
        <v>730</v>
      </c>
      <c r="V33" s="184" ph="1">
        <f ca="1">P19+Q19+S19+M28+N28+J28</f>
        <v>162707.77531980199</v>
      </c>
      <c r="W33" s="184" ph="1">
        <f>D28+F28+V19+T28</f>
        <v>89720.584144392007</v>
      </c>
      <c r="X33" s="186" ph="1">
        <f>BE29+BE31</f>
        <v>10200</v>
      </c>
      <c r="Y33" s="188" ph="1">
        <f>+Q10+R10+S10+T10+U10+V10+W10+X10+Y10</f>
        <v>168079.02984179999</v>
      </c>
      <c r="Z33" s="169" ph="1">
        <f>D10+T19+U19+Y28+Z10</f>
        <v>437925.83565592003</v>
      </c>
      <c r="AA33" s="171" ph="1">
        <f>BE19</f>
        <v>1440</v>
      </c>
      <c r="AB33" s="173" ph="1">
        <f>I19</f>
        <v>36377.766451599993</v>
      </c>
      <c r="AC33" s="175" ph="1">
        <f>AD10</f>
        <v>70285.737110400005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526" priority="97">
      <formula>ABS(D$7-D$10)&gt;=1000</formula>
    </cfRule>
  </conditionalFormatting>
  <conditionalFormatting sqref="E4 E6:E11">
    <cfRule type="expression" dxfId="1525" priority="96">
      <formula>ABS(E$7-E$10)&gt;=1000</formula>
    </cfRule>
  </conditionalFormatting>
  <conditionalFormatting sqref="F4:F11">
    <cfRule type="expression" dxfId="1524" priority="95">
      <formula>ABS(F$7-F$10)&gt;=1000</formula>
    </cfRule>
  </conditionalFormatting>
  <conditionalFormatting sqref="G4:G11">
    <cfRule type="expression" dxfId="1523" priority="94">
      <formula>ABS(G$7-G$10)&gt;=1000</formula>
    </cfRule>
  </conditionalFormatting>
  <conditionalFormatting sqref="H4:H11">
    <cfRule type="expression" dxfId="1522" priority="93">
      <formula>ABS(H$7-H$10)&gt;=1000</formula>
    </cfRule>
  </conditionalFormatting>
  <conditionalFormatting sqref="I4:I11">
    <cfRule type="expression" dxfId="1521" priority="92">
      <formula>ABS(I$7-I$10)&gt;=1000</formula>
    </cfRule>
  </conditionalFormatting>
  <conditionalFormatting sqref="J4:J11">
    <cfRule type="expression" dxfId="1520" priority="91">
      <formula>ABS(J$7-J$10)&gt;=1000</formula>
    </cfRule>
  </conditionalFormatting>
  <conditionalFormatting sqref="K4:K11">
    <cfRule type="expression" dxfId="1519" priority="90">
      <formula>ABS(K$7-K$10)&gt;=1000</formula>
    </cfRule>
  </conditionalFormatting>
  <conditionalFormatting sqref="L4:L11">
    <cfRule type="expression" dxfId="1518" priority="89">
      <formula>ABS(L$7-L$10)&gt;=1000</formula>
    </cfRule>
  </conditionalFormatting>
  <conditionalFormatting sqref="M4 M6:M11">
    <cfRule type="expression" dxfId="1517" priority="88">
      <formula>ABS(M$7-M$10)&gt;=1000</formula>
    </cfRule>
  </conditionalFormatting>
  <conditionalFormatting sqref="N4 N6:N11">
    <cfRule type="expression" dxfId="1516" priority="87">
      <formula>ABS(N$7-N$10)&gt;=1000</formula>
    </cfRule>
  </conditionalFormatting>
  <conditionalFormatting sqref="O4 O6:O11">
    <cfRule type="expression" dxfId="1515" priority="86">
      <formula>ABS(O$7-O$10)&gt;=1000</formula>
    </cfRule>
  </conditionalFormatting>
  <conditionalFormatting sqref="P4 P6:P11">
    <cfRule type="expression" dxfId="1514" priority="85">
      <formula>ABS(P$7-P$10)&gt;=1000</formula>
    </cfRule>
  </conditionalFormatting>
  <conditionalFormatting sqref="Q4:Q11">
    <cfRule type="expression" dxfId="1513" priority="84">
      <formula>ABS(Q$7-Q$10)&gt;=1000</formula>
    </cfRule>
  </conditionalFormatting>
  <conditionalFormatting sqref="R4:R11">
    <cfRule type="expression" dxfId="1512" priority="83">
      <formula>ABS(R$7-R$10)&gt;=1000</formula>
    </cfRule>
  </conditionalFormatting>
  <conditionalFormatting sqref="S4:S11">
    <cfRule type="expression" dxfId="1511" priority="82">
      <formula>ABS(S$7-S$10)&gt;=1000</formula>
    </cfRule>
  </conditionalFormatting>
  <conditionalFormatting sqref="T4:T9 T11">
    <cfRule type="expression" dxfId="1510" priority="81">
      <formula>ABS(T$7-T$10)&gt;=1000</formula>
    </cfRule>
  </conditionalFormatting>
  <conditionalFormatting sqref="U4:U9 U11">
    <cfRule type="expression" dxfId="1509" priority="80">
      <formula>ABS(U$7-U$10)&gt;=1000</formula>
    </cfRule>
  </conditionalFormatting>
  <conditionalFormatting sqref="V4:V9 V11">
    <cfRule type="expression" dxfId="1508" priority="79">
      <formula>ABS(V$7-V$10)&gt;=1000</formula>
    </cfRule>
  </conditionalFormatting>
  <conditionalFormatting sqref="W4:W9 W11">
    <cfRule type="expression" dxfId="1507" priority="78">
      <formula>ABS(W$7-W$10)&gt;=1000</formula>
    </cfRule>
  </conditionalFormatting>
  <conditionalFormatting sqref="X4:X9 X11">
    <cfRule type="expression" dxfId="1506" priority="77">
      <formula>ABS(X$7-X$10)&gt;=1000</formula>
    </cfRule>
  </conditionalFormatting>
  <conditionalFormatting sqref="Y4:Y9 Y11">
    <cfRule type="expression" dxfId="1505" priority="76">
      <formula>ABS(Y$7-Y$10)&gt;=1000</formula>
    </cfRule>
  </conditionalFormatting>
  <conditionalFormatting sqref="Z4:Z11">
    <cfRule type="expression" dxfId="1504" priority="75">
      <formula>ABS(Z$7-Z$10)&gt;=1000</formula>
    </cfRule>
  </conditionalFormatting>
  <conditionalFormatting sqref="AA4:AA11">
    <cfRule type="expression" dxfId="1503" priority="74">
      <formula>ABS(AA$7-AA$10)&gt;=1000</formula>
    </cfRule>
  </conditionalFormatting>
  <conditionalFormatting sqref="AB4:AB11">
    <cfRule type="expression" dxfId="1502" priority="73">
      <formula>ABS(AB$7-AB$10)&gt;=1000</formula>
    </cfRule>
  </conditionalFormatting>
  <conditionalFormatting sqref="AC4 AC6:AC11">
    <cfRule type="expression" dxfId="1501" priority="72">
      <formula>ABS(AC$7-AC$10)&gt;=1000</formula>
    </cfRule>
  </conditionalFormatting>
  <conditionalFormatting sqref="AD4:AD11">
    <cfRule type="expression" dxfId="1500" priority="71">
      <formula>ABS(AD$7-AD$10)&gt;=1000</formula>
    </cfRule>
  </conditionalFormatting>
  <conditionalFormatting sqref="AE4:AE11">
    <cfRule type="expression" dxfId="1499" priority="70">
      <formula>ABS(AE$7-AE$10)&gt;=1000</formula>
    </cfRule>
  </conditionalFormatting>
  <conditionalFormatting sqref="D13:D20">
    <cfRule type="expression" dxfId="1498" priority="69">
      <formula>ABS(D$16-D$19)&gt;=1000</formula>
    </cfRule>
  </conditionalFormatting>
  <conditionalFormatting sqref="E13:E20">
    <cfRule type="expression" dxfId="1497" priority="68">
      <formula>ABS(E$16-E$19)&gt;=1000</formula>
    </cfRule>
  </conditionalFormatting>
  <conditionalFormatting sqref="F13 F15:F20">
    <cfRule type="expression" dxfId="1496" priority="67">
      <formula>ABS(F$16-F$19)&gt;=1000</formula>
    </cfRule>
  </conditionalFormatting>
  <conditionalFormatting sqref="G13:G20">
    <cfRule type="expression" dxfId="1495" priority="66">
      <formula>ABS(G$16-G$19)&gt;=1000</formula>
    </cfRule>
  </conditionalFormatting>
  <conditionalFormatting sqref="H13:H20">
    <cfRule type="expression" dxfId="1494" priority="65">
      <formula>ABS(H$16-H$19)&gt;=1000</formula>
    </cfRule>
  </conditionalFormatting>
  <conditionalFormatting sqref="I13:I20">
    <cfRule type="expression" dxfId="1493" priority="64">
      <formula>ABS(I$16-I$19)&gt;=1000</formula>
    </cfRule>
  </conditionalFormatting>
  <conditionalFormatting sqref="J13:J20">
    <cfRule type="expression" dxfId="1492" priority="63">
      <formula>ABS(J$16-J$19)&gt;=1000</formula>
    </cfRule>
  </conditionalFormatting>
  <conditionalFormatting sqref="L13:L20">
    <cfRule type="expression" dxfId="1491" priority="62">
      <formula>ABS(L$16-L$19)&gt;=1000</formula>
    </cfRule>
  </conditionalFormatting>
  <conditionalFormatting sqref="M13 M15 M17:M18 M20">
    <cfRule type="expression" dxfId="1490" priority="61">
      <formula>ABS(M$16-M$19)&gt;=1000</formula>
    </cfRule>
  </conditionalFormatting>
  <conditionalFormatting sqref="N13:N20">
    <cfRule type="expression" dxfId="1489" priority="60">
      <formula>ABS(N$16-N$19)&gt;=1000</formula>
    </cfRule>
  </conditionalFormatting>
  <conditionalFormatting sqref="O13:O20">
    <cfRule type="expression" dxfId="1488" priority="59">
      <formula>ABS(O$16-O$19)&gt;=1000</formula>
    </cfRule>
  </conditionalFormatting>
  <conditionalFormatting sqref="P13:P20">
    <cfRule type="expression" dxfId="1487" priority="58">
      <formula>ABS(P$16-P$19)&gt;=1000</formula>
    </cfRule>
  </conditionalFormatting>
  <conditionalFormatting sqref="Q13 Q15:Q20">
    <cfRule type="expression" dxfId="1486" priority="57">
      <formula>ABS(Q$16-Q$19)&gt;=1000</formula>
    </cfRule>
  </conditionalFormatting>
  <conditionalFormatting sqref="R13:R20">
    <cfRule type="expression" dxfId="1485" priority="56">
      <formula>ABS(R$16-R$19)&gt;=1000</formula>
    </cfRule>
  </conditionalFormatting>
  <conditionalFormatting sqref="S13:S20">
    <cfRule type="expression" dxfId="1484" priority="55">
      <formula>ABS(S$16-S$19)&gt;=1000</formula>
    </cfRule>
  </conditionalFormatting>
  <conditionalFormatting sqref="T13:T20">
    <cfRule type="expression" dxfId="1483" priority="54">
      <formula>ABS(T$16-T$19)&gt;=1000</formula>
    </cfRule>
  </conditionalFormatting>
  <conditionalFormatting sqref="U13:U20">
    <cfRule type="expression" dxfId="1482" priority="53">
      <formula>ABS(U$16-U$19)&gt;=1000</formula>
    </cfRule>
  </conditionalFormatting>
  <conditionalFormatting sqref="V13:V20">
    <cfRule type="expression" dxfId="1481" priority="52">
      <formula>ABS(V$16-V$19)&gt;=1000</formula>
    </cfRule>
  </conditionalFormatting>
  <conditionalFormatting sqref="W13 W20 W15:W18">
    <cfRule type="expression" dxfId="1480" priority="51">
      <formula>ABS(W$16-W$19)&gt;=1000</formula>
    </cfRule>
  </conditionalFormatting>
  <conditionalFormatting sqref="X13 X15:X20 Y19">
    <cfRule type="expression" dxfId="1479" priority="50">
      <formula>ABS(X$16-X$19)&gt;=1000</formula>
    </cfRule>
  </conditionalFormatting>
  <conditionalFormatting sqref="Y13 Y15:Y18 Y20">
    <cfRule type="expression" dxfId="1478" priority="49">
      <formula>ABS(Y$16-Y$19)&gt;=1000</formula>
    </cfRule>
  </conditionalFormatting>
  <conditionalFormatting sqref="Z13:Z20">
    <cfRule type="expression" dxfId="1477" priority="48">
      <formula>ABS(Z$16-Z$19)&gt;=1000</formula>
    </cfRule>
  </conditionalFormatting>
  <conditionalFormatting sqref="AA13:AA20">
    <cfRule type="expression" dxfId="1476" priority="47">
      <formula>ABS(AA$16-AA$19)&gt;=1000</formula>
    </cfRule>
  </conditionalFormatting>
  <conditionalFormatting sqref="AB13 AB15:AB20">
    <cfRule type="expression" dxfId="1475" priority="46">
      <formula>ABS(AB$16-AB$19)&gt;=1000</formula>
    </cfRule>
  </conditionalFormatting>
  <conditionalFormatting sqref="AC13 AC15:AC20">
    <cfRule type="expression" dxfId="1474" priority="45">
      <formula>ABS(AC$16-AC$19)&gt;=1000</formula>
    </cfRule>
  </conditionalFormatting>
  <conditionalFormatting sqref="AD13:AD20">
    <cfRule type="expression" dxfId="1473" priority="44">
      <formula>ABS(AD$16-AD$19)&gt;=1000</formula>
    </cfRule>
  </conditionalFormatting>
  <conditionalFormatting sqref="AE13:AE20">
    <cfRule type="expression" dxfId="1472" priority="43">
      <formula>ABS(AE$16-AE$19)&gt;=1000</formula>
    </cfRule>
  </conditionalFormatting>
  <conditionalFormatting sqref="D22:D29">
    <cfRule type="expression" dxfId="1471" priority="42">
      <formula>ABS(D$25-D$28)&gt;=1000</formula>
    </cfRule>
  </conditionalFormatting>
  <conditionalFormatting sqref="E22:E29">
    <cfRule type="expression" dxfId="1470" priority="41">
      <formula>ABS(E$25-E$28)&gt;=1000</formula>
    </cfRule>
  </conditionalFormatting>
  <conditionalFormatting sqref="F22:F29">
    <cfRule type="expression" dxfId="1469" priority="40">
      <formula>ABS(F$25-F$28)&gt;=1000</formula>
    </cfRule>
  </conditionalFormatting>
  <conditionalFormatting sqref="G22:G29">
    <cfRule type="expression" dxfId="1468" priority="39">
      <formula>ABS(G$25-G$28)&gt;=1000</formula>
    </cfRule>
  </conditionalFormatting>
  <conditionalFormatting sqref="H22:H29">
    <cfRule type="expression" dxfId="1467" priority="38">
      <formula>ABS(H$25-H$28)&gt;=1000</formula>
    </cfRule>
  </conditionalFormatting>
  <conditionalFormatting sqref="I22 I24:I29">
    <cfRule type="expression" dxfId="1466" priority="37">
      <formula>ABS(I$25-I$28)&gt;=1000</formula>
    </cfRule>
  </conditionalFormatting>
  <conditionalFormatting sqref="J22:J29 K22">
    <cfRule type="expression" dxfId="1465" priority="36">
      <formula>ABS(J$25-J$28)&gt;=1000</formula>
    </cfRule>
  </conditionalFormatting>
  <conditionalFormatting sqref="K23:K29 L25 L28">
    <cfRule type="expression" dxfId="1464" priority="35">
      <formula>ABS(K$25-K$28)&gt;=1000</formula>
    </cfRule>
  </conditionalFormatting>
  <conditionalFormatting sqref="L22 L26:L27 L29 L24">
    <cfRule type="expression" dxfId="1463" priority="34">
      <formula>ABS(L$25-L$28)&gt;=1000</formula>
    </cfRule>
  </conditionalFormatting>
  <conditionalFormatting sqref="M22:M29">
    <cfRule type="expression" dxfId="1462" priority="33">
      <formula>ABS(M$25-M$28)&gt;=1000</formula>
    </cfRule>
  </conditionalFormatting>
  <conditionalFormatting sqref="N22:N29">
    <cfRule type="expression" dxfId="1461" priority="32">
      <formula>ABS(N$25-N$28)&gt;=1000</formula>
    </cfRule>
  </conditionalFormatting>
  <conditionalFormatting sqref="O22:O29">
    <cfRule type="expression" dxfId="1460" priority="31">
      <formula>ABS(O$25-O$28)&gt;=1000</formula>
    </cfRule>
  </conditionalFormatting>
  <conditionalFormatting sqref="P22:P29">
    <cfRule type="expression" dxfId="1459" priority="30">
      <formula>ABS(P$25-P$28)&gt;=1000</formula>
    </cfRule>
  </conditionalFormatting>
  <conditionalFormatting sqref="Q22:Q29">
    <cfRule type="expression" dxfId="1458" priority="29">
      <formula>ABS(Q$25-Q$28)&gt;=1000</formula>
    </cfRule>
  </conditionalFormatting>
  <conditionalFormatting sqref="R22:R29">
    <cfRule type="expression" dxfId="1457" priority="28">
      <formula>ABS(R$25-R$28)&gt;=1000</formula>
    </cfRule>
  </conditionalFormatting>
  <conditionalFormatting sqref="S22:S29">
    <cfRule type="expression" dxfId="1456" priority="27">
      <formula>ABS(S$25-S$28)&gt;=1000</formula>
    </cfRule>
  </conditionalFormatting>
  <conditionalFormatting sqref="T22:T29">
    <cfRule type="expression" dxfId="1455" priority="26">
      <formula>ABS(T$25-T$28)&gt;=1000</formula>
    </cfRule>
  </conditionalFormatting>
  <conditionalFormatting sqref="U22:U29">
    <cfRule type="expression" dxfId="1454" priority="25">
      <formula>ABS(U$25-U$28)&gt;=1000</formula>
    </cfRule>
  </conditionalFormatting>
  <conditionalFormatting sqref="V22:V29">
    <cfRule type="expression" dxfId="1453" priority="24">
      <formula>ABS(V$25-V$28)&gt;=1000</formula>
    </cfRule>
  </conditionalFormatting>
  <conditionalFormatting sqref="W22:W29">
    <cfRule type="expression" dxfId="1452" priority="23">
      <formula>ABS(W$25-W$28)&gt;=1000</formula>
    </cfRule>
  </conditionalFormatting>
  <conditionalFormatting sqref="X22:X29">
    <cfRule type="expression" dxfId="1451" priority="22">
      <formula>ABS(X$25-X$28)&gt;=1000</formula>
    </cfRule>
  </conditionalFormatting>
  <conditionalFormatting sqref="Y22:Y29">
    <cfRule type="expression" dxfId="1450" priority="21">
      <formula>ABS(Y$25-Y$28)&gt;=1000</formula>
    </cfRule>
  </conditionalFormatting>
  <conditionalFormatting sqref="I23">
    <cfRule type="expression" dxfId="1449" priority="20">
      <formula>ABS(I$25-I$28)&gt;=1000</formula>
    </cfRule>
  </conditionalFormatting>
  <conditionalFormatting sqref="Q14">
    <cfRule type="expression" dxfId="1448" priority="19">
      <formula>ABS(Q$16-Q$19)&gt;=1000</formula>
    </cfRule>
  </conditionalFormatting>
  <conditionalFormatting sqref="W14">
    <cfRule type="expression" dxfId="1447" priority="18">
      <formula>ABS(W$16-W$19)&gt;=1000</formula>
    </cfRule>
  </conditionalFormatting>
  <conditionalFormatting sqref="Y14">
    <cfRule type="expression" dxfId="1446" priority="17">
      <formula>ABS(Y$16-Y$19)&gt;=1000</formula>
    </cfRule>
  </conditionalFormatting>
  <conditionalFormatting sqref="X14">
    <cfRule type="expression" dxfId="1445" priority="16">
      <formula>ABS(X$16-X$19)&gt;=1000</formula>
    </cfRule>
  </conditionalFormatting>
  <conditionalFormatting sqref="T10:Y10">
    <cfRule type="expression" dxfId="1444" priority="15">
      <formula>ABS(T$7-T$10)&gt;=1000</formula>
    </cfRule>
  </conditionalFormatting>
  <conditionalFormatting sqref="W19">
    <cfRule type="expression" dxfId="1443" priority="14">
      <formula>ABS(W$16-W$19)&gt;=1000</formula>
    </cfRule>
  </conditionalFormatting>
  <conditionalFormatting sqref="AC5">
    <cfRule type="expression" dxfId="1442" priority="13">
      <formula>ABS(AC$7-AC$10)&gt;=1000</formula>
    </cfRule>
  </conditionalFormatting>
  <conditionalFormatting sqref="M14">
    <cfRule type="expression" dxfId="1441" priority="12">
      <formula>ABS(M$16-M$19)&gt;=1000</formula>
    </cfRule>
  </conditionalFormatting>
  <conditionalFormatting sqref="M16">
    <cfRule type="expression" dxfId="1440" priority="11">
      <formula>ABS(M$16-M$19)&gt;=1000</formula>
    </cfRule>
  </conditionalFormatting>
  <conditionalFormatting sqref="M19">
    <cfRule type="expression" dxfId="1439" priority="10">
      <formula>ABS(M$16-M$19)&gt;=1000</formula>
    </cfRule>
  </conditionalFormatting>
  <conditionalFormatting sqref="K13:K20">
    <cfRule type="expression" dxfId="1438" priority="9">
      <formula>ABS(K$16-K$19)&gt;=1000</formula>
    </cfRule>
  </conditionalFormatting>
  <conditionalFormatting sqref="E5">
    <cfRule type="expression" dxfId="1437" priority="8">
      <formula>ABS(E$7-E$10)&gt;=1000</formula>
    </cfRule>
  </conditionalFormatting>
  <conditionalFormatting sqref="AB14:AC14">
    <cfRule type="expression" dxfId="1436" priority="7">
      <formula>ABS(AB$16-AB$19)&gt;=1000</formula>
    </cfRule>
  </conditionalFormatting>
  <conditionalFormatting sqref="M5">
    <cfRule type="expression" dxfId="1435" priority="6">
      <formula>ABS(M$7-M$10)&gt;=1000</formula>
    </cfRule>
  </conditionalFormatting>
  <conditionalFormatting sqref="N5">
    <cfRule type="expression" dxfId="1434" priority="5">
      <formula>ABS(N$7-N$10)&gt;=1000</formula>
    </cfRule>
  </conditionalFormatting>
  <conditionalFormatting sqref="O5">
    <cfRule type="expression" dxfId="1433" priority="4">
      <formula>ABS(O$7-O$10)&gt;=1000</formula>
    </cfRule>
  </conditionalFormatting>
  <conditionalFormatting sqref="P5">
    <cfRule type="expression" dxfId="1432" priority="3">
      <formula>ABS(P$7-P$10)&gt;=1000</formula>
    </cfRule>
  </conditionalFormatting>
  <conditionalFormatting sqref="L23">
    <cfRule type="expression" dxfId="1431" priority="2">
      <formula>ABS(L$25-L$28)&gt;=1000</formula>
    </cfRule>
  </conditionalFormatting>
  <conditionalFormatting sqref="F14">
    <cfRule type="expression" dxfId="1430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45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02">
    <pageSetUpPr fitToPage="1"/>
  </sheetPr>
  <dimension ref="A1:CU223"/>
  <sheetViews>
    <sheetView view="pageBreakPreview" zoomScale="80" zoomScaleNormal="100" zoomScaleSheetLayoutView="80" workbookViewId="0">
      <selection activeCell="Q18" sqref="Q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45884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6587</v>
      </c>
      <c r="E6" s="71">
        <v>8112</v>
      </c>
      <c r="F6" s="71">
        <v>6849</v>
      </c>
      <c r="G6" s="71">
        <v>9018</v>
      </c>
      <c r="H6" s="71">
        <v>6203</v>
      </c>
      <c r="I6" s="71">
        <v>40.619999999999997</v>
      </c>
      <c r="J6" s="71">
        <v>54.82</v>
      </c>
      <c r="K6" s="71">
        <v>85.31</v>
      </c>
      <c r="L6" s="71">
        <v>50.31</v>
      </c>
      <c r="M6" s="71">
        <v>3359</v>
      </c>
      <c r="N6" s="71">
        <v>1512</v>
      </c>
      <c r="O6" s="71">
        <v>5378</v>
      </c>
      <c r="P6" s="71">
        <v>2651</v>
      </c>
      <c r="Q6" s="71">
        <v>0</v>
      </c>
      <c r="R6" s="71">
        <v>6472</v>
      </c>
      <c r="S6" s="71">
        <v>5556</v>
      </c>
      <c r="T6" s="71">
        <v>5763</v>
      </c>
      <c r="U6" s="71">
        <v>3475</v>
      </c>
      <c r="V6" s="71">
        <v>0</v>
      </c>
      <c r="W6" s="71">
        <v>0</v>
      </c>
      <c r="X6" s="71">
        <v>0</v>
      </c>
      <c r="Y6" s="71">
        <v>0</v>
      </c>
      <c r="Z6" s="71">
        <v>2899</v>
      </c>
      <c r="AA6" s="71">
        <v>558</v>
      </c>
      <c r="AB6" s="71">
        <v>661</v>
      </c>
      <c r="AC6" s="71">
        <v>3158</v>
      </c>
      <c r="AD6" s="71">
        <v>3353</v>
      </c>
      <c r="AE6" s="71">
        <v>2640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206189.69522193001</v>
      </c>
      <c r="E7" s="73" ph="1">
        <f>E6*51.53*LOOKUP(E8,密度!$A$2:$A$50,密度!$B$2:$B$50)</f>
        <v>324794.82672000001</v>
      </c>
      <c r="F7" s="73" ph="1">
        <f>F6*33.183*LOOKUP(F8,密度!$A$2:$A$50,密度!$C$2:$C$50)</f>
        <v>251497.38812220001</v>
      </c>
      <c r="G7" s="73" ph="1">
        <f xml:space="preserve"> (G6+2)*51.53*LOOKUP(G8,密度!$A$2:$A$50,密度!$B$2:$B$50)</f>
        <v>360778.22572000005</v>
      </c>
      <c r="H7" s="73" ph="1">
        <f>(H6)*51.53*LOOKUP(H8,密度!$A$2:$A$50,密度!$B$2:$B$50)</f>
        <v>248904.12743300002</v>
      </c>
      <c r="I7" s="73" ph="1">
        <f>I6*290.8*1.0267</f>
        <v>12127.6843032</v>
      </c>
      <c r="J7" s="73" ph="1">
        <f>J6*290.8*0.7892</f>
        <v>12581.154915200001</v>
      </c>
      <c r="K7" s="73" ph="1">
        <f>K6*290.8*1.1126</f>
        <v>27601.545464800001</v>
      </c>
      <c r="L7" s="73" ph="1">
        <f>L6*290.8*0.777</f>
        <v>11367.624996</v>
      </c>
      <c r="M7" s="73" ph="1">
        <f>M6*33.183*LOOKUP(M8,密度!$A$2:$A$50,密度!$D$2:$D$50)</f>
        <v>113913.854334</v>
      </c>
      <c r="N7" s="73" ph="1">
        <f>N6*33.183*LOOKUP(N8,密度!$A$2:$A$50,密度!$E$2:$E$50)</f>
        <v>38899.894662719998</v>
      </c>
      <c r="O7" s="73" ph="1">
        <f>O6*20.428*LOOKUP(O8,密度!$A$2:$A$50,密度!$C$2:$C$50)</f>
        <v>120946.8380056</v>
      </c>
      <c r="P7" s="73" ph="1">
        <f>P6*51.53*LOOKUP(P8,密度!$A$2:$A$50,密度!$B$2:$B$50)</f>
        <v>106375.115561</v>
      </c>
      <c r="Q7" s="73" ph="1">
        <f>Q6*1.5*1.5*3.1416*LOOKUP(W8,密度!$A$2:$A$50,密度!$L$2:$L$50)</f>
        <v>0</v>
      </c>
      <c r="R7" s="73" ph="1">
        <f>R6*1.5*1.5*3.1416*LOOKUP(R8,密度!$A$2:$A$50,密度!$L$2:$L$50)</f>
        <v>42454.124697600004</v>
      </c>
      <c r="S7" s="73" ph="1">
        <f>S6*1.5*1.5*3.1416*LOOKUP(S8,密度!$A$2:$A$50,密度!$L$2:$L$50)</f>
        <v>36759.660537600008</v>
      </c>
      <c r="T7" s="73" ph="1">
        <f>T6*1.5*1.5*3.1416*LOOKUP(T8,密度!$A$2:$A$50,密度!$L$2:$L$50)</f>
        <v>38251.424950200002</v>
      </c>
      <c r="U7" s="73" ph="1">
        <f>U6*1.5*1.5*3.1416*LOOKUP(U8,密度!$A$2:$A$50,密度!$L$2:$L$50)</f>
        <v>22966.764974999998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90040.875912000003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13901.243786000003</v>
      </c>
      <c r="AC7" s="73" ph="1">
        <f>AC6*51.53*LOOKUP(AC8,密度!$A$2:$A$50,密度!$Q$2:$Q$50)</f>
        <v>153949.10799220001</v>
      </c>
      <c r="AD7" s="73" ph="1">
        <f>AD6*20.428*LOOKUP(AD8,密度!$A$2:$A$50,密度!$V$2:$V$50)</f>
        <v>65590.892438399998</v>
      </c>
      <c r="AE7" s="73" ph="1">
        <f>AE6*20.428</f>
        <v>53929.920000000006</v>
      </c>
    </row>
    <row r="8" spans="1:99" ph="1">
      <c r="B8" s="233" ph="1"/>
      <c r="C8" s="68" t="s" ph="1">
        <v>180</v>
      </c>
      <c r="D8" s="74">
        <v>30</v>
      </c>
      <c r="E8" s="74">
        <v>28</v>
      </c>
      <c r="F8" s="74">
        <v>28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32</v>
      </c>
      <c r="O8" s="74">
        <v>34</v>
      </c>
      <c r="P8" s="74">
        <v>26</v>
      </c>
      <c r="Q8" s="74">
        <v>30</v>
      </c>
      <c r="R8" s="74">
        <v>34</v>
      </c>
      <c r="S8" s="74">
        <v>26</v>
      </c>
      <c r="T8" s="74">
        <v>23</v>
      </c>
      <c r="U8" s="74">
        <v>27</v>
      </c>
      <c r="V8" s="74">
        <v>28</v>
      </c>
      <c r="W8" s="74">
        <v>28</v>
      </c>
      <c r="X8" s="74">
        <v>20</v>
      </c>
      <c r="Y8" s="74">
        <v>28</v>
      </c>
      <c r="Z8" s="74">
        <v>26</v>
      </c>
      <c r="AA8" s="74">
        <v>28</v>
      </c>
      <c r="AB8" s="74">
        <v>22</v>
      </c>
      <c r="AC8" s="74">
        <v>26</v>
      </c>
      <c r="AD8" s="74">
        <v>28</v>
      </c>
      <c r="AE8" s="74">
        <v>32</v>
      </c>
    </row>
    <row r="9" spans="1:99" ht="26.4" ph="1">
      <c r="B9" s="233" ph="1">
        <v>0.66666666666666663</v>
      </c>
      <c r="C9" s="150" t="s" ph="1">
        <v>181</v>
      </c>
      <c r="D9" s="71">
        <v>6541</v>
      </c>
      <c r="E9" s="71">
        <v>8110</v>
      </c>
      <c r="F9" s="71">
        <v>6851</v>
      </c>
      <c r="G9" s="71">
        <v>9024</v>
      </c>
      <c r="H9" s="71">
        <v>7262</v>
      </c>
      <c r="I9" s="71">
        <v>40.619999999999997</v>
      </c>
      <c r="J9" s="71">
        <v>23.11</v>
      </c>
      <c r="K9" s="71">
        <v>85.21</v>
      </c>
      <c r="L9" s="71">
        <v>22.87</v>
      </c>
      <c r="M9" s="71">
        <v>2804</v>
      </c>
      <c r="N9" s="71">
        <v>2201</v>
      </c>
      <c r="O9" s="71">
        <v>5380</v>
      </c>
      <c r="P9" s="71">
        <v>2437</v>
      </c>
      <c r="Q9" s="71">
        <v>0</v>
      </c>
      <c r="R9" s="71">
        <v>2626</v>
      </c>
      <c r="S9" s="71">
        <v>5563</v>
      </c>
      <c r="T9" s="71">
        <v>7138</v>
      </c>
      <c r="U9" s="71">
        <v>6478</v>
      </c>
      <c r="V9" s="71">
        <v>0</v>
      </c>
      <c r="W9" s="71">
        <v>0</v>
      </c>
      <c r="X9" s="71">
        <v>0</v>
      </c>
      <c r="Y9" s="71">
        <v>0</v>
      </c>
      <c r="Z9" s="71">
        <v>3699</v>
      </c>
      <c r="AA9" s="71">
        <v>556</v>
      </c>
      <c r="AB9" s="71">
        <v>658</v>
      </c>
      <c r="AC9" s="71">
        <v>3172</v>
      </c>
      <c r="AD9" s="71">
        <v>4134</v>
      </c>
      <c r="AE9" s="71">
        <v>2530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204586.99182773998</v>
      </c>
      <c r="E10" s="73" ph="1">
        <f>E9*51.53*LOOKUP(E11,密度!$A$2:$A$50,密度!$B$2:$B$50)</f>
        <v>322541.62594</v>
      </c>
      <c r="F10" s="73" ph="1">
        <f>F9*33.183*LOOKUP(F11,密度!$A$2:$A$50,密度!$C$2:$C$50)</f>
        <v>251002.48690530003</v>
      </c>
      <c r="G10" s="73" ph="1">
        <f xml:space="preserve"> (G9+2)*51.53*LOOKUP(G11,密度!$A$2:$A$50,密度!$B$2:$B$50)</f>
        <v>358553.12940200005</v>
      </c>
      <c r="H10" s="73" ph="1">
        <f>(H9)*51.53*LOOKUP(H11,密度!$A$2:$A$50,密度!$B$2:$B$50)</f>
        <v>287506.20373800001</v>
      </c>
      <c r="I10" s="73" ph="1">
        <f>I9*290.8*1.0267</f>
        <v>12127.6843032</v>
      </c>
      <c r="J10" s="73" ph="1">
        <f>J9*290.8*0.7892</f>
        <v>5303.7302096000003</v>
      </c>
      <c r="K10" s="73" ph="1">
        <f>K9*290.8*1.1126</f>
        <v>27569.191056799998</v>
      </c>
      <c r="L10" s="73" ph="1">
        <f>L9*290.8*0.777</f>
        <v>5167.5130920000001</v>
      </c>
      <c r="M10" s="73" ph="1">
        <f>M9*33.183*LOOKUP(M11,密度!$A$2:$A$50,密度!$D$2:$D$50)</f>
        <v>94850.207560800001</v>
      </c>
      <c r="N10" s="73" ph="1">
        <f>N9*33.183*LOOKUP(N11,密度!$A$2:$A$50,密度!$E$2:$E$50)</f>
        <v>56543.572840770001</v>
      </c>
      <c r="O10" s="73" ph="1">
        <f>O9*20.428*LOOKUP(O11,密度!$A$2:$A$50,密度!$C$2:$C$50)</f>
        <v>120651.11819200001</v>
      </c>
      <c r="P10" s="73" ph="1">
        <f>P9*51.53*LOOKUP(P11,密度!$A$2:$A$50,密度!$B$2:$B$50)</f>
        <v>97135.054835000003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17225.669260800001</v>
      </c>
      <c r="S10" s="73" ph="1">
        <f>S9*1.5*1.5*3.1416*LOOKUP(S11,密度!$A$2:$A$50,密度!$L$2:$L$50)</f>
        <v>36727.328761200006</v>
      </c>
      <c r="T10" s="73" ph="1">
        <f>T9*1.5*1.5*3.1416*LOOKUP(T11,密度!$A$2:$A$50,密度!$L$2:$L$50)</f>
        <v>47276.959791599998</v>
      </c>
      <c r="U10" s="73" ph="1">
        <f>U9*1.5*1.5*3.1416*LOOKUP(U11,密度!$A$2:$A$50,密度!$L$2:$L$50)</f>
        <v>42814.015398000003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114397.330644</v>
      </c>
      <c r="AA10" s="73" ph="1">
        <f>AA9*33.183*LOOKUP(AA11,密度!$A$2:$A$50,密度!$D$2:$D$50)</f>
        <v>18774.4635648</v>
      </c>
      <c r="AB10" s="73" ph="1">
        <f>AB9*20.428*LOOKUP(AB11,密度!$A$2:$A$50,密度!$D$2:$D$50)</f>
        <v>13713.1448048</v>
      </c>
      <c r="AC10" s="73" ph="1">
        <f>AC9*51.53*LOOKUP(AC11,密度!$A$2:$A$50,密度!$Q$2:$Q$50)</f>
        <v>153850.28685</v>
      </c>
      <c r="AD10" s="73" ph="1">
        <f>AD9*20.428*LOOKUP(AD11,密度!$A$2:$A$50,密度!$V$2:$V$50)</f>
        <v>80868.699475200003</v>
      </c>
      <c r="AE10" s="73" ph="1">
        <f>AE9*20.428</f>
        <v>51682.840000000004</v>
      </c>
    </row>
    <row r="11" spans="1:99" ph="1">
      <c r="A11" s="64" t="s" ph="1">
        <v>163</v>
      </c>
      <c r="B11" s="233" ph="1"/>
      <c r="C11" s="150" t="s" ph="1">
        <v>180</v>
      </c>
      <c r="D11" s="74">
        <v>31</v>
      </c>
      <c r="E11" s="74">
        <v>34</v>
      </c>
      <c r="F11" s="74">
        <v>31</v>
      </c>
      <c r="G11" s="74">
        <v>35</v>
      </c>
      <c r="H11" s="74">
        <v>38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33</v>
      </c>
      <c r="O11" s="74">
        <v>37</v>
      </c>
      <c r="P11" s="74">
        <v>32</v>
      </c>
      <c r="Q11" s="74">
        <v>40</v>
      </c>
      <c r="R11" s="74">
        <v>34</v>
      </c>
      <c r="S11" s="74">
        <v>28</v>
      </c>
      <c r="T11" s="74">
        <v>25</v>
      </c>
      <c r="U11" s="74">
        <v>27</v>
      </c>
      <c r="V11" s="74">
        <v>28</v>
      </c>
      <c r="W11" s="74">
        <v>42</v>
      </c>
      <c r="X11" s="74">
        <v>32</v>
      </c>
      <c r="Y11" s="74">
        <v>35</v>
      </c>
      <c r="Z11" s="74">
        <v>30</v>
      </c>
      <c r="AA11" s="74">
        <v>35</v>
      </c>
      <c r="AB11" s="74">
        <v>32</v>
      </c>
      <c r="AC11" s="74">
        <v>33</v>
      </c>
      <c r="AD11" s="74">
        <v>34</v>
      </c>
      <c r="AE11" s="74">
        <v>36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4286</v>
      </c>
      <c r="E15" s="78">
        <v>2220</v>
      </c>
      <c r="F15" s="78">
        <v>3288</v>
      </c>
      <c r="G15" s="78">
        <v>3971</v>
      </c>
      <c r="H15" s="78">
        <v>0</v>
      </c>
      <c r="I15" s="78">
        <v>3932</v>
      </c>
      <c r="J15" s="78">
        <v>1438</v>
      </c>
      <c r="K15" s="78">
        <v>3107</v>
      </c>
      <c r="L15" s="78">
        <v>1070</v>
      </c>
      <c r="M15" s="78">
        <v>6595</v>
      </c>
      <c r="N15" s="78">
        <v>4003</v>
      </c>
      <c r="O15" s="78">
        <v>6893</v>
      </c>
      <c r="P15" s="78">
        <v>1819</v>
      </c>
      <c r="Q15" s="78">
        <v>3139</v>
      </c>
      <c r="R15" s="78">
        <v>0</v>
      </c>
      <c r="S15" s="78">
        <v>5958</v>
      </c>
      <c r="T15" s="78">
        <v>1132</v>
      </c>
      <c r="U15" s="78">
        <v>3542</v>
      </c>
      <c r="V15" s="78">
        <v>-142</v>
      </c>
      <c r="W15" s="71">
        <v>2511</v>
      </c>
      <c r="X15" s="78">
        <v>-262</v>
      </c>
      <c r="Y15" s="106">
        <v>-9908</v>
      </c>
      <c r="Z15" s="78">
        <v>0</v>
      </c>
      <c r="AA15" s="78">
        <v>6143</v>
      </c>
      <c r="AB15" s="78" ph="1">
        <v>356</v>
      </c>
      <c r="AC15" s="78" ph="1">
        <v>775</v>
      </c>
      <c r="AD15" s="78">
        <v>13.24</v>
      </c>
      <c r="AE15" s="78">
        <v>84.51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28235.8902672</v>
      </c>
      <c r="E16" s="73" ph="1">
        <f>E15*7.0686*LOOKUP(E17,密度!$A$2:$A$50,密度!$L$2:$L$50)</f>
        <v>14625.216144</v>
      </c>
      <c r="F16" s="73" ph="1">
        <f>F15*9.0746*LOOKUP(F17,密度!$A$2:$A$50,密度!$L$2:$L$50)</f>
        <v>27808.349433600004</v>
      </c>
      <c r="G16" s="73" ph="1">
        <f>G15*9.0746*LOOKUP(G17,密度!$A$2:$A$50,密度!$B$2:$B$50)</f>
        <v>27999.378838200002</v>
      </c>
      <c r="H16" s="73" ph="1">
        <f>H15*9.0746*LOOKUP(H17,密度!$A$2:$A$50,密度!$L$2:$L$50)</f>
        <v>0</v>
      </c>
      <c r="I16" s="73" ph="1">
        <f>I15*9.0746*LOOKUP(I17,密度!$A$2:$A$50,密度!$U$2:$U$50)</f>
        <v>36466.316398399998</v>
      </c>
      <c r="J16" s="73" ph="1">
        <f>J15*9.0746*LOOKUP(J17,密度!$A$2:$A$50,密度!$L$2:$L$50)</f>
        <v>12161.924113600002</v>
      </c>
      <c r="K16" s="73" ph="1">
        <f>K15*9.0746*LOOKUP(K17,密度!$A$2:$A$50,密度!$C$2:$C$50)</f>
        <v>31180.609634980006</v>
      </c>
      <c r="L16" s="73" ph="1">
        <f>L15*9.0746*LOOKUP(L17,密度!$A$2:$A$50,密度!$E$2:$E$50)</f>
        <v>7528.2191930400004</v>
      </c>
      <c r="M16" s="73" ph="1">
        <f>M15*9.0746*LOOKUP(M17,密度!$A$2:$A$50,密度!$M$2:$M$50)</f>
        <v>51999.251594690002</v>
      </c>
      <c r="N16" s="73" ph="1">
        <f>N15*9.0746*LOOKUP(N17,密度!$A$2:$A$50,密度!$M$2:$M$50)</f>
        <v>31675.943953600003</v>
      </c>
      <c r="O16" s="73" ph="1">
        <f>O15*9.0746*LOOKUP(O17,密度!$A$2:$A$50,密度!$G$2:$G$50)</f>
        <v>59717.647633659995</v>
      </c>
      <c r="P16" s="73" ph="1">
        <f ca="1">P15*9.0746*LOOKUP(P17,密度!$A$2:$A$51,密度!$Q$2:$Q$50)</f>
        <v>15571.262858342001</v>
      </c>
      <c r="Q16" s="73" ph="1">
        <f>Q15*9.0746*LOOKUP(Q17,密度!$A$2:$A$50,密度!$Q$2:$Q$50)</f>
        <v>26870.914850102003</v>
      </c>
      <c r="R16" s="73" ph="1">
        <f>MAX(R15*9.0746*LOOKUP(R17,密度!$A$2:$A$50,密度!$B$2:$B$50),0)</f>
        <v>0</v>
      </c>
      <c r="S16" s="73" ph="1">
        <f>S15*9.0746*LOOKUP(S17,密度!$A$2:$A$50,密度!$Q$2:$Q$50)</f>
        <v>51002.520126444004</v>
      </c>
      <c r="T16" s="73" ph="1">
        <f>T15*9.0746*LOOKUP(T17,密度!$A$2:$A$50,密度!$O$2:$O$50)</f>
        <v>9512.2861072000014</v>
      </c>
      <c r="U16" s="73" ph="1">
        <f>U15*9.0746*LOOKUP(U17,密度!$A$2:$A$50,密度!$H$2:$H$50)</f>
        <v>29313.716678400004</v>
      </c>
      <c r="V16" s="73" ph="1">
        <f>MAX(5600*LOOKUP(V17,密度!$A$2:$A$50,密度!$Q$2:$Q$50)+V15*9.0476*LOOKUP(V17,密度!$A$2:$A$50,密度!$Q$2:$Q$50),0)</f>
        <v>4070.6961038640002</v>
      </c>
      <c r="W16" s="73" ph="1">
        <f>MAX(5600*LOOKUP(W17,密度!$A$2:$A$50,密度!$Q$2:$Q$50)+W15*9.0476*LOOKUP(W17,密度!$A$2:$A$50,密度!$Q$2:$Q$50),0)</f>
        <v>26713.712867587998</v>
      </c>
      <c r="X16" s="73" ph="1">
        <f>MAX(5600*LOOKUP(X17,密度!$A$2:$A$50,密度!$I$2:$I$50)+X15*9.0476*LOOKUP(X17,密度!$A$2:$A$50,密度!$I$2:$I$50),0)</f>
        <v>3347.7295540800001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43219.306125340001</v>
      </c>
      <c r="AB16" s="73" ph="1">
        <f>AB15*9.0746*LOOKUP(AB17,密度!$A$2:$A$50,密度!$L$2:$L$50)</f>
        <v>3017.3407984</v>
      </c>
      <c r="AC16" s="73" ph="1">
        <f>AC15*9.0746*LOOKUP(AC17,密度!$A$2:$A$50,密度!$L$2:$L$50)</f>
        <v>6568.6492100000005</v>
      </c>
      <c r="AD16" s="73" ph="1">
        <f>AD15*268.68*LOOKUP(AD17,密度!$A$2:$A$50,密度!B2:B50)+IF(AD15&lt;=0,0,1566*LOOKUP(AD17,密度!$A$2:$A$50,密度!B2:B50))</f>
        <v>3994.1427667200001</v>
      </c>
      <c r="AE16" s="73" ph="1">
        <f>AE15*268.68*LOOKUP(AE17,密度!$A$2:$A$50,密度!B2:B50)+IF(AE15&lt;=0,0,1566*LOOKUP(AE17,密度!$A$2:$A$50,密度!B2:B50))</f>
        <v>18922.565645279999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30</v>
      </c>
      <c r="E17" s="74">
        <v>30</v>
      </c>
      <c r="F17" s="74">
        <v>30</v>
      </c>
      <c r="G17" s="74">
        <v>28</v>
      </c>
      <c r="H17" s="74">
        <v>25</v>
      </c>
      <c r="I17" s="74">
        <v>28</v>
      </c>
      <c r="J17" s="74">
        <v>30</v>
      </c>
      <c r="K17" s="74">
        <v>29</v>
      </c>
      <c r="L17" s="74">
        <v>32</v>
      </c>
      <c r="M17" s="74">
        <v>31</v>
      </c>
      <c r="N17" s="74">
        <v>28</v>
      </c>
      <c r="O17" s="74">
        <v>30</v>
      </c>
      <c r="P17" s="74">
        <v>30</v>
      </c>
      <c r="Q17" s="74">
        <v>30</v>
      </c>
      <c r="R17" s="74">
        <v>29</v>
      </c>
      <c r="S17" s="74">
        <v>30</v>
      </c>
      <c r="T17" s="74">
        <v>28</v>
      </c>
      <c r="U17" s="74">
        <v>28</v>
      </c>
      <c r="V17" s="74">
        <v>30</v>
      </c>
      <c r="W17" s="74">
        <v>30</v>
      </c>
      <c r="X17" s="74">
        <v>30</v>
      </c>
      <c r="Y17" s="108">
        <v>30</v>
      </c>
      <c r="Z17" s="74">
        <v>28</v>
      </c>
      <c r="AA17" s="74">
        <v>30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5367</v>
      </c>
      <c r="E18" s="71">
        <v>2222</v>
      </c>
      <c r="F18" s="71">
        <v>3289</v>
      </c>
      <c r="G18" s="71">
        <v>625</v>
      </c>
      <c r="H18" s="71">
        <v>0</v>
      </c>
      <c r="I18" s="71">
        <v>3934</v>
      </c>
      <c r="J18" s="71">
        <v>1614</v>
      </c>
      <c r="K18" s="71">
        <v>3108</v>
      </c>
      <c r="L18" s="71">
        <v>3060</v>
      </c>
      <c r="M18" s="71">
        <v>3914</v>
      </c>
      <c r="N18" s="71">
        <v>6319</v>
      </c>
      <c r="O18" s="71">
        <v>4111</v>
      </c>
      <c r="P18" s="71">
        <v>1820</v>
      </c>
      <c r="Q18" s="71" t="s">
        <v>35</v>
      </c>
      <c r="R18" s="71">
        <v>0</v>
      </c>
      <c r="S18" s="71">
        <v>5965</v>
      </c>
      <c r="T18" s="71">
        <v>1131</v>
      </c>
      <c r="U18" s="71">
        <v>5301</v>
      </c>
      <c r="V18" s="71">
        <v>-143</v>
      </c>
      <c r="W18" s="71">
        <v>2511</v>
      </c>
      <c r="X18" s="71">
        <v>-263</v>
      </c>
      <c r="Y18" s="109">
        <v>-9905</v>
      </c>
      <c r="Z18" s="71">
        <v>0</v>
      </c>
      <c r="AA18" s="71">
        <v>6150</v>
      </c>
      <c r="AB18" s="71">
        <v>354</v>
      </c>
      <c r="AC18" s="71">
        <v>776</v>
      </c>
      <c r="AD18" s="71">
        <v>53.41</v>
      </c>
      <c r="AE18" s="71">
        <v>83.82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35167.762337400003</v>
      </c>
      <c r="E19" s="73" ph="1">
        <f>E18*7.0686*LOOKUP(E20,密度!$A$2:$A$50,密度!$L$2:$L$50)</f>
        <v>14559.859868400001</v>
      </c>
      <c r="F19" s="73" ph="1">
        <f>F18*9.0746*LOOKUP(F20,密度!$A$2:$A$50,密度!$L$2:$L$50)</f>
        <v>27667.575163800004</v>
      </c>
      <c r="G19" s="73" ph="1">
        <f>G18*9.0746*LOOKUP(G20,密度!$A$2:$A$50,密度!$B$2:$B$50)</f>
        <v>4387.0019375000002</v>
      </c>
      <c r="H19" s="73" ph="1">
        <f>H18*9.0746*LOOKUP(H20,密度!$A$2:$A$50,密度!$L$2:$L$50)</f>
        <v>0</v>
      </c>
      <c r="I19" s="73" ph="1">
        <f>I18*9.0746*LOOKUP(I20,密度!$A$2:$A$50,密度!$U$2:$U$50)</f>
        <v>36342.066975200003</v>
      </c>
      <c r="J19" s="73" ph="1">
        <f>J18*9.0746*LOOKUP(J20,密度!$A$2:$A$50,密度!$L$2:$L$50)</f>
        <v>13621.156092000001</v>
      </c>
      <c r="K19" s="73" ph="1">
        <f>K18*9.0746*LOOKUP(K20,密度!$A$2:$A$50,密度!$C$2:$C$50)</f>
        <v>31080.650193600006</v>
      </c>
      <c r="L19" s="73" ph="1">
        <f>L18*9.0746*LOOKUP(L20,密度!$A$2:$A$50,密度!$E$2:$E$50)</f>
        <v>21529.299748320002</v>
      </c>
      <c r="M19" s="73" ph="1">
        <f>M18*9.0746*LOOKUP(M20,密度!$A$2:$A$50,密度!$M$2:$M$50)</f>
        <v>30711.335571148004</v>
      </c>
      <c r="N19" s="73" ph="1">
        <f>N18*9.0746*LOOKUP(N20,密度!$A$2:$A$50,密度!$M$2:$M$50)</f>
        <v>49945.228135400001</v>
      </c>
      <c r="O19" s="73" ph="1">
        <f>O18*9.0746*LOOKUP(O20,密度!$A$2:$A$50,密度!$G$2:$G$50)</f>
        <v>35578.800645026</v>
      </c>
      <c r="P19" s="73" ph="1">
        <f ca="1">P18*9.0746*LOOKUP(P20,密度!$A$2:$A$51,密度!$Q$2:$Q$50)</f>
        <v>15567.436371760001</v>
      </c>
      <c r="Q19" s="73" t="e" ph="1">
        <f>Q18*9.0746*LOOKUP(Q20,密度!$A$2:$A$50,密度!$Q$2:$Q$50)</f>
        <v>#VALUE!</v>
      </c>
      <c r="R19" s="73" ph="1">
        <f>MAX(R18*9.0746*LOOKUP(R20,密度!$A$2:$A$50,密度!$B$2:$B$50),0)</f>
        <v>0</v>
      </c>
      <c r="S19" s="73" ph="1">
        <f>S18*9.0746*LOOKUP(S20,密度!$A$2:$A$50,密度!$Q$2:$Q$50)</f>
        <v>50949.852146250007</v>
      </c>
      <c r="T19" s="73" ph="1">
        <f>T18*9.0746*LOOKUP(T20,密度!$A$2:$A$50,密度!$O$2:$O$50)</f>
        <v>9462.8295372000011</v>
      </c>
      <c r="U19" s="73" ph="1">
        <f>U18*9.0746*LOOKUP(U20,密度!$A$2:$A$50,密度!$H$2:$H$50)</f>
        <v>43682.693133168003</v>
      </c>
      <c r="V19" s="73" ph="1">
        <f>MAX(5600*LOOKUP(V20,密度!$A$2:$A$50,密度!$Q$2:$Q$50)+V18*9.0476*LOOKUP(V20,密度!$A$2:$A$50,密度!$Q$2:$Q$50),0)</f>
        <v>4047.5632364080002</v>
      </c>
      <c r="W19" s="73" ph="1">
        <f>MAX(5600*LOOKUP(W20,密度!$A$2:$A$50,密度!$Q$2:$Q$50)+W18*9.0476*LOOKUP(W20,密度!$A$2:$A$50,密度!$Q$2:$Q$50),0)</f>
        <v>26563.341507271998</v>
      </c>
      <c r="X19" s="73" ph="1">
        <f>MAX(5600*LOOKUP(X20,密度!$A$2:$A$50,密度!$I$2:$I$50)+X18*9.0476*LOOKUP(X20,密度!$A$2:$A$50,密度!$I$2:$I$50),0)</f>
        <v>3331.2657532800004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43268.554886999998</v>
      </c>
      <c r="AB19" s="73" ph="1">
        <f>AB18*9.0746*LOOKUP(AB20,密度!$A$2:$A$50,密度!$L$2:$L$50)</f>
        <v>2981.1149952000005</v>
      </c>
      <c r="AC19" s="73" ph="1">
        <f>AC18*9.0746*LOOKUP(AC20,密度!$A$2:$A$50,密度!$L$2:$L$50)</f>
        <v>6541.9154384000003</v>
      </c>
      <c r="AD19" s="73" ph="1">
        <f>AD18*268.68*LOOKUP(AD20,密度!$A$2:$A$50,密度!B5:B53)+IF(AD18&lt;=0,0,1566*LOOKUP(AD20,密度!$A$2:$A$50,密度!B5:B53))</f>
        <v>12366.886467599999</v>
      </c>
      <c r="AE19" s="73" ph="1">
        <f>AE18*268.68*LOOKUP(AE20,密度!$A$2:$A$50,密度!B5:B53)+IF(AE18&lt;=0,0,1566*LOOKUP(AE20,密度!$A$2:$A$50,密度!B5:B53))</f>
        <v>18715.410655199998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35</v>
      </c>
      <c r="E20" s="81">
        <v>35</v>
      </c>
      <c r="F20" s="81">
        <v>35</v>
      </c>
      <c r="G20" s="81">
        <v>32</v>
      </c>
      <c r="H20" s="81">
        <v>33</v>
      </c>
      <c r="I20" s="81">
        <v>32</v>
      </c>
      <c r="J20" s="81">
        <v>32</v>
      </c>
      <c r="K20" s="81">
        <v>33</v>
      </c>
      <c r="L20" s="81">
        <v>32</v>
      </c>
      <c r="M20" s="81">
        <v>35</v>
      </c>
      <c r="N20" s="81">
        <v>29</v>
      </c>
      <c r="O20" s="81">
        <v>31</v>
      </c>
      <c r="P20" s="81">
        <v>31</v>
      </c>
      <c r="Q20" s="81">
        <v>35</v>
      </c>
      <c r="R20" s="81">
        <v>38</v>
      </c>
      <c r="S20" s="81">
        <v>33</v>
      </c>
      <c r="T20" s="81">
        <v>40</v>
      </c>
      <c r="U20" s="81">
        <v>32</v>
      </c>
      <c r="V20" s="81">
        <v>35</v>
      </c>
      <c r="W20" s="81">
        <v>38</v>
      </c>
      <c r="X20" s="81">
        <v>32</v>
      </c>
      <c r="Y20" s="110">
        <v>32</v>
      </c>
      <c r="Z20" s="81">
        <v>35</v>
      </c>
      <c r="AA20" s="81">
        <v>30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647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66.209999999999994</v>
      </c>
      <c r="E24" s="71">
        <v>55.24</v>
      </c>
      <c r="F24" s="71">
        <v>905</v>
      </c>
      <c r="G24" s="71">
        <v>3622</v>
      </c>
      <c r="H24" s="71">
        <v>592</v>
      </c>
      <c r="I24" s="71">
        <v>1659</v>
      </c>
      <c r="J24" s="71">
        <v>423</v>
      </c>
      <c r="K24" s="71">
        <v>4925</v>
      </c>
      <c r="L24" s="71">
        <v>5614</v>
      </c>
      <c r="M24" s="71">
        <v>1915</v>
      </c>
      <c r="N24" s="71">
        <v>548</v>
      </c>
      <c r="O24" s="71">
        <v>4323</v>
      </c>
      <c r="P24" s="71">
        <v>969</v>
      </c>
      <c r="Q24" s="90">
        <v>3147</v>
      </c>
      <c r="R24" s="71">
        <v>2980</v>
      </c>
      <c r="S24" s="71">
        <v>7044</v>
      </c>
      <c r="T24" s="71">
        <v>1697</v>
      </c>
      <c r="U24" s="71">
        <v>5982</v>
      </c>
      <c r="V24" s="71">
        <v>11803</v>
      </c>
      <c r="W24" s="71">
        <v>11728</v>
      </c>
      <c r="X24" s="71">
        <v>3923</v>
      </c>
      <c r="Y24" s="71">
        <v>3139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18324.439372871999</v>
      </c>
      <c r="E25" s="91" ph="1">
        <f>E24*268.68*LOOKUP(E26,密度!$A$2:$A$50,密度!$C$2:$C$50)+IF(E24&lt;=0,0,1566*LOOKUP(E26,密度!$A$2:$A$50,密度!$C$2:$C$50))</f>
        <v>18194.701680480001</v>
      </c>
      <c r="F25" s="91" ph="1">
        <f>F24*11.702*LOOKUP(F26,密度!$A$2:$A$50,密度!$Q$2:$Q$50)</f>
        <v>10003.8186322</v>
      </c>
      <c r="G25" s="91" ph="1">
        <f>G24*18.322*LOOKUP(G26,密度!$A$2:$A$50,密度!$B$2:$B$50)</f>
        <v>51450.678785199998</v>
      </c>
      <c r="H25" s="91" ph="1">
        <f>H24*18.322*LOOKUP(H26,密度!$A$2:$A$50,密度!$B$2:$B$50)</f>
        <v>8419.1495488</v>
      </c>
      <c r="I25" s="91" ph="1">
        <f>I24*18.322*LOOKUP(I26,密度!$A$2:$A$50,密度!$Q$2:$Q$50)</f>
        <v>28673.645459340001</v>
      </c>
      <c r="J25" s="91" ph="1">
        <f>J24*18.322*LOOKUP(J26,密度!$A$2:$A$50,密度!$Q$2:$Q$50)</f>
        <v>7311.001825979999</v>
      </c>
      <c r="K25" s="91" ph="1">
        <f>K24*18.322*LOOKUP(K26,密度!$A$2:$A$50,密度!$Q$2:$Q$50)</f>
        <v>85122.184380499995</v>
      </c>
      <c r="L25" s="91" ph="1">
        <f>L24*18.322*LOOKUP(L26,密度!$A$2:$A$50,密度!$Q$2:$Q$50)</f>
        <v>97092.364172440008</v>
      </c>
      <c r="M25" s="91" ph="1">
        <f>M24*18.322*LOOKUP(M26,密度!$A$2:$A$50,密度!$Q$2:$Q$50)</f>
        <v>33098.2706779</v>
      </c>
      <c r="N25" s="91" ph="1">
        <f>N24*18.322*LOOKUP(N26,密度!$A$2:$A$50,密度!$Q$2:$Q$50)</f>
        <v>9477.4876320800013</v>
      </c>
      <c r="O25" s="91" ph="1">
        <f>O24*18.322*LOOKUP(O26,密度!$A$2:$A$50,密度!$C$2:$C$50)</f>
        <v>87649.3662396</v>
      </c>
      <c r="P25" s="91" ph="1">
        <f>P24*11.702*LOOKUP(P26,密度!$A$2:$A$50,密度!$B$2:$B$50)</f>
        <v>8791.3112213999993</v>
      </c>
      <c r="Q25" s="92" ph="1">
        <f>Q24*18.322*LOOKUP(Q26,密度!$A$2:$A$50,密度!$B$2:$B$50)</f>
        <v>44755.175050799997</v>
      </c>
      <c r="R25" s="91" ph="1">
        <f>R24*35.891*LOOKUP(R26,密度!$A$2:$A$50,密度!$C$2:$C$50)</f>
        <v>118281.73356200001</v>
      </c>
      <c r="S25" s="91" ph="1">
        <f>S24*35.891*LOOKUP(S26,密度!$A$2:$A$50,密度!$B$2:$B$50)</f>
        <v>196008.40296119999</v>
      </c>
      <c r="T25" s="91" ph="1">
        <f>T24*35.891*LOOKUP(T26,密度!$A$2:$A$50,密度!$Q$2:$Q$50)</f>
        <v>57842.794471629997</v>
      </c>
      <c r="U25" s="91" ph="1">
        <f>U24*35.891</f>
        <v>214699.962</v>
      </c>
      <c r="V25" s="91" ph="1">
        <f>V24*47.051*LOOKUP(V26,密度!$A$2:$A$50,密度!$B$2:$B$50)</f>
        <v>430557.39146089996</v>
      </c>
      <c r="W25" s="91" ph="1">
        <f>W24*47.051*LOOKUP(W26,密度!$A$2:$A$50,密度!$B$2:$B$50)</f>
        <v>428318.12615359999</v>
      </c>
      <c r="X25" s="91" ph="1">
        <f>X24*47.051*LOOKUP(X26,密度!$A$2:$A$50,密度!$I$2:$I$50)</f>
        <v>191135.54690222998</v>
      </c>
      <c r="Y25" s="91" ph="1">
        <f>Y24*47.051*LOOKUP(Y26,密度!$A$2:$A$50,密度!$L$2:$L$50)</f>
        <v>137649.95894800001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28</v>
      </c>
      <c r="G26" s="74">
        <v>30</v>
      </c>
      <c r="H26" s="74">
        <v>29</v>
      </c>
      <c r="I26" s="74">
        <v>30</v>
      </c>
      <c r="J26" s="74">
        <v>30</v>
      </c>
      <c r="K26" s="74">
        <v>30</v>
      </c>
      <c r="L26" s="74">
        <v>29</v>
      </c>
      <c r="M26" s="74">
        <v>30</v>
      </c>
      <c r="N26" s="74">
        <v>29</v>
      </c>
      <c r="O26" s="74">
        <v>28</v>
      </c>
      <c r="P26" s="74">
        <v>30</v>
      </c>
      <c r="Q26" s="93">
        <v>29</v>
      </c>
      <c r="R26" s="74">
        <v>29</v>
      </c>
      <c r="S26" s="74">
        <v>30</v>
      </c>
      <c r="T26" s="74">
        <v>21</v>
      </c>
      <c r="U26" s="74">
        <v>31</v>
      </c>
      <c r="V26" s="74">
        <v>30</v>
      </c>
      <c r="W26" s="74">
        <v>29</v>
      </c>
      <c r="X26" s="74">
        <v>31</v>
      </c>
      <c r="Y26" s="74">
        <v>30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66.209999999999994</v>
      </c>
      <c r="E27" s="71">
        <v>55.23</v>
      </c>
      <c r="F27" s="71">
        <v>906</v>
      </c>
      <c r="G27" s="71">
        <v>3072</v>
      </c>
      <c r="H27" s="71">
        <v>587</v>
      </c>
      <c r="I27" s="71">
        <v>2181</v>
      </c>
      <c r="J27" s="71">
        <v>419</v>
      </c>
      <c r="K27" s="71">
        <v>4925</v>
      </c>
      <c r="L27" s="71">
        <v>5610</v>
      </c>
      <c r="M27" s="71">
        <v>1913</v>
      </c>
      <c r="N27" s="71">
        <v>543</v>
      </c>
      <c r="O27" s="71">
        <v>4319</v>
      </c>
      <c r="P27" s="71">
        <v>965</v>
      </c>
      <c r="Q27" s="90">
        <v>3394</v>
      </c>
      <c r="R27" s="71">
        <v>2419</v>
      </c>
      <c r="S27" s="71">
        <v>7041</v>
      </c>
      <c r="T27" s="71">
        <v>1695</v>
      </c>
      <c r="U27" s="71">
        <v>5904</v>
      </c>
      <c r="V27" s="71">
        <v>11805</v>
      </c>
      <c r="W27" s="71">
        <v>11726</v>
      </c>
      <c r="X27" s="71">
        <v>4525</v>
      </c>
      <c r="Y27" s="71">
        <v>2063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18324.439372871999</v>
      </c>
      <c r="E28" s="91" ph="1">
        <f>E27*268.68*LOOKUP(E29,密度!$A$2:$A$50,密度!$C$2:$C$50)+IF(E27&lt;=0,0,1566*LOOKUP(E29,密度!$A$2:$A$50,密度!$C$2:$C$50))</f>
        <v>18191.722287960001</v>
      </c>
      <c r="F28" s="91" ph="1">
        <f>F27*11.702*LOOKUP(F29,密度!$A$2:$A$50,密度!$Q$2:$Q$50)</f>
        <v>10007.55718716</v>
      </c>
      <c r="G28" s="91" ph="1">
        <f>G27*18.322*LOOKUP(G29,密度!$A$2:$A$50,密度!$B$2:$B$50)</f>
        <v>43637.903155199994</v>
      </c>
      <c r="H28" s="91" ph="1">
        <f>H27*18.322*LOOKUP(H29,密度!$A$2:$A$50,密度!$B$2:$B$50)</f>
        <v>8338.3623541999987</v>
      </c>
      <c r="I28" s="91" ph="1">
        <f>I27*18.322*LOOKUP(I29,密度!$A$2:$A$50,密度!$Q$2:$Q$50)</f>
        <v>37665.762607559998</v>
      </c>
      <c r="J28" s="91" ph="1">
        <f>J27*18.322*LOOKUP(J29,密度!$A$2:$A$50,密度!$Q$2:$Q$50)</f>
        <v>7230.8890641999997</v>
      </c>
      <c r="K28" s="91" ph="1">
        <f>K27*18.322*LOOKUP(K29,密度!$A$2:$A$50,密度!$Q$2:$Q$50)</f>
        <v>85054.507492999983</v>
      </c>
      <c r="L28" s="91" ph="1">
        <f>L27*18.322*LOOKUP(L29,密度!$A$2:$A$50,密度!$Q$2:$Q$50)</f>
        <v>96961.513578600003</v>
      </c>
      <c r="M28" s="91" ph="1">
        <f>M27*18.322*LOOKUP(M29,密度!$A$2:$A$50,密度!$Q$2:$Q$50)</f>
        <v>33063.70329338</v>
      </c>
      <c r="N28" s="91" ph="1">
        <f>N27*18.322*LOOKUP(N29,密度!$A$2:$A$50,密度!$Q$2:$Q$50)</f>
        <v>9385.0448971799997</v>
      </c>
      <c r="O28" s="91" ph="1">
        <f>O27*18.322*LOOKUP(O29,密度!$A$2:$A$50,密度!$C$2:$C$50)</f>
        <v>87449.566661799996</v>
      </c>
      <c r="P28" s="91" ph="1">
        <f>P27*11.702*LOOKUP(P29,密度!$A$2:$A$50,密度!$B$2:$B$50)</f>
        <v>8755.0209790000008</v>
      </c>
      <c r="Q28" s="92" ph="1">
        <f>Q27*18.322*LOOKUP(Q29,密度!$A$2:$A$50,密度!$B$2:$B$50)</f>
        <v>48211.928160399999</v>
      </c>
      <c r="R28" s="91" ph="1">
        <f>R27*35.891*LOOKUP(R29,密度!$A$2:$A$50,密度!$C$2:$C$50)</f>
        <v>96014.601841100011</v>
      </c>
      <c r="S28" s="91" ph="1">
        <f>S27*35.891*LOOKUP(S29,密度!$A$2:$A$50,密度!$B$2:$B$50)</f>
        <v>196152.36176219999</v>
      </c>
      <c r="T28" s="91" ph="1">
        <f>T27*35.891*LOOKUP(T29,密度!$A$2:$A$50,密度!$Q$2:$Q$50)</f>
        <v>57387.711665849994</v>
      </c>
      <c r="U28" s="91" ph="1">
        <f>U27*35.891</f>
        <v>211900.46399999998</v>
      </c>
      <c r="V28" s="91" ph="1">
        <f>V27*47.051*LOOKUP(V29,密度!$A$2:$A$50,密度!$B$2:$B$50)</f>
        <v>430630.34874150006</v>
      </c>
      <c r="W28" s="91" ph="1">
        <f>W27*47.051*LOOKUP(W29,密度!$A$2:$A$50,密度!$B$2:$B$50)</f>
        <v>427251.98813440005</v>
      </c>
      <c r="X28" s="91" ph="1">
        <f>X27*47.051*LOOKUP(X29,密度!$A$2:$A$50,密度!$I$2:$I$50)</f>
        <v>220229.73366000003</v>
      </c>
      <c r="Y28" s="91" ph="1">
        <f>Y27*47.051*LOOKUP(Y29,密度!$A$2:$A$50,密度!$L$2:$L$50)</f>
        <v>90368.644303000008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29</v>
      </c>
      <c r="G29" s="74">
        <v>30</v>
      </c>
      <c r="H29" s="74">
        <v>30</v>
      </c>
      <c r="I29" s="74">
        <v>31</v>
      </c>
      <c r="J29" s="74">
        <v>32</v>
      </c>
      <c r="K29" s="74">
        <v>31</v>
      </c>
      <c r="L29" s="74">
        <v>30</v>
      </c>
      <c r="M29" s="74">
        <v>30</v>
      </c>
      <c r="N29" s="74">
        <v>30</v>
      </c>
      <c r="O29" s="74">
        <v>30</v>
      </c>
      <c r="P29" s="74">
        <v>30</v>
      </c>
      <c r="Q29" s="93">
        <v>30</v>
      </c>
      <c r="R29" s="74">
        <v>29</v>
      </c>
      <c r="S29" s="74">
        <v>29</v>
      </c>
      <c r="T29" s="74">
        <v>30</v>
      </c>
      <c r="U29" s="74">
        <v>31</v>
      </c>
      <c r="V29" s="74">
        <v>30</v>
      </c>
      <c r="W29" s="74">
        <v>31</v>
      </c>
      <c r="X29" s="74">
        <v>32</v>
      </c>
      <c r="Y29" s="74">
        <v>31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32487.608369599999</v>
      </c>
      <c r="E33" s="182" ph="1">
        <f>M10+I10</f>
        <v>106977.891864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08" ph="1">
        <v>0</v>
      </c>
      <c r="H33" s="182" ph="1">
        <f>N19</f>
        <v>49945.228135400001</v>
      </c>
      <c r="I33" s="186" ph="1">
        <v>0</v>
      </c>
      <c r="J33" s="190" ph="1">
        <f>F10+O28</f>
        <v>338452.05356710003</v>
      </c>
      <c r="K33" s="182" ph="1">
        <f>O10+K10+E28+R28</f>
        <v>262426.63337786001</v>
      </c>
      <c r="L33" s="192" ph="1">
        <f>BE27</f>
        <v>7100</v>
      </c>
      <c r="M33" s="190" ph="1">
        <f>G10+H10+W28+S28+V28+E10</f>
        <v>2022635.6577180999</v>
      </c>
      <c r="N33" s="182" ph="1">
        <f>L10+P10++G28+H28</f>
        <v>154278.83343639999</v>
      </c>
      <c r="O33" s="186" ph="1">
        <f>BE17</f>
        <v>2270</v>
      </c>
      <c r="P33" s="190" ph="1">
        <f>L19</f>
        <v>21529.299748320002</v>
      </c>
      <c r="Q33" s="182" ph="1">
        <f>J10+N10</f>
        <v>61847.303050369999</v>
      </c>
      <c r="R33" s="186" ph="1">
        <f>BE23</f>
        <v>890</v>
      </c>
      <c r="S33" s="190" ph="1">
        <f>E10+X28</f>
        <v>542771.35960000008</v>
      </c>
      <c r="T33" s="182" ph="1">
        <f>X19</f>
        <v>3331.2657532800004</v>
      </c>
      <c r="U33" s="171" ph="1">
        <f>BE21</f>
        <v>730</v>
      </c>
      <c r="V33" s="184" t="e" ph="1">
        <f ca="1">P19+Q19+S19+M28+N28+J28</f>
        <v>#VALUE!</v>
      </c>
      <c r="W33" s="184" ph="1">
        <f>D28+F28+V19+T28</f>
        <v>89767.271462289995</v>
      </c>
      <c r="X33" s="186" ph="1">
        <f>BE29+BE31</f>
        <v>10200</v>
      </c>
      <c r="Y33" s="188" ph="1">
        <f>+Q10+R10+S10+T10+U10+V10+W10+X10+Y10</f>
        <v>144043.97321160001</v>
      </c>
      <c r="Z33" s="169" ph="1">
        <f>D10+T19+U19+Y28+Z10</f>
        <v>462498.48944510799</v>
      </c>
      <c r="AA33" s="171" ph="1">
        <f>BE19</f>
        <v>1440</v>
      </c>
      <c r="AB33" s="173" ph="1">
        <f>I19</f>
        <v>36342.066975200003</v>
      </c>
      <c r="AC33" s="175" ph="1">
        <f>AD10</f>
        <v>80868.699475200003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99" priority="97">
      <formula>ABS(D$7-D$10)&gt;=1000</formula>
    </cfRule>
  </conditionalFormatting>
  <conditionalFormatting sqref="E4 E6:E11">
    <cfRule type="expression" dxfId="1398" priority="96">
      <formula>ABS(E$7-E$10)&gt;=1000</formula>
    </cfRule>
  </conditionalFormatting>
  <conditionalFormatting sqref="F4:F11">
    <cfRule type="expression" dxfId="1397" priority="95">
      <formula>ABS(F$7-F$10)&gt;=1000</formula>
    </cfRule>
  </conditionalFormatting>
  <conditionalFormatting sqref="G4:G11">
    <cfRule type="expression" dxfId="1396" priority="94">
      <formula>ABS(G$7-G$10)&gt;=1000</formula>
    </cfRule>
  </conditionalFormatting>
  <conditionalFormatting sqref="H4:H11">
    <cfRule type="expression" dxfId="1395" priority="93">
      <formula>ABS(H$7-H$10)&gt;=1000</formula>
    </cfRule>
  </conditionalFormatting>
  <conditionalFormatting sqref="I4:I11">
    <cfRule type="expression" dxfId="1394" priority="92">
      <formula>ABS(I$7-I$10)&gt;=1000</formula>
    </cfRule>
  </conditionalFormatting>
  <conditionalFormatting sqref="J4:J11">
    <cfRule type="expression" dxfId="1393" priority="91">
      <formula>ABS(J$7-J$10)&gt;=1000</formula>
    </cfRule>
  </conditionalFormatting>
  <conditionalFormatting sqref="K4:K11">
    <cfRule type="expression" dxfId="1392" priority="90">
      <formula>ABS(K$7-K$10)&gt;=1000</formula>
    </cfRule>
  </conditionalFormatting>
  <conditionalFormatting sqref="L4:L11">
    <cfRule type="expression" dxfId="1391" priority="89">
      <formula>ABS(L$7-L$10)&gt;=1000</formula>
    </cfRule>
  </conditionalFormatting>
  <conditionalFormatting sqref="M4 M6:M11">
    <cfRule type="expression" dxfId="1390" priority="88">
      <formula>ABS(M$7-M$10)&gt;=1000</formula>
    </cfRule>
  </conditionalFormatting>
  <conditionalFormatting sqref="N4 N6:N11">
    <cfRule type="expression" dxfId="1389" priority="87">
      <formula>ABS(N$7-N$10)&gt;=1000</formula>
    </cfRule>
  </conditionalFormatting>
  <conditionalFormatting sqref="O4 O6:O11">
    <cfRule type="expression" dxfId="1388" priority="86">
      <formula>ABS(O$7-O$10)&gt;=1000</formula>
    </cfRule>
  </conditionalFormatting>
  <conditionalFormatting sqref="P4 P6:P11">
    <cfRule type="expression" dxfId="1387" priority="85">
      <formula>ABS(P$7-P$10)&gt;=1000</formula>
    </cfRule>
  </conditionalFormatting>
  <conditionalFormatting sqref="Q4:Q11">
    <cfRule type="expression" dxfId="1386" priority="84">
      <formula>ABS(Q$7-Q$10)&gt;=1000</formula>
    </cfRule>
  </conditionalFormatting>
  <conditionalFormatting sqref="R4:R11">
    <cfRule type="expression" dxfId="1385" priority="83">
      <formula>ABS(R$7-R$10)&gt;=1000</formula>
    </cfRule>
  </conditionalFormatting>
  <conditionalFormatting sqref="S4:S11">
    <cfRule type="expression" dxfId="1384" priority="82">
      <formula>ABS(S$7-S$10)&gt;=1000</formula>
    </cfRule>
  </conditionalFormatting>
  <conditionalFormatting sqref="T4:T9 T11">
    <cfRule type="expression" dxfId="1383" priority="81">
      <formula>ABS(T$7-T$10)&gt;=1000</formula>
    </cfRule>
  </conditionalFormatting>
  <conditionalFormatting sqref="U4:U9 U11">
    <cfRule type="expression" dxfId="1382" priority="80">
      <formula>ABS(U$7-U$10)&gt;=1000</formula>
    </cfRule>
  </conditionalFormatting>
  <conditionalFormatting sqref="V4:V9 V11">
    <cfRule type="expression" dxfId="1381" priority="79">
      <formula>ABS(V$7-V$10)&gt;=1000</formula>
    </cfRule>
  </conditionalFormatting>
  <conditionalFormatting sqref="W4:W9 W11">
    <cfRule type="expression" dxfId="1380" priority="78">
      <formula>ABS(W$7-W$10)&gt;=1000</formula>
    </cfRule>
  </conditionalFormatting>
  <conditionalFormatting sqref="X4:X9 X11">
    <cfRule type="expression" dxfId="1379" priority="77">
      <formula>ABS(X$7-X$10)&gt;=1000</formula>
    </cfRule>
  </conditionalFormatting>
  <conditionalFormatting sqref="Y4:Y9 Y11">
    <cfRule type="expression" dxfId="1378" priority="76">
      <formula>ABS(Y$7-Y$10)&gt;=1000</formula>
    </cfRule>
  </conditionalFormatting>
  <conditionalFormatting sqref="Z4:Z11">
    <cfRule type="expression" dxfId="1377" priority="75">
      <formula>ABS(Z$7-Z$10)&gt;=1000</formula>
    </cfRule>
  </conditionalFormatting>
  <conditionalFormatting sqref="AA4:AA11">
    <cfRule type="expression" dxfId="1376" priority="74">
      <formula>ABS(AA$7-AA$10)&gt;=1000</formula>
    </cfRule>
  </conditionalFormatting>
  <conditionalFormatting sqref="AB4:AB11">
    <cfRule type="expression" dxfId="1375" priority="73">
      <formula>ABS(AB$7-AB$10)&gt;=1000</formula>
    </cfRule>
  </conditionalFormatting>
  <conditionalFormatting sqref="AC4 AC6:AC11">
    <cfRule type="expression" dxfId="1374" priority="72">
      <formula>ABS(AC$7-AC$10)&gt;=1000</formula>
    </cfRule>
  </conditionalFormatting>
  <conditionalFormatting sqref="AD4:AD11">
    <cfRule type="expression" dxfId="1373" priority="71">
      <formula>ABS(AD$7-AD$10)&gt;=1000</formula>
    </cfRule>
  </conditionalFormatting>
  <conditionalFormatting sqref="AE4:AE11">
    <cfRule type="expression" dxfId="1372" priority="70">
      <formula>ABS(AE$7-AE$10)&gt;=1000</formula>
    </cfRule>
  </conditionalFormatting>
  <conditionalFormatting sqref="D13:D20">
    <cfRule type="expression" dxfId="1371" priority="69">
      <formula>ABS(D$16-D$19)&gt;=1000</formula>
    </cfRule>
  </conditionalFormatting>
  <conditionalFormatting sqref="E13:E20">
    <cfRule type="expression" dxfId="1370" priority="68">
      <formula>ABS(E$16-E$19)&gt;=1000</formula>
    </cfRule>
  </conditionalFormatting>
  <conditionalFormatting sqref="F13 F15:F20">
    <cfRule type="expression" dxfId="1369" priority="67">
      <formula>ABS(F$16-F$19)&gt;=1000</formula>
    </cfRule>
  </conditionalFormatting>
  <conditionalFormatting sqref="G13:G20">
    <cfRule type="expression" dxfId="1368" priority="66">
      <formula>ABS(G$16-G$19)&gt;=1000</formula>
    </cfRule>
  </conditionalFormatting>
  <conditionalFormatting sqref="H13:H20">
    <cfRule type="expression" dxfId="1367" priority="65">
      <formula>ABS(H$16-H$19)&gt;=1000</formula>
    </cfRule>
  </conditionalFormatting>
  <conditionalFormatting sqref="I13:I20">
    <cfRule type="expression" dxfId="1366" priority="64">
      <formula>ABS(I$16-I$19)&gt;=1000</formula>
    </cfRule>
  </conditionalFormatting>
  <conditionalFormatting sqref="J13:J20">
    <cfRule type="expression" dxfId="1365" priority="63">
      <formula>ABS(J$16-J$19)&gt;=1000</formula>
    </cfRule>
  </conditionalFormatting>
  <conditionalFormatting sqref="L13:L20">
    <cfRule type="expression" dxfId="1364" priority="62">
      <formula>ABS(L$16-L$19)&gt;=1000</formula>
    </cfRule>
  </conditionalFormatting>
  <conditionalFormatting sqref="M13 M15 M17:M18 M20">
    <cfRule type="expression" dxfId="1363" priority="61">
      <formula>ABS(M$16-M$19)&gt;=1000</formula>
    </cfRule>
  </conditionalFormatting>
  <conditionalFormatting sqref="N13:N20">
    <cfRule type="expression" dxfId="1362" priority="60">
      <formula>ABS(N$16-N$19)&gt;=1000</formula>
    </cfRule>
  </conditionalFormatting>
  <conditionalFormatting sqref="O13:O20">
    <cfRule type="expression" dxfId="1361" priority="59">
      <formula>ABS(O$16-O$19)&gt;=1000</formula>
    </cfRule>
  </conditionalFormatting>
  <conditionalFormatting sqref="P13:P20">
    <cfRule type="expression" dxfId="1360" priority="58">
      <formula>ABS(P$16-P$19)&gt;=1000</formula>
    </cfRule>
  </conditionalFormatting>
  <conditionalFormatting sqref="Q13 Q15:Q20">
    <cfRule type="expression" dxfId="1359" priority="57">
      <formula>ABS(Q$16-Q$19)&gt;=1000</formula>
    </cfRule>
  </conditionalFormatting>
  <conditionalFormatting sqref="R13:R20">
    <cfRule type="expression" dxfId="1358" priority="56">
      <formula>ABS(R$16-R$19)&gt;=1000</formula>
    </cfRule>
  </conditionalFormatting>
  <conditionalFormatting sqref="S13:S20">
    <cfRule type="expression" dxfId="1357" priority="55">
      <formula>ABS(S$16-S$19)&gt;=1000</formula>
    </cfRule>
  </conditionalFormatting>
  <conditionalFormatting sqref="T13:T20">
    <cfRule type="expression" dxfId="1356" priority="54">
      <formula>ABS(T$16-T$19)&gt;=1000</formula>
    </cfRule>
  </conditionalFormatting>
  <conditionalFormatting sqref="U13:U20">
    <cfRule type="expression" dxfId="1355" priority="53">
      <formula>ABS(U$16-U$19)&gt;=1000</formula>
    </cfRule>
  </conditionalFormatting>
  <conditionalFormatting sqref="V13:V20">
    <cfRule type="expression" dxfId="1354" priority="52">
      <formula>ABS(V$16-V$19)&gt;=1000</formula>
    </cfRule>
  </conditionalFormatting>
  <conditionalFormatting sqref="W13 W20 W15:W18">
    <cfRule type="expression" dxfId="1353" priority="51">
      <formula>ABS(W$16-W$19)&gt;=1000</formula>
    </cfRule>
  </conditionalFormatting>
  <conditionalFormatting sqref="X13 X15:X20 Y19">
    <cfRule type="expression" dxfId="1352" priority="50">
      <formula>ABS(X$16-X$19)&gt;=1000</formula>
    </cfRule>
  </conditionalFormatting>
  <conditionalFormatting sqref="Y13 Y15:Y18 Y20">
    <cfRule type="expression" dxfId="1351" priority="49">
      <formula>ABS(Y$16-Y$19)&gt;=1000</formula>
    </cfRule>
  </conditionalFormatting>
  <conditionalFormatting sqref="Z13:Z20">
    <cfRule type="expression" dxfId="1350" priority="48">
      <formula>ABS(Z$16-Z$19)&gt;=1000</formula>
    </cfRule>
  </conditionalFormatting>
  <conditionalFormatting sqref="AA13:AA20">
    <cfRule type="expression" dxfId="1349" priority="47">
      <formula>ABS(AA$16-AA$19)&gt;=1000</formula>
    </cfRule>
  </conditionalFormatting>
  <conditionalFormatting sqref="AB13 AB15:AB20">
    <cfRule type="expression" dxfId="1348" priority="46">
      <formula>ABS(AB$16-AB$19)&gt;=1000</formula>
    </cfRule>
  </conditionalFormatting>
  <conditionalFormatting sqref="AC13 AC15:AC20">
    <cfRule type="expression" dxfId="1347" priority="45">
      <formula>ABS(AC$16-AC$19)&gt;=1000</formula>
    </cfRule>
  </conditionalFormatting>
  <conditionalFormatting sqref="AD13:AD20">
    <cfRule type="expression" dxfId="1346" priority="44">
      <formula>ABS(AD$16-AD$19)&gt;=1000</formula>
    </cfRule>
  </conditionalFormatting>
  <conditionalFormatting sqref="AE13:AE20">
    <cfRule type="expression" dxfId="1345" priority="43">
      <formula>ABS(AE$16-AE$19)&gt;=1000</formula>
    </cfRule>
  </conditionalFormatting>
  <conditionalFormatting sqref="D22:D29">
    <cfRule type="expression" dxfId="1344" priority="42">
      <formula>ABS(D$25-D$28)&gt;=1000</formula>
    </cfRule>
  </conditionalFormatting>
  <conditionalFormatting sqref="E22:E29">
    <cfRule type="expression" dxfId="1343" priority="41">
      <formula>ABS(E$25-E$28)&gt;=1000</formula>
    </cfRule>
  </conditionalFormatting>
  <conditionalFormatting sqref="F22:F29">
    <cfRule type="expression" dxfId="1342" priority="40">
      <formula>ABS(F$25-F$28)&gt;=1000</formula>
    </cfRule>
  </conditionalFormatting>
  <conditionalFormatting sqref="G22:G29">
    <cfRule type="expression" dxfId="1341" priority="39">
      <formula>ABS(G$25-G$28)&gt;=1000</formula>
    </cfRule>
  </conditionalFormatting>
  <conditionalFormatting sqref="H22:H29">
    <cfRule type="expression" dxfId="1340" priority="38">
      <formula>ABS(H$25-H$28)&gt;=1000</formula>
    </cfRule>
  </conditionalFormatting>
  <conditionalFormatting sqref="I22 I24:I29">
    <cfRule type="expression" dxfId="1339" priority="37">
      <formula>ABS(I$25-I$28)&gt;=1000</formula>
    </cfRule>
  </conditionalFormatting>
  <conditionalFormatting sqref="J22:J29 K22">
    <cfRule type="expression" dxfId="1338" priority="36">
      <formula>ABS(J$25-J$28)&gt;=1000</formula>
    </cfRule>
  </conditionalFormatting>
  <conditionalFormatting sqref="K23:K29 L25 L28">
    <cfRule type="expression" dxfId="1337" priority="35">
      <formula>ABS(K$25-K$28)&gt;=1000</formula>
    </cfRule>
  </conditionalFormatting>
  <conditionalFormatting sqref="L22 L26:L27 L29 L24">
    <cfRule type="expression" dxfId="1336" priority="34">
      <formula>ABS(L$25-L$28)&gt;=1000</formula>
    </cfRule>
  </conditionalFormatting>
  <conditionalFormatting sqref="M22:M29">
    <cfRule type="expression" dxfId="1335" priority="33">
      <formula>ABS(M$25-M$28)&gt;=1000</formula>
    </cfRule>
  </conditionalFormatting>
  <conditionalFormatting sqref="N22:N29">
    <cfRule type="expression" dxfId="1334" priority="32">
      <formula>ABS(N$25-N$28)&gt;=1000</formula>
    </cfRule>
  </conditionalFormatting>
  <conditionalFormatting sqref="O22:O29">
    <cfRule type="expression" dxfId="1333" priority="31">
      <formula>ABS(O$25-O$28)&gt;=1000</formula>
    </cfRule>
  </conditionalFormatting>
  <conditionalFormatting sqref="P22:P29">
    <cfRule type="expression" dxfId="1332" priority="30">
      <formula>ABS(P$25-P$28)&gt;=1000</formula>
    </cfRule>
  </conditionalFormatting>
  <conditionalFormatting sqref="Q22:Q29">
    <cfRule type="expression" dxfId="1331" priority="29">
      <formula>ABS(Q$25-Q$28)&gt;=1000</formula>
    </cfRule>
  </conditionalFormatting>
  <conditionalFormatting sqref="R22:R29">
    <cfRule type="expression" dxfId="1330" priority="28">
      <formula>ABS(R$25-R$28)&gt;=1000</formula>
    </cfRule>
  </conditionalFormatting>
  <conditionalFormatting sqref="S22:S29">
    <cfRule type="expression" dxfId="1329" priority="27">
      <formula>ABS(S$25-S$28)&gt;=1000</formula>
    </cfRule>
  </conditionalFormatting>
  <conditionalFormatting sqref="T22:T29">
    <cfRule type="expression" dxfId="1328" priority="26">
      <formula>ABS(T$25-T$28)&gt;=1000</formula>
    </cfRule>
  </conditionalFormatting>
  <conditionalFormatting sqref="U22:U29">
    <cfRule type="expression" dxfId="1327" priority="25">
      <formula>ABS(U$25-U$28)&gt;=1000</formula>
    </cfRule>
  </conditionalFormatting>
  <conditionalFormatting sqref="V22:V29">
    <cfRule type="expression" dxfId="1326" priority="24">
      <formula>ABS(V$25-V$28)&gt;=1000</formula>
    </cfRule>
  </conditionalFormatting>
  <conditionalFormatting sqref="W22:W29">
    <cfRule type="expression" dxfId="1325" priority="23">
      <formula>ABS(W$25-W$28)&gt;=1000</formula>
    </cfRule>
  </conditionalFormatting>
  <conditionalFormatting sqref="X22:X29">
    <cfRule type="expression" dxfId="1324" priority="22">
      <formula>ABS(X$25-X$28)&gt;=1000</formula>
    </cfRule>
  </conditionalFormatting>
  <conditionalFormatting sqref="Y22:Y29">
    <cfRule type="expression" dxfId="1323" priority="21">
      <formula>ABS(Y$25-Y$28)&gt;=1000</formula>
    </cfRule>
  </conditionalFormatting>
  <conditionalFormatting sqref="I23">
    <cfRule type="expression" dxfId="1322" priority="20">
      <formula>ABS(I$25-I$28)&gt;=1000</formula>
    </cfRule>
  </conditionalFormatting>
  <conditionalFormatting sqref="Q14">
    <cfRule type="expression" dxfId="1321" priority="19">
      <formula>ABS(Q$16-Q$19)&gt;=1000</formula>
    </cfRule>
  </conditionalFormatting>
  <conditionalFormatting sqref="W14">
    <cfRule type="expression" dxfId="1320" priority="18">
      <formula>ABS(W$16-W$19)&gt;=1000</formula>
    </cfRule>
  </conditionalFormatting>
  <conditionalFormatting sqref="Y14">
    <cfRule type="expression" dxfId="1319" priority="17">
      <formula>ABS(Y$16-Y$19)&gt;=1000</formula>
    </cfRule>
  </conditionalFormatting>
  <conditionalFormatting sqref="X14">
    <cfRule type="expression" dxfId="1318" priority="16">
      <formula>ABS(X$16-X$19)&gt;=1000</formula>
    </cfRule>
  </conditionalFormatting>
  <conditionalFormatting sqref="T10:Y10">
    <cfRule type="expression" dxfId="1317" priority="15">
      <formula>ABS(T$7-T$10)&gt;=1000</formula>
    </cfRule>
  </conditionalFormatting>
  <conditionalFormatting sqref="W19">
    <cfRule type="expression" dxfId="1316" priority="14">
      <formula>ABS(W$16-W$19)&gt;=1000</formula>
    </cfRule>
  </conditionalFormatting>
  <conditionalFormatting sqref="AC5">
    <cfRule type="expression" dxfId="1315" priority="13">
      <formula>ABS(AC$7-AC$10)&gt;=1000</formula>
    </cfRule>
  </conditionalFormatting>
  <conditionalFormatting sqref="M14">
    <cfRule type="expression" dxfId="1314" priority="12">
      <formula>ABS(M$16-M$19)&gt;=1000</formula>
    </cfRule>
  </conditionalFormatting>
  <conditionalFormatting sqref="M16">
    <cfRule type="expression" dxfId="1313" priority="11">
      <formula>ABS(M$16-M$19)&gt;=1000</formula>
    </cfRule>
  </conditionalFormatting>
  <conditionalFormatting sqref="M19">
    <cfRule type="expression" dxfId="1312" priority="10">
      <formula>ABS(M$16-M$19)&gt;=1000</formula>
    </cfRule>
  </conditionalFormatting>
  <conditionalFormatting sqref="K13:K20">
    <cfRule type="expression" dxfId="1311" priority="9">
      <formula>ABS(K$16-K$19)&gt;=1000</formula>
    </cfRule>
  </conditionalFormatting>
  <conditionalFormatting sqref="E5">
    <cfRule type="expression" dxfId="1310" priority="8">
      <formula>ABS(E$7-E$10)&gt;=1000</formula>
    </cfRule>
  </conditionalFormatting>
  <conditionalFormatting sqref="AB14:AC14">
    <cfRule type="expression" dxfId="1309" priority="7">
      <formula>ABS(AB$16-AB$19)&gt;=1000</formula>
    </cfRule>
  </conditionalFormatting>
  <conditionalFormatting sqref="M5">
    <cfRule type="expression" dxfId="1308" priority="6">
      <formula>ABS(M$7-M$10)&gt;=1000</formula>
    </cfRule>
  </conditionalFormatting>
  <conditionalFormatting sqref="N5">
    <cfRule type="expression" dxfId="1307" priority="5">
      <formula>ABS(N$7-N$10)&gt;=1000</formula>
    </cfRule>
  </conditionalFormatting>
  <conditionalFormatting sqref="O5">
    <cfRule type="expression" dxfId="1306" priority="4">
      <formula>ABS(O$7-O$10)&gt;=1000</formula>
    </cfRule>
  </conditionalFormatting>
  <conditionalFormatting sqref="P5">
    <cfRule type="expression" dxfId="1305" priority="3">
      <formula>ABS(P$7-P$10)&gt;=1000</formula>
    </cfRule>
  </conditionalFormatting>
  <conditionalFormatting sqref="L23">
    <cfRule type="expression" dxfId="1304" priority="2">
      <formula>ABS(L$25-L$28)&gt;=1000</formula>
    </cfRule>
  </conditionalFormatting>
  <conditionalFormatting sqref="F14">
    <cfRule type="expression" dxfId="1303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56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03">
    <pageSetUpPr fitToPage="1"/>
  </sheetPr>
  <dimension ref="A1:CU223"/>
  <sheetViews>
    <sheetView view="pageBreakPreview" zoomScale="80" zoomScaleNormal="100" zoomScaleSheetLayoutView="80" workbookViewId="0">
      <selection activeCell="G19" sqref="G1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45887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6591</v>
      </c>
      <c r="E6" s="71">
        <v>8116</v>
      </c>
      <c r="F6" s="71">
        <v>6846</v>
      </c>
      <c r="G6" s="71">
        <v>7711</v>
      </c>
      <c r="H6" s="71">
        <v>6780</v>
      </c>
      <c r="I6" s="71">
        <v>40.61</v>
      </c>
      <c r="J6" s="71">
        <v>52.72</v>
      </c>
      <c r="K6" s="71">
        <v>85.41</v>
      </c>
      <c r="L6" s="71">
        <v>34.409999999999997</v>
      </c>
      <c r="M6" s="71">
        <v>2804</v>
      </c>
      <c r="N6" s="71">
        <v>4865</v>
      </c>
      <c r="O6" s="71">
        <v>5382</v>
      </c>
      <c r="P6" s="71">
        <v>2541</v>
      </c>
      <c r="Q6" s="71">
        <v>0</v>
      </c>
      <c r="R6" s="71">
        <v>0</v>
      </c>
      <c r="S6" s="71">
        <v>0</v>
      </c>
      <c r="T6" s="71">
        <v>4746</v>
      </c>
      <c r="U6" s="71">
        <v>6991</v>
      </c>
      <c r="V6" s="71">
        <v>4602</v>
      </c>
      <c r="W6" s="71">
        <v>5473</v>
      </c>
      <c r="X6" s="71">
        <v>0</v>
      </c>
      <c r="Y6" s="71">
        <v>0</v>
      </c>
      <c r="Z6" s="71">
        <v>5380</v>
      </c>
      <c r="AA6" s="71">
        <v>556</v>
      </c>
      <c r="AB6" s="71">
        <v>661</v>
      </c>
      <c r="AC6" s="71">
        <v>3170</v>
      </c>
      <c r="AD6" s="71">
        <v>4124</v>
      </c>
      <c r="AE6" s="71">
        <v>2400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206314.90529949</v>
      </c>
      <c r="E7" s="73" ph="1">
        <f>E6*51.53*LOOKUP(E8,密度!$A$2:$A$50,密度!$B$2:$B$50)</f>
        <v>324620.40797599999</v>
      </c>
      <c r="F7" s="73" ph="1">
        <f>F6*33.183*LOOKUP(F8,密度!$A$2:$A$50,密度!$C$2:$C$50)</f>
        <v>251228.20762620002</v>
      </c>
      <c r="G7" s="73" ph="1">
        <f xml:space="preserve"> (G6+2)*51.53*LOOKUP(G8,密度!$A$2:$A$50,密度!$B$2:$B$50)</f>
        <v>308501.38081800001</v>
      </c>
      <c r="H7" s="73" ph="1">
        <f>(H6)*51.53*LOOKUP(H8,密度!$A$2:$A$50,密度!$B$2:$B$50)</f>
        <v>271777.56786000001</v>
      </c>
      <c r="I7" s="73" ph="1">
        <f>I6*290.8*1.0267</f>
        <v>12124.698659600001</v>
      </c>
      <c r="J7" s="73" ph="1">
        <f>J6*290.8*0.7892</f>
        <v>12099.2062592</v>
      </c>
      <c r="K7" s="73" ph="1">
        <f>K6*290.8*1.1126</f>
        <v>27633.899872800001</v>
      </c>
      <c r="L7" s="73" ph="1">
        <f>L6*290.8*0.777</f>
        <v>7774.9945560000006</v>
      </c>
      <c r="M7" s="73" ph="1">
        <f>M6*33.183*LOOKUP(M8,密度!$A$2:$A$50,密度!$D$2:$D$50)</f>
        <v>95092.124903999997</v>
      </c>
      <c r="N7" s="73" ph="1">
        <f>N6*33.183*LOOKUP(N8,密度!$A$2:$A$50,密度!$E$2:$E$50)</f>
        <v>125346.43480275001</v>
      </c>
      <c r="O7" s="73" ph="1">
        <f>O6*20.428*LOOKUP(O8,密度!$A$2:$A$50,密度!$C$2:$C$50)</f>
        <v>121036.7947464</v>
      </c>
      <c r="P7" s="73" ph="1">
        <f>P6*51.53*LOOKUP(P8,密度!$A$2:$A$50,密度!$B$2:$B$50)</f>
        <v>101856.460167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31434.078337199997</v>
      </c>
      <c r="U7" s="73" ph="1">
        <f>U6*1.5*1.5*3.1416*LOOKUP(U8,密度!$A$2:$A$50,密度!$L$2:$L$50)</f>
        <v>46155.088148400006</v>
      </c>
      <c r="V7" s="73" ph="1">
        <f>V6*1.5*1.5*3.1416*LOOKUP(V8,密度!$A$2:$A$50,密度!$L$2:$L$50)</f>
        <v>30350.207487600001</v>
      </c>
      <c r="W7" s="73" ph="1">
        <f>W6*1.5*1.5*3.1416*LOOKUP(W8,密度!$A$2:$A$50,密度!$L$2:$L$50)</f>
        <v>36133.142245200004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166920.44490000003</v>
      </c>
      <c r="AA7" s="73" ph="1">
        <f>AA6*33.183*LOOKUP(AA8,密度!$A$2:$A$50,密度!$D$2:$D$50)</f>
        <v>18872.247229199998</v>
      </c>
      <c r="AB7" s="73" ph="1">
        <f>AB6*20.428*LOOKUP(AB8,密度!$A$2:$A$50,密度!$D$2:$D$50)</f>
        <v>13889.091168800001</v>
      </c>
      <c r="AC7" s="73" ph="1">
        <f>AC6*51.53*LOOKUP(AC8,密度!$A$2:$A$50,密度!$Q$2:$Q$50)</f>
        <v>154534.095103</v>
      </c>
      <c r="AD7" s="73" ph="1">
        <f>AD6*20.428*LOOKUP(AD8,密度!$A$2:$A$50,密度!$V$2:$V$50)</f>
        <v>80673.080947199996</v>
      </c>
      <c r="AE7" s="73" ph="1">
        <f>AE6*20.428</f>
        <v>49027.200000000004</v>
      </c>
    </row>
    <row r="8" spans="1:99" ph="1">
      <c r="B8" s="233" ph="1"/>
      <c r="C8" s="68" t="s" ph="1">
        <v>180</v>
      </c>
      <c r="D8" s="74">
        <v>30</v>
      </c>
      <c r="E8" s="74">
        <v>29</v>
      </c>
      <c r="F8" s="74">
        <v>29</v>
      </c>
      <c r="G8" s="74">
        <v>29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34</v>
      </c>
      <c r="P8" s="74">
        <v>27</v>
      </c>
      <c r="Q8" s="74">
        <v>27</v>
      </c>
      <c r="R8" s="74">
        <v>33</v>
      </c>
      <c r="S8" s="74">
        <v>26</v>
      </c>
      <c r="T8" s="74">
        <v>25</v>
      </c>
      <c r="U8" s="74">
        <v>28</v>
      </c>
      <c r="V8" s="74">
        <v>29</v>
      </c>
      <c r="W8" s="74">
        <v>28</v>
      </c>
      <c r="X8" s="74">
        <v>20</v>
      </c>
      <c r="Y8" s="74">
        <v>27</v>
      </c>
      <c r="Z8" s="74">
        <v>27</v>
      </c>
      <c r="AA8" s="74">
        <v>29</v>
      </c>
      <c r="AB8" s="74">
        <v>23</v>
      </c>
      <c r="AC8" s="74">
        <v>26</v>
      </c>
      <c r="AD8" s="74">
        <v>28</v>
      </c>
      <c r="AE8" s="74">
        <v>30</v>
      </c>
    </row>
    <row r="9" spans="1:99" ht="26.4" ph="1">
      <c r="B9" s="233" ph="1">
        <v>0.66666666666666663</v>
      </c>
      <c r="C9" s="150" t="s" ph="1">
        <v>181</v>
      </c>
      <c r="D9" s="71">
        <v>6593</v>
      </c>
      <c r="E9" s="71">
        <v>8116</v>
      </c>
      <c r="F9" s="71">
        <v>6849</v>
      </c>
      <c r="G9" s="71">
        <v>8313</v>
      </c>
      <c r="H9" s="71">
        <v>7634</v>
      </c>
      <c r="I9" s="71">
        <v>40.619999999999997</v>
      </c>
      <c r="J9" s="71">
        <v>14.81</v>
      </c>
      <c r="K9" s="71">
        <v>85.31</v>
      </c>
      <c r="L9" s="71">
        <v>19.32</v>
      </c>
      <c r="M9" s="71">
        <v>2804</v>
      </c>
      <c r="N9" s="71">
        <v>5536</v>
      </c>
      <c r="O9" s="71">
        <v>5382</v>
      </c>
      <c r="P9" s="71">
        <v>2184</v>
      </c>
      <c r="Q9" s="71">
        <v>0</v>
      </c>
      <c r="R9" s="71">
        <v>0</v>
      </c>
      <c r="S9" s="71">
        <v>0</v>
      </c>
      <c r="T9" s="71">
        <v>590</v>
      </c>
      <c r="U9" s="71">
        <v>6998</v>
      </c>
      <c r="V9" s="71">
        <v>4908</v>
      </c>
      <c r="W9" s="71">
        <v>7012</v>
      </c>
      <c r="X9" s="71">
        <v>3110</v>
      </c>
      <c r="Y9" s="71">
        <v>0</v>
      </c>
      <c r="Z9" s="71">
        <v>6315</v>
      </c>
      <c r="AA9" s="71">
        <v>556</v>
      </c>
      <c r="AB9" s="71">
        <v>428</v>
      </c>
      <c r="AC9" s="71">
        <v>3475</v>
      </c>
      <c r="AD9" s="71">
        <v>4125</v>
      </c>
      <c r="AE9" s="71">
        <v>2153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206213.42869902001</v>
      </c>
      <c r="E10" s="73" ph="1">
        <f>E9*51.53*LOOKUP(E11,密度!$A$2:$A$50,密度!$B$2:$B$50)</f>
        <v>322780.25106400001</v>
      </c>
      <c r="F10" s="73" ph="1">
        <f>F9*33.183*LOOKUP(F11,密度!$A$2:$A$50,密度!$C$2:$C$50)</f>
        <v>251338.29886530002</v>
      </c>
      <c r="G10" s="73" ph="1">
        <f xml:space="preserve"> (G9+2)*51.53*LOOKUP(G11,密度!$A$2:$A$50,密度!$B$2:$B$50)</f>
        <v>330309.02625500003</v>
      </c>
      <c r="H10" s="73" ph="1">
        <f>(H9)*51.53*LOOKUP(H11,密度!$A$2:$A$50,密度!$B$2:$B$50)</f>
        <v>302902.61540000001</v>
      </c>
      <c r="I10" s="73" ph="1">
        <f>I9*290.8*1.0267</f>
        <v>12127.6843032</v>
      </c>
      <c r="J10" s="73" ph="1">
        <f>J9*290.8*0.7892</f>
        <v>3398.8855216000006</v>
      </c>
      <c r="K10" s="73" ph="1">
        <f>K9*290.8*1.1126</f>
        <v>27601.545464800001</v>
      </c>
      <c r="L10" s="73" ph="1">
        <f>L9*290.8*0.777</f>
        <v>4365.3849120000004</v>
      </c>
      <c r="M10" s="73" ph="1">
        <f>M9*33.183*LOOKUP(M11,密度!$A$2:$A$50,密度!$D$2:$D$50)</f>
        <v>94924.643666399992</v>
      </c>
      <c r="N10" s="73" ph="1">
        <f>N9*33.183*LOOKUP(N11,密度!$A$2:$A$50,密度!$E$2:$E$50)</f>
        <v>142427.12754816</v>
      </c>
      <c r="O10" s="73" ph="1">
        <f>O9*20.428*LOOKUP(O11,密度!$A$2:$A$50,密度!$C$2:$C$50)</f>
        <v>120575.03206319999</v>
      </c>
      <c r="P10" s="73" ph="1">
        <f>P9*51.53*LOOKUP(P11,密度!$A$2:$A$50,密度!$B$2:$B$50)</f>
        <v>87152.153088000006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3882.7112940000002</v>
      </c>
      <c r="U10" s="73" ph="1">
        <f>U9*1.5*1.5*3.1416*LOOKUP(U11,密度!$A$2:$A$50,密度!$L$2:$L$50)</f>
        <v>46151.836592400003</v>
      </c>
      <c r="V10" s="73" ph="1">
        <f>V9*1.5*1.5*3.1416*LOOKUP(V11,密度!$A$2:$A$50,密度!$L$2:$L$50)</f>
        <v>32472.356716799997</v>
      </c>
      <c r="W10" s="73" ph="1">
        <f>W9*1.5*1.5*3.1416*LOOKUP(W11,密度!$A$2:$A$50,密度!$L$2:$L$50)</f>
        <v>46194.601622399998</v>
      </c>
      <c r="X10" s="73" ph="1">
        <f>X9*1.5*1.5*3.1416*LOOKUP(X11,密度!$A$2:$A$50,密度!$L$2:$L$50)</f>
        <v>20708.311932000001</v>
      </c>
      <c r="Y10" s="73" ph="1">
        <f>Y9*1.5*1.5*3.1416*LOOKUP(Y11,密度!$A$2:$A$50,密度!$L$2:$L$50)</f>
        <v>0</v>
      </c>
      <c r="Z10" s="73" ph="1">
        <f>Z9*33.183*LOOKUP(Z11,密度!$A$2:$A$50,密度!$L$2:$L$50)</f>
        <v>195301.20113999999</v>
      </c>
      <c r="AA10" s="73" ph="1">
        <f>AA9*33.183*LOOKUP(AA11,密度!$A$2:$A$50,密度!$D$2:$D$50)</f>
        <v>18774.4635648</v>
      </c>
      <c r="AB10" s="73" ph="1">
        <f>AB9*20.428*LOOKUP(AB11,密度!$A$2:$A$50,密度!$D$2:$D$50)</f>
        <v>8927.6651824</v>
      </c>
      <c r="AC10" s="73" ph="1">
        <f>AC9*51.53*LOOKUP(AC11,密度!$A$2:$A$50,密度!$Q$2:$Q$50)</f>
        <v>168919.0372775</v>
      </c>
      <c r="AD10" s="73" ph="1">
        <f>AD9*20.428*LOOKUP(AD11,密度!$A$2:$A$50,密度!$V$2:$V$50)</f>
        <v>80692.642800000001</v>
      </c>
      <c r="AE10" s="73" ph="1">
        <f>AE9*20.428</f>
        <v>43981.484000000004</v>
      </c>
    </row>
    <row r="11" spans="1:99" ph="1">
      <c r="A11" s="64" t="s" ph="1">
        <v>163</v>
      </c>
      <c r="B11" s="233" ph="1"/>
      <c r="C11" s="150" t="s" ph="1">
        <v>180</v>
      </c>
      <c r="D11" s="74">
        <v>31</v>
      </c>
      <c r="E11" s="74">
        <v>34</v>
      </c>
      <c r="F11" s="74">
        <v>29</v>
      </c>
      <c r="G11" s="74">
        <v>35</v>
      </c>
      <c r="H11" s="74">
        <v>36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32</v>
      </c>
      <c r="O11" s="74">
        <v>38</v>
      </c>
      <c r="P11" s="74">
        <v>31</v>
      </c>
      <c r="Q11" s="74">
        <v>38</v>
      </c>
      <c r="R11" s="74">
        <v>38</v>
      </c>
      <c r="S11" s="74">
        <v>30</v>
      </c>
      <c r="T11" s="74">
        <v>31</v>
      </c>
      <c r="U11" s="74">
        <v>29</v>
      </c>
      <c r="V11" s="74">
        <v>26</v>
      </c>
      <c r="W11" s="74">
        <v>30</v>
      </c>
      <c r="X11" s="74">
        <v>20</v>
      </c>
      <c r="Y11" s="74">
        <v>32</v>
      </c>
      <c r="Z11" s="74">
        <v>30</v>
      </c>
      <c r="AA11" s="74">
        <v>35</v>
      </c>
      <c r="AB11" s="74">
        <v>31</v>
      </c>
      <c r="AC11" s="74">
        <v>30</v>
      </c>
      <c r="AD11" s="74">
        <v>34</v>
      </c>
      <c r="AE11" s="74">
        <v>34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5368</v>
      </c>
      <c r="E15" s="78">
        <v>3424</v>
      </c>
      <c r="F15" s="78">
        <v>3286</v>
      </c>
      <c r="G15" s="78">
        <v>951</v>
      </c>
      <c r="H15" s="78">
        <v>0</v>
      </c>
      <c r="I15" s="78">
        <v>3933</v>
      </c>
      <c r="J15" s="78">
        <v>2326</v>
      </c>
      <c r="K15" s="78">
        <v>3107</v>
      </c>
      <c r="L15" s="78">
        <v>3263</v>
      </c>
      <c r="M15" s="78">
        <v>6847</v>
      </c>
      <c r="N15" s="78">
        <v>5215</v>
      </c>
      <c r="O15" s="78">
        <v>4109</v>
      </c>
      <c r="P15" s="78">
        <v>1819</v>
      </c>
      <c r="Q15" s="78">
        <v>0</v>
      </c>
      <c r="R15" s="78">
        <v>0</v>
      </c>
      <c r="S15" s="78">
        <v>4157</v>
      </c>
      <c r="T15" s="78">
        <v>1131</v>
      </c>
      <c r="U15" s="78">
        <v>5297</v>
      </c>
      <c r="V15" s="78">
        <v>-141</v>
      </c>
      <c r="W15" s="71">
        <v>-338</v>
      </c>
      <c r="X15" s="78">
        <v>-261</v>
      </c>
      <c r="Y15" s="106">
        <v>-9908</v>
      </c>
      <c r="Z15" s="78">
        <v>0</v>
      </c>
      <c r="AA15" s="78">
        <v>6145</v>
      </c>
      <c r="AB15" s="78" ph="1">
        <v>357</v>
      </c>
      <c r="AC15" s="78" ph="1">
        <v>775</v>
      </c>
      <c r="AD15" s="78">
        <v>84.31</v>
      </c>
      <c r="AE15" s="78">
        <v>5.51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35439.9246432</v>
      </c>
      <c r="E16" s="73" ph="1">
        <f>E15*7.0686*LOOKUP(E17,密度!$A$2:$A$50,密度!$L$2:$L$50)</f>
        <v>22605.495897600002</v>
      </c>
      <c r="F16" s="73" ph="1">
        <f>F15*9.0746*LOOKUP(F17,密度!$A$2:$A$50,密度!$L$2:$L$50)</f>
        <v>27791.434379200004</v>
      </c>
      <c r="G16" s="73" ph="1">
        <f>G15*9.0746*LOOKUP(G17,密度!$A$2:$A$50,密度!$B$2:$B$50)</f>
        <v>6713.2339043400007</v>
      </c>
      <c r="H16" s="73" ph="1">
        <f>H15*9.0746*LOOKUP(H17,密度!$A$2:$A$50,密度!$L$2:$L$50)</f>
        <v>0</v>
      </c>
      <c r="I16" s="73" ph="1">
        <f>I15*9.0746*LOOKUP(I17,密度!$A$2:$A$50,密度!$U$2:$U$50)</f>
        <v>36475.590639599999</v>
      </c>
      <c r="J16" s="73" ph="1">
        <f>J15*9.0746*LOOKUP(J17,密度!$A$2:$A$50,密度!$L$2:$L$50)</f>
        <v>19714.4233064</v>
      </c>
      <c r="K16" s="73" ph="1">
        <f>K15*9.0746*LOOKUP(K17,密度!$A$2:$A$50,密度!$C$2:$C$50)</f>
        <v>31158.05380922</v>
      </c>
      <c r="L16" s="73" ph="1">
        <f>L15*9.0746*LOOKUP(L17,密度!$A$2:$A$50,密度!$E$2:$E$50)</f>
        <v>23025.062436479999</v>
      </c>
      <c r="M16" s="73" ph="1">
        <f>M15*9.0746*LOOKUP(M17,密度!$A$2:$A$50,密度!$M$2:$M$50)</f>
        <v>53920.942340084002</v>
      </c>
      <c r="N16" s="73" ph="1">
        <f>N15*9.0746*LOOKUP(N17,密度!$A$2:$A$50,密度!$M$2:$M$50)</f>
        <v>41266.562008000001</v>
      </c>
      <c r="O16" s="73" ph="1">
        <f>O15*9.0746*LOOKUP(O17,密度!$A$2:$A$50,密度!$G$2:$G$50)</f>
        <v>35598.406227580002</v>
      </c>
      <c r="P16" s="73" ph="1">
        <f ca="1">P15*9.0746*LOOKUP(P17,密度!$A$2:$A$51,密度!$Q$2:$Q$50)</f>
        <v>15571.262858342001</v>
      </c>
      <c r="Q16" s="73" ph="1">
        <f>Q15*9.0746*LOOKUP(Q17,密度!$A$2:$A$50,密度!$Q$2:$Q$50)</f>
        <v>0</v>
      </c>
      <c r="R16" s="73" ph="1">
        <f>MAX(R15*9.0746*LOOKUP(R17,密度!$A$2:$A$50,密度!$B$2:$B$50),0)</f>
        <v>0</v>
      </c>
      <c r="S16" s="73" ph="1">
        <f>S15*9.0746*LOOKUP(S17,密度!$A$2:$A$50,密度!$Q$2:$Q$50)</f>
        <v>35585.343431626003</v>
      </c>
      <c r="T16" s="73" ph="1">
        <f>T15*9.0746*LOOKUP(T17,密度!$A$2:$A$50,密度!$O$2:$O$50)</f>
        <v>9503.8830276000008</v>
      </c>
      <c r="U16" s="73" ph="1">
        <f>U15*9.0746*LOOKUP(U17,密度!$A$2:$A$50,密度!$H$2:$H$50)</f>
        <v>43838.1584544</v>
      </c>
      <c r="V16" s="73" ph="1">
        <f>MAX(5600*LOOKUP(V17,密度!$A$2:$A$50,密度!$Q$2:$Q$50)+V15*9.0476*LOOKUP(V17,密度!$A$2:$A$50,密度!$Q$2:$Q$50),0)</f>
        <v>4079.2309763720004</v>
      </c>
      <c r="W16" s="73" ph="1">
        <f>MAX(5600*LOOKUP(W17,密度!$A$2:$A$50,密度!$Q$2:$Q$50)+W15*9.0476*LOOKUP(W17,密度!$A$2:$A$50,密度!$Q$2:$Q$50),0)</f>
        <v>2397.8610922960006</v>
      </c>
      <c r="X16" s="73" ph="1">
        <f>MAX(5600*LOOKUP(X17,密度!$A$2:$A$50,密度!$I$2:$I$50)+X15*9.0476*LOOKUP(X17,密度!$A$2:$A$50,密度!$I$2:$I$50),0)</f>
        <v>3353.5782479640002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43233.377200100003</v>
      </c>
      <c r="AB16" s="73" ph="1">
        <f>AB15*9.0746*LOOKUP(AB17,密度!$A$2:$A$50,密度!$L$2:$L$50)</f>
        <v>3025.8164748000004</v>
      </c>
      <c r="AC16" s="73" ph="1">
        <f>AC15*9.0746*LOOKUP(AC17,密度!$A$2:$A$50,密度!$L$2:$L$50)</f>
        <v>6575.682025000001</v>
      </c>
      <c r="AD16" s="73" ph="1">
        <f>AD15*268.68*LOOKUP(AD17,密度!$A$2:$A$50,密度!B2:B50)+IF(AD15&lt;=0,0,1566*LOOKUP(AD17,密度!$A$2:$A$50,密度!B2:B50))</f>
        <v>18880.673059679997</v>
      </c>
      <c r="AE16" s="73" ph="1">
        <f>AE15*268.68*LOOKUP(AE17,密度!$A$2:$A$50,密度!B2:B50)+IF(AE15&lt;=0,0,1566*LOOKUP(AE17,密度!$A$2:$A$50,密度!B2:B50))</f>
        <v>2374.9943332799999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28</v>
      </c>
      <c r="E17" s="74">
        <v>28</v>
      </c>
      <c r="F17" s="74">
        <v>30</v>
      </c>
      <c r="G17" s="74">
        <v>27</v>
      </c>
      <c r="H17" s="74">
        <v>28</v>
      </c>
      <c r="I17" s="74">
        <v>28</v>
      </c>
      <c r="J17" s="74">
        <v>28</v>
      </c>
      <c r="K17" s="74">
        <v>30</v>
      </c>
      <c r="L17" s="74">
        <v>30</v>
      </c>
      <c r="M17" s="74">
        <v>32</v>
      </c>
      <c r="N17" s="74">
        <v>28</v>
      </c>
      <c r="O17" s="74">
        <v>30</v>
      </c>
      <c r="P17" s="74">
        <v>30</v>
      </c>
      <c r="Q17" s="74">
        <v>28</v>
      </c>
      <c r="R17" s="74">
        <v>29</v>
      </c>
      <c r="S17" s="74">
        <v>30</v>
      </c>
      <c r="T17" s="74">
        <v>28</v>
      </c>
      <c r="U17" s="74">
        <v>28</v>
      </c>
      <c r="V17" s="74">
        <v>30</v>
      </c>
      <c r="W17" s="74">
        <v>30</v>
      </c>
      <c r="X17" s="74">
        <v>31</v>
      </c>
      <c r="Y17" s="108">
        <v>31</v>
      </c>
      <c r="Z17" s="74">
        <v>28</v>
      </c>
      <c r="AA17" s="74">
        <v>30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5377</v>
      </c>
      <c r="E18" s="71">
        <v>1058</v>
      </c>
      <c r="F18" s="71">
        <v>3288</v>
      </c>
      <c r="G18" s="71">
        <v>1048</v>
      </c>
      <c r="H18" s="71">
        <v>0</v>
      </c>
      <c r="I18" s="71">
        <v>3935</v>
      </c>
      <c r="J18" s="71">
        <v>2336</v>
      </c>
      <c r="K18" s="71">
        <v>3109</v>
      </c>
      <c r="L18" s="71">
        <v>3453</v>
      </c>
      <c r="M18" s="71">
        <v>5308</v>
      </c>
      <c r="N18" s="71">
        <v>6480</v>
      </c>
      <c r="O18" s="71">
        <v>1331</v>
      </c>
      <c r="P18" s="71">
        <v>1821</v>
      </c>
      <c r="Q18" s="71">
        <v>0</v>
      </c>
      <c r="R18" s="71">
        <v>0</v>
      </c>
      <c r="S18" s="71">
        <v>3001</v>
      </c>
      <c r="T18" s="71">
        <v>6575</v>
      </c>
      <c r="U18" s="71">
        <v>1445</v>
      </c>
      <c r="V18" s="71">
        <v>-142</v>
      </c>
      <c r="W18" s="71">
        <v>-339</v>
      </c>
      <c r="X18" s="71">
        <v>-262</v>
      </c>
      <c r="Y18" s="109">
        <v>-9907</v>
      </c>
      <c r="Z18" s="71">
        <v>0</v>
      </c>
      <c r="AA18" s="71">
        <v>6150</v>
      </c>
      <c r="AB18" s="71">
        <v>355</v>
      </c>
      <c r="AC18" s="71">
        <v>776</v>
      </c>
      <c r="AD18" s="71">
        <v>84.31</v>
      </c>
      <c r="AE18" s="71">
        <v>48.52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35119.264672800004</v>
      </c>
      <c r="E19" s="73" ph="1">
        <f>E18*7.0686*LOOKUP(E20,密度!$A$2:$A$50,密度!$L$2:$L$50)</f>
        <v>6910.2068112000006</v>
      </c>
      <c r="F19" s="73" ph="1">
        <f>F18*9.0746*LOOKUP(F20,密度!$A$2:$A$50,密度!$L$2:$L$50)</f>
        <v>27748.674864000004</v>
      </c>
      <c r="G19" s="73" ph="1">
        <f>G18*9.0746*LOOKUP(G20,密度!$A$2:$A$50,密度!$B$2:$B$50)</f>
        <v>7373.2431742400004</v>
      </c>
      <c r="H19" s="73" ph="1">
        <f>H18*9.0746*LOOKUP(H20,密度!$A$2:$A$50,密度!$L$2:$L$50)</f>
        <v>0</v>
      </c>
      <c r="I19" s="73" ph="1">
        <f>I18*9.0746*LOOKUP(I20,密度!$A$2:$A$50,密度!$U$2:$U$50)</f>
        <v>36387.013468999998</v>
      </c>
      <c r="J19" s="73" ph="1">
        <f>J18*9.0746*LOOKUP(J20,密度!$A$2:$A$50,密度!$L$2:$L$50)</f>
        <v>19735.585273600002</v>
      </c>
      <c r="K19" s="73" ph="1">
        <f>K18*9.0746*LOOKUP(K20,密度!$A$2:$A$50,密度!$C$2:$C$50)</f>
        <v>31178.110490139999</v>
      </c>
      <c r="L19" s="73" ph="1">
        <f>L18*9.0746*LOOKUP(L20,密度!$A$2:$A$50,密度!$E$2:$E$50)</f>
        <v>24329.74535601</v>
      </c>
      <c r="M19" s="73" ph="1">
        <f>M18*9.0746*LOOKUP(M20,密度!$A$2:$A$50,密度!$M$2:$M$50)</f>
        <v>41649.404499656004</v>
      </c>
      <c r="N19" s="73" ph="1">
        <f>N18*9.0746*LOOKUP(N20,密度!$A$2:$A$50,密度!$M$2:$M$50)</f>
        <v>51217.768368000005</v>
      </c>
      <c r="O19" s="73" ph="1">
        <f>O18*9.0746*LOOKUP(O20,密度!$A$2:$A$50,密度!$G$2:$G$50)</f>
        <v>11493.340889382001</v>
      </c>
      <c r="P19" s="73" ph="1">
        <f ca="1">P18*9.0746*LOOKUP(P20,密度!$A$2:$A$51,密度!$Q$2:$Q$50)</f>
        <v>15575.989908228001</v>
      </c>
      <c r="Q19" s="73" ph="1">
        <f>Q18*9.0746*LOOKUP(Q20,密度!$A$2:$A$50,密度!$Q$2:$Q$50)</f>
        <v>0</v>
      </c>
      <c r="R19" s="73" ph="1">
        <f>MAX(R18*9.0746*LOOKUP(R20,密度!$A$2:$A$50,密度!$B$2:$B$50),0)</f>
        <v>0</v>
      </c>
      <c r="S19" s="73" ph="1">
        <f>S18*9.0746*LOOKUP(S20,密度!$A$2:$A$50,密度!$Q$2:$Q$50)</f>
        <v>25632.943217249998</v>
      </c>
      <c r="T19" s="73" ph="1">
        <f>T18*9.0746*LOOKUP(T20,密度!$A$2:$A$50,密度!$O$2:$O$50)</f>
        <v>54963.853994000005</v>
      </c>
      <c r="U19" s="73" ph="1">
        <f>U18*9.0746*LOOKUP(U20,密度!$A$2:$A$50,密度!$H$2:$H$50)</f>
        <v>11907.46869976</v>
      </c>
      <c r="V19" s="73" ph="1">
        <f>MAX(5600*LOOKUP(V20,密度!$A$2:$A$50,密度!$Q$2:$Q$50)+V18*9.0476*LOOKUP(V20,密度!$A$2:$A$50,密度!$Q$2:$Q$50),0)</f>
        <v>4061.7204030000003</v>
      </c>
      <c r="W19" s="73" ph="1">
        <f>MAX(5600*LOOKUP(W20,密度!$A$2:$A$50,密度!$Q$2:$Q$50)+W18*9.0476*LOOKUP(W20,密度!$A$2:$A$50,密度!$Q$2:$Q$50),0)</f>
        <v>2385.7042248399998</v>
      </c>
      <c r="X19" s="73" ph="1">
        <f>MAX(5600*LOOKUP(X20,密度!$A$2:$A$50,密度!$I$2:$I$50)+X18*9.0476*LOOKUP(X20,密度!$A$2:$A$50,密度!$I$2:$I$50),0)</f>
        <v>3337.0398137520001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43168.099065000002</v>
      </c>
      <c r="AB19" s="73" ph="1">
        <f>AB18*9.0746*LOOKUP(AB20,密度!$A$2:$A$50,密度!$L$2:$L$50)</f>
        <v>2989.5362240000004</v>
      </c>
      <c r="AC19" s="73" ph="1">
        <f>AC18*9.0746*LOOKUP(AC20,密度!$A$2:$A$50,密度!$L$2:$L$50)</f>
        <v>6541.9154384000003</v>
      </c>
      <c r="AD19" s="73" ph="1">
        <f>AD18*268.68*LOOKUP(AD20,密度!$A$2:$A$50,密度!B5:B53)+IF(AD18&lt;=0,0,1566*LOOKUP(AD20,密度!$A$2:$A$50,密度!B5:B53))</f>
        <v>18817.705191600002</v>
      </c>
      <c r="AE19" s="73" ph="1">
        <f>AE18*268.68*LOOKUP(AE20,密度!$A$2:$A$50,密度!B5:B53)+IF(AE18&lt;=0,0,1566*LOOKUP(AE20,密度!$A$2:$A$50,密度!B5:B53))</f>
        <v>11346.0287472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38</v>
      </c>
      <c r="E20" s="81">
        <v>38</v>
      </c>
      <c r="F20" s="81">
        <v>32</v>
      </c>
      <c r="G20" s="81">
        <v>30</v>
      </c>
      <c r="H20" s="81">
        <v>32</v>
      </c>
      <c r="I20" s="81">
        <v>31</v>
      </c>
      <c r="J20" s="81">
        <v>31</v>
      </c>
      <c r="K20" s="81">
        <v>30</v>
      </c>
      <c r="L20" s="81">
        <v>31</v>
      </c>
      <c r="M20" s="81">
        <v>35</v>
      </c>
      <c r="N20" s="81">
        <v>29</v>
      </c>
      <c r="O20" s="81">
        <v>33</v>
      </c>
      <c r="P20" s="81">
        <v>31</v>
      </c>
      <c r="Q20" s="81">
        <v>38</v>
      </c>
      <c r="R20" s="81">
        <v>35</v>
      </c>
      <c r="S20" s="81">
        <v>33</v>
      </c>
      <c r="T20" s="81">
        <v>33</v>
      </c>
      <c r="U20" s="81">
        <v>32</v>
      </c>
      <c r="V20" s="81">
        <v>33</v>
      </c>
      <c r="W20" s="81">
        <v>32</v>
      </c>
      <c r="X20" s="81">
        <v>33</v>
      </c>
      <c r="Y20" s="110">
        <v>33</v>
      </c>
      <c r="Z20" s="81">
        <v>34</v>
      </c>
      <c r="AA20" s="81">
        <v>32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647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56.31</v>
      </c>
      <c r="E24" s="71">
        <v>55.21</v>
      </c>
      <c r="F24" s="71">
        <v>2409</v>
      </c>
      <c r="G24" s="71">
        <v>1885</v>
      </c>
      <c r="H24" s="71">
        <v>2399</v>
      </c>
      <c r="I24" s="71">
        <v>4214</v>
      </c>
      <c r="J24" s="71">
        <v>422</v>
      </c>
      <c r="K24" s="71">
        <v>4927</v>
      </c>
      <c r="L24" s="71">
        <v>5616</v>
      </c>
      <c r="M24" s="71">
        <v>1917</v>
      </c>
      <c r="N24" s="71">
        <v>548</v>
      </c>
      <c r="O24" s="71">
        <v>4323</v>
      </c>
      <c r="P24" s="71">
        <v>968</v>
      </c>
      <c r="Q24" s="90">
        <v>4770</v>
      </c>
      <c r="R24" s="71">
        <v>2422</v>
      </c>
      <c r="S24" s="71">
        <v>7045</v>
      </c>
      <c r="T24" s="71">
        <v>1697</v>
      </c>
      <c r="U24" s="71">
        <v>5847</v>
      </c>
      <c r="V24" s="71">
        <v>11810</v>
      </c>
      <c r="W24" s="71">
        <v>11734</v>
      </c>
      <c r="X24" s="71">
        <v>4055</v>
      </c>
      <c r="Y24" s="71">
        <v>2246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15806.175351192001</v>
      </c>
      <c r="E25" s="91" ph="1">
        <f>E24*268.68*LOOKUP(E26,密度!$A$2:$A$50,密度!$C$2:$C$50)+IF(E24&lt;=0,0,1566*LOOKUP(E26,密度!$A$2:$A$50,密度!$C$2:$C$50))</f>
        <v>18185.763502919999</v>
      </c>
      <c r="F25" s="91" ph="1">
        <f>F24*11.702*LOOKUP(F26,密度!$A$2:$A$50,密度!$Q$2:$Q$50)</f>
        <v>26628.949265159998</v>
      </c>
      <c r="G25" s="91" ph="1">
        <f>G24*18.322*LOOKUP(G26,密度!$A$2:$A$50,密度!$B$2:$B$50)</f>
        <v>26835.225690000003</v>
      </c>
      <c r="H25" s="91" ph="1">
        <f>H24*18.322*LOOKUP(H26,密度!$A$2:$A$50,密度!$B$2:$B$50)</f>
        <v>34117.465823599996</v>
      </c>
      <c r="I25" s="91" ph="1">
        <f>I24*18.322*LOOKUP(I26,密度!$A$2:$A$50,密度!$Q$2:$Q$50)</f>
        <v>72879.80452844</v>
      </c>
      <c r="J25" s="91" ph="1">
        <f>J24*18.322*LOOKUP(J26,密度!$A$2:$A$50,密度!$Q$2:$Q$50)</f>
        <v>7303.6922640800003</v>
      </c>
      <c r="K25" s="91" ph="1">
        <f>K24*18.322*LOOKUP(K26,密度!$A$2:$A$50,密度!$Q$2:$Q$50)</f>
        <v>85273.203282279996</v>
      </c>
      <c r="L25" s="91" ph="1">
        <f>L24*18.322*LOOKUP(L26,密度!$A$2:$A$50,密度!$Q$2:$Q$50)</f>
        <v>97065.215732159995</v>
      </c>
      <c r="M25" s="91" ph="1">
        <f>M24*18.322*LOOKUP(M26,密度!$A$2:$A$50,密度!$Q$2:$Q$50)</f>
        <v>33153.912026819999</v>
      </c>
      <c r="N25" s="91" ph="1">
        <f>N24*18.322*LOOKUP(N26,密度!$A$2:$A$50,密度!$Q$2:$Q$50)</f>
        <v>9477.4876320800013</v>
      </c>
      <c r="O25" s="91" ph="1">
        <f>O24*18.322*LOOKUP(O26,密度!$A$2:$A$50,密度!$C$2:$C$50)</f>
        <v>87530.557230599996</v>
      </c>
      <c r="P25" s="91" ph="1">
        <f>P24*11.702*LOOKUP(P26,密度!$A$2:$A$50,密度!$B$2:$B$50)</f>
        <v>8782.2386607999997</v>
      </c>
      <c r="Q25" s="92" ph="1">
        <f>Q24*18.322*LOOKUP(Q26,密度!$A$2:$A$50,密度!$B$2:$B$50)</f>
        <v>67836.728627999997</v>
      </c>
      <c r="R25" s="91" ph="1">
        <f>R24*35.891*LOOKUP(R26,密度!$A$2:$A$50,密度!$C$2:$C$50)</f>
        <v>96133.677411800003</v>
      </c>
      <c r="S25" s="91" ph="1">
        <f>S24*35.891*LOOKUP(S26,密度!$A$2:$A$50,密度!$B$2:$B$50)</f>
        <v>196036.2292535</v>
      </c>
      <c r="T25" s="91" ph="1">
        <f>T24*35.891*LOOKUP(T26,密度!$A$2:$A$50,密度!$Q$2:$Q$50)</f>
        <v>57455.425779909994</v>
      </c>
      <c r="U25" s="91" ph="1">
        <f>U24*35.891</f>
        <v>209854.677</v>
      </c>
      <c r="V25" s="91" ph="1">
        <f>V24*47.051*LOOKUP(V26,密度!$A$2:$A$50,密度!$B$2:$B$50)</f>
        <v>431312.84702200006</v>
      </c>
      <c r="W25" s="91" ph="1">
        <f>W24*47.051*LOOKUP(W26,密度!$A$2:$A$50,密度!$B$2:$B$50)</f>
        <v>428040.36528020003</v>
      </c>
      <c r="X25" s="91" ph="1">
        <f>X24*47.051*LOOKUP(X26,密度!$A$2:$A$50,密度!$I$2:$I$50)</f>
        <v>197566.82199555001</v>
      </c>
      <c r="Y25" s="91" ph="1">
        <f>Y24*47.051*LOOKUP(Y26,密度!$A$2:$A$50,密度!$L$2:$L$50)</f>
        <v>98384.86432600001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28</v>
      </c>
      <c r="G26" s="74">
        <v>28</v>
      </c>
      <c r="H26" s="74">
        <v>29</v>
      </c>
      <c r="I26" s="74">
        <v>29</v>
      </c>
      <c r="J26" s="74">
        <v>28</v>
      </c>
      <c r="K26" s="74">
        <v>28</v>
      </c>
      <c r="L26" s="74">
        <v>30</v>
      </c>
      <c r="M26" s="74">
        <v>29</v>
      </c>
      <c r="N26" s="74">
        <v>29</v>
      </c>
      <c r="O26" s="74">
        <v>30</v>
      </c>
      <c r="P26" s="74">
        <v>30</v>
      </c>
      <c r="Q26" s="93">
        <v>29</v>
      </c>
      <c r="R26" s="74">
        <v>29</v>
      </c>
      <c r="S26" s="74">
        <v>30</v>
      </c>
      <c r="T26" s="74">
        <v>30</v>
      </c>
      <c r="U26" s="74">
        <v>29</v>
      </c>
      <c r="V26" s="74">
        <v>29</v>
      </c>
      <c r="W26" s="74">
        <v>30</v>
      </c>
      <c r="X26" s="74">
        <v>31</v>
      </c>
      <c r="Y26" s="74">
        <v>31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39.72</v>
      </c>
      <c r="E27" s="71">
        <v>55.21</v>
      </c>
      <c r="F27" s="71">
        <v>3711</v>
      </c>
      <c r="G27" s="71">
        <v>1749</v>
      </c>
      <c r="H27" s="71">
        <v>1920</v>
      </c>
      <c r="I27" s="71">
        <v>4208</v>
      </c>
      <c r="J27" s="71">
        <v>417</v>
      </c>
      <c r="K27" s="71">
        <v>4927</v>
      </c>
      <c r="L27" s="71">
        <v>5614</v>
      </c>
      <c r="M27" s="71">
        <v>1914</v>
      </c>
      <c r="N27" s="71">
        <v>544</v>
      </c>
      <c r="O27" s="71">
        <v>4321</v>
      </c>
      <c r="P27" s="71">
        <v>966</v>
      </c>
      <c r="Q27" s="90">
        <v>5039</v>
      </c>
      <c r="R27" s="71">
        <v>1890</v>
      </c>
      <c r="S27" s="71">
        <v>7044</v>
      </c>
      <c r="T27" s="71">
        <v>1696</v>
      </c>
      <c r="U27" s="71">
        <v>5907</v>
      </c>
      <c r="V27" s="71">
        <v>11813</v>
      </c>
      <c r="W27" s="71">
        <v>11735</v>
      </c>
      <c r="X27" s="71">
        <v>4283</v>
      </c>
      <c r="Y27" s="71">
        <v>1708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11586.175339104</v>
      </c>
      <c r="E28" s="91" ph="1">
        <f>E27*268.68*LOOKUP(E29,密度!$A$2:$A$50,密度!$C$2:$C$50)+IF(E27&lt;=0,0,1566*LOOKUP(E29,密度!$A$2:$A$50,密度!$C$2:$C$50))</f>
        <v>18185.763502919999</v>
      </c>
      <c r="F28" s="91" ph="1">
        <f>F27*11.702*LOOKUP(F29,密度!$A$2:$A$50,密度!$Q$2:$Q$50)</f>
        <v>40903.064311800001</v>
      </c>
      <c r="G28" s="91" ph="1">
        <f>G27*18.322*LOOKUP(G29,密度!$A$2:$A$50,密度!$B$2:$B$50)</f>
        <v>24844.626503399999</v>
      </c>
      <c r="H28" s="91" ph="1">
        <f>H27*18.322*LOOKUP(H29,密度!$A$2:$A$50,密度!$B$2:$B$50)</f>
        <v>27273.689471999998</v>
      </c>
      <c r="I28" s="91" ph="1">
        <f>I27*18.322*LOOKUP(I29,密度!$A$2:$A$50,密度!$Q$2:$Q$50)</f>
        <v>72671.95279807999</v>
      </c>
      <c r="J28" s="91" ph="1">
        <f>J27*18.322*LOOKUP(J29,密度!$A$2:$A$50,密度!$Q$2:$Q$50)</f>
        <v>7201.5694669199993</v>
      </c>
      <c r="K28" s="91" ph="1">
        <f>K27*18.322*LOOKUP(K29,密度!$A$2:$A$50,密度!$Q$2:$Q$50)</f>
        <v>85156.751765019988</v>
      </c>
      <c r="L28" s="91" ph="1">
        <f>L27*18.322*LOOKUP(L29,密度!$A$2:$A$50,密度!$Q$2:$Q$50)</f>
        <v>97030.648347640003</v>
      </c>
      <c r="M28" s="91" ph="1">
        <f>M27*18.322*LOOKUP(M29,密度!$A$2:$A$50,密度!$Q$2:$Q$50)</f>
        <v>33080.986985639996</v>
      </c>
      <c r="N28" s="91" ph="1">
        <f>N27*18.322*LOOKUP(N29,密度!$A$2:$A$50,密度!$Q$2:$Q$50)</f>
        <v>9402.3285894399996</v>
      </c>
      <c r="O28" s="91" ph="1">
        <f>O27*18.322*LOOKUP(O29,密度!$A$2:$A$50,密度!$C$2:$C$50)</f>
        <v>87608.815989199997</v>
      </c>
      <c r="P28" s="91" ph="1">
        <f>P27*11.702*LOOKUP(P29,密度!$A$2:$A$50,密度!$B$2:$B$50)</f>
        <v>8764.0935396000004</v>
      </c>
      <c r="Q28" s="92" ph="1">
        <f>Q27*18.322*LOOKUP(Q29,密度!$A$2:$A$50,密度!$B$2:$B$50)</f>
        <v>71579.229817399988</v>
      </c>
      <c r="R28" s="91" ph="1">
        <f>R27*35.891*LOOKUP(R29,密度!$A$2:$A$50,密度!$C$2:$C$50)</f>
        <v>74963.342348999984</v>
      </c>
      <c r="S28" s="91" ph="1">
        <f>S27*35.891*LOOKUP(S29,密度!$A$2:$A$50,密度!$B$2:$B$50)</f>
        <v>196008.40296119999</v>
      </c>
      <c r="T28" s="91" ph="1">
        <f>T27*35.891*LOOKUP(T29,密度!$A$2:$A$50,密度!$Q$2:$Q$50)</f>
        <v>57334.522998399996</v>
      </c>
      <c r="U28" s="91" ph="1">
        <f>U27*35.891</f>
        <v>212008.13699999999</v>
      </c>
      <c r="V28" s="91" ph="1">
        <f>V27*47.051*LOOKUP(V29,密度!$A$2:$A$50,密度!$B$2:$B$50)</f>
        <v>429921.71363049996</v>
      </c>
      <c r="W28" s="91" ph="1">
        <f>W27*47.051*LOOKUP(W29,密度!$A$2:$A$50,密度!$B$2:$B$50)</f>
        <v>427579.91478399996</v>
      </c>
      <c r="X28" s="91" ph="1">
        <f>X27*47.051*LOOKUP(X29,密度!$A$2:$A$50,密度!$I$2:$I$50)</f>
        <v>208451.70149520002</v>
      </c>
      <c r="Y28" s="91" ph="1">
        <f>Y27*47.051*LOOKUP(Y29,密度!$A$2:$A$50,密度!$L$2:$L$50)</f>
        <v>74737.690440000006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32</v>
      </c>
      <c r="G29" s="74">
        <v>30</v>
      </c>
      <c r="H29" s="74">
        <v>30</v>
      </c>
      <c r="I29" s="74">
        <v>31</v>
      </c>
      <c r="J29" s="74">
        <v>31</v>
      </c>
      <c r="K29" s="74">
        <v>30</v>
      </c>
      <c r="L29" s="74">
        <v>30</v>
      </c>
      <c r="M29" s="74">
        <v>30</v>
      </c>
      <c r="N29" s="74">
        <v>30</v>
      </c>
      <c r="O29" s="74">
        <v>28</v>
      </c>
      <c r="P29" s="74">
        <v>30</v>
      </c>
      <c r="Q29" s="93">
        <v>30</v>
      </c>
      <c r="R29" s="74">
        <v>30</v>
      </c>
      <c r="S29" s="74">
        <v>30</v>
      </c>
      <c r="T29" s="74">
        <v>32</v>
      </c>
      <c r="U29" s="74">
        <v>33</v>
      </c>
      <c r="V29" s="74">
        <v>32</v>
      </c>
      <c r="W29" s="74">
        <v>31</v>
      </c>
      <c r="X29" s="74">
        <v>32</v>
      </c>
      <c r="Y29" s="74">
        <v>32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27702.1287472</v>
      </c>
      <c r="E33" s="182" ph="1">
        <f>M10+I10</f>
        <v>107052.3279696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08" ph="1">
        <v>0</v>
      </c>
      <c r="H33" s="182" ph="1">
        <f>N19</f>
        <v>51217.768368000005</v>
      </c>
      <c r="I33" s="186" ph="1">
        <v>0</v>
      </c>
      <c r="J33" s="190" ph="1">
        <f>F10+O28</f>
        <v>338947.11485450005</v>
      </c>
      <c r="K33" s="182" ph="1">
        <f>O10+K10+E28+R28</f>
        <v>241325.68337991997</v>
      </c>
      <c r="L33" s="192" ph="1">
        <f>BE27</f>
        <v>7100</v>
      </c>
      <c r="M33" s="190" ph="1">
        <f>G10+H10+W28+S28+V28+E10</f>
        <v>2009501.9240946998</v>
      </c>
      <c r="N33" s="182" ph="1">
        <f>L10+P10++G28+H28</f>
        <v>143635.85397539998</v>
      </c>
      <c r="O33" s="186" ph="1">
        <f>BE17</f>
        <v>2270</v>
      </c>
      <c r="P33" s="190" ph="1">
        <f>L19</f>
        <v>24329.74535601</v>
      </c>
      <c r="Q33" s="182" ph="1">
        <f>J10+N10</f>
        <v>145826.01306976</v>
      </c>
      <c r="R33" s="186" ph="1">
        <f>BE23</f>
        <v>890</v>
      </c>
      <c r="S33" s="190" ph="1">
        <f>E10+X28</f>
        <v>531231.9525592</v>
      </c>
      <c r="T33" s="182" ph="1">
        <f>X19</f>
        <v>3337.0398137520001</v>
      </c>
      <c r="U33" s="171" ph="1">
        <f>BE21</f>
        <v>730</v>
      </c>
      <c r="V33" s="184" ph="1">
        <f ca="1">P19+Q19+S19+M28+N28+J28</f>
        <v>90893.818167478006</v>
      </c>
      <c r="W33" s="184" ph="1">
        <f>D28+F28+V19+T28</f>
        <v>113885.48305230399</v>
      </c>
      <c r="X33" s="186" ph="1">
        <f>BE29+BE31</f>
        <v>10200</v>
      </c>
      <c r="Y33" s="188" ph="1">
        <f>+Q10+R10+S10+T10+U10+V10+W10+X10+Y10</f>
        <v>149409.81815760001</v>
      </c>
      <c r="Z33" s="169" ph="1">
        <f>D10+T19+U19+Y28+Z10</f>
        <v>543123.64297278004</v>
      </c>
      <c r="AA33" s="171" ph="1">
        <f>BE19</f>
        <v>1440</v>
      </c>
      <c r="AB33" s="173" ph="1">
        <f>I19</f>
        <v>36387.013468999998</v>
      </c>
      <c r="AC33" s="175" ph="1">
        <f>AD10</f>
        <v>80692.642800000001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72" priority="97">
      <formula>ABS(D$7-D$10)&gt;=1000</formula>
    </cfRule>
  </conditionalFormatting>
  <conditionalFormatting sqref="E4 E6:E11">
    <cfRule type="expression" dxfId="1271" priority="96">
      <formula>ABS(E$7-E$10)&gt;=1000</formula>
    </cfRule>
  </conditionalFormatting>
  <conditionalFormatting sqref="F4:F11">
    <cfRule type="expression" dxfId="1270" priority="95">
      <formula>ABS(F$7-F$10)&gt;=1000</formula>
    </cfRule>
  </conditionalFormatting>
  <conditionalFormatting sqref="G4:G11">
    <cfRule type="expression" dxfId="1269" priority="94">
      <formula>ABS(G$7-G$10)&gt;=1000</formula>
    </cfRule>
  </conditionalFormatting>
  <conditionalFormatting sqref="H4:H11">
    <cfRule type="expression" dxfId="1268" priority="93">
      <formula>ABS(H$7-H$10)&gt;=1000</formula>
    </cfRule>
  </conditionalFormatting>
  <conditionalFormatting sqref="I4:I11">
    <cfRule type="expression" dxfId="1267" priority="92">
      <formula>ABS(I$7-I$10)&gt;=1000</formula>
    </cfRule>
  </conditionalFormatting>
  <conditionalFormatting sqref="J4:J11">
    <cfRule type="expression" dxfId="1266" priority="91">
      <formula>ABS(J$7-J$10)&gt;=1000</formula>
    </cfRule>
  </conditionalFormatting>
  <conditionalFormatting sqref="K4:K11">
    <cfRule type="expression" dxfId="1265" priority="90">
      <formula>ABS(K$7-K$10)&gt;=1000</formula>
    </cfRule>
  </conditionalFormatting>
  <conditionalFormatting sqref="L4:L11">
    <cfRule type="expression" dxfId="1264" priority="89">
      <formula>ABS(L$7-L$10)&gt;=1000</formula>
    </cfRule>
  </conditionalFormatting>
  <conditionalFormatting sqref="M4 M6:M11">
    <cfRule type="expression" dxfId="1263" priority="88">
      <formula>ABS(M$7-M$10)&gt;=1000</formula>
    </cfRule>
  </conditionalFormatting>
  <conditionalFormatting sqref="N4 N6:N11">
    <cfRule type="expression" dxfId="1262" priority="87">
      <formula>ABS(N$7-N$10)&gt;=1000</formula>
    </cfRule>
  </conditionalFormatting>
  <conditionalFormatting sqref="O4 O6:O11">
    <cfRule type="expression" dxfId="1261" priority="86">
      <formula>ABS(O$7-O$10)&gt;=1000</formula>
    </cfRule>
  </conditionalFormatting>
  <conditionalFormatting sqref="P4 P6:P11">
    <cfRule type="expression" dxfId="1260" priority="85">
      <formula>ABS(P$7-P$10)&gt;=1000</formula>
    </cfRule>
  </conditionalFormatting>
  <conditionalFormatting sqref="Q4:Q11">
    <cfRule type="expression" dxfId="1259" priority="84">
      <formula>ABS(Q$7-Q$10)&gt;=1000</formula>
    </cfRule>
  </conditionalFormatting>
  <conditionalFormatting sqref="R4:R11">
    <cfRule type="expression" dxfId="1258" priority="83">
      <formula>ABS(R$7-R$10)&gt;=1000</formula>
    </cfRule>
  </conditionalFormatting>
  <conditionalFormatting sqref="S4:S11">
    <cfRule type="expression" dxfId="1257" priority="82">
      <formula>ABS(S$7-S$10)&gt;=1000</formula>
    </cfRule>
  </conditionalFormatting>
  <conditionalFormatting sqref="T4:T9 T11">
    <cfRule type="expression" dxfId="1256" priority="81">
      <formula>ABS(T$7-T$10)&gt;=1000</formula>
    </cfRule>
  </conditionalFormatting>
  <conditionalFormatting sqref="U4:U9 U11">
    <cfRule type="expression" dxfId="1255" priority="80">
      <formula>ABS(U$7-U$10)&gt;=1000</formula>
    </cfRule>
  </conditionalFormatting>
  <conditionalFormatting sqref="V4:V9 V11">
    <cfRule type="expression" dxfId="1254" priority="79">
      <formula>ABS(V$7-V$10)&gt;=1000</formula>
    </cfRule>
  </conditionalFormatting>
  <conditionalFormatting sqref="W4:W9 W11">
    <cfRule type="expression" dxfId="1253" priority="78">
      <formula>ABS(W$7-W$10)&gt;=1000</formula>
    </cfRule>
  </conditionalFormatting>
  <conditionalFormatting sqref="X4:X9 X11">
    <cfRule type="expression" dxfId="1252" priority="77">
      <formula>ABS(X$7-X$10)&gt;=1000</formula>
    </cfRule>
  </conditionalFormatting>
  <conditionalFormatting sqref="Y4:Y9 Y11">
    <cfRule type="expression" dxfId="1251" priority="76">
      <formula>ABS(Y$7-Y$10)&gt;=1000</formula>
    </cfRule>
  </conditionalFormatting>
  <conditionalFormatting sqref="Z4:Z11">
    <cfRule type="expression" dxfId="1250" priority="75">
      <formula>ABS(Z$7-Z$10)&gt;=1000</formula>
    </cfRule>
  </conditionalFormatting>
  <conditionalFormatting sqref="AA4:AA11">
    <cfRule type="expression" dxfId="1249" priority="74">
      <formula>ABS(AA$7-AA$10)&gt;=1000</formula>
    </cfRule>
  </conditionalFormatting>
  <conditionalFormatting sqref="AB4:AB11">
    <cfRule type="expression" dxfId="1248" priority="73">
      <formula>ABS(AB$7-AB$10)&gt;=1000</formula>
    </cfRule>
  </conditionalFormatting>
  <conditionalFormatting sqref="AC4 AC6:AC11">
    <cfRule type="expression" dxfId="1247" priority="72">
      <formula>ABS(AC$7-AC$10)&gt;=1000</formula>
    </cfRule>
  </conditionalFormatting>
  <conditionalFormatting sqref="AD4:AD11">
    <cfRule type="expression" dxfId="1246" priority="71">
      <formula>ABS(AD$7-AD$10)&gt;=1000</formula>
    </cfRule>
  </conditionalFormatting>
  <conditionalFormatting sqref="AE4:AE11">
    <cfRule type="expression" dxfId="1245" priority="70">
      <formula>ABS(AE$7-AE$10)&gt;=1000</formula>
    </cfRule>
  </conditionalFormatting>
  <conditionalFormatting sqref="D13:D20">
    <cfRule type="expression" dxfId="1244" priority="69">
      <formula>ABS(D$16-D$19)&gt;=1000</formula>
    </cfRule>
  </conditionalFormatting>
  <conditionalFormatting sqref="E13:E20">
    <cfRule type="expression" dxfId="1243" priority="68">
      <formula>ABS(E$16-E$19)&gt;=1000</formula>
    </cfRule>
  </conditionalFormatting>
  <conditionalFormatting sqref="F13 F15:F20">
    <cfRule type="expression" dxfId="1242" priority="67">
      <formula>ABS(F$16-F$19)&gt;=1000</formula>
    </cfRule>
  </conditionalFormatting>
  <conditionalFormatting sqref="G13:G20">
    <cfRule type="expression" dxfId="1241" priority="66">
      <formula>ABS(G$16-G$19)&gt;=1000</formula>
    </cfRule>
  </conditionalFormatting>
  <conditionalFormatting sqref="H13:H20">
    <cfRule type="expression" dxfId="1240" priority="65">
      <formula>ABS(H$16-H$19)&gt;=1000</formula>
    </cfRule>
  </conditionalFormatting>
  <conditionalFormatting sqref="I13:I20">
    <cfRule type="expression" dxfId="1239" priority="64">
      <formula>ABS(I$16-I$19)&gt;=1000</formula>
    </cfRule>
  </conditionalFormatting>
  <conditionalFormatting sqref="J13:J20">
    <cfRule type="expression" dxfId="1238" priority="63">
      <formula>ABS(J$16-J$19)&gt;=1000</formula>
    </cfRule>
  </conditionalFormatting>
  <conditionalFormatting sqref="L13:L20">
    <cfRule type="expression" dxfId="1237" priority="62">
      <formula>ABS(L$16-L$19)&gt;=1000</formula>
    </cfRule>
  </conditionalFormatting>
  <conditionalFormatting sqref="M13 M15 M17:M18 M20">
    <cfRule type="expression" dxfId="1236" priority="61">
      <formula>ABS(M$16-M$19)&gt;=1000</formula>
    </cfRule>
  </conditionalFormatting>
  <conditionalFormatting sqref="N13:N20">
    <cfRule type="expression" dxfId="1235" priority="60">
      <formula>ABS(N$16-N$19)&gt;=1000</formula>
    </cfRule>
  </conditionalFormatting>
  <conditionalFormatting sqref="O13:O20">
    <cfRule type="expression" dxfId="1234" priority="59">
      <formula>ABS(O$16-O$19)&gt;=1000</formula>
    </cfRule>
  </conditionalFormatting>
  <conditionalFormatting sqref="P13:P20">
    <cfRule type="expression" dxfId="1233" priority="58">
      <formula>ABS(P$16-P$19)&gt;=1000</formula>
    </cfRule>
  </conditionalFormatting>
  <conditionalFormatting sqref="Q13 Q15:Q20">
    <cfRule type="expression" dxfId="1232" priority="57">
      <formula>ABS(Q$16-Q$19)&gt;=1000</formula>
    </cfRule>
  </conditionalFormatting>
  <conditionalFormatting sqref="R13:R20">
    <cfRule type="expression" dxfId="1231" priority="56">
      <formula>ABS(R$16-R$19)&gt;=1000</formula>
    </cfRule>
  </conditionalFormatting>
  <conditionalFormatting sqref="S13:S20">
    <cfRule type="expression" dxfId="1230" priority="55">
      <formula>ABS(S$16-S$19)&gt;=1000</formula>
    </cfRule>
  </conditionalFormatting>
  <conditionalFormatting sqref="T13:T20">
    <cfRule type="expression" dxfId="1229" priority="54">
      <formula>ABS(T$16-T$19)&gt;=1000</formula>
    </cfRule>
  </conditionalFormatting>
  <conditionalFormatting sqref="U13:U20">
    <cfRule type="expression" dxfId="1228" priority="53">
      <formula>ABS(U$16-U$19)&gt;=1000</formula>
    </cfRule>
  </conditionalFormatting>
  <conditionalFormatting sqref="V13:V20">
    <cfRule type="expression" dxfId="1227" priority="52">
      <formula>ABS(V$16-V$19)&gt;=1000</formula>
    </cfRule>
  </conditionalFormatting>
  <conditionalFormatting sqref="W13 W20 W15:W18">
    <cfRule type="expression" dxfId="1226" priority="51">
      <formula>ABS(W$16-W$19)&gt;=1000</formula>
    </cfRule>
  </conditionalFormatting>
  <conditionalFormatting sqref="X13 X15:X20 Y19">
    <cfRule type="expression" dxfId="1225" priority="50">
      <formula>ABS(X$16-X$19)&gt;=1000</formula>
    </cfRule>
  </conditionalFormatting>
  <conditionalFormatting sqref="Y13 Y15:Y18 Y20">
    <cfRule type="expression" dxfId="1224" priority="49">
      <formula>ABS(Y$16-Y$19)&gt;=1000</formula>
    </cfRule>
  </conditionalFormatting>
  <conditionalFormatting sqref="Z13:Z20">
    <cfRule type="expression" dxfId="1223" priority="48">
      <formula>ABS(Z$16-Z$19)&gt;=1000</formula>
    </cfRule>
  </conditionalFormatting>
  <conditionalFormatting sqref="AA13:AA20">
    <cfRule type="expression" dxfId="1222" priority="47">
      <formula>ABS(AA$16-AA$19)&gt;=1000</formula>
    </cfRule>
  </conditionalFormatting>
  <conditionalFormatting sqref="AB13 AB15:AB20">
    <cfRule type="expression" dxfId="1221" priority="46">
      <formula>ABS(AB$16-AB$19)&gt;=1000</formula>
    </cfRule>
  </conditionalFormatting>
  <conditionalFormatting sqref="AC13 AC15:AC20">
    <cfRule type="expression" dxfId="1220" priority="45">
      <formula>ABS(AC$16-AC$19)&gt;=1000</formula>
    </cfRule>
  </conditionalFormatting>
  <conditionalFormatting sqref="AD13:AD20">
    <cfRule type="expression" dxfId="1219" priority="44">
      <formula>ABS(AD$16-AD$19)&gt;=1000</formula>
    </cfRule>
  </conditionalFormatting>
  <conditionalFormatting sqref="AE13:AE20">
    <cfRule type="expression" dxfId="1218" priority="43">
      <formula>ABS(AE$16-AE$19)&gt;=1000</formula>
    </cfRule>
  </conditionalFormatting>
  <conditionalFormatting sqref="D22:D29">
    <cfRule type="expression" dxfId="1217" priority="42">
      <formula>ABS(D$25-D$28)&gt;=1000</formula>
    </cfRule>
  </conditionalFormatting>
  <conditionalFormatting sqref="E22:E29">
    <cfRule type="expression" dxfId="1216" priority="41">
      <formula>ABS(E$25-E$28)&gt;=1000</formula>
    </cfRule>
  </conditionalFormatting>
  <conditionalFormatting sqref="F22:F29">
    <cfRule type="expression" dxfId="1215" priority="40">
      <formula>ABS(F$25-F$28)&gt;=1000</formula>
    </cfRule>
  </conditionalFormatting>
  <conditionalFormatting sqref="G22:G29">
    <cfRule type="expression" dxfId="1214" priority="39">
      <formula>ABS(G$25-G$28)&gt;=1000</formula>
    </cfRule>
  </conditionalFormatting>
  <conditionalFormatting sqref="H22:H29">
    <cfRule type="expression" dxfId="1213" priority="38">
      <formula>ABS(H$25-H$28)&gt;=1000</formula>
    </cfRule>
  </conditionalFormatting>
  <conditionalFormatting sqref="I22 I24:I29">
    <cfRule type="expression" dxfId="1212" priority="37">
      <formula>ABS(I$25-I$28)&gt;=1000</formula>
    </cfRule>
  </conditionalFormatting>
  <conditionalFormatting sqref="J22:J29 K22">
    <cfRule type="expression" dxfId="1211" priority="36">
      <formula>ABS(J$25-J$28)&gt;=1000</formula>
    </cfRule>
  </conditionalFormatting>
  <conditionalFormatting sqref="K23:K29 L25 L28">
    <cfRule type="expression" dxfId="1210" priority="35">
      <formula>ABS(K$25-K$28)&gt;=1000</formula>
    </cfRule>
  </conditionalFormatting>
  <conditionalFormatting sqref="L22 L26:L27 L29 L24">
    <cfRule type="expression" dxfId="1209" priority="34">
      <formula>ABS(L$25-L$28)&gt;=1000</formula>
    </cfRule>
  </conditionalFormatting>
  <conditionalFormatting sqref="M22:M29">
    <cfRule type="expression" dxfId="1208" priority="33">
      <formula>ABS(M$25-M$28)&gt;=1000</formula>
    </cfRule>
  </conditionalFormatting>
  <conditionalFormatting sqref="N22:N29">
    <cfRule type="expression" dxfId="1207" priority="32">
      <formula>ABS(N$25-N$28)&gt;=1000</formula>
    </cfRule>
  </conditionalFormatting>
  <conditionalFormatting sqref="O22:O29">
    <cfRule type="expression" dxfId="1206" priority="31">
      <formula>ABS(O$25-O$28)&gt;=1000</formula>
    </cfRule>
  </conditionalFormatting>
  <conditionalFormatting sqref="P22:P29">
    <cfRule type="expression" dxfId="1205" priority="30">
      <formula>ABS(P$25-P$28)&gt;=1000</formula>
    </cfRule>
  </conditionalFormatting>
  <conditionalFormatting sqref="Q22:Q29">
    <cfRule type="expression" dxfId="1204" priority="29">
      <formula>ABS(Q$25-Q$28)&gt;=1000</formula>
    </cfRule>
  </conditionalFormatting>
  <conditionalFormatting sqref="R22:R29">
    <cfRule type="expression" dxfId="1203" priority="28">
      <formula>ABS(R$25-R$28)&gt;=1000</formula>
    </cfRule>
  </conditionalFormatting>
  <conditionalFormatting sqref="S22:S29">
    <cfRule type="expression" dxfId="1202" priority="27">
      <formula>ABS(S$25-S$28)&gt;=1000</formula>
    </cfRule>
  </conditionalFormatting>
  <conditionalFormatting sqref="T22:T29">
    <cfRule type="expression" dxfId="1201" priority="26">
      <formula>ABS(T$25-T$28)&gt;=1000</formula>
    </cfRule>
  </conditionalFormatting>
  <conditionalFormatting sqref="U22:U29">
    <cfRule type="expression" dxfId="1200" priority="25">
      <formula>ABS(U$25-U$28)&gt;=1000</formula>
    </cfRule>
  </conditionalFormatting>
  <conditionalFormatting sqref="V22:V29">
    <cfRule type="expression" dxfId="1199" priority="24">
      <formula>ABS(V$25-V$28)&gt;=1000</formula>
    </cfRule>
  </conditionalFormatting>
  <conditionalFormatting sqref="W22:W29">
    <cfRule type="expression" dxfId="1198" priority="23">
      <formula>ABS(W$25-W$28)&gt;=1000</formula>
    </cfRule>
  </conditionalFormatting>
  <conditionalFormatting sqref="X22:X29">
    <cfRule type="expression" dxfId="1197" priority="22">
      <formula>ABS(X$25-X$28)&gt;=1000</formula>
    </cfRule>
  </conditionalFormatting>
  <conditionalFormatting sqref="Y22:Y29">
    <cfRule type="expression" dxfId="1196" priority="21">
      <formula>ABS(Y$25-Y$28)&gt;=1000</formula>
    </cfRule>
  </conditionalFormatting>
  <conditionalFormatting sqref="I23">
    <cfRule type="expression" dxfId="1195" priority="20">
      <formula>ABS(I$25-I$28)&gt;=1000</formula>
    </cfRule>
  </conditionalFormatting>
  <conditionalFormatting sqref="Q14">
    <cfRule type="expression" dxfId="1194" priority="19">
      <formula>ABS(Q$16-Q$19)&gt;=1000</formula>
    </cfRule>
  </conditionalFormatting>
  <conditionalFormatting sqref="W14">
    <cfRule type="expression" dxfId="1193" priority="18">
      <formula>ABS(W$16-W$19)&gt;=1000</formula>
    </cfRule>
  </conditionalFormatting>
  <conditionalFormatting sqref="Y14">
    <cfRule type="expression" dxfId="1192" priority="17">
      <formula>ABS(Y$16-Y$19)&gt;=1000</formula>
    </cfRule>
  </conditionalFormatting>
  <conditionalFormatting sqref="X14">
    <cfRule type="expression" dxfId="1191" priority="16">
      <formula>ABS(X$16-X$19)&gt;=1000</formula>
    </cfRule>
  </conditionalFormatting>
  <conditionalFormatting sqref="T10:Y10">
    <cfRule type="expression" dxfId="1190" priority="15">
      <formula>ABS(T$7-T$10)&gt;=1000</formula>
    </cfRule>
  </conditionalFormatting>
  <conditionalFormatting sqref="W19">
    <cfRule type="expression" dxfId="1189" priority="14">
      <formula>ABS(W$16-W$19)&gt;=1000</formula>
    </cfRule>
  </conditionalFormatting>
  <conditionalFormatting sqref="AC5">
    <cfRule type="expression" dxfId="1188" priority="13">
      <formula>ABS(AC$7-AC$10)&gt;=1000</formula>
    </cfRule>
  </conditionalFormatting>
  <conditionalFormatting sqref="M14">
    <cfRule type="expression" dxfId="1187" priority="12">
      <formula>ABS(M$16-M$19)&gt;=1000</formula>
    </cfRule>
  </conditionalFormatting>
  <conditionalFormatting sqref="M16">
    <cfRule type="expression" dxfId="1186" priority="11">
      <formula>ABS(M$16-M$19)&gt;=1000</formula>
    </cfRule>
  </conditionalFormatting>
  <conditionalFormatting sqref="M19">
    <cfRule type="expression" dxfId="1185" priority="10">
      <formula>ABS(M$16-M$19)&gt;=1000</formula>
    </cfRule>
  </conditionalFormatting>
  <conditionalFormatting sqref="K13:K20">
    <cfRule type="expression" dxfId="1184" priority="9">
      <formula>ABS(K$16-K$19)&gt;=1000</formula>
    </cfRule>
  </conditionalFormatting>
  <conditionalFormatting sqref="E5">
    <cfRule type="expression" dxfId="1183" priority="8">
      <formula>ABS(E$7-E$10)&gt;=1000</formula>
    </cfRule>
  </conditionalFormatting>
  <conditionalFormatting sqref="AB14:AC14">
    <cfRule type="expression" dxfId="1182" priority="7">
      <formula>ABS(AB$16-AB$19)&gt;=1000</formula>
    </cfRule>
  </conditionalFormatting>
  <conditionalFormatting sqref="M5">
    <cfRule type="expression" dxfId="1181" priority="6">
      <formula>ABS(M$7-M$10)&gt;=1000</formula>
    </cfRule>
  </conditionalFormatting>
  <conditionalFormatting sqref="N5">
    <cfRule type="expression" dxfId="1180" priority="5">
      <formula>ABS(N$7-N$10)&gt;=1000</formula>
    </cfRule>
  </conditionalFormatting>
  <conditionalFormatting sqref="O5">
    <cfRule type="expression" dxfId="1179" priority="4">
      <formula>ABS(O$7-O$10)&gt;=1000</formula>
    </cfRule>
  </conditionalFormatting>
  <conditionalFormatting sqref="P5">
    <cfRule type="expression" dxfId="1178" priority="3">
      <formula>ABS(P$7-P$10)&gt;=1000</formula>
    </cfRule>
  </conditionalFormatting>
  <conditionalFormatting sqref="L23">
    <cfRule type="expression" dxfId="1177" priority="2">
      <formula>ABS(L$25-L$28)&gt;=1000</formula>
    </cfRule>
  </conditionalFormatting>
  <conditionalFormatting sqref="F14">
    <cfRule type="expression" dxfId="1176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66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04">
    <pageSetUpPr fitToPage="1"/>
  </sheetPr>
  <dimension ref="A1:CU223"/>
  <sheetViews>
    <sheetView view="pageBreakPreview" zoomScale="80" zoomScaleNormal="100" zoomScaleSheetLayoutView="80" workbookViewId="0">
      <selection activeCell="D4" sqref="D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45888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5955</v>
      </c>
      <c r="E6" s="71">
        <v>8167</v>
      </c>
      <c r="F6" s="71">
        <v>6846</v>
      </c>
      <c r="G6" s="71">
        <v>7758</v>
      </c>
      <c r="H6" s="71">
        <v>7665</v>
      </c>
      <c r="I6" s="71">
        <v>40.590000000000003</v>
      </c>
      <c r="J6" s="71">
        <v>59.11</v>
      </c>
      <c r="K6" s="71">
        <v>85.39</v>
      </c>
      <c r="L6" s="71">
        <v>19.440000000000001</v>
      </c>
      <c r="M6" s="71">
        <v>2804</v>
      </c>
      <c r="N6" s="71">
        <v>5950</v>
      </c>
      <c r="O6" s="71">
        <v>5381</v>
      </c>
      <c r="P6" s="71">
        <v>2279</v>
      </c>
      <c r="Q6" s="71">
        <v>0</v>
      </c>
      <c r="R6" s="71">
        <v>0</v>
      </c>
      <c r="S6" s="71">
        <v>0</v>
      </c>
      <c r="T6" s="71">
        <v>0</v>
      </c>
      <c r="U6" s="71">
        <v>2856</v>
      </c>
      <c r="V6" s="71">
        <v>4905</v>
      </c>
      <c r="W6" s="71">
        <v>7011</v>
      </c>
      <c r="X6" s="71">
        <v>3112</v>
      </c>
      <c r="Y6" s="71">
        <v>0</v>
      </c>
      <c r="Z6" s="71">
        <v>6945</v>
      </c>
      <c r="AA6" s="71">
        <v>556</v>
      </c>
      <c r="AB6" s="71">
        <v>429</v>
      </c>
      <c r="AC6" s="71">
        <v>3486</v>
      </c>
      <c r="AD6" s="71">
        <v>4112</v>
      </c>
      <c r="AE6" s="71">
        <v>2170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186406.50296744998</v>
      </c>
      <c r="E7" s="73" ph="1">
        <f>E6*51.53*LOOKUP(E8,密度!$A$2:$A$50,密度!$B$2:$B$50)</f>
        <v>326996.96127000003</v>
      </c>
      <c r="F7" s="73" ph="1">
        <f>F6*33.183*LOOKUP(F8,密度!$A$2:$A$50,密度!$C$2:$C$50)</f>
        <v>251228.20762620002</v>
      </c>
      <c r="G7" s="73" ph="1">
        <f xml:space="preserve"> (G6+2)*51.53*LOOKUP(G8,密度!$A$2:$A$50,密度!$B$2:$B$50)</f>
        <v>310381.26736</v>
      </c>
      <c r="H7" s="73" ph="1">
        <f>(H6)*51.53*LOOKUP(H8,密度!$A$2:$A$50,密度!$B$2:$B$50)</f>
        <v>306581.49669</v>
      </c>
      <c r="I7" s="73" ph="1">
        <f>I6*290.8*1.0267</f>
        <v>12118.727372400001</v>
      </c>
      <c r="J7" s="73" ph="1">
        <f>J6*290.8*0.7892</f>
        <v>13565.707169600002</v>
      </c>
      <c r="K7" s="73" ph="1">
        <f>K6*290.8*1.1126</f>
        <v>27627.428991200002</v>
      </c>
      <c r="L7" s="73" ph="1">
        <f>L6*290.8*0.777</f>
        <v>4392.4991040000004</v>
      </c>
      <c r="M7" s="73" ph="1">
        <f>M6*33.183*LOOKUP(M8,密度!$A$2:$A$50,密度!$D$2:$D$50)</f>
        <v>95268.910654799998</v>
      </c>
      <c r="N7" s="73" ph="1">
        <f>N6*33.183*LOOKUP(N8,密度!$A$2:$A$50,密度!$E$2:$E$50)</f>
        <v>153301.39508250001</v>
      </c>
      <c r="O7" s="73" ph="1">
        <f>O6*20.428*LOOKUP(O8,密度!$A$2:$A$50,密度!$C$2:$C$50)</f>
        <v>121014.3055612</v>
      </c>
      <c r="P7" s="73" ph="1">
        <f>P6*51.53*LOOKUP(P8,密度!$A$2:$A$50,密度!$B$2:$B$50)</f>
        <v>91248.447990000001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18855.5187744</v>
      </c>
      <c r="V7" s="73" ph="1">
        <f>V6*1.5*1.5*3.1416*LOOKUP(V8,密度!$A$2:$A$50,密度!$L$2:$L$50)</f>
        <v>32383.165122000002</v>
      </c>
      <c r="W7" s="73" ph="1">
        <f>W6*1.5*1.5*3.1416*LOOKUP(W8,密度!$A$2:$A$50,密度!$L$2:$L$50)</f>
        <v>46287.129596400002</v>
      </c>
      <c r="X7" s="73" ph="1">
        <f>X6*1.5*1.5*3.1416*LOOKUP(X8,密度!$A$2:$A$50,密度!$L$2:$L$50)</f>
        <v>20721.629174399997</v>
      </c>
      <c r="Y7" s="73" ph="1">
        <f>Y6*1.5*1.5*3.1416*LOOKUP(Y8,密度!$A$2:$A$50,密度!$L$2:$L$50)</f>
        <v>0</v>
      </c>
      <c r="Z7" s="73" ph="1">
        <f>Z6*33.183*LOOKUP(Z8,密度!$A$2:$A$50,密度!$L$2:$L$50)</f>
        <v>215476.29922500002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9014.2513032000006</v>
      </c>
      <c r="AC7" s="73" ph="1">
        <f>AC6*51.53*LOOKUP(AC8,密度!$A$2:$A$50,密度!$Q$2:$Q$50)</f>
        <v>169938.75568740003</v>
      </c>
      <c r="AD7" s="73" ph="1">
        <f>AD6*20.428*LOOKUP(AD8,密度!$A$2:$A$50,密度!$V$2:$V$50)</f>
        <v>80438.338713600009</v>
      </c>
      <c r="AE7" s="73" ph="1">
        <f>AE6*20.428</f>
        <v>44328.76</v>
      </c>
    </row>
    <row r="8" spans="1:99" ph="1">
      <c r="B8" s="233" ph="1"/>
      <c r="C8" s="68" t="s" ph="1">
        <v>180</v>
      </c>
      <c r="D8" s="74">
        <v>30</v>
      </c>
      <c r="E8" s="74">
        <v>28</v>
      </c>
      <c r="F8" s="74">
        <v>29</v>
      </c>
      <c r="G8" s="74">
        <v>29</v>
      </c>
      <c r="H8" s="74">
        <v>29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31</v>
      </c>
      <c r="O8" s="74">
        <v>34</v>
      </c>
      <c r="P8" s="74">
        <v>28</v>
      </c>
      <c r="Q8" s="74">
        <v>28</v>
      </c>
      <c r="R8" s="74">
        <v>32</v>
      </c>
      <c r="S8" s="74">
        <v>25</v>
      </c>
      <c r="T8" s="74">
        <v>25</v>
      </c>
      <c r="U8" s="74">
        <v>28</v>
      </c>
      <c r="V8" s="74">
        <v>28</v>
      </c>
      <c r="W8" s="74">
        <v>28</v>
      </c>
      <c r="X8" s="74">
        <v>20</v>
      </c>
      <c r="Y8" s="74">
        <v>26</v>
      </c>
      <c r="Z8" s="74">
        <v>27</v>
      </c>
      <c r="AA8" s="74">
        <v>28</v>
      </c>
      <c r="AB8" s="74">
        <v>23</v>
      </c>
      <c r="AC8" s="74">
        <v>26</v>
      </c>
      <c r="AD8" s="74">
        <v>28</v>
      </c>
      <c r="AE8" s="74">
        <v>30</v>
      </c>
    </row>
    <row r="9" spans="1:99" ht="26.4" ph="1">
      <c r="B9" s="233" ph="1">
        <v>0.66666666666666663</v>
      </c>
      <c r="C9" s="150" t="s" ph="1">
        <v>181</v>
      </c>
      <c r="D9" s="71">
        <v>5202</v>
      </c>
      <c r="E9" s="71">
        <v>8074</v>
      </c>
      <c r="F9" s="71">
        <v>6847</v>
      </c>
      <c r="G9" s="71">
        <v>7482</v>
      </c>
      <c r="H9" s="71">
        <v>7669</v>
      </c>
      <c r="I9" s="71">
        <v>40.57</v>
      </c>
      <c r="J9" s="71">
        <v>21.9</v>
      </c>
      <c r="K9" s="71">
        <v>85.26</v>
      </c>
      <c r="L9" s="71">
        <v>26.73</v>
      </c>
      <c r="M9" s="71">
        <v>2804</v>
      </c>
      <c r="N9" s="71">
        <v>6550</v>
      </c>
      <c r="O9" s="71">
        <v>5382</v>
      </c>
      <c r="P9" s="71">
        <v>2373</v>
      </c>
      <c r="Q9" s="71">
        <v>2873</v>
      </c>
      <c r="R9" s="71">
        <v>0</v>
      </c>
      <c r="S9" s="71">
        <v>0</v>
      </c>
      <c r="T9" s="71">
        <v>0</v>
      </c>
      <c r="U9" s="71">
        <v>0</v>
      </c>
      <c r="V9" s="71">
        <v>2763</v>
      </c>
      <c r="W9" s="71">
        <v>7020</v>
      </c>
      <c r="X9" s="71">
        <v>6098</v>
      </c>
      <c r="Y9" s="71">
        <v>4331</v>
      </c>
      <c r="Z9" s="71">
        <v>5407</v>
      </c>
      <c r="AA9" s="71">
        <v>556</v>
      </c>
      <c r="AB9" s="71">
        <v>307</v>
      </c>
      <c r="AC9" s="71">
        <v>3655</v>
      </c>
      <c r="AD9" s="71">
        <v>4111</v>
      </c>
      <c r="AE9" s="71">
        <v>2000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162706.24239227999</v>
      </c>
      <c r="E10" s="73" ph="1">
        <f>E9*51.53*LOOKUP(E11,密度!$A$2:$A$50,密度!$B$2:$B$50)</f>
        <v>320360.97940000001</v>
      </c>
      <c r="F10" s="73" ph="1">
        <f>F9*33.183*LOOKUP(F11,密度!$A$2:$A$50,密度!$C$2:$C$50)</f>
        <v>251083.14150509998</v>
      </c>
      <c r="G10" s="73" ph="1">
        <f xml:space="preserve"> (G9+2)*51.53*LOOKUP(G11,密度!$A$2:$A$50,密度!$B$2:$B$50)</f>
        <v>297297.98586800002</v>
      </c>
      <c r="H10" s="73" ph="1">
        <f>(H9)*51.53*LOOKUP(H11,密度!$A$2:$A$50,密度!$B$2:$B$50)</f>
        <v>304647.01411300001</v>
      </c>
      <c r="I10" s="73" ph="1">
        <f>I9*290.8*1.0267</f>
        <v>12112.756085200001</v>
      </c>
      <c r="J10" s="73" ph="1">
        <f>J9*290.8*0.7892</f>
        <v>5026.0359840000001</v>
      </c>
      <c r="K10" s="73" ph="1">
        <f>K9*290.8*1.1126</f>
        <v>27585.368260800005</v>
      </c>
      <c r="L10" s="73" ph="1">
        <f>L9*290.8*0.777</f>
        <v>6039.6862680000004</v>
      </c>
      <c r="M10" s="73" ph="1">
        <f>M9*33.183*LOOKUP(M11,密度!$A$2:$A$50,密度!$D$2:$D$50)</f>
        <v>94924.643666399992</v>
      </c>
      <c r="N10" s="73" ph="1">
        <f>N9*33.183*LOOKUP(N11,密度!$A$2:$A$50,密度!$E$2:$E$50)</f>
        <v>168514.75531800001</v>
      </c>
      <c r="O10" s="73" ph="1">
        <f>O9*20.428*LOOKUP(O11,密度!$A$2:$A$50,密度!$C$2:$C$50)</f>
        <v>120575.03206319999</v>
      </c>
      <c r="P10" s="73" ph="1">
        <f>P9*51.53*LOOKUP(P11,密度!$A$2:$A$50,密度!$B$2:$B$50)</f>
        <v>94584.113715</v>
      </c>
      <c r="Q10" s="73" ph="1">
        <f>Q9*1.5*1.5*3.1416*LOOKUP(W11,密度!$A$2:$A$50,密度!$L$2:$L$50)</f>
        <v>18906.829741800004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18241.526041199999</v>
      </c>
      <c r="W10" s="73" ph="1">
        <f>W9*1.5*1.5*3.1416*LOOKUP(W11,密度!$A$2:$A$50,密度!$L$2:$L$50)</f>
        <v>46197.683532000003</v>
      </c>
      <c r="X10" s="73" ph="1">
        <f>X9*1.5*1.5*3.1416*LOOKUP(X11,密度!$A$2:$A$50,密度!$L$2:$L$50)</f>
        <v>40561.167754800001</v>
      </c>
      <c r="Y10" s="73" ph="1">
        <f>Y9*1.5*1.5*3.1416*LOOKUP(Y11,密度!$A$2:$A$50,密度!$L$2:$L$50)</f>
        <v>28593.575564400002</v>
      </c>
      <c r="Z10" s="73" ph="1">
        <f>Z9*33.183*LOOKUP(Z11,密度!$A$2:$A$50,密度!$L$2:$L$50)</f>
        <v>167578.72925400001</v>
      </c>
      <c r="AA10" s="73" ph="1">
        <f>AA9*33.183*LOOKUP(AA11,密度!$A$2:$A$50,密度!$D$2:$D$50)</f>
        <v>18791.068337999997</v>
      </c>
      <c r="AB10" s="73" ph="1">
        <f>AB9*20.428*LOOKUP(AB11,密度!$A$2:$A$50,密度!$D$2:$D$50)</f>
        <v>6393.0610824000014</v>
      </c>
      <c r="AC10" s="73" ph="1">
        <f>AC9*51.53*LOOKUP(AC11,密度!$A$2:$A$50,密度!$Q$2:$Q$50)</f>
        <v>177399.471085</v>
      </c>
      <c r="AD10" s="73" ph="1">
        <f>AD9*20.428*LOOKUP(AD11,密度!$A$2:$A$50,密度!$V$2:$V$50)</f>
        <v>80418.776860800004</v>
      </c>
      <c r="AE10" s="73" ph="1">
        <f>AE9*20.428</f>
        <v>40856</v>
      </c>
    </row>
    <row r="11" spans="1:99" ph="1">
      <c r="A11" s="64" t="s" ph="1">
        <v>163</v>
      </c>
      <c r="B11" s="233" ph="1"/>
      <c r="C11" s="150" t="s" ph="1">
        <v>180</v>
      </c>
      <c r="D11" s="74">
        <v>31</v>
      </c>
      <c r="E11" s="74">
        <v>36</v>
      </c>
      <c r="F11" s="74">
        <v>30</v>
      </c>
      <c r="G11" s="74">
        <v>35</v>
      </c>
      <c r="H11" s="74">
        <v>35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32</v>
      </c>
      <c r="O11" s="74">
        <v>38</v>
      </c>
      <c r="P11" s="74">
        <v>32</v>
      </c>
      <c r="Q11" s="74">
        <v>29</v>
      </c>
      <c r="R11" s="74">
        <v>37</v>
      </c>
      <c r="S11" s="74">
        <v>28</v>
      </c>
      <c r="T11" s="74">
        <v>34</v>
      </c>
      <c r="U11" s="74">
        <v>35</v>
      </c>
      <c r="V11" s="74">
        <v>28</v>
      </c>
      <c r="W11" s="74">
        <v>31</v>
      </c>
      <c r="X11" s="74">
        <v>21</v>
      </c>
      <c r="Y11" s="74">
        <v>28</v>
      </c>
      <c r="Z11" s="74">
        <v>28</v>
      </c>
      <c r="AA11" s="74">
        <v>34</v>
      </c>
      <c r="AB11" s="74">
        <v>33</v>
      </c>
      <c r="AC11" s="74">
        <v>32</v>
      </c>
      <c r="AD11" s="74">
        <v>34</v>
      </c>
      <c r="AE11" s="74">
        <v>34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5370</v>
      </c>
      <c r="E15" s="78">
        <v>1056</v>
      </c>
      <c r="F15" s="78">
        <v>3386</v>
      </c>
      <c r="G15" s="78">
        <v>1104</v>
      </c>
      <c r="H15" s="78">
        <v>0</v>
      </c>
      <c r="I15" s="78">
        <v>3933</v>
      </c>
      <c r="J15" s="78">
        <v>2674</v>
      </c>
      <c r="K15" s="78">
        <v>3108</v>
      </c>
      <c r="L15" s="78">
        <v>3318</v>
      </c>
      <c r="M15" s="78">
        <v>6563</v>
      </c>
      <c r="N15" s="78">
        <v>5192</v>
      </c>
      <c r="O15" s="78">
        <v>1329</v>
      </c>
      <c r="P15" s="78">
        <v>2924</v>
      </c>
      <c r="Q15" s="78">
        <v>0</v>
      </c>
      <c r="R15" s="78">
        <v>0</v>
      </c>
      <c r="S15" s="78">
        <v>1657</v>
      </c>
      <c r="T15" s="78">
        <v>6557</v>
      </c>
      <c r="U15" s="78">
        <v>1447</v>
      </c>
      <c r="V15" s="78">
        <v>-141</v>
      </c>
      <c r="W15" s="71">
        <v>62</v>
      </c>
      <c r="X15" s="78">
        <v>-261</v>
      </c>
      <c r="Y15" s="106">
        <v>-9908</v>
      </c>
      <c r="Z15" s="78">
        <v>0</v>
      </c>
      <c r="AA15" s="78">
        <v>6145</v>
      </c>
      <c r="AB15" s="78" ph="1">
        <v>356</v>
      </c>
      <c r="AC15" s="78" ph="1">
        <v>776</v>
      </c>
      <c r="AD15" s="78">
        <v>85.05</v>
      </c>
      <c r="AE15" s="78">
        <v>18.04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35453.128788000002</v>
      </c>
      <c r="E16" s="73" ph="1">
        <f>E15*7.0686*LOOKUP(E17,密度!$A$2:$A$50,密度!$L$2:$L$50)</f>
        <v>6971.7884544000008</v>
      </c>
      <c r="F16" s="73" ph="1">
        <f>F15*9.0746*LOOKUP(F17,密度!$A$2:$A$50,密度!$L$2:$L$50)</f>
        <v>28637.1870992</v>
      </c>
      <c r="G16" s="73" ph="1">
        <f>G15*9.0746*LOOKUP(G17,密度!$A$2:$A$50,密度!$B$2:$B$50)</f>
        <v>7801.2956860800005</v>
      </c>
      <c r="H16" s="73" ph="1">
        <f>H15*9.0746*LOOKUP(H17,密度!$A$2:$A$50,密度!$L$2:$L$50)</f>
        <v>0</v>
      </c>
      <c r="I16" s="73" ph="1">
        <f>I15*9.0746*LOOKUP(I17,密度!$A$2:$A$50,密度!$U$2:$U$50)</f>
        <v>36475.590639599999</v>
      </c>
      <c r="J16" s="73" ph="1">
        <f>J15*9.0746*LOOKUP(J17,密度!$A$2:$A$50,密度!$L$2:$L$50)</f>
        <v>22639.6932132</v>
      </c>
      <c r="K16" s="73" ph="1">
        <f>K15*9.0746*LOOKUP(K17,密度!$A$2:$A$50,密度!$C$2:$C$50)</f>
        <v>31232.951020320001</v>
      </c>
      <c r="L16" s="73" ph="1">
        <f>L15*9.0746*LOOKUP(L17,密度!$A$2:$A$50,密度!$E$2:$E$50)</f>
        <v>23446.285404360002</v>
      </c>
      <c r="M16" s="73" ph="1">
        <f>M15*9.0746*LOOKUP(M17,密度!$A$2:$A$50,密度!$M$2:$M$50)</f>
        <v>51873.7984258</v>
      </c>
      <c r="N16" s="73" ph="1">
        <f>N15*9.0746*LOOKUP(N17,密度!$A$2:$A$50,密度!$M$2:$M$50)</f>
        <v>41183.504009119999</v>
      </c>
      <c r="O16" s="73" ph="1">
        <f>O15*9.0746*LOOKUP(O17,密度!$A$2:$A$50,密度!$G$2:$G$50)</f>
        <v>11513.81890398</v>
      </c>
      <c r="P16" s="73" ph="1">
        <f ca="1">P15*9.0746*LOOKUP(P17,密度!$A$2:$A$51,密度!$Q$2:$Q$50)</f>
        <v>25083.244149728002</v>
      </c>
      <c r="Q16" s="73" ph="1">
        <f>Q15*9.0746*LOOKUP(Q17,密度!$A$2:$A$50,密度!$Q$2:$Q$50)</f>
        <v>0</v>
      </c>
      <c r="R16" s="73" ph="1">
        <f>MAX(R15*9.0746*LOOKUP(R17,密度!$A$2:$A$50,密度!$B$2:$B$50),0)</f>
        <v>0</v>
      </c>
      <c r="S16" s="73" ph="1">
        <f>S15*9.0746*LOOKUP(S17,密度!$A$2:$A$50,密度!$Q$2:$Q$50)</f>
        <v>14203.884616363999</v>
      </c>
      <c r="T16" s="73" ph="1">
        <f>T15*9.0746*LOOKUP(T17,密度!$A$2:$A$50,密度!$O$2:$O$50)</f>
        <v>55098.992937200004</v>
      </c>
      <c r="U16" s="73" ph="1">
        <f>U15*9.0746*LOOKUP(U17,密度!$A$2:$A$50,密度!$H$2:$H$50)</f>
        <v>11975.422934400001</v>
      </c>
      <c r="V16" s="73" ph="1">
        <f>MAX(5600*LOOKUP(V17,密度!$A$2:$A$50,密度!$Q$2:$Q$50)+V15*9.0476*LOOKUP(V17,密度!$A$2:$A$50,密度!$Q$2:$Q$50),0)</f>
        <v>4079.2309763720004</v>
      </c>
      <c r="W16" s="73" ph="1">
        <f>MAX(5600*LOOKUP(W17,密度!$A$2:$A$50,密度!$Q$2:$Q$50)+W15*9.0476*LOOKUP(W17,密度!$A$2:$A$50,密度!$Q$2:$Q$50),0)</f>
        <v>5811.810095496</v>
      </c>
      <c r="X16" s="73" ph="1">
        <f>MAX(5600*LOOKUP(X17,密度!$A$2:$A$50,密度!$I$2:$I$50)+X15*9.0476*LOOKUP(X17,密度!$A$2:$A$50,密度!$I$2:$I$50),0)</f>
        <v>3360.670730280001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43328.175009000006</v>
      </c>
      <c r="AB16" s="73" ph="1">
        <f>AB15*9.0746*LOOKUP(AB17,密度!$A$2:$A$50,密度!$L$2:$L$50)</f>
        <v>3017.3407984</v>
      </c>
      <c r="AC16" s="73" ph="1">
        <f>AC15*9.0746*LOOKUP(AC17,密度!$A$2:$A$50,密度!$L$2:$L$50)</f>
        <v>6584.1667760000009</v>
      </c>
      <c r="AD16" s="73" ph="1">
        <f>AD15*268.68*LOOKUP(AD17,密度!$A$2:$A$50,密度!B2:B50)+IF(AD15&lt;=0,0,1566*LOOKUP(AD17,密度!$A$2:$A$50,密度!B2:B50))</f>
        <v>19035.6756264</v>
      </c>
      <c r="AE16" s="73" ph="1">
        <f>AE15*268.68*LOOKUP(AE17,密度!$A$2:$A$50,密度!B2:B50)+IF(AE15&lt;=0,0,1566*LOOKUP(AE17,密度!$A$2:$A$50,密度!B2:B50))</f>
        <v>4999.5648211199996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28</v>
      </c>
      <c r="E17" s="74">
        <v>28</v>
      </c>
      <c r="F17" s="74">
        <v>30</v>
      </c>
      <c r="G17" s="74">
        <v>26</v>
      </c>
      <c r="H17" s="74">
        <v>24</v>
      </c>
      <c r="I17" s="74">
        <v>28</v>
      </c>
      <c r="J17" s="74">
        <v>29</v>
      </c>
      <c r="K17" s="74">
        <v>27</v>
      </c>
      <c r="L17" s="74">
        <v>29</v>
      </c>
      <c r="M17" s="74">
        <v>29</v>
      </c>
      <c r="N17" s="74">
        <v>26</v>
      </c>
      <c r="O17" s="74">
        <v>30</v>
      </c>
      <c r="P17" s="74">
        <v>27</v>
      </c>
      <c r="Q17" s="74">
        <v>28</v>
      </c>
      <c r="R17" s="74">
        <v>27</v>
      </c>
      <c r="S17" s="74">
        <v>28</v>
      </c>
      <c r="T17" s="74">
        <v>27</v>
      </c>
      <c r="U17" s="74">
        <v>28</v>
      </c>
      <c r="V17" s="74">
        <v>30</v>
      </c>
      <c r="W17" s="74">
        <v>30</v>
      </c>
      <c r="X17" s="74">
        <v>29</v>
      </c>
      <c r="Y17" s="108">
        <v>29</v>
      </c>
      <c r="Z17" s="74">
        <v>28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4823</v>
      </c>
      <c r="E18" s="71">
        <v>2241</v>
      </c>
      <c r="F18" s="71">
        <v>3387</v>
      </c>
      <c r="G18" s="71">
        <v>1255</v>
      </c>
      <c r="H18" s="71">
        <v>0</v>
      </c>
      <c r="I18" s="71">
        <v>3935</v>
      </c>
      <c r="J18" s="71">
        <v>3099</v>
      </c>
      <c r="K18" s="71">
        <v>3109</v>
      </c>
      <c r="L18" s="71">
        <v>1820</v>
      </c>
      <c r="M18" s="71">
        <v>6526</v>
      </c>
      <c r="N18" s="71">
        <v>5697</v>
      </c>
      <c r="O18" s="71">
        <v>1330</v>
      </c>
      <c r="P18" s="71">
        <v>1553</v>
      </c>
      <c r="Q18" s="71">
        <v>1288</v>
      </c>
      <c r="R18" s="71">
        <v>0</v>
      </c>
      <c r="S18" s="71">
        <v>1659</v>
      </c>
      <c r="T18" s="71">
        <v>6065</v>
      </c>
      <c r="U18" s="71">
        <v>1446</v>
      </c>
      <c r="V18" s="71">
        <v>-142</v>
      </c>
      <c r="W18" s="71">
        <v>772</v>
      </c>
      <c r="X18" s="71">
        <v>-262</v>
      </c>
      <c r="Y18" s="109">
        <v>-9908</v>
      </c>
      <c r="Z18" s="71">
        <v>0</v>
      </c>
      <c r="AA18" s="71">
        <v>6150</v>
      </c>
      <c r="AB18" s="71">
        <v>355</v>
      </c>
      <c r="AC18" s="71">
        <v>776</v>
      </c>
      <c r="AD18" s="71">
        <v>84.4</v>
      </c>
      <c r="AE18" s="71">
        <v>60.59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31637.2440384</v>
      </c>
      <c r="E19" s="73" ph="1">
        <f>E18*7.0686*LOOKUP(E20,密度!$A$2:$A$50,密度!$L$2:$L$50)</f>
        <v>14700.1998528</v>
      </c>
      <c r="F19" s="73" ph="1">
        <f>F18*9.0746*LOOKUP(F20,密度!$A$2:$A$50,密度!$L$2:$L$50)</f>
        <v>28584.173286000001</v>
      </c>
      <c r="G19" s="73" ph="1">
        <f>G18*9.0746*LOOKUP(G20,密度!$A$2:$A$50,密度!$B$2:$B$50)</f>
        <v>8829.5994118999988</v>
      </c>
      <c r="H19" s="73" ph="1">
        <f>H18*9.0746*LOOKUP(H20,密度!$A$2:$A$50,密度!$L$2:$L$50)</f>
        <v>0</v>
      </c>
      <c r="I19" s="73" ph="1">
        <f>I18*9.0746*LOOKUP(I20,密度!$A$2:$A$50,密度!$U$2:$U$50)</f>
        <v>36351.304918000002</v>
      </c>
      <c r="J19" s="73" ph="1">
        <f>J18*9.0746*LOOKUP(J20,密度!$A$2:$A$50,密度!$L$2:$L$50)</f>
        <v>26153.632422000002</v>
      </c>
      <c r="K19" s="73" ph="1">
        <f>K18*9.0746*LOOKUP(K20,密度!$A$2:$A$50,密度!$C$2:$C$50)</f>
        <v>31149.897558740005</v>
      </c>
      <c r="L19" s="73" ph="1">
        <f>L18*9.0746*LOOKUP(L20,密度!$A$2:$A$50,密度!$E$2:$E$50)</f>
        <v>12805.00834704</v>
      </c>
      <c r="M19" s="73" ph="1">
        <f>M18*9.0746*LOOKUP(M20,密度!$A$2:$A$50,密度!$M$2:$M$50)</f>
        <v>51393.029021672002</v>
      </c>
      <c r="N19" s="73" ph="1">
        <f>N18*9.0746*LOOKUP(N20,密度!$A$2:$A$50,密度!$M$2:$M$50)</f>
        <v>45080.652686400004</v>
      </c>
      <c r="O19" s="73" ph="1">
        <f>O18*9.0746*LOOKUP(O20,密度!$A$2:$A$50,密度!$G$2:$G$50)</f>
        <v>11497.619835520001</v>
      </c>
      <c r="P19" s="73" ph="1">
        <f ca="1">P18*9.0746*LOOKUP(P20,密度!$A$2:$A$51,密度!$Q$2:$Q$50)</f>
        <v>13264.898639250001</v>
      </c>
      <c r="Q19" s="73" ph="1">
        <f>Q18*9.0746*LOOKUP(Q20,密度!$A$2:$A$50,密度!$Q$2:$Q$50)</f>
        <v>10993.695682032001</v>
      </c>
      <c r="R19" s="73" ph="1">
        <f>MAX(R18*9.0746*LOOKUP(R20,密度!$A$2:$A$50,密度!$B$2:$B$50),0)</f>
        <v>0</v>
      </c>
      <c r="S19" s="73" ph="1">
        <f>S18*9.0746*LOOKUP(S20,密度!$A$2:$A$50,密度!$Q$2:$Q$50)</f>
        <v>14160.358025226002</v>
      </c>
      <c r="T19" s="73" ph="1">
        <f>T18*9.0746*LOOKUP(T20,密度!$A$2:$A$50,密度!$O$2:$O$50)</f>
        <v>50700.498018800005</v>
      </c>
      <c r="U19" s="73" ph="1">
        <f>U18*9.0746*LOOKUP(U20,密度!$A$2:$A$50,密度!$H$2:$H$50)</f>
        <v>11890.252731623999</v>
      </c>
      <c r="V19" s="73" ph="1">
        <f>MAX(5600*LOOKUP(V20,密度!$A$2:$A$50,密度!$Q$2:$Q$50)+V18*9.0476*LOOKUP(V20,密度!$A$2:$A$50,密度!$Q$2:$Q$50),0)</f>
        <v>4058.872344072</v>
      </c>
      <c r="W19" s="73" ph="1">
        <f>MAX(5600*LOOKUP(W20,密度!$A$2:$A$50,密度!$Q$2:$Q$50)+W18*9.0476*LOOKUP(W20,密度!$A$2:$A$50,密度!$Q$2:$Q$50),0)</f>
        <v>11828.907283167999</v>
      </c>
      <c r="X19" s="73" ph="1">
        <f>MAX(5600*LOOKUP(X20,密度!$A$2:$A$50,密度!$I$2:$I$50)+X18*9.0476*LOOKUP(X20,密度!$A$2:$A$50,密度!$I$2:$I$50),0)</f>
        <v>3340.6245907200005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43218.326975999997</v>
      </c>
      <c r="AB19" s="73" ph="1">
        <f>AB18*9.0746*LOOKUP(AB20,密度!$A$2:$A$50,密度!$L$2:$L$50)</f>
        <v>2992.7577070000002</v>
      </c>
      <c r="AC19" s="73" ph="1">
        <f>AC18*9.0746*LOOKUP(AC20,密度!$A$2:$A$50,密度!$L$2:$L$50)</f>
        <v>6555.9992176000005</v>
      </c>
      <c r="AD19" s="73" ph="1">
        <f>AD18*268.68*LOOKUP(AD20,密度!$A$2:$A$50,密度!B5:B53)+IF(AD18&lt;=0,0,1566*LOOKUP(AD20,密度!$A$2:$A$50,密度!B5:B53))</f>
        <v>18836.493984000001</v>
      </c>
      <c r="AE19" s="73" ph="1">
        <f>AE18*268.68*LOOKUP(AE20,密度!$A$2:$A$50,密度!B5:B53)+IF(AE18&lt;=0,0,1566*LOOKUP(AE20,密度!$A$2:$A$50,密度!B5:B53))</f>
        <v>13865.814572400001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34</v>
      </c>
      <c r="E20" s="81">
        <v>34</v>
      </c>
      <c r="F20" s="81">
        <v>32</v>
      </c>
      <c r="G20" s="81">
        <v>30</v>
      </c>
      <c r="H20" s="81">
        <v>32</v>
      </c>
      <c r="I20" s="81">
        <v>32</v>
      </c>
      <c r="J20" s="81">
        <v>32</v>
      </c>
      <c r="K20" s="81">
        <v>31</v>
      </c>
      <c r="L20" s="81">
        <v>32</v>
      </c>
      <c r="M20" s="81">
        <v>32</v>
      </c>
      <c r="N20" s="81">
        <v>28</v>
      </c>
      <c r="O20" s="81">
        <v>32</v>
      </c>
      <c r="P20" s="81">
        <v>33</v>
      </c>
      <c r="Q20" s="81">
        <v>34</v>
      </c>
      <c r="R20" s="81">
        <v>33</v>
      </c>
      <c r="S20" s="81">
        <v>34</v>
      </c>
      <c r="T20" s="81">
        <v>33</v>
      </c>
      <c r="U20" s="81">
        <v>34</v>
      </c>
      <c r="V20" s="81">
        <v>34</v>
      </c>
      <c r="W20" s="81">
        <v>35</v>
      </c>
      <c r="X20" s="81">
        <v>32</v>
      </c>
      <c r="Y20" s="110">
        <v>32</v>
      </c>
      <c r="Z20" s="81">
        <v>34</v>
      </c>
      <c r="AA20" s="81">
        <v>31</v>
      </c>
      <c r="AB20" s="81">
        <v>33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85.79</v>
      </c>
      <c r="E24" s="71">
        <v>55.22</v>
      </c>
      <c r="F24" s="71">
        <v>3759</v>
      </c>
      <c r="G24" s="71">
        <v>2249</v>
      </c>
      <c r="H24" s="71">
        <v>2699</v>
      </c>
      <c r="I24" s="71">
        <v>4208</v>
      </c>
      <c r="J24" s="71">
        <v>421</v>
      </c>
      <c r="K24" s="71">
        <v>4927</v>
      </c>
      <c r="L24" s="71">
        <v>5618</v>
      </c>
      <c r="M24" s="71">
        <v>1917</v>
      </c>
      <c r="N24" s="71">
        <v>548</v>
      </c>
      <c r="O24" s="71">
        <v>4324</v>
      </c>
      <c r="P24" s="71">
        <v>969</v>
      </c>
      <c r="Q24" s="90">
        <v>5089</v>
      </c>
      <c r="R24" s="71">
        <v>1892</v>
      </c>
      <c r="S24" s="71">
        <v>7047</v>
      </c>
      <c r="T24" s="71">
        <v>1698</v>
      </c>
      <c r="U24" s="71">
        <v>6052</v>
      </c>
      <c r="V24" s="71">
        <v>11811</v>
      </c>
      <c r="W24" s="71">
        <v>11734</v>
      </c>
      <c r="X24" s="71">
        <v>4283</v>
      </c>
      <c r="Y24" s="71">
        <v>1975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23305.005993528004</v>
      </c>
      <c r="E25" s="91" ph="1">
        <f>E24*268.68*LOOKUP(E26,密度!$A$2:$A$50,密度!$C$2:$C$50)+IF(E24&lt;=0,0,1566*LOOKUP(E26,密度!$A$2:$A$50,密度!$C$2:$C$50))</f>
        <v>18188.742895440002</v>
      </c>
      <c r="F25" s="91" ph="1">
        <f>F24*11.702*LOOKUP(F26,密度!$A$2:$A$50,密度!$Q$2:$Q$50)</f>
        <v>41495.028353939997</v>
      </c>
      <c r="G25" s="91" ph="1">
        <f>G24*18.322*LOOKUP(G26,密度!$A$2:$A$50,密度!$B$2:$B$50)</f>
        <v>31947.1498034</v>
      </c>
      <c r="H25" s="91" ph="1">
        <f>H24*18.322*LOOKUP(H26,密度!$A$2:$A$50,密度!$B$2:$B$50)</f>
        <v>38339.420773400001</v>
      </c>
      <c r="I25" s="91" ph="1">
        <f>I24*18.322*LOOKUP(I26,密度!$A$2:$A$50,密度!$Q$2:$Q$50)</f>
        <v>72776.036415680006</v>
      </c>
      <c r="J25" s="91" ph="1">
        <f>J24*18.322*LOOKUP(J26,密度!$A$2:$A$50,密度!$Q$2:$Q$50)</f>
        <v>7281.0625786600003</v>
      </c>
      <c r="K25" s="91" ph="1">
        <f>K24*18.322*LOOKUP(K26,密度!$A$2:$A$50,密度!$Q$2:$Q$50)</f>
        <v>85210.915261419999</v>
      </c>
      <c r="L25" s="91" ph="1">
        <f>L24*18.322*LOOKUP(L26,密度!$A$2:$A$50,密度!$Q$2:$Q$50)</f>
        <v>97161.542914279999</v>
      </c>
      <c r="M25" s="91" ph="1">
        <f>M24*18.322*LOOKUP(M26,密度!$A$2:$A$50,密度!$Q$2:$Q$50)</f>
        <v>33132.83806242</v>
      </c>
      <c r="N25" s="91" ph="1">
        <f>N24*18.322*LOOKUP(N26,密度!$A$2:$A$50,密度!$Q$2:$Q$50)</f>
        <v>9471.4633584799994</v>
      </c>
      <c r="O25" s="91" ph="1">
        <f>O24*18.322*LOOKUP(O26,密度!$A$2:$A$50,密度!$C$2:$C$50)</f>
        <v>87550.804872799985</v>
      </c>
      <c r="P25" s="91" ph="1">
        <f>P24*11.702*LOOKUP(P26,密度!$A$2:$A$50,密度!$B$2:$B$50)</f>
        <v>8801.5165355999998</v>
      </c>
      <c r="Q25" s="92" ph="1">
        <f>Q24*18.322*LOOKUP(Q26,密度!$A$2:$A$50,密度!$B$2:$B$50)</f>
        <v>72373.398739600001</v>
      </c>
      <c r="R25" s="91" ph="1">
        <f>R24*35.891*LOOKUP(R26,密度!$A$2:$A$50,密度!$C$2:$C$50)</f>
        <v>75042.668637199997</v>
      </c>
      <c r="S25" s="91" ph="1">
        <f>S24*35.891*LOOKUP(S26,密度!$A$2:$A$50,密度!$B$2:$B$50)</f>
        <v>196319.5133274</v>
      </c>
      <c r="T25" s="91" ph="1">
        <f>T24*35.891*LOOKUP(T26,密度!$A$2:$A$50,密度!$Q$2:$Q$50)</f>
        <v>57489.282836940001</v>
      </c>
      <c r="U25" s="91" ph="1">
        <f>U24*35.891</f>
        <v>217212.33199999999</v>
      </c>
      <c r="V25" s="91" ph="1">
        <f>V24*47.051*LOOKUP(V26,密度!$A$2:$A$50,密度!$B$2:$B$50)</f>
        <v>431349.36800820002</v>
      </c>
      <c r="W25" s="91" ph="1">
        <f>W24*47.051*LOOKUP(W26,密度!$A$2:$A$50,密度!$B$2:$B$50)</f>
        <v>428537.25207079999</v>
      </c>
      <c r="X25" s="91" ph="1">
        <f>X24*47.051*LOOKUP(X26,密度!$A$2:$A$50,密度!$I$2:$I$50)</f>
        <v>208675.38806583002</v>
      </c>
      <c r="Y25" s="91" ph="1">
        <f>Y24*47.051*LOOKUP(Y26,密度!$A$2:$A$50,密度!$L$2:$L$50)</f>
        <v>86606.775700000013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30</v>
      </c>
      <c r="G26" s="74">
        <v>30</v>
      </c>
      <c r="H26" s="74">
        <v>30</v>
      </c>
      <c r="I26" s="74">
        <v>29</v>
      </c>
      <c r="J26" s="74">
        <v>29</v>
      </c>
      <c r="K26" s="74">
        <v>29</v>
      </c>
      <c r="L26" s="74">
        <v>29</v>
      </c>
      <c r="M26" s="74">
        <v>30</v>
      </c>
      <c r="N26" s="74">
        <v>30</v>
      </c>
      <c r="O26" s="74">
        <v>30</v>
      </c>
      <c r="P26" s="74">
        <v>29</v>
      </c>
      <c r="Q26" s="93">
        <v>29</v>
      </c>
      <c r="R26" s="74">
        <v>30</v>
      </c>
      <c r="S26" s="74">
        <v>29</v>
      </c>
      <c r="T26" s="74">
        <v>30</v>
      </c>
      <c r="U26" s="74">
        <v>30</v>
      </c>
      <c r="V26" s="74">
        <v>29</v>
      </c>
      <c r="W26" s="74">
        <v>29</v>
      </c>
      <c r="X26" s="74">
        <v>31</v>
      </c>
      <c r="Y26" s="74">
        <v>30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85.78</v>
      </c>
      <c r="E27" s="71">
        <v>55.22</v>
      </c>
      <c r="F27" s="71">
        <v>3758</v>
      </c>
      <c r="G27" s="71">
        <v>1147</v>
      </c>
      <c r="H27" s="71">
        <v>2182</v>
      </c>
      <c r="I27" s="71">
        <v>3293</v>
      </c>
      <c r="J27" s="71">
        <v>417</v>
      </c>
      <c r="K27" s="71">
        <v>4927</v>
      </c>
      <c r="L27" s="71">
        <v>5613</v>
      </c>
      <c r="M27" s="71">
        <v>1914</v>
      </c>
      <c r="N27" s="71">
        <v>544</v>
      </c>
      <c r="O27" s="71">
        <v>4320</v>
      </c>
      <c r="P27" s="71">
        <v>966</v>
      </c>
      <c r="Q27" s="90">
        <v>5289</v>
      </c>
      <c r="R27" s="71">
        <v>1373</v>
      </c>
      <c r="S27" s="71">
        <v>7045</v>
      </c>
      <c r="T27" s="71">
        <v>1695</v>
      </c>
      <c r="U27" s="71">
        <v>6165</v>
      </c>
      <c r="V27" s="71">
        <v>11815</v>
      </c>
      <c r="W27" s="71">
        <v>11735</v>
      </c>
      <c r="X27" s="71">
        <v>4882</v>
      </c>
      <c r="Y27" s="71">
        <v>2716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23302.462292496002</v>
      </c>
      <c r="E28" s="91" ph="1">
        <f>E27*268.68*LOOKUP(E29,密度!$A$2:$A$50,密度!$C$2:$C$50)+IF(E27&lt;=0,0,1566*LOOKUP(E29,密度!$A$2:$A$50,密度!$C$2:$C$50))</f>
        <v>18188.742895440002</v>
      </c>
      <c r="F28" s="91" ph="1">
        <f>F27*11.702*LOOKUP(F29,密度!$A$2:$A$50,密度!$Q$2:$Q$50)</f>
        <v>41451.007419280002</v>
      </c>
      <c r="G28" s="91" ph="1">
        <f>G27*18.322*LOOKUP(G29,密度!$A$2:$A$50,密度!$B$2:$B$50)</f>
        <v>16274.274649599998</v>
      </c>
      <c r="H28" s="91" ph="1">
        <f>H27*18.322*LOOKUP(H29,密度!$A$2:$A$50,密度!$B$2:$B$50)</f>
        <v>30959.430937599998</v>
      </c>
      <c r="I28" s="91" ph="1">
        <f>I27*18.322*LOOKUP(I29,密度!$A$2:$A$50,密度!$Q$2:$Q$50)</f>
        <v>56828.920497399995</v>
      </c>
      <c r="J28" s="91" ph="1">
        <f>J27*18.322*LOOKUP(J29,密度!$A$2:$A$50,密度!$Q$2:$Q$50)</f>
        <v>7196.3740805999987</v>
      </c>
      <c r="K28" s="91" ph="1">
        <f>K27*18.322*LOOKUP(K29,密度!$A$2:$A$50,密度!$Q$2:$Q$50)</f>
        <v>85027.662098599991</v>
      </c>
      <c r="L28" s="91" ph="1">
        <f>L27*18.322*LOOKUP(L29,密度!$A$2:$A$50,密度!$Q$2:$Q$50)</f>
        <v>96866.301473399988</v>
      </c>
      <c r="M28" s="91" ph="1">
        <f>M27*18.322*LOOKUP(M29,密度!$A$2:$A$50,密度!$Q$2:$Q$50)</f>
        <v>33030.839305199996</v>
      </c>
      <c r="N28" s="91" ph="1">
        <f>N27*18.322*LOOKUP(N29,密度!$A$2:$A$50,密度!$Q$2:$Q$50)</f>
        <v>9394.8532134399993</v>
      </c>
      <c r="O28" s="91" ph="1">
        <f>O27*18.322*LOOKUP(O29,密度!$A$2:$A$50,密度!$C$2:$C$50)</f>
        <v>87303.597119999991</v>
      </c>
      <c r="P28" s="91" ph="1">
        <f>P27*11.702*LOOKUP(P29,密度!$A$2:$A$50,密度!$B$2:$B$50)</f>
        <v>8743.7461019999992</v>
      </c>
      <c r="Q28" s="92" ph="1">
        <f>Q27*18.322*LOOKUP(Q29,密度!$A$2:$A$50,密度!$B$2:$B$50)</f>
        <v>75043.276915199996</v>
      </c>
      <c r="R28" s="91" ph="1">
        <f>R27*35.891*LOOKUP(R29,密度!$A$2:$A$50,密度!$C$2:$C$50)</f>
        <v>54408.218506300007</v>
      </c>
      <c r="S28" s="91" ph="1">
        <f>S27*35.891*LOOKUP(S29,密度!$A$2:$A$50,密度!$B$2:$B$50)</f>
        <v>195581.09548249998</v>
      </c>
      <c r="T28" s="91" ph="1">
        <f>T27*35.891*LOOKUP(T29,密度!$A$2:$A$50,密度!$Q$2:$Q$50)</f>
        <v>57300.717265499996</v>
      </c>
      <c r="U28" s="91" ph="1">
        <f>U27*35.891</f>
        <v>221268.01499999998</v>
      </c>
      <c r="V28" s="91" ph="1">
        <f>V27*47.051*LOOKUP(V29,密度!$A$2:$A$50,密度!$B$2:$B$50)</f>
        <v>429994.50152750005</v>
      </c>
      <c r="W28" s="91" ph="1">
        <f>W27*47.051*LOOKUP(W29,密度!$A$2:$A$50,密度!$B$2:$B$50)</f>
        <v>427579.91478399996</v>
      </c>
      <c r="X28" s="91" ph="1">
        <f>X27*47.051*LOOKUP(X29,密度!$A$2:$A$50,密度!$I$2:$I$50)</f>
        <v>237604.76458080002</v>
      </c>
      <c r="Y28" s="91" ph="1">
        <f>Y27*47.051*LOOKUP(Y29,密度!$A$2:$A$50,密度!$L$2:$L$50)</f>
        <v>118972.970396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31</v>
      </c>
      <c r="G29" s="74">
        <v>31</v>
      </c>
      <c r="H29" s="74">
        <v>31</v>
      </c>
      <c r="I29" s="74">
        <v>32</v>
      </c>
      <c r="J29" s="74">
        <v>32</v>
      </c>
      <c r="K29" s="74">
        <v>32</v>
      </c>
      <c r="L29" s="74">
        <v>32</v>
      </c>
      <c r="M29" s="74">
        <v>32</v>
      </c>
      <c r="N29" s="74">
        <v>31</v>
      </c>
      <c r="O29" s="74">
        <v>32</v>
      </c>
      <c r="P29" s="74">
        <v>32</v>
      </c>
      <c r="Q29" s="93">
        <v>31</v>
      </c>
      <c r="R29" s="74">
        <v>31</v>
      </c>
      <c r="S29" s="74">
        <v>32</v>
      </c>
      <c r="T29" s="74">
        <v>32</v>
      </c>
      <c r="U29" s="74">
        <v>32</v>
      </c>
      <c r="V29" s="74">
        <v>32</v>
      </c>
      <c r="W29" s="74">
        <v>31</v>
      </c>
      <c r="X29" s="74">
        <v>32</v>
      </c>
      <c r="Y29" s="74">
        <v>31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25184.129420400001</v>
      </c>
      <c r="E33" s="182" ph="1">
        <f>M10+I10</f>
        <v>107037.39975159999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08" ph="1">
        <v>0</v>
      </c>
      <c r="H33" s="182" ph="1">
        <f>N19</f>
        <v>45080.652686400004</v>
      </c>
      <c r="I33" s="186" ph="1">
        <v>0</v>
      </c>
      <c r="J33" s="190" ph="1">
        <f>F10+O28</f>
        <v>338386.7386251</v>
      </c>
      <c r="K33" s="182" ph="1">
        <f>O10+K10+E28+R28</f>
        <v>220757.36172573999</v>
      </c>
      <c r="L33" s="192" ph="1">
        <f>BE27</f>
        <v>7100</v>
      </c>
      <c r="M33" s="190" ph="1">
        <f>G10+H10+W28+S28+V28+E10</f>
        <v>1975461.4911750003</v>
      </c>
      <c r="N33" s="182" ph="1">
        <f>L10+P10++G28+H28</f>
        <v>147857.50557020001</v>
      </c>
      <c r="O33" s="186" ph="1">
        <f>BE17</f>
        <v>2270</v>
      </c>
      <c r="P33" s="190" ph="1">
        <f>L19</f>
        <v>12805.00834704</v>
      </c>
      <c r="Q33" s="182" ph="1">
        <f>J10+N10</f>
        <v>173540.791302</v>
      </c>
      <c r="R33" s="186" ph="1">
        <f>BE23</f>
        <v>890</v>
      </c>
      <c r="S33" s="190" ph="1">
        <f>E10+X28</f>
        <v>557965.74398080003</v>
      </c>
      <c r="T33" s="182" ph="1">
        <f>X19</f>
        <v>3340.6245907200005</v>
      </c>
      <c r="U33" s="171" ph="1">
        <f>BE21</f>
        <v>730</v>
      </c>
      <c r="V33" s="184" ph="1">
        <f ca="1">P19+Q19+S19+M28+N28+J28</f>
        <v>88041.018945748001</v>
      </c>
      <c r="W33" s="184" ph="1">
        <f>D28+F28+V19+T28</f>
        <v>126113.059321348</v>
      </c>
      <c r="X33" s="186" ph="1">
        <f>BE29+BE31</f>
        <v>10200</v>
      </c>
      <c r="Y33" s="188" ph="1">
        <f>+Q10+R10+S10+T10+U10+V10+W10+X10+Y10</f>
        <v>152500.7826342</v>
      </c>
      <c r="Z33" s="169" ph="1">
        <f>D10+T19+U19+Y28+Z10</f>
        <v>511848.69279270404</v>
      </c>
      <c r="AA33" s="171" ph="1">
        <f>BE19</f>
        <v>1440</v>
      </c>
      <c r="AB33" s="173" ph="1">
        <f>I19</f>
        <v>36351.304918000002</v>
      </c>
      <c r="AC33" s="175" ph="1">
        <f>AD10</f>
        <v>80418.776860800004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648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145" priority="97">
      <formula>ABS(D$7-D$10)&gt;=1000</formula>
    </cfRule>
  </conditionalFormatting>
  <conditionalFormatting sqref="E4 E6:E11">
    <cfRule type="expression" dxfId="1144" priority="96">
      <formula>ABS(E$7-E$10)&gt;=1000</formula>
    </cfRule>
  </conditionalFormatting>
  <conditionalFormatting sqref="F4:F11">
    <cfRule type="expression" dxfId="1143" priority="95">
      <formula>ABS(F$7-F$10)&gt;=1000</formula>
    </cfRule>
  </conditionalFormatting>
  <conditionalFormatting sqref="G4:G11">
    <cfRule type="expression" dxfId="1142" priority="94">
      <formula>ABS(G$7-G$10)&gt;=1000</formula>
    </cfRule>
  </conditionalFormatting>
  <conditionalFormatting sqref="H4:H11">
    <cfRule type="expression" dxfId="1141" priority="93">
      <formula>ABS(H$7-H$10)&gt;=1000</formula>
    </cfRule>
  </conditionalFormatting>
  <conditionalFormatting sqref="I4:I11">
    <cfRule type="expression" dxfId="1140" priority="92">
      <formula>ABS(I$7-I$10)&gt;=1000</formula>
    </cfRule>
  </conditionalFormatting>
  <conditionalFormatting sqref="J4:J11">
    <cfRule type="expression" dxfId="1139" priority="91">
      <formula>ABS(J$7-J$10)&gt;=1000</formula>
    </cfRule>
  </conditionalFormatting>
  <conditionalFormatting sqref="K4:K11">
    <cfRule type="expression" dxfId="1138" priority="90">
      <formula>ABS(K$7-K$10)&gt;=1000</formula>
    </cfRule>
  </conditionalFormatting>
  <conditionalFormatting sqref="L4:L11">
    <cfRule type="expression" dxfId="1137" priority="89">
      <formula>ABS(L$7-L$10)&gt;=1000</formula>
    </cfRule>
  </conditionalFormatting>
  <conditionalFormatting sqref="M4 M6:M11">
    <cfRule type="expression" dxfId="1136" priority="88">
      <formula>ABS(M$7-M$10)&gt;=1000</formula>
    </cfRule>
  </conditionalFormatting>
  <conditionalFormatting sqref="N4 N6:N11">
    <cfRule type="expression" dxfId="1135" priority="87">
      <formula>ABS(N$7-N$10)&gt;=1000</formula>
    </cfRule>
  </conditionalFormatting>
  <conditionalFormatting sqref="O4 O6:O11">
    <cfRule type="expression" dxfId="1134" priority="86">
      <formula>ABS(O$7-O$10)&gt;=1000</formula>
    </cfRule>
  </conditionalFormatting>
  <conditionalFormatting sqref="P4 P6:P11">
    <cfRule type="expression" dxfId="1133" priority="85">
      <formula>ABS(P$7-P$10)&gt;=1000</formula>
    </cfRule>
  </conditionalFormatting>
  <conditionalFormatting sqref="Q4:Q11">
    <cfRule type="expression" dxfId="1132" priority="84">
      <formula>ABS(Q$7-Q$10)&gt;=1000</formula>
    </cfRule>
  </conditionalFormatting>
  <conditionalFormatting sqref="R4:R11">
    <cfRule type="expression" dxfId="1131" priority="83">
      <formula>ABS(R$7-R$10)&gt;=1000</formula>
    </cfRule>
  </conditionalFormatting>
  <conditionalFormatting sqref="S4:S11">
    <cfRule type="expression" dxfId="1130" priority="82">
      <formula>ABS(S$7-S$10)&gt;=1000</formula>
    </cfRule>
  </conditionalFormatting>
  <conditionalFormatting sqref="T4:T9 T11">
    <cfRule type="expression" dxfId="1129" priority="81">
      <formula>ABS(T$7-T$10)&gt;=1000</formula>
    </cfRule>
  </conditionalFormatting>
  <conditionalFormatting sqref="U4:U9 U11">
    <cfRule type="expression" dxfId="1128" priority="80">
      <formula>ABS(U$7-U$10)&gt;=1000</formula>
    </cfRule>
  </conditionalFormatting>
  <conditionalFormatting sqref="V4:V9 V11">
    <cfRule type="expression" dxfId="1127" priority="79">
      <formula>ABS(V$7-V$10)&gt;=1000</formula>
    </cfRule>
  </conditionalFormatting>
  <conditionalFormatting sqref="W4:W9 W11">
    <cfRule type="expression" dxfId="1126" priority="78">
      <formula>ABS(W$7-W$10)&gt;=1000</formula>
    </cfRule>
  </conditionalFormatting>
  <conditionalFormatting sqref="X4:X9 X11">
    <cfRule type="expression" dxfId="1125" priority="77">
      <formula>ABS(X$7-X$10)&gt;=1000</formula>
    </cfRule>
  </conditionalFormatting>
  <conditionalFormatting sqref="Y4:Y9 Y11">
    <cfRule type="expression" dxfId="1124" priority="76">
      <formula>ABS(Y$7-Y$10)&gt;=1000</formula>
    </cfRule>
  </conditionalFormatting>
  <conditionalFormatting sqref="Z4:Z11">
    <cfRule type="expression" dxfId="1123" priority="75">
      <formula>ABS(Z$7-Z$10)&gt;=1000</formula>
    </cfRule>
  </conditionalFormatting>
  <conditionalFormatting sqref="AA4:AA11">
    <cfRule type="expression" dxfId="1122" priority="74">
      <formula>ABS(AA$7-AA$10)&gt;=1000</formula>
    </cfRule>
  </conditionalFormatting>
  <conditionalFormatting sqref="AB4:AB11">
    <cfRule type="expression" dxfId="1121" priority="73">
      <formula>ABS(AB$7-AB$10)&gt;=1000</formula>
    </cfRule>
  </conditionalFormatting>
  <conditionalFormatting sqref="AC4 AC6:AC11">
    <cfRule type="expression" dxfId="1120" priority="72">
      <formula>ABS(AC$7-AC$10)&gt;=1000</formula>
    </cfRule>
  </conditionalFormatting>
  <conditionalFormatting sqref="AD4:AD11">
    <cfRule type="expression" dxfId="1119" priority="71">
      <formula>ABS(AD$7-AD$10)&gt;=1000</formula>
    </cfRule>
  </conditionalFormatting>
  <conditionalFormatting sqref="AE4:AE11">
    <cfRule type="expression" dxfId="1118" priority="70">
      <formula>ABS(AE$7-AE$10)&gt;=1000</formula>
    </cfRule>
  </conditionalFormatting>
  <conditionalFormatting sqref="D13:D20">
    <cfRule type="expression" dxfId="1117" priority="69">
      <formula>ABS(D$16-D$19)&gt;=1000</formula>
    </cfRule>
  </conditionalFormatting>
  <conditionalFormatting sqref="E13:E20">
    <cfRule type="expression" dxfId="1116" priority="68">
      <formula>ABS(E$16-E$19)&gt;=1000</formula>
    </cfRule>
  </conditionalFormatting>
  <conditionalFormatting sqref="F13 F15:F20">
    <cfRule type="expression" dxfId="1115" priority="67">
      <formula>ABS(F$16-F$19)&gt;=1000</formula>
    </cfRule>
  </conditionalFormatting>
  <conditionalFormatting sqref="G13:G20">
    <cfRule type="expression" dxfId="1114" priority="66">
      <formula>ABS(G$16-G$19)&gt;=1000</formula>
    </cfRule>
  </conditionalFormatting>
  <conditionalFormatting sqref="H13:H20">
    <cfRule type="expression" dxfId="1113" priority="65">
      <formula>ABS(H$16-H$19)&gt;=1000</formula>
    </cfRule>
  </conditionalFormatting>
  <conditionalFormatting sqref="I13:I20">
    <cfRule type="expression" dxfId="1112" priority="64">
      <formula>ABS(I$16-I$19)&gt;=1000</formula>
    </cfRule>
  </conditionalFormatting>
  <conditionalFormatting sqref="J13:J20">
    <cfRule type="expression" dxfId="1111" priority="63">
      <formula>ABS(J$16-J$19)&gt;=1000</formula>
    </cfRule>
  </conditionalFormatting>
  <conditionalFormatting sqref="L13:L20">
    <cfRule type="expression" dxfId="1110" priority="62">
      <formula>ABS(L$16-L$19)&gt;=1000</formula>
    </cfRule>
  </conditionalFormatting>
  <conditionalFormatting sqref="M13 M15 M17:M18 M20">
    <cfRule type="expression" dxfId="1109" priority="61">
      <formula>ABS(M$16-M$19)&gt;=1000</formula>
    </cfRule>
  </conditionalFormatting>
  <conditionalFormatting sqref="N13:N20">
    <cfRule type="expression" dxfId="1108" priority="60">
      <formula>ABS(N$16-N$19)&gt;=1000</formula>
    </cfRule>
  </conditionalFormatting>
  <conditionalFormatting sqref="O13:O20">
    <cfRule type="expression" dxfId="1107" priority="59">
      <formula>ABS(O$16-O$19)&gt;=1000</formula>
    </cfRule>
  </conditionalFormatting>
  <conditionalFormatting sqref="P13:P20">
    <cfRule type="expression" dxfId="1106" priority="58">
      <formula>ABS(P$16-P$19)&gt;=1000</formula>
    </cfRule>
  </conditionalFormatting>
  <conditionalFormatting sqref="Q13 Q15:Q20">
    <cfRule type="expression" dxfId="1105" priority="57">
      <formula>ABS(Q$16-Q$19)&gt;=1000</formula>
    </cfRule>
  </conditionalFormatting>
  <conditionalFormatting sqref="R13:R20">
    <cfRule type="expression" dxfId="1104" priority="56">
      <formula>ABS(R$16-R$19)&gt;=1000</formula>
    </cfRule>
  </conditionalFormatting>
  <conditionalFormatting sqref="S13:S20">
    <cfRule type="expression" dxfId="1103" priority="55">
      <formula>ABS(S$16-S$19)&gt;=1000</formula>
    </cfRule>
  </conditionalFormatting>
  <conditionalFormatting sqref="T13:T20">
    <cfRule type="expression" dxfId="1102" priority="54">
      <formula>ABS(T$16-T$19)&gt;=1000</formula>
    </cfRule>
  </conditionalFormatting>
  <conditionalFormatting sqref="U13:U20">
    <cfRule type="expression" dxfId="1101" priority="53">
      <formula>ABS(U$16-U$19)&gt;=1000</formula>
    </cfRule>
  </conditionalFormatting>
  <conditionalFormatting sqref="V13:V20">
    <cfRule type="expression" dxfId="1100" priority="52">
      <formula>ABS(V$16-V$19)&gt;=1000</formula>
    </cfRule>
  </conditionalFormatting>
  <conditionalFormatting sqref="W13 W20 W15:W18">
    <cfRule type="expression" dxfId="1099" priority="51">
      <formula>ABS(W$16-W$19)&gt;=1000</formula>
    </cfRule>
  </conditionalFormatting>
  <conditionalFormatting sqref="X13 X15:X20 Y19">
    <cfRule type="expression" dxfId="1098" priority="50">
      <formula>ABS(X$16-X$19)&gt;=1000</formula>
    </cfRule>
  </conditionalFormatting>
  <conditionalFormatting sqref="Y13 Y15:Y18 Y20">
    <cfRule type="expression" dxfId="1097" priority="49">
      <formula>ABS(Y$16-Y$19)&gt;=1000</formula>
    </cfRule>
  </conditionalFormatting>
  <conditionalFormatting sqref="Z13:Z20">
    <cfRule type="expression" dxfId="1096" priority="48">
      <formula>ABS(Z$16-Z$19)&gt;=1000</formula>
    </cfRule>
  </conditionalFormatting>
  <conditionalFormatting sqref="AA13:AA20">
    <cfRule type="expression" dxfId="1095" priority="47">
      <formula>ABS(AA$16-AA$19)&gt;=1000</formula>
    </cfRule>
  </conditionalFormatting>
  <conditionalFormatting sqref="AB13 AB15:AB20">
    <cfRule type="expression" dxfId="1094" priority="46">
      <formula>ABS(AB$16-AB$19)&gt;=1000</formula>
    </cfRule>
  </conditionalFormatting>
  <conditionalFormatting sqref="AC13 AC15:AC20">
    <cfRule type="expression" dxfId="1093" priority="45">
      <formula>ABS(AC$16-AC$19)&gt;=1000</formula>
    </cfRule>
  </conditionalFormatting>
  <conditionalFormatting sqref="AD13:AD20">
    <cfRule type="expression" dxfId="1092" priority="44">
      <formula>ABS(AD$16-AD$19)&gt;=1000</formula>
    </cfRule>
  </conditionalFormatting>
  <conditionalFormatting sqref="AE13:AE20">
    <cfRule type="expression" dxfId="1091" priority="43">
      <formula>ABS(AE$16-AE$19)&gt;=1000</formula>
    </cfRule>
  </conditionalFormatting>
  <conditionalFormatting sqref="D22:D29">
    <cfRule type="expression" dxfId="1090" priority="42">
      <formula>ABS(D$25-D$28)&gt;=1000</formula>
    </cfRule>
  </conditionalFormatting>
  <conditionalFormatting sqref="E22:E29">
    <cfRule type="expression" dxfId="1089" priority="41">
      <formula>ABS(E$25-E$28)&gt;=1000</formula>
    </cfRule>
  </conditionalFormatting>
  <conditionalFormatting sqref="F22:F29">
    <cfRule type="expression" dxfId="1088" priority="40">
      <formula>ABS(F$25-F$28)&gt;=1000</formula>
    </cfRule>
  </conditionalFormatting>
  <conditionalFormatting sqref="G22:G29">
    <cfRule type="expression" dxfId="1087" priority="39">
      <formula>ABS(G$25-G$28)&gt;=1000</formula>
    </cfRule>
  </conditionalFormatting>
  <conditionalFormatting sqref="H22:H29">
    <cfRule type="expression" dxfId="1086" priority="38">
      <formula>ABS(H$25-H$28)&gt;=1000</formula>
    </cfRule>
  </conditionalFormatting>
  <conditionalFormatting sqref="I22 I24:I29">
    <cfRule type="expression" dxfId="1085" priority="37">
      <formula>ABS(I$25-I$28)&gt;=1000</formula>
    </cfRule>
  </conditionalFormatting>
  <conditionalFormatting sqref="J22:J29 K22">
    <cfRule type="expression" dxfId="1084" priority="36">
      <formula>ABS(J$25-J$28)&gt;=1000</formula>
    </cfRule>
  </conditionalFormatting>
  <conditionalFormatting sqref="K23:K29 L25 L28">
    <cfRule type="expression" dxfId="1083" priority="35">
      <formula>ABS(K$25-K$28)&gt;=1000</formula>
    </cfRule>
  </conditionalFormatting>
  <conditionalFormatting sqref="L22 L26:L27 L29 L24">
    <cfRule type="expression" dxfId="1082" priority="34">
      <formula>ABS(L$25-L$28)&gt;=1000</formula>
    </cfRule>
  </conditionalFormatting>
  <conditionalFormatting sqref="M22:M29">
    <cfRule type="expression" dxfId="1081" priority="33">
      <formula>ABS(M$25-M$28)&gt;=1000</formula>
    </cfRule>
  </conditionalFormatting>
  <conditionalFormatting sqref="N22:N29">
    <cfRule type="expression" dxfId="1080" priority="32">
      <formula>ABS(N$25-N$28)&gt;=1000</formula>
    </cfRule>
  </conditionalFormatting>
  <conditionalFormatting sqref="O22:O29">
    <cfRule type="expression" dxfId="1079" priority="31">
      <formula>ABS(O$25-O$28)&gt;=1000</formula>
    </cfRule>
  </conditionalFormatting>
  <conditionalFormatting sqref="P22:P29">
    <cfRule type="expression" dxfId="1078" priority="30">
      <formula>ABS(P$25-P$28)&gt;=1000</formula>
    </cfRule>
  </conditionalFormatting>
  <conditionalFormatting sqref="Q22:Q29">
    <cfRule type="expression" dxfId="1077" priority="29">
      <formula>ABS(Q$25-Q$28)&gt;=1000</formula>
    </cfRule>
  </conditionalFormatting>
  <conditionalFormatting sqref="R22:R29">
    <cfRule type="expression" dxfId="1076" priority="28">
      <formula>ABS(R$25-R$28)&gt;=1000</formula>
    </cfRule>
  </conditionalFormatting>
  <conditionalFormatting sqref="S22:S29">
    <cfRule type="expression" dxfId="1075" priority="27">
      <formula>ABS(S$25-S$28)&gt;=1000</formula>
    </cfRule>
  </conditionalFormatting>
  <conditionalFormatting sqref="T22:T29">
    <cfRule type="expression" dxfId="1074" priority="26">
      <formula>ABS(T$25-T$28)&gt;=1000</formula>
    </cfRule>
  </conditionalFormatting>
  <conditionalFormatting sqref="U22:U29">
    <cfRule type="expression" dxfId="1073" priority="25">
      <formula>ABS(U$25-U$28)&gt;=1000</formula>
    </cfRule>
  </conditionalFormatting>
  <conditionalFormatting sqref="V22:V29">
    <cfRule type="expression" dxfId="1072" priority="24">
      <formula>ABS(V$25-V$28)&gt;=1000</formula>
    </cfRule>
  </conditionalFormatting>
  <conditionalFormatting sqref="W22:W29">
    <cfRule type="expression" dxfId="1071" priority="23">
      <formula>ABS(W$25-W$28)&gt;=1000</formula>
    </cfRule>
  </conditionalFormatting>
  <conditionalFormatting sqref="X22:X29">
    <cfRule type="expression" dxfId="1070" priority="22">
      <formula>ABS(X$25-X$28)&gt;=1000</formula>
    </cfRule>
  </conditionalFormatting>
  <conditionalFormatting sqref="Y22:Y29">
    <cfRule type="expression" dxfId="1069" priority="21">
      <formula>ABS(Y$25-Y$28)&gt;=1000</formula>
    </cfRule>
  </conditionalFormatting>
  <conditionalFormatting sqref="I23">
    <cfRule type="expression" dxfId="1068" priority="20">
      <formula>ABS(I$25-I$28)&gt;=1000</formula>
    </cfRule>
  </conditionalFormatting>
  <conditionalFormatting sqref="Q14">
    <cfRule type="expression" dxfId="1067" priority="19">
      <formula>ABS(Q$16-Q$19)&gt;=1000</formula>
    </cfRule>
  </conditionalFormatting>
  <conditionalFormatting sqref="W14">
    <cfRule type="expression" dxfId="1066" priority="18">
      <formula>ABS(W$16-W$19)&gt;=1000</formula>
    </cfRule>
  </conditionalFormatting>
  <conditionalFormatting sqref="Y14">
    <cfRule type="expression" dxfId="1065" priority="17">
      <formula>ABS(Y$16-Y$19)&gt;=1000</formula>
    </cfRule>
  </conditionalFormatting>
  <conditionalFormatting sqref="X14">
    <cfRule type="expression" dxfId="1064" priority="16">
      <formula>ABS(X$16-X$19)&gt;=1000</formula>
    </cfRule>
  </conditionalFormatting>
  <conditionalFormatting sqref="T10:Y10">
    <cfRule type="expression" dxfId="1063" priority="15">
      <formula>ABS(T$7-T$10)&gt;=1000</formula>
    </cfRule>
  </conditionalFormatting>
  <conditionalFormatting sqref="W19">
    <cfRule type="expression" dxfId="1062" priority="14">
      <formula>ABS(W$16-W$19)&gt;=1000</formula>
    </cfRule>
  </conditionalFormatting>
  <conditionalFormatting sqref="AC5">
    <cfRule type="expression" dxfId="1061" priority="13">
      <formula>ABS(AC$7-AC$10)&gt;=1000</formula>
    </cfRule>
  </conditionalFormatting>
  <conditionalFormatting sqref="M14">
    <cfRule type="expression" dxfId="1060" priority="12">
      <formula>ABS(M$16-M$19)&gt;=1000</formula>
    </cfRule>
  </conditionalFormatting>
  <conditionalFormatting sqref="M16">
    <cfRule type="expression" dxfId="1059" priority="11">
      <formula>ABS(M$16-M$19)&gt;=1000</formula>
    </cfRule>
  </conditionalFormatting>
  <conditionalFormatting sqref="M19">
    <cfRule type="expression" dxfId="1058" priority="10">
      <formula>ABS(M$16-M$19)&gt;=1000</formula>
    </cfRule>
  </conditionalFormatting>
  <conditionalFormatting sqref="K13:K20">
    <cfRule type="expression" dxfId="1057" priority="9">
      <formula>ABS(K$16-K$19)&gt;=1000</formula>
    </cfRule>
  </conditionalFormatting>
  <conditionalFormatting sqref="E5">
    <cfRule type="expression" dxfId="1056" priority="8">
      <formula>ABS(E$7-E$10)&gt;=1000</formula>
    </cfRule>
  </conditionalFormatting>
  <conditionalFormatting sqref="AB14:AC14">
    <cfRule type="expression" dxfId="1055" priority="7">
      <formula>ABS(AB$16-AB$19)&gt;=1000</formula>
    </cfRule>
  </conditionalFormatting>
  <conditionalFormatting sqref="M5">
    <cfRule type="expression" dxfId="1054" priority="6">
      <formula>ABS(M$7-M$10)&gt;=1000</formula>
    </cfRule>
  </conditionalFormatting>
  <conditionalFormatting sqref="N5">
    <cfRule type="expression" dxfId="1053" priority="5">
      <formula>ABS(N$7-N$10)&gt;=1000</formula>
    </cfRule>
  </conditionalFormatting>
  <conditionalFormatting sqref="O5">
    <cfRule type="expression" dxfId="1052" priority="4">
      <formula>ABS(O$7-O$10)&gt;=1000</formula>
    </cfRule>
  </conditionalFormatting>
  <conditionalFormatting sqref="P5">
    <cfRule type="expression" dxfId="1051" priority="3">
      <formula>ABS(P$7-P$10)&gt;=1000</formula>
    </cfRule>
  </conditionalFormatting>
  <conditionalFormatting sqref="L23">
    <cfRule type="expression" dxfId="1050" priority="2">
      <formula>ABS(L$25-L$28)&gt;=1000</formula>
    </cfRule>
  </conditionalFormatting>
  <conditionalFormatting sqref="F14">
    <cfRule type="expression" dxfId="1049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76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05">
    <pageSetUpPr fitToPage="1"/>
  </sheetPr>
  <dimension ref="A1:CU223"/>
  <sheetViews>
    <sheetView view="pageBreakPreview" topLeftCell="A10" zoomScale="80" zoomScaleNormal="100" zoomScaleSheetLayoutView="80" workbookViewId="0">
      <selection activeCell="W9" sqref="W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45889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3694</v>
      </c>
      <c r="E6" s="71">
        <v>8025</v>
      </c>
      <c r="F6" s="71">
        <v>6845</v>
      </c>
      <c r="G6" s="71">
        <v>7386</v>
      </c>
      <c r="H6" s="71">
        <v>8554</v>
      </c>
      <c r="I6" s="71">
        <v>40.61</v>
      </c>
      <c r="J6" s="71">
        <v>57.12</v>
      </c>
      <c r="K6" s="71">
        <v>85.31</v>
      </c>
      <c r="L6" s="71">
        <v>59.32</v>
      </c>
      <c r="M6" s="71">
        <v>2805</v>
      </c>
      <c r="N6" s="71">
        <v>6543</v>
      </c>
      <c r="O6" s="71">
        <v>5381</v>
      </c>
      <c r="P6" s="71">
        <v>2376</v>
      </c>
      <c r="Q6" s="71">
        <v>3054</v>
      </c>
      <c r="R6" s="71">
        <v>0</v>
      </c>
      <c r="S6" s="71">
        <v>0</v>
      </c>
      <c r="T6" s="71">
        <v>0</v>
      </c>
      <c r="U6" s="71">
        <v>0</v>
      </c>
      <c r="V6" s="71">
        <v>210</v>
      </c>
      <c r="W6" s="71">
        <v>7018</v>
      </c>
      <c r="X6" s="71">
        <v>6099</v>
      </c>
      <c r="Y6" s="71">
        <v>4333</v>
      </c>
      <c r="Z6" s="71">
        <v>5409</v>
      </c>
      <c r="AA6" s="71">
        <v>558</v>
      </c>
      <c r="AB6" s="71">
        <v>309</v>
      </c>
      <c r="AC6" s="71">
        <v>3657</v>
      </c>
      <c r="AD6" s="71">
        <v>4139</v>
      </c>
      <c r="AE6" s="71">
        <v>1993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115631.50662665999</v>
      </c>
      <c r="E7" s="73" ph="1">
        <f>E6*51.53*LOOKUP(E8,密度!$A$2:$A$50,密度!$B$2:$B$50)</f>
        <v>320980.62764999998</v>
      </c>
      <c r="F7" s="73" ph="1">
        <f>F6*33.183*LOOKUP(F8,密度!$A$2:$A$50,密度!$C$2:$C$50)</f>
        <v>251350.50689100003</v>
      </c>
      <c r="G7" s="73" ph="1">
        <f xml:space="preserve"> (G6+2)*51.53*LOOKUP(G8,密度!$A$2:$A$50,密度!$B$2:$B$50)</f>
        <v>295806.72828000004</v>
      </c>
      <c r="H7" s="73" ph="1">
        <f>(H6)*51.53*LOOKUP(H8,密度!$A$2:$A$50,密度!$B$2:$B$50)</f>
        <v>342888.68959800003</v>
      </c>
      <c r="I7" s="73" ph="1">
        <f>I6*290.8*1.0267</f>
        <v>12124.698659600001</v>
      </c>
      <c r="J7" s="73" ph="1">
        <f>J6*290.8*0.7892</f>
        <v>13109.003443199999</v>
      </c>
      <c r="K7" s="73" ph="1">
        <f>K6*290.8*1.1126</f>
        <v>27601.545464800001</v>
      </c>
      <c r="L7" s="73" ph="1">
        <f>L6*290.8*0.777</f>
        <v>13403.448912000002</v>
      </c>
      <c r="M7" s="73" ph="1">
        <f>M6*33.183*LOOKUP(M8,密度!$A$2:$A$50,密度!$D$2:$D$50)</f>
        <v>95126.037930000006</v>
      </c>
      <c r="N7" s="73" ph="1">
        <f>N6*33.183*LOOKUP(N8,密度!$A$2:$A$50,密度!$E$2:$E$50)</f>
        <v>169307.34454620001</v>
      </c>
      <c r="O7" s="73" ph="1">
        <f>O6*20.428*LOOKUP(O8,密度!$A$2:$A$50,密度!$C$2:$C$50)</f>
        <v>120904.38249320001</v>
      </c>
      <c r="P7" s="73" ph="1">
        <f>P6*51.53*LOOKUP(P8,密度!$A$2:$A$50,密度!$B$2:$B$50)</f>
        <v>95132.21256</v>
      </c>
      <c r="Q7" s="73" ph="1">
        <f>Q6*1.5*1.5*3.1416*LOOKUP(W8,密度!$A$2:$A$50,密度!$L$2:$L$50)</f>
        <v>20119.5541008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1384.9507980000001</v>
      </c>
      <c r="W7" s="73" ph="1">
        <f>W6*1.5*1.5*3.1416*LOOKUP(W8,密度!$A$2:$A$50,密度!$L$2:$L$50)</f>
        <v>46234.129233600004</v>
      </c>
      <c r="X7" s="73" ph="1">
        <f>X6*1.5*1.5*3.1416*LOOKUP(X8,密度!$A$2:$A$50,密度!$L$2:$L$50)</f>
        <v>40610.930698799995</v>
      </c>
      <c r="Y7" s="73" ph="1">
        <f>Y6*1.5*1.5*3.1416*LOOKUP(Y8,密度!$A$2:$A$50,密度!$L$2:$L$50)</f>
        <v>28606.7797092</v>
      </c>
      <c r="Z7" s="73" ph="1">
        <f>Z6*33.183*LOOKUP(Z8,密度!$A$2:$A$50,密度!$L$2:$L$50)</f>
        <v>167820.20194500001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6492.7824072000003</v>
      </c>
      <c r="AC7" s="73" ph="1">
        <f>AC6*51.53*LOOKUP(AC8,密度!$A$2:$A$50,密度!$Q$2:$Q$50)</f>
        <v>178141.02591719999</v>
      </c>
      <c r="AD7" s="73" ph="1">
        <f>AD6*20.428*LOOKUP(AD8,密度!$A$2:$A$50,密度!$V$2:$V$50)</f>
        <v>80966.508739199999</v>
      </c>
      <c r="AE7" s="73" ph="1">
        <f>AE6*20.428</f>
        <v>40713.004000000001</v>
      </c>
    </row>
    <row r="8" spans="1:99" ph="1">
      <c r="B8" s="233" ph="1"/>
      <c r="C8" s="68" t="s" ph="1">
        <v>180</v>
      </c>
      <c r="D8" s="74">
        <v>30</v>
      </c>
      <c r="E8" s="74">
        <v>29</v>
      </c>
      <c r="F8" s="74">
        <v>28</v>
      </c>
      <c r="G8" s="74">
        <v>28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28</v>
      </c>
      <c r="O8" s="74">
        <v>35</v>
      </c>
      <c r="P8" s="74">
        <v>28</v>
      </c>
      <c r="Q8" s="74">
        <v>29</v>
      </c>
      <c r="R8" s="74">
        <v>34</v>
      </c>
      <c r="S8" s="74">
        <v>324</v>
      </c>
      <c r="T8" s="74">
        <v>24</v>
      </c>
      <c r="U8" s="74">
        <v>28</v>
      </c>
      <c r="V8" s="74">
        <v>29</v>
      </c>
      <c r="W8" s="74">
        <v>30</v>
      </c>
      <c r="X8" s="74">
        <v>20</v>
      </c>
      <c r="Y8" s="74">
        <v>28</v>
      </c>
      <c r="Z8" s="74">
        <v>27</v>
      </c>
      <c r="AA8" s="74">
        <v>28</v>
      </c>
      <c r="AB8" s="74">
        <v>23</v>
      </c>
      <c r="AC8" s="74">
        <v>27</v>
      </c>
      <c r="AD8" s="74">
        <v>28</v>
      </c>
      <c r="AE8" s="74">
        <v>30</v>
      </c>
    </row>
    <row r="9" spans="1:99" ht="26.4" ph="1">
      <c r="B9" s="233" ph="1">
        <v>0.66666666666666663</v>
      </c>
      <c r="C9" s="150" t="s" ph="1">
        <v>181</v>
      </c>
      <c r="D9" s="71">
        <v>2828</v>
      </c>
      <c r="E9" s="71">
        <v>8001</v>
      </c>
      <c r="F9" s="71">
        <v>6849</v>
      </c>
      <c r="G9" s="71">
        <v>8471</v>
      </c>
      <c r="H9" s="71">
        <v>8768</v>
      </c>
      <c r="I9" s="71">
        <v>40.61</v>
      </c>
      <c r="J9" s="71">
        <v>57.21</v>
      </c>
      <c r="K9" s="71">
        <v>85.22</v>
      </c>
      <c r="L9" s="71">
        <v>7.81</v>
      </c>
      <c r="M9" s="71">
        <v>2804</v>
      </c>
      <c r="N9" s="71">
        <v>6549</v>
      </c>
      <c r="O9" s="71">
        <v>5383</v>
      </c>
      <c r="P9" s="71">
        <v>2539</v>
      </c>
      <c r="Q9" s="71">
        <v>5926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3727</v>
      </c>
      <c r="X9" s="71">
        <v>6106</v>
      </c>
      <c r="Y9" s="71">
        <v>6785</v>
      </c>
      <c r="Z9" s="71">
        <v>3989</v>
      </c>
      <c r="AA9" s="71">
        <v>556</v>
      </c>
      <c r="AB9" s="71">
        <v>308</v>
      </c>
      <c r="AC9" s="71">
        <v>3918</v>
      </c>
      <c r="AD9" s="71">
        <v>4127</v>
      </c>
      <c r="AE9" s="71">
        <v>2000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88389.331455599997</v>
      </c>
      <c r="E10" s="73" ph="1">
        <f>E9*51.53*LOOKUP(E11,密度!$A$2:$A$50,密度!$B$2:$B$50)</f>
        <v>318907.49845499999</v>
      </c>
      <c r="F10" s="73" ph="1">
        <f>F9*33.183*LOOKUP(F11,密度!$A$2:$A$50,密度!$C$2:$C$50)</f>
        <v>251156.48257170001</v>
      </c>
      <c r="G10" s="73" ph="1">
        <f xml:space="preserve"> (G9+2)*51.53*LOOKUP(G11,密度!$A$2:$A$50,密度!$B$2:$B$50)</f>
        <v>337720.68921499996</v>
      </c>
      <c r="H10" s="73" ph="1">
        <f>(H9)*51.53*LOOKUP(H11,密度!$A$2:$A$50,密度!$B$2:$B$50)</f>
        <v>349117.48140800005</v>
      </c>
      <c r="I10" s="73" ph="1">
        <f>I9*290.8*1.0267</f>
        <v>12124.698659600001</v>
      </c>
      <c r="J10" s="73" ph="1">
        <f>J9*290.8*0.7892</f>
        <v>13129.658385600002</v>
      </c>
      <c r="K10" s="73" ph="1">
        <f>K9*290.8*1.1126</f>
        <v>27572.426497600005</v>
      </c>
      <c r="L10" s="73" ph="1">
        <f>L9*290.8*0.777</f>
        <v>1764.6819960000003</v>
      </c>
      <c r="M10" s="73" ph="1">
        <f>M9*33.183*LOOKUP(M11,密度!$A$2:$A$50,密度!$D$2:$D$50)</f>
        <v>94682.726323199997</v>
      </c>
      <c r="N10" s="73" ph="1">
        <f>N9*33.183*LOOKUP(N11,密度!$A$2:$A$50,密度!$E$2:$E$50)</f>
        <v>168243.46139673001</v>
      </c>
      <c r="O10" s="73" ph="1">
        <f>O9*20.428*LOOKUP(O11,密度!$A$2:$A$50,密度!$C$2:$C$50)</f>
        <v>120828.35969119999</v>
      </c>
      <c r="P10" s="73" ph="1">
        <f>P9*51.53*LOOKUP(P11,密度!$A$2:$A$50,密度!$B$2:$B$50)</f>
        <v>101095.94950900001</v>
      </c>
      <c r="Q10" s="73" ph="1">
        <f>Q9*1.5*1.5*3.1416*LOOKUP(W11,密度!$A$2:$A$50,密度!$L$2:$L$50)</f>
        <v>38998.2154716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24526.889818200001</v>
      </c>
      <c r="X10" s="73" ph="1">
        <f>X9*1.5*1.5*3.1416*LOOKUP(X11,密度!$A$2:$A$50,密度!$L$2:$L$50)</f>
        <v>40571.219303999998</v>
      </c>
      <c r="Y10" s="73" ph="1">
        <f>Y9*1.5*1.5*3.1416*LOOKUP(Y11,密度!$A$2:$A$50,密度!$L$2:$L$50)</f>
        <v>44699.140332000003</v>
      </c>
      <c r="Z10" s="73" ph="1">
        <f>Z9*33.183*LOOKUP(Z11,密度!$A$2:$A$50,密度!$L$2:$L$50)</f>
        <v>123233.664897</v>
      </c>
      <c r="AA10" s="73" ph="1">
        <f>AA9*33.183*LOOKUP(AA11,密度!$A$2:$A$50,密度!$D$2:$D$50)</f>
        <v>18822.4329096</v>
      </c>
      <c r="AB10" s="73" ph="1">
        <f>AB9*20.428*LOOKUP(AB11,密度!$A$2:$A$50,密度!$D$2:$D$50)</f>
        <v>6435.9067696000002</v>
      </c>
      <c r="AC10" s="73" ph="1">
        <f>AC9*51.53*LOOKUP(AC11,密度!$A$2:$A$50,密度!$Q$2:$Q$50)</f>
        <v>190164.46722600001</v>
      </c>
      <c r="AD10" s="73" ph="1">
        <f>AD9*20.428*LOOKUP(AD11,密度!$A$2:$A$50,密度!$V$2:$V$50)</f>
        <v>80731.766505599997</v>
      </c>
      <c r="AE10" s="73" ph="1">
        <f>AE9*20.428</f>
        <v>40856</v>
      </c>
    </row>
    <row r="11" spans="1:99" ph="1">
      <c r="A11" s="64" t="s" ph="1">
        <v>163</v>
      </c>
      <c r="B11" s="233" ph="1"/>
      <c r="C11" s="150" t="s" ph="1">
        <v>180</v>
      </c>
      <c r="D11" s="74">
        <v>32</v>
      </c>
      <c r="E11" s="74">
        <v>32</v>
      </c>
      <c r="F11" s="74">
        <v>30</v>
      </c>
      <c r="G11" s="74">
        <v>32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35</v>
      </c>
      <c r="N11" s="74">
        <v>33</v>
      </c>
      <c r="O11" s="74">
        <v>36</v>
      </c>
      <c r="P11" s="74">
        <v>33</v>
      </c>
      <c r="Q11" s="74">
        <v>30</v>
      </c>
      <c r="R11" s="74">
        <v>39</v>
      </c>
      <c r="S11" s="74">
        <v>30</v>
      </c>
      <c r="T11" s="74">
        <v>34</v>
      </c>
      <c r="U11" s="74">
        <v>34</v>
      </c>
      <c r="V11" s="74">
        <v>29</v>
      </c>
      <c r="W11" s="74">
        <v>31</v>
      </c>
      <c r="X11" s="74">
        <v>22</v>
      </c>
      <c r="Y11" s="74">
        <v>30</v>
      </c>
      <c r="Z11" s="74">
        <v>31</v>
      </c>
      <c r="AA11" s="74">
        <v>32</v>
      </c>
      <c r="AB11" s="74">
        <v>29</v>
      </c>
      <c r="AC11" s="74">
        <v>32</v>
      </c>
      <c r="AD11" s="74">
        <v>31</v>
      </c>
      <c r="AE11" s="74">
        <v>33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4818</v>
      </c>
      <c r="E15" s="78">
        <v>2240</v>
      </c>
      <c r="F15" s="78">
        <v>3386</v>
      </c>
      <c r="G15" s="78">
        <v>1607</v>
      </c>
      <c r="H15" s="78">
        <v>0</v>
      </c>
      <c r="I15" s="78">
        <v>3933</v>
      </c>
      <c r="J15" s="78">
        <v>3837</v>
      </c>
      <c r="K15" s="78">
        <v>3108</v>
      </c>
      <c r="L15" s="78">
        <v>5169</v>
      </c>
      <c r="M15" s="78">
        <v>4967</v>
      </c>
      <c r="N15" s="78">
        <v>4903</v>
      </c>
      <c r="O15" s="78">
        <v>1329</v>
      </c>
      <c r="P15" s="78">
        <v>5237</v>
      </c>
      <c r="Q15" s="78">
        <v>2757</v>
      </c>
      <c r="R15" s="78">
        <v>0</v>
      </c>
      <c r="S15" s="78">
        <v>1658</v>
      </c>
      <c r="T15" s="78">
        <v>5329</v>
      </c>
      <c r="U15" s="78">
        <v>1446</v>
      </c>
      <c r="V15" s="78">
        <v>-141</v>
      </c>
      <c r="W15" s="71">
        <v>771</v>
      </c>
      <c r="X15" s="78">
        <v>-261</v>
      </c>
      <c r="Y15" s="106">
        <v>-9908</v>
      </c>
      <c r="Z15" s="78">
        <v>0</v>
      </c>
      <c r="AA15" s="78">
        <v>6145</v>
      </c>
      <c r="AB15" s="78" ph="1">
        <v>358</v>
      </c>
      <c r="AC15" s="78" ph="1">
        <v>777</v>
      </c>
      <c r="AD15" s="78">
        <v>5.81</v>
      </c>
      <c r="AE15" s="78">
        <v>35.72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31910.954367599999</v>
      </c>
      <c r="E16" s="73" ph="1">
        <f>E15*7.0686*LOOKUP(E17,密度!$A$2:$A$50,密度!$L$2:$L$50)</f>
        <v>14836.143168000002</v>
      </c>
      <c r="F16" s="73" ph="1">
        <f>F15*9.0746*LOOKUP(F17,密度!$A$2:$A$50,密度!$L$2:$L$50)</f>
        <v>28637.1870992</v>
      </c>
      <c r="G16" s="73" ph="1">
        <f>G15*9.0746*LOOKUP(G17,密度!$A$2:$A$50,密度!$B$2:$B$50)</f>
        <v>11319.233163639999</v>
      </c>
      <c r="H16" s="73" ph="1">
        <f>H15*9.0746*LOOKUP(H17,密度!$A$2:$A$50,密度!$L$2:$L$50)</f>
        <v>0</v>
      </c>
      <c r="I16" s="73" ph="1">
        <f>I15*9.0746*LOOKUP(I17,密度!$A$2:$A$50,密度!$U$2:$U$50)</f>
        <v>36475.590639599999</v>
      </c>
      <c r="J16" s="73" ph="1">
        <f>J15*9.0746*LOOKUP(J17,密度!$A$2:$A$50,密度!$L$2:$L$50)</f>
        <v>32451.531866400001</v>
      </c>
      <c r="K16" s="73" ph="1">
        <f>K15*9.0746*LOOKUP(K17,密度!$A$2:$A$50,密度!$C$2:$C$50)</f>
        <v>31168.082149680002</v>
      </c>
      <c r="L16" s="73" ph="1">
        <f>L15*9.0746*LOOKUP(L17,密度!$A$2:$A$50,密度!$E$2:$E$50)</f>
        <v>36420.635315729996</v>
      </c>
      <c r="M16" s="73" ph="1">
        <f>M15*9.0746*LOOKUP(M17,密度!$A$2:$A$50,密度!$M$2:$M$50)</f>
        <v>39115.717920724004</v>
      </c>
      <c r="N16" s="73" ph="1">
        <f>N15*9.0746*LOOKUP(N17,密度!$A$2:$A$50,密度!$M$2:$M$50)</f>
        <v>38797.690033600004</v>
      </c>
      <c r="O16" s="73" ph="1">
        <f>O15*9.0746*LOOKUP(O17,密度!$A$2:$A$50,密度!$G$2:$G$50)</f>
        <v>11513.81890398</v>
      </c>
      <c r="P16" s="73" ph="1">
        <f ca="1">P15*9.0746*LOOKUP(P17,密度!$A$2:$A$51,密度!$Q$2:$Q$50)</f>
        <v>44794.870482915998</v>
      </c>
      <c r="Q16" s="73" ph="1">
        <f>Q15*9.0746*LOOKUP(Q17,密度!$A$2:$A$50,密度!$Q$2:$Q$50)</f>
        <v>23686.177718628001</v>
      </c>
      <c r="R16" s="73" ph="1">
        <f>MAX(R15*9.0746*LOOKUP(R17,密度!$A$2:$A$50,密度!$B$2:$B$50),0)</f>
        <v>0</v>
      </c>
      <c r="S16" s="73" ph="1">
        <f>S15*9.0746*LOOKUP(S17,密度!$A$2:$A$50,密度!$Q$2:$Q$50)</f>
        <v>14181.763463943998</v>
      </c>
      <c r="T16" s="73" ph="1">
        <f>T15*9.0746*LOOKUP(T17,密度!$A$2:$A$50,密度!$O$2:$O$50)</f>
        <v>44586.577014800001</v>
      </c>
      <c r="U16" s="73" ph="1">
        <f>U15*9.0746*LOOKUP(U17,密度!$A$2:$A$50,密度!$H$2:$H$50)</f>
        <v>11967.146899200001</v>
      </c>
      <c r="V16" s="73" ph="1">
        <f>MAX(5600*LOOKUP(V17,密度!$A$2:$A$50,密度!$Q$2:$Q$50)+V15*9.0476*LOOKUP(V17,密度!$A$2:$A$50,密度!$Q$2:$Q$50),0)</f>
        <v>4081.8255494119999</v>
      </c>
      <c r="W16" s="73" ph="1">
        <f>MAX(5600*LOOKUP(W17,密度!$A$2:$A$50,密度!$Q$2:$Q$50)+W15*9.0476*LOOKUP(W17,密度!$A$2:$A$50,密度!$Q$2:$Q$50),0)</f>
        <v>11870.580123427999</v>
      </c>
      <c r="X16" s="73" ph="1">
        <f>MAX(5600*LOOKUP(X17,密度!$A$2:$A$50,密度!$I$2:$I$50)+X15*9.0476*LOOKUP(X17,密度!$A$2:$A$50,密度!$I$2:$I$50),0)</f>
        <v>3357.1082962400005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43233.377200100003</v>
      </c>
      <c r="AB16" s="73" ph="1">
        <f>AB15*9.0746*LOOKUP(AB17,密度!$A$2:$A$50,密度!$L$2:$L$50)</f>
        <v>3034.2921512000003</v>
      </c>
      <c r="AC16" s="73" ph="1">
        <f>AC15*9.0746*LOOKUP(AC17,密度!$A$2:$A$50,密度!$L$2:$L$50)</f>
        <v>6585.6005628000003</v>
      </c>
      <c r="AD16" s="73" ph="1">
        <f>AD15*268.68*LOOKUP(AD17,密度!$A$2:$A$50,密度!B2:B50)+IF(AD15&lt;=0,0,1566*LOOKUP(AD17,密度!$A$2:$A$50,密度!B2:B50))</f>
        <v>2437.8332116799997</v>
      </c>
      <c r="AE16" s="73" ph="1">
        <f>AE15*268.68*LOOKUP(AE17,密度!$A$2:$A$50,密度!B2:B50)+IF(AE15&lt;=0,0,1566*LOOKUP(AE17,密度!$A$2:$A$50,密度!B2:B50))</f>
        <v>8702.8693881599993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25</v>
      </c>
      <c r="E17" s="74">
        <v>25</v>
      </c>
      <c r="F17" s="74">
        <v>30</v>
      </c>
      <c r="G17" s="74">
        <v>29</v>
      </c>
      <c r="H17" s="74">
        <v>25</v>
      </c>
      <c r="I17" s="74">
        <v>28</v>
      </c>
      <c r="J17" s="74">
        <v>30</v>
      </c>
      <c r="K17" s="74">
        <v>30</v>
      </c>
      <c r="L17" s="74">
        <v>31</v>
      </c>
      <c r="M17" s="74">
        <v>32</v>
      </c>
      <c r="N17" s="74">
        <v>28</v>
      </c>
      <c r="O17" s="74">
        <v>30</v>
      </c>
      <c r="P17" s="74">
        <v>31</v>
      </c>
      <c r="Q17" s="74">
        <v>25</v>
      </c>
      <c r="R17" s="74">
        <v>30</v>
      </c>
      <c r="S17" s="74">
        <v>31</v>
      </c>
      <c r="T17" s="74">
        <v>30</v>
      </c>
      <c r="U17" s="74">
        <v>28</v>
      </c>
      <c r="V17" s="74">
        <v>29</v>
      </c>
      <c r="W17" s="74">
        <v>29</v>
      </c>
      <c r="X17" s="74">
        <v>30</v>
      </c>
      <c r="Y17" s="108">
        <v>30</v>
      </c>
      <c r="Z17" s="74">
        <v>29</v>
      </c>
      <c r="AA17" s="74">
        <v>30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1741</v>
      </c>
      <c r="E18" s="71">
        <v>3608</v>
      </c>
      <c r="F18" s="71">
        <v>3389</v>
      </c>
      <c r="G18" s="71">
        <v>1712</v>
      </c>
      <c r="H18" s="71">
        <v>0</v>
      </c>
      <c r="I18" s="71">
        <v>3936</v>
      </c>
      <c r="J18" s="71">
        <v>4194</v>
      </c>
      <c r="K18" s="71">
        <v>3109</v>
      </c>
      <c r="L18" s="71">
        <v>3831</v>
      </c>
      <c r="M18" s="71">
        <v>6997</v>
      </c>
      <c r="N18" s="71">
        <v>3621</v>
      </c>
      <c r="O18" s="71">
        <v>1330</v>
      </c>
      <c r="P18" s="71">
        <v>6999</v>
      </c>
      <c r="Q18" s="71">
        <v>3578</v>
      </c>
      <c r="R18" s="71">
        <v>0</v>
      </c>
      <c r="S18" s="71">
        <v>1660</v>
      </c>
      <c r="T18" s="71">
        <v>5059</v>
      </c>
      <c r="U18" s="71">
        <v>1447</v>
      </c>
      <c r="V18" s="71">
        <v>-142</v>
      </c>
      <c r="W18" s="71">
        <v>768</v>
      </c>
      <c r="X18" s="71">
        <v>-264</v>
      </c>
      <c r="Y18" s="109">
        <v>-9908</v>
      </c>
      <c r="Z18" s="71">
        <v>0</v>
      </c>
      <c r="AA18" s="71">
        <v>6151</v>
      </c>
      <c r="AB18" s="71">
        <v>356</v>
      </c>
      <c r="AC18" s="71">
        <v>775</v>
      </c>
      <c r="AD18" s="71">
        <v>5.71</v>
      </c>
      <c r="AE18" s="71">
        <v>70.709999999999994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11395.756587600001</v>
      </c>
      <c r="E19" s="73" ph="1">
        <f>E18*7.0686*LOOKUP(E20,密度!$A$2:$A$50,密度!$L$2:$L$50)</f>
        <v>23616.249148800001</v>
      </c>
      <c r="F19" s="73" ph="1">
        <f>F18*9.0746*LOOKUP(F20,密度!$A$2:$A$50,密度!$L$2:$L$50)</f>
        <v>28570.298222600002</v>
      </c>
      <c r="G19" s="73" ph="1">
        <f>G18*9.0746*LOOKUP(G20,密度!$A$2:$A$50,密度!$B$2:$B$50)</f>
        <v>12044.839994559999</v>
      </c>
      <c r="H19" s="73" ph="1">
        <f>H18*9.0746*LOOKUP(H20,密度!$A$2:$A$50,密度!$L$2:$L$50)</f>
        <v>0</v>
      </c>
      <c r="I19" s="73" ph="1">
        <f>I18*9.0746*LOOKUP(I20,密度!$A$2:$A$50,密度!$U$2:$U$50)</f>
        <v>36253.389983999994</v>
      </c>
      <c r="J19" s="73" ph="1">
        <f>J18*9.0746*LOOKUP(J20,密度!$A$2:$A$50,密度!$L$2:$L$50)</f>
        <v>35280.574714800001</v>
      </c>
      <c r="K19" s="73" ph="1">
        <f>K18*9.0746*LOOKUP(K20,密度!$A$2:$A$50,密度!$C$2:$C$50)</f>
        <v>31118.863334199999</v>
      </c>
      <c r="L19" s="73" ph="1">
        <f>L18*9.0746*LOOKUP(L20,密度!$A$2:$A$50,密度!$E$2:$E$50)</f>
        <v>26953.838998632</v>
      </c>
      <c r="M19" s="73" ph="1">
        <f>M18*9.0746*LOOKUP(M20,密度!$A$2:$A$50,密度!$M$2:$M$50)</f>
        <v>54968.870795864008</v>
      </c>
      <c r="N19" s="73" ph="1">
        <f>N18*9.0746*LOOKUP(N20,密度!$A$2:$A$50,密度!$M$2:$M$50)</f>
        <v>28620.299268600003</v>
      </c>
      <c r="O19" s="73" ph="1">
        <f>O18*9.0746*LOOKUP(O20,密度!$A$2:$A$50,密度!$G$2:$G$50)</f>
        <v>11484.70577226</v>
      </c>
      <c r="P19" s="73" ph="1">
        <f ca="1">P18*9.0746*LOOKUP(P20,密度!$A$2:$A$51,密度!$Q$2:$Q$50)</f>
        <v>59781.729282750006</v>
      </c>
      <c r="Q19" s="73" ph="1">
        <f>Q18*9.0746*LOOKUP(Q20,密度!$A$2:$A$50,密度!$Q$2:$Q$50)</f>
        <v>30498.055428840002</v>
      </c>
      <c r="R19" s="73" ph="1">
        <f>MAX(R18*9.0746*LOOKUP(R20,密度!$A$2:$A$50,密度!$B$2:$B$50),0)</f>
        <v>0</v>
      </c>
      <c r="S19" s="73" ph="1">
        <f>S18*9.0746*LOOKUP(S20,密度!$A$2:$A$50,密度!$Q$2:$Q$50)</f>
        <v>14168.893503240002</v>
      </c>
      <c r="T19" s="73" ph="1">
        <f>T18*9.0746*LOOKUP(T20,密度!$A$2:$A$50,密度!$O$2:$O$50)</f>
        <v>42290.819369680001</v>
      </c>
      <c r="U19" s="73" ph="1">
        <f>U18*9.0746*LOOKUP(U20,密度!$A$2:$A$50,密度!$H$2:$H$50)</f>
        <v>11923.949625296</v>
      </c>
      <c r="V19" s="73" ph="1">
        <f>MAX(5600*LOOKUP(V20,密度!$A$2:$A$50,密度!$Q$2:$Q$50)+V18*9.0476*LOOKUP(V20,密度!$A$2:$A$50,密度!$Q$2:$Q$50),0)</f>
        <v>4064.5253095199996</v>
      </c>
      <c r="W19" s="73" ph="1">
        <f>MAX(5600*LOOKUP(W20,密度!$A$2:$A$50,密度!$Q$2:$Q$50)+W18*9.0476*LOOKUP(W20,密度!$A$2:$A$50,密度!$Q$2:$Q$50),0)</f>
        <v>11819.48564992</v>
      </c>
      <c r="X19" s="73" ph="1">
        <f>MAX(5600*LOOKUP(X20,密度!$A$2:$A$50,密度!$I$2:$I$50)+X18*9.0476*LOOKUP(X20,密度!$A$2:$A$50,密度!$I$2:$I$50),0)</f>
        <v>3314.7775332480005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43175.118268099999</v>
      </c>
      <c r="AB19" s="73" ph="1">
        <f>AB18*9.0746*LOOKUP(AB20,密度!$A$2:$A$50,密度!$L$2:$L$50)</f>
        <v>2985.0352224000003</v>
      </c>
      <c r="AC19" s="73" ph="1">
        <f>AC18*9.0746*LOOKUP(AC20,密度!$A$2:$A$50,密度!$L$2:$L$50)</f>
        <v>6512.3866900000012</v>
      </c>
      <c r="AD19" s="73" ph="1">
        <f>AD18*268.68*LOOKUP(AD20,密度!$A$2:$A$50,密度!B5:B53)+IF(AD18&lt;=0,0,1566*LOOKUP(AD20,密度!$A$2:$A$50,密度!B5:B53))</f>
        <v>2408.8264956000003</v>
      </c>
      <c r="AE19" s="73" ph="1">
        <f>AE18*268.68*LOOKUP(AE20,密度!$A$2:$A$50,密度!B5:B53)+IF(AE18&lt;=0,0,1566*LOOKUP(AE20,密度!$A$2:$A$50,密度!B5:B53))</f>
        <v>15978.509895599998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36</v>
      </c>
      <c r="E20" s="81">
        <v>36</v>
      </c>
      <c r="F20" s="81">
        <v>33</v>
      </c>
      <c r="G20" s="81">
        <v>30</v>
      </c>
      <c r="H20" s="81">
        <v>29</v>
      </c>
      <c r="I20" s="81">
        <v>35</v>
      </c>
      <c r="J20" s="81">
        <v>35</v>
      </c>
      <c r="K20" s="81">
        <v>32</v>
      </c>
      <c r="L20" s="81">
        <v>32</v>
      </c>
      <c r="M20" s="81">
        <v>34</v>
      </c>
      <c r="N20" s="81">
        <v>29</v>
      </c>
      <c r="O20" s="81">
        <v>33</v>
      </c>
      <c r="P20" s="81">
        <v>33</v>
      </c>
      <c r="Q20" s="81">
        <v>36</v>
      </c>
      <c r="R20" s="81">
        <v>35</v>
      </c>
      <c r="S20" s="81">
        <v>34</v>
      </c>
      <c r="T20" s="81">
        <v>33</v>
      </c>
      <c r="U20" s="81">
        <v>32</v>
      </c>
      <c r="V20" s="81">
        <v>32</v>
      </c>
      <c r="W20" s="81">
        <v>32</v>
      </c>
      <c r="X20" s="81">
        <v>34</v>
      </c>
      <c r="Y20" s="110">
        <v>34</v>
      </c>
      <c r="Z20" s="81">
        <v>35</v>
      </c>
      <c r="AA20" s="81">
        <v>32</v>
      </c>
      <c r="AB20" s="81">
        <v>38</v>
      </c>
      <c r="AC20" s="81">
        <v>36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85.62</v>
      </c>
      <c r="E24" s="71">
        <v>55.23</v>
      </c>
      <c r="F24" s="71">
        <v>3758</v>
      </c>
      <c r="G24" s="71">
        <v>1442</v>
      </c>
      <c r="H24" s="71">
        <v>3742</v>
      </c>
      <c r="I24" s="71">
        <v>3293</v>
      </c>
      <c r="J24" s="71">
        <v>421</v>
      </c>
      <c r="K24" s="71">
        <v>4927</v>
      </c>
      <c r="L24" s="71">
        <v>5619</v>
      </c>
      <c r="M24" s="71">
        <v>1917</v>
      </c>
      <c r="N24" s="71">
        <v>548</v>
      </c>
      <c r="O24" s="71">
        <v>4324</v>
      </c>
      <c r="P24" s="71">
        <v>969</v>
      </c>
      <c r="Q24" s="90">
        <v>5416</v>
      </c>
      <c r="R24" s="71">
        <v>1377</v>
      </c>
      <c r="S24" s="71">
        <v>7047</v>
      </c>
      <c r="T24" s="71">
        <v>1699</v>
      </c>
      <c r="U24" s="71">
        <v>6312</v>
      </c>
      <c r="V24" s="71">
        <v>11814</v>
      </c>
      <c r="W24" s="71">
        <v>11737</v>
      </c>
      <c r="X24" s="71">
        <v>4882</v>
      </c>
      <c r="Y24" s="71">
        <v>3090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23261.763075984003</v>
      </c>
      <c r="E25" s="91" ph="1">
        <f>E24*268.68*LOOKUP(E26,密度!$A$2:$A$50,密度!$C$2:$C$50)+IF(E24&lt;=0,0,1566*LOOKUP(E26,密度!$A$2:$A$50,密度!$C$2:$C$50))</f>
        <v>18191.722287960001</v>
      </c>
      <c r="F25" s="91" ph="1">
        <f>F24*11.702*LOOKUP(F26,密度!$A$2:$A$50,密度!$Q$2:$Q$50)</f>
        <v>41510.375175880006</v>
      </c>
      <c r="G25" s="91" ph="1">
        <f>G24*18.322*LOOKUP(G26,密度!$A$2:$A$50,密度!$B$2:$B$50)</f>
        <v>20483.677197199999</v>
      </c>
      <c r="H25" s="91" ph="1">
        <f>H24*18.322*LOOKUP(H26,密度!$A$2:$A$50,密度!$B$2:$B$50)</f>
        <v>53271.837948</v>
      </c>
      <c r="I25" s="91" ph="1">
        <f>I24*18.322*LOOKUP(I26,密度!$A$2:$A$50,密度!$Q$2:$Q$50)</f>
        <v>56993.029918519998</v>
      </c>
      <c r="J25" s="91" ph="1">
        <f>J24*18.322*LOOKUP(J26,密度!$A$2:$A$50,密度!$Q$2:$Q$50)</f>
        <v>7281.0625786600003</v>
      </c>
      <c r="K25" s="91" ph="1">
        <f>K24*18.322*LOOKUP(K26,密度!$A$2:$A$50,密度!$Q$2:$Q$50)</f>
        <v>85210.915261419999</v>
      </c>
      <c r="L25" s="91" ph="1">
        <f>L24*18.322*LOOKUP(L26,密度!$A$2:$A$50,密度!$Q$2:$Q$50)</f>
        <v>97249.874009160005</v>
      </c>
      <c r="M25" s="91" ph="1">
        <f>M24*18.322*LOOKUP(M26,密度!$A$2:$A$50,密度!$Q$2:$Q$50)</f>
        <v>33132.83806242</v>
      </c>
      <c r="N25" s="91" ph="1">
        <f>N24*18.322*LOOKUP(N26,密度!$A$2:$A$50,密度!$Q$2:$Q$50)</f>
        <v>9471.4633584799994</v>
      </c>
      <c r="O25" s="91" ph="1">
        <f>O24*18.322*LOOKUP(O26,密度!$A$2:$A$50,密度!$C$2:$C$50)</f>
        <v>87614.1843352</v>
      </c>
      <c r="P25" s="91" ph="1">
        <f>P24*11.702*LOOKUP(P26,密度!$A$2:$A$50,密度!$B$2:$B$50)</f>
        <v>8801.5165355999998</v>
      </c>
      <c r="Q25" s="92" ph="1">
        <f>Q24*18.322*LOOKUP(Q26,密度!$A$2:$A$50,密度!$B$2:$B$50)</f>
        <v>76934.532385599989</v>
      </c>
      <c r="R25" s="91" ph="1">
        <f>R24*35.891*LOOKUP(R26,密度!$A$2:$A$50,密度!$C$2:$C$50)</f>
        <v>54690.282286200003</v>
      </c>
      <c r="S25" s="91" ph="1">
        <f>S24*35.891*LOOKUP(S26,密度!$A$2:$A$50,密度!$B$2:$B$50)</f>
        <v>196521.85242899999</v>
      </c>
      <c r="T25" s="91" ph="1">
        <f>T24*35.891*LOOKUP(T26,密度!$A$2:$A$50,密度!$Q$2:$Q$50)</f>
        <v>57601.802557579998</v>
      </c>
      <c r="U25" s="91" ph="1">
        <f>U24*35.891</f>
        <v>226543.992</v>
      </c>
      <c r="V25" s="91" ph="1">
        <f>V24*47.051*LOOKUP(V26,密度!$A$2:$A$50,密度!$B$2:$B$50)</f>
        <v>430458.38204159995</v>
      </c>
      <c r="W25" s="91" ph="1">
        <f>W24*47.051*LOOKUP(W26,密度!$A$2:$A$50,密度!$B$2:$B$50)</f>
        <v>428149.80120110005</v>
      </c>
      <c r="X25" s="91" ph="1">
        <f>X24*47.051*LOOKUP(X26,密度!$A$2:$A$50,密度!$I$2:$I$50)</f>
        <v>238110.1111412</v>
      </c>
      <c r="Y25" s="91" ph="1">
        <f>Y24*47.051*LOOKUP(Y26,密度!$A$2:$A$50,密度!$L$2:$L$50)</f>
        <v>135501.23388000001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29</v>
      </c>
      <c r="G26" s="74">
        <v>30</v>
      </c>
      <c r="H26" s="74">
        <v>28</v>
      </c>
      <c r="I26" s="74">
        <v>28</v>
      </c>
      <c r="J26" s="74">
        <v>29</v>
      </c>
      <c r="K26" s="74">
        <v>29</v>
      </c>
      <c r="L26" s="74">
        <v>28</v>
      </c>
      <c r="M26" s="74">
        <v>30</v>
      </c>
      <c r="N26" s="74">
        <v>30</v>
      </c>
      <c r="O26" s="74">
        <v>29</v>
      </c>
      <c r="P26" s="74">
        <v>29</v>
      </c>
      <c r="Q26" s="93">
        <v>30</v>
      </c>
      <c r="R26" s="74">
        <v>28</v>
      </c>
      <c r="S26" s="74">
        <v>28</v>
      </c>
      <c r="T26" s="74">
        <v>28</v>
      </c>
      <c r="U26" s="74">
        <v>29</v>
      </c>
      <c r="V26" s="74">
        <v>31</v>
      </c>
      <c r="W26" s="74">
        <v>30</v>
      </c>
      <c r="X26" s="74">
        <v>30</v>
      </c>
      <c r="Y26" s="74">
        <v>30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85.72</v>
      </c>
      <c r="E27" s="71">
        <v>55.21</v>
      </c>
      <c r="F27" s="71">
        <v>3759</v>
      </c>
      <c r="G27" s="71">
        <v>316</v>
      </c>
      <c r="H27" s="71">
        <v>3420</v>
      </c>
      <c r="I27" s="71">
        <v>3294</v>
      </c>
      <c r="J27" s="71">
        <v>418</v>
      </c>
      <c r="K27" s="71">
        <v>4929</v>
      </c>
      <c r="L27" s="71">
        <v>5617</v>
      </c>
      <c r="M27" s="71">
        <v>1915</v>
      </c>
      <c r="N27" s="71">
        <v>545</v>
      </c>
      <c r="O27" s="71">
        <v>4323</v>
      </c>
      <c r="P27" s="71">
        <v>967</v>
      </c>
      <c r="Q27" s="90">
        <v>4444</v>
      </c>
      <c r="R27" s="71">
        <v>902</v>
      </c>
      <c r="S27" s="71">
        <v>7046</v>
      </c>
      <c r="T27" s="71">
        <v>1696</v>
      </c>
      <c r="U27" s="71">
        <v>5903</v>
      </c>
      <c r="V27" s="71">
        <v>11678</v>
      </c>
      <c r="W27" s="71">
        <v>11740</v>
      </c>
      <c r="X27" s="71">
        <v>5007</v>
      </c>
      <c r="Y27" s="71">
        <v>3539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23287.200086304001</v>
      </c>
      <c r="E28" s="91" ph="1">
        <f>E27*268.68*LOOKUP(E29,密度!$A$2:$A$50,密度!$C$2:$C$50)+IF(E27&lt;=0,0,1566*LOOKUP(E29,密度!$A$2:$A$50,密度!$C$2:$C$50))</f>
        <v>18185.763502919999</v>
      </c>
      <c r="F28" s="91" ph="1">
        <f>F27*11.702*LOOKUP(F29,密度!$A$2:$A$50,密度!$Q$2:$Q$50)</f>
        <v>41432.125774199994</v>
      </c>
      <c r="G28" s="91" ph="1">
        <f>G27*18.322*LOOKUP(G29,密度!$A$2:$A$50,密度!$B$2:$B$50)</f>
        <v>4478.3731719999996</v>
      </c>
      <c r="H28" s="91" ph="1">
        <f>H27*18.322*LOOKUP(H29,密度!$A$2:$A$50,密度!$B$2:$B$50)</f>
        <v>48524.864255999993</v>
      </c>
      <c r="I28" s="91" ph="1">
        <f>I27*18.322*LOOKUP(I29,密度!$A$2:$A$50,密度!$Q$2:$Q$50)</f>
        <v>56887.217803439999</v>
      </c>
      <c r="J28" s="91" ph="1">
        <f>J27*18.322*LOOKUP(J29,密度!$A$2:$A$50,密度!$Q$2:$Q$50)</f>
        <v>7218.8394176799993</v>
      </c>
      <c r="K28" s="91" ph="1">
        <f>K27*18.322*LOOKUP(K29,密度!$A$2:$A$50,密度!$Q$2:$Q$50)</f>
        <v>85062.177082199982</v>
      </c>
      <c r="L28" s="91" ph="1">
        <f>L27*18.322*LOOKUP(L29,密度!$A$2:$A$50,密度!$Q$2:$Q$50)</f>
        <v>96935.331440599999</v>
      </c>
      <c r="M28" s="91" ph="1">
        <f>M27*18.322*LOOKUP(M29,密度!$A$2:$A$50,密度!$Q$2:$Q$50)</f>
        <v>33048.096796999998</v>
      </c>
      <c r="N28" s="91" ph="1">
        <f>N27*18.322*LOOKUP(N29,密度!$A$2:$A$50,密度!$Q$2:$Q$50)</f>
        <v>9405.3330310000001</v>
      </c>
      <c r="O28" s="91" ph="1">
        <f>O27*18.322*LOOKUP(O29,密度!$A$2:$A$50,密度!$C$2:$C$50)</f>
        <v>87364.224617999993</v>
      </c>
      <c r="P28" s="91" ph="1">
        <f>P27*11.702*LOOKUP(P29,密度!$A$2:$A$50,密度!$B$2:$B$50)</f>
        <v>8743.7449318000017</v>
      </c>
      <c r="Q28" s="92" ph="1">
        <f>Q27*18.322*LOOKUP(Q29,密度!$A$2:$A$50,密度!$B$2:$B$50)</f>
        <v>62915.527373600002</v>
      </c>
      <c r="R28" s="91" ph="1">
        <f>R27*35.891*LOOKUP(R29,密度!$A$2:$A$50,密度!$C$2:$C$50)</f>
        <v>35743.782296199999</v>
      </c>
      <c r="S28" s="91" ph="1">
        <f>S27*35.891*LOOKUP(S29,密度!$A$2:$A$50,密度!$B$2:$B$50)</f>
        <v>196064.05554579999</v>
      </c>
      <c r="T28" s="91" ph="1">
        <f>T27*35.891*LOOKUP(T29,密度!$A$2:$A$50,密度!$Q$2:$Q$50)</f>
        <v>57421.568722880002</v>
      </c>
      <c r="U28" s="91" ph="1">
        <f>U27*35.891</f>
        <v>211864.573</v>
      </c>
      <c r="V28" s="91" ph="1">
        <f>V27*47.051*LOOKUP(V29,密度!$A$2:$A$50,密度!$B$2:$B$50)</f>
        <v>425008.53058299999</v>
      </c>
      <c r="W28" s="91" ph="1">
        <f>W27*47.051*LOOKUP(W29,密度!$A$2:$A$50,密度!$B$2:$B$50)</f>
        <v>427264.95538999996</v>
      </c>
      <c r="X28" s="91" ph="1">
        <f>X27*47.051*LOOKUP(X29,密度!$A$2:$A$50,密度!$I$2:$I$50)</f>
        <v>242903.96297199</v>
      </c>
      <c r="Y28" s="91" ph="1">
        <f>Y27*47.051*LOOKUP(Y29,密度!$A$2:$A$50,密度!$L$2:$L$50)</f>
        <v>154691.031281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32</v>
      </c>
      <c r="G29" s="74">
        <v>32</v>
      </c>
      <c r="H29" s="74">
        <v>31</v>
      </c>
      <c r="I29" s="74">
        <v>31</v>
      </c>
      <c r="J29" s="74">
        <v>31</v>
      </c>
      <c r="K29" s="74">
        <v>32</v>
      </c>
      <c r="L29" s="74">
        <v>32</v>
      </c>
      <c r="M29" s="74">
        <v>32</v>
      </c>
      <c r="N29" s="74">
        <v>32</v>
      </c>
      <c r="O29" s="74">
        <v>32</v>
      </c>
      <c r="P29" s="74">
        <v>33</v>
      </c>
      <c r="Q29" s="93">
        <v>33</v>
      </c>
      <c r="R29" s="74">
        <v>31</v>
      </c>
      <c r="S29" s="74">
        <v>30</v>
      </c>
      <c r="T29" s="74">
        <v>30</v>
      </c>
      <c r="U29" s="74">
        <v>33</v>
      </c>
      <c r="V29" s="74">
        <v>32</v>
      </c>
      <c r="W29" s="74">
        <v>32</v>
      </c>
      <c r="X29" s="74">
        <v>35</v>
      </c>
      <c r="Y29" s="74">
        <v>33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25258.339679199998</v>
      </c>
      <c r="E33" s="182" ph="1">
        <f>M10+I10</f>
        <v>106807.4249828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08" ph="1">
        <v>0</v>
      </c>
      <c r="H33" s="182" ph="1">
        <f>N19</f>
        <v>28620.299268600003</v>
      </c>
      <c r="I33" s="186" ph="1">
        <v>0</v>
      </c>
      <c r="J33" s="190" ph="1">
        <f>F10+O28</f>
        <v>338520.70718969998</v>
      </c>
      <c r="K33" s="182" ph="1">
        <f>O10+K10+E28+R28</f>
        <v>202330.33198791998</v>
      </c>
      <c r="L33" s="192" ph="1">
        <f>BE27</f>
        <v>7100</v>
      </c>
      <c r="M33" s="190" ph="1">
        <f>G10+H10+W28+S28+V28+E10</f>
        <v>2054083.2105967999</v>
      </c>
      <c r="N33" s="182" ph="1">
        <f>L10+P10++G28+H28</f>
        <v>155863.86893300002</v>
      </c>
      <c r="O33" s="186" ph="1">
        <f>BE17</f>
        <v>2270</v>
      </c>
      <c r="P33" s="190" ph="1">
        <f>L19</f>
        <v>26953.838998632</v>
      </c>
      <c r="Q33" s="182" ph="1">
        <f>J10+N10</f>
        <v>181373.11978233</v>
      </c>
      <c r="R33" s="186" ph="1">
        <f>BE23</f>
        <v>890</v>
      </c>
      <c r="S33" s="190" ph="1">
        <f>E10+X28</f>
        <v>561811.46142698999</v>
      </c>
      <c r="T33" s="182" ph="1">
        <f>X19</f>
        <v>3314.7775332480005</v>
      </c>
      <c r="U33" s="171" ph="1">
        <f>BE21</f>
        <v>730</v>
      </c>
      <c r="V33" s="184" ph="1">
        <f ca="1">P19+Q19+S19+M28+N28+J28</f>
        <v>154120.94746050998</v>
      </c>
      <c r="W33" s="184" ph="1">
        <f>D28+F28+V19+T28</f>
        <v>126205.419892904</v>
      </c>
      <c r="X33" s="186" ph="1">
        <f>BE29+BE31</f>
        <v>10200</v>
      </c>
      <c r="Y33" s="188" ph="1">
        <f>+Q10+R10+S10+T10+U10+V10+W10+X10+Y10</f>
        <v>148795.46492580001</v>
      </c>
      <c r="Z33" s="169" ph="1">
        <f>D10+T19+U19+Y28+Z10</f>
        <v>420528.796628576</v>
      </c>
      <c r="AA33" s="171" ph="1">
        <f>BE19</f>
        <v>1440</v>
      </c>
      <c r="AB33" s="173" ph="1">
        <f>I19</f>
        <v>36253.389983999994</v>
      </c>
      <c r="AC33" s="175" ph="1">
        <f>AD10</f>
        <v>80731.766505599997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018" priority="97">
      <formula>ABS(D$7-D$10)&gt;=1000</formula>
    </cfRule>
  </conditionalFormatting>
  <conditionalFormatting sqref="E4 E6:E11">
    <cfRule type="expression" dxfId="1017" priority="96">
      <formula>ABS(E$7-E$10)&gt;=1000</formula>
    </cfRule>
  </conditionalFormatting>
  <conditionalFormatting sqref="F4:F11">
    <cfRule type="expression" dxfId="1016" priority="95">
      <formula>ABS(F$7-F$10)&gt;=1000</formula>
    </cfRule>
  </conditionalFormatting>
  <conditionalFormatting sqref="G4:G11">
    <cfRule type="expression" dxfId="1015" priority="94">
      <formula>ABS(G$7-G$10)&gt;=1000</formula>
    </cfRule>
  </conditionalFormatting>
  <conditionalFormatting sqref="H4:H11">
    <cfRule type="expression" dxfId="1014" priority="93">
      <formula>ABS(H$7-H$10)&gt;=1000</formula>
    </cfRule>
  </conditionalFormatting>
  <conditionalFormatting sqref="I4:I11">
    <cfRule type="expression" dxfId="1013" priority="92">
      <formula>ABS(I$7-I$10)&gt;=1000</formula>
    </cfRule>
  </conditionalFormatting>
  <conditionalFormatting sqref="J4:J11">
    <cfRule type="expression" dxfId="1012" priority="91">
      <formula>ABS(J$7-J$10)&gt;=1000</formula>
    </cfRule>
  </conditionalFormatting>
  <conditionalFormatting sqref="K4:K11">
    <cfRule type="expression" dxfId="1011" priority="90">
      <formula>ABS(K$7-K$10)&gt;=1000</formula>
    </cfRule>
  </conditionalFormatting>
  <conditionalFormatting sqref="L4:L11">
    <cfRule type="expression" dxfId="1010" priority="89">
      <formula>ABS(L$7-L$10)&gt;=1000</formula>
    </cfRule>
  </conditionalFormatting>
  <conditionalFormatting sqref="M4 M6:M11">
    <cfRule type="expression" dxfId="1009" priority="88">
      <formula>ABS(M$7-M$10)&gt;=1000</formula>
    </cfRule>
  </conditionalFormatting>
  <conditionalFormatting sqref="N4 N6:N11">
    <cfRule type="expression" dxfId="1008" priority="87">
      <formula>ABS(N$7-N$10)&gt;=1000</formula>
    </cfRule>
  </conditionalFormatting>
  <conditionalFormatting sqref="O4 O6:O11">
    <cfRule type="expression" dxfId="1007" priority="86">
      <formula>ABS(O$7-O$10)&gt;=1000</formula>
    </cfRule>
  </conditionalFormatting>
  <conditionalFormatting sqref="P4 P6:P11">
    <cfRule type="expression" dxfId="1006" priority="85">
      <formula>ABS(P$7-P$10)&gt;=1000</formula>
    </cfRule>
  </conditionalFormatting>
  <conditionalFormatting sqref="Q4:Q11">
    <cfRule type="expression" dxfId="1005" priority="84">
      <formula>ABS(Q$7-Q$10)&gt;=1000</formula>
    </cfRule>
  </conditionalFormatting>
  <conditionalFormatting sqref="R4:R11">
    <cfRule type="expression" dxfId="1004" priority="83">
      <formula>ABS(R$7-R$10)&gt;=1000</formula>
    </cfRule>
  </conditionalFormatting>
  <conditionalFormatting sqref="S4:S11">
    <cfRule type="expression" dxfId="1003" priority="82">
      <formula>ABS(S$7-S$10)&gt;=1000</formula>
    </cfRule>
  </conditionalFormatting>
  <conditionalFormatting sqref="T4:T9 T11">
    <cfRule type="expression" dxfId="1002" priority="81">
      <formula>ABS(T$7-T$10)&gt;=1000</formula>
    </cfRule>
  </conditionalFormatting>
  <conditionalFormatting sqref="U4:U9 U11">
    <cfRule type="expression" dxfId="1001" priority="80">
      <formula>ABS(U$7-U$10)&gt;=1000</formula>
    </cfRule>
  </conditionalFormatting>
  <conditionalFormatting sqref="V4:V9 V11">
    <cfRule type="expression" dxfId="1000" priority="79">
      <formula>ABS(V$7-V$10)&gt;=1000</formula>
    </cfRule>
  </conditionalFormatting>
  <conditionalFormatting sqref="W4:W9 W11">
    <cfRule type="expression" dxfId="999" priority="78">
      <formula>ABS(W$7-W$10)&gt;=1000</formula>
    </cfRule>
  </conditionalFormatting>
  <conditionalFormatting sqref="X4:X9 X11">
    <cfRule type="expression" dxfId="998" priority="77">
      <formula>ABS(X$7-X$10)&gt;=1000</formula>
    </cfRule>
  </conditionalFormatting>
  <conditionalFormatting sqref="Y4:Y9 Y11">
    <cfRule type="expression" dxfId="997" priority="76">
      <formula>ABS(Y$7-Y$10)&gt;=1000</formula>
    </cfRule>
  </conditionalFormatting>
  <conditionalFormatting sqref="Z4:Z11">
    <cfRule type="expression" dxfId="996" priority="75">
      <formula>ABS(Z$7-Z$10)&gt;=1000</formula>
    </cfRule>
  </conditionalFormatting>
  <conditionalFormatting sqref="AA4:AA11">
    <cfRule type="expression" dxfId="995" priority="74">
      <formula>ABS(AA$7-AA$10)&gt;=1000</formula>
    </cfRule>
  </conditionalFormatting>
  <conditionalFormatting sqref="AB4:AB11">
    <cfRule type="expression" dxfId="994" priority="73">
      <formula>ABS(AB$7-AB$10)&gt;=1000</formula>
    </cfRule>
  </conditionalFormatting>
  <conditionalFormatting sqref="AC4 AC6:AC11">
    <cfRule type="expression" dxfId="993" priority="72">
      <formula>ABS(AC$7-AC$10)&gt;=1000</formula>
    </cfRule>
  </conditionalFormatting>
  <conditionalFormatting sqref="AD4:AD11">
    <cfRule type="expression" dxfId="992" priority="71">
      <formula>ABS(AD$7-AD$10)&gt;=1000</formula>
    </cfRule>
  </conditionalFormatting>
  <conditionalFormatting sqref="AE4:AE11">
    <cfRule type="expression" dxfId="991" priority="70">
      <formula>ABS(AE$7-AE$10)&gt;=1000</formula>
    </cfRule>
  </conditionalFormatting>
  <conditionalFormatting sqref="D13:D20">
    <cfRule type="expression" dxfId="990" priority="69">
      <formula>ABS(D$16-D$19)&gt;=1000</formula>
    </cfRule>
  </conditionalFormatting>
  <conditionalFormatting sqref="E13:E20">
    <cfRule type="expression" dxfId="989" priority="68">
      <formula>ABS(E$16-E$19)&gt;=1000</formula>
    </cfRule>
  </conditionalFormatting>
  <conditionalFormatting sqref="F13 F15:F20">
    <cfRule type="expression" dxfId="988" priority="67">
      <formula>ABS(F$16-F$19)&gt;=1000</formula>
    </cfRule>
  </conditionalFormatting>
  <conditionalFormatting sqref="G13:G20">
    <cfRule type="expression" dxfId="987" priority="66">
      <formula>ABS(G$16-G$19)&gt;=1000</formula>
    </cfRule>
  </conditionalFormatting>
  <conditionalFormatting sqref="H13:H20">
    <cfRule type="expression" dxfId="986" priority="65">
      <formula>ABS(H$16-H$19)&gt;=1000</formula>
    </cfRule>
  </conditionalFormatting>
  <conditionalFormatting sqref="I13:I20">
    <cfRule type="expression" dxfId="985" priority="64">
      <formula>ABS(I$16-I$19)&gt;=1000</formula>
    </cfRule>
  </conditionalFormatting>
  <conditionalFormatting sqref="J13:J20">
    <cfRule type="expression" dxfId="984" priority="63">
      <formula>ABS(J$16-J$19)&gt;=1000</formula>
    </cfRule>
  </conditionalFormatting>
  <conditionalFormatting sqref="L13:L20">
    <cfRule type="expression" dxfId="983" priority="62">
      <formula>ABS(L$16-L$19)&gt;=1000</formula>
    </cfRule>
  </conditionalFormatting>
  <conditionalFormatting sqref="M13 M15 M17:M18 M20">
    <cfRule type="expression" dxfId="982" priority="61">
      <formula>ABS(M$16-M$19)&gt;=1000</formula>
    </cfRule>
  </conditionalFormatting>
  <conditionalFormatting sqref="N13:N20">
    <cfRule type="expression" dxfId="981" priority="60">
      <formula>ABS(N$16-N$19)&gt;=1000</formula>
    </cfRule>
  </conditionalFormatting>
  <conditionalFormatting sqref="O13:O20">
    <cfRule type="expression" dxfId="980" priority="59">
      <formula>ABS(O$16-O$19)&gt;=1000</formula>
    </cfRule>
  </conditionalFormatting>
  <conditionalFormatting sqref="P13:P20">
    <cfRule type="expression" dxfId="979" priority="58">
      <formula>ABS(P$16-P$19)&gt;=1000</formula>
    </cfRule>
  </conditionalFormatting>
  <conditionalFormatting sqref="Q13 Q15:Q20">
    <cfRule type="expression" dxfId="978" priority="57">
      <formula>ABS(Q$16-Q$19)&gt;=1000</formula>
    </cfRule>
  </conditionalFormatting>
  <conditionalFormatting sqref="R13:R20">
    <cfRule type="expression" dxfId="977" priority="56">
      <formula>ABS(R$16-R$19)&gt;=1000</formula>
    </cfRule>
  </conditionalFormatting>
  <conditionalFormatting sqref="S13:S20">
    <cfRule type="expression" dxfId="976" priority="55">
      <formula>ABS(S$16-S$19)&gt;=1000</formula>
    </cfRule>
  </conditionalFormatting>
  <conditionalFormatting sqref="T13:T20">
    <cfRule type="expression" dxfId="975" priority="54">
      <formula>ABS(T$16-T$19)&gt;=1000</formula>
    </cfRule>
  </conditionalFormatting>
  <conditionalFormatting sqref="U13:U20">
    <cfRule type="expression" dxfId="974" priority="53">
      <formula>ABS(U$16-U$19)&gt;=1000</formula>
    </cfRule>
  </conditionalFormatting>
  <conditionalFormatting sqref="V13:V20">
    <cfRule type="expression" dxfId="973" priority="52">
      <formula>ABS(V$16-V$19)&gt;=1000</formula>
    </cfRule>
  </conditionalFormatting>
  <conditionalFormatting sqref="W13 W20 W15:W18">
    <cfRule type="expression" dxfId="972" priority="51">
      <formula>ABS(W$16-W$19)&gt;=1000</formula>
    </cfRule>
  </conditionalFormatting>
  <conditionalFormatting sqref="X13 X15:X20 Y19">
    <cfRule type="expression" dxfId="971" priority="50">
      <formula>ABS(X$16-X$19)&gt;=1000</formula>
    </cfRule>
  </conditionalFormatting>
  <conditionalFormatting sqref="Y13 Y15:Y18 Y20">
    <cfRule type="expression" dxfId="970" priority="49">
      <formula>ABS(Y$16-Y$19)&gt;=1000</formula>
    </cfRule>
  </conditionalFormatting>
  <conditionalFormatting sqref="Z13:Z20">
    <cfRule type="expression" dxfId="969" priority="48">
      <formula>ABS(Z$16-Z$19)&gt;=1000</formula>
    </cfRule>
  </conditionalFormatting>
  <conditionalFormatting sqref="AA13:AA20">
    <cfRule type="expression" dxfId="968" priority="47">
      <formula>ABS(AA$16-AA$19)&gt;=1000</formula>
    </cfRule>
  </conditionalFormatting>
  <conditionalFormatting sqref="AB13 AB15:AB20">
    <cfRule type="expression" dxfId="967" priority="46">
      <formula>ABS(AB$16-AB$19)&gt;=1000</formula>
    </cfRule>
  </conditionalFormatting>
  <conditionalFormatting sqref="AC13 AC15:AC20">
    <cfRule type="expression" dxfId="966" priority="45">
      <formula>ABS(AC$16-AC$19)&gt;=1000</formula>
    </cfRule>
  </conditionalFormatting>
  <conditionalFormatting sqref="AD13:AD20">
    <cfRule type="expression" dxfId="965" priority="44">
      <formula>ABS(AD$16-AD$19)&gt;=1000</formula>
    </cfRule>
  </conditionalFormatting>
  <conditionalFormatting sqref="AE13:AE20">
    <cfRule type="expression" dxfId="964" priority="43">
      <formula>ABS(AE$16-AE$19)&gt;=1000</formula>
    </cfRule>
  </conditionalFormatting>
  <conditionalFormatting sqref="D22:D29">
    <cfRule type="expression" dxfId="963" priority="42">
      <formula>ABS(D$25-D$28)&gt;=1000</formula>
    </cfRule>
  </conditionalFormatting>
  <conditionalFormatting sqref="E22:E29">
    <cfRule type="expression" dxfId="962" priority="41">
      <formula>ABS(E$25-E$28)&gt;=1000</formula>
    </cfRule>
  </conditionalFormatting>
  <conditionalFormatting sqref="F22:F29">
    <cfRule type="expression" dxfId="961" priority="40">
      <formula>ABS(F$25-F$28)&gt;=1000</formula>
    </cfRule>
  </conditionalFormatting>
  <conditionalFormatting sqref="G22:G29">
    <cfRule type="expression" dxfId="960" priority="39">
      <formula>ABS(G$25-G$28)&gt;=1000</formula>
    </cfRule>
  </conditionalFormatting>
  <conditionalFormatting sqref="H22:H29">
    <cfRule type="expression" dxfId="959" priority="38">
      <formula>ABS(H$25-H$28)&gt;=1000</formula>
    </cfRule>
  </conditionalFormatting>
  <conditionalFormatting sqref="I22 I24:I29">
    <cfRule type="expression" dxfId="958" priority="37">
      <formula>ABS(I$25-I$28)&gt;=1000</formula>
    </cfRule>
  </conditionalFormatting>
  <conditionalFormatting sqref="J22:J29 K22">
    <cfRule type="expression" dxfId="957" priority="36">
      <formula>ABS(J$25-J$28)&gt;=1000</formula>
    </cfRule>
  </conditionalFormatting>
  <conditionalFormatting sqref="K23:K29 L25 L28">
    <cfRule type="expression" dxfId="956" priority="35">
      <formula>ABS(K$25-K$28)&gt;=1000</formula>
    </cfRule>
  </conditionalFormatting>
  <conditionalFormatting sqref="L22 L26:L27 L29 L24">
    <cfRule type="expression" dxfId="955" priority="34">
      <formula>ABS(L$25-L$28)&gt;=1000</formula>
    </cfRule>
  </conditionalFormatting>
  <conditionalFormatting sqref="M22:M29">
    <cfRule type="expression" dxfId="954" priority="33">
      <formula>ABS(M$25-M$28)&gt;=1000</formula>
    </cfRule>
  </conditionalFormatting>
  <conditionalFormatting sqref="N22:N29">
    <cfRule type="expression" dxfId="953" priority="32">
      <formula>ABS(N$25-N$28)&gt;=1000</formula>
    </cfRule>
  </conditionalFormatting>
  <conditionalFormatting sqref="O22:O29">
    <cfRule type="expression" dxfId="952" priority="31">
      <formula>ABS(O$25-O$28)&gt;=1000</formula>
    </cfRule>
  </conditionalFormatting>
  <conditionalFormatting sqref="P22:P29">
    <cfRule type="expression" dxfId="951" priority="30">
      <formula>ABS(P$25-P$28)&gt;=1000</formula>
    </cfRule>
  </conditionalFormatting>
  <conditionalFormatting sqref="Q22:Q29">
    <cfRule type="expression" dxfId="950" priority="29">
      <formula>ABS(Q$25-Q$28)&gt;=1000</formula>
    </cfRule>
  </conditionalFormatting>
  <conditionalFormatting sqref="R22:R29">
    <cfRule type="expression" dxfId="949" priority="28">
      <formula>ABS(R$25-R$28)&gt;=1000</formula>
    </cfRule>
  </conditionalFormatting>
  <conditionalFormatting sqref="S22:S29">
    <cfRule type="expression" dxfId="948" priority="27">
      <formula>ABS(S$25-S$28)&gt;=1000</formula>
    </cfRule>
  </conditionalFormatting>
  <conditionalFormatting sqref="T22:T29">
    <cfRule type="expression" dxfId="947" priority="26">
      <formula>ABS(T$25-T$28)&gt;=1000</formula>
    </cfRule>
  </conditionalFormatting>
  <conditionalFormatting sqref="U22:U29">
    <cfRule type="expression" dxfId="946" priority="25">
      <formula>ABS(U$25-U$28)&gt;=1000</formula>
    </cfRule>
  </conditionalFormatting>
  <conditionalFormatting sqref="V22:V29">
    <cfRule type="expression" dxfId="945" priority="24">
      <formula>ABS(V$25-V$28)&gt;=1000</formula>
    </cfRule>
  </conditionalFormatting>
  <conditionalFormatting sqref="W22:W29">
    <cfRule type="expression" dxfId="944" priority="23">
      <formula>ABS(W$25-W$28)&gt;=1000</formula>
    </cfRule>
  </conditionalFormatting>
  <conditionalFormatting sqref="X22:X29">
    <cfRule type="expression" dxfId="943" priority="22">
      <formula>ABS(X$25-X$28)&gt;=1000</formula>
    </cfRule>
  </conditionalFormatting>
  <conditionalFormatting sqref="Y22:Y29">
    <cfRule type="expression" dxfId="942" priority="21">
      <formula>ABS(Y$25-Y$28)&gt;=1000</formula>
    </cfRule>
  </conditionalFormatting>
  <conditionalFormatting sqref="I23">
    <cfRule type="expression" dxfId="941" priority="20">
      <formula>ABS(I$25-I$28)&gt;=1000</formula>
    </cfRule>
  </conditionalFormatting>
  <conditionalFormatting sqref="Q14">
    <cfRule type="expression" dxfId="940" priority="19">
      <formula>ABS(Q$16-Q$19)&gt;=1000</formula>
    </cfRule>
  </conditionalFormatting>
  <conditionalFormatting sqref="W14">
    <cfRule type="expression" dxfId="939" priority="18">
      <formula>ABS(W$16-W$19)&gt;=1000</formula>
    </cfRule>
  </conditionalFormatting>
  <conditionalFormatting sqref="Y14">
    <cfRule type="expression" dxfId="938" priority="17">
      <formula>ABS(Y$16-Y$19)&gt;=1000</formula>
    </cfRule>
  </conditionalFormatting>
  <conditionalFormatting sqref="X14">
    <cfRule type="expression" dxfId="937" priority="16">
      <formula>ABS(X$16-X$19)&gt;=1000</formula>
    </cfRule>
  </conditionalFormatting>
  <conditionalFormatting sqref="T10:Y10">
    <cfRule type="expression" dxfId="936" priority="15">
      <formula>ABS(T$7-T$10)&gt;=1000</formula>
    </cfRule>
  </conditionalFormatting>
  <conditionalFormatting sqref="W19">
    <cfRule type="expression" dxfId="935" priority="14">
      <formula>ABS(W$16-W$19)&gt;=1000</formula>
    </cfRule>
  </conditionalFormatting>
  <conditionalFormatting sqref="AC5">
    <cfRule type="expression" dxfId="934" priority="13">
      <formula>ABS(AC$7-AC$10)&gt;=1000</formula>
    </cfRule>
  </conditionalFormatting>
  <conditionalFormatting sqref="M14">
    <cfRule type="expression" dxfId="933" priority="12">
      <formula>ABS(M$16-M$19)&gt;=1000</formula>
    </cfRule>
  </conditionalFormatting>
  <conditionalFormatting sqref="M16">
    <cfRule type="expression" dxfId="932" priority="11">
      <formula>ABS(M$16-M$19)&gt;=1000</formula>
    </cfRule>
  </conditionalFormatting>
  <conditionalFormatting sqref="M19">
    <cfRule type="expression" dxfId="931" priority="10">
      <formula>ABS(M$16-M$19)&gt;=1000</formula>
    </cfRule>
  </conditionalFormatting>
  <conditionalFormatting sqref="K13:K20">
    <cfRule type="expression" dxfId="930" priority="9">
      <formula>ABS(K$16-K$19)&gt;=1000</formula>
    </cfRule>
  </conditionalFormatting>
  <conditionalFormatting sqref="E5">
    <cfRule type="expression" dxfId="929" priority="8">
      <formula>ABS(E$7-E$10)&gt;=1000</formula>
    </cfRule>
  </conditionalFormatting>
  <conditionalFormatting sqref="AB14:AC14">
    <cfRule type="expression" dxfId="928" priority="7">
      <formula>ABS(AB$16-AB$19)&gt;=1000</formula>
    </cfRule>
  </conditionalFormatting>
  <conditionalFormatting sqref="M5">
    <cfRule type="expression" dxfId="927" priority="6">
      <formula>ABS(M$7-M$10)&gt;=1000</formula>
    </cfRule>
  </conditionalFormatting>
  <conditionalFormatting sqref="N5">
    <cfRule type="expression" dxfId="926" priority="5">
      <formula>ABS(N$7-N$10)&gt;=1000</formula>
    </cfRule>
  </conditionalFormatting>
  <conditionalFormatting sqref="O5">
    <cfRule type="expression" dxfId="925" priority="4">
      <formula>ABS(O$7-O$10)&gt;=1000</formula>
    </cfRule>
  </conditionalFormatting>
  <conditionalFormatting sqref="P5">
    <cfRule type="expression" dxfId="924" priority="3">
      <formula>ABS(P$7-P$10)&gt;=1000</formula>
    </cfRule>
  </conditionalFormatting>
  <conditionalFormatting sqref="L23">
    <cfRule type="expression" dxfId="923" priority="2">
      <formula>ABS(L$25-L$28)&gt;=1000</formula>
    </cfRule>
  </conditionalFormatting>
  <conditionalFormatting sqref="F14">
    <cfRule type="expression" dxfId="922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06">
    <pageSetUpPr fitToPage="1"/>
  </sheetPr>
  <dimension ref="A1:CU223"/>
  <sheetViews>
    <sheetView view="pageBreakPreview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45890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1259</v>
      </c>
      <c r="E6" s="71">
        <v>7997</v>
      </c>
      <c r="F6" s="71">
        <v>6844</v>
      </c>
      <c r="G6" s="71">
        <v>8605</v>
      </c>
      <c r="H6" s="71">
        <v>8995</v>
      </c>
      <c r="I6" s="71">
        <v>40.61</v>
      </c>
      <c r="J6" s="71">
        <v>56.92</v>
      </c>
      <c r="K6" s="71">
        <v>85.31</v>
      </c>
      <c r="L6" s="71">
        <v>21.41</v>
      </c>
      <c r="M6" s="71">
        <v>2803</v>
      </c>
      <c r="N6" s="71">
        <v>6535</v>
      </c>
      <c r="O6" s="71">
        <v>5379</v>
      </c>
      <c r="P6" s="71">
        <v>2383</v>
      </c>
      <c r="Q6" s="71">
        <v>6693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3132</v>
      </c>
      <c r="X6" s="71">
        <v>6098</v>
      </c>
      <c r="Y6" s="71">
        <v>6779</v>
      </c>
      <c r="Z6" s="71">
        <v>3985</v>
      </c>
      <c r="AA6" s="71">
        <v>555</v>
      </c>
      <c r="AB6" s="71">
        <v>308</v>
      </c>
      <c r="AC6" s="71">
        <v>3918</v>
      </c>
      <c r="AD6" s="71">
        <v>4121</v>
      </c>
      <c r="AE6" s="71">
        <v>2300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39434.938350210003</v>
      </c>
      <c r="E7" s="73" ph="1">
        <f>E6*51.53*LOOKUP(E8,密度!$A$2:$A$50,密度!$B$2:$B$50)</f>
        <v>320190.36357000005</v>
      </c>
      <c r="F7" s="73" ph="1">
        <f>F6*33.183*LOOKUP(F8,密度!$A$2:$A$50,密度!$C$2:$C$50)</f>
        <v>251495.47014479997</v>
      </c>
      <c r="G7" s="73" ph="1">
        <f xml:space="preserve"> (G6+2)*51.53*LOOKUP(G8,密度!$A$2:$A$50,密度!$B$2:$B$50)</f>
        <v>344614.03767000005</v>
      </c>
      <c r="H7" s="73" ph="1">
        <f>(H6)*51.53*LOOKUP(H8,密度!$A$2:$A$50,密度!$B$2:$B$50)</f>
        <v>361354.22805999999</v>
      </c>
      <c r="I7" s="73" ph="1">
        <f>I6*290.8*1.0267</f>
        <v>12124.698659600001</v>
      </c>
      <c r="J7" s="73" ph="1">
        <f>J6*290.8*0.7892</f>
        <v>13063.103571199999</v>
      </c>
      <c r="K7" s="73" ph="1">
        <f>K6*290.8*1.1126</f>
        <v>27601.545464800001</v>
      </c>
      <c r="L7" s="73" ph="1">
        <f>L6*290.8*0.777</f>
        <v>4837.623756</v>
      </c>
      <c r="M7" s="73" ph="1">
        <f>M6*33.183*LOOKUP(M8,密度!$A$2:$A$50,密度!$D$2:$D$50)</f>
        <v>95234.934581099995</v>
      </c>
      <c r="N7" s="73" ph="1">
        <f>N6*33.183*LOOKUP(N8,密度!$A$2:$A$50,密度!$E$2:$E$50)</f>
        <v>169837.628796</v>
      </c>
      <c r="O7" s="73" ph="1">
        <f>O6*20.428*LOOKUP(O8,密度!$A$2:$A$50,密度!$C$2:$C$50)</f>
        <v>121200.079836</v>
      </c>
      <c r="P7" s="73" ph="1">
        <f>P6*51.53*LOOKUP(P8,密度!$A$2:$A$50,密度!$B$2:$B$50)</f>
        <v>95621.237412999995</v>
      </c>
      <c r="Q7" s="73" ph="1">
        <f>Q6*1.5*1.5*3.1416*LOOKUP(W8,密度!$A$2:$A$50,密度!$L$2:$L$50)</f>
        <v>44140.360433399997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20655.5519016</v>
      </c>
      <c r="X7" s="73" ph="1">
        <f>X6*1.5*1.5*3.1416*LOOKUP(X8,密度!$A$2:$A$50,密度!$L$2:$L$50)</f>
        <v>40604.272077599999</v>
      </c>
      <c r="Y7" s="73" ph="1">
        <f>Y6*1.5*1.5*3.1416*LOOKUP(Y8,密度!$A$2:$A$50,密度!$L$2:$L$50)</f>
        <v>44803.366839000002</v>
      </c>
      <c r="Z7" s="73" ph="1">
        <f>Z6*33.183*LOOKUP(Z8,密度!$A$2:$A$50,密度!$L$2:$L$50)</f>
        <v>123903.49693500002</v>
      </c>
      <c r="AA7" s="73" ph="1">
        <f>AA6*33.183*LOOKUP(AA8,密度!$A$2:$A$50,密度!$D$2:$D$50)</f>
        <v>18873.295811999997</v>
      </c>
      <c r="AB7" s="73" ph="1">
        <f>AB6*20.428*LOOKUP(AB8,密度!$A$2:$A$50,密度!$D$2:$D$50)</f>
        <v>6489.3872736000012</v>
      </c>
      <c r="AC7" s="73" ph="1">
        <f>AC6*51.53*LOOKUP(AC8,密度!$A$2:$A$50,密度!$Q$2:$Q$50)</f>
        <v>191141.6367996</v>
      </c>
      <c r="AD7" s="73" ph="1">
        <f>AD6*20.428*LOOKUP(AD8,密度!$A$2:$A$50,密度!$V$2:$V$50)</f>
        <v>80614.395388799996</v>
      </c>
      <c r="AE7" s="73" ph="1">
        <f>AE6*20.428</f>
        <v>46984.4</v>
      </c>
    </row>
    <row r="8" spans="1:99" ph="1">
      <c r="B8" s="233" ph="1"/>
      <c r="C8" s="68" t="s" ph="1">
        <v>180</v>
      </c>
      <c r="D8" s="74">
        <v>29</v>
      </c>
      <c r="E8" s="74">
        <v>28</v>
      </c>
      <c r="F8" s="74">
        <v>27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25</v>
      </c>
      <c r="O8" s="74">
        <v>32</v>
      </c>
      <c r="P8" s="74">
        <v>26</v>
      </c>
      <c r="Q8" s="74">
        <v>27</v>
      </c>
      <c r="R8" s="74">
        <v>31</v>
      </c>
      <c r="S8" s="74">
        <v>27</v>
      </c>
      <c r="T8" s="74">
        <v>22</v>
      </c>
      <c r="U8" s="74">
        <v>25</v>
      </c>
      <c r="V8" s="74">
        <v>29</v>
      </c>
      <c r="W8" s="74">
        <v>29</v>
      </c>
      <c r="X8" s="74">
        <v>20</v>
      </c>
      <c r="Y8" s="74">
        <v>27</v>
      </c>
      <c r="Z8" s="74">
        <v>25</v>
      </c>
      <c r="AA8" s="74">
        <v>27</v>
      </c>
      <c r="AB8" s="74">
        <v>20</v>
      </c>
      <c r="AC8" s="74">
        <v>25</v>
      </c>
      <c r="AD8" s="74">
        <v>26</v>
      </c>
      <c r="AE8" s="74">
        <v>30</v>
      </c>
    </row>
    <row r="9" spans="1:99" ht="26.4" ph="1">
      <c r="B9" s="233" ph="1">
        <v>0.66666666666666663</v>
      </c>
      <c r="C9" s="150" t="s" ph="1">
        <v>181</v>
      </c>
      <c r="D9" s="71">
        <v>577</v>
      </c>
      <c r="E9" s="71">
        <v>7992</v>
      </c>
      <c r="F9" s="71">
        <v>6846</v>
      </c>
      <c r="G9" s="71">
        <v>9254</v>
      </c>
      <c r="H9" s="71">
        <v>9235</v>
      </c>
      <c r="I9" s="71">
        <v>29.02</v>
      </c>
      <c r="J9" s="71">
        <v>57.05</v>
      </c>
      <c r="K9" s="71">
        <v>85.21</v>
      </c>
      <c r="L9" s="71">
        <v>8.2200000000000006</v>
      </c>
      <c r="M9" s="71">
        <v>2801</v>
      </c>
      <c r="N9" s="71">
        <v>6540</v>
      </c>
      <c r="O9" s="71">
        <v>5382</v>
      </c>
      <c r="P9" s="71">
        <v>1965</v>
      </c>
      <c r="Q9" s="71">
        <v>7185</v>
      </c>
      <c r="R9" s="71">
        <v>4253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5438</v>
      </c>
      <c r="Y9" s="71">
        <v>6790</v>
      </c>
      <c r="Z9" s="71">
        <v>1704</v>
      </c>
      <c r="AA9" s="71">
        <v>555</v>
      </c>
      <c r="AB9" s="71">
        <v>150</v>
      </c>
      <c r="AC9" s="71">
        <v>4207</v>
      </c>
      <c r="AD9" s="71">
        <v>4107</v>
      </c>
      <c r="AE9" s="71">
        <v>2502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18009.09202869</v>
      </c>
      <c r="E10" s="73" ph="1">
        <f>E9*51.53*LOOKUP(E11,密度!$A$2:$A$50,密度!$B$2:$B$50)</f>
        <v>317478.02018400002</v>
      </c>
      <c r="F10" s="73" ph="1">
        <f>F9*33.183*LOOKUP(F11,密度!$A$2:$A$50,密度!$C$2:$C$50)</f>
        <v>251046.47097179998</v>
      </c>
      <c r="G10" s="73" ph="1">
        <f xml:space="preserve"> (G9+2)*51.53*LOOKUP(G11,密度!$A$2:$A$50,密度!$B$2:$B$50)</f>
        <v>367689.759112</v>
      </c>
      <c r="H10" s="73" ph="1">
        <f>(H9)*51.53*LOOKUP(H11,密度!$A$2:$A$50,密度!$B$2:$B$50)</f>
        <v>365189.96666999999</v>
      </c>
      <c r="I10" s="73" ph="1">
        <f>I9*290.8*1.0267</f>
        <v>8664.3377271999998</v>
      </c>
      <c r="J10" s="73" ph="1">
        <f>J9*290.8*0.7892</f>
        <v>13092.938488</v>
      </c>
      <c r="K10" s="73" ph="1">
        <f>K9*290.8*1.1126</f>
        <v>27569.191056799998</v>
      </c>
      <c r="L10" s="73" ph="1">
        <f>L9*290.8*0.777</f>
        <v>1857.3221520000002</v>
      </c>
      <c r="M10" s="73" ph="1">
        <f>M9*33.183*LOOKUP(M11,密度!$A$2:$A$50,密度!$D$2:$D$50)</f>
        <v>94665.076285499992</v>
      </c>
      <c r="N10" s="73" ph="1">
        <f>N9*33.183*LOOKUP(N11,密度!$A$2:$A$50,密度!$E$2:$E$50)</f>
        <v>168012.25187580002</v>
      </c>
      <c r="O10" s="73" ph="1">
        <f>O9*20.428*LOOKUP(O11,密度!$A$2:$A$50,密度!$C$2:$C$50)</f>
        <v>120575.03206319999</v>
      </c>
      <c r="P10" s="73" ph="1">
        <f>P9*51.53*LOOKUP(P11,密度!$A$2:$A$50,密度!$B$2:$B$50)</f>
        <v>78321.86407499999</v>
      </c>
      <c r="Q10" s="73" ph="1">
        <f>Q9*1.5*1.5*3.1416*LOOKUP(W11,密度!$A$2:$A$50,密度!$L$2:$L$50)</f>
        <v>46521.708156000001</v>
      </c>
      <c r="R10" s="73" ph="1">
        <f>R9*1.5*1.5*3.1416*LOOKUP(R11,密度!$A$2:$A$50,密度!$L$2:$L$50)</f>
        <v>27928.3001382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36094.264945199997</v>
      </c>
      <c r="Y10" s="73" ph="1">
        <f>Y9*1.5*1.5*3.1416*LOOKUP(Y11,密度!$A$2:$A$50,密度!$L$2:$L$50)</f>
        <v>44732.080008000004</v>
      </c>
      <c r="Z10" s="73" ph="1">
        <f>Z9*33.183*LOOKUP(Z11,密度!$A$2:$A$50,密度!$L$2:$L$50)</f>
        <v>52755.395256000003</v>
      </c>
      <c r="AA10" s="73" ph="1">
        <f>AA9*33.183*LOOKUP(AA11,密度!$A$2:$A$50,密度!$D$2:$D$50)</f>
        <v>18707.546727000001</v>
      </c>
      <c r="AB10" s="73" ph="1">
        <f>AB9*20.428*LOOKUP(AB11,密度!$A$2:$A$50,密度!$D$2:$D$50)</f>
        <v>3123.6454800000006</v>
      </c>
      <c r="AC10" s="73" ph="1">
        <f>AC9*51.53*LOOKUP(AC11,密度!$A$2:$A$50,密度!$Q$2:$Q$50)</f>
        <v>204338.81711179999</v>
      </c>
      <c r="AD10" s="73" ph="1">
        <f>AD9*20.428*LOOKUP(AD11,密度!$A$2:$A$50,密度!$V$2:$V$50)</f>
        <v>80340.529449599999</v>
      </c>
      <c r="AE10" s="73" ph="1">
        <f>AE9*20.428</f>
        <v>51110.856</v>
      </c>
    </row>
    <row r="11" spans="1:99" ph="1">
      <c r="A11" s="64" t="s" ph="1">
        <v>163</v>
      </c>
      <c r="B11" s="233" ph="1"/>
      <c r="C11" s="150" t="s" ph="1">
        <v>180</v>
      </c>
      <c r="D11" s="74">
        <v>34</v>
      </c>
      <c r="E11" s="74">
        <v>35</v>
      </c>
      <c r="F11" s="74">
        <v>30</v>
      </c>
      <c r="G11" s="74">
        <v>35</v>
      </c>
      <c r="H11" s="74">
        <v>39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33</v>
      </c>
      <c r="O11" s="74">
        <v>38</v>
      </c>
      <c r="P11" s="74">
        <v>32</v>
      </c>
      <c r="Q11" s="74">
        <v>30</v>
      </c>
      <c r="R11" s="74">
        <v>33</v>
      </c>
      <c r="S11" s="74">
        <v>29</v>
      </c>
      <c r="T11" s="74">
        <v>35</v>
      </c>
      <c r="U11" s="74">
        <v>35</v>
      </c>
      <c r="V11" s="74">
        <v>31</v>
      </c>
      <c r="W11" s="74">
        <v>46</v>
      </c>
      <c r="X11" s="74">
        <v>23</v>
      </c>
      <c r="Y11" s="74">
        <v>30</v>
      </c>
      <c r="Z11" s="74">
        <v>29</v>
      </c>
      <c r="AA11" s="74">
        <v>37</v>
      </c>
      <c r="AB11" s="74">
        <v>33</v>
      </c>
      <c r="AC11" s="74">
        <v>31</v>
      </c>
      <c r="AD11" s="74">
        <v>35</v>
      </c>
      <c r="AE11" s="74">
        <v>35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1736</v>
      </c>
      <c r="E15" s="78">
        <v>3603</v>
      </c>
      <c r="F15" s="78">
        <v>3385</v>
      </c>
      <c r="G15" s="78">
        <v>1766</v>
      </c>
      <c r="H15" s="78">
        <v>0</v>
      </c>
      <c r="I15" s="78">
        <v>3931</v>
      </c>
      <c r="J15" s="78">
        <v>4856</v>
      </c>
      <c r="K15" s="78">
        <v>3107</v>
      </c>
      <c r="L15" s="78">
        <v>3802</v>
      </c>
      <c r="M15" s="78">
        <v>6976</v>
      </c>
      <c r="N15" s="78">
        <v>3612</v>
      </c>
      <c r="O15" s="78">
        <v>1327</v>
      </c>
      <c r="P15" s="78">
        <v>6977</v>
      </c>
      <c r="Q15" s="78">
        <v>6974</v>
      </c>
      <c r="R15" s="78">
        <v>0</v>
      </c>
      <c r="S15" s="78">
        <v>1655</v>
      </c>
      <c r="T15" s="78">
        <v>5047</v>
      </c>
      <c r="U15" s="78">
        <v>1446</v>
      </c>
      <c r="V15" s="78">
        <v>-141</v>
      </c>
      <c r="W15" s="71">
        <v>2365</v>
      </c>
      <c r="X15" s="78">
        <v>-260</v>
      </c>
      <c r="Y15" s="106">
        <v>-2367</v>
      </c>
      <c r="Z15" s="78">
        <v>0</v>
      </c>
      <c r="AA15" s="78">
        <v>6139</v>
      </c>
      <c r="AB15" s="78" ph="1">
        <v>357</v>
      </c>
      <c r="AC15" s="78" ph="1">
        <v>777</v>
      </c>
      <c r="AD15" s="78">
        <v>67.209999999999994</v>
      </c>
      <c r="AE15" s="78">
        <v>5.62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11412.113327999999</v>
      </c>
      <c r="E16" s="73" ph="1">
        <f>E15*7.0686*LOOKUP(E17,密度!$A$2:$A$50,密度!$L$2:$L$50)</f>
        <v>23685.394194</v>
      </c>
      <c r="F16" s="73" ph="1">
        <f>F15*9.0746*LOOKUP(F17,密度!$A$2:$A$50,密度!$L$2:$L$50)</f>
        <v>28659.447093000002</v>
      </c>
      <c r="G16" s="73" ph="1">
        <f>G15*9.0746*LOOKUP(G17,密度!$A$2:$A$50,密度!$B$2:$B$50)</f>
        <v>12452.002777199999</v>
      </c>
      <c r="H16" s="73" ph="1">
        <f>H15*9.0746*LOOKUP(H17,密度!$A$2:$A$50,密度!$L$2:$L$50)</f>
        <v>0</v>
      </c>
      <c r="I16" s="73" ph="1">
        <f>I15*9.0746*LOOKUP(I17,密度!$A$2:$A$50,密度!$U$2:$U$50)</f>
        <v>36564.058914999994</v>
      </c>
      <c r="J16" s="73" ph="1">
        <f>J15*9.0746*LOOKUP(J17,密度!$A$2:$A$50,密度!$L$2:$L$50)</f>
        <v>41113.818340800004</v>
      </c>
      <c r="K16" s="73" ph="1">
        <f>K15*9.0746*LOOKUP(K17,密度!$A$2:$A$50,密度!$C$2:$C$50)</f>
        <v>31200.345982520001</v>
      </c>
      <c r="L16" s="73" ph="1">
        <f>L15*9.0746*LOOKUP(L17,密度!$A$2:$A$50,密度!$E$2:$E$50)</f>
        <v>26866.418658040002</v>
      </c>
      <c r="M16" s="73" ph="1">
        <f>M15*9.0746*LOOKUP(M17,密度!$A$2:$A$50,密度!$M$2:$M$50)</f>
        <v>55068.505911039996</v>
      </c>
      <c r="N16" s="73" ph="1">
        <f>N15*9.0746*LOOKUP(N17,密度!$A$2:$A$50,密度!$M$2:$M$50)</f>
        <v>28650.773590320005</v>
      </c>
      <c r="O16" s="73" ph="1">
        <f>O15*9.0746*LOOKUP(O17,密度!$A$2:$A$50,密度!$G$2:$G$50)</f>
        <v>11510.942255780001</v>
      </c>
      <c r="P16" s="73" ph="1">
        <f ca="1">P15*9.0746*LOOKUP(P17,密度!$A$2:$A$51,密度!$Q$2:$Q$50)</f>
        <v>59725.509050385997</v>
      </c>
      <c r="Q16" s="73" ph="1">
        <f>Q15*9.0746*LOOKUP(Q17,密度!$A$2:$A$50,密度!$Q$2:$Q$50)</f>
        <v>59609.328670759998</v>
      </c>
      <c r="R16" s="73" ph="1">
        <f>MAX(R15*9.0746*LOOKUP(R17,密度!$A$2:$A$50,密度!$B$2:$B$50),0)</f>
        <v>0</v>
      </c>
      <c r="S16" s="73" ph="1">
        <f>S15*9.0746*LOOKUP(S17,密度!$A$2:$A$50,密度!$Q$2:$Q$50)</f>
        <v>14167.366701790001</v>
      </c>
      <c r="T16" s="73" ph="1">
        <f>T15*9.0746*LOOKUP(T17,密度!$A$2:$A$50,密度!$O$2:$O$50)</f>
        <v>42410.342741200002</v>
      </c>
      <c r="U16" s="73" ph="1">
        <f>U15*9.0746*LOOKUP(U17,密度!$A$2:$A$50,密度!$H$2:$H$50)</f>
        <v>11978.956583640002</v>
      </c>
      <c r="V16" s="73" ph="1">
        <f>MAX(5600*LOOKUP(V17,密度!$A$2:$A$50,密度!$Q$2:$Q$50)+V15*9.0476*LOOKUP(V17,密度!$A$2:$A$50,密度!$Q$2:$Q$50),0)</f>
        <v>4084.8093084080001</v>
      </c>
      <c r="W16" s="73" ph="1">
        <f>MAX(5600*LOOKUP(W17,密度!$A$2:$A$50,密度!$Q$2:$Q$50)+W15*9.0476*LOOKUP(W17,密度!$A$2:$A$50,密度!$Q$2:$Q$50),0)</f>
        <v>25502.448351879997</v>
      </c>
      <c r="X16" s="73" ph="1">
        <f>MAX(5600*LOOKUP(X17,密度!$A$2:$A$50,密度!$I$2:$I$50)+X15*9.0476*LOOKUP(X17,密度!$A$2:$A$50,密度!$I$2:$I$50),0)</f>
        <v>3373.9565735999995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43380.574471779997</v>
      </c>
      <c r="AB16" s="73" ph="1">
        <f>AB15*9.0746*LOOKUP(AB17,密度!$A$2:$A$50,密度!$L$2:$L$50)</f>
        <v>3032.2957392000003</v>
      </c>
      <c r="AC16" s="73" ph="1">
        <f>AC15*9.0746*LOOKUP(AC17,密度!$A$2:$A$50,密度!$L$2:$L$50)</f>
        <v>6606.7534554000003</v>
      </c>
      <c r="AD16" s="73" ph="1">
        <f>AD15*268.68*LOOKUP(AD17,密度!$A$2:$A$50,密度!B2:B50)+IF(AD15&lt;=0,0,1566*LOOKUP(AD17,密度!$A$2:$A$50,密度!B2:B50))</f>
        <v>15298.856990879998</v>
      </c>
      <c r="AE16" s="73" ph="1">
        <f>AE15*268.68*LOOKUP(AE17,密度!$A$2:$A$50,密度!B2:B50)+IF(AE15&lt;=0,0,1566*LOOKUP(AE17,密度!$A$2:$A$50,密度!B2:B50))</f>
        <v>2398.0352553599996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32</v>
      </c>
      <c r="E17" s="74">
        <v>32</v>
      </c>
      <c r="F17" s="74">
        <v>29</v>
      </c>
      <c r="G17" s="74">
        <v>28</v>
      </c>
      <c r="H17" s="74">
        <v>31</v>
      </c>
      <c r="I17" s="74">
        <v>25</v>
      </c>
      <c r="J17" s="74">
        <v>29</v>
      </c>
      <c r="K17" s="74">
        <v>28</v>
      </c>
      <c r="L17" s="74">
        <v>29</v>
      </c>
      <c r="M17" s="74">
        <v>30</v>
      </c>
      <c r="N17" s="74">
        <v>26</v>
      </c>
      <c r="O17" s="74">
        <v>29</v>
      </c>
      <c r="P17" s="74">
        <v>30</v>
      </c>
      <c r="Q17" s="74">
        <v>32</v>
      </c>
      <c r="R17" s="74">
        <v>28</v>
      </c>
      <c r="S17" s="74">
        <v>30</v>
      </c>
      <c r="T17" s="74">
        <v>29</v>
      </c>
      <c r="U17" s="74">
        <v>27</v>
      </c>
      <c r="V17" s="74">
        <v>28</v>
      </c>
      <c r="W17" s="74">
        <v>28</v>
      </c>
      <c r="X17" s="74">
        <v>28</v>
      </c>
      <c r="Y17" s="108">
        <v>28</v>
      </c>
      <c r="Z17" s="74">
        <v>26</v>
      </c>
      <c r="AA17" s="74">
        <v>26</v>
      </c>
      <c r="AB17" s="74">
        <v>26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0</v>
      </c>
      <c r="E18" s="71">
        <v>4586</v>
      </c>
      <c r="F18" s="71">
        <v>3386</v>
      </c>
      <c r="G18" s="71">
        <v>1805</v>
      </c>
      <c r="H18" s="71">
        <v>0</v>
      </c>
      <c r="I18" s="71">
        <v>3934</v>
      </c>
      <c r="J18" s="71">
        <v>4912</v>
      </c>
      <c r="K18" s="71">
        <v>3107</v>
      </c>
      <c r="L18" s="71">
        <v>6518</v>
      </c>
      <c r="M18" s="71">
        <v>5896</v>
      </c>
      <c r="N18" s="71">
        <v>4583</v>
      </c>
      <c r="O18" s="71">
        <v>1327</v>
      </c>
      <c r="P18" s="71">
        <v>5184</v>
      </c>
      <c r="Q18" s="71">
        <v>6977</v>
      </c>
      <c r="R18" s="71">
        <v>0</v>
      </c>
      <c r="S18" s="71">
        <v>1659</v>
      </c>
      <c r="T18" s="71">
        <v>4499</v>
      </c>
      <c r="U18" s="71">
        <v>1445</v>
      </c>
      <c r="V18" s="71">
        <v>-142</v>
      </c>
      <c r="W18" s="71">
        <v>4880</v>
      </c>
      <c r="X18" s="71">
        <v>-267</v>
      </c>
      <c r="Y18" s="109">
        <v>-9908</v>
      </c>
      <c r="Z18" s="71">
        <v>0</v>
      </c>
      <c r="AA18" s="71">
        <v>6146</v>
      </c>
      <c r="AB18" s="71">
        <v>354</v>
      </c>
      <c r="AC18" s="71">
        <v>775</v>
      </c>
      <c r="AD18" s="71">
        <v>84.61</v>
      </c>
      <c r="AE18" s="71">
        <v>20.71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30082.604428800001</v>
      </c>
      <c r="F19" s="73" ph="1">
        <f>F18*9.0746*LOOKUP(F20,密度!$A$2:$A$50,密度!$L$2:$L$50)</f>
        <v>28575.733908000002</v>
      </c>
      <c r="G19" s="73" ph="1">
        <f>G18*9.0746*LOOKUP(G20,密度!$A$2:$A$50,密度!$B$2:$B$50)</f>
        <v>12699.144970900001</v>
      </c>
      <c r="H19" s="73" ph="1">
        <f>H18*9.0746*LOOKUP(H20,密度!$A$2:$A$50,密度!$L$2:$L$50)</f>
        <v>0</v>
      </c>
      <c r="I19" s="73" ph="1">
        <f>I18*9.0746*LOOKUP(I20,密度!$A$2:$A$50,密度!$U$2:$U$50)</f>
        <v>36377.766451599993</v>
      </c>
      <c r="J19" s="73" ph="1">
        <f>J18*9.0746*LOOKUP(J20,密度!$A$2:$A$50,密度!$L$2:$L$50)</f>
        <v>41454.224736000004</v>
      </c>
      <c r="K19" s="73" ph="1">
        <f>K18*9.0746*LOOKUP(K20,密度!$A$2:$A$50,密度!$C$2:$C$50)</f>
        <v>31129.859027020004</v>
      </c>
      <c r="L19" s="73" ph="1">
        <f>L18*9.0746*LOOKUP(L20,密度!$A$2:$A$50,密度!$E$2:$E$50)</f>
        <v>45858.815607696</v>
      </c>
      <c r="M19" s="73" ph="1">
        <f>M18*9.0746*LOOKUP(M20,密度!$A$2:$A$50,密度!$M$2:$M$50)</f>
        <v>46319.345749952001</v>
      </c>
      <c r="N19" s="73" ph="1">
        <f>N18*9.0746*LOOKUP(N20,密度!$A$2:$A$50,密度!$M$2:$M$50)</f>
        <v>36265.513649599998</v>
      </c>
      <c r="O19" s="73" ph="1">
        <f>O18*9.0746*LOOKUP(O20,密度!$A$2:$A$50,密度!$G$2:$G$50)</f>
        <v>11586.806819240002</v>
      </c>
      <c r="P19" s="73" ph="1">
        <f ca="1">P18*9.0746*LOOKUP(P20,密度!$A$2:$A$51,密度!$Q$2:$Q$50)</f>
        <v>44309.543996159999</v>
      </c>
      <c r="Q19" s="73" ph="1">
        <f>Q18*9.0746*LOOKUP(Q20,密度!$A$2:$A$50,密度!$Q$2:$Q$50)</f>
        <v>59552.030103678</v>
      </c>
      <c r="R19" s="73" ph="1">
        <f>MAX(R18*9.0746*LOOKUP(R20,密度!$A$2:$A$50,密度!$B$2:$B$50),0)</f>
        <v>0</v>
      </c>
      <c r="S19" s="73" ph="1">
        <f>S18*9.0746*LOOKUP(S20,密度!$A$2:$A$50,密度!$Q$2:$Q$50)</f>
        <v>14180.07976266</v>
      </c>
      <c r="T19" s="73" ph="1">
        <f>T18*9.0746*LOOKUP(T20,密度!$A$2:$A$50,密度!$O$2:$O$50)</f>
        <v>37609.487318480002</v>
      </c>
      <c r="U19" s="73" ph="1">
        <f>U18*9.0746*LOOKUP(U20,密度!$A$2:$A$50,密度!$H$2:$H$50)</f>
        <v>11932.645270000001</v>
      </c>
      <c r="V19" s="73" ph="1">
        <f>MAX(5600*LOOKUP(V20,密度!$A$2:$A$50,密度!$Q$2:$Q$50)+V18*9.0476*LOOKUP(V20,密度!$A$2:$A$50,密度!$Q$2:$Q$50),0)</f>
        <v>4064.5253095199996</v>
      </c>
      <c r="W19" s="73" ph="1">
        <f>MAX(5600*LOOKUP(W20,密度!$A$2:$A$50,密度!$Q$2:$Q$50)+W18*9.0476*LOOKUP(W20,密度!$A$2:$A$50,密度!$Q$2:$Q$50),0)</f>
        <v>46861.680067199988</v>
      </c>
      <c r="X19" s="73" ph="1">
        <f>MAX(5600*LOOKUP(X20,密度!$A$2:$A$50,密度!$I$2:$I$50)+X18*9.0476*LOOKUP(X20,密度!$A$2:$A$50,密度!$I$2:$I$50),0)</f>
        <v>3286.7612779440005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43140.0222526</v>
      </c>
      <c r="AB19" s="73" ph="1">
        <f>AB18*9.0746*LOOKUP(AB20,密度!$A$2:$A$50,密度!$L$2:$L$50)</f>
        <v>2974.6901784000006</v>
      </c>
      <c r="AC19" s="73" ph="1">
        <f>AC18*9.0746*LOOKUP(AC20,密度!$A$2:$A$50,密度!$L$2:$L$50)</f>
        <v>6533.4851350000008</v>
      </c>
      <c r="AD19" s="73" ph="1">
        <f>AD18*268.68*LOOKUP(AD20,密度!$A$2:$A$50,密度!B5:B53)+IF(AD18&lt;=0,0,1566*LOOKUP(AD20,密度!$A$2:$A$50,密度!B5:B53))</f>
        <v>18880.334499600001</v>
      </c>
      <c r="AE19" s="73" ph="1">
        <f>AE18*268.68*LOOKUP(AE20,密度!$A$2:$A$50,密度!B5:B53)+IF(AE18&lt;=0,0,1566*LOOKUP(AE20,密度!$A$2:$A$50,密度!B5:B53))</f>
        <v>5540.2918956000012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34</v>
      </c>
      <c r="E20" s="81">
        <v>34</v>
      </c>
      <c r="F20" s="81">
        <v>32</v>
      </c>
      <c r="G20" s="81">
        <v>30</v>
      </c>
      <c r="H20" s="81">
        <v>31</v>
      </c>
      <c r="I20" s="81">
        <v>31</v>
      </c>
      <c r="J20" s="81">
        <v>32</v>
      </c>
      <c r="K20" s="81">
        <v>31</v>
      </c>
      <c r="L20" s="81">
        <v>32</v>
      </c>
      <c r="M20" s="81">
        <v>34</v>
      </c>
      <c r="N20" s="81">
        <v>28</v>
      </c>
      <c r="O20" s="81">
        <v>23</v>
      </c>
      <c r="P20" s="81">
        <v>32</v>
      </c>
      <c r="Q20" s="81">
        <v>34</v>
      </c>
      <c r="R20" s="81">
        <v>36</v>
      </c>
      <c r="S20" s="81">
        <v>32</v>
      </c>
      <c r="T20" s="81">
        <v>33</v>
      </c>
      <c r="U20" s="81">
        <v>30</v>
      </c>
      <c r="V20" s="81">
        <v>32</v>
      </c>
      <c r="W20" s="81">
        <v>32</v>
      </c>
      <c r="X20" s="81">
        <v>34</v>
      </c>
      <c r="Y20" s="110">
        <v>34</v>
      </c>
      <c r="Z20" s="81">
        <v>36</v>
      </c>
      <c r="AA20" s="81">
        <v>32</v>
      </c>
      <c r="AB20" s="81">
        <v>36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85.52</v>
      </c>
      <c r="E24" s="71">
        <v>55.21</v>
      </c>
      <c r="F24" s="71">
        <v>3752</v>
      </c>
      <c r="G24" s="71">
        <v>0</v>
      </c>
      <c r="H24" s="71">
        <v>3012</v>
      </c>
      <c r="I24" s="71">
        <v>3291</v>
      </c>
      <c r="J24" s="71">
        <v>421</v>
      </c>
      <c r="K24" s="71">
        <v>4924</v>
      </c>
      <c r="L24" s="71">
        <v>5615</v>
      </c>
      <c r="M24" s="71">
        <v>1919</v>
      </c>
      <c r="N24" s="71">
        <v>548</v>
      </c>
      <c r="O24" s="71">
        <v>4323</v>
      </c>
      <c r="P24" s="71">
        <v>968</v>
      </c>
      <c r="Q24" s="90">
        <v>4551</v>
      </c>
      <c r="R24" s="71">
        <v>904</v>
      </c>
      <c r="S24" s="71">
        <v>7043</v>
      </c>
      <c r="T24" s="71">
        <v>1696</v>
      </c>
      <c r="U24" s="71">
        <v>6047</v>
      </c>
      <c r="V24" s="71">
        <v>11207</v>
      </c>
      <c r="W24" s="71">
        <v>11733</v>
      </c>
      <c r="X24" s="71">
        <v>5007</v>
      </c>
      <c r="Y24" s="71">
        <v>3634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23236.326065664001</v>
      </c>
      <c r="E25" s="91" ph="1">
        <f>E24*268.68*LOOKUP(E26,密度!$A$2:$A$50,密度!$C$2:$C$50)+IF(E24&lt;=0,0,1566*LOOKUP(E26,密度!$A$2:$A$50,密度!$C$2:$C$50))</f>
        <v>18185.763502919999</v>
      </c>
      <c r="F25" s="91" ph="1">
        <f>F24*11.702*LOOKUP(F26,密度!$A$2:$A$50,密度!$Q$2:$Q$50)</f>
        <v>41536.302361120004</v>
      </c>
      <c r="G25" s="91" ph="1">
        <f>G24*18.322*LOOKUP(G26,密度!$A$2:$A$50,密度!$B$2:$B$50)</f>
        <v>0</v>
      </c>
      <c r="H25" s="91" ph="1">
        <f>H24*18.322*LOOKUP(H26,密度!$A$2:$A$50,密度!$B$2:$B$50)</f>
        <v>42929.083605599997</v>
      </c>
      <c r="I25" s="91" ph="1">
        <f>I24*18.322*LOOKUP(I26,密度!$A$2:$A$50,密度!$Q$2:$Q$50)</f>
        <v>57000.623654640003</v>
      </c>
      <c r="J25" s="91" ph="1">
        <f>J24*18.322*LOOKUP(J26,密度!$A$2:$A$50,密度!$Q$2:$Q$50)</f>
        <v>7281.0625786600003</v>
      </c>
      <c r="K25" s="91" ph="1">
        <f>K24*18.322*LOOKUP(K26,密度!$A$2:$A$50,密度!$Q$2:$Q$50)</f>
        <v>85221.281299359995</v>
      </c>
      <c r="L25" s="91" ph="1">
        <f>L24*18.322*LOOKUP(L26,密度!$A$2:$A$50,密度!$Q$2:$Q$50)</f>
        <v>97180.644698599994</v>
      </c>
      <c r="M25" s="91" ph="1">
        <f>M24*18.322*LOOKUP(M26,密度!$A$2:$A$50,密度!$Q$2:$Q$50)</f>
        <v>33237.373683760001</v>
      </c>
      <c r="N25" s="91" ph="1">
        <f>N24*18.322*LOOKUP(N26,密度!$A$2:$A$50,密度!$Q$2:$Q$50)</f>
        <v>9498.5725896800013</v>
      </c>
      <c r="O25" s="91" ph="1">
        <f>O24*18.322*LOOKUP(O26,密度!$A$2:$A$50,密度!$C$2:$C$50)</f>
        <v>87768.175248600004</v>
      </c>
      <c r="P25" s="91" ph="1">
        <f>P24*11.702*LOOKUP(P26,密度!$A$2:$A$50,密度!$B$2:$B$50)</f>
        <v>8811.6902544000004</v>
      </c>
      <c r="Q25" s="92" ph="1">
        <f>Q24*18.322*LOOKUP(Q26,密度!$A$2:$A$50,密度!$B$2:$B$50)</f>
        <v>64788.918893999995</v>
      </c>
      <c r="R25" s="91" ph="1">
        <f>R24*35.891*LOOKUP(R26,密度!$A$2:$A$50,密度!$C$2:$C$50)</f>
        <v>35855.482266400002</v>
      </c>
      <c r="S25" s="91" ph="1">
        <f>S24*35.891*LOOKUP(S26,密度!$A$2:$A$50,密度!$B$2:$B$50)</f>
        <v>196410.303201</v>
      </c>
      <c r="T25" s="91" ph="1">
        <f>T24*35.891*LOOKUP(T26,密度!$A$2:$A$50,密度!$Q$2:$Q$50)</f>
        <v>57500.092488319999</v>
      </c>
      <c r="U25" s="91" ph="1">
        <f>U24*35.891</f>
        <v>217032.87699999998</v>
      </c>
      <c r="V25" s="91" ph="1">
        <f>V24*47.051*LOOKUP(V26,密度!$A$2:$A$50,密度!$B$2:$B$50)</f>
        <v>409712.53278900002</v>
      </c>
      <c r="W25" s="91" ph="1">
        <f>W24*47.051*LOOKUP(W26,密度!$A$2:$A$50,密度!$B$2:$B$50)</f>
        <v>428500.73108460003</v>
      </c>
      <c r="X25" s="91" ph="1">
        <f>X24*47.051*LOOKUP(X26,密度!$A$2:$A$50,密度!$I$2:$I$50)</f>
        <v>243949.95751707</v>
      </c>
      <c r="Y25" s="91" ph="1">
        <f>Y24*47.051*LOOKUP(Y26,密度!$A$2:$A$50,密度!$L$2:$L$50)</f>
        <v>159356.46728800001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26</v>
      </c>
      <c r="G26" s="74">
        <v>28</v>
      </c>
      <c r="H26" s="74">
        <v>27</v>
      </c>
      <c r="I26" s="74">
        <v>27</v>
      </c>
      <c r="J26" s="74">
        <v>29</v>
      </c>
      <c r="K26" s="74">
        <v>28</v>
      </c>
      <c r="L26" s="74">
        <v>28</v>
      </c>
      <c r="M26" s="74">
        <v>27</v>
      </c>
      <c r="N26" s="74">
        <v>26</v>
      </c>
      <c r="O26" s="74">
        <v>26</v>
      </c>
      <c r="P26" s="74">
        <v>27</v>
      </c>
      <c r="Q26" s="93">
        <v>28</v>
      </c>
      <c r="R26" s="74">
        <v>30</v>
      </c>
      <c r="S26" s="74">
        <v>28</v>
      </c>
      <c r="T26" s="74">
        <v>28</v>
      </c>
      <c r="U26" s="74">
        <v>29</v>
      </c>
      <c r="V26" s="74">
        <v>28</v>
      </c>
      <c r="W26" s="74">
        <v>29</v>
      </c>
      <c r="X26" s="74">
        <v>31</v>
      </c>
      <c r="Y26" s="74">
        <v>30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85.51</v>
      </c>
      <c r="E27" s="71">
        <v>55.21</v>
      </c>
      <c r="F27" s="71">
        <v>3752</v>
      </c>
      <c r="G27" s="71">
        <v>0</v>
      </c>
      <c r="H27" s="71">
        <v>2509</v>
      </c>
      <c r="I27" s="71">
        <v>3290</v>
      </c>
      <c r="J27" s="71">
        <v>417</v>
      </c>
      <c r="K27" s="71">
        <v>4924</v>
      </c>
      <c r="L27" s="71">
        <v>5610</v>
      </c>
      <c r="M27" s="71">
        <v>1915</v>
      </c>
      <c r="N27" s="71">
        <v>543</v>
      </c>
      <c r="O27" s="71">
        <v>4318</v>
      </c>
      <c r="P27" s="71">
        <v>964</v>
      </c>
      <c r="Q27" s="90">
        <v>4801</v>
      </c>
      <c r="R27" s="71">
        <v>368</v>
      </c>
      <c r="S27" s="71">
        <v>7040</v>
      </c>
      <c r="T27" s="71">
        <v>1693</v>
      </c>
      <c r="U27" s="71">
        <v>6134</v>
      </c>
      <c r="V27" s="71">
        <v>10984</v>
      </c>
      <c r="W27" s="71">
        <v>11731</v>
      </c>
      <c r="X27" s="71">
        <v>5601</v>
      </c>
      <c r="Y27" s="71">
        <v>4208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23233.782364632003</v>
      </c>
      <c r="E28" s="91" ph="1">
        <f>E27*268.68*LOOKUP(E29,密度!$A$2:$A$50,密度!$C$2:$C$50)+IF(E27&lt;=0,0,1566*LOOKUP(E29,密度!$A$2:$A$50,密度!$C$2:$C$50))</f>
        <v>18185.763502919999</v>
      </c>
      <c r="F28" s="91" ph="1">
        <f>F27*11.702*LOOKUP(F29,密度!$A$2:$A$50,密度!$Q$2:$Q$50)</f>
        <v>41326.432140000004</v>
      </c>
      <c r="G28" s="91" ph="1">
        <f>G27*18.322*LOOKUP(G29,密度!$A$2:$A$50,密度!$B$2:$B$50)</f>
        <v>0</v>
      </c>
      <c r="H28" s="91" ph="1">
        <f>H27*18.322*LOOKUP(H29,密度!$A$2:$A$50,密度!$B$2:$B$50)</f>
        <v>35557.716102999999</v>
      </c>
      <c r="I28" s="91" ph="1">
        <f>I27*18.322*LOOKUP(I29,密度!$A$2:$A$50,密度!$Q$2:$Q$50)</f>
        <v>56777.148021999994</v>
      </c>
      <c r="J28" s="91" ph="1">
        <f>J27*18.322*LOOKUP(J29,密度!$A$2:$A$50,密度!$Q$2:$Q$50)</f>
        <v>7201.5694669199993</v>
      </c>
      <c r="K28" s="91" ph="1">
        <f>K27*18.322*LOOKUP(K29,密度!$A$2:$A$50,密度!$Q$2:$Q$50)</f>
        <v>85037.237542239993</v>
      </c>
      <c r="L28" s="91" ph="1">
        <f>L27*18.322*LOOKUP(L29,密度!$A$2:$A$50,密度!$Q$2:$Q$50)</f>
        <v>96679.8787878</v>
      </c>
      <c r="M28" s="91" ph="1">
        <f>M27*18.322*LOOKUP(M29,密度!$A$2:$A$50,密度!$Q$2:$Q$50)</f>
        <v>33025.290487500002</v>
      </c>
      <c r="N28" s="91" ph="1">
        <f>N27*18.322*LOOKUP(N29,密度!$A$2:$A$50,密度!$Q$2:$Q$50)</f>
        <v>9364.3512974999994</v>
      </c>
      <c r="O28" s="91" ph="1">
        <f>O27*18.322*LOOKUP(O29,密度!$A$2:$A$50,密度!$C$2:$C$50)</f>
        <v>87097.038556399988</v>
      </c>
      <c r="P28" s="91" ph="1">
        <f>P27*11.702*LOOKUP(P29,密度!$A$2:$A$50,密度!$B$2:$B$50)</f>
        <v>8706.4658703999994</v>
      </c>
      <c r="Q28" s="92" ph="1">
        <f>Q27*18.322*LOOKUP(Q29,密度!$A$2:$A$50,密度!$B$2:$B$50)</f>
        <v>68040.093666999994</v>
      </c>
      <c r="R28" s="91" ph="1">
        <f>R27*35.891*LOOKUP(R29,密度!$A$2:$A$50,密度!$C$2:$C$50)</f>
        <v>14568.300463999998</v>
      </c>
      <c r="S28" s="91" ph="1">
        <f>S27*35.891*LOOKUP(S29,密度!$A$2:$A$50,密度!$B$2:$B$50)</f>
        <v>195442.28703999997</v>
      </c>
      <c r="T28" s="91" ph="1">
        <f>T27*35.891*LOOKUP(T29,密度!$A$2:$A$50,密度!$Q$2:$Q$50)</f>
        <v>57193.609548749999</v>
      </c>
      <c r="U28" s="91" ph="1">
        <f>U27*35.891</f>
        <v>220155.394</v>
      </c>
      <c r="V28" s="91" ph="1">
        <f>V27*47.051*LOOKUP(V29,密度!$A$2:$A$50,密度!$B$2:$B$50)</f>
        <v>399751.13032399997</v>
      </c>
      <c r="W28" s="91" ph="1">
        <f>W27*47.051*LOOKUP(W29,密度!$A$2:$A$50,密度!$B$2:$B$50)</f>
        <v>426937.40985350002</v>
      </c>
      <c r="X28" s="91" ph="1">
        <f>X27*47.051*LOOKUP(X29,密度!$A$2:$A$50,密度!$I$2:$I$50)</f>
        <v>272013.13170918002</v>
      </c>
      <c r="Y28" s="91" ph="1">
        <f>Y27*47.051*LOOKUP(Y29,密度!$A$2:$A$50,密度!$L$2:$L$50)</f>
        <v>184131.26544000002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33</v>
      </c>
      <c r="G29" s="74">
        <v>32</v>
      </c>
      <c r="H29" s="74">
        <v>32</v>
      </c>
      <c r="I29" s="74">
        <v>32</v>
      </c>
      <c r="J29" s="74">
        <v>31</v>
      </c>
      <c r="K29" s="74">
        <v>31</v>
      </c>
      <c r="L29" s="74">
        <v>34</v>
      </c>
      <c r="M29" s="74">
        <v>33</v>
      </c>
      <c r="N29" s="74">
        <v>33</v>
      </c>
      <c r="O29" s="74">
        <v>34</v>
      </c>
      <c r="P29" s="74">
        <v>34</v>
      </c>
      <c r="Q29" s="93">
        <v>32</v>
      </c>
      <c r="R29" s="74">
        <v>32</v>
      </c>
      <c r="S29" s="74">
        <v>32</v>
      </c>
      <c r="T29" s="74">
        <v>33</v>
      </c>
      <c r="U29" s="74">
        <v>34</v>
      </c>
      <c r="V29" s="74">
        <v>32</v>
      </c>
      <c r="W29" s="74">
        <v>32</v>
      </c>
      <c r="X29" s="74">
        <v>34</v>
      </c>
      <c r="Y29" s="74">
        <v>32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21831.192207</v>
      </c>
      <c r="E33" s="182" ph="1">
        <f>M10+I10</f>
        <v>103329.4140127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08" ph="1">
        <v>0</v>
      </c>
      <c r="H33" s="182" ph="1">
        <f>N19</f>
        <v>36265.513649599998</v>
      </c>
      <c r="I33" s="186" ph="1">
        <v>0</v>
      </c>
      <c r="J33" s="190" ph="1">
        <f>F10+O28</f>
        <v>338143.50952819997</v>
      </c>
      <c r="K33" s="182" ph="1">
        <f>O10+K10+E28+R28</f>
        <v>180898.28708691997</v>
      </c>
      <c r="L33" s="192" ph="1">
        <f>BE27</f>
        <v>7100</v>
      </c>
      <c r="M33" s="190" ph="1">
        <f>G10+H10+W28+S28+V28+E10</f>
        <v>2072488.5731835002</v>
      </c>
      <c r="N33" s="182" ph="1">
        <f>L10+P10++G28+H28</f>
        <v>115736.90232999998</v>
      </c>
      <c r="O33" s="186" ph="1">
        <f>BE17</f>
        <v>2270</v>
      </c>
      <c r="P33" s="190" ph="1">
        <f>L19</f>
        <v>45858.815607696</v>
      </c>
      <c r="Q33" s="182" ph="1">
        <f>J10+N10</f>
        <v>181105.19036380004</v>
      </c>
      <c r="R33" s="186" ph="1">
        <f>BE23</f>
        <v>890</v>
      </c>
      <c r="S33" s="190" ph="1">
        <f>E10+X28</f>
        <v>589491.1518931801</v>
      </c>
      <c r="T33" s="182" ph="1">
        <f>X19</f>
        <v>3286.7612779440005</v>
      </c>
      <c r="U33" s="171" ph="1">
        <f>BE21</f>
        <v>730</v>
      </c>
      <c r="V33" s="184" ph="1">
        <f ca="1">P19+Q19+S19+M28+N28+J28</f>
        <v>167632.86511441797</v>
      </c>
      <c r="W33" s="184" ph="1">
        <f>D28+F28+V19+T28</f>
        <v>125818.34936290201</v>
      </c>
      <c r="X33" s="186" ph="1">
        <f>BE29+BE31</f>
        <v>10200</v>
      </c>
      <c r="Y33" s="188" ph="1">
        <f>+Q10+R10+S10+T10+U10+V10+W10+X10+Y10</f>
        <v>155276.35324740002</v>
      </c>
      <c r="Z33" s="169" ph="1">
        <f>D10+T19+U19+Y28+Z10</f>
        <v>304437.88531317003</v>
      </c>
      <c r="AA33" s="171" ph="1">
        <f>BE19</f>
        <v>1440</v>
      </c>
      <c r="AB33" s="173" ph="1">
        <f>I19</f>
        <v>36377.766451599993</v>
      </c>
      <c r="AC33" s="175" ph="1">
        <f>AD10</f>
        <v>80340.529449599999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891" priority="97">
      <formula>ABS(D$7-D$10)&gt;=1000</formula>
    </cfRule>
  </conditionalFormatting>
  <conditionalFormatting sqref="E4 E6:E11">
    <cfRule type="expression" dxfId="890" priority="96">
      <formula>ABS(E$7-E$10)&gt;=1000</formula>
    </cfRule>
  </conditionalFormatting>
  <conditionalFormatting sqref="F4:F11">
    <cfRule type="expression" dxfId="889" priority="95">
      <formula>ABS(F$7-F$10)&gt;=1000</formula>
    </cfRule>
  </conditionalFormatting>
  <conditionalFormatting sqref="G4:G11">
    <cfRule type="expression" dxfId="888" priority="94">
      <formula>ABS(G$7-G$10)&gt;=1000</formula>
    </cfRule>
  </conditionalFormatting>
  <conditionalFormatting sqref="H4:H11">
    <cfRule type="expression" dxfId="887" priority="93">
      <formula>ABS(H$7-H$10)&gt;=1000</formula>
    </cfRule>
  </conditionalFormatting>
  <conditionalFormatting sqref="I4:I11">
    <cfRule type="expression" dxfId="886" priority="92">
      <formula>ABS(I$7-I$10)&gt;=1000</formula>
    </cfRule>
  </conditionalFormatting>
  <conditionalFormatting sqref="J4:J11">
    <cfRule type="expression" dxfId="885" priority="91">
      <formula>ABS(J$7-J$10)&gt;=1000</formula>
    </cfRule>
  </conditionalFormatting>
  <conditionalFormatting sqref="K4:K11">
    <cfRule type="expression" dxfId="884" priority="90">
      <formula>ABS(K$7-K$10)&gt;=1000</formula>
    </cfRule>
  </conditionalFormatting>
  <conditionalFormatting sqref="L4:L11">
    <cfRule type="expression" dxfId="883" priority="89">
      <formula>ABS(L$7-L$10)&gt;=1000</formula>
    </cfRule>
  </conditionalFormatting>
  <conditionalFormatting sqref="M4 M6:M11">
    <cfRule type="expression" dxfId="882" priority="88">
      <formula>ABS(M$7-M$10)&gt;=1000</formula>
    </cfRule>
  </conditionalFormatting>
  <conditionalFormatting sqref="N4 N6:N11">
    <cfRule type="expression" dxfId="881" priority="87">
      <formula>ABS(N$7-N$10)&gt;=1000</formula>
    </cfRule>
  </conditionalFormatting>
  <conditionalFormatting sqref="O4 O6:O11">
    <cfRule type="expression" dxfId="880" priority="86">
      <formula>ABS(O$7-O$10)&gt;=1000</formula>
    </cfRule>
  </conditionalFormatting>
  <conditionalFormatting sqref="P4 P6:P11">
    <cfRule type="expression" dxfId="879" priority="85">
      <formula>ABS(P$7-P$10)&gt;=1000</formula>
    </cfRule>
  </conditionalFormatting>
  <conditionalFormatting sqref="Q4:Q11">
    <cfRule type="expression" dxfId="878" priority="84">
      <formula>ABS(Q$7-Q$10)&gt;=1000</formula>
    </cfRule>
  </conditionalFormatting>
  <conditionalFormatting sqref="R4:R11">
    <cfRule type="expression" dxfId="877" priority="83">
      <formula>ABS(R$7-R$10)&gt;=1000</formula>
    </cfRule>
  </conditionalFormatting>
  <conditionalFormatting sqref="S4:S11">
    <cfRule type="expression" dxfId="876" priority="82">
      <formula>ABS(S$7-S$10)&gt;=1000</formula>
    </cfRule>
  </conditionalFormatting>
  <conditionalFormatting sqref="T4:T9 T11">
    <cfRule type="expression" dxfId="875" priority="81">
      <formula>ABS(T$7-T$10)&gt;=1000</formula>
    </cfRule>
  </conditionalFormatting>
  <conditionalFormatting sqref="U4:U9 U11">
    <cfRule type="expression" dxfId="874" priority="80">
      <formula>ABS(U$7-U$10)&gt;=1000</formula>
    </cfRule>
  </conditionalFormatting>
  <conditionalFormatting sqref="V4:V9 V11">
    <cfRule type="expression" dxfId="873" priority="79">
      <formula>ABS(V$7-V$10)&gt;=1000</formula>
    </cfRule>
  </conditionalFormatting>
  <conditionalFormatting sqref="W4:W9 W11">
    <cfRule type="expression" dxfId="872" priority="78">
      <formula>ABS(W$7-W$10)&gt;=1000</formula>
    </cfRule>
  </conditionalFormatting>
  <conditionalFormatting sqref="X4:X9 X11">
    <cfRule type="expression" dxfId="871" priority="77">
      <formula>ABS(X$7-X$10)&gt;=1000</formula>
    </cfRule>
  </conditionalFormatting>
  <conditionalFormatting sqref="Y4:Y9 Y11">
    <cfRule type="expression" dxfId="870" priority="76">
      <formula>ABS(Y$7-Y$10)&gt;=1000</formula>
    </cfRule>
  </conditionalFormatting>
  <conditionalFormatting sqref="Z4:Z11">
    <cfRule type="expression" dxfId="869" priority="75">
      <formula>ABS(Z$7-Z$10)&gt;=1000</formula>
    </cfRule>
  </conditionalFormatting>
  <conditionalFormatting sqref="AA4:AA11">
    <cfRule type="expression" dxfId="868" priority="74">
      <formula>ABS(AA$7-AA$10)&gt;=1000</formula>
    </cfRule>
  </conditionalFormatting>
  <conditionalFormatting sqref="AB4:AB11">
    <cfRule type="expression" dxfId="867" priority="73">
      <formula>ABS(AB$7-AB$10)&gt;=1000</formula>
    </cfRule>
  </conditionalFormatting>
  <conditionalFormatting sqref="AC4 AC6:AC11">
    <cfRule type="expression" dxfId="866" priority="72">
      <formula>ABS(AC$7-AC$10)&gt;=1000</formula>
    </cfRule>
  </conditionalFormatting>
  <conditionalFormatting sqref="AD4:AD11">
    <cfRule type="expression" dxfId="865" priority="71">
      <formula>ABS(AD$7-AD$10)&gt;=1000</formula>
    </cfRule>
  </conditionalFormatting>
  <conditionalFormatting sqref="AE4:AE11">
    <cfRule type="expression" dxfId="864" priority="70">
      <formula>ABS(AE$7-AE$10)&gt;=1000</formula>
    </cfRule>
  </conditionalFormatting>
  <conditionalFormatting sqref="D13:D20">
    <cfRule type="expression" dxfId="863" priority="69">
      <formula>ABS(D$16-D$19)&gt;=1000</formula>
    </cfRule>
  </conditionalFormatting>
  <conditionalFormatting sqref="E13:E20">
    <cfRule type="expression" dxfId="862" priority="68">
      <formula>ABS(E$16-E$19)&gt;=1000</formula>
    </cfRule>
  </conditionalFormatting>
  <conditionalFormatting sqref="F13 F15:F20">
    <cfRule type="expression" dxfId="861" priority="67">
      <formula>ABS(F$16-F$19)&gt;=1000</formula>
    </cfRule>
  </conditionalFormatting>
  <conditionalFormatting sqref="G13:G20">
    <cfRule type="expression" dxfId="860" priority="66">
      <formula>ABS(G$16-G$19)&gt;=1000</formula>
    </cfRule>
  </conditionalFormatting>
  <conditionalFormatting sqref="H13:H20">
    <cfRule type="expression" dxfId="859" priority="65">
      <formula>ABS(H$16-H$19)&gt;=1000</formula>
    </cfRule>
  </conditionalFormatting>
  <conditionalFormatting sqref="I13:I20">
    <cfRule type="expression" dxfId="858" priority="64">
      <formula>ABS(I$16-I$19)&gt;=1000</formula>
    </cfRule>
  </conditionalFormatting>
  <conditionalFormatting sqref="J13:J20">
    <cfRule type="expression" dxfId="857" priority="63">
      <formula>ABS(J$16-J$19)&gt;=1000</formula>
    </cfRule>
  </conditionalFormatting>
  <conditionalFormatting sqref="L13:L20">
    <cfRule type="expression" dxfId="856" priority="62">
      <formula>ABS(L$16-L$19)&gt;=1000</formula>
    </cfRule>
  </conditionalFormatting>
  <conditionalFormatting sqref="M13 M15 M17:M18 M20">
    <cfRule type="expression" dxfId="855" priority="61">
      <formula>ABS(M$16-M$19)&gt;=1000</formula>
    </cfRule>
  </conditionalFormatting>
  <conditionalFormatting sqref="N13:N20">
    <cfRule type="expression" dxfId="854" priority="60">
      <formula>ABS(N$16-N$19)&gt;=1000</formula>
    </cfRule>
  </conditionalFormatting>
  <conditionalFormatting sqref="O13:O20">
    <cfRule type="expression" dxfId="853" priority="59">
      <formula>ABS(O$16-O$19)&gt;=1000</formula>
    </cfRule>
  </conditionalFormatting>
  <conditionalFormatting sqref="P13:P20">
    <cfRule type="expression" dxfId="852" priority="58">
      <formula>ABS(P$16-P$19)&gt;=1000</formula>
    </cfRule>
  </conditionalFormatting>
  <conditionalFormatting sqref="Q13 Q15:Q20">
    <cfRule type="expression" dxfId="851" priority="57">
      <formula>ABS(Q$16-Q$19)&gt;=1000</formula>
    </cfRule>
  </conditionalFormatting>
  <conditionalFormatting sqref="R13:R20">
    <cfRule type="expression" dxfId="850" priority="56">
      <formula>ABS(R$16-R$19)&gt;=1000</formula>
    </cfRule>
  </conditionalFormatting>
  <conditionalFormatting sqref="S13:S20">
    <cfRule type="expression" dxfId="849" priority="55">
      <formula>ABS(S$16-S$19)&gt;=1000</formula>
    </cfRule>
  </conditionalFormatting>
  <conditionalFormatting sqref="T13:T20">
    <cfRule type="expression" dxfId="848" priority="54">
      <formula>ABS(T$16-T$19)&gt;=1000</formula>
    </cfRule>
  </conditionalFormatting>
  <conditionalFormatting sqref="U13:U20">
    <cfRule type="expression" dxfId="847" priority="53">
      <formula>ABS(U$16-U$19)&gt;=1000</formula>
    </cfRule>
  </conditionalFormatting>
  <conditionalFormatting sqref="V13:V20">
    <cfRule type="expression" dxfId="846" priority="52">
      <formula>ABS(V$16-V$19)&gt;=1000</formula>
    </cfRule>
  </conditionalFormatting>
  <conditionalFormatting sqref="W13 W20 W15:W18">
    <cfRule type="expression" dxfId="845" priority="51">
      <formula>ABS(W$16-W$19)&gt;=1000</formula>
    </cfRule>
  </conditionalFormatting>
  <conditionalFormatting sqref="X13 X15:X20 Y19">
    <cfRule type="expression" dxfId="844" priority="50">
      <formula>ABS(X$16-X$19)&gt;=1000</formula>
    </cfRule>
  </conditionalFormatting>
  <conditionalFormatting sqref="Y13 Y15:Y18 Y20">
    <cfRule type="expression" dxfId="843" priority="49">
      <formula>ABS(Y$16-Y$19)&gt;=1000</formula>
    </cfRule>
  </conditionalFormatting>
  <conditionalFormatting sqref="Z13:Z20">
    <cfRule type="expression" dxfId="842" priority="48">
      <formula>ABS(Z$16-Z$19)&gt;=1000</formula>
    </cfRule>
  </conditionalFormatting>
  <conditionalFormatting sqref="AA13:AA20">
    <cfRule type="expression" dxfId="841" priority="47">
      <formula>ABS(AA$16-AA$19)&gt;=1000</formula>
    </cfRule>
  </conditionalFormatting>
  <conditionalFormatting sqref="AB13 AB15:AB20">
    <cfRule type="expression" dxfId="840" priority="46">
      <formula>ABS(AB$16-AB$19)&gt;=1000</formula>
    </cfRule>
  </conditionalFormatting>
  <conditionalFormatting sqref="AC13 AC15:AC20">
    <cfRule type="expression" dxfId="839" priority="45">
      <formula>ABS(AC$16-AC$19)&gt;=1000</formula>
    </cfRule>
  </conditionalFormatting>
  <conditionalFormatting sqref="AD13:AD20">
    <cfRule type="expression" dxfId="838" priority="44">
      <formula>ABS(AD$16-AD$19)&gt;=1000</formula>
    </cfRule>
  </conditionalFormatting>
  <conditionalFormatting sqref="AE13:AE20">
    <cfRule type="expression" dxfId="837" priority="43">
      <formula>ABS(AE$16-AE$19)&gt;=1000</formula>
    </cfRule>
  </conditionalFormatting>
  <conditionalFormatting sqref="D22:D29">
    <cfRule type="expression" dxfId="836" priority="42">
      <formula>ABS(D$25-D$28)&gt;=1000</formula>
    </cfRule>
  </conditionalFormatting>
  <conditionalFormatting sqref="E22:E29">
    <cfRule type="expression" dxfId="835" priority="41">
      <formula>ABS(E$25-E$28)&gt;=1000</formula>
    </cfRule>
  </conditionalFormatting>
  <conditionalFormatting sqref="F22:F29">
    <cfRule type="expression" dxfId="834" priority="40">
      <formula>ABS(F$25-F$28)&gt;=1000</formula>
    </cfRule>
  </conditionalFormatting>
  <conditionalFormatting sqref="G22:G29">
    <cfRule type="expression" dxfId="833" priority="39">
      <formula>ABS(G$25-G$28)&gt;=1000</formula>
    </cfRule>
  </conditionalFormatting>
  <conditionalFormatting sqref="H22:H29">
    <cfRule type="expression" dxfId="832" priority="38">
      <formula>ABS(H$25-H$28)&gt;=1000</formula>
    </cfRule>
  </conditionalFormatting>
  <conditionalFormatting sqref="I22 I24:I29">
    <cfRule type="expression" dxfId="831" priority="37">
      <formula>ABS(I$25-I$28)&gt;=1000</formula>
    </cfRule>
  </conditionalFormatting>
  <conditionalFormatting sqref="J22:J29 K22">
    <cfRule type="expression" dxfId="830" priority="36">
      <formula>ABS(J$25-J$28)&gt;=1000</formula>
    </cfRule>
  </conditionalFormatting>
  <conditionalFormatting sqref="K23:K29 L25 L28">
    <cfRule type="expression" dxfId="829" priority="35">
      <formula>ABS(K$25-K$28)&gt;=1000</formula>
    </cfRule>
  </conditionalFormatting>
  <conditionalFormatting sqref="L22 L26:L27 L29 L24">
    <cfRule type="expression" dxfId="828" priority="34">
      <formula>ABS(L$25-L$28)&gt;=1000</formula>
    </cfRule>
  </conditionalFormatting>
  <conditionalFormatting sqref="M22:M29">
    <cfRule type="expression" dxfId="827" priority="33">
      <formula>ABS(M$25-M$28)&gt;=1000</formula>
    </cfRule>
  </conditionalFormatting>
  <conditionalFormatting sqref="N22:N29">
    <cfRule type="expression" dxfId="826" priority="32">
      <formula>ABS(N$25-N$28)&gt;=1000</formula>
    </cfRule>
  </conditionalFormatting>
  <conditionalFormatting sqref="O22:O29">
    <cfRule type="expression" dxfId="825" priority="31">
      <formula>ABS(O$25-O$28)&gt;=1000</formula>
    </cfRule>
  </conditionalFormatting>
  <conditionalFormatting sqref="P22:P29">
    <cfRule type="expression" dxfId="824" priority="30">
      <formula>ABS(P$25-P$28)&gt;=1000</formula>
    </cfRule>
  </conditionalFormatting>
  <conditionalFormatting sqref="Q22:Q29">
    <cfRule type="expression" dxfId="823" priority="29">
      <formula>ABS(Q$25-Q$28)&gt;=1000</formula>
    </cfRule>
  </conditionalFormatting>
  <conditionalFormatting sqref="R22:R29">
    <cfRule type="expression" dxfId="822" priority="28">
      <formula>ABS(R$25-R$28)&gt;=1000</formula>
    </cfRule>
  </conditionalFormatting>
  <conditionalFormatting sqref="S22:S29">
    <cfRule type="expression" dxfId="821" priority="27">
      <formula>ABS(S$25-S$28)&gt;=1000</formula>
    </cfRule>
  </conditionalFormatting>
  <conditionalFormatting sqref="T22:T29">
    <cfRule type="expression" dxfId="820" priority="26">
      <formula>ABS(T$25-T$28)&gt;=1000</formula>
    </cfRule>
  </conditionalFormatting>
  <conditionalFormatting sqref="U22:U29">
    <cfRule type="expression" dxfId="819" priority="25">
      <formula>ABS(U$25-U$28)&gt;=1000</formula>
    </cfRule>
  </conditionalFormatting>
  <conditionalFormatting sqref="V22:V29">
    <cfRule type="expression" dxfId="818" priority="24">
      <formula>ABS(V$25-V$28)&gt;=1000</formula>
    </cfRule>
  </conditionalFormatting>
  <conditionalFormatting sqref="W22:W29">
    <cfRule type="expression" dxfId="817" priority="23">
      <formula>ABS(W$25-W$28)&gt;=1000</formula>
    </cfRule>
  </conditionalFormatting>
  <conditionalFormatting sqref="X22:X29">
    <cfRule type="expression" dxfId="816" priority="22">
      <formula>ABS(X$25-X$28)&gt;=1000</formula>
    </cfRule>
  </conditionalFormatting>
  <conditionalFormatting sqref="Y22:Y29">
    <cfRule type="expression" dxfId="815" priority="21">
      <formula>ABS(Y$25-Y$28)&gt;=1000</formula>
    </cfRule>
  </conditionalFormatting>
  <conditionalFormatting sqref="I23">
    <cfRule type="expression" dxfId="814" priority="20">
      <formula>ABS(I$25-I$28)&gt;=1000</formula>
    </cfRule>
  </conditionalFormatting>
  <conditionalFormatting sqref="Q14">
    <cfRule type="expression" dxfId="813" priority="19">
      <formula>ABS(Q$16-Q$19)&gt;=1000</formula>
    </cfRule>
  </conditionalFormatting>
  <conditionalFormatting sqref="W14">
    <cfRule type="expression" dxfId="812" priority="18">
      <formula>ABS(W$16-W$19)&gt;=1000</formula>
    </cfRule>
  </conditionalFormatting>
  <conditionalFormatting sqref="Y14">
    <cfRule type="expression" dxfId="811" priority="17">
      <formula>ABS(Y$16-Y$19)&gt;=1000</formula>
    </cfRule>
  </conditionalFormatting>
  <conditionalFormatting sqref="X14">
    <cfRule type="expression" dxfId="810" priority="16">
      <formula>ABS(X$16-X$19)&gt;=1000</formula>
    </cfRule>
  </conditionalFormatting>
  <conditionalFormatting sqref="T10:Y10">
    <cfRule type="expression" dxfId="809" priority="15">
      <formula>ABS(T$7-T$10)&gt;=1000</formula>
    </cfRule>
  </conditionalFormatting>
  <conditionalFormatting sqref="W19">
    <cfRule type="expression" dxfId="808" priority="14">
      <formula>ABS(W$16-W$19)&gt;=1000</formula>
    </cfRule>
  </conditionalFormatting>
  <conditionalFormatting sqref="AC5">
    <cfRule type="expression" dxfId="807" priority="13">
      <formula>ABS(AC$7-AC$10)&gt;=1000</formula>
    </cfRule>
  </conditionalFormatting>
  <conditionalFormatting sqref="M14">
    <cfRule type="expression" dxfId="806" priority="12">
      <formula>ABS(M$16-M$19)&gt;=1000</formula>
    </cfRule>
  </conditionalFormatting>
  <conditionalFormatting sqref="M16">
    <cfRule type="expression" dxfId="805" priority="11">
      <formula>ABS(M$16-M$19)&gt;=1000</formula>
    </cfRule>
  </conditionalFormatting>
  <conditionalFormatting sqref="M19">
    <cfRule type="expression" dxfId="804" priority="10">
      <formula>ABS(M$16-M$19)&gt;=1000</formula>
    </cfRule>
  </conditionalFormatting>
  <conditionalFormatting sqref="K13:K20">
    <cfRule type="expression" dxfId="803" priority="9">
      <formula>ABS(K$16-K$19)&gt;=1000</formula>
    </cfRule>
  </conditionalFormatting>
  <conditionalFormatting sqref="E5">
    <cfRule type="expression" dxfId="802" priority="8">
      <formula>ABS(E$7-E$10)&gt;=1000</formula>
    </cfRule>
  </conditionalFormatting>
  <conditionalFormatting sqref="AB14:AC14">
    <cfRule type="expression" dxfId="801" priority="7">
      <formula>ABS(AB$16-AB$19)&gt;=1000</formula>
    </cfRule>
  </conditionalFormatting>
  <conditionalFormatting sqref="M5">
    <cfRule type="expression" dxfId="800" priority="6">
      <formula>ABS(M$7-M$10)&gt;=1000</formula>
    </cfRule>
  </conditionalFormatting>
  <conditionalFormatting sqref="N5">
    <cfRule type="expression" dxfId="799" priority="5">
      <formula>ABS(N$7-N$10)&gt;=1000</formula>
    </cfRule>
  </conditionalFormatting>
  <conditionalFormatting sqref="O5">
    <cfRule type="expression" dxfId="798" priority="4">
      <formula>ABS(O$7-O$10)&gt;=1000</formula>
    </cfRule>
  </conditionalFormatting>
  <conditionalFormatting sqref="P5">
    <cfRule type="expression" dxfId="797" priority="3">
      <formula>ABS(P$7-P$10)&gt;=1000</formula>
    </cfRule>
  </conditionalFormatting>
  <conditionalFormatting sqref="L23">
    <cfRule type="expression" dxfId="796" priority="2">
      <formula>ABS(L$25-L$28)&gt;=1000</formula>
    </cfRule>
  </conditionalFormatting>
  <conditionalFormatting sqref="F14">
    <cfRule type="expression" dxfId="795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17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07">
    <pageSetUpPr fitToPage="1"/>
  </sheetPr>
  <dimension ref="A1:CU223"/>
  <sheetViews>
    <sheetView view="pageBreakPreview" zoomScale="80" zoomScaleNormal="100" zoomScaleSheetLayoutView="80" workbookViewId="0">
      <selection activeCell="J17" sqref="J1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45891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70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470</v>
      </c>
      <c r="E6" s="71">
        <v>7996</v>
      </c>
      <c r="F6" s="71">
        <v>6843</v>
      </c>
      <c r="G6" s="71">
        <v>9251</v>
      </c>
      <c r="H6" s="71">
        <v>9237</v>
      </c>
      <c r="I6" s="71">
        <v>29.11</v>
      </c>
      <c r="J6" s="71">
        <v>56.92</v>
      </c>
      <c r="K6" s="71">
        <v>85.21</v>
      </c>
      <c r="L6" s="71">
        <v>23.05</v>
      </c>
      <c r="M6" s="71">
        <v>2803</v>
      </c>
      <c r="N6" s="71">
        <v>6535</v>
      </c>
      <c r="O6" s="71">
        <v>5380</v>
      </c>
      <c r="P6" s="71">
        <v>1966</v>
      </c>
      <c r="Q6" s="71">
        <v>6767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3646</v>
      </c>
      <c r="Y6" s="71">
        <v>4788</v>
      </c>
      <c r="Z6" s="71">
        <v>1896</v>
      </c>
      <c r="AA6" s="71">
        <v>555</v>
      </c>
      <c r="AB6" s="71">
        <v>151</v>
      </c>
      <c r="AC6" s="71">
        <v>4216</v>
      </c>
      <c r="AD6" s="71">
        <v>4104</v>
      </c>
      <c r="AE6" s="71">
        <v>2800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14721.541719300001</v>
      </c>
      <c r="E7" s="73" ph="1">
        <f>E6*51.53*LOOKUP(E8,密度!$A$2:$A$50,密度!$B$2:$B$50)</f>
        <v>319820.69765600003</v>
      </c>
      <c r="F7" s="73" ph="1">
        <f>F6*33.183*LOOKUP(F8,密度!$A$2:$A$50,密度!$C$2:$C$50)</f>
        <v>251277.06627539999</v>
      </c>
      <c r="G7" s="73" ph="1">
        <f xml:space="preserve"> (G6+2)*51.53*LOOKUP(G8,密度!$A$2:$A$50,密度!$B$2:$B$50)</f>
        <v>370097.66325800004</v>
      </c>
      <c r="H7" s="73" ph="1">
        <f>(H6)*51.53*LOOKUP(H8,密度!$A$2:$A$50,密度!$B$2:$B$50)</f>
        <v>370647.65840699995</v>
      </c>
      <c r="I7" s="73" ph="1">
        <f>I6*290.8*1.0267</f>
        <v>8691.2085195999989</v>
      </c>
      <c r="J7" s="73" ph="1">
        <f>J6*290.8*0.7892</f>
        <v>13063.103571199999</v>
      </c>
      <c r="K7" s="73" ph="1">
        <f>K6*290.8*1.1126</f>
        <v>27569.191056799998</v>
      </c>
      <c r="L7" s="73" ph="1">
        <f>L6*290.8*0.777</f>
        <v>5208.1843800000006</v>
      </c>
      <c r="M7" s="73" ph="1">
        <f>M6*33.183*LOOKUP(M8,密度!$A$2:$A$50,密度!$D$2:$D$50)</f>
        <v>94890.790369799986</v>
      </c>
      <c r="N7" s="73" ph="1">
        <f>N6*33.183*LOOKUP(N8,密度!$A$2:$A$50,密度!$E$2:$E$50)</f>
        <v>168373.88518724998</v>
      </c>
      <c r="O7" s="73" ph="1">
        <f>O6*20.428*LOOKUP(O8,密度!$A$2:$A$50,密度!$C$2:$C$50)</f>
        <v>120991.816376</v>
      </c>
      <c r="P7" s="73" ph="1">
        <f>P6*51.53*LOOKUP(P8,密度!$A$2:$A$50,密度!$B$2:$B$50)</f>
        <v>78807.477641999998</v>
      </c>
      <c r="Q7" s="73" ph="1">
        <f>Q6*1.5*1.5*3.1416*LOOKUP(W8,密度!$A$2:$A$50,密度!$L$2:$L$50)</f>
        <v>44676.223930800006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24277.332895200001</v>
      </c>
      <c r="Y7" s="73" ph="1">
        <f>Y6*1.5*1.5*3.1416*LOOKUP(Y8,密度!$A$2:$A$50,密度!$L$2:$L$50)</f>
        <v>31576.8781944</v>
      </c>
      <c r="Z7" s="73" ph="1">
        <f>Z6*33.183*LOOKUP(Z8,密度!$A$2:$A$50,密度!$L$2:$L$50)</f>
        <v>58888.410048000005</v>
      </c>
      <c r="AA7" s="73" ph="1">
        <f>AA6*33.183*LOOKUP(AA8,密度!$A$2:$A$50,密度!$D$2:$D$50)</f>
        <v>18856.720903499998</v>
      </c>
      <c r="AB7" s="73" ph="1">
        <f>AB6*20.428*LOOKUP(AB8,密度!$A$2:$A$50,密度!$D$2:$D$50)</f>
        <v>3175.6245260000005</v>
      </c>
      <c r="AC7" s="73" ph="1">
        <f>AC6*51.53*LOOKUP(AC8,密度!$A$2:$A$50,密度!$Q$2:$Q$50)</f>
        <v>205525.47159440001</v>
      </c>
      <c r="AD7" s="73" ph="1">
        <f>AD6*20.428*LOOKUP(AD8,密度!$A$2:$A$50,密度!$V$2:$V$50)</f>
        <v>80281.843891199998</v>
      </c>
      <c r="AE7" s="73" ph="1">
        <f>AE6*20.428</f>
        <v>57198.400000000001</v>
      </c>
    </row>
    <row r="8" spans="1:99" ph="1">
      <c r="B8" s="233" ph="1"/>
      <c r="C8" s="68" t="s" ph="1">
        <v>180</v>
      </c>
      <c r="D8" s="74">
        <v>29</v>
      </c>
      <c r="E8" s="74">
        <v>29</v>
      </c>
      <c r="F8" s="74">
        <v>28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32</v>
      </c>
      <c r="N8" s="74">
        <v>31</v>
      </c>
      <c r="O8" s="74">
        <v>34</v>
      </c>
      <c r="P8" s="74">
        <v>27</v>
      </c>
      <c r="Q8" s="74">
        <v>29</v>
      </c>
      <c r="R8" s="74">
        <v>32</v>
      </c>
      <c r="S8" s="74">
        <v>26</v>
      </c>
      <c r="T8" s="74">
        <v>23</v>
      </c>
      <c r="U8" s="74">
        <v>27</v>
      </c>
      <c r="V8" s="74">
        <v>29</v>
      </c>
      <c r="W8" s="74">
        <v>28</v>
      </c>
      <c r="X8" s="74">
        <v>20</v>
      </c>
      <c r="Y8" s="74">
        <v>29</v>
      </c>
      <c r="Z8" s="74">
        <v>26</v>
      </c>
      <c r="AA8" s="74">
        <v>28</v>
      </c>
      <c r="AB8" s="74">
        <v>22</v>
      </c>
      <c r="AC8" s="74">
        <v>26</v>
      </c>
      <c r="AD8" s="74">
        <v>27</v>
      </c>
      <c r="AE8" s="74">
        <v>31</v>
      </c>
    </row>
    <row r="9" spans="1:99" ht="26.4" ph="1">
      <c r="B9" s="233" ph="1">
        <v>0.66666666666666663</v>
      </c>
      <c r="C9" s="150" t="s" ph="1">
        <v>181</v>
      </c>
      <c r="D9" s="71">
        <v>734</v>
      </c>
      <c r="E9" s="71">
        <v>7992</v>
      </c>
      <c r="F9" s="71">
        <v>6847</v>
      </c>
      <c r="G9" s="71">
        <v>9256</v>
      </c>
      <c r="H9" s="71">
        <v>9241</v>
      </c>
      <c r="I9" s="71">
        <v>29.13</v>
      </c>
      <c r="J9" s="71">
        <v>57.04</v>
      </c>
      <c r="K9" s="71">
        <v>85.21</v>
      </c>
      <c r="L9" s="71">
        <v>24.11</v>
      </c>
      <c r="M9" s="71">
        <v>2802</v>
      </c>
      <c r="N9" s="71">
        <v>6357</v>
      </c>
      <c r="O9" s="71">
        <v>5381</v>
      </c>
      <c r="P9" s="71">
        <v>1570</v>
      </c>
      <c r="Q9" s="71">
        <v>7194</v>
      </c>
      <c r="R9" s="71">
        <v>6775</v>
      </c>
      <c r="S9" s="71">
        <v>925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6299</v>
      </c>
      <c r="Z9" s="71">
        <v>2750</v>
      </c>
      <c r="AA9" s="71">
        <v>508</v>
      </c>
      <c r="AB9" s="71">
        <v>150</v>
      </c>
      <c r="AC9" s="71">
        <v>4233</v>
      </c>
      <c r="AD9" s="71">
        <v>4107</v>
      </c>
      <c r="AE9" s="71">
        <v>2743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22941.219691800001</v>
      </c>
      <c r="E10" s="73" ph="1">
        <f>E9*51.53*LOOKUP(E11,密度!$A$2:$A$50,密度!$B$2:$B$50)</f>
        <v>317478.02018400002</v>
      </c>
      <c r="F10" s="73" ph="1">
        <f>F9*33.183*LOOKUP(F11,密度!$A$2:$A$50,密度!$C$2:$C$50)</f>
        <v>251264.9047059</v>
      </c>
      <c r="G10" s="73" ph="1">
        <f xml:space="preserve"> (G9+2)*51.53*LOOKUP(G11,密度!$A$2:$A$50,密度!$B$2:$B$50)</f>
        <v>366910.49153399997</v>
      </c>
      <c r="H10" s="73" ph="1">
        <f>(H9)*51.53*LOOKUP(H11,密度!$A$2:$A$50,密度!$B$2:$B$50)</f>
        <v>364570.09168800001</v>
      </c>
      <c r="I10" s="73" ph="1">
        <f>I9*290.8*1.0267</f>
        <v>8697.1798068000007</v>
      </c>
      <c r="J10" s="73" ph="1">
        <f>J9*290.8*0.7892</f>
        <v>13090.643494399999</v>
      </c>
      <c r="K10" s="73" ph="1">
        <f>K9*290.8*1.1126</f>
        <v>27569.191056799998</v>
      </c>
      <c r="L10" s="73" ph="1">
        <f>L9*290.8*0.777</f>
        <v>5447.6930760000005</v>
      </c>
      <c r="M10" s="73" ph="1">
        <f>M9*33.183*LOOKUP(M11,密度!$A$2:$A$50,密度!$D$2:$D$50)</f>
        <v>94856.93707320001</v>
      </c>
      <c r="N10" s="73" ph="1">
        <f>N9*33.183*LOOKUP(N11,密度!$A$2:$A$50,密度!$E$2:$E$50)</f>
        <v>163787.72580494999</v>
      </c>
      <c r="O10" s="73" ph="1">
        <f>O9*20.428*LOOKUP(O11,密度!$A$2:$A$50,密度!$C$2:$C$50)</f>
        <v>120552.6286756</v>
      </c>
      <c r="P10" s="73" ph="1">
        <f>P9*51.53*LOOKUP(P11,密度!$A$2:$A$50,密度!$B$2:$B$50)</f>
        <v>62577.77435</v>
      </c>
      <c r="Q10" s="73" ph="1">
        <f>Q9*1.5*1.5*3.1416*LOOKUP(W11,密度!$A$2:$A$50,密度!$L$2:$L$50)</f>
        <v>46834.239236400004</v>
      </c>
      <c r="R10" s="73" ph="1">
        <f>R9*1.5*1.5*3.1416*LOOKUP(R11,密度!$A$2:$A$50,密度!$L$2:$L$50)</f>
        <v>44441.70192</v>
      </c>
      <c r="S10" s="73" ph="1">
        <f>S9*1.5*1.5*3.1416*LOOKUP(S11,密度!$A$2:$A$50,密度!$L$2:$L$50)</f>
        <v>6133.0707899999998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41497.403824800007</v>
      </c>
      <c r="Z10" s="73" ph="1">
        <f>Z9*33.183*LOOKUP(Z11,密度!$A$2:$A$50,密度!$L$2:$L$50)</f>
        <v>85139.282250000004</v>
      </c>
      <c r="AA10" s="73" ph="1">
        <f>AA9*33.183*LOOKUP(AA11,密度!$A$2:$A$50,密度!$D$2:$D$50)</f>
        <v>17168.817833999998</v>
      </c>
      <c r="AB10" s="73" ph="1">
        <f>AB9*20.428*LOOKUP(AB11,密度!$A$2:$A$50,密度!$D$2:$D$50)</f>
        <v>3123.6454800000006</v>
      </c>
      <c r="AC10" s="73" ph="1">
        <f>AC9*51.53*LOOKUP(AC11,密度!$A$2:$A$50,密度!$Q$2:$Q$50)</f>
        <v>205765.26181169998</v>
      </c>
      <c r="AD10" s="73" ph="1">
        <f>AD9*20.428*LOOKUP(AD11,密度!$A$2:$A$50,密度!$V$2:$V$50)</f>
        <v>80340.529449599999</v>
      </c>
      <c r="AE10" s="73" ph="1">
        <f>AE9*20.428</f>
        <v>56034.004000000001</v>
      </c>
    </row>
    <row r="11" spans="1:99" ph="1">
      <c r="A11" s="64" t="s" ph="1">
        <v>163</v>
      </c>
      <c r="B11" s="233" ph="1"/>
      <c r="C11" s="150" t="s" ph="1">
        <v>180</v>
      </c>
      <c r="D11" s="74">
        <v>32</v>
      </c>
      <c r="E11" s="74">
        <v>35</v>
      </c>
      <c r="F11" s="74">
        <v>29</v>
      </c>
      <c r="G11" s="74">
        <v>37</v>
      </c>
      <c r="H11" s="74">
        <v>41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31</v>
      </c>
      <c r="O11" s="74">
        <v>38</v>
      </c>
      <c r="P11" s="74">
        <v>32</v>
      </c>
      <c r="Q11" s="74">
        <v>32</v>
      </c>
      <c r="R11" s="74">
        <v>34</v>
      </c>
      <c r="S11" s="74">
        <v>24</v>
      </c>
      <c r="T11" s="74">
        <v>36</v>
      </c>
      <c r="U11" s="74">
        <v>34</v>
      </c>
      <c r="V11" s="74">
        <v>28</v>
      </c>
      <c r="W11" s="74">
        <v>41</v>
      </c>
      <c r="X11" s="74">
        <v>22</v>
      </c>
      <c r="Y11" s="74">
        <v>30</v>
      </c>
      <c r="Z11" s="74">
        <v>29</v>
      </c>
      <c r="AA11" s="74">
        <v>34</v>
      </c>
      <c r="AB11" s="74">
        <v>33</v>
      </c>
      <c r="AC11" s="74">
        <v>30</v>
      </c>
      <c r="AD11" s="74">
        <v>35</v>
      </c>
      <c r="AE11" s="74">
        <v>35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110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0</v>
      </c>
      <c r="E15" s="78">
        <v>4583</v>
      </c>
      <c r="F15" s="78">
        <v>3385</v>
      </c>
      <c r="G15" s="78">
        <v>1865</v>
      </c>
      <c r="H15" s="78">
        <v>0</v>
      </c>
      <c r="I15" s="78">
        <v>3931</v>
      </c>
      <c r="J15" s="78">
        <v>3402</v>
      </c>
      <c r="K15" s="78">
        <v>3107</v>
      </c>
      <c r="L15" s="78">
        <v>7088</v>
      </c>
      <c r="M15" s="78">
        <v>6527</v>
      </c>
      <c r="N15" s="78">
        <v>3835</v>
      </c>
      <c r="O15" s="78">
        <v>1327</v>
      </c>
      <c r="P15" s="78">
        <v>5177</v>
      </c>
      <c r="Q15" s="78">
        <v>6966</v>
      </c>
      <c r="R15" s="78">
        <v>0</v>
      </c>
      <c r="S15" s="78">
        <v>1656</v>
      </c>
      <c r="T15" s="78">
        <v>3628</v>
      </c>
      <c r="U15" s="78">
        <v>3256</v>
      </c>
      <c r="V15" s="78">
        <v>1448</v>
      </c>
      <c r="W15" s="71">
        <v>4949</v>
      </c>
      <c r="X15" s="78">
        <v>-264</v>
      </c>
      <c r="Y15" s="106">
        <v>-9908</v>
      </c>
      <c r="Z15" s="78">
        <v>0</v>
      </c>
      <c r="AA15" s="78">
        <v>6140</v>
      </c>
      <c r="AB15" s="78" ph="1">
        <v>356</v>
      </c>
      <c r="AC15" s="78" ph="1">
        <v>774</v>
      </c>
      <c r="AD15" s="78">
        <v>14.72</v>
      </c>
      <c r="AE15" s="78">
        <v>84.91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30160.111627800004</v>
      </c>
      <c r="F16" s="73" ph="1">
        <f>F15*9.0746*LOOKUP(F17,密度!$A$2:$A$50,密度!$L$2:$L$50)</f>
        <v>28598.012051000002</v>
      </c>
      <c r="G16" s="73" ph="1">
        <f>G15*9.0746*LOOKUP(G17,密度!$A$2:$A$50,密度!$B$2:$B$50)</f>
        <v>13150.048233000001</v>
      </c>
      <c r="H16" s="73" ph="1">
        <f>H15*9.0746*LOOKUP(H17,密度!$A$2:$A$50,密度!$L$2:$L$50)</f>
        <v>0</v>
      </c>
      <c r="I16" s="73" ph="1">
        <f>I15*9.0746*LOOKUP(I17,密度!$A$2:$A$50,密度!$U$2:$U$50)</f>
        <v>36492.714409799999</v>
      </c>
      <c r="J16" s="73" ph="1">
        <f>J15*9.0746*LOOKUP(J17,密度!$A$2:$A$50,密度!$L$2:$L$50)</f>
        <v>28772.5075344</v>
      </c>
      <c r="K16" s="73" ph="1">
        <f>K15*9.0746*LOOKUP(K17,密度!$A$2:$A$50,密度!$C$2:$C$50)</f>
        <v>31180.609634980006</v>
      </c>
      <c r="L16" s="73" ph="1">
        <f>L15*9.0746*LOOKUP(L17,密度!$A$2:$A$50,密度!$E$2:$E$50)</f>
        <v>49941.857828960005</v>
      </c>
      <c r="M16" s="73" ph="1">
        <f>M15*9.0746*LOOKUP(M17,密度!$A$2:$A$50,密度!$M$2:$M$50)</f>
        <v>51463.095550954</v>
      </c>
      <c r="N16" s="73" ph="1">
        <f>N15*9.0746*LOOKUP(N17,密度!$A$2:$A$50,密度!$M$2:$M$50)</f>
        <v>30419.633643099998</v>
      </c>
      <c r="O16" s="73" ph="1">
        <f>O15*9.0746*LOOKUP(O17,密度!$A$2:$A$50,密度!$G$2:$G$50)</f>
        <v>11496.49186274</v>
      </c>
      <c r="P16" s="73" ph="1">
        <f ca="1">P15*9.0746*LOOKUP(P17,密度!$A$2:$A$51,密度!$Q$2:$Q$50)</f>
        <v>44316.892697985997</v>
      </c>
      <c r="Q16" s="73" ph="1">
        <f>Q15*9.0746*LOOKUP(Q17,密度!$A$2:$A$50,密度!$Q$2:$Q$50)</f>
        <v>59583.935036087998</v>
      </c>
      <c r="R16" s="73" ph="1">
        <f>MAX(R15*9.0746*LOOKUP(R17,密度!$A$2:$A$50,密度!$B$2:$B$50),0)</f>
        <v>0</v>
      </c>
      <c r="S16" s="73" ph="1">
        <f>S15*9.0746*LOOKUP(S17,密度!$A$2:$A$50,密度!$Q$2:$Q$50)</f>
        <v>14175.927044208</v>
      </c>
      <c r="T16" s="73" ph="1">
        <f>T15*9.0746*LOOKUP(T17,密度!$A$2:$A$50,密度!$O$2:$O$50)</f>
        <v>30354.682193600005</v>
      </c>
      <c r="U16" s="73" ph="1">
        <f>U15*9.0746*LOOKUP(U17,密度!$A$2:$A$50,密度!$H$2:$H$50)</f>
        <v>26973.362819040001</v>
      </c>
      <c r="V16" s="73" ph="1">
        <f>MAX(5600*LOOKUP(V17,密度!$A$2:$A$50,密度!$Q$2:$Q$50)+V15*9.0476*LOOKUP(V17,密度!$A$2:$A$50,密度!$Q$2:$Q$50),0)</f>
        <v>17602.245468000001</v>
      </c>
      <c r="W16" s="73" ph="1">
        <f>MAX(5600*LOOKUP(W17,密度!$A$2:$A$50,密度!$Q$2:$Q$50)+W15*9.0476*LOOKUP(W17,密度!$A$2:$A$50,密度!$Q$2:$Q$50),0)</f>
        <v>47416.9487715</v>
      </c>
      <c r="X16" s="73" ph="1">
        <f>MAX(5600*LOOKUP(X17,密度!$A$2:$A$50,密度!$I$2:$I$50)+X15*9.0476*LOOKUP(X17,密度!$A$2:$A$50,密度!$I$2:$I$50),0)</f>
        <v>3325.4716071360003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43198.199513200001</v>
      </c>
      <c r="AB16" s="73" ph="1">
        <f>AB15*9.0746*LOOKUP(AB17,密度!$A$2:$A$50,密度!$L$2:$L$50)</f>
        <v>3017.3407984</v>
      </c>
      <c r="AC16" s="73" ph="1">
        <f>AC15*9.0746*LOOKUP(AC17,密度!$A$2:$A$50,密度!$L$2:$L$50)</f>
        <v>6560.1735336000011</v>
      </c>
      <c r="AD16" s="73" ph="1">
        <f>AD15*268.68*LOOKUP(AD17,密度!$A$2:$A$50,密度!B2:B50)+IF(AD15&lt;=0,0,1566*LOOKUP(AD17,密度!$A$2:$A$50,密度!B2:B50))</f>
        <v>4304.1479001600001</v>
      </c>
      <c r="AE16" s="73" ph="1">
        <f>AE15*268.68*LOOKUP(AE17,密度!$A$2:$A$50,密度!B2:B50)+IF(AE15&lt;=0,0,1566*LOOKUP(AE17,密度!$A$2:$A$50,密度!B2:B50))</f>
        <v>19006.350816479997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31</v>
      </c>
      <c r="E17" s="74">
        <v>31</v>
      </c>
      <c r="F17" s="74">
        <v>31</v>
      </c>
      <c r="G17" s="74">
        <v>28</v>
      </c>
      <c r="H17" s="74">
        <v>24</v>
      </c>
      <c r="I17" s="74">
        <v>27</v>
      </c>
      <c r="J17" s="74">
        <v>30</v>
      </c>
      <c r="K17" s="74">
        <v>29</v>
      </c>
      <c r="L17" s="74">
        <v>31</v>
      </c>
      <c r="M17" s="74">
        <v>31</v>
      </c>
      <c r="N17" s="74">
        <v>26</v>
      </c>
      <c r="O17" s="74">
        <v>30</v>
      </c>
      <c r="P17" s="74">
        <v>30</v>
      </c>
      <c r="Q17" s="74">
        <v>31</v>
      </c>
      <c r="R17" s="74">
        <v>28</v>
      </c>
      <c r="S17" s="74">
        <v>30</v>
      </c>
      <c r="T17" s="74">
        <v>30</v>
      </c>
      <c r="U17" s="74">
        <v>27</v>
      </c>
      <c r="V17" s="74">
        <v>33</v>
      </c>
      <c r="W17" s="74">
        <v>33</v>
      </c>
      <c r="X17" s="74">
        <v>31</v>
      </c>
      <c r="Y17" s="108">
        <v>31</v>
      </c>
      <c r="Z17" s="74">
        <v>28</v>
      </c>
      <c r="AA17" s="74">
        <v>30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0</v>
      </c>
      <c r="E18" s="71">
        <v>4588</v>
      </c>
      <c r="F18" s="71">
        <v>1099</v>
      </c>
      <c r="G18" s="71">
        <v>2738</v>
      </c>
      <c r="H18" s="71">
        <v>0</v>
      </c>
      <c r="I18" s="71">
        <v>3934</v>
      </c>
      <c r="J18" s="71">
        <v>2536</v>
      </c>
      <c r="K18" s="71">
        <v>3108</v>
      </c>
      <c r="L18" s="71">
        <v>7103</v>
      </c>
      <c r="M18" s="71">
        <v>5401</v>
      </c>
      <c r="N18" s="71">
        <v>2998</v>
      </c>
      <c r="O18" s="71">
        <v>1327</v>
      </c>
      <c r="P18" s="71">
        <v>5182</v>
      </c>
      <c r="Q18" s="71">
        <v>6972</v>
      </c>
      <c r="R18" s="71">
        <v>0</v>
      </c>
      <c r="S18" s="71">
        <v>1659</v>
      </c>
      <c r="T18" s="71">
        <v>3629</v>
      </c>
      <c r="U18" s="71">
        <v>5022</v>
      </c>
      <c r="V18" s="71">
        <v>1444</v>
      </c>
      <c r="W18" s="71">
        <v>4945</v>
      </c>
      <c r="X18" s="71">
        <v>-265</v>
      </c>
      <c r="Y18" s="109">
        <v>-9907</v>
      </c>
      <c r="Z18" s="71">
        <v>0</v>
      </c>
      <c r="AA18" s="71">
        <v>6139</v>
      </c>
      <c r="AB18" s="71">
        <v>354</v>
      </c>
      <c r="AC18" s="71">
        <v>776</v>
      </c>
      <c r="AD18" s="71">
        <v>48.82</v>
      </c>
      <c r="AE18" s="71">
        <v>83.51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30128.154487200001</v>
      </c>
      <c r="F19" s="73" ph="1">
        <f>F18*9.0746*LOOKUP(F20,密度!$A$2:$A$50,密度!$L$2:$L$50)</f>
        <v>9274.8764219999994</v>
      </c>
      <c r="G19" s="73" ph="1">
        <f>G18*9.0746*LOOKUP(G20,密度!$A$2:$A$50,密度!$B$2:$B$50)</f>
        <v>19263.301346439999</v>
      </c>
      <c r="H19" s="73" ph="1">
        <f>H18*9.0746*LOOKUP(H20,密度!$A$2:$A$50,密度!$L$2:$L$50)</f>
        <v>0</v>
      </c>
      <c r="I19" s="73" ph="1">
        <f>I18*9.0746*LOOKUP(I20,密度!$A$2:$A$50,密度!$U$2:$U$50)</f>
        <v>36377.766451599993</v>
      </c>
      <c r="J19" s="73" ph="1">
        <f>J18*9.0746*LOOKUP(J20,密度!$A$2:$A$50,密度!$L$2:$L$50)</f>
        <v>21379.2494224</v>
      </c>
      <c r="K19" s="73" ph="1">
        <f>K18*9.0746*LOOKUP(K20,密度!$A$2:$A$50,密度!$C$2:$C$50)</f>
        <v>31108.854050400001</v>
      </c>
      <c r="L19" s="73" ph="1">
        <f>L18*9.0746*LOOKUP(L20,密度!$A$2:$A$50,密度!$E$2:$E$50)</f>
        <v>49974.711147816</v>
      </c>
      <c r="M19" s="73" ph="1">
        <f>M18*9.0746*LOOKUP(M20,密度!$A$2:$A$50,密度!$M$2:$M$50)</f>
        <v>42430.594707512006</v>
      </c>
      <c r="N19" s="73" ph="1">
        <f>N18*9.0746*LOOKUP(N20,密度!$A$2:$A$50,密度!$M$2:$M$50)</f>
        <v>23696.121846800001</v>
      </c>
      <c r="O19" s="73" ph="1">
        <f>O18*9.0746*LOOKUP(O20,密度!$A$2:$A$50,密度!$G$2:$G$50)</f>
        <v>11586.806819240002</v>
      </c>
      <c r="P19" s="73" ph="1">
        <f ca="1">P18*9.0746*LOOKUP(P20,密度!$A$2:$A$51,密度!$Q$2:$Q$50)</f>
        <v>44292.449264679999</v>
      </c>
      <c r="Q19" s="73" ph="1">
        <f>Q18*9.0746*LOOKUP(Q20,密度!$A$2:$A$50,密度!$Q$2:$Q$50)</f>
        <v>59551.109667000004</v>
      </c>
      <c r="R19" s="73" ph="1">
        <f>MAX(R18*9.0746*LOOKUP(R20,密度!$A$2:$A$50,密度!$B$2:$B$50),0)</f>
        <v>0</v>
      </c>
      <c r="S19" s="73" ph="1">
        <f>S18*9.0746*LOOKUP(S20,密度!$A$2:$A$50,密度!$Q$2:$Q$50)</f>
        <v>14170.294167750002</v>
      </c>
      <c r="T19" s="73" ph="1">
        <f>T18*9.0746*LOOKUP(T20,密度!$A$2:$A$50,密度!$O$2:$O$50)</f>
        <v>30336.703596080002</v>
      </c>
      <c r="U19" s="73" ph="1">
        <f>U18*9.0746*LOOKUP(U20,密度!$A$2:$A$50,密度!$H$2:$H$50)</f>
        <v>41471.103492000002</v>
      </c>
      <c r="V19" s="73" ph="1">
        <f>MAX(5600*LOOKUP(V20,密度!$A$2:$A$50,密度!$Q$2:$Q$50)+V18*9.0476*LOOKUP(V20,密度!$A$2:$A$50,密度!$Q$2:$Q$50),0)</f>
        <v>17568.181253999999</v>
      </c>
      <c r="W19" s="73" ph="1">
        <f>MAX(5600*LOOKUP(W20,密度!$A$2:$A$50,密度!$Q$2:$Q$50)+W18*9.0476*LOOKUP(W20,密度!$A$2:$A$50,密度!$Q$2:$Q$50),0)</f>
        <v>47382.884557500001</v>
      </c>
      <c r="X19" s="73" ph="1">
        <f>MAX(5600*LOOKUP(X20,密度!$A$2:$A$50,密度!$I$2:$I$50)+X18*9.0476*LOOKUP(X20,密度!$A$2:$A$50,密度!$I$2:$I$50),0)</f>
        <v>3308.9934299400002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43090.887830899999</v>
      </c>
      <c r="AB19" s="73" ph="1">
        <f>AB18*9.0746*LOOKUP(AB20,密度!$A$2:$A$50,密度!$L$2:$L$50)</f>
        <v>2981.1149952000005</v>
      </c>
      <c r="AC19" s="73" ph="1">
        <f>AC18*9.0746*LOOKUP(AC20,密度!$A$2:$A$50,密度!$L$2:$L$50)</f>
        <v>6548.9573280000004</v>
      </c>
      <c r="AD19" s="73" ph="1">
        <f>AD18*268.68*LOOKUP(AD20,密度!$A$2:$A$50,密度!B5:B53)+IF(AD18&lt;=0,0,1566*LOOKUP(AD20,密度!$A$2:$A$50,密度!B5:B53))</f>
        <v>11408.6580552</v>
      </c>
      <c r="AE19" s="73" ph="1">
        <f>AE18*268.68*LOOKUP(AE20,密度!$A$2:$A$50,密度!B5:B53)+IF(AE18&lt;=0,0,1566*LOOKUP(AE20,密度!$A$2:$A$50,密度!B5:B53))</f>
        <v>18650.693703600002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33</v>
      </c>
      <c r="E20" s="81">
        <v>33</v>
      </c>
      <c r="F20" s="81">
        <v>32</v>
      </c>
      <c r="G20" s="81">
        <v>30</v>
      </c>
      <c r="H20" s="81">
        <v>35</v>
      </c>
      <c r="I20" s="81">
        <v>31</v>
      </c>
      <c r="J20" s="81">
        <v>33</v>
      </c>
      <c r="K20" s="81">
        <v>32</v>
      </c>
      <c r="L20" s="81">
        <v>32</v>
      </c>
      <c r="M20" s="81">
        <v>34</v>
      </c>
      <c r="N20" s="81">
        <v>29</v>
      </c>
      <c r="O20" s="81">
        <v>23</v>
      </c>
      <c r="P20" s="81">
        <v>32</v>
      </c>
      <c r="Q20" s="81">
        <v>33</v>
      </c>
      <c r="R20" s="81">
        <v>36</v>
      </c>
      <c r="S20" s="81">
        <v>33</v>
      </c>
      <c r="T20" s="81">
        <v>33</v>
      </c>
      <c r="U20" s="81">
        <v>30</v>
      </c>
      <c r="V20" s="81">
        <v>33</v>
      </c>
      <c r="W20" s="81">
        <v>33</v>
      </c>
      <c r="X20" s="81">
        <v>33</v>
      </c>
      <c r="Y20" s="110">
        <v>33</v>
      </c>
      <c r="Z20" s="81">
        <v>35</v>
      </c>
      <c r="AA20" s="81">
        <v>32</v>
      </c>
      <c r="AB20" s="81">
        <v>34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88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85.42</v>
      </c>
      <c r="E24" s="71">
        <v>55.21</v>
      </c>
      <c r="F24" s="71">
        <v>3752</v>
      </c>
      <c r="G24" s="71">
        <v>1100</v>
      </c>
      <c r="H24" s="71">
        <v>2008</v>
      </c>
      <c r="I24" s="71">
        <v>3291</v>
      </c>
      <c r="J24" s="71">
        <v>422</v>
      </c>
      <c r="K24" s="71">
        <v>4925</v>
      </c>
      <c r="L24" s="71">
        <v>5615</v>
      </c>
      <c r="M24" s="71">
        <v>1918</v>
      </c>
      <c r="N24" s="71">
        <v>548</v>
      </c>
      <c r="O24" s="71">
        <v>4323</v>
      </c>
      <c r="P24" s="71">
        <v>967</v>
      </c>
      <c r="Q24" s="90">
        <v>5012</v>
      </c>
      <c r="R24" s="71">
        <v>370</v>
      </c>
      <c r="S24" s="71">
        <v>7042</v>
      </c>
      <c r="T24" s="71">
        <v>1696</v>
      </c>
      <c r="U24" s="71">
        <v>6279</v>
      </c>
      <c r="V24" s="71">
        <v>10455</v>
      </c>
      <c r="W24" s="71">
        <v>11730</v>
      </c>
      <c r="X24" s="71">
        <v>5601</v>
      </c>
      <c r="Y24" s="71">
        <v>4374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23210.889055344003</v>
      </c>
      <c r="E25" s="91" ph="1">
        <f>E24*268.68*LOOKUP(E26,密度!$A$2:$A$50,密度!$C$2:$C$50)+IF(E24&lt;=0,0,1566*LOOKUP(E26,密度!$A$2:$A$50,密度!$C$2:$C$50))</f>
        <v>18185.763502919999</v>
      </c>
      <c r="F25" s="91" ph="1">
        <f>F24*11.702*LOOKUP(F26,密度!$A$2:$A$50,密度!$Q$2:$Q$50)</f>
        <v>41474.395036480004</v>
      </c>
      <c r="G25" s="91" ph="1">
        <f>G24*18.322*LOOKUP(G26,密度!$A$2:$A$50,密度!$B$2:$B$50)</f>
        <v>15659.813400000001</v>
      </c>
      <c r="H25" s="91" ph="1">
        <f>H24*18.322*LOOKUP(H26,密度!$A$2:$A$50,密度!$B$2:$B$50)</f>
        <v>28586.277552000003</v>
      </c>
      <c r="I25" s="91" ph="1">
        <f>I24*18.322*LOOKUP(I26,密度!$A$2:$A$50,密度!$Q$2:$Q$50)</f>
        <v>57043.435023060003</v>
      </c>
      <c r="J25" s="91" ph="1">
        <f>J24*18.322*LOOKUP(J26,密度!$A$2:$A$50,密度!$Q$2:$Q$50)</f>
        <v>7298.3572641200008</v>
      </c>
      <c r="K25" s="91" ph="1">
        <f>K24*18.322*LOOKUP(K26,密度!$A$2:$A$50,密度!$Q$2:$Q$50)</f>
        <v>85365.821175499994</v>
      </c>
      <c r="L25" s="91" ph="1">
        <f>L24*18.322*LOOKUP(L26,密度!$A$2:$A$50,密度!$Q$2:$Q$50)</f>
        <v>97325.702720900008</v>
      </c>
      <c r="M25" s="91" ph="1">
        <f>M24*18.322*LOOKUP(M26,密度!$A$2:$A$50,密度!$Q$2:$Q$50)</f>
        <v>33171.20671228</v>
      </c>
      <c r="N25" s="91" ph="1">
        <f>N24*18.322*LOOKUP(N26,密度!$A$2:$A$50,密度!$Q$2:$Q$50)</f>
        <v>9491.4438659200005</v>
      </c>
      <c r="O25" s="91" ph="1">
        <f>O24*18.322*LOOKUP(O26,密度!$A$2:$A$50,密度!$C$2:$C$50)</f>
        <v>87649.3662396</v>
      </c>
      <c r="P25" s="91" ph="1">
        <f>P24*11.702*LOOKUP(P26,密度!$A$2:$A$50,密度!$B$2:$B$50)</f>
        <v>8792.4030180000009</v>
      </c>
      <c r="Q25" s="92" ph="1">
        <f>Q24*18.322*LOOKUP(Q26,密度!$A$2:$A$50,密度!$B$2:$B$50)</f>
        <v>71507.915096800003</v>
      </c>
      <c r="R25" s="91" ph="1">
        <f>R24*35.891*LOOKUP(R26,密度!$A$2:$A$50,密度!$C$2:$C$50)</f>
        <v>14715.202327000001</v>
      </c>
      <c r="S25" s="91" ph="1">
        <f>S24*35.891*LOOKUP(S26,密度!$A$2:$A$50,密度!$B$2:$B$50)</f>
        <v>196609.8858738</v>
      </c>
      <c r="T25" s="91" ph="1">
        <f>T24*35.891*LOOKUP(T26,密度!$A$2:$A$50,密度!$Q$2:$Q$50)</f>
        <v>57500.092488319999</v>
      </c>
      <c r="U25" s="91" ph="1">
        <f>U24*35.891</f>
        <v>225359.58899999998</v>
      </c>
      <c r="V25" s="91" ph="1">
        <f>V24*47.051*LOOKUP(V26,密度!$A$2:$A$50,密度!$B$2:$B$50)</f>
        <v>380941.45795200003</v>
      </c>
      <c r="W25" s="91" ph="1">
        <f>W24*47.051*LOOKUP(W26,密度!$A$2:$A$50,密度!$B$2:$B$50)</f>
        <v>426901.01590499998</v>
      </c>
      <c r="X25" s="91" ph="1">
        <f>X24*47.051*LOOKUP(X26,密度!$A$2:$A$50,密度!$I$2:$I$50)</f>
        <v>273177.94602660002</v>
      </c>
      <c r="Y25" s="91" ph="1">
        <f>Y24*47.051*LOOKUP(Y26,密度!$A$2:$A$50,密度!$L$2:$L$50)</f>
        <v>191806.60096800004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28</v>
      </c>
      <c r="G26" s="74">
        <v>28</v>
      </c>
      <c r="H26" s="74">
        <v>28</v>
      </c>
      <c r="I26" s="74">
        <v>26</v>
      </c>
      <c r="J26" s="74">
        <v>29</v>
      </c>
      <c r="K26" s="74">
        <v>26</v>
      </c>
      <c r="L26" s="74">
        <v>26</v>
      </c>
      <c r="M26" s="74">
        <v>29</v>
      </c>
      <c r="N26" s="74">
        <v>27</v>
      </c>
      <c r="O26" s="74">
        <v>28</v>
      </c>
      <c r="P26" s="74">
        <v>28</v>
      </c>
      <c r="Q26" s="93">
        <v>26</v>
      </c>
      <c r="R26" s="74">
        <v>26</v>
      </c>
      <c r="S26" s="74">
        <v>27</v>
      </c>
      <c r="T26" s="74">
        <v>28</v>
      </c>
      <c r="U26" s="74">
        <v>28</v>
      </c>
      <c r="V26" s="74">
        <v>31</v>
      </c>
      <c r="W26" s="74">
        <v>32</v>
      </c>
      <c r="X26" s="74">
        <v>30</v>
      </c>
      <c r="Y26" s="74">
        <v>30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85.51</v>
      </c>
      <c r="E27" s="71">
        <v>55.22</v>
      </c>
      <c r="F27" s="71">
        <v>3753</v>
      </c>
      <c r="G27" s="71">
        <v>533</v>
      </c>
      <c r="H27" s="71">
        <v>917</v>
      </c>
      <c r="I27" s="71">
        <v>3290</v>
      </c>
      <c r="J27" s="71">
        <v>416</v>
      </c>
      <c r="K27" s="71">
        <v>4927</v>
      </c>
      <c r="L27" s="71">
        <v>5611</v>
      </c>
      <c r="M27" s="71">
        <v>1912</v>
      </c>
      <c r="N27" s="71">
        <v>543</v>
      </c>
      <c r="O27" s="71">
        <v>4318</v>
      </c>
      <c r="P27" s="71">
        <v>965</v>
      </c>
      <c r="Q27" s="90">
        <v>5235</v>
      </c>
      <c r="R27" s="71">
        <v>366</v>
      </c>
      <c r="S27" s="71">
        <v>7040</v>
      </c>
      <c r="T27" s="71">
        <v>1694</v>
      </c>
      <c r="U27" s="71">
        <v>6217</v>
      </c>
      <c r="V27" s="71">
        <v>10229</v>
      </c>
      <c r="W27" s="71">
        <v>11729</v>
      </c>
      <c r="X27" s="71">
        <v>5603</v>
      </c>
      <c r="Y27" s="71">
        <v>3300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23233.782364632003</v>
      </c>
      <c r="E28" s="91" ph="1">
        <f>E27*268.68*LOOKUP(E29,密度!$A$2:$A$50,密度!$C$2:$C$50)+IF(E27&lt;=0,0,1566*LOOKUP(E29,密度!$A$2:$A$50,密度!$C$2:$C$50))</f>
        <v>18188.742895440002</v>
      </c>
      <c r="F28" s="91" ph="1">
        <f>F27*11.702*LOOKUP(F29,密度!$A$2:$A$50,密度!$Q$2:$Q$50)</f>
        <v>41365.9930914</v>
      </c>
      <c r="G28" s="91" ph="1">
        <f>G27*18.322*LOOKUP(G29,密度!$A$2:$A$50,密度!$B$2:$B$50)</f>
        <v>7545.8992102000011</v>
      </c>
      <c r="H28" s="91" ph="1">
        <f>H27*18.322*LOOKUP(H29,密度!$A$2:$A$50,密度!$B$2:$B$50)</f>
        <v>12982.3444198</v>
      </c>
      <c r="I28" s="91" ph="1">
        <f>I27*18.322*LOOKUP(I29,密度!$A$2:$A$50,密度!$Q$2:$Q$50)</f>
        <v>56737.966424999999</v>
      </c>
      <c r="J28" s="91" ph="1">
        <f>J27*18.322*LOOKUP(J29,密度!$A$2:$A$50,密度!$Q$2:$Q$50)</f>
        <v>7179.1165887999987</v>
      </c>
      <c r="K28" s="91" ph="1">
        <f>K27*18.322*LOOKUP(K29,密度!$A$2:$A$50,密度!$Q$2:$Q$50)</f>
        <v>85027.662098599991</v>
      </c>
      <c r="L28" s="91" ph="1">
        <f>L27*18.322*LOOKUP(L29,密度!$A$2:$A$50,密度!$Q$2:$Q$50)</f>
        <v>96831.786489799997</v>
      </c>
      <c r="M28" s="91" ph="1">
        <f>M27*18.322*LOOKUP(M29,密度!$A$2:$A$50,密度!$Q$2:$Q$50)</f>
        <v>32996.324321599997</v>
      </c>
      <c r="N28" s="91" ph="1">
        <f>N27*18.322*LOOKUP(N29,密度!$A$2:$A$50,密度!$Q$2:$Q$50)</f>
        <v>9357.7850591400002</v>
      </c>
      <c r="O28" s="91" ph="1">
        <f>O27*18.322*LOOKUP(O29,密度!$A$2:$A$50,密度!$C$2:$C$50)</f>
        <v>87097.038556399988</v>
      </c>
      <c r="P28" s="91" ph="1">
        <f>P27*11.702*LOOKUP(P29,密度!$A$2:$A$50,密度!$B$2:$B$50)</f>
        <v>8734.6946050000006</v>
      </c>
      <c r="Q28" s="92" ph="1">
        <f>Q27*18.322*LOOKUP(Q29,密度!$A$2:$A$50,密度!$B$2:$B$50)</f>
        <v>74190.770745000002</v>
      </c>
      <c r="R28" s="91" ph="1">
        <f>R27*35.891*LOOKUP(R29,密度!$A$2:$A$50,密度!$C$2:$C$50)</f>
        <v>14503.574634600001</v>
      </c>
      <c r="S28" s="91" ph="1">
        <f>S27*35.891*LOOKUP(S29,密度!$A$2:$A$50,密度!$B$2:$B$50)</f>
        <v>195669.69241599998</v>
      </c>
      <c r="T28" s="91" ph="1">
        <f>T27*35.891*LOOKUP(T29,密度!$A$2:$A$50,密度!$Q$2:$Q$50)</f>
        <v>57266.911532599996</v>
      </c>
      <c r="U28" s="91" ph="1">
        <f>U27*35.891</f>
        <v>223134.34699999998</v>
      </c>
      <c r="V28" s="91" ph="1">
        <f>V27*47.051*LOOKUP(V29,密度!$A$2:$A$50,密度!$B$2:$B$50)</f>
        <v>371888.67146330001</v>
      </c>
      <c r="W28" s="91" ph="1">
        <f>W27*47.051*LOOKUP(W29,密度!$A$2:$A$50,密度!$B$2:$B$50)</f>
        <v>426423.13301330002</v>
      </c>
      <c r="X28" s="91" ph="1">
        <f>X27*47.051*LOOKUP(X29,密度!$A$2:$A$50,密度!$I$2:$I$50)</f>
        <v>272110.26191154006</v>
      </c>
      <c r="Y28" s="91" ph="1">
        <f>Y27*47.051*LOOKUP(Y29,密度!$A$2:$A$50,密度!$L$2:$L$50)</f>
        <v>144088.98240000004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32</v>
      </c>
      <c r="G29" s="74">
        <v>33</v>
      </c>
      <c r="H29" s="74">
        <v>33</v>
      </c>
      <c r="I29" s="74">
        <v>33</v>
      </c>
      <c r="J29" s="74">
        <v>32</v>
      </c>
      <c r="K29" s="74">
        <v>32</v>
      </c>
      <c r="L29" s="74">
        <v>32</v>
      </c>
      <c r="M29" s="74">
        <v>32</v>
      </c>
      <c r="N29" s="74">
        <v>34</v>
      </c>
      <c r="O29" s="74">
        <v>34</v>
      </c>
      <c r="P29" s="74">
        <v>32</v>
      </c>
      <c r="Q29" s="93">
        <v>32</v>
      </c>
      <c r="R29" s="74">
        <v>31</v>
      </c>
      <c r="S29" s="74">
        <v>31</v>
      </c>
      <c r="T29" s="74">
        <v>32</v>
      </c>
      <c r="U29" s="74">
        <v>32</v>
      </c>
      <c r="V29" s="74">
        <v>33</v>
      </c>
      <c r="W29" s="74">
        <v>33</v>
      </c>
      <c r="X29" s="74">
        <v>34</v>
      </c>
      <c r="Y29" s="74">
        <v>34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20292.463313999997</v>
      </c>
      <c r="E33" s="182" ph="1">
        <f>M10+I10</f>
        <v>103554.11688000002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08" ph="1">
        <v>0</v>
      </c>
      <c r="H33" s="182" ph="1">
        <f>N19</f>
        <v>23696.121846800001</v>
      </c>
      <c r="I33" s="186" ph="1">
        <v>0</v>
      </c>
      <c r="J33" s="190" ph="1">
        <f>F10+O28</f>
        <v>338361.94326229999</v>
      </c>
      <c r="K33" s="182" ph="1">
        <f>O10+K10+E28+R28</f>
        <v>180814.13726244</v>
      </c>
      <c r="L33" s="192" ph="1">
        <f>BE27</f>
        <v>7100</v>
      </c>
      <c r="M33" s="190" ph="1">
        <f>G10+H10+W28+S28+V28+E10</f>
        <v>2042940.1002986</v>
      </c>
      <c r="N33" s="182" ph="1">
        <f>L10+P10++G28+H28</f>
        <v>88553.711056</v>
      </c>
      <c r="O33" s="186" ph="1">
        <f>BE17</f>
        <v>2270</v>
      </c>
      <c r="P33" s="190" ph="1">
        <f>L19</f>
        <v>49974.711147816</v>
      </c>
      <c r="Q33" s="182" ph="1">
        <f>J10+N10</f>
        <v>176878.36929934999</v>
      </c>
      <c r="R33" s="186" ph="1">
        <f>BE23</f>
        <v>890</v>
      </c>
      <c r="S33" s="190" ph="1">
        <f>E10+X28</f>
        <v>589588.28209554008</v>
      </c>
      <c r="T33" s="182" ph="1">
        <f>X19</f>
        <v>3308.9934299400002</v>
      </c>
      <c r="U33" s="171" ph="1">
        <f>BE21</f>
        <v>730</v>
      </c>
      <c r="V33" s="184" ph="1">
        <f ca="1">P19+Q19+S19+M28+N28+J28</f>
        <v>167547.07906897002</v>
      </c>
      <c r="W33" s="184" ph="1">
        <f>D28+F28+V19+T28</f>
        <v>139434.86824263199</v>
      </c>
      <c r="X33" s="186" ph="1">
        <f>BE29+BE31</f>
        <v>10200</v>
      </c>
      <c r="Y33" s="188" ph="1">
        <f>+Q10+R10+S10+T10+U10+V10+W10+X10+Y10</f>
        <v>138906.4157712</v>
      </c>
      <c r="Z33" s="169" ph="1">
        <f>D10+T19+U19+Y28+Z10</f>
        <v>323977.29142988002</v>
      </c>
      <c r="AA33" s="171" ph="1">
        <f>BE19</f>
        <v>1440</v>
      </c>
      <c r="AB33" s="173" ph="1">
        <f>I19</f>
        <v>36377.766451599993</v>
      </c>
      <c r="AC33" s="175" ph="1">
        <f>AD10</f>
        <v>80340.529449599999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64" priority="97">
      <formula>ABS(D$7-D$10)&gt;=1000</formula>
    </cfRule>
  </conditionalFormatting>
  <conditionalFormatting sqref="E4 E6:E11">
    <cfRule type="expression" dxfId="763" priority="96">
      <formula>ABS(E$7-E$10)&gt;=1000</formula>
    </cfRule>
  </conditionalFormatting>
  <conditionalFormatting sqref="F4:F11">
    <cfRule type="expression" dxfId="762" priority="95">
      <formula>ABS(F$7-F$10)&gt;=1000</formula>
    </cfRule>
  </conditionalFormatting>
  <conditionalFormatting sqref="G4:G11">
    <cfRule type="expression" dxfId="761" priority="94">
      <formula>ABS(G$7-G$10)&gt;=1000</formula>
    </cfRule>
  </conditionalFormatting>
  <conditionalFormatting sqref="H4:H11">
    <cfRule type="expression" dxfId="760" priority="93">
      <formula>ABS(H$7-H$10)&gt;=1000</formula>
    </cfRule>
  </conditionalFormatting>
  <conditionalFormatting sqref="I4:I11">
    <cfRule type="expression" dxfId="759" priority="92">
      <formula>ABS(I$7-I$10)&gt;=1000</formula>
    </cfRule>
  </conditionalFormatting>
  <conditionalFormatting sqref="J4:J11">
    <cfRule type="expression" dxfId="758" priority="91">
      <formula>ABS(J$7-J$10)&gt;=1000</formula>
    </cfRule>
  </conditionalFormatting>
  <conditionalFormatting sqref="K4:K11">
    <cfRule type="expression" dxfId="757" priority="90">
      <formula>ABS(K$7-K$10)&gt;=1000</formula>
    </cfRule>
  </conditionalFormatting>
  <conditionalFormatting sqref="L4:L11">
    <cfRule type="expression" dxfId="756" priority="89">
      <formula>ABS(L$7-L$10)&gt;=1000</formula>
    </cfRule>
  </conditionalFormatting>
  <conditionalFormatting sqref="M4 M6:M11">
    <cfRule type="expression" dxfId="755" priority="88">
      <formula>ABS(M$7-M$10)&gt;=1000</formula>
    </cfRule>
  </conditionalFormatting>
  <conditionalFormatting sqref="N4 N6:N11">
    <cfRule type="expression" dxfId="754" priority="87">
      <formula>ABS(N$7-N$10)&gt;=1000</formula>
    </cfRule>
  </conditionalFormatting>
  <conditionalFormatting sqref="O4 O6:O11">
    <cfRule type="expression" dxfId="753" priority="86">
      <formula>ABS(O$7-O$10)&gt;=1000</formula>
    </cfRule>
  </conditionalFormatting>
  <conditionalFormatting sqref="P4 P6:P11">
    <cfRule type="expression" dxfId="752" priority="85">
      <formula>ABS(P$7-P$10)&gt;=1000</formula>
    </cfRule>
  </conditionalFormatting>
  <conditionalFormatting sqref="Q4:Q11">
    <cfRule type="expression" dxfId="751" priority="84">
      <formula>ABS(Q$7-Q$10)&gt;=1000</formula>
    </cfRule>
  </conditionalFormatting>
  <conditionalFormatting sqref="R4:R11">
    <cfRule type="expression" dxfId="750" priority="83">
      <formula>ABS(R$7-R$10)&gt;=1000</formula>
    </cfRule>
  </conditionalFormatting>
  <conditionalFormatting sqref="S4:S11">
    <cfRule type="expression" dxfId="749" priority="82">
      <formula>ABS(S$7-S$10)&gt;=1000</formula>
    </cfRule>
  </conditionalFormatting>
  <conditionalFormatting sqref="T4:T9 T11">
    <cfRule type="expression" dxfId="748" priority="81">
      <formula>ABS(T$7-T$10)&gt;=1000</formula>
    </cfRule>
  </conditionalFormatting>
  <conditionalFormatting sqref="U4:U9 U11">
    <cfRule type="expression" dxfId="747" priority="80">
      <formula>ABS(U$7-U$10)&gt;=1000</formula>
    </cfRule>
  </conditionalFormatting>
  <conditionalFormatting sqref="V4:V9 V11">
    <cfRule type="expression" dxfId="746" priority="79">
      <formula>ABS(V$7-V$10)&gt;=1000</formula>
    </cfRule>
  </conditionalFormatting>
  <conditionalFormatting sqref="W4:W9 W11">
    <cfRule type="expression" dxfId="745" priority="78">
      <formula>ABS(W$7-W$10)&gt;=1000</formula>
    </cfRule>
  </conditionalFormatting>
  <conditionalFormatting sqref="X4:X9 X11">
    <cfRule type="expression" dxfId="744" priority="77">
      <formula>ABS(X$7-X$10)&gt;=1000</formula>
    </cfRule>
  </conditionalFormatting>
  <conditionalFormatting sqref="Y4:Y9 Y11">
    <cfRule type="expression" dxfId="743" priority="76">
      <formula>ABS(Y$7-Y$10)&gt;=1000</formula>
    </cfRule>
  </conditionalFormatting>
  <conditionalFormatting sqref="Z4:Z11">
    <cfRule type="expression" dxfId="742" priority="75">
      <formula>ABS(Z$7-Z$10)&gt;=1000</formula>
    </cfRule>
  </conditionalFormatting>
  <conditionalFormatting sqref="AA4:AA11">
    <cfRule type="expression" dxfId="741" priority="74">
      <formula>ABS(AA$7-AA$10)&gt;=1000</formula>
    </cfRule>
  </conditionalFormatting>
  <conditionalFormatting sqref="AB4:AB11">
    <cfRule type="expression" dxfId="740" priority="73">
      <formula>ABS(AB$7-AB$10)&gt;=1000</formula>
    </cfRule>
  </conditionalFormatting>
  <conditionalFormatting sqref="AC4 AC6:AC11">
    <cfRule type="expression" dxfId="739" priority="72">
      <formula>ABS(AC$7-AC$10)&gt;=1000</formula>
    </cfRule>
  </conditionalFormatting>
  <conditionalFormatting sqref="AD4:AD11">
    <cfRule type="expression" dxfId="738" priority="71">
      <formula>ABS(AD$7-AD$10)&gt;=1000</formula>
    </cfRule>
  </conditionalFormatting>
  <conditionalFormatting sqref="AE4:AE11">
    <cfRule type="expression" dxfId="737" priority="70">
      <formula>ABS(AE$7-AE$10)&gt;=1000</formula>
    </cfRule>
  </conditionalFormatting>
  <conditionalFormatting sqref="D13:D20">
    <cfRule type="expression" dxfId="736" priority="69">
      <formula>ABS(D$16-D$19)&gt;=1000</formula>
    </cfRule>
  </conditionalFormatting>
  <conditionalFormatting sqref="E13:E20">
    <cfRule type="expression" dxfId="735" priority="68">
      <formula>ABS(E$16-E$19)&gt;=1000</formula>
    </cfRule>
  </conditionalFormatting>
  <conditionalFormatting sqref="F13 F15:F20">
    <cfRule type="expression" dxfId="734" priority="67">
      <formula>ABS(F$16-F$19)&gt;=1000</formula>
    </cfRule>
  </conditionalFormatting>
  <conditionalFormatting sqref="G13:G20">
    <cfRule type="expression" dxfId="733" priority="66">
      <formula>ABS(G$16-G$19)&gt;=1000</formula>
    </cfRule>
  </conditionalFormatting>
  <conditionalFormatting sqref="H13:H20">
    <cfRule type="expression" dxfId="732" priority="65">
      <formula>ABS(H$16-H$19)&gt;=1000</formula>
    </cfRule>
  </conditionalFormatting>
  <conditionalFormatting sqref="I13:I20">
    <cfRule type="expression" dxfId="731" priority="64">
      <formula>ABS(I$16-I$19)&gt;=1000</formula>
    </cfRule>
  </conditionalFormatting>
  <conditionalFormatting sqref="J13:J20">
    <cfRule type="expression" dxfId="730" priority="63">
      <formula>ABS(J$16-J$19)&gt;=1000</formula>
    </cfRule>
  </conditionalFormatting>
  <conditionalFormatting sqref="L13:L20">
    <cfRule type="expression" dxfId="729" priority="62">
      <formula>ABS(L$16-L$19)&gt;=1000</formula>
    </cfRule>
  </conditionalFormatting>
  <conditionalFormatting sqref="M13 M15 M17:M18 M20">
    <cfRule type="expression" dxfId="728" priority="61">
      <formula>ABS(M$16-M$19)&gt;=1000</formula>
    </cfRule>
  </conditionalFormatting>
  <conditionalFormatting sqref="N13:N20">
    <cfRule type="expression" dxfId="727" priority="60">
      <formula>ABS(N$16-N$19)&gt;=1000</formula>
    </cfRule>
  </conditionalFormatting>
  <conditionalFormatting sqref="O13:O20">
    <cfRule type="expression" dxfId="726" priority="59">
      <formula>ABS(O$16-O$19)&gt;=1000</formula>
    </cfRule>
  </conditionalFormatting>
  <conditionalFormatting sqref="P13:P20">
    <cfRule type="expression" dxfId="725" priority="58">
      <formula>ABS(P$16-P$19)&gt;=1000</formula>
    </cfRule>
  </conditionalFormatting>
  <conditionalFormatting sqref="Q13 Q15:Q20">
    <cfRule type="expression" dxfId="724" priority="57">
      <formula>ABS(Q$16-Q$19)&gt;=1000</formula>
    </cfRule>
  </conditionalFormatting>
  <conditionalFormatting sqref="R13:R20">
    <cfRule type="expression" dxfId="723" priority="56">
      <formula>ABS(R$16-R$19)&gt;=1000</formula>
    </cfRule>
  </conditionalFormatting>
  <conditionalFormatting sqref="S13:S20">
    <cfRule type="expression" dxfId="722" priority="55">
      <formula>ABS(S$16-S$19)&gt;=1000</formula>
    </cfRule>
  </conditionalFormatting>
  <conditionalFormatting sqref="T13:T20">
    <cfRule type="expression" dxfId="721" priority="54">
      <formula>ABS(T$16-T$19)&gt;=1000</formula>
    </cfRule>
  </conditionalFormatting>
  <conditionalFormatting sqref="U13:U20">
    <cfRule type="expression" dxfId="720" priority="53">
      <formula>ABS(U$16-U$19)&gt;=1000</formula>
    </cfRule>
  </conditionalFormatting>
  <conditionalFormatting sqref="V13:V20">
    <cfRule type="expression" dxfId="719" priority="52">
      <formula>ABS(V$16-V$19)&gt;=1000</formula>
    </cfRule>
  </conditionalFormatting>
  <conditionalFormatting sqref="W13 W20 W15:W18">
    <cfRule type="expression" dxfId="718" priority="51">
      <formula>ABS(W$16-W$19)&gt;=1000</formula>
    </cfRule>
  </conditionalFormatting>
  <conditionalFormatting sqref="X13 X15:X20 Y19">
    <cfRule type="expression" dxfId="717" priority="50">
      <formula>ABS(X$16-X$19)&gt;=1000</formula>
    </cfRule>
  </conditionalFormatting>
  <conditionalFormatting sqref="Y13 Y15:Y18 Y20">
    <cfRule type="expression" dxfId="716" priority="49">
      <formula>ABS(Y$16-Y$19)&gt;=1000</formula>
    </cfRule>
  </conditionalFormatting>
  <conditionalFormatting sqref="Z13:Z20">
    <cfRule type="expression" dxfId="715" priority="48">
      <formula>ABS(Z$16-Z$19)&gt;=1000</formula>
    </cfRule>
  </conditionalFormatting>
  <conditionalFormatting sqref="AA13:AA20">
    <cfRule type="expression" dxfId="714" priority="47">
      <formula>ABS(AA$16-AA$19)&gt;=1000</formula>
    </cfRule>
  </conditionalFormatting>
  <conditionalFormatting sqref="AB13 AB15:AB20">
    <cfRule type="expression" dxfId="713" priority="46">
      <formula>ABS(AB$16-AB$19)&gt;=1000</formula>
    </cfRule>
  </conditionalFormatting>
  <conditionalFormatting sqref="AC13 AC15:AC20">
    <cfRule type="expression" dxfId="712" priority="45">
      <formula>ABS(AC$16-AC$19)&gt;=1000</formula>
    </cfRule>
  </conditionalFormatting>
  <conditionalFormatting sqref="AD13:AD20">
    <cfRule type="expression" dxfId="711" priority="44">
      <formula>ABS(AD$16-AD$19)&gt;=1000</formula>
    </cfRule>
  </conditionalFormatting>
  <conditionalFormatting sqref="AE13:AE20">
    <cfRule type="expression" dxfId="710" priority="43">
      <formula>ABS(AE$16-AE$19)&gt;=1000</formula>
    </cfRule>
  </conditionalFormatting>
  <conditionalFormatting sqref="D22:D29">
    <cfRule type="expression" dxfId="709" priority="42">
      <formula>ABS(D$25-D$28)&gt;=1000</formula>
    </cfRule>
  </conditionalFormatting>
  <conditionalFormatting sqref="E22:E29">
    <cfRule type="expression" dxfId="708" priority="41">
      <formula>ABS(E$25-E$28)&gt;=1000</formula>
    </cfRule>
  </conditionalFormatting>
  <conditionalFormatting sqref="F22:F29">
    <cfRule type="expression" dxfId="707" priority="40">
      <formula>ABS(F$25-F$28)&gt;=1000</formula>
    </cfRule>
  </conditionalFormatting>
  <conditionalFormatting sqref="G22:G29">
    <cfRule type="expression" dxfId="706" priority="39">
      <formula>ABS(G$25-G$28)&gt;=1000</formula>
    </cfRule>
  </conditionalFormatting>
  <conditionalFormatting sqref="H22:H29">
    <cfRule type="expression" dxfId="705" priority="38">
      <formula>ABS(H$25-H$28)&gt;=1000</formula>
    </cfRule>
  </conditionalFormatting>
  <conditionalFormatting sqref="I22 I24:I29">
    <cfRule type="expression" dxfId="704" priority="37">
      <formula>ABS(I$25-I$28)&gt;=1000</formula>
    </cfRule>
  </conditionalFormatting>
  <conditionalFormatting sqref="J22:J29 K22">
    <cfRule type="expression" dxfId="703" priority="36">
      <formula>ABS(J$25-J$28)&gt;=1000</formula>
    </cfRule>
  </conditionalFormatting>
  <conditionalFormatting sqref="K23:K29 L25 L28">
    <cfRule type="expression" dxfId="702" priority="35">
      <formula>ABS(K$25-K$28)&gt;=1000</formula>
    </cfRule>
  </conditionalFormatting>
  <conditionalFormatting sqref="L22 L26:L27 L29 L24">
    <cfRule type="expression" dxfId="701" priority="34">
      <formula>ABS(L$25-L$28)&gt;=1000</formula>
    </cfRule>
  </conditionalFormatting>
  <conditionalFormatting sqref="M22:M29">
    <cfRule type="expression" dxfId="700" priority="33">
      <formula>ABS(M$25-M$28)&gt;=1000</formula>
    </cfRule>
  </conditionalFormatting>
  <conditionalFormatting sqref="N22:N29">
    <cfRule type="expression" dxfId="699" priority="32">
      <formula>ABS(N$25-N$28)&gt;=1000</formula>
    </cfRule>
  </conditionalFormatting>
  <conditionalFormatting sqref="O22:O29">
    <cfRule type="expression" dxfId="698" priority="31">
      <formula>ABS(O$25-O$28)&gt;=1000</formula>
    </cfRule>
  </conditionalFormatting>
  <conditionalFormatting sqref="P22:P29">
    <cfRule type="expression" dxfId="697" priority="30">
      <formula>ABS(P$25-P$28)&gt;=1000</formula>
    </cfRule>
  </conditionalFormatting>
  <conditionalFormatting sqref="Q22:Q29">
    <cfRule type="expression" dxfId="696" priority="29">
      <formula>ABS(Q$25-Q$28)&gt;=1000</formula>
    </cfRule>
  </conditionalFormatting>
  <conditionalFormatting sqref="R22:R29">
    <cfRule type="expression" dxfId="695" priority="28">
      <formula>ABS(R$25-R$28)&gt;=1000</formula>
    </cfRule>
  </conditionalFormatting>
  <conditionalFormatting sqref="S22:S29">
    <cfRule type="expression" dxfId="694" priority="27">
      <formula>ABS(S$25-S$28)&gt;=1000</formula>
    </cfRule>
  </conditionalFormatting>
  <conditionalFormatting sqref="T22:T29">
    <cfRule type="expression" dxfId="693" priority="26">
      <formula>ABS(T$25-T$28)&gt;=1000</formula>
    </cfRule>
  </conditionalFormatting>
  <conditionalFormatting sqref="U22:U29">
    <cfRule type="expression" dxfId="692" priority="25">
      <formula>ABS(U$25-U$28)&gt;=1000</formula>
    </cfRule>
  </conditionalFormatting>
  <conditionalFormatting sqref="V22:V29">
    <cfRule type="expression" dxfId="691" priority="24">
      <formula>ABS(V$25-V$28)&gt;=1000</formula>
    </cfRule>
  </conditionalFormatting>
  <conditionalFormatting sqref="W22:W29">
    <cfRule type="expression" dxfId="690" priority="23">
      <formula>ABS(W$25-W$28)&gt;=1000</formula>
    </cfRule>
  </conditionalFormatting>
  <conditionalFormatting sqref="X22:X29">
    <cfRule type="expression" dxfId="689" priority="22">
      <formula>ABS(X$25-X$28)&gt;=1000</formula>
    </cfRule>
  </conditionalFormatting>
  <conditionalFormatting sqref="Y22:Y29">
    <cfRule type="expression" dxfId="688" priority="21">
      <formula>ABS(Y$25-Y$28)&gt;=1000</formula>
    </cfRule>
  </conditionalFormatting>
  <conditionalFormatting sqref="I23">
    <cfRule type="expression" dxfId="687" priority="20">
      <formula>ABS(I$25-I$28)&gt;=1000</formula>
    </cfRule>
  </conditionalFormatting>
  <conditionalFormatting sqref="Q14">
    <cfRule type="expression" dxfId="686" priority="19">
      <formula>ABS(Q$16-Q$19)&gt;=1000</formula>
    </cfRule>
  </conditionalFormatting>
  <conditionalFormatting sqref="W14">
    <cfRule type="expression" dxfId="685" priority="18">
      <formula>ABS(W$16-W$19)&gt;=1000</formula>
    </cfRule>
  </conditionalFormatting>
  <conditionalFormatting sqref="Y14">
    <cfRule type="expression" dxfId="684" priority="17">
      <formula>ABS(Y$16-Y$19)&gt;=1000</formula>
    </cfRule>
  </conditionalFormatting>
  <conditionalFormatting sqref="X14">
    <cfRule type="expression" dxfId="683" priority="16">
      <formula>ABS(X$16-X$19)&gt;=1000</formula>
    </cfRule>
  </conditionalFormatting>
  <conditionalFormatting sqref="T10:Y10">
    <cfRule type="expression" dxfId="682" priority="15">
      <formula>ABS(T$7-T$10)&gt;=1000</formula>
    </cfRule>
  </conditionalFormatting>
  <conditionalFormatting sqref="W19">
    <cfRule type="expression" dxfId="681" priority="14">
      <formula>ABS(W$16-W$19)&gt;=1000</formula>
    </cfRule>
  </conditionalFormatting>
  <conditionalFormatting sqref="AC5">
    <cfRule type="expression" dxfId="680" priority="13">
      <formula>ABS(AC$7-AC$10)&gt;=1000</formula>
    </cfRule>
  </conditionalFormatting>
  <conditionalFormatting sqref="M14">
    <cfRule type="expression" dxfId="679" priority="12">
      <formula>ABS(M$16-M$19)&gt;=1000</formula>
    </cfRule>
  </conditionalFormatting>
  <conditionalFormatting sqref="M16">
    <cfRule type="expression" dxfId="678" priority="11">
      <formula>ABS(M$16-M$19)&gt;=1000</formula>
    </cfRule>
  </conditionalFormatting>
  <conditionalFormatting sqref="M19">
    <cfRule type="expression" dxfId="677" priority="10">
      <formula>ABS(M$16-M$19)&gt;=1000</formula>
    </cfRule>
  </conditionalFormatting>
  <conditionalFormatting sqref="K13:K20">
    <cfRule type="expression" dxfId="676" priority="9">
      <formula>ABS(K$16-K$19)&gt;=1000</formula>
    </cfRule>
  </conditionalFormatting>
  <conditionalFormatting sqref="E5">
    <cfRule type="expression" dxfId="675" priority="8">
      <formula>ABS(E$7-E$10)&gt;=1000</formula>
    </cfRule>
  </conditionalFormatting>
  <conditionalFormatting sqref="AB14:AC14">
    <cfRule type="expression" dxfId="674" priority="7">
      <formula>ABS(AB$16-AB$19)&gt;=1000</formula>
    </cfRule>
  </conditionalFormatting>
  <conditionalFormatting sqref="M5">
    <cfRule type="expression" dxfId="673" priority="6">
      <formula>ABS(M$7-M$10)&gt;=1000</formula>
    </cfRule>
  </conditionalFormatting>
  <conditionalFormatting sqref="N5">
    <cfRule type="expression" dxfId="672" priority="5">
      <formula>ABS(N$7-N$10)&gt;=1000</formula>
    </cfRule>
  </conditionalFormatting>
  <conditionalFormatting sqref="O5">
    <cfRule type="expression" dxfId="671" priority="4">
      <formula>ABS(O$7-O$10)&gt;=1000</formula>
    </cfRule>
  </conditionalFormatting>
  <conditionalFormatting sqref="P5">
    <cfRule type="expression" dxfId="670" priority="3">
      <formula>ABS(P$7-P$10)&gt;=1000</formula>
    </cfRule>
  </conditionalFormatting>
  <conditionalFormatting sqref="L23">
    <cfRule type="expression" dxfId="669" priority="2">
      <formula>ABS(L$25-L$28)&gt;=1000</formula>
    </cfRule>
  </conditionalFormatting>
  <conditionalFormatting sqref="F14">
    <cfRule type="expression" dxfId="668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27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08">
    <pageSetUpPr fitToPage="1"/>
  </sheetPr>
  <dimension ref="A1:CU223"/>
  <sheetViews>
    <sheetView view="pageBreakPreview" zoomScale="80" zoomScaleNormal="100" zoomScaleSheetLayoutView="80" workbookViewId="0">
      <selection activeCell="V15" sqref="V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45894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157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2957</v>
      </c>
      <c r="E6" s="71">
        <v>8878</v>
      </c>
      <c r="F6" s="71">
        <v>6844</v>
      </c>
      <c r="G6" s="71">
        <v>9254</v>
      </c>
      <c r="H6" s="71">
        <v>9241</v>
      </c>
      <c r="I6" s="71">
        <v>29.11</v>
      </c>
      <c r="J6" s="71">
        <v>56.93</v>
      </c>
      <c r="K6" s="71">
        <v>85.41</v>
      </c>
      <c r="L6" s="71">
        <v>58.82</v>
      </c>
      <c r="M6" s="71">
        <v>2804</v>
      </c>
      <c r="N6" s="71">
        <v>6126</v>
      </c>
      <c r="O6" s="71">
        <v>5381</v>
      </c>
      <c r="P6" s="71">
        <v>1155</v>
      </c>
      <c r="Q6" s="71">
        <v>7195</v>
      </c>
      <c r="R6" s="71">
        <v>6787</v>
      </c>
      <c r="S6" s="71">
        <v>4942</v>
      </c>
      <c r="T6" s="71">
        <v>4642</v>
      </c>
      <c r="U6" s="71">
        <v>5041</v>
      </c>
      <c r="V6" s="71">
        <v>0</v>
      </c>
      <c r="W6" s="71">
        <v>0</v>
      </c>
      <c r="X6" s="71">
        <v>0</v>
      </c>
      <c r="Y6" s="71">
        <v>0</v>
      </c>
      <c r="Z6" s="71">
        <v>4144</v>
      </c>
      <c r="AA6" s="71">
        <v>508</v>
      </c>
      <c r="AB6" s="71">
        <v>152</v>
      </c>
      <c r="AC6" s="71">
        <v>2803</v>
      </c>
      <c r="AD6" s="71">
        <v>3807</v>
      </c>
      <c r="AE6" s="71">
        <v>2645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92421.235188899984</v>
      </c>
      <c r="E7" s="73" ph="1">
        <f>E6*51.53*LOOKUP(E8,密度!$A$2:$A$50,密度!$B$2:$B$50)</f>
        <v>355098.568508</v>
      </c>
      <c r="F7" s="73" ph="1">
        <f>F6*33.183*LOOKUP(F8,密度!$A$2:$A$50,密度!$C$2:$C$50)</f>
        <v>251313.78658320001</v>
      </c>
      <c r="G7" s="73" ph="1">
        <f xml:space="preserve"> (G6+2)*51.53*LOOKUP(G8,密度!$A$2:$A$50,密度!$B$2:$B$50)</f>
        <v>370217.65601600002</v>
      </c>
      <c r="H7" s="73" ph="1">
        <f>(H6)*51.53*LOOKUP(H8,密度!$A$2:$A$50,密度!$B$2:$B$50)</f>
        <v>370808.16405100003</v>
      </c>
      <c r="I7" s="73" ph="1">
        <f>I6*290.8*1.0267</f>
        <v>8691.2085195999989</v>
      </c>
      <c r="J7" s="73" ph="1">
        <f>J6*290.8*0.7892</f>
        <v>13065.3985648</v>
      </c>
      <c r="K7" s="73" ph="1">
        <f>K6*290.8*1.1126</f>
        <v>27633.899872800001</v>
      </c>
      <c r="L7" s="73" ph="1">
        <f>L6*290.8*0.777</f>
        <v>13290.473112</v>
      </c>
      <c r="M7" s="73" ph="1">
        <f>M6*33.183*LOOKUP(M8,密度!$A$2:$A$50,密度!$D$2:$D$50)</f>
        <v>94924.643666399992</v>
      </c>
      <c r="N7" s="73" ph="1">
        <f>N6*33.183*LOOKUP(N8,密度!$A$2:$A$50,密度!$E$2:$E$50)</f>
        <v>157836.0245841</v>
      </c>
      <c r="O7" s="73" ph="1">
        <f>O6*20.428*LOOKUP(O8,密度!$A$2:$A$50,密度!$C$2:$C$50)</f>
        <v>121014.3055612</v>
      </c>
      <c r="P7" s="73" ph="1">
        <f>P6*51.53*LOOKUP(P8,密度!$A$2:$A$50,密度!$B$2:$B$50)</f>
        <v>46346.004704999999</v>
      </c>
      <c r="Q7" s="73" ph="1">
        <f>Q6*1.5*1.5*3.1416*LOOKUP(W8,密度!$A$2:$A$50,密度!$L$2:$L$50)</f>
        <v>47552.769495</v>
      </c>
      <c r="R7" s="73" ph="1">
        <f>R6*1.5*1.5*3.1416*LOOKUP(R8,密度!$A$2:$A$50,密度!$L$2:$L$50)</f>
        <v>44568.392437800001</v>
      </c>
      <c r="S7" s="73" ph="1">
        <f>S6*1.5*1.5*3.1416*LOOKUP(S8,密度!$A$2:$A$50,密度!$L$2:$L$50)</f>
        <v>32732.240864400006</v>
      </c>
      <c r="T7" s="73" ph="1">
        <f>T6*1.5*1.5*3.1416*LOOKUP(T8,密度!$A$2:$A$50,密度!$L$2:$L$50)</f>
        <v>30778.069845599999</v>
      </c>
      <c r="U7" s="73" ph="1">
        <f>U6*1.5*1.5*3.1416*LOOKUP(U8,密度!$A$2:$A$50,密度!$L$2:$L$50)</f>
        <v>33316.679780999999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128709.68947200003</v>
      </c>
      <c r="AA7" s="73" ph="1">
        <f>AA6*33.183*LOOKUP(AA8,密度!$A$2:$A$50,密度!$D$2:$D$50)</f>
        <v>17259.845439600002</v>
      </c>
      <c r="AB7" s="73" ph="1">
        <f>AB6*20.428*LOOKUP(AB8,密度!$A$2:$A$50,密度!$D$2:$D$50)</f>
        <v>3196.6551520000003</v>
      </c>
      <c r="AC7" s="73" ph="1">
        <f>AC6*51.53*LOOKUP(AC8,密度!$A$2:$A$50,密度!$Q$2:$Q$50)</f>
        <v>136643.2392977</v>
      </c>
      <c r="AD7" s="73" ph="1">
        <f>AD6*20.428*LOOKUP(AD8,密度!$A$2:$A$50,密度!$V$2:$V$50)</f>
        <v>74471.973609600012</v>
      </c>
      <c r="AE7" s="73" ph="1">
        <f>AE6*20.428</f>
        <v>54032.060000000005</v>
      </c>
    </row>
    <row r="8" spans="1:99" ph="1">
      <c r="B8" s="233" ph="1"/>
      <c r="C8" s="68" t="s" ph="1">
        <v>180</v>
      </c>
      <c r="D8" s="74">
        <v>32</v>
      </c>
      <c r="E8" s="74">
        <v>29</v>
      </c>
      <c r="F8" s="74">
        <v>28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32</v>
      </c>
      <c r="N8" s="74">
        <v>31</v>
      </c>
      <c r="O8" s="74">
        <v>34</v>
      </c>
      <c r="P8" s="74">
        <v>26</v>
      </c>
      <c r="Q8" s="74">
        <v>30</v>
      </c>
      <c r="R8" s="74">
        <v>33</v>
      </c>
      <c r="S8" s="74">
        <v>25</v>
      </c>
      <c r="T8" s="74">
        <v>24</v>
      </c>
      <c r="U8" s="74">
        <v>27</v>
      </c>
      <c r="V8" s="74">
        <v>28</v>
      </c>
      <c r="W8" s="74">
        <v>27</v>
      </c>
      <c r="X8" s="74">
        <v>20</v>
      </c>
      <c r="Y8" s="74">
        <v>26</v>
      </c>
      <c r="Z8" s="74">
        <v>26</v>
      </c>
      <c r="AA8" s="74">
        <v>28</v>
      </c>
      <c r="AB8" s="74">
        <v>22</v>
      </c>
      <c r="AC8" s="74">
        <v>26</v>
      </c>
      <c r="AD8" s="74">
        <v>28</v>
      </c>
      <c r="AE8" s="74">
        <v>33</v>
      </c>
    </row>
    <row r="9" spans="1:99" ht="26.4" ph="1">
      <c r="B9" s="233" ph="1">
        <v>0.66666666666666663</v>
      </c>
      <c r="C9" s="150" t="s" ph="1">
        <v>181</v>
      </c>
      <c r="D9" s="71">
        <v>3245</v>
      </c>
      <c r="E9" s="71">
        <v>8978</v>
      </c>
      <c r="F9" s="71">
        <v>6847</v>
      </c>
      <c r="G9" s="71">
        <v>9260</v>
      </c>
      <c r="H9" s="71">
        <v>9244</v>
      </c>
      <c r="I9" s="71">
        <v>29.11</v>
      </c>
      <c r="J9" s="71">
        <v>57.01</v>
      </c>
      <c r="K9" s="71">
        <v>85.22</v>
      </c>
      <c r="L9" s="71">
        <v>9.7100000000000009</v>
      </c>
      <c r="M9" s="71">
        <v>2804</v>
      </c>
      <c r="N9" s="71">
        <v>6131</v>
      </c>
      <c r="O9" s="71">
        <v>5382</v>
      </c>
      <c r="P9" s="71">
        <v>1167</v>
      </c>
      <c r="Q9" s="71">
        <v>5732</v>
      </c>
      <c r="R9" s="71">
        <v>6793</v>
      </c>
      <c r="S9" s="71">
        <v>4948</v>
      </c>
      <c r="T9" s="71">
        <v>7108</v>
      </c>
      <c r="U9" s="71">
        <v>7015</v>
      </c>
      <c r="V9" s="71">
        <v>2540</v>
      </c>
      <c r="W9" s="71">
        <v>0</v>
      </c>
      <c r="X9" s="71">
        <v>0</v>
      </c>
      <c r="Y9" s="71">
        <v>0</v>
      </c>
      <c r="Z9" s="71">
        <v>2617</v>
      </c>
      <c r="AA9" s="71">
        <v>449</v>
      </c>
      <c r="AB9" s="71">
        <v>150</v>
      </c>
      <c r="AC9" s="71">
        <v>2558</v>
      </c>
      <c r="AD9" s="71">
        <v>3760</v>
      </c>
      <c r="AE9" s="71">
        <v>2918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101352.70344375001</v>
      </c>
      <c r="E10" s="73" ph="1">
        <f>E9*51.53*LOOKUP(E11,密度!$A$2:$A$50,密度!$B$2:$B$50)</f>
        <v>356229.98180000001</v>
      </c>
      <c r="F10" s="73" ph="1">
        <f>F9*33.183*LOOKUP(F11,密度!$A$2:$A$50,密度!$C$2:$C$50)</f>
        <v>251083.14150509998</v>
      </c>
      <c r="G10" s="73" ph="1">
        <f xml:space="preserve"> (G9+2)*51.53*LOOKUP(G11,密度!$A$2:$A$50,密度!$B$2:$B$50)</f>
        <v>367498.56219999999</v>
      </c>
      <c r="H10" s="73" ph="1">
        <f>(H9)*51.53*LOOKUP(H11,密度!$A$2:$A$50,密度!$B$2:$B$50)</f>
        <v>365974.57275599998</v>
      </c>
      <c r="I10" s="73" ph="1">
        <f>I9*290.8*1.0267</f>
        <v>8691.2085195999989</v>
      </c>
      <c r="J10" s="73" ph="1">
        <f>J9*290.8*0.7892</f>
        <v>13083.758513600002</v>
      </c>
      <c r="K10" s="73" ph="1">
        <f>K9*290.8*1.1126</f>
        <v>27572.426497600005</v>
      </c>
      <c r="L10" s="73" ph="1">
        <f>L9*290.8*0.777</f>
        <v>2193.9900360000006</v>
      </c>
      <c r="M10" s="73" ph="1">
        <f>M9*33.183*LOOKUP(M11,密度!$A$2:$A$50,密度!$D$2:$D$50)</f>
        <v>94850.207560800001</v>
      </c>
      <c r="N10" s="73" ph="1">
        <f>N9*33.183*LOOKUP(N11,密度!$A$2:$A$50,密度!$E$2:$E$50)</f>
        <v>157734.95646635999</v>
      </c>
      <c r="O10" s="73" ph="1">
        <f>O9*20.428*LOOKUP(O11,密度!$A$2:$A$50,密度!$C$2:$C$50)</f>
        <v>120575.03206319999</v>
      </c>
      <c r="P10" s="73" ph="1">
        <f>P9*51.53*LOOKUP(P11,密度!$A$2:$A$50,密度!$B$2:$B$50)</f>
        <v>46568.938944000001</v>
      </c>
      <c r="Q10" s="73" ph="1">
        <f>Q9*1.5*1.5*3.1416*LOOKUP(W11,密度!$A$2:$A$50,密度!$L$2:$L$50)</f>
        <v>37194.803553600002</v>
      </c>
      <c r="R10" s="73" ph="1">
        <f>R9*1.5*1.5*3.1416*LOOKUP(R11,密度!$A$2:$A$50,密度!$L$2:$L$50)</f>
        <v>44511.758814599998</v>
      </c>
      <c r="S10" s="73" ph="1">
        <f>S9*1.5*1.5*3.1416*LOOKUP(S11,密度!$A$2:$A$50,密度!$L$2:$L$50)</f>
        <v>32737.005100800005</v>
      </c>
      <c r="T10" s="73" ph="1">
        <f>T9*1.5*1.5*3.1416*LOOKUP(T11,密度!$A$2:$A$50,密度!$L$2:$L$50)</f>
        <v>47078.261445600001</v>
      </c>
      <c r="U10" s="73" ph="1">
        <f>U9*1.5*1.5*3.1416*LOOKUP(U11,密度!$A$2:$A$50,密度!$L$2:$L$50)</f>
        <v>46313.537886000006</v>
      </c>
      <c r="V10" s="73" ph="1">
        <f>V9*1.5*1.5*3.1416*LOOKUP(V11,密度!$A$2:$A$50,密度!$L$2:$L$50)</f>
        <v>16751.309652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81108.476874</v>
      </c>
      <c r="AA10" s="73" ph="1">
        <f>AA9*33.183*LOOKUP(AA11,密度!$A$2:$A$50,密度!$D$2:$D$50)</f>
        <v>15200.130173399999</v>
      </c>
      <c r="AB10" s="73" ph="1">
        <f>AB9*20.428*LOOKUP(AB11,密度!$A$2:$A$50,密度!$D$2:$D$50)</f>
        <v>3126.0968400000002</v>
      </c>
      <c r="AC10" s="73" ph="1">
        <f>AC9*51.53*LOOKUP(AC11,密度!$A$2:$A$50,密度!$Q$2:$Q$50)</f>
        <v>124422.9435982</v>
      </c>
      <c r="AD10" s="73" ph="1">
        <f>AD9*20.428*LOOKUP(AD11,密度!$A$2:$A$50,密度!$V$2:$V$50)</f>
        <v>73552.566527999996</v>
      </c>
      <c r="AE10" s="73" ph="1">
        <f>AE9*20.428</f>
        <v>59608.904000000002</v>
      </c>
    </row>
    <row r="11" spans="1:99" ph="1">
      <c r="A11" s="64" t="s" ph="1">
        <v>163</v>
      </c>
      <c r="B11" s="233" ph="1"/>
      <c r="C11" s="150" t="s" ph="1">
        <v>180</v>
      </c>
      <c r="D11" s="74">
        <v>33</v>
      </c>
      <c r="E11" s="74">
        <v>36</v>
      </c>
      <c r="F11" s="74">
        <v>30</v>
      </c>
      <c r="G11" s="74">
        <v>36</v>
      </c>
      <c r="H11" s="74">
        <v>38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32</v>
      </c>
      <c r="O11" s="74">
        <v>38</v>
      </c>
      <c r="P11" s="74">
        <v>31</v>
      </c>
      <c r="Q11" s="74">
        <v>33</v>
      </c>
      <c r="R11" s="74">
        <v>35</v>
      </c>
      <c r="S11" s="74">
        <v>26</v>
      </c>
      <c r="T11" s="74">
        <v>25</v>
      </c>
      <c r="U11" s="74">
        <v>28</v>
      </c>
      <c r="V11" s="74">
        <v>29</v>
      </c>
      <c r="W11" s="74">
        <v>44</v>
      </c>
      <c r="X11" s="74">
        <v>22</v>
      </c>
      <c r="Y11" s="74">
        <v>33</v>
      </c>
      <c r="Z11" s="74">
        <v>28</v>
      </c>
      <c r="AA11" s="74">
        <v>32</v>
      </c>
      <c r="AB11" s="74">
        <v>32</v>
      </c>
      <c r="AC11" s="74">
        <v>29</v>
      </c>
      <c r="AD11" s="74">
        <v>35</v>
      </c>
      <c r="AE11" s="74">
        <v>38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153" t="s" ph="1">
        <v>646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649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1466</v>
      </c>
      <c r="E15" s="78">
        <v>5651</v>
      </c>
      <c r="F15" s="78">
        <v>1682</v>
      </c>
      <c r="G15" s="78">
        <v>3360</v>
      </c>
      <c r="H15" s="78">
        <v>0</v>
      </c>
      <c r="I15" s="78">
        <v>3933</v>
      </c>
      <c r="J15" s="78">
        <v>165</v>
      </c>
      <c r="K15" s="78">
        <v>3107</v>
      </c>
      <c r="L15" s="78">
        <v>7085</v>
      </c>
      <c r="M15" s="78">
        <v>6712</v>
      </c>
      <c r="N15" s="78">
        <v>5155</v>
      </c>
      <c r="O15" s="78">
        <v>3137</v>
      </c>
      <c r="P15" s="78">
        <v>5176</v>
      </c>
      <c r="Q15" s="78">
        <v>6961</v>
      </c>
      <c r="R15" s="78">
        <v>0</v>
      </c>
      <c r="S15" s="78">
        <v>1657</v>
      </c>
      <c r="T15" s="78">
        <v>3629</v>
      </c>
      <c r="U15" s="78">
        <v>6826</v>
      </c>
      <c r="V15" s="78">
        <v>1441</v>
      </c>
      <c r="W15" s="71">
        <v>4939</v>
      </c>
      <c r="X15" s="78">
        <v>-265</v>
      </c>
      <c r="Y15" s="106">
        <v>-9908</v>
      </c>
      <c r="Z15" s="78">
        <v>0</v>
      </c>
      <c r="AA15" s="78">
        <v>6133</v>
      </c>
      <c r="AB15" s="78" ph="1">
        <v>356</v>
      </c>
      <c r="AC15" s="78" ph="1">
        <v>775</v>
      </c>
      <c r="AD15" s="78">
        <v>62.71</v>
      </c>
      <c r="AE15" s="78">
        <v>5.0199999999999996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9657.9130032000012</v>
      </c>
      <c r="E16" s="73" ph="1">
        <f>E15*7.0686*LOOKUP(E17,密度!$A$2:$A$50,密度!$L$2:$L$50)</f>
        <v>37228.421815200003</v>
      </c>
      <c r="F16" s="73" ph="1">
        <f>F15*9.0746*LOOKUP(F17,密度!$A$2:$A$50,密度!$L$2:$L$50)</f>
        <v>14286.614659200002</v>
      </c>
      <c r="G16" s="73" ph="1">
        <f>G15*9.0746*LOOKUP(G17,密度!$A$2:$A$50,密度!$B$2:$B$50)</f>
        <v>23691.239711999999</v>
      </c>
      <c r="H16" s="73" ph="1">
        <f>H15*9.0746*LOOKUP(H17,密度!$A$2:$A$50,密度!$L$2:$L$50)</f>
        <v>0</v>
      </c>
      <c r="I16" s="73" ph="1">
        <f>I15*9.0746*LOOKUP(I17,密度!$A$2:$A$50,密度!$U$2:$U$50)</f>
        <v>36511.281041399998</v>
      </c>
      <c r="J16" s="73" ph="1">
        <f>J15*9.0746*LOOKUP(J17,密度!$A$2:$A$50,密度!$L$2:$L$50)</f>
        <v>1401.4812240000001</v>
      </c>
      <c r="K16" s="73" ph="1">
        <f>K15*9.0746*LOOKUP(K17,密度!$A$2:$A$50,密度!$C$2:$C$50)</f>
        <v>31200.345982520001</v>
      </c>
      <c r="L16" s="73" ph="1">
        <f>L15*9.0746*LOOKUP(L17,密度!$A$2:$A$50,密度!$E$2:$E$50)</f>
        <v>49994.657481599999</v>
      </c>
      <c r="M16" s="73" ph="1">
        <f>M15*9.0746*LOOKUP(M17,密度!$A$2:$A$50,密度!$M$2:$M$50)</f>
        <v>52857.801224864001</v>
      </c>
      <c r="N16" s="73" ph="1">
        <f>N15*9.0746*LOOKUP(N17,密度!$A$2:$A$50,密度!$M$2:$M$50)</f>
        <v>40890.016018300004</v>
      </c>
      <c r="O16" s="73" ph="1">
        <f>O15*9.0746*LOOKUP(O17,密度!$A$2:$A$50,密度!$G$2:$G$50)</f>
        <v>27177.46418494</v>
      </c>
      <c r="P16" s="73" ph="1">
        <f ca="1">P15*9.0746*LOOKUP(P17,密度!$A$2:$A$51,密度!$Q$2:$Q$50)</f>
        <v>44308.332355568004</v>
      </c>
      <c r="Q16" s="73" ph="1">
        <f>Q15*9.0746*LOOKUP(Q17,密度!$A$2:$A$50,密度!$Q$2:$Q$50)</f>
        <v>59588.543571697999</v>
      </c>
      <c r="R16" s="73" ph="1">
        <f>MAX(R15*9.0746*LOOKUP(R17,密度!$A$2:$A$50,密度!$B$2:$B$50),0)</f>
        <v>0</v>
      </c>
      <c r="S16" s="73" ph="1">
        <f>S15*9.0746*LOOKUP(S17,密度!$A$2:$A$50,密度!$Q$2:$Q$50)</f>
        <v>14184.487386626</v>
      </c>
      <c r="T16" s="73" ph="1">
        <f>T15*9.0746*LOOKUP(T17,密度!$A$2:$A$50,密度!$O$2:$O$50)</f>
        <v>30494.775868400004</v>
      </c>
      <c r="U16" s="73" ph="1">
        <f>U15*9.0746*LOOKUP(U17,密度!$A$2:$A$50,密度!$H$2:$H$50)</f>
        <v>56492.216275200008</v>
      </c>
      <c r="V16" s="73" ph="1">
        <f>MAX(5600*LOOKUP(V17,密度!$A$2:$A$50,密度!$Q$2:$Q$50)+V15*9.0476*LOOKUP(V17,密度!$A$2:$A$50,密度!$Q$2:$Q$50),0)</f>
        <v>17542.633093500001</v>
      </c>
      <c r="W16" s="73" ph="1">
        <f>MAX(5600*LOOKUP(W17,密度!$A$2:$A$50,密度!$Q$2:$Q$50)+W15*9.0476*LOOKUP(W17,密度!$A$2:$A$50,密度!$Q$2:$Q$50),0)</f>
        <v>47331.788236499997</v>
      </c>
      <c r="X16" s="73" ph="1">
        <f>MAX(5600*LOOKUP(X17,密度!$A$2:$A$50,密度!$I$2:$I$50)+X15*9.0476*LOOKUP(X17,密度!$A$2:$A$50,密度!$I$2:$I$50),0)</f>
        <v>3319.5933276000005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43148.950751540004</v>
      </c>
      <c r="AB16" s="73" ph="1">
        <f>AB15*9.0746*LOOKUP(AB17,密度!$A$2:$A$50,密度!$L$2:$L$50)</f>
        <v>3020.5713560000004</v>
      </c>
      <c r="AC16" s="73" ph="1">
        <f>AC15*9.0746*LOOKUP(AC17,密度!$A$2:$A$50,密度!$L$2:$L$50)</f>
        <v>6582.7148400000005</v>
      </c>
      <c r="AD16" s="73" ph="1">
        <f>AD15*268.68*LOOKUP(AD17,密度!$A$2:$A$50,密度!B2:B50)+IF(AD15&lt;=0,0,1566*LOOKUP(AD17,密度!$A$2:$A$50,密度!B2:B50))</f>
        <v>14356.27381488</v>
      </c>
      <c r="AE16" s="73" ph="1">
        <f>AE15*268.68*LOOKUP(AE17,密度!$A$2:$A$50,密度!B2:B50)+IF(AE15&lt;=0,0,1566*LOOKUP(AE17,密度!$A$2:$A$50,密度!B2:B50))</f>
        <v>2272.3574985599998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30</v>
      </c>
      <c r="E17" s="74">
        <v>30</v>
      </c>
      <c r="F17" s="74">
        <v>26</v>
      </c>
      <c r="G17" s="74">
        <v>28</v>
      </c>
      <c r="H17" s="74">
        <v>24</v>
      </c>
      <c r="I17" s="74">
        <v>27</v>
      </c>
      <c r="J17" s="74">
        <v>26</v>
      </c>
      <c r="K17" s="74">
        <v>28</v>
      </c>
      <c r="L17" s="74">
        <v>30</v>
      </c>
      <c r="M17" s="74">
        <v>32</v>
      </c>
      <c r="N17" s="74">
        <v>26</v>
      </c>
      <c r="O17" s="74">
        <v>30</v>
      </c>
      <c r="P17" s="74">
        <v>30</v>
      </c>
      <c r="Q17" s="74">
        <v>30</v>
      </c>
      <c r="R17" s="74">
        <v>28</v>
      </c>
      <c r="S17" s="74">
        <v>30</v>
      </c>
      <c r="T17" s="74">
        <v>29</v>
      </c>
      <c r="U17" s="74">
        <v>28</v>
      </c>
      <c r="V17" s="74">
        <v>33</v>
      </c>
      <c r="W17" s="74">
        <v>33</v>
      </c>
      <c r="X17" s="74">
        <v>30</v>
      </c>
      <c r="Y17" s="108">
        <v>30</v>
      </c>
      <c r="Z17" s="74">
        <v>28</v>
      </c>
      <c r="AA17" s="74">
        <v>30</v>
      </c>
      <c r="AB17" s="74">
        <v>27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4066</v>
      </c>
      <c r="E18" s="71">
        <v>5660</v>
      </c>
      <c r="F18" s="71">
        <v>1754</v>
      </c>
      <c r="G18" s="71">
        <v>3526</v>
      </c>
      <c r="H18" s="71">
        <v>0</v>
      </c>
      <c r="I18" s="71">
        <v>3935</v>
      </c>
      <c r="J18" s="71">
        <v>174</v>
      </c>
      <c r="K18" s="71">
        <v>3109</v>
      </c>
      <c r="L18" s="71">
        <v>7091</v>
      </c>
      <c r="M18" s="71">
        <v>4904</v>
      </c>
      <c r="N18" s="71">
        <v>6217</v>
      </c>
      <c r="O18" s="71">
        <v>3473</v>
      </c>
      <c r="P18" s="71">
        <v>5182</v>
      </c>
      <c r="Q18" s="71">
        <v>6968</v>
      </c>
      <c r="R18" s="71">
        <v>0</v>
      </c>
      <c r="S18" s="71">
        <v>1659</v>
      </c>
      <c r="T18" s="71">
        <v>2244</v>
      </c>
      <c r="U18" s="71">
        <v>6828</v>
      </c>
      <c r="V18" s="71">
        <v>1441</v>
      </c>
      <c r="W18" s="71">
        <v>4940</v>
      </c>
      <c r="X18" s="71">
        <v>-266</v>
      </c>
      <c r="Y18" s="109">
        <v>-9907</v>
      </c>
      <c r="Z18" s="71">
        <v>0</v>
      </c>
      <c r="AA18" s="71">
        <v>6141</v>
      </c>
      <c r="AB18" s="71">
        <v>1099</v>
      </c>
      <c r="AC18" s="71">
        <v>0</v>
      </c>
      <c r="AD18" s="71">
        <v>84.71</v>
      </c>
      <c r="AE18" s="71">
        <v>21.31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26729.062668000002</v>
      </c>
      <c r="E19" s="73" ph="1">
        <f>E18*7.0686*LOOKUP(E20,密度!$A$2:$A$50,密度!$L$2:$L$50)</f>
        <v>37207.696680000001</v>
      </c>
      <c r="F19" s="73" ph="1">
        <f>F18*9.0746*LOOKUP(F20,密度!$A$2:$A$50,密度!$L$2:$L$50)</f>
        <v>14818.585860400002</v>
      </c>
      <c r="G19" s="73" ph="1">
        <f>G18*9.0746*LOOKUP(G20,密度!$A$2:$A$50,密度!$B$2:$B$50)</f>
        <v>24807.30480188</v>
      </c>
      <c r="H19" s="73" ph="1">
        <f>H18*9.0746*LOOKUP(H20,密度!$A$2:$A$50,密度!$L$2:$L$50)</f>
        <v>0</v>
      </c>
      <c r="I19" s="73" ph="1">
        <f>I18*9.0746*LOOKUP(I20,密度!$A$2:$A$50,密度!$U$2:$U$50)</f>
        <v>36422.722020000001</v>
      </c>
      <c r="J19" s="73" ph="1">
        <f>J18*9.0746*LOOKUP(J20,密度!$A$2:$A$50,密度!$L$2:$L$50)</f>
        <v>1468.4517720000001</v>
      </c>
      <c r="K19" s="73" ph="1">
        <f>K18*9.0746*LOOKUP(K20,密度!$A$2:$A$50,密度!$C$2:$C$50)</f>
        <v>31178.110490139999</v>
      </c>
      <c r="L19" s="73" ph="1">
        <f>L18*9.0746*LOOKUP(L20,密度!$A$2:$A$50,密度!$E$2:$E$50)</f>
        <v>49890.282521352005</v>
      </c>
      <c r="M19" s="73" ph="1">
        <f>M18*9.0746*LOOKUP(M20,密度!$A$2:$A$50,密度!$M$2:$M$50)</f>
        <v>38526.131539648006</v>
      </c>
      <c r="N19" s="73" ph="1">
        <f>N18*9.0746*LOOKUP(N20,密度!$A$2:$A$50,密度!$M$2:$M$50)</f>
        <v>49139.022522200001</v>
      </c>
      <c r="O19" s="73" ph="1">
        <f>O18*9.0746*LOOKUP(O20,密度!$A$2:$A$50,密度!$G$2:$G$50)</f>
        <v>30057.206188317999</v>
      </c>
      <c r="P19" s="73" ph="1">
        <f ca="1">P18*9.0746*LOOKUP(P20,密度!$A$2:$A$51,密度!$Q$2:$Q$50)</f>
        <v>44324.425977175997</v>
      </c>
      <c r="Q19" s="73" ph="1">
        <f>Q18*9.0746*LOOKUP(Q20,密度!$A$2:$A$50,密度!$Q$2:$Q$50)</f>
        <v>59558.044476319999</v>
      </c>
      <c r="R19" s="73" ph="1">
        <f>MAX(R18*9.0746*LOOKUP(R20,密度!$A$2:$A$50,密度!$B$2:$B$50),0)</f>
        <v>0</v>
      </c>
      <c r="S19" s="73" ph="1">
        <f>S18*9.0746*LOOKUP(S20,密度!$A$2:$A$50,密度!$Q$2:$Q$50)</f>
        <v>14180.07976266</v>
      </c>
      <c r="T19" s="73" ph="1">
        <f>T18*9.0746*LOOKUP(T20,密度!$A$2:$A$50,密度!$O$2:$O$50)</f>
        <v>18758.766290880001</v>
      </c>
      <c r="U19" s="73" ph="1">
        <f>U18*9.0746*LOOKUP(U20,密度!$A$2:$A$50,密度!$H$2:$H$50)</f>
        <v>56384.845608000003</v>
      </c>
      <c r="V19" s="73" ph="1">
        <f>MAX(5600*LOOKUP(V20,密度!$A$2:$A$50,密度!$Q$2:$Q$50)+V18*9.0476*LOOKUP(V20,密度!$A$2:$A$50,密度!$Q$2:$Q$50),0)</f>
        <v>17530.332283044001</v>
      </c>
      <c r="W19" s="73" ph="1">
        <f>MAX(5600*LOOKUP(W20,密度!$A$2:$A$50,密度!$Q$2:$Q$50)+W18*9.0476*LOOKUP(W20,密度!$A$2:$A$50,密度!$Q$2:$Q$50),0)</f>
        <v>47274.417651359989</v>
      </c>
      <c r="X19" s="73" ph="1">
        <f>MAX(5600*LOOKUP(X20,密度!$A$2:$A$50,密度!$I$2:$I$50)+X18*9.0476*LOOKUP(X20,密度!$A$2:$A$50,密度!$I$2:$I$50),0)</f>
        <v>3306.7338465839998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43104.9262371</v>
      </c>
      <c r="AB19" s="73" ph="1">
        <f>AB18*9.0746*LOOKUP(AB20,密度!$A$2:$A$50,密度!$L$2:$L$50)</f>
        <v>9264.9034365999996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18901.2109356</v>
      </c>
      <c r="AE19" s="73" ph="1">
        <f>AE18*268.68*LOOKUP(AE20,密度!$A$2:$A$50,密度!B5:B53)+IF(AE18&lt;=0,0,1566*LOOKUP(AE20,密度!$A$2:$A$50,密度!B5:B53))</f>
        <v>5665.5505115999995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32</v>
      </c>
      <c r="E20" s="81">
        <v>32</v>
      </c>
      <c r="F20" s="81">
        <v>31</v>
      </c>
      <c r="G20" s="81">
        <v>30</v>
      </c>
      <c r="H20" s="81">
        <v>31</v>
      </c>
      <c r="I20" s="81">
        <v>30</v>
      </c>
      <c r="J20" s="81">
        <v>32</v>
      </c>
      <c r="K20" s="81">
        <v>30</v>
      </c>
      <c r="L20" s="81">
        <v>32</v>
      </c>
      <c r="M20" s="81">
        <v>34</v>
      </c>
      <c r="N20" s="81">
        <v>29</v>
      </c>
      <c r="O20" s="81">
        <v>31</v>
      </c>
      <c r="P20" s="81">
        <v>31</v>
      </c>
      <c r="Q20" s="81">
        <v>32</v>
      </c>
      <c r="R20" s="81">
        <v>35</v>
      </c>
      <c r="S20" s="81">
        <v>32</v>
      </c>
      <c r="T20" s="81">
        <v>33</v>
      </c>
      <c r="U20" s="81">
        <v>30</v>
      </c>
      <c r="V20" s="81">
        <v>34</v>
      </c>
      <c r="W20" s="81">
        <v>35</v>
      </c>
      <c r="X20" s="81">
        <v>31</v>
      </c>
      <c r="Y20" s="110">
        <v>31</v>
      </c>
      <c r="Z20" s="81">
        <v>34</v>
      </c>
      <c r="AA20" s="81">
        <v>32</v>
      </c>
      <c r="AB20" s="81">
        <v>33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104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85.43</v>
      </c>
      <c r="E24" s="71">
        <v>55.22</v>
      </c>
      <c r="F24" s="71">
        <v>3756</v>
      </c>
      <c r="G24" s="71">
        <v>2773</v>
      </c>
      <c r="H24" s="71">
        <v>529</v>
      </c>
      <c r="I24" s="71">
        <v>3292</v>
      </c>
      <c r="J24" s="71">
        <v>422</v>
      </c>
      <c r="K24" s="71">
        <v>4927</v>
      </c>
      <c r="L24" s="71">
        <v>5618</v>
      </c>
      <c r="M24" s="71">
        <v>1917</v>
      </c>
      <c r="N24" s="71">
        <v>548</v>
      </c>
      <c r="O24" s="71">
        <v>4324</v>
      </c>
      <c r="P24" s="71">
        <v>968</v>
      </c>
      <c r="Q24" s="90">
        <v>5133</v>
      </c>
      <c r="R24" s="71">
        <v>370</v>
      </c>
      <c r="S24" s="71">
        <v>7047</v>
      </c>
      <c r="T24" s="71">
        <v>1697</v>
      </c>
      <c r="U24" s="71">
        <v>6646</v>
      </c>
      <c r="V24" s="71">
        <v>7967</v>
      </c>
      <c r="W24" s="71">
        <v>11740</v>
      </c>
      <c r="X24" s="71">
        <v>5130</v>
      </c>
      <c r="Y24" s="71">
        <v>3304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23213.432756376005</v>
      </c>
      <c r="E25" s="91" ph="1">
        <f>E24*268.68*LOOKUP(E26,密度!$A$2:$A$50,密度!$C$2:$C$50)+IF(E24&lt;=0,0,1566*LOOKUP(E26,密度!$A$2:$A$50,密度!$C$2:$C$50))</f>
        <v>18188.742895440002</v>
      </c>
      <c r="F25" s="91" ph="1">
        <f>F24*11.702*LOOKUP(F26,密度!$A$2:$A$50,密度!$Q$2:$Q$50)</f>
        <v>41518.610809439997</v>
      </c>
      <c r="G25" s="91" ph="1">
        <f>G24*18.322*LOOKUP(G26,密度!$A$2:$A$50,密度!$B$2:$B$50)</f>
        <v>39390.594221799998</v>
      </c>
      <c r="H25" s="91" ph="1">
        <f>H24*18.322*LOOKUP(H26,密度!$A$2:$A$50,密度!$B$2:$B$50)</f>
        <v>7505.7465471999994</v>
      </c>
      <c r="I25" s="91" ph="1">
        <f>I24*18.322*LOOKUP(I26,密度!$A$2:$A$50,密度!$Q$2:$Q$50)</f>
        <v>56852.677901919997</v>
      </c>
      <c r="J25" s="91" ph="1">
        <f>J24*18.322*LOOKUP(J26,密度!$A$2:$A$50,密度!$Q$2:$Q$50)</f>
        <v>7293.71813372</v>
      </c>
      <c r="K25" s="91" ph="1">
        <f>K24*18.322*LOOKUP(K26,密度!$A$2:$A$50,密度!$Q$2:$Q$50)</f>
        <v>85210.915261419999</v>
      </c>
      <c r="L25" s="91" ph="1">
        <f>L24*18.322*LOOKUP(L26,密度!$A$2:$A$50,密度!$Q$2:$Q$50)</f>
        <v>97099.783116680002</v>
      </c>
      <c r="M25" s="91" ph="1">
        <f>M24*18.322*LOOKUP(M26,密度!$A$2:$A$50,密度!$Q$2:$Q$50)</f>
        <v>33153.912026819999</v>
      </c>
      <c r="N25" s="91" ph="1">
        <f>N24*18.322*LOOKUP(N26,密度!$A$2:$A$50,密度!$Q$2:$Q$50)</f>
        <v>9477.4876320800013</v>
      </c>
      <c r="O25" s="91" ph="1">
        <f>O24*18.322*LOOKUP(O26,密度!$A$2:$A$50,密度!$C$2:$C$50)</f>
        <v>87614.1843352</v>
      </c>
      <c r="P25" s="91" ph="1">
        <f>P24*11.702*LOOKUP(P26,密度!$A$2:$A$50,密度!$B$2:$B$50)</f>
        <v>8801.4954720000005</v>
      </c>
      <c r="Q25" s="92" ph="1">
        <f>Q24*18.322*LOOKUP(Q26,密度!$A$2:$A$50,密度!$B$2:$B$50)</f>
        <v>73074.383801999997</v>
      </c>
      <c r="R25" s="91" ph="1">
        <f>R24*35.891*LOOKUP(R26,密度!$A$2:$A$50,密度!$C$2:$C$50)</f>
        <v>14685.987053000001</v>
      </c>
      <c r="S25" s="91" ph="1">
        <f>S24*35.891*LOOKUP(S26,密度!$A$2:$A$50,密度!$B$2:$B$50)</f>
        <v>196319.5133274</v>
      </c>
      <c r="T25" s="91" ph="1">
        <f>T24*35.891*LOOKUP(T26,密度!$A$2:$A$50,密度!$Q$2:$Q$50)</f>
        <v>57455.425779909994</v>
      </c>
      <c r="U25" s="91" ph="1">
        <f>U24*35.891</f>
        <v>238531.58599999998</v>
      </c>
      <c r="V25" s="91" ph="1">
        <f>V24*47.051*LOOKUP(V26,密度!$A$2:$A$50,密度!$B$2:$B$50)</f>
        <v>290625.32727010001</v>
      </c>
      <c r="W25" s="91" ph="1">
        <f>W24*47.051*LOOKUP(W26,密度!$A$2:$A$50,密度!$B$2:$B$50)</f>
        <v>428259.23712199996</v>
      </c>
      <c r="X25" s="91" ph="1">
        <f>X24*47.051*LOOKUP(X26,密度!$A$2:$A$50,密度!$I$2:$I$50)</f>
        <v>250205.83165800001</v>
      </c>
      <c r="Y25" s="91" ph="1">
        <f>Y24*47.051*LOOKUP(Y26,密度!$A$2:$A$50,密度!$L$2:$L$50)</f>
        <v>144730.00522400002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28</v>
      </c>
      <c r="G26" s="74">
        <v>30</v>
      </c>
      <c r="H26" s="74">
        <v>31</v>
      </c>
      <c r="I26" s="74">
        <v>31</v>
      </c>
      <c r="J26" s="74">
        <v>30</v>
      </c>
      <c r="K26" s="74">
        <v>29</v>
      </c>
      <c r="L26" s="74">
        <v>30</v>
      </c>
      <c r="M26" s="74">
        <v>29</v>
      </c>
      <c r="N26" s="74">
        <v>29</v>
      </c>
      <c r="O26" s="74">
        <v>29</v>
      </c>
      <c r="P26" s="74">
        <v>28</v>
      </c>
      <c r="Q26" s="93">
        <v>28</v>
      </c>
      <c r="R26" s="74">
        <v>29</v>
      </c>
      <c r="S26" s="74">
        <v>29</v>
      </c>
      <c r="T26" s="74">
        <v>30</v>
      </c>
      <c r="U26" s="74">
        <v>30</v>
      </c>
      <c r="V26" s="74">
        <v>30</v>
      </c>
      <c r="W26" s="74">
        <v>30</v>
      </c>
      <c r="X26" s="74">
        <v>30</v>
      </c>
      <c r="Y26" s="74">
        <v>31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85.51</v>
      </c>
      <c r="E27" s="71">
        <v>55.22</v>
      </c>
      <c r="F27" s="71">
        <v>3757</v>
      </c>
      <c r="G27" s="71">
        <v>2278</v>
      </c>
      <c r="H27" s="71">
        <v>523</v>
      </c>
      <c r="I27" s="71">
        <v>3291</v>
      </c>
      <c r="J27" s="71">
        <v>417</v>
      </c>
      <c r="K27" s="71">
        <v>4927</v>
      </c>
      <c r="L27" s="71">
        <v>5614</v>
      </c>
      <c r="M27" s="71">
        <v>1914</v>
      </c>
      <c r="N27" s="71">
        <v>544</v>
      </c>
      <c r="O27" s="71">
        <v>4319</v>
      </c>
      <c r="P27" s="71">
        <v>966</v>
      </c>
      <c r="Q27" s="90">
        <v>5099</v>
      </c>
      <c r="R27" s="71">
        <v>366</v>
      </c>
      <c r="S27" s="71">
        <v>7045</v>
      </c>
      <c r="T27" s="71">
        <v>1696</v>
      </c>
      <c r="U27" s="71">
        <v>6468</v>
      </c>
      <c r="V27" s="71">
        <v>7680</v>
      </c>
      <c r="W27" s="71">
        <v>11741</v>
      </c>
      <c r="X27" s="71">
        <v>4758</v>
      </c>
      <c r="Y27" s="71">
        <v>3301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23233.782364632003</v>
      </c>
      <c r="E28" s="91" ph="1">
        <f>E27*268.68*LOOKUP(E29,密度!$A$2:$A$50,密度!$C$2:$C$50)+IF(E27&lt;=0,0,1566*LOOKUP(E29,密度!$A$2:$A$50,密度!$C$2:$C$50))</f>
        <v>18188.742895440002</v>
      </c>
      <c r="F28" s="91" ph="1">
        <f>F27*11.702*LOOKUP(F29,密度!$A$2:$A$50,密度!$Q$2:$Q$50)</f>
        <v>41499.329307020002</v>
      </c>
      <c r="G28" s="91" ph="1">
        <f>G27*18.322*LOOKUP(G29,密度!$A$2:$A$50,密度!$B$2:$B$50)</f>
        <v>32396.659919199996</v>
      </c>
      <c r="H28" s="91" ph="1">
        <f>H27*18.322*LOOKUP(H29,密度!$A$2:$A$50,密度!$B$2:$B$50)</f>
        <v>7445.5294619999995</v>
      </c>
      <c r="I28" s="91" ph="1">
        <f>I27*18.322*LOOKUP(I29,密度!$A$2:$A$50,密度!$Q$2:$Q$50)</f>
        <v>56958.41526324</v>
      </c>
      <c r="J28" s="91" ph="1">
        <f>J27*18.322*LOOKUP(J29,密度!$A$2:$A$50,密度!$Q$2:$Q$50)</f>
        <v>7217.1556258799992</v>
      </c>
      <c r="K28" s="91" ph="1">
        <f>K27*18.322*LOOKUP(K29,密度!$A$2:$A$50,密度!$Q$2:$Q$50)</f>
        <v>85210.915261419999</v>
      </c>
      <c r="L28" s="91" ph="1">
        <f>L27*18.322*LOOKUP(L29,密度!$A$2:$A$50,密度!$Q$2:$Q$50)</f>
        <v>97092.364172440008</v>
      </c>
      <c r="M28" s="91" ph="1">
        <f>M27*18.322*LOOKUP(M29,密度!$A$2:$A$50,密度!$Q$2:$Q$50)</f>
        <v>33102.027970440002</v>
      </c>
      <c r="N28" s="91" ph="1">
        <f>N27*18.322*LOOKUP(N29,密度!$A$2:$A$50,密度!$Q$2:$Q$50)</f>
        <v>9402.3285894399996</v>
      </c>
      <c r="O28" s="91" ph="1">
        <f>O27*18.322*LOOKUP(O29,密度!$A$2:$A$50,密度!$C$2:$C$50)</f>
        <v>87370.433943800002</v>
      </c>
      <c r="P28" s="91" ph="1">
        <f>P27*11.702*LOOKUP(P29,密度!$A$2:$A$50,密度!$B$2:$B$50)</f>
        <v>8774.2672583999993</v>
      </c>
      <c r="Q28" s="92" ph="1">
        <f>Q27*18.322*LOOKUP(Q29,密度!$A$2:$A$50,密度!$B$2:$B$50)</f>
        <v>72515.614103600004</v>
      </c>
      <c r="R28" s="91" ph="1">
        <f>R27*35.891*LOOKUP(R29,密度!$A$2:$A$50,密度!$C$2:$C$50)</f>
        <v>14527.219625400001</v>
      </c>
      <c r="S28" s="91" ph="1">
        <f>S27*35.891*LOOKUP(S29,密度!$A$2:$A$50,密度!$B$2:$B$50)</f>
        <v>196263.79613900001</v>
      </c>
      <c r="T28" s="91" ph="1">
        <f>T27*35.891*LOOKUP(T29,密度!$A$2:$A$50,密度!$Q$2:$Q$50)</f>
        <v>57458.091404480001</v>
      </c>
      <c r="U28" s="91" ph="1">
        <f>U27*35.891</f>
        <v>232142.98799999998</v>
      </c>
      <c r="V28" s="91" ph="1">
        <f>V27*47.051*LOOKUP(V29,密度!$A$2:$A$50,密度!$B$2:$B$50)</f>
        <v>280481.174016</v>
      </c>
      <c r="W28" s="91" ph="1">
        <f>W27*47.051*LOOKUP(W29,密度!$A$2:$A$50,密度!$B$2:$B$50)</f>
        <v>426859.40870570001</v>
      </c>
      <c r="X28" s="91" ph="1">
        <f>X27*47.051*LOOKUP(X29,密度!$A$2:$A$50,密度!$I$2:$I$50)</f>
        <v>231818.23404557997</v>
      </c>
      <c r="Y28" s="91" ph="1">
        <f>Y27*47.051*LOOKUP(Y29,密度!$A$2:$A$50,密度!$L$2:$L$50)</f>
        <v>144753.90713199999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29</v>
      </c>
      <c r="G29" s="74">
        <v>29</v>
      </c>
      <c r="H29" s="74">
        <v>28</v>
      </c>
      <c r="I29" s="74">
        <v>28</v>
      </c>
      <c r="J29" s="74">
        <v>28</v>
      </c>
      <c r="K29" s="74">
        <v>29</v>
      </c>
      <c r="L29" s="74">
        <v>29</v>
      </c>
      <c r="M29" s="74">
        <v>29</v>
      </c>
      <c r="N29" s="74">
        <v>30</v>
      </c>
      <c r="O29" s="74">
        <v>31</v>
      </c>
      <c r="P29" s="74">
        <v>29</v>
      </c>
      <c r="Q29" s="93">
        <v>29</v>
      </c>
      <c r="R29" s="74">
        <v>29</v>
      </c>
      <c r="S29" s="74">
        <v>29</v>
      </c>
      <c r="T29" s="74">
        <v>29</v>
      </c>
      <c r="U29" s="74">
        <v>29</v>
      </c>
      <c r="V29" s="74">
        <v>29</v>
      </c>
      <c r="W29" s="74">
        <v>33</v>
      </c>
      <c r="X29" s="74">
        <v>31</v>
      </c>
      <c r="Y29" s="74">
        <v>30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18326.227013399999</v>
      </c>
      <c r="E33" s="182" ph="1">
        <f>M10+I10</f>
        <v>103541.4160804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08" ph="1">
        <v>0</v>
      </c>
      <c r="H33" s="182" ph="1">
        <f>N19</f>
        <v>49139.022522200001</v>
      </c>
      <c r="I33" s="186" ph="1">
        <v>0</v>
      </c>
      <c r="J33" s="190" ph="1">
        <f>F10+O28</f>
        <v>338453.5754489</v>
      </c>
      <c r="K33" s="182" ph="1">
        <f>O10+K10+E28+R28</f>
        <v>180863.42108164</v>
      </c>
      <c r="L33" s="192" ph="1">
        <f>BE27</f>
        <v>7100</v>
      </c>
      <c r="M33" s="190" ph="1">
        <f>G10+H10+W28+S28+V28+E10</f>
        <v>1993307.4956166998</v>
      </c>
      <c r="N33" s="182" ph="1">
        <f>L10+P10++G28+H28</f>
        <v>88605.118361200002</v>
      </c>
      <c r="O33" s="186" ph="1">
        <f>BE17</f>
        <v>2270</v>
      </c>
      <c r="P33" s="190" ph="1">
        <f>L19</f>
        <v>49890.282521352005</v>
      </c>
      <c r="Q33" s="182" ph="1">
        <f>J10+N10</f>
        <v>170818.71497996</v>
      </c>
      <c r="R33" s="186" ph="1">
        <f>BE23</f>
        <v>890</v>
      </c>
      <c r="S33" s="190" ph="1">
        <f>E10+X28</f>
        <v>588048.21584557998</v>
      </c>
      <c r="T33" s="182" ph="1">
        <f>X19</f>
        <v>3306.7338465839998</v>
      </c>
      <c r="U33" s="171" ph="1">
        <f>BE21</f>
        <v>730</v>
      </c>
      <c r="V33" s="184" ph="1">
        <f ca="1">P19+Q19+S19+M28+N28+J28</f>
        <v>167784.06240191599</v>
      </c>
      <c r="W33" s="184" ph="1">
        <f>D28+F28+V19+T28</f>
        <v>139721.53535917599</v>
      </c>
      <c r="X33" s="186" ph="1">
        <f>BE29+BE31</f>
        <v>10200</v>
      </c>
      <c r="Y33" s="188" ph="1">
        <f>+Q10+R10+S10+T10+U10+V10+W10+X10+Y10</f>
        <v>224586.67645260002</v>
      </c>
      <c r="Z33" s="169" ph="1">
        <f>D10+T19+U19+Y28+Z10</f>
        <v>402358.69934862998</v>
      </c>
      <c r="AA33" s="171" ph="1">
        <f>BE19</f>
        <v>1440</v>
      </c>
      <c r="AB33" s="173" ph="1">
        <f>I19</f>
        <v>36422.722020000001</v>
      </c>
      <c r="AC33" s="175" ph="1">
        <f>AD10</f>
        <v>73552.566527999996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37" priority="97">
      <formula>ABS(D$7-D$10)&gt;=1000</formula>
    </cfRule>
  </conditionalFormatting>
  <conditionalFormatting sqref="E4 E6:E11">
    <cfRule type="expression" dxfId="636" priority="96">
      <formula>ABS(E$7-E$10)&gt;=1000</formula>
    </cfRule>
  </conditionalFormatting>
  <conditionalFormatting sqref="F4:F11">
    <cfRule type="expression" dxfId="635" priority="95">
      <formula>ABS(F$7-F$10)&gt;=1000</formula>
    </cfRule>
  </conditionalFormatting>
  <conditionalFormatting sqref="G4:G11">
    <cfRule type="expression" dxfId="634" priority="94">
      <formula>ABS(G$7-G$10)&gt;=1000</formula>
    </cfRule>
  </conditionalFormatting>
  <conditionalFormatting sqref="H4:H11">
    <cfRule type="expression" dxfId="633" priority="93">
      <formula>ABS(H$7-H$10)&gt;=1000</formula>
    </cfRule>
  </conditionalFormatting>
  <conditionalFormatting sqref="I4:I11">
    <cfRule type="expression" dxfId="632" priority="92">
      <formula>ABS(I$7-I$10)&gt;=1000</formula>
    </cfRule>
  </conditionalFormatting>
  <conditionalFormatting sqref="J4:J11">
    <cfRule type="expression" dxfId="631" priority="91">
      <formula>ABS(J$7-J$10)&gt;=1000</formula>
    </cfRule>
  </conditionalFormatting>
  <conditionalFormatting sqref="K4:K11">
    <cfRule type="expression" dxfId="630" priority="90">
      <formula>ABS(K$7-K$10)&gt;=1000</formula>
    </cfRule>
  </conditionalFormatting>
  <conditionalFormatting sqref="L4:L11">
    <cfRule type="expression" dxfId="629" priority="89">
      <formula>ABS(L$7-L$10)&gt;=1000</formula>
    </cfRule>
  </conditionalFormatting>
  <conditionalFormatting sqref="M4 M6:M11">
    <cfRule type="expression" dxfId="628" priority="88">
      <formula>ABS(M$7-M$10)&gt;=1000</formula>
    </cfRule>
  </conditionalFormatting>
  <conditionalFormatting sqref="N4 N6:N11">
    <cfRule type="expression" dxfId="627" priority="87">
      <formula>ABS(N$7-N$10)&gt;=1000</formula>
    </cfRule>
  </conditionalFormatting>
  <conditionalFormatting sqref="O4 O6:O11">
    <cfRule type="expression" dxfId="626" priority="86">
      <formula>ABS(O$7-O$10)&gt;=1000</formula>
    </cfRule>
  </conditionalFormatting>
  <conditionalFormatting sqref="P4 P6:P11">
    <cfRule type="expression" dxfId="625" priority="85">
      <formula>ABS(P$7-P$10)&gt;=1000</formula>
    </cfRule>
  </conditionalFormatting>
  <conditionalFormatting sqref="Q4:Q11">
    <cfRule type="expression" dxfId="624" priority="84">
      <formula>ABS(Q$7-Q$10)&gt;=1000</formula>
    </cfRule>
  </conditionalFormatting>
  <conditionalFormatting sqref="R4:R11">
    <cfRule type="expression" dxfId="623" priority="83">
      <formula>ABS(R$7-R$10)&gt;=1000</formula>
    </cfRule>
  </conditionalFormatting>
  <conditionalFormatting sqref="S4:S11">
    <cfRule type="expression" dxfId="622" priority="82">
      <formula>ABS(S$7-S$10)&gt;=1000</formula>
    </cfRule>
  </conditionalFormatting>
  <conditionalFormatting sqref="T4:T9 T11">
    <cfRule type="expression" dxfId="621" priority="81">
      <formula>ABS(T$7-T$10)&gt;=1000</formula>
    </cfRule>
  </conditionalFormatting>
  <conditionalFormatting sqref="U4:U9 U11">
    <cfRule type="expression" dxfId="620" priority="80">
      <formula>ABS(U$7-U$10)&gt;=1000</formula>
    </cfRule>
  </conditionalFormatting>
  <conditionalFormatting sqref="V4:V9 V11">
    <cfRule type="expression" dxfId="619" priority="79">
      <formula>ABS(V$7-V$10)&gt;=1000</formula>
    </cfRule>
  </conditionalFormatting>
  <conditionalFormatting sqref="W4:W9 W11">
    <cfRule type="expression" dxfId="618" priority="78">
      <formula>ABS(W$7-W$10)&gt;=1000</formula>
    </cfRule>
  </conditionalFormatting>
  <conditionalFormatting sqref="X4:X9 X11">
    <cfRule type="expression" dxfId="617" priority="77">
      <formula>ABS(X$7-X$10)&gt;=1000</formula>
    </cfRule>
  </conditionalFormatting>
  <conditionalFormatting sqref="Y4:Y9 Y11">
    <cfRule type="expression" dxfId="616" priority="76">
      <formula>ABS(Y$7-Y$10)&gt;=1000</formula>
    </cfRule>
  </conditionalFormatting>
  <conditionalFormatting sqref="Z4:Z11">
    <cfRule type="expression" dxfId="615" priority="75">
      <formula>ABS(Z$7-Z$10)&gt;=1000</formula>
    </cfRule>
  </conditionalFormatting>
  <conditionalFormatting sqref="AA4:AA11">
    <cfRule type="expression" dxfId="614" priority="74">
      <formula>ABS(AA$7-AA$10)&gt;=1000</formula>
    </cfRule>
  </conditionalFormatting>
  <conditionalFormatting sqref="AB4:AB11">
    <cfRule type="expression" dxfId="613" priority="73">
      <formula>ABS(AB$7-AB$10)&gt;=1000</formula>
    </cfRule>
  </conditionalFormatting>
  <conditionalFormatting sqref="AC4 AC6:AC11">
    <cfRule type="expression" dxfId="612" priority="72">
      <formula>ABS(AC$7-AC$10)&gt;=1000</formula>
    </cfRule>
  </conditionalFormatting>
  <conditionalFormatting sqref="AD4:AD11">
    <cfRule type="expression" dxfId="611" priority="71">
      <formula>ABS(AD$7-AD$10)&gt;=1000</formula>
    </cfRule>
  </conditionalFormatting>
  <conditionalFormatting sqref="AE4:AE11">
    <cfRule type="expression" dxfId="610" priority="70">
      <formula>ABS(AE$7-AE$10)&gt;=1000</formula>
    </cfRule>
  </conditionalFormatting>
  <conditionalFormatting sqref="D13:D20">
    <cfRule type="expression" dxfId="609" priority="69">
      <formula>ABS(D$16-D$19)&gt;=1000</formula>
    </cfRule>
  </conditionalFormatting>
  <conditionalFormatting sqref="E13:E20">
    <cfRule type="expression" dxfId="608" priority="68">
      <formula>ABS(E$16-E$19)&gt;=1000</formula>
    </cfRule>
  </conditionalFormatting>
  <conditionalFormatting sqref="F13 F15:F20">
    <cfRule type="expression" dxfId="607" priority="67">
      <formula>ABS(F$16-F$19)&gt;=1000</formula>
    </cfRule>
  </conditionalFormatting>
  <conditionalFormatting sqref="G13:G20">
    <cfRule type="expression" dxfId="606" priority="66">
      <formula>ABS(G$16-G$19)&gt;=1000</formula>
    </cfRule>
  </conditionalFormatting>
  <conditionalFormatting sqref="H13:H20">
    <cfRule type="expression" dxfId="605" priority="65">
      <formula>ABS(H$16-H$19)&gt;=1000</formula>
    </cfRule>
  </conditionalFormatting>
  <conditionalFormatting sqref="I13:I20">
    <cfRule type="expression" dxfId="604" priority="64">
      <formula>ABS(I$16-I$19)&gt;=1000</formula>
    </cfRule>
  </conditionalFormatting>
  <conditionalFormatting sqref="J13:J20">
    <cfRule type="expression" dxfId="603" priority="63">
      <formula>ABS(J$16-J$19)&gt;=1000</formula>
    </cfRule>
  </conditionalFormatting>
  <conditionalFormatting sqref="L13:L20">
    <cfRule type="expression" dxfId="602" priority="62">
      <formula>ABS(L$16-L$19)&gt;=1000</formula>
    </cfRule>
  </conditionalFormatting>
  <conditionalFormatting sqref="M13 M15 M17:M18 M20">
    <cfRule type="expression" dxfId="601" priority="61">
      <formula>ABS(M$16-M$19)&gt;=1000</formula>
    </cfRule>
  </conditionalFormatting>
  <conditionalFormatting sqref="N13:N20">
    <cfRule type="expression" dxfId="600" priority="60">
      <formula>ABS(N$16-N$19)&gt;=1000</formula>
    </cfRule>
  </conditionalFormatting>
  <conditionalFormatting sqref="O13:O20">
    <cfRule type="expression" dxfId="599" priority="59">
      <formula>ABS(O$16-O$19)&gt;=1000</formula>
    </cfRule>
  </conditionalFormatting>
  <conditionalFormatting sqref="P13:P20">
    <cfRule type="expression" dxfId="598" priority="58">
      <formula>ABS(P$16-P$19)&gt;=1000</formula>
    </cfRule>
  </conditionalFormatting>
  <conditionalFormatting sqref="Q13 Q15:Q20">
    <cfRule type="expression" dxfId="597" priority="57">
      <formula>ABS(Q$16-Q$19)&gt;=1000</formula>
    </cfRule>
  </conditionalFormatting>
  <conditionalFormatting sqref="R13:R20">
    <cfRule type="expression" dxfId="596" priority="56">
      <formula>ABS(R$16-R$19)&gt;=1000</formula>
    </cfRule>
  </conditionalFormatting>
  <conditionalFormatting sqref="S13:S20">
    <cfRule type="expression" dxfId="595" priority="55">
      <formula>ABS(S$16-S$19)&gt;=1000</formula>
    </cfRule>
  </conditionalFormatting>
  <conditionalFormatting sqref="T13:T20">
    <cfRule type="expression" dxfId="594" priority="54">
      <formula>ABS(T$16-T$19)&gt;=1000</formula>
    </cfRule>
  </conditionalFormatting>
  <conditionalFormatting sqref="U13:U20">
    <cfRule type="expression" dxfId="593" priority="53">
      <formula>ABS(U$16-U$19)&gt;=1000</formula>
    </cfRule>
  </conditionalFormatting>
  <conditionalFormatting sqref="V13:V20">
    <cfRule type="expression" dxfId="592" priority="52">
      <formula>ABS(V$16-V$19)&gt;=1000</formula>
    </cfRule>
  </conditionalFormatting>
  <conditionalFormatting sqref="W13 W20 W15:W18">
    <cfRule type="expression" dxfId="591" priority="51">
      <formula>ABS(W$16-W$19)&gt;=1000</formula>
    </cfRule>
  </conditionalFormatting>
  <conditionalFormatting sqref="X13 X15:X20 Y19">
    <cfRule type="expression" dxfId="590" priority="50">
      <formula>ABS(X$16-X$19)&gt;=1000</formula>
    </cfRule>
  </conditionalFormatting>
  <conditionalFormatting sqref="Y13 Y15:Y18 Y20">
    <cfRule type="expression" dxfId="589" priority="49">
      <formula>ABS(Y$16-Y$19)&gt;=1000</formula>
    </cfRule>
  </conditionalFormatting>
  <conditionalFormatting sqref="Z13:Z20">
    <cfRule type="expression" dxfId="588" priority="48">
      <formula>ABS(Z$16-Z$19)&gt;=1000</formula>
    </cfRule>
  </conditionalFormatting>
  <conditionalFormatting sqref="AA13:AA20">
    <cfRule type="expression" dxfId="587" priority="47">
      <formula>ABS(AA$16-AA$19)&gt;=1000</formula>
    </cfRule>
  </conditionalFormatting>
  <conditionalFormatting sqref="AB13 AB15:AB20">
    <cfRule type="expression" dxfId="586" priority="46">
      <formula>ABS(AB$16-AB$19)&gt;=1000</formula>
    </cfRule>
  </conditionalFormatting>
  <conditionalFormatting sqref="AC13 AC15:AC20">
    <cfRule type="expression" dxfId="585" priority="45">
      <formula>ABS(AC$16-AC$19)&gt;=1000</formula>
    </cfRule>
  </conditionalFormatting>
  <conditionalFormatting sqref="AD13:AD20">
    <cfRule type="expression" dxfId="584" priority="44">
      <formula>ABS(AD$16-AD$19)&gt;=1000</formula>
    </cfRule>
  </conditionalFormatting>
  <conditionalFormatting sqref="AE13:AE20">
    <cfRule type="expression" dxfId="583" priority="43">
      <formula>ABS(AE$16-AE$19)&gt;=1000</formula>
    </cfRule>
  </conditionalFormatting>
  <conditionalFormatting sqref="D22:D29">
    <cfRule type="expression" dxfId="582" priority="42">
      <formula>ABS(D$25-D$28)&gt;=1000</formula>
    </cfRule>
  </conditionalFormatting>
  <conditionalFormatting sqref="E22:E29">
    <cfRule type="expression" dxfId="581" priority="41">
      <formula>ABS(E$25-E$28)&gt;=1000</formula>
    </cfRule>
  </conditionalFormatting>
  <conditionalFormatting sqref="F22:F29">
    <cfRule type="expression" dxfId="580" priority="40">
      <formula>ABS(F$25-F$28)&gt;=1000</formula>
    </cfRule>
  </conditionalFormatting>
  <conditionalFormatting sqref="G22:G29">
    <cfRule type="expression" dxfId="579" priority="39">
      <formula>ABS(G$25-G$28)&gt;=1000</formula>
    </cfRule>
  </conditionalFormatting>
  <conditionalFormatting sqref="H22:H29">
    <cfRule type="expression" dxfId="578" priority="38">
      <formula>ABS(H$25-H$28)&gt;=1000</formula>
    </cfRule>
  </conditionalFormatting>
  <conditionalFormatting sqref="I22 I24:I29">
    <cfRule type="expression" dxfId="577" priority="37">
      <formula>ABS(I$25-I$28)&gt;=1000</formula>
    </cfRule>
  </conditionalFormatting>
  <conditionalFormatting sqref="J22:J29 K22">
    <cfRule type="expression" dxfId="576" priority="36">
      <formula>ABS(J$25-J$28)&gt;=1000</formula>
    </cfRule>
  </conditionalFormatting>
  <conditionalFormatting sqref="K23:K29 L25 L28">
    <cfRule type="expression" dxfId="575" priority="35">
      <formula>ABS(K$25-K$28)&gt;=1000</formula>
    </cfRule>
  </conditionalFormatting>
  <conditionalFormatting sqref="L22 L26:L27 L29 L24">
    <cfRule type="expression" dxfId="574" priority="34">
      <formula>ABS(L$25-L$28)&gt;=1000</formula>
    </cfRule>
  </conditionalFormatting>
  <conditionalFormatting sqref="M22:M29">
    <cfRule type="expression" dxfId="573" priority="33">
      <formula>ABS(M$25-M$28)&gt;=1000</formula>
    </cfRule>
  </conditionalFormatting>
  <conditionalFormatting sqref="N22:N29">
    <cfRule type="expression" dxfId="572" priority="32">
      <formula>ABS(N$25-N$28)&gt;=1000</formula>
    </cfRule>
  </conditionalFormatting>
  <conditionalFormatting sqref="O22:O29">
    <cfRule type="expression" dxfId="571" priority="31">
      <formula>ABS(O$25-O$28)&gt;=1000</formula>
    </cfRule>
  </conditionalFormatting>
  <conditionalFormatting sqref="P22:P29">
    <cfRule type="expression" dxfId="570" priority="30">
      <formula>ABS(P$25-P$28)&gt;=1000</formula>
    </cfRule>
  </conditionalFormatting>
  <conditionalFormatting sqref="Q22:Q29">
    <cfRule type="expression" dxfId="569" priority="29">
      <formula>ABS(Q$25-Q$28)&gt;=1000</formula>
    </cfRule>
  </conditionalFormatting>
  <conditionalFormatting sqref="R22:R29">
    <cfRule type="expression" dxfId="568" priority="28">
      <formula>ABS(R$25-R$28)&gt;=1000</formula>
    </cfRule>
  </conditionalFormatting>
  <conditionalFormatting sqref="S22:S29">
    <cfRule type="expression" dxfId="567" priority="27">
      <formula>ABS(S$25-S$28)&gt;=1000</formula>
    </cfRule>
  </conditionalFormatting>
  <conditionalFormatting sqref="T22:T29">
    <cfRule type="expression" dxfId="566" priority="26">
      <formula>ABS(T$25-T$28)&gt;=1000</formula>
    </cfRule>
  </conditionalFormatting>
  <conditionalFormatting sqref="U22:U29">
    <cfRule type="expression" dxfId="565" priority="25">
      <formula>ABS(U$25-U$28)&gt;=1000</formula>
    </cfRule>
  </conditionalFormatting>
  <conditionalFormatting sqref="V22:V29">
    <cfRule type="expression" dxfId="564" priority="24">
      <formula>ABS(V$25-V$28)&gt;=1000</formula>
    </cfRule>
  </conditionalFormatting>
  <conditionalFormatting sqref="W22:W29">
    <cfRule type="expression" dxfId="563" priority="23">
      <formula>ABS(W$25-W$28)&gt;=1000</formula>
    </cfRule>
  </conditionalFormatting>
  <conditionalFormatting sqref="X22:X29">
    <cfRule type="expression" dxfId="562" priority="22">
      <formula>ABS(X$25-X$28)&gt;=1000</formula>
    </cfRule>
  </conditionalFormatting>
  <conditionalFormatting sqref="Y22:Y29">
    <cfRule type="expression" dxfId="561" priority="21">
      <formula>ABS(Y$25-Y$28)&gt;=1000</formula>
    </cfRule>
  </conditionalFormatting>
  <conditionalFormatting sqref="I23">
    <cfRule type="expression" dxfId="560" priority="20">
      <formula>ABS(I$25-I$28)&gt;=1000</formula>
    </cfRule>
  </conditionalFormatting>
  <conditionalFormatting sqref="Q14">
    <cfRule type="expression" dxfId="559" priority="19">
      <formula>ABS(Q$16-Q$19)&gt;=1000</formula>
    </cfRule>
  </conditionalFormatting>
  <conditionalFormatting sqref="W14">
    <cfRule type="expression" dxfId="558" priority="18">
      <formula>ABS(W$16-W$19)&gt;=1000</formula>
    </cfRule>
  </conditionalFormatting>
  <conditionalFormatting sqref="Y14">
    <cfRule type="expression" dxfId="557" priority="17">
      <formula>ABS(Y$16-Y$19)&gt;=1000</formula>
    </cfRule>
  </conditionalFormatting>
  <conditionalFormatting sqref="X14">
    <cfRule type="expression" dxfId="556" priority="16">
      <formula>ABS(X$16-X$19)&gt;=1000</formula>
    </cfRule>
  </conditionalFormatting>
  <conditionalFormatting sqref="T10:Y10">
    <cfRule type="expression" dxfId="555" priority="15">
      <formula>ABS(T$7-T$10)&gt;=1000</formula>
    </cfRule>
  </conditionalFormatting>
  <conditionalFormatting sqref="W19">
    <cfRule type="expression" dxfId="554" priority="14">
      <formula>ABS(W$16-W$19)&gt;=1000</formula>
    </cfRule>
  </conditionalFormatting>
  <conditionalFormatting sqref="AC5">
    <cfRule type="expression" dxfId="553" priority="13">
      <formula>ABS(AC$7-AC$10)&gt;=1000</formula>
    </cfRule>
  </conditionalFormatting>
  <conditionalFormatting sqref="M14">
    <cfRule type="expression" dxfId="552" priority="12">
      <formula>ABS(M$16-M$19)&gt;=1000</formula>
    </cfRule>
  </conditionalFormatting>
  <conditionalFormatting sqref="M16">
    <cfRule type="expression" dxfId="551" priority="11">
      <formula>ABS(M$16-M$19)&gt;=1000</formula>
    </cfRule>
  </conditionalFormatting>
  <conditionalFormatting sqref="M19">
    <cfRule type="expression" dxfId="550" priority="10">
      <formula>ABS(M$16-M$19)&gt;=1000</formula>
    </cfRule>
  </conditionalFormatting>
  <conditionalFormatting sqref="K13:K20">
    <cfRule type="expression" dxfId="549" priority="9">
      <formula>ABS(K$16-K$19)&gt;=1000</formula>
    </cfRule>
  </conditionalFormatting>
  <conditionalFormatting sqref="E5">
    <cfRule type="expression" dxfId="548" priority="8">
      <formula>ABS(E$7-E$10)&gt;=1000</formula>
    </cfRule>
  </conditionalFormatting>
  <conditionalFormatting sqref="AB14:AC14">
    <cfRule type="expression" dxfId="547" priority="7">
      <formula>ABS(AB$16-AB$19)&gt;=1000</formula>
    </cfRule>
  </conditionalFormatting>
  <conditionalFormatting sqref="M5">
    <cfRule type="expression" dxfId="546" priority="6">
      <formula>ABS(M$7-M$10)&gt;=1000</formula>
    </cfRule>
  </conditionalFormatting>
  <conditionalFormatting sqref="N5">
    <cfRule type="expression" dxfId="545" priority="5">
      <formula>ABS(N$7-N$10)&gt;=1000</formula>
    </cfRule>
  </conditionalFormatting>
  <conditionalFormatting sqref="O5">
    <cfRule type="expression" dxfId="544" priority="4">
      <formula>ABS(O$7-O$10)&gt;=1000</formula>
    </cfRule>
  </conditionalFormatting>
  <conditionalFormatting sqref="P5">
    <cfRule type="expression" dxfId="543" priority="3">
      <formula>ABS(P$7-P$10)&gt;=1000</formula>
    </cfRule>
  </conditionalFormatting>
  <conditionalFormatting sqref="L23">
    <cfRule type="expression" dxfId="542" priority="2">
      <formula>ABS(L$25-L$28)&gt;=1000</formula>
    </cfRule>
  </conditionalFormatting>
  <conditionalFormatting sqref="F14">
    <cfRule type="expression" dxfId="541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37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09">
    <pageSetUpPr fitToPage="1"/>
  </sheetPr>
  <dimension ref="A1:CU223"/>
  <sheetViews>
    <sheetView view="pageBreakPreview" topLeftCell="A13" zoomScale="80" zoomScaleNormal="100" zoomScaleSheetLayoutView="80" workbookViewId="0">
      <selection activeCell="V15" sqref="V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45895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157" t="s" ph="1">
        <v>610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3814</v>
      </c>
      <c r="E6" s="71">
        <v>8978</v>
      </c>
      <c r="F6" s="71">
        <v>6843</v>
      </c>
      <c r="G6" s="71">
        <v>9254</v>
      </c>
      <c r="H6" s="71">
        <v>9241</v>
      </c>
      <c r="I6" s="71">
        <v>29.12</v>
      </c>
      <c r="J6" s="71">
        <v>56.92</v>
      </c>
      <c r="K6" s="71">
        <v>85.24</v>
      </c>
      <c r="L6" s="71">
        <v>52.57</v>
      </c>
      <c r="M6" s="71">
        <v>2804</v>
      </c>
      <c r="N6" s="71">
        <v>6125</v>
      </c>
      <c r="O6" s="71">
        <v>5381</v>
      </c>
      <c r="P6" s="71">
        <v>1367</v>
      </c>
      <c r="Q6" s="71">
        <v>3175</v>
      </c>
      <c r="R6" s="71">
        <v>6789</v>
      </c>
      <c r="S6" s="71">
        <v>4945</v>
      </c>
      <c r="T6" s="71">
        <v>7107</v>
      </c>
      <c r="U6" s="71">
        <v>7015</v>
      </c>
      <c r="V6" s="71">
        <v>2554</v>
      </c>
      <c r="W6" s="71">
        <v>0</v>
      </c>
      <c r="X6" s="71">
        <v>0</v>
      </c>
      <c r="Y6" s="71">
        <v>0</v>
      </c>
      <c r="Z6" s="71">
        <v>2606</v>
      </c>
      <c r="AA6" s="71">
        <v>450</v>
      </c>
      <c r="AB6" s="71">
        <v>152</v>
      </c>
      <c r="AC6" s="71">
        <v>2054</v>
      </c>
      <c r="AD6" s="71">
        <v>3917</v>
      </c>
      <c r="AE6" s="71">
        <v>2960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119292.88898196</v>
      </c>
      <c r="E7" s="73" ph="1">
        <f>E6*51.53*LOOKUP(E8,密度!$A$2:$A$50,密度!$B$2:$B$50)</f>
        <v>358681.954402</v>
      </c>
      <c r="F7" s="73" ph="1">
        <f>F6*33.183*LOOKUP(F8,密度!$A$2:$A$50,密度!$C$2:$C$50)</f>
        <v>251118.11638710002</v>
      </c>
      <c r="G7" s="73" ph="1">
        <f xml:space="preserve"> (G6+2)*51.53*LOOKUP(G8,密度!$A$2:$A$50,密度!$B$2:$B$50)</f>
        <v>370599.22535999998</v>
      </c>
      <c r="H7" s="73" ph="1">
        <f>(H6)*51.53*LOOKUP(H8,密度!$A$2:$A$50,密度!$B$2:$B$50)</f>
        <v>369998.64321000007</v>
      </c>
      <c r="I7" s="73" ph="1">
        <f>I6*290.8*1.0267</f>
        <v>8694.1941632000016</v>
      </c>
      <c r="J7" s="73" ph="1">
        <f>J6*290.8*0.7892</f>
        <v>13063.103571199999</v>
      </c>
      <c r="K7" s="73" ph="1">
        <f>K6*290.8*1.1126</f>
        <v>27578.897379200003</v>
      </c>
      <c r="L7" s="73" ph="1">
        <f>L6*290.8*0.777</f>
        <v>11878.275612000001</v>
      </c>
      <c r="M7" s="73" ph="1">
        <f>M6*33.183*LOOKUP(M8,密度!$A$2:$A$50,密度!$D$2:$D$50)</f>
        <v>94924.643666399992</v>
      </c>
      <c r="N7" s="73" ph="1">
        <f>N6*33.183*LOOKUP(N8,密度!$A$2:$A$50,密度!$E$2:$E$50)</f>
        <v>157580.591805</v>
      </c>
      <c r="O7" s="73" ph="1">
        <f>O6*20.428*LOOKUP(O8,密度!$A$2:$A$50,密度!$C$2:$C$50)</f>
        <v>121014.3055612</v>
      </c>
      <c r="P7" s="73" ph="1">
        <f>P6*51.53*LOOKUP(P8,密度!$A$2:$A$50,密度!$B$2:$B$50)</f>
        <v>54733.053269999997</v>
      </c>
      <c r="Q7" s="73" ph="1">
        <f>Q6*1.5*1.5*3.1416*LOOKUP(W8,密度!$A$2:$A$50,密度!$L$2:$L$50)</f>
        <v>20961.579870000001</v>
      </c>
      <c r="R7" s="73" ph="1">
        <f>R6*1.5*1.5*3.1416*LOOKUP(R8,密度!$A$2:$A$50,密度!$L$2:$L$50)</f>
        <v>44581.525896599996</v>
      </c>
      <c r="S7" s="73" ph="1">
        <f>S6*1.5*1.5*3.1416*LOOKUP(S8,密度!$A$2:$A$50,密度!$L$2:$L$50)</f>
        <v>32787.064925999999</v>
      </c>
      <c r="T7" s="73" ph="1">
        <f>T6*1.5*1.5*3.1416*LOOKUP(T8,密度!$A$2:$A$50,密度!$L$2:$L$50)</f>
        <v>47121.874707599993</v>
      </c>
      <c r="U7" s="73" ph="1">
        <f>U6*1.5*1.5*3.1416*LOOKUP(U8,密度!$A$2:$A$50,密度!$L$2:$L$50)</f>
        <v>46313.537886000006</v>
      </c>
      <c r="V7" s="73" ph="1">
        <f>V6*1.5*1.5*3.1416*LOOKUP(V8,密度!$A$2:$A$50,密度!$L$2:$L$50)</f>
        <v>16861.692909599999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80854.029630000005</v>
      </c>
      <c r="AA7" s="73" ph="1">
        <f>AA6*33.183*LOOKUP(AA8,密度!$A$2:$A$50,密度!$D$2:$D$50)</f>
        <v>15289.233165000001</v>
      </c>
      <c r="AB7" s="73" ph="1">
        <f>AB6*20.428*LOOKUP(AB8,密度!$A$2:$A$50,密度!$D$2:$D$50)</f>
        <v>3196.6551520000003</v>
      </c>
      <c r="AC7" s="73" ph="1">
        <f>AC6*51.53*LOOKUP(AC8,密度!$A$2:$A$50,密度!$Q$2:$Q$50)</f>
        <v>100130.2937986</v>
      </c>
      <c r="AD7" s="73" ph="1">
        <f>AD6*20.428*LOOKUP(AD8,密度!$A$2:$A$50,密度!$V$2:$V$50)</f>
        <v>76623.777417600009</v>
      </c>
      <c r="AE7" s="73" ph="1">
        <f>AE6*20.428</f>
        <v>60466.880000000005</v>
      </c>
    </row>
    <row r="8" spans="1:99" ph="1">
      <c r="B8" s="233" ph="1"/>
      <c r="C8" s="68" t="s" ph="1">
        <v>180</v>
      </c>
      <c r="D8" s="74">
        <v>31</v>
      </c>
      <c r="E8" s="74">
        <v>30</v>
      </c>
      <c r="F8" s="74">
        <v>29</v>
      </c>
      <c r="G8" s="74">
        <v>28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32</v>
      </c>
      <c r="N8" s="74">
        <v>32</v>
      </c>
      <c r="O8" s="74">
        <v>34</v>
      </c>
      <c r="P8" s="74">
        <v>28</v>
      </c>
      <c r="Q8" s="74">
        <v>30</v>
      </c>
      <c r="R8" s="74">
        <v>33</v>
      </c>
      <c r="S8" s="74">
        <v>24</v>
      </c>
      <c r="T8" s="74">
        <v>24</v>
      </c>
      <c r="U8" s="74">
        <v>28</v>
      </c>
      <c r="V8" s="74">
        <v>28</v>
      </c>
      <c r="W8" s="74">
        <v>28</v>
      </c>
      <c r="X8" s="74">
        <v>20</v>
      </c>
      <c r="Y8" s="74">
        <v>27</v>
      </c>
      <c r="Z8" s="74">
        <v>27</v>
      </c>
      <c r="AA8" s="74">
        <v>28</v>
      </c>
      <c r="AB8" s="74">
        <v>22</v>
      </c>
      <c r="AC8" s="74">
        <v>26</v>
      </c>
      <c r="AD8" s="74">
        <v>27</v>
      </c>
      <c r="AE8" s="74">
        <v>34</v>
      </c>
    </row>
    <row r="9" spans="1:99" ht="26.4" ph="1">
      <c r="B9" s="233" ph="1">
        <v>0.66666666666666663</v>
      </c>
      <c r="C9" s="150" t="s" ph="1">
        <v>181</v>
      </c>
      <c r="D9" s="71">
        <v>4116</v>
      </c>
      <c r="E9" s="71">
        <v>8982</v>
      </c>
      <c r="F9" s="71">
        <v>6847</v>
      </c>
      <c r="G9" s="71">
        <v>9152</v>
      </c>
      <c r="H9" s="71">
        <v>9246</v>
      </c>
      <c r="I9" s="71">
        <v>29.13</v>
      </c>
      <c r="J9" s="71">
        <v>57.05</v>
      </c>
      <c r="K9" s="71">
        <v>85.2</v>
      </c>
      <c r="L9" s="71">
        <v>44.31</v>
      </c>
      <c r="M9" s="71">
        <v>2805</v>
      </c>
      <c r="N9" s="71">
        <v>6062</v>
      </c>
      <c r="O9" s="71">
        <v>5383</v>
      </c>
      <c r="P9" s="71">
        <v>1230</v>
      </c>
      <c r="Q9" s="71">
        <v>0</v>
      </c>
      <c r="R9" s="71">
        <v>5485</v>
      </c>
      <c r="S9" s="71">
        <v>4951</v>
      </c>
      <c r="T9" s="71">
        <v>7115</v>
      </c>
      <c r="U9" s="71">
        <v>7024</v>
      </c>
      <c r="V9" s="71">
        <v>4957</v>
      </c>
      <c r="W9" s="71">
        <v>2017</v>
      </c>
      <c r="X9" s="71">
        <v>0</v>
      </c>
      <c r="Y9" s="71">
        <v>0</v>
      </c>
      <c r="Z9" s="71">
        <v>1080</v>
      </c>
      <c r="AA9" s="71">
        <v>393</v>
      </c>
      <c r="AB9" s="71">
        <v>152</v>
      </c>
      <c r="AC9" s="71">
        <v>1968</v>
      </c>
      <c r="AD9" s="71">
        <v>3856</v>
      </c>
      <c r="AE9" s="71">
        <v>2770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128738.73388823999</v>
      </c>
      <c r="E10" s="73" ph="1">
        <f>E9*51.53*LOOKUP(E11,密度!$A$2:$A$50,密度!$B$2:$B$50)</f>
        <v>358841.75923800003</v>
      </c>
      <c r="F10" s="73" ph="1">
        <f>F9*33.183*LOOKUP(F11,密度!$A$2:$A$50,密度!$C$2:$C$50)</f>
        <v>250606.01310299998</v>
      </c>
      <c r="G10" s="73" ph="1">
        <f xml:space="preserve"> (G9+2)*51.53*LOOKUP(G11,密度!$A$2:$A$50,密度!$B$2:$B$50)</f>
        <v>364864.29706999997</v>
      </c>
      <c r="H10" s="73" ph="1">
        <f>(H9)*51.53*LOOKUP(H11,密度!$A$2:$A$50,密度!$B$2:$B$50)</f>
        <v>368531.27493000001</v>
      </c>
      <c r="I10" s="73" ph="1">
        <f>I9*290.8*1.0267</f>
        <v>8697.1798068000007</v>
      </c>
      <c r="J10" s="73" ph="1">
        <f>J9*290.8*0.7892</f>
        <v>13092.938488</v>
      </c>
      <c r="K10" s="73" ph="1">
        <f>K9*290.8*1.1126</f>
        <v>27565.955616000003</v>
      </c>
      <c r="L10" s="73" ph="1">
        <f>L9*290.8*0.777</f>
        <v>10011.915396000002</v>
      </c>
      <c r="M10" s="73" ph="1">
        <f>M9*33.183*LOOKUP(M11,密度!$A$2:$A$50,密度!$D$2:$D$50)</f>
        <v>94884.03431100001</v>
      </c>
      <c r="N10" s="73" ph="1">
        <f>N9*33.183*LOOKUP(N11,密度!$A$2:$A$50,密度!$E$2:$E$50)</f>
        <v>155959.76286071999</v>
      </c>
      <c r="O10" s="73" ph="1">
        <f>O9*20.428*LOOKUP(O11,密度!$A$2:$A$50,密度!$C$2:$C$50)</f>
        <v>120597.4354508</v>
      </c>
      <c r="P10" s="73" ph="1">
        <f>P9*51.53*LOOKUP(P11,密度!$A$2:$A$50,密度!$B$2:$B$50)</f>
        <v>49139.987070000003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35940.968217000001</v>
      </c>
      <c r="S10" s="73" ph="1">
        <f>S9*1.5*1.5*3.1416*LOOKUP(S11,密度!$A$2:$A$50,密度!$L$2:$L$50)</f>
        <v>32756.853729599999</v>
      </c>
      <c r="T10" s="73" ph="1">
        <f>T9*1.5*1.5*3.1416*LOOKUP(T11,密度!$A$2:$A$50,密度!$L$2:$L$50)</f>
        <v>47124.624393000006</v>
      </c>
      <c r="U10" s="73" ph="1">
        <f>U9*1.5*1.5*3.1416*LOOKUP(U11,密度!$A$2:$A$50,密度!$L$2:$L$50)</f>
        <v>46372.956537600003</v>
      </c>
      <c r="V10" s="73" ph="1">
        <f>V9*1.5*1.5*3.1416*LOOKUP(V11,密度!$A$2:$A$50,密度!$L$2:$L$50)</f>
        <v>32691.433836600001</v>
      </c>
      <c r="W10" s="73" ph="1">
        <f>W9*1.5*1.5*3.1416*LOOKUP(W11,密度!$A$2:$A$50,密度!$L$2:$L$50)</f>
        <v>13088.262171600001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33472.355759999999</v>
      </c>
      <c r="AA10" s="73" ph="1">
        <f>AA9*33.183*LOOKUP(AA11,密度!$A$2:$A$50,密度!$D$2:$D$50)</f>
        <v>13304.3455638</v>
      </c>
      <c r="AB10" s="73" ph="1">
        <f>AB9*20.428*LOOKUP(AB11,密度!$A$2:$A$50,密度!$D$2:$D$50)</f>
        <v>3179.2668384000003</v>
      </c>
      <c r="AC10" s="73" ph="1">
        <f>AC9*51.53*LOOKUP(AC11,密度!$A$2:$A$50,密度!$Q$2:$Q$50)</f>
        <v>95724.922987200014</v>
      </c>
      <c r="AD10" s="73" ph="1">
        <f>AD9*20.428*LOOKUP(AD11,密度!$A$2:$A$50,密度!$V$2:$V$50)</f>
        <v>75430.504396799995</v>
      </c>
      <c r="AE10" s="73" ph="1">
        <f>AE9*20.428</f>
        <v>56585.560000000005</v>
      </c>
    </row>
    <row r="11" spans="1:99" ph="1">
      <c r="A11" s="64" t="s" ph="1">
        <v>163</v>
      </c>
      <c r="B11" s="233" ph="1"/>
      <c r="C11" s="150" t="s" ph="1">
        <v>180</v>
      </c>
      <c r="D11" s="74">
        <v>31</v>
      </c>
      <c r="E11" s="74">
        <v>30</v>
      </c>
      <c r="F11" s="74">
        <v>32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32</v>
      </c>
      <c r="O11" s="74">
        <v>38</v>
      </c>
      <c r="P11" s="74">
        <v>30</v>
      </c>
      <c r="Q11" s="74">
        <v>33</v>
      </c>
      <c r="R11" s="74">
        <v>35</v>
      </c>
      <c r="S11" s="74">
        <v>26</v>
      </c>
      <c r="T11" s="74">
        <v>25</v>
      </c>
      <c r="U11" s="74">
        <v>28</v>
      </c>
      <c r="V11" s="74">
        <v>29</v>
      </c>
      <c r="W11" s="74">
        <v>44</v>
      </c>
      <c r="X11" s="74">
        <v>22</v>
      </c>
      <c r="Y11" s="74">
        <v>33</v>
      </c>
      <c r="Z11" s="74">
        <v>28</v>
      </c>
      <c r="AA11" s="74">
        <v>32</v>
      </c>
      <c r="AB11" s="74">
        <v>28</v>
      </c>
      <c r="AC11" s="74">
        <v>29</v>
      </c>
      <c r="AD11" s="74">
        <v>31</v>
      </c>
      <c r="AE11" s="74">
        <v>38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153" t="s" ph="1">
        <v>646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649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643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4064</v>
      </c>
      <c r="E15" s="78">
        <v>5652</v>
      </c>
      <c r="F15" s="78">
        <v>1990</v>
      </c>
      <c r="G15" s="78">
        <v>3612</v>
      </c>
      <c r="H15" s="78">
        <v>0</v>
      </c>
      <c r="I15" s="78">
        <v>3933</v>
      </c>
      <c r="J15" s="78">
        <v>173</v>
      </c>
      <c r="K15" s="78">
        <v>3108</v>
      </c>
      <c r="L15" s="78">
        <v>7074</v>
      </c>
      <c r="M15" s="78">
        <v>6900</v>
      </c>
      <c r="N15" s="78">
        <v>4089</v>
      </c>
      <c r="O15" s="78">
        <v>4003</v>
      </c>
      <c r="P15" s="78">
        <v>5176</v>
      </c>
      <c r="Q15" s="78">
        <v>6960</v>
      </c>
      <c r="R15" s="78">
        <v>0</v>
      </c>
      <c r="S15" s="78">
        <v>1657</v>
      </c>
      <c r="T15" s="78">
        <v>2241</v>
      </c>
      <c r="U15" s="78">
        <v>6822</v>
      </c>
      <c r="V15" s="78">
        <v>1440</v>
      </c>
      <c r="W15" s="71">
        <v>4938</v>
      </c>
      <c r="X15" s="78">
        <v>-265</v>
      </c>
      <c r="Y15" s="106">
        <v>-9908</v>
      </c>
      <c r="Z15" s="78">
        <v>0</v>
      </c>
      <c r="AA15" s="78">
        <v>6132</v>
      </c>
      <c r="AB15" s="78" ph="1">
        <v>1098</v>
      </c>
      <c r="AC15" s="78" ph="1">
        <v>38</v>
      </c>
      <c r="AD15" s="78">
        <v>24.73</v>
      </c>
      <c r="AE15" s="78">
        <v>84.79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26802.095443200004</v>
      </c>
      <c r="E16" s="73" ph="1">
        <f>E15*7.0686*LOOKUP(E17,密度!$A$2:$A$50,密度!$L$2:$L$50)</f>
        <v>37274.961477600002</v>
      </c>
      <c r="F16" s="73" ph="1">
        <f>F15*9.0746*LOOKUP(F17,密度!$A$2:$A$50,密度!$L$2:$L$50)</f>
        <v>16848.537582000001</v>
      </c>
      <c r="G16" s="73" ph="1">
        <f>G15*9.0746*LOOKUP(G17,密度!$A$2:$A$50,密度!$B$2:$B$50)</f>
        <v>25468.082690400002</v>
      </c>
      <c r="H16" s="73" ph="1">
        <f>H15*9.0746*LOOKUP(H17,密度!$A$2:$A$50,密度!$L$2:$L$50)</f>
        <v>0</v>
      </c>
      <c r="I16" s="73" ph="1">
        <f>I15*9.0746*LOOKUP(I17,密度!$A$2:$A$50,密度!$U$2:$U$50)</f>
        <v>36511.281041399998</v>
      </c>
      <c r="J16" s="73" ph="1">
        <f>J15*9.0746*LOOKUP(J17,密度!$A$2:$A$50,密度!$L$2:$L$50)</f>
        <v>1467.8619230000002</v>
      </c>
      <c r="K16" s="73" ph="1">
        <f>K15*9.0746*LOOKUP(K17,密度!$A$2:$A$50,密度!$C$2:$C$50)</f>
        <v>31210.387934880004</v>
      </c>
      <c r="L16" s="73" ph="1">
        <f>L15*9.0746*LOOKUP(L17,密度!$A$2:$A$50,密度!$E$2:$E$50)</f>
        <v>49987.650075479993</v>
      </c>
      <c r="M16" s="73" ph="1">
        <f>M15*9.0746*LOOKUP(M17,密度!$A$2:$A$50,密度!$M$2:$M$50)</f>
        <v>54537.438539999996</v>
      </c>
      <c r="N16" s="73" ph="1">
        <f>N15*9.0746*LOOKUP(N17,密度!$A$2:$A$50,密度!$M$2:$M$50)</f>
        <v>32397.28300014</v>
      </c>
      <c r="O16" s="73" ph="1">
        <f>O15*9.0746*LOOKUP(O17,密度!$A$2:$A$50,密度!$G$2:$G$50)</f>
        <v>34723.663790420003</v>
      </c>
      <c r="P16" s="73" ph="1">
        <f ca="1">P15*9.0746*LOOKUP(P17,密度!$A$2:$A$51,密度!$Q$2:$Q$50)</f>
        <v>44308.332355568004</v>
      </c>
      <c r="Q16" s="73" ph="1">
        <f>Q15*9.0746*LOOKUP(Q17,密度!$A$2:$A$50,密度!$Q$2:$Q$50)</f>
        <v>59617.878758880004</v>
      </c>
      <c r="R16" s="73" ph="1">
        <f>MAX(R15*9.0746*LOOKUP(R17,密度!$A$2:$A$50,密度!$B$2:$B$50),0)</f>
        <v>0</v>
      </c>
      <c r="S16" s="73" ph="1">
        <f>S15*9.0746*LOOKUP(S17,密度!$A$2:$A$50,密度!$Q$2:$Q$50)</f>
        <v>14193.509353945999</v>
      </c>
      <c r="T16" s="73" ph="1">
        <f>T15*9.0746*LOOKUP(T17,密度!$A$2:$A$50,密度!$O$2:$O$50)</f>
        <v>18749.956669200001</v>
      </c>
      <c r="U16" s="73" ph="1">
        <f>U15*9.0746*LOOKUP(U17,密度!$A$2:$A$50,密度!$H$2:$H$50)</f>
        <v>56397.205213200003</v>
      </c>
      <c r="V16" s="73" ph="1">
        <f>MAX(5600*LOOKUP(V17,密度!$A$2:$A$50,密度!$Q$2:$Q$50)+V15*9.0476*LOOKUP(V17,密度!$A$2:$A$50,密度!$Q$2:$Q$50),0)</f>
        <v>17558.893003519996</v>
      </c>
      <c r="W16" s="73" ph="1">
        <f>MAX(5600*LOOKUP(W17,密度!$A$2:$A$50,密度!$Q$2:$Q$50)+W15*9.0476*LOOKUP(W17,密度!$A$2:$A$50,密度!$Q$2:$Q$50),0)</f>
        <v>47390.14065790399</v>
      </c>
      <c r="X16" s="73" ph="1">
        <f>MAX(5600*LOOKUP(X17,密度!$A$2:$A$50,密度!$I$2:$I$50)+X15*9.0476*LOOKUP(X17,密度!$A$2:$A$50,密度!$I$2:$I$50),0)</f>
        <v>3323.1159522000012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43236.512474400006</v>
      </c>
      <c r="AB16" s="73" ph="1">
        <f>AB15*9.0746*LOOKUP(AB17,密度!$A$2:$A$50,密度!$L$2:$L$50)</f>
        <v>9306.2926872000007</v>
      </c>
      <c r="AC16" s="73" ph="1">
        <f>AC15*9.0746*LOOKUP(AC17,密度!$A$2:$A$50,密度!$L$2:$L$50)</f>
        <v>322.07570320000002</v>
      </c>
      <c r="AD16" s="73" ph="1">
        <f>AD15*268.68*LOOKUP(AD17,密度!$A$2:$A$50,密度!B2:B50)+IF(AD15&lt;=0,0,1566*LOOKUP(AD17,密度!$A$2:$A$50,密度!B2:B50))</f>
        <v>6400.8718094399992</v>
      </c>
      <c r="AE16" s="73" ph="1">
        <f>AE15*268.68*LOOKUP(AE17,密度!$A$2:$A$50,密度!B2:B50)+IF(AE15&lt;=0,0,1566*LOOKUP(AE17,密度!$A$2:$A$50,密度!B2:B50))</f>
        <v>18981.215265120001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29</v>
      </c>
      <c r="E17" s="74">
        <v>29</v>
      </c>
      <c r="F17" s="74">
        <v>29</v>
      </c>
      <c r="G17" s="74">
        <v>28</v>
      </c>
      <c r="H17" s="74">
        <v>24</v>
      </c>
      <c r="I17" s="74">
        <v>27</v>
      </c>
      <c r="J17" s="74">
        <v>27</v>
      </c>
      <c r="K17" s="74">
        <v>28</v>
      </c>
      <c r="L17" s="74">
        <v>29</v>
      </c>
      <c r="M17" s="74">
        <v>29</v>
      </c>
      <c r="N17" s="74">
        <v>27</v>
      </c>
      <c r="O17" s="74">
        <v>29</v>
      </c>
      <c r="P17" s="74">
        <v>30</v>
      </c>
      <c r="Q17" s="74">
        <v>29</v>
      </c>
      <c r="R17" s="74">
        <v>30</v>
      </c>
      <c r="S17" s="74">
        <v>29</v>
      </c>
      <c r="T17" s="74">
        <v>30</v>
      </c>
      <c r="U17" s="74">
        <v>29</v>
      </c>
      <c r="V17" s="74">
        <v>31</v>
      </c>
      <c r="W17" s="74">
        <v>31</v>
      </c>
      <c r="X17" s="74">
        <v>29</v>
      </c>
      <c r="Y17" s="108">
        <v>29</v>
      </c>
      <c r="Z17" s="74">
        <v>28</v>
      </c>
      <c r="AA17" s="74">
        <v>28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5357</v>
      </c>
      <c r="E18" s="71">
        <v>3204</v>
      </c>
      <c r="F18" s="71">
        <v>2079</v>
      </c>
      <c r="G18" s="71">
        <v>3732</v>
      </c>
      <c r="H18" s="71">
        <v>0</v>
      </c>
      <c r="I18" s="71">
        <v>3935</v>
      </c>
      <c r="J18" s="71">
        <v>179</v>
      </c>
      <c r="K18" s="71">
        <v>3110</v>
      </c>
      <c r="L18" s="71">
        <v>7090</v>
      </c>
      <c r="M18" s="71">
        <v>5833</v>
      </c>
      <c r="N18" s="71">
        <v>3067</v>
      </c>
      <c r="O18" s="71">
        <v>4328</v>
      </c>
      <c r="P18" s="71">
        <v>5182</v>
      </c>
      <c r="Q18" s="71">
        <v>6969</v>
      </c>
      <c r="R18" s="71">
        <v>0</v>
      </c>
      <c r="S18" s="71">
        <v>1659</v>
      </c>
      <c r="T18" s="71">
        <v>2221</v>
      </c>
      <c r="U18" s="71">
        <v>6823</v>
      </c>
      <c r="V18" s="71">
        <v>1440</v>
      </c>
      <c r="W18" s="71">
        <v>4938</v>
      </c>
      <c r="X18" s="71">
        <v>-265</v>
      </c>
      <c r="Y18" s="109">
        <v>-9908</v>
      </c>
      <c r="Z18" s="71">
        <v>0</v>
      </c>
      <c r="AA18" s="71">
        <v>6140</v>
      </c>
      <c r="AB18" s="71">
        <v>1099</v>
      </c>
      <c r="AC18" s="71">
        <v>0</v>
      </c>
      <c r="AD18" s="71">
        <v>70.84</v>
      </c>
      <c r="AE18" s="71">
        <v>5.51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35215.835886000001</v>
      </c>
      <c r="E19" s="73" ph="1">
        <f>E18*7.0686*LOOKUP(E20,密度!$A$2:$A$50,密度!$L$2:$L$50)</f>
        <v>21062.448791999999</v>
      </c>
      <c r="F19" s="73" ph="1">
        <f>F18*9.0746*LOOKUP(F20,密度!$A$2:$A$50,密度!$L$2:$L$50)</f>
        <v>17564.332955400001</v>
      </c>
      <c r="G19" s="73" ph="1">
        <f>G18*9.0746*LOOKUP(G20,密度!$A$2:$A$50,密度!$B$2:$B$50)</f>
        <v>26256.625502160001</v>
      </c>
      <c r="H19" s="73" ph="1">
        <f>H18*9.0746*LOOKUP(H20,密度!$A$2:$A$50,密度!$L$2:$L$50)</f>
        <v>0</v>
      </c>
      <c r="I19" s="73" ph="1">
        <f>I18*9.0746*LOOKUP(I20,密度!$A$2:$A$50,密度!$U$2:$U$50)</f>
        <v>36387.013468999998</v>
      </c>
      <c r="J19" s="73" ph="1">
        <f>J18*9.0746*LOOKUP(J20,密度!$A$2:$A$50,密度!$L$2:$L$50)</f>
        <v>1512.2730154000001</v>
      </c>
      <c r="K19" s="73" ph="1">
        <f>K18*9.0746*LOOKUP(K20,密度!$A$2:$A$50,密度!$C$2:$C$50)</f>
        <v>31188.138830600001</v>
      </c>
      <c r="L19" s="73" ph="1">
        <f>L18*9.0746*LOOKUP(L20,密度!$A$2:$A$50,密度!$E$2:$E$50)</f>
        <v>49883.246802480004</v>
      </c>
      <c r="M19" s="73" ph="1">
        <f>M18*9.0746*LOOKUP(M20,密度!$A$2:$A$50,密度!$M$2:$M$50)</f>
        <v>45879.992547986003</v>
      </c>
      <c r="N19" s="73" ph="1">
        <f>N18*9.0746*LOOKUP(N20,密度!$A$2:$A$50,密度!$M$2:$M$50)</f>
        <v>24241.496232199999</v>
      </c>
      <c r="O19" s="73" ph="1">
        <f>O18*9.0746*LOOKUP(O20,密度!$A$2:$A$50,密度!$G$2:$G$50)</f>
        <v>37456.835123247998</v>
      </c>
      <c r="P19" s="73" ph="1">
        <f ca="1">P18*9.0746*LOOKUP(P20,密度!$A$2:$A$51,密度!$Q$2:$Q$50)</f>
        <v>44324.425977175997</v>
      </c>
      <c r="Q19" s="73" ph="1">
        <f>Q18*9.0746*LOOKUP(Q20,密度!$A$2:$A$50,密度!$Q$2:$Q$50)</f>
        <v>59566.591842059999</v>
      </c>
      <c r="R19" s="73" ph="1">
        <f>MAX(R18*9.0746*LOOKUP(R20,密度!$A$2:$A$50,密度!$B$2:$B$50),0)</f>
        <v>0</v>
      </c>
      <c r="S19" s="73" ph="1">
        <f>S18*9.0746*LOOKUP(S20,密度!$A$2:$A$50,密度!$Q$2:$Q$50)</f>
        <v>14190.317000412</v>
      </c>
      <c r="T19" s="73" ph="1">
        <f>T18*9.0746*LOOKUP(T20,密度!$A$2:$A$50,密度!$O$2:$O$50)</f>
        <v>18550.373546639999</v>
      </c>
      <c r="U19" s="73" ph="1">
        <f>U18*9.0746*LOOKUP(U20,密度!$A$2:$A$50,密度!$H$2:$H$50)</f>
        <v>56343.556178000006</v>
      </c>
      <c r="V19" s="73" ph="1">
        <f>MAX(5600*LOOKUP(V20,密度!$A$2:$A$50,密度!$Q$2:$Q$50)+V18*9.0476*LOOKUP(V20,密度!$A$2:$A$50,密度!$Q$2:$Q$50),0)</f>
        <v>17534.117039999997</v>
      </c>
      <c r="W19" s="73" ph="1">
        <f>MAX(5600*LOOKUP(W20,密度!$A$2:$A$50,密度!$Q$2:$Q$50)+W18*9.0476*LOOKUP(W20,密度!$A$2:$A$50,密度!$Q$2:$Q$50),0)</f>
        <v>47257.409249071992</v>
      </c>
      <c r="X19" s="73" ph="1">
        <f>MAX(5600*LOOKUP(X20,密度!$A$2:$A$50,密度!$I$2:$I$50)+X18*9.0476*LOOKUP(X20,密度!$A$2:$A$50,密度!$I$2:$I$50),0)</f>
        <v>3316.1027268600005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43198.199513200001</v>
      </c>
      <c r="AB19" s="73" ph="1">
        <f>AB18*9.0746*LOOKUP(AB20,密度!$A$2:$A$50,密度!$L$2:$L$50)</f>
        <v>9274.8764219999994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16005.6492624</v>
      </c>
      <c r="AE19" s="73" ph="1">
        <f>AE18*268.68*LOOKUP(AE20,密度!$A$2:$A$50,密度!B5:B53)+IF(AE18&lt;=0,0,1566*LOOKUP(AE20,密度!$A$2:$A$50,密度!B5:B53))</f>
        <v>2367.0736236000002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32</v>
      </c>
      <c r="E20" s="81">
        <v>32</v>
      </c>
      <c r="F20" s="81">
        <v>31</v>
      </c>
      <c r="G20" s="81">
        <v>30</v>
      </c>
      <c r="H20" s="81">
        <v>28</v>
      </c>
      <c r="I20" s="81">
        <v>31</v>
      </c>
      <c r="J20" s="81">
        <v>31</v>
      </c>
      <c r="K20" s="81">
        <v>30</v>
      </c>
      <c r="L20" s="81">
        <v>32</v>
      </c>
      <c r="M20" s="81">
        <v>33</v>
      </c>
      <c r="N20" s="81">
        <v>29</v>
      </c>
      <c r="O20" s="81">
        <v>31</v>
      </c>
      <c r="P20" s="81">
        <v>31</v>
      </c>
      <c r="Q20" s="81">
        <v>32</v>
      </c>
      <c r="R20" s="81">
        <v>34</v>
      </c>
      <c r="S20" s="81">
        <v>31</v>
      </c>
      <c r="T20" s="81">
        <v>34</v>
      </c>
      <c r="U20" s="81">
        <v>30</v>
      </c>
      <c r="V20" s="81">
        <v>33</v>
      </c>
      <c r="W20" s="81">
        <v>35</v>
      </c>
      <c r="X20" s="81">
        <v>31</v>
      </c>
      <c r="Y20" s="110">
        <v>31</v>
      </c>
      <c r="Z20" s="81">
        <v>33</v>
      </c>
      <c r="AA20" s="81">
        <v>30</v>
      </c>
      <c r="AB20" s="81">
        <v>32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104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85.44</v>
      </c>
      <c r="E24" s="71">
        <v>55.2</v>
      </c>
      <c r="F24" s="71">
        <v>3755</v>
      </c>
      <c r="G24" s="71">
        <v>2713</v>
      </c>
      <c r="H24" s="71">
        <v>528</v>
      </c>
      <c r="I24" s="71">
        <v>3289</v>
      </c>
      <c r="J24" s="71">
        <v>422</v>
      </c>
      <c r="K24" s="71">
        <v>4926</v>
      </c>
      <c r="L24" s="71">
        <v>5617</v>
      </c>
      <c r="M24" s="71">
        <v>1917</v>
      </c>
      <c r="N24" s="71">
        <v>548</v>
      </c>
      <c r="O24" s="71">
        <v>4323</v>
      </c>
      <c r="P24" s="71">
        <v>968</v>
      </c>
      <c r="Q24" s="90">
        <v>5271</v>
      </c>
      <c r="R24" s="71">
        <v>370</v>
      </c>
      <c r="S24" s="71">
        <v>6543</v>
      </c>
      <c r="T24" s="71">
        <v>1697</v>
      </c>
      <c r="U24" s="71">
        <v>6611</v>
      </c>
      <c r="V24" s="71">
        <v>7093</v>
      </c>
      <c r="W24" s="71">
        <v>11739</v>
      </c>
      <c r="X24" s="71">
        <v>4756</v>
      </c>
      <c r="Y24" s="71">
        <v>3693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23215.976457408</v>
      </c>
      <c r="E25" s="91" ph="1">
        <f>E24*268.68*LOOKUP(E26,密度!$A$2:$A$50,密度!$C$2:$C$50)+IF(E24&lt;=0,0,1566*LOOKUP(E26,密度!$A$2:$A$50,密度!$C$2:$C$50))</f>
        <v>18182.7841104</v>
      </c>
      <c r="F25" s="91" ph="1">
        <f>F24*11.702*LOOKUP(F26,密度!$A$2:$A$50,密度!$Q$2:$Q$50)</f>
        <v>41417.917205800004</v>
      </c>
      <c r="G25" s="91" ph="1">
        <f>G24*18.322*LOOKUP(G26,密度!$A$2:$A$50,密度!$B$2:$B$50)</f>
        <v>38493.554598399998</v>
      </c>
      <c r="H25" s="91" ph="1">
        <f>H24*18.322*LOOKUP(H26,密度!$A$2:$A$50,密度!$B$2:$B$50)</f>
        <v>7500.2646047999997</v>
      </c>
      <c r="I25" s="91" ph="1">
        <f>I24*18.322*LOOKUP(I26,密度!$A$2:$A$50,密度!$Q$2:$Q$50)</f>
        <v>56800.868049639997</v>
      </c>
      <c r="J25" s="91" ph="1">
        <f>J24*18.322*LOOKUP(J26,密度!$A$2:$A$50,密度!$Q$2:$Q$50)</f>
        <v>7293.71813372</v>
      </c>
      <c r="K25" s="91" ph="1">
        <f>K24*18.322*LOOKUP(K26,密度!$A$2:$A$50,密度!$Q$2:$Q$50)</f>
        <v>85071.777443759987</v>
      </c>
      <c r="L25" s="91" ph="1">
        <f>L24*18.322*LOOKUP(L26,密度!$A$2:$A$50,密度!$Q$2:$Q$50)</f>
        <v>97005.313418919992</v>
      </c>
      <c r="M25" s="91" ph="1">
        <f>M24*18.322*LOOKUP(M26,密度!$A$2:$A$50,密度!$Q$2:$Q$50)</f>
        <v>33106.495606919998</v>
      </c>
      <c r="N25" s="91" ph="1">
        <f>N24*18.322*LOOKUP(N26,密度!$A$2:$A$50,密度!$Q$2:$Q$50)</f>
        <v>9471.4633584799994</v>
      </c>
      <c r="O25" s="91" ph="1">
        <f>O24*18.322*LOOKUP(O26,密度!$A$2:$A$50,密度!$C$2:$C$50)</f>
        <v>87530.557230599996</v>
      </c>
      <c r="P25" s="91" ph="1">
        <f>P24*11.702*LOOKUP(P26,密度!$A$2:$A$50,密度!$B$2:$B$50)</f>
        <v>8782.2386607999997</v>
      </c>
      <c r="Q25" s="92" ph="1">
        <f>Q24*18.322*LOOKUP(Q26,密度!$A$2:$A$50,密度!$B$2:$B$50)</f>
        <v>74787.8828928</v>
      </c>
      <c r="R25" s="91" ph="1">
        <f>R24*35.891*LOOKUP(R26,密度!$A$2:$A$50,密度!$C$2:$C$50)</f>
        <v>14675.363316999999</v>
      </c>
      <c r="S25" s="91" ph="1">
        <f>S24*35.891*LOOKUP(S26,密度!$A$2:$A$50,密度!$B$2:$B$50)</f>
        <v>182067.43051889999</v>
      </c>
      <c r="T25" s="91" ph="1">
        <f>T24*35.891*LOOKUP(T26,密度!$A$2:$A$50,密度!$Q$2:$Q$50)</f>
        <v>57409.745509659995</v>
      </c>
      <c r="U25" s="91" ph="1">
        <f>U24*35.891</f>
        <v>237275.40099999998</v>
      </c>
      <c r="V25" s="91" ph="1">
        <f>V24*47.051*LOOKUP(V26,密度!$A$2:$A$50,密度!$B$2:$B$50)</f>
        <v>258442.6361792</v>
      </c>
      <c r="W25" s="91" ph="1">
        <f>W24*47.051*LOOKUP(W26,密度!$A$2:$A$50,密度!$B$2:$B$50)</f>
        <v>428222.75848170003</v>
      </c>
      <c r="X25" s="91" ph="1">
        <f>X24*47.051*LOOKUP(X26,密度!$A$2:$A$50,密度!$I$2:$I$50)</f>
        <v>231720.79048356001</v>
      </c>
      <c r="Y25" s="91" ph="1">
        <f>Y24*47.051*LOOKUP(Y26,密度!$A$2:$A$50,密度!$L$2:$L$50)</f>
        <v>161769.94833300001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31</v>
      </c>
      <c r="G26" s="74">
        <v>31</v>
      </c>
      <c r="H26" s="74">
        <v>30</v>
      </c>
      <c r="I26" s="74">
        <v>31</v>
      </c>
      <c r="J26" s="74">
        <v>30</v>
      </c>
      <c r="K26" s="74">
        <v>31</v>
      </c>
      <c r="L26" s="74">
        <v>31</v>
      </c>
      <c r="M26" s="74">
        <v>31</v>
      </c>
      <c r="N26" s="74">
        <v>30</v>
      </c>
      <c r="O26" s="74">
        <v>30</v>
      </c>
      <c r="P26" s="74">
        <v>30</v>
      </c>
      <c r="Q26" s="93">
        <v>31</v>
      </c>
      <c r="R26" s="74">
        <v>30</v>
      </c>
      <c r="S26" s="74">
        <v>30</v>
      </c>
      <c r="T26" s="74">
        <v>31</v>
      </c>
      <c r="U26" s="74">
        <v>31</v>
      </c>
      <c r="V26" s="74">
        <v>31</v>
      </c>
      <c r="W26" s="74">
        <v>30</v>
      </c>
      <c r="X26" s="74">
        <v>31</v>
      </c>
      <c r="Y26" s="74">
        <v>31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85.45</v>
      </c>
      <c r="E27" s="71">
        <v>55.22</v>
      </c>
      <c r="F27" s="71">
        <v>3758</v>
      </c>
      <c r="G27" s="71">
        <v>2223</v>
      </c>
      <c r="H27" s="71">
        <v>1651</v>
      </c>
      <c r="I27" s="71">
        <v>2377</v>
      </c>
      <c r="J27" s="71">
        <v>420</v>
      </c>
      <c r="K27" s="71">
        <v>4928</v>
      </c>
      <c r="L27" s="71">
        <v>5618</v>
      </c>
      <c r="M27" s="71">
        <v>4351</v>
      </c>
      <c r="N27" s="71">
        <v>545</v>
      </c>
      <c r="O27" s="71">
        <v>4323</v>
      </c>
      <c r="P27" s="71">
        <v>967</v>
      </c>
      <c r="Q27" s="90">
        <v>5276</v>
      </c>
      <c r="R27" s="71">
        <v>368</v>
      </c>
      <c r="S27" s="71">
        <v>6219</v>
      </c>
      <c r="T27" s="71">
        <v>1697</v>
      </c>
      <c r="U27" s="71">
        <v>6706</v>
      </c>
      <c r="V27" s="71">
        <v>6858</v>
      </c>
      <c r="W27" s="71">
        <v>11743</v>
      </c>
      <c r="X27" s="71">
        <v>4504</v>
      </c>
      <c r="Y27" s="71">
        <v>4394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23218.520158440006</v>
      </c>
      <c r="E28" s="91" ph="1">
        <f>E27*268.68*LOOKUP(E29,密度!$A$2:$A$50,密度!$C$2:$C$50)+IF(E27&lt;=0,0,1566*LOOKUP(E29,密度!$A$2:$A$50,密度!$C$2:$C$50))</f>
        <v>18188.742895440002</v>
      </c>
      <c r="F28" s="91" ph="1">
        <f>F27*11.702*LOOKUP(F29,密度!$A$2:$A$50,密度!$Q$2:$Q$50)</f>
        <v>41510.375175880006</v>
      </c>
      <c r="G28" s="91" ph="1">
        <f>G27*18.322*LOOKUP(G29,密度!$A$2:$A$50,密度!$B$2:$B$50)</f>
        <v>31614.475417199999</v>
      </c>
      <c r="H28" s="91" ph="1">
        <f>H27*18.322*LOOKUP(H29,密度!$A$2:$A$50,密度!$B$2:$B$50)</f>
        <v>23503.956294</v>
      </c>
      <c r="I28" s="91" ph="1">
        <f>I27*18.322*LOOKUP(I29,密度!$A$2:$A$50,密度!$Q$2:$Q$50)</f>
        <v>41139.517800280002</v>
      </c>
      <c r="J28" s="91" ph="1">
        <f>J27*18.322*LOOKUP(J29,密度!$A$2:$A$50,密度!$Q$2:$Q$50)</f>
        <v>7269.0776088000002</v>
      </c>
      <c r="K28" s="91" ph="1">
        <f>K27*18.322*LOOKUP(K29,密度!$A$2:$A$50,密度!$Q$2:$Q$50)</f>
        <v>85228.209946880001</v>
      </c>
      <c r="L28" s="91" ph="1">
        <f>L27*18.322*LOOKUP(L29,密度!$A$2:$A$50,密度!$Q$2:$Q$50)</f>
        <v>97161.542914279999</v>
      </c>
      <c r="M28" s="91" ph="1">
        <f>M27*18.322*LOOKUP(M29,密度!$A$2:$A$50,密度!$Q$2:$Q$50)</f>
        <v>75249.176436459995</v>
      </c>
      <c r="N28" s="91" ph="1">
        <f>N27*18.322*LOOKUP(N29,密度!$A$2:$A$50,密度!$Q$2:$Q$50)</f>
        <v>9419.6122816999996</v>
      </c>
      <c r="O28" s="91" ph="1">
        <f>O27*18.322*LOOKUP(O29,密度!$A$2:$A$50,密度!$C$2:$C$50)</f>
        <v>87451.351224600003</v>
      </c>
      <c r="P28" s="91" ph="1">
        <f>P27*11.702*LOOKUP(P29,密度!$A$2:$A$50,密度!$B$2:$B$50)</f>
        <v>8783.3503508000013</v>
      </c>
      <c r="Q28" s="92" ph="1">
        <f>Q27*18.322*LOOKUP(Q29,密度!$A$2:$A$50,密度!$B$2:$B$50)</f>
        <v>75032.82604639999</v>
      </c>
      <c r="R28" s="91" ph="1">
        <f>R27*35.891*LOOKUP(R29,密度!$A$2:$A$50,密度!$C$2:$C$50)</f>
        <v>14606.603339200001</v>
      </c>
      <c r="S28" s="91" ph="1">
        <f>S27*35.891*LOOKUP(S29,密度!$A$2:$A$50,密度!$B$2:$B$50)</f>
        <v>173252.59732979999</v>
      </c>
      <c r="T28" s="91" ph="1">
        <f>T27*35.891*LOOKUP(T29,密度!$A$2:$A$50,密度!$Q$2:$Q$50)</f>
        <v>57491.969996109998</v>
      </c>
      <c r="U28" s="91" ph="1">
        <f>U27*35.891</f>
        <v>240685.046</v>
      </c>
      <c r="V28" s="91" ph="1">
        <f>V27*47.051*LOOKUP(V29,密度!$A$2:$A$50,密度!$B$2:$B$50)</f>
        <v>250460.92335960001</v>
      </c>
      <c r="W28" s="91" ph="1">
        <f>W27*47.051*LOOKUP(W29,密度!$A$2:$A$50,密度!$B$2:$B$50)</f>
        <v>426932.12132110004</v>
      </c>
      <c r="X28" s="91" ph="1">
        <f>X27*47.051*LOOKUP(X29,密度!$A$2:$A$50,密度!$I$2:$I$50)</f>
        <v>219442.90166903997</v>
      </c>
      <c r="Y28" s="91" ph="1">
        <f>Y27*47.051*LOOKUP(Y29,密度!$A$2:$A$50,密度!$L$2:$L$50)</f>
        <v>192683.63160800003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29</v>
      </c>
      <c r="G29" s="74">
        <v>29</v>
      </c>
      <c r="H29" s="74">
        <v>28</v>
      </c>
      <c r="I29" s="74">
        <v>28</v>
      </c>
      <c r="J29" s="74">
        <v>28</v>
      </c>
      <c r="K29" s="74">
        <v>29</v>
      </c>
      <c r="L29" s="74">
        <v>29</v>
      </c>
      <c r="M29" s="74">
        <v>29</v>
      </c>
      <c r="N29" s="74">
        <v>30</v>
      </c>
      <c r="O29" s="74">
        <v>31</v>
      </c>
      <c r="P29" s="74">
        <v>29</v>
      </c>
      <c r="Q29" s="93">
        <v>29</v>
      </c>
      <c r="R29" s="74">
        <v>29</v>
      </c>
      <c r="S29" s="74">
        <v>29</v>
      </c>
      <c r="T29" s="74">
        <v>29</v>
      </c>
      <c r="U29" s="74">
        <v>29</v>
      </c>
      <c r="V29" s="74">
        <v>29</v>
      </c>
      <c r="W29" s="74">
        <v>33</v>
      </c>
      <c r="X29" s="74">
        <v>31</v>
      </c>
      <c r="Y29" s="74">
        <v>30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16483.6124022</v>
      </c>
      <c r="E33" s="182" ph="1">
        <f>M10+I10</f>
        <v>103581.21411780002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08" ph="1">
        <v>0</v>
      </c>
      <c r="H33" s="182" ph="1">
        <f>N19</f>
        <v>24241.496232199999</v>
      </c>
      <c r="I33" s="186" ph="1">
        <v>0</v>
      </c>
      <c r="J33" s="190" ph="1">
        <f>F10+O28</f>
        <v>338057.36432759999</v>
      </c>
      <c r="K33" s="182" ph="1">
        <f>O10+K10+E28+R28</f>
        <v>180958.73730143998</v>
      </c>
      <c r="L33" s="192" ph="1">
        <f>BE27</f>
        <v>7100</v>
      </c>
      <c r="M33" s="190" ph="1">
        <f>G10+H10+W28+S28+V28+E10</f>
        <v>1942882.9732484999</v>
      </c>
      <c r="N33" s="182" ph="1">
        <f>L10+P10++G28+H28</f>
        <v>114270.33417720001</v>
      </c>
      <c r="O33" s="186" ph="1">
        <f>BE17</f>
        <v>2270</v>
      </c>
      <c r="P33" s="190" ph="1">
        <f>L19</f>
        <v>49883.246802480004</v>
      </c>
      <c r="Q33" s="182" ph="1">
        <f>J10+N10</f>
        <v>169052.70134872</v>
      </c>
      <c r="R33" s="186" ph="1">
        <f>BE23</f>
        <v>890</v>
      </c>
      <c r="S33" s="190" ph="1">
        <f>E10+X28</f>
        <v>578284.66090704</v>
      </c>
      <c r="T33" s="182" ph="1">
        <f>X19</f>
        <v>3316.1027268600005</v>
      </c>
      <c r="U33" s="171" ph="1">
        <f>BE21</f>
        <v>730</v>
      </c>
      <c r="V33" s="184" ph="1">
        <f ca="1">P19+Q19+S19+M28+N28+J28</f>
        <v>210019.20114660801</v>
      </c>
      <c r="W33" s="184" ph="1">
        <f>D28+F28+V19+T28</f>
        <v>139754.98237043002</v>
      </c>
      <c r="X33" s="186" ph="1">
        <f>BE29+BE31</f>
        <v>10200</v>
      </c>
      <c r="Y33" s="188" ph="1">
        <f>+Q10+R10+S10+T10+U10+V10+W10+X10+Y10</f>
        <v>207975.09888540005</v>
      </c>
      <c r="Z33" s="169" ph="1">
        <f>D10+T19+U19+Y28+Z10</f>
        <v>429788.65098088002</v>
      </c>
      <c r="AA33" s="171" ph="1">
        <f>BE19</f>
        <v>1440</v>
      </c>
      <c r="AB33" s="173" ph="1">
        <f>I19</f>
        <v>36387.013468999998</v>
      </c>
      <c r="AC33" s="175" ph="1">
        <f>AD10</f>
        <v>75430.504396799995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10" priority="97">
      <formula>ABS(D$7-D$10)&gt;=1000</formula>
    </cfRule>
  </conditionalFormatting>
  <conditionalFormatting sqref="E4 E6:E11">
    <cfRule type="expression" dxfId="509" priority="96">
      <formula>ABS(E$7-E$10)&gt;=1000</formula>
    </cfRule>
  </conditionalFormatting>
  <conditionalFormatting sqref="F4:F11">
    <cfRule type="expression" dxfId="508" priority="95">
      <formula>ABS(F$7-F$10)&gt;=1000</formula>
    </cfRule>
  </conditionalFormatting>
  <conditionalFormatting sqref="G4:G11">
    <cfRule type="expression" dxfId="507" priority="94">
      <formula>ABS(G$7-G$10)&gt;=1000</formula>
    </cfRule>
  </conditionalFormatting>
  <conditionalFormatting sqref="H4:H11">
    <cfRule type="expression" dxfId="506" priority="93">
      <formula>ABS(H$7-H$10)&gt;=1000</formula>
    </cfRule>
  </conditionalFormatting>
  <conditionalFormatting sqref="I4:I11">
    <cfRule type="expression" dxfId="505" priority="92">
      <formula>ABS(I$7-I$10)&gt;=1000</formula>
    </cfRule>
  </conditionalFormatting>
  <conditionalFormatting sqref="J4:J11">
    <cfRule type="expression" dxfId="504" priority="91">
      <formula>ABS(J$7-J$10)&gt;=1000</formula>
    </cfRule>
  </conditionalFormatting>
  <conditionalFormatting sqref="K4:K11">
    <cfRule type="expression" dxfId="503" priority="90">
      <formula>ABS(K$7-K$10)&gt;=1000</formula>
    </cfRule>
  </conditionalFormatting>
  <conditionalFormatting sqref="L4:L11">
    <cfRule type="expression" dxfId="502" priority="89">
      <formula>ABS(L$7-L$10)&gt;=1000</formula>
    </cfRule>
  </conditionalFormatting>
  <conditionalFormatting sqref="M4 M6:M11">
    <cfRule type="expression" dxfId="501" priority="88">
      <formula>ABS(M$7-M$10)&gt;=1000</formula>
    </cfRule>
  </conditionalFormatting>
  <conditionalFormatting sqref="N4 N6:N11">
    <cfRule type="expression" dxfId="500" priority="87">
      <formula>ABS(N$7-N$10)&gt;=1000</formula>
    </cfRule>
  </conditionalFormatting>
  <conditionalFormatting sqref="O4 O6:O11">
    <cfRule type="expression" dxfId="499" priority="86">
      <formula>ABS(O$7-O$10)&gt;=1000</formula>
    </cfRule>
  </conditionalFormatting>
  <conditionalFormatting sqref="P4 P6:P11">
    <cfRule type="expression" dxfId="498" priority="85">
      <formula>ABS(P$7-P$10)&gt;=1000</formula>
    </cfRule>
  </conditionalFormatting>
  <conditionalFormatting sqref="Q4:Q11">
    <cfRule type="expression" dxfId="497" priority="84">
      <formula>ABS(Q$7-Q$10)&gt;=1000</formula>
    </cfRule>
  </conditionalFormatting>
  <conditionalFormatting sqref="R4:R11">
    <cfRule type="expression" dxfId="496" priority="83">
      <formula>ABS(R$7-R$10)&gt;=1000</formula>
    </cfRule>
  </conditionalFormatting>
  <conditionalFormatting sqref="S4:S11">
    <cfRule type="expression" dxfId="495" priority="82">
      <formula>ABS(S$7-S$10)&gt;=1000</formula>
    </cfRule>
  </conditionalFormatting>
  <conditionalFormatting sqref="T4:T9 T11">
    <cfRule type="expression" dxfId="494" priority="81">
      <formula>ABS(T$7-T$10)&gt;=1000</formula>
    </cfRule>
  </conditionalFormatting>
  <conditionalFormatting sqref="U4:U9 U11">
    <cfRule type="expression" dxfId="493" priority="80">
      <formula>ABS(U$7-U$10)&gt;=1000</formula>
    </cfRule>
  </conditionalFormatting>
  <conditionalFormatting sqref="V4:V9 V11">
    <cfRule type="expression" dxfId="492" priority="79">
      <formula>ABS(V$7-V$10)&gt;=1000</formula>
    </cfRule>
  </conditionalFormatting>
  <conditionalFormatting sqref="W4:W9 W11">
    <cfRule type="expression" dxfId="491" priority="78">
      <formula>ABS(W$7-W$10)&gt;=1000</formula>
    </cfRule>
  </conditionalFormatting>
  <conditionalFormatting sqref="X4:X9 X11">
    <cfRule type="expression" dxfId="490" priority="77">
      <formula>ABS(X$7-X$10)&gt;=1000</formula>
    </cfRule>
  </conditionalFormatting>
  <conditionalFormatting sqref="Y4:Y9 Y11">
    <cfRule type="expression" dxfId="489" priority="76">
      <formula>ABS(Y$7-Y$10)&gt;=1000</formula>
    </cfRule>
  </conditionalFormatting>
  <conditionalFormatting sqref="Z4:Z11">
    <cfRule type="expression" dxfId="488" priority="75">
      <formula>ABS(Z$7-Z$10)&gt;=1000</formula>
    </cfRule>
  </conditionalFormatting>
  <conditionalFormatting sqref="AA4:AA11">
    <cfRule type="expression" dxfId="487" priority="74">
      <formula>ABS(AA$7-AA$10)&gt;=1000</formula>
    </cfRule>
  </conditionalFormatting>
  <conditionalFormatting sqref="AB4:AB11">
    <cfRule type="expression" dxfId="486" priority="73">
      <formula>ABS(AB$7-AB$10)&gt;=1000</formula>
    </cfRule>
  </conditionalFormatting>
  <conditionalFormatting sqref="AC4 AC6:AC11">
    <cfRule type="expression" dxfId="485" priority="72">
      <formula>ABS(AC$7-AC$10)&gt;=1000</formula>
    </cfRule>
  </conditionalFormatting>
  <conditionalFormatting sqref="AD4:AD11">
    <cfRule type="expression" dxfId="484" priority="71">
      <formula>ABS(AD$7-AD$10)&gt;=1000</formula>
    </cfRule>
  </conditionalFormatting>
  <conditionalFormatting sqref="AE4:AE11">
    <cfRule type="expression" dxfId="483" priority="70">
      <formula>ABS(AE$7-AE$10)&gt;=1000</formula>
    </cfRule>
  </conditionalFormatting>
  <conditionalFormatting sqref="D13:D20">
    <cfRule type="expression" dxfId="482" priority="69">
      <formula>ABS(D$16-D$19)&gt;=1000</formula>
    </cfRule>
  </conditionalFormatting>
  <conditionalFormatting sqref="E13:E20">
    <cfRule type="expression" dxfId="481" priority="68">
      <formula>ABS(E$16-E$19)&gt;=1000</formula>
    </cfRule>
  </conditionalFormatting>
  <conditionalFormatting sqref="F13 F15:F20">
    <cfRule type="expression" dxfId="480" priority="67">
      <formula>ABS(F$16-F$19)&gt;=1000</formula>
    </cfRule>
  </conditionalFormatting>
  <conditionalFormatting sqref="G13:G20">
    <cfRule type="expression" dxfId="479" priority="66">
      <formula>ABS(G$16-G$19)&gt;=1000</formula>
    </cfRule>
  </conditionalFormatting>
  <conditionalFormatting sqref="H13:H20">
    <cfRule type="expression" dxfId="478" priority="65">
      <formula>ABS(H$16-H$19)&gt;=1000</formula>
    </cfRule>
  </conditionalFormatting>
  <conditionalFormatting sqref="I13:I20">
    <cfRule type="expression" dxfId="477" priority="64">
      <formula>ABS(I$16-I$19)&gt;=1000</formula>
    </cfRule>
  </conditionalFormatting>
  <conditionalFormatting sqref="J13:J20">
    <cfRule type="expression" dxfId="476" priority="63">
      <formula>ABS(J$16-J$19)&gt;=1000</formula>
    </cfRule>
  </conditionalFormatting>
  <conditionalFormatting sqref="L13:L20">
    <cfRule type="expression" dxfId="475" priority="62">
      <formula>ABS(L$16-L$19)&gt;=1000</formula>
    </cfRule>
  </conditionalFormatting>
  <conditionalFormatting sqref="M13 M15 M17:M18 M20">
    <cfRule type="expression" dxfId="474" priority="61">
      <formula>ABS(M$16-M$19)&gt;=1000</formula>
    </cfRule>
  </conditionalFormatting>
  <conditionalFormatting sqref="N13:N20">
    <cfRule type="expression" dxfId="473" priority="60">
      <formula>ABS(N$16-N$19)&gt;=1000</formula>
    </cfRule>
  </conditionalFormatting>
  <conditionalFormatting sqref="O13:O20">
    <cfRule type="expression" dxfId="472" priority="59">
      <formula>ABS(O$16-O$19)&gt;=1000</formula>
    </cfRule>
  </conditionalFormatting>
  <conditionalFormatting sqref="P13:P20">
    <cfRule type="expression" dxfId="471" priority="58">
      <formula>ABS(P$16-P$19)&gt;=1000</formula>
    </cfRule>
  </conditionalFormatting>
  <conditionalFormatting sqref="Q13 Q15:Q20">
    <cfRule type="expression" dxfId="470" priority="57">
      <formula>ABS(Q$16-Q$19)&gt;=1000</formula>
    </cfRule>
  </conditionalFormatting>
  <conditionalFormatting sqref="R13:R20">
    <cfRule type="expression" dxfId="469" priority="56">
      <formula>ABS(R$16-R$19)&gt;=1000</formula>
    </cfRule>
  </conditionalFormatting>
  <conditionalFormatting sqref="S13:S20">
    <cfRule type="expression" dxfId="468" priority="55">
      <formula>ABS(S$16-S$19)&gt;=1000</formula>
    </cfRule>
  </conditionalFormatting>
  <conditionalFormatting sqref="T13:T20">
    <cfRule type="expression" dxfId="467" priority="54">
      <formula>ABS(T$16-T$19)&gt;=1000</formula>
    </cfRule>
  </conditionalFormatting>
  <conditionalFormatting sqref="U13:U20">
    <cfRule type="expression" dxfId="466" priority="53">
      <formula>ABS(U$16-U$19)&gt;=1000</formula>
    </cfRule>
  </conditionalFormatting>
  <conditionalFormatting sqref="V13:V20">
    <cfRule type="expression" dxfId="465" priority="52">
      <formula>ABS(V$16-V$19)&gt;=1000</formula>
    </cfRule>
  </conditionalFormatting>
  <conditionalFormatting sqref="W13 W20 W15:W18">
    <cfRule type="expression" dxfId="464" priority="51">
      <formula>ABS(W$16-W$19)&gt;=1000</formula>
    </cfRule>
  </conditionalFormatting>
  <conditionalFormatting sqref="X13 X15:X20 Y19">
    <cfRule type="expression" dxfId="463" priority="50">
      <formula>ABS(X$16-X$19)&gt;=1000</formula>
    </cfRule>
  </conditionalFormatting>
  <conditionalFormatting sqref="Y13 Y15:Y18 Y20">
    <cfRule type="expression" dxfId="462" priority="49">
      <formula>ABS(Y$16-Y$19)&gt;=1000</formula>
    </cfRule>
  </conditionalFormatting>
  <conditionalFormatting sqref="Z13:Z20">
    <cfRule type="expression" dxfId="461" priority="48">
      <formula>ABS(Z$16-Z$19)&gt;=1000</formula>
    </cfRule>
  </conditionalFormatting>
  <conditionalFormatting sqref="AA13:AA20">
    <cfRule type="expression" dxfId="460" priority="47">
      <formula>ABS(AA$16-AA$19)&gt;=1000</formula>
    </cfRule>
  </conditionalFormatting>
  <conditionalFormatting sqref="AB13 AB15:AB20">
    <cfRule type="expression" dxfId="459" priority="46">
      <formula>ABS(AB$16-AB$19)&gt;=1000</formula>
    </cfRule>
  </conditionalFormatting>
  <conditionalFormatting sqref="AC13 AC15:AC20">
    <cfRule type="expression" dxfId="458" priority="45">
      <formula>ABS(AC$16-AC$19)&gt;=1000</formula>
    </cfRule>
  </conditionalFormatting>
  <conditionalFormatting sqref="AD13:AD20">
    <cfRule type="expression" dxfId="457" priority="44">
      <formula>ABS(AD$16-AD$19)&gt;=1000</formula>
    </cfRule>
  </conditionalFormatting>
  <conditionalFormatting sqref="AE13:AE20">
    <cfRule type="expression" dxfId="456" priority="43">
      <formula>ABS(AE$16-AE$19)&gt;=1000</formula>
    </cfRule>
  </conditionalFormatting>
  <conditionalFormatting sqref="D22:D29">
    <cfRule type="expression" dxfId="455" priority="42">
      <formula>ABS(D$25-D$28)&gt;=1000</formula>
    </cfRule>
  </conditionalFormatting>
  <conditionalFormatting sqref="E22:E29">
    <cfRule type="expression" dxfId="454" priority="41">
      <formula>ABS(E$25-E$28)&gt;=1000</formula>
    </cfRule>
  </conditionalFormatting>
  <conditionalFormatting sqref="F22:F29">
    <cfRule type="expression" dxfId="453" priority="40">
      <formula>ABS(F$25-F$28)&gt;=1000</formula>
    </cfRule>
  </conditionalFormatting>
  <conditionalFormatting sqref="G22:G29">
    <cfRule type="expression" dxfId="452" priority="39">
      <formula>ABS(G$25-G$28)&gt;=1000</formula>
    </cfRule>
  </conditionalFormatting>
  <conditionalFormatting sqref="H22:H29">
    <cfRule type="expression" dxfId="451" priority="38">
      <formula>ABS(H$25-H$28)&gt;=1000</formula>
    </cfRule>
  </conditionalFormatting>
  <conditionalFormatting sqref="I22 I24:I29">
    <cfRule type="expression" dxfId="450" priority="37">
      <formula>ABS(I$25-I$28)&gt;=1000</formula>
    </cfRule>
  </conditionalFormatting>
  <conditionalFormatting sqref="J22:J29 K22">
    <cfRule type="expression" dxfId="449" priority="36">
      <formula>ABS(J$25-J$28)&gt;=1000</formula>
    </cfRule>
  </conditionalFormatting>
  <conditionalFormatting sqref="K23:K29 L25 L28">
    <cfRule type="expression" dxfId="448" priority="35">
      <formula>ABS(K$25-K$28)&gt;=1000</formula>
    </cfRule>
  </conditionalFormatting>
  <conditionalFormatting sqref="L22 L26:L27 L29 L24">
    <cfRule type="expression" dxfId="447" priority="34">
      <formula>ABS(L$25-L$28)&gt;=1000</formula>
    </cfRule>
  </conditionalFormatting>
  <conditionalFormatting sqref="M22:M29">
    <cfRule type="expression" dxfId="446" priority="33">
      <formula>ABS(M$25-M$28)&gt;=1000</formula>
    </cfRule>
  </conditionalFormatting>
  <conditionalFormatting sqref="N22:N29">
    <cfRule type="expression" dxfId="445" priority="32">
      <formula>ABS(N$25-N$28)&gt;=1000</formula>
    </cfRule>
  </conditionalFormatting>
  <conditionalFormatting sqref="O22:O29">
    <cfRule type="expression" dxfId="444" priority="31">
      <formula>ABS(O$25-O$28)&gt;=1000</formula>
    </cfRule>
  </conditionalFormatting>
  <conditionalFormatting sqref="P22:P29">
    <cfRule type="expression" dxfId="443" priority="30">
      <formula>ABS(P$25-P$28)&gt;=1000</formula>
    </cfRule>
  </conditionalFormatting>
  <conditionalFormatting sqref="Q22:Q29">
    <cfRule type="expression" dxfId="442" priority="29">
      <formula>ABS(Q$25-Q$28)&gt;=1000</formula>
    </cfRule>
  </conditionalFormatting>
  <conditionalFormatting sqref="R22:R29">
    <cfRule type="expression" dxfId="441" priority="28">
      <formula>ABS(R$25-R$28)&gt;=1000</formula>
    </cfRule>
  </conditionalFormatting>
  <conditionalFormatting sqref="S22:S29">
    <cfRule type="expression" dxfId="440" priority="27">
      <formula>ABS(S$25-S$28)&gt;=1000</formula>
    </cfRule>
  </conditionalFormatting>
  <conditionalFormatting sqref="T22:T29">
    <cfRule type="expression" dxfId="439" priority="26">
      <formula>ABS(T$25-T$28)&gt;=1000</formula>
    </cfRule>
  </conditionalFormatting>
  <conditionalFormatting sqref="U22:U29">
    <cfRule type="expression" dxfId="438" priority="25">
      <formula>ABS(U$25-U$28)&gt;=1000</formula>
    </cfRule>
  </conditionalFormatting>
  <conditionalFormatting sqref="V22:V29">
    <cfRule type="expression" dxfId="437" priority="24">
      <formula>ABS(V$25-V$28)&gt;=1000</formula>
    </cfRule>
  </conditionalFormatting>
  <conditionalFormatting sqref="W22:W29">
    <cfRule type="expression" dxfId="436" priority="23">
      <formula>ABS(W$25-W$28)&gt;=1000</formula>
    </cfRule>
  </conditionalFormatting>
  <conditionalFormatting sqref="X22:X29">
    <cfRule type="expression" dxfId="435" priority="22">
      <formula>ABS(X$25-X$28)&gt;=1000</formula>
    </cfRule>
  </conditionalFormatting>
  <conditionalFormatting sqref="Y22:Y29">
    <cfRule type="expression" dxfId="434" priority="21">
      <formula>ABS(Y$25-Y$28)&gt;=1000</formula>
    </cfRule>
  </conditionalFormatting>
  <conditionalFormatting sqref="I23">
    <cfRule type="expression" dxfId="433" priority="20">
      <formula>ABS(I$25-I$28)&gt;=1000</formula>
    </cfRule>
  </conditionalFormatting>
  <conditionalFormatting sqref="Q14">
    <cfRule type="expression" dxfId="432" priority="19">
      <formula>ABS(Q$16-Q$19)&gt;=1000</formula>
    </cfRule>
  </conditionalFormatting>
  <conditionalFormatting sqref="W14">
    <cfRule type="expression" dxfId="431" priority="18">
      <formula>ABS(W$16-W$19)&gt;=1000</formula>
    </cfRule>
  </conditionalFormatting>
  <conditionalFormatting sqref="Y14">
    <cfRule type="expression" dxfId="430" priority="17">
      <formula>ABS(Y$16-Y$19)&gt;=1000</formula>
    </cfRule>
  </conditionalFormatting>
  <conditionalFormatting sqref="X14">
    <cfRule type="expression" dxfId="429" priority="16">
      <formula>ABS(X$16-X$19)&gt;=1000</formula>
    </cfRule>
  </conditionalFormatting>
  <conditionalFormatting sqref="T10:Y10">
    <cfRule type="expression" dxfId="428" priority="15">
      <formula>ABS(T$7-T$10)&gt;=1000</formula>
    </cfRule>
  </conditionalFormatting>
  <conditionalFormatting sqref="W19">
    <cfRule type="expression" dxfId="427" priority="14">
      <formula>ABS(W$16-W$19)&gt;=1000</formula>
    </cfRule>
  </conditionalFormatting>
  <conditionalFormatting sqref="AC5">
    <cfRule type="expression" dxfId="426" priority="13">
      <formula>ABS(AC$7-AC$10)&gt;=1000</formula>
    </cfRule>
  </conditionalFormatting>
  <conditionalFormatting sqref="M14">
    <cfRule type="expression" dxfId="425" priority="12">
      <formula>ABS(M$16-M$19)&gt;=1000</formula>
    </cfRule>
  </conditionalFormatting>
  <conditionalFormatting sqref="M16">
    <cfRule type="expression" dxfId="424" priority="11">
      <formula>ABS(M$16-M$19)&gt;=1000</formula>
    </cfRule>
  </conditionalFormatting>
  <conditionalFormatting sqref="M19">
    <cfRule type="expression" dxfId="423" priority="10">
      <formula>ABS(M$16-M$19)&gt;=1000</formula>
    </cfRule>
  </conditionalFormatting>
  <conditionalFormatting sqref="K13:K20">
    <cfRule type="expression" dxfId="422" priority="9">
      <formula>ABS(K$16-K$19)&gt;=1000</formula>
    </cfRule>
  </conditionalFormatting>
  <conditionalFormatting sqref="E5">
    <cfRule type="expression" dxfId="421" priority="8">
      <formula>ABS(E$7-E$10)&gt;=1000</formula>
    </cfRule>
  </conditionalFormatting>
  <conditionalFormatting sqref="AB14:AC14">
    <cfRule type="expression" dxfId="420" priority="7">
      <formula>ABS(AB$16-AB$19)&gt;=1000</formula>
    </cfRule>
  </conditionalFormatting>
  <conditionalFormatting sqref="M5">
    <cfRule type="expression" dxfId="419" priority="6">
      <formula>ABS(M$7-M$10)&gt;=1000</formula>
    </cfRule>
  </conditionalFormatting>
  <conditionalFormatting sqref="N5">
    <cfRule type="expression" dxfId="418" priority="5">
      <formula>ABS(N$7-N$10)&gt;=1000</formula>
    </cfRule>
  </conditionalFormatting>
  <conditionalFormatting sqref="O5">
    <cfRule type="expression" dxfId="417" priority="4">
      <formula>ABS(O$7-O$10)&gt;=1000</formula>
    </cfRule>
  </conditionalFormatting>
  <conditionalFormatting sqref="P5">
    <cfRule type="expression" dxfId="416" priority="3">
      <formula>ABS(P$7-P$10)&gt;=1000</formula>
    </cfRule>
  </conditionalFormatting>
  <conditionalFormatting sqref="L23">
    <cfRule type="expression" dxfId="415" priority="2">
      <formula>ABS(L$25-L$28)&gt;=1000</formula>
    </cfRule>
  </conditionalFormatting>
  <conditionalFormatting sqref="F14">
    <cfRule type="expression" dxfId="414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48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10">
    <pageSetUpPr fitToPage="1"/>
  </sheetPr>
  <dimension ref="A1:CU223"/>
  <sheetViews>
    <sheetView view="pageBreakPreview" topLeftCell="A4" zoomScale="80" zoomScaleNormal="100" zoomScaleSheetLayoutView="80" workbookViewId="0">
      <selection activeCell="W18" sqref="W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45896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104" t="s" ph="1">
        <v>609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0" t="s" ph="1">
        <v>178</v>
      </c>
      <c r="D6" s="71">
        <v>4626</v>
      </c>
      <c r="E6" s="71">
        <v>8978</v>
      </c>
      <c r="F6" s="71">
        <v>6844</v>
      </c>
      <c r="G6" s="71">
        <v>9133</v>
      </c>
      <c r="H6" s="71">
        <v>9241</v>
      </c>
      <c r="I6" s="71">
        <v>29.12</v>
      </c>
      <c r="J6" s="71">
        <v>7.22</v>
      </c>
      <c r="K6" s="71">
        <v>85.31</v>
      </c>
      <c r="L6" s="71">
        <v>36.71</v>
      </c>
      <c r="M6" s="71">
        <v>2804</v>
      </c>
      <c r="N6" s="71">
        <v>6337</v>
      </c>
      <c r="O6" s="71">
        <v>5382</v>
      </c>
      <c r="P6" s="71">
        <v>1921</v>
      </c>
      <c r="Q6" s="71">
        <v>0</v>
      </c>
      <c r="R6" s="71">
        <v>2164</v>
      </c>
      <c r="S6" s="71">
        <v>4947</v>
      </c>
      <c r="T6" s="71">
        <v>7112</v>
      </c>
      <c r="U6" s="71">
        <v>7021</v>
      </c>
      <c r="V6" s="71">
        <v>4958</v>
      </c>
      <c r="W6" s="71">
        <v>2118</v>
      </c>
      <c r="X6" s="71">
        <v>0</v>
      </c>
      <c r="Y6" s="71">
        <v>0</v>
      </c>
      <c r="Z6" s="71">
        <v>1609</v>
      </c>
      <c r="AA6" s="71">
        <v>393</v>
      </c>
      <c r="AB6" s="71">
        <v>152</v>
      </c>
      <c r="AC6" s="71">
        <v>1498</v>
      </c>
      <c r="AD6" s="71">
        <v>3962</v>
      </c>
      <c r="AE6" s="71">
        <v>2765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144690.32627963999</v>
      </c>
      <c r="E7" s="73" ph="1">
        <f>E6*51.53*LOOKUP(E8,密度!$A$2:$A$50,密度!$B$2:$B$50)</f>
        <v>359098.327108</v>
      </c>
      <c r="F7" s="73" ph="1">
        <f>F6*33.183*LOOKUP(F8,密度!$A$2:$A$50,密度!$C$2:$C$50)</f>
        <v>251313.78658320001</v>
      </c>
      <c r="G7" s="73" ph="1">
        <f xml:space="preserve"> (G6+2)*51.53*LOOKUP(G8,密度!$A$2:$A$50,密度!$B$2:$B$50)</f>
        <v>365377.94811</v>
      </c>
      <c r="H7" s="73" ph="1">
        <f>(H6)*51.53*LOOKUP(H8,密度!$A$2:$A$50,密度!$B$2:$B$50)</f>
        <v>371236.73390799999</v>
      </c>
      <c r="I7" s="73" ph="1">
        <f>I6*290.8*1.0267</f>
        <v>8694.1941632000016</v>
      </c>
      <c r="J7" s="73" ph="1">
        <f>J6*290.8*0.7892</f>
        <v>1656.9853792000001</v>
      </c>
      <c r="K7" s="73" ph="1">
        <f>K6*290.8*1.1126</f>
        <v>27601.545464800001</v>
      </c>
      <c r="L7" s="73" ph="1">
        <f>L6*290.8*0.777</f>
        <v>8294.6832360000008</v>
      </c>
      <c r="M7" s="73" ph="1">
        <f>M6*33.183*LOOKUP(M8,密度!$A$2:$A$50,密度!$D$2:$D$50)</f>
        <v>95008.384285199994</v>
      </c>
      <c r="N7" s="73" ph="1">
        <f>N6*33.183*LOOKUP(N8,密度!$A$2:$A$50,密度!$E$2:$E$50)</f>
        <v>163514.24976959999</v>
      </c>
      <c r="O7" s="73" ph="1">
        <f>O6*20.428*LOOKUP(O8,密度!$A$2:$A$50,密度!$C$2:$C$50)</f>
        <v>121036.7947464</v>
      </c>
      <c r="P7" s="73" ph="1">
        <f>P6*51.53*LOOKUP(P8,密度!$A$2:$A$50,密度!$B$2:$B$50)</f>
        <v>76914.554010000007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14195.105971200001</v>
      </c>
      <c r="S7" s="73" ph="1">
        <f>S6*1.5*1.5*3.1416*LOOKUP(S8,密度!$A$2:$A$50,密度!$L$2:$L$50)</f>
        <v>32765.357255399998</v>
      </c>
      <c r="T7" s="73" ph="1">
        <f>T6*1.5*1.5*3.1416*LOOKUP(T8,密度!$A$2:$A$50,密度!$L$2:$L$50)</f>
        <v>47155.026441599992</v>
      </c>
      <c r="U7" s="73" ph="1">
        <f>U6*1.5*1.5*3.1416*LOOKUP(U8,密度!$A$2:$A$50,密度!$L$2:$L$50)</f>
        <v>46353.150320400004</v>
      </c>
      <c r="V7" s="73" ph="1">
        <f>V6*1.5*1.5*3.1416*LOOKUP(V8,密度!$A$2:$A$50,密度!$L$2:$L$50)</f>
        <v>32698.028840399998</v>
      </c>
      <c r="W7" s="73" ph="1">
        <f>W6*1.5*1.5*3.1416*LOOKUP(W8,密度!$A$2:$A$50,密度!$L$2:$L$50)</f>
        <v>13983.1893432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49974.394392000002</v>
      </c>
      <c r="AA7" s="73" ph="1">
        <f>AA6*33.183*LOOKUP(AA8,密度!$A$2:$A$50,密度!$D$2:$D$50)</f>
        <v>13352.596964100001</v>
      </c>
      <c r="AB7" s="73" ph="1">
        <f>AB6*20.428*LOOKUP(AB8,密度!$A$2:$A$50,密度!$D$2:$D$50)</f>
        <v>3199.7602080000001</v>
      </c>
      <c r="AC7" s="73" ph="1">
        <f>AC6*51.53*LOOKUP(AC8,密度!$A$2:$A$50,密度!$Q$2:$Q$50)</f>
        <v>73080.697275600003</v>
      </c>
      <c r="AD7" s="73" ph="1">
        <f>AD6*20.428*LOOKUP(AD8,密度!$A$2:$A$50,密度!$V$2:$V$50)</f>
        <v>77504.060793600001</v>
      </c>
      <c r="AE7" s="73" ph="1">
        <f>AE6*20.428</f>
        <v>56483.420000000006</v>
      </c>
    </row>
    <row r="8" spans="1:99" ph="1">
      <c r="B8" s="233" ph="1"/>
      <c r="C8" s="68" t="s" ph="1">
        <v>180</v>
      </c>
      <c r="D8" s="74">
        <v>31</v>
      </c>
      <c r="E8" s="74">
        <v>29</v>
      </c>
      <c r="F8" s="74">
        <v>28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30</v>
      </c>
      <c r="O8" s="74">
        <v>34</v>
      </c>
      <c r="P8" s="74">
        <v>28</v>
      </c>
      <c r="Q8" s="74">
        <v>28</v>
      </c>
      <c r="R8" s="74">
        <v>34</v>
      </c>
      <c r="S8" s="74">
        <v>25</v>
      </c>
      <c r="T8" s="74">
        <v>24</v>
      </c>
      <c r="U8" s="74">
        <v>28</v>
      </c>
      <c r="V8" s="74">
        <v>29</v>
      </c>
      <c r="W8" s="74">
        <v>28</v>
      </c>
      <c r="X8" s="74">
        <v>29</v>
      </c>
      <c r="Y8" s="74">
        <v>28</v>
      </c>
      <c r="Z8" s="74">
        <v>26</v>
      </c>
      <c r="AA8" s="74">
        <v>28</v>
      </c>
      <c r="AB8" s="74">
        <v>21</v>
      </c>
      <c r="AC8" s="74">
        <v>25</v>
      </c>
      <c r="AD8" s="74">
        <v>27</v>
      </c>
      <c r="AE8" s="74">
        <v>33</v>
      </c>
    </row>
    <row r="9" spans="1:99" ht="26.4" ph="1">
      <c r="B9" s="233" ph="1">
        <v>0.66666666666666663</v>
      </c>
      <c r="C9" s="150" t="s" ph="1">
        <v>181</v>
      </c>
      <c r="D9" s="71">
        <v>4887</v>
      </c>
      <c r="E9" s="71">
        <v>8975</v>
      </c>
      <c r="F9" s="71">
        <v>6841</v>
      </c>
      <c r="G9" s="71">
        <v>8958</v>
      </c>
      <c r="H9" s="71">
        <v>9237</v>
      </c>
      <c r="I9" s="71">
        <v>29.11</v>
      </c>
      <c r="J9" s="71">
        <v>7.12</v>
      </c>
      <c r="K9" s="71">
        <v>85.33</v>
      </c>
      <c r="L9" s="71">
        <v>33.04</v>
      </c>
      <c r="M9" s="71">
        <v>2801</v>
      </c>
      <c r="N9" s="71">
        <v>6334</v>
      </c>
      <c r="O9" s="71">
        <v>5381</v>
      </c>
      <c r="P9" s="71">
        <v>1746</v>
      </c>
      <c r="Q9" s="71">
        <v>0</v>
      </c>
      <c r="R9" s="71">
        <v>0</v>
      </c>
      <c r="S9" s="71">
        <v>2768</v>
      </c>
      <c r="T9" s="71">
        <v>7109</v>
      </c>
      <c r="U9" s="71">
        <v>7019</v>
      </c>
      <c r="V9" s="71">
        <v>4958</v>
      </c>
      <c r="W9" s="71">
        <v>6186</v>
      </c>
      <c r="X9" s="71">
        <v>2547</v>
      </c>
      <c r="Y9" s="71">
        <v>0</v>
      </c>
      <c r="Z9" s="71">
        <v>2510</v>
      </c>
      <c r="AA9" s="71">
        <v>333</v>
      </c>
      <c r="AB9" s="71">
        <v>152</v>
      </c>
      <c r="AC9" s="71">
        <v>1522</v>
      </c>
      <c r="AD9" s="71">
        <v>4034</v>
      </c>
      <c r="AE9" s="71">
        <v>2840</v>
      </c>
    </row>
    <row r="10" spans="1:99" s="72" customFormat="1" ht="22.2" ph="1">
      <c r="B10" s="233" ph="1"/>
      <c r="C10" s="150" t="s" ph="1">
        <v>179</v>
      </c>
      <c r="D10" s="73" ph="1">
        <f>D9*33.183*LOOKUP(D11,密度!$A$2:$A$50,密度!$Q$2:$Q$50)</f>
        <v>152975.41225893001</v>
      </c>
      <c r="E10" s="73" ph="1">
        <f>E9*51.53*LOOKUP(E11,密度!$A$2:$A$50,密度!$B$2:$B$50)</f>
        <v>358978.33435000002</v>
      </c>
      <c r="F10" s="73" ph="1">
        <f>F9*33.183*LOOKUP(F11,密度!$A$2:$A$50,密度!$C$2:$C$50)</f>
        <v>251203.62565979999</v>
      </c>
      <c r="G10" s="73" ph="1">
        <f xml:space="preserve"> (G9+2)*51.53*LOOKUP(G11,密度!$A$2:$A$50,密度!$B$2:$B$50)</f>
        <v>358378.37056000001</v>
      </c>
      <c r="H10" s="73" ph="1">
        <f>(H9)*51.53*LOOKUP(H11,密度!$A$2:$A$50,密度!$B$2:$B$50)</f>
        <v>369457.70188199996</v>
      </c>
      <c r="I10" s="73" ph="1">
        <f>I9*290.8*1.0267</f>
        <v>8691.2085195999989</v>
      </c>
      <c r="J10" s="73" ph="1">
        <f>J9*290.8*0.7892</f>
        <v>1634.0354432000001</v>
      </c>
      <c r="K10" s="73" ph="1">
        <f>K9*290.8*1.1126</f>
        <v>27608.0163464</v>
      </c>
      <c r="L10" s="73" ph="1">
        <f>L9*290.8*0.777</f>
        <v>7465.4408639999992</v>
      </c>
      <c r="M10" s="73" ph="1">
        <f>M9*33.183*LOOKUP(M11,密度!$A$2:$A$50,密度!$D$2:$D$50)</f>
        <v>95074.036850699995</v>
      </c>
      <c r="N10" s="73" ph="1">
        <f>N9*33.183*LOOKUP(N11,密度!$A$2:$A$50,密度!$E$2:$E$50)</f>
        <v>163899.23893560001</v>
      </c>
      <c r="O10" s="73" ph="1">
        <f>O9*20.428*LOOKUP(O11,密度!$A$2:$A$50,密度!$C$2:$C$50)</f>
        <v>121245.144004</v>
      </c>
      <c r="P10" s="73" ph="1">
        <f>P9*51.53*LOOKUP(P11,密度!$A$2:$A$50,密度!$B$2:$B$50)</f>
        <v>69907.762260000003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18274.5364032</v>
      </c>
      <c r="T10" s="73" ph="1">
        <f>T9*1.5*1.5*3.1416*LOOKUP(T11,密度!$A$2:$A$50,密度!$L$2:$L$50)</f>
        <v>47084.884723800002</v>
      </c>
      <c r="U10" s="73" ph="1">
        <f>U9*1.5*1.5*3.1416*LOOKUP(U11,密度!$A$2:$A$50,密度!$L$2:$L$50)</f>
        <v>46339.946175600002</v>
      </c>
      <c r="V10" s="73" ph="1">
        <f>V9*1.5*1.5*3.1416*LOOKUP(V11,密度!$A$2:$A$50,密度!$L$2:$L$50)</f>
        <v>32803.167196800001</v>
      </c>
      <c r="W10" s="73" ph="1">
        <f>W9*1.5*1.5*3.1416*LOOKUP(W11,密度!$A$2:$A$50,密度!$L$2:$L$50)</f>
        <v>40840.4198664</v>
      </c>
      <c r="X10" s="73" ph="1">
        <f>X9*1.5*1.5*3.1416*LOOKUP(X11,密度!$A$2:$A$50,密度!$L$2:$L$50)</f>
        <v>16995.515644799998</v>
      </c>
      <c r="Y10" s="73" ph="1">
        <f>Y9*1.5*1.5*3.1416*LOOKUP(Y11,密度!$A$2:$A$50,密度!$L$2:$L$50)</f>
        <v>0</v>
      </c>
      <c r="Z10" s="73" ph="1">
        <f>Z9*33.183*LOOKUP(Z11,密度!$A$2:$A$50,密度!$L$2:$L$50)</f>
        <v>77625.655559999999</v>
      </c>
      <c r="AA10" s="73" ph="1">
        <f>AA9*33.183*LOOKUP(AA11,密度!$A$2:$A$50,密度!$D$2:$D$50)</f>
        <v>11302.982603099999</v>
      </c>
      <c r="AB10" s="73" ph="1">
        <f>AB9*20.428*LOOKUP(AB11,密度!$A$2:$A$50,密度!$D$2:$D$50)</f>
        <v>3196.6551520000003</v>
      </c>
      <c r="AC10" s="73" ph="1">
        <f>AC9*51.53*LOOKUP(AC11,密度!$A$2:$A$50,密度!$Q$2:$Q$50)</f>
        <v>74195.865219800005</v>
      </c>
      <c r="AD10" s="73" ph="1">
        <f>AD9*20.428*LOOKUP(AD11,密度!$A$2:$A$50,密度!$V$2:$V$50)</f>
        <v>78912.514195200012</v>
      </c>
      <c r="AE10" s="73" ph="1">
        <f>AE9*20.428</f>
        <v>58015.520000000004</v>
      </c>
    </row>
    <row r="11" spans="1:99" ph="1">
      <c r="A11" s="64" t="s" ph="1">
        <v>163</v>
      </c>
      <c r="B11" s="233" ph="1"/>
      <c r="C11" s="150" t="s" ph="1">
        <v>180</v>
      </c>
      <c r="D11" s="74">
        <v>30</v>
      </c>
      <c r="E11" s="74">
        <v>29</v>
      </c>
      <c r="F11" s="74">
        <v>28</v>
      </c>
      <c r="G11" s="74">
        <v>29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28</v>
      </c>
      <c r="O11" s="74">
        <v>32</v>
      </c>
      <c r="P11" s="74">
        <v>28</v>
      </c>
      <c r="Q11" s="74">
        <v>28</v>
      </c>
      <c r="R11" s="74">
        <v>32</v>
      </c>
      <c r="S11" s="74">
        <v>28</v>
      </c>
      <c r="T11" s="74">
        <v>25</v>
      </c>
      <c r="U11" s="74">
        <v>28</v>
      </c>
      <c r="V11" s="74">
        <v>26</v>
      </c>
      <c r="W11" s="74">
        <v>28</v>
      </c>
      <c r="X11" s="74">
        <v>18</v>
      </c>
      <c r="Y11" s="74">
        <v>28</v>
      </c>
      <c r="Z11" s="74">
        <v>30</v>
      </c>
      <c r="AA11" s="74">
        <v>29</v>
      </c>
      <c r="AB11" s="74">
        <v>22</v>
      </c>
      <c r="AC11" s="74">
        <v>26</v>
      </c>
      <c r="AD11" s="74">
        <v>27</v>
      </c>
      <c r="AE11" s="74">
        <v>31</v>
      </c>
    </row>
    <row r="12" spans="1:99" ht="9.9" customHeight="1" ph="1"/>
    <row r="13" spans="1:99" s="72" customFormat="1" ht="29.25" customHeight="1" ph="1">
      <c r="B13" s="210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649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650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0" t="s" ph="1">
        <v>178</v>
      </c>
      <c r="D15" s="78">
        <v>5351</v>
      </c>
      <c r="E15" s="78">
        <v>3199</v>
      </c>
      <c r="F15" s="78">
        <v>2274</v>
      </c>
      <c r="G15" s="78">
        <v>3799</v>
      </c>
      <c r="H15" s="78">
        <v>0</v>
      </c>
      <c r="I15" s="78">
        <v>3933</v>
      </c>
      <c r="J15" s="78">
        <v>178</v>
      </c>
      <c r="K15" s="78">
        <v>3108</v>
      </c>
      <c r="L15" s="78">
        <v>7073</v>
      </c>
      <c r="M15" s="78">
        <v>6990</v>
      </c>
      <c r="N15" s="78">
        <v>1884</v>
      </c>
      <c r="O15" s="78">
        <v>4865</v>
      </c>
      <c r="P15" s="78">
        <v>5176</v>
      </c>
      <c r="Q15" s="78">
        <v>6959</v>
      </c>
      <c r="R15" s="78">
        <v>0</v>
      </c>
      <c r="S15" s="78">
        <v>1656</v>
      </c>
      <c r="T15" s="78">
        <v>2217</v>
      </c>
      <c r="U15" s="78">
        <v>6817</v>
      </c>
      <c r="V15" s="78">
        <v>1440</v>
      </c>
      <c r="W15" s="71">
        <v>4936</v>
      </c>
      <c r="X15" s="78">
        <v>-265</v>
      </c>
      <c r="Y15" s="106">
        <v>-9907</v>
      </c>
      <c r="Z15" s="78">
        <v>0</v>
      </c>
      <c r="AA15" s="78">
        <v>6132</v>
      </c>
      <c r="AB15" s="78" ph="1">
        <v>1098</v>
      </c>
      <c r="AC15" s="78" ph="1">
        <v>193</v>
      </c>
      <c r="AD15" s="78">
        <v>5.61</v>
      </c>
      <c r="AE15" s="78">
        <v>74.209999999999994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0" t="s" ph="1">
        <v>179</v>
      </c>
      <c r="D16" s="73" ph="1">
        <f>D15*7.0686*LOOKUP(D17,密度!$A$2:$A$50,密度!$L$2:$L$50)</f>
        <v>35252.041255200005</v>
      </c>
      <c r="E16" s="73" ph="1">
        <f>E15*7.0686*LOOKUP(E17,密度!$A$2:$A$50,密度!$L$2:$L$50)</f>
        <v>21074.804704800004</v>
      </c>
      <c r="F16" s="73" ph="1">
        <f>F15*9.0746*LOOKUP(F17,密度!$A$2:$A$50,密度!$L$2:$L$50)</f>
        <v>19232.416852800001</v>
      </c>
      <c r="G16" s="73" ph="1">
        <f>G15*9.0746*LOOKUP(G17,密度!$A$2:$A$50,密度!$B$2:$B$50)</f>
        <v>26786.612995800002</v>
      </c>
      <c r="H16" s="73" ph="1">
        <f>H15*9.0746*LOOKUP(H17,密度!$A$2:$A$50,密度!$L$2:$L$50)</f>
        <v>0</v>
      </c>
      <c r="I16" s="73" ph="1">
        <f>I15*9.0746*LOOKUP(I17,密度!$A$2:$A$50,密度!$U$2:$U$50)</f>
        <v>36511.281041399998</v>
      </c>
      <c r="J16" s="73" ph="1">
        <f>J15*9.0746*LOOKUP(J17,密度!$A$2:$A$50,密度!$L$2:$L$50)</f>
        <v>1508.6703992</v>
      </c>
      <c r="K16" s="73" ph="1">
        <f>K15*9.0746*LOOKUP(K17,密度!$A$2:$A$50,密度!$C$2:$C$50)</f>
        <v>31190.645235120006</v>
      </c>
      <c r="L16" s="73" ph="1">
        <f>L15*9.0746*LOOKUP(L17,密度!$A$2:$A$50,密度!$E$2:$E$50)</f>
        <v>49909.980574079993</v>
      </c>
      <c r="M16" s="73" ph="1">
        <f>M15*9.0746*LOOKUP(M17,密度!$A$2:$A$50,密度!$M$2:$M$50)</f>
        <v>55113.687436980006</v>
      </c>
      <c r="N16" s="73" ph="1">
        <f>N15*9.0746*LOOKUP(N17,密度!$A$2:$A$50,密度!$M$2:$M$50)</f>
        <v>14908.1884608</v>
      </c>
      <c r="O16" s="73" ph="1">
        <f>O15*9.0746*LOOKUP(O17,密度!$A$2:$A$50,密度!$G$2:$G$50)</f>
        <v>42148.027816300004</v>
      </c>
      <c r="P16" s="73" ph="1">
        <f ca="1">P15*9.0746*LOOKUP(P17,密度!$A$2:$A$51,密度!$Q$2:$Q$50)</f>
        <v>44308.332355568004</v>
      </c>
      <c r="Q16" s="73" ph="1">
        <f>Q15*9.0746*LOOKUP(Q17,密度!$A$2:$A$50,密度!$Q$2:$Q$50)</f>
        <v>59571.422886861998</v>
      </c>
      <c r="R16" s="73" ph="1">
        <f>MAX(R15*9.0746*LOOKUP(R17,密度!$A$2:$A$50,密度!$B$2:$B$50),0)</f>
        <v>0</v>
      </c>
      <c r="S16" s="73" ph="1">
        <f>S15*9.0746*LOOKUP(S17,密度!$A$2:$A$50,密度!$Q$2:$Q$50)</f>
        <v>14175.927044208</v>
      </c>
      <c r="T16" s="73" ph="1">
        <f>T15*9.0746*LOOKUP(T17,密度!$A$2:$A$50,密度!$O$2:$O$50)</f>
        <v>18549.153920400004</v>
      </c>
      <c r="U16" s="73" ph="1">
        <f>U15*9.0746*LOOKUP(U17,密度!$A$2:$A$50,密度!$H$2:$H$50)</f>
        <v>56473.407351780006</v>
      </c>
      <c r="V16" s="73" ph="1">
        <f>MAX(5600*LOOKUP(V17,密度!$A$2:$A$50,密度!$Q$2:$Q$50)+V15*9.0476*LOOKUP(V17,密度!$A$2:$A$50,密度!$Q$2:$Q$50),0)</f>
        <v>17546.225593599997</v>
      </c>
      <c r="W16" s="73" ph="1">
        <f>MAX(5600*LOOKUP(W17,密度!$A$2:$A$50,密度!$Q$2:$Q$50)+W15*9.0476*LOOKUP(W17,密度!$A$2:$A$50,密度!$Q$2:$Q$50),0)</f>
        <v>47410.778699487993</v>
      </c>
      <c r="X16" s="73" ph="1">
        <f>MAX(5600*LOOKUP(X17,密度!$A$2:$A$50,密度!$I$2:$I$50)+X15*9.0476*LOOKUP(X17,密度!$A$2:$A$50,密度!$I$2:$I$50),0)</f>
        <v>3319.5933276000005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43141.915214159999</v>
      </c>
      <c r="AB16" s="73" ph="1">
        <f>AB15*9.0746*LOOKUP(AB17,密度!$A$2:$A$50,密度!$L$2:$L$50)</f>
        <v>9306.2926872000007</v>
      </c>
      <c r="AC16" s="73" ph="1">
        <f>AC15*9.0746*LOOKUP(AC17,密度!$A$2:$A$50,密度!$L$2:$L$50)</f>
        <v>1639.3083408</v>
      </c>
      <c r="AD16" s="73" ph="1">
        <f>AD15*268.68*LOOKUP(AD17,密度!$A$2:$A$50,密度!B2:B50)+IF(AD15&lt;=0,0,1566*LOOKUP(AD17,密度!$A$2:$A$50,密度!B2:B50))</f>
        <v>2395.9406260799997</v>
      </c>
      <c r="AE16" s="73" ph="1">
        <f>AE15*268.68*LOOKUP(AE17,密度!$A$2:$A$50,密度!B2:B50)+IF(AE15&lt;=0,0,1566*LOOKUP(AE17,密度!$A$2:$A$50,密度!B2:B50))</f>
        <v>16765.09748688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30</v>
      </c>
      <c r="E17" s="74">
        <v>30</v>
      </c>
      <c r="F17" s="74">
        <v>30</v>
      </c>
      <c r="G17" s="74">
        <v>28</v>
      </c>
      <c r="H17" s="74">
        <v>24</v>
      </c>
      <c r="I17" s="74">
        <v>27</v>
      </c>
      <c r="J17" s="74">
        <v>28</v>
      </c>
      <c r="K17" s="74">
        <v>29</v>
      </c>
      <c r="L17" s="74">
        <v>30</v>
      </c>
      <c r="M17" s="74">
        <v>31</v>
      </c>
      <c r="N17" s="74">
        <v>28</v>
      </c>
      <c r="O17" s="74">
        <v>30</v>
      </c>
      <c r="P17" s="74">
        <v>30</v>
      </c>
      <c r="Q17" s="74">
        <v>30</v>
      </c>
      <c r="R17" s="74">
        <v>29</v>
      </c>
      <c r="S17" s="74">
        <v>30</v>
      </c>
      <c r="T17" s="74">
        <v>30</v>
      </c>
      <c r="U17" s="74">
        <v>27</v>
      </c>
      <c r="V17" s="74">
        <v>32</v>
      </c>
      <c r="W17" s="74">
        <v>30</v>
      </c>
      <c r="X17" s="74">
        <v>30</v>
      </c>
      <c r="Y17" s="108">
        <v>30</v>
      </c>
      <c r="Z17" s="74">
        <v>28</v>
      </c>
      <c r="AA17" s="74">
        <v>30</v>
      </c>
      <c r="AB17" s="74">
        <v>28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3689</v>
      </c>
      <c r="E18" s="71">
        <v>4230</v>
      </c>
      <c r="F18" s="71">
        <v>2380</v>
      </c>
      <c r="G18" s="71">
        <v>4008</v>
      </c>
      <c r="H18" s="71">
        <v>0</v>
      </c>
      <c r="I18" s="71">
        <v>3932</v>
      </c>
      <c r="J18" s="71">
        <v>183</v>
      </c>
      <c r="K18" s="71">
        <v>3107</v>
      </c>
      <c r="L18" s="71">
        <v>7068</v>
      </c>
      <c r="M18" s="71">
        <v>4024</v>
      </c>
      <c r="N18" s="71">
        <v>4487</v>
      </c>
      <c r="O18" s="71">
        <v>5126</v>
      </c>
      <c r="P18" s="71">
        <v>5171</v>
      </c>
      <c r="Q18" s="71">
        <v>6955</v>
      </c>
      <c r="R18" s="71">
        <v>0</v>
      </c>
      <c r="S18" s="71">
        <v>1654</v>
      </c>
      <c r="T18" s="71">
        <v>2197</v>
      </c>
      <c r="U18" s="71">
        <v>6814</v>
      </c>
      <c r="V18" s="71">
        <v>1440</v>
      </c>
      <c r="W18" s="71">
        <v>4936</v>
      </c>
      <c r="X18" s="71">
        <v>1557</v>
      </c>
      <c r="Y18" s="109">
        <v>-9908</v>
      </c>
      <c r="Z18" s="71">
        <v>0</v>
      </c>
      <c r="AA18" s="71">
        <v>6131</v>
      </c>
      <c r="AB18" s="71">
        <v>1098</v>
      </c>
      <c r="AC18" s="71">
        <v>0</v>
      </c>
      <c r="AD18" s="71">
        <v>28.31</v>
      </c>
      <c r="AE18" s="71">
        <v>84.91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0" t="s" ph="1">
        <v>179</v>
      </c>
      <c r="D19" s="73" ph="1">
        <f>D18*7.0686*LOOKUP(D20,密度!$A$2:$A$50,密度!$L$2:$L$50)</f>
        <v>24302.892952800001</v>
      </c>
      <c r="E19" s="73" ph="1">
        <f>E18*7.0686*LOOKUP(E20,密度!$A$2:$A$50,密度!$L$2:$L$50)</f>
        <v>27866.965896000002</v>
      </c>
      <c r="F19" s="73" ph="1">
        <f>F18*9.0746*LOOKUP(F20,密度!$A$2:$A$50,密度!$L$2:$L$50)</f>
        <v>20128.914735999999</v>
      </c>
      <c r="G19" s="73" ph="1">
        <f>G18*9.0746*LOOKUP(G20,密度!$A$2:$A$50,密度!$B$2:$B$50)</f>
        <v>27943.836841439999</v>
      </c>
      <c r="H19" s="73" ph="1">
        <f>H18*9.0746*LOOKUP(H20,密度!$A$2:$A$50,密度!$L$2:$L$50)</f>
        <v>0</v>
      </c>
      <c r="I19" s="73" ph="1">
        <f>I18*9.0746*LOOKUP(I20,密度!$A$2:$A$50,密度!$U$2:$U$50)</f>
        <v>36430.635071199998</v>
      </c>
      <c r="J19" s="73" ph="1">
        <f>J18*9.0746*LOOKUP(J20,密度!$A$2:$A$50,密度!$L$2:$L$50)</f>
        <v>1547.7274776000002</v>
      </c>
      <c r="K19" s="73" ph="1">
        <f>K18*9.0746*LOOKUP(K20,密度!$A$2:$A$50,密度!$C$2:$C$50)</f>
        <v>31180.609634980006</v>
      </c>
      <c r="L19" s="73" ph="1">
        <f>L18*9.0746*LOOKUP(L20,密度!$A$2:$A$50,密度!$E$2:$E$50)</f>
        <v>49945.251729359996</v>
      </c>
      <c r="M19" s="73" ph="1">
        <f>M18*9.0746*LOOKUP(M20,密度!$A$2:$A$50,密度!$M$2:$M$50)</f>
        <v>31727.822352848001</v>
      </c>
      <c r="N19" s="73" ph="1">
        <f>N18*9.0746*LOOKUP(N20,密度!$A$2:$A$50,密度!$M$2:$M$50)</f>
        <v>35591.367967819999</v>
      </c>
      <c r="O19" s="73" ph="1">
        <f>O18*9.0746*LOOKUP(O20,密度!$A$2:$A$50,密度!$G$2:$G$50)</f>
        <v>44409.206698120004</v>
      </c>
      <c r="P19" s="73" ph="1">
        <f ca="1">P18*9.0746*LOOKUP(P20,密度!$A$2:$A$51,密度!$Q$2:$Q$50)</f>
        <v>44265.530643478</v>
      </c>
      <c r="Q19" s="73" ph="1">
        <f>Q18*9.0746*LOOKUP(Q20,密度!$A$2:$A$50,密度!$Q$2:$Q$50)</f>
        <v>59537.181517190002</v>
      </c>
      <c r="R19" s="73" ph="1">
        <f>MAX(R18*9.0746*LOOKUP(R20,密度!$A$2:$A$50,密度!$B$2:$B$50),0)</f>
        <v>0</v>
      </c>
      <c r="S19" s="73" ph="1">
        <f>S18*9.0746*LOOKUP(S20,密度!$A$2:$A$50,密度!$Q$2:$Q$50)</f>
        <v>14158.806359372</v>
      </c>
      <c r="T19" s="73" ph="1">
        <f>T18*9.0746*LOOKUP(T20,密度!$A$2:$A$50,密度!$O$2:$O$50)</f>
        <v>18381.818296400001</v>
      </c>
      <c r="U19" s="73" ph="1">
        <f>U18*9.0746*LOOKUP(U20,密度!$A$2:$A$50,密度!$H$2:$H$50)</f>
        <v>56331.069528400003</v>
      </c>
      <c r="V19" s="73" ph="1">
        <f>MAX(5600*LOOKUP(V20,密度!$A$2:$A$50,密度!$Q$2:$Q$50)+V18*9.0476*LOOKUP(V20,密度!$A$2:$A$50,密度!$Q$2:$Q$50),0)</f>
        <v>17584.041537919999</v>
      </c>
      <c r="W19" s="73" ph="1">
        <f>MAX(5600*LOOKUP(W20,密度!$A$2:$A$50,密度!$Q$2:$Q$50)+W18*9.0476*LOOKUP(W20,密度!$A$2:$A$50,密度!$Q$2:$Q$50),0)</f>
        <v>47338.908395839993</v>
      </c>
      <c r="X19" s="73" ph="1">
        <f>MAX(5600*LOOKUP(X20,密度!$A$2:$A$50,密度!$I$2:$I$50)+X18*9.0476*LOOKUP(X20,密度!$A$2:$A$50,密度!$I$2:$I$50),0)</f>
        <v>20342.497198427998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43184.952412120001</v>
      </c>
      <c r="AB19" s="73" ph="1">
        <f>AB18*9.0746*LOOKUP(AB20,密度!$A$2:$A$50,密度!$L$2:$L$50)</f>
        <v>9296.3287763999997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7126.9010316000004</v>
      </c>
      <c r="AE19" s="73" ph="1">
        <f>AE18*268.68*LOOKUP(AE20,密度!$A$2:$A$50,密度!B5:B53)+IF(AE18&lt;=0,0,1566*LOOKUP(AE20,密度!$A$2:$A$50,密度!B5:B53))</f>
        <v>18942.963807600001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30</v>
      </c>
      <c r="E20" s="81">
        <v>30</v>
      </c>
      <c r="F20" s="81">
        <v>30</v>
      </c>
      <c r="G20" s="81">
        <v>38</v>
      </c>
      <c r="H20" s="81">
        <v>24</v>
      </c>
      <c r="I20" s="81">
        <v>29</v>
      </c>
      <c r="J20" s="81">
        <v>30</v>
      </c>
      <c r="K20" s="81">
        <v>29</v>
      </c>
      <c r="L20" s="81">
        <v>29</v>
      </c>
      <c r="M20" s="81">
        <v>31</v>
      </c>
      <c r="N20" s="81">
        <v>26</v>
      </c>
      <c r="O20" s="81">
        <v>30</v>
      </c>
      <c r="P20" s="81">
        <v>30</v>
      </c>
      <c r="Q20" s="81">
        <v>30</v>
      </c>
      <c r="R20" s="81">
        <v>30</v>
      </c>
      <c r="S20" s="81">
        <v>30</v>
      </c>
      <c r="T20" s="81">
        <v>30</v>
      </c>
      <c r="U20" s="81">
        <v>29</v>
      </c>
      <c r="V20" s="81">
        <v>29</v>
      </c>
      <c r="W20" s="81">
        <v>32</v>
      </c>
      <c r="X20" s="81">
        <v>33</v>
      </c>
      <c r="Y20" s="110">
        <v>33</v>
      </c>
      <c r="Z20" s="81">
        <v>29</v>
      </c>
      <c r="AA20" s="81">
        <v>29</v>
      </c>
      <c r="AB20" s="81">
        <v>29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104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0" t="s" ph="1">
        <v>178</v>
      </c>
      <c r="D24" s="71">
        <v>85.31</v>
      </c>
      <c r="E24" s="71">
        <v>55.21</v>
      </c>
      <c r="F24" s="71">
        <v>3754</v>
      </c>
      <c r="G24" s="71">
        <v>2975</v>
      </c>
      <c r="H24" s="71">
        <v>1653</v>
      </c>
      <c r="I24" s="71">
        <v>2376</v>
      </c>
      <c r="J24" s="71">
        <v>422</v>
      </c>
      <c r="K24" s="71">
        <v>4926</v>
      </c>
      <c r="L24" s="71">
        <v>5617</v>
      </c>
      <c r="M24" s="71">
        <v>4353</v>
      </c>
      <c r="N24" s="71">
        <v>548</v>
      </c>
      <c r="O24" s="71">
        <v>4323</v>
      </c>
      <c r="P24" s="71">
        <v>968</v>
      </c>
      <c r="Q24" s="90">
        <v>4835</v>
      </c>
      <c r="R24" s="71">
        <v>370</v>
      </c>
      <c r="S24" s="71">
        <v>5677</v>
      </c>
      <c r="T24" s="71">
        <v>168</v>
      </c>
      <c r="U24" s="71">
        <v>6702</v>
      </c>
      <c r="V24" s="71">
        <v>6285</v>
      </c>
      <c r="W24" s="71">
        <v>11738</v>
      </c>
      <c r="X24" s="71">
        <v>4505</v>
      </c>
      <c r="Y24" s="71">
        <v>4495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23182.908343992003</v>
      </c>
      <c r="E25" s="91" ph="1">
        <f>E24*268.68*LOOKUP(E26,密度!$A$2:$A$50,密度!$C$2:$C$50)+IF(E24&lt;=0,0,1566*LOOKUP(E26,密度!$A$2:$A$50,密度!$C$2:$C$50))</f>
        <v>18185.763502919999</v>
      </c>
      <c r="F25" s="91" ph="1">
        <f>F24*11.702*LOOKUP(F26,密度!$A$2:$A$50,密度!$Q$2:$Q$50)</f>
        <v>41496.502922959997</v>
      </c>
      <c r="G25" s="91" ph="1">
        <f>G24*18.322*LOOKUP(G26,密度!$A$2:$A$50,密度!$B$2:$B$50)</f>
        <v>42445.340664999996</v>
      </c>
      <c r="H25" s="91" ph="1">
        <f>H24*18.322*LOOKUP(H26,密度!$A$2:$A$50,密度!$B$2:$B$50)</f>
        <v>23583.915334199999</v>
      </c>
      <c r="I25" s="91" ph="1">
        <f>I24*18.322*LOOKUP(I26,密度!$A$2:$A$50,密度!$Q$2:$Q$50)</f>
        <v>41152.68362304</v>
      </c>
      <c r="J25" s="91" ph="1">
        <f>J24*18.322*LOOKUP(J26,密度!$A$2:$A$50,密度!$Q$2:$Q$50)</f>
        <v>7303.6922640800003</v>
      </c>
      <c r="K25" s="91" ph="1">
        <f>K24*18.322*LOOKUP(K26,密度!$A$2:$A$50,密度!$Q$2:$Q$50)</f>
        <v>85255.89595464</v>
      </c>
      <c r="L25" s="91" ph="1">
        <f>L24*18.322*LOOKUP(L26,密度!$A$2:$A$50,密度!$Q$2:$Q$50)</f>
        <v>97215.259353879999</v>
      </c>
      <c r="M25" s="91" ph="1">
        <f>M24*18.322*LOOKUP(M26,密度!$A$2:$A$50,密度!$Q$2:$Q$50)</f>
        <v>75451.252705980005</v>
      </c>
      <c r="N25" s="91" ph="1">
        <f>N24*18.322*LOOKUP(N26,密度!$A$2:$A$50,密度!$Q$2:$Q$50)</f>
        <v>9491.4438659200005</v>
      </c>
      <c r="O25" s="91" ph="1">
        <f>O24*18.322*LOOKUP(O26,密度!$A$2:$A$50,密度!$C$2:$C$50)</f>
        <v>87712.731044399989</v>
      </c>
      <c r="P25" s="91" ph="1">
        <f>P24*11.702*LOOKUP(P26,密度!$A$2:$A$50,密度!$B$2:$B$50)</f>
        <v>8801.4954720000005</v>
      </c>
      <c r="Q25" s="92" ph="1">
        <f>Q24*18.322*LOOKUP(Q26,密度!$A$2:$A$50,密度!$B$2:$B$50)</f>
        <v>68831.997990000003</v>
      </c>
      <c r="R25" s="91" ph="1">
        <f>R24*35.891*LOOKUP(R26,密度!$A$2:$A$50,密度!$C$2:$C$50)</f>
        <v>14705.906557999999</v>
      </c>
      <c r="S25" s="91" ph="1">
        <f>S24*35.891*LOOKUP(S26,密度!$A$2:$A$50,密度!$B$2:$B$50)</f>
        <v>158316.24183899999</v>
      </c>
      <c r="T25" s="91" ph="1">
        <f>T24*35.891*LOOKUP(T26,密度!$A$2:$A$50,密度!$Q$2:$Q$50)</f>
        <v>5695.7638785600002</v>
      </c>
      <c r="U25" s="91" ph="1">
        <f>U24*35.891</f>
        <v>240541.48199999999</v>
      </c>
      <c r="V25" s="91" ph="1">
        <f>V24*47.051*LOOKUP(V26,密度!$A$2:$A$50,密度!$B$2:$B$50)</f>
        <v>229770.97069500003</v>
      </c>
      <c r="W25" s="91" ph="1">
        <f>W24*47.051*LOOKUP(W26,密度!$A$2:$A$50,密度!$B$2:$B$50)</f>
        <v>429125.16372600006</v>
      </c>
      <c r="X25" s="91" ph="1">
        <f>X24*47.051*LOOKUP(X26,密度!$A$2:$A$50,密度!$I$2:$I$50)</f>
        <v>219722.665033</v>
      </c>
      <c r="Y25" s="91" ph="1">
        <f>Y24*47.051*LOOKUP(Y26,密度!$A$2:$A$50,密度!$L$2:$L$50)</f>
        <v>197324.13058500001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28</v>
      </c>
      <c r="G26" s="74">
        <v>26</v>
      </c>
      <c r="H26" s="74">
        <v>26</v>
      </c>
      <c r="I26" s="74">
        <v>27</v>
      </c>
      <c r="J26" s="74">
        <v>28</v>
      </c>
      <c r="K26" s="74">
        <v>28</v>
      </c>
      <c r="L26" s="74">
        <v>28</v>
      </c>
      <c r="M26" s="74">
        <v>26</v>
      </c>
      <c r="N26" s="74">
        <v>27</v>
      </c>
      <c r="O26" s="74">
        <v>27</v>
      </c>
      <c r="P26" s="74">
        <v>28</v>
      </c>
      <c r="Q26" s="93">
        <v>28</v>
      </c>
      <c r="R26" s="74">
        <v>27</v>
      </c>
      <c r="S26" s="74">
        <v>28</v>
      </c>
      <c r="T26" s="74">
        <v>28</v>
      </c>
      <c r="U26" s="74">
        <v>29</v>
      </c>
      <c r="V26" s="74">
        <v>28</v>
      </c>
      <c r="W26" s="74">
        <v>28</v>
      </c>
      <c r="X26" s="74">
        <v>30</v>
      </c>
      <c r="Y26" s="74">
        <v>29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0" t="s" ph="1">
        <v>181</v>
      </c>
      <c r="D27" s="71">
        <v>85.31</v>
      </c>
      <c r="E27" s="71">
        <v>55.22</v>
      </c>
      <c r="F27" s="71">
        <v>3750</v>
      </c>
      <c r="G27" s="71">
        <v>2397</v>
      </c>
      <c r="H27" s="71">
        <v>1465</v>
      </c>
      <c r="I27" s="71">
        <v>2372</v>
      </c>
      <c r="J27" s="71">
        <v>1570</v>
      </c>
      <c r="K27" s="71">
        <v>4927</v>
      </c>
      <c r="L27" s="71">
        <v>5614</v>
      </c>
      <c r="M27" s="71">
        <v>4349</v>
      </c>
      <c r="N27" s="71">
        <v>546</v>
      </c>
      <c r="O27" s="71">
        <v>4320</v>
      </c>
      <c r="P27" s="71">
        <v>964</v>
      </c>
      <c r="Q27" s="90">
        <v>4869</v>
      </c>
      <c r="R27" s="71">
        <v>368</v>
      </c>
      <c r="S27" s="71">
        <v>5481</v>
      </c>
      <c r="T27" s="71">
        <v>1695</v>
      </c>
      <c r="U27" s="71">
        <v>6723</v>
      </c>
      <c r="V27" s="71">
        <v>6202</v>
      </c>
      <c r="W27" s="71">
        <v>11731</v>
      </c>
      <c r="X27" s="71">
        <v>4505</v>
      </c>
      <c r="Y27" s="71">
        <v>3417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0" t="s" ph="1">
        <v>179</v>
      </c>
      <c r="D28" s="91" ph="1">
        <f>D27*268.68*LOOKUP(D29,密度!$A$2:$A$50,密度!$Q$2:$Q$50)+IF(D27&lt;=0,0,1566*LOOKUP(D29,密度!$A$2:$A$50,密度!$Q$2:$Q$50))</f>
        <v>23182.908343992003</v>
      </c>
      <c r="E28" s="91" ph="1">
        <f>E27*268.68*LOOKUP(E29,密度!$A$2:$A$50,密度!$C$2:$C$50)+IF(E27&lt;=0,0,1566*LOOKUP(E29,密度!$A$2:$A$50,密度!$C$2:$C$50))</f>
        <v>18188.742895440002</v>
      </c>
      <c r="F28" s="91" ph="1">
        <f>F27*11.702*LOOKUP(F29,密度!$A$2:$A$50,密度!$Q$2:$Q$50)</f>
        <v>41422.008225000005</v>
      </c>
      <c r="G28" s="91" ph="1">
        <f>G27*18.322*LOOKUP(G29,密度!$A$2:$A$50,密度!$B$2:$B$50)</f>
        <v>34089.022750799995</v>
      </c>
      <c r="H28" s="91" ph="1">
        <f>H27*18.322*LOOKUP(H29,密度!$A$2:$A$50,密度!$B$2:$B$50)</f>
        <v>20834.550825999999</v>
      </c>
      <c r="I28" s="91" ph="1">
        <f>I27*18.322*LOOKUP(I29,密度!$A$2:$A$50,密度!$Q$2:$Q$50)</f>
        <v>41052.981162080003</v>
      </c>
      <c r="J28" s="91" ph="1">
        <f>J27*18.322*LOOKUP(J29,密度!$A$2:$A$50,密度!$Q$2:$Q$50)</f>
        <v>27152.656172199997</v>
      </c>
      <c r="K28" s="91" ph="1">
        <f>K27*18.322*LOOKUP(K29,密度!$A$2:$A$50,密度!$Q$2:$Q$50)</f>
        <v>85210.915261419999</v>
      </c>
      <c r="L28" s="91" ph="1">
        <f>L27*18.322*LOOKUP(L29,密度!$A$2:$A$50,密度!$Q$2:$Q$50)</f>
        <v>97030.648347640003</v>
      </c>
      <c r="M28" s="91" ph="1">
        <f>M27*18.322*LOOKUP(M29,密度!$A$2:$A$50,密度!$Q$2:$Q$50)</f>
        <v>75214.587065540007</v>
      </c>
      <c r="N28" s="91" ph="1">
        <f>N27*18.322*LOOKUP(N29,密度!$A$2:$A$50,密度!$Q$2:$Q$50)</f>
        <v>9436.8959739599995</v>
      </c>
      <c r="O28" s="91" ph="1">
        <f>O27*18.322*LOOKUP(O29,密度!$A$2:$A$50,密度!$C$2:$C$50)</f>
        <v>87469.814303999985</v>
      </c>
      <c r="P28" s="91" ph="1">
        <f>P27*11.702*LOOKUP(P29,密度!$A$2:$A$50,密度!$B$2:$B$50)</f>
        <v>8745.9484183999994</v>
      </c>
      <c r="Q28" s="92" ph="1">
        <f>Q27*18.322*LOOKUP(Q29,密度!$A$2:$A$50,密度!$B$2:$B$50)</f>
        <v>69164.371895399992</v>
      </c>
      <c r="R28" s="91" ph="1">
        <f>R27*35.891*LOOKUP(R29,密度!$A$2:$A$50,密度!$C$2:$C$50)</f>
        <v>14606.603339200001</v>
      </c>
      <c r="S28" s="91" ph="1">
        <f>S27*35.891*LOOKUP(S29,密度!$A$2:$A$50,密度!$B$2:$B$50)</f>
        <v>152692.9548102</v>
      </c>
      <c r="T28" s="91" ph="1">
        <f>T27*35.891*LOOKUP(T29,密度!$A$2:$A$50,密度!$Q$2:$Q$50)</f>
        <v>57387.711665849994</v>
      </c>
      <c r="U28" s="91" ph="1">
        <f>U27*35.891</f>
        <v>241295.193</v>
      </c>
      <c r="V28" s="91" ph="1">
        <f>V27*47.051*LOOKUP(V29,密度!$A$2:$A$50,密度!$B$2:$B$50)</f>
        <v>225977.89786880001</v>
      </c>
      <c r="W28" s="91" ph="1">
        <f>W27*47.051*LOOKUP(W29,密度!$A$2:$A$50,密度!$B$2:$B$50)</f>
        <v>427930.92935930006</v>
      </c>
      <c r="X28" s="91" ph="1">
        <f>X27*47.051*LOOKUP(X29,密度!$A$2:$A$50,密度!$I$2:$I$50)</f>
        <v>219491.62345004998</v>
      </c>
      <c r="Y28" s="91" ph="1">
        <f>Y27*47.051*LOOKUP(Y29,密度!$A$2:$A$50,密度!$L$2:$L$50)</f>
        <v>149679.91157699999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0" t="s" ph="1">
        <v>180</v>
      </c>
      <c r="D29" s="74">
        <v>25</v>
      </c>
      <c r="E29" s="74">
        <v>25</v>
      </c>
      <c r="F29" s="74">
        <v>29</v>
      </c>
      <c r="G29" s="74">
        <v>29</v>
      </c>
      <c r="H29" s="74">
        <v>29</v>
      </c>
      <c r="I29" s="74">
        <v>28</v>
      </c>
      <c r="J29" s="74">
        <v>29</v>
      </c>
      <c r="K29" s="74">
        <v>29</v>
      </c>
      <c r="L29" s="74">
        <v>30</v>
      </c>
      <c r="M29" s="74">
        <v>29</v>
      </c>
      <c r="N29" s="74">
        <v>30</v>
      </c>
      <c r="O29" s="74">
        <v>30</v>
      </c>
      <c r="P29" s="74">
        <v>30</v>
      </c>
      <c r="Q29" s="93">
        <v>30</v>
      </c>
      <c r="R29" s="74">
        <v>29</v>
      </c>
      <c r="S29" s="74">
        <v>29</v>
      </c>
      <c r="T29" s="74">
        <v>30</v>
      </c>
      <c r="U29" s="74">
        <v>30</v>
      </c>
      <c r="V29" s="74">
        <v>31</v>
      </c>
      <c r="W29" s="74">
        <v>30</v>
      </c>
      <c r="X29" s="74">
        <v>31</v>
      </c>
      <c r="Y29" s="74">
        <v>31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14499.637755100001</v>
      </c>
      <c r="E33" s="182" ph="1">
        <f>M10+I10</f>
        <v>103765.24537029999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08" ph="1">
        <v>0</v>
      </c>
      <c r="H33" s="182" ph="1">
        <f>N19</f>
        <v>35591.367967819999</v>
      </c>
      <c r="I33" s="186" ph="1">
        <v>0</v>
      </c>
      <c r="J33" s="190" ph="1">
        <f>F10+O28</f>
        <v>338673.43996379996</v>
      </c>
      <c r="K33" s="182" ph="1">
        <f>O10+K10+E28+R28</f>
        <v>181648.50658503998</v>
      </c>
      <c r="L33" s="192" ph="1">
        <f>BE27</f>
        <v>7100</v>
      </c>
      <c r="M33" s="190" ph="1">
        <f>G10+H10+W28+S28+V28+E10</f>
        <v>1893416.1888303002</v>
      </c>
      <c r="N33" s="182" ph="1">
        <f>L10+P10++G28+H28</f>
        <v>132296.77670079999</v>
      </c>
      <c r="O33" s="186" ph="1">
        <f>BE17</f>
        <v>2270</v>
      </c>
      <c r="P33" s="190" ph="1">
        <f>L19</f>
        <v>49945.251729359996</v>
      </c>
      <c r="Q33" s="182" ph="1">
        <f>J10+N10</f>
        <v>165533.27437880001</v>
      </c>
      <c r="R33" s="186" ph="1">
        <f>BE23</f>
        <v>890</v>
      </c>
      <c r="S33" s="190" ph="1">
        <f>E10+X28</f>
        <v>578469.95780005003</v>
      </c>
      <c r="T33" s="182" ph="1">
        <f>X19</f>
        <v>20342.497198427998</v>
      </c>
      <c r="U33" s="171" ph="1">
        <f>BE21</f>
        <v>730</v>
      </c>
      <c r="V33" s="184" ph="1">
        <f ca="1">P19+Q19+S19+M28+N28+J28</f>
        <v>229765.65773173998</v>
      </c>
      <c r="W33" s="184" ph="1">
        <f>D28+F28+V19+T28</f>
        <v>139576.66977276199</v>
      </c>
      <c r="X33" s="186" ph="1">
        <f>BE29+BE31</f>
        <v>10200</v>
      </c>
      <c r="Y33" s="188" ph="1">
        <f>+Q10+R10+S10+T10+U10+V10+W10+X10+Y10</f>
        <v>202338.47001060002</v>
      </c>
      <c r="Z33" s="169" ph="1">
        <f>D10+T19+U19+Y28+Z10</f>
        <v>454993.86722072994</v>
      </c>
      <c r="AA33" s="171" ph="1">
        <f>BE19</f>
        <v>1440</v>
      </c>
      <c r="AB33" s="173" ph="1">
        <f>I19</f>
        <v>36430.635071199998</v>
      </c>
      <c r="AC33" s="175" ph="1">
        <f>AD10</f>
        <v>78912.514195200012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2" t="s" ph="1">
        <v>186</v>
      </c>
      <c r="AA36" s="152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83" priority="98">
      <formula>ABS(D$7-D$10)&gt;=1000</formula>
    </cfRule>
  </conditionalFormatting>
  <conditionalFormatting sqref="E4 E6:E11">
    <cfRule type="expression" dxfId="382" priority="97">
      <formula>ABS(E$7-E$10)&gt;=1000</formula>
    </cfRule>
  </conditionalFormatting>
  <conditionalFormatting sqref="F4:F11">
    <cfRule type="expression" dxfId="381" priority="96">
      <formula>ABS(F$7-F$10)&gt;=1000</formula>
    </cfRule>
  </conditionalFormatting>
  <conditionalFormatting sqref="G4:G11">
    <cfRule type="expression" dxfId="380" priority="95">
      <formula>ABS(G$7-G$10)&gt;=1000</formula>
    </cfRule>
  </conditionalFormatting>
  <conditionalFormatting sqref="H4:H11">
    <cfRule type="expression" dxfId="379" priority="94">
      <formula>ABS(H$7-H$10)&gt;=1000</formula>
    </cfRule>
  </conditionalFormatting>
  <conditionalFormatting sqref="I4:I11">
    <cfRule type="expression" dxfId="378" priority="93">
      <formula>ABS(I$7-I$10)&gt;=1000</formula>
    </cfRule>
  </conditionalFormatting>
  <conditionalFormatting sqref="J4:J11">
    <cfRule type="expression" dxfId="377" priority="92">
      <formula>ABS(J$7-J$10)&gt;=1000</formula>
    </cfRule>
  </conditionalFormatting>
  <conditionalFormatting sqref="K4:K11">
    <cfRule type="expression" dxfId="376" priority="91">
      <formula>ABS(K$7-K$10)&gt;=1000</formula>
    </cfRule>
  </conditionalFormatting>
  <conditionalFormatting sqref="L4:L11">
    <cfRule type="expression" dxfId="375" priority="90">
      <formula>ABS(L$7-L$10)&gt;=1000</formula>
    </cfRule>
  </conditionalFormatting>
  <conditionalFormatting sqref="M4 M6:M11">
    <cfRule type="expression" dxfId="374" priority="89">
      <formula>ABS(M$7-M$10)&gt;=1000</formula>
    </cfRule>
  </conditionalFormatting>
  <conditionalFormatting sqref="N4 N6:N11">
    <cfRule type="expression" dxfId="373" priority="88">
      <formula>ABS(N$7-N$10)&gt;=1000</formula>
    </cfRule>
  </conditionalFormatting>
  <conditionalFormatting sqref="O4 O6:O11">
    <cfRule type="expression" dxfId="372" priority="87">
      <formula>ABS(O$7-O$10)&gt;=1000</formula>
    </cfRule>
  </conditionalFormatting>
  <conditionalFormatting sqref="P4 P6:P11">
    <cfRule type="expression" dxfId="371" priority="86">
      <formula>ABS(P$7-P$10)&gt;=1000</formula>
    </cfRule>
  </conditionalFormatting>
  <conditionalFormatting sqref="Q4:Q11">
    <cfRule type="expression" dxfId="370" priority="85">
      <formula>ABS(Q$7-Q$10)&gt;=1000</formula>
    </cfRule>
  </conditionalFormatting>
  <conditionalFormatting sqref="R4:R11">
    <cfRule type="expression" dxfId="369" priority="84">
      <formula>ABS(R$7-R$10)&gt;=1000</formula>
    </cfRule>
  </conditionalFormatting>
  <conditionalFormatting sqref="S4:S11">
    <cfRule type="expression" dxfId="368" priority="83">
      <formula>ABS(S$7-S$10)&gt;=1000</formula>
    </cfRule>
  </conditionalFormatting>
  <conditionalFormatting sqref="T4:T9 T11">
    <cfRule type="expression" dxfId="367" priority="82">
      <formula>ABS(T$7-T$10)&gt;=1000</formula>
    </cfRule>
  </conditionalFormatting>
  <conditionalFormatting sqref="U4:U9 U11">
    <cfRule type="expression" dxfId="366" priority="81">
      <formula>ABS(U$7-U$10)&gt;=1000</formula>
    </cfRule>
  </conditionalFormatting>
  <conditionalFormatting sqref="V4:V9 V11">
    <cfRule type="expression" dxfId="365" priority="80">
      <formula>ABS(V$7-V$10)&gt;=1000</formula>
    </cfRule>
  </conditionalFormatting>
  <conditionalFormatting sqref="W4:W9 W11">
    <cfRule type="expression" dxfId="364" priority="79">
      <formula>ABS(W$7-W$10)&gt;=1000</formula>
    </cfRule>
  </conditionalFormatting>
  <conditionalFormatting sqref="X4:X9 X11">
    <cfRule type="expression" dxfId="363" priority="78">
      <formula>ABS(X$7-X$10)&gt;=1000</formula>
    </cfRule>
  </conditionalFormatting>
  <conditionalFormatting sqref="Y4:Y9 Y11">
    <cfRule type="expression" dxfId="362" priority="77">
      <formula>ABS(Y$7-Y$10)&gt;=1000</formula>
    </cfRule>
  </conditionalFormatting>
  <conditionalFormatting sqref="Z4:Z11">
    <cfRule type="expression" dxfId="361" priority="76">
      <formula>ABS(Z$7-Z$10)&gt;=1000</formula>
    </cfRule>
  </conditionalFormatting>
  <conditionalFormatting sqref="AA4:AA11">
    <cfRule type="expression" dxfId="360" priority="75">
      <formula>ABS(AA$7-AA$10)&gt;=1000</formula>
    </cfRule>
  </conditionalFormatting>
  <conditionalFormatting sqref="AB4:AB11">
    <cfRule type="expression" dxfId="359" priority="74">
      <formula>ABS(AB$7-AB$10)&gt;=1000</formula>
    </cfRule>
  </conditionalFormatting>
  <conditionalFormatting sqref="AC4 AC6:AC11">
    <cfRule type="expression" dxfId="358" priority="73">
      <formula>ABS(AC$7-AC$10)&gt;=1000</formula>
    </cfRule>
  </conditionalFormatting>
  <conditionalFormatting sqref="AD4:AD11">
    <cfRule type="expression" dxfId="357" priority="72">
      <formula>ABS(AD$7-AD$10)&gt;=1000</formula>
    </cfRule>
  </conditionalFormatting>
  <conditionalFormatting sqref="AE4 AE6:AE11">
    <cfRule type="expression" dxfId="356" priority="71">
      <formula>ABS(AE$7-AE$10)&gt;=1000</formula>
    </cfRule>
  </conditionalFormatting>
  <conditionalFormatting sqref="D13:D20">
    <cfRule type="expression" dxfId="355" priority="70">
      <formula>ABS(D$16-D$19)&gt;=1000</formula>
    </cfRule>
  </conditionalFormatting>
  <conditionalFormatting sqref="E13:E20">
    <cfRule type="expression" dxfId="354" priority="69">
      <formula>ABS(E$16-E$19)&gt;=1000</formula>
    </cfRule>
  </conditionalFormatting>
  <conditionalFormatting sqref="F13 F15:F20">
    <cfRule type="expression" dxfId="353" priority="68">
      <formula>ABS(F$16-F$19)&gt;=1000</formula>
    </cfRule>
  </conditionalFormatting>
  <conditionalFormatting sqref="G13:G20">
    <cfRule type="expression" dxfId="352" priority="67">
      <formula>ABS(G$16-G$19)&gt;=1000</formula>
    </cfRule>
  </conditionalFormatting>
  <conditionalFormatting sqref="H13:H20">
    <cfRule type="expression" dxfId="351" priority="66">
      <formula>ABS(H$16-H$19)&gt;=1000</formula>
    </cfRule>
  </conditionalFormatting>
  <conditionalFormatting sqref="I13:I20">
    <cfRule type="expression" dxfId="350" priority="65">
      <formula>ABS(I$16-I$19)&gt;=1000</formula>
    </cfRule>
  </conditionalFormatting>
  <conditionalFormatting sqref="J13:J20">
    <cfRule type="expression" dxfId="349" priority="64">
      <formula>ABS(J$16-J$19)&gt;=1000</formula>
    </cfRule>
  </conditionalFormatting>
  <conditionalFormatting sqref="L13:L20">
    <cfRule type="expression" dxfId="348" priority="63">
      <formula>ABS(L$16-L$19)&gt;=1000</formula>
    </cfRule>
  </conditionalFormatting>
  <conditionalFormatting sqref="M13 M15 M17:M18 M20">
    <cfRule type="expression" dxfId="347" priority="62">
      <formula>ABS(M$16-M$19)&gt;=1000</formula>
    </cfRule>
  </conditionalFormatting>
  <conditionalFormatting sqref="N13:N20">
    <cfRule type="expression" dxfId="346" priority="61">
      <formula>ABS(N$16-N$19)&gt;=1000</formula>
    </cfRule>
  </conditionalFormatting>
  <conditionalFormatting sqref="O13:O20">
    <cfRule type="expression" dxfId="345" priority="60">
      <formula>ABS(O$16-O$19)&gt;=1000</formula>
    </cfRule>
  </conditionalFormatting>
  <conditionalFormatting sqref="P13:P20">
    <cfRule type="expression" dxfId="344" priority="59">
      <formula>ABS(P$16-P$19)&gt;=1000</formula>
    </cfRule>
  </conditionalFormatting>
  <conditionalFormatting sqref="Q13 Q15:Q20">
    <cfRule type="expression" dxfId="343" priority="58">
      <formula>ABS(Q$16-Q$19)&gt;=1000</formula>
    </cfRule>
  </conditionalFormatting>
  <conditionalFormatting sqref="R13:R20">
    <cfRule type="expression" dxfId="342" priority="57">
      <formula>ABS(R$16-R$19)&gt;=1000</formula>
    </cfRule>
  </conditionalFormatting>
  <conditionalFormatting sqref="S13:S20">
    <cfRule type="expression" dxfId="341" priority="56">
      <formula>ABS(S$16-S$19)&gt;=1000</formula>
    </cfRule>
  </conditionalFormatting>
  <conditionalFormatting sqref="T13:T20">
    <cfRule type="expression" dxfId="340" priority="55">
      <formula>ABS(T$16-T$19)&gt;=1000</formula>
    </cfRule>
  </conditionalFormatting>
  <conditionalFormatting sqref="U13:U20">
    <cfRule type="expression" dxfId="339" priority="54">
      <formula>ABS(U$16-U$19)&gt;=1000</formula>
    </cfRule>
  </conditionalFormatting>
  <conditionalFormatting sqref="V13:V20">
    <cfRule type="expression" dxfId="338" priority="53">
      <formula>ABS(V$16-V$19)&gt;=1000</formula>
    </cfRule>
  </conditionalFormatting>
  <conditionalFormatting sqref="W13 W20 W15:W18">
    <cfRule type="expression" dxfId="337" priority="52">
      <formula>ABS(W$16-W$19)&gt;=1000</formula>
    </cfRule>
  </conditionalFormatting>
  <conditionalFormatting sqref="X13 X15:X20 Y19">
    <cfRule type="expression" dxfId="336" priority="51">
      <formula>ABS(X$16-X$19)&gt;=1000</formula>
    </cfRule>
  </conditionalFormatting>
  <conditionalFormatting sqref="Y13 Y15:Y18 Y20">
    <cfRule type="expression" dxfId="335" priority="50">
      <formula>ABS(Y$16-Y$19)&gt;=1000</formula>
    </cfRule>
  </conditionalFormatting>
  <conditionalFormatting sqref="Z13:Z20">
    <cfRule type="expression" dxfId="334" priority="49">
      <formula>ABS(Z$16-Z$19)&gt;=1000</formula>
    </cfRule>
  </conditionalFormatting>
  <conditionalFormatting sqref="AA13:AA20">
    <cfRule type="expression" dxfId="333" priority="48">
      <formula>ABS(AA$16-AA$19)&gt;=1000</formula>
    </cfRule>
  </conditionalFormatting>
  <conditionalFormatting sqref="AB13 AB15:AB20">
    <cfRule type="expression" dxfId="332" priority="47">
      <formula>ABS(AB$16-AB$19)&gt;=1000</formula>
    </cfRule>
  </conditionalFormatting>
  <conditionalFormatting sqref="AC13 AC15:AC20">
    <cfRule type="expression" dxfId="331" priority="46">
      <formula>ABS(AC$16-AC$19)&gt;=1000</formula>
    </cfRule>
  </conditionalFormatting>
  <conditionalFormatting sqref="AD13:AD20">
    <cfRule type="expression" dxfId="330" priority="45">
      <formula>ABS(AD$16-AD$19)&gt;=1000</formula>
    </cfRule>
  </conditionalFormatting>
  <conditionalFormatting sqref="AE13:AE20">
    <cfRule type="expression" dxfId="329" priority="44">
      <formula>ABS(AE$16-AE$19)&gt;=1000</formula>
    </cfRule>
  </conditionalFormatting>
  <conditionalFormatting sqref="D22:D29">
    <cfRule type="expression" dxfId="328" priority="43">
      <formula>ABS(D$25-D$28)&gt;=1000</formula>
    </cfRule>
  </conditionalFormatting>
  <conditionalFormatting sqref="E22:E29">
    <cfRule type="expression" dxfId="327" priority="42">
      <formula>ABS(E$25-E$28)&gt;=1000</formula>
    </cfRule>
  </conditionalFormatting>
  <conditionalFormatting sqref="F22:F29">
    <cfRule type="expression" dxfId="326" priority="41">
      <formula>ABS(F$25-F$28)&gt;=1000</formula>
    </cfRule>
  </conditionalFormatting>
  <conditionalFormatting sqref="G22:G29">
    <cfRule type="expression" dxfId="325" priority="40">
      <formula>ABS(G$25-G$28)&gt;=1000</formula>
    </cfRule>
  </conditionalFormatting>
  <conditionalFormatting sqref="H22:H29">
    <cfRule type="expression" dxfId="324" priority="39">
      <formula>ABS(H$25-H$28)&gt;=1000</formula>
    </cfRule>
  </conditionalFormatting>
  <conditionalFormatting sqref="I22 I24:I29">
    <cfRule type="expression" dxfId="323" priority="38">
      <formula>ABS(I$25-I$28)&gt;=1000</formula>
    </cfRule>
  </conditionalFormatting>
  <conditionalFormatting sqref="J22:J29 K22">
    <cfRule type="expression" dxfId="322" priority="37">
      <formula>ABS(J$25-J$28)&gt;=1000</formula>
    </cfRule>
  </conditionalFormatting>
  <conditionalFormatting sqref="K23:K29 L25 L28">
    <cfRule type="expression" dxfId="321" priority="36">
      <formula>ABS(K$25-K$28)&gt;=1000</formula>
    </cfRule>
  </conditionalFormatting>
  <conditionalFormatting sqref="L22 L26:L27 L29 L24">
    <cfRule type="expression" dxfId="320" priority="35">
      <formula>ABS(L$25-L$28)&gt;=1000</formula>
    </cfRule>
  </conditionalFormatting>
  <conditionalFormatting sqref="M22:M29">
    <cfRule type="expression" dxfId="319" priority="34">
      <formula>ABS(M$25-M$28)&gt;=1000</formula>
    </cfRule>
  </conditionalFormatting>
  <conditionalFormatting sqref="N22:N29">
    <cfRule type="expression" dxfId="318" priority="33">
      <formula>ABS(N$25-N$28)&gt;=1000</formula>
    </cfRule>
  </conditionalFormatting>
  <conditionalFormatting sqref="O22:O29">
    <cfRule type="expression" dxfId="317" priority="32">
      <formula>ABS(O$25-O$28)&gt;=1000</formula>
    </cfRule>
  </conditionalFormatting>
  <conditionalFormatting sqref="P22:P29">
    <cfRule type="expression" dxfId="316" priority="31">
      <formula>ABS(P$25-P$28)&gt;=1000</formula>
    </cfRule>
  </conditionalFormatting>
  <conditionalFormatting sqref="Q22:Q29">
    <cfRule type="expression" dxfId="315" priority="30">
      <formula>ABS(Q$25-Q$28)&gt;=1000</formula>
    </cfRule>
  </conditionalFormatting>
  <conditionalFormatting sqref="R22:R29">
    <cfRule type="expression" dxfId="314" priority="29">
      <formula>ABS(R$25-R$28)&gt;=1000</formula>
    </cfRule>
  </conditionalFormatting>
  <conditionalFormatting sqref="S22:S29">
    <cfRule type="expression" dxfId="313" priority="28">
      <formula>ABS(S$25-S$28)&gt;=1000</formula>
    </cfRule>
  </conditionalFormatting>
  <conditionalFormatting sqref="T22:T29">
    <cfRule type="expression" dxfId="312" priority="27">
      <formula>ABS(T$25-T$28)&gt;=1000</formula>
    </cfRule>
  </conditionalFormatting>
  <conditionalFormatting sqref="U22:U29">
    <cfRule type="expression" dxfId="311" priority="26">
      <formula>ABS(U$25-U$28)&gt;=1000</formula>
    </cfRule>
  </conditionalFormatting>
  <conditionalFormatting sqref="V22:V29">
    <cfRule type="expression" dxfId="310" priority="25">
      <formula>ABS(V$25-V$28)&gt;=1000</formula>
    </cfRule>
  </conditionalFormatting>
  <conditionalFormatting sqref="W22:W29">
    <cfRule type="expression" dxfId="309" priority="24">
      <formula>ABS(W$25-W$28)&gt;=1000</formula>
    </cfRule>
  </conditionalFormatting>
  <conditionalFormatting sqref="X22:X29">
    <cfRule type="expression" dxfId="308" priority="23">
      <formula>ABS(X$25-X$28)&gt;=1000</formula>
    </cfRule>
  </conditionalFormatting>
  <conditionalFormatting sqref="Y22:Y29">
    <cfRule type="expression" dxfId="307" priority="22">
      <formula>ABS(Y$25-Y$28)&gt;=1000</formula>
    </cfRule>
  </conditionalFormatting>
  <conditionalFormatting sqref="I23">
    <cfRule type="expression" dxfId="306" priority="21">
      <formula>ABS(I$25-I$28)&gt;=1000</formula>
    </cfRule>
  </conditionalFormatting>
  <conditionalFormatting sqref="Q14">
    <cfRule type="expression" dxfId="305" priority="20">
      <formula>ABS(Q$16-Q$19)&gt;=1000</formula>
    </cfRule>
  </conditionalFormatting>
  <conditionalFormatting sqref="W14">
    <cfRule type="expression" dxfId="304" priority="19">
      <formula>ABS(W$16-W$19)&gt;=1000</formula>
    </cfRule>
  </conditionalFormatting>
  <conditionalFormatting sqref="Y14">
    <cfRule type="expression" dxfId="303" priority="18">
      <formula>ABS(Y$16-Y$19)&gt;=1000</formula>
    </cfRule>
  </conditionalFormatting>
  <conditionalFormatting sqref="X14">
    <cfRule type="expression" dxfId="302" priority="17">
      <formula>ABS(X$16-X$19)&gt;=1000</formula>
    </cfRule>
  </conditionalFormatting>
  <conditionalFormatting sqref="T10:Y10">
    <cfRule type="expression" dxfId="301" priority="16">
      <formula>ABS(T$7-T$10)&gt;=1000</formula>
    </cfRule>
  </conditionalFormatting>
  <conditionalFormatting sqref="W19">
    <cfRule type="expression" dxfId="300" priority="15">
      <formula>ABS(W$16-W$19)&gt;=1000</formula>
    </cfRule>
  </conditionalFormatting>
  <conditionalFormatting sqref="AC5">
    <cfRule type="expression" dxfId="299" priority="14">
      <formula>ABS(AC$7-AC$10)&gt;=1000</formula>
    </cfRule>
  </conditionalFormatting>
  <conditionalFormatting sqref="M14">
    <cfRule type="expression" dxfId="298" priority="13">
      <formula>ABS(M$16-M$19)&gt;=1000</formula>
    </cfRule>
  </conditionalFormatting>
  <conditionalFormatting sqref="M16">
    <cfRule type="expression" dxfId="297" priority="12">
      <formula>ABS(M$16-M$19)&gt;=1000</formula>
    </cfRule>
  </conditionalFormatting>
  <conditionalFormatting sqref="M19">
    <cfRule type="expression" dxfId="296" priority="11">
      <formula>ABS(M$16-M$19)&gt;=1000</formula>
    </cfRule>
  </conditionalFormatting>
  <conditionalFormatting sqref="K13:K20">
    <cfRule type="expression" dxfId="295" priority="10">
      <formula>ABS(K$16-K$19)&gt;=1000</formula>
    </cfRule>
  </conditionalFormatting>
  <conditionalFormatting sqref="E5">
    <cfRule type="expression" dxfId="294" priority="9">
      <formula>ABS(E$7-E$10)&gt;=1000</formula>
    </cfRule>
  </conditionalFormatting>
  <conditionalFormatting sqref="AB14:AC14">
    <cfRule type="expression" dxfId="293" priority="8">
      <formula>ABS(AB$16-AB$19)&gt;=1000</formula>
    </cfRule>
  </conditionalFormatting>
  <conditionalFormatting sqref="M5">
    <cfRule type="expression" dxfId="292" priority="7">
      <formula>ABS(M$7-M$10)&gt;=1000</formula>
    </cfRule>
  </conditionalFormatting>
  <conditionalFormatting sqref="N5">
    <cfRule type="expression" dxfId="291" priority="6">
      <formula>ABS(N$7-N$10)&gt;=1000</formula>
    </cfRule>
  </conditionalFormatting>
  <conditionalFormatting sqref="O5">
    <cfRule type="expression" dxfId="290" priority="5">
      <formula>ABS(O$7-O$10)&gt;=1000</formula>
    </cfRule>
  </conditionalFormatting>
  <conditionalFormatting sqref="P5">
    <cfRule type="expression" dxfId="289" priority="4">
      <formula>ABS(P$7-P$10)&gt;=1000</formula>
    </cfRule>
  </conditionalFormatting>
  <conditionalFormatting sqref="L23">
    <cfRule type="expression" dxfId="288" priority="3">
      <formula>ABS(L$25-L$28)&gt;=1000</formula>
    </cfRule>
  </conditionalFormatting>
  <conditionalFormatting sqref="F14">
    <cfRule type="expression" dxfId="287" priority="2">
      <formula>ABS(F$16-F$19)&gt;=1000</formula>
    </cfRule>
  </conditionalFormatting>
  <conditionalFormatting sqref="AE5">
    <cfRule type="expression" dxfId="28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58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11">
    <pageSetUpPr fitToPage="1"/>
  </sheetPr>
  <dimension ref="A1:CU223"/>
  <sheetViews>
    <sheetView view="pageBreakPreview" topLeftCell="A13" zoomScale="80" zoomScaleNormal="100" zoomScaleSheetLayoutView="80" workbookViewId="0">
      <selection activeCell="Q9" sqref="Q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45897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104" t="s" ph="1">
        <v>609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6" t="s" ph="1">
        <v>178</v>
      </c>
      <c r="D6" s="71">
        <v>5442</v>
      </c>
      <c r="E6" s="71">
        <v>8974</v>
      </c>
      <c r="F6" s="71">
        <v>6840</v>
      </c>
      <c r="G6" s="71">
        <v>8924</v>
      </c>
      <c r="H6" s="71">
        <v>9233</v>
      </c>
      <c r="I6" s="71">
        <v>29.11</v>
      </c>
      <c r="J6" s="71">
        <v>7.12</v>
      </c>
      <c r="K6" s="71">
        <v>85.31</v>
      </c>
      <c r="L6" s="71">
        <v>36.92</v>
      </c>
      <c r="M6" s="71">
        <v>2802</v>
      </c>
      <c r="N6" s="71">
        <v>6328</v>
      </c>
      <c r="O6" s="71">
        <v>5328</v>
      </c>
      <c r="P6" s="71">
        <v>2360</v>
      </c>
      <c r="Q6" s="71">
        <v>0</v>
      </c>
      <c r="R6" s="71">
        <v>0</v>
      </c>
      <c r="S6" s="71">
        <v>0</v>
      </c>
      <c r="T6" s="71">
        <v>5892</v>
      </c>
      <c r="U6" s="71">
        <v>7016</v>
      </c>
      <c r="V6" s="71">
        <v>4957</v>
      </c>
      <c r="W6" s="71">
        <v>6186</v>
      </c>
      <c r="X6" s="71">
        <v>2550</v>
      </c>
      <c r="Y6" s="71">
        <v>660</v>
      </c>
      <c r="Z6" s="71">
        <v>3222</v>
      </c>
      <c r="AA6" s="71">
        <v>335</v>
      </c>
      <c r="AB6" s="71">
        <v>152</v>
      </c>
      <c r="AC6" s="71">
        <v>1020</v>
      </c>
      <c r="AD6" s="71">
        <v>3962</v>
      </c>
      <c r="AE6" s="71">
        <v>2911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170348.31052038001</v>
      </c>
      <c r="E7" s="73" ph="1">
        <f>E6*51.53*LOOKUP(E8,密度!$A$2:$A$50,密度!$B$2:$B$50)</f>
        <v>359308.28094000003</v>
      </c>
      <c r="F7" s="73" ph="1">
        <f>F6*33.183*LOOKUP(F8,密度!$A$2:$A$50,密度!$C$2:$C$50)</f>
        <v>251348.48272799997</v>
      </c>
      <c r="G7" s="73" ph="1">
        <f xml:space="preserve"> (G6+2)*51.53*LOOKUP(G8,密度!$A$2:$A$50,密度!$B$2:$B$50)</f>
        <v>357386.41806000005</v>
      </c>
      <c r="H7" s="73" ph="1">
        <f>(H6)*51.53*LOOKUP(H8,密度!$A$2:$A$50,密度!$B$2:$B$50)</f>
        <v>371343.550445</v>
      </c>
      <c r="I7" s="73" ph="1">
        <f>I6*290.8*1.0267</f>
        <v>8691.2085195999989</v>
      </c>
      <c r="J7" s="73" ph="1">
        <f>J6*290.8*0.7892</f>
        <v>1634.0354432000001</v>
      </c>
      <c r="K7" s="73" ph="1">
        <f>K6*290.8*1.1126</f>
        <v>27601.545464800001</v>
      </c>
      <c r="L7" s="73" ph="1">
        <f>L6*290.8*0.777</f>
        <v>8342.1330720000005</v>
      </c>
      <c r="M7" s="73" ph="1">
        <f>M6*33.183*LOOKUP(M8,密度!$A$2:$A$50,密度!$D$2:$D$50)</f>
        <v>95200.958507400006</v>
      </c>
      <c r="N7" s="73" ph="1">
        <f>N6*33.183*LOOKUP(N8,密度!$A$2:$A$50,密度!$E$2:$E$50)</f>
        <v>163282.0218624</v>
      </c>
      <c r="O7" s="73" ph="1">
        <f>O6*20.428*LOOKUP(O8,密度!$A$2:$A$50,密度!$C$2:$C$50)</f>
        <v>120170.66797440001</v>
      </c>
      <c r="P7" s="73" ph="1">
        <f>P6*51.53*LOOKUP(P8,密度!$A$2:$A$50,密度!$B$2:$B$50)</f>
        <v>94601.041320000004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39066.003345600002</v>
      </c>
      <c r="U7" s="73" ph="1">
        <f>U6*1.5*1.5*3.1416*LOOKUP(U8,密度!$A$2:$A$50,密度!$L$2:$L$50)</f>
        <v>46369.733256</v>
      </c>
      <c r="V7" s="73" ph="1">
        <f>V6*1.5*1.5*3.1416*LOOKUP(V8,密度!$A$2:$A$50,密度!$L$2:$L$50)</f>
        <v>32726.472886799998</v>
      </c>
      <c r="W7" s="73" ph="1">
        <f>W6*1.5*1.5*3.1416*LOOKUP(W8,密度!$A$2:$A$50,密度!$L$2:$L$50)</f>
        <v>40884.146225999997</v>
      </c>
      <c r="X7" s="73" ph="1">
        <f>X6*1.5*1.5*3.1416*LOOKUP(X8,密度!$A$2:$A$50,密度!$L$2:$L$50)</f>
        <v>17015.533919999998</v>
      </c>
      <c r="Y7" s="73" ph="1">
        <f>Y6*1.5*1.5*3.1416*LOOKUP(Y8,密度!$A$2:$A$50,密度!$L$2:$L$50)</f>
        <v>4366.6983360000004</v>
      </c>
      <c r="Z7" s="73" ph="1">
        <f>Z6*33.183*LOOKUP(Z8,密度!$A$2:$A$50,密度!$L$2:$L$50)</f>
        <v>100073.02593600001</v>
      </c>
      <c r="AA7" s="73" ph="1">
        <f>AA6*33.183*LOOKUP(AA8,密度!$A$2:$A$50,密度!$D$2:$D$50)</f>
        <v>11423.115018</v>
      </c>
      <c r="AB7" s="73" ph="1">
        <f>AB6*20.428*LOOKUP(AB8,密度!$A$2:$A$50,密度!$D$2:$D$50)</f>
        <v>3202.5547584000005</v>
      </c>
      <c r="AC7" s="73" ph="1">
        <f>AC6*51.53*LOOKUP(AC8,密度!$A$2:$A$50,密度!$Q$2:$Q$50)</f>
        <v>49799.591681999998</v>
      </c>
      <c r="AD7" s="73" ph="1">
        <f>AD6*20.428*LOOKUP(AD8,密度!$A$2:$A$50,密度!$V$2:$V$50)</f>
        <v>77504.060793600001</v>
      </c>
      <c r="AE7" s="73" ph="1">
        <f>AE6*20.428</f>
        <v>59465.908000000003</v>
      </c>
    </row>
    <row r="8" spans="1:99" ph="1">
      <c r="B8" s="233" ph="1"/>
      <c r="C8" s="68" t="s" ph="1">
        <v>180</v>
      </c>
      <c r="D8" s="74">
        <v>30</v>
      </c>
      <c r="E8" s="74">
        <v>28</v>
      </c>
      <c r="F8" s="74">
        <v>27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30</v>
      </c>
      <c r="O8" s="74">
        <v>31</v>
      </c>
      <c r="P8" s="74">
        <v>27</v>
      </c>
      <c r="Q8" s="74">
        <v>27</v>
      </c>
      <c r="R8" s="74">
        <v>31</v>
      </c>
      <c r="S8" s="74">
        <v>22</v>
      </c>
      <c r="T8" s="74">
        <v>24</v>
      </c>
      <c r="U8" s="74">
        <v>27</v>
      </c>
      <c r="V8" s="74">
        <v>28</v>
      </c>
      <c r="W8" s="74">
        <v>27</v>
      </c>
      <c r="X8" s="74">
        <v>18</v>
      </c>
      <c r="Y8" s="74">
        <v>26</v>
      </c>
      <c r="Z8" s="74">
        <v>26</v>
      </c>
      <c r="AA8" s="74">
        <v>24</v>
      </c>
      <c r="AB8" s="74">
        <v>20</v>
      </c>
      <c r="AC8" s="74">
        <v>24</v>
      </c>
      <c r="AD8" s="74">
        <v>26</v>
      </c>
      <c r="AE8" s="74">
        <v>30</v>
      </c>
    </row>
    <row r="9" spans="1:99" ht="26.4" ph="1">
      <c r="B9" s="233" ph="1">
        <v>0.66666666666666663</v>
      </c>
      <c r="C9" s="156" t="s" ph="1">
        <v>181</v>
      </c>
      <c r="D9" s="71">
        <v>5716</v>
      </c>
      <c r="E9" s="71">
        <v>8970</v>
      </c>
      <c r="F9" s="71">
        <v>6844</v>
      </c>
      <c r="G9" s="71">
        <v>8922</v>
      </c>
      <c r="H9" s="71">
        <v>9078</v>
      </c>
      <c r="I9" s="71">
        <v>29.01</v>
      </c>
      <c r="J9" s="71">
        <v>7.01</v>
      </c>
      <c r="K9" s="71">
        <v>85.21</v>
      </c>
      <c r="L9" s="71">
        <v>33.020000000000003</v>
      </c>
      <c r="M9" s="71">
        <v>2800</v>
      </c>
      <c r="N9" s="71">
        <v>6331</v>
      </c>
      <c r="O9" s="71">
        <v>4441</v>
      </c>
      <c r="P9" s="71">
        <v>2152</v>
      </c>
      <c r="Q9" s="71">
        <v>0</v>
      </c>
      <c r="R9" s="71">
        <v>0</v>
      </c>
      <c r="S9" s="71">
        <v>0</v>
      </c>
      <c r="T9" s="71">
        <v>2222</v>
      </c>
      <c r="U9" s="71">
        <v>7021</v>
      </c>
      <c r="V9" s="71">
        <v>4961</v>
      </c>
      <c r="W9" s="71">
        <v>6194</v>
      </c>
      <c r="X9" s="71">
        <v>5078</v>
      </c>
      <c r="Y9" s="71">
        <v>2120</v>
      </c>
      <c r="Z9" s="71">
        <v>4013</v>
      </c>
      <c r="AA9" s="71">
        <v>284</v>
      </c>
      <c r="AB9" s="71">
        <v>149</v>
      </c>
      <c r="AC9" s="71">
        <v>899</v>
      </c>
      <c r="AD9" s="71">
        <v>3751</v>
      </c>
      <c r="AE9" s="71">
        <v>3104</v>
      </c>
    </row>
    <row r="10" spans="1:99" s="72" customFormat="1" ht="22.2" ph="1">
      <c r="B10" s="233" ph="1"/>
      <c r="C10" s="156" t="s" ph="1">
        <v>179</v>
      </c>
      <c r="D10" s="73" ph="1">
        <f>D9*33.183*LOOKUP(D11,密度!$A$2:$A$50,密度!$Q$2:$Q$50)</f>
        <v>178653.96697319997</v>
      </c>
      <c r="E10" s="73" ph="1">
        <f>E9*51.53*LOOKUP(E11,密度!$A$2:$A$50,密度!$B$2:$B$50)</f>
        <v>356328.55869000003</v>
      </c>
      <c r="F10" s="73" ph="1">
        <f>F9*33.183*LOOKUP(F11,密度!$A$2:$A$50,密度!$C$2:$C$50)</f>
        <v>251154.81346680003</v>
      </c>
      <c r="G10" s="73" ph="1">
        <f xml:space="preserve"> (G9+2)*51.53*LOOKUP(G11,密度!$A$2:$A$50,密度!$B$2:$B$50)</f>
        <v>354501.23274800001</v>
      </c>
      <c r="H10" s="73" ph="1">
        <f>(H9)*51.53*LOOKUP(H11,密度!$A$2:$A$50,密度!$B$2:$B$50)</f>
        <v>359402.54992200003</v>
      </c>
      <c r="I10" s="73" ph="1">
        <f>I9*290.8*1.0267</f>
        <v>8661.3520835999989</v>
      </c>
      <c r="J10" s="73" ph="1">
        <f>J9*290.8*0.7892</f>
        <v>1608.7905136000002</v>
      </c>
      <c r="K10" s="73" ph="1">
        <f>K9*290.8*1.1126</f>
        <v>27569.191056799998</v>
      </c>
      <c r="L10" s="73" ph="1">
        <f>L9*290.8*0.777</f>
        <v>7460.9218320000018</v>
      </c>
      <c r="M10" s="73" ph="1">
        <f>M9*33.183*LOOKUP(M11,密度!$A$2:$A$50,密度!$D$2:$D$50)</f>
        <v>94714.900559999995</v>
      </c>
      <c r="N10" s="73" ph="1">
        <f>N9*33.183*LOOKUP(N11,密度!$A$2:$A$50,密度!$E$2:$E$50)</f>
        <v>163117.83735585</v>
      </c>
      <c r="O10" s="73" ph="1">
        <f>O9*20.428*LOOKUP(O11,密度!$A$2:$A$50,密度!$C$2:$C$50)</f>
        <v>99593.23715440002</v>
      </c>
      <c r="P10" s="73" ph="1">
        <f>P9*51.53*LOOKUP(P11,密度!$A$2:$A$50,密度!$B$2:$B$50)</f>
        <v>85686.681112000006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14544.153439200001</v>
      </c>
      <c r="U10" s="73" ph="1">
        <f>U9*1.5*1.5*3.1416*LOOKUP(U11,密度!$A$2:$A$50,密度!$L$2:$L$50)</f>
        <v>46303.521679800004</v>
      </c>
      <c r="V10" s="73" ph="1">
        <f>V9*1.5*1.5*3.1416*LOOKUP(V11,密度!$A$2:$A$50,密度!$L$2:$L$50)</f>
        <v>32823.0158256</v>
      </c>
      <c r="W10" s="73" ph="1">
        <f>W9*1.5*1.5*3.1416*LOOKUP(W11,密度!$A$2:$A$50,密度!$L$2:$L$50)</f>
        <v>40849.453537200003</v>
      </c>
      <c r="X10" s="73" ph="1">
        <f>X9*1.5*1.5*3.1416*LOOKUP(X11,密度!$A$2:$A$50,密度!$L$2:$L$50)</f>
        <v>33812.478453600001</v>
      </c>
      <c r="Y10" s="73" ph="1">
        <f>Y9*1.5*1.5*3.1416*LOOKUP(Y11,密度!$A$2:$A$50,密度!$L$2:$L$50)</f>
        <v>14011.378919999999</v>
      </c>
      <c r="Z10" s="73" ph="1">
        <f>Z9*33.183*LOOKUP(Z11,密度!$A$2:$A$50,密度!$L$2:$L$50)</f>
        <v>123975.105849</v>
      </c>
      <c r="AA10" s="73" ph="1">
        <f>AA9*33.183*LOOKUP(AA11,密度!$A$2:$A$50,密度!$D$2:$D$50)</f>
        <v>9565.3315799999982</v>
      </c>
      <c r="AB10" s="73" ph="1">
        <f>AB9*20.428*LOOKUP(AB11,密度!$A$2:$A$50,密度!$D$2:$D$50)</f>
        <v>3107.9955891999998</v>
      </c>
      <c r="AC10" s="73" ph="1">
        <f>AC9*51.53*LOOKUP(AC11,密度!$A$2:$A$50,密度!$Q$2:$Q$50)</f>
        <v>43633.960192999999</v>
      </c>
      <c r="AD10" s="73" ph="1">
        <f>AD9*20.428*LOOKUP(AD11,密度!$A$2:$A$50,密度!$V$2:$V$50)</f>
        <v>73376.509852799994</v>
      </c>
      <c r="AE10" s="73" ph="1">
        <f>AE9*20.428</f>
        <v>63408.512000000002</v>
      </c>
    </row>
    <row r="11" spans="1:99" ph="1">
      <c r="A11" s="64" t="s" ph="1">
        <v>163</v>
      </c>
      <c r="B11" s="233" ph="1"/>
      <c r="C11" s="156" t="s" ph="1">
        <v>180</v>
      </c>
      <c r="D11" s="74">
        <v>32</v>
      </c>
      <c r="E11" s="74">
        <v>35</v>
      </c>
      <c r="F11" s="74">
        <v>29</v>
      </c>
      <c r="G11" s="74">
        <v>35</v>
      </c>
      <c r="H11" s="74">
        <v>38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31</v>
      </c>
      <c r="O11" s="74">
        <v>37</v>
      </c>
      <c r="P11" s="74">
        <v>33</v>
      </c>
      <c r="Q11" s="74">
        <v>42</v>
      </c>
      <c r="R11" s="74">
        <v>38</v>
      </c>
      <c r="S11" s="74">
        <v>27</v>
      </c>
      <c r="T11" s="74">
        <v>36</v>
      </c>
      <c r="U11" s="74">
        <v>29</v>
      </c>
      <c r="V11" s="74">
        <v>26</v>
      </c>
      <c r="W11" s="74">
        <v>29</v>
      </c>
      <c r="X11" s="74">
        <v>20</v>
      </c>
      <c r="Y11" s="74">
        <v>27</v>
      </c>
      <c r="Z11" s="74">
        <v>31</v>
      </c>
      <c r="AA11" s="74">
        <v>38</v>
      </c>
      <c r="AB11" s="74">
        <v>31</v>
      </c>
      <c r="AC11" s="74">
        <v>32</v>
      </c>
      <c r="AD11" s="74">
        <v>34</v>
      </c>
      <c r="AE11" s="74">
        <v>33</v>
      </c>
    </row>
    <row r="12" spans="1:99" ht="9.9" customHeight="1" ph="1"/>
    <row r="13" spans="1:99" s="72" customFormat="1" ht="29.25" customHeight="1" ph="1">
      <c r="B13" s="210" t="s" ph="1">
        <v>37</v>
      </c>
      <c r="C13" s="15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649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650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6" t="s" ph="1">
        <v>178</v>
      </c>
      <c r="D15" s="78">
        <v>3688</v>
      </c>
      <c r="E15" s="78">
        <v>4227</v>
      </c>
      <c r="F15" s="78">
        <v>2585</v>
      </c>
      <c r="G15" s="78">
        <v>4121</v>
      </c>
      <c r="H15" s="78">
        <v>0</v>
      </c>
      <c r="I15" s="78">
        <v>3929</v>
      </c>
      <c r="J15" s="78">
        <v>184</v>
      </c>
      <c r="K15" s="78">
        <v>3106</v>
      </c>
      <c r="L15" s="78">
        <v>7055</v>
      </c>
      <c r="M15" s="78">
        <v>4017</v>
      </c>
      <c r="N15" s="78">
        <v>4705</v>
      </c>
      <c r="O15" s="78">
        <v>5743</v>
      </c>
      <c r="P15" s="78">
        <v>5166</v>
      </c>
      <c r="Q15" s="78">
        <v>6947</v>
      </c>
      <c r="R15" s="78">
        <v>0</v>
      </c>
      <c r="S15" s="78">
        <v>1653</v>
      </c>
      <c r="T15" s="78">
        <v>2194</v>
      </c>
      <c r="U15" s="78">
        <v>6808</v>
      </c>
      <c r="V15" s="78">
        <v>1439</v>
      </c>
      <c r="W15" s="71">
        <v>4933</v>
      </c>
      <c r="X15" s="78">
        <v>1554</v>
      </c>
      <c r="Y15" s="106">
        <v>-9907</v>
      </c>
      <c r="Z15" s="78">
        <v>0</v>
      </c>
      <c r="AA15" s="78">
        <v>6125</v>
      </c>
      <c r="AB15" s="78" ph="1">
        <v>1097</v>
      </c>
      <c r="AC15" s="78" ph="1">
        <v>0</v>
      </c>
      <c r="AD15" s="78">
        <v>84.91</v>
      </c>
      <c r="AE15" s="78">
        <v>26.81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6" t="s" ph="1">
        <v>179</v>
      </c>
      <c r="D16" s="73" ph="1">
        <f>D15*7.0686*LOOKUP(D17,密度!$A$2:$A$50,密度!$L$2:$L$50)</f>
        <v>24322.3740144</v>
      </c>
      <c r="E16" s="73" ph="1">
        <f>E15*7.0686*LOOKUP(E17,密度!$A$2:$A$50,密度!$L$2:$L$50)</f>
        <v>27877.081062600002</v>
      </c>
      <c r="F16" s="73" ph="1">
        <f>F15*9.0746*LOOKUP(F17,密度!$A$2:$A$50,密度!$L$2:$L$50)</f>
        <v>21862.707812000001</v>
      </c>
      <c r="G16" s="73" ph="1">
        <f>G15*9.0746*LOOKUP(G17,密度!$A$2:$A$50,密度!$B$2:$B$50)</f>
        <v>29057.023468200001</v>
      </c>
      <c r="H16" s="73" ph="1">
        <f>H15*9.0746*LOOKUP(H17,密度!$A$2:$A$50,密度!$L$2:$L$50)</f>
        <v>0</v>
      </c>
      <c r="I16" s="73" ph="1">
        <f>I15*9.0746*LOOKUP(I17,密度!$A$2:$A$50,密度!$U$2:$U$50)</f>
        <v>36545.455984999993</v>
      </c>
      <c r="J16" s="73" ph="1">
        <f>J15*9.0746*LOOKUP(J17,密度!$A$2:$A$50,密度!$L$2:$L$50)</f>
        <v>1562.8639104000001</v>
      </c>
      <c r="K16" s="73" ph="1">
        <f>K15*9.0746*LOOKUP(K17,密度!$A$2:$A$50,密度!$C$2:$C$50)</f>
        <v>31212.852596240002</v>
      </c>
      <c r="L16" s="73" ph="1">
        <f>L15*9.0746*LOOKUP(L17,密度!$A$2:$A$50,密度!$E$2:$E$50)</f>
        <v>49853.3886461</v>
      </c>
      <c r="M16" s="73" ph="1">
        <f>M15*9.0746*LOOKUP(M17,密度!$A$2:$A$50,密度!$M$2:$M$50)</f>
        <v>31750.2740022</v>
      </c>
      <c r="N16" s="73" ph="1">
        <f>N15*9.0746*LOOKUP(N17,密度!$A$2:$A$50,密度!$M$2:$M$50)</f>
        <v>37363.263474300002</v>
      </c>
      <c r="O16" s="73" ph="1">
        <f>O15*9.0746*LOOKUP(O17,密度!$A$2:$A$50,密度!$G$2:$G$50)</f>
        <v>49817.137434019998</v>
      </c>
      <c r="P16" s="73" ph="1">
        <f ca="1">P15*9.0746*LOOKUP(P17,密度!$A$2:$A$51,密度!$Q$2:$Q$50)</f>
        <v>44283.203336232</v>
      </c>
      <c r="Q16" s="73" ph="1">
        <f>Q15*9.0746*LOOKUP(Q17,密度!$A$2:$A$50,密度!$Q$2:$Q$50)</f>
        <v>59506.523525566001</v>
      </c>
      <c r="R16" s="73" ph="1">
        <f>MAX(R15*9.0746*LOOKUP(R17,密度!$A$2:$A$50,密度!$B$2:$B$50),0)</f>
        <v>0</v>
      </c>
      <c r="S16" s="73" ph="1">
        <f>S15*9.0746*LOOKUP(S17,密度!$A$2:$A$50,密度!$Q$2:$Q$50)</f>
        <v>14159.246205234</v>
      </c>
      <c r="T16" s="73" ph="1">
        <f>T15*9.0746*LOOKUP(T17,密度!$A$2:$A$50,密度!$O$2:$O$50)</f>
        <v>18436.356642400002</v>
      </c>
      <c r="U16" s="73" ph="1">
        <f>U15*9.0746*LOOKUP(U17,密度!$A$2:$A$50,密度!$H$2:$H$50)</f>
        <v>56398.849530719999</v>
      </c>
      <c r="V16" s="73" ph="1">
        <f>MAX(5600*LOOKUP(V17,密度!$A$2:$A$50,密度!$Q$2:$Q$50)+V15*9.0476*LOOKUP(V17,密度!$A$2:$A$50,密度!$Q$2:$Q$50),0)</f>
        <v>17575.501236851997</v>
      </c>
      <c r="W16" s="73" ph="1">
        <f>MAX(5600*LOOKUP(W17,密度!$A$2:$A$50,密度!$Q$2:$Q$50)+W15*9.0476*LOOKUP(W17,密度!$A$2:$A$50,密度!$Q$2:$Q$50),0)</f>
        <v>47385.174081964004</v>
      </c>
      <c r="X16" s="73" ph="1">
        <f>MAX(5600*LOOKUP(X17,密度!$A$2:$A$50,密度!$I$2:$I$50)+X15*9.0476*LOOKUP(X17,密度!$A$2:$A$50,密度!$I$2:$I$50),0)</f>
        <v>20336.273381759998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43187.155725000004</v>
      </c>
      <c r="AB16" s="73" ph="1">
        <f>AB15*9.0746*LOOKUP(AB17,密度!$A$2:$A$50,密度!$L$2:$L$50)</f>
        <v>9317.7266832000005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19006.350816479997</v>
      </c>
      <c r="AE16" s="73" ph="1">
        <f>AE15*268.68*LOOKUP(AE17,密度!$A$2:$A$50,密度!B2:B50)+IF(AE15&lt;=0,0,1566*LOOKUP(AE17,密度!$A$2:$A$50,密度!B2:B50))</f>
        <v>6836.5546996800003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29</v>
      </c>
      <c r="E17" s="74">
        <v>29</v>
      </c>
      <c r="F17" s="74">
        <v>30</v>
      </c>
      <c r="G17" s="74">
        <v>28</v>
      </c>
      <c r="H17" s="74">
        <v>22</v>
      </c>
      <c r="I17" s="74">
        <v>25</v>
      </c>
      <c r="J17" s="74">
        <v>26</v>
      </c>
      <c r="K17" s="74">
        <v>27</v>
      </c>
      <c r="L17" s="74">
        <v>29</v>
      </c>
      <c r="M17" s="74">
        <v>29</v>
      </c>
      <c r="N17" s="74">
        <v>25</v>
      </c>
      <c r="O17" s="74">
        <v>29</v>
      </c>
      <c r="P17" s="74">
        <v>28</v>
      </c>
      <c r="Q17" s="74">
        <v>29</v>
      </c>
      <c r="R17" s="74">
        <v>26</v>
      </c>
      <c r="S17" s="74">
        <v>29</v>
      </c>
      <c r="T17" s="74">
        <v>28</v>
      </c>
      <c r="U17" s="74">
        <v>27</v>
      </c>
      <c r="V17" s="74">
        <v>29</v>
      </c>
      <c r="W17" s="74">
        <v>30</v>
      </c>
      <c r="X17" s="74">
        <v>32</v>
      </c>
      <c r="Y17" s="108">
        <v>32</v>
      </c>
      <c r="Z17" s="74">
        <v>25</v>
      </c>
      <c r="AA17" s="74">
        <v>28</v>
      </c>
      <c r="AB17" s="74">
        <v>26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2461</v>
      </c>
      <c r="E18" s="71">
        <v>4232</v>
      </c>
      <c r="F18" s="71">
        <v>2651</v>
      </c>
      <c r="G18" s="71">
        <v>4272</v>
      </c>
      <c r="H18" s="71">
        <v>0</v>
      </c>
      <c r="I18" s="71">
        <v>3931</v>
      </c>
      <c r="J18" s="71">
        <v>184</v>
      </c>
      <c r="K18" s="71">
        <v>3106</v>
      </c>
      <c r="L18" s="71">
        <v>7066</v>
      </c>
      <c r="M18" s="71">
        <v>5806</v>
      </c>
      <c r="N18" s="71">
        <v>3786</v>
      </c>
      <c r="O18" s="71">
        <v>6047</v>
      </c>
      <c r="P18" s="71">
        <v>5171</v>
      </c>
      <c r="Q18" s="71">
        <v>6954</v>
      </c>
      <c r="R18" s="71">
        <v>0</v>
      </c>
      <c r="S18" s="71">
        <v>1655</v>
      </c>
      <c r="T18" s="71">
        <v>2195</v>
      </c>
      <c r="U18" s="71">
        <v>6812</v>
      </c>
      <c r="V18" s="71">
        <v>1438</v>
      </c>
      <c r="W18" s="71">
        <v>5394</v>
      </c>
      <c r="X18" s="71">
        <v>1552</v>
      </c>
      <c r="Y18" s="109">
        <v>-9907</v>
      </c>
      <c r="Z18" s="71">
        <v>0</v>
      </c>
      <c r="AA18" s="71">
        <v>6130</v>
      </c>
      <c r="AB18" s="71">
        <v>1095</v>
      </c>
      <c r="AC18" s="71">
        <v>0</v>
      </c>
      <c r="AD18" s="71">
        <v>5.41</v>
      </c>
      <c r="AE18" s="71">
        <v>65.31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6" t="s" ph="1">
        <v>179</v>
      </c>
      <c r="D19" s="73" ph="1">
        <f>D18*7.0686*LOOKUP(D20,密度!$A$2:$A$50,密度!$L$2:$L$50)</f>
        <v>16212.908527200001</v>
      </c>
      <c r="E19" s="73" ph="1">
        <f>E18*7.0686*LOOKUP(E20,密度!$A$2:$A$50,密度!$L$2:$L$50)</f>
        <v>27880.141766400004</v>
      </c>
      <c r="F19" s="73" ph="1">
        <f>F18*9.0746*LOOKUP(F20,密度!$A$2:$A$50,密度!$L$2:$L$50)</f>
        <v>22396.847842600004</v>
      </c>
      <c r="G19" s="73" ph="1">
        <f>G18*9.0746*LOOKUP(G20,密度!$A$2:$A$50,密度!$B$2:$B$50)</f>
        <v>30090.705709440001</v>
      </c>
      <c r="H19" s="73" ph="1">
        <f>H18*9.0746*LOOKUP(H20,密度!$A$2:$A$50,密度!$L$2:$L$50)</f>
        <v>0</v>
      </c>
      <c r="I19" s="73" ph="1">
        <f>I18*9.0746*LOOKUP(I20,密度!$A$2:$A$50,密度!$U$2:$U$50)</f>
        <v>36243.008641599998</v>
      </c>
      <c r="J19" s="73" ph="1">
        <f>J18*9.0746*LOOKUP(J20,密度!$A$2:$A$50,密度!$L$2:$L$50)</f>
        <v>1546.1666464</v>
      </c>
      <c r="K19" s="73" ph="1">
        <f>K18*9.0746*LOOKUP(K20,密度!$A$2:$A$50,密度!$C$2:$C$50)</f>
        <v>31148.025468760003</v>
      </c>
      <c r="L19" s="73" ph="1">
        <f>L18*9.0746*LOOKUP(L20,密度!$A$2:$A$50,密度!$E$2:$E$50)</f>
        <v>49860.58571136</v>
      </c>
      <c r="M19" s="73" ph="1">
        <f>M18*9.0746*LOOKUP(M20,密度!$A$2:$A$50,密度!$M$2:$M$50)</f>
        <v>45722.943073832001</v>
      </c>
      <c r="N19" s="73" ph="1">
        <f>N18*9.0746*LOOKUP(N20,密度!$A$2:$A$50,密度!$M$2:$M$50)</f>
        <v>29958.811843200005</v>
      </c>
      <c r="O19" s="73" ph="1">
        <f>O18*9.0746*LOOKUP(O20,密度!$A$2:$A$50,密度!$G$2:$G$50)</f>
        <v>52388.309189140004</v>
      </c>
      <c r="P19" s="73" ph="1">
        <f ca="1">P18*9.0746*LOOKUP(P20,密度!$A$2:$A$51,密度!$Q$2:$Q$50)</f>
        <v>44265.530643478</v>
      </c>
      <c r="Q19" s="73" ph="1">
        <f>Q18*9.0746*LOOKUP(Q20,密度!$A$2:$A$50,密度!$Q$2:$Q$50)</f>
        <v>59528.621174772001</v>
      </c>
      <c r="R19" s="73" ph="1">
        <f>MAX(R18*9.0746*LOOKUP(R20,密度!$A$2:$A$50,密度!$B$2:$B$50),0)</f>
        <v>0</v>
      </c>
      <c r="S19" s="73" ph="1">
        <f>S18*9.0746*LOOKUP(S20,密度!$A$2:$A$50,密度!$Q$2:$Q$50)</f>
        <v>14156.102854539999</v>
      </c>
      <c r="T19" s="73" ph="1">
        <f>T18*9.0746*LOOKUP(T20,密度!$A$2:$A$50,密度!$O$2:$O$50)</f>
        <v>18365.084734</v>
      </c>
      <c r="U19" s="73" ph="1">
        <f>U18*9.0746*LOOKUP(U20,密度!$A$2:$A$50,密度!$H$2:$H$50)</f>
        <v>56252.719432000005</v>
      </c>
      <c r="V19" s="73" ph="1">
        <f>MAX(5600*LOOKUP(V20,密度!$A$2:$A$50,密度!$Q$2:$Q$50)+V18*9.0476*LOOKUP(V20,密度!$A$2:$A$50,密度!$Q$2:$Q$50),0)</f>
        <v>17529.181724719998</v>
      </c>
      <c r="W19" s="73" ph="1">
        <f>MAX(5600*LOOKUP(W20,密度!$A$2:$A$50,密度!$Q$2:$Q$50)+W18*9.0476*LOOKUP(W20,密度!$A$2:$A$50,密度!$Q$2:$Q$50),0)</f>
        <v>51170.686761096003</v>
      </c>
      <c r="X19" s="73" ph="1">
        <f>MAX(5600*LOOKUP(X20,密度!$A$2:$A$50,密度!$I$2:$I$50)+X18*9.0476*LOOKUP(X20,密度!$A$2:$A$50,密度!$I$2:$I$50),0)</f>
        <v>20317.555706879997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43127.844139400004</v>
      </c>
      <c r="AB19" s="73" ph="1">
        <f>AB18*9.0746*LOOKUP(AB20,密度!$A$2:$A$50,密度!$L$2:$L$50)</f>
        <v>9191.4354750000002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2346.1971875999998</v>
      </c>
      <c r="AE19" s="73" ph="1">
        <f>AE18*268.68*LOOKUP(AE20,密度!$A$2:$A$50,密度!B5:B53)+IF(AE18&lt;=0,0,1566*LOOKUP(AE20,密度!$A$2:$A$50,密度!B5:B53))</f>
        <v>14851.182351599999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30</v>
      </c>
      <c r="E20" s="81">
        <v>30</v>
      </c>
      <c r="F20" s="81">
        <v>31</v>
      </c>
      <c r="G20" s="81">
        <v>29</v>
      </c>
      <c r="H20" s="81">
        <v>30</v>
      </c>
      <c r="I20" s="81">
        <v>34</v>
      </c>
      <c r="J20" s="81">
        <v>36</v>
      </c>
      <c r="K20" s="81">
        <v>30</v>
      </c>
      <c r="L20" s="81">
        <v>30</v>
      </c>
      <c r="M20" s="81">
        <v>32</v>
      </c>
      <c r="N20" s="81">
        <v>28</v>
      </c>
      <c r="O20" s="81">
        <v>30</v>
      </c>
      <c r="P20" s="81">
        <v>30</v>
      </c>
      <c r="Q20" s="81">
        <v>30</v>
      </c>
      <c r="R20" s="81">
        <v>37</v>
      </c>
      <c r="S20" s="81">
        <v>31</v>
      </c>
      <c r="T20" s="81">
        <v>32</v>
      </c>
      <c r="U20" s="81">
        <v>30</v>
      </c>
      <c r="V20" s="81">
        <v>32</v>
      </c>
      <c r="W20" s="81">
        <v>34</v>
      </c>
      <c r="X20" s="81">
        <v>32</v>
      </c>
      <c r="Y20" s="110">
        <v>32</v>
      </c>
      <c r="Z20" s="81">
        <v>36</v>
      </c>
      <c r="AA20" s="81">
        <v>30</v>
      </c>
      <c r="AB20" s="81">
        <v>37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104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6" t="s" ph="1">
        <v>178</v>
      </c>
      <c r="D24" s="71">
        <v>85.22</v>
      </c>
      <c r="E24" s="71">
        <v>55.22</v>
      </c>
      <c r="F24" s="71">
        <v>3749</v>
      </c>
      <c r="G24" s="71">
        <v>2788</v>
      </c>
      <c r="H24" s="71">
        <v>846</v>
      </c>
      <c r="I24" s="71">
        <v>2372</v>
      </c>
      <c r="J24" s="71">
        <v>1571</v>
      </c>
      <c r="K24" s="71">
        <v>4925</v>
      </c>
      <c r="L24" s="71">
        <v>5613</v>
      </c>
      <c r="M24" s="71">
        <v>4349</v>
      </c>
      <c r="N24" s="71">
        <v>548</v>
      </c>
      <c r="O24" s="71">
        <v>4321</v>
      </c>
      <c r="P24" s="71">
        <v>966</v>
      </c>
      <c r="Q24" s="90">
        <v>4460</v>
      </c>
      <c r="R24" s="71">
        <v>370</v>
      </c>
      <c r="S24" s="71">
        <v>4960</v>
      </c>
      <c r="T24" s="71">
        <v>1696</v>
      </c>
      <c r="U24" s="71">
        <v>6869</v>
      </c>
      <c r="V24" s="71">
        <v>6683</v>
      </c>
      <c r="W24" s="71">
        <v>11186</v>
      </c>
      <c r="X24" s="71">
        <v>4504</v>
      </c>
      <c r="Y24" s="71">
        <v>3406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23160.015034704</v>
      </c>
      <c r="E25" s="91" ph="1">
        <f>E24*268.68*LOOKUP(E26,密度!$A$2:$A$50,密度!$C$2:$C$50)+IF(E24&lt;=0,0,1566*LOOKUP(E26,密度!$A$2:$A$50,密度!$C$2:$C$50))</f>
        <v>18188.742895440002</v>
      </c>
      <c r="F25" s="91" ph="1">
        <f>F24*11.702*LOOKUP(F26,密度!$A$2:$A$50,密度!$Q$2:$Q$50)</f>
        <v>41503.091031940006</v>
      </c>
      <c r="G25" s="91" ph="1">
        <f>G24*18.322*LOOKUP(G26,密度!$A$2:$A$50,密度!$B$2:$B$50)</f>
        <v>39777.347823199998</v>
      </c>
      <c r="H25" s="91" ph="1">
        <f>H24*18.322*LOOKUP(H26,密度!$A$2:$A$50,密度!$B$2:$B$50)</f>
        <v>12057.770494799999</v>
      </c>
      <c r="I25" s="91" ph="1">
        <f>I24*18.322*LOOKUP(I26,密度!$A$2:$A$50,密度!$Q$2:$Q$50)</f>
        <v>41114.259457519998</v>
      </c>
      <c r="J25" s="91" ph="1">
        <f>J24*18.322*LOOKUP(J26,密度!$A$2:$A$50,密度!$Q$2:$Q$50)</f>
        <v>27230.396967859997</v>
      </c>
      <c r="K25" s="91" ph="1">
        <f>K24*18.322*LOOKUP(K26,密度!$A$2:$A$50,密度!$Q$2:$Q$50)</f>
        <v>85176.325890499997</v>
      </c>
      <c r="L25" s="91" ph="1">
        <f>L24*18.322*LOOKUP(L26,密度!$A$2:$A$50,密度!$Q$2:$Q$50)</f>
        <v>97075.069486980006</v>
      </c>
      <c r="M25" s="91" ph="1">
        <f>M24*18.322*LOOKUP(M26,密度!$A$2:$A$50,密度!$Q$2:$Q$50)</f>
        <v>75269.567906359996</v>
      </c>
      <c r="N25" s="91" ph="1">
        <f>N24*18.322*LOOKUP(N26,密度!$A$2:$A$50,密度!$Q$2:$Q$50)</f>
        <v>9484.4155467199998</v>
      </c>
      <c r="O25" s="91" ph="1">
        <f>O24*18.322*LOOKUP(O26,密度!$A$2:$A$50,密度!$C$2:$C$50)</f>
        <v>87727.570032200005</v>
      </c>
      <c r="P25" s="91" ph="1">
        <f>P24*11.702*LOOKUP(P26,密度!$A$2:$A$50,密度!$B$2:$B$50)</f>
        <v>8802.5275883999984</v>
      </c>
      <c r="Q25" s="92" ph="1">
        <f>Q24*18.322*LOOKUP(Q26,密度!$A$2:$A$50,密度!$B$2:$B$50)</f>
        <v>63566.969747999996</v>
      </c>
      <c r="R25" s="91" ph="1">
        <f>R24*35.891*LOOKUP(R26,密度!$A$2:$A$50,密度!$C$2:$C$50)</f>
        <v>14705.906557999999</v>
      </c>
      <c r="S25" s="91" ph="1">
        <f>S24*35.891*LOOKUP(S26,密度!$A$2:$A$50,密度!$B$2:$B$50)</f>
        <v>138623.67563199997</v>
      </c>
      <c r="T25" s="91" ph="1">
        <f>T24*35.891*LOOKUP(T26,密度!$A$2:$A$50,密度!$Q$2:$Q$50)</f>
        <v>57585.920790080003</v>
      </c>
      <c r="U25" s="91" ph="1">
        <f>U24*35.891</f>
        <v>246535.27899999998</v>
      </c>
      <c r="V25" s="91" ph="1">
        <f>V24*47.051*LOOKUP(V26,密度!$A$2:$A$50,密度!$B$2:$B$50)</f>
        <v>244604.30189070001</v>
      </c>
      <c r="W25" s="91" ph="1">
        <f>W24*47.051*LOOKUP(W26,密度!$A$2:$A$50,密度!$B$2:$B$50)</f>
        <v>408523.75163320004</v>
      </c>
      <c r="X25" s="91" ph="1">
        <f>X24*47.051*LOOKUP(X26,密度!$A$2:$A$50,密度!$I$2:$I$50)</f>
        <v>219673.8919664</v>
      </c>
      <c r="Y25" s="91" ph="1">
        <f>Y24*47.051*LOOKUP(Y26,密度!$A$2:$A$50,密度!$L$2:$L$50)</f>
        <v>149518.57369800002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26</v>
      </c>
      <c r="G26" s="74">
        <v>26</v>
      </c>
      <c r="H26" s="74">
        <v>27</v>
      </c>
      <c r="I26" s="74">
        <v>26</v>
      </c>
      <c r="J26" s="74">
        <v>26</v>
      </c>
      <c r="K26" s="74">
        <v>29</v>
      </c>
      <c r="L26" s="74">
        <v>29</v>
      </c>
      <c r="M26" s="74">
        <v>28</v>
      </c>
      <c r="N26" s="74">
        <v>28</v>
      </c>
      <c r="O26" s="74">
        <v>26</v>
      </c>
      <c r="P26" s="74">
        <v>26</v>
      </c>
      <c r="Q26" s="93">
        <v>27</v>
      </c>
      <c r="R26" s="74">
        <v>27</v>
      </c>
      <c r="S26" s="74">
        <v>26</v>
      </c>
      <c r="T26" s="74">
        <v>26</v>
      </c>
      <c r="U26" s="74">
        <v>27</v>
      </c>
      <c r="V26" s="74">
        <v>27</v>
      </c>
      <c r="W26" s="74">
        <v>29</v>
      </c>
      <c r="X26" s="74">
        <v>30</v>
      </c>
      <c r="Y26" s="74">
        <v>29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6" t="s" ph="1">
        <v>181</v>
      </c>
      <c r="D27" s="71">
        <v>85.31</v>
      </c>
      <c r="E27" s="71">
        <v>55.11</v>
      </c>
      <c r="F27" s="71">
        <v>3748</v>
      </c>
      <c r="G27" s="71">
        <v>2272</v>
      </c>
      <c r="H27" s="71">
        <v>1971</v>
      </c>
      <c r="I27" s="71">
        <v>2370</v>
      </c>
      <c r="J27" s="71">
        <v>1569</v>
      </c>
      <c r="K27" s="71">
        <v>4924</v>
      </c>
      <c r="L27" s="71">
        <v>5606</v>
      </c>
      <c r="M27" s="71">
        <v>4348</v>
      </c>
      <c r="N27" s="71">
        <v>542</v>
      </c>
      <c r="O27" s="71">
        <v>4316</v>
      </c>
      <c r="P27" s="71">
        <v>964</v>
      </c>
      <c r="Q27" s="90">
        <v>4251</v>
      </c>
      <c r="R27" s="71">
        <v>366</v>
      </c>
      <c r="S27" s="71">
        <v>4742</v>
      </c>
      <c r="T27" s="71">
        <v>1693</v>
      </c>
      <c r="U27" s="71">
        <v>6906</v>
      </c>
      <c r="V27" s="71">
        <v>6681</v>
      </c>
      <c r="W27" s="71">
        <v>11105</v>
      </c>
      <c r="X27" s="71">
        <v>4504</v>
      </c>
      <c r="Y27" s="71">
        <v>2342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6" t="s" ph="1">
        <v>179</v>
      </c>
      <c r="D28" s="91" ph="1">
        <f>D27*268.68*LOOKUP(D29,密度!$A$2:$A$50,密度!$Q$2:$Q$50)+IF(D27&lt;=0,0,1566*LOOKUP(D29,密度!$A$2:$A$50,密度!$Q$2:$Q$50))</f>
        <v>23182.908343992003</v>
      </c>
      <c r="E28" s="91" ph="1">
        <f>E27*268.68*LOOKUP(E29,密度!$A$2:$A$50,密度!$C$2:$C$50)+IF(E27&lt;=0,0,1566*LOOKUP(E29,密度!$A$2:$A$50,密度!$C$2:$C$50))</f>
        <v>18155.96957772</v>
      </c>
      <c r="F28" s="91" ph="1">
        <f>F27*11.702*LOOKUP(F29,密度!$A$2:$A$50,密度!$Q$2:$Q$50)</f>
        <v>41430.179263519996</v>
      </c>
      <c r="G28" s="91" ph="1">
        <f>G27*18.322*LOOKUP(G29,密度!$A$2:$A$50,密度!$B$2:$B$50)</f>
        <v>32273.865875199997</v>
      </c>
      <c r="H28" s="91" ph="1">
        <f>H27*18.322*LOOKUP(H29,密度!$A$2:$A$50,密度!$B$2:$B$50)</f>
        <v>28059.538374</v>
      </c>
      <c r="I28" s="91" ph="1">
        <f>I27*18.322*LOOKUP(I29,密度!$A$2:$A$50,密度!$Q$2:$Q$50)</f>
        <v>40988.404540200005</v>
      </c>
      <c r="J28" s="91" ph="1">
        <f>J27*18.322*LOOKUP(J29,密度!$A$2:$A$50,密度!$Q$2:$Q$50)</f>
        <v>27096.552742439995</v>
      </c>
      <c r="K28" s="91" ph="1">
        <f>K27*18.322*LOOKUP(K29,密度!$A$2:$A$50,密度!$Q$2:$Q$50)</f>
        <v>84917.248229999997</v>
      </c>
      <c r="L28" s="91" ph="1">
        <f>L27*18.322*LOOKUP(L29,密度!$A$2:$A$50,密度!$Q$2:$Q$50)</f>
        <v>96815.34396056</v>
      </c>
      <c r="M28" s="91" ph="1">
        <f>M27*18.322*LOOKUP(M29,密度!$A$2:$A$50,密度!$Q$2:$Q$50)</f>
        <v>74879.432796640001</v>
      </c>
      <c r="N28" s="91" ph="1">
        <f>N27*18.322*LOOKUP(N29,密度!$A$2:$A$50,密度!$Q$2:$Q$50)</f>
        <v>9347.1057149999997</v>
      </c>
      <c r="O28" s="91" ph="1">
        <f>O27*18.322*LOOKUP(O29,密度!$A$2:$A$50,密度!$C$2:$C$50)</f>
        <v>87143.682704000006</v>
      </c>
      <c r="P28" s="91" ph="1">
        <f>P27*11.702*LOOKUP(P29,密度!$A$2:$A$50,密度!$B$2:$B$50)</f>
        <v>8745.9484183999994</v>
      </c>
      <c r="Q28" s="92" ph="1">
        <f>Q27*18.322*LOOKUP(Q29,密度!$A$2:$A$50,密度!$B$2:$B$50)</f>
        <v>60385.653096599999</v>
      </c>
      <c r="R28" s="91" ph="1">
        <f>R27*35.891*LOOKUP(R29,密度!$A$2:$A$50,密度!$C$2:$C$50)</f>
        <v>14516.7107406</v>
      </c>
      <c r="S28" s="91" ph="1">
        <f>S27*35.891*LOOKUP(S29,密度!$A$2:$A$50,密度!$B$2:$B$50)</f>
        <v>131645.926867</v>
      </c>
      <c r="T28" s="91" ph="1">
        <f>T27*35.891*LOOKUP(T29,密度!$A$2:$A$50,密度!$Q$2:$Q$50)</f>
        <v>57233.105799699995</v>
      </c>
      <c r="U28" s="91" ph="1">
        <f>U27*35.891</f>
        <v>247863.24599999998</v>
      </c>
      <c r="V28" s="91" ph="1">
        <f>V27*47.051*LOOKUP(V29,密度!$A$2:$A$50,密度!$B$2:$B$50)</f>
        <v>243430.88288640001</v>
      </c>
      <c r="W28" s="91" ph="1">
        <f>W27*47.051*LOOKUP(W29,密度!$A$2:$A$50,密度!$B$2:$B$50)</f>
        <v>404625.04931200005</v>
      </c>
      <c r="X28" s="91" ph="1">
        <f>X27*47.051*LOOKUP(X29,密度!$A$2:$A$50,密度!$I$2:$I$50)</f>
        <v>218972.44436615999</v>
      </c>
      <c r="Y28" s="91" ph="1">
        <f>Y27*47.051*LOOKUP(Y29,密度!$A$2:$A$50,密度!$L$2:$L$50)</f>
        <v>102590.09450200002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6" t="s" ph="1">
        <v>180</v>
      </c>
      <c r="D29" s="74">
        <v>25</v>
      </c>
      <c r="E29" s="74">
        <v>25</v>
      </c>
      <c r="F29" s="74">
        <v>28</v>
      </c>
      <c r="G29" s="74">
        <v>30</v>
      </c>
      <c r="H29" s="74">
        <v>28</v>
      </c>
      <c r="I29" s="74">
        <v>29</v>
      </c>
      <c r="J29" s="74">
        <v>31</v>
      </c>
      <c r="K29" s="74">
        <v>33</v>
      </c>
      <c r="L29" s="74">
        <v>31</v>
      </c>
      <c r="M29" s="74">
        <v>35</v>
      </c>
      <c r="N29" s="74">
        <v>33</v>
      </c>
      <c r="O29" s="74">
        <v>33</v>
      </c>
      <c r="P29" s="74">
        <v>30</v>
      </c>
      <c r="Q29" s="93">
        <v>30</v>
      </c>
      <c r="R29" s="74">
        <v>30</v>
      </c>
      <c r="S29" s="74">
        <v>32</v>
      </c>
      <c r="T29" s="74">
        <v>32</v>
      </c>
      <c r="U29" s="74">
        <v>31</v>
      </c>
      <c r="V29" s="74">
        <v>31</v>
      </c>
      <c r="W29" s="74">
        <v>31</v>
      </c>
      <c r="X29" s="74">
        <v>33</v>
      </c>
      <c r="Y29" s="74">
        <v>31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12673.327169199998</v>
      </c>
      <c r="E33" s="182" ph="1">
        <f>M10+I10</f>
        <v>103376.25264359999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08" ph="1">
        <v>0</v>
      </c>
      <c r="H33" s="182" ph="1">
        <f>N19</f>
        <v>29958.811843200005</v>
      </c>
      <c r="I33" s="186" ph="1">
        <v>0</v>
      </c>
      <c r="J33" s="190" ph="1">
        <f>F10+O28</f>
        <v>338298.49617080006</v>
      </c>
      <c r="K33" s="182" ph="1">
        <f>O10+K10+E28+R28</f>
        <v>159835.10852952005</v>
      </c>
      <c r="L33" s="192" ph="1">
        <f>BE27</f>
        <v>7100</v>
      </c>
      <c r="M33" s="190" ph="1">
        <f>G10+H10+W28+S28+V28+E10</f>
        <v>1849934.2004254004</v>
      </c>
      <c r="N33" s="182" ph="1">
        <f>L10+P10++G28+H28</f>
        <v>153481.0071932</v>
      </c>
      <c r="O33" s="186" ph="1">
        <f>BE17</f>
        <v>2270</v>
      </c>
      <c r="P33" s="190" ph="1">
        <f>L19</f>
        <v>49860.58571136</v>
      </c>
      <c r="Q33" s="182" ph="1">
        <f>J10+N10</f>
        <v>164726.62786944999</v>
      </c>
      <c r="R33" s="186" ph="1">
        <f>BE23</f>
        <v>890</v>
      </c>
      <c r="S33" s="190" ph="1">
        <f>E10+X28</f>
        <v>575301.00305616006</v>
      </c>
      <c r="T33" s="182" ph="1">
        <f>X19</f>
        <v>20317.555706879997</v>
      </c>
      <c r="U33" s="171" ph="1">
        <f>BE21</f>
        <v>730</v>
      </c>
      <c r="V33" s="184" ph="1">
        <f ca="1">P19+Q19+S19+M28+N28+J28</f>
        <v>229273.34592687001</v>
      </c>
      <c r="W33" s="184" ph="1">
        <f>D28+F28+V19+T28</f>
        <v>139375.375131932</v>
      </c>
      <c r="X33" s="186" ph="1">
        <f>BE29+BE31</f>
        <v>10200</v>
      </c>
      <c r="Y33" s="188" ph="1">
        <f>+Q10+R10+S10+T10+U10+V10+W10+X10+Y10</f>
        <v>182344.00185539998</v>
      </c>
      <c r="Z33" s="169" ph="1">
        <f>D10+T19+U19+Y28+Z10</f>
        <v>479836.97149019997</v>
      </c>
      <c r="AA33" s="171" ph="1">
        <f>BE19</f>
        <v>1440</v>
      </c>
      <c r="AB33" s="173" ph="1">
        <f>I19</f>
        <v>36243.008641599998</v>
      </c>
      <c r="AC33" s="175" ph="1">
        <f>AD10</f>
        <v>73376.509852799994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4" t="s" ph="1">
        <v>186</v>
      </c>
      <c r="AA36" s="154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345</v>
      </c>
      <c r="AI37" s="154" t="s" ph="1">
        <v>212</v>
      </c>
      <c r="AJ37" s="154" t="s" ph="1">
        <v>213</v>
      </c>
      <c r="AK37" s="154" t="s" ph="1">
        <v>214</v>
      </c>
      <c r="AM37" s="154" t="s" ph="1">
        <v>213</v>
      </c>
      <c r="AN37" s="154" t="s" ph="1">
        <v>214</v>
      </c>
      <c r="AO37" s="154" t="s" ph="1">
        <v>215</v>
      </c>
      <c r="AP37" s="154" t="s" ph="1">
        <v>213</v>
      </c>
      <c r="AQ37" s="154" t="s" ph="1">
        <v>214</v>
      </c>
      <c r="AR37" s="154" t="s" ph="1">
        <v>215</v>
      </c>
      <c r="AS37" s="154" t="s" ph="1">
        <v>213</v>
      </c>
      <c r="AT37" s="154" t="s" ph="1">
        <v>214</v>
      </c>
      <c r="AU37" s="154" t="s" ph="1">
        <v>215</v>
      </c>
      <c r="AV37" s="154" t="s" ph="1">
        <v>213</v>
      </c>
      <c r="AW37" s="154" t="s" ph="1">
        <v>214</v>
      </c>
      <c r="AX37" s="154" t="s" ph="1">
        <v>215</v>
      </c>
      <c r="AY37" s="154" t="s" ph="1">
        <v>214</v>
      </c>
      <c r="AZ37" s="154" t="s" ph="1">
        <v>216</v>
      </c>
      <c r="BD37" s="154" t="s" ph="1">
        <v>308</v>
      </c>
      <c r="BE37" s="15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5" priority="98">
      <formula>ABS(D$7-D$10)&gt;=1000</formula>
    </cfRule>
  </conditionalFormatting>
  <conditionalFormatting sqref="E4 E6:E11">
    <cfRule type="expression" dxfId="254" priority="97">
      <formula>ABS(E$7-E$10)&gt;=1000</formula>
    </cfRule>
  </conditionalFormatting>
  <conditionalFormatting sqref="F4:F11">
    <cfRule type="expression" dxfId="253" priority="96">
      <formula>ABS(F$7-F$10)&gt;=1000</formula>
    </cfRule>
  </conditionalFormatting>
  <conditionalFormatting sqref="G4:G11">
    <cfRule type="expression" dxfId="252" priority="95">
      <formula>ABS(G$7-G$10)&gt;=1000</formula>
    </cfRule>
  </conditionalFormatting>
  <conditionalFormatting sqref="H4:H11">
    <cfRule type="expression" dxfId="251" priority="94">
      <formula>ABS(H$7-H$10)&gt;=1000</formula>
    </cfRule>
  </conditionalFormatting>
  <conditionalFormatting sqref="I4:I11">
    <cfRule type="expression" dxfId="250" priority="93">
      <formula>ABS(I$7-I$10)&gt;=1000</formula>
    </cfRule>
  </conditionalFormatting>
  <conditionalFormatting sqref="J4:J11">
    <cfRule type="expression" dxfId="249" priority="92">
      <formula>ABS(J$7-J$10)&gt;=1000</formula>
    </cfRule>
  </conditionalFormatting>
  <conditionalFormatting sqref="K4:K11">
    <cfRule type="expression" dxfId="248" priority="91">
      <formula>ABS(K$7-K$10)&gt;=1000</formula>
    </cfRule>
  </conditionalFormatting>
  <conditionalFormatting sqref="L4:L11">
    <cfRule type="expression" dxfId="247" priority="90">
      <formula>ABS(L$7-L$10)&gt;=1000</formula>
    </cfRule>
  </conditionalFormatting>
  <conditionalFormatting sqref="M4 M6:M11">
    <cfRule type="expression" dxfId="246" priority="89">
      <formula>ABS(M$7-M$10)&gt;=1000</formula>
    </cfRule>
  </conditionalFormatting>
  <conditionalFormatting sqref="N4 N6:N11">
    <cfRule type="expression" dxfId="245" priority="88">
      <formula>ABS(N$7-N$10)&gt;=1000</formula>
    </cfRule>
  </conditionalFormatting>
  <conditionalFormatting sqref="O4 O6:O11">
    <cfRule type="expression" dxfId="244" priority="87">
      <formula>ABS(O$7-O$10)&gt;=1000</formula>
    </cfRule>
  </conditionalFormatting>
  <conditionalFormatting sqref="P4 P6:P11">
    <cfRule type="expression" dxfId="243" priority="86">
      <formula>ABS(P$7-P$10)&gt;=1000</formula>
    </cfRule>
  </conditionalFormatting>
  <conditionalFormatting sqref="Q4:Q11">
    <cfRule type="expression" dxfId="242" priority="85">
      <formula>ABS(Q$7-Q$10)&gt;=1000</formula>
    </cfRule>
  </conditionalFormatting>
  <conditionalFormatting sqref="R4:R11">
    <cfRule type="expression" dxfId="241" priority="84">
      <formula>ABS(R$7-R$10)&gt;=1000</formula>
    </cfRule>
  </conditionalFormatting>
  <conditionalFormatting sqref="S4:S11">
    <cfRule type="expression" dxfId="240" priority="83">
      <formula>ABS(S$7-S$10)&gt;=1000</formula>
    </cfRule>
  </conditionalFormatting>
  <conditionalFormatting sqref="T4:T9 T11">
    <cfRule type="expression" dxfId="239" priority="82">
      <formula>ABS(T$7-T$10)&gt;=1000</formula>
    </cfRule>
  </conditionalFormatting>
  <conditionalFormatting sqref="U4:U9 U11">
    <cfRule type="expression" dxfId="238" priority="81">
      <formula>ABS(U$7-U$10)&gt;=1000</formula>
    </cfRule>
  </conditionalFormatting>
  <conditionalFormatting sqref="V4:V9 V11">
    <cfRule type="expression" dxfId="237" priority="80">
      <formula>ABS(V$7-V$10)&gt;=1000</formula>
    </cfRule>
  </conditionalFormatting>
  <conditionalFormatting sqref="W4:W9 W11">
    <cfRule type="expression" dxfId="236" priority="79">
      <formula>ABS(W$7-W$10)&gt;=1000</formula>
    </cfRule>
  </conditionalFormatting>
  <conditionalFormatting sqref="X4:X9 X11">
    <cfRule type="expression" dxfId="235" priority="78">
      <formula>ABS(X$7-X$10)&gt;=1000</formula>
    </cfRule>
  </conditionalFormatting>
  <conditionalFormatting sqref="Y4:Y9 Y11">
    <cfRule type="expression" dxfId="234" priority="77">
      <formula>ABS(Y$7-Y$10)&gt;=1000</formula>
    </cfRule>
  </conditionalFormatting>
  <conditionalFormatting sqref="Z4:Z11">
    <cfRule type="expression" dxfId="233" priority="76">
      <formula>ABS(Z$7-Z$10)&gt;=1000</formula>
    </cfRule>
  </conditionalFormatting>
  <conditionalFormatting sqref="AA4:AA11">
    <cfRule type="expression" dxfId="232" priority="75">
      <formula>ABS(AA$7-AA$10)&gt;=1000</formula>
    </cfRule>
  </conditionalFormatting>
  <conditionalFormatting sqref="AB4:AB11">
    <cfRule type="expression" dxfId="231" priority="74">
      <formula>ABS(AB$7-AB$10)&gt;=1000</formula>
    </cfRule>
  </conditionalFormatting>
  <conditionalFormatting sqref="AC4 AC6:AC11">
    <cfRule type="expression" dxfId="230" priority="73">
      <formula>ABS(AC$7-AC$10)&gt;=1000</formula>
    </cfRule>
  </conditionalFormatting>
  <conditionalFormatting sqref="AD4:AD11">
    <cfRule type="expression" dxfId="229" priority="72">
      <formula>ABS(AD$7-AD$10)&gt;=1000</formula>
    </cfRule>
  </conditionalFormatting>
  <conditionalFormatting sqref="AE4 AE6:AE11">
    <cfRule type="expression" dxfId="228" priority="71">
      <formula>ABS(AE$7-AE$10)&gt;=1000</formula>
    </cfRule>
  </conditionalFormatting>
  <conditionalFormatting sqref="D13:D20">
    <cfRule type="expression" dxfId="227" priority="70">
      <formula>ABS(D$16-D$19)&gt;=1000</formula>
    </cfRule>
  </conditionalFormatting>
  <conditionalFormatting sqref="E13:E20">
    <cfRule type="expression" dxfId="226" priority="69">
      <formula>ABS(E$16-E$19)&gt;=1000</formula>
    </cfRule>
  </conditionalFormatting>
  <conditionalFormatting sqref="F13 F15:F20">
    <cfRule type="expression" dxfId="225" priority="68">
      <formula>ABS(F$16-F$19)&gt;=1000</formula>
    </cfRule>
  </conditionalFormatting>
  <conditionalFormatting sqref="G13:G20">
    <cfRule type="expression" dxfId="224" priority="67">
      <formula>ABS(G$16-G$19)&gt;=1000</formula>
    </cfRule>
  </conditionalFormatting>
  <conditionalFormatting sqref="H13:H20">
    <cfRule type="expression" dxfId="223" priority="66">
      <formula>ABS(H$16-H$19)&gt;=1000</formula>
    </cfRule>
  </conditionalFormatting>
  <conditionalFormatting sqref="I13:I20">
    <cfRule type="expression" dxfId="222" priority="65">
      <formula>ABS(I$16-I$19)&gt;=1000</formula>
    </cfRule>
  </conditionalFormatting>
  <conditionalFormatting sqref="J13:J20">
    <cfRule type="expression" dxfId="221" priority="64">
      <formula>ABS(J$16-J$19)&gt;=1000</formula>
    </cfRule>
  </conditionalFormatting>
  <conditionalFormatting sqref="L13:L20">
    <cfRule type="expression" dxfId="220" priority="63">
      <formula>ABS(L$16-L$19)&gt;=1000</formula>
    </cfRule>
  </conditionalFormatting>
  <conditionalFormatting sqref="M13 M15 M17:M18 M20">
    <cfRule type="expression" dxfId="219" priority="62">
      <formula>ABS(M$16-M$19)&gt;=1000</formula>
    </cfRule>
  </conditionalFormatting>
  <conditionalFormatting sqref="N13:N20">
    <cfRule type="expression" dxfId="218" priority="61">
      <formula>ABS(N$16-N$19)&gt;=1000</formula>
    </cfRule>
  </conditionalFormatting>
  <conditionalFormatting sqref="O13:O20">
    <cfRule type="expression" dxfId="217" priority="60">
      <formula>ABS(O$16-O$19)&gt;=1000</formula>
    </cfRule>
  </conditionalFormatting>
  <conditionalFormatting sqref="P13:P20">
    <cfRule type="expression" dxfId="216" priority="59">
      <formula>ABS(P$16-P$19)&gt;=1000</formula>
    </cfRule>
  </conditionalFormatting>
  <conditionalFormatting sqref="Q13 Q15:Q20">
    <cfRule type="expression" dxfId="215" priority="58">
      <formula>ABS(Q$16-Q$19)&gt;=1000</formula>
    </cfRule>
  </conditionalFormatting>
  <conditionalFormatting sqref="R13:R20">
    <cfRule type="expression" dxfId="214" priority="57">
      <formula>ABS(R$16-R$19)&gt;=1000</formula>
    </cfRule>
  </conditionalFormatting>
  <conditionalFormatting sqref="S13:S20">
    <cfRule type="expression" dxfId="213" priority="56">
      <formula>ABS(S$16-S$19)&gt;=1000</formula>
    </cfRule>
  </conditionalFormatting>
  <conditionalFormatting sqref="T13:T20">
    <cfRule type="expression" dxfId="212" priority="55">
      <formula>ABS(T$16-T$19)&gt;=1000</formula>
    </cfRule>
  </conditionalFormatting>
  <conditionalFormatting sqref="U13:U20">
    <cfRule type="expression" dxfId="211" priority="54">
      <formula>ABS(U$16-U$19)&gt;=1000</formula>
    </cfRule>
  </conditionalFormatting>
  <conditionalFormatting sqref="V13:V20">
    <cfRule type="expression" dxfId="210" priority="53">
      <formula>ABS(V$16-V$19)&gt;=1000</formula>
    </cfRule>
  </conditionalFormatting>
  <conditionalFormatting sqref="W13 W20 W15:W18">
    <cfRule type="expression" dxfId="209" priority="52">
      <formula>ABS(W$16-W$19)&gt;=1000</formula>
    </cfRule>
  </conditionalFormatting>
  <conditionalFormatting sqref="X13 X15:X20 Y19">
    <cfRule type="expression" dxfId="208" priority="51">
      <formula>ABS(X$16-X$19)&gt;=1000</formula>
    </cfRule>
  </conditionalFormatting>
  <conditionalFormatting sqref="Y13 Y15:Y18 Y20">
    <cfRule type="expression" dxfId="207" priority="50">
      <formula>ABS(Y$16-Y$19)&gt;=1000</formula>
    </cfRule>
  </conditionalFormatting>
  <conditionalFormatting sqref="Z13:Z20">
    <cfRule type="expression" dxfId="206" priority="49">
      <formula>ABS(Z$16-Z$19)&gt;=1000</formula>
    </cfRule>
  </conditionalFormatting>
  <conditionalFormatting sqref="AA13:AA20">
    <cfRule type="expression" dxfId="205" priority="48">
      <formula>ABS(AA$16-AA$19)&gt;=1000</formula>
    </cfRule>
  </conditionalFormatting>
  <conditionalFormatting sqref="AB13 AB15:AB20">
    <cfRule type="expression" dxfId="204" priority="47">
      <formula>ABS(AB$16-AB$19)&gt;=1000</formula>
    </cfRule>
  </conditionalFormatting>
  <conditionalFormatting sqref="AC13 AC15:AC20">
    <cfRule type="expression" dxfId="203" priority="46">
      <formula>ABS(AC$16-AC$19)&gt;=1000</formula>
    </cfRule>
  </conditionalFormatting>
  <conditionalFormatting sqref="AD13:AD20">
    <cfRule type="expression" dxfId="202" priority="45">
      <formula>ABS(AD$16-AD$19)&gt;=1000</formula>
    </cfRule>
  </conditionalFormatting>
  <conditionalFormatting sqref="AE13:AE20">
    <cfRule type="expression" dxfId="201" priority="44">
      <formula>ABS(AE$16-AE$19)&gt;=1000</formula>
    </cfRule>
  </conditionalFormatting>
  <conditionalFormatting sqref="D22:D29">
    <cfRule type="expression" dxfId="200" priority="43">
      <formula>ABS(D$25-D$28)&gt;=1000</formula>
    </cfRule>
  </conditionalFormatting>
  <conditionalFormatting sqref="E22:E29">
    <cfRule type="expression" dxfId="199" priority="42">
      <formula>ABS(E$25-E$28)&gt;=1000</formula>
    </cfRule>
  </conditionalFormatting>
  <conditionalFormatting sqref="F22:F29">
    <cfRule type="expression" dxfId="198" priority="41">
      <formula>ABS(F$25-F$28)&gt;=1000</formula>
    </cfRule>
  </conditionalFormatting>
  <conditionalFormatting sqref="G22:G29">
    <cfRule type="expression" dxfId="197" priority="40">
      <formula>ABS(G$25-G$28)&gt;=1000</formula>
    </cfRule>
  </conditionalFormatting>
  <conditionalFormatting sqref="H22:H29">
    <cfRule type="expression" dxfId="196" priority="39">
      <formula>ABS(H$25-H$28)&gt;=1000</formula>
    </cfRule>
  </conditionalFormatting>
  <conditionalFormatting sqref="I22 I24:I29">
    <cfRule type="expression" dxfId="195" priority="38">
      <formula>ABS(I$25-I$28)&gt;=1000</formula>
    </cfRule>
  </conditionalFormatting>
  <conditionalFormatting sqref="J22:J29 K22">
    <cfRule type="expression" dxfId="194" priority="37">
      <formula>ABS(J$25-J$28)&gt;=1000</formula>
    </cfRule>
  </conditionalFormatting>
  <conditionalFormatting sqref="K23:K29 L25 L28">
    <cfRule type="expression" dxfId="193" priority="36">
      <formula>ABS(K$25-K$28)&gt;=1000</formula>
    </cfRule>
  </conditionalFormatting>
  <conditionalFormatting sqref="L22 L26:L27 L29 L24">
    <cfRule type="expression" dxfId="192" priority="35">
      <formula>ABS(L$25-L$28)&gt;=1000</formula>
    </cfRule>
  </conditionalFormatting>
  <conditionalFormatting sqref="M22:M29">
    <cfRule type="expression" dxfId="191" priority="34">
      <formula>ABS(M$25-M$28)&gt;=1000</formula>
    </cfRule>
  </conditionalFormatting>
  <conditionalFormatting sqref="N22:N29">
    <cfRule type="expression" dxfId="190" priority="33">
      <formula>ABS(N$25-N$28)&gt;=1000</formula>
    </cfRule>
  </conditionalFormatting>
  <conditionalFormatting sqref="O22:O29">
    <cfRule type="expression" dxfId="189" priority="32">
      <formula>ABS(O$25-O$28)&gt;=1000</formula>
    </cfRule>
  </conditionalFormatting>
  <conditionalFormatting sqref="P22:P29">
    <cfRule type="expression" dxfId="188" priority="31">
      <formula>ABS(P$25-P$28)&gt;=1000</formula>
    </cfRule>
  </conditionalFormatting>
  <conditionalFormatting sqref="Q22:Q29">
    <cfRule type="expression" dxfId="187" priority="30">
      <formula>ABS(Q$25-Q$28)&gt;=1000</formula>
    </cfRule>
  </conditionalFormatting>
  <conditionalFormatting sqref="R22:R29">
    <cfRule type="expression" dxfId="186" priority="29">
      <formula>ABS(R$25-R$28)&gt;=1000</formula>
    </cfRule>
  </conditionalFormatting>
  <conditionalFormatting sqref="S22:S29">
    <cfRule type="expression" dxfId="185" priority="28">
      <formula>ABS(S$25-S$28)&gt;=1000</formula>
    </cfRule>
  </conditionalFormatting>
  <conditionalFormatting sqref="T22:T29">
    <cfRule type="expression" dxfId="184" priority="27">
      <formula>ABS(T$25-T$28)&gt;=1000</formula>
    </cfRule>
  </conditionalFormatting>
  <conditionalFormatting sqref="U22:U29">
    <cfRule type="expression" dxfId="183" priority="26">
      <formula>ABS(U$25-U$28)&gt;=1000</formula>
    </cfRule>
  </conditionalFormatting>
  <conditionalFormatting sqref="V22:V29">
    <cfRule type="expression" dxfId="182" priority="25">
      <formula>ABS(V$25-V$28)&gt;=1000</formula>
    </cfRule>
  </conditionalFormatting>
  <conditionalFormatting sqref="W22:W29">
    <cfRule type="expression" dxfId="181" priority="24">
      <formula>ABS(W$25-W$28)&gt;=1000</formula>
    </cfRule>
  </conditionalFormatting>
  <conditionalFormatting sqref="X22:X29">
    <cfRule type="expression" dxfId="180" priority="23">
      <formula>ABS(X$25-X$28)&gt;=1000</formula>
    </cfRule>
  </conditionalFormatting>
  <conditionalFormatting sqref="Y22:Y29">
    <cfRule type="expression" dxfId="179" priority="22">
      <formula>ABS(Y$25-Y$28)&gt;=1000</formula>
    </cfRule>
  </conditionalFormatting>
  <conditionalFormatting sqref="I23">
    <cfRule type="expression" dxfId="178" priority="21">
      <formula>ABS(I$25-I$28)&gt;=1000</formula>
    </cfRule>
  </conditionalFormatting>
  <conditionalFormatting sqref="Q14">
    <cfRule type="expression" dxfId="177" priority="20">
      <formula>ABS(Q$16-Q$19)&gt;=1000</formula>
    </cfRule>
  </conditionalFormatting>
  <conditionalFormatting sqref="W14">
    <cfRule type="expression" dxfId="176" priority="19">
      <formula>ABS(W$16-W$19)&gt;=1000</formula>
    </cfRule>
  </conditionalFormatting>
  <conditionalFormatting sqref="Y14">
    <cfRule type="expression" dxfId="175" priority="18">
      <formula>ABS(Y$16-Y$19)&gt;=1000</formula>
    </cfRule>
  </conditionalFormatting>
  <conditionalFormatting sqref="X14">
    <cfRule type="expression" dxfId="174" priority="17">
      <formula>ABS(X$16-X$19)&gt;=1000</formula>
    </cfRule>
  </conditionalFormatting>
  <conditionalFormatting sqref="T10:Y10">
    <cfRule type="expression" dxfId="173" priority="16">
      <formula>ABS(T$7-T$10)&gt;=1000</formula>
    </cfRule>
  </conditionalFormatting>
  <conditionalFormatting sqref="W19">
    <cfRule type="expression" dxfId="172" priority="15">
      <formula>ABS(W$16-W$19)&gt;=1000</formula>
    </cfRule>
  </conditionalFormatting>
  <conditionalFormatting sqref="AC5">
    <cfRule type="expression" dxfId="171" priority="14">
      <formula>ABS(AC$7-AC$10)&gt;=1000</formula>
    </cfRule>
  </conditionalFormatting>
  <conditionalFormatting sqref="M14">
    <cfRule type="expression" dxfId="170" priority="13">
      <formula>ABS(M$16-M$19)&gt;=1000</formula>
    </cfRule>
  </conditionalFormatting>
  <conditionalFormatting sqref="M16">
    <cfRule type="expression" dxfId="169" priority="12">
      <formula>ABS(M$16-M$19)&gt;=1000</formula>
    </cfRule>
  </conditionalFormatting>
  <conditionalFormatting sqref="M19">
    <cfRule type="expression" dxfId="168" priority="11">
      <formula>ABS(M$16-M$19)&gt;=1000</formula>
    </cfRule>
  </conditionalFormatting>
  <conditionalFormatting sqref="K13:K20">
    <cfRule type="expression" dxfId="167" priority="10">
      <formula>ABS(K$16-K$19)&gt;=1000</formula>
    </cfRule>
  </conditionalFormatting>
  <conditionalFormatting sqref="E5">
    <cfRule type="expression" dxfId="166" priority="9">
      <formula>ABS(E$7-E$10)&gt;=1000</formula>
    </cfRule>
  </conditionalFormatting>
  <conditionalFormatting sqref="AB14:AC14">
    <cfRule type="expression" dxfId="165" priority="8">
      <formula>ABS(AB$16-AB$19)&gt;=1000</formula>
    </cfRule>
  </conditionalFormatting>
  <conditionalFormatting sqref="M5">
    <cfRule type="expression" dxfId="164" priority="7">
      <formula>ABS(M$7-M$10)&gt;=1000</formula>
    </cfRule>
  </conditionalFormatting>
  <conditionalFormatting sqref="N5">
    <cfRule type="expression" dxfId="163" priority="6">
      <formula>ABS(N$7-N$10)&gt;=1000</formula>
    </cfRule>
  </conditionalFormatting>
  <conditionalFormatting sqref="O5">
    <cfRule type="expression" dxfId="162" priority="5">
      <formula>ABS(O$7-O$10)&gt;=1000</formula>
    </cfRule>
  </conditionalFormatting>
  <conditionalFormatting sqref="P5">
    <cfRule type="expression" dxfId="161" priority="4">
      <formula>ABS(P$7-P$10)&gt;=1000</formula>
    </cfRule>
  </conditionalFormatting>
  <conditionalFormatting sqref="L23">
    <cfRule type="expression" dxfId="160" priority="3">
      <formula>ABS(L$25-L$28)&gt;=1000</formula>
    </cfRule>
  </conditionalFormatting>
  <conditionalFormatting sqref="F14">
    <cfRule type="expression" dxfId="159" priority="2">
      <formula>ABS(F$16-F$19)&gt;=1000</formula>
    </cfRule>
  </conditionalFormatting>
  <conditionalFormatting sqref="AE5">
    <cfRule type="expression" dxfId="15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78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12">
    <pageSetUpPr fitToPage="1"/>
  </sheetPr>
  <dimension ref="A1:CU223"/>
  <sheetViews>
    <sheetView tabSelected="1" view="pageBreakPreview" topLeftCell="A4" zoomScale="80" zoomScaleNormal="100" zoomScaleSheetLayoutView="80" workbookViewId="0">
      <selection activeCell="AA10" sqref="AA1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4" t="s" ph="1">
        <v>162</v>
      </c>
      <c r="C1" s="234" ph="1"/>
      <c r="D1" s="234" ph="1"/>
      <c r="E1" s="234" ph="1"/>
      <c r="F1" s="234" ph="1"/>
      <c r="G1" s="234" ph="1"/>
      <c r="H1" s="234" ph="1"/>
      <c r="I1" s="234" ph="1"/>
      <c r="J1" s="234" ph="1"/>
      <c r="K1" s="234" ph="1"/>
      <c r="L1" s="234" ph="1"/>
      <c r="M1" s="234" ph="1"/>
      <c r="N1" s="234" ph="1"/>
      <c r="O1" s="234" ph="1"/>
      <c r="P1" s="234" ph="1"/>
      <c r="Q1" s="234" ph="1"/>
      <c r="R1" s="234" ph="1"/>
      <c r="S1" s="234" ph="1"/>
      <c r="T1" s="234" ph="1"/>
      <c r="U1" s="234" ph="1"/>
      <c r="V1" s="234" ph="1"/>
      <c r="W1" s="234" ph="1"/>
      <c r="X1" s="234" ph="1"/>
      <c r="Y1" s="234" ph="1"/>
      <c r="Z1" s="234" ph="1"/>
      <c r="AA1" s="234" ph="1"/>
      <c r="AB1" s="234" ph="1"/>
      <c r="AC1" s="234" ph="1"/>
      <c r="AD1" s="234" ph="1"/>
      <c r="AE1" s="234" ph="1"/>
    </row>
    <row r="2" spans="1:99" s="66" customFormat="1" ht="24" customHeight="1" ph="1">
      <c r="B2" s="235" t="s" ph="1">
        <v>82</v>
      </c>
      <c r="C2" s="235" ph="1"/>
      <c r="D2" s="235" ph="1"/>
      <c r="E2" s="235" ph="1"/>
      <c r="F2" s="235" ph="1"/>
      <c r="G2" s="235" ph="1"/>
      <c r="H2" s="235" ph="1"/>
      <c r="I2" s="235" ph="1"/>
      <c r="J2" s="235" ph="1"/>
      <c r="K2" s="235" ph="1"/>
      <c r="L2" s="235" ph="1"/>
      <c r="M2" s="235" ph="1"/>
      <c r="N2" s="235" ph="1"/>
      <c r="O2" s="235" ph="1"/>
      <c r="P2" s="235" ph="1"/>
      <c r="Q2" s="235" ph="1"/>
      <c r="R2" s="235" ph="1"/>
      <c r="S2" s="235" ph="1"/>
      <c r="T2" s="235" ph="1"/>
      <c r="U2" s="235" ph="1"/>
      <c r="V2" s="235" ph="1"/>
      <c r="W2" s="235" ph="1"/>
      <c r="X2" s="235" ph="1"/>
      <c r="Y2" s="235" ph="1"/>
      <c r="Z2" s="235" ph="1"/>
      <c r="AA2" s="235" ph="1"/>
      <c r="AB2" s="235" ph="1"/>
      <c r="AC2" s="235" ph="1"/>
      <c r="AD2" s="235" ph="1"/>
      <c r="AE2" s="235" ph="1"/>
    </row>
    <row r="3" spans="1:99" ht="21" customHeight="1" ph="1">
      <c r="B3" s="236" ph="1">
        <v>45898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</row>
    <row r="4" spans="1:99" s="69" customFormat="1" ph="1">
      <c r="A4" s="65" ph="1"/>
      <c r="B4" s="215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5" ph="1"/>
      <c r="C5" s="67" t="s" ph="1">
        <v>36</v>
      </c>
      <c r="D5" s="70" t="s" ph="1">
        <v>161</v>
      </c>
      <c r="E5" s="70" t="s" ph="1">
        <v>638</v>
      </c>
      <c r="F5" s="70" t="s" ph="1">
        <v>1</v>
      </c>
      <c r="G5" s="70" t="s" ph="1">
        <v>7</v>
      </c>
      <c r="H5" s="70" t="s" ph="1">
        <v>7</v>
      </c>
      <c r="I5" s="70" t="s" ph="1">
        <v>612</v>
      </c>
      <c r="J5" s="70" t="s" ph="1">
        <v>613</v>
      </c>
      <c r="K5" s="70" t="s" ph="1">
        <v>615</v>
      </c>
      <c r="L5" s="70" t="s" ph="1">
        <v>617</v>
      </c>
      <c r="M5" s="70" t="s" ph="1">
        <v>612</v>
      </c>
      <c r="N5" s="70" t="s" ph="1">
        <v>613</v>
      </c>
      <c r="O5" s="70" t="s" ph="1">
        <v>615</v>
      </c>
      <c r="P5" s="70" t="s" ph="1">
        <v>617</v>
      </c>
      <c r="Q5" s="70" t="s" ph="1">
        <v>611</v>
      </c>
      <c r="R5" s="70" t="s" ph="1">
        <v>611</v>
      </c>
      <c r="S5" s="70" t="s" ph="1">
        <v>611</v>
      </c>
      <c r="T5" s="70" t="s" ph="1">
        <v>611</v>
      </c>
      <c r="U5" s="70" t="s" ph="1">
        <v>611</v>
      </c>
      <c r="V5" s="70" t="s" ph="1">
        <v>611</v>
      </c>
      <c r="W5" s="70" t="s" ph="1">
        <v>611</v>
      </c>
      <c r="X5" s="70" t="s" ph="1">
        <v>611</v>
      </c>
      <c r="Y5" s="70" t="s" ph="1">
        <v>611</v>
      </c>
      <c r="Z5" s="70" t="s" ph="1">
        <v>618</v>
      </c>
      <c r="AA5" s="70" t="s" ph="1">
        <v>54</v>
      </c>
      <c r="AB5" s="70" t="s" ph="1">
        <v>54</v>
      </c>
      <c r="AC5" s="70" t="s" ph="1">
        <v>619</v>
      </c>
      <c r="AD5" s="70" t="s" ph="1">
        <v>72</v>
      </c>
      <c r="AE5" s="104" t="s" ph="1">
        <v>609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3" ph="1">
        <v>0.33333333333333331</v>
      </c>
      <c r="C6" s="156" t="s" ph="1">
        <v>178</v>
      </c>
      <c r="D6" s="71">
        <v>6282</v>
      </c>
      <c r="E6" s="71">
        <v>8974</v>
      </c>
      <c r="F6" s="71">
        <v>6840</v>
      </c>
      <c r="G6" s="71">
        <v>8905</v>
      </c>
      <c r="H6" s="71">
        <v>8922</v>
      </c>
      <c r="I6" s="71">
        <v>29.11</v>
      </c>
      <c r="J6" s="71">
        <v>7.01</v>
      </c>
      <c r="K6" s="71">
        <v>85.21</v>
      </c>
      <c r="L6" s="71">
        <v>38.71</v>
      </c>
      <c r="M6" s="71">
        <v>2801</v>
      </c>
      <c r="N6" s="71">
        <v>6103</v>
      </c>
      <c r="O6" s="71">
        <v>4441</v>
      </c>
      <c r="P6" s="71">
        <v>2299</v>
      </c>
      <c r="Q6" s="71">
        <v>0</v>
      </c>
      <c r="R6" s="71">
        <v>0</v>
      </c>
      <c r="S6" s="71">
        <v>0</v>
      </c>
      <c r="T6" s="71">
        <v>0</v>
      </c>
      <c r="U6" s="71">
        <v>4929</v>
      </c>
      <c r="V6" s="71">
        <v>4961</v>
      </c>
      <c r="W6" s="71">
        <v>6195</v>
      </c>
      <c r="X6" s="71">
        <v>5081</v>
      </c>
      <c r="Y6" s="71">
        <v>2509</v>
      </c>
      <c r="Z6" s="71">
        <v>4949</v>
      </c>
      <c r="AA6" s="71">
        <v>287</v>
      </c>
      <c r="AB6" s="71">
        <v>152</v>
      </c>
      <c r="AC6" s="71">
        <v>392</v>
      </c>
      <c r="AD6" s="71">
        <v>3540</v>
      </c>
      <c r="AE6" s="71">
        <v>4645</v>
      </c>
    </row>
    <row r="7" spans="1:99" s="72" customFormat="1" ht="22.2" ph="1">
      <c r="B7" s="233" ph="1"/>
      <c r="C7" s="68" t="s" ph="1">
        <v>179</v>
      </c>
      <c r="D7" s="73" ph="1">
        <f>D6*33.183*LOOKUP(D8,密度!$A$2:$A$50,密度!$Q$2:$Q$50)</f>
        <v>196486.08510348</v>
      </c>
      <c r="E7" s="73" ph="1">
        <f>E6*51.53*LOOKUP(E8,密度!$A$2:$A$50,密度!$B$2:$B$50)</f>
        <v>358938.33676400001</v>
      </c>
      <c r="F7" s="73" ph="1">
        <f>F6*33.183*LOOKUP(F8,密度!$A$2:$A$50,密度!$C$2:$C$50)</f>
        <v>251166.905352</v>
      </c>
      <c r="G7" s="73" ph="1">
        <f xml:space="preserve"> (G6+2)*51.53*LOOKUP(G8,密度!$A$2:$A$50,密度!$B$2:$B$50)</f>
        <v>356258.498502</v>
      </c>
      <c r="H7" s="73" ph="1">
        <f>(H6)*51.53*LOOKUP(H8,密度!$A$2:$A$50,密度!$B$2:$B$50)</f>
        <v>358421.61453600001</v>
      </c>
      <c r="I7" s="73" ph="1">
        <f>I6*290.8*1.0267</f>
        <v>8691.2085195999989</v>
      </c>
      <c r="J7" s="73" ph="1">
        <f>J6*290.8*0.7892</f>
        <v>1608.7905136000002</v>
      </c>
      <c r="K7" s="73" ph="1">
        <f>K6*290.8*1.1126</f>
        <v>27569.191056799998</v>
      </c>
      <c r="L7" s="73" ph="1">
        <f>L6*290.8*0.777</f>
        <v>8746.5864360000014</v>
      </c>
      <c r="M7" s="73" ph="1">
        <f>M6*33.183*LOOKUP(M8,密度!$A$2:$A$50,密度!$D$2:$D$50)</f>
        <v>94906.734801299986</v>
      </c>
      <c r="N7" s="73" ph="1">
        <f>N6*33.183*LOOKUP(N8,密度!$A$2:$A$50,密度!$E$2:$E$50)</f>
        <v>157476.32418239999</v>
      </c>
      <c r="O7" s="73" ph="1">
        <f>O6*20.428*LOOKUP(O8,密度!$A$2:$A$50,密度!$C$2:$C$50)</f>
        <v>100064.985044</v>
      </c>
      <c r="P7" s="73" ph="1">
        <f>P6*51.53*LOOKUP(P8,密度!$A$2:$A$50,密度!$B$2:$B$50)</f>
        <v>92049.224190000008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32541.614859599998</v>
      </c>
      <c r="V7" s="73" ph="1">
        <f>V6*1.5*1.5*3.1416*LOOKUP(V8,密度!$A$2:$A$50,密度!$L$2:$L$50)</f>
        <v>32823.0158256</v>
      </c>
      <c r="W7" s="73" ph="1">
        <f>W6*1.5*1.5*3.1416*LOOKUP(W8,密度!$A$2:$A$50,密度!$L$2:$L$50)</f>
        <v>40899.838518000004</v>
      </c>
      <c r="X7" s="73" ph="1">
        <f>X6*1.5*1.5*3.1416*LOOKUP(X8,密度!$A$2:$A$50,密度!$L$2:$L$50)</f>
        <v>33868.369873799995</v>
      </c>
      <c r="Y7" s="73" ph="1">
        <f>Y6*1.5*1.5*3.1416*LOOKUP(Y8,密度!$A$2:$A$50,密度!$L$2:$L$50)</f>
        <v>16564.599651600001</v>
      </c>
      <c r="Z7" s="73" ph="1">
        <f>Z6*33.183*LOOKUP(Z8,密度!$A$2:$A$50,密度!$L$2:$L$50)</f>
        <v>153383.970978</v>
      </c>
      <c r="AA7" s="73" ph="1">
        <f>AA6*33.183*LOOKUP(AA8,密度!$A$2:$A$50,密度!$D$2:$D$50)</f>
        <v>9751.1331519000014</v>
      </c>
      <c r="AB7" s="73" ph="1">
        <f>AB6*20.428*LOOKUP(AB8,密度!$A$2:$A$50,密度!$D$2:$D$50)</f>
        <v>3199.7602080000001</v>
      </c>
      <c r="AC7" s="73" ph="1">
        <f>AC6*51.53*LOOKUP(AC8,密度!$A$2:$A$50,密度!$Q$2:$Q$50)</f>
        <v>19138.666607200004</v>
      </c>
      <c r="AD7" s="73" ph="1">
        <f>AD6*20.428*LOOKUP(AD8,密度!$A$2:$A$50,密度!$V$2:$V$50)</f>
        <v>69248.958912000016</v>
      </c>
      <c r="AE7" s="73" ph="1">
        <f>AE6*20.428</f>
        <v>94888.06</v>
      </c>
    </row>
    <row r="8" spans="1:99" ph="1">
      <c r="B8" s="233" ph="1"/>
      <c r="C8" s="68" t="s" ph="1">
        <v>180</v>
      </c>
      <c r="D8" s="74">
        <v>31</v>
      </c>
      <c r="E8" s="74">
        <v>29</v>
      </c>
      <c r="F8" s="74">
        <v>28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30</v>
      </c>
      <c r="O8" s="74">
        <v>32</v>
      </c>
      <c r="P8" s="74">
        <v>28</v>
      </c>
      <c r="Q8" s="74">
        <v>28</v>
      </c>
      <c r="R8" s="74">
        <v>32</v>
      </c>
      <c r="S8" s="74">
        <v>24</v>
      </c>
      <c r="T8" s="74">
        <v>24</v>
      </c>
      <c r="U8" s="74">
        <v>28</v>
      </c>
      <c r="V8" s="74">
        <v>26</v>
      </c>
      <c r="W8" s="74">
        <v>28</v>
      </c>
      <c r="X8" s="74">
        <v>19</v>
      </c>
      <c r="Y8" s="74">
        <v>28</v>
      </c>
      <c r="Z8" s="74">
        <v>28</v>
      </c>
      <c r="AA8" s="74">
        <v>28</v>
      </c>
      <c r="AB8" s="74">
        <v>21</v>
      </c>
      <c r="AC8" s="74">
        <v>24</v>
      </c>
      <c r="AD8" s="74">
        <v>26</v>
      </c>
      <c r="AE8" s="74">
        <v>28</v>
      </c>
    </row>
    <row r="9" spans="1:99" ht="26.4" ph="1">
      <c r="B9" s="233" ph="1">
        <v>0.66666666666666663</v>
      </c>
      <c r="C9" s="156" t="s" ph="1">
        <v>181</v>
      </c>
      <c r="D9" s="71">
        <v>6436</v>
      </c>
      <c r="E9" s="71">
        <v>8974</v>
      </c>
      <c r="F9" s="71">
        <v>6845</v>
      </c>
      <c r="G9" s="71">
        <v>8918</v>
      </c>
      <c r="H9" s="71">
        <v>8931</v>
      </c>
      <c r="I9" s="71">
        <v>29.12</v>
      </c>
      <c r="J9" s="71">
        <v>7.11</v>
      </c>
      <c r="K9" s="71">
        <v>85.21</v>
      </c>
      <c r="L9" s="71">
        <v>37.01</v>
      </c>
      <c r="M9" s="71">
        <v>2802</v>
      </c>
      <c r="N9" s="71">
        <v>6109</v>
      </c>
      <c r="O9" s="71">
        <v>3521</v>
      </c>
      <c r="P9" s="71">
        <v>2282</v>
      </c>
      <c r="Q9" s="71">
        <v>1107</v>
      </c>
      <c r="R9" s="71">
        <v>0</v>
      </c>
      <c r="S9" s="71">
        <v>0</v>
      </c>
      <c r="T9" s="71">
        <v>0</v>
      </c>
      <c r="U9" s="71">
        <v>842</v>
      </c>
      <c r="V9" s="71">
        <v>4968</v>
      </c>
      <c r="W9" s="71">
        <v>6204</v>
      </c>
      <c r="X9" s="71">
        <v>7029</v>
      </c>
      <c r="Y9" s="71">
        <v>4870</v>
      </c>
      <c r="Z9" s="71">
        <v>5826</v>
      </c>
      <c r="AA9" s="71">
        <v>286</v>
      </c>
      <c r="AB9" s="71">
        <v>151</v>
      </c>
      <c r="AC9" s="71">
        <v>608</v>
      </c>
      <c r="AD9" s="71">
        <v>4116</v>
      </c>
      <c r="AE9" s="71">
        <v>4384</v>
      </c>
    </row>
    <row r="10" spans="1:99" s="72" customFormat="1" ht="22.2" ph="1">
      <c r="B10" s="233" ph="1"/>
      <c r="C10" s="156" t="s" ph="1">
        <v>179</v>
      </c>
      <c r="D10" s="73" ph="1">
        <f>D9*33.183*LOOKUP(D11,密度!$A$2:$A$50,密度!$Q$2:$Q$50)</f>
        <v>201302.84045304</v>
      </c>
      <c r="E10" s="73" ph="1">
        <f>E9*51.53*LOOKUP(E11,密度!$A$2:$A$50,密度!$B$2:$B$50)</f>
        <v>356487.45659800002</v>
      </c>
      <c r="F10" s="73" ph="1">
        <f>F9*33.183*LOOKUP(F11,密度!$A$2:$A$50,密度!$C$2:$C$50)</f>
        <v>251009.80043850001</v>
      </c>
      <c r="G10" s="73" ph="1">
        <f xml:space="preserve"> (G9+2)*51.53*LOOKUP(G11,密度!$A$2:$A$50,密度!$B$2:$B$50)</f>
        <v>354342.33484000002</v>
      </c>
      <c r="H10" s="73" ph="1">
        <f>(H9)*51.53*LOOKUP(H11,密度!$A$2:$A$50,密度!$B$2:$B$50)</f>
        <v>353950.91811299999</v>
      </c>
      <c r="I10" s="73" ph="1">
        <f>I9*290.8*1.0267</f>
        <v>8694.1941632000016</v>
      </c>
      <c r="J10" s="73" ph="1">
        <f>J9*290.8*0.7892</f>
        <v>1631.7404496000001</v>
      </c>
      <c r="K10" s="73" ph="1">
        <f>K9*290.8*1.1126</f>
        <v>27569.191056799998</v>
      </c>
      <c r="L10" s="73" ph="1">
        <f>L9*290.8*0.777</f>
        <v>8362.4687159999994</v>
      </c>
      <c r="M10" s="73" ph="1">
        <f>M9*33.183*LOOKUP(M11,密度!$A$2:$A$50,密度!$D$2:$D$50)</f>
        <v>94856.93707320001</v>
      </c>
      <c r="N10" s="73" ph="1">
        <f>N9*33.183*LOOKUP(N11,密度!$A$2:$A$50,密度!$E$2:$E$50)</f>
        <v>157398.02059814997</v>
      </c>
      <c r="O10" s="73" ph="1">
        <f>O9*20.428*LOOKUP(O11,密度!$A$2:$A$50,密度!$C$2:$C$50)</f>
        <v>78961.447426400002</v>
      </c>
      <c r="P10" s="73" ph="1">
        <f>P9*51.53*LOOKUP(P11,密度!$A$2:$A$50,密度!$B$2:$B$50)</f>
        <v>90956.994309999995</v>
      </c>
      <c r="Q10" s="73" ph="1">
        <f>Q9*1.5*1.5*3.1416*LOOKUP(W11,密度!$A$2:$A$50,密度!$L$2:$L$50)</f>
        <v>7292.8442664000004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5529.1861548000006</v>
      </c>
      <c r="V10" s="73" ph="1">
        <f>V9*1.5*1.5*3.1416*LOOKUP(V11,密度!$A$2:$A$50,密度!$L$2:$L$50)</f>
        <v>32869.329292800001</v>
      </c>
      <c r="W10" s="73" ph="1">
        <f>W9*1.5*1.5*3.1416*LOOKUP(W11,密度!$A$2:$A$50,密度!$L$2:$L$50)</f>
        <v>40871.549980800002</v>
      </c>
      <c r="X10" s="73" ph="1">
        <f>X9*1.5*1.5*3.1416*LOOKUP(X11,密度!$A$2:$A$50,密度!$L$2:$L$50)</f>
        <v>46704.078035999992</v>
      </c>
      <c r="Y10" s="73" ph="1">
        <f>Y9*1.5*1.5*3.1416*LOOKUP(Y11,密度!$A$2:$A$50,密度!$L$2:$L$50)</f>
        <v>32083.244424000004</v>
      </c>
      <c r="Z10" s="73" ph="1">
        <f>Z9*33.183*LOOKUP(Z11,密度!$A$2:$A$50,密度!$L$2:$L$50)</f>
        <v>180178.11525600002</v>
      </c>
      <c r="AA10" s="73" ph="1">
        <f>AA9*33.183*LOOKUP(AA11,密度!$A$2:$A$50,密度!$D$2:$D$50)</f>
        <v>9657.3679487999998</v>
      </c>
      <c r="AB10" s="73" ph="1">
        <f>AB9*20.428*LOOKUP(AB11,密度!$A$2:$A$50,密度!$D$2:$D$50)</f>
        <v>3138.9174528000003</v>
      </c>
      <c r="AC10" s="73" ph="1">
        <f>AC9*51.53*LOOKUP(AC11,密度!$A$2:$A$50,密度!$Q$2:$Q$50)</f>
        <v>29554.755299200002</v>
      </c>
      <c r="AD10" s="73" ph="1">
        <f>AD9*20.428*LOOKUP(AD11,密度!$A$2:$A$50,密度!$V$2:$V$50)</f>
        <v>80516.5861248</v>
      </c>
      <c r="AE10" s="73" ph="1">
        <f>AE9*20.428</f>
        <v>89556.351999999999</v>
      </c>
    </row>
    <row r="11" spans="1:99" ph="1">
      <c r="A11" s="64" t="s" ph="1">
        <v>163</v>
      </c>
      <c r="B11" s="233" ph="1"/>
      <c r="C11" s="156" t="s" ph="1">
        <v>180</v>
      </c>
      <c r="D11" s="74">
        <v>31</v>
      </c>
      <c r="E11" s="74">
        <v>35</v>
      </c>
      <c r="F11" s="74">
        <v>30</v>
      </c>
      <c r="G11" s="74">
        <v>35</v>
      </c>
      <c r="H11" s="74">
        <v>37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31</v>
      </c>
      <c r="O11" s="74">
        <v>37</v>
      </c>
      <c r="P11" s="74">
        <v>32</v>
      </c>
      <c r="Q11" s="74">
        <v>32</v>
      </c>
      <c r="R11" s="74">
        <v>38</v>
      </c>
      <c r="S11" s="74">
        <v>27</v>
      </c>
      <c r="T11" s="74">
        <v>36</v>
      </c>
      <c r="U11" s="74">
        <v>33</v>
      </c>
      <c r="V11" s="74">
        <v>26</v>
      </c>
      <c r="W11" s="74">
        <v>30</v>
      </c>
      <c r="X11" s="74">
        <v>22</v>
      </c>
      <c r="Y11" s="74">
        <v>30</v>
      </c>
      <c r="Z11" s="74">
        <v>30</v>
      </c>
      <c r="AA11" s="74">
        <v>35</v>
      </c>
      <c r="AB11" s="74">
        <v>35</v>
      </c>
      <c r="AC11" s="74">
        <v>30</v>
      </c>
      <c r="AD11" s="74">
        <v>34</v>
      </c>
      <c r="AE11" s="74">
        <v>31</v>
      </c>
    </row>
    <row r="12" spans="1:99" ht="9.9" customHeight="1" ph="1"/>
    <row r="13" spans="1:99" s="72" customFormat="1" ht="29.25" customHeight="1" ph="1">
      <c r="B13" s="210" t="s" ph="1">
        <v>37</v>
      </c>
      <c r="C13" s="15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11" ph="1"/>
      <c r="C14" s="67" t="s" ph="1">
        <v>36</v>
      </c>
      <c r="D14" s="77" t="s" ph="1">
        <v>620</v>
      </c>
      <c r="E14" s="77" t="s" ph="1">
        <v>620</v>
      </c>
      <c r="F14" s="77" t="s" ph="1">
        <v>641</v>
      </c>
      <c r="G14" s="77" t="s" ph="1">
        <v>621</v>
      </c>
      <c r="H14" s="77" t="s" ph="1">
        <v>622</v>
      </c>
      <c r="I14" s="139" t="s" ph="1">
        <v>623</v>
      </c>
      <c r="J14" s="77" t="s" ph="1">
        <v>624</v>
      </c>
      <c r="K14" s="77" t="s" ph="1">
        <v>187</v>
      </c>
      <c r="L14" s="77" t="s" ph="1">
        <v>41</v>
      </c>
      <c r="M14" s="104" t="s" ph="1">
        <v>625</v>
      </c>
      <c r="N14" s="104" t="s" ph="1">
        <v>626</v>
      </c>
      <c r="O14" s="104" t="s" ph="1">
        <v>624</v>
      </c>
      <c r="P14" s="77" t="s" ph="1">
        <v>627</v>
      </c>
      <c r="Q14" s="77" t="s" ph="1">
        <v>627</v>
      </c>
      <c r="R14" s="88" t="s" ph="1">
        <v>638</v>
      </c>
      <c r="S14" s="77" t="s" ph="1">
        <v>71</v>
      </c>
      <c r="T14" s="77" t="s" ph="1">
        <v>629</v>
      </c>
      <c r="U14" s="77" t="s" ph="1">
        <v>608</v>
      </c>
      <c r="V14" s="77" t="s" ph="1">
        <v>649</v>
      </c>
      <c r="W14" s="77" t="s" ph="1">
        <v>627</v>
      </c>
      <c r="X14" s="77" t="s" ph="1">
        <v>630</v>
      </c>
      <c r="Y14" s="138" t="s" ph="1">
        <v>0</v>
      </c>
      <c r="Z14" s="77" t="s" ph="1">
        <v>54</v>
      </c>
      <c r="AA14" s="77" t="s" ph="1">
        <v>617</v>
      </c>
      <c r="AB14" s="77" t="s" ph="1">
        <v>643</v>
      </c>
      <c r="AC14" s="77" t="s" ph="1">
        <v>650</v>
      </c>
      <c r="AD14" s="77" t="s" ph="1">
        <v>616</v>
      </c>
      <c r="AE14" s="77" t="s" ph="1">
        <v>616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2" ph="1">
        <v>0.33333333333333331</v>
      </c>
      <c r="C15" s="156" t="s" ph="1">
        <v>178</v>
      </c>
      <c r="D15" s="78">
        <v>2460</v>
      </c>
      <c r="E15" s="78">
        <v>4230</v>
      </c>
      <c r="F15" s="78">
        <v>2824</v>
      </c>
      <c r="G15" s="78">
        <v>4356</v>
      </c>
      <c r="H15" s="78">
        <v>0</v>
      </c>
      <c r="I15" s="78">
        <v>3929</v>
      </c>
      <c r="J15" s="78">
        <v>189</v>
      </c>
      <c r="K15" s="78">
        <v>3105</v>
      </c>
      <c r="L15" s="78">
        <v>7057</v>
      </c>
      <c r="M15" s="78">
        <v>6977</v>
      </c>
      <c r="N15" s="78">
        <v>2546</v>
      </c>
      <c r="O15" s="78">
        <v>6535</v>
      </c>
      <c r="P15" s="78">
        <v>5168</v>
      </c>
      <c r="Q15" s="78">
        <v>6951</v>
      </c>
      <c r="R15" s="78">
        <v>0</v>
      </c>
      <c r="S15" s="78">
        <v>1654</v>
      </c>
      <c r="T15" s="78">
        <v>2194</v>
      </c>
      <c r="U15" s="78">
        <v>6810</v>
      </c>
      <c r="V15" s="78">
        <v>1438</v>
      </c>
      <c r="W15" s="71">
        <v>5393</v>
      </c>
      <c r="X15" s="78">
        <v>1552</v>
      </c>
      <c r="Y15" s="106">
        <v>-9908</v>
      </c>
      <c r="Z15" s="78">
        <v>0</v>
      </c>
      <c r="AA15" s="78">
        <v>6127</v>
      </c>
      <c r="AB15" s="78" ph="1">
        <v>1097</v>
      </c>
      <c r="AC15" s="78" ph="1">
        <v>0</v>
      </c>
      <c r="AD15" s="78">
        <v>67.510000000000005</v>
      </c>
      <c r="AE15" s="78">
        <v>5.61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13" ph="1"/>
      <c r="C16" s="156" t="s" ph="1">
        <v>179</v>
      </c>
      <c r="D16" s="73" ph="1">
        <f>D15*7.0686*LOOKUP(D17,密度!$A$2:$A$50,密度!$L$2:$L$50)</f>
        <v>16206.320592000002</v>
      </c>
      <c r="E16" s="73" ph="1">
        <f>E15*7.0686*LOOKUP(E17,密度!$A$2:$A$50,密度!$L$2:$L$50)</f>
        <v>27866.965896000002</v>
      </c>
      <c r="F16" s="73" ph="1">
        <f>F15*9.0746*LOOKUP(F17,密度!$A$2:$A$50,密度!$L$2:$L$50)</f>
        <v>23909.683483200002</v>
      </c>
      <c r="G16" s="73" ph="1">
        <f>G15*9.0746*LOOKUP(G17,密度!$A$2:$A$50,密度!$B$2:$B$50)</f>
        <v>30714.000055200002</v>
      </c>
      <c r="H16" s="73" ph="1">
        <f>H15*9.0746*LOOKUP(H17,密度!$A$2:$A$50,密度!$L$2:$L$50)</f>
        <v>0</v>
      </c>
      <c r="I16" s="73" ph="1">
        <f>I15*9.0746*LOOKUP(I17,密度!$A$2:$A$50,密度!$U$2:$U$50)</f>
        <v>36509.801881600004</v>
      </c>
      <c r="J16" s="73" ph="1">
        <f>J15*9.0746*LOOKUP(J17,密度!$A$2:$A$50,密度!$L$2:$L$50)</f>
        <v>1600.1877402000002</v>
      </c>
      <c r="K16" s="73" ph="1">
        <f>K15*9.0746*LOOKUP(K17,密度!$A$2:$A$50,密度!$C$2:$C$50)</f>
        <v>31160.538434700004</v>
      </c>
      <c r="L16" s="73" ph="1">
        <f>L15*9.0746*LOOKUP(L17,密度!$A$2:$A$50,密度!$E$2:$E$50)</f>
        <v>49797.078030719997</v>
      </c>
      <c r="M16" s="73" ph="1">
        <f>M15*9.0746*LOOKUP(M17,密度!$A$2:$A$50,密度!$M$2:$M$50)</f>
        <v>55011.187016854004</v>
      </c>
      <c r="N16" s="73" ph="1">
        <f>N15*9.0746*LOOKUP(N17,密度!$A$2:$A$50,密度!$M$2:$M$50)</f>
        <v>20146.628355199999</v>
      </c>
      <c r="O16" s="73" ph="1">
        <f>O15*9.0746*LOOKUP(O17,密度!$A$2:$A$50,密度!$G$2:$G$50)</f>
        <v>56616.107251699999</v>
      </c>
      <c r="P16" s="73" ph="1">
        <f ca="1">P15*9.0746*LOOKUP(P17,密度!$A$2:$A$51,密度!$Q$2:$Q$50)</f>
        <v>44267.988135904001</v>
      </c>
      <c r="Q16" s="73" ph="1">
        <f>Q15*9.0746*LOOKUP(Q17,密度!$A$2:$A$50,密度!$Q$2:$Q$50)</f>
        <v>59502.940147517998</v>
      </c>
      <c r="R16" s="73" ph="1">
        <f>MAX(R15*9.0746*LOOKUP(R17,密度!$A$2:$A$50,密度!$B$2:$B$50),0)</f>
        <v>0</v>
      </c>
      <c r="S16" s="73" ph="1">
        <f>S15*9.0746*LOOKUP(S17,密度!$A$2:$A$50,密度!$Q$2:$Q$50)</f>
        <v>14158.806359372</v>
      </c>
      <c r="T16" s="73" ph="1">
        <f>T15*9.0746*LOOKUP(T17,密度!$A$2:$A$50,密度!$O$2:$O$50)</f>
        <v>18436.356642400002</v>
      </c>
      <c r="U16" s="73" ph="1">
        <f>U15*9.0746*LOOKUP(U17,密度!$A$2:$A$50,密度!$H$2:$H$50)</f>
        <v>56359.799712</v>
      </c>
      <c r="V16" s="73" ph="1">
        <f>MAX(5600*LOOKUP(V17,密度!$A$2:$A$50,密度!$Q$2:$Q$50)+V15*9.0476*LOOKUP(V17,密度!$A$2:$A$50,密度!$Q$2:$Q$50),0)</f>
        <v>17529.181724719998</v>
      </c>
      <c r="W16" s="73" ph="1">
        <f>MAX(5600*LOOKUP(W17,密度!$A$2:$A$50,密度!$Q$2:$Q$50)+W15*9.0476*LOOKUP(W17,密度!$A$2:$A$50,密度!$Q$2:$Q$50),0)</f>
        <v>51311.215435643993</v>
      </c>
      <c r="X16" s="73" ph="1">
        <f>MAX(5600*LOOKUP(X17,密度!$A$2:$A$50,密度!$I$2:$I$50)+X15*9.0476*LOOKUP(X17,密度!$A$2:$A$50,密度!$I$2:$I$50),0)</f>
        <v>20317.555706879997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43201.257653400004</v>
      </c>
      <c r="AB16" s="73" ph="1">
        <f>AB15*9.0746*LOOKUP(AB17,密度!$A$2:$A$50,密度!$L$2:$L$50)</f>
        <v>9297.8170107999995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15361.69586928</v>
      </c>
      <c r="AE16" s="73" ph="1">
        <f>AE15*268.68*LOOKUP(AE17,密度!$A$2:$A$50,密度!B2:B50)+IF(AE15&lt;=0,0,1566*LOOKUP(AE17,密度!$A$2:$A$50,密度!B2:B50))</f>
        <v>2395.9406260799997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4" ph="1"/>
      <c r="C17" s="79" t="s" ph="1">
        <v>180</v>
      </c>
      <c r="D17" s="74">
        <v>30</v>
      </c>
      <c r="E17" s="74">
        <v>30</v>
      </c>
      <c r="F17" s="74">
        <v>29</v>
      </c>
      <c r="G17" s="74">
        <v>28</v>
      </c>
      <c r="H17" s="74">
        <v>24</v>
      </c>
      <c r="I17" s="74">
        <v>26</v>
      </c>
      <c r="J17" s="74">
        <v>29</v>
      </c>
      <c r="K17" s="74">
        <v>29</v>
      </c>
      <c r="L17" s="74">
        <v>30</v>
      </c>
      <c r="M17" s="74">
        <v>31</v>
      </c>
      <c r="N17" s="74">
        <v>28</v>
      </c>
      <c r="O17" s="74">
        <v>30</v>
      </c>
      <c r="P17" s="74">
        <v>29</v>
      </c>
      <c r="Q17" s="74">
        <v>30</v>
      </c>
      <c r="R17" s="74">
        <v>29</v>
      </c>
      <c r="S17" s="74">
        <v>30</v>
      </c>
      <c r="T17" s="74">
        <v>29</v>
      </c>
      <c r="U17" s="74">
        <v>28</v>
      </c>
      <c r="V17" s="74">
        <v>32</v>
      </c>
      <c r="W17" s="74">
        <v>30</v>
      </c>
      <c r="X17" s="74">
        <v>32</v>
      </c>
      <c r="Y17" s="108">
        <v>32</v>
      </c>
      <c r="Z17" s="74">
        <v>28</v>
      </c>
      <c r="AA17" s="74">
        <v>28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12" ph="1">
        <v>0.66666666666666663</v>
      </c>
      <c r="C18" s="79" t="s" ph="1">
        <v>181</v>
      </c>
      <c r="D18" s="71">
        <v>2163</v>
      </c>
      <c r="E18" s="71">
        <v>4829</v>
      </c>
      <c r="F18" s="71">
        <v>3007</v>
      </c>
      <c r="G18" s="71">
        <v>4399</v>
      </c>
      <c r="H18" s="71">
        <v>0</v>
      </c>
      <c r="I18" s="71">
        <v>3933</v>
      </c>
      <c r="J18" s="71">
        <v>191</v>
      </c>
      <c r="K18" s="71">
        <v>3107</v>
      </c>
      <c r="L18" s="71">
        <v>7076</v>
      </c>
      <c r="M18" s="71">
        <v>5805</v>
      </c>
      <c r="N18" s="71">
        <v>1830</v>
      </c>
      <c r="O18" s="71">
        <v>6868</v>
      </c>
      <c r="P18" s="71">
        <v>5176</v>
      </c>
      <c r="Q18" s="71">
        <v>5276</v>
      </c>
      <c r="R18" s="71">
        <v>0</v>
      </c>
      <c r="S18" s="71">
        <v>1658</v>
      </c>
      <c r="T18" s="71">
        <v>1389</v>
      </c>
      <c r="U18" s="71">
        <v>6816</v>
      </c>
      <c r="V18" s="71">
        <v>850</v>
      </c>
      <c r="W18" s="71">
        <v>5394</v>
      </c>
      <c r="X18" s="71">
        <v>1289</v>
      </c>
      <c r="Y18" s="109">
        <v>-9908</v>
      </c>
      <c r="Z18" s="71">
        <v>0</v>
      </c>
      <c r="AA18" s="71">
        <v>6135</v>
      </c>
      <c r="AB18" s="71">
        <v>1098</v>
      </c>
      <c r="AC18" s="71">
        <v>0</v>
      </c>
      <c r="AD18" s="71">
        <v>84.72</v>
      </c>
      <c r="AE18" s="71">
        <v>31.41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13" ph="1"/>
      <c r="C19" s="156" t="s" ph="1">
        <v>179</v>
      </c>
      <c r="D19" s="73" ph="1">
        <f>D18*7.0686*LOOKUP(D20,密度!$A$2:$A$50,密度!$L$2:$L$50)</f>
        <v>14234.414455800001</v>
      </c>
      <c r="E19" s="73" ph="1">
        <f>E18*7.0686*LOOKUP(E20,密度!$A$2:$A$50,密度!$L$2:$L$50)</f>
        <v>31779.004811399998</v>
      </c>
      <c r="F19" s="73" ph="1">
        <f>F18*9.0746*LOOKUP(F20,密度!$A$2:$A$50,密度!$L$2:$L$50)</f>
        <v>25431.784290400003</v>
      </c>
      <c r="G19" s="73" ph="1">
        <f>G18*9.0746*LOOKUP(G20,密度!$A$2:$A$50,密度!$B$2:$B$50)</f>
        <v>30949.328934619996</v>
      </c>
      <c r="H19" s="73" ph="1">
        <f>H18*9.0746*LOOKUP(H20,密度!$A$2:$A$50,密度!$L$2:$L$50)</f>
        <v>0</v>
      </c>
      <c r="I19" s="73" ph="1">
        <f>I18*9.0746*LOOKUP(I20,密度!$A$2:$A$50,密度!$U$2:$U$50)</f>
        <v>36404.209836000002</v>
      </c>
      <c r="J19" s="73" ph="1">
        <f>J18*9.0746*LOOKUP(J20,密度!$A$2:$A$50,密度!$L$2:$L$50)</f>
        <v>1611.9211980000002</v>
      </c>
      <c r="K19" s="73" ph="1">
        <f>K18*9.0746*LOOKUP(K20,密度!$A$2:$A$50,密度!$C$2:$C$50)</f>
        <v>31158.05380922</v>
      </c>
      <c r="L19" s="73" ph="1">
        <f>L18*9.0746*LOOKUP(L20,密度!$A$2:$A$50,密度!$E$2:$E$50)</f>
        <v>49931.149800959996</v>
      </c>
      <c r="M19" s="73" ph="1">
        <f>M18*9.0746*LOOKUP(M20,密度!$A$2:$A$50,密度!$M$2:$M$50)</f>
        <v>45659.755998810004</v>
      </c>
      <c r="N19" s="73" ph="1">
        <f>N18*9.0746*LOOKUP(N20,密度!$A$2:$A$50,密度!$M$2:$M$50)</f>
        <v>14464.277178</v>
      </c>
      <c r="O19" s="73" ph="1">
        <f>O18*9.0746*LOOKUP(O20,密度!$A$2:$A$50,密度!$G$2:$G$50)</f>
        <v>59439.358508887999</v>
      </c>
      <c r="P19" s="73" ph="1">
        <f ca="1">P18*9.0746*LOOKUP(P20,密度!$A$2:$A$51,密度!$Q$2:$Q$50)</f>
        <v>44308.332355568004</v>
      </c>
      <c r="Q19" s="73" ph="1">
        <f>Q18*9.0746*LOOKUP(Q20,密度!$A$2:$A$50,密度!$Q$2:$Q$50)</f>
        <v>45128.458405167999</v>
      </c>
      <c r="R19" s="73" ph="1">
        <f>MAX(R18*9.0746*LOOKUP(R20,密度!$A$2:$A$50,密度!$B$2:$B$50),0)</f>
        <v>0</v>
      </c>
      <c r="S19" s="73" ph="1">
        <f>S18*9.0746*LOOKUP(S20,密度!$A$2:$A$50,密度!$Q$2:$Q$50)</f>
        <v>14193.047729043999</v>
      </c>
      <c r="T19" s="73" ph="1">
        <f>T18*9.0746*LOOKUP(T20,密度!$A$2:$A$50,密度!$O$2:$O$50)</f>
        <v>11611.37539128</v>
      </c>
      <c r="U19" s="73" ph="1">
        <f>U18*9.0746*LOOKUP(U20,密度!$A$2:$A$50,密度!$H$2:$H$50)</f>
        <v>56285.750976000003</v>
      </c>
      <c r="V19" s="73" ph="1">
        <f>MAX(5600*LOOKUP(V20,密度!$A$2:$A$50,密度!$Q$2:$Q$50)+V18*9.0476*LOOKUP(V20,密度!$A$2:$A$50,密度!$Q$2:$Q$50),0)</f>
        <v>12466.717289199998</v>
      </c>
      <c r="W19" s="73" ph="1">
        <f>MAX(5600*LOOKUP(W20,密度!$A$2:$A$50,密度!$Q$2:$Q$50)+W18*9.0476*LOOKUP(W20,密度!$A$2:$A$50,密度!$Q$2:$Q$50),0)</f>
        <v>51241.954369359999</v>
      </c>
      <c r="X19" s="73" ph="1">
        <f>MAX(5600*LOOKUP(X20,密度!$A$2:$A$50,密度!$I$2:$I$50)+X18*9.0476*LOOKUP(X20,密度!$A$2:$A$50,密度!$I$2:$I$50),0)</f>
        <v>17837.020244555999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43163.021826299999</v>
      </c>
      <c r="AB19" s="73" ph="1">
        <f>AB18*9.0746*LOOKUP(AB20,密度!$A$2:$A$50,密度!$L$2:$L$50)</f>
        <v>9256.473133200001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18903.2985792</v>
      </c>
      <c r="AE19" s="73" ph="1">
        <f>AE18*268.68*LOOKUP(AE20,密度!$A$2:$A$50,密度!B5:B53)+IF(AE18&lt;=0,0,1566*LOOKUP(AE20,密度!$A$2:$A$50,密度!B5:B53))</f>
        <v>7774.0705476000012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3" ph="1"/>
      <c r="C20" s="80" t="s" ph="1">
        <v>180</v>
      </c>
      <c r="D20" s="81">
        <v>31</v>
      </c>
      <c r="E20" s="81">
        <v>31</v>
      </c>
      <c r="F20" s="81">
        <v>30</v>
      </c>
      <c r="G20" s="81">
        <v>30</v>
      </c>
      <c r="H20" s="81">
        <v>30</v>
      </c>
      <c r="I20" s="81">
        <v>30</v>
      </c>
      <c r="J20" s="81">
        <v>32</v>
      </c>
      <c r="K20" s="81">
        <v>30</v>
      </c>
      <c r="L20" s="81">
        <v>30</v>
      </c>
      <c r="M20" s="81">
        <v>33</v>
      </c>
      <c r="N20" s="81">
        <v>29</v>
      </c>
      <c r="O20" s="81">
        <v>31</v>
      </c>
      <c r="P20" s="81">
        <v>30</v>
      </c>
      <c r="Q20" s="81">
        <v>31</v>
      </c>
      <c r="R20" s="81">
        <v>35</v>
      </c>
      <c r="S20" s="81">
        <v>30</v>
      </c>
      <c r="T20" s="81">
        <v>33</v>
      </c>
      <c r="U20" s="81">
        <v>30</v>
      </c>
      <c r="V20" s="81">
        <v>38</v>
      </c>
      <c r="W20" s="81">
        <v>32</v>
      </c>
      <c r="X20" s="81">
        <v>33</v>
      </c>
      <c r="Y20" s="110">
        <v>33</v>
      </c>
      <c r="Z20" s="81">
        <v>34</v>
      </c>
      <c r="AA20" s="81">
        <v>30</v>
      </c>
      <c r="AB20" s="81">
        <v>33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1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1" t="s" ph="1">
        <v>69</v>
      </c>
      <c r="AA22" s="222"/>
      <c r="AB22" s="222"/>
      <c r="AC22" s="222"/>
      <c r="AD22" s="222"/>
      <c r="AE22" s="223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5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631</v>
      </c>
      <c r="H23" s="88" t="s" ph="1">
        <v>631</v>
      </c>
      <c r="I23" s="88" t="s" ph="1">
        <v>632</v>
      </c>
      <c r="J23" s="88" t="s" ph="1">
        <v>633</v>
      </c>
      <c r="K23" s="88" t="s" ph="1">
        <v>633</v>
      </c>
      <c r="L23" s="88" t="s" ph="1">
        <v>633</v>
      </c>
      <c r="M23" s="88" t="s" ph="1">
        <v>628</v>
      </c>
      <c r="N23" s="88" t="s" ph="1">
        <v>628</v>
      </c>
      <c r="O23" s="88" t="s" ph="1">
        <v>321</v>
      </c>
      <c r="P23" s="88" t="s" ph="1">
        <v>635</v>
      </c>
      <c r="Q23" s="89" t="s" ph="1">
        <v>635</v>
      </c>
      <c r="R23" s="88" t="s" ph="1">
        <v>614</v>
      </c>
      <c r="S23" s="88" t="s" ph="1">
        <v>634</v>
      </c>
      <c r="T23" s="88" t="s" ph="1">
        <v>607</v>
      </c>
      <c r="U23" s="104" t="s" ph="1">
        <v>609</v>
      </c>
      <c r="V23" s="88" t="s" ph="1">
        <v>635</v>
      </c>
      <c r="W23" s="88" t="s" ph="1">
        <v>635</v>
      </c>
      <c r="X23" s="88" t="s" ph="1">
        <v>190</v>
      </c>
      <c r="Y23" s="88" t="s" ph="1">
        <v>636</v>
      </c>
      <c r="Z23" s="224" t="s" ph="1">
        <v>639</v>
      </c>
      <c r="AA23" s="225"/>
      <c r="AB23" s="225"/>
      <c r="AC23" s="225"/>
      <c r="AD23" s="225"/>
      <c r="AE23" s="226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3" ph="1">
        <v>0.33333333333333331</v>
      </c>
      <c r="C24" s="156" t="s" ph="1">
        <v>178</v>
      </c>
      <c r="D24" s="71">
        <v>85.31</v>
      </c>
      <c r="E24" s="71">
        <v>55.11</v>
      </c>
      <c r="F24" s="71">
        <v>3749</v>
      </c>
      <c r="G24" s="71">
        <v>2804</v>
      </c>
      <c r="H24" s="71">
        <v>1975</v>
      </c>
      <c r="I24" s="71">
        <v>2372</v>
      </c>
      <c r="J24" s="71">
        <v>1572</v>
      </c>
      <c r="K24" s="71">
        <v>4923</v>
      </c>
      <c r="L24" s="71">
        <v>5611</v>
      </c>
      <c r="M24" s="71">
        <v>4353</v>
      </c>
      <c r="N24" s="71">
        <v>548</v>
      </c>
      <c r="O24" s="71">
        <v>4320</v>
      </c>
      <c r="P24" s="71">
        <v>967</v>
      </c>
      <c r="Q24" s="90">
        <v>4221</v>
      </c>
      <c r="R24" s="71">
        <v>370</v>
      </c>
      <c r="S24" s="71">
        <v>4134</v>
      </c>
      <c r="T24" s="71">
        <v>1696</v>
      </c>
      <c r="U24" s="71">
        <v>6890</v>
      </c>
      <c r="V24" s="71">
        <v>6682</v>
      </c>
      <c r="W24" s="71">
        <v>10694</v>
      </c>
      <c r="X24" s="71">
        <v>4504</v>
      </c>
      <c r="Y24" s="71">
        <v>2336</v>
      </c>
      <c r="Z24" s="227"/>
      <c r="AA24" s="228"/>
      <c r="AB24" s="228"/>
      <c r="AC24" s="228"/>
      <c r="AD24" s="228"/>
      <c r="AE24" s="229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3" ph="1"/>
      <c r="C25" s="68" t="s" ph="1">
        <v>179</v>
      </c>
      <c r="D25" s="91" ph="1">
        <f>D24*268.68*LOOKUP(D26,密度!$A$2:$A$50,密度!$Q$2:$Q$50)+IF(D24&lt;=0,0,1566*LOOKUP(D26,密度!$A$2:$A$50,密度!$Q$2:$Q$50))</f>
        <v>23182.908343992003</v>
      </c>
      <c r="E25" s="91" ph="1">
        <f>E24*268.68*LOOKUP(E26,密度!$A$2:$A$50,密度!$C$2:$C$50)+IF(E24&lt;=0,0,1566*LOOKUP(E26,密度!$A$2:$A$50,密度!$C$2:$C$50))</f>
        <v>18155.96957772</v>
      </c>
      <c r="F25" s="91" ph="1">
        <f>F24*11.702*LOOKUP(F26,密度!$A$2:$A$50,密度!$Q$2:$Q$50)</f>
        <v>41441.23320676</v>
      </c>
      <c r="G25" s="91" ph="1">
        <f>G24*18.322*LOOKUP(G26,密度!$A$2:$A$50,密度!$B$2:$B$50)</f>
        <v>39918.287976</v>
      </c>
      <c r="H25" s="91" ph="1">
        <f>H24*18.322*LOOKUP(H26,密度!$A$2:$A$50,密度!$B$2:$B$50)</f>
        <v>28087.534389999997</v>
      </c>
      <c r="I25" s="91" ph="1">
        <f>I24*18.322*LOOKUP(I26,密度!$A$2:$A$50,密度!$Q$2:$Q$50)</f>
        <v>41022.99391112</v>
      </c>
      <c r="J25" s="91" ph="1">
        <f>J24*18.322*LOOKUP(J26,密度!$A$2:$A$50,密度!$Q$2:$Q$50)</f>
        <v>27227.28057888</v>
      </c>
      <c r="K25" s="91" ph="1">
        <f>K24*18.322*LOOKUP(K26,密度!$A$2:$A$50,密度!$Q$2:$Q$50)</f>
        <v>85331.15485218</v>
      </c>
      <c r="L25" s="91" ph="1">
        <f>L24*18.322*LOOKUP(L26,密度!$A$2:$A$50,密度!$Q$2:$Q$50)</f>
        <v>97111.415388039997</v>
      </c>
      <c r="M25" s="91" ph="1">
        <f>M24*18.322*LOOKUP(M26,密度!$A$2:$A$50,密度!$Q$2:$Q$50)</f>
        <v>75338.797216919993</v>
      </c>
      <c r="N25" s="91" ph="1">
        <f>N24*18.322*LOOKUP(N26,密度!$A$2:$A$50,密度!$Q$2:$Q$50)</f>
        <v>9491.4438659200005</v>
      </c>
      <c r="O25" s="91" ph="1">
        <f>O24*18.322*LOOKUP(O26,密度!$A$2:$A$50,密度!$C$2:$C$50)</f>
        <v>87588.540863999995</v>
      </c>
      <c r="P25" s="91" ph="1">
        <f>P24*11.702*LOOKUP(P26,密度!$A$2:$A$50,密度!$B$2:$B$50)</f>
        <v>8792.4030180000009</v>
      </c>
      <c r="Q25" s="92" ph="1">
        <f>Q24*18.322*LOOKUP(Q26,密度!$A$2:$A$50,密度!$B$2:$B$50)</f>
        <v>60160.578319799999</v>
      </c>
      <c r="R25" s="91" ph="1">
        <f>R24*35.891*LOOKUP(R26,密度!$A$2:$A$50,密度!$C$2:$C$50)</f>
        <v>14705.906557999999</v>
      </c>
      <c r="S25" s="91" ph="1">
        <f>S24*35.891*LOOKUP(S26,密度!$A$2:$A$50,密度!$B$2:$B$50)</f>
        <v>115033.8923682</v>
      </c>
      <c r="T25" s="91" ph="1">
        <f>T24*35.891*LOOKUP(T26,密度!$A$2:$A$50,密度!$Q$2:$Q$50)</f>
        <v>57458.091404480001</v>
      </c>
      <c r="U25" s="91" ph="1">
        <f>U24*35.891</f>
        <v>247288.99</v>
      </c>
      <c r="V25" s="91" ph="1">
        <f>V24*47.051*LOOKUP(V26,密度!$A$2:$A$50,密度!$B$2:$B$50)</f>
        <v>244033.2297884</v>
      </c>
      <c r="W25" s="91" ph="1">
        <f>W24*47.051*LOOKUP(W26,密度!$A$2:$A$50,密度!$B$2:$B$50)</f>
        <v>390555.4264228</v>
      </c>
      <c r="X25" s="91" ph="1">
        <f>X24*47.051*LOOKUP(X26,密度!$A$2:$A$50,密度!$I$2:$I$50)</f>
        <v>219673.8919664</v>
      </c>
      <c r="Y25" s="91" ph="1">
        <f>Y24*47.051*LOOKUP(Y26,密度!$A$2:$A$50,密度!$L$2:$L$50)</f>
        <v>102437.17875200001</v>
      </c>
      <c r="Z25" s="227"/>
      <c r="AA25" s="228"/>
      <c r="AB25" s="228"/>
      <c r="AC25" s="228"/>
      <c r="AD25" s="228"/>
      <c r="AE25" s="229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3" ph="1"/>
      <c r="C26" s="68" t="s" ph="1">
        <v>180</v>
      </c>
      <c r="D26" s="74">
        <v>25</v>
      </c>
      <c r="E26" s="74">
        <v>25</v>
      </c>
      <c r="F26" s="74">
        <v>28</v>
      </c>
      <c r="G26" s="74">
        <v>28</v>
      </c>
      <c r="H26" s="74">
        <v>29</v>
      </c>
      <c r="I26" s="74">
        <v>29</v>
      </c>
      <c r="J26" s="74">
        <v>27</v>
      </c>
      <c r="K26" s="74">
        <v>26</v>
      </c>
      <c r="L26" s="74">
        <v>28</v>
      </c>
      <c r="M26" s="74">
        <v>28</v>
      </c>
      <c r="N26" s="74">
        <v>27</v>
      </c>
      <c r="O26" s="74">
        <v>28</v>
      </c>
      <c r="P26" s="74">
        <v>28</v>
      </c>
      <c r="Q26" s="93">
        <v>27</v>
      </c>
      <c r="R26" s="74">
        <v>27</v>
      </c>
      <c r="S26" s="74">
        <v>30</v>
      </c>
      <c r="T26" s="74">
        <v>29</v>
      </c>
      <c r="U26" s="74">
        <v>28</v>
      </c>
      <c r="V26" s="74">
        <v>29</v>
      </c>
      <c r="W26" s="74">
        <v>29</v>
      </c>
      <c r="X26" s="74">
        <v>30</v>
      </c>
      <c r="Y26" s="74">
        <v>30</v>
      </c>
      <c r="Z26" s="227"/>
      <c r="AA26" s="228"/>
      <c r="AB26" s="228"/>
      <c r="AC26" s="228"/>
      <c r="AD26" s="228"/>
      <c r="AE26" s="229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33" ph="1">
        <v>0.66666666666666663</v>
      </c>
      <c r="C27" s="156" t="s" ph="1">
        <v>181</v>
      </c>
      <c r="D27" s="71">
        <v>85.42</v>
      </c>
      <c r="E27" s="71">
        <v>55.22</v>
      </c>
      <c r="F27" s="71">
        <v>3752</v>
      </c>
      <c r="G27" s="71">
        <v>2305</v>
      </c>
      <c r="H27" s="71">
        <v>1970</v>
      </c>
      <c r="I27" s="71">
        <v>1461</v>
      </c>
      <c r="J27" s="71">
        <v>1570</v>
      </c>
      <c r="K27" s="71">
        <v>4923</v>
      </c>
      <c r="L27" s="71">
        <v>5609</v>
      </c>
      <c r="M27" s="71">
        <v>4353</v>
      </c>
      <c r="N27" s="71">
        <v>544</v>
      </c>
      <c r="O27" s="71">
        <v>4317</v>
      </c>
      <c r="P27" s="71">
        <v>965</v>
      </c>
      <c r="Q27" s="90">
        <v>4030</v>
      </c>
      <c r="R27" s="71">
        <v>366</v>
      </c>
      <c r="S27" s="71">
        <v>3893</v>
      </c>
      <c r="T27" s="71">
        <v>1694</v>
      </c>
      <c r="U27" s="71">
        <v>6563</v>
      </c>
      <c r="V27" s="71">
        <v>6682</v>
      </c>
      <c r="W27" s="71">
        <v>10393</v>
      </c>
      <c r="X27" s="71">
        <v>4499</v>
      </c>
      <c r="Y27" s="71">
        <v>1274</v>
      </c>
      <c r="Z27" s="227"/>
      <c r="AA27" s="228"/>
      <c r="AB27" s="228"/>
      <c r="AC27" s="228"/>
      <c r="AD27" s="228"/>
      <c r="AE27" s="229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3" ph="1"/>
      <c r="C28" s="156" t="s" ph="1">
        <v>179</v>
      </c>
      <c r="D28" s="91" ph="1">
        <f>D27*268.68*LOOKUP(D29,密度!$A$2:$A$50,密度!$Q$2:$Q$50)+IF(D27&lt;=0,0,1566*LOOKUP(D29,密度!$A$2:$A$50,密度!$Q$2:$Q$50))</f>
        <v>23210.889055344003</v>
      </c>
      <c r="E28" s="91" ph="1">
        <f>E27*268.68*LOOKUP(E29,密度!$A$2:$A$50,密度!$C$2:$C$50)+IF(E27&lt;=0,0,1566*LOOKUP(E29,密度!$A$2:$A$50,密度!$C$2:$C$50))</f>
        <v>18188.742895440002</v>
      </c>
      <c r="F28" s="91" ph="1">
        <f>F27*11.702*LOOKUP(F29,密度!$A$2:$A$50,密度!$Q$2:$Q$50)</f>
        <v>41354.970977600002</v>
      </c>
      <c r="G28" s="91" ph="1">
        <f>G27*18.322*LOOKUP(G29,密度!$A$2:$A$50,密度!$B$2:$B$50)</f>
        <v>32704.623423999998</v>
      </c>
      <c r="H28" s="91" ph="1">
        <f>H27*18.322*LOOKUP(H29,密度!$A$2:$A$50,密度!$B$2:$B$50)</f>
        <v>27890.096517999998</v>
      </c>
      <c r="I28" s="91" ph="1">
        <f>I27*18.322*LOOKUP(I29,密度!$A$2:$A$50,密度!$Q$2:$Q$50)</f>
        <v>25195.796032499999</v>
      </c>
      <c r="J28" s="91" ph="1">
        <f>J27*18.322*LOOKUP(J29,密度!$A$2:$A$50,密度!$Q$2:$Q$50)</f>
        <v>27152.656172199997</v>
      </c>
      <c r="K28" s="91" ph="1">
        <f>K27*18.322*LOOKUP(K29,密度!$A$2:$A$50,密度!$Q$2:$Q$50)</f>
        <v>85087.616995979988</v>
      </c>
      <c r="L28" s="91" ph="1">
        <f>L27*18.322*LOOKUP(L29,密度!$A$2:$A$50,密度!$Q$2:$Q$50)</f>
        <v>96797.271506199992</v>
      </c>
      <c r="M28" s="91" ph="1">
        <f>M27*18.322*LOOKUP(M29,密度!$A$2:$A$50,密度!$Q$2:$Q$50)</f>
        <v>75121.861805399996</v>
      </c>
      <c r="N28" s="91" ph="1">
        <f>N27*18.322*LOOKUP(N29,密度!$A$2:$A$50,密度!$Q$2:$Q$50)</f>
        <v>9394.8532134399993</v>
      </c>
      <c r="O28" s="91" ph="1">
        <f>O27*18.322*LOOKUP(O29,密度!$A$2:$A$50,密度!$C$2:$C$50)</f>
        <v>87409.071377399989</v>
      </c>
      <c r="P28" s="91" ph="1">
        <f>P27*11.702*LOOKUP(P29,密度!$A$2:$A$50,密度!$B$2:$B$50)</f>
        <v>8755.0209790000008</v>
      </c>
      <c r="Q28" s="92" ph="1">
        <f>Q27*18.322*LOOKUP(Q29,密度!$A$2:$A$50,密度!$B$2:$B$50)</f>
        <v>57179.883904000002</v>
      </c>
      <c r="R28" s="91" ph="1">
        <f>R27*35.891*LOOKUP(R29,密度!$A$2:$A$50,密度!$C$2:$C$50)</f>
        <v>14503.574634600001</v>
      </c>
      <c r="S28" s="91" ph="1">
        <f>S27*35.891*LOOKUP(S29,密度!$A$2:$A$50,密度!$B$2:$B$50)</f>
        <v>108202.0046272</v>
      </c>
      <c r="T28" s="91" ph="1">
        <f>T27*35.891*LOOKUP(T29,密度!$A$2:$A$50,密度!$Q$2:$Q$50)</f>
        <v>57266.911532599996</v>
      </c>
      <c r="U28" s="91" ph="1">
        <f>U27*35.891</f>
        <v>235552.633</v>
      </c>
      <c r="V28" s="91" ph="1">
        <f>V27*47.051*LOOKUP(V29,密度!$A$2:$A$50,密度!$B$2:$B$50)</f>
        <v>243184.363877</v>
      </c>
      <c r="W28" s="91" ph="1">
        <f>W27*47.051*LOOKUP(W29,密度!$A$2:$A$50,密度!$B$2:$B$50)</f>
        <v>378242.30676050001</v>
      </c>
      <c r="X28" s="91" ph="1">
        <f>X27*47.051*LOOKUP(X29,密度!$A$2:$A$50,密度!$I$2:$I$50)</f>
        <v>218494.39020882006</v>
      </c>
      <c r="Y28" s="91" ph="1">
        <f>Y27*47.051*LOOKUP(Y29,密度!$A$2:$A$50,密度!$L$2:$L$50)</f>
        <v>55687.022846000007</v>
      </c>
      <c r="Z28" s="227"/>
      <c r="AA28" s="228"/>
      <c r="AB28" s="228"/>
      <c r="AC28" s="228"/>
      <c r="AD28" s="228"/>
      <c r="AE28" s="229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3" ph="1"/>
      <c r="C29" s="156" t="s" ph="1">
        <v>180</v>
      </c>
      <c r="D29" s="74">
        <v>25</v>
      </c>
      <c r="E29" s="74">
        <v>25</v>
      </c>
      <c r="F29" s="74">
        <v>32</v>
      </c>
      <c r="G29" s="74">
        <v>31</v>
      </c>
      <c r="H29" s="74">
        <v>33</v>
      </c>
      <c r="I29" s="74">
        <v>33</v>
      </c>
      <c r="J29" s="74">
        <v>29</v>
      </c>
      <c r="K29" s="74">
        <v>30</v>
      </c>
      <c r="L29" s="74">
        <v>32</v>
      </c>
      <c r="M29" s="74">
        <v>32</v>
      </c>
      <c r="N29" s="74">
        <v>31</v>
      </c>
      <c r="O29" s="74">
        <v>30</v>
      </c>
      <c r="P29" s="74">
        <v>30</v>
      </c>
      <c r="Q29" s="93">
        <v>31</v>
      </c>
      <c r="R29" s="74">
        <v>31</v>
      </c>
      <c r="S29" s="74">
        <v>31</v>
      </c>
      <c r="T29" s="74">
        <v>32</v>
      </c>
      <c r="U29" s="74">
        <v>31</v>
      </c>
      <c r="V29" s="74">
        <v>32</v>
      </c>
      <c r="W29" s="74">
        <v>32</v>
      </c>
      <c r="X29" s="74">
        <v>34</v>
      </c>
      <c r="Y29" s="74">
        <v>33</v>
      </c>
      <c r="Z29" s="230"/>
      <c r="AA29" s="231"/>
      <c r="AB29" s="231"/>
      <c r="AC29" s="231"/>
      <c r="AD29" s="231"/>
      <c r="AE29" s="232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16" t="s" ph="1">
        <v>35</v>
      </c>
      <c r="C31" s="217" ph="1"/>
      <c r="D31" s="220" t="s" ph="1">
        <v>9</v>
      </c>
      <c r="E31" s="195" ph="1"/>
      <c r="F31" s="196" ph="1"/>
      <c r="G31" s="220" t="s" ph="1">
        <v>18</v>
      </c>
      <c r="H31" s="195" ph="1"/>
      <c r="I31" s="196" ph="1"/>
      <c r="J31" s="194" t="s" ph="1">
        <v>1</v>
      </c>
      <c r="K31" s="195" ph="1"/>
      <c r="L31" s="196" ph="1"/>
      <c r="M31" s="194" t="s" ph="1">
        <v>7</v>
      </c>
      <c r="N31" s="195" ph="1"/>
      <c r="O31" s="196" ph="1"/>
      <c r="P31" s="194" t="s" ph="1">
        <v>41</v>
      </c>
      <c r="Q31" s="195"/>
      <c r="R31" s="196"/>
      <c r="S31" s="194" t="s" ph="1">
        <v>2</v>
      </c>
      <c r="T31" s="195"/>
      <c r="U31" s="196"/>
      <c r="V31" s="194" t="s" ph="1">
        <v>71</v>
      </c>
      <c r="W31" s="195" ph="1"/>
      <c r="X31" s="196" ph="1"/>
      <c r="Y31" s="194" t="s" ph="1">
        <v>3</v>
      </c>
      <c r="Z31" s="195" ph="1"/>
      <c r="AA31" s="196" ph="1"/>
      <c r="AB31" s="197" t="s">
        <v>42</v>
      </c>
      <c r="AC31" s="198"/>
      <c r="AD31" s="198"/>
      <c r="AE31" s="199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8" ph="1"/>
      <c r="C32" s="219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0" t="s" ph="1">
        <v>83</v>
      </c>
      <c r="AE32" s="201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2" t="s" ph="1">
        <v>182</v>
      </c>
      <c r="C33" s="203" ph="1"/>
      <c r="D33" s="182" ph="1">
        <f>AA10+AB10+Z19</f>
        <v>12796.2854016</v>
      </c>
      <c r="E33" s="182" ph="1">
        <f>M10+I10</f>
        <v>103551.13123640002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[[#This Row],[F25]]</f>
        <v>3880</v>
      </c>
      <c r="G33" s="208" ph="1">
        <v>0</v>
      </c>
      <c r="H33" s="182" ph="1">
        <f>N19</f>
        <v>14464.277178</v>
      </c>
      <c r="I33" s="186" ph="1">
        <v>0</v>
      </c>
      <c r="J33" s="190" ph="1">
        <f>F10+O28</f>
        <v>338418.87181589997</v>
      </c>
      <c r="K33" s="182" ph="1">
        <f>O10+K10+E28+R28</f>
        <v>139222.95601324001</v>
      </c>
      <c r="L33" s="192" ph="1">
        <f>BE27</f>
        <v>7100</v>
      </c>
      <c r="M33" s="190" ph="1">
        <f>G10+H10+W28+S28+V28+E10</f>
        <v>1794409.3848157004</v>
      </c>
      <c r="N33" s="182" ph="1">
        <f>L10+P10++G28+H28</f>
        <v>159914.18296800001</v>
      </c>
      <c r="O33" s="186" ph="1">
        <f>BE17</f>
        <v>2270</v>
      </c>
      <c r="P33" s="190" ph="1">
        <f>L19</f>
        <v>49931.149800959996</v>
      </c>
      <c r="Q33" s="182" ph="1">
        <f>J10+N10</f>
        <v>159029.76104774998</v>
      </c>
      <c r="R33" s="186" ph="1">
        <f>BE23</f>
        <v>890</v>
      </c>
      <c r="S33" s="190" ph="1">
        <f>E10+X28</f>
        <v>574981.84680682002</v>
      </c>
      <c r="T33" s="182" ph="1">
        <f>X19</f>
        <v>17837.020244555999</v>
      </c>
      <c r="U33" s="171" ph="1">
        <f>BE21</f>
        <v>730</v>
      </c>
      <c r="V33" s="184" ph="1">
        <f ca="1">P19+Q19+S19+M28+N28+J28</f>
        <v>215299.20968082</v>
      </c>
      <c r="W33" s="184" ph="1">
        <f>D28+F28+V19+T28</f>
        <v>134299.48885474401</v>
      </c>
      <c r="X33" s="186" ph="1">
        <f>BE29+BE31</f>
        <v>10200</v>
      </c>
      <c r="Y33" s="188" ph="1">
        <f>+Q10+R10+S10+T10+U10+V10+W10+X10+Y10</f>
        <v>165350.2321548</v>
      </c>
      <c r="Z33" s="169" ph="1">
        <f>D10+T19+U19+Y28+Z10</f>
        <v>505065.10492232005</v>
      </c>
      <c r="AA33" s="171" ph="1">
        <f>BE19</f>
        <v>1440</v>
      </c>
      <c r="AB33" s="173" ph="1">
        <f>I19</f>
        <v>36404.209836000002</v>
      </c>
      <c r="AC33" s="175" ph="1">
        <f>AD10</f>
        <v>80516.5861248</v>
      </c>
      <c r="AD33" s="177" ph="1">
        <v>0</v>
      </c>
      <c r="AE33" s="178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4" ph="1"/>
      <c r="C34" s="205" ph="1"/>
      <c r="D34" s="183" ph="1"/>
      <c r="E34" s="183" ph="1"/>
      <c r="F34" s="207" ph="1"/>
      <c r="G34" s="209" ph="1"/>
      <c r="H34" s="183" ph="1"/>
      <c r="I34" s="187" ph="1"/>
      <c r="J34" s="191" ph="1"/>
      <c r="K34" s="183" ph="1"/>
      <c r="L34" s="193" ph="1"/>
      <c r="M34" s="191" ph="1"/>
      <c r="N34" s="183" ph="1"/>
      <c r="O34" s="187" ph="1"/>
      <c r="P34" s="191" ph="1"/>
      <c r="Q34" s="183" ph="1"/>
      <c r="R34" s="187" ph="1"/>
      <c r="S34" s="191" ph="1"/>
      <c r="T34" s="183"/>
      <c r="U34" s="172"/>
      <c r="V34" s="185" ph="1"/>
      <c r="W34" s="185" ph="1"/>
      <c r="X34" s="187" ph="1"/>
      <c r="Y34" s="189" ph="1"/>
      <c r="Z34" s="170" ph="1"/>
      <c r="AA34" s="172" ph="1"/>
      <c r="AB34" s="174"/>
      <c r="AC34" s="176"/>
      <c r="AD34" s="179"/>
      <c r="AE34" s="180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1" t="s" ph="1">
        <v>637</v>
      </c>
      <c r="AD35" s="181"/>
      <c r="AE35" s="181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67" t="s" ph="1">
        <v>184</v>
      </c>
      <c r="J36" s="167" ph="1"/>
      <c r="K36" s="101" ph="1"/>
      <c r="P36" s="101" ph="1"/>
      <c r="R36" s="167" t="s" ph="1">
        <v>185</v>
      </c>
      <c r="S36" s="167" ph="1"/>
      <c r="Y36" s="102" ph="1"/>
      <c r="Z36" s="154" t="s" ph="1">
        <v>186</v>
      </c>
      <c r="AA36" s="154" ph="1"/>
      <c r="AB36" s="168" t="s" ph="1">
        <v>645</v>
      </c>
      <c r="AC36" s="168" ph="1"/>
      <c r="AD36" s="168" ph="1"/>
      <c r="AE36" s="168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345</v>
      </c>
      <c r="AI37" s="154" t="s" ph="1">
        <v>212</v>
      </c>
      <c r="AJ37" s="154" t="s" ph="1">
        <v>213</v>
      </c>
      <c r="AK37" s="154" t="s" ph="1">
        <v>214</v>
      </c>
      <c r="AM37" s="154" t="s" ph="1">
        <v>213</v>
      </c>
      <c r="AN37" s="154" t="s" ph="1">
        <v>214</v>
      </c>
      <c r="AO37" s="154" t="s" ph="1">
        <v>215</v>
      </c>
      <c r="AP37" s="154" t="s" ph="1">
        <v>213</v>
      </c>
      <c r="AQ37" s="154" t="s" ph="1">
        <v>214</v>
      </c>
      <c r="AR37" s="154" t="s" ph="1">
        <v>215</v>
      </c>
      <c r="AS37" s="154" t="s" ph="1">
        <v>213</v>
      </c>
      <c r="AT37" s="154" t="s" ph="1">
        <v>214</v>
      </c>
      <c r="AU37" s="154" t="s" ph="1">
        <v>215</v>
      </c>
      <c r="AV37" s="154" t="s" ph="1">
        <v>213</v>
      </c>
      <c r="AW37" s="154" t="s" ph="1">
        <v>214</v>
      </c>
      <c r="AX37" s="154" t="s" ph="1">
        <v>215</v>
      </c>
      <c r="AY37" s="154" t="s" ph="1">
        <v>214</v>
      </c>
      <c r="AZ37" s="154" t="s" ph="1">
        <v>216</v>
      </c>
      <c r="BD37" s="154" t="s" ph="1">
        <v>308</v>
      </c>
      <c r="BE37" s="15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7" priority="98">
      <formula>ABS(D$7-D$10)&gt;=1000</formula>
    </cfRule>
  </conditionalFormatting>
  <conditionalFormatting sqref="E4 E6:E11">
    <cfRule type="expression" dxfId="126" priority="97">
      <formula>ABS(E$7-E$10)&gt;=1000</formula>
    </cfRule>
  </conditionalFormatting>
  <conditionalFormatting sqref="F4:F11">
    <cfRule type="expression" dxfId="125" priority="96">
      <formula>ABS(F$7-F$10)&gt;=1000</formula>
    </cfRule>
  </conditionalFormatting>
  <conditionalFormatting sqref="G4:G11">
    <cfRule type="expression" dxfId="124" priority="95">
      <formula>ABS(G$7-G$10)&gt;=1000</formula>
    </cfRule>
  </conditionalFormatting>
  <conditionalFormatting sqref="H4:H11">
    <cfRule type="expression" dxfId="123" priority="94">
      <formula>ABS(H$7-H$10)&gt;=1000</formula>
    </cfRule>
  </conditionalFormatting>
  <conditionalFormatting sqref="I4:I11">
    <cfRule type="expression" dxfId="122" priority="93">
      <formula>ABS(I$7-I$10)&gt;=1000</formula>
    </cfRule>
  </conditionalFormatting>
  <conditionalFormatting sqref="J4:J11">
    <cfRule type="expression" dxfId="121" priority="92">
      <formula>ABS(J$7-J$10)&gt;=1000</formula>
    </cfRule>
  </conditionalFormatting>
  <conditionalFormatting sqref="K4:K11">
    <cfRule type="expression" dxfId="120" priority="91">
      <formula>ABS(K$7-K$10)&gt;=1000</formula>
    </cfRule>
  </conditionalFormatting>
  <conditionalFormatting sqref="L4:L11">
    <cfRule type="expression" dxfId="119" priority="90">
      <formula>ABS(L$7-L$10)&gt;=1000</formula>
    </cfRule>
  </conditionalFormatting>
  <conditionalFormatting sqref="M4 M6:M11">
    <cfRule type="expression" dxfId="118" priority="89">
      <formula>ABS(M$7-M$10)&gt;=1000</formula>
    </cfRule>
  </conditionalFormatting>
  <conditionalFormatting sqref="N4 N6:N11">
    <cfRule type="expression" dxfId="117" priority="88">
      <formula>ABS(N$7-N$10)&gt;=1000</formula>
    </cfRule>
  </conditionalFormatting>
  <conditionalFormatting sqref="O4 O6:O11">
    <cfRule type="expression" dxfId="116" priority="87">
      <formula>ABS(O$7-O$10)&gt;=1000</formula>
    </cfRule>
  </conditionalFormatting>
  <conditionalFormatting sqref="P4 P6:P11">
    <cfRule type="expression" dxfId="115" priority="86">
      <formula>ABS(P$7-P$10)&gt;=1000</formula>
    </cfRule>
  </conditionalFormatting>
  <conditionalFormatting sqref="Q4:Q11">
    <cfRule type="expression" dxfId="114" priority="85">
      <formula>ABS(Q$7-Q$10)&gt;=1000</formula>
    </cfRule>
  </conditionalFormatting>
  <conditionalFormatting sqref="R4:R11">
    <cfRule type="expression" dxfId="113" priority="84">
      <formula>ABS(R$7-R$10)&gt;=1000</formula>
    </cfRule>
  </conditionalFormatting>
  <conditionalFormatting sqref="S4:S11">
    <cfRule type="expression" dxfId="112" priority="83">
      <formula>ABS(S$7-S$10)&gt;=1000</formula>
    </cfRule>
  </conditionalFormatting>
  <conditionalFormatting sqref="T4:T9 T11">
    <cfRule type="expression" dxfId="111" priority="82">
      <formula>ABS(T$7-T$10)&gt;=1000</formula>
    </cfRule>
  </conditionalFormatting>
  <conditionalFormatting sqref="U4:U9 U11">
    <cfRule type="expression" dxfId="110" priority="81">
      <formula>ABS(U$7-U$10)&gt;=1000</formula>
    </cfRule>
  </conditionalFormatting>
  <conditionalFormatting sqref="V4:V9 V11">
    <cfRule type="expression" dxfId="109" priority="80">
      <formula>ABS(V$7-V$10)&gt;=1000</formula>
    </cfRule>
  </conditionalFormatting>
  <conditionalFormatting sqref="W4:W9 W11">
    <cfRule type="expression" dxfId="108" priority="79">
      <formula>ABS(W$7-W$10)&gt;=1000</formula>
    </cfRule>
  </conditionalFormatting>
  <conditionalFormatting sqref="X4:X9 X11">
    <cfRule type="expression" dxfId="107" priority="78">
      <formula>ABS(X$7-X$10)&gt;=1000</formula>
    </cfRule>
  </conditionalFormatting>
  <conditionalFormatting sqref="Y4:Y9 Y11">
    <cfRule type="expression" dxfId="106" priority="77">
      <formula>ABS(Y$7-Y$10)&gt;=1000</formula>
    </cfRule>
  </conditionalFormatting>
  <conditionalFormatting sqref="Z4:Z11">
    <cfRule type="expression" dxfId="105" priority="76">
      <formula>ABS(Z$7-Z$10)&gt;=1000</formula>
    </cfRule>
  </conditionalFormatting>
  <conditionalFormatting sqref="AA4:AA11">
    <cfRule type="expression" dxfId="104" priority="75">
      <formula>ABS(AA$7-AA$10)&gt;=1000</formula>
    </cfRule>
  </conditionalFormatting>
  <conditionalFormatting sqref="AB4:AB11">
    <cfRule type="expression" dxfId="103" priority="74">
      <formula>ABS(AB$7-AB$10)&gt;=1000</formula>
    </cfRule>
  </conditionalFormatting>
  <conditionalFormatting sqref="AC4 AC6:AC11">
    <cfRule type="expression" dxfId="102" priority="73">
      <formula>ABS(AC$7-AC$10)&gt;=1000</formula>
    </cfRule>
  </conditionalFormatting>
  <conditionalFormatting sqref="AD4:AD11">
    <cfRule type="expression" dxfId="101" priority="72">
      <formula>ABS(AD$7-AD$10)&gt;=1000</formula>
    </cfRule>
  </conditionalFormatting>
  <conditionalFormatting sqref="AE4 AE6:AE11">
    <cfRule type="expression" dxfId="100" priority="71">
      <formula>ABS(AE$7-AE$10)&gt;=1000</formula>
    </cfRule>
  </conditionalFormatting>
  <conditionalFormatting sqref="D13:D20">
    <cfRule type="expression" dxfId="99" priority="70">
      <formula>ABS(D$16-D$19)&gt;=1000</formula>
    </cfRule>
  </conditionalFormatting>
  <conditionalFormatting sqref="E13:E20">
    <cfRule type="expression" dxfId="98" priority="69">
      <formula>ABS(E$16-E$19)&gt;=1000</formula>
    </cfRule>
  </conditionalFormatting>
  <conditionalFormatting sqref="F13 F15:F20">
    <cfRule type="expression" dxfId="97" priority="68">
      <formula>ABS(F$16-F$19)&gt;=1000</formula>
    </cfRule>
  </conditionalFormatting>
  <conditionalFormatting sqref="G13:G20">
    <cfRule type="expression" dxfId="96" priority="67">
      <formula>ABS(G$16-G$19)&gt;=1000</formula>
    </cfRule>
  </conditionalFormatting>
  <conditionalFormatting sqref="H13:H20">
    <cfRule type="expression" dxfId="95" priority="66">
      <formula>ABS(H$16-H$19)&gt;=1000</formula>
    </cfRule>
  </conditionalFormatting>
  <conditionalFormatting sqref="I13:I20">
    <cfRule type="expression" dxfId="94" priority="65">
      <formula>ABS(I$16-I$19)&gt;=1000</formula>
    </cfRule>
  </conditionalFormatting>
  <conditionalFormatting sqref="J13:J20">
    <cfRule type="expression" dxfId="93" priority="64">
      <formula>ABS(J$16-J$19)&gt;=1000</formula>
    </cfRule>
  </conditionalFormatting>
  <conditionalFormatting sqref="L13:L20">
    <cfRule type="expression" dxfId="92" priority="63">
      <formula>ABS(L$16-L$19)&gt;=1000</formula>
    </cfRule>
  </conditionalFormatting>
  <conditionalFormatting sqref="M13 M15 M17:M18 M20">
    <cfRule type="expression" dxfId="91" priority="62">
      <formula>ABS(M$16-M$19)&gt;=1000</formula>
    </cfRule>
  </conditionalFormatting>
  <conditionalFormatting sqref="N13:N20">
    <cfRule type="expression" dxfId="90" priority="61">
      <formula>ABS(N$16-N$19)&gt;=1000</formula>
    </cfRule>
  </conditionalFormatting>
  <conditionalFormatting sqref="O13:O20">
    <cfRule type="expression" dxfId="89" priority="60">
      <formula>ABS(O$16-O$19)&gt;=1000</formula>
    </cfRule>
  </conditionalFormatting>
  <conditionalFormatting sqref="P13:P20">
    <cfRule type="expression" dxfId="88" priority="59">
      <formula>ABS(P$16-P$19)&gt;=1000</formula>
    </cfRule>
  </conditionalFormatting>
  <conditionalFormatting sqref="Q13 Q15:Q20">
    <cfRule type="expression" dxfId="87" priority="58">
      <formula>ABS(Q$16-Q$19)&gt;=1000</formula>
    </cfRule>
  </conditionalFormatting>
  <conditionalFormatting sqref="R13:R20">
    <cfRule type="expression" dxfId="86" priority="57">
      <formula>ABS(R$16-R$19)&gt;=1000</formula>
    </cfRule>
  </conditionalFormatting>
  <conditionalFormatting sqref="S13:S20">
    <cfRule type="expression" dxfId="85" priority="56">
      <formula>ABS(S$16-S$19)&gt;=1000</formula>
    </cfRule>
  </conditionalFormatting>
  <conditionalFormatting sqref="T13:T20">
    <cfRule type="expression" dxfId="84" priority="55">
      <formula>ABS(T$16-T$19)&gt;=1000</formula>
    </cfRule>
  </conditionalFormatting>
  <conditionalFormatting sqref="U13:U20">
    <cfRule type="expression" dxfId="83" priority="54">
      <formula>ABS(U$16-U$19)&gt;=1000</formula>
    </cfRule>
  </conditionalFormatting>
  <conditionalFormatting sqref="V13:V20">
    <cfRule type="expression" dxfId="82" priority="53">
      <formula>ABS(V$16-V$19)&gt;=1000</formula>
    </cfRule>
  </conditionalFormatting>
  <conditionalFormatting sqref="W13 W20 W15:W18">
    <cfRule type="expression" dxfId="81" priority="52">
      <formula>ABS(W$16-W$19)&gt;=1000</formula>
    </cfRule>
  </conditionalFormatting>
  <conditionalFormatting sqref="X13 X15:X20 Y19">
    <cfRule type="expression" dxfId="80" priority="51">
      <formula>ABS(X$16-X$19)&gt;=1000</formula>
    </cfRule>
  </conditionalFormatting>
  <conditionalFormatting sqref="Y13 Y15:Y18 Y20">
    <cfRule type="expression" dxfId="79" priority="50">
      <formula>ABS(Y$16-Y$19)&gt;=1000</formula>
    </cfRule>
  </conditionalFormatting>
  <conditionalFormatting sqref="Z13:Z20">
    <cfRule type="expression" dxfId="78" priority="49">
      <formula>ABS(Z$16-Z$19)&gt;=1000</formula>
    </cfRule>
  </conditionalFormatting>
  <conditionalFormatting sqref="AA13:AA20">
    <cfRule type="expression" dxfId="77" priority="48">
      <formula>ABS(AA$16-AA$19)&gt;=1000</formula>
    </cfRule>
  </conditionalFormatting>
  <conditionalFormatting sqref="AB13 AB15:AB20">
    <cfRule type="expression" dxfId="76" priority="47">
      <formula>ABS(AB$16-AB$19)&gt;=1000</formula>
    </cfRule>
  </conditionalFormatting>
  <conditionalFormatting sqref="AC13 AC15:AC20">
    <cfRule type="expression" dxfId="75" priority="46">
      <formula>ABS(AC$16-AC$19)&gt;=1000</formula>
    </cfRule>
  </conditionalFormatting>
  <conditionalFormatting sqref="AD13:AD20">
    <cfRule type="expression" dxfId="74" priority="45">
      <formula>ABS(AD$16-AD$19)&gt;=1000</formula>
    </cfRule>
  </conditionalFormatting>
  <conditionalFormatting sqref="AE13:AE20">
    <cfRule type="expression" dxfId="73" priority="44">
      <formula>ABS(AE$16-AE$19)&gt;=1000</formula>
    </cfRule>
  </conditionalFormatting>
  <conditionalFormatting sqref="D22:D29">
    <cfRule type="expression" dxfId="72" priority="43">
      <formula>ABS(D$25-D$28)&gt;=1000</formula>
    </cfRule>
  </conditionalFormatting>
  <conditionalFormatting sqref="E22:E29">
    <cfRule type="expression" dxfId="71" priority="42">
      <formula>ABS(E$25-E$28)&gt;=1000</formula>
    </cfRule>
  </conditionalFormatting>
  <conditionalFormatting sqref="F22:F29">
    <cfRule type="expression" dxfId="70" priority="41">
      <formula>ABS(F$25-F$28)&gt;=1000</formula>
    </cfRule>
  </conditionalFormatting>
  <conditionalFormatting sqref="G22:G29">
    <cfRule type="expression" dxfId="69" priority="40">
      <formula>ABS(G$25-G$28)&gt;=1000</formula>
    </cfRule>
  </conditionalFormatting>
  <conditionalFormatting sqref="H22:H29">
    <cfRule type="expression" dxfId="68" priority="39">
      <formula>ABS(H$25-H$28)&gt;=1000</formula>
    </cfRule>
  </conditionalFormatting>
  <conditionalFormatting sqref="I22 I24:I29">
    <cfRule type="expression" dxfId="67" priority="38">
      <formula>ABS(I$25-I$28)&gt;=1000</formula>
    </cfRule>
  </conditionalFormatting>
  <conditionalFormatting sqref="J22:J29 K22">
    <cfRule type="expression" dxfId="66" priority="37">
      <formula>ABS(J$25-J$28)&gt;=1000</formula>
    </cfRule>
  </conditionalFormatting>
  <conditionalFormatting sqref="K23:K29 L25 L28">
    <cfRule type="expression" dxfId="65" priority="36">
      <formula>ABS(K$25-K$28)&gt;=1000</formula>
    </cfRule>
  </conditionalFormatting>
  <conditionalFormatting sqref="L22 L26:L27 L29 L24">
    <cfRule type="expression" dxfId="64" priority="35">
      <formula>ABS(L$25-L$28)&gt;=1000</formula>
    </cfRule>
  </conditionalFormatting>
  <conditionalFormatting sqref="M22:M29">
    <cfRule type="expression" dxfId="63" priority="34">
      <formula>ABS(M$25-M$28)&gt;=1000</formula>
    </cfRule>
  </conditionalFormatting>
  <conditionalFormatting sqref="N22:N29">
    <cfRule type="expression" dxfId="62" priority="33">
      <formula>ABS(N$25-N$28)&gt;=1000</formula>
    </cfRule>
  </conditionalFormatting>
  <conditionalFormatting sqref="O22:O29">
    <cfRule type="expression" dxfId="61" priority="32">
      <formula>ABS(O$25-O$28)&gt;=1000</formula>
    </cfRule>
  </conditionalFormatting>
  <conditionalFormatting sqref="P22:P29">
    <cfRule type="expression" dxfId="60" priority="31">
      <formula>ABS(P$25-P$28)&gt;=1000</formula>
    </cfRule>
  </conditionalFormatting>
  <conditionalFormatting sqref="Q22:Q29">
    <cfRule type="expression" dxfId="59" priority="30">
      <formula>ABS(Q$25-Q$28)&gt;=1000</formula>
    </cfRule>
  </conditionalFormatting>
  <conditionalFormatting sqref="R22:R29">
    <cfRule type="expression" dxfId="58" priority="29">
      <formula>ABS(R$25-R$28)&gt;=1000</formula>
    </cfRule>
  </conditionalFormatting>
  <conditionalFormatting sqref="S22:S29">
    <cfRule type="expression" dxfId="57" priority="28">
      <formula>ABS(S$25-S$28)&gt;=1000</formula>
    </cfRule>
  </conditionalFormatting>
  <conditionalFormatting sqref="T22:T29">
    <cfRule type="expression" dxfId="56" priority="27">
      <formula>ABS(T$25-T$28)&gt;=1000</formula>
    </cfRule>
  </conditionalFormatting>
  <conditionalFormatting sqref="U22:U29">
    <cfRule type="expression" dxfId="55" priority="26">
      <formula>ABS(U$25-U$28)&gt;=1000</formula>
    </cfRule>
  </conditionalFormatting>
  <conditionalFormatting sqref="V22:V29">
    <cfRule type="expression" dxfId="54" priority="25">
      <formula>ABS(V$25-V$28)&gt;=1000</formula>
    </cfRule>
  </conditionalFormatting>
  <conditionalFormatting sqref="W22:W29">
    <cfRule type="expression" dxfId="53" priority="24">
      <formula>ABS(W$25-W$28)&gt;=1000</formula>
    </cfRule>
  </conditionalFormatting>
  <conditionalFormatting sqref="X22:X29">
    <cfRule type="expression" dxfId="52" priority="23">
      <formula>ABS(X$25-X$28)&gt;=1000</formula>
    </cfRule>
  </conditionalFormatting>
  <conditionalFormatting sqref="Y22:Y29">
    <cfRule type="expression" dxfId="51" priority="22">
      <formula>ABS(Y$25-Y$28)&gt;=1000</formula>
    </cfRule>
  </conditionalFormatting>
  <conditionalFormatting sqref="I23">
    <cfRule type="expression" dxfId="50" priority="21">
      <formula>ABS(I$25-I$28)&gt;=1000</formula>
    </cfRule>
  </conditionalFormatting>
  <conditionalFormatting sqref="Q14">
    <cfRule type="expression" dxfId="49" priority="20">
      <formula>ABS(Q$16-Q$19)&gt;=1000</formula>
    </cfRule>
  </conditionalFormatting>
  <conditionalFormatting sqref="W14">
    <cfRule type="expression" dxfId="48" priority="19">
      <formula>ABS(W$16-W$19)&gt;=1000</formula>
    </cfRule>
  </conditionalFormatting>
  <conditionalFormatting sqref="Y14">
    <cfRule type="expression" dxfId="47" priority="18">
      <formula>ABS(Y$16-Y$19)&gt;=1000</formula>
    </cfRule>
  </conditionalFormatting>
  <conditionalFormatting sqref="X14">
    <cfRule type="expression" dxfId="46" priority="17">
      <formula>ABS(X$16-X$19)&gt;=1000</formula>
    </cfRule>
  </conditionalFormatting>
  <conditionalFormatting sqref="T10:Y10">
    <cfRule type="expression" dxfId="45" priority="16">
      <formula>ABS(T$7-T$10)&gt;=1000</formula>
    </cfRule>
  </conditionalFormatting>
  <conditionalFormatting sqref="W19">
    <cfRule type="expression" dxfId="44" priority="15">
      <formula>ABS(W$16-W$19)&gt;=1000</formula>
    </cfRule>
  </conditionalFormatting>
  <conditionalFormatting sqref="AC5">
    <cfRule type="expression" dxfId="43" priority="14">
      <formula>ABS(AC$7-AC$10)&gt;=1000</formula>
    </cfRule>
  </conditionalFormatting>
  <conditionalFormatting sqref="M14">
    <cfRule type="expression" dxfId="42" priority="13">
      <formula>ABS(M$16-M$19)&gt;=1000</formula>
    </cfRule>
  </conditionalFormatting>
  <conditionalFormatting sqref="M16">
    <cfRule type="expression" dxfId="41" priority="12">
      <formula>ABS(M$16-M$19)&gt;=1000</formula>
    </cfRule>
  </conditionalFormatting>
  <conditionalFormatting sqref="M19">
    <cfRule type="expression" dxfId="40" priority="11">
      <formula>ABS(M$16-M$19)&gt;=1000</formula>
    </cfRule>
  </conditionalFormatting>
  <conditionalFormatting sqref="K13:K20">
    <cfRule type="expression" dxfId="39" priority="10">
      <formula>ABS(K$16-K$19)&gt;=1000</formula>
    </cfRule>
  </conditionalFormatting>
  <conditionalFormatting sqref="E5">
    <cfRule type="expression" dxfId="38" priority="9">
      <formula>ABS(E$7-E$10)&gt;=1000</formula>
    </cfRule>
  </conditionalFormatting>
  <conditionalFormatting sqref="AB14:AC14">
    <cfRule type="expression" dxfId="37" priority="8">
      <formula>ABS(AB$16-AB$19)&gt;=1000</formula>
    </cfRule>
  </conditionalFormatting>
  <conditionalFormatting sqref="M5">
    <cfRule type="expression" dxfId="36" priority="7">
      <formula>ABS(M$7-M$10)&gt;=1000</formula>
    </cfRule>
  </conditionalFormatting>
  <conditionalFormatting sqref="N5">
    <cfRule type="expression" dxfId="35" priority="6">
      <formula>ABS(N$7-N$10)&gt;=1000</formula>
    </cfRule>
  </conditionalFormatting>
  <conditionalFormatting sqref="O5">
    <cfRule type="expression" dxfId="34" priority="5">
      <formula>ABS(O$7-O$10)&gt;=1000</formula>
    </cfRule>
  </conditionalFormatting>
  <conditionalFormatting sqref="P5">
    <cfRule type="expression" dxfId="33" priority="4">
      <formula>ABS(P$7-P$10)&gt;=1000</formula>
    </cfRule>
  </conditionalFormatting>
  <conditionalFormatting sqref="L23">
    <cfRule type="expression" dxfId="32" priority="3">
      <formula>ABS(L$25-L$28)&gt;=1000</formula>
    </cfRule>
  </conditionalFormatting>
  <conditionalFormatting sqref="F14">
    <cfRule type="expression" dxfId="31" priority="2">
      <formula>ABS(F$16-F$19)&gt;=1000</formula>
    </cfRule>
  </conditionalFormatting>
  <conditionalFormatting sqref="AE5">
    <cfRule type="expression" dxfId="3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89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24</vt:i4>
      </vt:variant>
      <vt:variant>
        <vt:lpstr>已命名的範圍</vt:lpstr>
      </vt:variant>
      <vt:variant>
        <vt:i4>24</vt:i4>
      </vt:variant>
    </vt:vector>
  </HeadingPairs>
  <TitlesOfParts>
    <vt:vector size="48" baseType="lpstr">
      <vt:lpstr>新增</vt:lpstr>
      <vt:lpstr>密度</vt:lpstr>
      <vt:lpstr>7.31</vt:lpstr>
      <vt:lpstr>8.1</vt:lpstr>
      <vt:lpstr>8.4</vt:lpstr>
      <vt:lpstr>8.5</vt:lpstr>
      <vt:lpstr>8.6</vt:lpstr>
      <vt:lpstr>8.7</vt:lpstr>
      <vt:lpstr>8.8</vt:lpstr>
      <vt:lpstr>8.11</vt:lpstr>
      <vt:lpstr>8.12</vt:lpstr>
      <vt:lpstr>8.13</vt:lpstr>
      <vt:lpstr>8.14</vt:lpstr>
      <vt:lpstr>8.15</vt:lpstr>
      <vt:lpstr>8.18</vt:lpstr>
      <vt:lpstr>8.19</vt:lpstr>
      <vt:lpstr>8.20</vt:lpstr>
      <vt:lpstr>8.21</vt:lpstr>
      <vt:lpstr>8.22</vt:lpstr>
      <vt:lpstr>8.25</vt:lpstr>
      <vt:lpstr>8.26</vt:lpstr>
      <vt:lpstr>8.27</vt:lpstr>
      <vt:lpstr>8.28</vt:lpstr>
      <vt:lpstr>8.29</vt:lpstr>
      <vt:lpstr>'7.31'!Print_Area</vt:lpstr>
      <vt:lpstr>'8.1'!Print_Area</vt:lpstr>
      <vt:lpstr>'8.11'!Print_Area</vt:lpstr>
      <vt:lpstr>'8.12'!Print_Area</vt:lpstr>
      <vt:lpstr>'8.13'!Print_Area</vt:lpstr>
      <vt:lpstr>'8.14'!Print_Area</vt:lpstr>
      <vt:lpstr>'8.15'!Print_Area</vt:lpstr>
      <vt:lpstr>'8.18'!Print_Area</vt:lpstr>
      <vt:lpstr>'8.19'!Print_Area</vt:lpstr>
      <vt:lpstr>'8.20'!Print_Area</vt:lpstr>
      <vt:lpstr>'8.21'!Print_Area</vt:lpstr>
      <vt:lpstr>'8.22'!Print_Area</vt:lpstr>
      <vt:lpstr>'8.25'!Print_Area</vt:lpstr>
      <vt:lpstr>'8.26'!Print_Area</vt:lpstr>
      <vt:lpstr>'8.27'!Print_Area</vt:lpstr>
      <vt:lpstr>'8.28'!Print_Area</vt:lpstr>
      <vt:lpstr>'8.29'!Print_Area</vt:lpstr>
      <vt:lpstr>'8.4'!Print_Area</vt:lpstr>
      <vt:lpstr>'8.5'!Print_Area</vt:lpstr>
      <vt:lpstr>'8.6'!Print_Area</vt:lpstr>
      <vt:lpstr>'8.7'!Print_Area</vt:lpstr>
      <vt:lpstr>'8.8'!Print_Area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2025-08-29T07:37:13Z</cp:lastPrinted>
  <dcterms:created xsi:type="dcterms:W3CDTF">2006-09-16T00:00:00Z</dcterms:created>
  <dcterms:modified xsi:type="dcterms:W3CDTF">2025-09-01T00:07:27Z</dcterms:modified>
</cp:coreProperties>
</file>