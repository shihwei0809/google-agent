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4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5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7.xml" ContentType="application/vnd.openxmlformats-officedocument.drawing+xml"/>
  <Override PartName="/xl/ctrlProps/ctrlProp6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8.xml" ContentType="application/vnd.openxmlformats-officedocument.drawing+xml"/>
  <Override PartName="/xl/ctrlProps/ctrlProp7.xml" ContentType="application/vnd.ms-excel.controlproperties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9.xml" ContentType="application/vnd.openxmlformats-officedocument.drawing+xml"/>
  <Override PartName="/xl/ctrlProps/ctrlProp8.xml" ContentType="application/vnd.ms-excel.controlproperties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drawings/drawing10.xml" ContentType="application/vnd.openxmlformats-officedocument.drawing+xml"/>
  <Override PartName="/xl/ctrlProps/ctrlProp9.xml" ContentType="application/vnd.ms-excel.controlproperties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11.xml" ContentType="application/vnd.openxmlformats-officedocument.drawing+xml"/>
  <Override PartName="/xl/ctrlProps/ctrlProp10.xml" ContentType="application/vnd.ms-excel.controlproperties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drawings/drawing12.xml" ContentType="application/vnd.openxmlformats-officedocument.drawing+xml"/>
  <Override PartName="/xl/ctrlProps/ctrlProp11.xml" ContentType="application/vnd.ms-excel.controlproperties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13.xml" ContentType="application/vnd.openxmlformats-officedocument.drawing+xml"/>
  <Override PartName="/xl/ctrlProps/ctrlProp12.xml" ContentType="application/vnd.ms-excel.controlproperties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drawings/drawing14.xml" ContentType="application/vnd.openxmlformats-officedocument.drawing+xml"/>
  <Override PartName="/xl/ctrlProps/ctrlProp13.xml" ContentType="application/vnd.ms-excel.controlproperties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15.xml" ContentType="application/vnd.openxmlformats-officedocument.drawing+xml"/>
  <Override PartName="/xl/ctrlProps/ctrlProp14.xml" ContentType="application/vnd.ms-excel.controlproperties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drawings/drawing16.xml" ContentType="application/vnd.openxmlformats-officedocument.drawing+xml"/>
  <Override PartName="/xl/ctrlProps/ctrlProp15.xml" ContentType="application/vnd.ms-excel.controlproperties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drawings/drawing17.xml" ContentType="application/vnd.openxmlformats-officedocument.drawing+xml"/>
  <Override PartName="/xl/ctrlProps/ctrlProp16.xml" ContentType="application/vnd.ms-excel.controlproperties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drawings/drawing18.xml" ContentType="application/vnd.openxmlformats-officedocument.drawing+xml"/>
  <Override PartName="/xl/ctrlProps/ctrlProp17.xml" ContentType="application/vnd.ms-excel.controlproperties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drawings/drawing19.xml" ContentType="application/vnd.openxmlformats-officedocument.drawing+xml"/>
  <Override PartName="/xl/ctrlProps/ctrlProp18.xml" ContentType="application/vnd.ms-excel.controlproperties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drawings/drawing20.xml" ContentType="application/vnd.openxmlformats-officedocument.drawing+xml"/>
  <Override PartName="/xl/ctrlProps/ctrlProp19.xml" ContentType="application/vnd.ms-excel.controlproperties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drawings/drawing21.xml" ContentType="application/vnd.openxmlformats-officedocument.drawing+xml"/>
  <Override PartName="/xl/ctrlProps/ctrlProp20.xml" ContentType="application/vnd.ms-excel.controlproperties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drawings/drawing22.xml" ContentType="application/vnd.openxmlformats-officedocument.drawing+xml"/>
  <Override PartName="/xl/ctrlProps/ctrlProp21.xml" ContentType="application/vnd.ms-excel.controlproperties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各單位對外\資材部對外\!儲槽作業日報\儲槽作業日報\2025\"/>
    </mc:Choice>
  </mc:AlternateContent>
  <bookViews>
    <workbookView xWindow="0" yWindow="0" windowWidth="21600" windowHeight="8256" firstSheet="1" activeTab="15"/>
  </bookViews>
  <sheets>
    <sheet name="新增" sheetId="1727" r:id="rId1"/>
    <sheet name="密度" sheetId="13" r:id="rId2"/>
    <sheet name="10.31" sheetId="2014" r:id="rId3"/>
    <sheet name="11.1" sheetId="2015" r:id="rId4"/>
    <sheet name="11.3" sheetId="2017" r:id="rId5"/>
    <sheet name="11.4" sheetId="2018" r:id="rId6"/>
    <sheet name="11.5" sheetId="2019" r:id="rId7"/>
    <sheet name="11.6" sheetId="2020" r:id="rId8"/>
    <sheet name="11.7" sheetId="2021" r:id="rId9"/>
    <sheet name="11.10" sheetId="2022" r:id="rId10"/>
    <sheet name="11.11" sheetId="2023" r:id="rId11"/>
    <sheet name="11.13" sheetId="2024" r:id="rId12"/>
    <sheet name="11.14" sheetId="2025" r:id="rId13"/>
    <sheet name="11.17" sheetId="2026" r:id="rId14"/>
    <sheet name="11.18" sheetId="2027" r:id="rId15"/>
    <sheet name="11.19" sheetId="2028" r:id="rId16"/>
    <sheet name="11.20" sheetId="2029" r:id="rId17"/>
    <sheet name="11.21" sheetId="2030" r:id="rId18"/>
    <sheet name="11.24" sheetId="2031" r:id="rId19"/>
    <sheet name="11.25" sheetId="2032" r:id="rId20"/>
    <sheet name="11.26" sheetId="2033" r:id="rId21"/>
    <sheet name="11.27" sheetId="2034" r:id="rId22"/>
    <sheet name="11.28" sheetId="2035" r:id="rId23"/>
  </sheets>
  <definedNames>
    <definedName name="_xlnm.Print_Area" localSheetId="2">'10.31'!$B$1:$AE$36</definedName>
    <definedName name="_xlnm.Print_Area" localSheetId="3">'11.1'!$B$1:$AE$36</definedName>
    <definedName name="_xlnm.Print_Area" localSheetId="9">'11.10'!$B$1:$AE$36</definedName>
    <definedName name="_xlnm.Print_Area" localSheetId="10">'11.11'!$B$1:$AE$36</definedName>
    <definedName name="_xlnm.Print_Area" localSheetId="11">'11.13'!$B$1:$AE$36</definedName>
    <definedName name="_xlnm.Print_Area" localSheetId="12">'11.14'!$B$1:$AE$36</definedName>
    <definedName name="_xlnm.Print_Area" localSheetId="13">'11.17'!$B$1:$AE$36</definedName>
    <definedName name="_xlnm.Print_Area" localSheetId="14">'11.18'!$B$1:$AE$36</definedName>
    <definedName name="_xlnm.Print_Area" localSheetId="15">'11.19'!$B$1:$AE$36</definedName>
    <definedName name="_xlnm.Print_Area" localSheetId="16">'11.20'!$B$1:$AE$36</definedName>
    <definedName name="_xlnm.Print_Area" localSheetId="17">'11.21'!$B$1:$AE$36</definedName>
    <definedName name="_xlnm.Print_Area" localSheetId="18">'11.24'!$B$1:$AE$36</definedName>
    <definedName name="_xlnm.Print_Area" localSheetId="19">'11.25'!$B$1:$AE$36</definedName>
    <definedName name="_xlnm.Print_Area" localSheetId="20">'11.26'!$B$1:$AE$36</definedName>
    <definedName name="_xlnm.Print_Area" localSheetId="21">'11.27'!$B$1:$AE$36</definedName>
    <definedName name="_xlnm.Print_Area" localSheetId="22">'11.28'!$B$1:$AE$36</definedName>
    <definedName name="_xlnm.Print_Area" localSheetId="4">'11.3'!$B$1:$AE$36</definedName>
    <definedName name="_xlnm.Print_Area" localSheetId="5">'11.4'!$B$1:$AE$36</definedName>
    <definedName name="_xlnm.Print_Area" localSheetId="6">'11.5'!$B$1:$AE$36</definedName>
    <definedName name="_xlnm.Print_Area" localSheetId="7">'11.6'!$B$1:$AE$36</definedName>
    <definedName name="_xlnm.Print_Area" localSheetId="8">'11.7'!$B$1:$AE$36</definedName>
    <definedName name="_xlnm.Print_Area" localSheetId="1">密度!$A$1:$W$61</definedName>
    <definedName name="_xlnm.Print_Area" localSheetId="0">新增!$A$1:$M$45</definedName>
    <definedName name="Z_512059F6_F0DC_4056_8FD0_37088AB81F9E_.wvu.PrintArea" localSheetId="2" hidden="1">'10.31'!$B$3:$AE$36</definedName>
    <definedName name="Z_512059F6_F0DC_4056_8FD0_37088AB81F9E_.wvu.PrintArea" localSheetId="3" hidden="1">'11.1'!$B$3:$AE$36</definedName>
    <definedName name="Z_512059F6_F0DC_4056_8FD0_37088AB81F9E_.wvu.PrintArea" localSheetId="9" hidden="1">'11.10'!$B$3:$AE$36</definedName>
    <definedName name="Z_512059F6_F0DC_4056_8FD0_37088AB81F9E_.wvu.PrintArea" localSheetId="10" hidden="1">'11.11'!$B$3:$AE$36</definedName>
    <definedName name="Z_512059F6_F0DC_4056_8FD0_37088AB81F9E_.wvu.PrintArea" localSheetId="11" hidden="1">'11.13'!$B$3:$AE$36</definedName>
    <definedName name="Z_512059F6_F0DC_4056_8FD0_37088AB81F9E_.wvu.PrintArea" localSheetId="12" hidden="1">'11.14'!$B$3:$AE$36</definedName>
    <definedName name="Z_512059F6_F0DC_4056_8FD0_37088AB81F9E_.wvu.PrintArea" localSheetId="13" hidden="1">'11.17'!$B$3:$AE$36</definedName>
    <definedName name="Z_512059F6_F0DC_4056_8FD0_37088AB81F9E_.wvu.PrintArea" localSheetId="14" hidden="1">'11.18'!$B$3:$AE$36</definedName>
    <definedName name="Z_512059F6_F0DC_4056_8FD0_37088AB81F9E_.wvu.PrintArea" localSheetId="15" hidden="1">'11.19'!$B$3:$AE$36</definedName>
    <definedName name="Z_512059F6_F0DC_4056_8FD0_37088AB81F9E_.wvu.PrintArea" localSheetId="16" hidden="1">'11.20'!$B$3:$AE$36</definedName>
    <definedName name="Z_512059F6_F0DC_4056_8FD0_37088AB81F9E_.wvu.PrintArea" localSheetId="17" hidden="1">'11.21'!$B$3:$AE$36</definedName>
    <definedName name="Z_512059F6_F0DC_4056_8FD0_37088AB81F9E_.wvu.PrintArea" localSheetId="18" hidden="1">'11.24'!$B$3:$AE$36</definedName>
    <definedName name="Z_512059F6_F0DC_4056_8FD0_37088AB81F9E_.wvu.PrintArea" localSheetId="19" hidden="1">'11.25'!$B$3:$AE$36</definedName>
    <definedName name="Z_512059F6_F0DC_4056_8FD0_37088AB81F9E_.wvu.PrintArea" localSheetId="20" hidden="1">'11.26'!$B$3:$AE$36</definedName>
    <definedName name="Z_512059F6_F0DC_4056_8FD0_37088AB81F9E_.wvu.PrintArea" localSheetId="21" hidden="1">'11.27'!$B$3:$AE$36</definedName>
    <definedName name="Z_512059F6_F0DC_4056_8FD0_37088AB81F9E_.wvu.PrintArea" localSheetId="22" hidden="1">'11.28'!$B$3:$AE$36</definedName>
    <definedName name="Z_512059F6_F0DC_4056_8FD0_37088AB81F9E_.wvu.PrintArea" localSheetId="4" hidden="1">'11.3'!$B$3:$AE$36</definedName>
    <definedName name="Z_512059F6_F0DC_4056_8FD0_37088AB81F9E_.wvu.PrintArea" localSheetId="5" hidden="1">'11.4'!$B$3:$AE$36</definedName>
    <definedName name="Z_512059F6_F0DC_4056_8FD0_37088AB81F9E_.wvu.PrintArea" localSheetId="6" hidden="1">'11.5'!$B$3:$AE$36</definedName>
    <definedName name="Z_512059F6_F0DC_4056_8FD0_37088AB81F9E_.wvu.PrintArea" localSheetId="7" hidden="1">'11.6'!$B$3:$AE$36</definedName>
    <definedName name="Z_512059F6_F0DC_4056_8FD0_37088AB81F9E_.wvu.PrintArea" localSheetId="8" hidden="1">'11.7'!$B$3:$AE$36</definedName>
    <definedName name="Z_68643476_8805_447E_8170_A582EA1D0343_.wvu.PrintArea" localSheetId="2" hidden="1">'10.31'!$B$3:$AE$36</definedName>
    <definedName name="Z_68643476_8805_447E_8170_A582EA1D0343_.wvu.PrintArea" localSheetId="3" hidden="1">'11.1'!$B$3:$AE$36</definedName>
    <definedName name="Z_68643476_8805_447E_8170_A582EA1D0343_.wvu.PrintArea" localSheetId="9" hidden="1">'11.10'!$B$3:$AE$36</definedName>
    <definedName name="Z_68643476_8805_447E_8170_A582EA1D0343_.wvu.PrintArea" localSheetId="10" hidden="1">'11.11'!$B$3:$AE$36</definedName>
    <definedName name="Z_68643476_8805_447E_8170_A582EA1D0343_.wvu.PrintArea" localSheetId="11" hidden="1">'11.13'!$B$3:$AE$36</definedName>
    <definedName name="Z_68643476_8805_447E_8170_A582EA1D0343_.wvu.PrintArea" localSheetId="12" hidden="1">'11.14'!$B$3:$AE$36</definedName>
    <definedName name="Z_68643476_8805_447E_8170_A582EA1D0343_.wvu.PrintArea" localSheetId="13" hidden="1">'11.17'!$B$3:$AE$36</definedName>
    <definedName name="Z_68643476_8805_447E_8170_A582EA1D0343_.wvu.PrintArea" localSheetId="14" hidden="1">'11.18'!$B$3:$AE$36</definedName>
    <definedName name="Z_68643476_8805_447E_8170_A582EA1D0343_.wvu.PrintArea" localSheetId="15" hidden="1">'11.19'!$B$3:$AE$36</definedName>
    <definedName name="Z_68643476_8805_447E_8170_A582EA1D0343_.wvu.PrintArea" localSheetId="16" hidden="1">'11.20'!$B$3:$AE$36</definedName>
    <definedName name="Z_68643476_8805_447E_8170_A582EA1D0343_.wvu.PrintArea" localSheetId="17" hidden="1">'11.21'!$B$3:$AE$36</definedName>
    <definedName name="Z_68643476_8805_447E_8170_A582EA1D0343_.wvu.PrintArea" localSheetId="18" hidden="1">'11.24'!$B$3:$AE$36</definedName>
    <definedName name="Z_68643476_8805_447E_8170_A582EA1D0343_.wvu.PrintArea" localSheetId="19" hidden="1">'11.25'!$B$3:$AE$36</definedName>
    <definedName name="Z_68643476_8805_447E_8170_A582EA1D0343_.wvu.PrintArea" localSheetId="20" hidden="1">'11.26'!$B$3:$AE$36</definedName>
    <definedName name="Z_68643476_8805_447E_8170_A582EA1D0343_.wvu.PrintArea" localSheetId="21" hidden="1">'11.27'!$B$3:$AE$36</definedName>
    <definedName name="Z_68643476_8805_447E_8170_A582EA1D0343_.wvu.PrintArea" localSheetId="22" hidden="1">'11.28'!$B$3:$AE$36</definedName>
    <definedName name="Z_68643476_8805_447E_8170_A582EA1D0343_.wvu.PrintArea" localSheetId="4" hidden="1">'11.3'!$B$3:$AE$36</definedName>
    <definedName name="Z_68643476_8805_447E_8170_A582EA1D0343_.wvu.PrintArea" localSheetId="5" hidden="1">'11.4'!$B$3:$AE$36</definedName>
    <definedName name="Z_68643476_8805_447E_8170_A582EA1D0343_.wvu.PrintArea" localSheetId="6" hidden="1">'11.5'!$B$3:$AE$36</definedName>
    <definedName name="Z_68643476_8805_447E_8170_A582EA1D0343_.wvu.PrintArea" localSheetId="7" hidden="1">'11.6'!$B$3:$AE$36</definedName>
    <definedName name="Z_68643476_8805_447E_8170_A582EA1D0343_.wvu.PrintArea" localSheetId="8" hidden="1">'11.7'!$B$3:$AE$36</definedName>
    <definedName name="Z_8E5926ED_4EBD_4129_B8FF_799CC47580D7_.wvu.PrintArea" localSheetId="2" hidden="1">'10.31'!$B$3:$AE$36</definedName>
    <definedName name="Z_8E5926ED_4EBD_4129_B8FF_799CC47580D7_.wvu.PrintArea" localSheetId="3" hidden="1">'11.1'!$B$3:$AE$36</definedName>
    <definedName name="Z_8E5926ED_4EBD_4129_B8FF_799CC47580D7_.wvu.PrintArea" localSheetId="9" hidden="1">'11.10'!$B$3:$AE$36</definedName>
    <definedName name="Z_8E5926ED_4EBD_4129_B8FF_799CC47580D7_.wvu.PrintArea" localSheetId="10" hidden="1">'11.11'!$B$3:$AE$36</definedName>
    <definedName name="Z_8E5926ED_4EBD_4129_B8FF_799CC47580D7_.wvu.PrintArea" localSheetId="11" hidden="1">'11.13'!$B$3:$AE$36</definedName>
    <definedName name="Z_8E5926ED_4EBD_4129_B8FF_799CC47580D7_.wvu.PrintArea" localSheetId="12" hidden="1">'11.14'!$B$3:$AE$36</definedName>
    <definedName name="Z_8E5926ED_4EBD_4129_B8FF_799CC47580D7_.wvu.PrintArea" localSheetId="13" hidden="1">'11.17'!$B$3:$AE$36</definedName>
    <definedName name="Z_8E5926ED_4EBD_4129_B8FF_799CC47580D7_.wvu.PrintArea" localSheetId="14" hidden="1">'11.18'!$B$3:$AE$36</definedName>
    <definedName name="Z_8E5926ED_4EBD_4129_B8FF_799CC47580D7_.wvu.PrintArea" localSheetId="15" hidden="1">'11.19'!$B$3:$AE$36</definedName>
    <definedName name="Z_8E5926ED_4EBD_4129_B8FF_799CC47580D7_.wvu.PrintArea" localSheetId="16" hidden="1">'11.20'!$B$3:$AE$36</definedName>
    <definedName name="Z_8E5926ED_4EBD_4129_B8FF_799CC47580D7_.wvu.PrintArea" localSheetId="17" hidden="1">'11.21'!$B$3:$AE$36</definedName>
    <definedName name="Z_8E5926ED_4EBD_4129_B8FF_799CC47580D7_.wvu.PrintArea" localSheetId="18" hidden="1">'11.24'!$B$3:$AE$36</definedName>
    <definedName name="Z_8E5926ED_4EBD_4129_B8FF_799CC47580D7_.wvu.PrintArea" localSheetId="19" hidden="1">'11.25'!$B$3:$AE$36</definedName>
    <definedName name="Z_8E5926ED_4EBD_4129_B8FF_799CC47580D7_.wvu.PrintArea" localSheetId="20" hidden="1">'11.26'!$B$3:$AE$36</definedName>
    <definedName name="Z_8E5926ED_4EBD_4129_B8FF_799CC47580D7_.wvu.PrintArea" localSheetId="21" hidden="1">'11.27'!$B$3:$AE$36</definedName>
    <definedName name="Z_8E5926ED_4EBD_4129_B8FF_799CC47580D7_.wvu.PrintArea" localSheetId="22" hidden="1">'11.28'!$B$3:$AE$36</definedName>
    <definedName name="Z_8E5926ED_4EBD_4129_B8FF_799CC47580D7_.wvu.PrintArea" localSheetId="4" hidden="1">'11.3'!$B$3:$AE$36</definedName>
    <definedName name="Z_8E5926ED_4EBD_4129_B8FF_799CC47580D7_.wvu.PrintArea" localSheetId="5" hidden="1">'11.4'!$B$3:$AE$36</definedName>
    <definedName name="Z_8E5926ED_4EBD_4129_B8FF_799CC47580D7_.wvu.PrintArea" localSheetId="6" hidden="1">'11.5'!$B$3:$AE$36</definedName>
    <definedName name="Z_8E5926ED_4EBD_4129_B8FF_799CC47580D7_.wvu.PrintArea" localSheetId="7" hidden="1">'11.6'!$B$3:$AE$36</definedName>
    <definedName name="Z_8E5926ED_4EBD_4129_B8FF_799CC47580D7_.wvu.PrintArea" localSheetId="8" hidden="1">'11.7'!$B$3:$AE$36</definedName>
    <definedName name="Z_8FA8B620_C56C_11DB_A857_00055D5FD5FF_.wvu.PrintArea" localSheetId="2" hidden="1">'10.31'!$B$3:$AE$36</definedName>
    <definedName name="Z_8FA8B620_C56C_11DB_A857_00055D5FD5FF_.wvu.PrintArea" localSheetId="3" hidden="1">'11.1'!$B$3:$AE$36</definedName>
    <definedName name="Z_8FA8B620_C56C_11DB_A857_00055D5FD5FF_.wvu.PrintArea" localSheetId="9" hidden="1">'11.10'!$B$3:$AE$36</definedName>
    <definedName name="Z_8FA8B620_C56C_11DB_A857_00055D5FD5FF_.wvu.PrintArea" localSheetId="10" hidden="1">'11.11'!$B$3:$AE$36</definedName>
    <definedName name="Z_8FA8B620_C56C_11DB_A857_00055D5FD5FF_.wvu.PrintArea" localSheetId="11" hidden="1">'11.13'!$B$3:$AE$36</definedName>
    <definedName name="Z_8FA8B620_C56C_11DB_A857_00055D5FD5FF_.wvu.PrintArea" localSheetId="12" hidden="1">'11.14'!$B$3:$AE$36</definedName>
    <definedName name="Z_8FA8B620_C56C_11DB_A857_00055D5FD5FF_.wvu.PrintArea" localSheetId="13" hidden="1">'11.17'!$B$3:$AE$36</definedName>
    <definedName name="Z_8FA8B620_C56C_11DB_A857_00055D5FD5FF_.wvu.PrintArea" localSheetId="14" hidden="1">'11.18'!$B$3:$AE$36</definedName>
    <definedName name="Z_8FA8B620_C56C_11DB_A857_00055D5FD5FF_.wvu.PrintArea" localSheetId="15" hidden="1">'11.19'!$B$3:$AE$36</definedName>
    <definedName name="Z_8FA8B620_C56C_11DB_A857_00055D5FD5FF_.wvu.PrintArea" localSheetId="16" hidden="1">'11.20'!$B$3:$AE$36</definedName>
    <definedName name="Z_8FA8B620_C56C_11DB_A857_00055D5FD5FF_.wvu.PrintArea" localSheetId="17" hidden="1">'11.21'!$B$3:$AE$36</definedName>
    <definedName name="Z_8FA8B620_C56C_11DB_A857_00055D5FD5FF_.wvu.PrintArea" localSheetId="18" hidden="1">'11.24'!$B$3:$AE$36</definedName>
    <definedName name="Z_8FA8B620_C56C_11DB_A857_00055D5FD5FF_.wvu.PrintArea" localSheetId="19" hidden="1">'11.25'!$B$3:$AE$36</definedName>
    <definedName name="Z_8FA8B620_C56C_11DB_A857_00055D5FD5FF_.wvu.PrintArea" localSheetId="20" hidden="1">'11.26'!$B$3:$AE$36</definedName>
    <definedName name="Z_8FA8B620_C56C_11DB_A857_00055D5FD5FF_.wvu.PrintArea" localSheetId="21" hidden="1">'11.27'!$B$3:$AE$36</definedName>
    <definedName name="Z_8FA8B620_C56C_11DB_A857_00055D5FD5FF_.wvu.PrintArea" localSheetId="22" hidden="1">'11.28'!$B$3:$AE$36</definedName>
    <definedName name="Z_8FA8B620_C56C_11DB_A857_00055D5FD5FF_.wvu.PrintArea" localSheetId="4" hidden="1">'11.3'!$B$3:$AE$36</definedName>
    <definedName name="Z_8FA8B620_C56C_11DB_A857_00055D5FD5FF_.wvu.PrintArea" localSheetId="5" hidden="1">'11.4'!$B$3:$AE$36</definedName>
    <definedName name="Z_8FA8B620_C56C_11DB_A857_00055D5FD5FF_.wvu.PrintArea" localSheetId="6" hidden="1">'11.5'!$B$3:$AE$36</definedName>
    <definedName name="Z_8FA8B620_C56C_11DB_A857_00055D5FD5FF_.wvu.PrintArea" localSheetId="7" hidden="1">'11.6'!$B$3:$AE$36</definedName>
    <definedName name="Z_8FA8B620_C56C_11DB_A857_00055D5FD5FF_.wvu.PrintArea" localSheetId="8" hidden="1">'11.7'!$B$3:$AE$36</definedName>
    <definedName name="Z_A3DB5619_047E_4CE2_8C39_700CFD25F2CB_.wvu.PrintArea" localSheetId="2" hidden="1">'10.31'!$B$3:$AE$36</definedName>
    <definedName name="Z_A3DB5619_047E_4CE2_8C39_700CFD25F2CB_.wvu.PrintArea" localSheetId="3" hidden="1">'11.1'!$B$3:$AE$36</definedName>
    <definedName name="Z_A3DB5619_047E_4CE2_8C39_700CFD25F2CB_.wvu.PrintArea" localSheetId="9" hidden="1">'11.10'!$B$3:$AE$36</definedName>
    <definedName name="Z_A3DB5619_047E_4CE2_8C39_700CFD25F2CB_.wvu.PrintArea" localSheetId="10" hidden="1">'11.11'!$B$3:$AE$36</definedName>
    <definedName name="Z_A3DB5619_047E_4CE2_8C39_700CFD25F2CB_.wvu.PrintArea" localSheetId="11" hidden="1">'11.13'!$B$3:$AE$36</definedName>
    <definedName name="Z_A3DB5619_047E_4CE2_8C39_700CFD25F2CB_.wvu.PrintArea" localSheetId="12" hidden="1">'11.14'!$B$3:$AE$36</definedName>
    <definedName name="Z_A3DB5619_047E_4CE2_8C39_700CFD25F2CB_.wvu.PrintArea" localSheetId="13" hidden="1">'11.17'!$B$3:$AE$36</definedName>
    <definedName name="Z_A3DB5619_047E_4CE2_8C39_700CFD25F2CB_.wvu.PrintArea" localSheetId="14" hidden="1">'11.18'!$B$3:$AE$36</definedName>
    <definedName name="Z_A3DB5619_047E_4CE2_8C39_700CFD25F2CB_.wvu.PrintArea" localSheetId="15" hidden="1">'11.19'!$B$3:$AE$36</definedName>
    <definedName name="Z_A3DB5619_047E_4CE2_8C39_700CFD25F2CB_.wvu.PrintArea" localSheetId="16" hidden="1">'11.20'!$B$3:$AE$36</definedName>
    <definedName name="Z_A3DB5619_047E_4CE2_8C39_700CFD25F2CB_.wvu.PrintArea" localSheetId="17" hidden="1">'11.21'!$B$3:$AE$36</definedName>
    <definedName name="Z_A3DB5619_047E_4CE2_8C39_700CFD25F2CB_.wvu.PrintArea" localSheetId="18" hidden="1">'11.24'!$B$3:$AE$36</definedName>
    <definedName name="Z_A3DB5619_047E_4CE2_8C39_700CFD25F2CB_.wvu.PrintArea" localSheetId="19" hidden="1">'11.25'!$B$3:$AE$36</definedName>
    <definedName name="Z_A3DB5619_047E_4CE2_8C39_700CFD25F2CB_.wvu.PrintArea" localSheetId="20" hidden="1">'11.26'!$B$3:$AE$36</definedName>
    <definedName name="Z_A3DB5619_047E_4CE2_8C39_700CFD25F2CB_.wvu.PrintArea" localSheetId="21" hidden="1">'11.27'!$B$3:$AE$36</definedName>
    <definedName name="Z_A3DB5619_047E_4CE2_8C39_700CFD25F2CB_.wvu.PrintArea" localSheetId="22" hidden="1">'11.28'!$B$3:$AE$36</definedName>
    <definedName name="Z_A3DB5619_047E_4CE2_8C39_700CFD25F2CB_.wvu.PrintArea" localSheetId="4" hidden="1">'11.3'!$B$3:$AE$36</definedName>
    <definedName name="Z_A3DB5619_047E_4CE2_8C39_700CFD25F2CB_.wvu.PrintArea" localSheetId="5" hidden="1">'11.4'!$B$3:$AE$36</definedName>
    <definedName name="Z_A3DB5619_047E_4CE2_8C39_700CFD25F2CB_.wvu.PrintArea" localSheetId="6" hidden="1">'11.5'!$B$3:$AE$36</definedName>
    <definedName name="Z_A3DB5619_047E_4CE2_8C39_700CFD25F2CB_.wvu.PrintArea" localSheetId="7" hidden="1">'11.6'!$B$3:$AE$36</definedName>
    <definedName name="Z_A3DB5619_047E_4CE2_8C39_700CFD25F2CB_.wvu.PrintArea" localSheetId="8" hidden="1">'11.7'!$B$3:$AE$36</definedName>
    <definedName name="Z_D903F940_B812_11DB_B168_0010B575B8B2_.wvu.PrintArea" localSheetId="2" hidden="1">'10.31'!$B$3:$AE$36</definedName>
    <definedName name="Z_D903F940_B812_11DB_B168_0010B575B8B2_.wvu.PrintArea" localSheetId="3" hidden="1">'11.1'!$B$3:$AE$36</definedName>
    <definedName name="Z_D903F940_B812_11DB_B168_0010B575B8B2_.wvu.PrintArea" localSheetId="9" hidden="1">'11.10'!$B$3:$AE$36</definedName>
    <definedName name="Z_D903F940_B812_11DB_B168_0010B575B8B2_.wvu.PrintArea" localSheetId="10" hidden="1">'11.11'!$B$3:$AE$36</definedName>
    <definedName name="Z_D903F940_B812_11DB_B168_0010B575B8B2_.wvu.PrintArea" localSheetId="11" hidden="1">'11.13'!$B$3:$AE$36</definedName>
    <definedName name="Z_D903F940_B812_11DB_B168_0010B575B8B2_.wvu.PrintArea" localSheetId="12" hidden="1">'11.14'!$B$3:$AE$36</definedName>
    <definedName name="Z_D903F940_B812_11DB_B168_0010B575B8B2_.wvu.PrintArea" localSheetId="13" hidden="1">'11.17'!$B$3:$AE$36</definedName>
    <definedName name="Z_D903F940_B812_11DB_B168_0010B575B8B2_.wvu.PrintArea" localSheetId="14" hidden="1">'11.18'!$B$3:$AE$36</definedName>
    <definedName name="Z_D903F940_B812_11DB_B168_0010B575B8B2_.wvu.PrintArea" localSheetId="15" hidden="1">'11.19'!$B$3:$AE$36</definedName>
    <definedName name="Z_D903F940_B812_11DB_B168_0010B575B8B2_.wvu.PrintArea" localSheetId="16" hidden="1">'11.20'!$B$3:$AE$36</definedName>
    <definedName name="Z_D903F940_B812_11DB_B168_0010B575B8B2_.wvu.PrintArea" localSheetId="17" hidden="1">'11.21'!$B$3:$AE$36</definedName>
    <definedName name="Z_D903F940_B812_11DB_B168_0010B575B8B2_.wvu.PrintArea" localSheetId="18" hidden="1">'11.24'!$B$3:$AE$36</definedName>
    <definedName name="Z_D903F940_B812_11DB_B168_0010B575B8B2_.wvu.PrintArea" localSheetId="19" hidden="1">'11.25'!$B$3:$AE$36</definedName>
    <definedName name="Z_D903F940_B812_11DB_B168_0010B575B8B2_.wvu.PrintArea" localSheetId="20" hidden="1">'11.26'!$B$3:$AE$36</definedName>
    <definedName name="Z_D903F940_B812_11DB_B168_0010B575B8B2_.wvu.PrintArea" localSheetId="21" hidden="1">'11.27'!$B$3:$AE$36</definedName>
    <definedName name="Z_D903F940_B812_11DB_B168_0010B575B8B2_.wvu.PrintArea" localSheetId="22" hidden="1">'11.28'!$B$3:$AE$36</definedName>
    <definedName name="Z_D903F940_B812_11DB_B168_0010B575B8B2_.wvu.PrintArea" localSheetId="4" hidden="1">'11.3'!$B$3:$AE$36</definedName>
    <definedName name="Z_D903F940_B812_11DB_B168_0010B575B8B2_.wvu.PrintArea" localSheetId="5" hidden="1">'11.4'!$B$3:$AE$36</definedName>
    <definedName name="Z_D903F940_B812_11DB_B168_0010B575B8B2_.wvu.PrintArea" localSheetId="6" hidden="1">'11.5'!$B$3:$AE$36</definedName>
    <definedName name="Z_D903F940_B812_11DB_B168_0010B575B8B2_.wvu.PrintArea" localSheetId="7" hidden="1">'11.6'!$B$3:$AE$36</definedName>
    <definedName name="Z_D903F940_B812_11DB_B168_0010B575B8B2_.wvu.PrintArea" localSheetId="8" hidden="1">'11.7'!$B$3:$AE$36</definedName>
    <definedName name="取樣回收每月庫存表" localSheetId="2" hidden="1">'10.31'!#REF!</definedName>
    <definedName name="取樣回收每月庫存表" localSheetId="3" hidden="1">'11.1'!#REF!</definedName>
    <definedName name="取樣回收每月庫存表" localSheetId="9" hidden="1">'11.10'!#REF!</definedName>
    <definedName name="取樣回收每月庫存表" localSheetId="10" hidden="1">'11.11'!#REF!</definedName>
    <definedName name="取樣回收每月庫存表" localSheetId="11" hidden="1">'11.13'!#REF!</definedName>
    <definedName name="取樣回收每月庫存表" localSheetId="12" hidden="1">'11.14'!#REF!</definedName>
    <definedName name="取樣回收每月庫存表" localSheetId="13" hidden="1">'11.17'!#REF!</definedName>
    <definedName name="取樣回收每月庫存表" localSheetId="14" hidden="1">'11.18'!#REF!</definedName>
    <definedName name="取樣回收每月庫存表" localSheetId="15" hidden="1">'11.19'!#REF!</definedName>
    <definedName name="取樣回收每月庫存表" localSheetId="16" hidden="1">'11.20'!#REF!</definedName>
    <definedName name="取樣回收每月庫存表" localSheetId="17" hidden="1">'11.21'!#REF!</definedName>
    <definedName name="取樣回收每月庫存表" localSheetId="18" hidden="1">'11.24'!#REF!</definedName>
    <definedName name="取樣回收每月庫存表" localSheetId="19" hidden="1">'11.25'!#REF!</definedName>
    <definedName name="取樣回收每月庫存表" localSheetId="20" hidden="1">'11.26'!#REF!</definedName>
    <definedName name="取樣回收每月庫存表" localSheetId="21" hidden="1">'11.27'!#REF!</definedName>
    <definedName name="取樣回收每月庫存表" localSheetId="22" hidden="1">'11.28'!#REF!</definedName>
    <definedName name="取樣回收每月庫存表" localSheetId="4" hidden="1">'11.3'!#REF!</definedName>
    <definedName name="取樣回收每月庫存表" localSheetId="5" hidden="1">'11.4'!#REF!</definedName>
    <definedName name="取樣回收每月庫存表" localSheetId="6" hidden="1">'11.5'!#REF!</definedName>
    <definedName name="取樣回收每月庫存表" localSheetId="7" hidden="1">'11.6'!#REF!</definedName>
    <definedName name="取樣回收每月庫存表" localSheetId="8" hidden="1">'11.7'!#REF!</definedName>
    <definedName name="取樣回收每月庫存表_0620更新" localSheetId="2" hidden="1">'10.31'!$AG$13:$BH$189</definedName>
    <definedName name="取樣回收每月庫存表_0620更新" localSheetId="3" hidden="1">'11.1'!$AG$13:$BH$189</definedName>
    <definedName name="取樣回收每月庫存表_0620更新" localSheetId="9" hidden="1">'11.10'!$AG$13:$BH$189</definedName>
    <definedName name="取樣回收每月庫存表_0620更新" localSheetId="10" hidden="1">'11.11'!$AG$13:$BH$189</definedName>
    <definedName name="取樣回收每月庫存表_0620更新" localSheetId="11" hidden="1">'11.13'!$AG$13:$BH$189</definedName>
    <definedName name="取樣回收每月庫存表_0620更新" localSheetId="12" hidden="1">'11.14'!$AG$13:$BH$189</definedName>
    <definedName name="取樣回收每月庫存表_0620更新" localSheetId="13" hidden="1">'11.17'!$AG$13:$BH$189</definedName>
    <definedName name="取樣回收每月庫存表_0620更新" localSheetId="14" hidden="1">'11.18'!$AG$13:$BH$189</definedName>
    <definedName name="取樣回收每月庫存表_0620更新" localSheetId="15" hidden="1">'11.19'!$AG$13:$BH$189</definedName>
    <definedName name="取樣回收每月庫存表_0620更新" localSheetId="16" hidden="1">'11.20'!$AG$13:$BH$189</definedName>
    <definedName name="取樣回收每月庫存表_0620更新" localSheetId="17" hidden="1">'11.21'!$AG$13:$BH$189</definedName>
    <definedName name="取樣回收每月庫存表_0620更新" localSheetId="18" hidden="1">'11.24'!$AG$13:$BH$189</definedName>
    <definedName name="取樣回收每月庫存表_0620更新" localSheetId="19" hidden="1">'11.25'!$AG$13:$BH$189</definedName>
    <definedName name="取樣回收每月庫存表_0620更新" localSheetId="20" hidden="1">'11.26'!$AG$13:$BH$189</definedName>
    <definedName name="取樣回收每月庫存表_0620更新" localSheetId="21" hidden="1">'11.27'!$AG$13:$BH$189</definedName>
    <definedName name="取樣回收每月庫存表_0620更新" localSheetId="22" hidden="1">'11.28'!$AG$13:$BH$189</definedName>
    <definedName name="取樣回收每月庫存表_0620更新" localSheetId="4" hidden="1">'11.3'!$AG$13:$BH$189</definedName>
    <definedName name="取樣回收每月庫存表_0620更新" localSheetId="5" hidden="1">'11.4'!$AG$13:$BH$189</definedName>
    <definedName name="取樣回收每月庫存表_0620更新" localSheetId="6" hidden="1">'11.5'!$AG$13:$BH$189</definedName>
    <definedName name="取樣回收每月庫存表_0620更新" localSheetId="7" hidden="1">'11.6'!$AG$13:$BH$189</definedName>
    <definedName name="取樣回收每月庫存表_0620更新" localSheetId="8" hidden="1">'11.7'!$AG$13:$BH$189</definedName>
    <definedName name="複本_14_取樣回收每月庫存表" localSheetId="2" hidden="1">'10.31'!#REF!</definedName>
    <definedName name="複本_14_取樣回收每月庫存表" localSheetId="3" hidden="1">'11.1'!#REF!</definedName>
    <definedName name="複本_14_取樣回收每月庫存表" localSheetId="9" hidden="1">'11.10'!#REF!</definedName>
    <definedName name="複本_14_取樣回收每月庫存表" localSheetId="10" hidden="1">'11.11'!#REF!</definedName>
    <definedName name="複本_14_取樣回收每月庫存表" localSheetId="11" hidden="1">'11.13'!#REF!</definedName>
    <definedName name="複本_14_取樣回收每月庫存表" localSheetId="12" hidden="1">'11.14'!#REF!</definedName>
    <definedName name="複本_14_取樣回收每月庫存表" localSheetId="13" hidden="1">'11.17'!#REF!</definedName>
    <definedName name="複本_14_取樣回收每月庫存表" localSheetId="14" hidden="1">'11.18'!#REF!</definedName>
    <definedName name="複本_14_取樣回收每月庫存表" localSheetId="15" hidden="1">'11.19'!#REF!</definedName>
    <definedName name="複本_14_取樣回收每月庫存表" localSheetId="16" hidden="1">'11.20'!#REF!</definedName>
    <definedName name="複本_14_取樣回收每月庫存表" localSheetId="17" hidden="1">'11.21'!#REF!</definedName>
    <definedName name="複本_14_取樣回收每月庫存表" localSheetId="18" hidden="1">'11.24'!#REF!</definedName>
    <definedName name="複本_14_取樣回收每月庫存表" localSheetId="19" hidden="1">'11.25'!#REF!</definedName>
    <definedName name="複本_14_取樣回收每月庫存表" localSheetId="20" hidden="1">'11.26'!#REF!</definedName>
    <definedName name="複本_14_取樣回收每月庫存表" localSheetId="21" hidden="1">'11.27'!#REF!</definedName>
    <definedName name="複本_14_取樣回收每月庫存表" localSheetId="22" hidden="1">'11.28'!#REF!</definedName>
    <definedName name="複本_14_取樣回收每月庫存表" localSheetId="4" hidden="1">'11.3'!#REF!</definedName>
    <definedName name="複本_14_取樣回收每月庫存表" localSheetId="5" hidden="1">'11.4'!#REF!</definedName>
    <definedName name="複本_14_取樣回收每月庫存表" localSheetId="6" hidden="1">'11.5'!#REF!</definedName>
    <definedName name="複本_14_取樣回收每月庫存表" localSheetId="7" hidden="1">'11.6'!#REF!</definedName>
    <definedName name="複本_14_取樣回收每月庫存表" localSheetId="8" hidden="1">'11.7'!#REF!</definedName>
  </definedNames>
  <calcPr calcId="162913"/>
</workbook>
</file>

<file path=xl/calcChain.xml><?xml version="1.0" encoding="utf-8"?>
<calcChain xmlns="http://schemas.openxmlformats.org/spreadsheetml/2006/main">
  <c r="AA33" i="2035" l="1"/>
  <c r="X33" i="2035"/>
  <c r="U33" i="2035"/>
  <c r="R33" i="2035"/>
  <c r="O33" i="2035"/>
  <c r="L33" i="2035"/>
  <c r="F33" i="2035"/>
  <c r="Y28" i="2035"/>
  <c r="X28" i="2035"/>
  <c r="W28" i="2035"/>
  <c r="V28" i="2035"/>
  <c r="U28" i="2035"/>
  <c r="T28" i="2035"/>
  <c r="S28" i="2035"/>
  <c r="R28" i="2035"/>
  <c r="Q28" i="2035"/>
  <c r="P28" i="2035"/>
  <c r="O28" i="2035"/>
  <c r="N28" i="2035"/>
  <c r="M28" i="2035"/>
  <c r="L28" i="2035"/>
  <c r="K28" i="2035"/>
  <c r="J28" i="2035"/>
  <c r="I28" i="2035"/>
  <c r="H28" i="2035"/>
  <c r="G28" i="2035"/>
  <c r="F28" i="2035"/>
  <c r="E28" i="2035"/>
  <c r="D28" i="2035"/>
  <c r="Y25" i="2035"/>
  <c r="X25" i="2035"/>
  <c r="W25" i="2035"/>
  <c r="V25" i="2035"/>
  <c r="U25" i="2035"/>
  <c r="T25" i="2035"/>
  <c r="S25" i="2035"/>
  <c r="R25" i="2035"/>
  <c r="Q25" i="2035"/>
  <c r="P25" i="2035"/>
  <c r="O25" i="2035"/>
  <c r="N25" i="2035"/>
  <c r="M25" i="2035"/>
  <c r="L25" i="2035"/>
  <c r="K25" i="2035"/>
  <c r="J25" i="2035"/>
  <c r="I25" i="2035"/>
  <c r="H25" i="2035"/>
  <c r="G25" i="2035"/>
  <c r="F25" i="2035"/>
  <c r="E25" i="2035"/>
  <c r="D25" i="2035"/>
  <c r="AE19" i="2035"/>
  <c r="AD19" i="2035"/>
  <c r="AC19" i="2035"/>
  <c r="AB19" i="2035"/>
  <c r="AA19" i="2035"/>
  <c r="Z19" i="2035"/>
  <c r="Y19" i="2035"/>
  <c r="X19" i="2035"/>
  <c r="T33" i="2035" s="1"/>
  <c r="W19" i="2035"/>
  <c r="V19" i="2035"/>
  <c r="U19" i="2035"/>
  <c r="T19" i="2035"/>
  <c r="S19" i="2035"/>
  <c r="R19" i="2035"/>
  <c r="Q19" i="2035"/>
  <c r="P19" i="2035"/>
  <c r="O19" i="2035"/>
  <c r="N19" i="2035"/>
  <c r="H33" i="2035" s="1"/>
  <c r="M19" i="2035"/>
  <c r="L19" i="2035"/>
  <c r="P33" i="2035" s="1"/>
  <c r="K19" i="2035"/>
  <c r="J19" i="2035"/>
  <c r="I19" i="2035"/>
  <c r="AB33" i="2035" s="1"/>
  <c r="H19" i="2035"/>
  <c r="G19" i="2035"/>
  <c r="F19" i="2035"/>
  <c r="E19" i="2035"/>
  <c r="D19" i="2035"/>
  <c r="AE16" i="2035"/>
  <c r="AD16" i="2035"/>
  <c r="AC16" i="2035"/>
  <c r="AB16" i="2035"/>
  <c r="AA16" i="2035"/>
  <c r="Z16" i="2035"/>
  <c r="X16" i="2035"/>
  <c r="W16" i="2035"/>
  <c r="V16" i="2035"/>
  <c r="U16" i="2035"/>
  <c r="T16" i="2035"/>
  <c r="S16" i="2035"/>
  <c r="R16" i="2035"/>
  <c r="Q16" i="2035"/>
  <c r="P16" i="2035"/>
  <c r="O16" i="2035"/>
  <c r="N16" i="2035"/>
  <c r="M16" i="2035"/>
  <c r="L16" i="2035"/>
  <c r="K16" i="2035"/>
  <c r="J16" i="2035"/>
  <c r="I16" i="2035"/>
  <c r="H16" i="2035"/>
  <c r="G16" i="2035"/>
  <c r="F16" i="2035"/>
  <c r="E16" i="2035"/>
  <c r="D16" i="2035"/>
  <c r="AE10" i="2035"/>
  <c r="AD10" i="2035"/>
  <c r="AC33" i="2035" s="1"/>
  <c r="AC10" i="2035"/>
  <c r="AB10" i="2035"/>
  <c r="AA10" i="2035"/>
  <c r="Z10" i="2035"/>
  <c r="Y10" i="2035"/>
  <c r="X10" i="2035"/>
  <c r="W10" i="2035"/>
  <c r="V10" i="2035"/>
  <c r="U10" i="2035"/>
  <c r="T10" i="2035"/>
  <c r="S10" i="2035"/>
  <c r="R10" i="2035"/>
  <c r="Q10" i="2035"/>
  <c r="P10" i="2035"/>
  <c r="O10" i="2035"/>
  <c r="N10" i="2035"/>
  <c r="M10" i="2035"/>
  <c r="L10" i="2035"/>
  <c r="N33" i="2035" s="1"/>
  <c r="K10" i="2035"/>
  <c r="J10" i="2035"/>
  <c r="I10" i="2035"/>
  <c r="H10" i="2035"/>
  <c r="G10" i="2035"/>
  <c r="F10" i="2035"/>
  <c r="J33" i="2035" s="1"/>
  <c r="E10" i="2035"/>
  <c r="S33" i="2035" s="1"/>
  <c r="D10" i="2035"/>
  <c r="AE7" i="2035"/>
  <c r="AD7" i="2035"/>
  <c r="AC7" i="2035"/>
  <c r="AB7" i="2035"/>
  <c r="AA7" i="2035"/>
  <c r="Z7" i="2035"/>
  <c r="Y7" i="2035"/>
  <c r="X7" i="2035"/>
  <c r="W7" i="2035"/>
  <c r="V7" i="2035"/>
  <c r="U7" i="2035"/>
  <c r="T7" i="2035"/>
  <c r="S7" i="2035"/>
  <c r="R7" i="2035"/>
  <c r="Q7" i="2035"/>
  <c r="P7" i="2035"/>
  <c r="O7" i="2035"/>
  <c r="N7" i="2035"/>
  <c r="M7" i="2035"/>
  <c r="L7" i="2035"/>
  <c r="K7" i="2035"/>
  <c r="J7" i="2035"/>
  <c r="I7" i="2035"/>
  <c r="H7" i="2035"/>
  <c r="G7" i="2035"/>
  <c r="F7" i="2035"/>
  <c r="E7" i="2035"/>
  <c r="D7" i="2035"/>
  <c r="K33" i="2035" l="1"/>
  <c r="W33" i="2035"/>
  <c r="Z33" i="2035"/>
  <c r="D33" i="2035"/>
  <c r="Y33" i="2035"/>
  <c r="Q33" i="2035"/>
  <c r="E33" i="2035"/>
  <c r="M33" i="2035"/>
  <c r="V33" i="2035"/>
  <c r="AA33" i="2034"/>
  <c r="X33" i="2034"/>
  <c r="U33" i="2034"/>
  <c r="R33" i="2034"/>
  <c r="O33" i="2034"/>
  <c r="L33" i="2034"/>
  <c r="F33" i="2034"/>
  <c r="Y28" i="2034"/>
  <c r="X28" i="2034"/>
  <c r="W28" i="2034"/>
  <c r="V28" i="2034"/>
  <c r="U28" i="2034"/>
  <c r="T28" i="2034"/>
  <c r="S28" i="2034"/>
  <c r="R28" i="2034"/>
  <c r="Q28" i="2034"/>
  <c r="P28" i="2034"/>
  <c r="O28" i="2034"/>
  <c r="N28" i="2034"/>
  <c r="M28" i="2034"/>
  <c r="L28" i="2034"/>
  <c r="K28" i="2034"/>
  <c r="J28" i="2034"/>
  <c r="I28" i="2034"/>
  <c r="H28" i="2034"/>
  <c r="G28" i="2034"/>
  <c r="F28" i="2034"/>
  <c r="E28" i="2034"/>
  <c r="D28" i="2034"/>
  <c r="Y25" i="2034"/>
  <c r="X25" i="2034"/>
  <c r="W25" i="2034"/>
  <c r="V25" i="2034"/>
  <c r="U25" i="2034"/>
  <c r="T25" i="2034"/>
  <c r="S25" i="2034"/>
  <c r="R25" i="2034"/>
  <c r="Q25" i="2034"/>
  <c r="P25" i="2034"/>
  <c r="O25" i="2034"/>
  <c r="N25" i="2034"/>
  <c r="M25" i="2034"/>
  <c r="L25" i="2034"/>
  <c r="K25" i="2034"/>
  <c r="J25" i="2034"/>
  <c r="I25" i="2034"/>
  <c r="H25" i="2034"/>
  <c r="G25" i="2034"/>
  <c r="F25" i="2034"/>
  <c r="E25" i="2034"/>
  <c r="D25" i="2034"/>
  <c r="AE19" i="2034"/>
  <c r="AD19" i="2034"/>
  <c r="AC19" i="2034"/>
  <c r="AB19" i="2034"/>
  <c r="AA19" i="2034"/>
  <c r="Z19" i="2034"/>
  <c r="Y19" i="2034"/>
  <c r="X19" i="2034"/>
  <c r="T33" i="2034" s="1"/>
  <c r="W19" i="2034"/>
  <c r="V19" i="2034"/>
  <c r="U19" i="2034"/>
  <c r="T19" i="2034"/>
  <c r="S19" i="2034"/>
  <c r="R19" i="2034"/>
  <c r="Q19" i="2034"/>
  <c r="P19" i="2034"/>
  <c r="O19" i="2034"/>
  <c r="N19" i="2034"/>
  <c r="H33" i="2034" s="1"/>
  <c r="M19" i="2034"/>
  <c r="L19" i="2034"/>
  <c r="P33" i="2034" s="1"/>
  <c r="K19" i="2034"/>
  <c r="J19" i="2034"/>
  <c r="I19" i="2034"/>
  <c r="AB33" i="2034" s="1"/>
  <c r="H19" i="2034"/>
  <c r="G19" i="2034"/>
  <c r="F19" i="2034"/>
  <c r="E19" i="2034"/>
  <c r="D19" i="2034"/>
  <c r="AE16" i="2034"/>
  <c r="AD16" i="2034"/>
  <c r="AC16" i="2034"/>
  <c r="AB16" i="2034"/>
  <c r="AA16" i="2034"/>
  <c r="Z16" i="2034"/>
  <c r="X16" i="2034"/>
  <c r="W16" i="2034"/>
  <c r="V16" i="2034"/>
  <c r="U16" i="2034"/>
  <c r="T16" i="2034"/>
  <c r="S16" i="2034"/>
  <c r="R16" i="2034"/>
  <c r="Q16" i="2034"/>
  <c r="P16" i="2034"/>
  <c r="O16" i="2034"/>
  <c r="N16" i="2034"/>
  <c r="M16" i="2034"/>
  <c r="L16" i="2034"/>
  <c r="K16" i="2034"/>
  <c r="J16" i="2034"/>
  <c r="I16" i="2034"/>
  <c r="H16" i="2034"/>
  <c r="G16" i="2034"/>
  <c r="F16" i="2034"/>
  <c r="E16" i="2034"/>
  <c r="D16" i="2034"/>
  <c r="AE10" i="2034"/>
  <c r="AD10" i="2034"/>
  <c r="AC33" i="2034" s="1"/>
  <c r="AC10" i="2034"/>
  <c r="AB10" i="2034"/>
  <c r="AA10" i="2034"/>
  <c r="Z10" i="2034"/>
  <c r="Y10" i="2034"/>
  <c r="X10" i="2034"/>
  <c r="W10" i="2034"/>
  <c r="V10" i="2034"/>
  <c r="U10" i="2034"/>
  <c r="T10" i="2034"/>
  <c r="S10" i="2034"/>
  <c r="R10" i="2034"/>
  <c r="Q10" i="2034"/>
  <c r="P10" i="2034"/>
  <c r="O10" i="2034"/>
  <c r="N10" i="2034"/>
  <c r="M10" i="2034"/>
  <c r="E33" i="2034" s="1"/>
  <c r="L10" i="2034"/>
  <c r="K10" i="2034"/>
  <c r="J10" i="2034"/>
  <c r="Q33" i="2034" s="1"/>
  <c r="I10" i="2034"/>
  <c r="H10" i="2034"/>
  <c r="G10" i="2034"/>
  <c r="F10" i="2034"/>
  <c r="E10" i="2034"/>
  <c r="S33" i="2034" s="1"/>
  <c r="D10" i="2034"/>
  <c r="AE7" i="2034"/>
  <c r="AD7" i="2034"/>
  <c r="AC7" i="2034"/>
  <c r="AB7" i="2034"/>
  <c r="AA7" i="2034"/>
  <c r="Z7" i="2034"/>
  <c r="Y7" i="2034"/>
  <c r="X7" i="2034"/>
  <c r="W7" i="2034"/>
  <c r="V7" i="2034"/>
  <c r="U7" i="2034"/>
  <c r="T7" i="2034"/>
  <c r="S7" i="2034"/>
  <c r="R7" i="2034"/>
  <c r="Q7" i="2034"/>
  <c r="P7" i="2034"/>
  <c r="O7" i="2034"/>
  <c r="N7" i="2034"/>
  <c r="M7" i="2034"/>
  <c r="L7" i="2034"/>
  <c r="K7" i="2034"/>
  <c r="J7" i="2034"/>
  <c r="I7" i="2034"/>
  <c r="H7" i="2034"/>
  <c r="G7" i="2034"/>
  <c r="F7" i="2034"/>
  <c r="E7" i="2034"/>
  <c r="D7" i="2034"/>
  <c r="J33" i="2034" l="1"/>
  <c r="W33" i="2034"/>
  <c r="D33" i="2034"/>
  <c r="Z33" i="2034"/>
  <c r="Y33" i="2034"/>
  <c r="N33" i="2034"/>
  <c r="K33" i="2034"/>
  <c r="M33" i="2034"/>
  <c r="V33" i="2034"/>
  <c r="AA33" i="2033"/>
  <c r="X33" i="2033"/>
  <c r="U33" i="2033"/>
  <c r="R33" i="2033"/>
  <c r="O33" i="2033"/>
  <c r="L33" i="2033"/>
  <c r="F33" i="2033"/>
  <c r="Y28" i="2033"/>
  <c r="X28" i="2033"/>
  <c r="W28" i="2033"/>
  <c r="V28" i="2033"/>
  <c r="U28" i="2033"/>
  <c r="T28" i="2033"/>
  <c r="S28" i="2033"/>
  <c r="R28" i="2033"/>
  <c r="Q28" i="2033"/>
  <c r="P28" i="2033"/>
  <c r="O28" i="2033"/>
  <c r="N28" i="2033"/>
  <c r="M28" i="2033"/>
  <c r="L28" i="2033"/>
  <c r="K28" i="2033"/>
  <c r="J28" i="2033"/>
  <c r="I28" i="2033"/>
  <c r="H28" i="2033"/>
  <c r="G28" i="2033"/>
  <c r="F28" i="2033"/>
  <c r="E28" i="2033"/>
  <c r="D28" i="2033"/>
  <c r="Y25" i="2033"/>
  <c r="X25" i="2033"/>
  <c r="W25" i="2033"/>
  <c r="V25" i="2033"/>
  <c r="U25" i="2033"/>
  <c r="T25" i="2033"/>
  <c r="S25" i="2033"/>
  <c r="R25" i="2033"/>
  <c r="Q25" i="2033"/>
  <c r="P25" i="2033"/>
  <c r="O25" i="2033"/>
  <c r="N25" i="2033"/>
  <c r="M25" i="2033"/>
  <c r="L25" i="2033"/>
  <c r="K25" i="2033"/>
  <c r="J25" i="2033"/>
  <c r="I25" i="2033"/>
  <c r="H25" i="2033"/>
  <c r="G25" i="2033"/>
  <c r="F25" i="2033"/>
  <c r="E25" i="2033"/>
  <c r="D25" i="2033"/>
  <c r="AE19" i="2033"/>
  <c r="AD19" i="2033"/>
  <c r="AC19" i="2033"/>
  <c r="AB19" i="2033"/>
  <c r="AA19" i="2033"/>
  <c r="Z19" i="2033"/>
  <c r="Y19" i="2033"/>
  <c r="X19" i="2033"/>
  <c r="T33" i="2033" s="1"/>
  <c r="W19" i="2033"/>
  <c r="V19" i="2033"/>
  <c r="U19" i="2033"/>
  <c r="T19" i="2033"/>
  <c r="S19" i="2033"/>
  <c r="R19" i="2033"/>
  <c r="Q19" i="2033"/>
  <c r="P19" i="2033"/>
  <c r="O19" i="2033"/>
  <c r="N19" i="2033"/>
  <c r="H33" i="2033" s="1"/>
  <c r="M19" i="2033"/>
  <c r="L19" i="2033"/>
  <c r="P33" i="2033" s="1"/>
  <c r="K19" i="2033"/>
  <c r="J19" i="2033"/>
  <c r="I19" i="2033"/>
  <c r="AB33" i="2033" s="1"/>
  <c r="H19" i="2033"/>
  <c r="G19" i="2033"/>
  <c r="F19" i="2033"/>
  <c r="E19" i="2033"/>
  <c r="D19" i="2033"/>
  <c r="AE16" i="2033"/>
  <c r="AD16" i="2033"/>
  <c r="AC16" i="2033"/>
  <c r="AB16" i="2033"/>
  <c r="AA16" i="2033"/>
  <c r="Z16" i="2033"/>
  <c r="X16" i="2033"/>
  <c r="W16" i="2033"/>
  <c r="V16" i="2033"/>
  <c r="U16" i="2033"/>
  <c r="T16" i="2033"/>
  <c r="S16" i="2033"/>
  <c r="R16" i="2033"/>
  <c r="Q16" i="2033"/>
  <c r="P16" i="2033"/>
  <c r="O16" i="2033"/>
  <c r="N16" i="2033"/>
  <c r="M16" i="2033"/>
  <c r="L16" i="2033"/>
  <c r="K16" i="2033"/>
  <c r="J16" i="2033"/>
  <c r="I16" i="2033"/>
  <c r="H16" i="2033"/>
  <c r="G16" i="2033"/>
  <c r="F16" i="2033"/>
  <c r="E16" i="2033"/>
  <c r="D16" i="2033"/>
  <c r="AE10" i="2033"/>
  <c r="AD10" i="2033"/>
  <c r="AC33" i="2033" s="1"/>
  <c r="AC10" i="2033"/>
  <c r="AB10" i="2033"/>
  <c r="AA10" i="2033"/>
  <c r="Z10" i="2033"/>
  <c r="Y10" i="2033"/>
  <c r="X10" i="2033"/>
  <c r="W10" i="2033"/>
  <c r="V10" i="2033"/>
  <c r="U10" i="2033"/>
  <c r="T10" i="2033"/>
  <c r="S10" i="2033"/>
  <c r="R10" i="2033"/>
  <c r="Q10" i="2033"/>
  <c r="P10" i="2033"/>
  <c r="O10" i="2033"/>
  <c r="N10" i="2033"/>
  <c r="M10" i="2033"/>
  <c r="E33" i="2033" s="1"/>
  <c r="L10" i="2033"/>
  <c r="N33" i="2033" s="1"/>
  <c r="K10" i="2033"/>
  <c r="J10" i="2033"/>
  <c r="Q33" i="2033" s="1"/>
  <c r="I10" i="2033"/>
  <c r="H10" i="2033"/>
  <c r="G10" i="2033"/>
  <c r="F10" i="2033"/>
  <c r="J33" i="2033" s="1"/>
  <c r="E10" i="2033"/>
  <c r="S33" i="2033" s="1"/>
  <c r="D10" i="2033"/>
  <c r="AE7" i="2033"/>
  <c r="AD7" i="2033"/>
  <c r="AC7" i="2033"/>
  <c r="AB7" i="2033"/>
  <c r="AA7" i="2033"/>
  <c r="Z7" i="2033"/>
  <c r="Y7" i="2033"/>
  <c r="X7" i="2033"/>
  <c r="W7" i="2033"/>
  <c r="V7" i="2033"/>
  <c r="U7" i="2033"/>
  <c r="T7" i="2033"/>
  <c r="S7" i="2033"/>
  <c r="R7" i="2033"/>
  <c r="Q7" i="2033"/>
  <c r="P7" i="2033"/>
  <c r="O7" i="2033"/>
  <c r="N7" i="2033"/>
  <c r="M7" i="2033"/>
  <c r="L7" i="2033"/>
  <c r="K7" i="2033"/>
  <c r="J7" i="2033"/>
  <c r="I7" i="2033"/>
  <c r="H7" i="2033"/>
  <c r="G7" i="2033"/>
  <c r="F7" i="2033"/>
  <c r="E7" i="2033"/>
  <c r="D7" i="2033"/>
  <c r="W33" i="2033" l="1"/>
  <c r="D33" i="2033"/>
  <c r="Z33" i="2033"/>
  <c r="Y33" i="2033"/>
  <c r="K33" i="2033"/>
  <c r="M33" i="2033"/>
  <c r="V33" i="2033"/>
  <c r="AA33" i="2032"/>
  <c r="X33" i="2032"/>
  <c r="U33" i="2032"/>
  <c r="R33" i="2032"/>
  <c r="O33" i="2032"/>
  <c r="L33" i="2032"/>
  <c r="F33" i="2032"/>
  <c r="Y28" i="2032"/>
  <c r="X28" i="2032"/>
  <c r="W28" i="2032"/>
  <c r="V28" i="2032"/>
  <c r="U28" i="2032"/>
  <c r="T28" i="2032"/>
  <c r="S28" i="2032"/>
  <c r="R28" i="2032"/>
  <c r="Q28" i="2032"/>
  <c r="P28" i="2032"/>
  <c r="O28" i="2032"/>
  <c r="N28" i="2032"/>
  <c r="M28" i="2032"/>
  <c r="L28" i="2032"/>
  <c r="K28" i="2032"/>
  <c r="J28" i="2032"/>
  <c r="I28" i="2032"/>
  <c r="H28" i="2032"/>
  <c r="G28" i="2032"/>
  <c r="F28" i="2032"/>
  <c r="E28" i="2032"/>
  <c r="D28" i="2032"/>
  <c r="Y25" i="2032"/>
  <c r="X25" i="2032"/>
  <c r="W25" i="2032"/>
  <c r="V25" i="2032"/>
  <c r="U25" i="2032"/>
  <c r="T25" i="2032"/>
  <c r="S25" i="2032"/>
  <c r="R25" i="2032"/>
  <c r="Q25" i="2032"/>
  <c r="P25" i="2032"/>
  <c r="O25" i="2032"/>
  <c r="N25" i="2032"/>
  <c r="M25" i="2032"/>
  <c r="L25" i="2032"/>
  <c r="K25" i="2032"/>
  <c r="J25" i="2032"/>
  <c r="I25" i="2032"/>
  <c r="H25" i="2032"/>
  <c r="G25" i="2032"/>
  <c r="F25" i="2032"/>
  <c r="E25" i="2032"/>
  <c r="D25" i="2032"/>
  <c r="AE19" i="2032"/>
  <c r="AD19" i="2032"/>
  <c r="AC19" i="2032"/>
  <c r="AB19" i="2032"/>
  <c r="AA19" i="2032"/>
  <c r="Z19" i="2032"/>
  <c r="Y19" i="2032"/>
  <c r="X19" i="2032"/>
  <c r="T33" i="2032" s="1"/>
  <c r="W19" i="2032"/>
  <c r="V19" i="2032"/>
  <c r="U19" i="2032"/>
  <c r="T19" i="2032"/>
  <c r="S19" i="2032"/>
  <c r="R19" i="2032"/>
  <c r="Q19" i="2032"/>
  <c r="P19" i="2032"/>
  <c r="O19" i="2032"/>
  <c r="N19" i="2032"/>
  <c r="H33" i="2032" s="1"/>
  <c r="M19" i="2032"/>
  <c r="L19" i="2032"/>
  <c r="P33" i="2032" s="1"/>
  <c r="K19" i="2032"/>
  <c r="J19" i="2032"/>
  <c r="I19" i="2032"/>
  <c r="AB33" i="2032" s="1"/>
  <c r="H19" i="2032"/>
  <c r="G19" i="2032"/>
  <c r="F19" i="2032"/>
  <c r="E19" i="2032"/>
  <c r="D19" i="2032"/>
  <c r="AE16" i="2032"/>
  <c r="AD16" i="2032"/>
  <c r="AC16" i="2032"/>
  <c r="AB16" i="2032"/>
  <c r="AA16" i="2032"/>
  <c r="Z16" i="2032"/>
  <c r="X16" i="2032"/>
  <c r="W16" i="2032"/>
  <c r="V16" i="2032"/>
  <c r="U16" i="2032"/>
  <c r="T16" i="2032"/>
  <c r="S16" i="2032"/>
  <c r="R16" i="2032"/>
  <c r="Q16" i="2032"/>
  <c r="P16" i="2032"/>
  <c r="O16" i="2032"/>
  <c r="N16" i="2032"/>
  <c r="M16" i="2032"/>
  <c r="L16" i="2032"/>
  <c r="K16" i="2032"/>
  <c r="J16" i="2032"/>
  <c r="I16" i="2032"/>
  <c r="H16" i="2032"/>
  <c r="G16" i="2032"/>
  <c r="F16" i="2032"/>
  <c r="E16" i="2032"/>
  <c r="D16" i="2032"/>
  <c r="AE10" i="2032"/>
  <c r="AD10" i="2032"/>
  <c r="AC33" i="2032" s="1"/>
  <c r="AC10" i="2032"/>
  <c r="AB10" i="2032"/>
  <c r="AA10" i="2032"/>
  <c r="Z10" i="2032"/>
  <c r="Y10" i="2032"/>
  <c r="X10" i="2032"/>
  <c r="W10" i="2032"/>
  <c r="V10" i="2032"/>
  <c r="U10" i="2032"/>
  <c r="T10" i="2032"/>
  <c r="S10" i="2032"/>
  <c r="R10" i="2032"/>
  <c r="Q10" i="2032"/>
  <c r="P10" i="2032"/>
  <c r="O10" i="2032"/>
  <c r="N10" i="2032"/>
  <c r="M10" i="2032"/>
  <c r="L10" i="2032"/>
  <c r="N33" i="2032" s="1"/>
  <c r="K10" i="2032"/>
  <c r="J10" i="2032"/>
  <c r="I10" i="2032"/>
  <c r="H10" i="2032"/>
  <c r="G10" i="2032"/>
  <c r="F10" i="2032"/>
  <c r="J33" i="2032" s="1"/>
  <c r="E10" i="2032"/>
  <c r="S33" i="2032" s="1"/>
  <c r="D10" i="2032"/>
  <c r="AE7" i="2032"/>
  <c r="AD7" i="2032"/>
  <c r="AC7" i="2032"/>
  <c r="AB7" i="2032"/>
  <c r="AA7" i="2032"/>
  <c r="Z7" i="2032"/>
  <c r="Y7" i="2032"/>
  <c r="X7" i="2032"/>
  <c r="W7" i="2032"/>
  <c r="V7" i="2032"/>
  <c r="U7" i="2032"/>
  <c r="T7" i="2032"/>
  <c r="S7" i="2032"/>
  <c r="R7" i="2032"/>
  <c r="Q7" i="2032"/>
  <c r="P7" i="2032"/>
  <c r="O7" i="2032"/>
  <c r="N7" i="2032"/>
  <c r="M7" i="2032"/>
  <c r="L7" i="2032"/>
  <c r="K7" i="2032"/>
  <c r="J7" i="2032"/>
  <c r="I7" i="2032"/>
  <c r="H7" i="2032"/>
  <c r="G7" i="2032"/>
  <c r="F7" i="2032"/>
  <c r="E7" i="2032"/>
  <c r="D7" i="2032"/>
  <c r="K33" i="2032" l="1"/>
  <c r="W33" i="2032"/>
  <c r="Z33" i="2032"/>
  <c r="D33" i="2032"/>
  <c r="Y33" i="2032"/>
  <c r="Q33" i="2032"/>
  <c r="E33" i="2032"/>
  <c r="M33" i="2032"/>
  <c r="V33" i="2032"/>
  <c r="AA33" i="2031"/>
  <c r="X33" i="2031"/>
  <c r="U33" i="2031"/>
  <c r="R33" i="2031"/>
  <c r="O33" i="2031"/>
  <c r="L33" i="2031"/>
  <c r="F33" i="2031"/>
  <c r="Y28" i="2031"/>
  <c r="X28" i="2031"/>
  <c r="W28" i="2031"/>
  <c r="V28" i="2031"/>
  <c r="U28" i="2031"/>
  <c r="T28" i="2031"/>
  <c r="S28" i="2031"/>
  <c r="R28" i="2031"/>
  <c r="Q28" i="2031"/>
  <c r="P28" i="2031"/>
  <c r="O28" i="2031"/>
  <c r="N28" i="2031"/>
  <c r="M28" i="2031"/>
  <c r="L28" i="2031"/>
  <c r="K28" i="2031"/>
  <c r="J28" i="2031"/>
  <c r="I28" i="2031"/>
  <c r="H28" i="2031"/>
  <c r="G28" i="2031"/>
  <c r="F28" i="2031"/>
  <c r="E28" i="2031"/>
  <c r="D28" i="2031"/>
  <c r="Y25" i="2031"/>
  <c r="X25" i="2031"/>
  <c r="W25" i="2031"/>
  <c r="V25" i="2031"/>
  <c r="U25" i="2031"/>
  <c r="T25" i="2031"/>
  <c r="S25" i="2031"/>
  <c r="R25" i="2031"/>
  <c r="Q25" i="2031"/>
  <c r="P25" i="2031"/>
  <c r="O25" i="2031"/>
  <c r="N25" i="2031"/>
  <c r="M25" i="2031"/>
  <c r="L25" i="2031"/>
  <c r="K25" i="2031"/>
  <c r="J25" i="2031"/>
  <c r="I25" i="2031"/>
  <c r="H25" i="2031"/>
  <c r="G25" i="2031"/>
  <c r="F25" i="2031"/>
  <c r="E25" i="2031"/>
  <c r="D25" i="2031"/>
  <c r="AE19" i="2031"/>
  <c r="AD19" i="2031"/>
  <c r="AC19" i="2031"/>
  <c r="AB19" i="2031"/>
  <c r="AA19" i="2031"/>
  <c r="Z19" i="2031"/>
  <c r="Y19" i="2031"/>
  <c r="X19" i="2031"/>
  <c r="T33" i="2031" s="1"/>
  <c r="W19" i="2031"/>
  <c r="V19" i="2031"/>
  <c r="U19" i="2031"/>
  <c r="T19" i="2031"/>
  <c r="S19" i="2031"/>
  <c r="R19" i="2031"/>
  <c r="Q19" i="2031"/>
  <c r="P19" i="2031"/>
  <c r="O19" i="2031"/>
  <c r="N19" i="2031"/>
  <c r="H33" i="2031" s="1"/>
  <c r="M19" i="2031"/>
  <c r="L19" i="2031"/>
  <c r="P33" i="2031" s="1"/>
  <c r="K19" i="2031"/>
  <c r="J19" i="2031"/>
  <c r="I19" i="2031"/>
  <c r="AB33" i="2031" s="1"/>
  <c r="H19" i="2031"/>
  <c r="G19" i="2031"/>
  <c r="F19" i="2031"/>
  <c r="E19" i="2031"/>
  <c r="D19" i="2031"/>
  <c r="AE16" i="2031"/>
  <c r="AD16" i="2031"/>
  <c r="AC16" i="2031"/>
  <c r="AB16" i="2031"/>
  <c r="AA16" i="2031"/>
  <c r="Z16" i="2031"/>
  <c r="X16" i="2031"/>
  <c r="W16" i="2031"/>
  <c r="V16" i="2031"/>
  <c r="U16" i="2031"/>
  <c r="T16" i="2031"/>
  <c r="S16" i="2031"/>
  <c r="R16" i="2031"/>
  <c r="Q16" i="2031"/>
  <c r="P16" i="2031"/>
  <c r="O16" i="2031"/>
  <c r="N16" i="2031"/>
  <c r="M16" i="2031"/>
  <c r="L16" i="2031"/>
  <c r="K16" i="2031"/>
  <c r="J16" i="2031"/>
  <c r="I16" i="2031"/>
  <c r="H16" i="2031"/>
  <c r="G16" i="2031"/>
  <c r="F16" i="2031"/>
  <c r="E16" i="2031"/>
  <c r="D16" i="2031"/>
  <c r="AE10" i="2031"/>
  <c r="AD10" i="2031"/>
  <c r="AC33" i="2031" s="1"/>
  <c r="AC10" i="2031"/>
  <c r="AB10" i="2031"/>
  <c r="AA10" i="2031"/>
  <c r="Z10" i="2031"/>
  <c r="Y10" i="2031"/>
  <c r="X10" i="2031"/>
  <c r="W10" i="2031"/>
  <c r="V10" i="2031"/>
  <c r="U10" i="2031"/>
  <c r="T10" i="2031"/>
  <c r="S10" i="2031"/>
  <c r="R10" i="2031"/>
  <c r="Q10" i="2031"/>
  <c r="P10" i="2031"/>
  <c r="O10" i="2031"/>
  <c r="N10" i="2031"/>
  <c r="M10" i="2031"/>
  <c r="E33" i="2031" s="1"/>
  <c r="L10" i="2031"/>
  <c r="N33" i="2031" s="1"/>
  <c r="K10" i="2031"/>
  <c r="J10" i="2031"/>
  <c r="Q33" i="2031" s="1"/>
  <c r="I10" i="2031"/>
  <c r="H10" i="2031"/>
  <c r="G10" i="2031"/>
  <c r="F10" i="2031"/>
  <c r="J33" i="2031" s="1"/>
  <c r="E10" i="2031"/>
  <c r="S33" i="2031" s="1"/>
  <c r="D10" i="2031"/>
  <c r="AE7" i="2031"/>
  <c r="AD7" i="2031"/>
  <c r="AC7" i="2031"/>
  <c r="AB7" i="2031"/>
  <c r="AA7" i="2031"/>
  <c r="Z7" i="2031"/>
  <c r="Y7" i="2031"/>
  <c r="X7" i="2031"/>
  <c r="W7" i="2031"/>
  <c r="V7" i="2031"/>
  <c r="U7" i="2031"/>
  <c r="T7" i="2031"/>
  <c r="S7" i="2031"/>
  <c r="R7" i="2031"/>
  <c r="Q7" i="2031"/>
  <c r="P7" i="2031"/>
  <c r="O7" i="2031"/>
  <c r="N7" i="2031"/>
  <c r="M7" i="2031"/>
  <c r="L7" i="2031"/>
  <c r="K7" i="2031"/>
  <c r="J7" i="2031"/>
  <c r="I7" i="2031"/>
  <c r="H7" i="2031"/>
  <c r="G7" i="2031"/>
  <c r="F7" i="2031"/>
  <c r="E7" i="2031"/>
  <c r="D7" i="2031"/>
  <c r="W33" i="2031" l="1"/>
  <c r="V33" i="2031"/>
  <c r="D33" i="2031"/>
  <c r="Z33" i="2031"/>
  <c r="Y33" i="2031"/>
  <c r="K33" i="2031"/>
  <c r="M33" i="2031"/>
  <c r="X28" i="2030"/>
  <c r="X25" i="2030"/>
  <c r="AC16" i="2030"/>
  <c r="AA33" i="2030" l="1"/>
  <c r="X33" i="2030"/>
  <c r="U33" i="2030"/>
  <c r="R33" i="2030"/>
  <c r="O33" i="2030"/>
  <c r="L33" i="2030"/>
  <c r="F33" i="2030"/>
  <c r="Y28" i="2030"/>
  <c r="W28" i="2030"/>
  <c r="V28" i="2030"/>
  <c r="U28" i="2030"/>
  <c r="T28" i="2030"/>
  <c r="S28" i="2030"/>
  <c r="R28" i="2030"/>
  <c r="Q28" i="2030"/>
  <c r="P28" i="2030"/>
  <c r="O28" i="2030"/>
  <c r="N28" i="2030"/>
  <c r="M28" i="2030"/>
  <c r="L28" i="2030"/>
  <c r="K28" i="2030"/>
  <c r="J28" i="2030"/>
  <c r="I28" i="2030"/>
  <c r="H28" i="2030"/>
  <c r="G28" i="2030"/>
  <c r="F28" i="2030"/>
  <c r="E28" i="2030"/>
  <c r="D28" i="2030"/>
  <c r="Y25" i="2030"/>
  <c r="W25" i="2030"/>
  <c r="V25" i="2030"/>
  <c r="U25" i="2030"/>
  <c r="T25" i="2030"/>
  <c r="S25" i="2030"/>
  <c r="R25" i="2030"/>
  <c r="Q25" i="2030"/>
  <c r="P25" i="2030"/>
  <c r="O25" i="2030"/>
  <c r="N25" i="2030"/>
  <c r="M25" i="2030"/>
  <c r="L25" i="2030"/>
  <c r="K25" i="2030"/>
  <c r="J25" i="2030"/>
  <c r="I25" i="2030"/>
  <c r="H25" i="2030"/>
  <c r="G25" i="2030"/>
  <c r="F25" i="2030"/>
  <c r="E25" i="2030"/>
  <c r="D25" i="2030"/>
  <c r="AE19" i="2030"/>
  <c r="AD19" i="2030"/>
  <c r="AC19" i="2030"/>
  <c r="AB19" i="2030"/>
  <c r="AA19" i="2030"/>
  <c r="Z19" i="2030"/>
  <c r="Y19" i="2030"/>
  <c r="X19" i="2030"/>
  <c r="T33" i="2030" s="1"/>
  <c r="W19" i="2030"/>
  <c r="V19" i="2030"/>
  <c r="U19" i="2030"/>
  <c r="T19" i="2030"/>
  <c r="S19" i="2030"/>
  <c r="R19" i="2030"/>
  <c r="Q19" i="2030"/>
  <c r="P19" i="2030"/>
  <c r="O19" i="2030"/>
  <c r="N19" i="2030"/>
  <c r="H33" i="2030" s="1"/>
  <c r="M19" i="2030"/>
  <c r="L19" i="2030"/>
  <c r="P33" i="2030" s="1"/>
  <c r="K19" i="2030"/>
  <c r="J19" i="2030"/>
  <c r="I19" i="2030"/>
  <c r="AB33" i="2030" s="1"/>
  <c r="H19" i="2030"/>
  <c r="G19" i="2030"/>
  <c r="F19" i="2030"/>
  <c r="E19" i="2030"/>
  <c r="D19" i="2030"/>
  <c r="AE16" i="2030"/>
  <c r="AD16" i="2030"/>
  <c r="AB16" i="2030"/>
  <c r="AA16" i="2030"/>
  <c r="Z16" i="2030"/>
  <c r="X16" i="2030"/>
  <c r="W16" i="2030"/>
  <c r="V16" i="2030"/>
  <c r="U16" i="2030"/>
  <c r="T16" i="2030"/>
  <c r="S16" i="2030"/>
  <c r="R16" i="2030"/>
  <c r="Q16" i="2030"/>
  <c r="P16" i="2030"/>
  <c r="O16" i="2030"/>
  <c r="N16" i="2030"/>
  <c r="M16" i="2030"/>
  <c r="L16" i="2030"/>
  <c r="K16" i="2030"/>
  <c r="J16" i="2030"/>
  <c r="I16" i="2030"/>
  <c r="H16" i="2030"/>
  <c r="G16" i="2030"/>
  <c r="F16" i="2030"/>
  <c r="E16" i="2030"/>
  <c r="D16" i="2030"/>
  <c r="AE10" i="2030"/>
  <c r="AD10" i="2030"/>
  <c r="AC33" i="2030" s="1"/>
  <c r="AC10" i="2030"/>
  <c r="AB10" i="2030"/>
  <c r="AA10" i="2030"/>
  <c r="Z10" i="2030"/>
  <c r="Y10" i="2030"/>
  <c r="X10" i="2030"/>
  <c r="W10" i="2030"/>
  <c r="V10" i="2030"/>
  <c r="U10" i="2030"/>
  <c r="T10" i="2030"/>
  <c r="S10" i="2030"/>
  <c r="R10" i="2030"/>
  <c r="Q10" i="2030"/>
  <c r="P10" i="2030"/>
  <c r="N33" i="2030" s="1"/>
  <c r="O10" i="2030"/>
  <c r="K33" i="2030" s="1"/>
  <c r="N10" i="2030"/>
  <c r="M10" i="2030"/>
  <c r="L10" i="2030"/>
  <c r="K10" i="2030"/>
  <c r="J10" i="2030"/>
  <c r="I10" i="2030"/>
  <c r="H10" i="2030"/>
  <c r="G10" i="2030"/>
  <c r="F10" i="2030"/>
  <c r="E10" i="2030"/>
  <c r="S33" i="2030" s="1"/>
  <c r="D10" i="2030"/>
  <c r="AE7" i="2030"/>
  <c r="AD7" i="2030"/>
  <c r="AC7" i="2030"/>
  <c r="AB7" i="2030"/>
  <c r="AA7" i="2030"/>
  <c r="Z7" i="2030"/>
  <c r="Y7" i="2030"/>
  <c r="X7" i="2030"/>
  <c r="W7" i="2030"/>
  <c r="V7" i="2030"/>
  <c r="U7" i="2030"/>
  <c r="T7" i="2030"/>
  <c r="S7" i="2030"/>
  <c r="R7" i="2030"/>
  <c r="Q7" i="2030"/>
  <c r="P7" i="2030"/>
  <c r="O7" i="2030"/>
  <c r="N7" i="2030"/>
  <c r="M7" i="2030"/>
  <c r="L7" i="2030"/>
  <c r="K7" i="2030"/>
  <c r="J7" i="2030"/>
  <c r="I7" i="2030"/>
  <c r="H7" i="2030"/>
  <c r="G7" i="2030"/>
  <c r="F7" i="2030"/>
  <c r="E7" i="2030"/>
  <c r="D7" i="2030"/>
  <c r="J33" i="2030" l="1"/>
  <c r="V33" i="2030"/>
  <c r="Z33" i="2030"/>
  <c r="E33" i="2030"/>
  <c r="W33" i="2030"/>
  <c r="M33" i="2030"/>
  <c r="Y33" i="2030"/>
  <c r="Q33" i="2030"/>
  <c r="D33" i="2030"/>
  <c r="AA33" i="2029"/>
  <c r="X33" i="2029"/>
  <c r="U33" i="2029"/>
  <c r="R33" i="2029"/>
  <c r="O33" i="2029"/>
  <c r="L33" i="2029"/>
  <c r="F33" i="2029"/>
  <c r="Y28" i="2029"/>
  <c r="X28" i="2029"/>
  <c r="W28" i="2029"/>
  <c r="V28" i="2029"/>
  <c r="U28" i="2029"/>
  <c r="T28" i="2029"/>
  <c r="S28" i="2029"/>
  <c r="R28" i="2029"/>
  <c r="Q28" i="2029"/>
  <c r="P28" i="2029"/>
  <c r="O28" i="2029"/>
  <c r="N28" i="2029"/>
  <c r="M28" i="2029"/>
  <c r="L28" i="2029"/>
  <c r="K28" i="2029"/>
  <c r="J28" i="2029"/>
  <c r="I28" i="2029"/>
  <c r="H28" i="2029"/>
  <c r="G28" i="2029"/>
  <c r="F28" i="2029"/>
  <c r="E28" i="2029"/>
  <c r="D28" i="2029"/>
  <c r="Y25" i="2029"/>
  <c r="X25" i="2029"/>
  <c r="W25" i="2029"/>
  <c r="V25" i="2029"/>
  <c r="U25" i="2029"/>
  <c r="T25" i="2029"/>
  <c r="S25" i="2029"/>
  <c r="R25" i="2029"/>
  <c r="Q25" i="2029"/>
  <c r="P25" i="2029"/>
  <c r="O25" i="2029"/>
  <c r="N25" i="2029"/>
  <c r="M25" i="2029"/>
  <c r="L25" i="2029"/>
  <c r="K25" i="2029"/>
  <c r="J25" i="2029"/>
  <c r="I25" i="2029"/>
  <c r="H25" i="2029"/>
  <c r="G25" i="2029"/>
  <c r="F25" i="2029"/>
  <c r="E25" i="2029"/>
  <c r="D25" i="2029"/>
  <c r="AE19" i="2029"/>
  <c r="AD19" i="2029"/>
  <c r="AC19" i="2029"/>
  <c r="AB19" i="2029"/>
  <c r="AA19" i="2029"/>
  <c r="Z19" i="2029"/>
  <c r="Y19" i="2029"/>
  <c r="X19" i="2029"/>
  <c r="T33" i="2029" s="1"/>
  <c r="W19" i="2029"/>
  <c r="V19" i="2029"/>
  <c r="U19" i="2029"/>
  <c r="T19" i="2029"/>
  <c r="S19" i="2029"/>
  <c r="R19" i="2029"/>
  <c r="Q19" i="2029"/>
  <c r="P19" i="2029"/>
  <c r="O19" i="2029"/>
  <c r="N19" i="2029"/>
  <c r="H33" i="2029" s="1"/>
  <c r="M19" i="2029"/>
  <c r="L19" i="2029"/>
  <c r="P33" i="2029" s="1"/>
  <c r="K19" i="2029"/>
  <c r="J19" i="2029"/>
  <c r="I19" i="2029"/>
  <c r="AB33" i="2029" s="1"/>
  <c r="H19" i="2029"/>
  <c r="G19" i="2029"/>
  <c r="F19" i="2029"/>
  <c r="E19" i="2029"/>
  <c r="D19" i="2029"/>
  <c r="AE16" i="2029"/>
  <c r="AD16" i="2029"/>
  <c r="AC16" i="2029"/>
  <c r="AB16" i="2029"/>
  <c r="AA16" i="2029"/>
  <c r="Z16" i="2029"/>
  <c r="X16" i="2029"/>
  <c r="W16" i="2029"/>
  <c r="V16" i="2029"/>
  <c r="U16" i="2029"/>
  <c r="T16" i="2029"/>
  <c r="S16" i="2029"/>
  <c r="R16" i="2029"/>
  <c r="Q16" i="2029"/>
  <c r="P16" i="2029"/>
  <c r="O16" i="2029"/>
  <c r="N16" i="2029"/>
  <c r="M16" i="2029"/>
  <c r="L16" i="2029"/>
  <c r="K16" i="2029"/>
  <c r="J16" i="2029"/>
  <c r="I16" i="2029"/>
  <c r="H16" i="2029"/>
  <c r="G16" i="2029"/>
  <c r="F16" i="2029"/>
  <c r="E16" i="2029"/>
  <c r="D16" i="2029"/>
  <c r="AE10" i="2029"/>
  <c r="AD10" i="2029"/>
  <c r="AC33" i="2029" s="1"/>
  <c r="AC10" i="2029"/>
  <c r="AB10" i="2029"/>
  <c r="AA10" i="2029"/>
  <c r="Z10" i="2029"/>
  <c r="Y10" i="2029"/>
  <c r="X10" i="2029"/>
  <c r="W10" i="2029"/>
  <c r="V10" i="2029"/>
  <c r="U10" i="2029"/>
  <c r="T10" i="2029"/>
  <c r="S10" i="2029"/>
  <c r="R10" i="2029"/>
  <c r="Q10" i="2029"/>
  <c r="P10" i="2029"/>
  <c r="O10" i="2029"/>
  <c r="N10" i="2029"/>
  <c r="M10" i="2029"/>
  <c r="E33" i="2029" s="1"/>
  <c r="L10" i="2029"/>
  <c r="K10" i="2029"/>
  <c r="J10" i="2029"/>
  <c r="Q33" i="2029" s="1"/>
  <c r="I10" i="2029"/>
  <c r="H10" i="2029"/>
  <c r="G10" i="2029"/>
  <c r="F10" i="2029"/>
  <c r="E10" i="2029"/>
  <c r="D10" i="2029"/>
  <c r="AE7" i="2029"/>
  <c r="AD7" i="2029"/>
  <c r="AC7" i="2029"/>
  <c r="AB7" i="2029"/>
  <c r="AA7" i="2029"/>
  <c r="Z7" i="2029"/>
  <c r="Y7" i="2029"/>
  <c r="X7" i="2029"/>
  <c r="W7" i="2029"/>
  <c r="V7" i="2029"/>
  <c r="U7" i="2029"/>
  <c r="T7" i="2029"/>
  <c r="S7" i="2029"/>
  <c r="R7" i="2029"/>
  <c r="Q7" i="2029"/>
  <c r="P7" i="2029"/>
  <c r="O7" i="2029"/>
  <c r="N7" i="2029"/>
  <c r="M7" i="2029"/>
  <c r="L7" i="2029"/>
  <c r="K7" i="2029"/>
  <c r="J7" i="2029"/>
  <c r="I7" i="2029"/>
  <c r="H7" i="2029"/>
  <c r="G7" i="2029"/>
  <c r="F7" i="2029"/>
  <c r="E7" i="2029"/>
  <c r="D7" i="2029"/>
  <c r="N33" i="2029" l="1"/>
  <c r="S33" i="2029"/>
  <c r="J33" i="2029"/>
  <c r="W33" i="2029"/>
  <c r="V33" i="2029"/>
  <c r="D33" i="2029"/>
  <c r="Z33" i="2029"/>
  <c r="Y33" i="2029"/>
  <c r="K33" i="2029"/>
  <c r="M33" i="2029"/>
  <c r="AA33" i="2028"/>
  <c r="X33" i="2028"/>
  <c r="U33" i="2028"/>
  <c r="R33" i="2028"/>
  <c r="O33" i="2028"/>
  <c r="L33" i="2028"/>
  <c r="F33" i="2028"/>
  <c r="Y28" i="2028"/>
  <c r="X28" i="2028"/>
  <c r="W28" i="2028"/>
  <c r="V28" i="2028"/>
  <c r="U28" i="2028"/>
  <c r="T28" i="2028"/>
  <c r="S28" i="2028"/>
  <c r="R28" i="2028"/>
  <c r="Q28" i="2028"/>
  <c r="P28" i="2028"/>
  <c r="O28" i="2028"/>
  <c r="N28" i="2028"/>
  <c r="M28" i="2028"/>
  <c r="L28" i="2028"/>
  <c r="K28" i="2028"/>
  <c r="J28" i="2028"/>
  <c r="I28" i="2028"/>
  <c r="H28" i="2028"/>
  <c r="G28" i="2028"/>
  <c r="F28" i="2028"/>
  <c r="E28" i="2028"/>
  <c r="D28" i="2028"/>
  <c r="Y25" i="2028"/>
  <c r="X25" i="2028"/>
  <c r="W25" i="2028"/>
  <c r="V25" i="2028"/>
  <c r="U25" i="2028"/>
  <c r="T25" i="2028"/>
  <c r="S25" i="2028"/>
  <c r="R25" i="2028"/>
  <c r="Q25" i="2028"/>
  <c r="P25" i="2028"/>
  <c r="O25" i="2028"/>
  <c r="N25" i="2028"/>
  <c r="M25" i="2028"/>
  <c r="L25" i="2028"/>
  <c r="K25" i="2028"/>
  <c r="J25" i="2028"/>
  <c r="I25" i="2028"/>
  <c r="H25" i="2028"/>
  <c r="G25" i="2028"/>
  <c r="F25" i="2028"/>
  <c r="E25" i="2028"/>
  <c r="D25" i="2028"/>
  <c r="AE19" i="2028"/>
  <c r="AD19" i="2028"/>
  <c r="AC19" i="2028"/>
  <c r="AB19" i="2028"/>
  <c r="AA19" i="2028"/>
  <c r="Z19" i="2028"/>
  <c r="Y19" i="2028"/>
  <c r="X19" i="2028"/>
  <c r="T33" i="2028" s="1"/>
  <c r="W19" i="2028"/>
  <c r="V19" i="2028"/>
  <c r="U19" i="2028"/>
  <c r="T19" i="2028"/>
  <c r="S19" i="2028"/>
  <c r="R19" i="2028"/>
  <c r="Q19" i="2028"/>
  <c r="P19" i="2028"/>
  <c r="O19" i="2028"/>
  <c r="N19" i="2028"/>
  <c r="H33" i="2028" s="1"/>
  <c r="M19" i="2028"/>
  <c r="L19" i="2028"/>
  <c r="P33" i="2028" s="1"/>
  <c r="K19" i="2028"/>
  <c r="J19" i="2028"/>
  <c r="I19" i="2028"/>
  <c r="AB33" i="2028" s="1"/>
  <c r="H19" i="2028"/>
  <c r="G19" i="2028"/>
  <c r="F19" i="2028"/>
  <c r="E19" i="2028"/>
  <c r="D19" i="2028"/>
  <c r="AE16" i="2028"/>
  <c r="AD16" i="2028"/>
  <c r="AC16" i="2028"/>
  <c r="AB16" i="2028"/>
  <c r="AA16" i="2028"/>
  <c r="Z16" i="2028"/>
  <c r="X16" i="2028"/>
  <c r="W16" i="2028"/>
  <c r="V16" i="2028"/>
  <c r="U16" i="2028"/>
  <c r="T16" i="2028"/>
  <c r="S16" i="2028"/>
  <c r="R16" i="2028"/>
  <c r="Q16" i="2028"/>
  <c r="P16" i="2028"/>
  <c r="O16" i="2028"/>
  <c r="N16" i="2028"/>
  <c r="M16" i="2028"/>
  <c r="L16" i="2028"/>
  <c r="K16" i="2028"/>
  <c r="J16" i="2028"/>
  <c r="I16" i="2028"/>
  <c r="H16" i="2028"/>
  <c r="G16" i="2028"/>
  <c r="F16" i="2028"/>
  <c r="E16" i="2028"/>
  <c r="D16" i="2028"/>
  <c r="AE10" i="2028"/>
  <c r="AD10" i="2028"/>
  <c r="AC33" i="2028" s="1"/>
  <c r="AC10" i="2028"/>
  <c r="AB10" i="2028"/>
  <c r="AA10" i="2028"/>
  <c r="Z10" i="2028"/>
  <c r="Y10" i="2028"/>
  <c r="X10" i="2028"/>
  <c r="W10" i="2028"/>
  <c r="V10" i="2028"/>
  <c r="U10" i="2028"/>
  <c r="T10" i="2028"/>
  <c r="S10" i="2028"/>
  <c r="R10" i="2028"/>
  <c r="Q10" i="2028"/>
  <c r="P10" i="2028"/>
  <c r="O10" i="2028"/>
  <c r="N10" i="2028"/>
  <c r="M10" i="2028"/>
  <c r="L10" i="2028"/>
  <c r="K10" i="2028"/>
  <c r="J10" i="2028"/>
  <c r="I10" i="2028"/>
  <c r="H10" i="2028"/>
  <c r="G10" i="2028"/>
  <c r="F10" i="2028"/>
  <c r="E10" i="2028"/>
  <c r="D10" i="2028"/>
  <c r="AE7" i="2028"/>
  <c r="AD7" i="2028"/>
  <c r="AC7" i="2028"/>
  <c r="AB7" i="2028"/>
  <c r="AA7" i="2028"/>
  <c r="Z7" i="2028"/>
  <c r="Y7" i="2028"/>
  <c r="X7" i="2028"/>
  <c r="W7" i="2028"/>
  <c r="V7" i="2028"/>
  <c r="U7" i="2028"/>
  <c r="T7" i="2028"/>
  <c r="S7" i="2028"/>
  <c r="R7" i="2028"/>
  <c r="Q7" i="2028"/>
  <c r="P7" i="2028"/>
  <c r="O7" i="2028"/>
  <c r="N7" i="2028"/>
  <c r="M7" i="2028"/>
  <c r="L7" i="2028"/>
  <c r="K7" i="2028"/>
  <c r="J7" i="2028"/>
  <c r="I7" i="2028"/>
  <c r="H7" i="2028"/>
  <c r="G7" i="2028"/>
  <c r="F7" i="2028"/>
  <c r="E7" i="2028"/>
  <c r="D7" i="2028"/>
  <c r="J33" i="2028" l="1"/>
  <c r="S33" i="2028"/>
  <c r="N33" i="2028"/>
  <c r="V33" i="2028"/>
  <c r="W33" i="2028"/>
  <c r="D33" i="2028"/>
  <c r="Z33" i="2028"/>
  <c r="Y33" i="2028"/>
  <c r="Q33" i="2028"/>
  <c r="K33" i="2028"/>
  <c r="E33" i="2028"/>
  <c r="M33" i="2028"/>
  <c r="AA33" i="2027"/>
  <c r="X33" i="2027"/>
  <c r="U33" i="2027"/>
  <c r="R33" i="2027"/>
  <c r="O33" i="2027"/>
  <c r="L33" i="2027"/>
  <c r="F33" i="2027"/>
  <c r="Y28" i="2027"/>
  <c r="X28" i="2027"/>
  <c r="W28" i="2027"/>
  <c r="V28" i="2027"/>
  <c r="U28" i="2027"/>
  <c r="T28" i="2027"/>
  <c r="S28" i="2027"/>
  <c r="R28" i="2027"/>
  <c r="Q28" i="2027"/>
  <c r="P28" i="2027"/>
  <c r="O28" i="2027"/>
  <c r="N28" i="2027"/>
  <c r="M28" i="2027"/>
  <c r="L28" i="2027"/>
  <c r="K28" i="2027"/>
  <c r="J28" i="2027"/>
  <c r="I28" i="2027"/>
  <c r="H28" i="2027"/>
  <c r="G28" i="2027"/>
  <c r="F28" i="2027"/>
  <c r="E28" i="2027"/>
  <c r="D28" i="2027"/>
  <c r="Y25" i="2027"/>
  <c r="X25" i="2027"/>
  <c r="W25" i="2027"/>
  <c r="V25" i="2027"/>
  <c r="U25" i="2027"/>
  <c r="T25" i="2027"/>
  <c r="S25" i="2027"/>
  <c r="R25" i="2027"/>
  <c r="Q25" i="2027"/>
  <c r="P25" i="2027"/>
  <c r="O25" i="2027"/>
  <c r="N25" i="2027"/>
  <c r="M25" i="2027"/>
  <c r="L25" i="2027"/>
  <c r="K25" i="2027"/>
  <c r="J25" i="2027"/>
  <c r="I25" i="2027"/>
  <c r="H25" i="2027"/>
  <c r="G25" i="2027"/>
  <c r="F25" i="2027"/>
  <c r="E25" i="2027"/>
  <c r="D25" i="2027"/>
  <c r="AE19" i="2027"/>
  <c r="AD19" i="2027"/>
  <c r="AC19" i="2027"/>
  <c r="AB19" i="2027"/>
  <c r="AA19" i="2027"/>
  <c r="Z19" i="2027"/>
  <c r="Y19" i="2027"/>
  <c r="X19" i="2027"/>
  <c r="T33" i="2027" s="1"/>
  <c r="W19" i="2027"/>
  <c r="V19" i="2027"/>
  <c r="U19" i="2027"/>
  <c r="T19" i="2027"/>
  <c r="S19" i="2027"/>
  <c r="R19" i="2027"/>
  <c r="Q19" i="2027"/>
  <c r="P19" i="2027"/>
  <c r="O19" i="2027"/>
  <c r="N19" i="2027"/>
  <c r="H33" i="2027" s="1"/>
  <c r="M19" i="2027"/>
  <c r="L19" i="2027"/>
  <c r="P33" i="2027" s="1"/>
  <c r="K19" i="2027"/>
  <c r="J19" i="2027"/>
  <c r="I19" i="2027"/>
  <c r="AB33" i="2027" s="1"/>
  <c r="H19" i="2027"/>
  <c r="G19" i="2027"/>
  <c r="F19" i="2027"/>
  <c r="E19" i="2027"/>
  <c r="D19" i="2027"/>
  <c r="AE16" i="2027"/>
  <c r="AD16" i="2027"/>
  <c r="AC16" i="2027"/>
  <c r="AB16" i="2027"/>
  <c r="AA16" i="2027"/>
  <c r="Z16" i="2027"/>
  <c r="X16" i="2027"/>
  <c r="W16" i="2027"/>
  <c r="V16" i="2027"/>
  <c r="U16" i="2027"/>
  <c r="T16" i="2027"/>
  <c r="S16" i="2027"/>
  <c r="R16" i="2027"/>
  <c r="Q16" i="2027"/>
  <c r="P16" i="2027"/>
  <c r="O16" i="2027"/>
  <c r="N16" i="2027"/>
  <c r="M16" i="2027"/>
  <c r="L16" i="2027"/>
  <c r="K16" i="2027"/>
  <c r="J16" i="2027"/>
  <c r="I16" i="2027"/>
  <c r="H16" i="2027"/>
  <c r="G16" i="2027"/>
  <c r="F16" i="2027"/>
  <c r="E16" i="2027"/>
  <c r="D16" i="2027"/>
  <c r="AE10" i="2027"/>
  <c r="AD10" i="2027"/>
  <c r="AC33" i="2027" s="1"/>
  <c r="AC10" i="2027"/>
  <c r="AB10" i="2027"/>
  <c r="AA10" i="2027"/>
  <c r="Z10" i="2027"/>
  <c r="Y10" i="2027"/>
  <c r="X10" i="2027"/>
  <c r="W10" i="2027"/>
  <c r="V10" i="2027"/>
  <c r="U10" i="2027"/>
  <c r="T10" i="2027"/>
  <c r="S10" i="2027"/>
  <c r="R10" i="2027"/>
  <c r="Q10" i="2027"/>
  <c r="P10" i="2027"/>
  <c r="O10" i="2027"/>
  <c r="N10" i="2027"/>
  <c r="M10" i="2027"/>
  <c r="L10" i="2027"/>
  <c r="K10" i="2027"/>
  <c r="J10" i="2027"/>
  <c r="I10" i="2027"/>
  <c r="H10" i="2027"/>
  <c r="G10" i="2027"/>
  <c r="F10" i="2027"/>
  <c r="E10" i="2027"/>
  <c r="D10" i="2027"/>
  <c r="AE7" i="2027"/>
  <c r="AD7" i="2027"/>
  <c r="AC7" i="2027"/>
  <c r="AB7" i="2027"/>
  <c r="AA7" i="2027"/>
  <c r="Z7" i="2027"/>
  <c r="Y7" i="2027"/>
  <c r="X7" i="2027"/>
  <c r="W7" i="2027"/>
  <c r="V7" i="2027"/>
  <c r="U7" i="2027"/>
  <c r="T7" i="2027"/>
  <c r="S7" i="2027"/>
  <c r="R7" i="2027"/>
  <c r="Q7" i="2027"/>
  <c r="P7" i="2027"/>
  <c r="O7" i="2027"/>
  <c r="N7" i="2027"/>
  <c r="M7" i="2027"/>
  <c r="L7" i="2027"/>
  <c r="K7" i="2027"/>
  <c r="J7" i="2027"/>
  <c r="I7" i="2027"/>
  <c r="H7" i="2027"/>
  <c r="G7" i="2027"/>
  <c r="F7" i="2027"/>
  <c r="E7" i="2027"/>
  <c r="D7" i="2027"/>
  <c r="S33" i="2027" l="1"/>
  <c r="J33" i="2027"/>
  <c r="K33" i="2027"/>
  <c r="W33" i="2027"/>
  <c r="D33" i="2027"/>
  <c r="Z33" i="2027"/>
  <c r="Y33" i="2027"/>
  <c r="N33" i="2027"/>
  <c r="Q33" i="2027"/>
  <c r="E33" i="2027"/>
  <c r="M33" i="2027"/>
  <c r="V33" i="2027"/>
  <c r="AA33" i="2026"/>
  <c r="X33" i="2026"/>
  <c r="U33" i="2026"/>
  <c r="R33" i="2026"/>
  <c r="O33" i="2026"/>
  <c r="L33" i="2026"/>
  <c r="F33" i="2026"/>
  <c r="Y28" i="2026"/>
  <c r="X28" i="2026"/>
  <c r="W28" i="2026"/>
  <c r="V28" i="2026"/>
  <c r="U28" i="2026"/>
  <c r="T28" i="2026"/>
  <c r="S28" i="2026"/>
  <c r="R28" i="2026"/>
  <c r="Q28" i="2026"/>
  <c r="P28" i="2026"/>
  <c r="O28" i="2026"/>
  <c r="N28" i="2026"/>
  <c r="M28" i="2026"/>
  <c r="L28" i="2026"/>
  <c r="K28" i="2026"/>
  <c r="J28" i="2026"/>
  <c r="I28" i="2026"/>
  <c r="H28" i="2026"/>
  <c r="G28" i="2026"/>
  <c r="F28" i="2026"/>
  <c r="E28" i="2026"/>
  <c r="D28" i="2026"/>
  <c r="Y25" i="2026"/>
  <c r="X25" i="2026"/>
  <c r="W25" i="2026"/>
  <c r="V25" i="2026"/>
  <c r="U25" i="2026"/>
  <c r="T25" i="2026"/>
  <c r="S25" i="2026"/>
  <c r="R25" i="2026"/>
  <c r="Q25" i="2026"/>
  <c r="P25" i="2026"/>
  <c r="O25" i="2026"/>
  <c r="N25" i="2026"/>
  <c r="M25" i="2026"/>
  <c r="L25" i="2026"/>
  <c r="K25" i="2026"/>
  <c r="J25" i="2026"/>
  <c r="I25" i="2026"/>
  <c r="H25" i="2026"/>
  <c r="G25" i="2026"/>
  <c r="F25" i="2026"/>
  <c r="E25" i="2026"/>
  <c r="D25" i="2026"/>
  <c r="AE19" i="2026"/>
  <c r="AD19" i="2026"/>
  <c r="AC19" i="2026"/>
  <c r="AB19" i="2026"/>
  <c r="AA19" i="2026"/>
  <c r="Z19" i="2026"/>
  <c r="Y19" i="2026"/>
  <c r="X19" i="2026"/>
  <c r="T33" i="2026" s="1"/>
  <c r="W19" i="2026"/>
  <c r="V19" i="2026"/>
  <c r="U19" i="2026"/>
  <c r="T19" i="2026"/>
  <c r="S19" i="2026"/>
  <c r="R19" i="2026"/>
  <c r="Q19" i="2026"/>
  <c r="P19" i="2026"/>
  <c r="O19" i="2026"/>
  <c r="N19" i="2026"/>
  <c r="H33" i="2026" s="1"/>
  <c r="M19" i="2026"/>
  <c r="L19" i="2026"/>
  <c r="P33" i="2026" s="1"/>
  <c r="K19" i="2026"/>
  <c r="J19" i="2026"/>
  <c r="I19" i="2026"/>
  <c r="AB33" i="2026" s="1"/>
  <c r="H19" i="2026"/>
  <c r="G19" i="2026"/>
  <c r="F19" i="2026"/>
  <c r="E19" i="2026"/>
  <c r="D19" i="2026"/>
  <c r="AE16" i="2026"/>
  <c r="AD16" i="2026"/>
  <c r="AC16" i="2026"/>
  <c r="AB16" i="2026"/>
  <c r="AA16" i="2026"/>
  <c r="Z16" i="2026"/>
  <c r="X16" i="2026"/>
  <c r="W16" i="2026"/>
  <c r="V16" i="2026"/>
  <c r="U16" i="2026"/>
  <c r="T16" i="2026"/>
  <c r="S16" i="2026"/>
  <c r="R16" i="2026"/>
  <c r="Q16" i="2026"/>
  <c r="P16" i="2026"/>
  <c r="O16" i="2026"/>
  <c r="N16" i="2026"/>
  <c r="M16" i="2026"/>
  <c r="L16" i="2026"/>
  <c r="K16" i="2026"/>
  <c r="J16" i="2026"/>
  <c r="I16" i="2026"/>
  <c r="H16" i="2026"/>
  <c r="G16" i="2026"/>
  <c r="F16" i="2026"/>
  <c r="E16" i="2026"/>
  <c r="D16" i="2026"/>
  <c r="AE10" i="2026"/>
  <c r="AD10" i="2026"/>
  <c r="AC33" i="2026" s="1"/>
  <c r="AC10" i="2026"/>
  <c r="AB10" i="2026"/>
  <c r="AA10" i="2026"/>
  <c r="Z10" i="2026"/>
  <c r="Y10" i="2026"/>
  <c r="X10" i="2026"/>
  <c r="W10" i="2026"/>
  <c r="V10" i="2026"/>
  <c r="U10" i="2026"/>
  <c r="T10" i="2026"/>
  <c r="S10" i="2026"/>
  <c r="R10" i="2026"/>
  <c r="Q10" i="2026"/>
  <c r="P10" i="2026"/>
  <c r="O10" i="2026"/>
  <c r="N10" i="2026"/>
  <c r="Q33" i="2026" s="1"/>
  <c r="M10" i="2026"/>
  <c r="L10" i="2026"/>
  <c r="N33" i="2026" s="1"/>
  <c r="K10" i="2026"/>
  <c r="J10" i="2026"/>
  <c r="I10" i="2026"/>
  <c r="H10" i="2026"/>
  <c r="G10" i="2026"/>
  <c r="F10" i="2026"/>
  <c r="J33" i="2026" s="1"/>
  <c r="E10" i="2026"/>
  <c r="D10" i="2026"/>
  <c r="AE7" i="2026"/>
  <c r="AD7" i="2026"/>
  <c r="AC7" i="2026"/>
  <c r="AB7" i="2026"/>
  <c r="AA7" i="2026"/>
  <c r="Z7" i="2026"/>
  <c r="Y7" i="2026"/>
  <c r="X7" i="2026"/>
  <c r="W7" i="2026"/>
  <c r="V7" i="2026"/>
  <c r="U7" i="2026"/>
  <c r="T7" i="2026"/>
  <c r="S7" i="2026"/>
  <c r="R7" i="2026"/>
  <c r="Q7" i="2026"/>
  <c r="P7" i="2026"/>
  <c r="O7" i="2026"/>
  <c r="N7" i="2026"/>
  <c r="M7" i="2026"/>
  <c r="L7" i="2026"/>
  <c r="K7" i="2026"/>
  <c r="J7" i="2026"/>
  <c r="I7" i="2026"/>
  <c r="H7" i="2026"/>
  <c r="G7" i="2026"/>
  <c r="F7" i="2026"/>
  <c r="E7" i="2026"/>
  <c r="D7" i="2026"/>
  <c r="D33" i="2026" l="1"/>
  <c r="S33" i="2026"/>
  <c r="K33" i="2026"/>
  <c r="W33" i="2026"/>
  <c r="Z33" i="2026"/>
  <c r="Y33" i="2026"/>
  <c r="E33" i="2026"/>
  <c r="M33" i="2026"/>
  <c r="V33" i="2026"/>
  <c r="AA33" i="2025"/>
  <c r="X33" i="2025"/>
  <c r="U33" i="2025"/>
  <c r="R33" i="2025"/>
  <c r="O33" i="2025"/>
  <c r="L33" i="2025"/>
  <c r="F33" i="2025"/>
  <c r="Y28" i="2025"/>
  <c r="X28" i="2025"/>
  <c r="W28" i="2025"/>
  <c r="V28" i="2025"/>
  <c r="U28" i="2025"/>
  <c r="T28" i="2025"/>
  <c r="S28" i="2025"/>
  <c r="R28" i="2025"/>
  <c r="Q28" i="2025"/>
  <c r="P28" i="2025"/>
  <c r="O28" i="2025"/>
  <c r="N28" i="2025"/>
  <c r="M28" i="2025"/>
  <c r="L28" i="2025"/>
  <c r="K28" i="2025"/>
  <c r="J28" i="2025"/>
  <c r="I28" i="2025"/>
  <c r="H28" i="2025"/>
  <c r="G28" i="2025"/>
  <c r="F28" i="2025"/>
  <c r="E28" i="2025"/>
  <c r="D28" i="2025"/>
  <c r="Y25" i="2025"/>
  <c r="X25" i="2025"/>
  <c r="W25" i="2025"/>
  <c r="V25" i="2025"/>
  <c r="U25" i="2025"/>
  <c r="T25" i="2025"/>
  <c r="S25" i="2025"/>
  <c r="R25" i="2025"/>
  <c r="Q25" i="2025"/>
  <c r="P25" i="2025"/>
  <c r="O25" i="2025"/>
  <c r="N25" i="2025"/>
  <c r="M25" i="2025"/>
  <c r="L25" i="2025"/>
  <c r="K25" i="2025"/>
  <c r="J25" i="2025"/>
  <c r="I25" i="2025"/>
  <c r="H25" i="2025"/>
  <c r="G25" i="2025"/>
  <c r="F25" i="2025"/>
  <c r="E25" i="2025"/>
  <c r="D25" i="2025"/>
  <c r="AE19" i="2025"/>
  <c r="AD19" i="2025"/>
  <c r="AC19" i="2025"/>
  <c r="AB19" i="2025"/>
  <c r="AA19" i="2025"/>
  <c r="Z19" i="2025"/>
  <c r="Y19" i="2025"/>
  <c r="X19" i="2025"/>
  <c r="T33" i="2025" s="1"/>
  <c r="W19" i="2025"/>
  <c r="V19" i="2025"/>
  <c r="U19" i="2025"/>
  <c r="T19" i="2025"/>
  <c r="S19" i="2025"/>
  <c r="R19" i="2025"/>
  <c r="Q19" i="2025"/>
  <c r="P19" i="2025"/>
  <c r="O19" i="2025"/>
  <c r="N19" i="2025"/>
  <c r="H33" i="2025" s="1"/>
  <c r="M19" i="2025"/>
  <c r="L19" i="2025"/>
  <c r="P33" i="2025" s="1"/>
  <c r="K19" i="2025"/>
  <c r="J19" i="2025"/>
  <c r="I19" i="2025"/>
  <c r="AB33" i="2025" s="1"/>
  <c r="H19" i="2025"/>
  <c r="G19" i="2025"/>
  <c r="F19" i="2025"/>
  <c r="E19" i="2025"/>
  <c r="D19" i="2025"/>
  <c r="AE16" i="2025"/>
  <c r="AD16" i="2025"/>
  <c r="AC16" i="2025"/>
  <c r="AB16" i="2025"/>
  <c r="AA16" i="2025"/>
  <c r="Z16" i="2025"/>
  <c r="X16" i="2025"/>
  <c r="W16" i="2025"/>
  <c r="V16" i="2025"/>
  <c r="U16" i="2025"/>
  <c r="T16" i="2025"/>
  <c r="S16" i="2025"/>
  <c r="R16" i="2025"/>
  <c r="Q16" i="2025"/>
  <c r="P16" i="2025"/>
  <c r="O16" i="2025"/>
  <c r="N16" i="2025"/>
  <c r="M16" i="2025"/>
  <c r="L16" i="2025"/>
  <c r="K16" i="2025"/>
  <c r="J16" i="2025"/>
  <c r="I16" i="2025"/>
  <c r="H16" i="2025"/>
  <c r="G16" i="2025"/>
  <c r="F16" i="2025"/>
  <c r="E16" i="2025"/>
  <c r="D16" i="2025"/>
  <c r="AE10" i="2025"/>
  <c r="AD10" i="2025"/>
  <c r="AC33" i="2025" s="1"/>
  <c r="AC10" i="2025"/>
  <c r="AB10" i="2025"/>
  <c r="AA10" i="2025"/>
  <c r="Z10" i="2025"/>
  <c r="Y10" i="2025"/>
  <c r="X10" i="2025"/>
  <c r="W10" i="2025"/>
  <c r="V10" i="2025"/>
  <c r="U10" i="2025"/>
  <c r="T10" i="2025"/>
  <c r="S10" i="2025"/>
  <c r="R10" i="2025"/>
  <c r="Q10" i="2025"/>
  <c r="P10" i="2025"/>
  <c r="O10" i="2025"/>
  <c r="N10" i="2025"/>
  <c r="M10" i="2025"/>
  <c r="E33" i="2025" s="1"/>
  <c r="L10" i="2025"/>
  <c r="N33" i="2025" s="1"/>
  <c r="K10" i="2025"/>
  <c r="J10" i="2025"/>
  <c r="Q33" i="2025" s="1"/>
  <c r="I10" i="2025"/>
  <c r="H10" i="2025"/>
  <c r="G10" i="2025"/>
  <c r="F10" i="2025"/>
  <c r="J33" i="2025" s="1"/>
  <c r="E10" i="2025"/>
  <c r="D10" i="2025"/>
  <c r="AE7" i="2025"/>
  <c r="AD7" i="2025"/>
  <c r="AC7" i="2025"/>
  <c r="AB7" i="2025"/>
  <c r="AA7" i="2025"/>
  <c r="Z7" i="2025"/>
  <c r="Y7" i="2025"/>
  <c r="X7" i="2025"/>
  <c r="W7" i="2025"/>
  <c r="V7" i="2025"/>
  <c r="U7" i="2025"/>
  <c r="T7" i="2025"/>
  <c r="S7" i="2025"/>
  <c r="R7" i="2025"/>
  <c r="Q7" i="2025"/>
  <c r="P7" i="2025"/>
  <c r="O7" i="2025"/>
  <c r="N7" i="2025"/>
  <c r="M7" i="2025"/>
  <c r="L7" i="2025"/>
  <c r="K7" i="2025"/>
  <c r="J7" i="2025"/>
  <c r="I7" i="2025"/>
  <c r="H7" i="2025"/>
  <c r="G7" i="2025"/>
  <c r="F7" i="2025"/>
  <c r="E7" i="2025"/>
  <c r="D7" i="2025"/>
  <c r="S33" i="2025" l="1"/>
  <c r="W33" i="2025"/>
  <c r="D33" i="2025"/>
  <c r="Z33" i="2025"/>
  <c r="Y33" i="2025"/>
  <c r="K33" i="2025"/>
  <c r="M33" i="2025"/>
  <c r="V33" i="2025"/>
  <c r="AA33" i="2024"/>
  <c r="X33" i="2024"/>
  <c r="U33" i="2024"/>
  <c r="R33" i="2024"/>
  <c r="O33" i="2024"/>
  <c r="L33" i="2024"/>
  <c r="F33" i="2024"/>
  <c r="Y28" i="2024"/>
  <c r="X28" i="2024"/>
  <c r="W28" i="2024"/>
  <c r="V28" i="2024"/>
  <c r="U28" i="2024"/>
  <c r="T28" i="2024"/>
  <c r="S28" i="2024"/>
  <c r="R28" i="2024"/>
  <c r="Q28" i="2024"/>
  <c r="P28" i="2024"/>
  <c r="O28" i="2024"/>
  <c r="N28" i="2024"/>
  <c r="M28" i="2024"/>
  <c r="L28" i="2024"/>
  <c r="K28" i="2024"/>
  <c r="J28" i="2024"/>
  <c r="I28" i="2024"/>
  <c r="H28" i="2024"/>
  <c r="G28" i="2024"/>
  <c r="F28" i="2024"/>
  <c r="E28" i="2024"/>
  <c r="D28" i="2024"/>
  <c r="Y25" i="2024"/>
  <c r="X25" i="2024"/>
  <c r="W25" i="2024"/>
  <c r="V25" i="2024"/>
  <c r="U25" i="2024"/>
  <c r="T25" i="2024"/>
  <c r="S25" i="2024"/>
  <c r="R25" i="2024"/>
  <c r="Q25" i="2024"/>
  <c r="P25" i="2024"/>
  <c r="O25" i="2024"/>
  <c r="N25" i="2024"/>
  <c r="M25" i="2024"/>
  <c r="L25" i="2024"/>
  <c r="K25" i="2024"/>
  <c r="J25" i="2024"/>
  <c r="I25" i="2024"/>
  <c r="H25" i="2024"/>
  <c r="G25" i="2024"/>
  <c r="F25" i="2024"/>
  <c r="E25" i="2024"/>
  <c r="D25" i="2024"/>
  <c r="AE19" i="2024"/>
  <c r="AD19" i="2024"/>
  <c r="AC19" i="2024"/>
  <c r="AB19" i="2024"/>
  <c r="AA19" i="2024"/>
  <c r="Z19" i="2024"/>
  <c r="Y19" i="2024"/>
  <c r="X19" i="2024"/>
  <c r="T33" i="2024" s="1"/>
  <c r="W19" i="2024"/>
  <c r="V19" i="2024"/>
  <c r="U19" i="2024"/>
  <c r="T19" i="2024"/>
  <c r="S19" i="2024"/>
  <c r="R19" i="2024"/>
  <c r="Q19" i="2024"/>
  <c r="P19" i="2024"/>
  <c r="O19" i="2024"/>
  <c r="N19" i="2024"/>
  <c r="H33" i="2024" s="1"/>
  <c r="M19" i="2024"/>
  <c r="L19" i="2024"/>
  <c r="P33" i="2024" s="1"/>
  <c r="K19" i="2024"/>
  <c r="J19" i="2024"/>
  <c r="I19" i="2024"/>
  <c r="AB33" i="2024" s="1"/>
  <c r="H19" i="2024"/>
  <c r="G19" i="2024"/>
  <c r="F19" i="2024"/>
  <c r="E19" i="2024"/>
  <c r="D19" i="2024"/>
  <c r="AE16" i="2024"/>
  <c r="AD16" i="2024"/>
  <c r="AC16" i="2024"/>
  <c r="AB16" i="2024"/>
  <c r="AA16" i="2024"/>
  <c r="Z16" i="2024"/>
  <c r="X16" i="2024"/>
  <c r="W16" i="2024"/>
  <c r="V16" i="2024"/>
  <c r="U16" i="2024"/>
  <c r="T16" i="2024"/>
  <c r="S16" i="2024"/>
  <c r="R16" i="2024"/>
  <c r="Q16" i="2024"/>
  <c r="P16" i="2024"/>
  <c r="O16" i="2024"/>
  <c r="N16" i="2024"/>
  <c r="M16" i="2024"/>
  <c r="L16" i="2024"/>
  <c r="K16" i="2024"/>
  <c r="J16" i="2024"/>
  <c r="I16" i="2024"/>
  <c r="H16" i="2024"/>
  <c r="G16" i="2024"/>
  <c r="F16" i="2024"/>
  <c r="E16" i="2024"/>
  <c r="D16" i="2024"/>
  <c r="AE10" i="2024"/>
  <c r="AD10" i="2024"/>
  <c r="AC33" i="2024" s="1"/>
  <c r="AC10" i="2024"/>
  <c r="AB10" i="2024"/>
  <c r="AA10" i="2024"/>
  <c r="Z10" i="2024"/>
  <c r="Y10" i="2024"/>
  <c r="X10" i="2024"/>
  <c r="W10" i="2024"/>
  <c r="V10" i="2024"/>
  <c r="U10" i="2024"/>
  <c r="T10" i="2024"/>
  <c r="S10" i="2024"/>
  <c r="R10" i="2024"/>
  <c r="Q10" i="2024"/>
  <c r="P10" i="2024"/>
  <c r="O10" i="2024"/>
  <c r="N10" i="2024"/>
  <c r="M10" i="2024"/>
  <c r="E33" i="2024" s="1"/>
  <c r="L10" i="2024"/>
  <c r="K10" i="2024"/>
  <c r="J10" i="2024"/>
  <c r="I10" i="2024"/>
  <c r="H10" i="2024"/>
  <c r="G10" i="2024"/>
  <c r="F10" i="2024"/>
  <c r="J33" i="2024" s="1"/>
  <c r="E10" i="2024"/>
  <c r="S33" i="2024" s="1"/>
  <c r="D10" i="2024"/>
  <c r="AE7" i="2024"/>
  <c r="AD7" i="2024"/>
  <c r="AC7" i="2024"/>
  <c r="AB7" i="2024"/>
  <c r="AA7" i="2024"/>
  <c r="Z7" i="2024"/>
  <c r="Y7" i="2024"/>
  <c r="X7" i="2024"/>
  <c r="W7" i="2024"/>
  <c r="V7" i="2024"/>
  <c r="U7" i="2024"/>
  <c r="T7" i="2024"/>
  <c r="S7" i="2024"/>
  <c r="R7" i="2024"/>
  <c r="Q7" i="2024"/>
  <c r="P7" i="2024"/>
  <c r="O7" i="2024"/>
  <c r="N7" i="2024"/>
  <c r="M7" i="2024"/>
  <c r="L7" i="2024"/>
  <c r="K7" i="2024"/>
  <c r="J7" i="2024"/>
  <c r="I7" i="2024"/>
  <c r="H7" i="2024"/>
  <c r="G7" i="2024"/>
  <c r="F7" i="2024"/>
  <c r="E7" i="2024"/>
  <c r="D7" i="2024"/>
  <c r="K33" i="2024" l="1"/>
  <c r="W33" i="2024"/>
  <c r="Z33" i="2024"/>
  <c r="V33" i="2024"/>
  <c r="D33" i="2024"/>
  <c r="Y33" i="2024"/>
  <c r="N33" i="2024"/>
  <c r="Q33" i="2024"/>
  <c r="M33" i="2024"/>
  <c r="AA33" i="2023"/>
  <c r="X33" i="2023"/>
  <c r="U33" i="2023"/>
  <c r="R33" i="2023"/>
  <c r="O33" i="2023"/>
  <c r="L33" i="2023"/>
  <c r="F33" i="2023"/>
  <c r="Y28" i="2023"/>
  <c r="X28" i="2023"/>
  <c r="W28" i="2023"/>
  <c r="V28" i="2023"/>
  <c r="U28" i="2023"/>
  <c r="T28" i="2023"/>
  <c r="S28" i="2023"/>
  <c r="R28" i="2023"/>
  <c r="Q28" i="2023"/>
  <c r="P28" i="2023"/>
  <c r="O28" i="2023"/>
  <c r="N28" i="2023"/>
  <c r="M28" i="2023"/>
  <c r="L28" i="2023"/>
  <c r="K28" i="2023"/>
  <c r="J28" i="2023"/>
  <c r="I28" i="2023"/>
  <c r="H28" i="2023"/>
  <c r="G28" i="2023"/>
  <c r="F28" i="2023"/>
  <c r="E28" i="2023"/>
  <c r="D28" i="2023"/>
  <c r="Y25" i="2023"/>
  <c r="X25" i="2023"/>
  <c r="W25" i="2023"/>
  <c r="V25" i="2023"/>
  <c r="U25" i="2023"/>
  <c r="T25" i="2023"/>
  <c r="S25" i="2023"/>
  <c r="R25" i="2023"/>
  <c r="Q25" i="2023"/>
  <c r="P25" i="2023"/>
  <c r="O25" i="2023"/>
  <c r="N25" i="2023"/>
  <c r="M25" i="2023"/>
  <c r="L25" i="2023"/>
  <c r="K25" i="2023"/>
  <c r="J25" i="2023"/>
  <c r="I25" i="2023"/>
  <c r="H25" i="2023"/>
  <c r="G25" i="2023"/>
  <c r="F25" i="2023"/>
  <c r="E25" i="2023"/>
  <c r="D25" i="2023"/>
  <c r="AE19" i="2023"/>
  <c r="AD19" i="2023"/>
  <c r="AC19" i="2023"/>
  <c r="AB19" i="2023"/>
  <c r="AA19" i="2023"/>
  <c r="Z19" i="2023"/>
  <c r="Y19" i="2023"/>
  <c r="X19" i="2023"/>
  <c r="T33" i="2023" s="1"/>
  <c r="W19" i="2023"/>
  <c r="V19" i="2023"/>
  <c r="U19" i="2023"/>
  <c r="T19" i="2023"/>
  <c r="S19" i="2023"/>
  <c r="R19" i="2023"/>
  <c r="Q19" i="2023"/>
  <c r="P19" i="2023"/>
  <c r="O19" i="2023"/>
  <c r="N19" i="2023"/>
  <c r="H33" i="2023" s="1"/>
  <c r="M19" i="2023"/>
  <c r="L19" i="2023"/>
  <c r="P33" i="2023" s="1"/>
  <c r="K19" i="2023"/>
  <c r="J19" i="2023"/>
  <c r="I19" i="2023"/>
  <c r="AB33" i="2023" s="1"/>
  <c r="H19" i="2023"/>
  <c r="G19" i="2023"/>
  <c r="F19" i="2023"/>
  <c r="E19" i="2023"/>
  <c r="D19" i="2023"/>
  <c r="AE16" i="2023"/>
  <c r="AD16" i="2023"/>
  <c r="AC16" i="2023"/>
  <c r="AB16" i="2023"/>
  <c r="AA16" i="2023"/>
  <c r="Z16" i="2023"/>
  <c r="X16" i="2023"/>
  <c r="W16" i="2023"/>
  <c r="V16" i="2023"/>
  <c r="U16" i="2023"/>
  <c r="T16" i="2023"/>
  <c r="S16" i="2023"/>
  <c r="R16" i="2023"/>
  <c r="Q16" i="2023"/>
  <c r="P16" i="2023"/>
  <c r="O16" i="2023"/>
  <c r="N16" i="2023"/>
  <c r="M16" i="2023"/>
  <c r="L16" i="2023"/>
  <c r="K16" i="2023"/>
  <c r="J16" i="2023"/>
  <c r="I16" i="2023"/>
  <c r="H16" i="2023"/>
  <c r="G16" i="2023"/>
  <c r="F16" i="2023"/>
  <c r="E16" i="2023"/>
  <c r="D16" i="2023"/>
  <c r="AE10" i="2023"/>
  <c r="AD10" i="2023"/>
  <c r="AC33" i="2023" s="1"/>
  <c r="AC10" i="2023"/>
  <c r="AB10" i="2023"/>
  <c r="AA10" i="2023"/>
  <c r="Z10" i="2023"/>
  <c r="Y10" i="2023"/>
  <c r="X10" i="2023"/>
  <c r="W10" i="2023"/>
  <c r="V10" i="2023"/>
  <c r="U10" i="2023"/>
  <c r="T10" i="2023"/>
  <c r="S10" i="2023"/>
  <c r="R10" i="2023"/>
  <c r="Q10" i="2023"/>
  <c r="P10" i="2023"/>
  <c r="O10" i="2023"/>
  <c r="N10" i="2023"/>
  <c r="Q33" i="2023" s="1"/>
  <c r="M10" i="2023"/>
  <c r="L10" i="2023"/>
  <c r="N33" i="2023" s="1"/>
  <c r="K10" i="2023"/>
  <c r="J10" i="2023"/>
  <c r="I10" i="2023"/>
  <c r="H10" i="2023"/>
  <c r="G10" i="2023"/>
  <c r="F10" i="2023"/>
  <c r="J33" i="2023" s="1"/>
  <c r="E10" i="2023"/>
  <c r="S33" i="2023" s="1"/>
  <c r="D10" i="2023"/>
  <c r="AE7" i="2023"/>
  <c r="AD7" i="2023"/>
  <c r="AC7" i="2023"/>
  <c r="AB7" i="2023"/>
  <c r="AA7" i="2023"/>
  <c r="Z7" i="2023"/>
  <c r="Y7" i="2023"/>
  <c r="X7" i="2023"/>
  <c r="W7" i="2023"/>
  <c r="V7" i="2023"/>
  <c r="U7" i="2023"/>
  <c r="T7" i="2023"/>
  <c r="S7" i="2023"/>
  <c r="R7" i="2023"/>
  <c r="Q7" i="2023"/>
  <c r="P7" i="2023"/>
  <c r="O7" i="2023"/>
  <c r="N7" i="2023"/>
  <c r="M7" i="2023"/>
  <c r="L7" i="2023"/>
  <c r="K7" i="2023"/>
  <c r="J7" i="2023"/>
  <c r="I7" i="2023"/>
  <c r="H7" i="2023"/>
  <c r="G7" i="2023"/>
  <c r="F7" i="2023"/>
  <c r="E7" i="2023"/>
  <c r="D7" i="2023"/>
  <c r="K33" i="2023" l="1"/>
  <c r="W33" i="2023"/>
  <c r="D33" i="2023"/>
  <c r="Z33" i="2023"/>
  <c r="Y33" i="2023"/>
  <c r="E33" i="2023"/>
  <c r="M33" i="2023"/>
  <c r="V33" i="2023"/>
  <c r="AA33" i="2022"/>
  <c r="X33" i="2022"/>
  <c r="U33" i="2022"/>
  <c r="R33" i="2022"/>
  <c r="O33" i="2022"/>
  <c r="L33" i="2022"/>
  <c r="F33" i="2022"/>
  <c r="Y28" i="2022"/>
  <c r="X28" i="2022"/>
  <c r="W28" i="2022"/>
  <c r="V28" i="2022"/>
  <c r="U28" i="2022"/>
  <c r="T28" i="2022"/>
  <c r="S28" i="2022"/>
  <c r="R28" i="2022"/>
  <c r="Q28" i="2022"/>
  <c r="P28" i="2022"/>
  <c r="O28" i="2022"/>
  <c r="N28" i="2022"/>
  <c r="M28" i="2022"/>
  <c r="L28" i="2022"/>
  <c r="K28" i="2022"/>
  <c r="J28" i="2022"/>
  <c r="I28" i="2022"/>
  <c r="H28" i="2022"/>
  <c r="G28" i="2022"/>
  <c r="F28" i="2022"/>
  <c r="E28" i="2022"/>
  <c r="D28" i="2022"/>
  <c r="Y25" i="2022"/>
  <c r="X25" i="2022"/>
  <c r="W25" i="2022"/>
  <c r="V25" i="2022"/>
  <c r="U25" i="2022"/>
  <c r="T25" i="2022"/>
  <c r="S25" i="2022"/>
  <c r="R25" i="2022"/>
  <c r="Q25" i="2022"/>
  <c r="P25" i="2022"/>
  <c r="O25" i="2022"/>
  <c r="N25" i="2022"/>
  <c r="M25" i="2022"/>
  <c r="L25" i="2022"/>
  <c r="K25" i="2022"/>
  <c r="J25" i="2022"/>
  <c r="I25" i="2022"/>
  <c r="H25" i="2022"/>
  <c r="G25" i="2022"/>
  <c r="F25" i="2022"/>
  <c r="E25" i="2022"/>
  <c r="D25" i="2022"/>
  <c r="AE19" i="2022"/>
  <c r="AD19" i="2022"/>
  <c r="AC19" i="2022"/>
  <c r="AB19" i="2022"/>
  <c r="AA19" i="2022"/>
  <c r="Z19" i="2022"/>
  <c r="Y19" i="2022"/>
  <c r="X19" i="2022"/>
  <c r="T33" i="2022" s="1"/>
  <c r="W19" i="2022"/>
  <c r="V19" i="2022"/>
  <c r="U19" i="2022"/>
  <c r="T19" i="2022"/>
  <c r="S19" i="2022"/>
  <c r="R19" i="2022"/>
  <c r="Q19" i="2022"/>
  <c r="P19" i="2022"/>
  <c r="O19" i="2022"/>
  <c r="N19" i="2022"/>
  <c r="H33" i="2022" s="1"/>
  <c r="M19" i="2022"/>
  <c r="L19" i="2022"/>
  <c r="P33" i="2022" s="1"/>
  <c r="K19" i="2022"/>
  <c r="J19" i="2022"/>
  <c r="I19" i="2022"/>
  <c r="AB33" i="2022" s="1"/>
  <c r="H19" i="2022"/>
  <c r="G19" i="2022"/>
  <c r="F19" i="2022"/>
  <c r="E19" i="2022"/>
  <c r="D19" i="2022"/>
  <c r="AE16" i="2022"/>
  <c r="AD16" i="2022"/>
  <c r="AC16" i="2022"/>
  <c r="AB16" i="2022"/>
  <c r="AA16" i="2022"/>
  <c r="Z16" i="2022"/>
  <c r="X16" i="2022"/>
  <c r="W16" i="2022"/>
  <c r="V16" i="2022"/>
  <c r="U16" i="2022"/>
  <c r="T16" i="2022"/>
  <c r="S16" i="2022"/>
  <c r="R16" i="2022"/>
  <c r="Q16" i="2022"/>
  <c r="P16" i="2022"/>
  <c r="O16" i="2022"/>
  <c r="N16" i="2022"/>
  <c r="M16" i="2022"/>
  <c r="L16" i="2022"/>
  <c r="K16" i="2022"/>
  <c r="J16" i="2022"/>
  <c r="I16" i="2022"/>
  <c r="H16" i="2022"/>
  <c r="G16" i="2022"/>
  <c r="F16" i="2022"/>
  <c r="E16" i="2022"/>
  <c r="D16" i="2022"/>
  <c r="AE10" i="2022"/>
  <c r="AD10" i="2022"/>
  <c r="AC33" i="2022" s="1"/>
  <c r="AC10" i="2022"/>
  <c r="AB10" i="2022"/>
  <c r="AA10" i="2022"/>
  <c r="Z10" i="2022"/>
  <c r="Y10" i="2022"/>
  <c r="X10" i="2022"/>
  <c r="W10" i="2022"/>
  <c r="V10" i="2022"/>
  <c r="U10" i="2022"/>
  <c r="T10" i="2022"/>
  <c r="S10" i="2022"/>
  <c r="R10" i="2022"/>
  <c r="Q10" i="2022"/>
  <c r="P10" i="2022"/>
  <c r="O10" i="2022"/>
  <c r="N10" i="2022"/>
  <c r="M10" i="2022"/>
  <c r="L10" i="2022"/>
  <c r="N33" i="2022" s="1"/>
  <c r="K10" i="2022"/>
  <c r="J10" i="2022"/>
  <c r="I10" i="2022"/>
  <c r="H10" i="2022"/>
  <c r="G10" i="2022"/>
  <c r="F10" i="2022"/>
  <c r="J33" i="2022" s="1"/>
  <c r="E10" i="2022"/>
  <c r="D10" i="2022"/>
  <c r="AE7" i="2022"/>
  <c r="AD7" i="2022"/>
  <c r="AC7" i="2022"/>
  <c r="AB7" i="2022"/>
  <c r="AA7" i="2022"/>
  <c r="Z7" i="2022"/>
  <c r="Y7" i="2022"/>
  <c r="X7" i="2022"/>
  <c r="W7" i="2022"/>
  <c r="V7" i="2022"/>
  <c r="U7" i="2022"/>
  <c r="T7" i="2022"/>
  <c r="S7" i="2022"/>
  <c r="R7" i="2022"/>
  <c r="Q7" i="2022"/>
  <c r="P7" i="2022"/>
  <c r="O7" i="2022"/>
  <c r="N7" i="2022"/>
  <c r="M7" i="2022"/>
  <c r="L7" i="2022"/>
  <c r="K7" i="2022"/>
  <c r="J7" i="2022"/>
  <c r="I7" i="2022"/>
  <c r="H7" i="2022"/>
  <c r="G7" i="2022"/>
  <c r="F7" i="2022"/>
  <c r="E7" i="2022"/>
  <c r="D7" i="2022"/>
  <c r="S33" i="2022" l="1"/>
  <c r="K33" i="2022"/>
  <c r="W33" i="2022"/>
  <c r="Z33" i="2022"/>
  <c r="D33" i="2022"/>
  <c r="Y33" i="2022"/>
  <c r="Q33" i="2022"/>
  <c r="E33" i="2022"/>
  <c r="M33" i="2022"/>
  <c r="V33" i="2022"/>
  <c r="AA33" i="2021"/>
  <c r="X33" i="2021"/>
  <c r="U33" i="2021"/>
  <c r="R33" i="2021"/>
  <c r="O33" i="2021"/>
  <c r="L33" i="2021"/>
  <c r="F33" i="2021"/>
  <c r="Y28" i="2021"/>
  <c r="X28" i="2021"/>
  <c r="W28" i="2021"/>
  <c r="V28" i="2021"/>
  <c r="U28" i="2021"/>
  <c r="T28" i="2021"/>
  <c r="S28" i="2021"/>
  <c r="R28" i="2021"/>
  <c r="Q28" i="2021"/>
  <c r="P28" i="2021"/>
  <c r="O28" i="2021"/>
  <c r="N28" i="2021"/>
  <c r="M28" i="2021"/>
  <c r="L28" i="2021"/>
  <c r="K28" i="2021"/>
  <c r="J28" i="2021"/>
  <c r="I28" i="2021"/>
  <c r="H28" i="2021"/>
  <c r="G28" i="2021"/>
  <c r="F28" i="2021"/>
  <c r="E28" i="2021"/>
  <c r="D28" i="2021"/>
  <c r="Y25" i="2021"/>
  <c r="X25" i="2021"/>
  <c r="W25" i="2021"/>
  <c r="V25" i="2021"/>
  <c r="U25" i="2021"/>
  <c r="T25" i="2021"/>
  <c r="S25" i="2021"/>
  <c r="R25" i="2021"/>
  <c r="Q25" i="2021"/>
  <c r="P25" i="2021"/>
  <c r="O25" i="2021"/>
  <c r="N25" i="2021"/>
  <c r="M25" i="2021"/>
  <c r="L25" i="2021"/>
  <c r="K25" i="2021"/>
  <c r="J25" i="2021"/>
  <c r="I25" i="2021"/>
  <c r="H25" i="2021"/>
  <c r="G25" i="2021"/>
  <c r="F25" i="2021"/>
  <c r="E25" i="2021"/>
  <c r="D25" i="2021"/>
  <c r="AE19" i="2021"/>
  <c r="AD19" i="2021"/>
  <c r="AC19" i="2021"/>
  <c r="AB19" i="2021"/>
  <c r="AA19" i="2021"/>
  <c r="Z19" i="2021"/>
  <c r="Y19" i="2021"/>
  <c r="X19" i="2021"/>
  <c r="T33" i="2021" s="1"/>
  <c r="W19" i="2021"/>
  <c r="V19" i="2021"/>
  <c r="U19" i="2021"/>
  <c r="T19" i="2021"/>
  <c r="S19" i="2021"/>
  <c r="R19" i="2021"/>
  <c r="Q19" i="2021"/>
  <c r="P19" i="2021"/>
  <c r="O19" i="2021"/>
  <c r="N19" i="2021"/>
  <c r="H33" i="2021" s="1"/>
  <c r="M19" i="2021"/>
  <c r="L19" i="2021"/>
  <c r="P33" i="2021" s="1"/>
  <c r="K19" i="2021"/>
  <c r="J19" i="2021"/>
  <c r="I19" i="2021"/>
  <c r="AB33" i="2021" s="1"/>
  <c r="H19" i="2021"/>
  <c r="G19" i="2021"/>
  <c r="F19" i="2021"/>
  <c r="E19" i="2021"/>
  <c r="D19" i="2021"/>
  <c r="AE16" i="2021"/>
  <c r="AD16" i="2021"/>
  <c r="AC16" i="2021"/>
  <c r="AB16" i="2021"/>
  <c r="AA16" i="2021"/>
  <c r="Z16" i="2021"/>
  <c r="X16" i="2021"/>
  <c r="W16" i="2021"/>
  <c r="V16" i="2021"/>
  <c r="U16" i="2021"/>
  <c r="T16" i="2021"/>
  <c r="S16" i="2021"/>
  <c r="R16" i="2021"/>
  <c r="Q16" i="2021"/>
  <c r="P16" i="2021"/>
  <c r="O16" i="2021"/>
  <c r="N16" i="2021"/>
  <c r="M16" i="2021"/>
  <c r="L16" i="2021"/>
  <c r="K16" i="2021"/>
  <c r="J16" i="2021"/>
  <c r="I16" i="2021"/>
  <c r="H16" i="2021"/>
  <c r="G16" i="2021"/>
  <c r="F16" i="2021"/>
  <c r="E16" i="2021"/>
  <c r="D16" i="2021"/>
  <c r="AE10" i="2021"/>
  <c r="AD10" i="2021"/>
  <c r="AC33" i="2021" s="1"/>
  <c r="AC10" i="2021"/>
  <c r="AB10" i="2021"/>
  <c r="AA10" i="2021"/>
  <c r="Z10" i="2021"/>
  <c r="Y10" i="2021"/>
  <c r="X10" i="2021"/>
  <c r="W10" i="2021"/>
  <c r="V10" i="2021"/>
  <c r="U10" i="2021"/>
  <c r="T10" i="2021"/>
  <c r="S10" i="2021"/>
  <c r="R10" i="2021"/>
  <c r="Q10" i="2021"/>
  <c r="P10" i="2021"/>
  <c r="O10" i="2021"/>
  <c r="N10" i="2021"/>
  <c r="M10" i="2021"/>
  <c r="L10" i="2021"/>
  <c r="N33" i="2021" s="1"/>
  <c r="K10" i="2021"/>
  <c r="J10" i="2021"/>
  <c r="I10" i="2021"/>
  <c r="H10" i="2021"/>
  <c r="G10" i="2021"/>
  <c r="F10" i="2021"/>
  <c r="J33" i="2021" s="1"/>
  <c r="E10" i="2021"/>
  <c r="S33" i="2021" s="1"/>
  <c r="D10" i="2021"/>
  <c r="AE7" i="2021"/>
  <c r="AD7" i="2021"/>
  <c r="AC7" i="2021"/>
  <c r="AB7" i="2021"/>
  <c r="AA7" i="2021"/>
  <c r="Z7" i="2021"/>
  <c r="Y7" i="2021"/>
  <c r="X7" i="2021"/>
  <c r="W7" i="2021"/>
  <c r="V7" i="2021"/>
  <c r="U7" i="2021"/>
  <c r="T7" i="2021"/>
  <c r="S7" i="2021"/>
  <c r="R7" i="2021"/>
  <c r="Q7" i="2021"/>
  <c r="P7" i="2021"/>
  <c r="O7" i="2021"/>
  <c r="N7" i="2021"/>
  <c r="M7" i="2021"/>
  <c r="L7" i="2021"/>
  <c r="K7" i="2021"/>
  <c r="J7" i="2021"/>
  <c r="I7" i="2021"/>
  <c r="H7" i="2021"/>
  <c r="G7" i="2021"/>
  <c r="F7" i="2021"/>
  <c r="E7" i="2021"/>
  <c r="D7" i="2021"/>
  <c r="K33" i="2021" l="1"/>
  <c r="W33" i="2021"/>
  <c r="Z33" i="2021"/>
  <c r="D33" i="2021"/>
  <c r="Y33" i="2021"/>
  <c r="Q33" i="2021"/>
  <c r="E33" i="2021"/>
  <c r="M33" i="2021"/>
  <c r="V33" i="2021"/>
  <c r="AA33" i="2020"/>
  <c r="X33" i="2020"/>
  <c r="U33" i="2020"/>
  <c r="R33" i="2020"/>
  <c r="O33" i="2020"/>
  <c r="L33" i="2020"/>
  <c r="F33" i="2020"/>
  <c r="Y28" i="2020"/>
  <c r="X28" i="2020"/>
  <c r="W28" i="2020"/>
  <c r="V28" i="2020"/>
  <c r="U28" i="2020"/>
  <c r="T28" i="2020"/>
  <c r="S28" i="2020"/>
  <c r="R28" i="2020"/>
  <c r="Q28" i="2020"/>
  <c r="P28" i="2020"/>
  <c r="O28" i="2020"/>
  <c r="N28" i="2020"/>
  <c r="M28" i="2020"/>
  <c r="L28" i="2020"/>
  <c r="K28" i="2020"/>
  <c r="J28" i="2020"/>
  <c r="I28" i="2020"/>
  <c r="H28" i="2020"/>
  <c r="G28" i="2020"/>
  <c r="F28" i="2020"/>
  <c r="E28" i="2020"/>
  <c r="D28" i="2020"/>
  <c r="Y25" i="2020"/>
  <c r="X25" i="2020"/>
  <c r="W25" i="2020"/>
  <c r="V25" i="2020"/>
  <c r="U25" i="2020"/>
  <c r="T25" i="2020"/>
  <c r="S25" i="2020"/>
  <c r="R25" i="2020"/>
  <c r="Q25" i="2020"/>
  <c r="P25" i="2020"/>
  <c r="O25" i="2020"/>
  <c r="N25" i="2020"/>
  <c r="M25" i="2020"/>
  <c r="L25" i="2020"/>
  <c r="K25" i="2020"/>
  <c r="J25" i="2020"/>
  <c r="I25" i="2020"/>
  <c r="H25" i="2020"/>
  <c r="G25" i="2020"/>
  <c r="F25" i="2020"/>
  <c r="E25" i="2020"/>
  <c r="D25" i="2020"/>
  <c r="AE19" i="2020"/>
  <c r="AD19" i="2020"/>
  <c r="AC19" i="2020"/>
  <c r="AB19" i="2020"/>
  <c r="AA19" i="2020"/>
  <c r="Z19" i="2020"/>
  <c r="Y19" i="2020"/>
  <c r="X19" i="2020"/>
  <c r="T33" i="2020" s="1"/>
  <c r="W19" i="2020"/>
  <c r="V19" i="2020"/>
  <c r="U19" i="2020"/>
  <c r="T19" i="2020"/>
  <c r="S19" i="2020"/>
  <c r="R19" i="2020"/>
  <c r="Q19" i="2020"/>
  <c r="P19" i="2020"/>
  <c r="O19" i="2020"/>
  <c r="N19" i="2020"/>
  <c r="H33" i="2020" s="1"/>
  <c r="M19" i="2020"/>
  <c r="L19" i="2020"/>
  <c r="P33" i="2020" s="1"/>
  <c r="K19" i="2020"/>
  <c r="J19" i="2020"/>
  <c r="I19" i="2020"/>
  <c r="AB33" i="2020" s="1"/>
  <c r="H19" i="2020"/>
  <c r="G19" i="2020"/>
  <c r="F19" i="2020"/>
  <c r="E19" i="2020"/>
  <c r="D19" i="2020"/>
  <c r="AE16" i="2020"/>
  <c r="AD16" i="2020"/>
  <c r="AC16" i="2020"/>
  <c r="AB16" i="2020"/>
  <c r="AA16" i="2020"/>
  <c r="Z16" i="2020"/>
  <c r="X16" i="2020"/>
  <c r="W16" i="2020"/>
  <c r="V16" i="2020"/>
  <c r="U16" i="2020"/>
  <c r="T16" i="2020"/>
  <c r="S16" i="2020"/>
  <c r="R16" i="2020"/>
  <c r="Q16" i="2020"/>
  <c r="P16" i="2020"/>
  <c r="O16" i="2020"/>
  <c r="N16" i="2020"/>
  <c r="M16" i="2020"/>
  <c r="L16" i="2020"/>
  <c r="K16" i="2020"/>
  <c r="J16" i="2020"/>
  <c r="I16" i="2020"/>
  <c r="H16" i="2020"/>
  <c r="G16" i="2020"/>
  <c r="F16" i="2020"/>
  <c r="E16" i="2020"/>
  <c r="D16" i="2020"/>
  <c r="AE10" i="2020"/>
  <c r="AD10" i="2020"/>
  <c r="AC33" i="2020" s="1"/>
  <c r="AC10" i="2020"/>
  <c r="AB10" i="2020"/>
  <c r="AA10" i="2020"/>
  <c r="Z10" i="2020"/>
  <c r="Y10" i="2020"/>
  <c r="X10" i="2020"/>
  <c r="W10" i="2020"/>
  <c r="V10" i="2020"/>
  <c r="U10" i="2020"/>
  <c r="T10" i="2020"/>
  <c r="S10" i="2020"/>
  <c r="R10" i="2020"/>
  <c r="Q10" i="2020"/>
  <c r="P10" i="2020"/>
  <c r="O10" i="2020"/>
  <c r="N10" i="2020"/>
  <c r="M10" i="2020"/>
  <c r="E33" i="2020" s="1"/>
  <c r="L10" i="2020"/>
  <c r="K10" i="2020"/>
  <c r="J10" i="2020"/>
  <c r="Q33" i="2020" s="1"/>
  <c r="I10" i="2020"/>
  <c r="H10" i="2020"/>
  <c r="G10" i="2020"/>
  <c r="F10" i="2020"/>
  <c r="E10" i="2020"/>
  <c r="S33" i="2020" s="1"/>
  <c r="D10" i="2020"/>
  <c r="AE7" i="2020"/>
  <c r="AD7" i="2020"/>
  <c r="AC7" i="2020"/>
  <c r="AB7" i="2020"/>
  <c r="AA7" i="2020"/>
  <c r="Z7" i="2020"/>
  <c r="Y7" i="2020"/>
  <c r="X7" i="2020"/>
  <c r="W7" i="2020"/>
  <c r="V7" i="2020"/>
  <c r="U7" i="2020"/>
  <c r="T7" i="2020"/>
  <c r="S7" i="2020"/>
  <c r="R7" i="2020"/>
  <c r="Q7" i="2020"/>
  <c r="P7" i="2020"/>
  <c r="O7" i="2020"/>
  <c r="N7" i="2020"/>
  <c r="M7" i="2020"/>
  <c r="L7" i="2020"/>
  <c r="K7" i="2020"/>
  <c r="J7" i="2020"/>
  <c r="I7" i="2020"/>
  <c r="H7" i="2020"/>
  <c r="G7" i="2020"/>
  <c r="F7" i="2020"/>
  <c r="E7" i="2020"/>
  <c r="D7" i="2020"/>
  <c r="N33" i="2020" l="1"/>
  <c r="J33" i="2020"/>
  <c r="W33" i="2020"/>
  <c r="D33" i="2020"/>
  <c r="Z33" i="2020"/>
  <c r="Y33" i="2020"/>
  <c r="K33" i="2020"/>
  <c r="M33" i="2020"/>
  <c r="V33" i="2020"/>
  <c r="AA33" i="2019"/>
  <c r="X33" i="2019"/>
  <c r="U33" i="2019"/>
  <c r="R33" i="2019"/>
  <c r="O33" i="2019"/>
  <c r="L33" i="2019"/>
  <c r="F33" i="2019"/>
  <c r="Y28" i="2019"/>
  <c r="X28" i="2019"/>
  <c r="W28" i="2019"/>
  <c r="V28" i="2019"/>
  <c r="U28" i="2019"/>
  <c r="T28" i="2019"/>
  <c r="S28" i="2019"/>
  <c r="R28" i="2019"/>
  <c r="Q28" i="2019"/>
  <c r="P28" i="2019"/>
  <c r="O28" i="2019"/>
  <c r="N28" i="2019"/>
  <c r="M28" i="2019"/>
  <c r="L28" i="2019"/>
  <c r="K28" i="2019"/>
  <c r="J28" i="2019"/>
  <c r="I28" i="2019"/>
  <c r="H28" i="2019"/>
  <c r="G28" i="2019"/>
  <c r="F28" i="2019"/>
  <c r="E28" i="2019"/>
  <c r="D28" i="2019"/>
  <c r="Y25" i="2019"/>
  <c r="X25" i="2019"/>
  <c r="W25" i="2019"/>
  <c r="V25" i="2019"/>
  <c r="U25" i="2019"/>
  <c r="T25" i="2019"/>
  <c r="S25" i="2019"/>
  <c r="R25" i="2019"/>
  <c r="Q25" i="2019"/>
  <c r="P25" i="2019"/>
  <c r="O25" i="2019"/>
  <c r="N25" i="2019"/>
  <c r="M25" i="2019"/>
  <c r="L25" i="2019"/>
  <c r="K25" i="2019"/>
  <c r="J25" i="2019"/>
  <c r="I25" i="2019"/>
  <c r="H25" i="2019"/>
  <c r="G25" i="2019"/>
  <c r="F25" i="2019"/>
  <c r="E25" i="2019"/>
  <c r="D25" i="2019"/>
  <c r="AE19" i="2019"/>
  <c r="AD19" i="2019"/>
  <c r="AC19" i="2019"/>
  <c r="AB19" i="2019"/>
  <c r="AA19" i="2019"/>
  <c r="Z19" i="2019"/>
  <c r="Y19" i="2019"/>
  <c r="X19" i="2019"/>
  <c r="T33" i="2019" s="1"/>
  <c r="W19" i="2019"/>
  <c r="V19" i="2019"/>
  <c r="U19" i="2019"/>
  <c r="T19" i="2019"/>
  <c r="S19" i="2019"/>
  <c r="R19" i="2019"/>
  <c r="Q19" i="2019"/>
  <c r="P19" i="2019"/>
  <c r="O19" i="2019"/>
  <c r="N19" i="2019"/>
  <c r="H33" i="2019" s="1"/>
  <c r="M19" i="2019"/>
  <c r="L19" i="2019"/>
  <c r="P33" i="2019" s="1"/>
  <c r="K19" i="2019"/>
  <c r="J19" i="2019"/>
  <c r="I19" i="2019"/>
  <c r="AB33" i="2019" s="1"/>
  <c r="H19" i="2019"/>
  <c r="G19" i="2019"/>
  <c r="F19" i="2019"/>
  <c r="E19" i="2019"/>
  <c r="D19" i="2019"/>
  <c r="AE16" i="2019"/>
  <c r="AD16" i="2019"/>
  <c r="AC16" i="2019"/>
  <c r="AB16" i="2019"/>
  <c r="AA16" i="2019"/>
  <c r="Z16" i="2019"/>
  <c r="X16" i="2019"/>
  <c r="W16" i="2019"/>
  <c r="V16" i="2019"/>
  <c r="U16" i="2019"/>
  <c r="T16" i="2019"/>
  <c r="S16" i="2019"/>
  <c r="R16" i="2019"/>
  <c r="Q16" i="2019"/>
  <c r="P16" i="2019"/>
  <c r="O16" i="2019"/>
  <c r="N16" i="2019"/>
  <c r="M16" i="2019"/>
  <c r="L16" i="2019"/>
  <c r="K16" i="2019"/>
  <c r="J16" i="2019"/>
  <c r="I16" i="2019"/>
  <c r="H16" i="2019"/>
  <c r="G16" i="2019"/>
  <c r="F16" i="2019"/>
  <c r="E16" i="2019"/>
  <c r="D16" i="2019"/>
  <c r="AE10" i="2019"/>
  <c r="AD10" i="2019"/>
  <c r="AC33" i="2019" s="1"/>
  <c r="AC10" i="2019"/>
  <c r="AB10" i="2019"/>
  <c r="AA10" i="2019"/>
  <c r="Z10" i="2019"/>
  <c r="Y10" i="2019"/>
  <c r="X10" i="2019"/>
  <c r="W10" i="2019"/>
  <c r="V10" i="2019"/>
  <c r="U10" i="2019"/>
  <c r="T10" i="2019"/>
  <c r="S10" i="2019"/>
  <c r="R10" i="2019"/>
  <c r="Q10" i="2019"/>
  <c r="P10" i="2019"/>
  <c r="O10" i="2019"/>
  <c r="N10" i="2019"/>
  <c r="M10" i="2019"/>
  <c r="E33" i="2019" s="1"/>
  <c r="L10" i="2019"/>
  <c r="N33" i="2019" s="1"/>
  <c r="K10" i="2019"/>
  <c r="J10" i="2019"/>
  <c r="I10" i="2019"/>
  <c r="H10" i="2019"/>
  <c r="G10" i="2019"/>
  <c r="F10" i="2019"/>
  <c r="E10" i="2019"/>
  <c r="D10" i="2019"/>
  <c r="AE7" i="2019"/>
  <c r="AD7" i="2019"/>
  <c r="AC7" i="2019"/>
  <c r="AB7" i="2019"/>
  <c r="AA7" i="2019"/>
  <c r="Z7" i="2019"/>
  <c r="Y7" i="2019"/>
  <c r="X7" i="2019"/>
  <c r="W7" i="2019"/>
  <c r="V7" i="2019"/>
  <c r="U7" i="2019"/>
  <c r="T7" i="2019"/>
  <c r="S7" i="2019"/>
  <c r="R7" i="2019"/>
  <c r="Q7" i="2019"/>
  <c r="P7" i="2019"/>
  <c r="O7" i="2019"/>
  <c r="N7" i="2019"/>
  <c r="M7" i="2019"/>
  <c r="L7" i="2019"/>
  <c r="K7" i="2019"/>
  <c r="J7" i="2019"/>
  <c r="I7" i="2019"/>
  <c r="H7" i="2019"/>
  <c r="G7" i="2019"/>
  <c r="F7" i="2019"/>
  <c r="E7" i="2019"/>
  <c r="D7" i="2019"/>
  <c r="S33" i="2019" l="1"/>
  <c r="J33" i="2019"/>
  <c r="W33" i="2019"/>
  <c r="Z33" i="2019"/>
  <c r="V33" i="2019"/>
  <c r="D33" i="2019"/>
  <c r="Y33" i="2019"/>
  <c r="Q33" i="2019"/>
  <c r="K33" i="2019"/>
  <c r="M33" i="2019"/>
  <c r="AA33" i="2018"/>
  <c r="X33" i="2018"/>
  <c r="U33" i="2018"/>
  <c r="R33" i="2018"/>
  <c r="O33" i="2018"/>
  <c r="L33" i="2018"/>
  <c r="F33" i="2018"/>
  <c r="Y28" i="2018"/>
  <c r="X28" i="2018"/>
  <c r="W28" i="2018"/>
  <c r="V28" i="2018"/>
  <c r="U28" i="2018"/>
  <c r="T28" i="2018"/>
  <c r="S28" i="2018"/>
  <c r="R28" i="2018"/>
  <c r="Q28" i="2018"/>
  <c r="P28" i="2018"/>
  <c r="O28" i="2018"/>
  <c r="N28" i="2018"/>
  <c r="M28" i="2018"/>
  <c r="L28" i="2018"/>
  <c r="K28" i="2018"/>
  <c r="J28" i="2018"/>
  <c r="I28" i="2018"/>
  <c r="H28" i="2018"/>
  <c r="G28" i="2018"/>
  <c r="F28" i="2018"/>
  <c r="E28" i="2018"/>
  <c r="D28" i="2018"/>
  <c r="Y25" i="2018"/>
  <c r="X25" i="2018"/>
  <c r="W25" i="2018"/>
  <c r="V25" i="2018"/>
  <c r="U25" i="2018"/>
  <c r="T25" i="2018"/>
  <c r="S25" i="2018"/>
  <c r="R25" i="2018"/>
  <c r="Q25" i="2018"/>
  <c r="P25" i="2018"/>
  <c r="O25" i="2018"/>
  <c r="N25" i="2018"/>
  <c r="M25" i="2018"/>
  <c r="L25" i="2018"/>
  <c r="K25" i="2018"/>
  <c r="J25" i="2018"/>
  <c r="I25" i="2018"/>
  <c r="H25" i="2018"/>
  <c r="G25" i="2018"/>
  <c r="F25" i="2018"/>
  <c r="E25" i="2018"/>
  <c r="D25" i="2018"/>
  <c r="AE19" i="2018"/>
  <c r="AD19" i="2018"/>
  <c r="AC19" i="2018"/>
  <c r="AB19" i="2018"/>
  <c r="AA19" i="2018"/>
  <c r="Z19" i="2018"/>
  <c r="Y19" i="2018"/>
  <c r="X19" i="2018"/>
  <c r="T33" i="2018" s="1"/>
  <c r="W19" i="2018"/>
  <c r="V19" i="2018"/>
  <c r="U19" i="2018"/>
  <c r="T19" i="2018"/>
  <c r="S19" i="2018"/>
  <c r="R19" i="2018"/>
  <c r="Q19" i="2018"/>
  <c r="P19" i="2018"/>
  <c r="O19" i="2018"/>
  <c r="N19" i="2018"/>
  <c r="H33" i="2018" s="1"/>
  <c r="M19" i="2018"/>
  <c r="L19" i="2018"/>
  <c r="P33" i="2018" s="1"/>
  <c r="K19" i="2018"/>
  <c r="J19" i="2018"/>
  <c r="I19" i="2018"/>
  <c r="AB33" i="2018" s="1"/>
  <c r="H19" i="2018"/>
  <c r="G19" i="2018"/>
  <c r="F19" i="2018"/>
  <c r="E19" i="2018"/>
  <c r="D19" i="2018"/>
  <c r="AE16" i="2018"/>
  <c r="AD16" i="2018"/>
  <c r="AC16" i="2018"/>
  <c r="AB16" i="2018"/>
  <c r="AA16" i="2018"/>
  <c r="Z16" i="2018"/>
  <c r="X16" i="2018"/>
  <c r="W16" i="2018"/>
  <c r="V16" i="2018"/>
  <c r="U16" i="2018"/>
  <c r="T16" i="2018"/>
  <c r="S16" i="2018"/>
  <c r="R16" i="2018"/>
  <c r="Q16" i="2018"/>
  <c r="P16" i="2018"/>
  <c r="O16" i="2018"/>
  <c r="N16" i="2018"/>
  <c r="M16" i="2018"/>
  <c r="L16" i="2018"/>
  <c r="K16" i="2018"/>
  <c r="J16" i="2018"/>
  <c r="I16" i="2018"/>
  <c r="H16" i="2018"/>
  <c r="G16" i="2018"/>
  <c r="F16" i="2018"/>
  <c r="E16" i="2018"/>
  <c r="D16" i="2018"/>
  <c r="AE10" i="2018"/>
  <c r="AD10" i="2018"/>
  <c r="AC33" i="2018" s="1"/>
  <c r="AC10" i="2018"/>
  <c r="AB10" i="2018"/>
  <c r="AA10" i="2018"/>
  <c r="Z10" i="2018"/>
  <c r="Y10" i="2018"/>
  <c r="X10" i="2018"/>
  <c r="W10" i="2018"/>
  <c r="V10" i="2018"/>
  <c r="U10" i="2018"/>
  <c r="T10" i="2018"/>
  <c r="S10" i="2018"/>
  <c r="R10" i="2018"/>
  <c r="Q10" i="2018"/>
  <c r="P10" i="2018"/>
  <c r="O10" i="2018"/>
  <c r="N10" i="2018"/>
  <c r="M10" i="2018"/>
  <c r="L10" i="2018"/>
  <c r="N33" i="2018" s="1"/>
  <c r="K10" i="2018"/>
  <c r="J10" i="2018"/>
  <c r="I10" i="2018"/>
  <c r="H10" i="2018"/>
  <c r="G10" i="2018"/>
  <c r="F10" i="2018"/>
  <c r="E10" i="2018"/>
  <c r="S33" i="2018" s="1"/>
  <c r="D10" i="2018"/>
  <c r="AE7" i="2018"/>
  <c r="AD7" i="2018"/>
  <c r="AC7" i="2018"/>
  <c r="AB7" i="2018"/>
  <c r="AA7" i="2018"/>
  <c r="Z7" i="2018"/>
  <c r="Y7" i="2018"/>
  <c r="X7" i="2018"/>
  <c r="W7" i="2018"/>
  <c r="V7" i="2018"/>
  <c r="U7" i="2018"/>
  <c r="T7" i="2018"/>
  <c r="S7" i="2018"/>
  <c r="R7" i="2018"/>
  <c r="Q7" i="2018"/>
  <c r="P7" i="2018"/>
  <c r="O7" i="2018"/>
  <c r="N7" i="2018"/>
  <c r="M7" i="2018"/>
  <c r="L7" i="2018"/>
  <c r="K7" i="2018"/>
  <c r="J7" i="2018"/>
  <c r="I7" i="2018"/>
  <c r="H7" i="2018"/>
  <c r="G7" i="2018"/>
  <c r="F7" i="2018"/>
  <c r="E7" i="2018"/>
  <c r="D7" i="2018"/>
  <c r="J33" i="2018" l="1"/>
  <c r="K33" i="2018"/>
  <c r="W33" i="2018"/>
  <c r="Z33" i="2018"/>
  <c r="D33" i="2018"/>
  <c r="Y33" i="2018"/>
  <c r="Q33" i="2018"/>
  <c r="E33" i="2018"/>
  <c r="M33" i="2018"/>
  <c r="V33" i="2018"/>
  <c r="AA33" i="2017"/>
  <c r="X33" i="2017"/>
  <c r="U33" i="2017"/>
  <c r="R33" i="2017"/>
  <c r="O33" i="2017"/>
  <c r="L33" i="2017"/>
  <c r="F33" i="2017"/>
  <c r="Y28" i="2017"/>
  <c r="X28" i="2017"/>
  <c r="W28" i="2017"/>
  <c r="V28" i="2017"/>
  <c r="U28" i="2017"/>
  <c r="T28" i="2017"/>
  <c r="S28" i="2017"/>
  <c r="R28" i="2017"/>
  <c r="Q28" i="2017"/>
  <c r="P28" i="2017"/>
  <c r="O28" i="2017"/>
  <c r="N28" i="2017"/>
  <c r="M28" i="2017"/>
  <c r="L28" i="2017"/>
  <c r="K28" i="2017"/>
  <c r="J28" i="2017"/>
  <c r="I28" i="2017"/>
  <c r="H28" i="2017"/>
  <c r="G28" i="2017"/>
  <c r="F28" i="2017"/>
  <c r="E28" i="2017"/>
  <c r="D28" i="2017"/>
  <c r="Y25" i="2017"/>
  <c r="X25" i="2017"/>
  <c r="W25" i="2017"/>
  <c r="V25" i="2017"/>
  <c r="U25" i="2017"/>
  <c r="T25" i="2017"/>
  <c r="S25" i="2017"/>
  <c r="R25" i="2017"/>
  <c r="Q25" i="2017"/>
  <c r="P25" i="2017"/>
  <c r="O25" i="2017"/>
  <c r="N25" i="2017"/>
  <c r="M25" i="2017"/>
  <c r="L25" i="2017"/>
  <c r="K25" i="2017"/>
  <c r="J25" i="2017"/>
  <c r="I25" i="2017"/>
  <c r="H25" i="2017"/>
  <c r="G25" i="2017"/>
  <c r="F25" i="2017"/>
  <c r="E25" i="2017"/>
  <c r="D25" i="2017"/>
  <c r="AE19" i="2017"/>
  <c r="AD19" i="2017"/>
  <c r="AC19" i="2017"/>
  <c r="AB19" i="2017"/>
  <c r="AA19" i="2017"/>
  <c r="Z19" i="2017"/>
  <c r="Y19" i="2017"/>
  <c r="X19" i="2017"/>
  <c r="T33" i="2017" s="1"/>
  <c r="W19" i="2017"/>
  <c r="V19" i="2017"/>
  <c r="U19" i="2017"/>
  <c r="T19" i="2017"/>
  <c r="S19" i="2017"/>
  <c r="R19" i="2017"/>
  <c r="Q19" i="2017"/>
  <c r="P19" i="2017"/>
  <c r="O19" i="2017"/>
  <c r="N19" i="2017"/>
  <c r="H33" i="2017" s="1"/>
  <c r="M19" i="2017"/>
  <c r="L19" i="2017"/>
  <c r="P33" i="2017" s="1"/>
  <c r="K19" i="2017"/>
  <c r="J19" i="2017"/>
  <c r="I19" i="2017"/>
  <c r="AB33" i="2017" s="1"/>
  <c r="H19" i="2017"/>
  <c r="G19" i="2017"/>
  <c r="F19" i="2017"/>
  <c r="E19" i="2017"/>
  <c r="D19" i="2017"/>
  <c r="AE16" i="2017"/>
  <c r="AD16" i="2017"/>
  <c r="AC16" i="2017"/>
  <c r="AB16" i="2017"/>
  <c r="AA16" i="2017"/>
  <c r="Z16" i="2017"/>
  <c r="X16" i="2017"/>
  <c r="W16" i="2017"/>
  <c r="V16" i="2017"/>
  <c r="U16" i="2017"/>
  <c r="T16" i="2017"/>
  <c r="S16" i="2017"/>
  <c r="R16" i="2017"/>
  <c r="Q16" i="2017"/>
  <c r="P16" i="2017"/>
  <c r="O16" i="2017"/>
  <c r="N16" i="2017"/>
  <c r="M16" i="2017"/>
  <c r="L16" i="2017"/>
  <c r="K16" i="2017"/>
  <c r="J16" i="2017"/>
  <c r="I16" i="2017"/>
  <c r="H16" i="2017"/>
  <c r="G16" i="2017"/>
  <c r="F16" i="2017"/>
  <c r="E16" i="2017"/>
  <c r="D16" i="2017"/>
  <c r="AE10" i="2017"/>
  <c r="AD10" i="2017"/>
  <c r="AC33" i="2017" s="1"/>
  <c r="AC10" i="2017"/>
  <c r="AB10" i="2017"/>
  <c r="AA10" i="2017"/>
  <c r="Z10" i="2017"/>
  <c r="Y10" i="2017"/>
  <c r="X10" i="2017"/>
  <c r="W10" i="2017"/>
  <c r="V10" i="2017"/>
  <c r="U10" i="2017"/>
  <c r="T10" i="2017"/>
  <c r="S10" i="2017"/>
  <c r="R10" i="2017"/>
  <c r="Q10" i="2017"/>
  <c r="P10" i="2017"/>
  <c r="O10" i="2017"/>
  <c r="N10" i="2017"/>
  <c r="M10" i="2017"/>
  <c r="E33" i="2017" s="1"/>
  <c r="L10" i="2017"/>
  <c r="N33" i="2017" s="1"/>
  <c r="K10" i="2017"/>
  <c r="J10" i="2017"/>
  <c r="I10" i="2017"/>
  <c r="H10" i="2017"/>
  <c r="G10" i="2017"/>
  <c r="F10" i="2017"/>
  <c r="E10" i="2017"/>
  <c r="S33" i="2017" s="1"/>
  <c r="D10" i="2017"/>
  <c r="AE7" i="2017"/>
  <c r="AD7" i="2017"/>
  <c r="AC7" i="2017"/>
  <c r="AB7" i="2017"/>
  <c r="AA7" i="2017"/>
  <c r="Z7" i="2017"/>
  <c r="Y7" i="2017"/>
  <c r="X7" i="2017"/>
  <c r="W7" i="2017"/>
  <c r="V7" i="2017"/>
  <c r="U7" i="2017"/>
  <c r="T7" i="2017"/>
  <c r="S7" i="2017"/>
  <c r="R7" i="2017"/>
  <c r="Q7" i="2017"/>
  <c r="P7" i="2017"/>
  <c r="O7" i="2017"/>
  <c r="N7" i="2017"/>
  <c r="M7" i="2017"/>
  <c r="L7" i="2017"/>
  <c r="K7" i="2017"/>
  <c r="J7" i="2017"/>
  <c r="I7" i="2017"/>
  <c r="H7" i="2017"/>
  <c r="G7" i="2017"/>
  <c r="F7" i="2017"/>
  <c r="E7" i="2017"/>
  <c r="D7" i="2017"/>
  <c r="AA33" i="2015"/>
  <c r="X33" i="2015"/>
  <c r="U33" i="2015"/>
  <c r="R33" i="2015"/>
  <c r="O33" i="2015"/>
  <c r="L33" i="2015"/>
  <c r="F33" i="2015"/>
  <c r="Y28" i="2015"/>
  <c r="X28" i="2015"/>
  <c r="W28" i="2015"/>
  <c r="V28" i="2015"/>
  <c r="U28" i="2015"/>
  <c r="T28" i="2015"/>
  <c r="S28" i="2015"/>
  <c r="R28" i="2015"/>
  <c r="Q28" i="2015"/>
  <c r="P28" i="2015"/>
  <c r="O28" i="2015"/>
  <c r="N28" i="2015"/>
  <c r="M28" i="2015"/>
  <c r="L28" i="2015"/>
  <c r="K28" i="2015"/>
  <c r="J28" i="2015"/>
  <c r="I28" i="2015"/>
  <c r="H28" i="2015"/>
  <c r="G28" i="2015"/>
  <c r="F28" i="2015"/>
  <c r="E28" i="2015"/>
  <c r="D28" i="2015"/>
  <c r="W33" i="2015" s="1"/>
  <c r="Y25" i="2015"/>
  <c r="X25" i="2015"/>
  <c r="W25" i="2015"/>
  <c r="V25" i="2015"/>
  <c r="U25" i="2015"/>
  <c r="T25" i="2015"/>
  <c r="S25" i="2015"/>
  <c r="R25" i="2015"/>
  <c r="Q25" i="2015"/>
  <c r="P25" i="2015"/>
  <c r="O25" i="2015"/>
  <c r="N25" i="2015"/>
  <c r="M25" i="2015"/>
  <c r="L25" i="2015"/>
  <c r="K25" i="2015"/>
  <c r="J25" i="2015"/>
  <c r="I25" i="2015"/>
  <c r="H25" i="2015"/>
  <c r="G25" i="2015"/>
  <c r="F25" i="2015"/>
  <c r="E25" i="2015"/>
  <c r="D25" i="2015"/>
  <c r="AE19" i="2015"/>
  <c r="AD19" i="2015"/>
  <c r="AC19" i="2015"/>
  <c r="AB19" i="2015"/>
  <c r="AA19" i="2015"/>
  <c r="Z19" i="2015"/>
  <c r="Y19" i="2015"/>
  <c r="X19" i="2015"/>
  <c r="T33" i="2015" s="1"/>
  <c r="W19" i="2015"/>
  <c r="V19" i="2015"/>
  <c r="U19" i="2015"/>
  <c r="T19" i="2015"/>
  <c r="S19" i="2015"/>
  <c r="R19" i="2015"/>
  <c r="Q19" i="2015"/>
  <c r="P19" i="2015"/>
  <c r="O19" i="2015"/>
  <c r="N19" i="2015"/>
  <c r="H33" i="2015" s="1"/>
  <c r="M19" i="2015"/>
  <c r="L19" i="2015"/>
  <c r="P33" i="2015" s="1"/>
  <c r="K19" i="2015"/>
  <c r="J19" i="2015"/>
  <c r="I19" i="2015"/>
  <c r="AB33" i="2015" s="1"/>
  <c r="H19" i="2015"/>
  <c r="G19" i="2015"/>
  <c r="F19" i="2015"/>
  <c r="E19" i="2015"/>
  <c r="D19" i="2015"/>
  <c r="AE16" i="2015"/>
  <c r="AD16" i="2015"/>
  <c r="AC16" i="2015"/>
  <c r="AB16" i="2015"/>
  <c r="AA16" i="2015"/>
  <c r="Z16" i="2015"/>
  <c r="X16" i="2015"/>
  <c r="W16" i="2015"/>
  <c r="V16" i="2015"/>
  <c r="U16" i="2015"/>
  <c r="T16" i="2015"/>
  <c r="S16" i="2015"/>
  <c r="R16" i="2015"/>
  <c r="Q16" i="2015"/>
  <c r="P16" i="2015"/>
  <c r="O16" i="2015"/>
  <c r="N16" i="2015"/>
  <c r="M16" i="2015"/>
  <c r="L16" i="2015"/>
  <c r="K16" i="2015"/>
  <c r="J16" i="2015"/>
  <c r="I16" i="2015"/>
  <c r="H16" i="2015"/>
  <c r="G16" i="2015"/>
  <c r="F16" i="2015"/>
  <c r="E16" i="2015"/>
  <c r="D16" i="2015"/>
  <c r="AE10" i="2015"/>
  <c r="AD10" i="2015"/>
  <c r="AC33" i="2015" s="1"/>
  <c r="AC10" i="2015"/>
  <c r="AB10" i="2015"/>
  <c r="AA10" i="2015"/>
  <c r="Z10" i="2015"/>
  <c r="Y10" i="2015"/>
  <c r="X10" i="2015"/>
  <c r="W10" i="2015"/>
  <c r="V10" i="2015"/>
  <c r="U10" i="2015"/>
  <c r="T10" i="2015"/>
  <c r="S10" i="2015"/>
  <c r="R10" i="2015"/>
  <c r="Q10" i="2015"/>
  <c r="Y33" i="2015" s="1"/>
  <c r="P10" i="2015"/>
  <c r="N33" i="2015" s="1"/>
  <c r="O10" i="2015"/>
  <c r="K33" i="2015" s="1"/>
  <c r="N10" i="2015"/>
  <c r="M10" i="2015"/>
  <c r="E33" i="2015" s="1"/>
  <c r="L10" i="2015"/>
  <c r="K10" i="2015"/>
  <c r="J10" i="2015"/>
  <c r="Q33" i="2015" s="1"/>
  <c r="I10" i="2015"/>
  <c r="H10" i="2015"/>
  <c r="G10" i="2015"/>
  <c r="M33" i="2015" s="1"/>
  <c r="F10" i="2015"/>
  <c r="J33" i="2015" s="1"/>
  <c r="E10" i="2015"/>
  <c r="D10" i="2015"/>
  <c r="AE7" i="2015"/>
  <c r="AD7" i="2015"/>
  <c r="AC7" i="2015"/>
  <c r="AB7" i="2015"/>
  <c r="AA7" i="2015"/>
  <c r="Z7" i="2015"/>
  <c r="Y7" i="2015"/>
  <c r="X7" i="2015"/>
  <c r="W7" i="2015"/>
  <c r="V7" i="2015"/>
  <c r="U7" i="2015"/>
  <c r="T7" i="2015"/>
  <c r="S7" i="2015"/>
  <c r="R7" i="2015"/>
  <c r="Q7" i="2015"/>
  <c r="P7" i="2015"/>
  <c r="O7" i="2015"/>
  <c r="N7" i="2015"/>
  <c r="M7" i="2015"/>
  <c r="L7" i="2015"/>
  <c r="K7" i="2015"/>
  <c r="J7" i="2015"/>
  <c r="I7" i="2015"/>
  <c r="H7" i="2015"/>
  <c r="G7" i="2015"/>
  <c r="F7" i="2015"/>
  <c r="E7" i="2015"/>
  <c r="D7" i="2015"/>
  <c r="D33" i="2015" l="1"/>
  <c r="Z33" i="2015"/>
  <c r="S33" i="2015"/>
  <c r="J33" i="2017"/>
  <c r="W33" i="2017"/>
  <c r="V33" i="2017"/>
  <c r="D33" i="2017"/>
  <c r="Z33" i="2017"/>
  <c r="Y33" i="2017"/>
  <c r="Q33" i="2017"/>
  <c r="K33" i="2017"/>
  <c r="M33" i="2017"/>
  <c r="V33" i="2015"/>
  <c r="AA33" i="2014"/>
  <c r="X33" i="2014"/>
  <c r="U33" i="2014"/>
  <c r="R33" i="2014"/>
  <c r="O33" i="2014"/>
  <c r="L33" i="2014"/>
  <c r="F33" i="2014"/>
  <c r="Y28" i="2014"/>
  <c r="X28" i="2014"/>
  <c r="W28" i="2014"/>
  <c r="V28" i="2014"/>
  <c r="U28" i="2014"/>
  <c r="T28" i="2014"/>
  <c r="S28" i="2014"/>
  <c r="R28" i="2014"/>
  <c r="Q28" i="2014"/>
  <c r="P28" i="2014"/>
  <c r="O28" i="2014"/>
  <c r="N28" i="2014"/>
  <c r="M28" i="2014"/>
  <c r="L28" i="2014"/>
  <c r="K28" i="2014"/>
  <c r="J28" i="2014"/>
  <c r="I28" i="2014"/>
  <c r="H28" i="2014"/>
  <c r="G28" i="2014"/>
  <c r="F28" i="2014"/>
  <c r="E28" i="2014"/>
  <c r="D28" i="2014"/>
  <c r="Y25" i="2014"/>
  <c r="X25" i="2014"/>
  <c r="W25" i="2014"/>
  <c r="V25" i="2014"/>
  <c r="U25" i="2014"/>
  <c r="T25" i="2014"/>
  <c r="S25" i="2014"/>
  <c r="R25" i="2014"/>
  <c r="Q25" i="2014"/>
  <c r="P25" i="2014"/>
  <c r="O25" i="2014"/>
  <c r="N25" i="2014"/>
  <c r="M25" i="2014"/>
  <c r="L25" i="2014"/>
  <c r="K25" i="2014"/>
  <c r="J25" i="2014"/>
  <c r="I25" i="2014"/>
  <c r="H25" i="2014"/>
  <c r="G25" i="2014"/>
  <c r="F25" i="2014"/>
  <c r="E25" i="2014"/>
  <c r="D25" i="2014"/>
  <c r="AE19" i="2014"/>
  <c r="AD19" i="2014"/>
  <c r="AC19" i="2014"/>
  <c r="AB19" i="2014"/>
  <c r="AA19" i="2014"/>
  <c r="Z19" i="2014"/>
  <c r="Y19" i="2014"/>
  <c r="X19" i="2014"/>
  <c r="T33" i="2014" s="1"/>
  <c r="W19" i="2014"/>
  <c r="V19" i="2014"/>
  <c r="U19" i="2014"/>
  <c r="T19" i="2014"/>
  <c r="S19" i="2014"/>
  <c r="R19" i="2014"/>
  <c r="Q19" i="2014"/>
  <c r="P19" i="2014"/>
  <c r="O19" i="2014"/>
  <c r="N19" i="2014"/>
  <c r="H33" i="2014" s="1"/>
  <c r="M19" i="2014"/>
  <c r="L19" i="2014"/>
  <c r="P33" i="2014" s="1"/>
  <c r="K19" i="2014"/>
  <c r="J19" i="2014"/>
  <c r="I19" i="2014"/>
  <c r="AB33" i="2014" s="1"/>
  <c r="H19" i="2014"/>
  <c r="G19" i="2014"/>
  <c r="F19" i="2014"/>
  <c r="E19" i="2014"/>
  <c r="D19" i="2014"/>
  <c r="AE16" i="2014"/>
  <c r="AD16" i="2014"/>
  <c r="AC16" i="2014"/>
  <c r="AB16" i="2014"/>
  <c r="AA16" i="2014"/>
  <c r="Z16" i="2014"/>
  <c r="X16" i="2014"/>
  <c r="W16" i="2014"/>
  <c r="V16" i="2014"/>
  <c r="U16" i="2014"/>
  <c r="T16" i="2014"/>
  <c r="S16" i="2014"/>
  <c r="R16" i="2014"/>
  <c r="Q16" i="2014"/>
  <c r="P16" i="2014"/>
  <c r="O16" i="2014"/>
  <c r="N16" i="2014"/>
  <c r="M16" i="2014"/>
  <c r="L16" i="2014"/>
  <c r="K16" i="2014"/>
  <c r="J16" i="2014"/>
  <c r="I16" i="2014"/>
  <c r="H16" i="2014"/>
  <c r="G16" i="2014"/>
  <c r="F16" i="2014"/>
  <c r="E16" i="2014"/>
  <c r="D16" i="2014"/>
  <c r="AE10" i="2014"/>
  <c r="AD10" i="2014"/>
  <c r="AC33" i="2014" s="1"/>
  <c r="AC10" i="2014"/>
  <c r="AB10" i="2014"/>
  <c r="AA10" i="2014"/>
  <c r="Z10" i="2014"/>
  <c r="Y10" i="2014"/>
  <c r="X10" i="2014"/>
  <c r="W10" i="2014"/>
  <c r="V10" i="2014"/>
  <c r="U10" i="2014"/>
  <c r="T10" i="2014"/>
  <c r="S10" i="2014"/>
  <c r="R10" i="2014"/>
  <c r="Q10" i="2014"/>
  <c r="P10" i="2014"/>
  <c r="O10" i="2014"/>
  <c r="N10" i="2014"/>
  <c r="M10" i="2014"/>
  <c r="E33" i="2014" s="1"/>
  <c r="L10" i="2014"/>
  <c r="K10" i="2014"/>
  <c r="J10" i="2014"/>
  <c r="I10" i="2014"/>
  <c r="H10" i="2014"/>
  <c r="G10" i="2014"/>
  <c r="F10" i="2014"/>
  <c r="E10" i="2014"/>
  <c r="S33" i="2014" s="1"/>
  <c r="D10" i="2014"/>
  <c r="AE7" i="2014"/>
  <c r="AD7" i="2014"/>
  <c r="AC7" i="2014"/>
  <c r="AB7" i="2014"/>
  <c r="AA7" i="2014"/>
  <c r="Z7" i="2014"/>
  <c r="Y7" i="2014"/>
  <c r="X7" i="2014"/>
  <c r="W7" i="2014"/>
  <c r="V7" i="2014"/>
  <c r="U7" i="2014"/>
  <c r="T7" i="2014"/>
  <c r="S7" i="2014"/>
  <c r="R7" i="2014"/>
  <c r="Q7" i="2014"/>
  <c r="P7" i="2014"/>
  <c r="O7" i="2014"/>
  <c r="N7" i="2014"/>
  <c r="M7" i="2014"/>
  <c r="L7" i="2014"/>
  <c r="K7" i="2014"/>
  <c r="J7" i="2014"/>
  <c r="I7" i="2014"/>
  <c r="H7" i="2014"/>
  <c r="G7" i="2014"/>
  <c r="F7" i="2014"/>
  <c r="E7" i="2014"/>
  <c r="D7" i="2014"/>
  <c r="Q33" i="2014" l="1"/>
  <c r="J33" i="2014"/>
  <c r="W33" i="2014"/>
  <c r="D33" i="2014"/>
  <c r="Z33" i="2014"/>
  <c r="Y33" i="2014"/>
  <c r="N33" i="2014"/>
  <c r="K33" i="2014"/>
  <c r="M33" i="2014"/>
  <c r="V33" i="2014"/>
  <c r="S35" i="13" l="1"/>
  <c r="S36" i="13" s="1"/>
  <c r="S37" i="13" s="1"/>
  <c r="S38" i="13" s="1"/>
  <c r="S39" i="13" s="1"/>
  <c r="S40" i="13" s="1"/>
  <c r="S41" i="13" s="1"/>
  <c r="S42" i="13" s="1"/>
  <c r="S43" i="13" s="1"/>
  <c r="S44" i="13" s="1"/>
  <c r="S45" i="13" s="1"/>
  <c r="S46" i="13" s="1"/>
  <c r="S47" i="13" s="1"/>
  <c r="S48" i="13" s="1"/>
  <c r="S49" i="13" s="1"/>
  <c r="S50" i="13" s="1"/>
  <c r="S51" i="13" s="1"/>
</calcChain>
</file>

<file path=xl/connections.xml><?xml version="1.0" encoding="utf-8"?>
<connections xmlns="http://schemas.openxmlformats.org/spreadsheetml/2006/main">
  <connection id="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0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4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2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5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3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6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4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7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5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8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6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9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7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0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8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9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0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4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5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3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6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4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7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5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8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6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9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7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0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8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9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</connections>
</file>

<file path=xl/sharedStrings.xml><?xml version="1.0" encoding="utf-8"?>
<sst xmlns="http://schemas.openxmlformats.org/spreadsheetml/2006/main" count="29240" uniqueCount="644">
  <si>
    <t>空</t>
    <phoneticPr fontId="3" type="noConversion"/>
  </si>
  <si>
    <t>EG</t>
    <phoneticPr fontId="3" type="noConversion"/>
  </si>
  <si>
    <t>GAA</t>
    <phoneticPr fontId="3" type="noConversion"/>
  </si>
  <si>
    <t>EBR</t>
    <phoneticPr fontId="3" type="noConversion"/>
  </si>
  <si>
    <t>原料</t>
    <phoneticPr fontId="3" type="noConversion"/>
  </si>
  <si>
    <t>成品</t>
    <phoneticPr fontId="3" type="noConversion"/>
  </si>
  <si>
    <r>
      <rPr>
        <sz val="12"/>
        <rFont val="細明體"/>
        <family val="3"/>
        <charset val="136"/>
      </rPr>
      <t>產</t>
    </r>
    <r>
      <rPr>
        <sz val="12"/>
        <rFont val="DotumChe"/>
        <family val="3"/>
        <charset val="129"/>
      </rPr>
      <t>品</t>
    </r>
    <r>
      <rPr>
        <sz val="12"/>
        <rFont val="細明體"/>
        <family val="3"/>
        <charset val="136"/>
      </rPr>
      <t xml:space="preserve">      </t>
    </r>
    <r>
      <rPr>
        <sz val="12"/>
        <rFont val="DotumChe"/>
        <family val="3"/>
        <charset val="129"/>
      </rPr>
      <t>比重</t>
    </r>
    <r>
      <rPr>
        <sz val="12"/>
        <rFont val="細明體"/>
        <family val="3"/>
        <charset val="136"/>
      </rPr>
      <t xml:space="preserve">    </t>
    </r>
    <r>
      <rPr>
        <sz val="12"/>
        <rFont val="DotumChe"/>
        <family val="3"/>
        <charset val="129"/>
      </rPr>
      <t>溫度</t>
    </r>
    <phoneticPr fontId="3" type="noConversion"/>
  </si>
  <si>
    <t>IPA</t>
    <phoneticPr fontId="3" type="noConversion"/>
  </si>
  <si>
    <t>EG</t>
    <phoneticPr fontId="3" type="noConversion"/>
  </si>
  <si>
    <t>NMP</t>
    <phoneticPr fontId="3" type="noConversion"/>
  </si>
  <si>
    <t>Acetone</t>
    <phoneticPr fontId="3" type="noConversion"/>
  </si>
  <si>
    <t>SEP05</t>
    <phoneticPr fontId="3" type="noConversion"/>
  </si>
  <si>
    <t>PMA</t>
    <phoneticPr fontId="3" type="noConversion"/>
  </si>
  <si>
    <t>PM</t>
    <phoneticPr fontId="3" type="noConversion"/>
  </si>
  <si>
    <t>GAA</t>
    <phoneticPr fontId="3" type="noConversion"/>
  </si>
  <si>
    <r>
      <t>BDG+MEA
澄</t>
    </r>
    <r>
      <rPr>
        <sz val="14"/>
        <rFont val="細明體"/>
        <family val="3"/>
        <charset val="136"/>
      </rPr>
      <t>清</t>
    </r>
    <r>
      <rPr>
        <sz val="14"/>
        <rFont val="DotumChe"/>
        <family val="3"/>
        <charset val="129"/>
      </rPr>
      <t>液</t>
    </r>
    <phoneticPr fontId="3" type="noConversion"/>
  </si>
  <si>
    <t>ANONE</t>
    <phoneticPr fontId="3" type="noConversion"/>
  </si>
  <si>
    <t>EBR</t>
    <phoneticPr fontId="3" type="noConversion"/>
  </si>
  <si>
    <t>NBAC</t>
    <phoneticPr fontId="3" type="noConversion"/>
  </si>
  <si>
    <t>EBRUPS</t>
    <phoneticPr fontId="3" type="noConversion"/>
  </si>
  <si>
    <t>2SEP73(EBR)</t>
    <phoneticPr fontId="3" type="noConversion"/>
  </si>
  <si>
    <t>SEP11</t>
    <phoneticPr fontId="3" type="noConversion"/>
  </si>
  <si>
    <t>ETOH</t>
    <phoneticPr fontId="3" type="noConversion"/>
  </si>
  <si>
    <t>PG2</t>
    <phoneticPr fontId="3" type="noConversion"/>
  </si>
  <si>
    <t>EEP</t>
    <phoneticPr fontId="3" type="noConversion"/>
  </si>
  <si>
    <t>HEA     DPM</t>
    <phoneticPr fontId="3" type="noConversion"/>
  </si>
  <si>
    <t>C02</t>
  </si>
  <si>
    <t>C03</t>
  </si>
  <si>
    <t>C04</t>
  </si>
  <si>
    <t>C05</t>
  </si>
  <si>
    <t>C06</t>
  </si>
  <si>
    <t>槽號</t>
    <phoneticPr fontId="3" type="noConversion"/>
  </si>
  <si>
    <t>液位</t>
    <phoneticPr fontId="3" type="noConversion"/>
  </si>
  <si>
    <t>溫度</t>
    <phoneticPr fontId="3" type="noConversion"/>
  </si>
  <si>
    <t>DPM</t>
    <phoneticPr fontId="3" type="noConversion"/>
  </si>
  <si>
    <t xml:space="preserve"> </t>
    <phoneticPr fontId="2" type="noConversion"/>
  </si>
  <si>
    <t>品名</t>
    <phoneticPr fontId="3" type="noConversion"/>
  </si>
  <si>
    <t>時間</t>
    <phoneticPr fontId="3" type="noConversion"/>
  </si>
  <si>
    <t>TPM</t>
    <phoneticPr fontId="3" type="noConversion"/>
  </si>
  <si>
    <t>TK-603</t>
    <phoneticPr fontId="4" type="noConversion"/>
  </si>
  <si>
    <t>TK-641</t>
    <phoneticPr fontId="4" type="noConversion"/>
  </si>
  <si>
    <t>ACETONE</t>
    <phoneticPr fontId="3" type="noConversion"/>
  </si>
  <si>
    <t>HEA</t>
    <phoneticPr fontId="3" type="noConversion"/>
  </si>
  <si>
    <t>待處理品</t>
    <phoneticPr fontId="3" type="noConversion"/>
  </si>
  <si>
    <t>TK-601</t>
    <phoneticPr fontId="4" type="noConversion"/>
  </si>
  <si>
    <t>TK-602</t>
    <phoneticPr fontId="4" type="noConversion"/>
  </si>
  <si>
    <t>TK-604A</t>
    <phoneticPr fontId="4" type="noConversion"/>
  </si>
  <si>
    <t>TK-604B</t>
    <phoneticPr fontId="4" type="noConversion"/>
  </si>
  <si>
    <t>TK-612</t>
    <phoneticPr fontId="4" type="noConversion"/>
  </si>
  <si>
    <t>TK-621</t>
    <phoneticPr fontId="4" type="noConversion"/>
  </si>
  <si>
    <t>TK-622</t>
    <phoneticPr fontId="4" type="noConversion"/>
  </si>
  <si>
    <t>TK-631</t>
    <phoneticPr fontId="4" type="noConversion"/>
  </si>
  <si>
    <t>TK-643</t>
    <phoneticPr fontId="3" type="noConversion"/>
  </si>
  <si>
    <t>TK-645</t>
    <phoneticPr fontId="3" type="noConversion"/>
  </si>
  <si>
    <t>NMP-2</t>
    <phoneticPr fontId="3" type="noConversion"/>
  </si>
  <si>
    <t>TK-656</t>
    <phoneticPr fontId="3" type="noConversion"/>
  </si>
  <si>
    <t>TK-660</t>
    <phoneticPr fontId="3" type="noConversion"/>
  </si>
  <si>
    <t>TK-651</t>
    <phoneticPr fontId="3" type="noConversion"/>
  </si>
  <si>
    <t>TK-652</t>
    <phoneticPr fontId="3" type="noConversion"/>
  </si>
  <si>
    <t>TK-654</t>
    <phoneticPr fontId="3" type="noConversion"/>
  </si>
  <si>
    <t>TK-657</t>
    <phoneticPr fontId="3" type="noConversion"/>
  </si>
  <si>
    <t>TK-658</t>
    <phoneticPr fontId="3" type="noConversion"/>
  </si>
  <si>
    <t>TK-661</t>
    <phoneticPr fontId="3" type="noConversion"/>
  </si>
  <si>
    <t>TK-662</t>
    <phoneticPr fontId="3" type="noConversion"/>
  </si>
  <si>
    <t>TK-663</t>
    <phoneticPr fontId="3" type="noConversion"/>
  </si>
  <si>
    <t>TK-664</t>
    <phoneticPr fontId="3" type="noConversion"/>
  </si>
  <si>
    <t>TK-665</t>
    <phoneticPr fontId="3" type="noConversion"/>
  </si>
  <si>
    <t>TK-666</t>
    <phoneticPr fontId="3" type="noConversion"/>
  </si>
  <si>
    <t>TK-670</t>
    <phoneticPr fontId="3" type="noConversion"/>
  </si>
  <si>
    <t>記事欄</t>
    <phoneticPr fontId="3" type="noConversion"/>
  </si>
  <si>
    <r>
      <t>CPN環戊</t>
    </r>
    <r>
      <rPr>
        <sz val="14"/>
        <rFont val="細明體"/>
        <family val="3"/>
        <charset val="136"/>
      </rPr>
      <t>酮</t>
    </r>
    <phoneticPr fontId="3" type="noConversion"/>
  </si>
  <si>
    <t>CPN</t>
    <phoneticPr fontId="3" type="noConversion"/>
  </si>
  <si>
    <t>DPM-B1</t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</si>
  <si>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2" type="noConversion"/>
  </si>
  <si>
    <t>TK-671</t>
    <phoneticPr fontId="3" type="noConversion"/>
  </si>
  <si>
    <t>MIBC</t>
    <phoneticPr fontId="3" type="noConversion"/>
  </si>
  <si>
    <t>C08</t>
  </si>
  <si>
    <t>C09</t>
  </si>
  <si>
    <t>604A</t>
  </si>
  <si>
    <t>604B</t>
  </si>
  <si>
    <t>C01</t>
  </si>
  <si>
    <t>C07</t>
  </si>
  <si>
    <t>儲槽作業日報表</t>
    <phoneticPr fontId="3" type="noConversion"/>
  </si>
  <si>
    <t>待處理品</t>
    <phoneticPr fontId="2" type="noConversion"/>
  </si>
  <si>
    <t>成品</t>
    <phoneticPr fontId="2" type="noConversion"/>
  </si>
  <si>
    <t>原料</t>
    <phoneticPr fontId="2" type="noConversion"/>
  </si>
  <si>
    <t>TK-677</t>
  </si>
  <si>
    <t>TK-678</t>
  </si>
  <si>
    <t>TK-680</t>
  </si>
  <si>
    <t>TK-681</t>
  </si>
  <si>
    <t>TK-682</t>
  </si>
  <si>
    <t>TK-683</t>
  </si>
  <si>
    <t>TK-684</t>
  </si>
  <si>
    <t>TK-685</t>
  </si>
  <si>
    <t>TK-686</t>
  </si>
  <si>
    <t>TK-687</t>
  </si>
  <si>
    <t>TK-688</t>
  </si>
  <si>
    <t>TK-689</t>
  </si>
  <si>
    <t>TK-690</t>
  </si>
  <si>
    <t>TK-691</t>
  </si>
  <si>
    <t>TK-692</t>
  </si>
  <si>
    <t>TK-693</t>
  </si>
  <si>
    <t>TK-694</t>
  </si>
  <si>
    <t>TK-695</t>
  </si>
  <si>
    <t>TK-696</t>
  </si>
  <si>
    <t>TK-697</t>
  </si>
  <si>
    <t>TK-698</t>
  </si>
  <si>
    <t>EGE4</t>
    <phoneticPr fontId="2" type="noConversion"/>
  </si>
  <si>
    <t>TK-699</t>
  </si>
  <si>
    <t>CPNE4</t>
    <phoneticPr fontId="2" type="noConversion"/>
  </si>
  <si>
    <t>TK-611</t>
    <phoneticPr fontId="4" type="noConversion"/>
  </si>
  <si>
    <t>TK-613</t>
    <phoneticPr fontId="4" type="noConversion"/>
  </si>
  <si>
    <t>TK614</t>
    <phoneticPr fontId="4" type="noConversion"/>
  </si>
  <si>
    <t>TK-623</t>
    <phoneticPr fontId="4" type="noConversion"/>
  </si>
  <si>
    <t>TK-624</t>
    <phoneticPr fontId="4" type="noConversion"/>
  </si>
  <si>
    <t>TK-C01</t>
    <phoneticPr fontId="4" type="noConversion"/>
  </si>
  <si>
    <t>TK-C02</t>
    <phoneticPr fontId="4" type="noConversion"/>
  </si>
  <si>
    <t>TK-C03</t>
    <phoneticPr fontId="4" type="noConversion"/>
  </si>
  <si>
    <t>TK-C04</t>
    <phoneticPr fontId="4" type="noConversion"/>
  </si>
  <si>
    <t>TK-C05</t>
    <phoneticPr fontId="4" type="noConversion"/>
  </si>
  <si>
    <t>TK-C06</t>
    <phoneticPr fontId="4" type="noConversion"/>
  </si>
  <si>
    <t>TK-C07</t>
    <phoneticPr fontId="4" type="noConversion"/>
  </si>
  <si>
    <t>TK-C08</t>
    <phoneticPr fontId="4" type="noConversion"/>
  </si>
  <si>
    <t>TK-C09</t>
    <phoneticPr fontId="4" type="noConversion"/>
  </si>
  <si>
    <t>TK-632</t>
    <phoneticPr fontId="4" type="noConversion"/>
  </si>
  <si>
    <t>TK-633</t>
    <phoneticPr fontId="4" type="noConversion"/>
  </si>
  <si>
    <t>TK-634</t>
    <phoneticPr fontId="4" type="noConversion"/>
  </si>
  <si>
    <t>TK-642</t>
    <phoneticPr fontId="4" type="noConversion"/>
  </si>
  <si>
    <t>TK-653</t>
    <phoneticPr fontId="3" type="noConversion"/>
  </si>
  <si>
    <t>TK-655</t>
    <phoneticPr fontId="3" type="noConversion"/>
  </si>
  <si>
    <t>TK-659</t>
    <phoneticPr fontId="3" type="noConversion"/>
  </si>
  <si>
    <t>TK-667</t>
    <phoneticPr fontId="3" type="noConversion"/>
  </si>
  <si>
    <t>TK-668</t>
    <phoneticPr fontId="3" type="noConversion"/>
  </si>
  <si>
    <t>TK-669</t>
    <phoneticPr fontId="3" type="noConversion"/>
  </si>
  <si>
    <t>TK-672</t>
    <phoneticPr fontId="3" type="noConversion"/>
  </si>
  <si>
    <t xml:space="preserve"> TK-673</t>
    <phoneticPr fontId="3" type="noConversion"/>
  </si>
  <si>
    <t>TK-674</t>
    <phoneticPr fontId="3" type="noConversion"/>
  </si>
  <si>
    <t>TK-675</t>
    <phoneticPr fontId="3" type="noConversion"/>
  </si>
  <si>
    <t>TK-676</t>
    <phoneticPr fontId="3" type="noConversion"/>
  </si>
  <si>
    <t>底面積</t>
    <phoneticPr fontId="2" type="noConversion"/>
  </si>
  <si>
    <t>現為公升還要*密度=公斤KG</t>
    <phoneticPr fontId="2" type="noConversion"/>
  </si>
  <si>
    <t>最高液位</t>
    <phoneticPr fontId="2" type="noConversion"/>
  </si>
  <si>
    <t>675-678</t>
    <phoneticPr fontId="2" type="noConversion"/>
  </si>
  <si>
    <t>1mm</t>
    <phoneticPr fontId="2" type="noConversion"/>
  </si>
  <si>
    <t>4.6L</t>
    <phoneticPr fontId="2" type="noConversion"/>
  </si>
  <si>
    <t>桶底 1566L</t>
    <phoneticPr fontId="2" type="noConversion"/>
  </si>
  <si>
    <t>681-689,691</t>
    <phoneticPr fontId="2" type="noConversion"/>
  </si>
  <si>
    <t>18.322L</t>
    <phoneticPr fontId="2" type="noConversion"/>
  </si>
  <si>
    <t>桶底87L</t>
    <phoneticPr fontId="2" type="noConversion"/>
  </si>
  <si>
    <t>11.702L</t>
    <phoneticPr fontId="2" type="noConversion"/>
  </si>
  <si>
    <t>692-695</t>
    <phoneticPr fontId="2" type="noConversion"/>
  </si>
  <si>
    <t>35.891L</t>
    <phoneticPr fontId="2" type="noConversion"/>
  </si>
  <si>
    <t>696-699</t>
    <phoneticPr fontId="2" type="noConversion"/>
  </si>
  <si>
    <t>47.051L</t>
    <phoneticPr fontId="2" type="noConversion"/>
  </si>
  <si>
    <t>268.26L</t>
    <phoneticPr fontId="2" type="noConversion"/>
  </si>
  <si>
    <t>1026L</t>
    <phoneticPr fontId="2" type="noConversion"/>
  </si>
  <si>
    <t>514.88L</t>
    <phoneticPr fontId="2" type="noConversion"/>
  </si>
  <si>
    <t>2512.3L</t>
    <phoneticPr fontId="2" type="noConversion"/>
  </si>
  <si>
    <t>5453.1L</t>
    <phoneticPr fontId="2" type="noConversion"/>
  </si>
  <si>
    <t>液位</t>
    <phoneticPr fontId="2" type="noConversion"/>
  </si>
  <si>
    <t>CPNE3-R</t>
    <phoneticPr fontId="3" type="noConversion"/>
  </si>
  <si>
    <t xml:space="preserve">鴻勝化學科技股份有限公司                                    </t>
    <phoneticPr fontId="3" type="noConversion"/>
  </si>
  <si>
    <t xml:space="preserve">                                  </t>
    <phoneticPr fontId="2" type="noConversion"/>
  </si>
  <si>
    <t>500KL</t>
    <phoneticPr fontId="2" type="noConversion"/>
  </si>
  <si>
    <t>51.53L</t>
    <phoneticPr fontId="2" type="noConversion"/>
  </si>
  <si>
    <t>250KL</t>
    <phoneticPr fontId="2" type="noConversion"/>
  </si>
  <si>
    <t>33.183L</t>
    <phoneticPr fontId="2" type="noConversion"/>
  </si>
  <si>
    <t>125KL</t>
    <phoneticPr fontId="2" type="noConversion"/>
  </si>
  <si>
    <t>20.428L</t>
    <phoneticPr fontId="2" type="noConversion"/>
  </si>
  <si>
    <t>70KL</t>
    <phoneticPr fontId="2" type="noConversion"/>
  </si>
  <si>
    <t>50KL</t>
    <phoneticPr fontId="2" type="noConversion"/>
  </si>
  <si>
    <t>50KL
C01~C09
643,645</t>
    <phoneticPr fontId="2" type="noConversion"/>
  </si>
  <si>
    <t>上午:</t>
    <phoneticPr fontId="3" type="noConversion"/>
  </si>
  <si>
    <t>年       月       日</t>
    <phoneticPr fontId="3" type="noConversion"/>
  </si>
  <si>
    <t>備    註</t>
    <phoneticPr fontId="3" type="noConversion"/>
  </si>
  <si>
    <t>年         月         日</t>
    <phoneticPr fontId="3" type="noConversion"/>
  </si>
  <si>
    <t>槽　別</t>
    <phoneticPr fontId="3" type="noConversion"/>
  </si>
  <si>
    <t>液位(mm/%)</t>
    <phoneticPr fontId="3" type="noConversion"/>
  </si>
  <si>
    <t>數量(kg)</t>
    <phoneticPr fontId="4" type="noConversion"/>
  </si>
  <si>
    <t>溫度( ℃)</t>
    <phoneticPr fontId="3" type="noConversion"/>
  </si>
  <si>
    <r>
      <t>液位(</t>
    </r>
    <r>
      <rPr>
        <vertAlign val="superscript"/>
        <sz val="8"/>
        <rFont val="微軟正黑體"/>
        <family val="2"/>
        <charset val="136"/>
      </rPr>
      <t>mm</t>
    </r>
    <r>
      <rPr>
        <sz val="8"/>
        <rFont val="微軟正黑體"/>
        <family val="2"/>
        <charset val="136"/>
      </rPr>
      <t>/</t>
    </r>
    <r>
      <rPr>
        <vertAlign val="subscript"/>
        <sz val="8"/>
        <rFont val="微軟正黑體"/>
        <family val="2"/>
        <charset val="136"/>
      </rPr>
      <t>%</t>
    </r>
    <r>
      <rPr>
        <sz val="8"/>
        <rFont val="微軟正黑體"/>
        <family val="2"/>
        <charset val="136"/>
      </rPr>
      <t>)</t>
    </r>
    <phoneticPr fontId="4" type="noConversion"/>
  </si>
  <si>
    <t>總數量
(kg)</t>
    <phoneticPr fontId="3" type="noConversion"/>
  </si>
  <si>
    <t>經(副)理:</t>
    <phoneticPr fontId="4" type="noConversion"/>
  </si>
  <si>
    <t>課長:</t>
    <phoneticPr fontId="4" type="noConversion"/>
  </si>
  <si>
    <t>組(副)長:</t>
    <phoneticPr fontId="4" type="noConversion"/>
  </si>
  <si>
    <t>記錄員:</t>
    <phoneticPr fontId="4" type="noConversion"/>
  </si>
  <si>
    <t>EGHW</t>
    <phoneticPr fontId="3" type="noConversion"/>
  </si>
  <si>
    <t>GAA</t>
    <phoneticPr fontId="2" type="noConversion"/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</si>
  <si>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</si>
  <si>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</si>
  <si>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</si>
  <si>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</si>
  <si>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</si>
  <si>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</si>
  <si>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</si>
  <si>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</si>
  <si>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</si>
  <si>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</si>
  <si>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</si>
  <si>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</si>
  <si>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</si>
  <si>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</si>
  <si>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</si>
  <si>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</si>
  <si>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</si>
  <si>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F20</t>
  </si>
  <si>
    <t>F21</t>
  </si>
  <si>
    <t>F23</t>
  </si>
  <si>
    <t>品名</t>
  </si>
  <si>
    <t>編號</t>
  </si>
  <si>
    <t>日期</t>
  </si>
  <si>
    <t>重量</t>
  </si>
  <si>
    <t>來源</t>
  </si>
  <si>
    <t>小計</t>
  </si>
  <si>
    <t>IPA-R1</t>
  </si>
  <si>
    <t>備註</t>
  </si>
  <si>
    <t>總量</t>
  </si>
  <si>
    <t xml:space="preserve"> </t>
  </si>
  <si>
    <t>20170627</t>
  </si>
  <si>
    <t>80</t>
  </si>
  <si>
    <t>320</t>
  </si>
  <si>
    <t>BDGE</t>
  </si>
  <si>
    <t>50</t>
  </si>
  <si>
    <t>170</t>
  </si>
  <si>
    <t>160</t>
  </si>
  <si>
    <t>30</t>
  </si>
  <si>
    <t>20161229</t>
  </si>
  <si>
    <t>90</t>
  </si>
  <si>
    <t>60</t>
  </si>
  <si>
    <t>150</t>
  </si>
  <si>
    <t>20170126</t>
  </si>
  <si>
    <t>40</t>
  </si>
  <si>
    <t>GAAHW</t>
  </si>
  <si>
    <t>TK-602</t>
  </si>
  <si>
    <t>420</t>
  </si>
  <si>
    <t>ANONEHW</t>
  </si>
  <si>
    <t>220</t>
  </si>
  <si>
    <t>100</t>
  </si>
  <si>
    <t>ACTHW</t>
  </si>
  <si>
    <t>110</t>
  </si>
  <si>
    <t>180</t>
  </si>
  <si>
    <t>GBLHW</t>
  </si>
  <si>
    <t>3/19</t>
  </si>
  <si>
    <t>E-12</t>
  </si>
  <si>
    <t>8/26</t>
  </si>
  <si>
    <t>6/26</t>
  </si>
  <si>
    <t>53GL(20150916送驗)</t>
  </si>
  <si>
    <t>2/10</t>
  </si>
  <si>
    <t>115</t>
  </si>
  <si>
    <t>GB8704</t>
  </si>
  <si>
    <t>9/15</t>
  </si>
  <si>
    <t>6/22</t>
  </si>
  <si>
    <t>11/18</t>
  </si>
  <si>
    <t>5/27</t>
  </si>
  <si>
    <t>10</t>
  </si>
  <si>
    <t>9/27</t>
  </si>
  <si>
    <t>470</t>
  </si>
  <si>
    <t>20160223</t>
  </si>
  <si>
    <t>161126</t>
  </si>
  <si>
    <t>E-39</t>
  </si>
  <si>
    <t>20131211破桶換桶 970(20150916送驗)</t>
  </si>
  <si>
    <t>GB8705</t>
  </si>
  <si>
    <t>5/6</t>
  </si>
  <si>
    <t>230</t>
  </si>
  <si>
    <t>6/9</t>
  </si>
  <si>
    <t>10/15</t>
  </si>
  <si>
    <t>11/15</t>
  </si>
  <si>
    <t>20140409</t>
  </si>
  <si>
    <t>20150304</t>
  </si>
  <si>
    <t>20150511</t>
  </si>
  <si>
    <t>20150709</t>
  </si>
  <si>
    <t>20151214</t>
  </si>
  <si>
    <t>70</t>
  </si>
  <si>
    <t>(20150916送驗)</t>
  </si>
  <si>
    <t>20140521</t>
  </si>
  <si>
    <t>20141030</t>
  </si>
  <si>
    <t>1GAL</t>
  </si>
  <si>
    <t>20141222</t>
  </si>
  <si>
    <t>20141231</t>
  </si>
  <si>
    <t>20160324</t>
  </si>
  <si>
    <t>20160530</t>
  </si>
  <si>
    <t>20160831</t>
  </si>
  <si>
    <t>130</t>
  </si>
  <si>
    <t>GB8706-1</t>
  </si>
  <si>
    <t>GB8706-2</t>
  </si>
  <si>
    <t>53GL*2(20150916送驗)</t>
  </si>
  <si>
    <t>GB8707</t>
  </si>
  <si>
    <t>E39</t>
  </si>
  <si>
    <t>20170223</t>
  </si>
  <si>
    <t>GB8708</t>
  </si>
  <si>
    <t>NMPHW</t>
  </si>
  <si>
    <t>1010</t>
  </si>
  <si>
    <t>670</t>
  </si>
  <si>
    <t>MEK</t>
  </si>
  <si>
    <t>20</t>
  </si>
  <si>
    <t>EGHW</t>
  </si>
  <si>
    <t>140</t>
  </si>
  <si>
    <t>EEP</t>
  </si>
  <si>
    <t>400</t>
  </si>
  <si>
    <t>190</t>
  </si>
  <si>
    <t>120</t>
  </si>
  <si>
    <t>PG</t>
  </si>
  <si>
    <t>-30</t>
  </si>
  <si>
    <t>-20</t>
  </si>
  <si>
    <t>270</t>
  </si>
  <si>
    <t>1DPM-1
(DPM HAV)</t>
  </si>
  <si>
    <t>總量統計</t>
  </si>
  <si>
    <t>IPA</t>
  </si>
  <si>
    <t>EBR</t>
  </si>
  <si>
    <t>SEP05(E2)</t>
  </si>
  <si>
    <t>GAA</t>
  </si>
  <si>
    <t>ANONE</t>
  </si>
  <si>
    <t>#REF!</t>
  </si>
  <si>
    <t>5,609.0</t>
  </si>
  <si>
    <t>50.0</t>
  </si>
  <si>
    <t>ACT</t>
  </si>
  <si>
    <t>GBL</t>
  </si>
  <si>
    <t>NMP</t>
  </si>
  <si>
    <t>EG</t>
  </si>
  <si>
    <t>DPM HAV</t>
  </si>
  <si>
    <t>Sulfolane</t>
  </si>
  <si>
    <t>83.0</t>
  </si>
  <si>
    <t>4,050.0</t>
  </si>
  <si>
    <t>897.0</t>
  </si>
  <si>
    <t>103.0</t>
  </si>
  <si>
    <t>請直接以10進位，謝謝</t>
  </si>
  <si>
    <t>F19</t>
  </si>
  <si>
    <t>F24</t>
  </si>
  <si>
    <t>F25</t>
  </si>
  <si>
    <t>F26</t>
  </si>
  <si>
    <t>F27</t>
  </si>
  <si>
    <t>F28</t>
  </si>
  <si>
    <t>水份</t>
  </si>
  <si>
    <t>I9101</t>
  </si>
  <si>
    <t>20240326</t>
  </si>
  <si>
    <t>TK-604</t>
  </si>
  <si>
    <t>20240424</t>
  </si>
  <si>
    <t>I9102</t>
  </si>
  <si>
    <t>I9103</t>
  </si>
  <si>
    <t>C41</t>
  </si>
  <si>
    <t>I9104</t>
  </si>
  <si>
    <t>I9105</t>
  </si>
  <si>
    <t xml:space="preserve">1EBRHW
</t>
  </si>
  <si>
    <t>I9106</t>
  </si>
  <si>
    <t>I9107</t>
  </si>
  <si>
    <t>I9108</t>
  </si>
  <si>
    <t>I9109</t>
  </si>
  <si>
    <t>I9110</t>
  </si>
  <si>
    <t>I9111</t>
  </si>
  <si>
    <t>I9112</t>
  </si>
  <si>
    <t>I9113</t>
  </si>
  <si>
    <t>I9114</t>
  </si>
  <si>
    <t>I9115</t>
  </si>
  <si>
    <t>CPNE3</t>
  </si>
  <si>
    <t>I9116</t>
  </si>
  <si>
    <t>I9117</t>
  </si>
  <si>
    <t>CPNHW
(OEM)</t>
  </si>
  <si>
    <t>I9118</t>
  </si>
  <si>
    <t>I9119</t>
  </si>
  <si>
    <t>I9120</t>
  </si>
  <si>
    <t>I9121</t>
  </si>
  <si>
    <t>M
I
B
C
H
W</t>
  </si>
  <si>
    <t>R9101</t>
  </si>
  <si>
    <t>TK-601</t>
  </si>
  <si>
    <t>R9102</t>
  </si>
  <si>
    <t>290</t>
  </si>
  <si>
    <t>R9103</t>
  </si>
  <si>
    <t>0</t>
  </si>
  <si>
    <t>R9104</t>
  </si>
  <si>
    <t>R9105</t>
  </si>
  <si>
    <t>R9106</t>
  </si>
  <si>
    <t>R9107</t>
  </si>
  <si>
    <t>R9108</t>
  </si>
  <si>
    <t>R9109</t>
  </si>
  <si>
    <t>R9110</t>
  </si>
  <si>
    <t>G9101</t>
  </si>
  <si>
    <t>G9102</t>
  </si>
  <si>
    <t>G9103</t>
  </si>
  <si>
    <t>G9104</t>
  </si>
  <si>
    <t>G9105</t>
  </si>
  <si>
    <t>G9106</t>
  </si>
  <si>
    <t>G9107</t>
  </si>
  <si>
    <t>G9108</t>
  </si>
  <si>
    <t>AN9101</t>
  </si>
  <si>
    <t>AN9102</t>
  </si>
  <si>
    <t>-</t>
  </si>
  <si>
    <t>A9101</t>
  </si>
  <si>
    <t>20240425</t>
  </si>
  <si>
    <t>690</t>
  </si>
  <si>
    <t>A9102</t>
  </si>
  <si>
    <t>A9103</t>
  </si>
  <si>
    <t>A9104</t>
  </si>
  <si>
    <t>A9105</t>
  </si>
  <si>
    <t>A9106</t>
  </si>
  <si>
    <t>A9107</t>
  </si>
  <si>
    <t>A9108</t>
  </si>
  <si>
    <t>S208</t>
  </si>
  <si>
    <t>GB9101</t>
  </si>
  <si>
    <t>20210315</t>
  </si>
  <si>
    <t>-50</t>
  </si>
  <si>
    <t>換桶</t>
  </si>
  <si>
    <t>910</t>
  </si>
  <si>
    <t>1140</t>
  </si>
  <si>
    <t>20200818</t>
  </si>
  <si>
    <t>1130</t>
  </si>
  <si>
    <t>20161126</t>
  </si>
  <si>
    <t>2020/7/16</t>
  </si>
  <si>
    <t>研發取用</t>
  </si>
  <si>
    <t>1110</t>
  </si>
  <si>
    <t>20170728</t>
  </si>
  <si>
    <t>20170829</t>
  </si>
  <si>
    <t>20170927</t>
  </si>
  <si>
    <t>20171030</t>
  </si>
  <si>
    <t>20171129</t>
  </si>
  <si>
    <t>20171228</t>
  </si>
  <si>
    <t>20180129</t>
  </si>
  <si>
    <t>20180205</t>
  </si>
  <si>
    <t>-40</t>
  </si>
  <si>
    <t>20180328</t>
  </si>
  <si>
    <t>20180426</t>
  </si>
  <si>
    <t>20180530</t>
  </si>
  <si>
    <t>20180628</t>
  </si>
  <si>
    <t>20181130</t>
  </si>
  <si>
    <t>1150</t>
  </si>
  <si>
    <t>20180730</t>
  </si>
  <si>
    <t>20180890</t>
  </si>
  <si>
    <t>20180927</t>
  </si>
  <si>
    <t>20181030</t>
  </si>
  <si>
    <t>20181227</t>
  </si>
  <si>
    <t>20190130</t>
  </si>
  <si>
    <t>20190226</t>
  </si>
  <si>
    <t>20190328</t>
  </si>
  <si>
    <t>20190429</t>
  </si>
  <si>
    <t>20190530</t>
  </si>
  <si>
    <t>20190628</t>
  </si>
  <si>
    <t>20190730</t>
  </si>
  <si>
    <t>20190816</t>
  </si>
  <si>
    <t>GB8709</t>
  </si>
  <si>
    <t>20190829</t>
  </si>
  <si>
    <t>20190927</t>
  </si>
  <si>
    <t>20191029</t>
  </si>
  <si>
    <t>20191128</t>
  </si>
  <si>
    <t>20191226</t>
  </si>
  <si>
    <t>20200130</t>
  </si>
  <si>
    <t>20200226</t>
  </si>
  <si>
    <t>20200326</t>
  </si>
  <si>
    <t>20200430</t>
  </si>
  <si>
    <t>20200529</t>
  </si>
  <si>
    <t>20200629</t>
  </si>
  <si>
    <t>20200730</t>
  </si>
  <si>
    <t>20200827</t>
  </si>
  <si>
    <t>20200928</t>
  </si>
  <si>
    <t>20201028</t>
  </si>
  <si>
    <t>20201127</t>
  </si>
  <si>
    <t>GB9110</t>
  </si>
  <si>
    <t>20201225</t>
  </si>
  <si>
    <t>20210129</t>
  </si>
  <si>
    <t>20210224</t>
  </si>
  <si>
    <t>20210326</t>
  </si>
  <si>
    <t>1090</t>
  </si>
  <si>
    <t>20210427</t>
  </si>
  <si>
    <t>20210527</t>
  </si>
  <si>
    <t>20210629</t>
  </si>
  <si>
    <t>20210728</t>
  </si>
  <si>
    <t>20210826</t>
  </si>
  <si>
    <t>20210928</t>
  </si>
  <si>
    <t>20211027</t>
  </si>
  <si>
    <t>20211130</t>
  </si>
  <si>
    <t>20211229</t>
  </si>
  <si>
    <t>20220117</t>
  </si>
  <si>
    <t>GB9111</t>
  </si>
  <si>
    <t>20220126</t>
  </si>
  <si>
    <t>20220223</t>
  </si>
  <si>
    <t>20220329</t>
  </si>
  <si>
    <t>20220427</t>
  </si>
  <si>
    <t>20220629</t>
  </si>
  <si>
    <t>1080</t>
  </si>
  <si>
    <t>20220725</t>
  </si>
  <si>
    <t>20220826</t>
  </si>
  <si>
    <t>20220928</t>
  </si>
  <si>
    <t>20221025</t>
  </si>
  <si>
    <t>20221229</t>
  </si>
  <si>
    <t>20230130</t>
  </si>
  <si>
    <t>20230222</t>
  </si>
  <si>
    <t>20230327</t>
  </si>
  <si>
    <t>20230425</t>
  </si>
  <si>
    <t>20230529</t>
  </si>
  <si>
    <t>20230628</t>
  </si>
  <si>
    <t>20230725</t>
  </si>
  <si>
    <t>20230828</t>
  </si>
  <si>
    <t>20230926</t>
  </si>
  <si>
    <t>20231025</t>
  </si>
  <si>
    <t>GB9112</t>
  </si>
  <si>
    <t>20231122</t>
  </si>
  <si>
    <t>20231226</t>
  </si>
  <si>
    <t>8,920</t>
  </si>
  <si>
    <t>E9101</t>
  </si>
  <si>
    <t>E9102</t>
  </si>
  <si>
    <t>20240226</t>
  </si>
  <si>
    <t>350</t>
  </si>
  <si>
    <t>TK603</t>
  </si>
  <si>
    <t>E9103</t>
  </si>
  <si>
    <t>E9104</t>
  </si>
  <si>
    <t>E9105</t>
  </si>
  <si>
    <t>990</t>
  </si>
  <si>
    <t>285</t>
  </si>
  <si>
    <t>20240124</t>
  </si>
  <si>
    <t>20240202</t>
  </si>
  <si>
    <t>E9107</t>
  </si>
  <si>
    <t>E9108</t>
  </si>
  <si>
    <t>E9109</t>
  </si>
  <si>
    <t>E9110</t>
  </si>
  <si>
    <t>E9111</t>
  </si>
  <si>
    <t>C9101</t>
  </si>
  <si>
    <t>C9102</t>
  </si>
  <si>
    <t>C9103</t>
  </si>
  <si>
    <t>C9104</t>
  </si>
  <si>
    <t>20240426</t>
  </si>
  <si>
    <t>870</t>
  </si>
  <si>
    <t>C9105</t>
  </si>
  <si>
    <t>C9106</t>
  </si>
  <si>
    <t>C9107</t>
  </si>
  <si>
    <t>C9108</t>
  </si>
  <si>
    <t>C9109</t>
  </si>
  <si>
    <t>C9110</t>
  </si>
  <si>
    <t>C9111</t>
  </si>
  <si>
    <t>C9112</t>
  </si>
  <si>
    <t>C9113</t>
  </si>
  <si>
    <t>C9114</t>
  </si>
  <si>
    <t>C9115</t>
  </si>
  <si>
    <t>N9101</t>
  </si>
  <si>
    <t>20240320</t>
  </si>
  <si>
    <t>930</t>
  </si>
  <si>
    <t>N9102</t>
  </si>
  <si>
    <t>N9103</t>
  </si>
  <si>
    <t>TK611</t>
  </si>
  <si>
    <t>20240401</t>
  </si>
  <si>
    <t>N9104</t>
  </si>
  <si>
    <t>940</t>
  </si>
  <si>
    <t>N9105</t>
  </si>
  <si>
    <t>N9106</t>
  </si>
  <si>
    <t>N9107</t>
  </si>
  <si>
    <t>N9108</t>
  </si>
  <si>
    <t>N9109</t>
  </si>
  <si>
    <t>N9110</t>
  </si>
  <si>
    <t>N9111</t>
  </si>
  <si>
    <t>N9112</t>
  </si>
  <si>
    <t>N9113</t>
  </si>
  <si>
    <t>N9114</t>
  </si>
  <si>
    <t>N9115</t>
  </si>
  <si>
    <t>N9116</t>
  </si>
  <si>
    <t>N
S
E
H
W</t>
  </si>
  <si>
    <t>NS9101</t>
  </si>
  <si>
    <t>NS9102</t>
  </si>
  <si>
    <t>M9101</t>
  </si>
  <si>
    <t>20220407</t>
  </si>
  <si>
    <t>20230428</t>
  </si>
  <si>
    <t>TK667</t>
  </si>
  <si>
    <t>M9102</t>
  </si>
  <si>
    <t>M9103</t>
  </si>
  <si>
    <t>M9104</t>
  </si>
  <si>
    <t>M9105</t>
  </si>
  <si>
    <t>2,030</t>
  </si>
  <si>
    <t>D9101</t>
  </si>
  <si>
    <t>D9102</t>
  </si>
  <si>
    <t>D9103</t>
  </si>
  <si>
    <t>D9104</t>
  </si>
  <si>
    <t>D9105</t>
  </si>
  <si>
    <t>c</t>
  </si>
  <si>
    <t xml:space="preserve"> </t>
    <phoneticPr fontId="3" type="noConversion"/>
  </si>
  <si>
    <t>20240528</t>
  </si>
  <si>
    <t>250</t>
  </si>
  <si>
    <t>20240516</t>
  </si>
  <si>
    <t>840</t>
  </si>
  <si>
    <t>(回收液)</t>
  </si>
  <si>
    <t>1,440</t>
  </si>
  <si>
    <t>310</t>
  </si>
  <si>
    <t>730</t>
  </si>
  <si>
    <t>200</t>
  </si>
  <si>
    <t>890</t>
  </si>
  <si>
    <t>1030</t>
  </si>
  <si>
    <t>E9106
(5/30重驗)</t>
  </si>
  <si>
    <t>360</t>
  </si>
  <si>
    <t>20240523</t>
  </si>
  <si>
    <t>850</t>
  </si>
  <si>
    <t>880</t>
  </si>
  <si>
    <t>630</t>
  </si>
  <si>
    <t>202406XX</t>
  </si>
  <si>
    <t>TK675等單</t>
  </si>
  <si>
    <t>20240619</t>
  </si>
  <si>
    <t>530</t>
  </si>
  <si>
    <t>2024/6/24 14:52</t>
  </si>
  <si>
    <t>標記1</t>
  </si>
  <si>
    <t>標記2</t>
  </si>
  <si>
    <t>960</t>
  </si>
  <si>
    <t>1020</t>
  </si>
  <si>
    <t>7,100</t>
  </si>
  <si>
    <t>20240624</t>
  </si>
  <si>
    <t>810</t>
  </si>
  <si>
    <t>860</t>
  </si>
  <si>
    <t>9310</t>
  </si>
  <si>
    <t>830</t>
  </si>
  <si>
    <t>3,880</t>
  </si>
  <si>
    <t>2,270.0</t>
  </si>
  <si>
    <t>CPNE4R</t>
    <phoneticPr fontId="2" type="noConversion"/>
  </si>
  <si>
    <t>PMUPS</t>
    <phoneticPr fontId="3" type="noConversion"/>
  </si>
  <si>
    <t>待處理廢水</t>
    <phoneticPr fontId="2" type="noConversion"/>
  </si>
  <si>
    <t>EBR-P1R</t>
  </si>
  <si>
    <t>NMPUPS</t>
    <phoneticPr fontId="3" type="noConversion"/>
  </si>
  <si>
    <t>ACTUPS</t>
    <phoneticPr fontId="3" type="noConversion"/>
  </si>
  <si>
    <t>EGUPS</t>
  </si>
  <si>
    <t>EGUPS</t>
    <phoneticPr fontId="3" type="noConversion"/>
  </si>
  <si>
    <t>IPAUPS</t>
  </si>
  <si>
    <t>IPAUPS</t>
    <phoneticPr fontId="3" type="noConversion"/>
  </si>
  <si>
    <t>EBR-P1</t>
    <phoneticPr fontId="3" type="noConversion"/>
  </si>
  <si>
    <t>CPN-P1</t>
    <phoneticPr fontId="3" type="noConversion"/>
  </si>
  <si>
    <t>CPN-P1R</t>
  </si>
  <si>
    <t>IPAHW</t>
    <phoneticPr fontId="3" type="noConversion"/>
  </si>
  <si>
    <t>EBR95</t>
    <phoneticPr fontId="3" type="noConversion"/>
  </si>
  <si>
    <t>HEAVY ENDS</t>
    <phoneticPr fontId="3" type="noConversion"/>
  </si>
  <si>
    <t>CPN-R</t>
    <phoneticPr fontId="3" type="noConversion"/>
  </si>
  <si>
    <t>NBAC-P1</t>
    <phoneticPr fontId="3" type="noConversion"/>
  </si>
  <si>
    <t>NBAC-P1R</t>
    <phoneticPr fontId="3" type="noConversion"/>
  </si>
  <si>
    <t>CPNE3</t>
    <phoneticPr fontId="3" type="noConversion"/>
  </si>
  <si>
    <t>CPN</t>
  </si>
  <si>
    <t>SEP73E3</t>
    <phoneticPr fontId="3" type="noConversion"/>
  </si>
  <si>
    <t>GAAUPS</t>
    <phoneticPr fontId="3" type="noConversion"/>
  </si>
  <si>
    <t>IPAHQ</t>
    <phoneticPr fontId="2" type="noConversion"/>
  </si>
  <si>
    <t>CPNE3(T)</t>
    <phoneticPr fontId="2" type="noConversion"/>
  </si>
  <si>
    <t>CPN</t>
    <phoneticPr fontId="2" type="noConversion"/>
  </si>
  <si>
    <t>IPA-1</t>
  </si>
  <si>
    <t>IPA</t>
    <phoneticPr fontId="2" type="noConversion"/>
  </si>
  <si>
    <t>EBR-P1</t>
    <phoneticPr fontId="2" type="noConversion"/>
  </si>
  <si>
    <t>C50110-INV-01(01)</t>
    <phoneticPr fontId="3" type="noConversion"/>
  </si>
  <si>
    <t>IPA-1</t>
    <phoneticPr fontId="3" type="noConversion"/>
  </si>
  <si>
    <t>DPM-1</t>
    <phoneticPr fontId="3" type="noConversion"/>
  </si>
  <si>
    <t>CPNE3</t>
    <phoneticPr fontId="2" type="noConversion"/>
  </si>
  <si>
    <t>EBR-P4</t>
    <phoneticPr fontId="3" type="noConversion"/>
  </si>
  <si>
    <t>江承河</t>
    <phoneticPr fontId="2" type="noConversion"/>
  </si>
  <si>
    <r>
      <t>EBR</t>
    </r>
    <r>
      <rPr>
        <sz val="7"/>
        <rFont val="微軟正黑體"/>
        <family val="2"/>
        <charset val="136"/>
      </rPr>
      <t>廢溶劑</t>
    </r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</si>
  <si>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22
蒸氣壓力 ______ (最低氣溫低於16度開啟)</t>
    <phoneticPr fontId="3" type="noConversion"/>
  </si>
  <si>
    <t>陳志修</t>
    <phoneticPr fontId="2" type="noConversion"/>
  </si>
  <si>
    <t>林東和</t>
    <phoneticPr fontId="2" type="noConversion"/>
  </si>
  <si>
    <t xml:space="preserve"> 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</si>
</sst>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_);[Red]\(0\)"/>
    <numFmt numFmtId="179" formatCode="0_ "/>
    <numFmt numFmtId="180" formatCode="#,##0.0000"/>
    <numFmt numFmtId="181" formatCode="0.0000_ "/>
    <numFmt numFmtId="182" formatCode="0.0000"/>
    <numFmt numFmtId="183" formatCode="[&lt;0]&quot;0&quot;;0"/>
    <numFmt numFmtId="184" formatCode="m&quot;月&quot;d&quot;日&quot;"/>
  </numFmts>
  <fonts count="34">
    <font>
      <sz val="12"/>
      <color theme="1"/>
      <name val="新細明體"/>
      <family val="2"/>
      <scheme val="minor"/>
    </font>
    <font>
      <sz val="12"/>
      <name val="新細明體"/>
      <family val="1"/>
      <charset val="136"/>
    </font>
    <font>
      <sz val="9"/>
      <name val="新細明體"/>
      <family val="3"/>
      <charset val="136"/>
      <scheme val="minor"/>
    </font>
    <font>
      <sz val="9"/>
      <name val="新細明體"/>
      <family val="1"/>
      <charset val="136"/>
    </font>
    <font>
      <sz val="9"/>
      <name val="細明體"/>
      <family val="3"/>
      <charset val="136"/>
    </font>
    <font>
      <sz val="12"/>
      <color theme="1"/>
      <name val="新細明體"/>
      <family val="1"/>
      <charset val="136"/>
      <scheme val="minor"/>
    </font>
    <font>
      <sz val="12"/>
      <name val="DotumChe"/>
      <family val="3"/>
      <charset val="129"/>
    </font>
    <font>
      <sz val="12"/>
      <name val="細明體"/>
      <family val="3"/>
      <charset val="136"/>
    </font>
    <font>
      <sz val="14"/>
      <name val="DotumChe"/>
      <family val="3"/>
      <charset val="129"/>
    </font>
    <font>
      <b/>
      <sz val="14"/>
      <color rgb="FF0000FF"/>
      <name val="DotumChe"/>
      <family val="3"/>
      <charset val="129"/>
    </font>
    <font>
      <sz val="14"/>
      <name val="細明體"/>
      <family val="3"/>
      <charset val="136"/>
    </font>
    <font>
      <sz val="18"/>
      <color rgb="FFFF0000"/>
      <name val="微軟正黑體"/>
      <family val="2"/>
      <charset val="136"/>
    </font>
    <font>
      <b/>
      <sz val="12"/>
      <name val="微軟正黑體"/>
      <family val="2"/>
      <charset val="136"/>
    </font>
    <font>
      <sz val="12"/>
      <name val="微軟正黑體"/>
      <family val="2"/>
      <charset val="136"/>
    </font>
    <font>
      <sz val="14"/>
      <name val="微軟正黑體"/>
      <family val="2"/>
      <charset val="136"/>
    </font>
    <font>
      <sz val="6"/>
      <name val="微軟正黑體"/>
      <family val="2"/>
      <charset val="136"/>
    </font>
    <font>
      <sz val="16"/>
      <name val="微軟正黑體"/>
      <family val="2"/>
      <charset val="136"/>
    </font>
    <font>
      <sz val="10"/>
      <name val="微軟正黑體"/>
      <family val="2"/>
      <charset val="136"/>
    </font>
    <font>
      <sz val="11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sz val="8"/>
      <name val="微軟正黑體"/>
      <family val="2"/>
      <charset val="136"/>
    </font>
    <font>
      <u/>
      <sz val="16"/>
      <name val="微軟正黑體"/>
      <family val="2"/>
      <charset val="136"/>
    </font>
    <font>
      <sz val="9"/>
      <name val="微軟正黑體"/>
      <family val="2"/>
      <charset val="136"/>
    </font>
    <font>
      <vertAlign val="superscript"/>
      <sz val="8"/>
      <name val="微軟正黑體"/>
      <family val="2"/>
      <charset val="136"/>
    </font>
    <font>
      <vertAlign val="subscript"/>
      <sz val="8"/>
      <name val="微軟正黑體"/>
      <family val="2"/>
      <charset val="136"/>
    </font>
    <font>
      <u/>
      <sz val="9"/>
      <name val="微軟正黑體"/>
      <family val="2"/>
      <charset val="136"/>
    </font>
    <font>
      <sz val="7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7.5"/>
      <name val="微軟正黑體"/>
      <family val="2"/>
      <charset val="136"/>
    </font>
    <font>
      <u/>
      <sz val="9"/>
      <color theme="7" tint="-0.499984740745262"/>
      <name val="微軟正黑體"/>
      <family val="2"/>
      <charset val="136"/>
    </font>
    <font>
      <sz val="9"/>
      <color theme="7" tint="-0.499984740745262"/>
      <name val="微軟正黑體"/>
      <family val="2"/>
      <charset val="136"/>
    </font>
    <font>
      <sz val="8.5"/>
      <name val="微軟正黑體"/>
      <family val="2"/>
      <charset val="136"/>
    </font>
    <font>
      <sz val="10"/>
      <color theme="7" tint="-0.499984740745262"/>
      <name val="微軟正黑體"/>
      <family val="2"/>
      <charset val="136"/>
    </font>
    <font>
      <sz val="12"/>
      <color rgb="FF000000"/>
      <name val="新細明體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59999389629810485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otted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tted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</borders>
  <cellStyleXfs count="23">
    <xf numFmtId="0" fontId="0" fillId="0" borderId="0"/>
    <xf numFmtId="0" fontId="1" fillId="0" borderId="0"/>
    <xf numFmtId="0" fontId="1" fillId="0" borderId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>
      <alignment vertical="center"/>
    </xf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</cellStyleXfs>
  <cellXfs count="241">
    <xf numFmtId="0" fontId="0" fillId="0" borderId="0" xfId="0"/>
    <xf numFmtId="0" fontId="6" fillId="3" borderId="5" xfId="1" applyFont="1" applyFill="1" applyBorder="1" applyAlignment="1">
      <alignment horizontal="left" vertical="center" wrapText="1"/>
    </xf>
    <xf numFmtId="0" fontId="8" fillId="3" borderId="17" xfId="1" applyFont="1" applyFill="1" applyBorder="1" applyAlignment="1">
      <alignment horizontal="center" vertical="center"/>
    </xf>
    <xf numFmtId="49" fontId="9" fillId="4" borderId="17" xfId="1" applyNumberFormat="1" applyFont="1" applyFill="1" applyBorder="1" applyAlignment="1">
      <alignment horizontal="center" vertical="center"/>
    </xf>
    <xf numFmtId="0" fontId="8" fillId="3" borderId="17" xfId="1" applyFont="1" applyFill="1" applyBorder="1" applyAlignment="1">
      <alignment horizontal="center" vertical="center" wrapText="1"/>
    </xf>
    <xf numFmtId="180" fontId="9" fillId="4" borderId="17" xfId="1" applyNumberFormat="1" applyFont="1" applyFill="1" applyBorder="1" applyAlignment="1">
      <alignment horizontal="center" vertical="center" wrapText="1"/>
    </xf>
    <xf numFmtId="0" fontId="8" fillId="0" borderId="0" xfId="1" applyFont="1" applyAlignment="1">
      <alignment vertical="center"/>
    </xf>
    <xf numFmtId="0" fontId="8" fillId="0" borderId="18" xfId="1" applyFont="1" applyFill="1" applyBorder="1" applyAlignment="1">
      <alignment horizontal="center" vertical="center" wrapText="1"/>
    </xf>
    <xf numFmtId="0" fontId="8" fillId="0" borderId="19" xfId="1" applyFont="1" applyFill="1" applyBorder="1" applyAlignment="1">
      <alignment horizontal="center" vertical="center"/>
    </xf>
    <xf numFmtId="0" fontId="8" fillId="4" borderId="19" xfId="1" applyFont="1" applyFill="1" applyBorder="1" applyAlignment="1">
      <alignment horizontal="center" vertical="center"/>
    </xf>
    <xf numFmtId="0" fontId="8" fillId="0" borderId="19" xfId="1" applyFont="1" applyFill="1" applyBorder="1" applyAlignment="1">
      <alignment horizontal="center" vertical="center" wrapText="1"/>
    </xf>
    <xf numFmtId="181" fontId="8" fillId="0" borderId="19" xfId="1" applyNumberFormat="1" applyFont="1" applyFill="1" applyBorder="1" applyAlignment="1">
      <alignment horizontal="center" vertical="center"/>
    </xf>
    <xf numFmtId="0" fontId="8" fillId="0" borderId="0" xfId="1" applyFont="1" applyFill="1" applyBorder="1" applyAlignment="1">
      <alignment horizontal="center" vertical="center"/>
    </xf>
    <xf numFmtId="0" fontId="8" fillId="0" borderId="0" xfId="1" applyFont="1" applyFill="1" applyAlignment="1">
      <alignment vertical="center"/>
    </xf>
    <xf numFmtId="0" fontId="8" fillId="0" borderId="19" xfId="1" applyNumberFormat="1" applyFont="1" applyFill="1" applyBorder="1" applyAlignment="1">
      <alignment horizontal="center" vertical="center"/>
    </xf>
    <xf numFmtId="0" fontId="8" fillId="0" borderId="20" xfId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/>
    </xf>
    <xf numFmtId="180" fontId="8" fillId="4" borderId="21" xfId="1" applyNumberFormat="1" applyFont="1" applyFill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/>
    </xf>
    <xf numFmtId="180" fontId="8" fillId="4" borderId="22" xfId="1" applyNumberFormat="1" applyFont="1" applyFill="1" applyBorder="1" applyAlignment="1">
      <alignment horizontal="center" vertical="center"/>
    </xf>
    <xf numFmtId="180" fontId="8" fillId="0" borderId="23" xfId="1" applyNumberFormat="1" applyFont="1" applyBorder="1" applyAlignment="1">
      <alignment horizontal="center" vertical="center"/>
    </xf>
    <xf numFmtId="0" fontId="8" fillId="0" borderId="24" xfId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vertical="center"/>
    </xf>
    <xf numFmtId="180" fontId="8" fillId="0" borderId="19" xfId="1" applyNumberFormat="1" applyFont="1" applyBorder="1" applyAlignment="1">
      <alignment horizontal="center" vertical="center"/>
    </xf>
    <xf numFmtId="180" fontId="8" fillId="4" borderId="19" xfId="1" applyNumberFormat="1" applyFont="1" applyFill="1" applyBorder="1" applyAlignment="1">
      <alignment horizontal="center" vertical="center"/>
    </xf>
    <xf numFmtId="180" fontId="8" fillId="0" borderId="0" xfId="1" applyNumberFormat="1" applyFont="1" applyAlignment="1">
      <alignment horizontal="center" vertical="center"/>
    </xf>
    <xf numFmtId="0" fontId="8" fillId="0" borderId="26" xfId="1" applyFont="1" applyBorder="1" applyAlignment="1">
      <alignment horizontal="center" vertical="center"/>
    </xf>
    <xf numFmtId="180" fontId="8" fillId="0" borderId="27" xfId="1" applyNumberFormat="1" applyFont="1" applyBorder="1" applyAlignment="1">
      <alignment horizontal="center" vertical="center"/>
    </xf>
    <xf numFmtId="180" fontId="8" fillId="0" borderId="28" xfId="1" applyNumberFormat="1" applyFont="1" applyBorder="1" applyAlignment="1">
      <alignment horizontal="center" vertical="center"/>
    </xf>
    <xf numFmtId="180" fontId="8" fillId="4" borderId="28" xfId="1" applyNumberFormat="1" applyFont="1" applyFill="1" applyBorder="1" applyAlignment="1">
      <alignment horizontal="center" vertical="center"/>
    </xf>
    <xf numFmtId="180" fontId="8" fillId="4" borderId="27" xfId="1" applyNumberFormat="1" applyFont="1" applyFill="1" applyBorder="1" applyAlignment="1">
      <alignment horizontal="center" vertical="center"/>
    </xf>
    <xf numFmtId="180" fontId="8" fillId="0" borderId="25" xfId="1" applyNumberFormat="1" applyFont="1" applyFill="1" applyBorder="1" applyAlignment="1">
      <alignment horizontal="center" vertical="center"/>
    </xf>
    <xf numFmtId="0" fontId="8" fillId="0" borderId="29" xfId="1" applyFont="1" applyBorder="1" applyAlignment="1">
      <alignment horizontal="center" vertical="center"/>
    </xf>
    <xf numFmtId="180" fontId="8" fillId="0" borderId="30" xfId="1" applyNumberFormat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 wrapText="1"/>
    </xf>
    <xf numFmtId="180" fontId="8" fillId="0" borderId="25" xfId="1" applyNumberFormat="1" applyFont="1" applyBorder="1" applyAlignment="1">
      <alignment horizontal="center" vertical="center" wrapText="1"/>
    </xf>
    <xf numFmtId="180" fontId="8" fillId="0" borderId="27" xfId="1" applyNumberFormat="1" applyFont="1" applyBorder="1" applyAlignment="1">
      <alignment horizontal="center" vertical="center" wrapText="1"/>
    </xf>
    <xf numFmtId="180" fontId="8" fillId="0" borderId="27" xfId="1" applyNumberFormat="1" applyFont="1" applyFill="1" applyBorder="1" applyAlignment="1">
      <alignment horizontal="center" vertical="center"/>
    </xf>
    <xf numFmtId="0" fontId="8" fillId="0" borderId="31" xfId="1" applyFont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 wrapText="1"/>
    </xf>
    <xf numFmtId="180" fontId="8" fillId="0" borderId="22" xfId="1" applyNumberFormat="1" applyFont="1" applyBorder="1" applyAlignment="1">
      <alignment horizontal="center" wrapText="1"/>
    </xf>
    <xf numFmtId="180" fontId="8" fillId="0" borderId="22" xfId="1" applyNumberFormat="1" applyFont="1" applyFill="1" applyBorder="1" applyAlignment="1">
      <alignment horizontal="center" vertical="center"/>
    </xf>
    <xf numFmtId="0" fontId="8" fillId="0" borderId="32" xfId="1" applyFont="1" applyBorder="1" applyAlignment="1">
      <alignment horizontal="center" vertical="center"/>
    </xf>
    <xf numFmtId="180" fontId="8" fillId="0" borderId="33" xfId="1" applyNumberFormat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wrapText="1"/>
    </xf>
    <xf numFmtId="180" fontId="8" fillId="0" borderId="27" xfId="1" applyNumberFormat="1" applyFont="1" applyBorder="1" applyAlignment="1">
      <alignment horizontal="center" wrapText="1"/>
    </xf>
    <xf numFmtId="0" fontId="8" fillId="0" borderId="34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35" xfId="1" applyFont="1" applyBorder="1" applyAlignment="1">
      <alignment horizontal="center" vertical="center"/>
    </xf>
    <xf numFmtId="181" fontId="8" fillId="0" borderId="0" xfId="1" applyNumberFormat="1" applyFont="1" applyAlignment="1">
      <alignment horizontal="center" vertical="center"/>
    </xf>
    <xf numFmtId="0" fontId="8" fillId="0" borderId="36" xfId="1" applyFont="1" applyBorder="1" applyAlignment="1">
      <alignment vertical="center"/>
    </xf>
    <xf numFmtId="180" fontId="8" fillId="0" borderId="0" xfId="1" applyNumberFormat="1" applyFont="1" applyAlignment="1">
      <alignment vertical="center"/>
    </xf>
    <xf numFmtId="182" fontId="8" fillId="0" borderId="19" xfId="1" applyNumberFormat="1" applyFont="1" applyFill="1" applyBorder="1" applyAlignment="1">
      <alignment horizontal="center" vertical="center"/>
    </xf>
    <xf numFmtId="0" fontId="13" fillId="0" borderId="0" xfId="1" applyFont="1" applyAlignment="1">
      <alignment vertical="center"/>
    </xf>
    <xf numFmtId="0" fontId="13" fillId="0" borderId="0" xfId="1" applyFont="1"/>
    <xf numFmtId="0" fontId="13" fillId="0" borderId="0" xfId="1" applyFont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17" fillId="0" borderId="0" xfId="1" applyFont="1" applyAlignment="1">
      <alignment vertical="center" wrapText="1"/>
    </xf>
    <xf numFmtId="0" fontId="15" fillId="0" borderId="0" xfId="1" applyFont="1" applyAlignment="1">
      <alignment vertical="center"/>
    </xf>
    <xf numFmtId="0" fontId="18" fillId="0" borderId="0" xfId="1" applyFont="1" applyAlignment="1">
      <alignment horizontal="right" vertical="center"/>
    </xf>
    <xf numFmtId="0" fontId="19" fillId="0" borderId="0" xfId="1" applyFont="1" applyAlignment="1">
      <alignment vertical="center"/>
    </xf>
    <xf numFmtId="3" fontId="11" fillId="0" borderId="0" xfId="1" applyNumberFormat="1" applyFont="1" applyAlignment="1">
      <alignment horizontal="center" vertical="center"/>
    </xf>
    <xf numFmtId="0" fontId="13" fillId="0" borderId="0" xfId="1" applyFont="1" applyAlignment="1">
      <alignment horizontal="center"/>
    </xf>
    <xf numFmtId="0" fontId="13" fillId="2" borderId="0" xfId="1" applyFont="1" applyFill="1"/>
    <xf numFmtId="0" fontId="13" fillId="2" borderId="0" xfId="1" applyFont="1" applyFill="1" applyBorder="1"/>
    <xf numFmtId="0" fontId="14" fillId="2" borderId="0" xfId="1" applyFont="1" applyFill="1"/>
    <xf numFmtId="0" fontId="17" fillId="2" borderId="3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center"/>
    </xf>
    <xf numFmtId="0" fontId="13" fillId="2" borderId="3" xfId="1" applyFont="1" applyFill="1" applyBorder="1"/>
    <xf numFmtId="0" fontId="20" fillId="2" borderId="3" xfId="1" applyFont="1" applyFill="1" applyBorder="1" applyAlignment="1">
      <alignment horizontal="center" vertical="top" wrapText="1"/>
    </xf>
    <xf numFmtId="183" fontId="22" fillId="2" borderId="3" xfId="2" applyNumberFormat="1" applyFont="1" applyFill="1" applyBorder="1" applyAlignment="1">
      <alignment horizontal="center" vertical="center"/>
    </xf>
    <xf numFmtId="0" fontId="20" fillId="2" borderId="0" xfId="1" applyFont="1" applyFill="1"/>
    <xf numFmtId="179" fontId="22" fillId="2" borderId="3" xfId="1" applyNumberFormat="1" applyFont="1" applyFill="1" applyBorder="1" applyAlignment="1">
      <alignment horizontal="center" vertical="center"/>
    </xf>
    <xf numFmtId="0" fontId="22" fillId="2" borderId="3" xfId="0" applyFont="1" applyFill="1" applyBorder="1" applyAlignment="1">
      <alignment horizontal="center" vertical="center"/>
    </xf>
    <xf numFmtId="178" fontId="13" fillId="2" borderId="0" xfId="1" applyNumberFormat="1" applyFont="1" applyFill="1"/>
    <xf numFmtId="0" fontId="25" fillId="2" borderId="3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top"/>
    </xf>
    <xf numFmtId="183" fontId="22" fillId="2" borderId="4" xfId="2" applyNumberFormat="1" applyFont="1" applyFill="1" applyBorder="1" applyAlignment="1">
      <alignment horizontal="center" vertical="center"/>
    </xf>
    <xf numFmtId="0" fontId="20" fillId="2" borderId="7" xfId="1" applyFont="1" applyFill="1" applyBorder="1" applyAlignment="1">
      <alignment horizontal="center" vertical="center"/>
    </xf>
    <xf numFmtId="0" fontId="20" fillId="2" borderId="39" xfId="1" applyFont="1" applyFill="1" applyBorder="1" applyAlignment="1">
      <alignment horizontal="center" vertical="center"/>
    </xf>
    <xf numFmtId="0" fontId="22" fillId="2" borderId="2" xfId="0" applyFont="1" applyFill="1" applyBorder="1" applyAlignment="1">
      <alignment horizontal="center" vertical="center"/>
    </xf>
    <xf numFmtId="20" fontId="17" fillId="2" borderId="8" xfId="1" applyNumberFormat="1" applyFont="1" applyFill="1" applyBorder="1" applyAlignment="1">
      <alignment horizontal="center" vertical="center"/>
    </xf>
    <xf numFmtId="0" fontId="20" fillId="2" borderId="8" xfId="1" applyFont="1" applyFill="1" applyBorder="1" applyAlignment="1">
      <alignment horizontal="center" vertical="center"/>
    </xf>
    <xf numFmtId="0" fontId="22" fillId="2" borderId="8" xfId="0" applyFont="1" applyFill="1" applyBorder="1" applyAlignment="1">
      <alignment horizontal="center" vertical="center"/>
    </xf>
    <xf numFmtId="0" fontId="17" fillId="2" borderId="4" xfId="1" applyFont="1" applyFill="1" applyBorder="1" applyAlignment="1">
      <alignment horizontal="center" vertical="center"/>
    </xf>
    <xf numFmtId="0" fontId="22" fillId="2" borderId="40" xfId="1" applyFont="1" applyFill="1" applyBorder="1" applyAlignment="1">
      <alignment horizontal="center" vertical="center"/>
    </xf>
    <xf numFmtId="0" fontId="27" fillId="2" borderId="40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top"/>
    </xf>
    <xf numFmtId="0" fontId="27" fillId="2" borderId="3" xfId="1" applyFont="1" applyFill="1" applyBorder="1" applyAlignment="1">
      <alignment horizontal="center" vertical="top"/>
    </xf>
    <xf numFmtId="183" fontId="27" fillId="2" borderId="3" xfId="2" applyNumberFormat="1" applyFont="1" applyFill="1" applyBorder="1" applyAlignment="1">
      <alignment horizontal="center" vertical="center"/>
    </xf>
    <xf numFmtId="183" fontId="22" fillId="2" borderId="3" xfId="1" applyNumberFormat="1" applyFont="1" applyFill="1" applyBorder="1" applyAlignment="1">
      <alignment horizontal="center" vertical="center" wrapText="1"/>
    </xf>
    <xf numFmtId="183" fontId="27" fillId="2" borderId="3" xfId="1" applyNumberFormat="1" applyFont="1" applyFill="1" applyBorder="1" applyAlignment="1">
      <alignment horizontal="center" vertical="center" wrapText="1"/>
    </xf>
    <xf numFmtId="0" fontId="27" fillId="2" borderId="3" xfId="0" applyFont="1" applyFill="1" applyBorder="1" applyAlignment="1">
      <alignment horizontal="center" vertical="center"/>
    </xf>
    <xf numFmtId="0" fontId="28" fillId="2" borderId="1" xfId="1" applyFont="1" applyFill="1" applyBorder="1" applyAlignment="1">
      <alignment horizontal="center" vertical="center"/>
    </xf>
    <xf numFmtId="178" fontId="13" fillId="2" borderId="0" xfId="1" applyNumberFormat="1" applyFont="1" applyFill="1" applyAlignment="1">
      <alignment wrapText="1"/>
    </xf>
    <xf numFmtId="0" fontId="20" fillId="2" borderId="3" xfId="1" applyFont="1" applyFill="1" applyBorder="1" applyAlignment="1">
      <alignment horizontal="center" vertical="center" wrapText="1"/>
    </xf>
    <xf numFmtId="0" fontId="20" fillId="2" borderId="11" xfId="1" applyFont="1" applyFill="1" applyBorder="1" applyAlignment="1">
      <alignment horizontal="center" vertical="center" wrapText="1"/>
    </xf>
    <xf numFmtId="0" fontId="20" fillId="2" borderId="5" xfId="1" applyFont="1" applyFill="1" applyBorder="1" applyAlignment="1">
      <alignment horizontal="center" vertical="center"/>
    </xf>
    <xf numFmtId="0" fontId="15" fillId="2" borderId="12" xfId="1" applyFont="1" applyFill="1" applyBorder="1" applyAlignment="1">
      <alignment horizontal="center" vertical="center" wrapText="1"/>
    </xf>
    <xf numFmtId="178" fontId="20" fillId="2" borderId="11" xfId="1" applyNumberFormat="1" applyFont="1" applyFill="1" applyBorder="1" applyAlignment="1">
      <alignment horizontal="center" vertical="center" wrapText="1"/>
    </xf>
    <xf numFmtId="179" fontId="13" fillId="2" borderId="0" xfId="1" applyNumberFormat="1" applyFont="1" applyFill="1"/>
    <xf numFmtId="9" fontId="13" fillId="2" borderId="0" xfId="5" applyFont="1" applyFill="1"/>
    <xf numFmtId="0" fontId="13" fillId="2" borderId="0" xfId="1" applyFont="1" applyFill="1" applyAlignment="1">
      <alignment horizontal="left" vertical="center"/>
    </xf>
    <xf numFmtId="0" fontId="26" fillId="2" borderId="3" xfId="1" applyFont="1" applyFill="1" applyBorder="1" applyAlignment="1">
      <alignment horizontal="center" vertical="top"/>
    </xf>
    <xf numFmtId="0" fontId="29" fillId="2" borderId="3" xfId="1" applyFont="1" applyFill="1" applyBorder="1" applyAlignment="1">
      <alignment horizontal="center" vertical="center" wrapText="1"/>
    </xf>
    <xf numFmtId="183" fontId="30" fillId="2" borderId="4" xfId="2" applyNumberFormat="1" applyFont="1" applyFill="1" applyBorder="1" applyAlignment="1">
      <alignment horizontal="center" vertical="center"/>
    </xf>
    <xf numFmtId="179" fontId="30" fillId="2" borderId="3" xfId="1" applyNumberFormat="1" applyFont="1" applyFill="1" applyBorder="1" applyAlignment="1">
      <alignment horizontal="center" vertical="center"/>
    </xf>
    <xf numFmtId="0" fontId="30" fillId="2" borderId="3" xfId="0" applyFont="1" applyFill="1" applyBorder="1" applyAlignment="1">
      <alignment horizontal="center" vertical="center"/>
    </xf>
    <xf numFmtId="183" fontId="30" fillId="2" borderId="3" xfId="2" applyNumberFormat="1" applyFont="1" applyFill="1" applyBorder="1" applyAlignment="1">
      <alignment horizontal="center" vertical="center"/>
    </xf>
    <xf numFmtId="0" fontId="30" fillId="2" borderId="2" xfId="0" applyFont="1" applyFill="1" applyBorder="1" applyAlignment="1">
      <alignment horizontal="center" vertical="center"/>
    </xf>
    <xf numFmtId="0" fontId="13" fillId="0" borderId="0" xfId="1" applyFont="1" applyAlignment="1" applyProtection="1">
      <alignment vertical="center"/>
      <protection locked="0"/>
    </xf>
    <xf numFmtId="0" fontId="13" fillId="0" borderId="0" xfId="1" applyFont="1" applyProtection="1">
      <protection locked="0"/>
    </xf>
    <xf numFmtId="0" fontId="12" fillId="0" borderId="23" xfId="1" applyFont="1" applyBorder="1" applyAlignment="1" applyProtection="1">
      <alignment vertical="center"/>
      <protection locked="0"/>
    </xf>
    <xf numFmtId="0" fontId="13" fillId="0" borderId="46" xfId="1" applyFont="1" applyBorder="1" applyAlignment="1" applyProtection="1">
      <alignment horizontal="center" vertical="center"/>
      <protection locked="0"/>
    </xf>
    <xf numFmtId="0" fontId="13" fillId="0" borderId="47" xfId="1" applyFont="1" applyBorder="1" applyAlignment="1" applyProtection="1">
      <alignment horizontal="center" vertical="center"/>
      <protection locked="0"/>
    </xf>
    <xf numFmtId="0" fontId="13" fillId="0" borderId="48" xfId="1" applyFont="1" applyBorder="1" applyAlignment="1" applyProtection="1">
      <alignment horizontal="center" vertical="center"/>
      <protection locked="0"/>
    </xf>
    <xf numFmtId="0" fontId="13" fillId="0" borderId="49" xfId="1" applyFont="1" applyBorder="1" applyAlignment="1" applyProtection="1">
      <alignment horizontal="center" vertical="center"/>
      <protection locked="0"/>
    </xf>
    <xf numFmtId="0" fontId="14" fillId="0" borderId="50" xfId="1" applyFont="1" applyBorder="1" applyAlignment="1" applyProtection="1">
      <alignment horizontal="center" vertical="center"/>
      <protection locked="0"/>
    </xf>
    <xf numFmtId="0" fontId="18" fillId="0" borderId="51" xfId="1" applyFont="1" applyBorder="1" applyAlignment="1" applyProtection="1">
      <alignment horizontal="center" vertical="center"/>
      <protection locked="0"/>
    </xf>
    <xf numFmtId="0" fontId="18" fillId="0" borderId="52" xfId="1" applyFont="1" applyBorder="1" applyAlignment="1" applyProtection="1">
      <alignment vertical="center"/>
      <protection locked="0"/>
    </xf>
    <xf numFmtId="0" fontId="18" fillId="0" borderId="53" xfId="1" applyFont="1" applyBorder="1" applyAlignment="1" applyProtection="1">
      <alignment vertical="center"/>
      <protection locked="0"/>
    </xf>
    <xf numFmtId="0" fontId="18" fillId="0" borderId="51" xfId="1" applyFont="1" applyFill="1" applyBorder="1" applyAlignment="1" applyProtection="1">
      <alignment horizontal="center" vertical="center"/>
      <protection locked="0"/>
    </xf>
    <xf numFmtId="0" fontId="18" fillId="0" borderId="54" xfId="1" applyFont="1" applyBorder="1" applyAlignment="1" applyProtection="1">
      <alignment vertical="center"/>
      <protection locked="0"/>
    </xf>
    <xf numFmtId="0" fontId="18" fillId="2" borderId="54" xfId="1" applyFont="1" applyFill="1" applyBorder="1" applyAlignment="1" applyProtection="1">
      <alignment vertical="center"/>
      <protection locked="0"/>
    </xf>
    <xf numFmtId="0" fontId="18" fillId="2" borderId="52" xfId="1" applyFont="1" applyFill="1" applyBorder="1" applyAlignment="1" applyProtection="1">
      <alignment vertical="center"/>
      <protection locked="0"/>
    </xf>
    <xf numFmtId="0" fontId="18" fillId="2" borderId="53" xfId="1" applyFont="1" applyFill="1" applyBorder="1" applyAlignment="1" applyProtection="1">
      <alignment vertical="center"/>
      <protection locked="0"/>
    </xf>
    <xf numFmtId="0" fontId="18" fillId="2" borderId="51" xfId="1" applyFont="1" applyFill="1" applyBorder="1" applyAlignment="1" applyProtection="1">
      <alignment horizontal="center" vertical="center"/>
      <protection locked="0"/>
    </xf>
    <xf numFmtId="0" fontId="18" fillId="2" borderId="57" xfId="1" applyFont="1" applyFill="1" applyBorder="1" applyAlignment="1" applyProtection="1">
      <alignment horizontal="center" vertical="center"/>
      <protection locked="0"/>
    </xf>
    <xf numFmtId="0" fontId="18" fillId="0" borderId="58" xfId="1" applyFont="1" applyFill="1" applyBorder="1" applyAlignment="1" applyProtection="1">
      <alignment horizontal="center" vertical="center"/>
      <protection locked="0"/>
    </xf>
    <xf numFmtId="0" fontId="18" fillId="0" borderId="59" xfId="1" applyFont="1" applyBorder="1" applyAlignment="1" applyProtection="1">
      <alignment vertical="center"/>
      <protection locked="0"/>
    </xf>
    <xf numFmtId="0" fontId="18" fillId="0" borderId="58" xfId="1" applyFont="1" applyBorder="1" applyAlignment="1" applyProtection="1">
      <alignment horizontal="center" vertical="center"/>
      <protection locked="0"/>
    </xf>
    <xf numFmtId="0" fontId="18" fillId="0" borderId="63" xfId="1" applyFont="1" applyBorder="1" applyAlignment="1" applyProtection="1">
      <alignment vertical="center"/>
      <protection locked="0"/>
    </xf>
    <xf numFmtId="0" fontId="18" fillId="2" borderId="54" xfId="1" applyFont="1" applyFill="1" applyBorder="1" applyAlignment="1" applyProtection="1">
      <alignment vertical="center"/>
    </xf>
    <xf numFmtId="0" fontId="18" fillId="2" borderId="53" xfId="1" applyFont="1" applyFill="1" applyBorder="1" applyAlignment="1" applyProtection="1">
      <alignment vertical="center"/>
    </xf>
    <xf numFmtId="184" fontId="13" fillId="2" borderId="0" xfId="1" applyNumberFormat="1" applyFont="1" applyFill="1"/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32" fillId="2" borderId="3" xfId="1" applyFont="1" applyFill="1" applyBorder="1" applyAlignment="1">
      <alignment horizontal="center" vertical="top"/>
    </xf>
    <xf numFmtId="0" fontId="15" fillId="2" borderId="3" xfId="1" applyFont="1" applyFill="1" applyBorder="1" applyAlignment="1">
      <alignment horizontal="center" vertical="top"/>
    </xf>
    <xf numFmtId="0" fontId="13" fillId="0" borderId="0" xfId="1" applyFont="1" applyAlignment="1">
      <alignment horizontal="right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9" fillId="0" borderId="0" xfId="1" applyFont="1" applyAlignment="1">
      <alignment horizontal="left" vertical="center"/>
    </xf>
    <xf numFmtId="0" fontId="13" fillId="0" borderId="0" xfId="1" applyFont="1" applyAlignment="1">
      <alignment horizontal="right" vertical="center"/>
    </xf>
    <xf numFmtId="0" fontId="12" fillId="0" borderId="0" xfId="1" applyFont="1" applyBorder="1" applyAlignment="1" applyProtection="1">
      <alignment horizontal="center" vertical="center"/>
      <protection locked="0"/>
    </xf>
    <xf numFmtId="0" fontId="20" fillId="0" borderId="55" xfId="1" applyFont="1" applyBorder="1" applyAlignment="1" applyProtection="1">
      <alignment horizontal="left" vertical="top" wrapText="1"/>
      <protection locked="0"/>
    </xf>
    <xf numFmtId="0" fontId="20" fillId="0" borderId="56" xfId="1" applyFont="1" applyBorder="1" applyAlignment="1" applyProtection="1">
      <alignment horizontal="left" vertical="top" wrapText="1"/>
      <protection locked="0"/>
    </xf>
    <xf numFmtId="0" fontId="20" fillId="0" borderId="60" xfId="1" applyFont="1" applyBorder="1" applyAlignment="1" applyProtection="1">
      <alignment horizontal="left" vertical="top" wrapText="1"/>
      <protection locked="0"/>
    </xf>
    <xf numFmtId="49" fontId="11" fillId="0" borderId="64" xfId="1" applyNumberFormat="1" applyFont="1" applyBorder="1" applyAlignment="1">
      <alignment horizontal="center" vertical="center" wrapText="1"/>
    </xf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178" fontId="14" fillId="2" borderId="0" xfId="1" applyNumberFormat="1" applyFont="1" applyFill="1" applyAlignment="1">
      <alignment horizontal="center" vertical="center"/>
    </xf>
    <xf numFmtId="179" fontId="20" fillId="2" borderId="2" xfId="1" applyNumberFormat="1" applyFont="1" applyFill="1" applyBorder="1" applyAlignment="1">
      <alignment horizontal="center" vertical="center"/>
    </xf>
    <xf numFmtId="179" fontId="20" fillId="2" borderId="4" xfId="1" applyNumberFormat="1" applyFont="1" applyFill="1" applyBorder="1" applyAlignment="1">
      <alignment horizontal="center" vertical="center"/>
    </xf>
    <xf numFmtId="179" fontId="20" fillId="2" borderId="13" xfId="1" applyNumberFormat="1" applyFont="1" applyFill="1" applyBorder="1" applyAlignment="1">
      <alignment horizontal="center" vertical="center"/>
    </xf>
    <xf numFmtId="179" fontId="20" fillId="2" borderId="15" xfId="1" applyNumberFormat="1" applyFont="1" applyFill="1" applyBorder="1" applyAlignment="1">
      <alignment horizontal="center" vertical="center"/>
    </xf>
    <xf numFmtId="179" fontId="20" fillId="2" borderId="14" xfId="1" applyNumberFormat="1" applyFont="1" applyFill="1" applyBorder="1" applyAlignment="1">
      <alignment horizontal="center" vertical="center"/>
    </xf>
    <xf numFmtId="179" fontId="20" fillId="2" borderId="16" xfId="1" applyNumberFormat="1" applyFont="1" applyFill="1" applyBorder="1" applyAlignment="1">
      <alignment horizontal="center" vertical="center"/>
    </xf>
    <xf numFmtId="178" fontId="20" fillId="2" borderId="2" xfId="1" applyNumberFormat="1" applyFont="1" applyFill="1" applyBorder="1" applyAlignment="1">
      <alignment horizontal="center" vertical="center"/>
    </xf>
    <xf numFmtId="178" fontId="20" fillId="2" borderId="4" xfId="1" applyNumberFormat="1" applyFont="1" applyFill="1" applyBorder="1" applyAlignment="1">
      <alignment horizontal="center" vertical="center"/>
    </xf>
    <xf numFmtId="179" fontId="20" fillId="2" borderId="37" xfId="1" applyNumberFormat="1" applyFont="1" applyFill="1" applyBorder="1" applyAlignment="1">
      <alignment horizontal="center" vertical="center"/>
    </xf>
    <xf numFmtId="179" fontId="20" fillId="2" borderId="61" xfId="1" applyNumberFormat="1" applyFont="1" applyFill="1" applyBorder="1" applyAlignment="1">
      <alignment horizontal="center" vertical="center"/>
    </xf>
    <xf numFmtId="179" fontId="20" fillId="2" borderId="40" xfId="1" applyNumberFormat="1" applyFont="1" applyFill="1" applyBorder="1" applyAlignment="1">
      <alignment horizontal="center" vertical="center"/>
    </xf>
    <xf numFmtId="179" fontId="20" fillId="2" borderId="62" xfId="1" applyNumberFormat="1" applyFont="1" applyFill="1" applyBorder="1" applyAlignment="1">
      <alignment horizontal="center" vertical="center"/>
    </xf>
    <xf numFmtId="0" fontId="13" fillId="2" borderId="38" xfId="1" applyFont="1" applyFill="1" applyBorder="1" applyAlignment="1">
      <alignment horizontal="center"/>
    </xf>
    <xf numFmtId="179" fontId="20" fillId="2" borderId="2" xfId="1" applyNumberFormat="1" applyFont="1" applyFill="1" applyBorder="1" applyAlignment="1">
      <alignment horizontal="center" vertical="center" wrapText="1"/>
    </xf>
    <xf numFmtId="179" fontId="20" fillId="2" borderId="4" xfId="1" applyNumberFormat="1" applyFont="1" applyFill="1" applyBorder="1" applyAlignment="1">
      <alignment horizontal="center" vertical="center" wrapText="1"/>
    </xf>
    <xf numFmtId="178" fontId="20" fillId="2" borderId="2" xfId="1" applyNumberFormat="1" applyFont="1" applyFill="1" applyBorder="1" applyAlignment="1">
      <alignment horizontal="center" vertical="center" wrapText="1"/>
    </xf>
    <xf numFmtId="178" fontId="20" fillId="2" borderId="4" xfId="1" applyNumberFormat="1" applyFont="1" applyFill="1" applyBorder="1" applyAlignment="1">
      <alignment horizontal="center" vertical="center" wrapText="1"/>
    </xf>
    <xf numFmtId="179" fontId="20" fillId="2" borderId="13" xfId="1" applyNumberFormat="1" applyFont="1" applyFill="1" applyBorder="1" applyAlignment="1">
      <alignment horizontal="center" vertical="center" wrapText="1"/>
    </xf>
    <xf numFmtId="179" fontId="20" fillId="2" borderId="15" xfId="1" applyNumberFormat="1" applyFont="1" applyFill="1" applyBorder="1" applyAlignment="1">
      <alignment horizontal="center" vertical="center" wrapText="1"/>
    </xf>
    <xf numFmtId="178" fontId="20" fillId="2" borderId="14" xfId="1" applyNumberFormat="1" applyFont="1" applyFill="1" applyBorder="1" applyAlignment="1">
      <alignment horizontal="center" vertical="center"/>
    </xf>
    <xf numFmtId="178" fontId="20" fillId="2" borderId="16" xfId="1" applyNumberFormat="1" applyFont="1" applyFill="1" applyBorder="1" applyAlignment="1">
      <alignment horizontal="center" vertical="center"/>
    </xf>
    <xf numFmtId="179" fontId="20" fillId="2" borderId="14" xfId="1" applyNumberFormat="1" applyFont="1" applyFill="1" applyBorder="1" applyAlignment="1">
      <alignment horizontal="center" vertical="center" wrapText="1"/>
    </xf>
    <xf numFmtId="179" fontId="20" fillId="2" borderId="16" xfId="1" applyNumberFormat="1" applyFont="1" applyFill="1" applyBorder="1" applyAlignment="1">
      <alignment horizontal="center" vertical="center" wrapText="1"/>
    </xf>
    <xf numFmtId="179" fontId="20" fillId="2" borderId="13" xfId="4" applyNumberFormat="1" applyFont="1" applyFill="1" applyBorder="1" applyAlignment="1">
      <alignment horizontal="center" vertical="center" wrapText="1"/>
    </xf>
    <xf numFmtId="179" fontId="20" fillId="2" borderId="15" xfId="4" applyNumberFormat="1" applyFont="1" applyFill="1" applyBorder="1" applyAlignment="1">
      <alignment horizontal="center" vertical="center" wrapText="1"/>
    </xf>
    <xf numFmtId="0" fontId="14" fillId="2" borderId="10" xfId="1" applyFont="1" applyFill="1" applyBorder="1" applyAlignment="1">
      <alignment horizontal="center" vertical="center"/>
    </xf>
    <xf numFmtId="0" fontId="14" fillId="2" borderId="8" xfId="1" applyFont="1" applyFill="1" applyBorder="1" applyAlignment="1">
      <alignment horizontal="center" vertical="center"/>
    </xf>
    <xf numFmtId="0" fontId="14" fillId="2" borderId="9" xfId="1" applyFont="1" applyFill="1" applyBorder="1" applyAlignment="1">
      <alignment horizontal="center" vertical="center"/>
    </xf>
    <xf numFmtId="0" fontId="13" fillId="2" borderId="10" xfId="1" applyFont="1" applyFill="1" applyBorder="1" applyAlignment="1">
      <alignment horizontal="center"/>
    </xf>
    <xf numFmtId="0" fontId="13" fillId="2" borderId="8" xfId="1" applyFont="1" applyFill="1" applyBorder="1" applyAlignment="1">
      <alignment horizontal="center"/>
    </xf>
    <xf numFmtId="0" fontId="13" fillId="2" borderId="9" xfId="1" applyFont="1" applyFill="1" applyBorder="1" applyAlignment="1">
      <alignment horizontal="center"/>
    </xf>
    <xf numFmtId="0" fontId="15" fillId="2" borderId="5" xfId="1" applyFont="1" applyFill="1" applyBorder="1" applyAlignment="1">
      <alignment horizontal="center" vertical="center" wrapText="1"/>
    </xf>
    <xf numFmtId="0" fontId="15" fillId="2" borderId="9" xfId="1" applyFont="1" applyFill="1" applyBorder="1" applyAlignment="1">
      <alignment horizontal="center" vertical="center" wrapText="1"/>
    </xf>
    <xf numFmtId="0" fontId="14" fillId="2" borderId="37" xfId="1" applyFont="1" applyFill="1" applyBorder="1" applyAlignment="1">
      <alignment horizontal="center" vertical="center" wrapText="1"/>
    </xf>
    <xf numFmtId="0" fontId="14" fillId="2" borderId="39" xfId="1" applyFont="1" applyFill="1" applyBorder="1" applyAlignment="1">
      <alignment horizontal="center" vertical="center" wrapText="1"/>
    </xf>
    <xf numFmtId="0" fontId="14" fillId="2" borderId="40" xfId="1" applyFont="1" applyFill="1" applyBorder="1" applyAlignment="1">
      <alignment horizontal="center" vertical="center" wrapText="1"/>
    </xf>
    <xf numFmtId="0" fontId="14" fillId="2" borderId="41" xfId="1" applyFont="1" applyFill="1" applyBorder="1" applyAlignment="1">
      <alignment horizontal="center" vertical="center" wrapText="1"/>
    </xf>
    <xf numFmtId="178" fontId="20" fillId="2" borderId="13" xfId="3" applyNumberFormat="1" applyFont="1" applyFill="1" applyBorder="1" applyAlignment="1">
      <alignment horizontal="center" vertical="center"/>
    </xf>
    <xf numFmtId="178" fontId="20" fillId="2" borderId="15" xfId="3" applyNumberFormat="1" applyFont="1" applyFill="1" applyBorder="1" applyAlignment="1">
      <alignment horizontal="center" vertical="center"/>
    </xf>
    <xf numFmtId="178" fontId="20" fillId="2" borderId="14" xfId="3" applyNumberFormat="1" applyFont="1" applyFill="1" applyBorder="1" applyAlignment="1">
      <alignment horizontal="center" vertical="center"/>
    </xf>
    <xf numFmtId="178" fontId="20" fillId="2" borderId="16" xfId="3" applyNumberFormat="1" applyFont="1" applyFill="1" applyBorder="1" applyAlignment="1">
      <alignment horizontal="center" vertical="center"/>
    </xf>
    <xf numFmtId="0" fontId="20" fillId="2" borderId="2" xfId="1" applyFont="1" applyFill="1" applyBorder="1" applyAlignment="1">
      <alignment horizontal="center" vertical="center"/>
    </xf>
    <xf numFmtId="0" fontId="20" fillId="2" borderId="4" xfId="1" applyFont="1" applyFill="1" applyBorder="1" applyAlignment="1">
      <alignment horizontal="center" vertical="center"/>
    </xf>
    <xf numFmtId="20" fontId="17" fillId="2" borderId="2" xfId="1" applyNumberFormat="1" applyFont="1" applyFill="1" applyBorder="1" applyAlignment="1">
      <alignment horizontal="center" vertical="center"/>
    </xf>
    <xf numFmtId="20" fontId="17" fillId="2" borderId="6" xfId="1" applyNumberFormat="1" applyFont="1" applyFill="1" applyBorder="1" applyAlignment="1">
      <alignment horizontal="center" vertical="center"/>
    </xf>
    <xf numFmtId="20" fontId="17" fillId="2" borderId="4" xfId="1" applyNumberFormat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3" fillId="2" borderId="42" xfId="1" applyFont="1" applyFill="1" applyBorder="1" applyAlignment="1">
      <alignment horizontal="center"/>
    </xf>
    <xf numFmtId="0" fontId="13" fillId="2" borderId="43" xfId="1" applyFont="1" applyFill="1" applyBorder="1" applyAlignment="1">
      <alignment horizontal="center"/>
    </xf>
    <xf numFmtId="0" fontId="13" fillId="2" borderId="44" xfId="1" applyFont="1" applyFill="1" applyBorder="1" applyAlignment="1">
      <alignment horizontal="center"/>
    </xf>
    <xf numFmtId="0" fontId="13" fillId="2" borderId="45" xfId="1" applyFont="1" applyFill="1" applyBorder="1" applyAlignment="1">
      <alignment horizontal="center"/>
    </xf>
    <xf numFmtId="0" fontId="14" fillId="2" borderId="5" xfId="1" applyFont="1" applyFill="1" applyBorder="1" applyAlignment="1">
      <alignment horizontal="center" vertical="center"/>
    </xf>
    <xf numFmtId="0" fontId="17" fillId="2" borderId="40" xfId="1" applyFont="1" applyFill="1" applyBorder="1" applyAlignment="1">
      <alignment horizontal="center" vertical="center"/>
    </xf>
    <xf numFmtId="0" fontId="17" fillId="2" borderId="1" xfId="1" applyFont="1" applyFill="1" applyBorder="1" applyAlignment="1">
      <alignment horizontal="center" vertical="center"/>
    </xf>
    <xf numFmtId="0" fontId="17" fillId="2" borderId="41" xfId="1" applyFont="1" applyFill="1" applyBorder="1" applyAlignment="1">
      <alignment horizontal="center" vertical="center"/>
    </xf>
    <xf numFmtId="0" fontId="20" fillId="2" borderId="37" xfId="1" applyNumberFormat="1" applyFont="1" applyFill="1" applyBorder="1" applyAlignment="1">
      <alignment horizontal="left" vertical="top" wrapText="1"/>
    </xf>
    <xf numFmtId="0" fontId="31" fillId="2" borderId="38" xfId="1" applyNumberFormat="1" applyFont="1" applyFill="1" applyBorder="1" applyAlignment="1">
      <alignment horizontal="left" vertical="top" wrapText="1"/>
    </xf>
    <xf numFmtId="0" fontId="31" fillId="2" borderId="39" xfId="1" applyNumberFormat="1" applyFont="1" applyFill="1" applyBorder="1" applyAlignment="1">
      <alignment horizontal="left" vertical="top" wrapText="1"/>
    </xf>
    <xf numFmtId="0" fontId="31" fillId="2" borderId="18" xfId="1" applyNumberFormat="1" applyFont="1" applyFill="1" applyBorder="1" applyAlignment="1">
      <alignment horizontal="left" vertical="top" wrapText="1"/>
    </xf>
    <xf numFmtId="0" fontId="31" fillId="2" borderId="0" xfId="1" applyNumberFormat="1" applyFont="1" applyFill="1" applyBorder="1" applyAlignment="1">
      <alignment horizontal="left" vertical="top" wrapText="1"/>
    </xf>
    <xf numFmtId="0" fontId="31" fillId="2" borderId="36" xfId="1" applyNumberFormat="1" applyFont="1" applyFill="1" applyBorder="1" applyAlignment="1">
      <alignment horizontal="left" vertical="top" wrapText="1"/>
    </xf>
    <xf numFmtId="0" fontId="31" fillId="2" borderId="40" xfId="1" applyNumberFormat="1" applyFont="1" applyFill="1" applyBorder="1" applyAlignment="1">
      <alignment horizontal="left" vertical="top" wrapText="1"/>
    </xf>
    <xf numFmtId="0" fontId="31" fillId="2" borderId="1" xfId="1" applyNumberFormat="1" applyFont="1" applyFill="1" applyBorder="1" applyAlignment="1">
      <alignment horizontal="left" vertical="top" wrapText="1"/>
    </xf>
    <xf numFmtId="0" fontId="31" fillId="2" borderId="41" xfId="1" applyNumberFormat="1" applyFont="1" applyFill="1" applyBorder="1" applyAlignment="1">
      <alignment horizontal="left" vertical="top" wrapText="1"/>
    </xf>
    <xf numFmtId="20" fontId="17" fillId="2" borderId="3" xfId="1" applyNumberFormat="1" applyFont="1" applyFill="1" applyBorder="1" applyAlignment="1">
      <alignment horizontal="center" vertical="center"/>
    </xf>
    <xf numFmtId="0" fontId="16" fillId="2" borderId="0" xfId="1" applyFont="1" applyFill="1" applyAlignment="1">
      <alignment horizontal="center"/>
    </xf>
    <xf numFmtId="0" fontId="21" fillId="2" borderId="0" xfId="1" applyFont="1" applyFill="1" applyBorder="1" applyAlignment="1">
      <alignment horizontal="center"/>
    </xf>
    <xf numFmtId="31" fontId="13" fillId="2" borderId="1" xfId="1" applyNumberFormat="1" applyFont="1" applyFill="1" applyBorder="1" applyAlignment="1">
      <alignment horizontal="right"/>
    </xf>
  </cellXfs>
  <cellStyles count="23">
    <cellStyle name="一般" xfId="0" builtinId="0"/>
    <cellStyle name="一般 2" xfId="1"/>
    <cellStyle name="一般 2 2" xfId="6"/>
    <cellStyle name="一般 3" xfId="2"/>
    <cellStyle name="千分位 2" xfId="3"/>
    <cellStyle name="千分位 2 2" xfId="7"/>
    <cellStyle name="千分位 2 2 2" xfId="9"/>
    <cellStyle name="千分位 2 2 2 2" xfId="13"/>
    <cellStyle name="千分位 2 2 2 2 2" xfId="21"/>
    <cellStyle name="千分位 2 2 2 3" xfId="17"/>
    <cellStyle name="千分位 2 2 3" xfId="11"/>
    <cellStyle name="千分位 2 2 3 2" xfId="19"/>
    <cellStyle name="千分位 2 2 4" xfId="15"/>
    <cellStyle name="百分比 2" xfId="5"/>
    <cellStyle name="貨幣 2" xfId="4"/>
    <cellStyle name="貨幣 2 2" xfId="8"/>
    <cellStyle name="貨幣 2 2 2" xfId="10"/>
    <cellStyle name="貨幣 2 2 2 2" xfId="14"/>
    <cellStyle name="貨幣 2 2 2 2 2" xfId="22"/>
    <cellStyle name="貨幣 2 2 2 3" xfId="18"/>
    <cellStyle name="貨幣 2 2 3" xfId="12"/>
    <cellStyle name="貨幣 2 2 3 2" xfId="20"/>
    <cellStyle name="貨幣 2 2 4" xfId="16"/>
  </cellStyles>
  <dxfs count="268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30480</xdr:colOff>
          <xdr:row>15</xdr:row>
          <xdr:rowOff>198120</xdr:rowOff>
        </xdr:from>
        <xdr:to>
          <xdr:col>15</xdr:col>
          <xdr:colOff>274320</xdr:colOff>
          <xdr:row>22</xdr:row>
          <xdr:rowOff>426720</xdr:rowOff>
        </xdr:to>
        <xdr:sp macro="" textlink="">
          <xdr:nvSpPr>
            <xdr:cNvPr id="2247681" name="CommandButton1" hidden="1">
              <a:extLst>
                <a:ext uri="{63B3BB69-23CF-44E3-9099-C40C66FF867C}">
                  <a14:compatExt spid="_x0000_s2247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</xdr:colOff>
          <xdr:row>25</xdr:row>
          <xdr:rowOff>60960</xdr:rowOff>
        </xdr:from>
        <xdr:to>
          <xdr:col>15</xdr:col>
          <xdr:colOff>327660</xdr:colOff>
          <xdr:row>31</xdr:row>
          <xdr:rowOff>259080</xdr:rowOff>
        </xdr:to>
        <xdr:sp macro="" textlink="">
          <xdr:nvSpPr>
            <xdr:cNvPr id="2247682" name="CommandButton2" hidden="1">
              <a:extLst>
                <a:ext uri="{63B3BB69-23CF-44E3-9099-C40C66FF867C}">
                  <a14:compatExt spid="_x0000_s2247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59329" name="Button 1" hidden="1">
              <a:extLst>
                <a:ext uri="{63B3BB69-23CF-44E3-9099-C40C66FF867C}">
                  <a14:compatExt spid="_x0000_s2659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61377" name="Button 1" hidden="1">
              <a:extLst>
                <a:ext uri="{63B3BB69-23CF-44E3-9099-C40C66FF867C}">
                  <a14:compatExt spid="_x0000_s266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62401" name="Button 1" hidden="1">
              <a:extLst>
                <a:ext uri="{63B3BB69-23CF-44E3-9099-C40C66FF867C}">
                  <a14:compatExt spid="_x0000_s266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64449" name="Button 1" hidden="1">
              <a:extLst>
                <a:ext uri="{63B3BB69-23CF-44E3-9099-C40C66FF867C}">
                  <a14:compatExt spid="_x0000_s2664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65473" name="Button 1" hidden="1">
              <a:extLst>
                <a:ext uri="{63B3BB69-23CF-44E3-9099-C40C66FF867C}">
                  <a14:compatExt spid="_x0000_s2665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66497" name="Button 1" hidden="1">
              <a:extLst>
                <a:ext uri="{63B3BB69-23CF-44E3-9099-C40C66FF867C}">
                  <a14:compatExt spid="_x0000_s2666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67521" name="Button 1" hidden="1">
              <a:extLst>
                <a:ext uri="{63B3BB69-23CF-44E3-9099-C40C66FF867C}">
                  <a14:compatExt spid="_x0000_s2667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68545" name="Button 1" hidden="1">
              <a:extLst>
                <a:ext uri="{63B3BB69-23CF-44E3-9099-C40C66FF867C}">
                  <a14:compatExt spid="_x0000_s2668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70593" name="Button 1" hidden="1">
              <a:extLst>
                <a:ext uri="{63B3BB69-23CF-44E3-9099-C40C66FF867C}">
                  <a14:compatExt spid="_x0000_s2670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72641" name="Button 1" hidden="1">
              <a:extLst>
                <a:ext uri="{63B3BB69-23CF-44E3-9099-C40C66FF867C}">
                  <a14:compatExt spid="_x0000_s2672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73665" name="Button 1" hidden="1">
              <a:extLst>
                <a:ext uri="{63B3BB69-23CF-44E3-9099-C40C66FF867C}">
                  <a14:compatExt spid="_x0000_s2673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74689" name="Button 1" hidden="1">
              <a:extLst>
                <a:ext uri="{63B3BB69-23CF-44E3-9099-C40C66FF867C}">
                  <a14:compatExt spid="_x0000_s2674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75713" name="Button 1" hidden="1">
              <a:extLst>
                <a:ext uri="{63B3BB69-23CF-44E3-9099-C40C66FF867C}">
                  <a14:compatExt spid="_x0000_s2675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76737" name="Button 1" hidden="1">
              <a:extLst>
                <a:ext uri="{63B3BB69-23CF-44E3-9099-C40C66FF867C}">
                  <a14:compatExt spid="_x0000_s2676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78785" name="Button 1" hidden="1">
              <a:extLst>
                <a:ext uri="{63B3BB69-23CF-44E3-9099-C40C66FF867C}">
                  <a14:compatExt spid="_x0000_s2678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79809" name="Button 1" hidden="1">
              <a:extLst>
                <a:ext uri="{63B3BB69-23CF-44E3-9099-C40C66FF867C}">
                  <a14:compatExt spid="_x0000_s2679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81857" name="Button 1" hidden="1">
              <a:extLst>
                <a:ext uri="{63B3BB69-23CF-44E3-9099-C40C66FF867C}">
                  <a14:compatExt spid="_x0000_s268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82881" name="Button 1" hidden="1">
              <a:extLst>
                <a:ext uri="{63B3BB69-23CF-44E3-9099-C40C66FF867C}">
                  <a14:compatExt spid="_x0000_s2682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83905" name="Button 1" hidden="1">
              <a:extLst>
                <a:ext uri="{63B3BB69-23CF-44E3-9099-C40C66FF867C}">
                  <a14:compatExt spid="_x0000_s2683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84929" name="Button 1" hidden="1">
              <a:extLst>
                <a:ext uri="{63B3BB69-23CF-44E3-9099-C40C66FF867C}">
                  <a14:compatExt spid="_x0000_s2684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685953" name="Button 1" hidden="1">
              <a:extLst>
                <a:ext uri="{63B3BB69-23CF-44E3-9099-C40C66FF867C}">
                  <a14:compatExt spid="_x0000_s2685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取樣回收每月庫存表 0620更新" connectionId="1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.xml><?xml version="1.0" encoding="utf-8"?>
<queryTable xmlns="http://schemas.openxmlformats.org/spreadsheetml/2006/main" name="取樣回收每月庫存表 0620更新" connectionId="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3.xml><?xml version="1.0" encoding="utf-8"?>
<queryTable xmlns="http://schemas.openxmlformats.org/spreadsheetml/2006/main" name="取樣回收每月庫存表 0620更新" connectionId="1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4.xml><?xml version="1.0" encoding="utf-8"?>
<queryTable xmlns="http://schemas.openxmlformats.org/spreadsheetml/2006/main" name="取樣回收每月庫存表 0620更新" connectionId="15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5.xml><?xml version="1.0" encoding="utf-8"?>
<queryTable xmlns="http://schemas.openxmlformats.org/spreadsheetml/2006/main" name="取樣回收每月庫存表 0620更新" connectionId="16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6.xml><?xml version="1.0" encoding="utf-8"?>
<queryTable xmlns="http://schemas.openxmlformats.org/spreadsheetml/2006/main" name="取樣回收每月庫存表 0620更新" connectionId="17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7.xml><?xml version="1.0" encoding="utf-8"?>
<queryTable xmlns="http://schemas.openxmlformats.org/spreadsheetml/2006/main" name="取樣回收每月庫存表 0620更新" connectionId="18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8.xml><?xml version="1.0" encoding="utf-8"?>
<queryTable xmlns="http://schemas.openxmlformats.org/spreadsheetml/2006/main" name="取樣回收每月庫存表 0620更新" connectionId="19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9.xml><?xml version="1.0" encoding="utf-8"?>
<queryTable xmlns="http://schemas.openxmlformats.org/spreadsheetml/2006/main" name="取樣回收每月庫存表 0620更新" connectionId="20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0.xml><?xml version="1.0" encoding="utf-8"?>
<queryTable xmlns="http://schemas.openxmlformats.org/spreadsheetml/2006/main" name="取樣回收每月庫存表 0620更新" connectionId="2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1.xml><?xml version="1.0" encoding="utf-8"?>
<queryTable xmlns="http://schemas.openxmlformats.org/spreadsheetml/2006/main" name="取樣回收每月庫存表 0620更新" connectionId="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2.xml><?xml version="1.0" encoding="utf-8"?>
<queryTable xmlns="http://schemas.openxmlformats.org/spreadsheetml/2006/main" name="取樣回收每月庫存表 0620更新" connectionId="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3.xml><?xml version="1.0" encoding="utf-8"?>
<queryTable xmlns="http://schemas.openxmlformats.org/spreadsheetml/2006/main" name="取樣回收每月庫存表 0620更新" connectionId="4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4.xml><?xml version="1.0" encoding="utf-8"?>
<queryTable xmlns="http://schemas.openxmlformats.org/spreadsheetml/2006/main" name="取樣回收每月庫存表 0620更新" connectionId="5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5.xml><?xml version="1.0" encoding="utf-8"?>
<queryTable xmlns="http://schemas.openxmlformats.org/spreadsheetml/2006/main" name="取樣回收每月庫存表 0620更新" connectionId="6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6.xml><?xml version="1.0" encoding="utf-8"?>
<queryTable xmlns="http://schemas.openxmlformats.org/spreadsheetml/2006/main" name="取樣回收每月庫存表 0620更新" connectionId="7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7.xml><?xml version="1.0" encoding="utf-8"?>
<queryTable xmlns="http://schemas.openxmlformats.org/spreadsheetml/2006/main" name="取樣回收每月庫存表 0620更新" connectionId="8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8.xml><?xml version="1.0" encoding="utf-8"?>
<queryTable xmlns="http://schemas.openxmlformats.org/spreadsheetml/2006/main" name="取樣回收每月庫存表 0620更新" connectionId="9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9.xml><?xml version="1.0" encoding="utf-8"?>
<queryTable xmlns="http://schemas.openxmlformats.org/spreadsheetml/2006/main" name="取樣回收每月庫存表 0620更新" connectionId="10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0.xml><?xml version="1.0" encoding="utf-8"?>
<queryTable xmlns="http://schemas.openxmlformats.org/spreadsheetml/2006/main" name="取樣回收每月庫存表 0620更新" connectionId="1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1.xml><?xml version="1.0" encoding="utf-8"?>
<queryTable xmlns="http://schemas.openxmlformats.org/spreadsheetml/2006/main" name="取樣回收每月庫存表 0620更新" connectionId="14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table1.xml><?xml version="1.0" encoding="utf-8"?>
<table xmlns="http://schemas.openxmlformats.org/spreadsheetml/2006/main" id="2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0" ref="AG13:BH189" tableType="queryTable" totalsRowShown="0" headerRowDxfId="2589" dataDxfId="2588" headerRowCellStyle="一般 2" dataCellStyle="一般 2">
  <autoFilter ref="AG13:BH189"/>
  <tableColumns count="28">
    <tableColumn id="1" uniqueName="1" name="請直接以10進位，謝謝" queryTableFieldId="1" dataDxfId="2587" dataCellStyle="一般 2"/>
    <tableColumn id="2" uniqueName="2" name="F2" queryTableFieldId="2" dataDxfId="2586" dataCellStyle="一般 2"/>
    <tableColumn id="3" uniqueName="3" name="F3" queryTableFieldId="3" dataDxfId="2585" dataCellStyle="一般 2"/>
    <tableColumn id="4" uniqueName="4" name="F4" queryTableFieldId="4" dataDxfId="2584" dataCellStyle="一般 2"/>
    <tableColumn id="5" uniqueName="5" name="F5" queryTableFieldId="5" dataDxfId="2583" dataCellStyle="一般 2"/>
    <tableColumn id="6" uniqueName="6" name="F6" queryTableFieldId="6" dataDxfId="2582" dataCellStyle="一般 2"/>
    <tableColumn id="7" uniqueName="7" name="F7" queryTableFieldId="7" dataDxfId="2581" dataCellStyle="一般 2"/>
    <tableColumn id="8" uniqueName="8" name="F8" queryTableFieldId="8" dataDxfId="2580" dataCellStyle="一般 2"/>
    <tableColumn id="9" uniqueName="9" name="F9" queryTableFieldId="9" dataDxfId="2579" dataCellStyle="一般 2"/>
    <tableColumn id="10" uniqueName="10" name="F10" queryTableFieldId="10" dataDxfId="2578" dataCellStyle="一般 2"/>
    <tableColumn id="11" uniqueName="11" name="F11" queryTableFieldId="11" dataDxfId="2577" dataCellStyle="一般 2"/>
    <tableColumn id="12" uniqueName="12" name="F12" queryTableFieldId="12" dataDxfId="2576" dataCellStyle="一般 2"/>
    <tableColumn id="13" uniqueName="13" name="F13" queryTableFieldId="13" dataDxfId="2575" dataCellStyle="一般 2"/>
    <tableColumn id="14" uniqueName="14" name="F14" queryTableFieldId="14" dataDxfId="2574" dataCellStyle="一般 2"/>
    <tableColumn id="15" uniqueName="15" name="F15" queryTableFieldId="15" dataDxfId="2573" dataCellStyle="一般 2"/>
    <tableColumn id="16" uniqueName="16" name="F16" queryTableFieldId="16" dataDxfId="2572" dataCellStyle="一般 2"/>
    <tableColumn id="17" uniqueName="17" name="F17" queryTableFieldId="17" dataDxfId="2571" dataCellStyle="一般 2"/>
    <tableColumn id="18" uniqueName="18" name="F18" queryTableFieldId="18" dataDxfId="2570" dataCellStyle="一般 2"/>
    <tableColumn id="19" uniqueName="19" name="F19" queryTableFieldId="19" dataDxfId="2569" dataCellStyle="一般 2"/>
    <tableColumn id="20" uniqueName="20" name="F20" queryTableFieldId="20" dataDxfId="2568" dataCellStyle="一般 2"/>
    <tableColumn id="21" uniqueName="21" name="F21" queryTableFieldId="21" dataDxfId="2567" dataCellStyle="一般 2"/>
    <tableColumn id="22" uniqueName="22" name="2024/6/24 14:52" queryTableFieldId="22" dataDxfId="2566" dataCellStyle="一般 2"/>
    <tableColumn id="23" uniqueName="23" name="F23" queryTableFieldId="23" dataDxfId="2565" dataCellStyle="一般 2"/>
    <tableColumn id="24" uniqueName="24" name="F24" queryTableFieldId="24" dataDxfId="2564" dataCellStyle="一般 2"/>
    <tableColumn id="25" uniqueName="25" name="F25" queryTableFieldId="25" dataDxfId="2563" dataCellStyle="一般 2"/>
    <tableColumn id="26" uniqueName="26" name="F26" queryTableFieldId="26" dataDxfId="2562" dataCellStyle="一般 2"/>
    <tableColumn id="27" uniqueName="27" name="F27" queryTableFieldId="27" dataDxfId="2561" dataCellStyle="一般 2"/>
    <tableColumn id="28" uniqueName="28" name="F28" queryTableFieldId="28" dataDxfId="2560" dataCellStyle="一般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2" ref="AG13:BH189" tableType="queryTable" totalsRowShown="0" headerRowDxfId="2461" dataDxfId="2460" headerRowCellStyle="一般 2" dataCellStyle="一般 2">
  <autoFilter ref="AG13:BH189"/>
  <tableColumns count="28">
    <tableColumn id="1" uniqueName="1" name="請直接以10進位，謝謝" queryTableFieldId="1" dataDxfId="2459" dataCellStyle="一般 2"/>
    <tableColumn id="2" uniqueName="2" name="F2" queryTableFieldId="2" dataDxfId="2458" dataCellStyle="一般 2"/>
    <tableColumn id="3" uniqueName="3" name="F3" queryTableFieldId="3" dataDxfId="2457" dataCellStyle="一般 2"/>
    <tableColumn id="4" uniqueName="4" name="F4" queryTableFieldId="4" dataDxfId="2456" dataCellStyle="一般 2"/>
    <tableColumn id="5" uniqueName="5" name="F5" queryTableFieldId="5" dataDxfId="2455" dataCellStyle="一般 2"/>
    <tableColumn id="6" uniqueName="6" name="F6" queryTableFieldId="6" dataDxfId="2454" dataCellStyle="一般 2"/>
    <tableColumn id="7" uniqueName="7" name="F7" queryTableFieldId="7" dataDxfId="2453" dataCellStyle="一般 2"/>
    <tableColumn id="8" uniqueName="8" name="F8" queryTableFieldId="8" dataDxfId="2452" dataCellStyle="一般 2"/>
    <tableColumn id="9" uniqueName="9" name="F9" queryTableFieldId="9" dataDxfId="2451" dataCellStyle="一般 2"/>
    <tableColumn id="10" uniqueName="10" name="F10" queryTableFieldId="10" dataDxfId="2450" dataCellStyle="一般 2"/>
    <tableColumn id="11" uniqueName="11" name="F11" queryTableFieldId="11" dataDxfId="2449" dataCellStyle="一般 2"/>
    <tableColumn id="12" uniqueName="12" name="F12" queryTableFieldId="12" dataDxfId="2448" dataCellStyle="一般 2"/>
    <tableColumn id="13" uniqueName="13" name="F13" queryTableFieldId="13" dataDxfId="2447" dataCellStyle="一般 2"/>
    <tableColumn id="14" uniqueName="14" name="F14" queryTableFieldId="14" dataDxfId="2446" dataCellStyle="一般 2"/>
    <tableColumn id="15" uniqueName="15" name="F15" queryTableFieldId="15" dataDxfId="2445" dataCellStyle="一般 2"/>
    <tableColumn id="16" uniqueName="16" name="F16" queryTableFieldId="16" dataDxfId="2444" dataCellStyle="一般 2"/>
    <tableColumn id="17" uniqueName="17" name="F17" queryTableFieldId="17" dataDxfId="2443" dataCellStyle="一般 2"/>
    <tableColumn id="18" uniqueName="18" name="F18" queryTableFieldId="18" dataDxfId="2442" dataCellStyle="一般 2"/>
    <tableColumn id="19" uniqueName="19" name="F19" queryTableFieldId="19" dataDxfId="2441" dataCellStyle="一般 2"/>
    <tableColumn id="20" uniqueName="20" name="F20" queryTableFieldId="20" dataDxfId="2440" dataCellStyle="一般 2"/>
    <tableColumn id="21" uniqueName="21" name="F21" queryTableFieldId="21" dataDxfId="2439" dataCellStyle="一般 2"/>
    <tableColumn id="22" uniqueName="22" name="2024/6/24 14:52" queryTableFieldId="22" dataDxfId="2438" dataCellStyle="一般 2"/>
    <tableColumn id="23" uniqueName="23" name="F23" queryTableFieldId="23" dataDxfId="2437" dataCellStyle="一般 2"/>
    <tableColumn id="24" uniqueName="24" name="F24" queryTableFieldId="24" dataDxfId="2436" dataCellStyle="一般 2"/>
    <tableColumn id="25" uniqueName="25" name="F25" queryTableFieldId="25" dataDxfId="2435" dataCellStyle="一般 2"/>
    <tableColumn id="26" uniqueName="26" name="F26" queryTableFieldId="26" dataDxfId="2434" dataCellStyle="一般 2"/>
    <tableColumn id="27" uniqueName="27" name="F27" queryTableFieldId="27" dataDxfId="2433" dataCellStyle="一般 2"/>
    <tableColumn id="28" uniqueName="28" name="F28" queryTableFieldId="28" dataDxfId="2432" dataCellStyle="一般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3" ref="AG13:BH189" tableType="queryTable" totalsRowShown="0" headerRowDxfId="2333" dataDxfId="2332" headerRowCellStyle="一般 2" dataCellStyle="一般 2">
  <autoFilter ref="AG13:BH189"/>
  <tableColumns count="28">
    <tableColumn id="1" uniqueName="1" name="請直接以10進位，謝謝" queryTableFieldId="1" dataDxfId="2331" dataCellStyle="一般 2"/>
    <tableColumn id="2" uniqueName="2" name="F2" queryTableFieldId="2" dataDxfId="2330" dataCellStyle="一般 2"/>
    <tableColumn id="3" uniqueName="3" name="F3" queryTableFieldId="3" dataDxfId="2329" dataCellStyle="一般 2"/>
    <tableColumn id="4" uniqueName="4" name="F4" queryTableFieldId="4" dataDxfId="2328" dataCellStyle="一般 2"/>
    <tableColumn id="5" uniqueName="5" name="F5" queryTableFieldId="5" dataDxfId="2327" dataCellStyle="一般 2"/>
    <tableColumn id="6" uniqueName="6" name="F6" queryTableFieldId="6" dataDxfId="2326" dataCellStyle="一般 2"/>
    <tableColumn id="7" uniqueName="7" name="F7" queryTableFieldId="7" dataDxfId="2325" dataCellStyle="一般 2"/>
    <tableColumn id="8" uniqueName="8" name="F8" queryTableFieldId="8" dataDxfId="2324" dataCellStyle="一般 2"/>
    <tableColumn id="9" uniqueName="9" name="F9" queryTableFieldId="9" dataDxfId="2323" dataCellStyle="一般 2"/>
    <tableColumn id="10" uniqueName="10" name="F10" queryTableFieldId="10" dataDxfId="2322" dataCellStyle="一般 2"/>
    <tableColumn id="11" uniqueName="11" name="F11" queryTableFieldId="11" dataDxfId="2321" dataCellStyle="一般 2"/>
    <tableColumn id="12" uniqueName="12" name="F12" queryTableFieldId="12" dataDxfId="2320" dataCellStyle="一般 2"/>
    <tableColumn id="13" uniqueName="13" name="F13" queryTableFieldId="13" dataDxfId="2319" dataCellStyle="一般 2"/>
    <tableColumn id="14" uniqueName="14" name="F14" queryTableFieldId="14" dataDxfId="2318" dataCellStyle="一般 2"/>
    <tableColumn id="15" uniqueName="15" name="F15" queryTableFieldId="15" dataDxfId="2317" dataCellStyle="一般 2"/>
    <tableColumn id="16" uniqueName="16" name="F16" queryTableFieldId="16" dataDxfId="2316" dataCellStyle="一般 2"/>
    <tableColumn id="17" uniqueName="17" name="F17" queryTableFieldId="17" dataDxfId="2315" dataCellStyle="一般 2"/>
    <tableColumn id="18" uniqueName="18" name="F18" queryTableFieldId="18" dataDxfId="2314" dataCellStyle="一般 2"/>
    <tableColumn id="19" uniqueName="19" name="F19" queryTableFieldId="19" dataDxfId="2313" dataCellStyle="一般 2"/>
    <tableColumn id="20" uniqueName="20" name="F20" queryTableFieldId="20" dataDxfId="2312" dataCellStyle="一般 2"/>
    <tableColumn id="21" uniqueName="21" name="F21" queryTableFieldId="21" dataDxfId="2311" dataCellStyle="一般 2"/>
    <tableColumn id="22" uniqueName="22" name="2024/6/24 14:52" queryTableFieldId="22" dataDxfId="2310" dataCellStyle="一般 2"/>
    <tableColumn id="23" uniqueName="23" name="F23" queryTableFieldId="23" dataDxfId="2309" dataCellStyle="一般 2"/>
    <tableColumn id="24" uniqueName="24" name="F24" queryTableFieldId="24" dataDxfId="2308" dataCellStyle="一般 2"/>
    <tableColumn id="25" uniqueName="25" name="F25" queryTableFieldId="25" dataDxfId="2307" dataCellStyle="一般 2"/>
    <tableColumn id="26" uniqueName="26" name="F26" queryTableFieldId="26" dataDxfId="2306" dataCellStyle="一般 2"/>
    <tableColumn id="27" uniqueName="27" name="F27" queryTableFieldId="27" dataDxfId="2305" dataCellStyle="一般 2"/>
    <tableColumn id="28" uniqueName="28" name="F28" queryTableFieldId="28" dataDxfId="2304" dataCellStyle="一般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4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4" ref="AG13:BH189" tableType="queryTable" totalsRowShown="0" headerRowDxfId="2205" dataDxfId="2204" headerRowCellStyle="一般 2" dataCellStyle="一般 2">
  <autoFilter ref="AG13:BH189"/>
  <tableColumns count="28">
    <tableColumn id="1" uniqueName="1" name="請直接以10進位，謝謝" queryTableFieldId="1" dataDxfId="2203" dataCellStyle="一般 2"/>
    <tableColumn id="2" uniqueName="2" name="F2" queryTableFieldId="2" dataDxfId="2202" dataCellStyle="一般 2"/>
    <tableColumn id="3" uniqueName="3" name="F3" queryTableFieldId="3" dataDxfId="2201" dataCellStyle="一般 2"/>
    <tableColumn id="4" uniqueName="4" name="F4" queryTableFieldId="4" dataDxfId="2200" dataCellStyle="一般 2"/>
    <tableColumn id="5" uniqueName="5" name="F5" queryTableFieldId="5" dataDxfId="2199" dataCellStyle="一般 2"/>
    <tableColumn id="6" uniqueName="6" name="F6" queryTableFieldId="6" dataDxfId="2198" dataCellStyle="一般 2"/>
    <tableColumn id="7" uniqueName="7" name="F7" queryTableFieldId="7" dataDxfId="2197" dataCellStyle="一般 2"/>
    <tableColumn id="8" uniqueName="8" name="F8" queryTableFieldId="8" dataDxfId="2196" dataCellStyle="一般 2"/>
    <tableColumn id="9" uniqueName="9" name="F9" queryTableFieldId="9" dataDxfId="2195" dataCellStyle="一般 2"/>
    <tableColumn id="10" uniqueName="10" name="F10" queryTableFieldId="10" dataDxfId="2194" dataCellStyle="一般 2"/>
    <tableColumn id="11" uniqueName="11" name="F11" queryTableFieldId="11" dataDxfId="2193" dataCellStyle="一般 2"/>
    <tableColumn id="12" uniqueName="12" name="F12" queryTableFieldId="12" dataDxfId="2192" dataCellStyle="一般 2"/>
    <tableColumn id="13" uniqueName="13" name="F13" queryTableFieldId="13" dataDxfId="2191" dataCellStyle="一般 2"/>
    <tableColumn id="14" uniqueName="14" name="F14" queryTableFieldId="14" dataDxfId="2190" dataCellStyle="一般 2"/>
    <tableColumn id="15" uniqueName="15" name="F15" queryTableFieldId="15" dataDxfId="2189" dataCellStyle="一般 2"/>
    <tableColumn id="16" uniqueName="16" name="F16" queryTableFieldId="16" dataDxfId="2188" dataCellStyle="一般 2"/>
    <tableColumn id="17" uniqueName="17" name="F17" queryTableFieldId="17" dataDxfId="2187" dataCellStyle="一般 2"/>
    <tableColumn id="18" uniqueName="18" name="F18" queryTableFieldId="18" dataDxfId="2186" dataCellStyle="一般 2"/>
    <tableColumn id="19" uniqueName="19" name="F19" queryTableFieldId="19" dataDxfId="2185" dataCellStyle="一般 2"/>
    <tableColumn id="20" uniqueName="20" name="F20" queryTableFieldId="20" dataDxfId="2184" dataCellStyle="一般 2"/>
    <tableColumn id="21" uniqueName="21" name="F21" queryTableFieldId="21" dataDxfId="2183" dataCellStyle="一般 2"/>
    <tableColumn id="22" uniqueName="22" name="2024/6/24 14:52" queryTableFieldId="22" dataDxfId="2182" dataCellStyle="一般 2"/>
    <tableColumn id="23" uniqueName="23" name="F23" queryTableFieldId="23" dataDxfId="2181" dataCellStyle="一般 2"/>
    <tableColumn id="24" uniqueName="24" name="F24" queryTableFieldId="24" dataDxfId="2180" dataCellStyle="一般 2"/>
    <tableColumn id="25" uniqueName="25" name="F25" queryTableFieldId="25" dataDxfId="2179" dataCellStyle="一般 2"/>
    <tableColumn id="26" uniqueName="26" name="F26" queryTableFieldId="26" dataDxfId="2178" dataCellStyle="一般 2"/>
    <tableColumn id="27" uniqueName="27" name="F27" queryTableFieldId="27" dataDxfId="2177" dataCellStyle="一般 2"/>
    <tableColumn id="28" uniqueName="28" name="F28" queryTableFieldId="28" dataDxfId="2176" dataCellStyle="一般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5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5" ref="AG13:BH189" tableType="queryTable" totalsRowShown="0" headerRowDxfId="2077" dataDxfId="2076" headerRowCellStyle="一般 2" dataCellStyle="一般 2">
  <autoFilter ref="AG13:BH189"/>
  <tableColumns count="28">
    <tableColumn id="1" uniqueName="1" name="請直接以10進位，謝謝" queryTableFieldId="1" dataDxfId="2075" dataCellStyle="一般 2"/>
    <tableColumn id="2" uniqueName="2" name="F2" queryTableFieldId="2" dataDxfId="2074" dataCellStyle="一般 2"/>
    <tableColumn id="3" uniqueName="3" name="F3" queryTableFieldId="3" dataDxfId="2073" dataCellStyle="一般 2"/>
    <tableColumn id="4" uniqueName="4" name="F4" queryTableFieldId="4" dataDxfId="2072" dataCellStyle="一般 2"/>
    <tableColumn id="5" uniqueName="5" name="F5" queryTableFieldId="5" dataDxfId="2071" dataCellStyle="一般 2"/>
    <tableColumn id="6" uniqueName="6" name="F6" queryTableFieldId="6" dataDxfId="2070" dataCellStyle="一般 2"/>
    <tableColumn id="7" uniqueName="7" name="F7" queryTableFieldId="7" dataDxfId="2069" dataCellStyle="一般 2"/>
    <tableColumn id="8" uniqueName="8" name="F8" queryTableFieldId="8" dataDxfId="2068" dataCellStyle="一般 2"/>
    <tableColumn id="9" uniqueName="9" name="F9" queryTableFieldId="9" dataDxfId="2067" dataCellStyle="一般 2"/>
    <tableColumn id="10" uniqueName="10" name="F10" queryTableFieldId="10" dataDxfId="2066" dataCellStyle="一般 2"/>
    <tableColumn id="11" uniqueName="11" name="F11" queryTableFieldId="11" dataDxfId="2065" dataCellStyle="一般 2"/>
    <tableColumn id="12" uniqueName="12" name="F12" queryTableFieldId="12" dataDxfId="2064" dataCellStyle="一般 2"/>
    <tableColumn id="13" uniqueName="13" name="F13" queryTableFieldId="13" dataDxfId="2063" dataCellStyle="一般 2"/>
    <tableColumn id="14" uniqueName="14" name="F14" queryTableFieldId="14" dataDxfId="2062" dataCellStyle="一般 2"/>
    <tableColumn id="15" uniqueName="15" name="F15" queryTableFieldId="15" dataDxfId="2061" dataCellStyle="一般 2"/>
    <tableColumn id="16" uniqueName="16" name="F16" queryTableFieldId="16" dataDxfId="2060" dataCellStyle="一般 2"/>
    <tableColumn id="17" uniqueName="17" name="F17" queryTableFieldId="17" dataDxfId="2059" dataCellStyle="一般 2"/>
    <tableColumn id="18" uniqueName="18" name="F18" queryTableFieldId="18" dataDxfId="2058" dataCellStyle="一般 2"/>
    <tableColumn id="19" uniqueName="19" name="F19" queryTableFieldId="19" dataDxfId="2057" dataCellStyle="一般 2"/>
    <tableColumn id="20" uniqueName="20" name="F20" queryTableFieldId="20" dataDxfId="2056" dataCellStyle="一般 2"/>
    <tableColumn id="21" uniqueName="21" name="F21" queryTableFieldId="21" dataDxfId="2055" dataCellStyle="一般 2"/>
    <tableColumn id="22" uniqueName="22" name="2024/6/24 14:52" queryTableFieldId="22" dataDxfId="2054" dataCellStyle="一般 2"/>
    <tableColumn id="23" uniqueName="23" name="F23" queryTableFieldId="23" dataDxfId="2053" dataCellStyle="一般 2"/>
    <tableColumn id="24" uniqueName="24" name="F24" queryTableFieldId="24" dataDxfId="2052" dataCellStyle="一般 2"/>
    <tableColumn id="25" uniqueName="25" name="F25" queryTableFieldId="25" dataDxfId="2051" dataCellStyle="一般 2"/>
    <tableColumn id="26" uniqueName="26" name="F26" queryTableFieldId="26" dataDxfId="2050" dataCellStyle="一般 2"/>
    <tableColumn id="27" uniqueName="27" name="F27" queryTableFieldId="27" dataDxfId="2049" dataCellStyle="一般 2"/>
    <tableColumn id="28" uniqueName="28" name="F28" queryTableFieldId="28" dataDxfId="2048" dataCellStyle="一般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6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6" ref="AG13:BH189" tableType="queryTable" totalsRowShown="0" headerRowDxfId="1949" dataDxfId="1948" headerRowCellStyle="一般 2" dataCellStyle="一般 2">
  <autoFilter ref="AG13:BH189"/>
  <tableColumns count="28">
    <tableColumn id="1" uniqueName="1" name="請直接以10進位，謝謝" queryTableFieldId="1" dataDxfId="1947" dataCellStyle="一般 2"/>
    <tableColumn id="2" uniqueName="2" name="F2" queryTableFieldId="2" dataDxfId="1946" dataCellStyle="一般 2"/>
    <tableColumn id="3" uniqueName="3" name="F3" queryTableFieldId="3" dataDxfId="1945" dataCellStyle="一般 2"/>
    <tableColumn id="4" uniqueName="4" name="F4" queryTableFieldId="4" dataDxfId="1944" dataCellStyle="一般 2"/>
    <tableColumn id="5" uniqueName="5" name="F5" queryTableFieldId="5" dataDxfId="1943" dataCellStyle="一般 2"/>
    <tableColumn id="6" uniqueName="6" name="F6" queryTableFieldId="6" dataDxfId="1942" dataCellStyle="一般 2"/>
    <tableColumn id="7" uniqueName="7" name="F7" queryTableFieldId="7" dataDxfId="1941" dataCellStyle="一般 2"/>
    <tableColumn id="8" uniqueName="8" name="F8" queryTableFieldId="8" dataDxfId="1940" dataCellStyle="一般 2"/>
    <tableColumn id="9" uniqueName="9" name="F9" queryTableFieldId="9" dataDxfId="1939" dataCellStyle="一般 2"/>
    <tableColumn id="10" uniqueName="10" name="F10" queryTableFieldId="10" dataDxfId="1938" dataCellStyle="一般 2"/>
    <tableColumn id="11" uniqueName="11" name="F11" queryTableFieldId="11" dataDxfId="1937" dataCellStyle="一般 2"/>
    <tableColumn id="12" uniqueName="12" name="F12" queryTableFieldId="12" dataDxfId="1936" dataCellStyle="一般 2"/>
    <tableColumn id="13" uniqueName="13" name="F13" queryTableFieldId="13" dataDxfId="1935" dataCellStyle="一般 2"/>
    <tableColumn id="14" uniqueName="14" name="F14" queryTableFieldId="14" dataDxfId="1934" dataCellStyle="一般 2"/>
    <tableColumn id="15" uniqueName="15" name="F15" queryTableFieldId="15" dataDxfId="1933" dataCellStyle="一般 2"/>
    <tableColumn id="16" uniqueName="16" name="F16" queryTableFieldId="16" dataDxfId="1932" dataCellStyle="一般 2"/>
    <tableColumn id="17" uniqueName="17" name="F17" queryTableFieldId="17" dataDxfId="1931" dataCellStyle="一般 2"/>
    <tableColumn id="18" uniqueName="18" name="F18" queryTableFieldId="18" dataDxfId="1930" dataCellStyle="一般 2"/>
    <tableColumn id="19" uniqueName="19" name="F19" queryTableFieldId="19" dataDxfId="1929" dataCellStyle="一般 2"/>
    <tableColumn id="20" uniqueName="20" name="F20" queryTableFieldId="20" dataDxfId="1928" dataCellStyle="一般 2"/>
    <tableColumn id="21" uniqueName="21" name="F21" queryTableFieldId="21" dataDxfId="1927" dataCellStyle="一般 2"/>
    <tableColumn id="22" uniqueName="22" name="2024/6/24 14:52" queryTableFieldId="22" dataDxfId="1926" dataCellStyle="一般 2"/>
    <tableColumn id="23" uniqueName="23" name="F23" queryTableFieldId="23" dataDxfId="1925" dataCellStyle="一般 2"/>
    <tableColumn id="24" uniqueName="24" name="F24" queryTableFieldId="24" dataDxfId="1924" dataCellStyle="一般 2"/>
    <tableColumn id="25" uniqueName="25" name="F25" queryTableFieldId="25" dataDxfId="1923" dataCellStyle="一般 2"/>
    <tableColumn id="26" uniqueName="26" name="F26" queryTableFieldId="26" dataDxfId="1922" dataCellStyle="一般 2"/>
    <tableColumn id="27" uniqueName="27" name="F27" queryTableFieldId="27" dataDxfId="1921" dataCellStyle="一般 2"/>
    <tableColumn id="28" uniqueName="28" name="F28" queryTableFieldId="28" dataDxfId="1920" dataCellStyle="一般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7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7" ref="AG13:BH189" tableType="queryTable" totalsRowShown="0" headerRowDxfId="1821" dataDxfId="1820" headerRowCellStyle="一般 2" dataCellStyle="一般 2">
  <autoFilter ref="AG13:BH189"/>
  <tableColumns count="28">
    <tableColumn id="1" uniqueName="1" name="請直接以10進位，謝謝" queryTableFieldId="1" dataDxfId="1819" dataCellStyle="一般 2"/>
    <tableColumn id="2" uniqueName="2" name="F2" queryTableFieldId="2" dataDxfId="1818" dataCellStyle="一般 2"/>
    <tableColumn id="3" uniqueName="3" name="F3" queryTableFieldId="3" dataDxfId="1817" dataCellStyle="一般 2"/>
    <tableColumn id="4" uniqueName="4" name="F4" queryTableFieldId="4" dataDxfId="1816" dataCellStyle="一般 2"/>
    <tableColumn id="5" uniqueName="5" name="F5" queryTableFieldId="5" dataDxfId="1815" dataCellStyle="一般 2"/>
    <tableColumn id="6" uniqueName="6" name="F6" queryTableFieldId="6" dataDxfId="1814" dataCellStyle="一般 2"/>
    <tableColumn id="7" uniqueName="7" name="F7" queryTableFieldId="7" dataDxfId="1813" dataCellStyle="一般 2"/>
    <tableColumn id="8" uniqueName="8" name="F8" queryTableFieldId="8" dataDxfId="1812" dataCellStyle="一般 2"/>
    <tableColumn id="9" uniqueName="9" name="F9" queryTableFieldId="9" dataDxfId="1811" dataCellStyle="一般 2"/>
    <tableColumn id="10" uniqueName="10" name="F10" queryTableFieldId="10" dataDxfId="1810" dataCellStyle="一般 2"/>
    <tableColumn id="11" uniqueName="11" name="F11" queryTableFieldId="11" dataDxfId="1809" dataCellStyle="一般 2"/>
    <tableColumn id="12" uniqueName="12" name="F12" queryTableFieldId="12" dataDxfId="1808" dataCellStyle="一般 2"/>
    <tableColumn id="13" uniqueName="13" name="F13" queryTableFieldId="13" dataDxfId="1807" dataCellStyle="一般 2"/>
    <tableColumn id="14" uniqueName="14" name="F14" queryTableFieldId="14" dataDxfId="1806" dataCellStyle="一般 2"/>
    <tableColumn id="15" uniqueName="15" name="F15" queryTableFieldId="15" dataDxfId="1805" dataCellStyle="一般 2"/>
    <tableColumn id="16" uniqueName="16" name="F16" queryTableFieldId="16" dataDxfId="1804" dataCellStyle="一般 2"/>
    <tableColumn id="17" uniqueName="17" name="F17" queryTableFieldId="17" dataDxfId="1803" dataCellStyle="一般 2"/>
    <tableColumn id="18" uniqueName="18" name="F18" queryTableFieldId="18" dataDxfId="1802" dataCellStyle="一般 2"/>
    <tableColumn id="19" uniqueName="19" name="F19" queryTableFieldId="19" dataDxfId="1801" dataCellStyle="一般 2"/>
    <tableColumn id="20" uniqueName="20" name="F20" queryTableFieldId="20" dataDxfId="1800" dataCellStyle="一般 2"/>
    <tableColumn id="21" uniqueName="21" name="F21" queryTableFieldId="21" dataDxfId="1799" dataCellStyle="一般 2"/>
    <tableColumn id="22" uniqueName="22" name="2024/6/24 14:52" queryTableFieldId="22" dataDxfId="1798" dataCellStyle="一般 2"/>
    <tableColumn id="23" uniqueName="23" name="F23" queryTableFieldId="23" dataDxfId="1797" dataCellStyle="一般 2"/>
    <tableColumn id="24" uniqueName="24" name="F24" queryTableFieldId="24" dataDxfId="1796" dataCellStyle="一般 2"/>
    <tableColumn id="25" uniqueName="25" name="F25" queryTableFieldId="25" dataDxfId="1795" dataCellStyle="一般 2"/>
    <tableColumn id="26" uniqueName="26" name="F26" queryTableFieldId="26" dataDxfId="1794" dataCellStyle="一般 2"/>
    <tableColumn id="27" uniqueName="27" name="F27" queryTableFieldId="27" dataDxfId="1793" dataCellStyle="一般 2"/>
    <tableColumn id="28" uniqueName="28" name="F28" queryTableFieldId="28" dataDxfId="1792" dataCellStyle="一般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8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8" ref="AG13:BH189" tableType="queryTable" totalsRowShown="0" headerRowDxfId="1693" dataDxfId="1692" headerRowCellStyle="一般 2" dataCellStyle="一般 2">
  <autoFilter ref="AG13:BH189"/>
  <tableColumns count="28">
    <tableColumn id="1" uniqueName="1" name="請直接以10進位，謝謝" queryTableFieldId="1" dataDxfId="1691" dataCellStyle="一般 2"/>
    <tableColumn id="2" uniqueName="2" name="F2" queryTableFieldId="2" dataDxfId="1690" dataCellStyle="一般 2"/>
    <tableColumn id="3" uniqueName="3" name="F3" queryTableFieldId="3" dataDxfId="1689" dataCellStyle="一般 2"/>
    <tableColumn id="4" uniqueName="4" name="F4" queryTableFieldId="4" dataDxfId="1688" dataCellStyle="一般 2"/>
    <tableColumn id="5" uniqueName="5" name="F5" queryTableFieldId="5" dataDxfId="1687" dataCellStyle="一般 2"/>
    <tableColumn id="6" uniqueName="6" name="F6" queryTableFieldId="6" dataDxfId="1686" dataCellStyle="一般 2"/>
    <tableColumn id="7" uniqueName="7" name="F7" queryTableFieldId="7" dataDxfId="1685" dataCellStyle="一般 2"/>
    <tableColumn id="8" uniqueName="8" name="F8" queryTableFieldId="8" dataDxfId="1684" dataCellStyle="一般 2"/>
    <tableColumn id="9" uniqueName="9" name="F9" queryTableFieldId="9" dataDxfId="1683" dataCellStyle="一般 2"/>
    <tableColumn id="10" uniqueName="10" name="F10" queryTableFieldId="10" dataDxfId="1682" dataCellStyle="一般 2"/>
    <tableColumn id="11" uniqueName="11" name="F11" queryTableFieldId="11" dataDxfId="1681" dataCellStyle="一般 2"/>
    <tableColumn id="12" uniqueName="12" name="F12" queryTableFieldId="12" dataDxfId="1680" dataCellStyle="一般 2"/>
    <tableColumn id="13" uniqueName="13" name="F13" queryTableFieldId="13" dataDxfId="1679" dataCellStyle="一般 2"/>
    <tableColumn id="14" uniqueName="14" name="F14" queryTableFieldId="14" dataDxfId="1678" dataCellStyle="一般 2"/>
    <tableColumn id="15" uniqueName="15" name="F15" queryTableFieldId="15" dataDxfId="1677" dataCellStyle="一般 2"/>
    <tableColumn id="16" uniqueName="16" name="F16" queryTableFieldId="16" dataDxfId="1676" dataCellStyle="一般 2"/>
    <tableColumn id="17" uniqueName="17" name="F17" queryTableFieldId="17" dataDxfId="1675" dataCellStyle="一般 2"/>
    <tableColumn id="18" uniqueName="18" name="F18" queryTableFieldId="18" dataDxfId="1674" dataCellStyle="一般 2"/>
    <tableColumn id="19" uniqueName="19" name="F19" queryTableFieldId="19" dataDxfId="1673" dataCellStyle="一般 2"/>
    <tableColumn id="20" uniqueName="20" name="F20" queryTableFieldId="20" dataDxfId="1672" dataCellStyle="一般 2"/>
    <tableColumn id="21" uniqueName="21" name="F21" queryTableFieldId="21" dataDxfId="1671" dataCellStyle="一般 2"/>
    <tableColumn id="22" uniqueName="22" name="2024/6/24 14:52" queryTableFieldId="22" dataDxfId="1670" dataCellStyle="一般 2"/>
    <tableColumn id="23" uniqueName="23" name="F23" queryTableFieldId="23" dataDxfId="1669" dataCellStyle="一般 2"/>
    <tableColumn id="24" uniqueName="24" name="F24" queryTableFieldId="24" dataDxfId="1668" dataCellStyle="一般 2"/>
    <tableColumn id="25" uniqueName="25" name="F25" queryTableFieldId="25" dataDxfId="1667" dataCellStyle="一般 2"/>
    <tableColumn id="26" uniqueName="26" name="F26" queryTableFieldId="26" dataDxfId="1666" dataCellStyle="一般 2"/>
    <tableColumn id="27" uniqueName="27" name="F27" queryTableFieldId="27" dataDxfId="1665" dataCellStyle="一般 2"/>
    <tableColumn id="28" uniqueName="28" name="F28" queryTableFieldId="28" dataDxfId="1664" dataCellStyle="一般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9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9" ref="AG13:BH189" tableType="queryTable" totalsRowShown="0" headerRowDxfId="1565" dataDxfId="1564" headerRowCellStyle="一般 2" dataCellStyle="一般 2">
  <autoFilter ref="AG13:BH189"/>
  <tableColumns count="28">
    <tableColumn id="1" uniqueName="1" name="請直接以10進位，謝謝" queryTableFieldId="1" dataDxfId="1563" dataCellStyle="一般 2"/>
    <tableColumn id="2" uniqueName="2" name="F2" queryTableFieldId="2" dataDxfId="1562" dataCellStyle="一般 2"/>
    <tableColumn id="3" uniqueName="3" name="F3" queryTableFieldId="3" dataDxfId="1561" dataCellStyle="一般 2"/>
    <tableColumn id="4" uniqueName="4" name="F4" queryTableFieldId="4" dataDxfId="1560" dataCellStyle="一般 2"/>
    <tableColumn id="5" uniqueName="5" name="F5" queryTableFieldId="5" dataDxfId="1559" dataCellStyle="一般 2"/>
    <tableColumn id="6" uniqueName="6" name="F6" queryTableFieldId="6" dataDxfId="1558" dataCellStyle="一般 2"/>
    <tableColumn id="7" uniqueName="7" name="F7" queryTableFieldId="7" dataDxfId="1557" dataCellStyle="一般 2"/>
    <tableColumn id="8" uniqueName="8" name="F8" queryTableFieldId="8" dataDxfId="1556" dataCellStyle="一般 2"/>
    <tableColumn id="9" uniqueName="9" name="F9" queryTableFieldId="9" dataDxfId="1555" dataCellStyle="一般 2"/>
    <tableColumn id="10" uniqueName="10" name="F10" queryTableFieldId="10" dataDxfId="1554" dataCellStyle="一般 2"/>
    <tableColumn id="11" uniqueName="11" name="F11" queryTableFieldId="11" dataDxfId="1553" dataCellStyle="一般 2"/>
    <tableColumn id="12" uniqueName="12" name="F12" queryTableFieldId="12" dataDxfId="1552" dataCellStyle="一般 2"/>
    <tableColumn id="13" uniqueName="13" name="F13" queryTableFieldId="13" dataDxfId="1551" dataCellStyle="一般 2"/>
    <tableColumn id="14" uniqueName="14" name="F14" queryTableFieldId="14" dataDxfId="1550" dataCellStyle="一般 2"/>
    <tableColumn id="15" uniqueName="15" name="F15" queryTableFieldId="15" dataDxfId="1549" dataCellStyle="一般 2"/>
    <tableColumn id="16" uniqueName="16" name="F16" queryTableFieldId="16" dataDxfId="1548" dataCellStyle="一般 2"/>
    <tableColumn id="17" uniqueName="17" name="F17" queryTableFieldId="17" dataDxfId="1547" dataCellStyle="一般 2"/>
    <tableColumn id="18" uniqueName="18" name="F18" queryTableFieldId="18" dataDxfId="1546" dataCellStyle="一般 2"/>
    <tableColumn id="19" uniqueName="19" name="F19" queryTableFieldId="19" dataDxfId="1545" dataCellStyle="一般 2"/>
    <tableColumn id="20" uniqueName="20" name="F20" queryTableFieldId="20" dataDxfId="1544" dataCellStyle="一般 2"/>
    <tableColumn id="21" uniqueName="21" name="F21" queryTableFieldId="21" dataDxfId="1543" dataCellStyle="一般 2"/>
    <tableColumn id="22" uniqueName="22" name="2024/6/24 14:52" queryTableFieldId="22" dataDxfId="1542" dataCellStyle="一般 2"/>
    <tableColumn id="23" uniqueName="23" name="F23" queryTableFieldId="23" dataDxfId="1541" dataCellStyle="一般 2"/>
    <tableColumn id="24" uniqueName="24" name="F24" queryTableFieldId="24" dataDxfId="1540" dataCellStyle="一般 2"/>
    <tableColumn id="25" uniqueName="25" name="F25" queryTableFieldId="25" dataDxfId="1539" dataCellStyle="一般 2"/>
    <tableColumn id="26" uniqueName="26" name="F26" queryTableFieldId="26" dataDxfId="1538" dataCellStyle="一般 2"/>
    <tableColumn id="27" uniqueName="27" name="F27" queryTableFieldId="27" dataDxfId="1537" dataCellStyle="一般 2"/>
    <tableColumn id="28" uniqueName="28" name="F28" queryTableFieldId="28" dataDxfId="1536" dataCellStyle="一般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" ref="AG13:BH189" tableType="queryTable" totalsRowShown="0" headerRowDxfId="1437" dataDxfId="1436" headerRowCellStyle="一般 2" dataCellStyle="一般 2">
  <autoFilter ref="AG13:BH189"/>
  <tableColumns count="28">
    <tableColumn id="1" uniqueName="1" name="請直接以10進位，謝謝" queryTableFieldId="1" dataDxfId="1435" dataCellStyle="一般 2"/>
    <tableColumn id="2" uniqueName="2" name="F2" queryTableFieldId="2" dataDxfId="1434" dataCellStyle="一般 2"/>
    <tableColumn id="3" uniqueName="3" name="F3" queryTableFieldId="3" dataDxfId="1433" dataCellStyle="一般 2"/>
    <tableColumn id="4" uniqueName="4" name="F4" queryTableFieldId="4" dataDxfId="1432" dataCellStyle="一般 2"/>
    <tableColumn id="5" uniqueName="5" name="F5" queryTableFieldId="5" dataDxfId="1431" dataCellStyle="一般 2"/>
    <tableColumn id="6" uniqueName="6" name="F6" queryTableFieldId="6" dataDxfId="1430" dataCellStyle="一般 2"/>
    <tableColumn id="7" uniqueName="7" name="F7" queryTableFieldId="7" dataDxfId="1429" dataCellStyle="一般 2"/>
    <tableColumn id="8" uniqueName="8" name="F8" queryTableFieldId="8" dataDxfId="1428" dataCellStyle="一般 2"/>
    <tableColumn id="9" uniqueName="9" name="F9" queryTableFieldId="9" dataDxfId="1427" dataCellStyle="一般 2"/>
    <tableColumn id="10" uniqueName="10" name="F10" queryTableFieldId="10" dataDxfId="1426" dataCellStyle="一般 2"/>
    <tableColumn id="11" uniqueName="11" name="F11" queryTableFieldId="11" dataDxfId="1425" dataCellStyle="一般 2"/>
    <tableColumn id="12" uniqueName="12" name="F12" queryTableFieldId="12" dataDxfId="1424" dataCellStyle="一般 2"/>
    <tableColumn id="13" uniqueName="13" name="F13" queryTableFieldId="13" dataDxfId="1423" dataCellStyle="一般 2"/>
    <tableColumn id="14" uniqueName="14" name="F14" queryTableFieldId="14" dataDxfId="1422" dataCellStyle="一般 2"/>
    <tableColumn id="15" uniqueName="15" name="F15" queryTableFieldId="15" dataDxfId="1421" dataCellStyle="一般 2"/>
    <tableColumn id="16" uniqueName="16" name="F16" queryTableFieldId="16" dataDxfId="1420" dataCellStyle="一般 2"/>
    <tableColumn id="17" uniqueName="17" name="F17" queryTableFieldId="17" dataDxfId="1419" dataCellStyle="一般 2"/>
    <tableColumn id="18" uniqueName="18" name="F18" queryTableFieldId="18" dataDxfId="1418" dataCellStyle="一般 2"/>
    <tableColumn id="19" uniqueName="19" name="F19" queryTableFieldId="19" dataDxfId="1417" dataCellStyle="一般 2"/>
    <tableColumn id="20" uniqueName="20" name="F20" queryTableFieldId="20" dataDxfId="1416" dataCellStyle="一般 2"/>
    <tableColumn id="21" uniqueName="21" name="F21" queryTableFieldId="21" dataDxfId="1415" dataCellStyle="一般 2"/>
    <tableColumn id="22" uniqueName="22" name="2024/6/24 14:52" queryTableFieldId="22" dataDxfId="1414" dataCellStyle="一般 2"/>
    <tableColumn id="23" uniqueName="23" name="F23" queryTableFieldId="23" dataDxfId="1413" dataCellStyle="一般 2"/>
    <tableColumn id="24" uniqueName="24" name="F24" queryTableFieldId="24" dataDxfId="1412" dataCellStyle="一般 2"/>
    <tableColumn id="25" uniqueName="25" name="F25" queryTableFieldId="25" dataDxfId="1411" dataCellStyle="一般 2"/>
    <tableColumn id="26" uniqueName="26" name="F26" queryTableFieldId="26" dataDxfId="1410" dataCellStyle="一般 2"/>
    <tableColumn id="27" uniqueName="27" name="F27" queryTableFieldId="27" dataDxfId="1409" dataCellStyle="一般 2"/>
    <tableColumn id="28" uniqueName="28" name="F28" queryTableFieldId="28" dataDxfId="1408" dataCellStyle="一般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" ref="AG13:BH189" tableType="queryTable" totalsRowShown="0" headerRowDxfId="1309" dataDxfId="1308" headerRowCellStyle="一般 2" dataCellStyle="一般 2">
  <autoFilter ref="AG13:BH189"/>
  <tableColumns count="28">
    <tableColumn id="1" uniqueName="1" name="請直接以10進位，謝謝" queryTableFieldId="1" dataDxfId="1307" dataCellStyle="一般 2"/>
    <tableColumn id="2" uniqueName="2" name="F2" queryTableFieldId="2" dataDxfId="1306" dataCellStyle="一般 2"/>
    <tableColumn id="3" uniqueName="3" name="F3" queryTableFieldId="3" dataDxfId="1305" dataCellStyle="一般 2"/>
    <tableColumn id="4" uniqueName="4" name="F4" queryTableFieldId="4" dataDxfId="1304" dataCellStyle="一般 2"/>
    <tableColumn id="5" uniqueName="5" name="F5" queryTableFieldId="5" dataDxfId="1303" dataCellStyle="一般 2"/>
    <tableColumn id="6" uniqueName="6" name="F6" queryTableFieldId="6" dataDxfId="1302" dataCellStyle="一般 2"/>
    <tableColumn id="7" uniqueName="7" name="F7" queryTableFieldId="7" dataDxfId="1301" dataCellStyle="一般 2"/>
    <tableColumn id="8" uniqueName="8" name="F8" queryTableFieldId="8" dataDxfId="1300" dataCellStyle="一般 2"/>
    <tableColumn id="9" uniqueName="9" name="F9" queryTableFieldId="9" dataDxfId="1299" dataCellStyle="一般 2"/>
    <tableColumn id="10" uniqueName="10" name="F10" queryTableFieldId="10" dataDxfId="1298" dataCellStyle="一般 2"/>
    <tableColumn id="11" uniqueName="11" name="F11" queryTableFieldId="11" dataDxfId="1297" dataCellStyle="一般 2"/>
    <tableColumn id="12" uniqueName="12" name="F12" queryTableFieldId="12" dataDxfId="1296" dataCellStyle="一般 2"/>
    <tableColumn id="13" uniqueName="13" name="F13" queryTableFieldId="13" dataDxfId="1295" dataCellStyle="一般 2"/>
    <tableColumn id="14" uniqueName="14" name="F14" queryTableFieldId="14" dataDxfId="1294" dataCellStyle="一般 2"/>
    <tableColumn id="15" uniqueName="15" name="F15" queryTableFieldId="15" dataDxfId="1293" dataCellStyle="一般 2"/>
    <tableColumn id="16" uniqueName="16" name="F16" queryTableFieldId="16" dataDxfId="1292" dataCellStyle="一般 2"/>
    <tableColumn id="17" uniqueName="17" name="F17" queryTableFieldId="17" dataDxfId="1291" dataCellStyle="一般 2"/>
    <tableColumn id="18" uniqueName="18" name="F18" queryTableFieldId="18" dataDxfId="1290" dataCellStyle="一般 2"/>
    <tableColumn id="19" uniqueName="19" name="F19" queryTableFieldId="19" dataDxfId="1289" dataCellStyle="一般 2"/>
    <tableColumn id="20" uniqueName="20" name="F20" queryTableFieldId="20" dataDxfId="1288" dataCellStyle="一般 2"/>
    <tableColumn id="21" uniqueName="21" name="F21" queryTableFieldId="21" dataDxfId="1287" dataCellStyle="一般 2"/>
    <tableColumn id="22" uniqueName="22" name="2024/6/24 14:52" queryTableFieldId="22" dataDxfId="1286" dataCellStyle="一般 2"/>
    <tableColumn id="23" uniqueName="23" name="F23" queryTableFieldId="23" dataDxfId="1285" dataCellStyle="一般 2"/>
    <tableColumn id="24" uniqueName="24" name="F24" queryTableFieldId="24" dataDxfId="1284" dataCellStyle="一般 2"/>
    <tableColumn id="25" uniqueName="25" name="F25" queryTableFieldId="25" dataDxfId="1283" dataCellStyle="一般 2"/>
    <tableColumn id="26" uniqueName="26" name="F26" queryTableFieldId="26" dataDxfId="1282" dataCellStyle="一般 2"/>
    <tableColumn id="27" uniqueName="27" name="F27" queryTableFieldId="27" dataDxfId="1281" dataCellStyle="一般 2"/>
    <tableColumn id="28" uniqueName="28" name="F28" queryTableFieldId="28" dataDxfId="1280" dataCellStyle="一般 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" ref="AG13:BH189" tableType="queryTable" totalsRowShown="0" headerRowDxfId="1181" dataDxfId="1180" headerRowCellStyle="一般 2" dataCellStyle="一般 2">
  <autoFilter ref="AG13:BH189"/>
  <tableColumns count="28">
    <tableColumn id="1" uniqueName="1" name="請直接以10進位，謝謝" queryTableFieldId="1" dataDxfId="1179" dataCellStyle="一般 2"/>
    <tableColumn id="2" uniqueName="2" name="F2" queryTableFieldId="2" dataDxfId="1178" dataCellStyle="一般 2"/>
    <tableColumn id="3" uniqueName="3" name="F3" queryTableFieldId="3" dataDxfId="1177" dataCellStyle="一般 2"/>
    <tableColumn id="4" uniqueName="4" name="F4" queryTableFieldId="4" dataDxfId="1176" dataCellStyle="一般 2"/>
    <tableColumn id="5" uniqueName="5" name="F5" queryTableFieldId="5" dataDxfId="1175" dataCellStyle="一般 2"/>
    <tableColumn id="6" uniqueName="6" name="F6" queryTableFieldId="6" dataDxfId="1174" dataCellStyle="一般 2"/>
    <tableColumn id="7" uniqueName="7" name="F7" queryTableFieldId="7" dataDxfId="1173" dataCellStyle="一般 2"/>
    <tableColumn id="8" uniqueName="8" name="F8" queryTableFieldId="8" dataDxfId="1172" dataCellStyle="一般 2"/>
    <tableColumn id="9" uniqueName="9" name="F9" queryTableFieldId="9" dataDxfId="1171" dataCellStyle="一般 2"/>
    <tableColumn id="10" uniqueName="10" name="F10" queryTableFieldId="10" dataDxfId="1170" dataCellStyle="一般 2"/>
    <tableColumn id="11" uniqueName="11" name="F11" queryTableFieldId="11" dataDxfId="1169" dataCellStyle="一般 2"/>
    <tableColumn id="12" uniqueName="12" name="F12" queryTableFieldId="12" dataDxfId="1168" dataCellStyle="一般 2"/>
    <tableColumn id="13" uniqueName="13" name="F13" queryTableFieldId="13" dataDxfId="1167" dataCellStyle="一般 2"/>
    <tableColumn id="14" uniqueName="14" name="F14" queryTableFieldId="14" dataDxfId="1166" dataCellStyle="一般 2"/>
    <tableColumn id="15" uniqueName="15" name="F15" queryTableFieldId="15" dataDxfId="1165" dataCellStyle="一般 2"/>
    <tableColumn id="16" uniqueName="16" name="F16" queryTableFieldId="16" dataDxfId="1164" dataCellStyle="一般 2"/>
    <tableColumn id="17" uniqueName="17" name="F17" queryTableFieldId="17" dataDxfId="1163" dataCellStyle="一般 2"/>
    <tableColumn id="18" uniqueName="18" name="F18" queryTableFieldId="18" dataDxfId="1162" dataCellStyle="一般 2"/>
    <tableColumn id="19" uniqueName="19" name="F19" queryTableFieldId="19" dataDxfId="1161" dataCellStyle="一般 2"/>
    <tableColumn id="20" uniqueName="20" name="F20" queryTableFieldId="20" dataDxfId="1160" dataCellStyle="一般 2"/>
    <tableColumn id="21" uniqueName="21" name="F21" queryTableFieldId="21" dataDxfId="1159" dataCellStyle="一般 2"/>
    <tableColumn id="22" uniqueName="22" name="2024/6/24 14:52" queryTableFieldId="22" dataDxfId="1158" dataCellStyle="一般 2"/>
    <tableColumn id="23" uniqueName="23" name="F23" queryTableFieldId="23" dataDxfId="1157" dataCellStyle="一般 2"/>
    <tableColumn id="24" uniqueName="24" name="F24" queryTableFieldId="24" dataDxfId="1156" dataCellStyle="一般 2"/>
    <tableColumn id="25" uniqueName="25" name="F25" queryTableFieldId="25" dataDxfId="1155" dataCellStyle="一般 2"/>
    <tableColumn id="26" uniqueName="26" name="F26" queryTableFieldId="26" dataDxfId="1154" dataCellStyle="一般 2"/>
    <tableColumn id="27" uniqueName="27" name="F27" queryTableFieldId="27" dataDxfId="1153" dataCellStyle="一般 2"/>
    <tableColumn id="28" uniqueName="28" name="F28" queryTableFieldId="28" dataDxfId="1152" dataCellStyle="一般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" ref="AG13:BH189" tableType="queryTable" totalsRowShown="0" headerRowDxfId="1053" dataDxfId="1052" headerRowCellStyle="一般 2" dataCellStyle="一般 2">
  <autoFilter ref="AG13:BH189"/>
  <tableColumns count="28">
    <tableColumn id="1" uniqueName="1" name="請直接以10進位，謝謝" queryTableFieldId="1" dataDxfId="1051" dataCellStyle="一般 2"/>
    <tableColumn id="2" uniqueName="2" name="F2" queryTableFieldId="2" dataDxfId="1050" dataCellStyle="一般 2"/>
    <tableColumn id="3" uniqueName="3" name="F3" queryTableFieldId="3" dataDxfId="1049" dataCellStyle="一般 2"/>
    <tableColumn id="4" uniqueName="4" name="F4" queryTableFieldId="4" dataDxfId="1048" dataCellStyle="一般 2"/>
    <tableColumn id="5" uniqueName="5" name="F5" queryTableFieldId="5" dataDxfId="1047" dataCellStyle="一般 2"/>
    <tableColumn id="6" uniqueName="6" name="F6" queryTableFieldId="6" dataDxfId="1046" dataCellStyle="一般 2"/>
    <tableColumn id="7" uniqueName="7" name="F7" queryTableFieldId="7" dataDxfId="1045" dataCellStyle="一般 2"/>
    <tableColumn id="8" uniqueName="8" name="F8" queryTableFieldId="8" dataDxfId="1044" dataCellStyle="一般 2"/>
    <tableColumn id="9" uniqueName="9" name="F9" queryTableFieldId="9" dataDxfId="1043" dataCellStyle="一般 2"/>
    <tableColumn id="10" uniqueName="10" name="F10" queryTableFieldId="10" dataDxfId="1042" dataCellStyle="一般 2"/>
    <tableColumn id="11" uniqueName="11" name="F11" queryTableFieldId="11" dataDxfId="1041" dataCellStyle="一般 2"/>
    <tableColumn id="12" uniqueName="12" name="F12" queryTableFieldId="12" dataDxfId="1040" dataCellStyle="一般 2"/>
    <tableColumn id="13" uniqueName="13" name="F13" queryTableFieldId="13" dataDxfId="1039" dataCellStyle="一般 2"/>
    <tableColumn id="14" uniqueName="14" name="F14" queryTableFieldId="14" dataDxfId="1038" dataCellStyle="一般 2"/>
    <tableColumn id="15" uniqueName="15" name="F15" queryTableFieldId="15" dataDxfId="1037" dataCellStyle="一般 2"/>
    <tableColumn id="16" uniqueName="16" name="F16" queryTableFieldId="16" dataDxfId="1036" dataCellStyle="一般 2"/>
    <tableColumn id="17" uniqueName="17" name="F17" queryTableFieldId="17" dataDxfId="1035" dataCellStyle="一般 2"/>
    <tableColumn id="18" uniqueName="18" name="F18" queryTableFieldId="18" dataDxfId="1034" dataCellStyle="一般 2"/>
    <tableColumn id="19" uniqueName="19" name="F19" queryTableFieldId="19" dataDxfId="1033" dataCellStyle="一般 2"/>
    <tableColumn id="20" uniqueName="20" name="F20" queryTableFieldId="20" dataDxfId="1032" dataCellStyle="一般 2"/>
    <tableColumn id="21" uniqueName="21" name="F21" queryTableFieldId="21" dataDxfId="1031" dataCellStyle="一般 2"/>
    <tableColumn id="22" uniqueName="22" name="2024/6/24 14:52" queryTableFieldId="22" dataDxfId="1030" dataCellStyle="一般 2"/>
    <tableColumn id="23" uniqueName="23" name="F23" queryTableFieldId="23" dataDxfId="1029" dataCellStyle="一般 2"/>
    <tableColumn id="24" uniqueName="24" name="F24" queryTableFieldId="24" dataDxfId="1028" dataCellStyle="一般 2"/>
    <tableColumn id="25" uniqueName="25" name="F25" queryTableFieldId="25" dataDxfId="1027" dataCellStyle="一般 2"/>
    <tableColumn id="26" uniqueName="26" name="F26" queryTableFieldId="26" dataDxfId="1026" dataCellStyle="一般 2"/>
    <tableColumn id="27" uniqueName="27" name="F27" queryTableFieldId="27" dataDxfId="1025" dataCellStyle="一般 2"/>
    <tableColumn id="28" uniqueName="28" name="F28" queryTableFieldId="28" dataDxfId="1024" dataCellStyle="一般 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" ref="AG13:BH189" tableType="queryTable" totalsRowShown="0" headerRowDxfId="925" dataDxfId="924" headerRowCellStyle="一般 2" dataCellStyle="一般 2">
  <autoFilter ref="AG13:BH189"/>
  <tableColumns count="28">
    <tableColumn id="1" uniqueName="1" name="請直接以10進位，謝謝" queryTableFieldId="1" dataDxfId="923" dataCellStyle="一般 2"/>
    <tableColumn id="2" uniqueName="2" name="F2" queryTableFieldId="2" dataDxfId="922" dataCellStyle="一般 2"/>
    <tableColumn id="3" uniqueName="3" name="F3" queryTableFieldId="3" dataDxfId="921" dataCellStyle="一般 2"/>
    <tableColumn id="4" uniqueName="4" name="F4" queryTableFieldId="4" dataDxfId="920" dataCellStyle="一般 2"/>
    <tableColumn id="5" uniqueName="5" name="F5" queryTableFieldId="5" dataDxfId="919" dataCellStyle="一般 2"/>
    <tableColumn id="6" uniqueName="6" name="F6" queryTableFieldId="6" dataDxfId="918" dataCellStyle="一般 2"/>
    <tableColumn id="7" uniqueName="7" name="F7" queryTableFieldId="7" dataDxfId="917" dataCellStyle="一般 2"/>
    <tableColumn id="8" uniqueName="8" name="F8" queryTableFieldId="8" dataDxfId="916" dataCellStyle="一般 2"/>
    <tableColumn id="9" uniqueName="9" name="F9" queryTableFieldId="9" dataDxfId="915" dataCellStyle="一般 2"/>
    <tableColumn id="10" uniqueName="10" name="F10" queryTableFieldId="10" dataDxfId="914" dataCellStyle="一般 2"/>
    <tableColumn id="11" uniqueName="11" name="F11" queryTableFieldId="11" dataDxfId="913" dataCellStyle="一般 2"/>
    <tableColumn id="12" uniqueName="12" name="F12" queryTableFieldId="12" dataDxfId="912" dataCellStyle="一般 2"/>
    <tableColumn id="13" uniqueName="13" name="F13" queryTableFieldId="13" dataDxfId="911" dataCellStyle="一般 2"/>
    <tableColumn id="14" uniqueName="14" name="F14" queryTableFieldId="14" dataDxfId="910" dataCellStyle="一般 2"/>
    <tableColumn id="15" uniqueName="15" name="F15" queryTableFieldId="15" dataDxfId="909" dataCellStyle="一般 2"/>
    <tableColumn id="16" uniqueName="16" name="F16" queryTableFieldId="16" dataDxfId="908" dataCellStyle="一般 2"/>
    <tableColumn id="17" uniqueName="17" name="F17" queryTableFieldId="17" dataDxfId="907" dataCellStyle="一般 2"/>
    <tableColumn id="18" uniqueName="18" name="F18" queryTableFieldId="18" dataDxfId="906" dataCellStyle="一般 2"/>
    <tableColumn id="19" uniqueName="19" name="F19" queryTableFieldId="19" dataDxfId="905" dataCellStyle="一般 2"/>
    <tableColumn id="20" uniqueName="20" name="F20" queryTableFieldId="20" dataDxfId="904" dataCellStyle="一般 2"/>
    <tableColumn id="21" uniqueName="21" name="F21" queryTableFieldId="21" dataDxfId="903" dataCellStyle="一般 2"/>
    <tableColumn id="22" uniqueName="22" name="2024/6/24 14:52" queryTableFieldId="22" dataDxfId="902" dataCellStyle="一般 2"/>
    <tableColumn id="23" uniqueName="23" name="F23" queryTableFieldId="23" dataDxfId="901" dataCellStyle="一般 2"/>
    <tableColumn id="24" uniqueName="24" name="F24" queryTableFieldId="24" dataDxfId="900" dataCellStyle="一般 2"/>
    <tableColumn id="25" uniqueName="25" name="F25" queryTableFieldId="25" dataDxfId="899" dataCellStyle="一般 2"/>
    <tableColumn id="26" uniqueName="26" name="F26" queryTableFieldId="26" dataDxfId="898" dataCellStyle="一般 2"/>
    <tableColumn id="27" uniqueName="27" name="F27" queryTableFieldId="27" dataDxfId="897" dataCellStyle="一般 2"/>
    <tableColumn id="28" uniqueName="28" name="F28" queryTableFieldId="28" dataDxfId="896" dataCellStyle="一般 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4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" ref="AG13:BH189" tableType="queryTable" totalsRowShown="0" headerRowDxfId="797" dataDxfId="796" headerRowCellStyle="一般 2" dataCellStyle="一般 2">
  <autoFilter ref="AG13:BH189"/>
  <tableColumns count="28">
    <tableColumn id="1" uniqueName="1" name="請直接以10進位，謝謝" queryTableFieldId="1" dataDxfId="795" dataCellStyle="一般 2"/>
    <tableColumn id="2" uniqueName="2" name="F2" queryTableFieldId="2" dataDxfId="794" dataCellStyle="一般 2"/>
    <tableColumn id="3" uniqueName="3" name="F3" queryTableFieldId="3" dataDxfId="793" dataCellStyle="一般 2"/>
    <tableColumn id="4" uniqueName="4" name="F4" queryTableFieldId="4" dataDxfId="792" dataCellStyle="一般 2"/>
    <tableColumn id="5" uniqueName="5" name="F5" queryTableFieldId="5" dataDxfId="791" dataCellStyle="一般 2"/>
    <tableColumn id="6" uniqueName="6" name="F6" queryTableFieldId="6" dataDxfId="790" dataCellStyle="一般 2"/>
    <tableColumn id="7" uniqueName="7" name="F7" queryTableFieldId="7" dataDxfId="789" dataCellStyle="一般 2"/>
    <tableColumn id="8" uniqueName="8" name="F8" queryTableFieldId="8" dataDxfId="788" dataCellStyle="一般 2"/>
    <tableColumn id="9" uniqueName="9" name="F9" queryTableFieldId="9" dataDxfId="787" dataCellStyle="一般 2"/>
    <tableColumn id="10" uniqueName="10" name="F10" queryTableFieldId="10" dataDxfId="786" dataCellStyle="一般 2"/>
    <tableColumn id="11" uniqueName="11" name="F11" queryTableFieldId="11" dataDxfId="785" dataCellStyle="一般 2"/>
    <tableColumn id="12" uniqueName="12" name="F12" queryTableFieldId="12" dataDxfId="784" dataCellStyle="一般 2"/>
    <tableColumn id="13" uniqueName="13" name="F13" queryTableFieldId="13" dataDxfId="783" dataCellStyle="一般 2"/>
    <tableColumn id="14" uniqueName="14" name="F14" queryTableFieldId="14" dataDxfId="782" dataCellStyle="一般 2"/>
    <tableColumn id="15" uniqueName="15" name="F15" queryTableFieldId="15" dataDxfId="781" dataCellStyle="一般 2"/>
    <tableColumn id="16" uniqueName="16" name="F16" queryTableFieldId="16" dataDxfId="780" dataCellStyle="一般 2"/>
    <tableColumn id="17" uniqueName="17" name="F17" queryTableFieldId="17" dataDxfId="779" dataCellStyle="一般 2"/>
    <tableColumn id="18" uniqueName="18" name="F18" queryTableFieldId="18" dataDxfId="778" dataCellStyle="一般 2"/>
    <tableColumn id="19" uniqueName="19" name="F19" queryTableFieldId="19" dataDxfId="777" dataCellStyle="一般 2"/>
    <tableColumn id="20" uniqueName="20" name="F20" queryTableFieldId="20" dataDxfId="776" dataCellStyle="一般 2"/>
    <tableColumn id="21" uniqueName="21" name="F21" queryTableFieldId="21" dataDxfId="775" dataCellStyle="一般 2"/>
    <tableColumn id="22" uniqueName="22" name="2024/6/24 14:52" queryTableFieldId="22" dataDxfId="774" dataCellStyle="一般 2"/>
    <tableColumn id="23" uniqueName="23" name="F23" queryTableFieldId="23" dataDxfId="773" dataCellStyle="一般 2"/>
    <tableColumn id="24" uniqueName="24" name="F24" queryTableFieldId="24" dataDxfId="772" dataCellStyle="一般 2"/>
    <tableColumn id="25" uniqueName="25" name="F25" queryTableFieldId="25" dataDxfId="771" dataCellStyle="一般 2"/>
    <tableColumn id="26" uniqueName="26" name="F26" queryTableFieldId="26" dataDxfId="770" dataCellStyle="一般 2"/>
    <tableColumn id="27" uniqueName="27" name="F27" queryTableFieldId="27" dataDxfId="769" dataCellStyle="一般 2"/>
    <tableColumn id="28" uniqueName="28" name="F28" queryTableFieldId="28" dataDxfId="768" dataCellStyle="一般 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5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" ref="AG13:BH189" tableType="queryTable" totalsRowShown="0" headerRowDxfId="669" dataDxfId="668" headerRowCellStyle="一般 2" dataCellStyle="一般 2">
  <autoFilter ref="AG13:BH189"/>
  <tableColumns count="28">
    <tableColumn id="1" uniqueName="1" name="請直接以10進位，謝謝" queryTableFieldId="1" dataDxfId="667" dataCellStyle="一般 2"/>
    <tableColumn id="2" uniqueName="2" name="F2" queryTableFieldId="2" dataDxfId="666" dataCellStyle="一般 2"/>
    <tableColumn id="3" uniqueName="3" name="F3" queryTableFieldId="3" dataDxfId="665" dataCellStyle="一般 2"/>
    <tableColumn id="4" uniqueName="4" name="F4" queryTableFieldId="4" dataDxfId="664" dataCellStyle="一般 2"/>
    <tableColumn id="5" uniqueName="5" name="F5" queryTableFieldId="5" dataDxfId="663" dataCellStyle="一般 2"/>
    <tableColumn id="6" uniqueName="6" name="F6" queryTableFieldId="6" dataDxfId="662" dataCellStyle="一般 2"/>
    <tableColumn id="7" uniqueName="7" name="F7" queryTableFieldId="7" dataDxfId="661" dataCellStyle="一般 2"/>
    <tableColumn id="8" uniqueName="8" name="F8" queryTableFieldId="8" dataDxfId="660" dataCellStyle="一般 2"/>
    <tableColumn id="9" uniqueName="9" name="F9" queryTableFieldId="9" dataDxfId="659" dataCellStyle="一般 2"/>
    <tableColumn id="10" uniqueName="10" name="F10" queryTableFieldId="10" dataDxfId="658" dataCellStyle="一般 2"/>
    <tableColumn id="11" uniqueName="11" name="F11" queryTableFieldId="11" dataDxfId="657" dataCellStyle="一般 2"/>
    <tableColumn id="12" uniqueName="12" name="F12" queryTableFieldId="12" dataDxfId="656" dataCellStyle="一般 2"/>
    <tableColumn id="13" uniqueName="13" name="F13" queryTableFieldId="13" dataDxfId="655" dataCellStyle="一般 2"/>
    <tableColumn id="14" uniqueName="14" name="F14" queryTableFieldId="14" dataDxfId="654" dataCellStyle="一般 2"/>
    <tableColumn id="15" uniqueName="15" name="F15" queryTableFieldId="15" dataDxfId="653" dataCellStyle="一般 2"/>
    <tableColumn id="16" uniqueName="16" name="F16" queryTableFieldId="16" dataDxfId="652" dataCellStyle="一般 2"/>
    <tableColumn id="17" uniqueName="17" name="F17" queryTableFieldId="17" dataDxfId="651" dataCellStyle="一般 2"/>
    <tableColumn id="18" uniqueName="18" name="F18" queryTableFieldId="18" dataDxfId="650" dataCellStyle="一般 2"/>
    <tableColumn id="19" uniqueName="19" name="F19" queryTableFieldId="19" dataDxfId="649" dataCellStyle="一般 2"/>
    <tableColumn id="20" uniqueName="20" name="F20" queryTableFieldId="20" dataDxfId="648" dataCellStyle="一般 2"/>
    <tableColumn id="21" uniqueName="21" name="F21" queryTableFieldId="21" dataDxfId="647" dataCellStyle="一般 2"/>
    <tableColumn id="22" uniqueName="22" name="2024/6/24 14:52" queryTableFieldId="22" dataDxfId="646" dataCellStyle="一般 2"/>
    <tableColumn id="23" uniqueName="23" name="F23" queryTableFieldId="23" dataDxfId="645" dataCellStyle="一般 2"/>
    <tableColumn id="24" uniqueName="24" name="F24" queryTableFieldId="24" dataDxfId="644" dataCellStyle="一般 2"/>
    <tableColumn id="25" uniqueName="25" name="F25" queryTableFieldId="25" dataDxfId="643" dataCellStyle="一般 2"/>
    <tableColumn id="26" uniqueName="26" name="F26" queryTableFieldId="26" dataDxfId="642" dataCellStyle="一般 2"/>
    <tableColumn id="27" uniqueName="27" name="F27" queryTableFieldId="27" dataDxfId="641" dataCellStyle="一般 2"/>
    <tableColumn id="28" uniqueName="28" name="F28" queryTableFieldId="28" dataDxfId="640" dataCellStyle="一般 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6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" ref="AG13:BH189" tableType="queryTable" totalsRowShown="0" headerRowDxfId="541" dataDxfId="540" headerRowCellStyle="一般 2" dataCellStyle="一般 2">
  <autoFilter ref="AG13:BH189"/>
  <tableColumns count="28">
    <tableColumn id="1" uniqueName="1" name="請直接以10進位，謝謝" queryTableFieldId="1" dataDxfId="539" dataCellStyle="一般 2"/>
    <tableColumn id="2" uniqueName="2" name="F2" queryTableFieldId="2" dataDxfId="538" dataCellStyle="一般 2"/>
    <tableColumn id="3" uniqueName="3" name="F3" queryTableFieldId="3" dataDxfId="537" dataCellStyle="一般 2"/>
    <tableColumn id="4" uniqueName="4" name="F4" queryTableFieldId="4" dataDxfId="536" dataCellStyle="一般 2"/>
    <tableColumn id="5" uniqueName="5" name="F5" queryTableFieldId="5" dataDxfId="535" dataCellStyle="一般 2"/>
    <tableColumn id="6" uniqueName="6" name="F6" queryTableFieldId="6" dataDxfId="534" dataCellStyle="一般 2"/>
    <tableColumn id="7" uniqueName="7" name="F7" queryTableFieldId="7" dataDxfId="533" dataCellStyle="一般 2"/>
    <tableColumn id="8" uniqueName="8" name="F8" queryTableFieldId="8" dataDxfId="532" dataCellStyle="一般 2"/>
    <tableColumn id="9" uniqueName="9" name="F9" queryTableFieldId="9" dataDxfId="531" dataCellStyle="一般 2"/>
    <tableColumn id="10" uniqueName="10" name="F10" queryTableFieldId="10" dataDxfId="530" dataCellStyle="一般 2"/>
    <tableColumn id="11" uniqueName="11" name="F11" queryTableFieldId="11" dataDxfId="529" dataCellStyle="一般 2"/>
    <tableColumn id="12" uniqueName="12" name="F12" queryTableFieldId="12" dataDxfId="528" dataCellStyle="一般 2"/>
    <tableColumn id="13" uniqueName="13" name="F13" queryTableFieldId="13" dataDxfId="527" dataCellStyle="一般 2"/>
    <tableColumn id="14" uniqueName="14" name="F14" queryTableFieldId="14" dataDxfId="526" dataCellStyle="一般 2"/>
    <tableColumn id="15" uniqueName="15" name="F15" queryTableFieldId="15" dataDxfId="525" dataCellStyle="一般 2"/>
    <tableColumn id="16" uniqueName="16" name="F16" queryTableFieldId="16" dataDxfId="524" dataCellStyle="一般 2"/>
    <tableColumn id="17" uniqueName="17" name="F17" queryTableFieldId="17" dataDxfId="523" dataCellStyle="一般 2"/>
    <tableColumn id="18" uniqueName="18" name="F18" queryTableFieldId="18" dataDxfId="522" dataCellStyle="一般 2"/>
    <tableColumn id="19" uniqueName="19" name="F19" queryTableFieldId="19" dataDxfId="521" dataCellStyle="一般 2"/>
    <tableColumn id="20" uniqueName="20" name="F20" queryTableFieldId="20" dataDxfId="520" dataCellStyle="一般 2"/>
    <tableColumn id="21" uniqueName="21" name="F21" queryTableFieldId="21" dataDxfId="519" dataCellStyle="一般 2"/>
    <tableColumn id="22" uniqueName="22" name="2024/6/24 14:52" queryTableFieldId="22" dataDxfId="518" dataCellStyle="一般 2"/>
    <tableColumn id="23" uniqueName="23" name="F23" queryTableFieldId="23" dataDxfId="517" dataCellStyle="一般 2"/>
    <tableColumn id="24" uniqueName="24" name="F24" queryTableFieldId="24" dataDxfId="516" dataCellStyle="一般 2"/>
    <tableColumn id="25" uniqueName="25" name="F25" queryTableFieldId="25" dataDxfId="515" dataCellStyle="一般 2"/>
    <tableColumn id="26" uniqueName="26" name="F26" queryTableFieldId="26" dataDxfId="514" dataCellStyle="一般 2"/>
    <tableColumn id="27" uniqueName="27" name="F27" queryTableFieldId="27" dataDxfId="513" dataCellStyle="一般 2"/>
    <tableColumn id="28" uniqueName="28" name="F28" queryTableFieldId="28" dataDxfId="512" dataCellStyle="一般 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7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" ref="AG13:BH189" tableType="queryTable" totalsRowShown="0" headerRowDxfId="413" dataDxfId="412" headerRowCellStyle="一般 2" dataCellStyle="一般 2">
  <autoFilter ref="AG13:BH189"/>
  <tableColumns count="28">
    <tableColumn id="1" uniqueName="1" name="請直接以10進位，謝謝" queryTableFieldId="1" dataDxfId="411" dataCellStyle="一般 2"/>
    <tableColumn id="2" uniqueName="2" name="F2" queryTableFieldId="2" dataDxfId="410" dataCellStyle="一般 2"/>
    <tableColumn id="3" uniqueName="3" name="F3" queryTableFieldId="3" dataDxfId="409" dataCellStyle="一般 2"/>
    <tableColumn id="4" uniqueName="4" name="F4" queryTableFieldId="4" dataDxfId="408" dataCellStyle="一般 2"/>
    <tableColumn id="5" uniqueName="5" name="F5" queryTableFieldId="5" dataDxfId="407" dataCellStyle="一般 2"/>
    <tableColumn id="6" uniqueName="6" name="F6" queryTableFieldId="6" dataDxfId="406" dataCellStyle="一般 2"/>
    <tableColumn id="7" uniqueName="7" name="F7" queryTableFieldId="7" dataDxfId="405" dataCellStyle="一般 2"/>
    <tableColumn id="8" uniqueName="8" name="F8" queryTableFieldId="8" dataDxfId="404" dataCellStyle="一般 2"/>
    <tableColumn id="9" uniqueName="9" name="F9" queryTableFieldId="9" dataDxfId="403" dataCellStyle="一般 2"/>
    <tableColumn id="10" uniqueName="10" name="F10" queryTableFieldId="10" dataDxfId="402" dataCellStyle="一般 2"/>
    <tableColumn id="11" uniqueName="11" name="F11" queryTableFieldId="11" dataDxfId="401" dataCellStyle="一般 2"/>
    <tableColumn id="12" uniqueName="12" name="F12" queryTableFieldId="12" dataDxfId="400" dataCellStyle="一般 2"/>
    <tableColumn id="13" uniqueName="13" name="F13" queryTableFieldId="13" dataDxfId="399" dataCellStyle="一般 2"/>
    <tableColumn id="14" uniqueName="14" name="F14" queryTableFieldId="14" dataDxfId="398" dataCellStyle="一般 2"/>
    <tableColumn id="15" uniqueName="15" name="F15" queryTableFieldId="15" dataDxfId="397" dataCellStyle="一般 2"/>
    <tableColumn id="16" uniqueName="16" name="F16" queryTableFieldId="16" dataDxfId="396" dataCellStyle="一般 2"/>
    <tableColumn id="17" uniqueName="17" name="F17" queryTableFieldId="17" dataDxfId="395" dataCellStyle="一般 2"/>
    <tableColumn id="18" uniqueName="18" name="F18" queryTableFieldId="18" dataDxfId="394" dataCellStyle="一般 2"/>
    <tableColumn id="19" uniqueName="19" name="F19" queryTableFieldId="19" dataDxfId="393" dataCellStyle="一般 2"/>
    <tableColumn id="20" uniqueName="20" name="F20" queryTableFieldId="20" dataDxfId="392" dataCellStyle="一般 2"/>
    <tableColumn id="21" uniqueName="21" name="F21" queryTableFieldId="21" dataDxfId="391" dataCellStyle="一般 2"/>
    <tableColumn id="22" uniqueName="22" name="2024/6/24 14:52" queryTableFieldId="22" dataDxfId="390" dataCellStyle="一般 2"/>
    <tableColumn id="23" uniqueName="23" name="F23" queryTableFieldId="23" dataDxfId="389" dataCellStyle="一般 2"/>
    <tableColumn id="24" uniqueName="24" name="F24" queryTableFieldId="24" dataDxfId="388" dataCellStyle="一般 2"/>
    <tableColumn id="25" uniqueName="25" name="F25" queryTableFieldId="25" dataDxfId="387" dataCellStyle="一般 2"/>
    <tableColumn id="26" uniqueName="26" name="F26" queryTableFieldId="26" dataDxfId="386" dataCellStyle="一般 2"/>
    <tableColumn id="27" uniqueName="27" name="F27" queryTableFieldId="27" dataDxfId="385" dataCellStyle="一般 2"/>
    <tableColumn id="28" uniqueName="28" name="F28" queryTableFieldId="28" dataDxfId="384" dataCellStyle="一般 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8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" ref="AG13:BH189" tableType="queryTable" totalsRowShown="0" headerRowDxfId="285" dataDxfId="284" headerRowCellStyle="一般 2" dataCellStyle="一般 2">
  <autoFilter ref="AG13:BH189"/>
  <tableColumns count="28">
    <tableColumn id="1" uniqueName="1" name="請直接以10進位，謝謝" queryTableFieldId="1" dataDxfId="283" dataCellStyle="一般 2"/>
    <tableColumn id="2" uniqueName="2" name="F2" queryTableFieldId="2" dataDxfId="282" dataCellStyle="一般 2"/>
    <tableColumn id="3" uniqueName="3" name="F3" queryTableFieldId="3" dataDxfId="281" dataCellStyle="一般 2"/>
    <tableColumn id="4" uniqueName="4" name="F4" queryTableFieldId="4" dataDxfId="280" dataCellStyle="一般 2"/>
    <tableColumn id="5" uniqueName="5" name="F5" queryTableFieldId="5" dataDxfId="279" dataCellStyle="一般 2"/>
    <tableColumn id="6" uniqueName="6" name="F6" queryTableFieldId="6" dataDxfId="278" dataCellStyle="一般 2"/>
    <tableColumn id="7" uniqueName="7" name="F7" queryTableFieldId="7" dataDxfId="277" dataCellStyle="一般 2"/>
    <tableColumn id="8" uniqueName="8" name="F8" queryTableFieldId="8" dataDxfId="276" dataCellStyle="一般 2"/>
    <tableColumn id="9" uniqueName="9" name="F9" queryTableFieldId="9" dataDxfId="275" dataCellStyle="一般 2"/>
    <tableColumn id="10" uniqueName="10" name="F10" queryTableFieldId="10" dataDxfId="274" dataCellStyle="一般 2"/>
    <tableColumn id="11" uniqueName="11" name="F11" queryTableFieldId="11" dataDxfId="273" dataCellStyle="一般 2"/>
    <tableColumn id="12" uniqueName="12" name="F12" queryTableFieldId="12" dataDxfId="272" dataCellStyle="一般 2"/>
    <tableColumn id="13" uniqueName="13" name="F13" queryTableFieldId="13" dataDxfId="271" dataCellStyle="一般 2"/>
    <tableColumn id="14" uniqueName="14" name="F14" queryTableFieldId="14" dataDxfId="270" dataCellStyle="一般 2"/>
    <tableColumn id="15" uniqueName="15" name="F15" queryTableFieldId="15" dataDxfId="269" dataCellStyle="一般 2"/>
    <tableColumn id="16" uniqueName="16" name="F16" queryTableFieldId="16" dataDxfId="268" dataCellStyle="一般 2"/>
    <tableColumn id="17" uniqueName="17" name="F17" queryTableFieldId="17" dataDxfId="267" dataCellStyle="一般 2"/>
    <tableColumn id="18" uniqueName="18" name="F18" queryTableFieldId="18" dataDxfId="266" dataCellStyle="一般 2"/>
    <tableColumn id="19" uniqueName="19" name="F19" queryTableFieldId="19" dataDxfId="265" dataCellStyle="一般 2"/>
    <tableColumn id="20" uniqueName="20" name="F20" queryTableFieldId="20" dataDxfId="264" dataCellStyle="一般 2"/>
    <tableColumn id="21" uniqueName="21" name="F21" queryTableFieldId="21" dataDxfId="263" dataCellStyle="一般 2"/>
    <tableColumn id="22" uniqueName="22" name="2024/6/24 14:52" queryTableFieldId="22" dataDxfId="262" dataCellStyle="一般 2"/>
    <tableColumn id="23" uniqueName="23" name="F23" queryTableFieldId="23" dataDxfId="261" dataCellStyle="一般 2"/>
    <tableColumn id="24" uniqueName="24" name="F24" queryTableFieldId="24" dataDxfId="260" dataCellStyle="一般 2"/>
    <tableColumn id="25" uniqueName="25" name="F25" queryTableFieldId="25" dataDxfId="259" dataCellStyle="一般 2"/>
    <tableColumn id="26" uniqueName="26" name="F26" queryTableFieldId="26" dataDxfId="258" dataCellStyle="一般 2"/>
    <tableColumn id="27" uniqueName="27" name="F27" queryTableFieldId="27" dataDxfId="257" dataCellStyle="一般 2"/>
    <tableColumn id="28" uniqueName="28" name="F28" queryTableFieldId="28" dataDxfId="256" dataCellStyle="一般 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9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" ref="AG13:BH189" tableType="queryTable" totalsRowShown="0" headerRowDxfId="157" dataDxfId="156" headerRowCellStyle="一般 2" dataCellStyle="一般 2">
  <autoFilter ref="AG13:BH189"/>
  <tableColumns count="28">
    <tableColumn id="1" uniqueName="1" name="請直接以10進位，謝謝" queryTableFieldId="1" dataDxfId="155" dataCellStyle="一般 2"/>
    <tableColumn id="2" uniqueName="2" name="F2" queryTableFieldId="2" dataDxfId="154" dataCellStyle="一般 2"/>
    <tableColumn id="3" uniqueName="3" name="F3" queryTableFieldId="3" dataDxfId="153" dataCellStyle="一般 2"/>
    <tableColumn id="4" uniqueName="4" name="F4" queryTableFieldId="4" dataDxfId="152" dataCellStyle="一般 2"/>
    <tableColumn id="5" uniqueName="5" name="F5" queryTableFieldId="5" dataDxfId="151" dataCellStyle="一般 2"/>
    <tableColumn id="6" uniqueName="6" name="F6" queryTableFieldId="6" dataDxfId="150" dataCellStyle="一般 2"/>
    <tableColumn id="7" uniqueName="7" name="F7" queryTableFieldId="7" dataDxfId="149" dataCellStyle="一般 2"/>
    <tableColumn id="8" uniqueName="8" name="F8" queryTableFieldId="8" dataDxfId="148" dataCellStyle="一般 2"/>
    <tableColumn id="9" uniqueName="9" name="F9" queryTableFieldId="9" dataDxfId="147" dataCellStyle="一般 2"/>
    <tableColumn id="10" uniqueName="10" name="F10" queryTableFieldId="10" dataDxfId="146" dataCellStyle="一般 2"/>
    <tableColumn id="11" uniqueName="11" name="F11" queryTableFieldId="11" dataDxfId="145" dataCellStyle="一般 2"/>
    <tableColumn id="12" uniqueName="12" name="F12" queryTableFieldId="12" dataDxfId="144" dataCellStyle="一般 2"/>
    <tableColumn id="13" uniqueName="13" name="F13" queryTableFieldId="13" dataDxfId="143" dataCellStyle="一般 2"/>
    <tableColumn id="14" uniqueName="14" name="F14" queryTableFieldId="14" dataDxfId="142" dataCellStyle="一般 2"/>
    <tableColumn id="15" uniqueName="15" name="F15" queryTableFieldId="15" dataDxfId="141" dataCellStyle="一般 2"/>
    <tableColumn id="16" uniqueName="16" name="F16" queryTableFieldId="16" dataDxfId="140" dataCellStyle="一般 2"/>
    <tableColumn id="17" uniqueName="17" name="F17" queryTableFieldId="17" dataDxfId="139" dataCellStyle="一般 2"/>
    <tableColumn id="18" uniqueName="18" name="F18" queryTableFieldId="18" dataDxfId="138" dataCellStyle="一般 2"/>
    <tableColumn id="19" uniqueName="19" name="F19" queryTableFieldId="19" dataDxfId="137" dataCellStyle="一般 2"/>
    <tableColumn id="20" uniqueName="20" name="F20" queryTableFieldId="20" dataDxfId="136" dataCellStyle="一般 2"/>
    <tableColumn id="21" uniqueName="21" name="F21" queryTableFieldId="21" dataDxfId="135" dataCellStyle="一般 2"/>
    <tableColumn id="22" uniqueName="22" name="2024/6/24 14:52" queryTableFieldId="22" dataDxfId="134" dataCellStyle="一般 2"/>
    <tableColumn id="23" uniqueName="23" name="F23" queryTableFieldId="23" dataDxfId="133" dataCellStyle="一般 2"/>
    <tableColumn id="24" uniqueName="24" name="F24" queryTableFieldId="24" dataDxfId="132" dataCellStyle="一般 2"/>
    <tableColumn id="25" uniqueName="25" name="F25" queryTableFieldId="25" dataDxfId="131" dataCellStyle="一般 2"/>
    <tableColumn id="26" uniqueName="26" name="F26" queryTableFieldId="26" dataDxfId="130" dataCellStyle="一般 2"/>
    <tableColumn id="27" uniqueName="27" name="F27" queryTableFieldId="27" dataDxfId="129" dataCellStyle="一般 2"/>
    <tableColumn id="28" uniqueName="28" name="F28" queryTableFieldId="28" dataDxfId="128" dataCellStyle="一般 2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0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" ref="AG13:BH189" tableType="queryTable" totalsRowShown="0" headerRowDxfId="29" dataDxfId="28" headerRowCellStyle="一般 2" dataCellStyle="一般 2">
  <autoFilter ref="AG13:BH189"/>
  <tableColumns count="28">
    <tableColumn id="1" uniqueName="1" name="請直接以10進位，謝謝" queryTableFieldId="1" dataDxfId="27" dataCellStyle="一般 2"/>
    <tableColumn id="2" uniqueName="2" name="F2" queryTableFieldId="2" dataDxfId="26" dataCellStyle="一般 2"/>
    <tableColumn id="3" uniqueName="3" name="F3" queryTableFieldId="3" dataDxfId="25" dataCellStyle="一般 2"/>
    <tableColumn id="4" uniqueName="4" name="F4" queryTableFieldId="4" dataDxfId="24" dataCellStyle="一般 2"/>
    <tableColumn id="5" uniqueName="5" name="F5" queryTableFieldId="5" dataDxfId="23" dataCellStyle="一般 2"/>
    <tableColumn id="6" uniqueName="6" name="F6" queryTableFieldId="6" dataDxfId="22" dataCellStyle="一般 2"/>
    <tableColumn id="7" uniqueName="7" name="F7" queryTableFieldId="7" dataDxfId="21" dataCellStyle="一般 2"/>
    <tableColumn id="8" uniqueName="8" name="F8" queryTableFieldId="8" dataDxfId="20" dataCellStyle="一般 2"/>
    <tableColumn id="9" uniqueName="9" name="F9" queryTableFieldId="9" dataDxfId="19" dataCellStyle="一般 2"/>
    <tableColumn id="10" uniqueName="10" name="F10" queryTableFieldId="10" dataDxfId="18" dataCellStyle="一般 2"/>
    <tableColumn id="11" uniqueName="11" name="F11" queryTableFieldId="11" dataDxfId="17" dataCellStyle="一般 2"/>
    <tableColumn id="12" uniqueName="12" name="F12" queryTableFieldId="12" dataDxfId="16" dataCellStyle="一般 2"/>
    <tableColumn id="13" uniqueName="13" name="F13" queryTableFieldId="13" dataDxfId="15" dataCellStyle="一般 2"/>
    <tableColumn id="14" uniqueName="14" name="F14" queryTableFieldId="14" dataDxfId="14" dataCellStyle="一般 2"/>
    <tableColumn id="15" uniqueName="15" name="F15" queryTableFieldId="15" dataDxfId="13" dataCellStyle="一般 2"/>
    <tableColumn id="16" uniqueName="16" name="F16" queryTableFieldId="16" dataDxfId="12" dataCellStyle="一般 2"/>
    <tableColumn id="17" uniqueName="17" name="F17" queryTableFieldId="17" dataDxfId="11" dataCellStyle="一般 2"/>
    <tableColumn id="18" uniqueName="18" name="F18" queryTableFieldId="18" dataDxfId="10" dataCellStyle="一般 2"/>
    <tableColumn id="19" uniqueName="19" name="F19" queryTableFieldId="19" dataDxfId="9" dataCellStyle="一般 2"/>
    <tableColumn id="20" uniqueName="20" name="F20" queryTableFieldId="20" dataDxfId="8" dataCellStyle="一般 2"/>
    <tableColumn id="21" uniqueName="21" name="F21" queryTableFieldId="21" dataDxfId="7" dataCellStyle="一般 2"/>
    <tableColumn id="22" uniqueName="22" name="2024/6/24 14:52" queryTableFieldId="22" dataDxfId="6" dataCellStyle="一般 2"/>
    <tableColumn id="23" uniqueName="23" name="F23" queryTableFieldId="23" dataDxfId="5" dataCellStyle="一般 2"/>
    <tableColumn id="24" uniqueName="24" name="F24" queryTableFieldId="24" dataDxfId="4" dataCellStyle="一般 2"/>
    <tableColumn id="25" uniqueName="25" name="F25" queryTableFieldId="25" dataDxfId="3" dataCellStyle="一般 2"/>
    <tableColumn id="26" uniqueName="26" name="F26" queryTableFieldId="26" dataDxfId="2" dataCellStyle="一般 2"/>
    <tableColumn id="27" uniqueName="27" name="F27" queryTableFieldId="27" dataDxfId="1" dataCellStyle="一般 2"/>
    <tableColumn id="28" uniqueName="28" name="F28" queryTableFieldId="28" dataDxfId="0" dataCellStyle="一般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8357890-2BA6-4CC5-90A2-87AD6187BD32}">
  <we:reference id="wa104381026" version="1.2.0.0" store="zh-TW" storeType="OMEX"/>
  <we:alternateReferences>
    <we:reference id="WA104381026" version="1.2.0.0" store="WA10438102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5" Type="http://schemas.openxmlformats.org/officeDocument/2006/relationships/table" Target="../tables/table11.xml"/><Relationship Id="rId4" Type="http://schemas.openxmlformats.org/officeDocument/2006/relationships/ctrlProp" Target="../ctrlProps/ctrlProp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table" Target="../tables/table12.xml"/><Relationship Id="rId4" Type="http://schemas.openxmlformats.org/officeDocument/2006/relationships/ctrlProp" Target="../ctrlProps/ctrlProp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5" Type="http://schemas.openxmlformats.org/officeDocument/2006/relationships/table" Target="../tables/table13.xml"/><Relationship Id="rId4" Type="http://schemas.openxmlformats.org/officeDocument/2006/relationships/ctrlProp" Target="../ctrlProps/ctrlProp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5" Type="http://schemas.openxmlformats.org/officeDocument/2006/relationships/table" Target="../tables/table14.xml"/><Relationship Id="rId4" Type="http://schemas.openxmlformats.org/officeDocument/2006/relationships/ctrlProp" Target="../ctrlProps/ctrlProp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5" Type="http://schemas.openxmlformats.org/officeDocument/2006/relationships/table" Target="../tables/table15.xml"/><Relationship Id="rId4" Type="http://schemas.openxmlformats.org/officeDocument/2006/relationships/ctrlProp" Target="../ctrlProps/ctrlProp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5" Type="http://schemas.openxmlformats.org/officeDocument/2006/relationships/table" Target="../tables/table16.xml"/><Relationship Id="rId4" Type="http://schemas.openxmlformats.org/officeDocument/2006/relationships/ctrlProp" Target="../ctrlProps/ctrlProp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5" Type="http://schemas.openxmlformats.org/officeDocument/2006/relationships/table" Target="../tables/table17.xml"/><Relationship Id="rId4" Type="http://schemas.openxmlformats.org/officeDocument/2006/relationships/ctrlProp" Target="../ctrlProps/ctrlProp1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5" Type="http://schemas.openxmlformats.org/officeDocument/2006/relationships/table" Target="../tables/table18.xml"/><Relationship Id="rId4" Type="http://schemas.openxmlformats.org/officeDocument/2006/relationships/ctrlProp" Target="../ctrlProps/ctrlProp1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5" Type="http://schemas.openxmlformats.org/officeDocument/2006/relationships/table" Target="../tables/table19.xml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5" Type="http://schemas.openxmlformats.org/officeDocument/2006/relationships/table" Target="../tables/table20.xml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5" Type="http://schemas.openxmlformats.org/officeDocument/2006/relationships/table" Target="../tables/table21.xml"/><Relationship Id="rId4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1">
    <pageSetUpPr fitToPage="1"/>
  </sheetPr>
  <dimension ref="A1:X46"/>
  <sheetViews>
    <sheetView view="pageBreakPreview" topLeftCell="A22" zoomScale="70" zoomScaleNormal="100" zoomScaleSheetLayoutView="70" workbookViewId="0">
      <selection activeCell="K44" sqref="K44"/>
    </sheetView>
  </sheetViews>
  <sheetFormatPr defaultColWidth="9" defaultRowHeight="15.6"/>
  <cols>
    <col min="1" max="1" width="7.33203125" style="54" customWidth="1"/>
    <col min="2" max="2" width="8.6640625" style="54" customWidth="1"/>
    <col min="3" max="3" width="6.6640625" style="54" customWidth="1"/>
    <col min="4" max="4" width="7.33203125" style="54" customWidth="1"/>
    <col min="5" max="5" width="8.6640625" style="54" customWidth="1"/>
    <col min="6" max="6" width="6.6640625" style="54" customWidth="1"/>
    <col min="7" max="7" width="7.33203125" style="54" customWidth="1"/>
    <col min="8" max="8" width="8.6640625" style="54" customWidth="1"/>
    <col min="9" max="9" width="6.6640625" style="54" customWidth="1"/>
    <col min="10" max="10" width="7.33203125" style="54" customWidth="1"/>
    <col min="11" max="11" width="8.6640625" style="54" customWidth="1"/>
    <col min="12" max="12" width="6.6640625" style="54" customWidth="1"/>
    <col min="13" max="13" width="23.88671875" style="54" customWidth="1"/>
    <col min="14" max="14" width="17.6640625" style="54" customWidth="1"/>
    <col min="15" max="16" width="11.88671875" style="54" customWidth="1"/>
    <col min="17" max="17" width="17.44140625" style="63" customWidth="1"/>
    <col min="18" max="18" width="13.6640625" style="63" customWidth="1"/>
    <col min="19" max="19" width="14.33203125" style="63" customWidth="1"/>
    <col min="20" max="20" width="9" style="54"/>
    <col min="21" max="21" width="20.77734375" style="54" bestFit="1" customWidth="1"/>
    <col min="22" max="22" width="9" style="54"/>
    <col min="23" max="23" width="13.77734375" style="54" bestFit="1" customWidth="1"/>
    <col min="24" max="16384" width="9" style="54"/>
  </cols>
  <sheetData>
    <row r="1" spans="1:24" s="53" customFormat="1" ht="21" customHeight="1" thickBot="1">
      <c r="A1" s="164" t="s">
        <v>172</v>
      </c>
      <c r="B1" s="164"/>
      <c r="C1" s="111"/>
      <c r="D1" s="111"/>
      <c r="E1" s="112"/>
      <c r="F1" s="111"/>
      <c r="G1" s="113"/>
      <c r="H1" s="113"/>
      <c r="I1" s="113"/>
      <c r="J1" s="113"/>
      <c r="K1" s="113"/>
      <c r="L1" s="113"/>
      <c r="M1" s="113" t="s">
        <v>173</v>
      </c>
      <c r="Q1" s="55"/>
      <c r="R1" s="55"/>
      <c r="S1" s="55"/>
    </row>
    <row r="2" spans="1:24" s="59" customFormat="1" ht="25.65" customHeight="1" thickTop="1" thickBot="1">
      <c r="A2" s="114" t="s">
        <v>31</v>
      </c>
      <c r="B2" s="115" t="s">
        <v>159</v>
      </c>
      <c r="C2" s="116" t="s">
        <v>33</v>
      </c>
      <c r="D2" s="114" t="s">
        <v>31</v>
      </c>
      <c r="E2" s="115" t="s">
        <v>159</v>
      </c>
      <c r="F2" s="117" t="s">
        <v>33</v>
      </c>
      <c r="G2" s="114" t="s">
        <v>31</v>
      </c>
      <c r="H2" s="115" t="s">
        <v>32</v>
      </c>
      <c r="I2" s="117" t="s">
        <v>33</v>
      </c>
      <c r="J2" s="114" t="s">
        <v>31</v>
      </c>
      <c r="K2" s="115" t="s">
        <v>32</v>
      </c>
      <c r="L2" s="117" t="s">
        <v>33</v>
      </c>
      <c r="M2" s="118" t="s">
        <v>174</v>
      </c>
      <c r="N2" s="56"/>
      <c r="O2" s="56"/>
      <c r="P2" s="57" t="s">
        <v>139</v>
      </c>
      <c r="Q2" s="58" t="s">
        <v>140</v>
      </c>
      <c r="S2" s="60" t="s">
        <v>141</v>
      </c>
      <c r="U2" s="137" t="s">
        <v>142</v>
      </c>
      <c r="V2" s="136">
        <v>0.01</v>
      </c>
      <c r="W2" s="137" t="s">
        <v>154</v>
      </c>
      <c r="X2" s="61" t="s">
        <v>145</v>
      </c>
    </row>
    <row r="3" spans="1:24" s="53" customFormat="1" ht="22.2" customHeight="1" thickTop="1">
      <c r="A3" s="119">
        <v>601</v>
      </c>
      <c r="B3" s="120">
        <v>5112</v>
      </c>
      <c r="C3" s="121">
        <v>18</v>
      </c>
      <c r="D3" s="122" t="s">
        <v>76</v>
      </c>
      <c r="E3" s="120">
        <v>0</v>
      </c>
      <c r="F3" s="121">
        <v>16</v>
      </c>
      <c r="G3" s="119">
        <v>661</v>
      </c>
      <c r="H3" s="120">
        <v>6977</v>
      </c>
      <c r="I3" s="123">
        <v>20</v>
      </c>
      <c r="J3" s="119">
        <v>681</v>
      </c>
      <c r="K3" s="120">
        <v>2620</v>
      </c>
      <c r="L3" s="124">
        <v>20</v>
      </c>
      <c r="M3" s="165" t="s">
        <v>569</v>
      </c>
      <c r="N3" s="137" t="s">
        <v>142</v>
      </c>
      <c r="O3" s="137" t="s">
        <v>143</v>
      </c>
      <c r="P3" s="137" t="s">
        <v>144</v>
      </c>
      <c r="Q3" s="61" t="s">
        <v>145</v>
      </c>
      <c r="S3" s="53">
        <v>5900</v>
      </c>
      <c r="U3" s="137" t="s">
        <v>146</v>
      </c>
      <c r="V3" s="136">
        <v>0.01</v>
      </c>
      <c r="W3" s="137" t="s">
        <v>155</v>
      </c>
      <c r="X3" s="61" t="s">
        <v>148</v>
      </c>
    </row>
    <row r="4" spans="1:24" s="53" customFormat="1" ht="22.2" customHeight="1">
      <c r="A4" s="119">
        <v>602</v>
      </c>
      <c r="B4" s="120">
        <v>1233</v>
      </c>
      <c r="C4" s="121">
        <v>18</v>
      </c>
      <c r="D4" s="122" t="s">
        <v>77</v>
      </c>
      <c r="E4" s="120">
        <v>0</v>
      </c>
      <c r="F4" s="121">
        <v>18</v>
      </c>
      <c r="G4" s="119">
        <v>662</v>
      </c>
      <c r="H4" s="120">
        <v>2595</v>
      </c>
      <c r="I4" s="123">
        <v>20</v>
      </c>
      <c r="J4" s="119">
        <v>682</v>
      </c>
      <c r="K4" s="120">
        <v>2257</v>
      </c>
      <c r="L4" s="133">
        <v>18</v>
      </c>
      <c r="M4" s="166"/>
      <c r="N4" s="137" t="s">
        <v>146</v>
      </c>
      <c r="O4" s="137" t="s">
        <v>143</v>
      </c>
      <c r="P4" s="137" t="s">
        <v>147</v>
      </c>
      <c r="Q4" s="61" t="s">
        <v>148</v>
      </c>
      <c r="S4" s="53">
        <v>5600</v>
      </c>
      <c r="U4" s="62">
        <v>680690</v>
      </c>
      <c r="V4" s="136">
        <v>0.01</v>
      </c>
      <c r="W4" s="137" t="s">
        <v>156</v>
      </c>
      <c r="X4" s="61" t="s">
        <v>148</v>
      </c>
    </row>
    <row r="5" spans="1:24" s="53" customFormat="1" ht="22.2" customHeight="1">
      <c r="A5" s="119">
        <v>603</v>
      </c>
      <c r="B5" s="120">
        <v>6647</v>
      </c>
      <c r="C5" s="121">
        <v>20</v>
      </c>
      <c r="D5" s="122">
        <v>631</v>
      </c>
      <c r="E5" s="120">
        <v>6493</v>
      </c>
      <c r="F5" s="121">
        <v>16</v>
      </c>
      <c r="G5" s="119">
        <v>663</v>
      </c>
      <c r="H5" s="120">
        <v>7415</v>
      </c>
      <c r="I5" s="123">
        <v>20</v>
      </c>
      <c r="J5" s="119">
        <v>683</v>
      </c>
      <c r="K5" s="120">
        <v>1528</v>
      </c>
      <c r="L5" s="133">
        <v>19</v>
      </c>
      <c r="M5" s="166"/>
      <c r="N5" s="62">
        <v>680690</v>
      </c>
      <c r="O5" s="137" t="s">
        <v>143</v>
      </c>
      <c r="P5" s="137" t="s">
        <v>149</v>
      </c>
      <c r="Q5" s="61" t="s">
        <v>148</v>
      </c>
      <c r="S5" s="53">
        <v>4100</v>
      </c>
      <c r="U5" s="137" t="s">
        <v>150</v>
      </c>
      <c r="V5" s="136">
        <v>0.01</v>
      </c>
      <c r="W5" s="137" t="s">
        <v>157</v>
      </c>
      <c r="X5" s="61" t="s">
        <v>148</v>
      </c>
    </row>
    <row r="6" spans="1:24" s="53" customFormat="1" ht="22.2" customHeight="1">
      <c r="A6" s="119" t="s">
        <v>78</v>
      </c>
      <c r="B6" s="125">
        <v>591</v>
      </c>
      <c r="C6" s="126">
        <v>15</v>
      </c>
      <c r="D6" s="127">
        <v>632</v>
      </c>
      <c r="E6" s="125">
        <v>1935</v>
      </c>
      <c r="F6" s="126">
        <v>18</v>
      </c>
      <c r="G6" s="127">
        <v>664</v>
      </c>
      <c r="H6" s="120">
        <v>6157</v>
      </c>
      <c r="I6" s="124">
        <v>19</v>
      </c>
      <c r="J6" s="127">
        <v>684</v>
      </c>
      <c r="K6" s="125">
        <v>2946</v>
      </c>
      <c r="L6" s="133">
        <v>21</v>
      </c>
      <c r="M6" s="166"/>
      <c r="N6" s="137" t="s">
        <v>150</v>
      </c>
      <c r="O6" s="137" t="s">
        <v>143</v>
      </c>
      <c r="P6" s="137" t="s">
        <v>151</v>
      </c>
      <c r="Q6" s="61" t="s">
        <v>148</v>
      </c>
      <c r="S6" s="53">
        <v>7000</v>
      </c>
      <c r="U6" s="137" t="s">
        <v>152</v>
      </c>
      <c r="V6" s="136">
        <v>0.01</v>
      </c>
      <c r="W6" s="137" t="s">
        <v>158</v>
      </c>
      <c r="X6" s="61" t="s">
        <v>148</v>
      </c>
    </row>
    <row r="7" spans="1:24" s="53" customFormat="1" ht="22.2" customHeight="1">
      <c r="A7" s="119" t="s">
        <v>79</v>
      </c>
      <c r="B7" s="125">
        <v>2143</v>
      </c>
      <c r="C7" s="126">
        <v>15</v>
      </c>
      <c r="D7" s="127">
        <v>633</v>
      </c>
      <c r="E7" s="125">
        <v>1994</v>
      </c>
      <c r="F7" s="126">
        <v>12</v>
      </c>
      <c r="G7" s="127">
        <v>665</v>
      </c>
      <c r="H7" s="125">
        <v>6262</v>
      </c>
      <c r="I7" s="124">
        <v>18</v>
      </c>
      <c r="J7" s="127">
        <v>685</v>
      </c>
      <c r="K7" s="125">
        <v>443</v>
      </c>
      <c r="L7" s="133">
        <v>20</v>
      </c>
      <c r="M7" s="166"/>
      <c r="N7" s="137" t="s">
        <v>152</v>
      </c>
      <c r="O7" s="137" t="s">
        <v>143</v>
      </c>
      <c r="P7" s="137" t="s">
        <v>153</v>
      </c>
      <c r="Q7" s="61" t="s">
        <v>148</v>
      </c>
      <c r="S7" s="53">
        <v>11590</v>
      </c>
      <c r="X7" s="55"/>
    </row>
    <row r="8" spans="1:24" s="53" customFormat="1" ht="22.2" customHeight="1">
      <c r="A8" s="119">
        <v>611</v>
      </c>
      <c r="B8" s="125">
        <v>27.14</v>
      </c>
      <c r="C8" s="134">
        <v>25</v>
      </c>
      <c r="D8" s="127">
        <v>634</v>
      </c>
      <c r="E8" s="125">
        <v>6687</v>
      </c>
      <c r="F8" s="126">
        <v>16</v>
      </c>
      <c r="G8" s="127">
        <v>666</v>
      </c>
      <c r="H8" s="125">
        <v>3015</v>
      </c>
      <c r="I8" s="124">
        <v>16</v>
      </c>
      <c r="J8" s="127">
        <v>686</v>
      </c>
      <c r="K8" s="125">
        <v>5557</v>
      </c>
      <c r="L8" s="133">
        <v>19</v>
      </c>
      <c r="M8" s="166"/>
      <c r="N8" s="137" t="s">
        <v>163</v>
      </c>
      <c r="O8" s="137" t="s">
        <v>143</v>
      </c>
      <c r="P8" s="137" t="s">
        <v>164</v>
      </c>
      <c r="Q8" s="61" t="s">
        <v>148</v>
      </c>
      <c r="S8" s="53">
        <v>9200</v>
      </c>
    </row>
    <row r="9" spans="1:24" s="53" customFormat="1" ht="22.2" customHeight="1">
      <c r="A9" s="119">
        <v>612</v>
      </c>
      <c r="B9" s="125">
        <v>7.02</v>
      </c>
      <c r="C9" s="134">
        <v>25</v>
      </c>
      <c r="D9" s="127">
        <v>641</v>
      </c>
      <c r="E9" s="125">
        <v>4780</v>
      </c>
      <c r="F9" s="126">
        <v>17</v>
      </c>
      <c r="G9" s="127">
        <v>667</v>
      </c>
      <c r="H9" s="125">
        <v>4909</v>
      </c>
      <c r="I9" s="124">
        <v>20</v>
      </c>
      <c r="J9" s="127">
        <v>687</v>
      </c>
      <c r="K9" s="125">
        <v>2645</v>
      </c>
      <c r="L9" s="133">
        <v>20</v>
      </c>
      <c r="M9" s="166"/>
      <c r="N9" s="137" t="s">
        <v>165</v>
      </c>
      <c r="O9" s="137" t="s">
        <v>143</v>
      </c>
      <c r="P9" s="137" t="s">
        <v>166</v>
      </c>
      <c r="Q9" s="61" t="s">
        <v>148</v>
      </c>
      <c r="S9" s="53">
        <v>6800</v>
      </c>
    </row>
    <row r="10" spans="1:24" s="53" customFormat="1" ht="22.2" customHeight="1">
      <c r="A10" s="119">
        <v>613</v>
      </c>
      <c r="B10" s="125">
        <v>52.13</v>
      </c>
      <c r="C10" s="134">
        <v>25</v>
      </c>
      <c r="D10" s="127">
        <v>642</v>
      </c>
      <c r="E10" s="125">
        <v>4652</v>
      </c>
      <c r="F10" s="126">
        <v>22</v>
      </c>
      <c r="G10" s="127">
        <v>668</v>
      </c>
      <c r="H10" s="125">
        <v>4293</v>
      </c>
      <c r="I10" s="124">
        <v>20</v>
      </c>
      <c r="J10" s="127">
        <v>688</v>
      </c>
      <c r="K10" s="125">
        <v>5778</v>
      </c>
      <c r="L10" s="133">
        <v>20</v>
      </c>
      <c r="M10" s="166"/>
      <c r="N10" s="137" t="s">
        <v>167</v>
      </c>
      <c r="O10" s="136" t="s">
        <v>143</v>
      </c>
      <c r="P10" s="137" t="s">
        <v>168</v>
      </c>
      <c r="Q10" s="61" t="s">
        <v>148</v>
      </c>
      <c r="S10" s="53">
        <v>5500</v>
      </c>
    </row>
    <row r="11" spans="1:24" s="53" customFormat="1" ht="22.2" customHeight="1">
      <c r="A11" s="119">
        <v>614</v>
      </c>
      <c r="B11" s="125">
        <v>7.85</v>
      </c>
      <c r="C11" s="134">
        <v>25</v>
      </c>
      <c r="D11" s="127">
        <v>643</v>
      </c>
      <c r="E11" s="125">
        <v>5988</v>
      </c>
      <c r="F11" s="126">
        <v>20</v>
      </c>
      <c r="G11" s="127">
        <v>669</v>
      </c>
      <c r="H11" s="125">
        <v>672</v>
      </c>
      <c r="I11" s="124">
        <v>32</v>
      </c>
      <c r="J11" s="127">
        <v>689</v>
      </c>
      <c r="K11" s="125">
        <v>2431</v>
      </c>
      <c r="L11" s="133">
        <v>20</v>
      </c>
      <c r="M11" s="166"/>
      <c r="N11" s="137" t="s">
        <v>169</v>
      </c>
      <c r="O11" s="136" t="s">
        <v>143</v>
      </c>
      <c r="P11" s="137">
        <v>9.0746000000000002</v>
      </c>
      <c r="Q11" s="61" t="s">
        <v>148</v>
      </c>
      <c r="S11" s="53">
        <v>7100</v>
      </c>
    </row>
    <row r="12" spans="1:24" s="53" customFormat="1" ht="22.2" customHeight="1">
      <c r="A12" s="119">
        <v>621</v>
      </c>
      <c r="B12" s="125">
        <v>3597</v>
      </c>
      <c r="C12" s="126">
        <v>19</v>
      </c>
      <c r="D12" s="127">
        <v>645</v>
      </c>
      <c r="E12" s="125">
        <v>5795</v>
      </c>
      <c r="F12" s="126">
        <v>20</v>
      </c>
      <c r="G12" s="127">
        <v>670</v>
      </c>
      <c r="H12" s="125">
        <v>-9902</v>
      </c>
      <c r="I12" s="124">
        <v>32</v>
      </c>
      <c r="J12" s="127">
        <v>690</v>
      </c>
      <c r="K12" s="125">
        <v>370</v>
      </c>
      <c r="L12" s="124">
        <v>20</v>
      </c>
      <c r="M12" s="166"/>
      <c r="N12" s="62" t="s">
        <v>170</v>
      </c>
      <c r="O12" s="136" t="s">
        <v>143</v>
      </c>
      <c r="P12" s="137">
        <v>9.0746000000000002</v>
      </c>
      <c r="Q12" s="61" t="s">
        <v>148</v>
      </c>
      <c r="S12" s="53">
        <v>5500</v>
      </c>
    </row>
    <row r="13" spans="1:24" s="53" customFormat="1" ht="22.2" customHeight="1">
      <c r="A13" s="119">
        <v>622</v>
      </c>
      <c r="B13" s="125">
        <v>723</v>
      </c>
      <c r="C13" s="126">
        <v>20</v>
      </c>
      <c r="D13" s="127">
        <v>651</v>
      </c>
      <c r="E13" s="125">
        <v>2781</v>
      </c>
      <c r="F13" s="126">
        <v>30</v>
      </c>
      <c r="G13" s="127">
        <v>671</v>
      </c>
      <c r="H13" s="125">
        <v>0</v>
      </c>
      <c r="I13" s="124">
        <v>19</v>
      </c>
      <c r="J13" s="127">
        <v>691</v>
      </c>
      <c r="K13" s="125">
        <v>4045</v>
      </c>
      <c r="L13" s="133">
        <v>21</v>
      </c>
      <c r="M13" s="166"/>
      <c r="N13" s="168" t="s">
        <v>171</v>
      </c>
      <c r="O13" s="169" t="s">
        <v>143</v>
      </c>
      <c r="P13" s="170">
        <v>7.0686</v>
      </c>
      <c r="Q13" s="162" t="s">
        <v>148</v>
      </c>
      <c r="S13" s="163">
        <v>7000</v>
      </c>
    </row>
    <row r="14" spans="1:24" s="53" customFormat="1" ht="22.2" customHeight="1">
      <c r="A14" s="119">
        <v>623</v>
      </c>
      <c r="B14" s="125">
        <v>2578</v>
      </c>
      <c r="C14" s="126">
        <v>25</v>
      </c>
      <c r="D14" s="127">
        <v>652</v>
      </c>
      <c r="E14" s="125">
        <v>2169</v>
      </c>
      <c r="F14" s="126">
        <v>20</v>
      </c>
      <c r="G14" s="127">
        <v>672</v>
      </c>
      <c r="H14" s="125">
        <v>0</v>
      </c>
      <c r="I14" s="124">
        <v>16</v>
      </c>
      <c r="J14" s="127">
        <v>692</v>
      </c>
      <c r="K14" s="125">
        <v>4732</v>
      </c>
      <c r="L14" s="133">
        <v>21</v>
      </c>
      <c r="M14" s="166"/>
      <c r="N14" s="168"/>
      <c r="O14" s="169"/>
      <c r="P14" s="170"/>
      <c r="Q14" s="162"/>
      <c r="S14" s="163"/>
    </row>
    <row r="15" spans="1:24" s="53" customFormat="1" ht="22.2" customHeight="1">
      <c r="A15" s="122">
        <v>624</v>
      </c>
      <c r="B15" s="125">
        <v>1010</v>
      </c>
      <c r="C15" s="126">
        <v>16</v>
      </c>
      <c r="D15" s="128">
        <v>653</v>
      </c>
      <c r="E15" s="125">
        <v>4169</v>
      </c>
      <c r="F15" s="126">
        <v>20</v>
      </c>
      <c r="G15" s="127">
        <v>673</v>
      </c>
      <c r="H15" s="125">
        <v>1091</v>
      </c>
      <c r="I15" s="124">
        <v>18</v>
      </c>
      <c r="J15" s="127">
        <v>693</v>
      </c>
      <c r="K15" s="125">
        <v>3059</v>
      </c>
      <c r="L15" s="133">
        <v>21</v>
      </c>
      <c r="M15" s="166"/>
      <c r="N15" s="168"/>
      <c r="O15" s="169"/>
      <c r="P15" s="170"/>
      <c r="Q15" s="162"/>
      <c r="R15" s="55"/>
      <c r="S15" s="140">
        <v>6000</v>
      </c>
    </row>
    <row r="16" spans="1:24" s="53" customFormat="1" ht="22.2" customHeight="1">
      <c r="A16" s="122" t="s">
        <v>80</v>
      </c>
      <c r="B16" s="125">
        <v>0</v>
      </c>
      <c r="C16" s="126">
        <v>21</v>
      </c>
      <c r="D16" s="127">
        <v>654</v>
      </c>
      <c r="E16" s="125">
        <v>1610</v>
      </c>
      <c r="F16" s="126">
        <v>18</v>
      </c>
      <c r="G16" s="127">
        <v>674</v>
      </c>
      <c r="H16" s="125">
        <v>32</v>
      </c>
      <c r="I16" s="124">
        <v>15</v>
      </c>
      <c r="J16" s="127">
        <v>694</v>
      </c>
      <c r="K16" s="125">
        <v>1072</v>
      </c>
      <c r="L16" s="133">
        <v>20</v>
      </c>
      <c r="M16" s="166"/>
      <c r="Q16" s="55"/>
      <c r="R16" s="55"/>
      <c r="S16" s="55"/>
    </row>
    <row r="17" spans="1:19" s="53" customFormat="1" ht="22.2" customHeight="1">
      <c r="A17" s="122" t="s">
        <v>26</v>
      </c>
      <c r="B17" s="125">
        <v>5166</v>
      </c>
      <c r="C17" s="126">
        <v>25</v>
      </c>
      <c r="D17" s="128">
        <v>655</v>
      </c>
      <c r="E17" s="125">
        <v>1440</v>
      </c>
      <c r="F17" s="126">
        <v>20</v>
      </c>
      <c r="G17" s="127">
        <v>675</v>
      </c>
      <c r="H17" s="125">
        <v>50.61</v>
      </c>
      <c r="I17" s="133">
        <v>25</v>
      </c>
      <c r="J17" s="127">
        <v>695</v>
      </c>
      <c r="K17" s="125">
        <v>5901</v>
      </c>
      <c r="L17" s="133">
        <v>21</v>
      </c>
      <c r="M17" s="166"/>
      <c r="Q17" s="55"/>
      <c r="R17" s="55"/>
      <c r="S17" s="55"/>
    </row>
    <row r="18" spans="1:19" s="53" customFormat="1" ht="22.2" customHeight="1">
      <c r="A18" s="122" t="s">
        <v>27</v>
      </c>
      <c r="B18" s="125">
        <v>6037</v>
      </c>
      <c r="C18" s="126">
        <v>17</v>
      </c>
      <c r="D18" s="127">
        <v>656</v>
      </c>
      <c r="E18" s="125">
        <v>4798</v>
      </c>
      <c r="F18" s="126">
        <v>20</v>
      </c>
      <c r="G18" s="127">
        <v>676</v>
      </c>
      <c r="H18" s="125">
        <v>5.1100000000000003</v>
      </c>
      <c r="I18" s="133">
        <v>25</v>
      </c>
      <c r="J18" s="127">
        <v>696</v>
      </c>
      <c r="K18" s="125">
        <v>8847</v>
      </c>
      <c r="L18" s="133">
        <v>20</v>
      </c>
      <c r="M18" s="166"/>
      <c r="Q18" s="55"/>
      <c r="R18" s="55"/>
      <c r="S18" s="55"/>
    </row>
    <row r="19" spans="1:19" s="53" customFormat="1" ht="22.2" customHeight="1">
      <c r="A19" s="122" t="s">
        <v>28</v>
      </c>
      <c r="B19" s="125">
        <v>7187</v>
      </c>
      <c r="C19" s="126">
        <v>15</v>
      </c>
      <c r="D19" s="127">
        <v>657</v>
      </c>
      <c r="E19" s="125">
        <v>1762</v>
      </c>
      <c r="F19" s="126">
        <v>19</v>
      </c>
      <c r="G19" s="127">
        <v>677</v>
      </c>
      <c r="H19" s="125">
        <v>5.41</v>
      </c>
      <c r="I19" s="133">
        <v>25</v>
      </c>
      <c r="J19" s="127">
        <v>697</v>
      </c>
      <c r="K19" s="125">
        <v>7225</v>
      </c>
      <c r="L19" s="133">
        <v>22</v>
      </c>
      <c r="M19" s="166"/>
      <c r="Q19" s="55"/>
      <c r="R19" s="55"/>
      <c r="S19" s="55"/>
    </row>
    <row r="20" spans="1:19" s="53" customFormat="1" ht="22.2" customHeight="1">
      <c r="A20" s="122" t="s">
        <v>29</v>
      </c>
      <c r="B20" s="125">
        <v>0</v>
      </c>
      <c r="C20" s="126">
        <v>20</v>
      </c>
      <c r="D20" s="128">
        <v>658</v>
      </c>
      <c r="E20" s="125">
        <v>3928</v>
      </c>
      <c r="F20" s="126">
        <v>19</v>
      </c>
      <c r="G20" s="127">
        <v>678</v>
      </c>
      <c r="H20" s="125">
        <v>64.2</v>
      </c>
      <c r="I20" s="133">
        <v>25</v>
      </c>
      <c r="J20" s="127">
        <v>698</v>
      </c>
      <c r="K20" s="125">
        <v>4450</v>
      </c>
      <c r="L20" s="133">
        <v>35</v>
      </c>
      <c r="M20" s="166"/>
      <c r="Q20" s="55"/>
      <c r="R20" s="55"/>
      <c r="S20" s="55"/>
    </row>
    <row r="21" spans="1:19" s="53" customFormat="1" ht="22.2" customHeight="1">
      <c r="A21" s="122" t="s">
        <v>30</v>
      </c>
      <c r="B21" s="125">
        <v>4974</v>
      </c>
      <c r="C21" s="126">
        <v>23</v>
      </c>
      <c r="D21" s="127">
        <v>659</v>
      </c>
      <c r="E21" s="125">
        <v>630</v>
      </c>
      <c r="F21" s="126">
        <v>17</v>
      </c>
      <c r="G21" s="127">
        <v>680</v>
      </c>
      <c r="H21" s="125">
        <v>0</v>
      </c>
      <c r="I21" s="133">
        <v>22</v>
      </c>
      <c r="J21" s="127">
        <v>699</v>
      </c>
      <c r="K21" s="125">
        <v>2116</v>
      </c>
      <c r="L21" s="133">
        <v>26</v>
      </c>
      <c r="M21" s="166"/>
      <c r="Q21" s="55"/>
      <c r="R21" s="55"/>
      <c r="S21" s="55"/>
    </row>
    <row r="22" spans="1:19" s="53" customFormat="1" ht="22.2" customHeight="1" thickBot="1">
      <c r="A22" s="129" t="s">
        <v>81</v>
      </c>
      <c r="B22" s="130">
        <v>0</v>
      </c>
      <c r="C22" s="130">
        <v>19</v>
      </c>
      <c r="D22" s="131">
        <v>660</v>
      </c>
      <c r="E22" s="130">
        <v>846</v>
      </c>
      <c r="F22" s="132">
        <v>20</v>
      </c>
      <c r="G22" s="131"/>
      <c r="H22" s="130"/>
      <c r="I22" s="132"/>
      <c r="J22" s="131"/>
      <c r="K22" s="130"/>
      <c r="L22" s="132"/>
      <c r="M22" s="167"/>
      <c r="Q22" s="55"/>
      <c r="R22" s="55"/>
      <c r="S22" s="55"/>
    </row>
    <row r="23" spans="1:19" ht="36.6" customHeight="1" thickTop="1">
      <c r="A23" s="112"/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</row>
    <row r="24" spans="1:19" ht="21" customHeight="1" thickBot="1">
      <c r="A24" s="164"/>
      <c r="B24" s="164"/>
      <c r="C24" s="111"/>
      <c r="D24" s="111"/>
      <c r="E24" s="111"/>
      <c r="F24" s="111"/>
      <c r="G24" s="111"/>
      <c r="H24" s="111"/>
      <c r="I24" s="113"/>
      <c r="J24" s="111"/>
      <c r="K24" s="111"/>
      <c r="L24" s="113"/>
      <c r="M24" s="113" t="s">
        <v>175</v>
      </c>
    </row>
    <row r="25" spans="1:19" ht="20.100000000000001" customHeight="1" thickTop="1" thickBot="1">
      <c r="A25" s="114" t="s">
        <v>31</v>
      </c>
      <c r="B25" s="115" t="s">
        <v>159</v>
      </c>
      <c r="C25" s="116" t="s">
        <v>33</v>
      </c>
      <c r="D25" s="114" t="s">
        <v>31</v>
      </c>
      <c r="E25" s="115" t="s">
        <v>159</v>
      </c>
      <c r="F25" s="117" t="s">
        <v>33</v>
      </c>
      <c r="G25" s="114" t="s">
        <v>31</v>
      </c>
      <c r="H25" s="115" t="s">
        <v>32</v>
      </c>
      <c r="I25" s="117" t="s">
        <v>33</v>
      </c>
      <c r="J25" s="114" t="s">
        <v>31</v>
      </c>
      <c r="K25" s="115" t="s">
        <v>32</v>
      </c>
      <c r="L25" s="117" t="s">
        <v>33</v>
      </c>
      <c r="M25" s="118" t="s">
        <v>174</v>
      </c>
    </row>
    <row r="26" spans="1:19" ht="21.75" customHeight="1" thickTop="1">
      <c r="A26" s="119">
        <v>601</v>
      </c>
      <c r="B26" s="120">
        <v>5114</v>
      </c>
      <c r="C26" s="121">
        <v>21</v>
      </c>
      <c r="D26" s="122" t="s">
        <v>76</v>
      </c>
      <c r="E26" s="120">
        <v>0</v>
      </c>
      <c r="F26" s="121">
        <v>14</v>
      </c>
      <c r="G26" s="119">
        <v>661</v>
      </c>
      <c r="H26" s="120">
        <v>6984</v>
      </c>
      <c r="I26" s="123">
        <v>21</v>
      </c>
      <c r="J26" s="119">
        <v>681</v>
      </c>
      <c r="K26" s="120">
        <v>2106</v>
      </c>
      <c r="L26" s="124">
        <v>23</v>
      </c>
      <c r="M26" s="165"/>
    </row>
    <row r="27" spans="1:19" ht="21.75" customHeight="1">
      <c r="A27" s="119">
        <v>602</v>
      </c>
      <c r="B27" s="120">
        <v>1319</v>
      </c>
      <c r="C27" s="121">
        <v>21</v>
      </c>
      <c r="D27" s="122" t="s">
        <v>77</v>
      </c>
      <c r="E27" s="120">
        <v>0</v>
      </c>
      <c r="F27" s="121">
        <v>21</v>
      </c>
      <c r="G27" s="119">
        <v>662</v>
      </c>
      <c r="H27" s="120">
        <v>2598</v>
      </c>
      <c r="I27" s="123">
        <v>20</v>
      </c>
      <c r="J27" s="119">
        <v>682</v>
      </c>
      <c r="K27" s="120">
        <v>1871</v>
      </c>
      <c r="L27" s="133">
        <v>22</v>
      </c>
      <c r="M27" s="166"/>
    </row>
    <row r="28" spans="1:19" ht="21.75" customHeight="1">
      <c r="A28" s="119">
        <v>603</v>
      </c>
      <c r="B28" s="120">
        <v>6647</v>
      </c>
      <c r="C28" s="121">
        <v>20</v>
      </c>
      <c r="D28" s="122">
        <v>631</v>
      </c>
      <c r="E28" s="120">
        <v>6489</v>
      </c>
      <c r="F28" s="121">
        <v>18</v>
      </c>
      <c r="G28" s="119">
        <v>663</v>
      </c>
      <c r="H28" s="120">
        <v>7422</v>
      </c>
      <c r="I28" s="123">
        <v>22</v>
      </c>
      <c r="J28" s="119">
        <v>683</v>
      </c>
      <c r="K28" s="120">
        <v>1528</v>
      </c>
      <c r="L28" s="133">
        <v>22</v>
      </c>
      <c r="M28" s="166"/>
    </row>
    <row r="29" spans="1:19" ht="21.75" customHeight="1">
      <c r="A29" s="119" t="s">
        <v>78</v>
      </c>
      <c r="B29" s="125">
        <v>321</v>
      </c>
      <c r="C29" s="126">
        <v>21</v>
      </c>
      <c r="D29" s="127">
        <v>632</v>
      </c>
      <c r="E29" s="125">
        <v>1933</v>
      </c>
      <c r="F29" s="126">
        <v>22</v>
      </c>
      <c r="G29" s="127">
        <v>664</v>
      </c>
      <c r="H29" s="120">
        <v>6162</v>
      </c>
      <c r="I29" s="124">
        <v>21</v>
      </c>
      <c r="J29" s="127">
        <v>684</v>
      </c>
      <c r="K29" s="125">
        <v>2947</v>
      </c>
      <c r="L29" s="133">
        <v>22</v>
      </c>
      <c r="M29" s="166"/>
    </row>
    <row r="30" spans="1:19" ht="21.75" customHeight="1">
      <c r="A30" s="119" t="s">
        <v>79</v>
      </c>
      <c r="B30" s="125">
        <v>3872</v>
      </c>
      <c r="C30" s="126">
        <v>21</v>
      </c>
      <c r="D30" s="127">
        <v>633</v>
      </c>
      <c r="E30" s="125">
        <v>1893</v>
      </c>
      <c r="F30" s="126">
        <v>13</v>
      </c>
      <c r="G30" s="127">
        <v>665</v>
      </c>
      <c r="H30" s="125">
        <v>4920</v>
      </c>
      <c r="I30" s="124">
        <v>22</v>
      </c>
      <c r="J30" s="127">
        <v>685</v>
      </c>
      <c r="K30" s="125">
        <v>442</v>
      </c>
      <c r="L30" s="133">
        <v>19</v>
      </c>
      <c r="M30" s="166"/>
    </row>
    <row r="31" spans="1:19" ht="21.75" customHeight="1">
      <c r="A31" s="119">
        <v>611</v>
      </c>
      <c r="B31" s="125">
        <v>27.13</v>
      </c>
      <c r="C31" s="134">
        <v>25</v>
      </c>
      <c r="D31" s="127">
        <v>634</v>
      </c>
      <c r="E31" s="125">
        <v>6687</v>
      </c>
      <c r="F31" s="126">
        <v>18</v>
      </c>
      <c r="G31" s="127">
        <v>666</v>
      </c>
      <c r="H31" s="125">
        <v>3015</v>
      </c>
      <c r="I31" s="124">
        <v>19</v>
      </c>
      <c r="J31" s="127">
        <v>686</v>
      </c>
      <c r="K31" s="125">
        <v>5557</v>
      </c>
      <c r="L31" s="133">
        <v>21</v>
      </c>
      <c r="M31" s="166"/>
    </row>
    <row r="32" spans="1:19" ht="21.75" customHeight="1">
      <c r="A32" s="119">
        <v>612</v>
      </c>
      <c r="B32" s="125">
        <v>7.04</v>
      </c>
      <c r="C32" s="134">
        <v>25</v>
      </c>
      <c r="D32" s="127">
        <v>641</v>
      </c>
      <c r="E32" s="125">
        <v>4780</v>
      </c>
      <c r="F32" s="126">
        <v>19</v>
      </c>
      <c r="G32" s="127">
        <v>667</v>
      </c>
      <c r="H32" s="125">
        <v>4909</v>
      </c>
      <c r="I32" s="124">
        <v>21</v>
      </c>
      <c r="J32" s="127">
        <v>687</v>
      </c>
      <c r="K32" s="125">
        <v>2644</v>
      </c>
      <c r="L32" s="133">
        <v>21</v>
      </c>
      <c r="M32" s="166"/>
    </row>
    <row r="33" spans="1:13" ht="21.75" customHeight="1">
      <c r="A33" s="119">
        <v>613</v>
      </c>
      <c r="B33" s="125">
        <v>21.58</v>
      </c>
      <c r="C33" s="134">
        <v>25</v>
      </c>
      <c r="D33" s="127">
        <v>642</v>
      </c>
      <c r="E33" s="125">
        <v>4992</v>
      </c>
      <c r="F33" s="126">
        <v>26</v>
      </c>
      <c r="G33" s="127">
        <v>668</v>
      </c>
      <c r="H33" s="125">
        <v>4292</v>
      </c>
      <c r="I33" s="124">
        <v>21</v>
      </c>
      <c r="J33" s="127">
        <v>688</v>
      </c>
      <c r="K33" s="125">
        <v>5778</v>
      </c>
      <c r="L33" s="133">
        <v>21</v>
      </c>
      <c r="M33" s="166"/>
    </row>
    <row r="34" spans="1:13" ht="21.75" customHeight="1">
      <c r="A34" s="119">
        <v>614</v>
      </c>
      <c r="B34" s="125">
        <v>20.87</v>
      </c>
      <c r="C34" s="134">
        <v>25</v>
      </c>
      <c r="D34" s="127">
        <v>643</v>
      </c>
      <c r="E34" s="125">
        <v>5995</v>
      </c>
      <c r="F34" s="126">
        <v>20</v>
      </c>
      <c r="G34" s="127">
        <v>669</v>
      </c>
      <c r="H34" s="125">
        <v>672</v>
      </c>
      <c r="I34" s="124">
        <v>35</v>
      </c>
      <c r="J34" s="127">
        <v>689</v>
      </c>
      <c r="K34" s="125">
        <v>1960</v>
      </c>
      <c r="L34" s="133">
        <v>21</v>
      </c>
      <c r="M34" s="166"/>
    </row>
    <row r="35" spans="1:13" ht="21.75" customHeight="1">
      <c r="A35" s="119">
        <v>621</v>
      </c>
      <c r="B35" s="125">
        <v>3597</v>
      </c>
      <c r="C35" s="126">
        <v>21</v>
      </c>
      <c r="D35" s="127">
        <v>645</v>
      </c>
      <c r="E35" s="125">
        <v>5159</v>
      </c>
      <c r="F35" s="126">
        <v>20</v>
      </c>
      <c r="G35" s="127">
        <v>670</v>
      </c>
      <c r="H35" s="125">
        <v>-9904</v>
      </c>
      <c r="I35" s="124">
        <v>35</v>
      </c>
      <c r="J35" s="127">
        <v>690</v>
      </c>
      <c r="K35" s="125">
        <v>367</v>
      </c>
      <c r="L35" s="124">
        <v>20</v>
      </c>
      <c r="M35" s="166"/>
    </row>
    <row r="36" spans="1:13" ht="21.75" customHeight="1">
      <c r="A36" s="119">
        <v>622</v>
      </c>
      <c r="B36" s="125">
        <v>721</v>
      </c>
      <c r="C36" s="126">
        <v>22</v>
      </c>
      <c r="D36" s="127">
        <v>651</v>
      </c>
      <c r="E36" s="125">
        <v>2776</v>
      </c>
      <c r="F36" s="126">
        <v>30</v>
      </c>
      <c r="G36" s="127">
        <v>671</v>
      </c>
      <c r="H36" s="125">
        <v>0</v>
      </c>
      <c r="I36" s="124">
        <v>23</v>
      </c>
      <c r="J36" s="127">
        <v>691</v>
      </c>
      <c r="K36" s="125">
        <v>4445</v>
      </c>
      <c r="L36" s="133">
        <v>21</v>
      </c>
      <c r="M36" s="166"/>
    </row>
    <row r="37" spans="1:13" ht="21.75" customHeight="1">
      <c r="A37" s="119">
        <v>623</v>
      </c>
      <c r="B37" s="125">
        <v>2461</v>
      </c>
      <c r="C37" s="126">
        <v>25</v>
      </c>
      <c r="D37" s="127">
        <v>652</v>
      </c>
      <c r="E37" s="125">
        <v>2211</v>
      </c>
      <c r="F37" s="126">
        <v>20</v>
      </c>
      <c r="G37" s="127">
        <v>672</v>
      </c>
      <c r="H37" s="125">
        <v>0</v>
      </c>
      <c r="I37" s="124">
        <v>20</v>
      </c>
      <c r="J37" s="127">
        <v>692</v>
      </c>
      <c r="K37" s="125">
        <v>4730</v>
      </c>
      <c r="L37" s="133">
        <v>21</v>
      </c>
      <c r="M37" s="166"/>
    </row>
    <row r="38" spans="1:13" ht="21.75" customHeight="1">
      <c r="A38" s="122">
        <v>624</v>
      </c>
      <c r="B38" s="125">
        <v>601</v>
      </c>
      <c r="C38" s="126">
        <v>21</v>
      </c>
      <c r="D38" s="128">
        <v>653</v>
      </c>
      <c r="E38" s="125">
        <v>4167</v>
      </c>
      <c r="F38" s="126">
        <v>21</v>
      </c>
      <c r="G38" s="127">
        <v>673</v>
      </c>
      <c r="H38" s="125">
        <v>1091</v>
      </c>
      <c r="I38" s="124">
        <v>22</v>
      </c>
      <c r="J38" s="127">
        <v>693</v>
      </c>
      <c r="K38" s="125">
        <v>3056</v>
      </c>
      <c r="L38" s="133">
        <v>22</v>
      </c>
      <c r="M38" s="166"/>
    </row>
    <row r="39" spans="1:13" ht="21.75" customHeight="1">
      <c r="A39" s="122" t="s">
        <v>80</v>
      </c>
      <c r="B39" s="125">
        <v>0</v>
      </c>
      <c r="C39" s="126">
        <v>22</v>
      </c>
      <c r="D39" s="127">
        <v>654</v>
      </c>
      <c r="E39" s="125">
        <v>1610</v>
      </c>
      <c r="F39" s="126">
        <v>22</v>
      </c>
      <c r="G39" s="127">
        <v>674</v>
      </c>
      <c r="H39" s="125">
        <v>24</v>
      </c>
      <c r="I39" s="124">
        <v>20</v>
      </c>
      <c r="J39" s="127">
        <v>694</v>
      </c>
      <c r="K39" s="125">
        <v>1071</v>
      </c>
      <c r="L39" s="133">
        <v>20</v>
      </c>
      <c r="M39" s="166"/>
    </row>
    <row r="40" spans="1:13" ht="21.75" customHeight="1">
      <c r="A40" s="122" t="s">
        <v>26</v>
      </c>
      <c r="B40" s="125">
        <v>0</v>
      </c>
      <c r="C40" s="126">
        <v>26</v>
      </c>
      <c r="D40" s="128">
        <v>655</v>
      </c>
      <c r="E40" s="125">
        <v>1441</v>
      </c>
      <c r="F40" s="126">
        <v>23</v>
      </c>
      <c r="G40" s="127">
        <v>675</v>
      </c>
      <c r="H40" s="125">
        <v>84.65</v>
      </c>
      <c r="I40" s="133">
        <v>25</v>
      </c>
      <c r="J40" s="127">
        <v>695</v>
      </c>
      <c r="K40" s="125">
        <v>5929</v>
      </c>
      <c r="L40" s="133">
        <v>22</v>
      </c>
      <c r="M40" s="166"/>
    </row>
    <row r="41" spans="1:13" ht="21.75" customHeight="1">
      <c r="A41" s="122" t="s">
        <v>27</v>
      </c>
      <c r="B41" s="125">
        <v>6041</v>
      </c>
      <c r="C41" s="126">
        <v>16</v>
      </c>
      <c r="D41" s="127">
        <v>656</v>
      </c>
      <c r="E41" s="125">
        <v>4811</v>
      </c>
      <c r="F41" s="126">
        <v>22</v>
      </c>
      <c r="G41" s="127">
        <v>676</v>
      </c>
      <c r="H41" s="125">
        <v>23.21</v>
      </c>
      <c r="I41" s="133">
        <v>25</v>
      </c>
      <c r="J41" s="127">
        <v>696</v>
      </c>
      <c r="K41" s="125">
        <v>8846</v>
      </c>
      <c r="L41" s="133">
        <v>20</v>
      </c>
      <c r="M41" s="166"/>
    </row>
    <row r="42" spans="1:13" ht="21.75" customHeight="1">
      <c r="A42" s="122" t="s">
        <v>28</v>
      </c>
      <c r="B42" s="125">
        <v>7191</v>
      </c>
      <c r="C42" s="126">
        <v>16</v>
      </c>
      <c r="D42" s="127">
        <v>657</v>
      </c>
      <c r="E42" s="125">
        <v>1761</v>
      </c>
      <c r="F42" s="126">
        <v>23</v>
      </c>
      <c r="G42" s="127">
        <v>677</v>
      </c>
      <c r="H42" s="125">
        <v>5.42</v>
      </c>
      <c r="I42" s="133">
        <v>25</v>
      </c>
      <c r="J42" s="127">
        <v>697</v>
      </c>
      <c r="K42" s="125">
        <v>7224</v>
      </c>
      <c r="L42" s="133">
        <v>22</v>
      </c>
      <c r="M42" s="166"/>
    </row>
    <row r="43" spans="1:13" ht="21.75" customHeight="1">
      <c r="A43" s="122" t="s">
        <v>29</v>
      </c>
      <c r="B43" s="125">
        <v>1443</v>
      </c>
      <c r="C43" s="126">
        <v>21</v>
      </c>
      <c r="D43" s="128">
        <v>658</v>
      </c>
      <c r="E43" s="125">
        <v>3933</v>
      </c>
      <c r="F43" s="126">
        <v>23</v>
      </c>
      <c r="G43" s="127">
        <v>678</v>
      </c>
      <c r="H43" s="125">
        <v>64.2</v>
      </c>
      <c r="I43" s="133">
        <v>25</v>
      </c>
      <c r="J43" s="127">
        <v>698</v>
      </c>
      <c r="K43" s="125">
        <v>4459</v>
      </c>
      <c r="L43" s="133">
        <v>50</v>
      </c>
      <c r="M43" s="166"/>
    </row>
    <row r="44" spans="1:13" ht="21.75" customHeight="1">
      <c r="A44" s="122" t="s">
        <v>30</v>
      </c>
      <c r="B44" s="125">
        <v>4975</v>
      </c>
      <c r="C44" s="126">
        <v>26</v>
      </c>
      <c r="D44" s="127">
        <v>659</v>
      </c>
      <c r="E44" s="125">
        <v>4211</v>
      </c>
      <c r="F44" s="126">
        <v>23</v>
      </c>
      <c r="G44" s="127">
        <v>680</v>
      </c>
      <c r="H44" s="125">
        <v>0</v>
      </c>
      <c r="I44" s="133">
        <v>22</v>
      </c>
      <c r="J44" s="127">
        <v>699</v>
      </c>
      <c r="K44" s="125">
        <v>1939</v>
      </c>
      <c r="L44" s="133">
        <v>25</v>
      </c>
      <c r="M44" s="166"/>
    </row>
    <row r="45" spans="1:13" ht="21.75" customHeight="1" thickBot="1">
      <c r="A45" s="129" t="s">
        <v>81</v>
      </c>
      <c r="B45" s="130">
        <v>4098</v>
      </c>
      <c r="C45" s="130">
        <v>21</v>
      </c>
      <c r="D45" s="131">
        <v>660</v>
      </c>
      <c r="E45" s="130">
        <v>846</v>
      </c>
      <c r="F45" s="132">
        <v>22</v>
      </c>
      <c r="G45" s="131"/>
      <c r="H45" s="130"/>
      <c r="I45" s="132"/>
      <c r="J45" s="131"/>
      <c r="K45" s="130"/>
      <c r="L45" s="132"/>
      <c r="M45" s="167"/>
    </row>
    <row r="46" spans="1:13" ht="16.2" thickTop="1"/>
  </sheetData>
  <sheetProtection selectLockedCells="1"/>
  <mergeCells count="9">
    <mergeCell ref="Q13:Q15"/>
    <mergeCell ref="S13:S14"/>
    <mergeCell ref="A24:B24"/>
    <mergeCell ref="M26:M45"/>
    <mergeCell ref="A1:B1"/>
    <mergeCell ref="M3:M22"/>
    <mergeCell ref="N13:N15"/>
    <mergeCell ref="O13:O15"/>
    <mergeCell ref="P13:P15"/>
  </mergeCells>
  <phoneticPr fontId="2" type="noConversion"/>
  <dataValidations count="11">
    <dataValidation type="custom" errorStyle="warning" allowBlank="1" showInputMessage="1" showErrorMessage="1" error="***你在睡喔,醒醒好嗎" sqref="E31 B29:B30 B27 B38 E8 B6:B7 B4 B15">
      <formula1>B4&lt;=9100</formula1>
    </dataValidation>
    <dataValidation type="custom" errorStyle="warning" allowBlank="1" showInputMessage="1" showErrorMessage="1" error="***你在睡喔,醒醒好嗎" sqref="B31:B34 H40:H43 B8:B11 H17:H20">
      <formula1>B8&lt;=100</formula1>
    </dataValidation>
    <dataValidation type="custom" errorStyle="warning" allowBlank="1" showInputMessage="1" showErrorMessage="1" error="***你在睡喔,醒醒好嗎" sqref="E26:E27 B39:B45 E43:E45 H26:H39 E3:E4 B16:B22 E20:E22 H3:H16">
      <formula1>B3&lt;=7400</formula1>
    </dataValidation>
    <dataValidation type="custom" errorStyle="warning" allowBlank="1" showInputMessage="1" showErrorMessage="1" error="***你在睡喔,醒醒好嗎" sqref="E37:E42 E14:E19">
      <formula1>E14&lt;=5500</formula1>
    </dataValidation>
    <dataValidation type="custom" errorStyle="warning" allowBlank="1" showInputMessage="1" showErrorMessage="1" error="***你在睡喔,醒醒好嗎" sqref="H44 K35 H21 K12">
      <formula1>H12&lt;=4100</formula1>
    </dataValidation>
    <dataValidation type="custom" errorStyle="warning" allowBlank="1" showInputMessage="1" showErrorMessage="1" error="***你在睡喔,醒醒好嗎" sqref="E28:E29 B28 K37:K40 B35:B36 B26 E5:E6 B5 K14:K17 B12:B13 B3">
      <formula1>B3&lt;=7000</formula1>
    </dataValidation>
    <dataValidation type="custom" errorStyle="warning" allowBlank="1" showInputMessage="1" showErrorMessage="1" error="***你在睡喔,醒醒好嗎" sqref="K41:K44 K18:K21">
      <formula1>K18&lt;=12000</formula1>
    </dataValidation>
    <dataValidation type="custom" errorStyle="warning" allowBlank="1" showInputMessage="1" showErrorMessage="1" error="***你在睡喔,醒醒好嗎" sqref="B37 E30 E32:E33 E36 K26:K30 K32:K33 K36 B14 E7 E9:E10 E13 K3:K7 K9:K10 K13">
      <formula1>B3&lt;=5600</formula1>
    </dataValidation>
    <dataValidation type="custom" errorStyle="warning" allowBlank="1" showInputMessage="1" showErrorMessage="1" error="***你在睡喔,醒醒好嗎" sqref="K34 K31 K11 K8">
      <formula1>K8&lt;=5700</formula1>
    </dataValidation>
    <dataValidation type="custom" errorStyle="warning" allowBlank="1" showInputMessage="1" showErrorMessage="1" error="***你在睡喔,醒醒好嗎" sqref="E35 E12">
      <formula1>E12&lt;=6000</formula1>
    </dataValidation>
    <dataValidation type="custom" errorStyle="warning" allowBlank="1" showInputMessage="1" showErrorMessage="1" error="***你在睡喔,醒醒好嗎" sqref="E34 E11">
      <formula1>E11&lt;=6000</formula1>
    </dataValidation>
  </dataValidations>
  <printOptions horizontalCentered="1"/>
  <pageMargins left="0.39370078740157483" right="0.19685039370078741" top="0.19685039370078741" bottom="0" header="0" footer="0"/>
  <pageSetup paperSize="9" scale="84" pageOrder="overThenDown" orientation="portrait" horizontalDpi="180" verticalDpi="18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47681" r:id="rId4" name="CommandButton1">
          <controlPr autoLine="0" r:id="rId5">
            <anchor moveWithCells="1">
              <from>
                <xdr:col>13</xdr:col>
                <xdr:colOff>30480</xdr:colOff>
                <xdr:row>15</xdr:row>
                <xdr:rowOff>198120</xdr:rowOff>
              </from>
              <to>
                <xdr:col>15</xdr:col>
                <xdr:colOff>495300</xdr:colOff>
                <xdr:row>22</xdr:row>
                <xdr:rowOff>388620</xdr:rowOff>
              </to>
            </anchor>
          </controlPr>
        </control>
      </mc:Choice>
      <mc:Fallback>
        <control shapeId="2247681" r:id="rId4" name="CommandButton1"/>
      </mc:Fallback>
    </mc:AlternateContent>
    <mc:AlternateContent xmlns:mc="http://schemas.openxmlformats.org/markup-compatibility/2006">
      <mc:Choice Requires="x14">
        <control shapeId="2247682" r:id="rId6" name="CommandButton2">
          <controlPr autoLine="0" r:id="rId7">
            <anchor moveWithCells="1">
              <from>
                <xdr:col>13</xdr:col>
                <xdr:colOff>22860</xdr:colOff>
                <xdr:row>25</xdr:row>
                <xdr:rowOff>60960</xdr:rowOff>
              </from>
              <to>
                <xdr:col>15</xdr:col>
                <xdr:colOff>548640</xdr:colOff>
                <xdr:row>32</xdr:row>
                <xdr:rowOff>0</xdr:rowOff>
              </to>
            </anchor>
          </controlPr>
        </control>
      </mc:Choice>
      <mc:Fallback>
        <control shapeId="2247682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pageSetUpPr fitToPage="1"/>
  </sheetPr>
  <dimension ref="A1:X93"/>
  <sheetViews>
    <sheetView showRuler="0" view="pageBreakPreview" zoomScale="60" zoomScaleNormal="60" workbookViewId="0">
      <pane ySplit="1" topLeftCell="A44" activePane="bottomLeft" state="frozen"/>
      <selection activeCell="K12" sqref="K12"/>
      <selection pane="bottomLeft" activeCell="A61" sqref="A61:XFD61"/>
    </sheetView>
  </sheetViews>
  <sheetFormatPr defaultColWidth="9" defaultRowHeight="16.2"/>
  <cols>
    <col min="1" max="1" width="9.44140625" style="47" customWidth="1"/>
    <col min="2" max="10" width="10.6640625" style="47" customWidth="1"/>
    <col min="11" max="12" width="10.6640625" style="6" customWidth="1"/>
    <col min="13" max="13" width="10.6640625" style="50" customWidth="1"/>
    <col min="14" max="16" width="10.6640625" style="6" customWidth="1"/>
    <col min="17" max="17" width="12.88671875" style="47" customWidth="1"/>
    <col min="18" max="18" width="10.6640625" style="6" customWidth="1"/>
    <col min="19" max="19" width="10.6640625" style="47" customWidth="1"/>
    <col min="20" max="20" width="10.6640625" style="6" customWidth="1"/>
    <col min="21" max="21" width="10.6640625" style="51" customWidth="1"/>
    <col min="22" max="23" width="9.88671875" style="6" bestFit="1" customWidth="1"/>
    <col min="24" max="24" width="15.44140625" style="6" bestFit="1" customWidth="1"/>
    <col min="25" max="16384" width="9" style="6"/>
  </cols>
  <sheetData>
    <row r="1" spans="1:24" ht="49.2" customHeight="1">
      <c r="A1" s="1" t="s">
        <v>6</v>
      </c>
      <c r="B1" s="2" t="s">
        <v>7</v>
      </c>
      <c r="C1" s="2" t="s">
        <v>8</v>
      </c>
      <c r="D1" s="2" t="s">
        <v>9</v>
      </c>
      <c r="E1" s="2" t="s">
        <v>10</v>
      </c>
      <c r="F1" s="3" t="s">
        <v>11</v>
      </c>
      <c r="G1" s="2" t="s">
        <v>12</v>
      </c>
      <c r="H1" s="2" t="s">
        <v>13</v>
      </c>
      <c r="I1" s="2" t="s">
        <v>14</v>
      </c>
      <c r="J1" s="4" t="s">
        <v>15</v>
      </c>
      <c r="K1" s="2" t="s">
        <v>16</v>
      </c>
      <c r="L1" s="2" t="s">
        <v>17</v>
      </c>
      <c r="M1" s="2" t="s">
        <v>18</v>
      </c>
      <c r="N1" s="2" t="s">
        <v>19</v>
      </c>
      <c r="O1" s="4" t="s">
        <v>20</v>
      </c>
      <c r="P1" s="3" t="s">
        <v>21</v>
      </c>
      <c r="Q1" s="2" t="s">
        <v>70</v>
      </c>
      <c r="R1" s="2" t="s">
        <v>22</v>
      </c>
      <c r="S1" s="2" t="s">
        <v>23</v>
      </c>
      <c r="T1" s="2" t="s">
        <v>24</v>
      </c>
      <c r="U1" s="5" t="s">
        <v>25</v>
      </c>
      <c r="V1" s="5" t="s">
        <v>34</v>
      </c>
      <c r="W1" s="5" t="s">
        <v>38</v>
      </c>
      <c r="X1" s="5" t="s">
        <v>75</v>
      </c>
    </row>
    <row r="2" spans="1:24" s="13" customFormat="1" ht="26.4" customHeight="1" thickBot="1">
      <c r="A2" s="7">
        <v>1</v>
      </c>
      <c r="B2" s="8">
        <v>0.80020000000000002</v>
      </c>
      <c r="C2" s="8">
        <v>1.1264000000000001</v>
      </c>
      <c r="D2" s="8">
        <v>1.0450999999999999</v>
      </c>
      <c r="E2" s="8">
        <v>0.81089999999999995</v>
      </c>
      <c r="F2" s="9"/>
      <c r="G2" s="8">
        <v>0.80520000000000003</v>
      </c>
      <c r="H2" s="8">
        <v>0.93820000000000003</v>
      </c>
      <c r="I2" s="8">
        <v>1.0691999999999999</v>
      </c>
      <c r="J2" s="10">
        <v>0.98939999999999995</v>
      </c>
      <c r="K2" s="8">
        <v>0.96160000000000001</v>
      </c>
      <c r="L2" s="11">
        <v>0.95099999999999996</v>
      </c>
      <c r="M2" s="8"/>
      <c r="N2" s="11">
        <v>0.94899999999999995</v>
      </c>
      <c r="O2" s="11">
        <v>0.93500000000000005</v>
      </c>
      <c r="P2" s="9"/>
      <c r="Q2" s="27">
        <v>0.95454000000000006</v>
      </c>
      <c r="R2" s="8">
        <v>0.82220000000000004</v>
      </c>
      <c r="S2" s="12">
        <v>1.0519000000000001</v>
      </c>
      <c r="T2" s="8">
        <v>0.96960000000000002</v>
      </c>
      <c r="U2" s="8">
        <v>1.028</v>
      </c>
      <c r="V2" s="16">
        <v>0.96399999999999997</v>
      </c>
      <c r="W2" s="16">
        <v>0.97658999999999996</v>
      </c>
      <c r="X2" s="16">
        <v>0.81481000000000003</v>
      </c>
    </row>
    <row r="3" spans="1:24" s="13" customFormat="1" ht="26.4" customHeight="1" thickTop="1" thickBot="1">
      <c r="A3" s="7">
        <v>2</v>
      </c>
      <c r="B3" s="8">
        <v>0.79930000000000001</v>
      </c>
      <c r="C3" s="8">
        <v>1.1257999999999999</v>
      </c>
      <c r="D3" s="8">
        <v>1.0471999999999999</v>
      </c>
      <c r="E3" s="14">
        <v>0.81</v>
      </c>
      <c r="F3" s="9"/>
      <c r="G3" s="8">
        <v>0.80420000000000003</v>
      </c>
      <c r="H3" s="8">
        <v>0.93730000000000002</v>
      </c>
      <c r="I3" s="8">
        <v>1.0681</v>
      </c>
      <c r="J3" s="10">
        <v>0.98939999999999995</v>
      </c>
      <c r="K3" s="8">
        <v>0.9607</v>
      </c>
      <c r="L3" s="11">
        <v>0.96</v>
      </c>
      <c r="M3" s="8"/>
      <c r="N3" s="11">
        <v>0.94899999999999995</v>
      </c>
      <c r="O3" s="11">
        <v>0.93500000000000005</v>
      </c>
      <c r="P3" s="9"/>
      <c r="Q3" s="27">
        <v>0.95454000000000006</v>
      </c>
      <c r="R3" s="8">
        <v>0.82120000000000004</v>
      </c>
      <c r="S3" s="12">
        <v>1.0511999999999999</v>
      </c>
      <c r="T3" s="8">
        <v>0.96870000000000001</v>
      </c>
      <c r="U3" s="8">
        <v>1.028</v>
      </c>
      <c r="V3" s="16">
        <v>0.96399999999999997</v>
      </c>
      <c r="W3" s="16">
        <v>0.97658999999999996</v>
      </c>
      <c r="X3" s="16">
        <v>0.81481000000000003</v>
      </c>
    </row>
    <row r="4" spans="1:24" s="13" customFormat="1" ht="26.4" customHeight="1" thickTop="1" thickBot="1">
      <c r="A4" s="7">
        <v>3</v>
      </c>
      <c r="B4" s="8">
        <v>0.7984</v>
      </c>
      <c r="C4" s="8">
        <v>1.1251</v>
      </c>
      <c r="D4" s="8">
        <v>1.0463</v>
      </c>
      <c r="E4" s="8">
        <v>0.80910000000000004</v>
      </c>
      <c r="F4" s="9"/>
      <c r="G4" s="8">
        <v>0.80320000000000003</v>
      </c>
      <c r="H4" s="8">
        <v>0.93630000000000002</v>
      </c>
      <c r="I4" s="14">
        <v>1.0669999999999999</v>
      </c>
      <c r="J4" s="10">
        <v>0.98939999999999995</v>
      </c>
      <c r="K4" s="8">
        <v>0.95989999999999998</v>
      </c>
      <c r="L4" s="11">
        <v>0.95899999999999996</v>
      </c>
      <c r="M4" s="8"/>
      <c r="N4" s="11">
        <v>0.94899999999999995</v>
      </c>
      <c r="O4" s="11">
        <v>0.93500000000000005</v>
      </c>
      <c r="P4" s="9"/>
      <c r="Q4" s="27">
        <v>0.95454000000000006</v>
      </c>
      <c r="R4" s="8">
        <v>0.82020000000000004</v>
      </c>
      <c r="S4" s="12">
        <v>1.0504</v>
      </c>
      <c r="T4" s="8">
        <v>0.96789999999999998</v>
      </c>
      <c r="U4" s="8">
        <v>1.028</v>
      </c>
      <c r="V4" s="16">
        <v>0.96399999999999997</v>
      </c>
      <c r="W4" s="16">
        <v>0.97658999999999996</v>
      </c>
      <c r="X4" s="16">
        <v>0.81481000000000003</v>
      </c>
    </row>
    <row r="5" spans="1:24" s="13" customFormat="1" ht="24" customHeight="1" thickTop="1" thickBot="1">
      <c r="A5" s="7">
        <v>4</v>
      </c>
      <c r="B5" s="8">
        <v>0.79749999999999999</v>
      </c>
      <c r="C5" s="8">
        <v>1.1245000000000001</v>
      </c>
      <c r="D5" s="8">
        <v>1.0454000000000001</v>
      </c>
      <c r="E5" s="8">
        <v>0.80820000000000003</v>
      </c>
      <c r="F5" s="9"/>
      <c r="G5" s="8">
        <v>0.80220000000000002</v>
      </c>
      <c r="H5" s="8">
        <v>0.93530000000000002</v>
      </c>
      <c r="I5" s="8">
        <v>1.0658000000000001</v>
      </c>
      <c r="J5" s="10">
        <v>0.98939999999999995</v>
      </c>
      <c r="K5" s="8">
        <v>0.95899999999999996</v>
      </c>
      <c r="L5" s="11">
        <v>0.95799999999999996</v>
      </c>
      <c r="M5" s="8"/>
      <c r="N5" s="11">
        <v>0.94899999999999995</v>
      </c>
      <c r="O5" s="11">
        <v>0.93500000000000005</v>
      </c>
      <c r="P5" s="9"/>
      <c r="Q5" s="27">
        <v>0.95454000000000006</v>
      </c>
      <c r="R5" s="8">
        <v>0.81920000000000004</v>
      </c>
      <c r="S5" s="12">
        <v>1.0497000000000001</v>
      </c>
      <c r="T5" s="8">
        <v>0.96699999999999997</v>
      </c>
      <c r="U5" s="8">
        <v>1.028</v>
      </c>
      <c r="V5" s="16">
        <v>0.96399999999999997</v>
      </c>
      <c r="W5" s="16">
        <v>0.97658999999999996</v>
      </c>
      <c r="X5" s="16">
        <v>0.81481000000000003</v>
      </c>
    </row>
    <row r="6" spans="1:24" ht="22.5" customHeight="1" thickTop="1" thickBot="1">
      <c r="A6" s="15">
        <v>5</v>
      </c>
      <c r="B6" s="16">
        <v>0.79659999999999997</v>
      </c>
      <c r="C6" s="16">
        <v>1.1237999999999999</v>
      </c>
      <c r="D6" s="16">
        <v>1.0445</v>
      </c>
      <c r="E6" s="16">
        <v>0.80730000000000002</v>
      </c>
      <c r="F6" s="17"/>
      <c r="G6" s="16">
        <v>0.80120000000000002</v>
      </c>
      <c r="H6" s="16">
        <v>0.93440000000000001</v>
      </c>
      <c r="I6" s="16">
        <v>1.0647</v>
      </c>
      <c r="J6" s="16">
        <v>0.98939999999999995</v>
      </c>
      <c r="K6" s="16">
        <v>0.95820000000000005</v>
      </c>
      <c r="L6" s="16">
        <v>0.95699999999999996</v>
      </c>
      <c r="M6" s="18"/>
      <c r="N6" s="18">
        <v>0.94899999999999995</v>
      </c>
      <c r="O6" s="18">
        <v>0.93500000000000005</v>
      </c>
      <c r="P6" s="19"/>
      <c r="Q6" s="27">
        <v>0.95454000000000006</v>
      </c>
      <c r="R6" s="18">
        <v>0.81820000000000004</v>
      </c>
      <c r="S6" s="20">
        <v>1.0488</v>
      </c>
      <c r="T6" s="16">
        <v>0.96609999999999996</v>
      </c>
      <c r="U6" s="16">
        <v>1.028</v>
      </c>
      <c r="V6" s="16">
        <v>0.96399999999999997</v>
      </c>
      <c r="W6" s="16">
        <v>0.97658999999999996</v>
      </c>
      <c r="X6" s="16">
        <v>0.81481000000000003</v>
      </c>
    </row>
    <row r="7" spans="1:24" ht="22.5" customHeight="1" thickTop="1" thickBot="1">
      <c r="A7" s="21">
        <v>6</v>
      </c>
      <c r="B7" s="22">
        <v>0.79569999999999996</v>
      </c>
      <c r="C7" s="22">
        <v>1.123</v>
      </c>
      <c r="D7" s="22">
        <v>1.0436000000000001</v>
      </c>
      <c r="E7" s="22">
        <v>0.80620000000000003</v>
      </c>
      <c r="F7" s="22"/>
      <c r="G7" s="22">
        <v>0.80020000000000002</v>
      </c>
      <c r="H7" s="22">
        <v>0.93340000000000001</v>
      </c>
      <c r="I7" s="22">
        <v>1.0636000000000001</v>
      </c>
      <c r="J7" s="22">
        <v>0.98939999999999995</v>
      </c>
      <c r="K7" s="22">
        <v>0.95730000000000004</v>
      </c>
      <c r="L7" s="22">
        <v>0.95599999999999996</v>
      </c>
      <c r="M7" s="16">
        <v>0.88029999999999997</v>
      </c>
      <c r="N7" s="23">
        <v>0.94799999999999995</v>
      </c>
      <c r="O7" s="23">
        <v>0.93500000000000005</v>
      </c>
      <c r="P7" s="24"/>
      <c r="Q7" s="27">
        <v>0.95454000000000006</v>
      </c>
      <c r="R7" s="23">
        <v>0.81720000000000004</v>
      </c>
      <c r="S7" s="25">
        <v>1.0481</v>
      </c>
      <c r="T7" s="22">
        <v>0.96509999999999996</v>
      </c>
      <c r="U7" s="8">
        <v>1.028</v>
      </c>
      <c r="V7" s="16">
        <v>0.96399999999999997</v>
      </c>
      <c r="W7" s="16">
        <v>0.9758</v>
      </c>
      <c r="X7" s="16">
        <v>0.81481000000000003</v>
      </c>
    </row>
    <row r="8" spans="1:24" ht="22.5" customHeight="1" thickTop="1" thickBot="1">
      <c r="A8" s="26">
        <v>7</v>
      </c>
      <c r="B8" s="27">
        <v>0.79479999999999995</v>
      </c>
      <c r="C8" s="27">
        <v>1.1222000000000001</v>
      </c>
      <c r="D8" s="27">
        <v>1.0427</v>
      </c>
      <c r="E8" s="27">
        <v>0.80510000000000004</v>
      </c>
      <c r="F8" s="27"/>
      <c r="G8" s="28">
        <v>0.79920000000000002</v>
      </c>
      <c r="H8" s="28">
        <v>0.9325</v>
      </c>
      <c r="I8" s="28">
        <v>1.0625</v>
      </c>
      <c r="J8" s="28">
        <v>0.98939999999999995</v>
      </c>
      <c r="K8" s="28">
        <v>0.95640000000000003</v>
      </c>
      <c r="L8" s="28">
        <v>0.95499999999999996</v>
      </c>
      <c r="M8" s="22">
        <v>0.88029999999999997</v>
      </c>
      <c r="N8" s="28">
        <v>0.94799999999999995</v>
      </c>
      <c r="O8" s="28">
        <v>0.93500000000000005</v>
      </c>
      <c r="P8" s="29"/>
      <c r="Q8" s="27">
        <v>0.95454000000000006</v>
      </c>
      <c r="R8" s="28">
        <v>0.81620000000000004</v>
      </c>
      <c r="S8" s="25">
        <v>1.0472999999999999</v>
      </c>
      <c r="T8" s="22">
        <v>0.96430000000000005</v>
      </c>
      <c r="U8" s="8">
        <v>1.028</v>
      </c>
      <c r="V8" s="16">
        <v>0.96399999999999997</v>
      </c>
      <c r="W8" s="16">
        <v>0.97501000000000004</v>
      </c>
      <c r="X8" s="16">
        <v>0.81481000000000003</v>
      </c>
    </row>
    <row r="9" spans="1:24" ht="22.5" customHeight="1" thickTop="1" thickBot="1">
      <c r="A9" s="26">
        <v>8</v>
      </c>
      <c r="B9" s="27">
        <v>0.79400000000000004</v>
      </c>
      <c r="C9" s="27">
        <v>1.1214</v>
      </c>
      <c r="D9" s="27">
        <v>1.0418000000000001</v>
      </c>
      <c r="E9" s="27">
        <v>0.80389999999999995</v>
      </c>
      <c r="F9" s="27"/>
      <c r="G9" s="27">
        <v>0.79820000000000002</v>
      </c>
      <c r="H9" s="27">
        <v>0.93149999999999999</v>
      </c>
      <c r="I9" s="27">
        <v>1.0613999999999999</v>
      </c>
      <c r="J9" s="27">
        <v>0.98939999999999995</v>
      </c>
      <c r="K9" s="27">
        <v>0.9556</v>
      </c>
      <c r="L9" s="27">
        <v>0.95399999999999996</v>
      </c>
      <c r="M9" s="27">
        <v>0.88029999999999997</v>
      </c>
      <c r="N9" s="28">
        <v>0.94799999999999995</v>
      </c>
      <c r="O9" s="28">
        <v>0.93500000000000005</v>
      </c>
      <c r="P9" s="29"/>
      <c r="Q9" s="27">
        <v>0.95454000000000006</v>
      </c>
      <c r="R9" s="28">
        <v>0.81520000000000004</v>
      </c>
      <c r="S9" s="27">
        <v>1.0465</v>
      </c>
      <c r="T9" s="22">
        <v>0.96330000000000005</v>
      </c>
      <c r="U9" s="8">
        <v>1.028</v>
      </c>
      <c r="V9" s="16">
        <v>0.96399999999999997</v>
      </c>
      <c r="W9" s="16">
        <v>0.97422000000000009</v>
      </c>
      <c r="X9" s="16">
        <v>0.81481000000000003</v>
      </c>
    </row>
    <row r="10" spans="1:24" ht="22.5" customHeight="1" thickTop="1" thickBot="1">
      <c r="A10" s="26">
        <v>9</v>
      </c>
      <c r="B10" s="27">
        <v>0.79310000000000003</v>
      </c>
      <c r="C10" s="27">
        <v>1.1206</v>
      </c>
      <c r="D10" s="27">
        <v>1.0408999999999999</v>
      </c>
      <c r="E10" s="27">
        <v>0.80269999999999997</v>
      </c>
      <c r="F10" s="27"/>
      <c r="G10" s="27">
        <v>0.79720000000000002</v>
      </c>
      <c r="H10" s="27">
        <v>0.93059999999999998</v>
      </c>
      <c r="I10" s="27">
        <v>1.0602</v>
      </c>
      <c r="J10" s="27">
        <v>0.98939999999999995</v>
      </c>
      <c r="K10" s="27">
        <v>0.95469999999999999</v>
      </c>
      <c r="L10" s="27">
        <v>0.95299999999999996</v>
      </c>
      <c r="M10" s="27">
        <v>0.88029999999999997</v>
      </c>
      <c r="N10" s="27">
        <v>0.94799999999999995</v>
      </c>
      <c r="O10" s="27">
        <v>0.93400000000000005</v>
      </c>
      <c r="P10" s="30"/>
      <c r="Q10" s="27">
        <v>0.95454000000000006</v>
      </c>
      <c r="R10" s="27">
        <v>0.81420000000000003</v>
      </c>
      <c r="S10" s="27">
        <v>1.0458000000000001</v>
      </c>
      <c r="T10" s="27">
        <v>0.96230000000000004</v>
      </c>
      <c r="U10" s="8">
        <v>1.028</v>
      </c>
      <c r="V10" s="16">
        <v>0.96399999999999997</v>
      </c>
      <c r="W10" s="16">
        <v>0.97343000000000013</v>
      </c>
      <c r="X10" s="16">
        <v>0.81481000000000003</v>
      </c>
    </row>
    <row r="11" spans="1:24" ht="22.5" customHeight="1" thickTop="1" thickBot="1">
      <c r="A11" s="15">
        <v>10</v>
      </c>
      <c r="B11" s="16">
        <v>0.7923</v>
      </c>
      <c r="C11" s="16">
        <v>1.1197999999999999</v>
      </c>
      <c r="D11" s="16">
        <v>1.04</v>
      </c>
      <c r="E11" s="16">
        <v>0.80159999999999998</v>
      </c>
      <c r="F11" s="16">
        <v>0.94240000000000002</v>
      </c>
      <c r="G11" s="16">
        <v>0.97619999999999996</v>
      </c>
      <c r="H11" s="16">
        <v>0.92969999999999997</v>
      </c>
      <c r="I11" s="16">
        <v>1.0590999999999999</v>
      </c>
      <c r="J11" s="16">
        <v>0.98850000000000005</v>
      </c>
      <c r="K11" s="16">
        <v>0.95379999999999998</v>
      </c>
      <c r="L11" s="16">
        <v>0.95199999999999996</v>
      </c>
      <c r="M11" s="16">
        <v>0.88029999999999997</v>
      </c>
      <c r="N11" s="16">
        <v>0.94799999999999995</v>
      </c>
      <c r="O11" s="16">
        <v>0.93400000000000005</v>
      </c>
      <c r="P11" s="16">
        <v>0.94511999999999996</v>
      </c>
      <c r="Q11" s="27">
        <v>0.95454000000000006</v>
      </c>
      <c r="R11" s="16">
        <v>0.81320000000000003</v>
      </c>
      <c r="S11" s="16">
        <v>1.0449999999999999</v>
      </c>
      <c r="T11" s="16">
        <v>0.96140000000000003</v>
      </c>
      <c r="U11" s="16">
        <v>1.028</v>
      </c>
      <c r="V11" s="16">
        <v>0.96399999999999997</v>
      </c>
      <c r="W11" s="16">
        <v>0.97264000000000017</v>
      </c>
      <c r="X11" s="16">
        <v>0.81481000000000003</v>
      </c>
    </row>
    <row r="12" spans="1:24" ht="22.5" customHeight="1" thickTop="1" thickBot="1">
      <c r="A12" s="21">
        <v>11</v>
      </c>
      <c r="B12" s="22">
        <v>0.79139999999999999</v>
      </c>
      <c r="C12" s="22">
        <v>1.119</v>
      </c>
      <c r="D12" s="22">
        <v>1.0390999999999999</v>
      </c>
      <c r="E12" s="22">
        <v>0.8004</v>
      </c>
      <c r="F12" s="22">
        <v>0.94155</v>
      </c>
      <c r="G12" s="22">
        <v>0.97519999999999996</v>
      </c>
      <c r="H12" s="22">
        <v>0.92869999999999997</v>
      </c>
      <c r="I12" s="22">
        <v>1.0580000000000001</v>
      </c>
      <c r="J12" s="22">
        <v>0.98770000000000002</v>
      </c>
      <c r="K12" s="22">
        <v>0.95299999999999996</v>
      </c>
      <c r="L12" s="22">
        <v>0.95099999999999996</v>
      </c>
      <c r="M12" s="22">
        <v>0.88029999999999997</v>
      </c>
      <c r="N12" s="22">
        <v>0.94</v>
      </c>
      <c r="O12" s="22">
        <v>0.93400000000000005</v>
      </c>
      <c r="P12" s="22">
        <v>0.94420000000000004</v>
      </c>
      <c r="Q12" s="27">
        <v>0.95454000000000006</v>
      </c>
      <c r="R12" s="31">
        <v>0.81220000000000003</v>
      </c>
      <c r="S12" s="22">
        <v>1.0442</v>
      </c>
      <c r="T12" s="22">
        <v>0.96040000000000003</v>
      </c>
      <c r="U12" s="8">
        <v>1.028</v>
      </c>
      <c r="V12" s="16">
        <v>0.96399999999999997</v>
      </c>
      <c r="W12" s="16">
        <v>0.97192000000000012</v>
      </c>
      <c r="X12" s="16">
        <v>0.8145</v>
      </c>
    </row>
    <row r="13" spans="1:24" ht="22.5" customHeight="1" thickTop="1" thickBot="1">
      <c r="A13" s="26">
        <v>12</v>
      </c>
      <c r="B13" s="27">
        <v>0.79059999999999997</v>
      </c>
      <c r="C13" s="27">
        <v>1.1182000000000001</v>
      </c>
      <c r="D13" s="27">
        <v>1.0383</v>
      </c>
      <c r="E13" s="27">
        <v>0.79930000000000001</v>
      </c>
      <c r="F13" s="27">
        <v>0.94059999999999999</v>
      </c>
      <c r="G13" s="27">
        <v>0.97419999999999995</v>
      </c>
      <c r="H13" s="27">
        <v>0.92769999999999997</v>
      </c>
      <c r="I13" s="27">
        <v>1.0569</v>
      </c>
      <c r="J13" s="27">
        <v>0.9869</v>
      </c>
      <c r="K13" s="27">
        <v>0.95209999999999995</v>
      </c>
      <c r="L13" s="27">
        <v>0.95</v>
      </c>
      <c r="M13" s="27">
        <v>0.88029999999999997</v>
      </c>
      <c r="N13" s="27">
        <v>0.94</v>
      </c>
      <c r="O13" s="27">
        <v>0.93400000000000005</v>
      </c>
      <c r="P13" s="27">
        <v>0.94320999999999999</v>
      </c>
      <c r="Q13" s="27">
        <v>0.95454000000000006</v>
      </c>
      <c r="R13" s="27">
        <v>0.81120000000000003</v>
      </c>
      <c r="S13" s="27">
        <v>1.0434000000000001</v>
      </c>
      <c r="T13" s="22">
        <v>0.96050000000000002</v>
      </c>
      <c r="U13" s="8">
        <v>1.028</v>
      </c>
      <c r="V13" s="16">
        <v>0.96399999999999997</v>
      </c>
      <c r="W13" s="16">
        <v>0.97120000000000006</v>
      </c>
      <c r="X13" s="16">
        <v>0.81410000000000005</v>
      </c>
    </row>
    <row r="14" spans="1:24" ht="22.5" customHeight="1" thickTop="1" thickBot="1">
      <c r="A14" s="26">
        <v>13</v>
      </c>
      <c r="B14" s="27">
        <v>0.78969999999999996</v>
      </c>
      <c r="C14" s="27">
        <v>1.1173999999999999</v>
      </c>
      <c r="D14" s="27">
        <v>1.0374000000000001</v>
      </c>
      <c r="E14" s="27">
        <v>0.79810000000000003</v>
      </c>
      <c r="F14" s="27">
        <v>0.93964999999999999</v>
      </c>
      <c r="G14" s="27">
        <v>0.97319999999999995</v>
      </c>
      <c r="H14" s="27">
        <v>0.92669999999999997</v>
      </c>
      <c r="I14" s="27">
        <v>1.0558000000000001</v>
      </c>
      <c r="J14" s="27">
        <v>0.98609999999999998</v>
      </c>
      <c r="K14" s="27">
        <v>0.95130000000000003</v>
      </c>
      <c r="L14" s="27">
        <v>0.94899999999999995</v>
      </c>
      <c r="M14" s="27">
        <v>0.88029999999999997</v>
      </c>
      <c r="N14" s="27">
        <v>0.94</v>
      </c>
      <c r="O14" s="27">
        <v>0.93400000000000005</v>
      </c>
      <c r="P14" s="27">
        <v>0.94220999999999999</v>
      </c>
      <c r="Q14" s="27">
        <v>0.95454000000000006</v>
      </c>
      <c r="R14" s="27">
        <v>0.81020000000000003</v>
      </c>
      <c r="S14" s="27">
        <v>1.0427</v>
      </c>
      <c r="T14" s="22">
        <v>0.95950000000000002</v>
      </c>
      <c r="U14" s="8">
        <v>1.028</v>
      </c>
      <c r="V14" s="16">
        <v>0.96399999999999997</v>
      </c>
      <c r="W14" s="16">
        <v>0.97048000000000001</v>
      </c>
      <c r="X14" s="16">
        <v>0.81369999999999998</v>
      </c>
    </row>
    <row r="15" spans="1:24" ht="22.5" customHeight="1" thickTop="1" thickBot="1">
      <c r="A15" s="32">
        <v>14</v>
      </c>
      <c r="B15" s="33">
        <v>0.78890000000000005</v>
      </c>
      <c r="C15" s="33">
        <v>1.1166</v>
      </c>
      <c r="D15" s="33">
        <v>1.0365</v>
      </c>
      <c r="E15" s="27">
        <v>0.79700000000000004</v>
      </c>
      <c r="F15" s="27">
        <v>0.93937999999999999</v>
      </c>
      <c r="G15" s="27">
        <v>0.97219999999999995</v>
      </c>
      <c r="H15" s="27">
        <v>0.92569999999999997</v>
      </c>
      <c r="I15" s="27">
        <v>1.0546</v>
      </c>
      <c r="J15" s="27">
        <v>0.98529999999999995</v>
      </c>
      <c r="K15" s="27">
        <v>0.95040000000000002</v>
      </c>
      <c r="L15" s="27">
        <v>0.94799999999999995</v>
      </c>
      <c r="M15" s="27">
        <v>0.88029999999999997</v>
      </c>
      <c r="N15" s="27">
        <v>0.94</v>
      </c>
      <c r="O15" s="27">
        <v>0.93400000000000005</v>
      </c>
      <c r="P15" s="27">
        <v>0.94116999999999995</v>
      </c>
      <c r="Q15" s="27">
        <v>0.95454000000000006</v>
      </c>
      <c r="R15" s="27">
        <v>0.80920000000000003</v>
      </c>
      <c r="S15" s="27">
        <v>1.0419</v>
      </c>
      <c r="T15" s="27">
        <v>0.95850000000000002</v>
      </c>
      <c r="U15" s="8">
        <v>1.028</v>
      </c>
      <c r="V15" s="16">
        <v>0.96399999999999997</v>
      </c>
      <c r="W15" s="16">
        <v>0.96975999999999996</v>
      </c>
      <c r="X15" s="16">
        <v>0.81330000000000002</v>
      </c>
    </row>
    <row r="16" spans="1:24" ht="22.5" customHeight="1" thickTop="1" thickBot="1">
      <c r="A16" s="15">
        <v>15</v>
      </c>
      <c r="B16" s="16">
        <v>0.78800000000000003</v>
      </c>
      <c r="C16" s="16">
        <v>1.1157999999999999</v>
      </c>
      <c r="D16" s="16">
        <v>1.0356000000000001</v>
      </c>
      <c r="E16" s="16">
        <v>0.79469999999999996</v>
      </c>
      <c r="F16" s="16">
        <v>0.93791999999999998</v>
      </c>
      <c r="G16" s="16">
        <v>0.97119999999999995</v>
      </c>
      <c r="H16" s="16">
        <v>0.92469999999999997</v>
      </c>
      <c r="I16" s="16">
        <v>1.0535000000000001</v>
      </c>
      <c r="J16" s="16">
        <v>0.98450000000000004</v>
      </c>
      <c r="K16" s="34">
        <v>0.94950000000000001</v>
      </c>
      <c r="L16" s="16">
        <v>0.94699999999999995</v>
      </c>
      <c r="M16" s="16">
        <v>0.88029999999999997</v>
      </c>
      <c r="N16" s="16">
        <v>0.94</v>
      </c>
      <c r="O16" s="16">
        <v>0.93400000000000005</v>
      </c>
      <c r="P16" s="16">
        <v>0.94037000000000004</v>
      </c>
      <c r="Q16" s="27">
        <v>0.95454000000000006</v>
      </c>
      <c r="R16" s="16">
        <v>0.80830000000000002</v>
      </c>
      <c r="S16" s="16">
        <v>1.0411999999999999</v>
      </c>
      <c r="T16" s="16">
        <v>0.95750000000000002</v>
      </c>
      <c r="U16" s="16">
        <v>1.028</v>
      </c>
      <c r="V16" s="16">
        <v>0.96399999999999997</v>
      </c>
      <c r="W16" s="16">
        <v>0.9690399999999999</v>
      </c>
      <c r="X16" s="16">
        <v>0.81293000000000004</v>
      </c>
    </row>
    <row r="17" spans="1:24" ht="22.5" customHeight="1" thickTop="1" thickBot="1">
      <c r="A17" s="21">
        <v>16</v>
      </c>
      <c r="B17" s="22">
        <v>0.78720000000000001</v>
      </c>
      <c r="C17" s="22">
        <v>1.1152</v>
      </c>
      <c r="D17" s="22">
        <v>1.0347999999999999</v>
      </c>
      <c r="E17" s="22">
        <v>0.79359999999999997</v>
      </c>
      <c r="F17" s="22">
        <v>0.93676999999999999</v>
      </c>
      <c r="G17" s="22">
        <v>0.97</v>
      </c>
      <c r="H17" s="22">
        <v>0.92369999999999997</v>
      </c>
      <c r="I17" s="22">
        <v>1.0524</v>
      </c>
      <c r="J17" s="22">
        <v>0.98370000000000002</v>
      </c>
      <c r="K17" s="35">
        <v>0.9486</v>
      </c>
      <c r="L17" s="22">
        <v>0.94599999999999995</v>
      </c>
      <c r="M17" s="22">
        <v>0.88029999999999997</v>
      </c>
      <c r="N17" s="22">
        <v>0.94</v>
      </c>
      <c r="O17" s="22">
        <v>0.93400000000000005</v>
      </c>
      <c r="P17" s="22">
        <v>0.93915999999999999</v>
      </c>
      <c r="Q17" s="27">
        <v>0.9536</v>
      </c>
      <c r="R17" s="22">
        <v>0.80740000000000001</v>
      </c>
      <c r="S17" s="22">
        <v>1.0404</v>
      </c>
      <c r="T17" s="22">
        <v>0.95650000000000002</v>
      </c>
      <c r="U17" s="8">
        <v>1.028</v>
      </c>
      <c r="V17" s="16">
        <v>0.96399999999999997</v>
      </c>
      <c r="W17" s="16">
        <v>0.96829999999999994</v>
      </c>
      <c r="X17" s="16">
        <v>0.81200000000000006</v>
      </c>
    </row>
    <row r="18" spans="1:24" ht="22.5" customHeight="1" thickTop="1" thickBot="1">
      <c r="A18" s="26">
        <v>17</v>
      </c>
      <c r="B18" s="27">
        <v>0.78639999999999999</v>
      </c>
      <c r="C18" s="27">
        <v>1.1145</v>
      </c>
      <c r="D18" s="27">
        <v>1.0339</v>
      </c>
      <c r="E18" s="27">
        <v>0.79249999999999998</v>
      </c>
      <c r="F18" s="27">
        <v>0.93696999999999997</v>
      </c>
      <c r="G18" s="27">
        <v>0.96899999999999997</v>
      </c>
      <c r="H18" s="27">
        <v>0.92269999999999996</v>
      </c>
      <c r="I18" s="27">
        <v>1.0512999999999999</v>
      </c>
      <c r="J18" s="27">
        <v>0.98260000000000003</v>
      </c>
      <c r="K18" s="36">
        <v>0.94779999999999998</v>
      </c>
      <c r="L18" s="27">
        <v>0.94499999999999995</v>
      </c>
      <c r="M18" s="27">
        <v>0.88029999999999997</v>
      </c>
      <c r="N18" s="27">
        <v>0.94</v>
      </c>
      <c r="O18" s="27">
        <v>0.93400000000000005</v>
      </c>
      <c r="P18" s="27">
        <v>0.93815000000000004</v>
      </c>
      <c r="Q18" s="27">
        <v>0.95279999999999998</v>
      </c>
      <c r="R18" s="27">
        <v>0.80649999999999999</v>
      </c>
      <c r="S18" s="27">
        <v>1.0397000000000001</v>
      </c>
      <c r="T18" s="22">
        <v>0.95489999999999997</v>
      </c>
      <c r="U18" s="8">
        <v>1.028</v>
      </c>
      <c r="V18" s="16">
        <v>0.96399999999999997</v>
      </c>
      <c r="W18" s="16">
        <v>0.96755999999999998</v>
      </c>
      <c r="X18" s="16">
        <v>0.81110000000000004</v>
      </c>
    </row>
    <row r="19" spans="1:24" ht="22.5" customHeight="1" thickTop="1" thickBot="1">
      <c r="A19" s="26">
        <v>18</v>
      </c>
      <c r="B19" s="27">
        <v>0.78569999999999995</v>
      </c>
      <c r="C19" s="27">
        <v>1.1138999999999999</v>
      </c>
      <c r="D19" s="27">
        <v>1.0330999999999999</v>
      </c>
      <c r="E19" s="27">
        <v>0.79139999999999999</v>
      </c>
      <c r="F19" s="27">
        <v>0.93486000000000002</v>
      </c>
      <c r="G19" s="27">
        <v>0.96799999999999997</v>
      </c>
      <c r="H19" s="27">
        <v>0.92169999999999996</v>
      </c>
      <c r="I19" s="27">
        <v>1.0502</v>
      </c>
      <c r="J19" s="27">
        <v>0.98209999999999997</v>
      </c>
      <c r="K19" s="36">
        <v>0.94689999999999996</v>
      </c>
      <c r="L19" s="27">
        <v>0.94399999999999995</v>
      </c>
      <c r="M19" s="27">
        <v>0.88029999999999997</v>
      </c>
      <c r="N19" s="27">
        <v>0.94</v>
      </c>
      <c r="O19" s="27">
        <v>0.93400000000000005</v>
      </c>
      <c r="P19" s="27">
        <v>0.93713999999999997</v>
      </c>
      <c r="Q19" s="27">
        <v>0.95201000000000002</v>
      </c>
      <c r="R19" s="37">
        <v>0.80569999999999997</v>
      </c>
      <c r="S19" s="27">
        <v>1.0389999999999999</v>
      </c>
      <c r="T19" s="22">
        <v>0.95320000000000005</v>
      </c>
      <c r="U19" s="8">
        <v>1.028</v>
      </c>
      <c r="V19" s="16">
        <v>0.96399999999999997</v>
      </c>
      <c r="W19" s="16">
        <v>0.96682000000000001</v>
      </c>
      <c r="X19" s="16">
        <v>0.81020000000000003</v>
      </c>
    </row>
    <row r="20" spans="1:24" ht="22.5" customHeight="1" thickTop="1" thickBot="1">
      <c r="A20" s="26">
        <v>19</v>
      </c>
      <c r="B20" s="27">
        <v>0.78490000000000004</v>
      </c>
      <c r="C20" s="27">
        <v>1.1132</v>
      </c>
      <c r="D20" s="27">
        <v>1.0322</v>
      </c>
      <c r="E20" s="27">
        <v>0.7903</v>
      </c>
      <c r="F20" s="27">
        <v>0.93391000000000002</v>
      </c>
      <c r="G20" s="27">
        <v>0.96699999999999997</v>
      </c>
      <c r="H20" s="27">
        <v>0.92069999999999996</v>
      </c>
      <c r="I20" s="27">
        <v>1.0489999999999999</v>
      </c>
      <c r="J20" s="27">
        <v>0.98129999999999995</v>
      </c>
      <c r="K20" s="36">
        <v>0.94599999999999995</v>
      </c>
      <c r="L20" s="27">
        <v>0.94299999999999995</v>
      </c>
      <c r="M20" s="27">
        <v>0.88029999999999997</v>
      </c>
      <c r="N20" s="27">
        <v>0.94</v>
      </c>
      <c r="O20" s="27">
        <v>0.93400000000000005</v>
      </c>
      <c r="P20" s="27">
        <v>0.93613000000000002</v>
      </c>
      <c r="Q20" s="27">
        <v>0.95123000000000002</v>
      </c>
      <c r="R20" s="37">
        <v>0.80479999999999996</v>
      </c>
      <c r="S20" s="27">
        <v>1.0371999999999999</v>
      </c>
      <c r="T20" s="22">
        <v>0.9516</v>
      </c>
      <c r="U20" s="8">
        <v>1.028</v>
      </c>
      <c r="V20" s="16">
        <v>0.96399999999999997</v>
      </c>
      <c r="W20" s="16">
        <v>0.96608000000000005</v>
      </c>
      <c r="X20" s="16">
        <v>0.80920000000000003</v>
      </c>
    </row>
    <row r="21" spans="1:24" ht="22.5" customHeight="1" thickTop="1" thickBot="1">
      <c r="A21" s="38">
        <v>20</v>
      </c>
      <c r="B21" s="28">
        <v>0.78410000000000002</v>
      </c>
      <c r="C21" s="28">
        <v>1.1126</v>
      </c>
      <c r="D21" s="28">
        <v>1.0314000000000001</v>
      </c>
      <c r="E21" s="18">
        <v>0.78920000000000001</v>
      </c>
      <c r="F21" s="16">
        <v>0.93288000000000004</v>
      </c>
      <c r="G21" s="18">
        <v>0.96589999999999998</v>
      </c>
      <c r="H21" s="18">
        <v>0.91969999999999996</v>
      </c>
      <c r="I21" s="18">
        <v>1.0479000000000001</v>
      </c>
      <c r="J21" s="18">
        <v>0.98050000000000004</v>
      </c>
      <c r="K21" s="39">
        <v>0.94520000000000004</v>
      </c>
      <c r="L21" s="18">
        <v>0.94199999999999995</v>
      </c>
      <c r="M21" s="40">
        <v>0.88029999999999997</v>
      </c>
      <c r="N21" s="18">
        <v>0.94</v>
      </c>
      <c r="O21" s="18">
        <v>0.93</v>
      </c>
      <c r="P21" s="16">
        <v>0.93506</v>
      </c>
      <c r="Q21" s="27">
        <v>0.95038</v>
      </c>
      <c r="R21" s="41">
        <v>0.80369999999999997</v>
      </c>
      <c r="S21" s="18">
        <v>1.0363899999999999</v>
      </c>
      <c r="T21" s="16">
        <v>0.95</v>
      </c>
      <c r="U21" s="16">
        <v>1.028</v>
      </c>
      <c r="V21" s="16">
        <v>0.96399999999999997</v>
      </c>
      <c r="W21" s="16">
        <v>0.96534000000000009</v>
      </c>
      <c r="X21" s="16">
        <v>0.80813999999999997</v>
      </c>
    </row>
    <row r="22" spans="1:24" ht="22.5" customHeight="1" thickTop="1" thickBot="1">
      <c r="A22" s="42">
        <v>21</v>
      </c>
      <c r="B22" s="43">
        <v>0.78320000000000001</v>
      </c>
      <c r="C22" s="43">
        <v>1.1119000000000001</v>
      </c>
      <c r="D22" s="43">
        <v>1.0305</v>
      </c>
      <c r="E22" s="22">
        <v>0.78800000000000003</v>
      </c>
      <c r="F22" s="22">
        <v>0.93198000000000003</v>
      </c>
      <c r="G22" s="22">
        <v>0.96489999999999998</v>
      </c>
      <c r="H22" s="22">
        <v>0.91879999999999995</v>
      </c>
      <c r="I22" s="22">
        <v>1.0468</v>
      </c>
      <c r="J22" s="22">
        <v>0.97960000000000003</v>
      </c>
      <c r="K22" s="35">
        <v>0.94430000000000003</v>
      </c>
      <c r="L22" s="22">
        <v>0.94099999999999995</v>
      </c>
      <c r="M22" s="44">
        <v>0.87909999999999999</v>
      </c>
      <c r="N22" s="22">
        <v>0.94</v>
      </c>
      <c r="O22" s="22">
        <v>0.93</v>
      </c>
      <c r="P22" s="16">
        <v>0.93506</v>
      </c>
      <c r="Q22" s="27">
        <v>0.94969000000000003</v>
      </c>
      <c r="R22" s="31">
        <v>0.80289999999999995</v>
      </c>
      <c r="S22" s="22">
        <v>1.03566</v>
      </c>
      <c r="T22" s="22">
        <v>0.94889999999999997</v>
      </c>
      <c r="U22" s="8">
        <v>1.028</v>
      </c>
      <c r="V22" s="8">
        <v>0.96079999999999999</v>
      </c>
      <c r="W22" s="52">
        <v>0.96470000000000011</v>
      </c>
      <c r="X22" s="52">
        <v>0.80730000000000002</v>
      </c>
    </row>
    <row r="23" spans="1:24" ht="22.5" customHeight="1" thickTop="1">
      <c r="A23" s="26">
        <v>22</v>
      </c>
      <c r="B23" s="27">
        <v>0.7823</v>
      </c>
      <c r="C23" s="27">
        <v>1.1111</v>
      </c>
      <c r="D23" s="27">
        <v>1.0295000000000001</v>
      </c>
      <c r="E23" s="27">
        <v>0.78680000000000005</v>
      </c>
      <c r="F23" s="27">
        <v>0.93115999999999999</v>
      </c>
      <c r="G23" s="27">
        <v>0.96379999999999999</v>
      </c>
      <c r="H23" s="27">
        <v>0.91779999999999995</v>
      </c>
      <c r="I23" s="27">
        <v>1.0457000000000001</v>
      </c>
      <c r="J23" s="27">
        <v>0.9788</v>
      </c>
      <c r="K23" s="36">
        <v>0.94330000000000003</v>
      </c>
      <c r="L23" s="27">
        <v>0.94</v>
      </c>
      <c r="M23" s="45">
        <v>0.878</v>
      </c>
      <c r="N23" s="27">
        <v>0.93200000000000005</v>
      </c>
      <c r="O23" s="27">
        <v>0.93</v>
      </c>
      <c r="P23" s="27">
        <v>0.93327000000000004</v>
      </c>
      <c r="Q23" s="27">
        <v>0.94908999999999999</v>
      </c>
      <c r="R23" s="37">
        <v>0.80179999999999996</v>
      </c>
      <c r="S23" s="27">
        <v>1.0349299999999999</v>
      </c>
      <c r="T23" s="22">
        <v>0.94730000000000003</v>
      </c>
      <c r="U23" s="8">
        <v>1.028</v>
      </c>
      <c r="V23" s="8">
        <v>0.96079999999999999</v>
      </c>
      <c r="W23" s="52">
        <v>0.96406000000000014</v>
      </c>
      <c r="X23" s="52">
        <v>0.80669999999999997</v>
      </c>
    </row>
    <row r="24" spans="1:24" ht="22.5" customHeight="1">
      <c r="A24" s="26">
        <v>23</v>
      </c>
      <c r="B24" s="27">
        <v>0.78139999999999998</v>
      </c>
      <c r="C24" s="27">
        <v>1.1104000000000001</v>
      </c>
      <c r="D24" s="27">
        <v>1.0286</v>
      </c>
      <c r="E24" s="27">
        <v>0.78559999999999997</v>
      </c>
      <c r="F24" s="27">
        <v>0.93006999999999995</v>
      </c>
      <c r="G24" s="27">
        <v>0.96220000000000006</v>
      </c>
      <c r="H24" s="27">
        <v>0.91669999999999996</v>
      </c>
      <c r="I24" s="27">
        <v>1.0446</v>
      </c>
      <c r="J24" s="27">
        <v>0.97799999999999998</v>
      </c>
      <c r="K24" s="36">
        <v>0.94240000000000002</v>
      </c>
      <c r="L24" s="27">
        <v>0.93899999999999995</v>
      </c>
      <c r="M24" s="45">
        <v>0.877</v>
      </c>
      <c r="N24" s="27">
        <v>0.93200000000000005</v>
      </c>
      <c r="O24" s="27">
        <v>0.93</v>
      </c>
      <c r="P24" s="27">
        <v>0.93208999999999997</v>
      </c>
      <c r="Q24" s="27">
        <v>0.94820000000000004</v>
      </c>
      <c r="R24" s="37">
        <v>0.80089999999999995</v>
      </c>
      <c r="S24" s="27">
        <v>1.0341899999999999</v>
      </c>
      <c r="T24" s="22">
        <v>0.94599999999999995</v>
      </c>
      <c r="U24" s="8">
        <v>1.0269999999999999</v>
      </c>
      <c r="V24" s="8">
        <v>0.96079999999999999</v>
      </c>
      <c r="W24" s="52">
        <v>0.96342000000000017</v>
      </c>
      <c r="X24" s="52">
        <v>0.80610000000000004</v>
      </c>
    </row>
    <row r="25" spans="1:24" ht="22.5" customHeight="1">
      <c r="A25" s="26">
        <v>24</v>
      </c>
      <c r="B25" s="27">
        <v>0.78049999999999997</v>
      </c>
      <c r="C25" s="27">
        <v>1.1095999999999999</v>
      </c>
      <c r="D25" s="27">
        <v>1.0276000000000001</v>
      </c>
      <c r="E25" s="27">
        <v>0.78439999999999999</v>
      </c>
      <c r="F25" s="27">
        <v>0.92910000000000004</v>
      </c>
      <c r="G25" s="27">
        <v>0.96120000000000005</v>
      </c>
      <c r="H25" s="27">
        <v>0.91569999999999996</v>
      </c>
      <c r="I25" s="27">
        <v>1.0434000000000001</v>
      </c>
      <c r="J25" s="27">
        <v>0.97719999999999996</v>
      </c>
      <c r="K25" s="36">
        <v>0.9415</v>
      </c>
      <c r="L25" s="27">
        <v>0.93799999999999994</v>
      </c>
      <c r="M25" s="45">
        <v>0.87590000000000001</v>
      </c>
      <c r="N25" s="27">
        <v>0.93200000000000005</v>
      </c>
      <c r="O25" s="27">
        <v>0.93</v>
      </c>
      <c r="P25" s="27">
        <v>0.93159999999999998</v>
      </c>
      <c r="Q25" s="27">
        <v>0.94747000000000003</v>
      </c>
      <c r="R25" s="37">
        <v>0.8</v>
      </c>
      <c r="S25" s="27">
        <v>1.03346</v>
      </c>
      <c r="T25" s="22">
        <v>0.9446</v>
      </c>
      <c r="U25" s="8">
        <v>1.026</v>
      </c>
      <c r="V25" s="8">
        <v>0.96079999999999999</v>
      </c>
      <c r="W25" s="52">
        <v>0.96278000000000019</v>
      </c>
      <c r="X25" s="52">
        <v>0.80549999999999999</v>
      </c>
    </row>
    <row r="26" spans="1:24" ht="22.5" customHeight="1" thickBot="1">
      <c r="A26" s="46">
        <v>25</v>
      </c>
      <c r="B26" s="18">
        <v>0.77959999999999996</v>
      </c>
      <c r="C26" s="18">
        <v>1.1089</v>
      </c>
      <c r="D26" s="18">
        <v>1.0266999999999999</v>
      </c>
      <c r="E26" s="18">
        <v>0.78320000000000001</v>
      </c>
      <c r="F26" s="16">
        <v>0.92813000000000001</v>
      </c>
      <c r="G26" s="18">
        <v>0.96020000000000005</v>
      </c>
      <c r="H26" s="18">
        <v>0.91469999999999996</v>
      </c>
      <c r="I26" s="18">
        <v>1.0423</v>
      </c>
      <c r="J26" s="18">
        <v>0.97640000000000005</v>
      </c>
      <c r="K26" s="39">
        <v>0.9405</v>
      </c>
      <c r="L26" s="18">
        <v>0.93700000000000006</v>
      </c>
      <c r="M26" s="40">
        <v>0.87509999999999999</v>
      </c>
      <c r="N26" s="18">
        <v>0.93</v>
      </c>
      <c r="O26" s="18">
        <v>0.92600000000000005</v>
      </c>
      <c r="P26" s="16">
        <v>0.93084</v>
      </c>
      <c r="Q26" s="27">
        <v>0.94674000000000003</v>
      </c>
      <c r="R26" s="41">
        <v>0.79910000000000003</v>
      </c>
      <c r="S26" s="18">
        <v>1.0327299999999999</v>
      </c>
      <c r="T26" s="16">
        <v>0.94330000000000003</v>
      </c>
      <c r="U26" s="16">
        <v>1.0249999999999999</v>
      </c>
      <c r="V26" s="8">
        <v>0.96079999999999999</v>
      </c>
      <c r="W26" s="52">
        <v>0.96214000000000022</v>
      </c>
      <c r="X26" s="52">
        <v>0.80493999999999999</v>
      </c>
    </row>
    <row r="27" spans="1:24" ht="22.5" customHeight="1" thickTop="1" thickBot="1">
      <c r="A27" s="21">
        <v>26</v>
      </c>
      <c r="B27" s="22">
        <v>0.77869999999999995</v>
      </c>
      <c r="C27" s="22">
        <v>1.1081000000000001</v>
      </c>
      <c r="D27" s="22">
        <v>1.0258</v>
      </c>
      <c r="E27" s="22">
        <v>0.78210000000000002</v>
      </c>
      <c r="F27" s="22">
        <v>0.92717000000000005</v>
      </c>
      <c r="G27" s="22">
        <v>0.95899999999999996</v>
      </c>
      <c r="H27" s="22">
        <v>0.91390000000000005</v>
      </c>
      <c r="I27" s="22">
        <v>1.0411999999999999</v>
      </c>
      <c r="J27" s="22">
        <v>0.97550000000000003</v>
      </c>
      <c r="K27" s="35">
        <v>0.93959999999999999</v>
      </c>
      <c r="L27" s="22">
        <v>0.93600000000000005</v>
      </c>
      <c r="M27" s="44">
        <v>0.87409999999999999</v>
      </c>
      <c r="N27" s="22">
        <v>0.93</v>
      </c>
      <c r="O27" s="22">
        <v>0.92600000000000005</v>
      </c>
      <c r="P27" s="22">
        <v>0.92906</v>
      </c>
      <c r="Q27" s="27">
        <v>0.94603000000000004</v>
      </c>
      <c r="R27" s="31">
        <v>0.79820000000000002</v>
      </c>
      <c r="S27" s="22">
        <v>1.031998</v>
      </c>
      <c r="T27" s="22">
        <v>0.94220000000000004</v>
      </c>
      <c r="U27" s="8">
        <v>1.024</v>
      </c>
      <c r="V27" s="16">
        <v>0.95760000000000001</v>
      </c>
      <c r="W27" s="52">
        <v>0.96155000000000024</v>
      </c>
      <c r="X27" s="52">
        <v>0.80459999999999998</v>
      </c>
    </row>
    <row r="28" spans="1:24" ht="22.5" customHeight="1" thickTop="1" thickBot="1">
      <c r="A28" s="26">
        <v>27</v>
      </c>
      <c r="B28" s="27">
        <v>0.77790000000000004</v>
      </c>
      <c r="C28" s="27">
        <v>1.1073999999999999</v>
      </c>
      <c r="D28" s="27">
        <v>1.0247999999999999</v>
      </c>
      <c r="E28" s="27">
        <v>0.78100000000000003</v>
      </c>
      <c r="F28" s="27">
        <v>0.92620999999999998</v>
      </c>
      <c r="G28" s="27">
        <v>0.95799999999999996</v>
      </c>
      <c r="H28" s="27">
        <v>0.91290000000000004</v>
      </c>
      <c r="I28" s="27">
        <v>1.0401</v>
      </c>
      <c r="J28" s="27">
        <v>0.97470000000000001</v>
      </c>
      <c r="K28" s="36">
        <v>0.93869999999999998</v>
      </c>
      <c r="L28" s="27">
        <v>0.93500000000000005</v>
      </c>
      <c r="M28" s="45">
        <v>0.87309999999999999</v>
      </c>
      <c r="N28" s="27">
        <v>0.93</v>
      </c>
      <c r="O28" s="27">
        <v>0.92600000000000005</v>
      </c>
      <c r="P28" s="27">
        <v>0.92805000000000004</v>
      </c>
      <c r="Q28" s="27">
        <v>0.94532000000000005</v>
      </c>
      <c r="R28" s="37">
        <v>0.79720000000000002</v>
      </c>
      <c r="S28" s="27">
        <v>1.031266</v>
      </c>
      <c r="T28" s="22">
        <v>0.94120000000000004</v>
      </c>
      <c r="U28" s="8">
        <v>1.0229999999999999</v>
      </c>
      <c r="V28" s="16">
        <v>0.95760000000000001</v>
      </c>
      <c r="W28" s="52">
        <v>0.96096000000000026</v>
      </c>
      <c r="X28" s="52">
        <v>0.80430000000000001</v>
      </c>
    </row>
    <row r="29" spans="1:24" ht="22.5" customHeight="1" thickTop="1" thickBot="1">
      <c r="A29" s="26">
        <v>28</v>
      </c>
      <c r="B29" s="27">
        <v>0.77700000000000002</v>
      </c>
      <c r="C29" s="27">
        <v>1.1066</v>
      </c>
      <c r="D29" s="27">
        <v>1.0239</v>
      </c>
      <c r="E29" s="27">
        <v>0.77980000000000005</v>
      </c>
      <c r="F29" s="27">
        <v>0.92527000000000004</v>
      </c>
      <c r="G29" s="27">
        <v>0.95699999999999996</v>
      </c>
      <c r="H29" s="27">
        <v>0.91200000000000003</v>
      </c>
      <c r="I29" s="27">
        <v>1.0389999999999999</v>
      </c>
      <c r="J29" s="27">
        <v>0.97389999999999999</v>
      </c>
      <c r="K29" s="36">
        <v>0.93779999999999997</v>
      </c>
      <c r="L29" s="27">
        <v>0.93400000000000005</v>
      </c>
      <c r="M29" s="45">
        <v>0.872</v>
      </c>
      <c r="N29" s="27">
        <v>0.93</v>
      </c>
      <c r="O29" s="27">
        <v>0.92600000000000005</v>
      </c>
      <c r="P29" s="27">
        <v>0.92706</v>
      </c>
      <c r="Q29" s="27">
        <v>0.94462000000000002</v>
      </c>
      <c r="R29" s="37">
        <v>0.79630000000000001</v>
      </c>
      <c r="S29" s="27">
        <v>1.0305340000000001</v>
      </c>
      <c r="T29" s="22">
        <v>0.94010000000000005</v>
      </c>
      <c r="U29" s="8">
        <v>1.022</v>
      </c>
      <c r="V29" s="16">
        <v>0.95760000000000001</v>
      </c>
      <c r="W29" s="52">
        <v>0.96037000000000028</v>
      </c>
      <c r="X29" s="52">
        <v>0.80400000000000005</v>
      </c>
    </row>
    <row r="30" spans="1:24" ht="22.5" customHeight="1" thickTop="1" thickBot="1">
      <c r="A30" s="26">
        <v>29</v>
      </c>
      <c r="B30" s="27">
        <v>0.7762</v>
      </c>
      <c r="C30" s="27">
        <v>1.1059000000000001</v>
      </c>
      <c r="D30" s="27">
        <v>1.0228999999999999</v>
      </c>
      <c r="E30" s="27">
        <v>0.77869999999999995</v>
      </c>
      <c r="F30" s="27">
        <v>0.92430000000000001</v>
      </c>
      <c r="G30" s="27">
        <v>0.95589999999999997</v>
      </c>
      <c r="H30" s="27">
        <v>0.91100000000000003</v>
      </c>
      <c r="I30" s="27">
        <v>1.0378000000000001</v>
      </c>
      <c r="J30" s="27">
        <v>0.97309999999999997</v>
      </c>
      <c r="K30" s="36">
        <v>0.93689999999999996</v>
      </c>
      <c r="L30" s="27">
        <v>0.93300000000000005</v>
      </c>
      <c r="M30" s="45">
        <v>0.871</v>
      </c>
      <c r="N30" s="27">
        <v>0.93</v>
      </c>
      <c r="O30" s="27">
        <v>0.92600000000000005</v>
      </c>
      <c r="P30" s="27">
        <v>0.92603000000000002</v>
      </c>
      <c r="Q30" s="27">
        <v>0.94393000000000005</v>
      </c>
      <c r="R30" s="37">
        <v>0.79549999999999998</v>
      </c>
      <c r="S30" s="27">
        <v>1.0298020000000001</v>
      </c>
      <c r="T30" s="22">
        <v>0.93910000000000005</v>
      </c>
      <c r="U30" s="8">
        <v>1.0209999999999999</v>
      </c>
      <c r="V30" s="16">
        <v>0.95760000000000001</v>
      </c>
      <c r="W30" s="52">
        <v>0.9597800000000003</v>
      </c>
      <c r="X30" s="52">
        <v>0.80369999999999997</v>
      </c>
    </row>
    <row r="31" spans="1:24" ht="22.5" customHeight="1" thickTop="1" thickBot="1">
      <c r="A31" s="38">
        <v>30</v>
      </c>
      <c r="B31" s="28">
        <v>0.77529999999999999</v>
      </c>
      <c r="C31" s="28">
        <v>1.1051</v>
      </c>
      <c r="D31" s="28">
        <v>1.022</v>
      </c>
      <c r="E31" s="18">
        <v>0.77759999999999996</v>
      </c>
      <c r="F31" s="16">
        <v>0.92340999999999995</v>
      </c>
      <c r="G31" s="18">
        <v>0.95469999999999999</v>
      </c>
      <c r="H31" s="18">
        <v>0.91</v>
      </c>
      <c r="I31" s="18">
        <v>1.0367</v>
      </c>
      <c r="J31" s="18">
        <v>0.97230000000000005</v>
      </c>
      <c r="K31" s="39">
        <v>0.93600000000000005</v>
      </c>
      <c r="L31" s="18">
        <v>0.93200000000000005</v>
      </c>
      <c r="M31" s="40">
        <v>0.86990000000000001</v>
      </c>
      <c r="N31" s="18">
        <v>0.93</v>
      </c>
      <c r="O31" s="18">
        <v>0.92200000000000004</v>
      </c>
      <c r="P31" s="16">
        <v>0.92508999999999997</v>
      </c>
      <c r="Q31" s="27">
        <v>0.94333</v>
      </c>
      <c r="R31" s="41">
        <v>0.79459999999999997</v>
      </c>
      <c r="S31" s="18">
        <v>1.0289999999999999</v>
      </c>
      <c r="T31" s="16">
        <v>0.93810000000000004</v>
      </c>
      <c r="U31" s="16">
        <v>1.02</v>
      </c>
      <c r="V31" s="16">
        <v>0.95760000000000001</v>
      </c>
      <c r="W31" s="52">
        <v>0.95919000000000032</v>
      </c>
      <c r="X31" s="52">
        <v>0.80335999999999996</v>
      </c>
    </row>
    <row r="32" spans="1:24" ht="22.5" customHeight="1" thickTop="1" thickBot="1">
      <c r="A32" s="42">
        <v>31</v>
      </c>
      <c r="B32" s="43">
        <v>0.77439999999999998</v>
      </c>
      <c r="C32" s="43">
        <v>1.1041000000000001</v>
      </c>
      <c r="D32" s="43">
        <v>1.0210999999999999</v>
      </c>
      <c r="E32" s="22">
        <v>0.77644999999999997</v>
      </c>
      <c r="F32" s="22">
        <v>0.92235</v>
      </c>
      <c r="G32" s="22">
        <v>0.95370999999999995</v>
      </c>
      <c r="H32" s="22">
        <v>0.90905000000000002</v>
      </c>
      <c r="I32" s="22">
        <v>1.0356000000000001</v>
      </c>
      <c r="J32" s="22">
        <v>0.97140000000000004</v>
      </c>
      <c r="K32" s="35">
        <v>0.93510000000000004</v>
      </c>
      <c r="L32" s="22">
        <v>0.93100000000000005</v>
      </c>
      <c r="M32" s="44">
        <v>0.86887000000000003</v>
      </c>
      <c r="N32" s="22">
        <v>0.93</v>
      </c>
      <c r="O32" s="22">
        <v>0.92279999999999995</v>
      </c>
      <c r="P32" s="22">
        <v>0.92406999999999995</v>
      </c>
      <c r="Q32" s="27">
        <v>0.94257999999999997</v>
      </c>
      <c r="R32" s="31">
        <v>0.79379999999999995</v>
      </c>
      <c r="S32" s="22">
        <v>1.028268</v>
      </c>
      <c r="T32" s="22">
        <v>0.93710000000000004</v>
      </c>
      <c r="U32" s="8">
        <v>1.0189999999999999</v>
      </c>
      <c r="V32" s="16">
        <v>0.95760000000000001</v>
      </c>
      <c r="W32" s="52">
        <v>0.95860000000000034</v>
      </c>
      <c r="X32" s="52">
        <v>0.80249999999999999</v>
      </c>
    </row>
    <row r="33" spans="1:24" ht="22.5" customHeight="1" thickTop="1" thickBot="1">
      <c r="A33" s="26">
        <v>32</v>
      </c>
      <c r="B33" s="27">
        <v>0.77349999999999997</v>
      </c>
      <c r="C33" s="27">
        <v>1.103</v>
      </c>
      <c r="D33" s="27">
        <v>1.0202</v>
      </c>
      <c r="E33" s="27">
        <v>0.77532000000000001</v>
      </c>
      <c r="F33" s="27">
        <v>0.9214</v>
      </c>
      <c r="G33" s="27">
        <v>0.95264000000000004</v>
      </c>
      <c r="H33" s="27">
        <v>0.90808</v>
      </c>
      <c r="I33" s="27">
        <v>1.0345</v>
      </c>
      <c r="J33" s="27">
        <v>0.97060000000000002</v>
      </c>
      <c r="K33" s="36">
        <v>0.93420000000000003</v>
      </c>
      <c r="L33" s="27">
        <v>0.93</v>
      </c>
      <c r="M33" s="45">
        <v>0.86782000000000004</v>
      </c>
      <c r="N33" s="27">
        <v>0.93</v>
      </c>
      <c r="O33" s="27">
        <v>0.92200000000000004</v>
      </c>
      <c r="P33" s="27">
        <v>0.92298000000000002</v>
      </c>
      <c r="Q33" s="27">
        <v>0.94189999999999996</v>
      </c>
      <c r="R33" s="37">
        <v>0.79300000000000004</v>
      </c>
      <c r="S33" s="27">
        <v>1.027536</v>
      </c>
      <c r="T33" s="22">
        <v>0.93600000000000005</v>
      </c>
      <c r="U33" s="8">
        <v>1.018</v>
      </c>
      <c r="V33" s="16">
        <v>0.95760000000000001</v>
      </c>
      <c r="W33" s="52">
        <v>0.95801000000000036</v>
      </c>
      <c r="X33" s="52">
        <v>0.80159999999999998</v>
      </c>
    </row>
    <row r="34" spans="1:24" ht="22.5" customHeight="1" thickTop="1" thickBot="1">
      <c r="A34" s="26">
        <v>33</v>
      </c>
      <c r="B34" s="27">
        <v>0.77270000000000005</v>
      </c>
      <c r="C34" s="27">
        <v>1.1020000000000001</v>
      </c>
      <c r="D34" s="27">
        <v>1.0194000000000001</v>
      </c>
      <c r="E34" s="27">
        <v>0.77419000000000004</v>
      </c>
      <c r="F34" s="27">
        <v>0.92042999999999997</v>
      </c>
      <c r="G34" s="27">
        <v>0.95157000000000003</v>
      </c>
      <c r="H34" s="27">
        <v>0.90710999999999997</v>
      </c>
      <c r="I34" s="27">
        <v>1.0334000000000001</v>
      </c>
      <c r="J34" s="27">
        <v>0.9698</v>
      </c>
      <c r="K34" s="36">
        <v>0.93330000000000002</v>
      </c>
      <c r="L34" s="27">
        <v>0.92900000000000005</v>
      </c>
      <c r="M34" s="45">
        <v>0.86677000000000004</v>
      </c>
      <c r="N34" s="27">
        <v>0.93</v>
      </c>
      <c r="O34" s="27">
        <v>0.92120000000000002</v>
      </c>
      <c r="P34" s="27">
        <v>0.92198999999999998</v>
      </c>
      <c r="Q34" s="27">
        <v>0.94125000000000003</v>
      </c>
      <c r="R34" s="37">
        <v>0.7923</v>
      </c>
      <c r="S34" s="27">
        <v>1.0268040000000001</v>
      </c>
      <c r="T34" s="22">
        <v>0.93500000000000005</v>
      </c>
      <c r="U34" s="8">
        <v>1.0169999999999999</v>
      </c>
      <c r="V34" s="16">
        <v>0.95760000000000001</v>
      </c>
      <c r="W34" s="52">
        <v>0.95742000000000038</v>
      </c>
      <c r="X34" s="52">
        <v>0.80069999999999997</v>
      </c>
    </row>
    <row r="35" spans="1:24" ht="22.5" customHeight="1" thickTop="1" thickBot="1">
      <c r="A35" s="26">
        <v>34</v>
      </c>
      <c r="B35" s="27">
        <v>0.77180000000000004</v>
      </c>
      <c r="C35" s="27">
        <v>1.1009</v>
      </c>
      <c r="D35" s="27">
        <v>1.0185</v>
      </c>
      <c r="E35" s="27">
        <v>0.77305999999999997</v>
      </c>
      <c r="F35" s="27">
        <v>0.91946000000000006</v>
      </c>
      <c r="G35" s="27">
        <v>0.95050000000000001</v>
      </c>
      <c r="H35" s="27">
        <v>0.90613999999999995</v>
      </c>
      <c r="I35" s="27">
        <v>1.0322</v>
      </c>
      <c r="J35" s="27">
        <v>0.96899999999999997</v>
      </c>
      <c r="K35" s="36">
        <v>0.93240000000000001</v>
      </c>
      <c r="L35" s="27">
        <v>0.92800000000000005</v>
      </c>
      <c r="M35" s="45">
        <v>0.86572000000000005</v>
      </c>
      <c r="N35" s="27">
        <v>0.93</v>
      </c>
      <c r="O35" s="27">
        <v>0.9204</v>
      </c>
      <c r="P35" s="27">
        <v>0.92093999999999998</v>
      </c>
      <c r="Q35" s="27">
        <v>0.94059000000000004</v>
      </c>
      <c r="R35" s="37">
        <v>0.79159999999999997</v>
      </c>
      <c r="S35" s="27">
        <f>S34-0.000732</f>
        <v>1.0260720000000001</v>
      </c>
      <c r="T35" s="22">
        <v>0.93400000000000005</v>
      </c>
      <c r="U35" s="8">
        <v>1.016</v>
      </c>
      <c r="V35" s="16">
        <v>0.95760000000000001</v>
      </c>
      <c r="W35" s="52">
        <v>0.9568300000000004</v>
      </c>
      <c r="X35" s="52">
        <v>0.79979999999999996</v>
      </c>
    </row>
    <row r="36" spans="1:24" ht="22.5" customHeight="1" thickTop="1" thickBot="1">
      <c r="A36" s="46">
        <v>35</v>
      </c>
      <c r="B36" s="18">
        <v>0.77090000000000003</v>
      </c>
      <c r="C36" s="18">
        <v>1.0999000000000001</v>
      </c>
      <c r="D36" s="18">
        <v>1.0176000000000001</v>
      </c>
      <c r="E36" s="18">
        <v>0.77193000000000001</v>
      </c>
      <c r="F36" s="16">
        <v>0.91851000000000005</v>
      </c>
      <c r="G36" s="18">
        <v>0.94943</v>
      </c>
      <c r="H36" s="18">
        <v>0.90517000000000003</v>
      </c>
      <c r="I36" s="18">
        <v>1.0310999999999999</v>
      </c>
      <c r="J36" s="18">
        <v>0.96819999999999995</v>
      </c>
      <c r="K36" s="39">
        <v>0.93149999999999999</v>
      </c>
      <c r="L36" s="18">
        <v>0.92700000000000005</v>
      </c>
      <c r="M36" s="40">
        <v>0.86467000000000005</v>
      </c>
      <c r="N36" s="18">
        <v>0.93</v>
      </c>
      <c r="O36" s="18">
        <v>0.91959999999999997</v>
      </c>
      <c r="P36" s="16">
        <v>0.91995000000000005</v>
      </c>
      <c r="Q36" s="27">
        <v>0.93994</v>
      </c>
      <c r="R36" s="41">
        <v>0.79079999999999995</v>
      </c>
      <c r="S36" s="18">
        <f>S35-0.000732</f>
        <v>1.0253400000000001</v>
      </c>
      <c r="T36" s="16">
        <v>0.93300000000000005</v>
      </c>
      <c r="U36" s="16">
        <v>1.0149999999999999</v>
      </c>
      <c r="V36" s="16">
        <v>0.95760000000000001</v>
      </c>
      <c r="W36" s="52">
        <v>0.95624000000000042</v>
      </c>
      <c r="X36" s="52">
        <v>0.79900000000000004</v>
      </c>
    </row>
    <row r="37" spans="1:24" ht="22.5" customHeight="1" thickTop="1" thickBot="1">
      <c r="A37" s="21">
        <v>36</v>
      </c>
      <c r="B37" s="22">
        <v>0.77</v>
      </c>
      <c r="C37" s="22">
        <v>1.0988</v>
      </c>
      <c r="D37" s="22">
        <v>1.0166999999999999</v>
      </c>
      <c r="E37" s="22">
        <v>0.77080000000000004</v>
      </c>
      <c r="F37" s="22">
        <v>0.91754999999999998</v>
      </c>
      <c r="G37" s="22">
        <v>0.94835999999999998</v>
      </c>
      <c r="H37" s="22">
        <v>0.9042</v>
      </c>
      <c r="I37" s="22">
        <v>1.03</v>
      </c>
      <c r="J37" s="22">
        <v>0.96730000000000005</v>
      </c>
      <c r="K37" s="35">
        <v>0.93059999999999998</v>
      </c>
      <c r="L37" s="22">
        <v>0.92600000000000005</v>
      </c>
      <c r="M37" s="44">
        <v>0.86362000000000005</v>
      </c>
      <c r="N37" s="22">
        <v>0.93</v>
      </c>
      <c r="O37" s="22">
        <v>0.91879999999999995</v>
      </c>
      <c r="P37" s="22">
        <v>0.91888999999999998</v>
      </c>
      <c r="Q37" s="27">
        <v>0.93930000000000002</v>
      </c>
      <c r="R37" s="31">
        <v>0.79008</v>
      </c>
      <c r="S37" s="22">
        <f t="shared" ref="S37:S51" si="0">S36-0.000732</f>
        <v>1.0246080000000002</v>
      </c>
      <c r="T37" s="22">
        <v>0.93194666666666703</v>
      </c>
      <c r="U37" s="8">
        <v>1.0142</v>
      </c>
      <c r="V37" s="16">
        <v>0.95760000000000001</v>
      </c>
      <c r="W37" s="52">
        <v>0.95565000000000044</v>
      </c>
      <c r="X37" s="52">
        <v>0.7984</v>
      </c>
    </row>
    <row r="38" spans="1:24" ht="22.5" customHeight="1" thickTop="1" thickBot="1">
      <c r="A38" s="26">
        <v>37</v>
      </c>
      <c r="B38" s="27">
        <v>0.76910000000000001</v>
      </c>
      <c r="C38" s="27">
        <v>1.0978000000000001</v>
      </c>
      <c r="D38" s="27">
        <v>1.0158</v>
      </c>
      <c r="E38" s="27">
        <v>0.76929999999999998</v>
      </c>
      <c r="F38" s="27">
        <v>0.91654000000000002</v>
      </c>
      <c r="G38" s="27">
        <v>0.94699999999999995</v>
      </c>
      <c r="H38" s="27">
        <v>0.90310000000000001</v>
      </c>
      <c r="I38" s="27">
        <v>1.0288999999999999</v>
      </c>
      <c r="J38" s="27">
        <v>0.96650000000000003</v>
      </c>
      <c r="K38" s="36">
        <v>0.92979999999999996</v>
      </c>
      <c r="L38" s="27">
        <v>0.92500000000000004</v>
      </c>
      <c r="M38" s="45">
        <v>0.86270000000000002</v>
      </c>
      <c r="N38" s="27">
        <v>0.92600000000000005</v>
      </c>
      <c r="O38" s="27">
        <v>0.92200000000000004</v>
      </c>
      <c r="P38" s="27">
        <v>0.91785000000000005</v>
      </c>
      <c r="Q38" s="27">
        <v>0.93864999999999998</v>
      </c>
      <c r="R38" s="37">
        <v>0.78934000000000004</v>
      </c>
      <c r="S38" s="27">
        <f t="shared" si="0"/>
        <v>1.0238760000000002</v>
      </c>
      <c r="T38" s="22">
        <v>0.930922424242424</v>
      </c>
      <c r="U38" s="8">
        <v>1.0134000000000001</v>
      </c>
      <c r="V38" s="16">
        <v>0.95760000000000001</v>
      </c>
      <c r="W38" s="52">
        <v>0.95506000000000046</v>
      </c>
      <c r="X38" s="52">
        <v>0.79779999999999995</v>
      </c>
    </row>
    <row r="39" spans="1:24" ht="22.5" customHeight="1" thickTop="1" thickBot="1">
      <c r="A39" s="26">
        <v>38</v>
      </c>
      <c r="B39" s="27">
        <v>0.76829999999999998</v>
      </c>
      <c r="C39" s="27">
        <v>1.0967</v>
      </c>
      <c r="D39" s="27">
        <v>1.0149999999999999</v>
      </c>
      <c r="E39" s="27">
        <v>0.7681</v>
      </c>
      <c r="F39" s="27">
        <v>0.91556999999999999</v>
      </c>
      <c r="G39" s="27">
        <v>0.94589999999999996</v>
      </c>
      <c r="H39" s="27">
        <v>0.90210000000000001</v>
      </c>
      <c r="I39" s="27">
        <v>1.0278</v>
      </c>
      <c r="J39" s="27">
        <v>0.9657</v>
      </c>
      <c r="K39" s="36">
        <v>0.92889999999999995</v>
      </c>
      <c r="L39" s="27">
        <v>0.92400000000000004</v>
      </c>
      <c r="M39" s="45">
        <v>0.86170000000000002</v>
      </c>
      <c r="N39" s="27">
        <v>0.92600000000000005</v>
      </c>
      <c r="O39" s="27">
        <v>0.92200000000000004</v>
      </c>
      <c r="P39" s="27">
        <v>0.91686000000000001</v>
      </c>
      <c r="Q39" s="27">
        <v>0.93801999999999996</v>
      </c>
      <c r="R39" s="37">
        <v>0.78859999999999997</v>
      </c>
      <c r="S39" s="27">
        <f t="shared" si="0"/>
        <v>1.0231440000000003</v>
      </c>
      <c r="T39" s="22">
        <v>0.92989818181818196</v>
      </c>
      <c r="U39" s="8">
        <v>1.0125999999999999</v>
      </c>
      <c r="V39" s="16">
        <v>0.95760000000000001</v>
      </c>
      <c r="W39" s="52">
        <v>0.95447000000000048</v>
      </c>
      <c r="X39" s="52">
        <v>0.79720000000000002</v>
      </c>
    </row>
    <row r="40" spans="1:24" ht="22.5" customHeight="1" thickTop="1" thickBot="1">
      <c r="A40" s="26">
        <v>39</v>
      </c>
      <c r="B40" s="27">
        <v>0.76739999999999997</v>
      </c>
      <c r="C40" s="27">
        <v>1.0956999999999999</v>
      </c>
      <c r="D40" s="27">
        <v>1.0141</v>
      </c>
      <c r="E40" s="27">
        <v>0.76700000000000002</v>
      </c>
      <c r="F40" s="27">
        <v>0.91459999999999997</v>
      </c>
      <c r="G40" s="27">
        <v>0.94489999999999996</v>
      </c>
      <c r="H40" s="27">
        <v>0.90110000000000001</v>
      </c>
      <c r="I40" s="27">
        <v>1.0266</v>
      </c>
      <c r="J40" s="27">
        <v>0.96489999999999998</v>
      </c>
      <c r="K40" s="36">
        <v>0.92810000000000004</v>
      </c>
      <c r="L40" s="27">
        <v>0.92300000000000004</v>
      </c>
      <c r="M40" s="45">
        <v>0.86070000000000002</v>
      </c>
      <c r="N40" s="27">
        <v>0.92600000000000005</v>
      </c>
      <c r="O40" s="27">
        <v>0.92200000000000004</v>
      </c>
      <c r="P40" s="27">
        <v>0.91579999999999995</v>
      </c>
      <c r="Q40" s="27">
        <v>0.93740000000000001</v>
      </c>
      <c r="R40" s="37">
        <v>0.78786</v>
      </c>
      <c r="S40" s="27">
        <f t="shared" si="0"/>
        <v>1.0224120000000003</v>
      </c>
      <c r="T40" s="22">
        <v>0.92887393939393903</v>
      </c>
      <c r="U40" s="8">
        <v>1.0118</v>
      </c>
      <c r="V40" s="16">
        <v>0.95760000000000001</v>
      </c>
      <c r="W40" s="52">
        <v>0.95388000000000051</v>
      </c>
      <c r="X40" s="52">
        <v>0.79659999999999997</v>
      </c>
    </row>
    <row r="41" spans="1:24" ht="22.5" customHeight="1" thickTop="1" thickBot="1">
      <c r="A41" s="46">
        <v>40</v>
      </c>
      <c r="B41" s="18">
        <v>0.76649999999999996</v>
      </c>
      <c r="C41" s="18">
        <v>1.0946</v>
      </c>
      <c r="D41" s="18">
        <v>1.0132000000000001</v>
      </c>
      <c r="E41" s="18">
        <v>0.76580000000000004</v>
      </c>
      <c r="F41" s="16">
        <v>0.91366000000000003</v>
      </c>
      <c r="G41" s="18">
        <v>0.94389999999999996</v>
      </c>
      <c r="H41" s="18">
        <v>0.9002</v>
      </c>
      <c r="I41" s="18">
        <v>1.0255000000000001</v>
      </c>
      <c r="J41" s="18">
        <v>0.96409999999999996</v>
      </c>
      <c r="K41" s="39">
        <v>0.92720000000000002</v>
      </c>
      <c r="L41" s="18">
        <v>0.92200000000000004</v>
      </c>
      <c r="M41" s="40">
        <v>0.85970000000000002</v>
      </c>
      <c r="N41" s="18">
        <v>0.92600000000000005</v>
      </c>
      <c r="O41" s="18">
        <v>0.92200000000000004</v>
      </c>
      <c r="P41" s="16">
        <v>0.91478000000000004</v>
      </c>
      <c r="Q41" s="27">
        <v>0.93681999999999999</v>
      </c>
      <c r="R41" s="41">
        <v>0.78712000000000004</v>
      </c>
      <c r="S41" s="18">
        <f t="shared" si="0"/>
        <v>1.0216800000000004</v>
      </c>
      <c r="T41" s="16">
        <v>0.92784969696969699</v>
      </c>
      <c r="U41" s="16">
        <v>1.0109999999999999</v>
      </c>
      <c r="V41" s="16">
        <v>0.95760000000000001</v>
      </c>
      <c r="W41" s="52">
        <v>0.95329000000000053</v>
      </c>
      <c r="X41" s="52">
        <v>0.79620000000000002</v>
      </c>
    </row>
    <row r="42" spans="1:24" ht="22.5" customHeight="1" thickTop="1" thickBot="1">
      <c r="A42" s="21">
        <v>41</v>
      </c>
      <c r="B42" s="22">
        <v>0.76559999999999995</v>
      </c>
      <c r="C42" s="22">
        <v>1.0935999999999999</v>
      </c>
      <c r="D42" s="22">
        <v>1.0123</v>
      </c>
      <c r="E42" s="22">
        <v>0.76459999999999995</v>
      </c>
      <c r="F42" s="22">
        <v>0.91269</v>
      </c>
      <c r="G42" s="22">
        <v>0.94289999999999996</v>
      </c>
      <c r="H42" s="22">
        <v>0.8992</v>
      </c>
      <c r="I42" s="22">
        <v>1.0244</v>
      </c>
      <c r="J42" s="22">
        <v>0.96330000000000005</v>
      </c>
      <c r="K42" s="22">
        <v>0.9264</v>
      </c>
      <c r="L42" s="22">
        <v>0.92100000000000004</v>
      </c>
      <c r="M42" s="44">
        <v>0.85870000000000002</v>
      </c>
      <c r="N42" s="22">
        <v>0.92600000000000005</v>
      </c>
      <c r="O42" s="22">
        <v>0.92200000000000004</v>
      </c>
      <c r="P42" s="22">
        <v>0.91374999999999995</v>
      </c>
      <c r="Q42" s="27">
        <v>0.93681999999999999</v>
      </c>
      <c r="R42" s="31">
        <v>0.78637999999999997</v>
      </c>
      <c r="S42" s="22">
        <f t="shared" si="0"/>
        <v>1.0209480000000004</v>
      </c>
      <c r="T42" s="22">
        <v>0.92682545454545395</v>
      </c>
      <c r="U42" s="8">
        <v>1.0098</v>
      </c>
      <c r="V42" s="16">
        <v>0.95760000000000001</v>
      </c>
      <c r="W42" s="52">
        <v>0.95329000000000053</v>
      </c>
      <c r="X42" s="52">
        <v>0.79620000000000002</v>
      </c>
    </row>
    <row r="43" spans="1:24" ht="22.5" customHeight="1" thickTop="1" thickBot="1">
      <c r="A43" s="26">
        <v>42</v>
      </c>
      <c r="B43" s="27">
        <v>0.76470000000000005</v>
      </c>
      <c r="C43" s="27">
        <v>1.0925</v>
      </c>
      <c r="D43" s="27">
        <v>1.0114000000000001</v>
      </c>
      <c r="E43" s="27">
        <v>0.76349999999999996</v>
      </c>
      <c r="F43" s="27">
        <v>0.91171999999999997</v>
      </c>
      <c r="G43" s="22">
        <v>0.94189999999999996</v>
      </c>
      <c r="H43" s="22">
        <v>0.8982</v>
      </c>
      <c r="I43" s="22">
        <v>1.0233000000000001</v>
      </c>
      <c r="J43" s="27">
        <v>0.96250000000000002</v>
      </c>
      <c r="K43" s="22">
        <v>0.92549999999999999</v>
      </c>
      <c r="L43" s="22">
        <v>0.92</v>
      </c>
      <c r="M43" s="45">
        <v>0.85770000000000002</v>
      </c>
      <c r="N43" s="22">
        <v>0.92600000000000005</v>
      </c>
      <c r="O43" s="27">
        <v>0.92200000000000004</v>
      </c>
      <c r="P43" s="27">
        <v>0.91273000000000004</v>
      </c>
      <c r="Q43" s="27">
        <v>0.93681999999999999</v>
      </c>
      <c r="R43" s="37">
        <v>0.78564000000000001</v>
      </c>
      <c r="S43" s="27">
        <f t="shared" si="0"/>
        <v>1.0202160000000005</v>
      </c>
      <c r="T43" s="22">
        <v>0.92580121212121202</v>
      </c>
      <c r="U43" s="8">
        <v>1.0085999999999999</v>
      </c>
      <c r="V43" s="16">
        <v>0.95760000000000001</v>
      </c>
      <c r="W43" s="52">
        <v>0.95329000000000053</v>
      </c>
      <c r="X43" s="52">
        <v>0.79620000000000002</v>
      </c>
    </row>
    <row r="44" spans="1:24" ht="22.5" customHeight="1" thickTop="1" thickBot="1">
      <c r="A44" s="26">
        <v>43</v>
      </c>
      <c r="B44" s="27">
        <v>0.76390000000000002</v>
      </c>
      <c r="C44" s="27">
        <v>1.0914999999999999</v>
      </c>
      <c r="D44" s="27">
        <v>1.0105999999999999</v>
      </c>
      <c r="E44" s="27">
        <v>0.76229999999999998</v>
      </c>
      <c r="F44" s="27">
        <v>0.91073000000000004</v>
      </c>
      <c r="G44" s="27">
        <v>0.94089999999999996</v>
      </c>
      <c r="H44" s="27">
        <v>0.8972</v>
      </c>
      <c r="I44" s="27">
        <v>1.0222</v>
      </c>
      <c r="J44" s="27">
        <v>0.9617</v>
      </c>
      <c r="K44" s="27">
        <v>0.92459999999999998</v>
      </c>
      <c r="L44" s="27">
        <v>0.91900000000000004</v>
      </c>
      <c r="M44" s="45">
        <v>0.85670000000000002</v>
      </c>
      <c r="N44" s="22">
        <v>0.92600000000000005</v>
      </c>
      <c r="O44" s="27">
        <v>0.92200000000000004</v>
      </c>
      <c r="P44" s="27">
        <v>0.91168000000000005</v>
      </c>
      <c r="Q44" s="27">
        <v>0.93681999999999999</v>
      </c>
      <c r="R44" s="37">
        <v>0.78490000000000004</v>
      </c>
      <c r="S44" s="27">
        <f t="shared" si="0"/>
        <v>1.0194840000000005</v>
      </c>
      <c r="T44" s="22">
        <v>0.92477696969696899</v>
      </c>
      <c r="U44" s="8">
        <v>1.0074000000000001</v>
      </c>
      <c r="V44" s="16">
        <v>0.95760000000000001</v>
      </c>
      <c r="W44" s="52">
        <v>0.95329000000000053</v>
      </c>
      <c r="X44" s="52">
        <v>0.79620000000000002</v>
      </c>
    </row>
    <row r="45" spans="1:24" ht="22.5" customHeight="1" thickTop="1" thickBot="1">
      <c r="A45" s="26">
        <v>44</v>
      </c>
      <c r="B45" s="27">
        <v>0.76300000000000001</v>
      </c>
      <c r="C45" s="27">
        <v>1.0904</v>
      </c>
      <c r="D45" s="27">
        <v>1.0097</v>
      </c>
      <c r="E45" s="27">
        <v>0.76119999999999999</v>
      </c>
      <c r="F45" s="27">
        <v>0.90983999999999998</v>
      </c>
      <c r="G45" s="27">
        <v>0.93389999999999995</v>
      </c>
      <c r="H45" s="22">
        <v>0.8962</v>
      </c>
      <c r="I45" s="22">
        <v>1.0209999999999999</v>
      </c>
      <c r="J45" s="27">
        <v>0.96089999999999998</v>
      </c>
      <c r="K45" s="27">
        <v>0.92369999999999997</v>
      </c>
      <c r="L45" s="27">
        <v>0.91800000000000004</v>
      </c>
      <c r="M45" s="45">
        <v>0.85570000000000002</v>
      </c>
      <c r="N45" s="22">
        <v>0.92600000000000005</v>
      </c>
      <c r="O45" s="27">
        <v>0.92200000000000004</v>
      </c>
      <c r="P45" s="27">
        <v>0.91064999999999996</v>
      </c>
      <c r="Q45" s="27">
        <v>0.93681999999999999</v>
      </c>
      <c r="R45" s="37">
        <v>0.78415999999999997</v>
      </c>
      <c r="S45" s="27">
        <f t="shared" si="0"/>
        <v>1.0187520000000005</v>
      </c>
      <c r="T45" s="22">
        <v>0.92375272727272695</v>
      </c>
      <c r="U45" s="8">
        <v>1.0062</v>
      </c>
      <c r="V45" s="16">
        <v>0.95760000000000001</v>
      </c>
      <c r="W45" s="52">
        <v>0.95329000000000053</v>
      </c>
      <c r="X45" s="52">
        <v>0.79620000000000002</v>
      </c>
    </row>
    <row r="46" spans="1:24" ht="22.5" customHeight="1" thickTop="1" thickBot="1">
      <c r="A46" s="46">
        <v>45</v>
      </c>
      <c r="B46" s="18">
        <v>0.7621</v>
      </c>
      <c r="C46" s="18">
        <v>1.0893999999999999</v>
      </c>
      <c r="D46" s="18">
        <v>1.0087999999999999</v>
      </c>
      <c r="E46" s="18">
        <v>0.76</v>
      </c>
      <c r="F46" s="16">
        <v>0.90878000000000003</v>
      </c>
      <c r="G46" s="18">
        <v>0.93889999999999996</v>
      </c>
      <c r="H46" s="18">
        <v>0.8952</v>
      </c>
      <c r="I46" s="18">
        <v>1.0199</v>
      </c>
      <c r="J46" s="18">
        <v>0.96009999999999995</v>
      </c>
      <c r="K46" s="18">
        <v>0.92279999999999995</v>
      </c>
      <c r="L46" s="18">
        <v>0.91700000000000004</v>
      </c>
      <c r="M46" s="40">
        <v>0.85470000000000002</v>
      </c>
      <c r="N46" s="16">
        <v>0.92600000000000005</v>
      </c>
      <c r="O46" s="18">
        <v>0.92200000000000004</v>
      </c>
      <c r="P46" s="16">
        <v>0.90963000000000005</v>
      </c>
      <c r="Q46" s="27">
        <v>0.93681999999999999</v>
      </c>
      <c r="R46" s="41">
        <v>0.78342000000000001</v>
      </c>
      <c r="S46" s="18">
        <f t="shared" si="0"/>
        <v>1.0180200000000006</v>
      </c>
      <c r="T46" s="16">
        <v>0.92272848484848502</v>
      </c>
      <c r="U46" s="16">
        <v>1.0049999999999999</v>
      </c>
      <c r="V46" s="16">
        <v>0.95760000000000001</v>
      </c>
      <c r="W46" s="52">
        <v>0.95329000000000053</v>
      </c>
      <c r="X46" s="52">
        <v>0.79620000000000002</v>
      </c>
    </row>
    <row r="47" spans="1:24" ht="17.399999999999999" thickTop="1" thickBot="1">
      <c r="A47" s="47">
        <v>46</v>
      </c>
      <c r="B47" s="22">
        <v>0.76124999999999998</v>
      </c>
      <c r="C47" s="22">
        <v>1.08833</v>
      </c>
      <c r="D47" s="22">
        <v>1.0079499999999999</v>
      </c>
      <c r="E47" s="22">
        <v>0.75887000000000004</v>
      </c>
      <c r="F47" s="22">
        <v>0.90781999999999996</v>
      </c>
      <c r="G47" s="22">
        <v>0.93489999999999995</v>
      </c>
      <c r="H47" s="22">
        <v>0.89419999999999999</v>
      </c>
      <c r="I47" s="22">
        <v>1.0187999999999999</v>
      </c>
      <c r="J47" s="22">
        <v>0.95930000000000004</v>
      </c>
      <c r="K47" s="22">
        <v>0.92190000000000005</v>
      </c>
      <c r="L47" s="22">
        <v>0.91600000000000004</v>
      </c>
      <c r="M47" s="44">
        <v>0.85370000000000001</v>
      </c>
      <c r="N47" s="22">
        <v>0.92600000000000005</v>
      </c>
      <c r="O47" s="22">
        <v>0.92200000000000004</v>
      </c>
      <c r="P47" s="22">
        <v>0.90856000000000003</v>
      </c>
      <c r="Q47" s="27">
        <v>0.93681999999999999</v>
      </c>
      <c r="R47" s="31">
        <v>0.78268000000000004</v>
      </c>
      <c r="S47" s="22">
        <f t="shared" si="0"/>
        <v>1.0172880000000006</v>
      </c>
      <c r="T47" s="22">
        <v>0.92170424242424398</v>
      </c>
      <c r="U47" s="8">
        <v>1.0038</v>
      </c>
      <c r="V47" s="16">
        <v>0.95760000000000001</v>
      </c>
      <c r="W47" s="52">
        <v>0.95329000000000053</v>
      </c>
      <c r="X47" s="52">
        <v>0.79620000000000002</v>
      </c>
    </row>
    <row r="48" spans="1:24" ht="17.399999999999999" thickTop="1" thickBot="1">
      <c r="A48" s="47">
        <v>47</v>
      </c>
      <c r="B48" s="27">
        <v>0.76037999999999994</v>
      </c>
      <c r="C48" s="27">
        <v>1.08728</v>
      </c>
      <c r="D48" s="27">
        <v>1.00708</v>
      </c>
      <c r="E48" s="27">
        <v>0.75771999999999995</v>
      </c>
      <c r="F48" s="27">
        <v>0.90683000000000002</v>
      </c>
      <c r="G48" s="22">
        <v>0.93330000000000002</v>
      </c>
      <c r="H48" s="22">
        <v>0.89319999999999999</v>
      </c>
      <c r="I48" s="22">
        <v>1.0177</v>
      </c>
      <c r="J48" s="27">
        <v>0.95850000000000002</v>
      </c>
      <c r="K48" s="22">
        <v>0.92100000000000004</v>
      </c>
      <c r="L48" s="22">
        <v>0.91500000000000004</v>
      </c>
      <c r="M48" s="45">
        <v>0.85270000000000001</v>
      </c>
      <c r="N48" s="22">
        <v>0.92600000000000005</v>
      </c>
      <c r="O48" s="27">
        <v>0.92200000000000004</v>
      </c>
      <c r="P48" s="27">
        <v>0.90751999999999999</v>
      </c>
      <c r="Q48" s="27">
        <v>0.93681999999999999</v>
      </c>
      <c r="R48" s="37">
        <v>0.78193999999999997</v>
      </c>
      <c r="S48" s="27">
        <f t="shared" si="0"/>
        <v>1.0165560000000007</v>
      </c>
      <c r="T48" s="22">
        <v>0.92068000000000205</v>
      </c>
      <c r="U48" s="8">
        <v>1.0025999999999999</v>
      </c>
      <c r="V48" s="16">
        <v>0.95760000000000001</v>
      </c>
      <c r="W48" s="52">
        <v>0.95329000000000053</v>
      </c>
      <c r="X48" s="52">
        <v>0.79620000000000002</v>
      </c>
    </row>
    <row r="49" spans="1:24" ht="17.399999999999999" thickTop="1" thickBot="1">
      <c r="A49" s="47">
        <v>48</v>
      </c>
      <c r="B49" s="27">
        <v>0.75951000000000002</v>
      </c>
      <c r="C49" s="27">
        <v>1.08623</v>
      </c>
      <c r="D49" s="27">
        <v>1.00621</v>
      </c>
      <c r="E49" s="27">
        <v>0.75656999999999996</v>
      </c>
      <c r="F49" s="27">
        <v>0.90585000000000004</v>
      </c>
      <c r="G49" s="27">
        <v>0.93169999999999997</v>
      </c>
      <c r="H49" s="27">
        <v>0.89219999999999999</v>
      </c>
      <c r="I49" s="27">
        <v>1.0165999999999999</v>
      </c>
      <c r="J49" s="27">
        <v>0.9577</v>
      </c>
      <c r="K49" s="27">
        <v>0.92010000000000003</v>
      </c>
      <c r="L49" s="27">
        <v>0.91400000000000003</v>
      </c>
      <c r="M49" s="45">
        <v>0.85170000000000001</v>
      </c>
      <c r="N49" s="22">
        <v>0.92600000000000005</v>
      </c>
      <c r="O49" s="27">
        <v>0.92200000000000004</v>
      </c>
      <c r="P49" s="27">
        <v>0.90647999999999995</v>
      </c>
      <c r="Q49" s="27">
        <v>0.93681999999999999</v>
      </c>
      <c r="R49" s="37">
        <v>0.78120000000000001</v>
      </c>
      <c r="S49" s="27">
        <f t="shared" si="0"/>
        <v>1.0158240000000007</v>
      </c>
      <c r="T49" s="22">
        <v>0.91965575757576001</v>
      </c>
      <c r="U49" s="8">
        <v>1.0014000000000001</v>
      </c>
      <c r="V49" s="16">
        <v>0.95760000000000001</v>
      </c>
      <c r="W49" s="52">
        <v>0.95329000000000053</v>
      </c>
      <c r="X49" s="52">
        <v>0.79620000000000002</v>
      </c>
    </row>
    <row r="50" spans="1:24" ht="17.399999999999999" thickTop="1" thickBot="1">
      <c r="A50" s="47">
        <v>49</v>
      </c>
      <c r="B50" s="27">
        <v>0.75863999999999998</v>
      </c>
      <c r="C50" s="27">
        <v>1.08518</v>
      </c>
      <c r="D50" s="27">
        <v>1.0053399999999999</v>
      </c>
      <c r="E50" s="27">
        <v>0.75541999999999998</v>
      </c>
      <c r="F50" s="27">
        <v>0.90488000000000002</v>
      </c>
      <c r="G50" s="27">
        <v>0.93010000000000004</v>
      </c>
      <c r="H50" s="22">
        <v>0.89119999999999999</v>
      </c>
      <c r="I50" s="22">
        <v>1.0154000000000001</v>
      </c>
      <c r="J50" s="27">
        <v>0.95689999999999997</v>
      </c>
      <c r="K50" s="27">
        <v>0.91920000000000002</v>
      </c>
      <c r="L50" s="27">
        <v>0.91300000000000003</v>
      </c>
      <c r="M50" s="45">
        <v>0.85070000000000001</v>
      </c>
      <c r="N50" s="22">
        <v>0.92600000000000005</v>
      </c>
      <c r="O50" s="27">
        <v>0.92200000000000004</v>
      </c>
      <c r="P50" s="27">
        <v>0.90542999999999996</v>
      </c>
      <c r="Q50" s="27">
        <v>0.93681999999999999</v>
      </c>
      <c r="R50" s="37">
        <v>0.78046000000000004</v>
      </c>
      <c r="S50" s="27">
        <f t="shared" si="0"/>
        <v>1.0150920000000008</v>
      </c>
      <c r="T50" s="22">
        <v>0.91863151515151897</v>
      </c>
      <c r="U50" s="8">
        <v>1.0002</v>
      </c>
      <c r="V50" s="16">
        <v>0.95760000000000001</v>
      </c>
      <c r="W50" s="52">
        <v>0.95329000000000053</v>
      </c>
      <c r="X50" s="52">
        <v>0.79620000000000002</v>
      </c>
    </row>
    <row r="51" spans="1:24" ht="17.399999999999999" thickTop="1" thickBot="1">
      <c r="A51" s="48">
        <v>50</v>
      </c>
      <c r="B51" s="18">
        <v>0.75777000000000005</v>
      </c>
      <c r="C51" s="18">
        <v>1.08413</v>
      </c>
      <c r="D51" s="18">
        <v>1.00447</v>
      </c>
      <c r="E51" s="18">
        <v>0.75427</v>
      </c>
      <c r="F51" s="16">
        <v>0.90390999999999999</v>
      </c>
      <c r="G51" s="18">
        <v>0.92849999999999999</v>
      </c>
      <c r="H51" s="18">
        <v>0.89019999999999999</v>
      </c>
      <c r="I51" s="18">
        <v>1.0143</v>
      </c>
      <c r="J51" s="18">
        <v>0.95609999999999995</v>
      </c>
      <c r="K51" s="18">
        <v>0.91830000000000001</v>
      </c>
      <c r="L51" s="18">
        <v>0.91200000000000003</v>
      </c>
      <c r="M51" s="40">
        <v>0.84970000000000001</v>
      </c>
      <c r="N51" s="16">
        <v>0.92600000000000005</v>
      </c>
      <c r="O51" s="18">
        <v>0.92200000000000004</v>
      </c>
      <c r="P51" s="16">
        <v>0.90439000000000003</v>
      </c>
      <c r="Q51" s="27">
        <v>0.93681999999999999</v>
      </c>
      <c r="R51" s="41">
        <v>0.77971999999999997</v>
      </c>
      <c r="S51" s="18">
        <f t="shared" si="0"/>
        <v>1.0143600000000008</v>
      </c>
      <c r="T51" s="16">
        <v>0.91760727272727705</v>
      </c>
      <c r="U51" s="16">
        <v>0.999</v>
      </c>
      <c r="V51" s="16">
        <v>0.95760000000000001</v>
      </c>
      <c r="W51" s="52">
        <v>0.95329000000000053</v>
      </c>
      <c r="X51" s="52">
        <v>0.79620000000000002</v>
      </c>
    </row>
    <row r="52" spans="1:24" ht="17.399999999999999" thickTop="1" thickBot="1">
      <c r="A52" s="48">
        <v>51</v>
      </c>
      <c r="B52" s="49"/>
      <c r="C52" s="49"/>
      <c r="D52" s="49"/>
      <c r="E52" s="49"/>
      <c r="F52" s="49"/>
      <c r="G52" s="49"/>
      <c r="H52" s="49"/>
      <c r="I52" s="49">
        <v>1.0132000000000001</v>
      </c>
      <c r="J52" s="49"/>
      <c r="U52" s="8"/>
    </row>
    <row r="53" spans="1:24" ht="17.399999999999999" thickTop="1" thickBot="1">
      <c r="A53" s="48">
        <v>52</v>
      </c>
      <c r="I53" s="47">
        <v>1.0121</v>
      </c>
      <c r="U53" s="8"/>
    </row>
    <row r="54" spans="1:24" ht="17.399999999999999" thickTop="1" thickBot="1">
      <c r="A54" s="48">
        <v>53</v>
      </c>
      <c r="I54" s="47">
        <v>1.0109999999999999</v>
      </c>
      <c r="U54" s="8"/>
    </row>
    <row r="55" spans="1:24" ht="17.399999999999999" thickTop="1" thickBot="1">
      <c r="A55" s="48">
        <v>54</v>
      </c>
      <c r="I55" s="47">
        <v>1.0098</v>
      </c>
      <c r="U55" s="8"/>
    </row>
    <row r="56" spans="1:24" ht="17.399999999999999" thickTop="1" thickBot="1">
      <c r="A56" s="48">
        <v>55</v>
      </c>
      <c r="I56" s="47">
        <v>1.0086999999999999</v>
      </c>
      <c r="U56" s="8"/>
    </row>
    <row r="57" spans="1:24" ht="17.399999999999999" thickTop="1" thickBot="1">
      <c r="A57" s="48">
        <v>56</v>
      </c>
      <c r="I57" s="47">
        <v>1.0076000000000001</v>
      </c>
      <c r="U57" s="8"/>
    </row>
    <row r="58" spans="1:24" ht="17.399999999999999" thickTop="1" thickBot="1">
      <c r="A58" s="48">
        <v>57</v>
      </c>
      <c r="I58" s="47">
        <v>1.0065</v>
      </c>
      <c r="U58" s="8"/>
    </row>
    <row r="59" spans="1:24" ht="17.399999999999999" thickTop="1" thickBot="1">
      <c r="A59" s="48">
        <v>58</v>
      </c>
      <c r="I59" s="47">
        <v>1.0054000000000001</v>
      </c>
      <c r="U59" s="8"/>
    </row>
    <row r="60" spans="1:24" ht="17.399999999999999" thickTop="1" thickBot="1">
      <c r="A60" s="48">
        <v>59</v>
      </c>
      <c r="I60" s="47">
        <v>1.0042</v>
      </c>
      <c r="U60" s="8"/>
    </row>
    <row r="61" spans="1:24" ht="17.399999999999999" thickTop="1" thickBot="1">
      <c r="A61" s="48">
        <v>60</v>
      </c>
      <c r="I61" s="47">
        <v>1.0031000000000001</v>
      </c>
      <c r="U61" s="8"/>
    </row>
    <row r="62" spans="1:24" ht="16.8" thickTop="1">
      <c r="U62" s="8"/>
    </row>
    <row r="63" spans="1:24">
      <c r="U63" s="8"/>
    </row>
    <row r="64" spans="1:24">
      <c r="U64" s="8"/>
    </row>
    <row r="65" spans="21:21">
      <c r="U65" s="8"/>
    </row>
    <row r="66" spans="21:21">
      <c r="U66" s="8"/>
    </row>
    <row r="67" spans="21:21">
      <c r="U67" s="8"/>
    </row>
    <row r="68" spans="21:21">
      <c r="U68" s="8"/>
    </row>
    <row r="69" spans="21:21">
      <c r="U69" s="8"/>
    </row>
    <row r="70" spans="21:21">
      <c r="U70" s="8"/>
    </row>
    <row r="71" spans="21:21">
      <c r="U71" s="8"/>
    </row>
    <row r="72" spans="21:21">
      <c r="U72" s="8"/>
    </row>
    <row r="73" spans="21:21">
      <c r="U73" s="8"/>
    </row>
    <row r="74" spans="21:21">
      <c r="U74" s="8"/>
    </row>
    <row r="75" spans="21:21">
      <c r="U75" s="8"/>
    </row>
    <row r="76" spans="21:21">
      <c r="U76" s="8"/>
    </row>
    <row r="77" spans="21:21">
      <c r="U77" s="8"/>
    </row>
    <row r="78" spans="21:21">
      <c r="U78" s="8"/>
    </row>
    <row r="79" spans="21:21">
      <c r="U79" s="8"/>
    </row>
    <row r="80" spans="21:21">
      <c r="U80" s="8"/>
    </row>
    <row r="81" spans="21:21">
      <c r="U81" s="8"/>
    </row>
    <row r="82" spans="21:21">
      <c r="U82" s="8"/>
    </row>
    <row r="83" spans="21:21">
      <c r="U83" s="8"/>
    </row>
    <row r="84" spans="21:21">
      <c r="U84" s="8"/>
    </row>
    <row r="85" spans="21:21">
      <c r="U85" s="8"/>
    </row>
    <row r="86" spans="21:21">
      <c r="U86" s="8"/>
    </row>
    <row r="87" spans="21:21">
      <c r="U87" s="8"/>
    </row>
    <row r="88" spans="21:21">
      <c r="U88" s="8"/>
    </row>
    <row r="89" spans="21:21">
      <c r="U89" s="8"/>
    </row>
    <row r="90" spans="21:21">
      <c r="U90" s="8"/>
    </row>
    <row r="91" spans="21:21">
      <c r="U91" s="8"/>
    </row>
    <row r="92" spans="21:21">
      <c r="U92" s="8"/>
    </row>
    <row r="93" spans="21:21">
      <c r="U93" s="8"/>
    </row>
  </sheetData>
  <phoneticPr fontId="2" type="noConversion"/>
  <pageMargins left="0.42" right="0.2" top="0.36" bottom="0.43" header="0.5" footer="0.5"/>
  <pageSetup paperSize="9" scale="41" orientation="landscape" verticalDpi="18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54">
    <pageSetUpPr fitToPage="1"/>
  </sheetPr>
  <dimension ref="A1:CU223"/>
  <sheetViews>
    <sheetView tabSelected="1" view="pageBreakPreview" zoomScale="80" zoomScaleNormal="100" zoomScaleSheetLayoutView="80" workbookViewId="0">
      <selection activeCell="AF24" sqref="AF2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8" t="s" ph="1">
        <v>161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" customHeight="1" ph="1">
      <c r="B3" s="240" ph="1">
        <v>45961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9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41" t="s" ph="1">
        <v>177</v>
      </c>
      <c r="D6" s="71">
        <v>6786</v>
      </c>
      <c r="E6" s="71">
        <v>4634</v>
      </c>
      <c r="F6" s="71">
        <v>6458</v>
      </c>
      <c r="G6" s="71">
        <v>1264</v>
      </c>
      <c r="H6" s="71">
        <v>5227</v>
      </c>
      <c r="I6" s="71">
        <v>59.04</v>
      </c>
      <c r="J6" s="71">
        <v>6.99</v>
      </c>
      <c r="K6" s="71">
        <v>8.59</v>
      </c>
      <c r="L6" s="71">
        <v>27.88</v>
      </c>
      <c r="M6" s="71">
        <v>1246</v>
      </c>
      <c r="N6" s="71">
        <v>2504</v>
      </c>
      <c r="O6" s="71">
        <v>105</v>
      </c>
      <c r="P6" s="71">
        <v>2559</v>
      </c>
      <c r="Q6" s="71">
        <v>6761</v>
      </c>
      <c r="R6" s="71">
        <v>6645</v>
      </c>
      <c r="S6" s="71">
        <v>5544</v>
      </c>
      <c r="T6" s="71">
        <v>7262</v>
      </c>
      <c r="U6" s="71">
        <v>494</v>
      </c>
      <c r="V6" s="71">
        <v>0</v>
      </c>
      <c r="W6" s="71">
        <v>0</v>
      </c>
      <c r="X6" s="71">
        <v>3542</v>
      </c>
      <c r="Y6" s="71">
        <v>7118</v>
      </c>
      <c r="Z6" s="71">
        <v>2017</v>
      </c>
      <c r="AA6" s="71">
        <v>2721</v>
      </c>
      <c r="AB6" s="71">
        <v>2273</v>
      </c>
      <c r="AC6" s="71">
        <v>553</v>
      </c>
      <c r="AD6" s="71">
        <v>5056</v>
      </c>
      <c r="AE6" s="71">
        <v>2040</v>
      </c>
    </row>
    <row r="7" spans="1:99" s="72" customFormat="1" ht="22.2" ph="1">
      <c r="B7" s="237" ph="1"/>
      <c r="C7" s="68" t="s" ph="1">
        <v>178</v>
      </c>
      <c r="D7" s="73" ph="1">
        <f>D6*33.183*LOOKUP(D8,密度!$A$2:$A$50,密度!$Q$2:$Q$50)</f>
        <v>213351.14110986001</v>
      </c>
      <c r="E7" s="73" ph="1">
        <f>E6*51.53*LOOKUP(E8,密度!$A$2:$A$50,密度!$B$2:$B$50)</f>
        <v>186160.69959200002</v>
      </c>
      <c r="F7" s="73" ph="1">
        <f>F6*33.183*LOOKUP(F8,密度!$A$2:$A$50,密度!$C$2:$C$50)</f>
        <v>237782.63521439998</v>
      </c>
      <c r="G7" s="73" ph="1">
        <f xml:space="preserve"> (G6+2)*51.53*LOOKUP(G8,密度!$A$2:$A$50,密度!$B$2:$B$50)</f>
        <v>50917.462890000003</v>
      </c>
      <c r="H7" s="73" ph="1">
        <f>(H6)*51.53*LOOKUP(H8,密度!$A$2:$A$50,密度!$B$2:$B$50)</f>
        <v>211195.225771</v>
      </c>
      <c r="I7" s="73" ph="1">
        <f>I6*290.8*1.0267</f>
        <v>17627.2398144</v>
      </c>
      <c r="J7" s="73" ph="1">
        <f>J6*290.8*0.7892</f>
        <v>1604.2005264000002</v>
      </c>
      <c r="K7" s="73" ph="1">
        <f>K6*290.8*1.1126</f>
        <v>2779.2436472000004</v>
      </c>
      <c r="L7" s="73" ph="1">
        <f>L6*290.8*0.777</f>
        <v>6299.530608</v>
      </c>
      <c r="M7" s="73" ph="1">
        <f>M6*33.183*LOOKUP(M8,密度!$A$2:$A$50,密度!$D$2:$D$50)</f>
        <v>42449.956680599993</v>
      </c>
      <c r="N7" s="73" ph="1">
        <f>N6*33.183*LOOKUP(N8,密度!$A$2:$A$50,密度!$E$2:$E$50)</f>
        <v>64984.870447200003</v>
      </c>
      <c r="O7" s="73" ph="1">
        <f>O6*20.428*LOOKUP(O8,密度!$A$2:$A$50,密度!$C$2:$C$50)</f>
        <v>2375.306556</v>
      </c>
      <c r="P7" s="73" ph="1">
        <f>P6*51.53*LOOKUP(P8,密度!$A$2:$A$50,密度!$B$2:$B$50)</f>
        <v>103039.52197799999</v>
      </c>
      <c r="Q7" s="73" ph="1">
        <f>Q6*1.5*1.5*3.1416*LOOKUP(W8,密度!$A$2:$A$50,密度!$L$2:$L$50)</f>
        <v>44827.774714799991</v>
      </c>
      <c r="R7" s="73" ph="1">
        <f>R6*1.5*1.5*3.1416*LOOKUP(R8,密度!$A$2:$A$50,密度!$L$2:$L$50)</f>
        <v>43776.829404000004</v>
      </c>
      <c r="S7" s="73" ph="1">
        <f>S6*1.5*1.5*3.1416*LOOKUP(S8,密度!$A$2:$A$50,密度!$L$2:$L$50)</f>
        <v>36876.207614399995</v>
      </c>
      <c r="T7" s="73" ph="1">
        <f>T6*1.5*1.5*3.1416*LOOKUP(T8,密度!$A$2:$A$50,密度!$L$2:$L$50)</f>
        <v>48354.907154399996</v>
      </c>
      <c r="U7" s="73" ph="1">
        <f>U6*1.5*1.5*3.1416*LOOKUP(U8,密度!$A$2:$A$50,密度!$L$2:$L$50)</f>
        <v>3271.8994308000001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23684.984215199998</v>
      </c>
      <c r="Y7" s="73" ph="1">
        <f>Y6*1.5*1.5*3.1416*LOOKUP(Y8,密度!$A$2:$A$50,密度!$L$2:$L$50)</f>
        <v>47194.808522399995</v>
      </c>
      <c r="Z7" s="73" ph="1">
        <f>Z6*33.183*LOOKUP(Z8,密度!$A$2:$A$50,密度!$L$2:$L$50)</f>
        <v>62981.234451000004</v>
      </c>
      <c r="AA7" s="73" ph="1">
        <f>AA6*33.183*LOOKUP(AA8,密度!$A$2:$A$50,密度!$D$2:$D$50)</f>
        <v>92782.973026799998</v>
      </c>
      <c r="AB7" s="73" ph="1">
        <f>AB6*20.428*LOOKUP(AB8,密度!$A$2:$A$50,密度!$D$2:$D$50)</f>
        <v>48006.917411600007</v>
      </c>
      <c r="AC7" s="73" ph="1">
        <f>AC6*51.53*LOOKUP(AC8,密度!$A$2:$A$50,密度!$Q$2:$Q$50)</f>
        <v>27062.451712100003</v>
      </c>
      <c r="AD7" s="73" ph="1">
        <f>AD6*20.428*LOOKUP(AD8,密度!$A$2:$A$50,密度!$V$2:$V$50)</f>
        <v>98904.727756800014</v>
      </c>
      <c r="AE7" s="73" ph="1">
        <f>AE6*20.428</f>
        <v>41673.120000000003</v>
      </c>
    </row>
    <row r="8" spans="1:99" ph="1">
      <c r="B8" s="237" ph="1"/>
      <c r="C8" s="68" t="s" ph="1">
        <v>179</v>
      </c>
      <c r="D8" s="74">
        <v>24</v>
      </c>
      <c r="E8" s="74">
        <v>25</v>
      </c>
      <c r="F8" s="74">
        <v>24</v>
      </c>
      <c r="G8" s="74">
        <v>24</v>
      </c>
      <c r="H8" s="74">
        <v>20</v>
      </c>
      <c r="I8" s="74">
        <v>25</v>
      </c>
      <c r="J8" s="74">
        <v>25</v>
      </c>
      <c r="K8" s="74">
        <v>25</v>
      </c>
      <c r="L8" s="74">
        <v>25</v>
      </c>
      <c r="M8" s="74">
        <v>25</v>
      </c>
      <c r="N8" s="74">
        <v>26</v>
      </c>
      <c r="O8" s="74">
        <v>27</v>
      </c>
      <c r="P8" s="74">
        <v>23</v>
      </c>
      <c r="Q8" s="74">
        <v>25</v>
      </c>
      <c r="R8" s="74">
        <v>30</v>
      </c>
      <c r="S8" s="74">
        <v>21</v>
      </c>
      <c r="T8" s="74">
        <v>20</v>
      </c>
      <c r="U8" s="74">
        <v>25</v>
      </c>
      <c r="V8" s="74">
        <v>27</v>
      </c>
      <c r="W8" s="74">
        <v>24</v>
      </c>
      <c r="X8" s="74">
        <v>16</v>
      </c>
      <c r="Y8" s="74">
        <v>24</v>
      </c>
      <c r="Z8" s="74">
        <v>21</v>
      </c>
      <c r="AA8" s="74">
        <v>24</v>
      </c>
      <c r="AB8" s="74">
        <v>17</v>
      </c>
      <c r="AC8" s="74">
        <v>21</v>
      </c>
      <c r="AD8" s="74">
        <v>26</v>
      </c>
      <c r="AE8" s="74">
        <v>30</v>
      </c>
    </row>
    <row r="9" spans="1:99" ht="26.4" ph="1">
      <c r="B9" s="237" ph="1">
        <v>0.66666666666666663</v>
      </c>
      <c r="C9" s="141" t="s" ph="1">
        <v>180</v>
      </c>
      <c r="D9" s="71">
        <v>6790</v>
      </c>
      <c r="E9" s="71">
        <v>4932</v>
      </c>
      <c r="F9" s="71">
        <v>6459</v>
      </c>
      <c r="G9" s="71">
        <v>3003</v>
      </c>
      <c r="H9" s="71">
        <v>5231</v>
      </c>
      <c r="I9" s="71">
        <v>10.66</v>
      </c>
      <c r="J9" s="71">
        <v>7.07</v>
      </c>
      <c r="K9" s="71">
        <v>8.61</v>
      </c>
      <c r="L9" s="71">
        <v>10.17</v>
      </c>
      <c r="M9" s="71">
        <v>1923</v>
      </c>
      <c r="N9" s="71">
        <v>2505</v>
      </c>
      <c r="O9" s="71">
        <v>103</v>
      </c>
      <c r="P9" s="71">
        <v>2168</v>
      </c>
      <c r="Q9" s="71">
        <v>6766</v>
      </c>
      <c r="R9" s="71">
        <v>6650</v>
      </c>
      <c r="S9" s="71">
        <v>5547</v>
      </c>
      <c r="T9" s="71">
        <v>7268</v>
      </c>
      <c r="U9" s="71">
        <v>2641</v>
      </c>
      <c r="V9" s="71">
        <v>4613</v>
      </c>
      <c r="W9" s="71">
        <v>0</v>
      </c>
      <c r="X9" s="71">
        <v>0</v>
      </c>
      <c r="Y9" s="71">
        <v>5825</v>
      </c>
      <c r="Z9" s="71">
        <v>484</v>
      </c>
      <c r="AA9" s="71">
        <v>2924</v>
      </c>
      <c r="AB9" s="71">
        <v>2149</v>
      </c>
      <c r="AC9" s="71">
        <v>875</v>
      </c>
      <c r="AD9" s="71">
        <v>5085</v>
      </c>
      <c r="AE9" s="71">
        <v>2342</v>
      </c>
    </row>
    <row r="10" spans="1:99" s="72" customFormat="1" ht="22.2" ph="1">
      <c r="B10" s="237" ph="1"/>
      <c r="C10" s="141" t="s" ph="1">
        <v>178</v>
      </c>
      <c r="D10" s="73" ph="1">
        <f>D9*33.183*LOOKUP(D11,密度!$A$2:$A$50,密度!$Q$2:$Q$50)</f>
        <v>213312.42252180001</v>
      </c>
      <c r="E10" s="73" ph="1">
        <f>E9*51.53*LOOKUP(E11,密度!$A$2:$A$50,密度!$B$2:$B$50)</f>
        <v>197903.45905199999</v>
      </c>
      <c r="F10" s="73" ph="1">
        <f>F9*33.183*LOOKUP(F11,密度!$A$2:$A$50,密度!$C$2:$C$50)</f>
        <v>237819.45507119998</v>
      </c>
      <c r="G10" s="73" ph="1">
        <f xml:space="preserve"> (G9+2)*51.53*LOOKUP(G11,密度!$A$2:$A$50,密度!$B$2:$B$50)</f>
        <v>120719.22793999998</v>
      </c>
      <c r="H10" s="73" ph="1">
        <f>(H9)*51.53*LOOKUP(H11,密度!$A$2:$A$50,密度!$B$2:$B$50)</f>
        <v>210871.648289</v>
      </c>
      <c r="I10" s="73" ph="1">
        <f>I9*290.8*1.0267</f>
        <v>3182.6960776000001</v>
      </c>
      <c r="J10" s="73" ph="1">
        <f>J9*290.8*0.7892</f>
        <v>1622.5604752000002</v>
      </c>
      <c r="K10" s="73" ph="1">
        <f>K9*290.8*1.1126</f>
        <v>2785.7145288000002</v>
      </c>
      <c r="L10" s="73" ph="1">
        <f>L9*290.8*0.777</f>
        <v>2297.927772</v>
      </c>
      <c r="M10" s="73" ph="1">
        <f>M9*33.183*LOOKUP(M11,密度!$A$2:$A$50,密度!$D$2:$D$50)</f>
        <v>65457.230452200005</v>
      </c>
      <c r="N10" s="73" ph="1">
        <f>N9*33.183*LOOKUP(N11,密度!$A$2:$A$50,密度!$E$2:$E$50)</f>
        <v>65010.822871499993</v>
      </c>
      <c r="O10" s="73" ph="1">
        <f>O9*20.428*LOOKUP(O11,密度!$A$2:$A$50,密度!$C$2:$C$50)</f>
        <v>2323.1191444000006</v>
      </c>
      <c r="P10" s="73" ph="1">
        <f>P9*51.53*LOOKUP(P11,密度!$A$2:$A$50,密度!$B$2:$B$50)</f>
        <v>86904.685416000008</v>
      </c>
      <c r="Q10" s="73" ph="1">
        <f>Q9*1.5*1.5*3.1416*LOOKUP(W11,密度!$A$2:$A$50,密度!$L$2:$L$50)</f>
        <v>44334.8388252</v>
      </c>
      <c r="R10" s="73" ph="1">
        <f>R9*1.5*1.5*3.1416*LOOKUP(R11,密度!$A$2:$A$50,密度!$L$2:$L$50)</f>
        <v>43762.762890000005</v>
      </c>
      <c r="S10" s="73" ph="1">
        <f>S9*1.5*1.5*3.1416*LOOKUP(S11,密度!$A$2:$A$50,密度!$L$2:$L$50)</f>
        <v>36856.952747999996</v>
      </c>
      <c r="T10" s="73" ph="1">
        <f>T9*1.5*1.5*3.1416*LOOKUP(T11,密度!$A$2:$A$50,密度!$L$2:$L$50)</f>
        <v>48292.109711999998</v>
      </c>
      <c r="U10" s="73" ph="1">
        <f>U9*1.5*1.5*3.1416*LOOKUP(U11,密度!$A$2:$A$50,密度!$L$2:$L$50)</f>
        <v>17492.077726199997</v>
      </c>
      <c r="V10" s="73" ph="1">
        <f>V9*1.5*1.5*3.1416*LOOKUP(V11,密度!$A$2:$A$50,密度!$L$2:$L$50)</f>
        <v>30487.967433000002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38580.595515000001</v>
      </c>
      <c r="Z10" s="73" ph="1">
        <f>Z9*33.183*LOOKUP(Z11,密度!$A$2:$A$50,密度!$L$2:$L$50)</f>
        <v>15112.998251999999</v>
      </c>
      <c r="AA10" s="73" ph="1">
        <f>AA9*33.183*LOOKUP(AA11,密度!$A$2:$A$50,密度!$D$2:$D$50)</f>
        <v>99617.715356400004</v>
      </c>
      <c r="AB10" s="73" ph="1">
        <f>AB9*20.428*LOOKUP(AB11,密度!$A$2:$A$50,密度!$D$2:$D$50)</f>
        <v>45352.854453200001</v>
      </c>
      <c r="AC10" s="73" ph="1">
        <f>AC9*51.53*LOOKUP(AC11,密度!$A$2:$A$50,密度!$Q$2:$Q$50)</f>
        <v>42720.237962500003</v>
      </c>
      <c r="AD10" s="73" ph="1">
        <f>AD9*20.428*LOOKUP(AD11,密度!$A$2:$A$50,密度!$V$2:$V$50)</f>
        <v>99472.021487999998</v>
      </c>
      <c r="AE10" s="73" ph="1">
        <f>AE9*20.428</f>
        <v>47842.376000000004</v>
      </c>
    </row>
    <row r="11" spans="1:99" ph="1">
      <c r="A11" s="64" t="s" ph="1">
        <v>162</v>
      </c>
      <c r="B11" s="237" ph="1"/>
      <c r="C11" s="141" t="s" ph="1">
        <v>179</v>
      </c>
      <c r="D11" s="74">
        <v>25</v>
      </c>
      <c r="E11" s="74">
        <v>26</v>
      </c>
      <c r="F11" s="74">
        <v>24</v>
      </c>
      <c r="G11" s="74">
        <v>25</v>
      </c>
      <c r="H11" s="74">
        <v>22</v>
      </c>
      <c r="I11" s="74">
        <v>25</v>
      </c>
      <c r="J11" s="74">
        <v>25</v>
      </c>
      <c r="K11" s="74">
        <v>25</v>
      </c>
      <c r="L11" s="74">
        <v>25</v>
      </c>
      <c r="M11" s="74">
        <v>26</v>
      </c>
      <c r="N11" s="74">
        <v>26</v>
      </c>
      <c r="O11" s="74">
        <v>31</v>
      </c>
      <c r="P11" s="74">
        <v>27</v>
      </c>
      <c r="Q11" s="74">
        <v>27</v>
      </c>
      <c r="R11" s="74">
        <v>31</v>
      </c>
      <c r="S11" s="74">
        <v>22</v>
      </c>
      <c r="T11" s="74">
        <v>22</v>
      </c>
      <c r="U11" s="74">
        <v>25</v>
      </c>
      <c r="V11" s="74">
        <v>27</v>
      </c>
      <c r="W11" s="74">
        <v>35</v>
      </c>
      <c r="X11" s="74">
        <v>23</v>
      </c>
      <c r="Y11" s="74">
        <v>25</v>
      </c>
      <c r="Z11" s="74">
        <v>21</v>
      </c>
      <c r="AA11" s="74">
        <v>25</v>
      </c>
      <c r="AB11" s="74">
        <v>18</v>
      </c>
      <c r="AC11" s="74">
        <v>24</v>
      </c>
      <c r="AD11" s="74">
        <v>26</v>
      </c>
      <c r="AE11" s="74">
        <v>31</v>
      </c>
    </row>
    <row r="12" spans="1:99" ht="9.9" customHeight="1" ph="1"/>
    <row r="13" spans="1:99" s="72" customFormat="1" ht="29.25" customHeight="1" ph="1">
      <c r="B13" s="214" t="s" ph="1">
        <v>37</v>
      </c>
      <c r="C13" s="141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5" ph="1"/>
      <c r="C14" s="67" t="s" ph="1">
        <v>36</v>
      </c>
      <c r="D14" s="77" t="s" ph="1">
        <v>616</v>
      </c>
      <c r="E14" s="77" t="s" ph="1">
        <v>616</v>
      </c>
      <c r="F14" s="77" t="s" ph="1">
        <v>639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636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635</v>
      </c>
      <c r="AC14" s="77" t="s" ph="1">
        <v>637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6" ph="1">
        <v>0.33333333333333331</v>
      </c>
      <c r="C15" s="141" t="s" ph="1">
        <v>177</v>
      </c>
      <c r="D15" s="78">
        <v>5965</v>
      </c>
      <c r="E15" s="78">
        <v>3069</v>
      </c>
      <c r="F15" s="78">
        <v>4232</v>
      </c>
      <c r="G15" s="78">
        <v>4176</v>
      </c>
      <c r="H15" s="78">
        <v>0</v>
      </c>
      <c r="I15" s="78">
        <v>1617</v>
      </c>
      <c r="J15" s="78">
        <v>736</v>
      </c>
      <c r="K15" s="78">
        <v>4682</v>
      </c>
      <c r="L15" s="78">
        <v>3966</v>
      </c>
      <c r="M15" s="78">
        <v>6233</v>
      </c>
      <c r="N15" s="78">
        <v>379</v>
      </c>
      <c r="O15" s="78">
        <v>6398</v>
      </c>
      <c r="P15" s="78">
        <v>6942</v>
      </c>
      <c r="Q15" s="78">
        <v>1612</v>
      </c>
      <c r="R15" s="78">
        <v>1835</v>
      </c>
      <c r="S15" s="78">
        <v>6193</v>
      </c>
      <c r="T15" s="78">
        <v>2415</v>
      </c>
      <c r="U15" s="78">
        <v>5903</v>
      </c>
      <c r="V15" s="78">
        <v>4942</v>
      </c>
      <c r="W15" s="71">
        <v>5045</v>
      </c>
      <c r="X15" s="78">
        <v>851</v>
      </c>
      <c r="Y15" s="106">
        <v>-2365</v>
      </c>
      <c r="Z15" s="78">
        <v>0</v>
      </c>
      <c r="AA15" s="78">
        <v>9</v>
      </c>
      <c r="AB15" s="78" ph="1">
        <v>1095</v>
      </c>
      <c r="AC15" s="78" ph="1">
        <v>2144</v>
      </c>
      <c r="AD15" s="78">
        <v>84.1</v>
      </c>
      <c r="AE15" s="78">
        <v>54.42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7" ph="1"/>
      <c r="C16" s="141" t="s" ph="1">
        <v>178</v>
      </c>
      <c r="D16" s="73" ph="1">
        <f>D15*7.0686*LOOKUP(D17,密度!$A$2:$A$50,密度!$L$2:$L$50)</f>
        <v>39507.854463000003</v>
      </c>
      <c r="E16" s="73" ph="1">
        <f>E15*7.0686*LOOKUP(E17,密度!$A$2:$A$50,密度!$L$2:$L$50)</f>
        <v>20326.840795800003</v>
      </c>
      <c r="F16" s="73" ph="1">
        <f>F15*9.0746*LOOKUP(F17,密度!$A$2:$A$50,密度!$L$2:$L$50)</f>
        <v>35753.851403200009</v>
      </c>
      <c r="G16" s="73" ph="1">
        <f>G15*9.0746*LOOKUP(G17,密度!$A$2:$A$50,密度!$B$2:$B$50)</f>
        <v>29577.460852799999</v>
      </c>
      <c r="H16" s="73" ph="1">
        <f>H15*9.0746*LOOKUP(H17,密度!$A$2:$A$50,密度!$L$2:$L$50)</f>
        <v>0</v>
      </c>
      <c r="I16" s="73" ph="1">
        <f>I15*9.0746*LOOKUP(I17,密度!$A$2:$A$50,密度!$U$2:$U$50)</f>
        <v>15055.142533200002</v>
      </c>
      <c r="J16" s="73" ph="1">
        <f>J15*9.0746*LOOKUP(J17,密度!$A$2:$A$50,密度!$L$2:$L$50)</f>
        <v>6258.1345472000003</v>
      </c>
      <c r="K16" s="73" ph="1">
        <f>K15*9.0746*LOOKUP(K17,密度!$A$2:$A$50,密度!$C$2:$C$50)</f>
        <v>47016.420949520005</v>
      </c>
      <c r="L16" s="73" ph="1">
        <f>L15*9.0746*LOOKUP(L17,密度!$A$2:$A$50,密度!$E$2:$E$50)</f>
        <v>28187.261171520004</v>
      </c>
      <c r="M16" s="73" ph="1">
        <f>M15*9.0746*LOOKUP(M17,密度!$A$2:$A$50,密度!$M$2:$M$50)</f>
        <v>49440.828291379999</v>
      </c>
      <c r="N16" s="73" ph="1">
        <f>N15*9.0746*LOOKUP(N17,密度!$A$2:$A$50,密度!$M$2:$M$50)</f>
        <v>3019.6820452000002</v>
      </c>
      <c r="O16" s="73" ph="1">
        <f>O15*9.0746*LOOKUP(O17,密度!$A$2:$A$50,密度!$G$2:$G$50)</f>
        <v>55748.531026160003</v>
      </c>
      <c r="P16" s="73" ph="1">
        <f ca="1">P15*9.0746*LOOKUP(P17,密度!$A$2:$A$51,密度!$Q$2:$Q$50)</f>
        <v>59640.712993368004</v>
      </c>
      <c r="Q16" s="73" ph="1">
        <f>Q15*9.0746*LOOKUP(Q17,密度!$A$2:$A$50,密度!$Q$2:$Q$50)</f>
        <v>13849.154328048</v>
      </c>
      <c r="R16" s="73" ph="1">
        <f>MAX(R15*9.0746*LOOKUP(R17,密度!$A$2:$A$50,密度!$B$2:$B$50),0)</f>
        <v>12966.827521699999</v>
      </c>
      <c r="S16" s="73" ph="1">
        <f>S15*9.0746*LOOKUP(S17,密度!$A$2:$A$50,密度!$Q$2:$Q$50)</f>
        <v>53246.864445566003</v>
      </c>
      <c r="T16" s="73" ph="1">
        <f>T15*9.0746*LOOKUP(T17,密度!$A$2:$A$50,密度!$O$2:$O$50)</f>
        <v>20293.437234000001</v>
      </c>
      <c r="U16" s="73" ph="1">
        <f>U15*9.0746*LOOKUP(U17,密度!$A$2:$A$50,密度!$H$2:$H$50)</f>
        <v>49105.202395459994</v>
      </c>
      <c r="V16" s="73" ph="1">
        <f>MAX(5600*LOOKUP(V17,密度!$A$2:$A$50,密度!$Q$2:$Q$50)+V15*9.0476*LOOKUP(V17,密度!$A$2:$A$50,密度!$Q$2:$Q$50),0)</f>
        <v>47562.111280543999</v>
      </c>
      <c r="W16" s="73" ph="1">
        <f>MAX(5600*LOOKUP(W17,密度!$A$2:$A$50,密度!$Q$2:$Q$50)+W15*9.0476*LOOKUP(W17,密度!$A$2:$A$50,密度!$Q$2:$Q$50),0)</f>
        <v>48443.057635439996</v>
      </c>
      <c r="X16" s="73" ph="1">
        <f>MAX(5600*LOOKUP(X17,密度!$A$2:$A$50,密度!$I$2:$I$50)+X15*9.0476*LOOKUP(X17,密度!$A$2:$A$50,密度!$I$2:$I$50),0)</f>
        <v>13847.447313119997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63.818031960000006</v>
      </c>
      <c r="AB16" s="73" ph="1">
        <f>AB15*9.0746*LOOKUP(AB17,密度!$A$2:$A$50,密度!$L$2:$L$50)</f>
        <v>9310.6757190000008</v>
      </c>
      <c r="AC16" s="73" ph="1">
        <f>AC15*9.0746*LOOKUP(AC17,密度!$A$2:$A$50,密度!$L$2:$L$50)</f>
        <v>18269.129913599998</v>
      </c>
      <c r="AD16" s="73" ph="1">
        <f>AD15*268.68*LOOKUP(AD17,密度!$A$2:$A$50,密度!B2:B50)+IF(AD15&lt;=0,0,1566*LOOKUP(AD17,密度!$A$2:$A$50,密度!B2:B50))</f>
        <v>18836.685844799995</v>
      </c>
      <c r="AE16" s="73" ph="1">
        <f>AE15*268.68*LOOKUP(AE17,密度!$A$2:$A$50,密度!B2:B50)+IF(AE15&lt;=0,0,1566*LOOKUP(AE17,密度!$A$2:$A$50,密度!B2:B50))</f>
        <v>12619.826141760001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8" ph="1"/>
      <c r="C17" s="79" t="s" ph="1">
        <v>179</v>
      </c>
      <c r="D17" s="74">
        <v>25</v>
      </c>
      <c r="E17" s="74">
        <v>25</v>
      </c>
      <c r="F17" s="74">
        <v>31</v>
      </c>
      <c r="G17" s="74">
        <v>24</v>
      </c>
      <c r="H17" s="74">
        <v>20</v>
      </c>
      <c r="I17" s="74">
        <v>24</v>
      </c>
      <c r="J17" s="74">
        <v>25</v>
      </c>
      <c r="K17" s="74">
        <v>28</v>
      </c>
      <c r="L17" s="74">
        <v>25</v>
      </c>
      <c r="M17" s="74">
        <v>26</v>
      </c>
      <c r="N17" s="74">
        <v>22</v>
      </c>
      <c r="O17" s="74">
        <v>25</v>
      </c>
      <c r="P17" s="74">
        <v>25</v>
      </c>
      <c r="Q17" s="74">
        <v>25</v>
      </c>
      <c r="R17" s="74">
        <v>26</v>
      </c>
      <c r="S17" s="74">
        <v>24</v>
      </c>
      <c r="T17" s="74">
        <v>25</v>
      </c>
      <c r="U17" s="74">
        <v>23</v>
      </c>
      <c r="V17" s="74">
        <v>27</v>
      </c>
      <c r="W17" s="74">
        <v>27</v>
      </c>
      <c r="X17" s="74">
        <v>26</v>
      </c>
      <c r="Y17" s="108">
        <v>26</v>
      </c>
      <c r="Z17" s="74">
        <v>25</v>
      </c>
      <c r="AA17" s="74">
        <v>23</v>
      </c>
      <c r="AB17" s="74">
        <v>25</v>
      </c>
      <c r="AC17" s="74">
        <v>23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6" ph="1">
        <v>0.66666666666666663</v>
      </c>
      <c r="C18" s="79" t="s" ph="1">
        <v>180</v>
      </c>
      <c r="D18" s="71">
        <v>5974</v>
      </c>
      <c r="E18" s="71">
        <v>2479</v>
      </c>
      <c r="F18" s="71">
        <v>1927</v>
      </c>
      <c r="G18" s="71">
        <v>4222</v>
      </c>
      <c r="H18" s="71">
        <v>0</v>
      </c>
      <c r="I18" s="71">
        <v>1618</v>
      </c>
      <c r="J18" s="71">
        <v>736</v>
      </c>
      <c r="K18" s="71">
        <v>4783</v>
      </c>
      <c r="L18" s="71">
        <v>3971</v>
      </c>
      <c r="M18" s="71">
        <v>6498</v>
      </c>
      <c r="N18" s="71">
        <v>1269</v>
      </c>
      <c r="O18" s="71">
        <v>6405</v>
      </c>
      <c r="P18" s="71">
        <v>6952</v>
      </c>
      <c r="Q18" s="71">
        <v>1613</v>
      </c>
      <c r="R18" s="71">
        <v>417</v>
      </c>
      <c r="S18" s="71">
        <v>6198</v>
      </c>
      <c r="T18" s="71">
        <v>2415</v>
      </c>
      <c r="U18" s="71">
        <v>5906</v>
      </c>
      <c r="V18" s="71">
        <v>4942</v>
      </c>
      <c r="W18" s="71">
        <v>5044</v>
      </c>
      <c r="X18" s="71">
        <v>850</v>
      </c>
      <c r="Y18" s="109">
        <v>-2304</v>
      </c>
      <c r="Z18" s="71">
        <v>0</v>
      </c>
      <c r="AA18" s="71">
        <v>9</v>
      </c>
      <c r="AB18" s="71">
        <v>1095</v>
      </c>
      <c r="AC18" s="71">
        <v>2146</v>
      </c>
      <c r="AD18" s="71">
        <v>0</v>
      </c>
      <c r="AE18" s="71">
        <v>84.68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7" ph="1"/>
      <c r="C19" s="141" t="s" ph="1">
        <v>178</v>
      </c>
      <c r="D19" s="73" ph="1">
        <f>D18*7.0686*LOOKUP(D20,密度!$A$2:$A$50,密度!$L$2:$L$50)</f>
        <v>39440.780517600004</v>
      </c>
      <c r="E19" s="73" ph="1">
        <f>E18*7.0686*LOOKUP(E20,密度!$A$2:$A$50,密度!$L$2:$L$50)</f>
        <v>16366.5374796</v>
      </c>
      <c r="F19" s="73" ph="1">
        <f>F18*9.0746*LOOKUP(F20,密度!$A$2:$A$50,密度!$L$2:$L$50)</f>
        <v>16297.6549144</v>
      </c>
      <c r="G19" s="73" ph="1">
        <f>G18*9.0746*LOOKUP(G20,密度!$A$2:$A$50,密度!$B$2:$B$50)</f>
        <v>29868.784551519995</v>
      </c>
      <c r="H19" s="73" ph="1">
        <f>H18*9.0746*LOOKUP(H20,密度!$A$2:$A$50,密度!$L$2:$L$50)</f>
        <v>0</v>
      </c>
      <c r="I19" s="73" ph="1">
        <f>I18*9.0746*LOOKUP(I20,密度!$A$2:$A$50,密度!$U$2:$U$50)</f>
        <v>15035.087667200001</v>
      </c>
      <c r="J19" s="73" ph="1">
        <f>J18*9.0746*LOOKUP(J20,密度!$A$2:$A$50,密度!$L$2:$L$50)</f>
        <v>6244.7767360000007</v>
      </c>
      <c r="K19" s="73" ph="1">
        <f>K18*9.0746*LOOKUP(K20,密度!$A$2:$A$50,密度!$C$2:$C$50)</f>
        <v>48030.658137880004</v>
      </c>
      <c r="L19" s="73" ph="1">
        <f>L18*9.0746*LOOKUP(L20,密度!$A$2:$A$50,密度!$E$2:$E$50)</f>
        <v>28183.158544860005</v>
      </c>
      <c r="M19" s="73" ph="1">
        <f>M18*9.0746*LOOKUP(M20,密度!$A$2:$A$50,密度!$M$2:$M$50)</f>
        <v>51419.006697600002</v>
      </c>
      <c r="N19" s="73" ph="1">
        <f>N18*9.0746*LOOKUP(N20,密度!$A$2:$A$50,密度!$M$2:$M$50)</f>
        <v>10065.84487434</v>
      </c>
      <c r="O19" s="73" ph="1">
        <f>O18*9.0746*LOOKUP(O20,密度!$A$2:$A$50,密度!$G$2:$G$50)</f>
        <v>55739.777667000002</v>
      </c>
      <c r="P19" s="73" ph="1">
        <f ca="1">P18*9.0746*LOOKUP(P20,密度!$A$2:$A$51,密度!$Q$2:$Q$50)</f>
        <v>59592.882228704002</v>
      </c>
      <c r="Q19" s="73" ph="1">
        <f>Q18*9.0746*LOOKUP(Q20,密度!$A$2:$A$50,密度!$Q$2:$Q$50)</f>
        <v>13826.714475675999</v>
      </c>
      <c r="R19" s="73" ph="1">
        <f>MAX(R18*9.0746*LOOKUP(R20,密度!$A$2:$A$50,密度!$B$2:$B$50),0)</f>
        <v>2917.16901138</v>
      </c>
      <c r="S19" s="73" ph="1">
        <f>S18*9.0746*LOOKUP(S20,密度!$A$2:$A$50,密度!$Q$2:$Q$50)</f>
        <v>53208.862107924004</v>
      </c>
      <c r="T19" s="73" ph="1">
        <f>T18*9.0746*LOOKUP(T20,密度!$A$2:$A$50,密度!$O$2:$O$50)</f>
        <v>20205.776598</v>
      </c>
      <c r="U19" s="73" ph="1">
        <f>U18*9.0746*LOOKUP(U20,密度!$A$2:$A$50,密度!$H$2:$H$50)</f>
        <v>49076.56386532</v>
      </c>
      <c r="V19" s="73" ph="1">
        <f>MAX(5600*LOOKUP(V20,密度!$A$2:$A$50,密度!$Q$2:$Q$50)+V18*9.0476*LOOKUP(V20,密度!$A$2:$A$50,密度!$Q$2:$Q$50),0)</f>
        <v>47526.892013103999</v>
      </c>
      <c r="W19" s="73" ph="1">
        <f>MAX(5600*LOOKUP(W20,密度!$A$2:$A$50,密度!$Q$2:$Q$50)+W18*9.0476*LOOKUP(W20,密度!$A$2:$A$50,密度!$Q$2:$Q$50),0)</f>
        <v>48363.286586991999</v>
      </c>
      <c r="X19" s="73" ph="1">
        <f>MAX(5600*LOOKUP(X20,密度!$A$2:$A$50,密度!$I$2:$I$50)+X18*9.0476*LOOKUP(X20,密度!$A$2:$A$50,密度!$I$2:$I$50),0)</f>
        <v>13808.787939999998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63.532182060000004</v>
      </c>
      <c r="AB19" s="73" ph="1">
        <f>AB18*9.0746*LOOKUP(AB20,密度!$A$2:$A$50,密度!$L$2:$L$50)</f>
        <v>9260.9922839999999</v>
      </c>
      <c r="AC19" s="73" ph="1">
        <f>AC18*9.0746*LOOKUP(AC20,密度!$A$2:$A$50,密度!$L$2:$L$50)</f>
        <v>18247.2238292</v>
      </c>
      <c r="AD19" s="73" ph="1">
        <f>AD18*268.68*LOOKUP(AD20,密度!$A$2:$A$50,密度!B5:B53)+IF(AD18&lt;=0,0,1566*LOOKUP(AD20,密度!$A$2:$A$50,密度!B5:B53))</f>
        <v>0</v>
      </c>
      <c r="AE19" s="73" ph="1">
        <f>AE18*268.68*LOOKUP(AE20,密度!$A$2:$A$50,密度!B5:B53)+IF(AE18&lt;=0,0,1566*LOOKUP(AE20,密度!$A$2:$A$50,密度!B5:B53))</f>
        <v>18894.9480048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7" ph="1"/>
      <c r="C20" s="80" t="s" ph="1">
        <v>179</v>
      </c>
      <c r="D20" s="81">
        <v>28</v>
      </c>
      <c r="E20" s="81">
        <v>28</v>
      </c>
      <c r="F20" s="81">
        <v>30</v>
      </c>
      <c r="G20" s="81">
        <v>25</v>
      </c>
      <c r="H20" s="81">
        <v>21</v>
      </c>
      <c r="I20" s="81">
        <v>26</v>
      </c>
      <c r="J20" s="81">
        <v>27</v>
      </c>
      <c r="K20" s="81">
        <v>28</v>
      </c>
      <c r="L20" s="81">
        <v>26</v>
      </c>
      <c r="M20" s="81">
        <v>28</v>
      </c>
      <c r="N20" s="81">
        <v>26</v>
      </c>
      <c r="O20" s="81">
        <v>26</v>
      </c>
      <c r="P20" s="81">
        <v>28</v>
      </c>
      <c r="Q20" s="81">
        <v>28</v>
      </c>
      <c r="R20" s="81">
        <v>35</v>
      </c>
      <c r="S20" s="81">
        <v>26</v>
      </c>
      <c r="T20" s="81">
        <v>30</v>
      </c>
      <c r="U20" s="81">
        <v>24</v>
      </c>
      <c r="V20" s="81">
        <v>28</v>
      </c>
      <c r="W20" s="81">
        <v>29</v>
      </c>
      <c r="X20" s="81">
        <v>28</v>
      </c>
      <c r="Y20" s="110">
        <v>28</v>
      </c>
      <c r="Z20" s="81">
        <v>32</v>
      </c>
      <c r="AA20" s="81">
        <v>27</v>
      </c>
      <c r="AB20" s="81">
        <v>30</v>
      </c>
      <c r="AC20" s="81">
        <v>25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28" t="s" ph="1">
        <v>640</v>
      </c>
      <c r="AA23" s="229"/>
      <c r="AB23" s="229"/>
      <c r="AC23" s="229"/>
      <c r="AD23" s="229"/>
      <c r="AE23" s="23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7" ph="1">
        <v>0.33333333333333331</v>
      </c>
      <c r="C24" s="141" t="s" ph="1">
        <v>177</v>
      </c>
      <c r="D24" s="71">
        <v>78.73</v>
      </c>
      <c r="E24" s="71">
        <v>46.06</v>
      </c>
      <c r="F24" s="71">
        <v>1554</v>
      </c>
      <c r="G24" s="71">
        <v>1969</v>
      </c>
      <c r="H24" s="71">
        <v>2192</v>
      </c>
      <c r="I24" s="71">
        <v>2896</v>
      </c>
      <c r="J24" s="71">
        <v>4834</v>
      </c>
      <c r="K24" s="71">
        <v>3834</v>
      </c>
      <c r="L24" s="71">
        <v>5582</v>
      </c>
      <c r="M24" s="71">
        <v>5106</v>
      </c>
      <c r="N24" s="71">
        <v>5504</v>
      </c>
      <c r="O24" s="71">
        <v>5578</v>
      </c>
      <c r="P24" s="71">
        <v>382</v>
      </c>
      <c r="Q24" s="90">
        <v>1920</v>
      </c>
      <c r="R24" s="71">
        <v>218</v>
      </c>
      <c r="S24" s="71">
        <v>2318</v>
      </c>
      <c r="T24" s="71">
        <v>279</v>
      </c>
      <c r="U24" s="71">
        <v>4295</v>
      </c>
      <c r="V24" s="71">
        <v>11751</v>
      </c>
      <c r="W24" s="71">
        <v>8286</v>
      </c>
      <c r="X24" s="71">
        <v>3299</v>
      </c>
      <c r="Y24" s="71">
        <v>5140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7" ph="1"/>
      <c r="C25" s="68" t="s" ph="1">
        <v>178</v>
      </c>
      <c r="D25" s="91" ph="1">
        <f>D24*268.68*LOOKUP(D26,密度!$A$2:$A$50,密度!$Q$2:$Q$50)+IF(D24&lt;=0,0,1566*LOOKUP(D26,密度!$A$2:$A$50,密度!$Q$2:$Q$50))</f>
        <v>21509.153064936003</v>
      </c>
      <c r="E25" s="91" ph="1">
        <f>E24*268.68*LOOKUP(E26,密度!$A$2:$A$50,密度!$C$2:$C$50)+IF(E24&lt;=0,0,1566*LOOKUP(E26,密度!$A$2:$A$50,密度!$C$2:$C$50))</f>
        <v>15459.61934712</v>
      </c>
      <c r="F25" s="91" ph="1">
        <f>F24*11.702*LOOKUP(F26,密度!$A$2:$A$50,密度!$Q$2:$Q$50)</f>
        <v>17242.929765600002</v>
      </c>
      <c r="G25" s="91" ph="1">
        <f>G24*18.322*LOOKUP(G26,密度!$A$2:$A$50,密度!$B$2:$B$50)</f>
        <v>28157.332048999997</v>
      </c>
      <c r="H25" s="91" ph="1">
        <f>H24*18.322*LOOKUP(H26,密度!$A$2:$A$50,密度!$B$2:$B$50)</f>
        <v>31310.157990399999</v>
      </c>
      <c r="I25" s="91" ph="1">
        <f>I24*18.322*LOOKUP(I26,密度!$A$2:$A$50,密度!$Q$2:$Q$50)</f>
        <v>50311.977478399996</v>
      </c>
      <c r="J25" s="91" ph="1">
        <f>J24*18.322*LOOKUP(J26,密度!$A$2:$A$50,密度!$Q$2:$Q$50)</f>
        <v>83916.042173559996</v>
      </c>
      <c r="K25" s="91" ph="1">
        <f>K24*18.322*LOOKUP(K26,密度!$A$2:$A$50,密度!$Q$2:$Q$50)</f>
        <v>66556.496833559999</v>
      </c>
      <c r="L25" s="91" ph="1">
        <f>L24*18.322*LOOKUP(L26,密度!$A$2:$A$50,密度!$Q$2:$Q$50)</f>
        <v>96975.641672800004</v>
      </c>
      <c r="M25" s="91" ph="1">
        <f>M24*18.322*LOOKUP(M26,密度!$A$2:$A$50,密度!$Q$2:$Q$50)</f>
        <v>88706.131562399998</v>
      </c>
      <c r="N25" s="91" ph="1">
        <f>N24*18.322*LOOKUP(N26,密度!$A$2:$A$50,密度!$Q$2:$Q$50)</f>
        <v>95710.30529792</v>
      </c>
      <c r="O25" s="91" ph="1">
        <f>O24*18.322*LOOKUP(O26,密度!$A$2:$A$50,密度!$C$2:$C$50)</f>
        <v>113483.0088064</v>
      </c>
      <c r="P25" s="91" ph="1">
        <f>P24*11.702*LOOKUP(P26,密度!$A$2:$A$50,密度!$B$2:$B$50)</f>
        <v>3488.9630019999995</v>
      </c>
      <c r="Q25" s="92" ph="1">
        <f>Q24*18.322*LOOKUP(Q26,密度!$A$2:$A$50,密度!$B$2:$B$50)</f>
        <v>27456.616319999997</v>
      </c>
      <c r="R25" s="91" ph="1">
        <f>R24*35.891*LOOKUP(R26,密度!$A$2:$A$50,密度!$C$2:$C$50)</f>
        <v>8676.2975181999991</v>
      </c>
      <c r="S25" s="91" ph="1">
        <f>S24*35.891*LOOKUP(S26,密度!$A$2:$A$50,密度!$B$2:$B$50)</f>
        <v>65008.837113199988</v>
      </c>
      <c r="T25" s="91" ph="1">
        <f>T24*35.891*LOOKUP(T26,密度!$A$2:$A$50,密度!$Q$2:$Q$50)</f>
        <v>9487.575169830001</v>
      </c>
      <c r="U25" s="91" ph="1">
        <f>U24*35.891</f>
        <v>154151.845</v>
      </c>
      <c r="V25" s="91" ph="1">
        <f>V24*47.051*LOOKUP(V26,密度!$A$2:$A$50,密度!$B$2:$B$50)</f>
        <v>432033.16960139998</v>
      </c>
      <c r="W25" s="91" ph="1">
        <f>W24*47.051*LOOKUP(W26,密度!$A$2:$A$50,密度!$B$2:$B$50)</f>
        <v>303938.43124559999</v>
      </c>
      <c r="X25" s="91" ph="1">
        <f>X24*47.051*LOOKUP(X26,密度!$A$2:$A$50,密度!$I$2:$I$50)</f>
        <v>161787.10783270001</v>
      </c>
      <c r="Y25" s="91" ph="1">
        <f>Y24*47.051*LOOKUP(Y26,密度!$A$2:$A$50,密度!$L$2:$L$50)</f>
        <v>226847.92731999999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7" ph="1"/>
      <c r="C26" s="68" t="s" ph="1">
        <v>179</v>
      </c>
      <c r="D26" s="74">
        <v>25</v>
      </c>
      <c r="E26" s="74">
        <v>25</v>
      </c>
      <c r="F26" s="74">
        <v>23</v>
      </c>
      <c r="G26" s="74">
        <v>24</v>
      </c>
      <c r="H26" s="74">
        <v>25</v>
      </c>
      <c r="I26" s="74">
        <v>23</v>
      </c>
      <c r="J26" s="74">
        <v>24</v>
      </c>
      <c r="K26" s="74">
        <v>24</v>
      </c>
      <c r="L26" s="74">
        <v>23</v>
      </c>
      <c r="M26" s="74">
        <v>23</v>
      </c>
      <c r="N26" s="74">
        <v>22</v>
      </c>
      <c r="O26" s="74">
        <v>23</v>
      </c>
      <c r="P26" s="74">
        <v>24</v>
      </c>
      <c r="Q26" s="93">
        <v>24</v>
      </c>
      <c r="R26" s="74">
        <v>25</v>
      </c>
      <c r="S26" s="74">
        <v>23</v>
      </c>
      <c r="T26" s="74">
        <v>24</v>
      </c>
      <c r="U26" s="74">
        <v>24</v>
      </c>
      <c r="V26" s="74">
        <v>23</v>
      </c>
      <c r="W26" s="74">
        <v>25</v>
      </c>
      <c r="X26" s="74">
        <v>25</v>
      </c>
      <c r="Y26" s="74">
        <v>24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7" ph="1">
        <v>0.66666666666666663</v>
      </c>
      <c r="C27" s="141" t="s" ph="1">
        <v>180</v>
      </c>
      <c r="D27" s="71">
        <v>78.83</v>
      </c>
      <c r="E27" s="71">
        <v>46.06</v>
      </c>
      <c r="F27" s="71">
        <v>1554</v>
      </c>
      <c r="G27" s="71">
        <v>1470</v>
      </c>
      <c r="H27" s="71">
        <v>2149</v>
      </c>
      <c r="I27" s="71">
        <v>2895</v>
      </c>
      <c r="J27" s="71">
        <v>4839</v>
      </c>
      <c r="K27" s="71">
        <v>3834</v>
      </c>
      <c r="L27" s="71">
        <v>5589</v>
      </c>
      <c r="M27" s="71">
        <v>5107</v>
      </c>
      <c r="N27" s="71">
        <v>5503</v>
      </c>
      <c r="O27" s="71">
        <v>5576</v>
      </c>
      <c r="P27" s="71">
        <v>2438</v>
      </c>
      <c r="Q27" s="90">
        <v>402</v>
      </c>
      <c r="R27" s="71">
        <v>216</v>
      </c>
      <c r="S27" s="71">
        <v>3568</v>
      </c>
      <c r="T27" s="71">
        <v>277</v>
      </c>
      <c r="U27" s="71">
        <v>4800</v>
      </c>
      <c r="V27" s="71">
        <v>11755</v>
      </c>
      <c r="W27" s="71">
        <v>8014</v>
      </c>
      <c r="X27" s="71">
        <v>3298</v>
      </c>
      <c r="Y27" s="71">
        <v>5856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7" ph="1"/>
      <c r="C28" s="141" t="s" ph="1">
        <v>178</v>
      </c>
      <c r="D28" s="91" ph="1">
        <f>D27*268.68*LOOKUP(D29,密度!$A$2:$A$50,密度!$Q$2:$Q$50)+IF(D27&lt;=0,0,1566*LOOKUP(D29,密度!$A$2:$A$50,密度!$Q$2:$Q$50))</f>
        <v>21534.590075256001</v>
      </c>
      <c r="E28" s="91" ph="1">
        <f>E27*268.68*LOOKUP(E29,密度!$A$2:$A$50,密度!$C$2:$C$50)+IF(E27&lt;=0,0,1566*LOOKUP(E29,密度!$A$2:$A$50,密度!$C$2:$C$50))</f>
        <v>15459.61934712</v>
      </c>
      <c r="F28" s="91" ph="1">
        <f>F27*11.702*LOOKUP(F29,密度!$A$2:$A$50,密度!$Q$2:$Q$50)</f>
        <v>17216.37979992</v>
      </c>
      <c r="G28" s="91" ph="1">
        <f>G27*18.322*LOOKUP(G29,密度!$A$2:$A$50,密度!$B$2:$B$50)</f>
        <v>21021.471869999998</v>
      </c>
      <c r="H28" s="91" ph="1">
        <f>H27*18.322*LOOKUP(H29,密度!$A$2:$A$50,密度!$B$2:$B$50)</f>
        <v>30695.953248799993</v>
      </c>
      <c r="I28" s="91" ph="1">
        <f>I27*18.322*LOOKUP(I29,密度!$A$2:$A$50,密度!$Q$2:$Q$50)</f>
        <v>50294.604557999999</v>
      </c>
      <c r="J28" s="91" ph="1">
        <f>J27*18.322*LOOKUP(J29,密度!$A$2:$A$50,密度!$Q$2:$Q$50)</f>
        <v>83938.117984919998</v>
      </c>
      <c r="K28" s="91" ph="1">
        <f>K27*18.322*LOOKUP(K29,密度!$A$2:$A$50,密度!$Q$2:$Q$50)</f>
        <v>66607.776813599994</v>
      </c>
      <c r="L28" s="91" ph="1">
        <f>L27*18.322*LOOKUP(L29,密度!$A$2:$A$50,密度!$Q$2:$Q$50)</f>
        <v>97022.498905259999</v>
      </c>
      <c r="M28" s="91" ph="1">
        <f>M27*18.322*LOOKUP(M29,密度!$A$2:$A$50,密度!$Q$2:$Q$50)</f>
        <v>88655.198051380008</v>
      </c>
      <c r="N28" s="91" ph="1">
        <f>N27*18.322*LOOKUP(N29,密度!$A$2:$A$50,密度!$Q$2:$Q$50)</f>
        <v>95692.916070940002</v>
      </c>
      <c r="O28" s="91" ph="1">
        <f>O27*18.322*LOOKUP(O29,密度!$A$2:$A$50,密度!$C$2:$C$50)</f>
        <v>113513.8337392</v>
      </c>
      <c r="P28" s="91" ph="1">
        <f>P27*11.702*LOOKUP(P29,密度!$A$2:$A$50,密度!$B$2:$B$50)</f>
        <v>22267.256017999996</v>
      </c>
      <c r="Q28" s="92" ph="1">
        <f>Q27*18.322*LOOKUP(Q29,密度!$A$2:$A$50,密度!$B$2:$B$50)</f>
        <v>5742.1001423999996</v>
      </c>
      <c r="R28" s="91" ph="1">
        <f>R27*35.891*LOOKUP(R29,密度!$A$2:$A$50,密度!$C$2:$C$50)</f>
        <v>8602.125177599999</v>
      </c>
      <c r="S28" s="91" ph="1">
        <f>S27*35.891*LOOKUP(S29,密度!$A$2:$A$50,密度!$B$2:$B$50)</f>
        <v>99950.118183999992</v>
      </c>
      <c r="T28" s="91" ph="1">
        <f>T27*35.891*LOOKUP(T29,密度!$A$2:$A$50,密度!$Q$2:$Q$50)</f>
        <v>9412.3063591800001</v>
      </c>
      <c r="U28" s="91" ph="1">
        <f>U27*35.891</f>
        <v>172276.8</v>
      </c>
      <c r="V28" s="91" ph="1">
        <f>V27*47.051*LOOKUP(V29,密度!$A$2:$A$50,密度!$B$2:$B$50)</f>
        <v>432180.23220700002</v>
      </c>
      <c r="W28" s="91" ph="1">
        <f>W27*47.051*LOOKUP(W29,密度!$A$2:$A$50,密度!$B$2:$B$50)</f>
        <v>294300.57027700002</v>
      </c>
      <c r="X28" s="91" ph="1">
        <f>X27*47.051*LOOKUP(X29,密度!$A$2:$A$50,密度!$I$2:$I$50)</f>
        <v>161738.06657540001</v>
      </c>
      <c r="Y28" s="91" ph="1">
        <f>Y27*47.051*LOOKUP(Y29,密度!$A$2:$A$50,密度!$L$2:$L$50)</f>
        <v>258172.22467200004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7" ph="1"/>
      <c r="C29" s="141" t="s" ph="1">
        <v>179</v>
      </c>
      <c r="D29" s="74">
        <v>25</v>
      </c>
      <c r="E29" s="74">
        <v>25</v>
      </c>
      <c r="F29" s="74">
        <v>25</v>
      </c>
      <c r="G29" s="74">
        <v>24</v>
      </c>
      <c r="H29" s="74">
        <v>25</v>
      </c>
      <c r="I29" s="74">
        <v>23</v>
      </c>
      <c r="J29" s="74">
        <v>25</v>
      </c>
      <c r="K29" s="74">
        <v>23</v>
      </c>
      <c r="L29" s="74">
        <v>24</v>
      </c>
      <c r="M29" s="74">
        <v>24</v>
      </c>
      <c r="N29" s="74">
        <v>22</v>
      </c>
      <c r="O29" s="74">
        <v>22</v>
      </c>
      <c r="P29" s="74">
        <v>24</v>
      </c>
      <c r="Q29" s="93">
        <v>25</v>
      </c>
      <c r="R29" s="74">
        <v>24</v>
      </c>
      <c r="S29" s="74">
        <v>24</v>
      </c>
      <c r="T29" s="74">
        <v>25</v>
      </c>
      <c r="U29" s="74">
        <v>24</v>
      </c>
      <c r="V29" s="74">
        <v>23</v>
      </c>
      <c r="W29" s="74">
        <v>24</v>
      </c>
      <c r="X29" s="74">
        <v>25</v>
      </c>
      <c r="Y29" s="74">
        <v>25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41" t="s" ph="1">
        <v>5</v>
      </c>
      <c r="F32" s="142" t="s" ph="1">
        <v>43</v>
      </c>
      <c r="G32" s="97" t="s" ph="1">
        <v>4</v>
      </c>
      <c r="H32" s="141" t="s" ph="1">
        <v>5</v>
      </c>
      <c r="I32" s="142" t="s" ph="1">
        <v>43</v>
      </c>
      <c r="J32" s="97" t="s" ph="1">
        <v>4</v>
      </c>
      <c r="K32" s="141" t="s" ph="1">
        <v>5</v>
      </c>
      <c r="L32" s="142" t="s" ph="1">
        <v>43</v>
      </c>
      <c r="M32" s="97" t="s" ph="1">
        <v>4</v>
      </c>
      <c r="N32" s="141" t="s" ph="1">
        <v>5</v>
      </c>
      <c r="O32" s="142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1" t="s" ph="1">
        <v>5</v>
      </c>
      <c r="U32" s="99" t="s" ph="1">
        <v>43</v>
      </c>
      <c r="V32" s="97" t="s" ph="1">
        <v>4</v>
      </c>
      <c r="W32" s="141" t="s" ph="1">
        <v>5</v>
      </c>
      <c r="X32" s="99" t="s" ph="1">
        <v>43</v>
      </c>
      <c r="Y32" s="100" t="s" ph="1">
        <v>4</v>
      </c>
      <c r="Z32" s="141" t="s" ph="1">
        <v>5</v>
      </c>
      <c r="AA32" s="142" t="s" ph="1">
        <v>43</v>
      </c>
      <c r="AB32" s="97" t="s" ph="1">
        <v>85</v>
      </c>
      <c r="AC32" s="141" t="s" ph="1">
        <v>84</v>
      </c>
      <c r="AD32" s="204" t="s" ph="1">
        <v>83</v>
      </c>
      <c r="AE32" s="20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6" t="s" ph="1">
        <v>181</v>
      </c>
      <c r="C33" s="207" ph="1"/>
      <c r="D33" s="186" ph="1">
        <f>AA10+AB10+Z19</f>
        <v>144970.56980960001</v>
      </c>
      <c r="E33" s="186" ph="1">
        <f>M10+I10</f>
        <v>68639.92652980001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1522252632456786910111213141516171819202123456789101112131415161718192022232424356789101112131415161718192021222345678910111213141516171819202345678910111213149101516171819222123234567891012131415161711181920212224252345678910111213130[[#This Row],[F25]]</f>
        <v>3880</v>
      </c>
      <c r="G33" s="212" ph="1">
        <v>0</v>
      </c>
      <c r="H33" s="186" ph="1">
        <f>N19</f>
        <v>10065.84487434</v>
      </c>
      <c r="I33" s="190" ph="1">
        <v>0</v>
      </c>
      <c r="J33" s="194" ph="1">
        <f>F10+O28</f>
        <v>351333.28881039994</v>
      </c>
      <c r="K33" s="186" ph="1">
        <f>O10+K10+E28+R28</f>
        <v>29170.57819792</v>
      </c>
      <c r="L33" s="196" ph="1">
        <f>BE27</f>
        <v>7100</v>
      </c>
      <c r="M33" s="194" ph="1">
        <f>G10+H10+W28+S28+V28+E10</f>
        <v>1355925.2559490001</v>
      </c>
      <c r="N33" s="186" ph="1">
        <f>L10+P10++G28+H28</f>
        <v>140920.03830679998</v>
      </c>
      <c r="O33" s="190" ph="1">
        <f>BE17</f>
        <v>2270</v>
      </c>
      <c r="P33" s="194" ph="1">
        <f>L19</f>
        <v>28183.158544860005</v>
      </c>
      <c r="Q33" s="186" ph="1">
        <f>J10+N10</f>
        <v>66633.383346699993</v>
      </c>
      <c r="R33" s="190" ph="1">
        <f>BE23</f>
        <v>890</v>
      </c>
      <c r="S33" s="194" ph="1">
        <f>E10+X28</f>
        <v>359641.52562740003</v>
      </c>
      <c r="T33" s="186" ph="1">
        <f>X19</f>
        <v>13808.787939999998</v>
      </c>
      <c r="U33" s="175" ph="1">
        <f>BE21</f>
        <v>730</v>
      </c>
      <c r="V33" s="188" ph="1">
        <f ca="1">P19+Q19+S19+M28+N28+J28</f>
        <v>394914.69091954402</v>
      </c>
      <c r="W33" s="188" ph="1">
        <f>D28+F28+V19+T28</f>
        <v>95690.168247459995</v>
      </c>
      <c r="X33" s="190" ph="1">
        <f>BE29+BE31</f>
        <v>10200</v>
      </c>
      <c r="Y33" s="192" ph="1">
        <f>+Q10+R10+S10+T10+U10+V10+W10+X10+Y10</f>
        <v>259807.30484939998</v>
      </c>
      <c r="Z33" s="173" ph="1">
        <f>D10+T19+U19+Y28+Z10</f>
        <v>555879.98590911995</v>
      </c>
      <c r="AA33" s="175" ph="1">
        <f>BE19</f>
        <v>1440</v>
      </c>
      <c r="AB33" s="177" ph="1">
        <f>I19</f>
        <v>15035.087667200001</v>
      </c>
      <c r="AC33" s="179" ph="1">
        <f>AD10</f>
        <v>99472.021487999998</v>
      </c>
      <c r="AD33" s="181" ph="1">
        <v>0</v>
      </c>
      <c r="AE33" s="18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5" t="s" ph="1">
        <v>633</v>
      </c>
      <c r="AD35" s="185"/>
      <c r="AE35" s="18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1" t="s" ph="1">
        <v>183</v>
      </c>
      <c r="J36" s="171" ph="1"/>
      <c r="K36" s="101" ph="1"/>
      <c r="P36" s="101" ph="1"/>
      <c r="R36" s="171" t="s" ph="1">
        <v>184</v>
      </c>
      <c r="S36" s="171" ph="1"/>
      <c r="Y36" s="102" ph="1"/>
      <c r="Z36" s="143" t="s" ph="1">
        <v>185</v>
      </c>
      <c r="AA36" s="143" ph="1"/>
      <c r="AB36" s="172" t="s" ph="1">
        <v>638</v>
      </c>
      <c r="AC36" s="172" ph="1"/>
      <c r="AD36" s="172" ph="1"/>
      <c r="AE36" s="172" ph="1"/>
      <c r="BA36" s="64" ph="1">
        <v>2270</v>
      </c>
    </row>
    <row r="37" spans="1:57" s="14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3" t="s" ph="1">
        <v>342</v>
      </c>
      <c r="AI37" s="143" t="s" ph="1">
        <v>209</v>
      </c>
      <c r="AJ37" s="143" t="s" ph="1">
        <v>210</v>
      </c>
      <c r="AK37" s="143" t="s" ph="1">
        <v>211</v>
      </c>
      <c r="AM37" s="143" t="s" ph="1">
        <v>210</v>
      </c>
      <c r="AN37" s="143" t="s" ph="1">
        <v>211</v>
      </c>
      <c r="AO37" s="143" t="s" ph="1">
        <v>212</v>
      </c>
      <c r="AP37" s="143" t="s" ph="1">
        <v>210</v>
      </c>
      <c r="AQ37" s="143" t="s" ph="1">
        <v>211</v>
      </c>
      <c r="AR37" s="143" t="s" ph="1">
        <v>212</v>
      </c>
      <c r="AS37" s="143" t="s" ph="1">
        <v>210</v>
      </c>
      <c r="AT37" s="143" t="s" ph="1">
        <v>211</v>
      </c>
      <c r="AU37" s="143" t="s" ph="1">
        <v>212</v>
      </c>
      <c r="AV37" s="143" t="s" ph="1">
        <v>210</v>
      </c>
      <c r="AW37" s="143" t="s" ph="1">
        <v>211</v>
      </c>
      <c r="AX37" s="143" t="s" ph="1">
        <v>212</v>
      </c>
      <c r="AY37" s="143" t="s" ph="1">
        <v>211</v>
      </c>
      <c r="AZ37" s="143" t="s" ph="1">
        <v>213</v>
      </c>
      <c r="BD37" s="143" t="s" ph="1">
        <v>305</v>
      </c>
      <c r="BE37" s="143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687" priority="98">
      <formula>ABS(D$7-D$10)&gt;=1000</formula>
    </cfRule>
  </conditionalFormatting>
  <conditionalFormatting sqref="E4 E6:E11">
    <cfRule type="expression" dxfId="2686" priority="97">
      <formula>ABS(E$7-E$10)&gt;=1000</formula>
    </cfRule>
  </conditionalFormatting>
  <conditionalFormatting sqref="F4:F11">
    <cfRule type="expression" dxfId="2685" priority="96">
      <formula>ABS(F$7-F$10)&gt;=1000</formula>
    </cfRule>
  </conditionalFormatting>
  <conditionalFormatting sqref="G4:G11">
    <cfRule type="expression" dxfId="2684" priority="95">
      <formula>ABS(G$7-G$10)&gt;=1000</formula>
    </cfRule>
  </conditionalFormatting>
  <conditionalFormatting sqref="H4:H11">
    <cfRule type="expression" dxfId="2683" priority="94">
      <formula>ABS(H$7-H$10)&gt;=1000</formula>
    </cfRule>
  </conditionalFormatting>
  <conditionalFormatting sqref="I4:I11">
    <cfRule type="expression" dxfId="2682" priority="93">
      <formula>ABS(I$7-I$10)&gt;=1000</formula>
    </cfRule>
  </conditionalFormatting>
  <conditionalFormatting sqref="J4:J11">
    <cfRule type="expression" dxfId="2681" priority="92">
      <formula>ABS(J$7-J$10)&gt;=1000</formula>
    </cfRule>
  </conditionalFormatting>
  <conditionalFormatting sqref="K4:K11">
    <cfRule type="expression" dxfId="2680" priority="91">
      <formula>ABS(K$7-K$10)&gt;=1000</formula>
    </cfRule>
  </conditionalFormatting>
  <conditionalFormatting sqref="L4:L11">
    <cfRule type="expression" dxfId="2679" priority="90">
      <formula>ABS(L$7-L$10)&gt;=1000</formula>
    </cfRule>
  </conditionalFormatting>
  <conditionalFormatting sqref="M4 M6:M11">
    <cfRule type="expression" dxfId="2678" priority="89">
      <formula>ABS(M$7-M$10)&gt;=1000</formula>
    </cfRule>
  </conditionalFormatting>
  <conditionalFormatting sqref="N4 N6:N11">
    <cfRule type="expression" dxfId="2677" priority="88">
      <formula>ABS(N$7-N$10)&gt;=1000</formula>
    </cfRule>
  </conditionalFormatting>
  <conditionalFormatting sqref="O4 O6:O11">
    <cfRule type="expression" dxfId="2676" priority="87">
      <formula>ABS(O$7-O$10)&gt;=1000</formula>
    </cfRule>
  </conditionalFormatting>
  <conditionalFormatting sqref="P4 P6:P11">
    <cfRule type="expression" dxfId="2675" priority="86">
      <formula>ABS(P$7-P$10)&gt;=1000</formula>
    </cfRule>
  </conditionalFormatting>
  <conditionalFormatting sqref="Q4:Q11">
    <cfRule type="expression" dxfId="2674" priority="85">
      <formula>ABS(Q$7-Q$10)&gt;=1000</formula>
    </cfRule>
  </conditionalFormatting>
  <conditionalFormatting sqref="R4:R11">
    <cfRule type="expression" dxfId="2673" priority="84">
      <formula>ABS(R$7-R$10)&gt;=1000</formula>
    </cfRule>
  </conditionalFormatting>
  <conditionalFormatting sqref="S4:S11">
    <cfRule type="expression" dxfId="2672" priority="83">
      <formula>ABS(S$7-S$10)&gt;=1000</formula>
    </cfRule>
  </conditionalFormatting>
  <conditionalFormatting sqref="T4:T9 T11">
    <cfRule type="expression" dxfId="2671" priority="82">
      <formula>ABS(T$7-T$10)&gt;=1000</formula>
    </cfRule>
  </conditionalFormatting>
  <conditionalFormatting sqref="U4:U9 U11">
    <cfRule type="expression" dxfId="2670" priority="81">
      <formula>ABS(U$7-U$10)&gt;=1000</formula>
    </cfRule>
  </conditionalFormatting>
  <conditionalFormatting sqref="V4:V9 V11">
    <cfRule type="expression" dxfId="2669" priority="80">
      <formula>ABS(V$7-V$10)&gt;=1000</formula>
    </cfRule>
  </conditionalFormatting>
  <conditionalFormatting sqref="W4:W9 W11">
    <cfRule type="expression" dxfId="2668" priority="79">
      <formula>ABS(W$7-W$10)&gt;=1000</formula>
    </cfRule>
  </conditionalFormatting>
  <conditionalFormatting sqref="X4:X9 X11">
    <cfRule type="expression" dxfId="2667" priority="78">
      <formula>ABS(X$7-X$10)&gt;=1000</formula>
    </cfRule>
  </conditionalFormatting>
  <conditionalFormatting sqref="Y4:Y9 Y11">
    <cfRule type="expression" dxfId="2666" priority="77">
      <formula>ABS(Y$7-Y$10)&gt;=1000</formula>
    </cfRule>
  </conditionalFormatting>
  <conditionalFormatting sqref="Z4:Z11">
    <cfRule type="expression" dxfId="2665" priority="76">
      <formula>ABS(Z$7-Z$10)&gt;=1000</formula>
    </cfRule>
  </conditionalFormatting>
  <conditionalFormatting sqref="AA4:AA11">
    <cfRule type="expression" dxfId="2664" priority="75">
      <formula>ABS(AA$7-AA$10)&gt;=1000</formula>
    </cfRule>
  </conditionalFormatting>
  <conditionalFormatting sqref="AB4:AB11">
    <cfRule type="expression" dxfId="2663" priority="74">
      <formula>ABS(AB$7-AB$10)&gt;=1000</formula>
    </cfRule>
  </conditionalFormatting>
  <conditionalFormatting sqref="AC4 AC6:AC11">
    <cfRule type="expression" dxfId="2662" priority="73">
      <formula>ABS(AC$7-AC$10)&gt;=1000</formula>
    </cfRule>
  </conditionalFormatting>
  <conditionalFormatting sqref="AD4:AD11">
    <cfRule type="expression" dxfId="2661" priority="72">
      <formula>ABS(AD$7-AD$10)&gt;=1000</formula>
    </cfRule>
  </conditionalFormatting>
  <conditionalFormatting sqref="AE4 AE6:AE11">
    <cfRule type="expression" dxfId="2660" priority="71">
      <formula>ABS(AE$7-AE$10)&gt;=1000</formula>
    </cfRule>
  </conditionalFormatting>
  <conditionalFormatting sqref="D13:D20">
    <cfRule type="expression" dxfId="2659" priority="70">
      <formula>ABS(D$16-D$19)&gt;=1000</formula>
    </cfRule>
  </conditionalFormatting>
  <conditionalFormatting sqref="E13:E20">
    <cfRule type="expression" dxfId="2658" priority="69">
      <formula>ABS(E$16-E$19)&gt;=1000</formula>
    </cfRule>
  </conditionalFormatting>
  <conditionalFormatting sqref="F13 F15:F20">
    <cfRule type="expression" dxfId="2657" priority="68">
      <formula>ABS(F$16-F$19)&gt;=1000</formula>
    </cfRule>
  </conditionalFormatting>
  <conditionalFormatting sqref="G13:G20">
    <cfRule type="expression" dxfId="2656" priority="67">
      <formula>ABS(G$16-G$19)&gt;=1000</formula>
    </cfRule>
  </conditionalFormatting>
  <conditionalFormatting sqref="H13:H20">
    <cfRule type="expression" dxfId="2655" priority="66">
      <formula>ABS(H$16-H$19)&gt;=1000</formula>
    </cfRule>
  </conditionalFormatting>
  <conditionalFormatting sqref="I13:I20">
    <cfRule type="expression" dxfId="2654" priority="65">
      <formula>ABS(I$16-I$19)&gt;=1000</formula>
    </cfRule>
  </conditionalFormatting>
  <conditionalFormatting sqref="J13:J20">
    <cfRule type="expression" dxfId="2653" priority="64">
      <formula>ABS(J$16-J$19)&gt;=1000</formula>
    </cfRule>
  </conditionalFormatting>
  <conditionalFormatting sqref="L13:L20">
    <cfRule type="expression" dxfId="2652" priority="63">
      <formula>ABS(L$16-L$19)&gt;=1000</formula>
    </cfRule>
  </conditionalFormatting>
  <conditionalFormatting sqref="M13 M15 M17:M18 M20">
    <cfRule type="expression" dxfId="2651" priority="62">
      <formula>ABS(M$16-M$19)&gt;=1000</formula>
    </cfRule>
  </conditionalFormatting>
  <conditionalFormatting sqref="N13:N20">
    <cfRule type="expression" dxfId="2650" priority="61">
      <formula>ABS(N$16-N$19)&gt;=1000</formula>
    </cfRule>
  </conditionalFormatting>
  <conditionalFormatting sqref="O13:O20">
    <cfRule type="expression" dxfId="2649" priority="60">
      <formula>ABS(O$16-O$19)&gt;=1000</formula>
    </cfRule>
  </conditionalFormatting>
  <conditionalFormatting sqref="P13:P20">
    <cfRule type="expression" dxfId="2648" priority="59">
      <formula>ABS(P$16-P$19)&gt;=1000</formula>
    </cfRule>
  </conditionalFormatting>
  <conditionalFormatting sqref="Q13 Q15:Q20">
    <cfRule type="expression" dxfId="2647" priority="58">
      <formula>ABS(Q$16-Q$19)&gt;=1000</formula>
    </cfRule>
  </conditionalFormatting>
  <conditionalFormatting sqref="R13:R20">
    <cfRule type="expression" dxfId="2646" priority="57">
      <formula>ABS(R$16-R$19)&gt;=1000</formula>
    </cfRule>
  </conditionalFormatting>
  <conditionalFormatting sqref="S13:S20">
    <cfRule type="expression" dxfId="2645" priority="56">
      <formula>ABS(S$16-S$19)&gt;=1000</formula>
    </cfRule>
  </conditionalFormatting>
  <conditionalFormatting sqref="T13:T20">
    <cfRule type="expression" dxfId="2644" priority="55">
      <formula>ABS(T$16-T$19)&gt;=1000</formula>
    </cfRule>
  </conditionalFormatting>
  <conditionalFormatting sqref="U13:U20">
    <cfRule type="expression" dxfId="2643" priority="54">
      <formula>ABS(U$16-U$19)&gt;=1000</formula>
    </cfRule>
  </conditionalFormatting>
  <conditionalFormatting sqref="V13:V20">
    <cfRule type="expression" dxfId="2642" priority="53">
      <formula>ABS(V$16-V$19)&gt;=1000</formula>
    </cfRule>
  </conditionalFormatting>
  <conditionalFormatting sqref="W13 W20 W15:W18">
    <cfRule type="expression" dxfId="2641" priority="52">
      <formula>ABS(W$16-W$19)&gt;=1000</formula>
    </cfRule>
  </conditionalFormatting>
  <conditionalFormatting sqref="X13 X15:X20 Y19">
    <cfRule type="expression" dxfId="2640" priority="51">
      <formula>ABS(X$16-X$19)&gt;=1000</formula>
    </cfRule>
  </conditionalFormatting>
  <conditionalFormatting sqref="Y13 Y15:Y18 Y20">
    <cfRule type="expression" dxfId="2639" priority="50">
      <formula>ABS(Y$16-Y$19)&gt;=1000</formula>
    </cfRule>
  </conditionalFormatting>
  <conditionalFormatting sqref="Z13:Z20">
    <cfRule type="expression" dxfId="2638" priority="49">
      <formula>ABS(Z$16-Z$19)&gt;=1000</formula>
    </cfRule>
  </conditionalFormatting>
  <conditionalFormatting sqref="AA13:AA20">
    <cfRule type="expression" dxfId="2637" priority="48">
      <formula>ABS(AA$16-AA$19)&gt;=1000</formula>
    </cfRule>
  </conditionalFormatting>
  <conditionalFormatting sqref="AB13 AB15:AB20">
    <cfRule type="expression" dxfId="2636" priority="47">
      <formula>ABS(AB$16-AB$19)&gt;=1000</formula>
    </cfRule>
  </conditionalFormatting>
  <conditionalFormatting sqref="AC13 AC15:AC20">
    <cfRule type="expression" dxfId="2635" priority="46">
      <formula>ABS(AC$16-AC$19)&gt;=1000</formula>
    </cfRule>
  </conditionalFormatting>
  <conditionalFormatting sqref="AD13:AD20">
    <cfRule type="expression" dxfId="2634" priority="45">
      <formula>ABS(AD$16-AD$19)&gt;=1000</formula>
    </cfRule>
  </conditionalFormatting>
  <conditionalFormatting sqref="AE13:AE20">
    <cfRule type="expression" dxfId="2633" priority="44">
      <formula>ABS(AE$16-AE$19)&gt;=1000</formula>
    </cfRule>
  </conditionalFormatting>
  <conditionalFormatting sqref="D22:D29">
    <cfRule type="expression" dxfId="2632" priority="43">
      <formula>ABS(D$25-D$28)&gt;=1000</formula>
    </cfRule>
  </conditionalFormatting>
  <conditionalFormatting sqref="E22:E29">
    <cfRule type="expression" dxfId="2631" priority="42">
      <formula>ABS(E$25-E$28)&gt;=1000</formula>
    </cfRule>
  </conditionalFormatting>
  <conditionalFormatting sqref="F22:F29">
    <cfRule type="expression" dxfId="2630" priority="41">
      <formula>ABS(F$25-F$28)&gt;=1000</formula>
    </cfRule>
  </conditionalFormatting>
  <conditionalFormatting sqref="G22:G29">
    <cfRule type="expression" dxfId="2629" priority="40">
      <formula>ABS(G$25-G$28)&gt;=1000</formula>
    </cfRule>
  </conditionalFormatting>
  <conditionalFormatting sqref="H22:H29">
    <cfRule type="expression" dxfId="2628" priority="39">
      <formula>ABS(H$25-H$28)&gt;=1000</formula>
    </cfRule>
  </conditionalFormatting>
  <conditionalFormatting sqref="I22 I24:I29">
    <cfRule type="expression" dxfId="2627" priority="38">
      <formula>ABS(I$25-I$28)&gt;=1000</formula>
    </cfRule>
  </conditionalFormatting>
  <conditionalFormatting sqref="J22:J29 K22">
    <cfRule type="expression" dxfId="2626" priority="37">
      <formula>ABS(J$25-J$28)&gt;=1000</formula>
    </cfRule>
  </conditionalFormatting>
  <conditionalFormatting sqref="K23:K29 L25 L28">
    <cfRule type="expression" dxfId="2625" priority="36">
      <formula>ABS(K$25-K$28)&gt;=1000</formula>
    </cfRule>
  </conditionalFormatting>
  <conditionalFormatting sqref="L22 L26:L27 L29 L24">
    <cfRule type="expression" dxfId="2624" priority="35">
      <formula>ABS(L$25-L$28)&gt;=1000</formula>
    </cfRule>
  </conditionalFormatting>
  <conditionalFormatting sqref="M22:M29">
    <cfRule type="expression" dxfId="2623" priority="34">
      <formula>ABS(M$25-M$28)&gt;=1000</formula>
    </cfRule>
  </conditionalFormatting>
  <conditionalFormatting sqref="N22:N29">
    <cfRule type="expression" dxfId="2622" priority="33">
      <formula>ABS(N$25-N$28)&gt;=1000</formula>
    </cfRule>
  </conditionalFormatting>
  <conditionalFormatting sqref="O22:O29">
    <cfRule type="expression" dxfId="2621" priority="32">
      <formula>ABS(O$25-O$28)&gt;=1000</formula>
    </cfRule>
  </conditionalFormatting>
  <conditionalFormatting sqref="P22:P29">
    <cfRule type="expression" dxfId="2620" priority="31">
      <formula>ABS(P$25-P$28)&gt;=1000</formula>
    </cfRule>
  </conditionalFormatting>
  <conditionalFormatting sqref="Q22:Q29">
    <cfRule type="expression" dxfId="2619" priority="30">
      <formula>ABS(Q$25-Q$28)&gt;=1000</formula>
    </cfRule>
  </conditionalFormatting>
  <conditionalFormatting sqref="R22:R29">
    <cfRule type="expression" dxfId="2618" priority="29">
      <formula>ABS(R$25-R$28)&gt;=1000</formula>
    </cfRule>
  </conditionalFormatting>
  <conditionalFormatting sqref="S22:S29">
    <cfRule type="expression" dxfId="2617" priority="28">
      <formula>ABS(S$25-S$28)&gt;=1000</formula>
    </cfRule>
  </conditionalFormatting>
  <conditionalFormatting sqref="T22:T29">
    <cfRule type="expression" dxfId="2616" priority="27">
      <formula>ABS(T$25-T$28)&gt;=1000</formula>
    </cfRule>
  </conditionalFormatting>
  <conditionalFormatting sqref="U22:U29">
    <cfRule type="expression" dxfId="2615" priority="26">
      <formula>ABS(U$25-U$28)&gt;=1000</formula>
    </cfRule>
  </conditionalFormatting>
  <conditionalFormatting sqref="V22:V29">
    <cfRule type="expression" dxfId="2614" priority="25">
      <formula>ABS(V$25-V$28)&gt;=1000</formula>
    </cfRule>
  </conditionalFormatting>
  <conditionalFormatting sqref="W22:W29">
    <cfRule type="expression" dxfId="2613" priority="24">
      <formula>ABS(W$25-W$28)&gt;=1000</formula>
    </cfRule>
  </conditionalFormatting>
  <conditionalFormatting sqref="X22:X29">
    <cfRule type="expression" dxfId="2612" priority="23">
      <formula>ABS(X$25-X$28)&gt;=1000</formula>
    </cfRule>
  </conditionalFormatting>
  <conditionalFormatting sqref="Y22:Y29">
    <cfRule type="expression" dxfId="2611" priority="22">
      <formula>ABS(Y$25-Y$28)&gt;=1000</formula>
    </cfRule>
  </conditionalFormatting>
  <conditionalFormatting sqref="I23">
    <cfRule type="expression" dxfId="2610" priority="21">
      <formula>ABS(I$25-I$28)&gt;=1000</formula>
    </cfRule>
  </conditionalFormatting>
  <conditionalFormatting sqref="Q14">
    <cfRule type="expression" dxfId="2609" priority="20">
      <formula>ABS(Q$16-Q$19)&gt;=1000</formula>
    </cfRule>
  </conditionalFormatting>
  <conditionalFormatting sqref="W14">
    <cfRule type="expression" dxfId="2608" priority="19">
      <formula>ABS(W$16-W$19)&gt;=1000</formula>
    </cfRule>
  </conditionalFormatting>
  <conditionalFormatting sqref="Y14">
    <cfRule type="expression" dxfId="2607" priority="18">
      <formula>ABS(Y$16-Y$19)&gt;=1000</formula>
    </cfRule>
  </conditionalFormatting>
  <conditionalFormatting sqref="X14">
    <cfRule type="expression" dxfId="2606" priority="17">
      <formula>ABS(X$16-X$19)&gt;=1000</formula>
    </cfRule>
  </conditionalFormatting>
  <conditionalFormatting sqref="T10:Y10">
    <cfRule type="expression" dxfId="2605" priority="16">
      <formula>ABS(T$7-T$10)&gt;=1000</formula>
    </cfRule>
  </conditionalFormatting>
  <conditionalFormatting sqref="W19">
    <cfRule type="expression" dxfId="2604" priority="15">
      <formula>ABS(W$16-W$19)&gt;=1000</formula>
    </cfRule>
  </conditionalFormatting>
  <conditionalFormatting sqref="AC5">
    <cfRule type="expression" dxfId="2603" priority="14">
      <formula>ABS(AC$7-AC$10)&gt;=1000</formula>
    </cfRule>
  </conditionalFormatting>
  <conditionalFormatting sqref="M14">
    <cfRule type="expression" dxfId="2602" priority="13">
      <formula>ABS(M$16-M$19)&gt;=1000</formula>
    </cfRule>
  </conditionalFormatting>
  <conditionalFormatting sqref="M16">
    <cfRule type="expression" dxfId="2601" priority="12">
      <formula>ABS(M$16-M$19)&gt;=1000</formula>
    </cfRule>
  </conditionalFormatting>
  <conditionalFormatting sqref="M19">
    <cfRule type="expression" dxfId="2600" priority="11">
      <formula>ABS(M$16-M$19)&gt;=1000</formula>
    </cfRule>
  </conditionalFormatting>
  <conditionalFormatting sqref="K13:K20">
    <cfRule type="expression" dxfId="2599" priority="10">
      <formula>ABS(K$16-K$19)&gt;=1000</formula>
    </cfRule>
  </conditionalFormatting>
  <conditionalFormatting sqref="E5">
    <cfRule type="expression" dxfId="2598" priority="9">
      <formula>ABS(E$7-E$10)&gt;=1000</formula>
    </cfRule>
  </conditionalFormatting>
  <conditionalFormatting sqref="AB14:AC14">
    <cfRule type="expression" dxfId="2597" priority="8">
      <formula>ABS(AB$16-AB$19)&gt;=1000</formula>
    </cfRule>
  </conditionalFormatting>
  <conditionalFormatting sqref="M5">
    <cfRule type="expression" dxfId="2596" priority="7">
      <formula>ABS(M$7-M$10)&gt;=1000</formula>
    </cfRule>
  </conditionalFormatting>
  <conditionalFormatting sqref="N5">
    <cfRule type="expression" dxfId="2595" priority="6">
      <formula>ABS(N$7-N$10)&gt;=1000</formula>
    </cfRule>
  </conditionalFormatting>
  <conditionalFormatting sqref="O5">
    <cfRule type="expression" dxfId="2594" priority="5">
      <formula>ABS(O$7-O$10)&gt;=1000</formula>
    </cfRule>
  </conditionalFormatting>
  <conditionalFormatting sqref="P5">
    <cfRule type="expression" dxfId="2593" priority="4">
      <formula>ABS(P$7-P$10)&gt;=1000</formula>
    </cfRule>
  </conditionalFormatting>
  <conditionalFormatting sqref="L23">
    <cfRule type="expression" dxfId="2592" priority="3">
      <formula>ABS(L$25-L$28)&gt;=1000</formula>
    </cfRule>
  </conditionalFormatting>
  <conditionalFormatting sqref="F14">
    <cfRule type="expression" dxfId="2591" priority="2">
      <formula>ABS(F$16-F$19)&gt;=1000</formula>
    </cfRule>
  </conditionalFormatting>
  <conditionalFormatting sqref="AE5">
    <cfRule type="expression" dxfId="2590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5932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55">
    <pageSetUpPr fitToPage="1"/>
  </sheetPr>
  <dimension ref="A1:CU223"/>
  <sheetViews>
    <sheetView tabSelected="1" view="pageBreakPreview" zoomScale="80" zoomScaleNormal="100" zoomScaleSheetLayoutView="80" workbookViewId="0">
      <selection activeCell="AF24" sqref="AF2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8" t="s" ph="1">
        <v>161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" customHeight="1" ph="1">
      <c r="B3" s="240" ph="1">
        <v>45962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9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44" t="s" ph="1">
        <v>177</v>
      </c>
      <c r="D6" s="71">
        <v>6785</v>
      </c>
      <c r="E6" s="71">
        <v>4932</v>
      </c>
      <c r="F6" s="71">
        <v>6458</v>
      </c>
      <c r="G6" s="71">
        <v>3865</v>
      </c>
      <c r="H6" s="71">
        <v>5226</v>
      </c>
      <c r="I6" s="71">
        <v>54.1</v>
      </c>
      <c r="J6" s="71">
        <v>7.02</v>
      </c>
      <c r="K6" s="71">
        <v>8.51</v>
      </c>
      <c r="L6" s="71">
        <v>32.51</v>
      </c>
      <c r="M6" s="71">
        <v>2115</v>
      </c>
      <c r="N6" s="71">
        <v>2504</v>
      </c>
      <c r="O6" s="71">
        <v>105</v>
      </c>
      <c r="P6" s="71">
        <v>1620</v>
      </c>
      <c r="Q6" s="71">
        <v>5560</v>
      </c>
      <c r="R6" s="71">
        <v>6643</v>
      </c>
      <c r="S6" s="71">
        <v>5541</v>
      </c>
      <c r="T6" s="71">
        <v>7261</v>
      </c>
      <c r="U6" s="71">
        <v>2641</v>
      </c>
      <c r="V6" s="71">
        <v>4818</v>
      </c>
      <c r="W6" s="71">
        <v>0</v>
      </c>
      <c r="X6" s="71">
        <v>0</v>
      </c>
      <c r="Y6" s="71">
        <v>0</v>
      </c>
      <c r="Z6" s="71">
        <v>482</v>
      </c>
      <c r="AA6" s="71">
        <v>2493</v>
      </c>
      <c r="AB6" s="71">
        <v>3089</v>
      </c>
      <c r="AC6" s="71">
        <v>1072</v>
      </c>
      <c r="AD6" s="71">
        <v>5048</v>
      </c>
      <c r="AE6" s="71">
        <v>4851</v>
      </c>
    </row>
    <row r="7" spans="1:99" s="72" customFormat="1" ht="22.2" ph="1">
      <c r="B7" s="237" ph="1"/>
      <c r="C7" s="68" t="s" ph="1">
        <v>178</v>
      </c>
      <c r="D7" s="73" ph="1">
        <f>D6*33.183*LOOKUP(D8,密度!$A$2:$A$50,密度!$Q$2:$Q$50)</f>
        <v>213155.3441547</v>
      </c>
      <c r="E7" s="73" ph="1">
        <f>E6*51.53*LOOKUP(E8,密度!$A$2:$A$50,密度!$B$2:$B$50)</f>
        <v>198360.92177999998</v>
      </c>
      <c r="F7" s="73" ph="1">
        <f>F6*33.183*LOOKUP(F8,密度!$A$2:$A$50,密度!$C$2:$C$50)</f>
        <v>237954.07186560004</v>
      </c>
      <c r="G7" s="73" ph="1">
        <f xml:space="preserve"> (G6+2)*51.53*LOOKUP(G8,密度!$A$2:$A$50,密度!$B$2:$B$50)</f>
        <v>155527.51105500001</v>
      </c>
      <c r="H7" s="73" ph="1">
        <f>(H6)*51.53*LOOKUP(H8,密度!$A$2:$A$50,密度!$B$2:$B$50)</f>
        <v>211154.82109800001</v>
      </c>
      <c r="I7" s="73" ph="1">
        <f>I6*290.8*1.0267</f>
        <v>16152.331876</v>
      </c>
      <c r="J7" s="73" ph="1">
        <f>J6*290.8*0.7892</f>
        <v>1611.0855071999999</v>
      </c>
      <c r="K7" s="73" ph="1">
        <f>K6*290.8*1.1126</f>
        <v>2753.3601208</v>
      </c>
      <c r="L7" s="73" ph="1">
        <f>L6*290.8*0.777</f>
        <v>7345.6865159999998</v>
      </c>
      <c r="M7" s="73" ph="1">
        <f>M6*33.183*LOOKUP(M8,密度!$A$2:$A$50,密度!$D$2:$D$50)</f>
        <v>72119.069442000007</v>
      </c>
      <c r="N7" s="73" ph="1">
        <f>N6*33.183*LOOKUP(N8,密度!$A$2:$A$50,密度!$E$2:$E$50)</f>
        <v>65076.269702400001</v>
      </c>
      <c r="O7" s="73" ph="1">
        <f>O6*20.428*LOOKUP(O8,密度!$A$2:$A$50,密度!$C$2:$C$50)</f>
        <v>2378.5239660000002</v>
      </c>
      <c r="P7" s="73" ph="1">
        <f>P6*51.53*LOOKUP(P8,密度!$A$2:$A$50,密度!$B$2:$B$50)</f>
        <v>65305.308780000007</v>
      </c>
      <c r="Q7" s="73" ph="1">
        <f>Q6*1.5*1.5*3.1416*LOOKUP(W8,密度!$A$2:$A$50,密度!$L$2:$L$50)</f>
        <v>36864.728207999993</v>
      </c>
      <c r="R7" s="73" ph="1">
        <f>R6*1.5*1.5*3.1416*LOOKUP(R8,密度!$A$2:$A$50,密度!$L$2:$L$50)</f>
        <v>43763.653533600002</v>
      </c>
      <c r="S7" s="73" ph="1">
        <f>S6*1.5*1.5*3.1416*LOOKUP(S8,密度!$A$2:$A$50,密度!$L$2:$L$50)</f>
        <v>36895.420069200001</v>
      </c>
      <c r="T7" s="73" ph="1">
        <f>T6*1.5*1.5*3.1416*LOOKUP(T8,密度!$A$2:$A$50,密度!$L$2:$L$50)</f>
        <v>48348.2485332</v>
      </c>
      <c r="U7" s="73" ph="1">
        <f>U6*1.5*1.5*3.1416*LOOKUP(U8,密度!$A$2:$A$50,密度!$L$2:$L$50)</f>
        <v>17510.745898799996</v>
      </c>
      <c r="V7" s="73" ph="1">
        <f>V6*1.5*1.5*3.1416*LOOKUP(V8,密度!$A$2:$A$50,密度!$L$2:$L$50)</f>
        <v>31876.897852800001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15098.530463999999</v>
      </c>
      <c r="AA7" s="73" ph="1">
        <f>AA6*33.183*LOOKUP(AA8,密度!$A$2:$A$50,密度!$D$2:$D$50)</f>
        <v>85008.435044400001</v>
      </c>
      <c r="AB7" s="73" ph="1">
        <f>AB6*20.428*LOOKUP(AB8,密度!$A$2:$A$50,密度!$D$2:$D$50)</f>
        <v>65298.044801600001</v>
      </c>
      <c r="AC7" s="73" ph="1">
        <f>AC6*51.53*LOOKUP(AC8,密度!$A$2:$A$50,密度!$Q$2:$Q$50)</f>
        <v>52461.027550400002</v>
      </c>
      <c r="AD7" s="73" ph="1">
        <f>AD6*20.428*LOOKUP(AD8,密度!$A$2:$A$50,密度!$V$2:$V$50)</f>
        <v>99078.218675200013</v>
      </c>
      <c r="AE7" s="73" ph="1">
        <f>AE6*20.428</f>
        <v>99096.228000000003</v>
      </c>
    </row>
    <row r="8" spans="1:99" ph="1">
      <c r="B8" s="237" ph="1"/>
      <c r="C8" s="68" t="s" ph="1">
        <v>179</v>
      </c>
      <c r="D8" s="74">
        <v>25</v>
      </c>
      <c r="E8" s="74">
        <v>24</v>
      </c>
      <c r="F8" s="74">
        <v>23</v>
      </c>
      <c r="G8" s="74">
        <v>24</v>
      </c>
      <c r="H8" s="74">
        <v>20</v>
      </c>
      <c r="I8" s="74">
        <v>25</v>
      </c>
      <c r="J8" s="74">
        <v>25</v>
      </c>
      <c r="K8" s="74">
        <v>25</v>
      </c>
      <c r="L8" s="74">
        <v>25</v>
      </c>
      <c r="M8" s="74">
        <v>24</v>
      </c>
      <c r="N8" s="74">
        <v>25</v>
      </c>
      <c r="O8" s="74">
        <v>25</v>
      </c>
      <c r="P8" s="74">
        <v>22</v>
      </c>
      <c r="Q8" s="74">
        <v>25</v>
      </c>
      <c r="R8" s="74">
        <v>30</v>
      </c>
      <c r="S8" s="74">
        <v>20</v>
      </c>
      <c r="T8" s="74">
        <v>20</v>
      </c>
      <c r="U8" s="74">
        <v>24</v>
      </c>
      <c r="V8" s="74">
        <v>26</v>
      </c>
      <c r="W8" s="74">
        <v>24</v>
      </c>
      <c r="X8" s="74">
        <v>15</v>
      </c>
      <c r="Y8" s="74">
        <v>23</v>
      </c>
      <c r="Z8" s="74">
        <v>18</v>
      </c>
      <c r="AA8" s="74">
        <v>24</v>
      </c>
      <c r="AB8" s="74">
        <v>16</v>
      </c>
      <c r="AC8" s="74">
        <v>21</v>
      </c>
      <c r="AD8" s="74">
        <v>25</v>
      </c>
      <c r="AE8" s="74">
        <v>26</v>
      </c>
    </row>
    <row r="9" spans="1:99" ht="26.4" ph="1">
      <c r="B9" s="237" ph="1">
        <v>0.66666666666666663</v>
      </c>
      <c r="C9" s="144" t="s" ph="1">
        <v>180</v>
      </c>
      <c r="D9" s="71">
        <v>6790</v>
      </c>
      <c r="E9" s="71">
        <v>4932</v>
      </c>
      <c r="F9" s="71">
        <v>6459</v>
      </c>
      <c r="G9" s="71">
        <v>3003</v>
      </c>
      <c r="H9" s="71">
        <v>5231</v>
      </c>
      <c r="I9" s="71">
        <v>10.66</v>
      </c>
      <c r="J9" s="71">
        <v>7.07</v>
      </c>
      <c r="K9" s="71">
        <v>8.61</v>
      </c>
      <c r="L9" s="71">
        <v>10.17</v>
      </c>
      <c r="M9" s="71">
        <v>1923</v>
      </c>
      <c r="N9" s="71">
        <v>2505</v>
      </c>
      <c r="O9" s="71">
        <v>103</v>
      </c>
      <c r="P9" s="71">
        <v>2168</v>
      </c>
      <c r="Q9" s="71">
        <v>6766</v>
      </c>
      <c r="R9" s="71">
        <v>6650</v>
      </c>
      <c r="S9" s="71">
        <v>5547</v>
      </c>
      <c r="T9" s="71">
        <v>7268</v>
      </c>
      <c r="U9" s="71">
        <v>2641</v>
      </c>
      <c r="V9" s="71">
        <v>4613</v>
      </c>
      <c r="W9" s="71">
        <v>0</v>
      </c>
      <c r="X9" s="71">
        <v>0</v>
      </c>
      <c r="Y9" s="71">
        <v>5825</v>
      </c>
      <c r="Z9" s="71">
        <v>484</v>
      </c>
      <c r="AA9" s="71">
        <v>2924</v>
      </c>
      <c r="AB9" s="71">
        <v>2149</v>
      </c>
      <c r="AC9" s="71">
        <v>875</v>
      </c>
      <c r="AD9" s="71">
        <v>5085</v>
      </c>
      <c r="AE9" s="71">
        <v>2342</v>
      </c>
    </row>
    <row r="10" spans="1:99" s="72" customFormat="1" ht="22.2" ph="1">
      <c r="B10" s="237" ph="1"/>
      <c r="C10" s="144" t="s" ph="1">
        <v>178</v>
      </c>
      <c r="D10" s="73" ph="1">
        <f>D9*33.183*LOOKUP(D11,密度!$A$2:$A$50,密度!$Q$2:$Q$50)</f>
        <v>213312.42252180001</v>
      </c>
      <c r="E10" s="73" ph="1">
        <f>E9*51.53*LOOKUP(E11,密度!$A$2:$A$50,密度!$B$2:$B$50)</f>
        <v>197903.45905199999</v>
      </c>
      <c r="F10" s="73" ph="1">
        <f>F9*33.183*LOOKUP(F11,密度!$A$2:$A$50,密度!$C$2:$C$50)</f>
        <v>237819.45507119998</v>
      </c>
      <c r="G10" s="73" ph="1">
        <f xml:space="preserve"> (G9+2)*51.53*LOOKUP(G11,密度!$A$2:$A$50,密度!$B$2:$B$50)</f>
        <v>120719.22793999998</v>
      </c>
      <c r="H10" s="73" ph="1">
        <f>(H9)*51.53*LOOKUP(H11,密度!$A$2:$A$50,密度!$B$2:$B$50)</f>
        <v>210871.648289</v>
      </c>
      <c r="I10" s="73" ph="1">
        <f>I9*290.8*1.0267</f>
        <v>3182.6960776000001</v>
      </c>
      <c r="J10" s="73" ph="1">
        <f>J9*290.8*0.7892</f>
        <v>1622.5604752000002</v>
      </c>
      <c r="K10" s="73" ph="1">
        <f>K9*290.8*1.1126</f>
        <v>2785.7145288000002</v>
      </c>
      <c r="L10" s="73" ph="1">
        <f>L9*290.8*0.777</f>
        <v>2297.927772</v>
      </c>
      <c r="M10" s="73" ph="1">
        <f>M9*33.183*LOOKUP(M11,密度!$A$2:$A$50,密度!$D$2:$D$50)</f>
        <v>65457.230452200005</v>
      </c>
      <c r="N10" s="73" ph="1">
        <f>N9*33.183*LOOKUP(N11,密度!$A$2:$A$50,密度!$E$2:$E$50)</f>
        <v>65010.822871499993</v>
      </c>
      <c r="O10" s="73" ph="1">
        <f>O9*20.428*LOOKUP(O11,密度!$A$2:$A$50,密度!$C$2:$C$50)</f>
        <v>2323.1191444000006</v>
      </c>
      <c r="P10" s="73" ph="1">
        <f>P9*51.53*LOOKUP(P11,密度!$A$2:$A$50,密度!$B$2:$B$50)</f>
        <v>86904.685416000008</v>
      </c>
      <c r="Q10" s="73" ph="1">
        <f>Q9*1.5*1.5*3.1416*LOOKUP(W11,密度!$A$2:$A$50,密度!$L$2:$L$50)</f>
        <v>44334.8388252</v>
      </c>
      <c r="R10" s="73" ph="1">
        <f>R9*1.5*1.5*3.1416*LOOKUP(R11,密度!$A$2:$A$50,密度!$L$2:$L$50)</f>
        <v>43762.762890000005</v>
      </c>
      <c r="S10" s="73" ph="1">
        <f>S9*1.5*1.5*3.1416*LOOKUP(S11,密度!$A$2:$A$50,密度!$L$2:$L$50)</f>
        <v>36856.952747999996</v>
      </c>
      <c r="T10" s="73" ph="1">
        <f>T9*1.5*1.5*3.1416*LOOKUP(T11,密度!$A$2:$A$50,密度!$L$2:$L$50)</f>
        <v>48292.109711999998</v>
      </c>
      <c r="U10" s="73" ph="1">
        <f>U9*1.5*1.5*3.1416*LOOKUP(U11,密度!$A$2:$A$50,密度!$L$2:$L$50)</f>
        <v>17492.077726199997</v>
      </c>
      <c r="V10" s="73" ph="1">
        <f>V9*1.5*1.5*3.1416*LOOKUP(V11,密度!$A$2:$A$50,密度!$L$2:$L$50)</f>
        <v>30487.967433000002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38580.595515000001</v>
      </c>
      <c r="Z10" s="73" ph="1">
        <f>Z9*33.183*LOOKUP(Z11,密度!$A$2:$A$50,密度!$L$2:$L$50)</f>
        <v>15112.998251999999</v>
      </c>
      <c r="AA10" s="73" ph="1">
        <f>AA9*33.183*LOOKUP(AA11,密度!$A$2:$A$50,密度!$D$2:$D$50)</f>
        <v>99617.715356400004</v>
      </c>
      <c r="AB10" s="73" ph="1">
        <f>AB9*20.428*LOOKUP(AB11,密度!$A$2:$A$50,密度!$D$2:$D$50)</f>
        <v>45352.854453200001</v>
      </c>
      <c r="AC10" s="73" ph="1">
        <f>AC9*51.53*LOOKUP(AC11,密度!$A$2:$A$50,密度!$Q$2:$Q$50)</f>
        <v>42720.237962500003</v>
      </c>
      <c r="AD10" s="73" ph="1">
        <f>AD9*20.428*LOOKUP(AD11,密度!$A$2:$A$50,密度!$V$2:$V$50)</f>
        <v>99472.021487999998</v>
      </c>
      <c r="AE10" s="73" ph="1">
        <f>AE9*20.428</f>
        <v>47842.376000000004</v>
      </c>
    </row>
    <row r="11" spans="1:99" ph="1">
      <c r="A11" s="64" t="s" ph="1">
        <v>162</v>
      </c>
      <c r="B11" s="237" ph="1"/>
      <c r="C11" s="144" t="s" ph="1">
        <v>179</v>
      </c>
      <c r="D11" s="74">
        <v>25</v>
      </c>
      <c r="E11" s="74">
        <v>26</v>
      </c>
      <c r="F11" s="74">
        <v>24</v>
      </c>
      <c r="G11" s="74">
        <v>25</v>
      </c>
      <c r="H11" s="74">
        <v>22</v>
      </c>
      <c r="I11" s="74">
        <v>25</v>
      </c>
      <c r="J11" s="74">
        <v>25</v>
      </c>
      <c r="K11" s="74">
        <v>25</v>
      </c>
      <c r="L11" s="74">
        <v>25</v>
      </c>
      <c r="M11" s="74">
        <v>26</v>
      </c>
      <c r="N11" s="74">
        <v>26</v>
      </c>
      <c r="O11" s="74">
        <v>31</v>
      </c>
      <c r="P11" s="74">
        <v>27</v>
      </c>
      <c r="Q11" s="74">
        <v>27</v>
      </c>
      <c r="R11" s="74">
        <v>31</v>
      </c>
      <c r="S11" s="74">
        <v>22</v>
      </c>
      <c r="T11" s="74">
        <v>22</v>
      </c>
      <c r="U11" s="74">
        <v>25</v>
      </c>
      <c r="V11" s="74">
        <v>27</v>
      </c>
      <c r="W11" s="74">
        <v>35</v>
      </c>
      <c r="X11" s="74">
        <v>23</v>
      </c>
      <c r="Y11" s="74">
        <v>25</v>
      </c>
      <c r="Z11" s="74">
        <v>21</v>
      </c>
      <c r="AA11" s="74">
        <v>25</v>
      </c>
      <c r="AB11" s="74">
        <v>18</v>
      </c>
      <c r="AC11" s="74">
        <v>24</v>
      </c>
      <c r="AD11" s="74">
        <v>26</v>
      </c>
      <c r="AE11" s="74">
        <v>31</v>
      </c>
    </row>
    <row r="12" spans="1:99" ht="9.9" customHeight="1" ph="1"/>
    <row r="13" spans="1:99" s="72" customFormat="1" ht="29.25" customHeight="1" ph="1">
      <c r="B13" s="214" t="s" ph="1">
        <v>37</v>
      </c>
      <c r="C13" s="144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5" ph="1"/>
      <c r="C14" s="67" t="s" ph="1">
        <v>36</v>
      </c>
      <c r="D14" s="77" t="s" ph="1">
        <v>616</v>
      </c>
      <c r="E14" s="77" t="s" ph="1">
        <v>616</v>
      </c>
      <c r="F14" s="77" t="s" ph="1">
        <v>639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636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635</v>
      </c>
      <c r="AC14" s="77" t="s" ph="1">
        <v>637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6" ph="1">
        <v>0.33333333333333331</v>
      </c>
      <c r="C15" s="144" t="s" ph="1">
        <v>177</v>
      </c>
      <c r="D15" s="78">
        <v>5964</v>
      </c>
      <c r="E15" s="78">
        <v>679</v>
      </c>
      <c r="F15" s="78">
        <v>1949</v>
      </c>
      <c r="G15" s="78">
        <v>4360</v>
      </c>
      <c r="H15" s="78">
        <v>0</v>
      </c>
      <c r="I15" s="78">
        <v>1616</v>
      </c>
      <c r="J15" s="78">
        <v>735</v>
      </c>
      <c r="K15" s="78">
        <v>4776</v>
      </c>
      <c r="L15" s="78">
        <v>3963</v>
      </c>
      <c r="M15" s="78">
        <v>6483</v>
      </c>
      <c r="N15" s="78">
        <v>1267</v>
      </c>
      <c r="O15" s="78">
        <v>6396</v>
      </c>
      <c r="P15" s="78">
        <v>6939</v>
      </c>
      <c r="Q15" s="78">
        <v>1611</v>
      </c>
      <c r="R15" s="78">
        <v>0</v>
      </c>
      <c r="S15" s="78">
        <v>6190</v>
      </c>
      <c r="T15" s="78">
        <v>2412</v>
      </c>
      <c r="U15" s="78">
        <v>5901</v>
      </c>
      <c r="V15" s="78">
        <v>4940</v>
      </c>
      <c r="W15" s="71">
        <v>5043</v>
      </c>
      <c r="X15" s="78">
        <v>851</v>
      </c>
      <c r="Y15" s="106">
        <v>-9905</v>
      </c>
      <c r="Z15" s="78">
        <v>0</v>
      </c>
      <c r="AA15" s="78">
        <v>0</v>
      </c>
      <c r="AB15" s="78" ph="1">
        <v>1095</v>
      </c>
      <c r="AC15" s="78" ph="1">
        <v>2143</v>
      </c>
      <c r="AD15" s="78">
        <v>77.209999999999994</v>
      </c>
      <c r="AE15" s="78">
        <v>5.52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7" ph="1"/>
      <c r="C16" s="144" t="s" ph="1">
        <v>178</v>
      </c>
      <c r="D16" s="73" ph="1">
        <f>D15*7.0686*LOOKUP(D17,密度!$A$2:$A$50,密度!$L$2:$L$50)</f>
        <v>39501.231184800003</v>
      </c>
      <c r="E16" s="73" ph="1">
        <f>E15*7.0686*LOOKUP(E17,密度!$A$2:$A$50,密度!$L$2:$L$50)</f>
        <v>4497.2058977999995</v>
      </c>
      <c r="F16" s="73" ph="1">
        <f>F15*9.0746*LOOKUP(F17,密度!$A$2:$A$50,密度!$L$2:$L$50)</f>
        <v>16554.466094400002</v>
      </c>
      <c r="G16" s="73" ph="1">
        <f>G15*9.0746*LOOKUP(G17,密度!$A$2:$A$50,密度!$B$2:$B$50)</f>
        <v>30916.291038399999</v>
      </c>
      <c r="H16" s="73" ph="1">
        <f>H15*9.0746*LOOKUP(H17,密度!$A$2:$A$50,密度!$L$2:$L$50)</f>
        <v>0</v>
      </c>
      <c r="I16" s="73" ph="1">
        <f>I15*9.0746*LOOKUP(I17,密度!$A$2:$A$50,密度!$U$2:$U$50)</f>
        <v>15075.161100800002</v>
      </c>
      <c r="J16" s="73" ph="1">
        <f>J15*9.0746*LOOKUP(J17,密度!$A$2:$A$50,密度!$L$2:$L$50)</f>
        <v>6249.6316470000002</v>
      </c>
      <c r="K16" s="73" ph="1">
        <f>K15*9.0746*LOOKUP(K17,密度!$A$2:$A$50,密度!$C$2:$C$50)</f>
        <v>48060.04713744</v>
      </c>
      <c r="L16" s="73" ph="1">
        <f>L15*9.0746*LOOKUP(L17,密度!$A$2:$A$50,密度!$E$2:$E$50)</f>
        <v>28209.094659120005</v>
      </c>
      <c r="M16" s="73" ph="1">
        <f>M15*9.0746*LOOKUP(M17,密度!$A$2:$A$50,密度!$M$2:$M$50)</f>
        <v>51423.855256380004</v>
      </c>
      <c r="N16" s="73" ph="1">
        <f>N15*9.0746*LOOKUP(N17,密度!$A$2:$A$50,密度!$M$2:$M$50)</f>
        <v>10107.46824962</v>
      </c>
      <c r="O16" s="73" ph="1">
        <f>O15*9.0746*LOOKUP(O17,密度!$A$2:$A$50,密度!$G$2:$G$50)</f>
        <v>55731.104164320008</v>
      </c>
      <c r="P16" s="73" ph="1">
        <f ca="1">P15*9.0746*LOOKUP(P17,密度!$A$2:$A$51,密度!$Q$2:$Q$50)</f>
        <v>59614.939132956002</v>
      </c>
      <c r="Q16" s="73" ph="1">
        <f>Q15*9.0746*LOOKUP(Q17,密度!$A$2:$A$50,密度!$Q$2:$Q$50)</f>
        <v>13840.563041244</v>
      </c>
      <c r="R16" s="73" ph="1">
        <f>MAX(R15*9.0746*LOOKUP(R17,密度!$A$2:$A$50,密度!$B$2:$B$50),0)</f>
        <v>0</v>
      </c>
      <c r="S16" s="73" ph="1">
        <f>S15*9.0746*LOOKUP(S17,密度!$A$2:$A$50,密度!$Q$2:$Q$50)</f>
        <v>53262.076106800007</v>
      </c>
      <c r="T16" s="73" ph="1">
        <f>T15*9.0746*LOOKUP(T17,密度!$A$2:$A$50,密度!$O$2:$O$50)</f>
        <v>20268.227995200003</v>
      </c>
      <c r="U16" s="73" ph="1">
        <f>U15*9.0746*LOOKUP(U17,密度!$A$2:$A$50,密度!$H$2:$H$50)</f>
        <v>49249.212667619999</v>
      </c>
      <c r="V16" s="73" ph="1">
        <f>MAX(5600*LOOKUP(V17,密度!$A$2:$A$50,密度!$Q$2:$Q$50)+V15*9.0476*LOOKUP(V17,密度!$A$2:$A$50,密度!$Q$2:$Q$50),0)</f>
        <v>47616.424630559995</v>
      </c>
      <c r="W16" s="73" ph="1">
        <f>MAX(5600*LOOKUP(W17,密度!$A$2:$A$50,密度!$Q$2:$Q$50)+W15*9.0476*LOOKUP(W17,密度!$A$2:$A$50,密度!$Q$2:$Q$50),0)</f>
        <v>48390.092948215999</v>
      </c>
      <c r="X16" s="73" ph="1">
        <f>MAX(5600*LOOKUP(X17,密度!$A$2:$A$50,密度!$I$2:$I$50)+X15*9.0476*LOOKUP(X17,密度!$A$2:$A$50,密度!$I$2:$I$50),0)</f>
        <v>13862.076771479999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9320.6124060000002</v>
      </c>
      <c r="AC16" s="73" ph="1">
        <f>AC15*9.0746*LOOKUP(AC17,密度!$A$2:$A$50,密度!$L$2:$L$50)</f>
        <v>18260.6088642</v>
      </c>
      <c r="AD16" s="73" ph="1">
        <f>AD15*268.68*LOOKUP(AD17,密度!$A$2:$A$50,密度!B2:B50)+IF(AD15&lt;=0,0,1566*LOOKUP(AD17,密度!$A$2:$A$50,密度!B2:B50))</f>
        <v>17393.486270879996</v>
      </c>
      <c r="AE16" s="73" ph="1">
        <f>AE15*268.68*LOOKUP(AE17,密度!$A$2:$A$50,密度!B2:B50)+IF(AE15&lt;=0,0,1566*LOOKUP(AE17,密度!$A$2:$A$50,密度!B2:B50))</f>
        <v>2377.0889625599998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8" ph="1"/>
      <c r="C17" s="79" t="s" ph="1">
        <v>179</v>
      </c>
      <c r="D17" s="74">
        <v>25</v>
      </c>
      <c r="E17" s="74">
        <v>25</v>
      </c>
      <c r="F17" s="74">
        <v>26</v>
      </c>
      <c r="G17" s="74">
        <v>23</v>
      </c>
      <c r="H17" s="74">
        <v>20</v>
      </c>
      <c r="I17" s="74">
        <v>21</v>
      </c>
      <c r="J17" s="74">
        <v>25</v>
      </c>
      <c r="K17" s="74">
        <v>25</v>
      </c>
      <c r="L17" s="74">
        <v>24</v>
      </c>
      <c r="M17" s="74">
        <v>26</v>
      </c>
      <c r="N17" s="74">
        <v>21</v>
      </c>
      <c r="O17" s="74">
        <v>25</v>
      </c>
      <c r="P17" s="74">
        <v>25</v>
      </c>
      <c r="Q17" s="74">
        <v>25</v>
      </c>
      <c r="R17" s="74">
        <v>25</v>
      </c>
      <c r="S17" s="74">
        <v>23</v>
      </c>
      <c r="T17" s="74">
        <v>25</v>
      </c>
      <c r="U17" s="74">
        <v>20</v>
      </c>
      <c r="V17" s="74">
        <v>25</v>
      </c>
      <c r="W17" s="74">
        <v>28</v>
      </c>
      <c r="X17" s="74">
        <v>25</v>
      </c>
      <c r="Y17" s="108">
        <v>25</v>
      </c>
      <c r="Z17" s="74">
        <v>24</v>
      </c>
      <c r="AA17" s="74">
        <v>23</v>
      </c>
      <c r="AB17" s="74">
        <v>24</v>
      </c>
      <c r="AC17" s="74">
        <v>23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6" ph="1">
        <v>0.66666666666666663</v>
      </c>
      <c r="C18" s="79" t="s" ph="1">
        <v>180</v>
      </c>
      <c r="D18" s="71">
        <v>5974</v>
      </c>
      <c r="E18" s="71">
        <v>2479</v>
      </c>
      <c r="F18" s="71">
        <v>1927</v>
      </c>
      <c r="G18" s="71">
        <v>4222</v>
      </c>
      <c r="H18" s="71">
        <v>0</v>
      </c>
      <c r="I18" s="71">
        <v>1618</v>
      </c>
      <c r="J18" s="71">
        <v>736</v>
      </c>
      <c r="K18" s="71">
        <v>4783</v>
      </c>
      <c r="L18" s="71">
        <v>3971</v>
      </c>
      <c r="M18" s="71">
        <v>6498</v>
      </c>
      <c r="N18" s="71">
        <v>1269</v>
      </c>
      <c r="O18" s="71">
        <v>6405</v>
      </c>
      <c r="P18" s="71">
        <v>6952</v>
      </c>
      <c r="Q18" s="71">
        <v>1613</v>
      </c>
      <c r="R18" s="71">
        <v>417</v>
      </c>
      <c r="S18" s="71">
        <v>6198</v>
      </c>
      <c r="T18" s="71">
        <v>2415</v>
      </c>
      <c r="U18" s="71">
        <v>5906</v>
      </c>
      <c r="V18" s="71">
        <v>4942</v>
      </c>
      <c r="W18" s="71">
        <v>5044</v>
      </c>
      <c r="X18" s="71">
        <v>850</v>
      </c>
      <c r="Y18" s="109">
        <v>-2304</v>
      </c>
      <c r="Z18" s="71">
        <v>0</v>
      </c>
      <c r="AA18" s="71">
        <v>9</v>
      </c>
      <c r="AB18" s="71">
        <v>1095</v>
      </c>
      <c r="AC18" s="71">
        <v>2146</v>
      </c>
      <c r="AD18" s="71">
        <v>0</v>
      </c>
      <c r="AE18" s="71">
        <v>84.68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7" ph="1"/>
      <c r="C19" s="144" t="s" ph="1">
        <v>178</v>
      </c>
      <c r="D19" s="73" ph="1">
        <f>D18*7.0686*LOOKUP(D20,密度!$A$2:$A$50,密度!$L$2:$L$50)</f>
        <v>39440.780517600004</v>
      </c>
      <c r="E19" s="73" ph="1">
        <f>E18*7.0686*LOOKUP(E20,密度!$A$2:$A$50,密度!$L$2:$L$50)</f>
        <v>16366.5374796</v>
      </c>
      <c r="F19" s="73" ph="1">
        <f>F18*9.0746*LOOKUP(F20,密度!$A$2:$A$50,密度!$L$2:$L$50)</f>
        <v>16297.6549144</v>
      </c>
      <c r="G19" s="73" ph="1">
        <f>G18*9.0746*LOOKUP(G20,密度!$A$2:$A$50,密度!$B$2:$B$50)</f>
        <v>29868.784551519995</v>
      </c>
      <c r="H19" s="73" ph="1">
        <f>H18*9.0746*LOOKUP(H20,密度!$A$2:$A$50,密度!$L$2:$L$50)</f>
        <v>0</v>
      </c>
      <c r="I19" s="73" ph="1">
        <f>I18*9.0746*LOOKUP(I20,密度!$A$2:$A$50,密度!$U$2:$U$50)</f>
        <v>15035.087667200001</v>
      </c>
      <c r="J19" s="73" ph="1">
        <f>J18*9.0746*LOOKUP(J20,密度!$A$2:$A$50,密度!$L$2:$L$50)</f>
        <v>6244.7767360000007</v>
      </c>
      <c r="K19" s="73" ph="1">
        <f>K18*9.0746*LOOKUP(K20,密度!$A$2:$A$50,密度!$C$2:$C$50)</f>
        <v>48030.658137880004</v>
      </c>
      <c r="L19" s="73" ph="1">
        <f>L18*9.0746*LOOKUP(L20,密度!$A$2:$A$50,密度!$E$2:$E$50)</f>
        <v>28183.158544860005</v>
      </c>
      <c r="M19" s="73" ph="1">
        <f>M18*9.0746*LOOKUP(M20,密度!$A$2:$A$50,密度!$M$2:$M$50)</f>
        <v>51419.006697600002</v>
      </c>
      <c r="N19" s="73" ph="1">
        <f>N18*9.0746*LOOKUP(N20,密度!$A$2:$A$50,密度!$M$2:$M$50)</f>
        <v>10065.84487434</v>
      </c>
      <c r="O19" s="73" ph="1">
        <f>O18*9.0746*LOOKUP(O20,密度!$A$2:$A$50,密度!$G$2:$G$50)</f>
        <v>55739.777667000002</v>
      </c>
      <c r="P19" s="73" ph="1">
        <f ca="1">P18*9.0746*LOOKUP(P20,密度!$A$2:$A$51,密度!$Q$2:$Q$50)</f>
        <v>59592.882228704002</v>
      </c>
      <c r="Q19" s="73" ph="1">
        <f>Q18*9.0746*LOOKUP(Q20,密度!$A$2:$A$50,密度!$Q$2:$Q$50)</f>
        <v>13826.714475675999</v>
      </c>
      <c r="R19" s="73" ph="1">
        <f>MAX(R18*9.0746*LOOKUP(R20,密度!$A$2:$A$50,密度!$B$2:$B$50),0)</f>
        <v>2917.16901138</v>
      </c>
      <c r="S19" s="73" ph="1">
        <f>S18*9.0746*LOOKUP(S20,密度!$A$2:$A$50,密度!$Q$2:$Q$50)</f>
        <v>53208.862107924004</v>
      </c>
      <c r="T19" s="73" ph="1">
        <f>T18*9.0746*LOOKUP(T20,密度!$A$2:$A$50,密度!$O$2:$O$50)</f>
        <v>20205.776598</v>
      </c>
      <c r="U19" s="73" ph="1">
        <f>U18*9.0746*LOOKUP(U20,密度!$A$2:$A$50,密度!$H$2:$H$50)</f>
        <v>49076.56386532</v>
      </c>
      <c r="V19" s="73" ph="1">
        <f>MAX(5600*LOOKUP(V20,密度!$A$2:$A$50,密度!$Q$2:$Q$50)+V18*9.0476*LOOKUP(V20,密度!$A$2:$A$50,密度!$Q$2:$Q$50),0)</f>
        <v>47526.892013103999</v>
      </c>
      <c r="W19" s="73" ph="1">
        <f>MAX(5600*LOOKUP(W20,密度!$A$2:$A$50,密度!$Q$2:$Q$50)+W18*9.0476*LOOKUP(W20,密度!$A$2:$A$50,密度!$Q$2:$Q$50),0)</f>
        <v>48363.286586991999</v>
      </c>
      <c r="X19" s="73" ph="1">
        <f>MAX(5600*LOOKUP(X20,密度!$A$2:$A$50,密度!$I$2:$I$50)+X18*9.0476*LOOKUP(X20,密度!$A$2:$A$50,密度!$I$2:$I$50),0)</f>
        <v>13808.787939999998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63.532182060000004</v>
      </c>
      <c r="AB19" s="73" ph="1">
        <f>AB18*9.0746*LOOKUP(AB20,密度!$A$2:$A$50,密度!$L$2:$L$50)</f>
        <v>9260.9922839999999</v>
      </c>
      <c r="AC19" s="73" ph="1">
        <f>AC18*9.0746*LOOKUP(AC20,密度!$A$2:$A$50,密度!$L$2:$L$50)</f>
        <v>18247.2238292</v>
      </c>
      <c r="AD19" s="73" ph="1">
        <f>AD18*268.68*LOOKUP(AD20,密度!$A$2:$A$50,密度!B5:B53)+IF(AD18&lt;=0,0,1566*LOOKUP(AD20,密度!$A$2:$A$50,密度!B5:B53))</f>
        <v>0</v>
      </c>
      <c r="AE19" s="73" ph="1">
        <f>AE18*268.68*LOOKUP(AE20,密度!$A$2:$A$50,密度!B5:B53)+IF(AE18&lt;=0,0,1566*LOOKUP(AE20,密度!$A$2:$A$50,密度!B5:B53))</f>
        <v>18894.9480048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7" ph="1"/>
      <c r="C20" s="80" t="s" ph="1">
        <v>179</v>
      </c>
      <c r="D20" s="81">
        <v>28</v>
      </c>
      <c r="E20" s="81">
        <v>28</v>
      </c>
      <c r="F20" s="81">
        <v>30</v>
      </c>
      <c r="G20" s="81">
        <v>25</v>
      </c>
      <c r="H20" s="81">
        <v>21</v>
      </c>
      <c r="I20" s="81">
        <v>26</v>
      </c>
      <c r="J20" s="81">
        <v>27</v>
      </c>
      <c r="K20" s="81">
        <v>28</v>
      </c>
      <c r="L20" s="81">
        <v>26</v>
      </c>
      <c r="M20" s="81">
        <v>28</v>
      </c>
      <c r="N20" s="81">
        <v>26</v>
      </c>
      <c r="O20" s="81">
        <v>26</v>
      </c>
      <c r="P20" s="81">
        <v>28</v>
      </c>
      <c r="Q20" s="81">
        <v>28</v>
      </c>
      <c r="R20" s="81">
        <v>35</v>
      </c>
      <c r="S20" s="81">
        <v>26</v>
      </c>
      <c r="T20" s="81">
        <v>30</v>
      </c>
      <c r="U20" s="81">
        <v>24</v>
      </c>
      <c r="V20" s="81">
        <v>28</v>
      </c>
      <c r="W20" s="81">
        <v>29</v>
      </c>
      <c r="X20" s="81">
        <v>28</v>
      </c>
      <c r="Y20" s="110">
        <v>28</v>
      </c>
      <c r="Z20" s="81">
        <v>32</v>
      </c>
      <c r="AA20" s="81">
        <v>27</v>
      </c>
      <c r="AB20" s="81">
        <v>30</v>
      </c>
      <c r="AC20" s="81">
        <v>25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28" t="s" ph="1">
        <v>640</v>
      </c>
      <c r="AA23" s="229"/>
      <c r="AB23" s="229"/>
      <c r="AC23" s="229"/>
      <c r="AD23" s="229"/>
      <c r="AE23" s="23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7" ph="1">
        <v>0.33333333333333331</v>
      </c>
      <c r="C24" s="144" t="s" ph="1">
        <v>177</v>
      </c>
      <c r="D24" s="71">
        <v>78.61</v>
      </c>
      <c r="E24" s="71">
        <v>46.02</v>
      </c>
      <c r="F24" s="71">
        <v>1553</v>
      </c>
      <c r="G24" s="71">
        <v>2164</v>
      </c>
      <c r="H24" s="71">
        <v>1720</v>
      </c>
      <c r="I24" s="71">
        <v>2895</v>
      </c>
      <c r="J24" s="71">
        <v>4837</v>
      </c>
      <c r="K24" s="71">
        <v>3833</v>
      </c>
      <c r="L24" s="71">
        <v>5580</v>
      </c>
      <c r="M24" s="71">
        <v>5105</v>
      </c>
      <c r="N24" s="71">
        <v>5503</v>
      </c>
      <c r="O24" s="71">
        <v>5577</v>
      </c>
      <c r="P24" s="71">
        <v>360</v>
      </c>
      <c r="Q24" s="90">
        <v>934</v>
      </c>
      <c r="R24" s="71">
        <v>218</v>
      </c>
      <c r="S24" s="71">
        <v>4248</v>
      </c>
      <c r="T24" s="71">
        <v>279</v>
      </c>
      <c r="U24" s="71">
        <v>5148</v>
      </c>
      <c r="V24" s="71">
        <v>11231</v>
      </c>
      <c r="W24" s="71">
        <v>8011</v>
      </c>
      <c r="X24" s="71">
        <v>3299</v>
      </c>
      <c r="Y24" s="71">
        <v>6833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7" ph="1"/>
      <c r="C25" s="68" t="s" ph="1">
        <v>178</v>
      </c>
      <c r="D25" s="91" ph="1">
        <f>D24*268.68*LOOKUP(D26,密度!$A$2:$A$50,密度!$Q$2:$Q$50)+IF(D24&lt;=0,0,1566*LOOKUP(D26,密度!$A$2:$A$50,密度!$Q$2:$Q$50))</f>
        <v>21478.628652552001</v>
      </c>
      <c r="E25" s="91" ph="1">
        <f>E24*268.68*LOOKUP(E26,密度!$A$2:$A$50,密度!$C$2:$C$50)+IF(E24&lt;=0,0,1566*LOOKUP(E26,密度!$A$2:$A$50,密度!$C$2:$C$50))</f>
        <v>15447.701777040002</v>
      </c>
      <c r="F25" s="91" ph="1">
        <f>F24*11.702*LOOKUP(F26,密度!$A$2:$A$50,密度!$Q$2:$Q$50)</f>
        <v>17231.833929199998</v>
      </c>
      <c r="G25" s="91" ph="1">
        <f>G24*18.322*LOOKUP(G26,密度!$A$2:$A$50,密度!$B$2:$B$50)</f>
        <v>30981.578571199996</v>
      </c>
      <c r="H25" s="91" ph="1">
        <f>H24*18.322*LOOKUP(H26,密度!$A$2:$A$50,密度!$B$2:$B$50)</f>
        <v>24624.914575999999</v>
      </c>
      <c r="I25" s="91" ph="1">
        <f>I24*18.322*LOOKUP(I26,密度!$A$2:$A$50,密度!$Q$2:$Q$50)</f>
        <v>50255.883759299999</v>
      </c>
      <c r="J25" s="91" ph="1">
        <f>J24*18.322*LOOKUP(J26,密度!$A$2:$A$50,密度!$Q$2:$Q$50)</f>
        <v>83968.120809579996</v>
      </c>
      <c r="K25" s="91" ph="1">
        <f>K24*18.322*LOOKUP(K26,密度!$A$2:$A$50,密度!$Q$2:$Q$50)</f>
        <v>66590.403893199997</v>
      </c>
      <c r="L25" s="91" ph="1">
        <f>L24*18.322*LOOKUP(L26,密度!$A$2:$A$50,密度!$Q$2:$Q$50)</f>
        <v>96791.630162400004</v>
      </c>
      <c r="M25" s="91" ph="1">
        <f>M24*18.322*LOOKUP(M26,密度!$A$2:$A$50,密度!$Q$2:$Q$50)</f>
        <v>88552.199279399996</v>
      </c>
      <c r="N25" s="91" ph="1">
        <f>N24*18.322*LOOKUP(N26,密度!$A$2:$A$50,密度!$Q$2:$Q$50)</f>
        <v>95529.578006020005</v>
      </c>
      <c r="O25" s="91" ph="1">
        <f>O24*18.322*LOOKUP(O26,密度!$A$2:$A$50,密度!$C$2:$C$50)</f>
        <v>113380.91862239999</v>
      </c>
      <c r="P25" s="91" ph="1">
        <f>P24*11.702*LOOKUP(P26,密度!$A$2:$A$50,密度!$B$2:$B$50)</f>
        <v>3291.8194080000003</v>
      </c>
      <c r="Q25" s="92" ph="1">
        <f>Q24*18.322*LOOKUP(Q26,密度!$A$2:$A$50,密度!$B$2:$B$50)</f>
        <v>13402.704233599999</v>
      </c>
      <c r="R25" s="91" ph="1">
        <f>R24*35.891*LOOKUP(R26,密度!$A$2:$A$50,密度!$C$2:$C$50)</f>
        <v>8705.2471987999998</v>
      </c>
      <c r="S25" s="91" ph="1">
        <f>S24*35.891*LOOKUP(S26,密度!$A$2:$A$50,密度!$B$2:$B$50)</f>
        <v>119410.5629376</v>
      </c>
      <c r="T25" s="91" ph="1">
        <f>T24*35.891*LOOKUP(T26,密度!$A$2:$A$50,密度!$Q$2:$Q$50)</f>
        <v>9487.575169830001</v>
      </c>
      <c r="U25" s="91" ph="1">
        <f>U24*35.891</f>
        <v>184766.86799999999</v>
      </c>
      <c r="V25" s="91" ph="1">
        <f>V24*47.051*LOOKUP(V26,密度!$A$2:$A$50,密度!$B$2:$B$50)</f>
        <v>412439.44407050003</v>
      </c>
      <c r="W25" s="91" ph="1">
        <f>W24*47.051*LOOKUP(W26,密度!$A$2:$A$50,密度!$B$2:$B$50)</f>
        <v>294190.40036049997</v>
      </c>
      <c r="X25" s="91" ph="1">
        <f>X24*47.051*LOOKUP(X26,密度!$A$2:$A$50,密度!$I$2:$I$50)</f>
        <v>161787.10783270001</v>
      </c>
      <c r="Y25" s="91" ph="1">
        <f>Y24*47.051*LOOKUP(Y26,密度!$A$2:$A$50,密度!$L$2:$L$50)</f>
        <v>301245.015571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7" ph="1"/>
      <c r="C26" s="68" t="s" ph="1">
        <v>179</v>
      </c>
      <c r="D26" s="74">
        <v>25</v>
      </c>
      <c r="E26" s="74">
        <v>25</v>
      </c>
      <c r="F26" s="74">
        <v>23</v>
      </c>
      <c r="G26" s="74">
        <v>23</v>
      </c>
      <c r="H26" s="74">
        <v>23</v>
      </c>
      <c r="I26" s="74">
        <v>24</v>
      </c>
      <c r="J26" s="74">
        <v>24</v>
      </c>
      <c r="K26" s="74">
        <v>23</v>
      </c>
      <c r="L26" s="74">
        <v>25</v>
      </c>
      <c r="M26" s="74">
        <v>25</v>
      </c>
      <c r="N26" s="74">
        <v>24</v>
      </c>
      <c r="O26" s="74">
        <v>24</v>
      </c>
      <c r="P26" s="74">
        <v>23</v>
      </c>
      <c r="Q26" s="93">
        <v>21</v>
      </c>
      <c r="R26" s="74">
        <v>20</v>
      </c>
      <c r="S26" s="74">
        <v>21</v>
      </c>
      <c r="T26" s="74">
        <v>24</v>
      </c>
      <c r="U26" s="74">
        <v>23</v>
      </c>
      <c r="V26" s="74">
        <v>24</v>
      </c>
      <c r="W26" s="74">
        <v>24</v>
      </c>
      <c r="X26" s="74">
        <v>25</v>
      </c>
      <c r="Y26" s="74">
        <v>25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7" ph="1">
        <v>0.66666666666666663</v>
      </c>
      <c r="C27" s="144" t="s" ph="1">
        <v>180</v>
      </c>
      <c r="D27" s="71">
        <v>78.83</v>
      </c>
      <c r="E27" s="71">
        <v>46.06</v>
      </c>
      <c r="F27" s="71">
        <v>1554</v>
      </c>
      <c r="G27" s="71">
        <v>1470</v>
      </c>
      <c r="H27" s="71">
        <v>2149</v>
      </c>
      <c r="I27" s="71">
        <v>2895</v>
      </c>
      <c r="J27" s="71">
        <v>4839</v>
      </c>
      <c r="K27" s="71">
        <v>3834</v>
      </c>
      <c r="L27" s="71">
        <v>5589</v>
      </c>
      <c r="M27" s="71">
        <v>5107</v>
      </c>
      <c r="N27" s="71">
        <v>5503</v>
      </c>
      <c r="O27" s="71">
        <v>5576</v>
      </c>
      <c r="P27" s="71">
        <v>2438</v>
      </c>
      <c r="Q27" s="90">
        <v>402</v>
      </c>
      <c r="R27" s="71">
        <v>216</v>
      </c>
      <c r="S27" s="71">
        <v>3568</v>
      </c>
      <c r="T27" s="71">
        <v>277</v>
      </c>
      <c r="U27" s="71">
        <v>4800</v>
      </c>
      <c r="V27" s="71">
        <v>11755</v>
      </c>
      <c r="W27" s="71">
        <v>8014</v>
      </c>
      <c r="X27" s="71">
        <v>3298</v>
      </c>
      <c r="Y27" s="71">
        <v>5856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7" ph="1"/>
      <c r="C28" s="144" t="s" ph="1">
        <v>178</v>
      </c>
      <c r="D28" s="91" ph="1">
        <f>D27*268.68*LOOKUP(D29,密度!$A$2:$A$50,密度!$Q$2:$Q$50)+IF(D27&lt;=0,0,1566*LOOKUP(D29,密度!$A$2:$A$50,密度!$Q$2:$Q$50))</f>
        <v>21534.590075256001</v>
      </c>
      <c r="E28" s="91" ph="1">
        <f>E27*268.68*LOOKUP(E29,密度!$A$2:$A$50,密度!$C$2:$C$50)+IF(E27&lt;=0,0,1566*LOOKUP(E29,密度!$A$2:$A$50,密度!$C$2:$C$50))</f>
        <v>15459.61934712</v>
      </c>
      <c r="F28" s="91" ph="1">
        <f>F27*11.702*LOOKUP(F29,密度!$A$2:$A$50,密度!$Q$2:$Q$50)</f>
        <v>17216.37979992</v>
      </c>
      <c r="G28" s="91" ph="1">
        <f>G27*18.322*LOOKUP(G29,密度!$A$2:$A$50,密度!$B$2:$B$50)</f>
        <v>21021.471869999998</v>
      </c>
      <c r="H28" s="91" ph="1">
        <f>H27*18.322*LOOKUP(H29,密度!$A$2:$A$50,密度!$B$2:$B$50)</f>
        <v>30695.953248799993</v>
      </c>
      <c r="I28" s="91" ph="1">
        <f>I27*18.322*LOOKUP(I29,密度!$A$2:$A$50,密度!$Q$2:$Q$50)</f>
        <v>50294.604557999999</v>
      </c>
      <c r="J28" s="91" ph="1">
        <f>J27*18.322*LOOKUP(J29,密度!$A$2:$A$50,密度!$Q$2:$Q$50)</f>
        <v>83938.117984919998</v>
      </c>
      <c r="K28" s="91" ph="1">
        <f>K27*18.322*LOOKUP(K29,密度!$A$2:$A$50,密度!$Q$2:$Q$50)</f>
        <v>66607.776813599994</v>
      </c>
      <c r="L28" s="91" ph="1">
        <f>L27*18.322*LOOKUP(L29,密度!$A$2:$A$50,密度!$Q$2:$Q$50)</f>
        <v>97022.498905259999</v>
      </c>
      <c r="M28" s="91" ph="1">
        <f>M27*18.322*LOOKUP(M29,密度!$A$2:$A$50,密度!$Q$2:$Q$50)</f>
        <v>88655.198051380008</v>
      </c>
      <c r="N28" s="91" ph="1">
        <f>N27*18.322*LOOKUP(N29,密度!$A$2:$A$50,密度!$Q$2:$Q$50)</f>
        <v>95692.916070940002</v>
      </c>
      <c r="O28" s="91" ph="1">
        <f>O27*18.322*LOOKUP(O29,密度!$A$2:$A$50,密度!$C$2:$C$50)</f>
        <v>113513.8337392</v>
      </c>
      <c r="P28" s="91" ph="1">
        <f>P27*11.702*LOOKUP(P29,密度!$A$2:$A$50,密度!$B$2:$B$50)</f>
        <v>22267.256017999996</v>
      </c>
      <c r="Q28" s="92" ph="1">
        <f>Q27*18.322*LOOKUP(Q29,密度!$A$2:$A$50,密度!$B$2:$B$50)</f>
        <v>5742.1001423999996</v>
      </c>
      <c r="R28" s="91" ph="1">
        <f>R27*35.891*LOOKUP(R29,密度!$A$2:$A$50,密度!$C$2:$C$50)</f>
        <v>8602.125177599999</v>
      </c>
      <c r="S28" s="91" ph="1">
        <f>S27*35.891*LOOKUP(S29,密度!$A$2:$A$50,密度!$B$2:$B$50)</f>
        <v>99950.118183999992</v>
      </c>
      <c r="T28" s="91" ph="1">
        <f>T27*35.891*LOOKUP(T29,密度!$A$2:$A$50,密度!$Q$2:$Q$50)</f>
        <v>9412.3063591800001</v>
      </c>
      <c r="U28" s="91" ph="1">
        <f>U27*35.891</f>
        <v>172276.8</v>
      </c>
      <c r="V28" s="91" ph="1">
        <f>V27*47.051*LOOKUP(V29,密度!$A$2:$A$50,密度!$B$2:$B$50)</f>
        <v>432180.23220700002</v>
      </c>
      <c r="W28" s="91" ph="1">
        <f>W27*47.051*LOOKUP(W29,密度!$A$2:$A$50,密度!$B$2:$B$50)</f>
        <v>294300.57027700002</v>
      </c>
      <c r="X28" s="91" ph="1">
        <f>X27*47.051*LOOKUP(X29,密度!$A$2:$A$50,密度!$I$2:$I$50)</f>
        <v>161738.06657540001</v>
      </c>
      <c r="Y28" s="91" ph="1">
        <f>Y27*47.051*LOOKUP(Y29,密度!$A$2:$A$50,密度!$L$2:$L$50)</f>
        <v>258172.22467200004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7" ph="1"/>
      <c r="C29" s="144" t="s" ph="1">
        <v>179</v>
      </c>
      <c r="D29" s="74">
        <v>25</v>
      </c>
      <c r="E29" s="74">
        <v>25</v>
      </c>
      <c r="F29" s="74">
        <v>25</v>
      </c>
      <c r="G29" s="74">
        <v>24</v>
      </c>
      <c r="H29" s="74">
        <v>25</v>
      </c>
      <c r="I29" s="74">
        <v>23</v>
      </c>
      <c r="J29" s="74">
        <v>25</v>
      </c>
      <c r="K29" s="74">
        <v>23</v>
      </c>
      <c r="L29" s="74">
        <v>24</v>
      </c>
      <c r="M29" s="74">
        <v>24</v>
      </c>
      <c r="N29" s="74">
        <v>22</v>
      </c>
      <c r="O29" s="74">
        <v>22</v>
      </c>
      <c r="P29" s="74">
        <v>24</v>
      </c>
      <c r="Q29" s="93">
        <v>25</v>
      </c>
      <c r="R29" s="74">
        <v>24</v>
      </c>
      <c r="S29" s="74">
        <v>24</v>
      </c>
      <c r="T29" s="74">
        <v>25</v>
      </c>
      <c r="U29" s="74">
        <v>24</v>
      </c>
      <c r="V29" s="74">
        <v>23</v>
      </c>
      <c r="W29" s="74">
        <v>24</v>
      </c>
      <c r="X29" s="74">
        <v>25</v>
      </c>
      <c r="Y29" s="74">
        <v>25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44" t="s" ph="1">
        <v>5</v>
      </c>
      <c r="F32" s="145" t="s" ph="1">
        <v>43</v>
      </c>
      <c r="G32" s="97" t="s" ph="1">
        <v>4</v>
      </c>
      <c r="H32" s="144" t="s" ph="1">
        <v>5</v>
      </c>
      <c r="I32" s="145" t="s" ph="1">
        <v>43</v>
      </c>
      <c r="J32" s="97" t="s" ph="1">
        <v>4</v>
      </c>
      <c r="K32" s="144" t="s" ph="1">
        <v>5</v>
      </c>
      <c r="L32" s="145" t="s" ph="1">
        <v>43</v>
      </c>
      <c r="M32" s="97" t="s" ph="1">
        <v>4</v>
      </c>
      <c r="N32" s="144" t="s" ph="1">
        <v>5</v>
      </c>
      <c r="O32" s="14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4" t="s" ph="1">
        <v>5</v>
      </c>
      <c r="U32" s="99" t="s" ph="1">
        <v>43</v>
      </c>
      <c r="V32" s="97" t="s" ph="1">
        <v>4</v>
      </c>
      <c r="W32" s="144" t="s" ph="1">
        <v>5</v>
      </c>
      <c r="X32" s="99" t="s" ph="1">
        <v>43</v>
      </c>
      <c r="Y32" s="100" t="s" ph="1">
        <v>4</v>
      </c>
      <c r="Z32" s="144" t="s" ph="1">
        <v>5</v>
      </c>
      <c r="AA32" s="145" t="s" ph="1">
        <v>43</v>
      </c>
      <c r="AB32" s="97" t="s" ph="1">
        <v>85</v>
      </c>
      <c r="AC32" s="144" t="s" ph="1">
        <v>84</v>
      </c>
      <c r="AD32" s="204" t="s" ph="1">
        <v>83</v>
      </c>
      <c r="AE32" s="20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6" t="s" ph="1">
        <v>181</v>
      </c>
      <c r="C33" s="207" ph="1"/>
      <c r="D33" s="186" ph="1">
        <f>AA10+AB10+Z19</f>
        <v>144970.56980960001</v>
      </c>
      <c r="E33" s="186" ph="1">
        <f>M10+I10</f>
        <v>68639.92652980001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1522252632456786910111213141516171819202123456789101112131415161718192022232424356789101112131415161718192021222345678910111213141516171819202345678910111213149101516171819222123234567891012131415161711181920212224252345678910111213132[[#This Row],[F25]]</f>
        <v>3880</v>
      </c>
      <c r="G33" s="212" ph="1">
        <v>0</v>
      </c>
      <c r="H33" s="186" ph="1">
        <f>N19</f>
        <v>10065.84487434</v>
      </c>
      <c r="I33" s="190" ph="1">
        <v>0</v>
      </c>
      <c r="J33" s="194" ph="1">
        <f>F10+O28</f>
        <v>351333.28881039994</v>
      </c>
      <c r="K33" s="186" ph="1">
        <f>O10+K10+E28+R28</f>
        <v>29170.57819792</v>
      </c>
      <c r="L33" s="196" ph="1">
        <f>BE27</f>
        <v>7100</v>
      </c>
      <c r="M33" s="194" ph="1">
        <f>G10+H10+W28+S28+V28+E10</f>
        <v>1355925.2559490001</v>
      </c>
      <c r="N33" s="186" ph="1">
        <f>L10+P10++G28+H28</f>
        <v>140920.03830679998</v>
      </c>
      <c r="O33" s="190" ph="1">
        <f>BE17</f>
        <v>2270</v>
      </c>
      <c r="P33" s="194" ph="1">
        <f>L19</f>
        <v>28183.158544860005</v>
      </c>
      <c r="Q33" s="186" ph="1">
        <f>J10+N10</f>
        <v>66633.383346699993</v>
      </c>
      <c r="R33" s="190" ph="1">
        <f>BE23</f>
        <v>890</v>
      </c>
      <c r="S33" s="194" ph="1">
        <f>E10+X28</f>
        <v>359641.52562740003</v>
      </c>
      <c r="T33" s="186" ph="1">
        <f>X19</f>
        <v>13808.787939999998</v>
      </c>
      <c r="U33" s="175" ph="1">
        <f>BE21</f>
        <v>730</v>
      </c>
      <c r="V33" s="188" ph="1">
        <f ca="1">P19+Q19+S19+M28+N28+J28</f>
        <v>394914.69091954402</v>
      </c>
      <c r="W33" s="188" ph="1">
        <f>D28+F28+V19+T28</f>
        <v>95690.168247459995</v>
      </c>
      <c r="X33" s="190" ph="1">
        <f>BE29+BE31</f>
        <v>10200</v>
      </c>
      <c r="Y33" s="192" ph="1">
        <f>+Q10+R10+S10+T10+U10+V10+W10+X10+Y10</f>
        <v>259807.30484939998</v>
      </c>
      <c r="Z33" s="173" ph="1">
        <f>D10+T19+U19+Y28+Z10</f>
        <v>555879.98590911995</v>
      </c>
      <c r="AA33" s="175" ph="1">
        <f>BE19</f>
        <v>1440</v>
      </c>
      <c r="AB33" s="177" ph="1">
        <f>I19</f>
        <v>15035.087667200001</v>
      </c>
      <c r="AC33" s="179" ph="1">
        <f>AD10</f>
        <v>99472.021487999998</v>
      </c>
      <c r="AD33" s="181" ph="1">
        <v>0</v>
      </c>
      <c r="AE33" s="18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5" t="s" ph="1">
        <v>633</v>
      </c>
      <c r="AD35" s="185"/>
      <c r="AE35" s="18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1" t="s" ph="1">
        <v>183</v>
      </c>
      <c r="J36" s="171" ph="1"/>
      <c r="K36" s="101" ph="1"/>
      <c r="P36" s="101" ph="1"/>
      <c r="R36" s="171" t="s" ph="1">
        <v>184</v>
      </c>
      <c r="S36" s="171" ph="1"/>
      <c r="Y36" s="102" ph="1"/>
      <c r="Z36" s="146" t="s" ph="1">
        <v>185</v>
      </c>
      <c r="AA36" s="146" ph="1"/>
      <c r="AB36" s="172" t="s" ph="1">
        <v>641</v>
      </c>
      <c r="AC36" s="172" ph="1"/>
      <c r="AD36" s="172" ph="1"/>
      <c r="AE36" s="172" ph="1"/>
      <c r="BA36" s="64" ph="1">
        <v>2270</v>
      </c>
    </row>
    <row r="37" spans="1:57" s="146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6" t="s" ph="1">
        <v>342</v>
      </c>
      <c r="AI37" s="146" t="s" ph="1">
        <v>209</v>
      </c>
      <c r="AJ37" s="146" t="s" ph="1">
        <v>210</v>
      </c>
      <c r="AK37" s="146" t="s" ph="1">
        <v>211</v>
      </c>
      <c r="AM37" s="146" t="s" ph="1">
        <v>210</v>
      </c>
      <c r="AN37" s="146" t="s" ph="1">
        <v>211</v>
      </c>
      <c r="AO37" s="146" t="s" ph="1">
        <v>212</v>
      </c>
      <c r="AP37" s="146" t="s" ph="1">
        <v>210</v>
      </c>
      <c r="AQ37" s="146" t="s" ph="1">
        <v>211</v>
      </c>
      <c r="AR37" s="146" t="s" ph="1">
        <v>212</v>
      </c>
      <c r="AS37" s="146" t="s" ph="1">
        <v>210</v>
      </c>
      <c r="AT37" s="146" t="s" ph="1">
        <v>211</v>
      </c>
      <c r="AU37" s="146" t="s" ph="1">
        <v>212</v>
      </c>
      <c r="AV37" s="146" t="s" ph="1">
        <v>210</v>
      </c>
      <c r="AW37" s="146" t="s" ph="1">
        <v>211</v>
      </c>
      <c r="AX37" s="146" t="s" ph="1">
        <v>212</v>
      </c>
      <c r="AY37" s="146" t="s" ph="1">
        <v>211</v>
      </c>
      <c r="AZ37" s="146" t="s" ph="1">
        <v>213</v>
      </c>
      <c r="BD37" s="146" t="s" ph="1">
        <v>305</v>
      </c>
      <c r="BE37" s="146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559" priority="98">
      <formula>ABS(D$7-D$10)&gt;=1000</formula>
    </cfRule>
  </conditionalFormatting>
  <conditionalFormatting sqref="E4 E6:E11">
    <cfRule type="expression" dxfId="2558" priority="97">
      <formula>ABS(E$7-E$10)&gt;=1000</formula>
    </cfRule>
  </conditionalFormatting>
  <conditionalFormatting sqref="F4:F11">
    <cfRule type="expression" dxfId="2557" priority="96">
      <formula>ABS(F$7-F$10)&gt;=1000</formula>
    </cfRule>
  </conditionalFormatting>
  <conditionalFormatting sqref="G4:G11">
    <cfRule type="expression" dxfId="2556" priority="95">
      <formula>ABS(G$7-G$10)&gt;=1000</formula>
    </cfRule>
  </conditionalFormatting>
  <conditionalFormatting sqref="H4:H11">
    <cfRule type="expression" dxfId="2555" priority="94">
      <formula>ABS(H$7-H$10)&gt;=1000</formula>
    </cfRule>
  </conditionalFormatting>
  <conditionalFormatting sqref="I4:I11">
    <cfRule type="expression" dxfId="2554" priority="93">
      <formula>ABS(I$7-I$10)&gt;=1000</formula>
    </cfRule>
  </conditionalFormatting>
  <conditionalFormatting sqref="J4:J11">
    <cfRule type="expression" dxfId="2553" priority="92">
      <formula>ABS(J$7-J$10)&gt;=1000</formula>
    </cfRule>
  </conditionalFormatting>
  <conditionalFormatting sqref="K4:K11">
    <cfRule type="expression" dxfId="2552" priority="91">
      <formula>ABS(K$7-K$10)&gt;=1000</formula>
    </cfRule>
  </conditionalFormatting>
  <conditionalFormatting sqref="L4:L11">
    <cfRule type="expression" dxfId="2551" priority="90">
      <formula>ABS(L$7-L$10)&gt;=1000</formula>
    </cfRule>
  </conditionalFormatting>
  <conditionalFormatting sqref="M4 M6:M11">
    <cfRule type="expression" dxfId="2550" priority="89">
      <formula>ABS(M$7-M$10)&gt;=1000</formula>
    </cfRule>
  </conditionalFormatting>
  <conditionalFormatting sqref="N4 N6:N11">
    <cfRule type="expression" dxfId="2549" priority="88">
      <formula>ABS(N$7-N$10)&gt;=1000</formula>
    </cfRule>
  </conditionalFormatting>
  <conditionalFormatting sqref="O4 O6:O11">
    <cfRule type="expression" dxfId="2548" priority="87">
      <formula>ABS(O$7-O$10)&gt;=1000</formula>
    </cfRule>
  </conditionalFormatting>
  <conditionalFormatting sqref="P4 P6:P11">
    <cfRule type="expression" dxfId="2547" priority="86">
      <formula>ABS(P$7-P$10)&gt;=1000</formula>
    </cfRule>
  </conditionalFormatting>
  <conditionalFormatting sqref="Q4:Q11">
    <cfRule type="expression" dxfId="2546" priority="85">
      <formula>ABS(Q$7-Q$10)&gt;=1000</formula>
    </cfRule>
  </conditionalFormatting>
  <conditionalFormatting sqref="R4:R11">
    <cfRule type="expression" dxfId="2545" priority="84">
      <formula>ABS(R$7-R$10)&gt;=1000</formula>
    </cfRule>
  </conditionalFormatting>
  <conditionalFormatting sqref="S4:S11">
    <cfRule type="expression" dxfId="2544" priority="83">
      <formula>ABS(S$7-S$10)&gt;=1000</formula>
    </cfRule>
  </conditionalFormatting>
  <conditionalFormatting sqref="T4:T9 T11">
    <cfRule type="expression" dxfId="2543" priority="82">
      <formula>ABS(T$7-T$10)&gt;=1000</formula>
    </cfRule>
  </conditionalFormatting>
  <conditionalFormatting sqref="U4:U9 U11">
    <cfRule type="expression" dxfId="2542" priority="81">
      <formula>ABS(U$7-U$10)&gt;=1000</formula>
    </cfRule>
  </conditionalFormatting>
  <conditionalFormatting sqref="V4:V9 V11">
    <cfRule type="expression" dxfId="2541" priority="80">
      <formula>ABS(V$7-V$10)&gt;=1000</formula>
    </cfRule>
  </conditionalFormatting>
  <conditionalFormatting sqref="W4:W9 W11">
    <cfRule type="expression" dxfId="2540" priority="79">
      <formula>ABS(W$7-W$10)&gt;=1000</formula>
    </cfRule>
  </conditionalFormatting>
  <conditionalFormatting sqref="X4:X9 X11">
    <cfRule type="expression" dxfId="2539" priority="78">
      <formula>ABS(X$7-X$10)&gt;=1000</formula>
    </cfRule>
  </conditionalFormatting>
  <conditionalFormatting sqref="Y4:Y9 Y11">
    <cfRule type="expression" dxfId="2538" priority="77">
      <formula>ABS(Y$7-Y$10)&gt;=1000</formula>
    </cfRule>
  </conditionalFormatting>
  <conditionalFormatting sqref="Z4:Z11">
    <cfRule type="expression" dxfId="2537" priority="76">
      <formula>ABS(Z$7-Z$10)&gt;=1000</formula>
    </cfRule>
  </conditionalFormatting>
  <conditionalFormatting sqref="AA4:AA11">
    <cfRule type="expression" dxfId="2536" priority="75">
      <formula>ABS(AA$7-AA$10)&gt;=1000</formula>
    </cfRule>
  </conditionalFormatting>
  <conditionalFormatting sqref="AB4:AB11">
    <cfRule type="expression" dxfId="2535" priority="74">
      <formula>ABS(AB$7-AB$10)&gt;=1000</formula>
    </cfRule>
  </conditionalFormatting>
  <conditionalFormatting sqref="AC4 AC6:AC11">
    <cfRule type="expression" dxfId="2534" priority="73">
      <formula>ABS(AC$7-AC$10)&gt;=1000</formula>
    </cfRule>
  </conditionalFormatting>
  <conditionalFormatting sqref="AD4:AD11">
    <cfRule type="expression" dxfId="2533" priority="72">
      <formula>ABS(AD$7-AD$10)&gt;=1000</formula>
    </cfRule>
  </conditionalFormatting>
  <conditionalFormatting sqref="AE4 AE6:AE11">
    <cfRule type="expression" dxfId="2532" priority="71">
      <formula>ABS(AE$7-AE$10)&gt;=1000</formula>
    </cfRule>
  </conditionalFormatting>
  <conditionalFormatting sqref="D13:D20">
    <cfRule type="expression" dxfId="2531" priority="70">
      <formula>ABS(D$16-D$19)&gt;=1000</formula>
    </cfRule>
  </conditionalFormatting>
  <conditionalFormatting sqref="E13:E20">
    <cfRule type="expression" dxfId="2530" priority="69">
      <formula>ABS(E$16-E$19)&gt;=1000</formula>
    </cfRule>
  </conditionalFormatting>
  <conditionalFormatting sqref="F13 F15:F20">
    <cfRule type="expression" dxfId="2529" priority="68">
      <formula>ABS(F$16-F$19)&gt;=1000</formula>
    </cfRule>
  </conditionalFormatting>
  <conditionalFormatting sqref="G13:G20">
    <cfRule type="expression" dxfId="2528" priority="67">
      <formula>ABS(G$16-G$19)&gt;=1000</formula>
    </cfRule>
  </conditionalFormatting>
  <conditionalFormatting sqref="H13:H20">
    <cfRule type="expression" dxfId="2527" priority="66">
      <formula>ABS(H$16-H$19)&gt;=1000</formula>
    </cfRule>
  </conditionalFormatting>
  <conditionalFormatting sqref="I13:I20">
    <cfRule type="expression" dxfId="2526" priority="65">
      <formula>ABS(I$16-I$19)&gt;=1000</formula>
    </cfRule>
  </conditionalFormatting>
  <conditionalFormatting sqref="J13:J20">
    <cfRule type="expression" dxfId="2525" priority="64">
      <formula>ABS(J$16-J$19)&gt;=1000</formula>
    </cfRule>
  </conditionalFormatting>
  <conditionalFormatting sqref="L13:L20">
    <cfRule type="expression" dxfId="2524" priority="63">
      <formula>ABS(L$16-L$19)&gt;=1000</formula>
    </cfRule>
  </conditionalFormatting>
  <conditionalFormatting sqref="M13 M15 M17:M18 M20">
    <cfRule type="expression" dxfId="2523" priority="62">
      <formula>ABS(M$16-M$19)&gt;=1000</formula>
    </cfRule>
  </conditionalFormatting>
  <conditionalFormatting sqref="N13:N20">
    <cfRule type="expression" dxfId="2522" priority="61">
      <formula>ABS(N$16-N$19)&gt;=1000</formula>
    </cfRule>
  </conditionalFormatting>
  <conditionalFormatting sqref="O13:O20">
    <cfRule type="expression" dxfId="2521" priority="60">
      <formula>ABS(O$16-O$19)&gt;=1000</formula>
    </cfRule>
  </conditionalFormatting>
  <conditionalFormatting sqref="P13:P20">
    <cfRule type="expression" dxfId="2520" priority="59">
      <formula>ABS(P$16-P$19)&gt;=1000</formula>
    </cfRule>
  </conditionalFormatting>
  <conditionalFormatting sqref="Q13 Q15:Q20">
    <cfRule type="expression" dxfId="2519" priority="58">
      <formula>ABS(Q$16-Q$19)&gt;=1000</formula>
    </cfRule>
  </conditionalFormatting>
  <conditionalFormatting sqref="R13:R20">
    <cfRule type="expression" dxfId="2518" priority="57">
      <formula>ABS(R$16-R$19)&gt;=1000</formula>
    </cfRule>
  </conditionalFormatting>
  <conditionalFormatting sqref="S13:S20">
    <cfRule type="expression" dxfId="2517" priority="56">
      <formula>ABS(S$16-S$19)&gt;=1000</formula>
    </cfRule>
  </conditionalFormatting>
  <conditionalFormatting sqref="T13:T20">
    <cfRule type="expression" dxfId="2516" priority="55">
      <formula>ABS(T$16-T$19)&gt;=1000</formula>
    </cfRule>
  </conditionalFormatting>
  <conditionalFormatting sqref="U13:U20">
    <cfRule type="expression" dxfId="2515" priority="54">
      <formula>ABS(U$16-U$19)&gt;=1000</formula>
    </cfRule>
  </conditionalFormatting>
  <conditionalFormatting sqref="V13:V20">
    <cfRule type="expression" dxfId="2514" priority="53">
      <formula>ABS(V$16-V$19)&gt;=1000</formula>
    </cfRule>
  </conditionalFormatting>
  <conditionalFormatting sqref="W13 W20 W15:W18">
    <cfRule type="expression" dxfId="2513" priority="52">
      <formula>ABS(W$16-W$19)&gt;=1000</formula>
    </cfRule>
  </conditionalFormatting>
  <conditionalFormatting sqref="X13 X15:X20 Y19">
    <cfRule type="expression" dxfId="2512" priority="51">
      <formula>ABS(X$16-X$19)&gt;=1000</formula>
    </cfRule>
  </conditionalFormatting>
  <conditionalFormatting sqref="Y13 Y15:Y18 Y20">
    <cfRule type="expression" dxfId="2511" priority="50">
      <formula>ABS(Y$16-Y$19)&gt;=1000</formula>
    </cfRule>
  </conditionalFormatting>
  <conditionalFormatting sqref="Z13:Z20">
    <cfRule type="expression" dxfId="2510" priority="49">
      <formula>ABS(Z$16-Z$19)&gt;=1000</formula>
    </cfRule>
  </conditionalFormatting>
  <conditionalFormatting sqref="AA13:AA20">
    <cfRule type="expression" dxfId="2509" priority="48">
      <formula>ABS(AA$16-AA$19)&gt;=1000</formula>
    </cfRule>
  </conditionalFormatting>
  <conditionalFormatting sqref="AB13 AB15:AB20">
    <cfRule type="expression" dxfId="2508" priority="47">
      <formula>ABS(AB$16-AB$19)&gt;=1000</formula>
    </cfRule>
  </conditionalFormatting>
  <conditionalFormatting sqref="AC13 AC15:AC20">
    <cfRule type="expression" dxfId="2507" priority="46">
      <formula>ABS(AC$16-AC$19)&gt;=1000</formula>
    </cfRule>
  </conditionalFormatting>
  <conditionalFormatting sqref="AD13:AD20">
    <cfRule type="expression" dxfId="2506" priority="45">
      <formula>ABS(AD$16-AD$19)&gt;=1000</formula>
    </cfRule>
  </conditionalFormatting>
  <conditionalFormatting sqref="AE13:AE20">
    <cfRule type="expression" dxfId="2505" priority="44">
      <formula>ABS(AE$16-AE$19)&gt;=1000</formula>
    </cfRule>
  </conditionalFormatting>
  <conditionalFormatting sqref="D22:D29">
    <cfRule type="expression" dxfId="2504" priority="43">
      <formula>ABS(D$25-D$28)&gt;=1000</formula>
    </cfRule>
  </conditionalFormatting>
  <conditionalFormatting sqref="E22:E29">
    <cfRule type="expression" dxfId="2503" priority="42">
      <formula>ABS(E$25-E$28)&gt;=1000</formula>
    </cfRule>
  </conditionalFormatting>
  <conditionalFormatting sqref="F22:F29">
    <cfRule type="expression" dxfId="2502" priority="41">
      <formula>ABS(F$25-F$28)&gt;=1000</formula>
    </cfRule>
  </conditionalFormatting>
  <conditionalFormatting sqref="G22:G29">
    <cfRule type="expression" dxfId="2501" priority="40">
      <formula>ABS(G$25-G$28)&gt;=1000</formula>
    </cfRule>
  </conditionalFormatting>
  <conditionalFormatting sqref="H22:H29">
    <cfRule type="expression" dxfId="2500" priority="39">
      <formula>ABS(H$25-H$28)&gt;=1000</formula>
    </cfRule>
  </conditionalFormatting>
  <conditionalFormatting sqref="I22 I24:I29">
    <cfRule type="expression" dxfId="2499" priority="38">
      <formula>ABS(I$25-I$28)&gt;=1000</formula>
    </cfRule>
  </conditionalFormatting>
  <conditionalFormatting sqref="J22:J29 K22">
    <cfRule type="expression" dxfId="2498" priority="37">
      <formula>ABS(J$25-J$28)&gt;=1000</formula>
    </cfRule>
  </conditionalFormatting>
  <conditionalFormatting sqref="K23:K29 L25 L28">
    <cfRule type="expression" dxfId="2497" priority="36">
      <formula>ABS(K$25-K$28)&gt;=1000</formula>
    </cfRule>
  </conditionalFormatting>
  <conditionalFormatting sqref="L22 L26:L27 L29 L24">
    <cfRule type="expression" dxfId="2496" priority="35">
      <formula>ABS(L$25-L$28)&gt;=1000</formula>
    </cfRule>
  </conditionalFormatting>
  <conditionalFormatting sqref="M22:M29">
    <cfRule type="expression" dxfId="2495" priority="34">
      <formula>ABS(M$25-M$28)&gt;=1000</formula>
    </cfRule>
  </conditionalFormatting>
  <conditionalFormatting sqref="N22:N29">
    <cfRule type="expression" dxfId="2494" priority="33">
      <formula>ABS(N$25-N$28)&gt;=1000</formula>
    </cfRule>
  </conditionalFormatting>
  <conditionalFormatting sqref="O22:O29">
    <cfRule type="expression" dxfId="2493" priority="32">
      <formula>ABS(O$25-O$28)&gt;=1000</formula>
    </cfRule>
  </conditionalFormatting>
  <conditionalFormatting sqref="P22:P29">
    <cfRule type="expression" dxfId="2492" priority="31">
      <formula>ABS(P$25-P$28)&gt;=1000</formula>
    </cfRule>
  </conditionalFormatting>
  <conditionalFormatting sqref="Q22:Q29">
    <cfRule type="expression" dxfId="2491" priority="30">
      <formula>ABS(Q$25-Q$28)&gt;=1000</formula>
    </cfRule>
  </conditionalFormatting>
  <conditionalFormatting sqref="R22:R29">
    <cfRule type="expression" dxfId="2490" priority="29">
      <formula>ABS(R$25-R$28)&gt;=1000</formula>
    </cfRule>
  </conditionalFormatting>
  <conditionalFormatting sqref="S22:S29">
    <cfRule type="expression" dxfId="2489" priority="28">
      <formula>ABS(S$25-S$28)&gt;=1000</formula>
    </cfRule>
  </conditionalFormatting>
  <conditionalFormatting sqref="T22:T29">
    <cfRule type="expression" dxfId="2488" priority="27">
      <formula>ABS(T$25-T$28)&gt;=1000</formula>
    </cfRule>
  </conditionalFormatting>
  <conditionalFormatting sqref="U22:U29">
    <cfRule type="expression" dxfId="2487" priority="26">
      <formula>ABS(U$25-U$28)&gt;=1000</formula>
    </cfRule>
  </conditionalFormatting>
  <conditionalFormatting sqref="V22:V29">
    <cfRule type="expression" dxfId="2486" priority="25">
      <formula>ABS(V$25-V$28)&gt;=1000</formula>
    </cfRule>
  </conditionalFormatting>
  <conditionalFormatting sqref="W22:W29">
    <cfRule type="expression" dxfId="2485" priority="24">
      <formula>ABS(W$25-W$28)&gt;=1000</formula>
    </cfRule>
  </conditionalFormatting>
  <conditionalFormatting sqref="X22:X29">
    <cfRule type="expression" dxfId="2484" priority="23">
      <formula>ABS(X$25-X$28)&gt;=1000</formula>
    </cfRule>
  </conditionalFormatting>
  <conditionalFormatting sqref="Y22:Y29">
    <cfRule type="expression" dxfId="2483" priority="22">
      <formula>ABS(Y$25-Y$28)&gt;=1000</formula>
    </cfRule>
  </conditionalFormatting>
  <conditionalFormatting sqref="I23">
    <cfRule type="expression" dxfId="2482" priority="21">
      <formula>ABS(I$25-I$28)&gt;=1000</formula>
    </cfRule>
  </conditionalFormatting>
  <conditionalFormatting sqref="Q14">
    <cfRule type="expression" dxfId="2481" priority="20">
      <formula>ABS(Q$16-Q$19)&gt;=1000</formula>
    </cfRule>
  </conditionalFormatting>
  <conditionalFormatting sqref="W14">
    <cfRule type="expression" dxfId="2480" priority="19">
      <formula>ABS(W$16-W$19)&gt;=1000</formula>
    </cfRule>
  </conditionalFormatting>
  <conditionalFormatting sqref="Y14">
    <cfRule type="expression" dxfId="2479" priority="18">
      <formula>ABS(Y$16-Y$19)&gt;=1000</formula>
    </cfRule>
  </conditionalFormatting>
  <conditionalFormatting sqref="X14">
    <cfRule type="expression" dxfId="2478" priority="17">
      <formula>ABS(X$16-X$19)&gt;=1000</formula>
    </cfRule>
  </conditionalFormatting>
  <conditionalFormatting sqref="T10:Y10">
    <cfRule type="expression" dxfId="2477" priority="16">
      <formula>ABS(T$7-T$10)&gt;=1000</formula>
    </cfRule>
  </conditionalFormatting>
  <conditionalFormatting sqref="W19">
    <cfRule type="expression" dxfId="2476" priority="15">
      <formula>ABS(W$16-W$19)&gt;=1000</formula>
    </cfRule>
  </conditionalFormatting>
  <conditionalFormatting sqref="AC5">
    <cfRule type="expression" dxfId="2475" priority="14">
      <formula>ABS(AC$7-AC$10)&gt;=1000</formula>
    </cfRule>
  </conditionalFormatting>
  <conditionalFormatting sqref="M14">
    <cfRule type="expression" dxfId="2474" priority="13">
      <formula>ABS(M$16-M$19)&gt;=1000</formula>
    </cfRule>
  </conditionalFormatting>
  <conditionalFormatting sqref="M16">
    <cfRule type="expression" dxfId="2473" priority="12">
      <formula>ABS(M$16-M$19)&gt;=1000</formula>
    </cfRule>
  </conditionalFormatting>
  <conditionalFormatting sqref="M19">
    <cfRule type="expression" dxfId="2472" priority="11">
      <formula>ABS(M$16-M$19)&gt;=1000</formula>
    </cfRule>
  </conditionalFormatting>
  <conditionalFormatting sqref="K13:K20">
    <cfRule type="expression" dxfId="2471" priority="10">
      <formula>ABS(K$16-K$19)&gt;=1000</formula>
    </cfRule>
  </conditionalFormatting>
  <conditionalFormatting sqref="E5">
    <cfRule type="expression" dxfId="2470" priority="9">
      <formula>ABS(E$7-E$10)&gt;=1000</formula>
    </cfRule>
  </conditionalFormatting>
  <conditionalFormatting sqref="AB14:AC14">
    <cfRule type="expression" dxfId="2469" priority="8">
      <formula>ABS(AB$16-AB$19)&gt;=1000</formula>
    </cfRule>
  </conditionalFormatting>
  <conditionalFormatting sqref="M5">
    <cfRule type="expression" dxfId="2468" priority="7">
      <formula>ABS(M$7-M$10)&gt;=1000</formula>
    </cfRule>
  </conditionalFormatting>
  <conditionalFormatting sqref="N5">
    <cfRule type="expression" dxfId="2467" priority="6">
      <formula>ABS(N$7-N$10)&gt;=1000</formula>
    </cfRule>
  </conditionalFormatting>
  <conditionalFormatting sqref="O5">
    <cfRule type="expression" dxfId="2466" priority="5">
      <formula>ABS(O$7-O$10)&gt;=1000</formula>
    </cfRule>
  </conditionalFormatting>
  <conditionalFormatting sqref="P5">
    <cfRule type="expression" dxfId="2465" priority="4">
      <formula>ABS(P$7-P$10)&gt;=1000</formula>
    </cfRule>
  </conditionalFormatting>
  <conditionalFormatting sqref="L23">
    <cfRule type="expression" dxfId="2464" priority="3">
      <formula>ABS(L$25-L$28)&gt;=1000</formula>
    </cfRule>
  </conditionalFormatting>
  <conditionalFormatting sqref="F14">
    <cfRule type="expression" dxfId="2463" priority="2">
      <formula>ABS(F$16-F$19)&gt;=1000</formula>
    </cfRule>
  </conditionalFormatting>
  <conditionalFormatting sqref="AE5">
    <cfRule type="expression" dxfId="2462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137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56">
    <pageSetUpPr fitToPage="1"/>
  </sheetPr>
  <dimension ref="A1:CU223"/>
  <sheetViews>
    <sheetView tabSelected="1" view="pageBreakPreview" topLeftCell="A17" zoomScale="80" zoomScaleNormal="100" zoomScaleSheetLayoutView="80" workbookViewId="0">
      <selection activeCell="AF24" sqref="AF2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8" t="s" ph="1">
        <v>161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" customHeight="1" ph="1">
      <c r="B3" s="240" ph="1">
        <v>45964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9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44" t="s" ph="1">
        <v>177</v>
      </c>
      <c r="D6" s="71">
        <v>6784</v>
      </c>
      <c r="E6" s="71">
        <v>4930</v>
      </c>
      <c r="F6" s="71">
        <v>6457</v>
      </c>
      <c r="G6" s="71">
        <v>4299</v>
      </c>
      <c r="H6" s="71">
        <v>5226</v>
      </c>
      <c r="I6" s="71">
        <v>47.89</v>
      </c>
      <c r="J6" s="71">
        <v>7.02</v>
      </c>
      <c r="K6" s="71">
        <v>8.4700000000000006</v>
      </c>
      <c r="L6" s="71">
        <v>27.37</v>
      </c>
      <c r="M6" s="71">
        <v>3796</v>
      </c>
      <c r="N6" s="71">
        <v>2503</v>
      </c>
      <c r="O6" s="71">
        <v>104</v>
      </c>
      <c r="P6" s="71">
        <v>1259</v>
      </c>
      <c r="Q6" s="71">
        <v>0</v>
      </c>
      <c r="R6" s="71">
        <v>3513</v>
      </c>
      <c r="S6" s="71">
        <v>5538</v>
      </c>
      <c r="T6" s="71">
        <v>7258</v>
      </c>
      <c r="U6" s="71">
        <v>5895</v>
      </c>
      <c r="V6" s="71">
        <v>6339</v>
      </c>
      <c r="W6" s="71">
        <v>4501</v>
      </c>
      <c r="X6" s="71">
        <v>2194</v>
      </c>
      <c r="Y6" s="71">
        <v>0</v>
      </c>
      <c r="Z6" s="71">
        <v>977</v>
      </c>
      <c r="AA6" s="71">
        <v>869</v>
      </c>
      <c r="AB6" s="71">
        <v>4043</v>
      </c>
      <c r="AC6" s="71">
        <v>1072</v>
      </c>
      <c r="AD6" s="71">
        <v>4780</v>
      </c>
      <c r="AE6" s="71">
        <v>5818</v>
      </c>
    </row>
    <row r="7" spans="1:99" s="72" customFormat="1" ht="22.2" ph="1">
      <c r="B7" s="237" ph="1"/>
      <c r="C7" s="68" t="s" ph="1">
        <v>178</v>
      </c>
      <c r="D7" s="73" ph="1">
        <f>D6*33.183*LOOKUP(D8,密度!$A$2:$A$50,密度!$Q$2:$Q$50)</f>
        <v>213652.94514048001</v>
      </c>
      <c r="E7" s="73" ph="1">
        <f>E6*51.53*LOOKUP(E8,密度!$A$2:$A$50,密度!$B$2:$B$50)</f>
        <v>198737.76066999999</v>
      </c>
      <c r="F7" s="73" ph="1">
        <f>F6*33.183*LOOKUP(F8,密度!$A$2:$A$50,密度!$C$2:$C$50)</f>
        <v>238067.20930409999</v>
      </c>
      <c r="G7" s="73" ph="1">
        <f xml:space="preserve"> (G6+2)*51.53*LOOKUP(G8,密度!$A$2:$A$50,密度!$B$2:$B$50)</f>
        <v>173957.80299700002</v>
      </c>
      <c r="H7" s="73" ph="1">
        <f>(H6)*51.53*LOOKUP(H8,密度!$A$2:$A$50,密度!$B$2:$B$50)</f>
        <v>211370.25772200004</v>
      </c>
      <c r="I7" s="73" ph="1">
        <f>I6*290.8*1.0267</f>
        <v>14298.247200399999</v>
      </c>
      <c r="J7" s="73" ph="1">
        <f>J6*290.8*0.7892</f>
        <v>1611.0855071999999</v>
      </c>
      <c r="K7" s="73" ph="1">
        <f>K6*290.8*1.1126</f>
        <v>2740.4183576000005</v>
      </c>
      <c r="L7" s="73" ph="1">
        <f>L6*290.8*0.777</f>
        <v>6184.2952920000007</v>
      </c>
      <c r="M7" s="73" ph="1">
        <f>M6*33.183*LOOKUP(M8,密度!$A$2:$A$50,密度!$D$2:$D$50)</f>
        <v>129565.2003048</v>
      </c>
      <c r="N7" s="73" ph="1">
        <f>N6*33.183*LOOKUP(N8,密度!$A$2:$A$50,密度!$E$2:$E$50)</f>
        <v>65050.280776799998</v>
      </c>
      <c r="O7" s="73" ph="1">
        <f>O6*20.428*LOOKUP(O8,密度!$A$2:$A$50,密度!$C$2:$C$50)</f>
        <v>2355.8713568000003</v>
      </c>
      <c r="P7" s="73" ph="1">
        <f>P6*51.53*LOOKUP(P8,密度!$A$2:$A$50,密度!$B$2:$B$50)</f>
        <v>50811.094664000004</v>
      </c>
      <c r="Q7" s="73" ph="1">
        <f>Q6*1.5*1.5*3.1416*LOOKUP(W8,密度!$A$2:$A$50,密度!$L$2:$L$50)</f>
        <v>0</v>
      </c>
      <c r="R7" s="73" ph="1">
        <f>R6*1.5*1.5*3.1416*LOOKUP(R8,密度!$A$2:$A$50,密度!$L$2:$L$50)</f>
        <v>23193.080341200002</v>
      </c>
      <c r="S7" s="73" ph="1">
        <f>S6*1.5*1.5*3.1416*LOOKUP(S8,密度!$A$2:$A$50,密度!$L$2:$L$50)</f>
        <v>36914.590112399994</v>
      </c>
      <c r="T7" s="73" ph="1">
        <f>T6*1.5*1.5*3.1416*LOOKUP(T8,密度!$A$2:$A$50,密度!$L$2:$L$50)</f>
        <v>48379.5765684</v>
      </c>
      <c r="U7" s="73" ph="1">
        <f>U6*1.5*1.5*3.1416*LOOKUP(U8,密度!$A$2:$A$50,密度!$L$2:$L$50)</f>
        <v>39127.563782999998</v>
      </c>
      <c r="V7" s="73" ph="1">
        <f>V6*1.5*1.5*3.1416*LOOKUP(V8,密度!$A$2:$A$50,密度!$L$2:$L$50)</f>
        <v>41984.960509800003</v>
      </c>
      <c r="W7" s="73" ph="1">
        <f>W6*1.5*1.5*3.1416*LOOKUP(W8,密度!$A$2:$A$50,密度!$L$2:$L$50)</f>
        <v>29875.006715399999</v>
      </c>
      <c r="X7" s="73" ph="1">
        <f>X6*1.5*1.5*3.1416*LOOKUP(X8,密度!$A$2:$A$50,密度!$L$2:$L$50)</f>
        <v>14702.065963200001</v>
      </c>
      <c r="Y7" s="73" ph="1">
        <f>Y6*1.5*1.5*3.1416*LOOKUP(Y8,密度!$A$2:$A$50,密度!$L$2:$L$50)</f>
        <v>0</v>
      </c>
      <c r="Z7" s="73" ph="1">
        <f>Z6*33.183*LOOKUP(Z8,密度!$A$2:$A$50,密度!$L$2:$L$50)</f>
        <v>30604.282704000001</v>
      </c>
      <c r="AA7" s="73" ph="1">
        <f>AA6*33.183*LOOKUP(AA8,密度!$A$2:$A$50,密度!$D$2:$D$50)</f>
        <v>29631.9013452</v>
      </c>
      <c r="AB7" s="73" ph="1">
        <f>AB6*20.428*LOOKUP(AB8,密度!$A$2:$A$50,密度!$D$2:$D$50)</f>
        <v>85530.622382400019</v>
      </c>
      <c r="AC7" s="73" ph="1">
        <f>AC6*51.53*LOOKUP(AC8,密度!$A$2:$A$50,密度!$Q$2:$Q$50)</f>
        <v>52461.027550400002</v>
      </c>
      <c r="AD7" s="73" ph="1">
        <f>AD6*20.428*LOOKUP(AD8,密度!$A$2:$A$50,密度!$V$2:$V$50)</f>
        <v>93818.123072000002</v>
      </c>
      <c r="AE7" s="73" ph="1">
        <f>AE6*20.428</f>
        <v>118850.10400000001</v>
      </c>
    </row>
    <row r="8" spans="1:99" ph="1">
      <c r="B8" s="237" ph="1"/>
      <c r="C8" s="68" t="s" ph="1">
        <v>179</v>
      </c>
      <c r="D8" s="74">
        <v>22</v>
      </c>
      <c r="E8" s="74">
        <v>22</v>
      </c>
      <c r="F8" s="74">
        <v>22</v>
      </c>
      <c r="G8" s="74">
        <v>19</v>
      </c>
      <c r="H8" s="74">
        <v>19</v>
      </c>
      <c r="I8" s="74">
        <v>25</v>
      </c>
      <c r="J8" s="74">
        <v>25</v>
      </c>
      <c r="K8" s="74">
        <v>25</v>
      </c>
      <c r="L8" s="74">
        <v>25</v>
      </c>
      <c r="M8" s="74">
        <v>23</v>
      </c>
      <c r="N8" s="74">
        <v>25</v>
      </c>
      <c r="O8" s="74">
        <v>25</v>
      </c>
      <c r="P8" s="74">
        <v>21</v>
      </c>
      <c r="Q8" s="74">
        <v>23</v>
      </c>
      <c r="R8" s="74">
        <v>28</v>
      </c>
      <c r="S8" s="74">
        <v>19</v>
      </c>
      <c r="T8" s="74">
        <v>19</v>
      </c>
      <c r="U8" s="74">
        <v>23</v>
      </c>
      <c r="V8" s="74">
        <v>25</v>
      </c>
      <c r="W8" s="74">
        <v>23</v>
      </c>
      <c r="X8" s="74">
        <v>14</v>
      </c>
      <c r="Y8" s="74">
        <v>22</v>
      </c>
      <c r="Z8" s="74">
        <v>18</v>
      </c>
      <c r="AA8" s="74">
        <v>24</v>
      </c>
      <c r="AB8" s="74">
        <v>15</v>
      </c>
      <c r="AC8" s="74">
        <v>21</v>
      </c>
      <c r="AD8" s="74">
        <v>25</v>
      </c>
      <c r="AE8" s="74">
        <v>25</v>
      </c>
    </row>
    <row r="9" spans="1:99" ht="26.4" ph="1">
      <c r="B9" s="237" ph="1">
        <v>0.66666666666666663</v>
      </c>
      <c r="C9" s="144" t="s" ph="1">
        <v>180</v>
      </c>
      <c r="D9" s="71">
        <v>6786</v>
      </c>
      <c r="E9" s="71">
        <v>4779</v>
      </c>
      <c r="F9" s="71">
        <v>6457</v>
      </c>
      <c r="G9" s="71">
        <v>5136</v>
      </c>
      <c r="H9" s="71">
        <v>5227</v>
      </c>
      <c r="I9" s="71">
        <v>22.99</v>
      </c>
      <c r="J9" s="71">
        <v>7.04</v>
      </c>
      <c r="K9" s="71">
        <v>8.42</v>
      </c>
      <c r="L9" s="71">
        <v>14.18</v>
      </c>
      <c r="M9" s="71">
        <v>4279</v>
      </c>
      <c r="N9" s="71">
        <v>2504</v>
      </c>
      <c r="O9" s="71">
        <v>104</v>
      </c>
      <c r="P9" s="71">
        <v>866</v>
      </c>
      <c r="Q9" s="71">
        <v>0</v>
      </c>
      <c r="R9" s="71">
        <v>0</v>
      </c>
      <c r="S9" s="71">
        <v>4941</v>
      </c>
      <c r="T9" s="71">
        <v>7262</v>
      </c>
      <c r="U9" s="71">
        <v>5895</v>
      </c>
      <c r="V9" s="71">
        <v>6342</v>
      </c>
      <c r="W9" s="71">
        <v>4505</v>
      </c>
      <c r="X9" s="71">
        <v>5759</v>
      </c>
      <c r="Y9" s="71">
        <v>2675</v>
      </c>
      <c r="Z9" s="71">
        <v>1900</v>
      </c>
      <c r="AA9" s="71">
        <v>767</v>
      </c>
      <c r="AB9" s="71">
        <v>4043</v>
      </c>
      <c r="AC9" s="71">
        <v>1457</v>
      </c>
      <c r="AD9" s="71">
        <v>4780</v>
      </c>
      <c r="AE9" s="71">
        <v>5880</v>
      </c>
    </row>
    <row r="10" spans="1:99" s="72" customFormat="1" ht="22.2" ph="1">
      <c r="B10" s="237" ph="1"/>
      <c r="C10" s="144" t="s" ph="1">
        <v>178</v>
      </c>
      <c r="D10" s="73" ph="1">
        <f>D9*33.183*LOOKUP(D11,密度!$A$2:$A$50,密度!$Q$2:$Q$50)</f>
        <v>213515.52239160001</v>
      </c>
      <c r="E10" s="73" ph="1">
        <f>E9*51.53*LOOKUP(E11,密度!$A$2:$A$50,密度!$B$2:$B$50)</f>
        <v>192429.025218</v>
      </c>
      <c r="F10" s="73" ph="1">
        <f>F9*33.183*LOOKUP(F11,密度!$A$2:$A$50,密度!$C$2:$C$50)</f>
        <v>237595.8315159</v>
      </c>
      <c r="G10" s="73" ph="1">
        <f xml:space="preserve"> (G9+2)*51.53*LOOKUP(G11,密度!$A$2:$A$50,密度!$B$2:$B$50)</f>
        <v>207360.92484800002</v>
      </c>
      <c r="H10" s="73" ph="1">
        <f>(H9)*51.53*LOOKUP(H11,密度!$A$2:$A$50,密度!$B$2:$B$50)</f>
        <v>210952.813192</v>
      </c>
      <c r="I10" s="73" ph="1">
        <f>I9*290.8*1.0267</f>
        <v>6863.9946363999998</v>
      </c>
      <c r="J10" s="73" ph="1">
        <f>J9*290.8*0.7892</f>
        <v>1615.6754944000002</v>
      </c>
      <c r="K10" s="73" ph="1">
        <f>K9*290.8*1.1126</f>
        <v>2724.2411536</v>
      </c>
      <c r="L10" s="73" ph="1">
        <f>L9*290.8*0.777</f>
        <v>3203.993688</v>
      </c>
      <c r="M10" s="73" ph="1">
        <f>M9*33.183*LOOKUP(M11,密度!$A$2:$A$50,密度!$D$2:$D$50)</f>
        <v>145908.98257320002</v>
      </c>
      <c r="N10" s="73" ph="1">
        <f>N9*33.183*LOOKUP(N11,密度!$A$2:$A$50,密度!$E$2:$E$50)</f>
        <v>65076.269702400001</v>
      </c>
      <c r="O10" s="73" ph="1">
        <f>O9*20.428*LOOKUP(O11,密度!$A$2:$A$50,密度!$C$2:$C$50)</f>
        <v>2350.9849792000005</v>
      </c>
      <c r="P10" s="73" ph="1">
        <f>P9*51.53*LOOKUP(P11,密度!$A$2:$A$50,密度!$B$2:$B$50)</f>
        <v>34829.796889999998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32830.395443999994</v>
      </c>
      <c r="T10" s="73" ph="1">
        <f>T9*1.5*1.5*3.1416*LOOKUP(T11,密度!$A$2:$A$50,密度!$L$2:$L$50)</f>
        <v>48252.242807999995</v>
      </c>
      <c r="U10" s="73" ph="1">
        <f>U9*1.5*1.5*3.1416*LOOKUP(U11,密度!$A$2:$A$50,密度!$L$2:$L$50)</f>
        <v>39044.224989000002</v>
      </c>
      <c r="V10" s="73" ph="1">
        <f>V9*1.5*1.5*3.1416*LOOKUP(V11,密度!$A$2:$A$50,密度!$L$2:$L$50)</f>
        <v>41915.172222000001</v>
      </c>
      <c r="W10" s="73" ph="1">
        <f>W9*1.5*1.5*3.1416*LOOKUP(W11,密度!$A$2:$A$50,密度!$L$2:$L$50)</f>
        <v>29519.427861</v>
      </c>
      <c r="X10" s="73" ph="1">
        <f>X9*1.5*1.5*3.1416*LOOKUP(X11,密度!$A$2:$A$50,密度!$L$2:$L$50)</f>
        <v>38224.8752886</v>
      </c>
      <c r="Y10" s="73" ph="1">
        <f>Y9*1.5*1.5*3.1416*LOOKUP(Y11,密度!$A$2:$A$50,密度!$L$2:$L$50)</f>
        <v>17717.269185000001</v>
      </c>
      <c r="Z10" s="73" ph="1">
        <f>Z9*33.183*LOOKUP(Z11,密度!$A$2:$A$50,密度!$L$2:$L$50)</f>
        <v>59327.885699999992</v>
      </c>
      <c r="AA10" s="73" ph="1">
        <f>AA9*33.183*LOOKUP(AA11,密度!$A$2:$A$50,密度!$D$2:$D$50)</f>
        <v>26130.9123387</v>
      </c>
      <c r="AB10" s="73" ph="1">
        <f>AB9*20.428*LOOKUP(AB11,密度!$A$2:$A$50,密度!$D$2:$D$50)</f>
        <v>85390.218695600008</v>
      </c>
      <c r="AC10" s="73" ph="1">
        <f>AC9*51.53*LOOKUP(AC11,密度!$A$2:$A$50,密度!$Q$2:$Q$50)</f>
        <v>71135.299098700008</v>
      </c>
      <c r="AD10" s="73" ph="1">
        <f>AD9*20.428*LOOKUP(AD11,密度!$A$2:$A$50,密度!$V$2:$V$50)</f>
        <v>93818.123072000002</v>
      </c>
      <c r="AE10" s="73" ph="1">
        <f>AE9*20.428</f>
        <v>120116.64</v>
      </c>
    </row>
    <row r="11" spans="1:99" ph="1">
      <c r="A11" s="64" t="s" ph="1">
        <v>162</v>
      </c>
      <c r="B11" s="237" ph="1"/>
      <c r="C11" s="144" t="s" ph="1">
        <v>179</v>
      </c>
      <c r="D11" s="74">
        <v>23</v>
      </c>
      <c r="E11" s="74">
        <v>23</v>
      </c>
      <c r="F11" s="74">
        <v>25</v>
      </c>
      <c r="G11" s="74">
        <v>21</v>
      </c>
      <c r="H11" s="74">
        <v>21</v>
      </c>
      <c r="I11" s="74">
        <v>25</v>
      </c>
      <c r="J11" s="74">
        <v>25</v>
      </c>
      <c r="K11" s="74">
        <v>25</v>
      </c>
      <c r="L11" s="74">
        <v>25</v>
      </c>
      <c r="M11" s="74">
        <v>24</v>
      </c>
      <c r="N11" s="74">
        <v>25</v>
      </c>
      <c r="O11" s="74">
        <v>28</v>
      </c>
      <c r="P11" s="74">
        <v>24</v>
      </c>
      <c r="Q11" s="74">
        <v>27</v>
      </c>
      <c r="R11" s="74">
        <v>31</v>
      </c>
      <c r="S11" s="74">
        <v>22</v>
      </c>
      <c r="T11" s="74">
        <v>22</v>
      </c>
      <c r="U11" s="74">
        <v>25</v>
      </c>
      <c r="V11" s="74">
        <v>27</v>
      </c>
      <c r="W11" s="74">
        <v>35</v>
      </c>
      <c r="X11" s="74">
        <v>23</v>
      </c>
      <c r="Y11" s="74">
        <v>25</v>
      </c>
      <c r="Z11" s="74">
        <v>21</v>
      </c>
      <c r="AA11" s="74">
        <v>25</v>
      </c>
      <c r="AB11" s="74">
        <v>17</v>
      </c>
      <c r="AC11" s="74">
        <v>24</v>
      </c>
      <c r="AD11" s="74">
        <v>24</v>
      </c>
      <c r="AE11" s="74">
        <v>26</v>
      </c>
    </row>
    <row r="12" spans="1:99" ht="9.9" customHeight="1" ph="1"/>
    <row r="13" spans="1:99" s="72" customFormat="1" ht="29.25" customHeight="1" ph="1">
      <c r="B13" s="214" t="s" ph="1">
        <v>37</v>
      </c>
      <c r="C13" s="144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5" ph="1"/>
      <c r="C14" s="67" t="s" ph="1">
        <v>36</v>
      </c>
      <c r="D14" s="77" t="s" ph="1">
        <v>616</v>
      </c>
      <c r="E14" s="77" t="s" ph="1">
        <v>616</v>
      </c>
      <c r="F14" s="77" t="s" ph="1">
        <v>639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636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635</v>
      </c>
      <c r="AC14" s="77" t="s" ph="1">
        <v>637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6" ph="1">
        <v>0.33333333333333331</v>
      </c>
      <c r="C15" s="144" t="s" ph="1">
        <v>177</v>
      </c>
      <c r="D15" s="78">
        <v>5958</v>
      </c>
      <c r="E15" s="78">
        <v>3793</v>
      </c>
      <c r="F15" s="78">
        <v>1941</v>
      </c>
      <c r="G15" s="78">
        <v>4703</v>
      </c>
      <c r="H15" s="78">
        <v>0</v>
      </c>
      <c r="I15" s="78">
        <v>1615</v>
      </c>
      <c r="J15" s="78">
        <v>735</v>
      </c>
      <c r="K15" s="78">
        <v>4768</v>
      </c>
      <c r="L15" s="78">
        <v>3960</v>
      </c>
      <c r="M15" s="78">
        <v>6477</v>
      </c>
      <c r="N15" s="78">
        <v>4178</v>
      </c>
      <c r="O15" s="78">
        <v>6392</v>
      </c>
      <c r="P15" s="78">
        <v>6934</v>
      </c>
      <c r="Q15" s="78">
        <v>1610</v>
      </c>
      <c r="R15" s="78">
        <v>0</v>
      </c>
      <c r="S15" s="78">
        <v>6186</v>
      </c>
      <c r="T15" s="78">
        <v>2409</v>
      </c>
      <c r="U15" s="78">
        <v>5898</v>
      </c>
      <c r="V15" s="78">
        <v>4938</v>
      </c>
      <c r="W15" s="71">
        <v>5040</v>
      </c>
      <c r="X15" s="78">
        <v>851</v>
      </c>
      <c r="Y15" s="106">
        <v>-9904</v>
      </c>
      <c r="Z15" s="78">
        <v>0</v>
      </c>
      <c r="AA15" s="78">
        <v>0</v>
      </c>
      <c r="AB15" s="78" ph="1">
        <v>1094</v>
      </c>
      <c r="AC15" s="78" ph="1">
        <v>2142</v>
      </c>
      <c r="AD15" s="78">
        <v>5.82</v>
      </c>
      <c r="AE15" s="78">
        <v>72.790000000000006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7" ph="1"/>
      <c r="C16" s="144" t="s" ph="1">
        <v>178</v>
      </c>
      <c r="D16" s="73" ph="1">
        <f>D15*7.0686*LOOKUP(D17,密度!$A$2:$A$50,密度!$L$2:$L$50)</f>
        <v>39503.606234400002</v>
      </c>
      <c r="E16" s="73" ph="1">
        <f>E15*7.0686*LOOKUP(E17,密度!$A$2:$A$50,密度!$L$2:$L$50)</f>
        <v>25148.905412399996</v>
      </c>
      <c r="F16" s="73" ph="1">
        <f>F15*9.0746*LOOKUP(F17,密度!$A$2:$A$50,密度!$L$2:$L$50)</f>
        <v>16521.743086800001</v>
      </c>
      <c r="G16" s="73" ph="1">
        <f>G15*9.0746*LOOKUP(G17,密度!$A$2:$A$50,密度!$B$2:$B$50)</f>
        <v>33386.877204740005</v>
      </c>
      <c r="H16" s="73" ph="1">
        <f>H15*9.0746*LOOKUP(H17,密度!$A$2:$A$50,密度!$L$2:$L$50)</f>
        <v>0</v>
      </c>
      <c r="I16" s="73" ph="1">
        <f>I15*9.0746*LOOKUP(I17,密度!$A$2:$A$50,密度!$U$2:$U$50)</f>
        <v>15065.832412000002</v>
      </c>
      <c r="J16" s="73" ph="1">
        <f>J15*9.0746*LOOKUP(J17,密度!$A$2:$A$50,密度!$L$2:$L$50)</f>
        <v>6269.6411399999997</v>
      </c>
      <c r="K16" s="73" ph="1">
        <f>K15*9.0746*LOOKUP(K17,密度!$A$2:$A$50,密度!$C$2:$C$50)</f>
        <v>48044.446085120006</v>
      </c>
      <c r="L16" s="73" ph="1">
        <f>L15*9.0746*LOOKUP(L17,密度!$A$2:$A$50,密度!$E$2:$E$50)</f>
        <v>28187.740310399997</v>
      </c>
      <c r="M16" s="73" ph="1">
        <f>M15*9.0746*LOOKUP(M17,密度!$A$2:$A$50,密度!$M$2:$M$50)</f>
        <v>51482.059740780001</v>
      </c>
      <c r="N16" s="73" ph="1">
        <f>N15*9.0746*LOOKUP(N17,密度!$A$2:$A$50,密度!$M$2:$M$50)</f>
        <v>33329.915033080004</v>
      </c>
      <c r="O16" s="73" ph="1">
        <f>O15*9.0746*LOOKUP(O17,密度!$A$2:$A$50,密度!$G$2:$G$50)</f>
        <v>55754.255283840008</v>
      </c>
      <c r="P16" s="73" ph="1">
        <f ca="1">P15*9.0746*LOOKUP(P17,密度!$A$2:$A$51,密度!$Q$2:$Q$50)</f>
        <v>59617.916690708007</v>
      </c>
      <c r="Q16" s="73" ph="1">
        <f>Q15*9.0746*LOOKUP(Q17,密度!$A$2:$A$50,密度!$Q$2:$Q$50)</f>
        <v>13842.63713182</v>
      </c>
      <c r="R16" s="73" ph="1">
        <f>MAX(R15*9.0746*LOOKUP(R17,密度!$A$2:$A$50,密度!$B$2:$B$50),0)</f>
        <v>0</v>
      </c>
      <c r="S16" s="73" ph="1">
        <f>S15*9.0746*LOOKUP(S17,密度!$A$2:$A$50,密度!$Q$2:$Q$50)</f>
        <v>53186.679066732002</v>
      </c>
      <c r="T16" s="73" ph="1">
        <f>T15*9.0746*LOOKUP(T17,密度!$A$2:$A$50,密度!$O$2:$O$50)</f>
        <v>20330.461601999999</v>
      </c>
      <c r="U16" s="73" ph="1">
        <f>U15*9.0746*LOOKUP(U17,密度!$A$2:$A$50,密度!$H$2:$H$50)</f>
        <v>49176.005147039999</v>
      </c>
      <c r="V16" s="73" ph="1">
        <f>MAX(5600*LOOKUP(V17,密度!$A$2:$A$50,密度!$Q$2:$Q$50)+V15*9.0476*LOOKUP(V17,密度!$A$2:$A$50,密度!$Q$2:$Q$50),0)</f>
        <v>47635.995426535999</v>
      </c>
      <c r="W16" s="73" ph="1">
        <f>MAX(5600*LOOKUP(W17,密度!$A$2:$A$50,密度!$Q$2:$Q$50)+W15*9.0476*LOOKUP(W17,密度!$A$2:$A$50,密度!$Q$2:$Q$50),0)</f>
        <v>48472.997112959994</v>
      </c>
      <c r="X16" s="73" ph="1">
        <f>MAX(5600*LOOKUP(X17,密度!$A$2:$A$50,密度!$I$2:$I$50)+X15*9.0476*LOOKUP(X17,密度!$A$2:$A$50,密度!$I$2:$I$50),0)</f>
        <v>13862.076771479999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9341.883268399999</v>
      </c>
      <c r="AC16" s="73" ph="1">
        <f>AC15*9.0746*LOOKUP(AC17,密度!$A$2:$A$50,密度!$L$2:$L$50)</f>
        <v>18290.963401199999</v>
      </c>
      <c r="AD16" s="73" ph="1">
        <f>AD15*268.68*LOOKUP(AD17,密度!$A$2:$A$50,密度!B2:B50)+IF(AD15&lt;=0,0,1566*LOOKUP(AD17,密度!$A$2:$A$50,密度!B2:B50))</f>
        <v>2439.9278409600001</v>
      </c>
      <c r="AE16" s="73" ph="1">
        <f>AE15*268.68*LOOKUP(AE17,密度!$A$2:$A$50,密度!B2:B50)+IF(AE15&lt;=0,0,1566*LOOKUP(AE17,密度!$A$2:$A$50,密度!B2:B50))</f>
        <v>16467.660129120002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8" ph="1"/>
      <c r="C17" s="79" t="s" ph="1">
        <v>179</v>
      </c>
      <c r="D17" s="74">
        <v>24</v>
      </c>
      <c r="E17" s="74">
        <v>24</v>
      </c>
      <c r="F17" s="74">
        <v>24</v>
      </c>
      <c r="G17" s="74">
        <v>22</v>
      </c>
      <c r="H17" s="74">
        <v>18</v>
      </c>
      <c r="I17" s="74">
        <v>19</v>
      </c>
      <c r="J17" s="74">
        <v>22</v>
      </c>
      <c r="K17" s="74">
        <v>23</v>
      </c>
      <c r="L17" s="74">
        <v>24</v>
      </c>
      <c r="M17" s="74">
        <v>24</v>
      </c>
      <c r="N17" s="74">
        <v>21</v>
      </c>
      <c r="O17" s="74">
        <v>24</v>
      </c>
      <c r="P17" s="74">
        <v>24</v>
      </c>
      <c r="Q17" s="74">
        <v>24</v>
      </c>
      <c r="R17" s="74">
        <v>22</v>
      </c>
      <c r="S17" s="74">
        <v>24</v>
      </c>
      <c r="T17" s="74">
        <v>23</v>
      </c>
      <c r="U17" s="74">
        <v>21</v>
      </c>
      <c r="V17" s="74">
        <v>24</v>
      </c>
      <c r="W17" s="74">
        <v>25</v>
      </c>
      <c r="X17" s="74">
        <v>25</v>
      </c>
      <c r="Y17" s="108">
        <v>25</v>
      </c>
      <c r="Z17" s="74">
        <v>22</v>
      </c>
      <c r="AA17" s="74">
        <v>20</v>
      </c>
      <c r="AB17" s="74">
        <v>21</v>
      </c>
      <c r="AC17" s="74">
        <v>21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6" ph="1">
        <v>0.66666666666666663</v>
      </c>
      <c r="C18" s="79" t="s" ph="1">
        <v>180</v>
      </c>
      <c r="D18" s="71">
        <v>5966</v>
      </c>
      <c r="E18" s="71">
        <v>2812</v>
      </c>
      <c r="F18" s="71">
        <v>1940</v>
      </c>
      <c r="G18" s="71">
        <v>2814</v>
      </c>
      <c r="H18" s="71">
        <v>0</v>
      </c>
      <c r="I18" s="71">
        <v>1616</v>
      </c>
      <c r="J18" s="71">
        <v>735</v>
      </c>
      <c r="K18" s="71">
        <v>4768</v>
      </c>
      <c r="L18" s="71">
        <v>3963</v>
      </c>
      <c r="M18" s="71">
        <v>3962</v>
      </c>
      <c r="N18" s="71">
        <v>5276</v>
      </c>
      <c r="O18" s="71">
        <v>6395</v>
      </c>
      <c r="P18" s="71">
        <v>6941</v>
      </c>
      <c r="Q18" s="71">
        <v>1611</v>
      </c>
      <c r="R18" s="71">
        <v>0</v>
      </c>
      <c r="S18" s="71">
        <v>6190</v>
      </c>
      <c r="T18" s="71">
        <v>1453</v>
      </c>
      <c r="U18" s="71">
        <v>5900</v>
      </c>
      <c r="V18" s="71">
        <v>4937</v>
      </c>
      <c r="W18" s="71">
        <v>5039</v>
      </c>
      <c r="X18" s="71">
        <v>850</v>
      </c>
      <c r="Y18" s="109">
        <v>-9906</v>
      </c>
      <c r="Z18" s="71">
        <v>0</v>
      </c>
      <c r="AA18" s="71">
        <v>0</v>
      </c>
      <c r="AB18" s="71">
        <v>1094</v>
      </c>
      <c r="AC18" s="71">
        <v>2143</v>
      </c>
      <c r="AD18" s="71">
        <v>31.22</v>
      </c>
      <c r="AE18" s="71">
        <v>84.63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7" ph="1"/>
      <c r="C19" s="144" t="s" ph="1">
        <v>178</v>
      </c>
      <c r="D19" s="73" ph="1">
        <f>D18*7.0686*LOOKUP(D20,密度!$A$2:$A$50,密度!$L$2:$L$50)</f>
        <v>39514.477741200004</v>
      </c>
      <c r="E19" s="73" ph="1">
        <f>E18*7.0686*LOOKUP(E20,密度!$A$2:$A$50,密度!$L$2:$L$50)</f>
        <v>18624.658298400002</v>
      </c>
      <c r="F19" s="73" ph="1">
        <f>F18*9.0746*LOOKUP(F20,密度!$A$2:$A$50,密度!$L$2:$L$50)</f>
        <v>16478.021664000004</v>
      </c>
      <c r="G19" s="73" ph="1">
        <f>G18*9.0746*LOOKUP(G20,密度!$A$2:$A$50,密度!$B$2:$B$50)</f>
        <v>19930.7889942</v>
      </c>
      <c r="H19" s="73" ph="1">
        <f>H18*9.0746*LOOKUP(H20,密度!$A$2:$A$50,密度!$L$2:$L$50)</f>
        <v>0</v>
      </c>
      <c r="I19" s="73" ph="1">
        <f>I18*9.0746*LOOKUP(I20,密度!$A$2:$A$50,密度!$U$2:$U$50)</f>
        <v>15075.161100800002</v>
      </c>
      <c r="J19" s="73" ph="1">
        <f>J18*9.0746*LOOKUP(J20,密度!$A$2:$A$50,密度!$L$2:$L$50)</f>
        <v>6249.6316470000002</v>
      </c>
      <c r="K19" s="73" ph="1">
        <f>K18*9.0746*LOOKUP(K20,密度!$A$2:$A$50,密度!$C$2:$C$50)</f>
        <v>47979.544545920005</v>
      </c>
      <c r="L19" s="73" ph="1">
        <f>L18*9.0746*LOOKUP(L20,密度!$A$2:$A$50,密度!$E$2:$E$50)</f>
        <v>28126.380587580003</v>
      </c>
      <c r="M19" s="73" ph="1">
        <f>M18*9.0746*LOOKUP(M20,密度!$A$2:$A$50,密度!$M$2:$M$50)</f>
        <v>31427.011341319998</v>
      </c>
      <c r="N19" s="73" ph="1">
        <f>N18*9.0746*LOOKUP(N20,密度!$A$2:$A$50,密度!$M$2:$M$50)</f>
        <v>41988.6460792</v>
      </c>
      <c r="O19" s="73" ph="1">
        <f>O18*9.0746*LOOKUP(O20,密度!$A$2:$A$50,密度!$G$2:$G$50)</f>
        <v>55722.390733400003</v>
      </c>
      <c r="P19" s="73" ph="1">
        <f ca="1">P18*9.0746*LOOKUP(P20,密度!$A$2:$A$51,密度!$Q$2:$Q$50)</f>
        <v>59632.121706564001</v>
      </c>
      <c r="Q19" s="73" ph="1">
        <f>Q18*9.0746*LOOKUP(Q20,密度!$A$2:$A$50,密度!$Q$2:$Q$50)</f>
        <v>13840.563041244</v>
      </c>
      <c r="R19" s="73" ph="1">
        <f>MAX(R18*9.0746*LOOKUP(R20,密度!$A$2:$A$50,密度!$B$2:$B$50),0)</f>
        <v>0</v>
      </c>
      <c r="S19" s="73" ph="1">
        <f>S18*9.0746*LOOKUP(S20,密度!$A$2:$A$50,密度!$Q$2:$Q$50)</f>
        <v>53180.065316760003</v>
      </c>
      <c r="T19" s="73" ph="1">
        <f>T18*9.0746*LOOKUP(T20,密度!$A$2:$A$50,密度!$O$2:$O$50)</f>
        <v>12209.674658800001</v>
      </c>
      <c r="U19" s="73" ph="1">
        <f>U18*9.0746*LOOKUP(U20,密度!$A$2:$A$50,密度!$H$2:$H$50)</f>
        <v>49139.140491999999</v>
      </c>
      <c r="V19" s="73" ph="1">
        <f>MAX(5600*LOOKUP(V20,密度!$A$2:$A$50,密度!$Q$2:$Q$50)+V18*9.0476*LOOKUP(V20,密度!$A$2:$A$50,密度!$Q$2:$Q$50),0)</f>
        <v>47555.037175235993</v>
      </c>
      <c r="W19" s="73" ph="1">
        <f>MAX(5600*LOOKUP(W20,密度!$A$2:$A$50,密度!$Q$2:$Q$50)+W18*9.0476*LOOKUP(W20,密度!$A$2:$A$50,密度!$Q$2:$Q$50),0)</f>
        <v>48428.085880091996</v>
      </c>
      <c r="X19" s="73" ph="1">
        <f>MAX(5600*LOOKUP(X20,密度!$A$2:$A$50,密度!$I$2:$I$50)+X18*9.0476*LOOKUP(X20,密度!$A$2:$A$50,密度!$I$2:$I$50),0)</f>
        <v>13808.787939999998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9282.3175940000001</v>
      </c>
      <c r="AC19" s="73" ph="1">
        <f>AC18*9.0746*LOOKUP(AC20,密度!$A$2:$A$50,密度!$L$2:$L$50)</f>
        <v>18260.6088642</v>
      </c>
      <c r="AD19" s="73" ph="1">
        <f>AD18*268.68*LOOKUP(AD20,密度!$A$2:$A$50,密度!B5:B53)+IF(AD18&lt;=0,0,1566*LOOKUP(AD20,密度!$A$2:$A$50,密度!B5:B53))</f>
        <v>7734.4053192000001</v>
      </c>
      <c r="AE19" s="73" ph="1">
        <f>AE18*268.68*LOOKUP(AE20,密度!$A$2:$A$50,密度!B5:B53)+IF(AE18&lt;=0,0,1566*LOOKUP(AE20,密度!$A$2:$A$50,密度!B5:B53))</f>
        <v>18884.509786800001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7" ph="1"/>
      <c r="C20" s="80" t="s" ph="1">
        <v>179</v>
      </c>
      <c r="D20" s="81">
        <v>25</v>
      </c>
      <c r="E20" s="81">
        <v>25</v>
      </c>
      <c r="F20" s="81">
        <v>26</v>
      </c>
      <c r="G20" s="81">
        <v>24</v>
      </c>
      <c r="H20" s="81">
        <v>20</v>
      </c>
      <c r="I20" s="81">
        <v>22</v>
      </c>
      <c r="J20" s="81">
        <v>25</v>
      </c>
      <c r="K20" s="81">
        <v>25</v>
      </c>
      <c r="L20" s="81">
        <v>26</v>
      </c>
      <c r="M20" s="81">
        <v>26</v>
      </c>
      <c r="N20" s="81">
        <v>23</v>
      </c>
      <c r="O20" s="81">
        <v>25</v>
      </c>
      <c r="P20" s="81">
        <v>25</v>
      </c>
      <c r="Q20" s="81">
        <v>25</v>
      </c>
      <c r="R20" s="81">
        <v>30</v>
      </c>
      <c r="S20" s="81">
        <v>25</v>
      </c>
      <c r="T20" s="81">
        <v>27</v>
      </c>
      <c r="U20" s="81">
        <v>22</v>
      </c>
      <c r="V20" s="81">
        <v>26</v>
      </c>
      <c r="W20" s="81">
        <v>26</v>
      </c>
      <c r="X20" s="81">
        <v>28</v>
      </c>
      <c r="Y20" s="110">
        <v>28</v>
      </c>
      <c r="Z20" s="81">
        <v>28</v>
      </c>
      <c r="AA20" s="81">
        <v>23</v>
      </c>
      <c r="AB20" s="81">
        <v>27</v>
      </c>
      <c r="AC20" s="81">
        <v>23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28" t="s" ph="1">
        <v>640</v>
      </c>
      <c r="AA23" s="229"/>
      <c r="AB23" s="229"/>
      <c r="AC23" s="229"/>
      <c r="AD23" s="229"/>
      <c r="AE23" s="23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7" ph="1">
        <v>0.33333333333333331</v>
      </c>
      <c r="C24" s="144" t="s" ph="1">
        <v>177</v>
      </c>
      <c r="D24" s="71">
        <v>78.58</v>
      </c>
      <c r="E24" s="71">
        <v>46.03</v>
      </c>
      <c r="F24" s="71">
        <v>1552</v>
      </c>
      <c r="G24" s="71">
        <v>3206</v>
      </c>
      <c r="H24" s="71">
        <v>600</v>
      </c>
      <c r="I24" s="71">
        <v>2005</v>
      </c>
      <c r="J24" s="71">
        <v>4835</v>
      </c>
      <c r="K24" s="71">
        <v>3832</v>
      </c>
      <c r="L24" s="71">
        <v>5578</v>
      </c>
      <c r="M24" s="71">
        <v>5104</v>
      </c>
      <c r="N24" s="71">
        <v>5502</v>
      </c>
      <c r="O24" s="71">
        <v>5577</v>
      </c>
      <c r="P24" s="71">
        <v>361</v>
      </c>
      <c r="Q24" s="90">
        <v>1495</v>
      </c>
      <c r="R24" s="71">
        <v>218</v>
      </c>
      <c r="S24" s="71">
        <v>2817</v>
      </c>
      <c r="T24" s="71">
        <v>280</v>
      </c>
      <c r="U24" s="71">
        <v>5604</v>
      </c>
      <c r="V24" s="71">
        <v>10618</v>
      </c>
      <c r="W24" s="71">
        <v>8010</v>
      </c>
      <c r="X24" s="71">
        <v>2822</v>
      </c>
      <c r="Y24" s="71">
        <v>7762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7" ph="1"/>
      <c r="C25" s="68" t="s" ph="1">
        <v>178</v>
      </c>
      <c r="D25" s="91" ph="1">
        <f>D24*268.68*LOOKUP(D26,密度!$A$2:$A$50,密度!$Q$2:$Q$50)+IF(D24&lt;=0,0,1566*LOOKUP(D26,密度!$A$2:$A$50,密度!$Q$2:$Q$50))</f>
        <v>21470.997549456002</v>
      </c>
      <c r="E25" s="91" ph="1">
        <f>E24*268.68*LOOKUP(E26,密度!$A$2:$A$50,密度!$C$2:$C$50)+IF(E24&lt;=0,0,1566*LOOKUP(E26,密度!$A$2:$A$50,密度!$C$2:$C$50))</f>
        <v>15450.681169560001</v>
      </c>
      <c r="F25" s="91" ph="1">
        <f>F24*11.702*LOOKUP(F26,密度!$A$2:$A$50,密度!$Q$2:$Q$50)</f>
        <v>17220.738092800002</v>
      </c>
      <c r="G25" s="91" ph="1">
        <f>G24*18.322*LOOKUP(G26,密度!$A$2:$A$50,密度!$B$2:$B$50)</f>
        <v>45899.695424799997</v>
      </c>
      <c r="H25" s="91" ph="1">
        <f>H24*18.322*LOOKUP(H26,密度!$A$2:$A$50,密度!$B$2:$B$50)</f>
        <v>8599.9803599999996</v>
      </c>
      <c r="I25" s="91" ph="1">
        <f>I24*18.322*LOOKUP(I26,密度!$A$2:$A$50,密度!$Q$2:$Q$50)</f>
        <v>34832.705402</v>
      </c>
      <c r="J25" s="91" ph="1">
        <f>J24*18.322*LOOKUP(J26,密度!$A$2:$A$50,密度!$Q$2:$Q$50)</f>
        <v>83998.070133999994</v>
      </c>
      <c r="K25" s="91" ph="1">
        <f>K24*18.322*LOOKUP(K26,密度!$A$2:$A$50,密度!$Q$2:$Q$50)</f>
        <v>66573.030972799999</v>
      </c>
      <c r="L25" s="91" ph="1">
        <f>L24*18.322*LOOKUP(L26,密度!$A$2:$A$50,密度!$Q$2:$Q$50)</f>
        <v>96831.543906520004</v>
      </c>
      <c r="M25" s="91" ph="1">
        <f>M24*18.322*LOOKUP(M26,密度!$A$2:$A$50,密度!$Q$2:$Q$50)</f>
        <v>88603.119415360008</v>
      </c>
      <c r="N25" s="91" ph="1">
        <f>N24*18.322*LOOKUP(N26,密度!$A$2:$A$50,密度!$Q$2:$Q$50)</f>
        <v>95585.80804080001</v>
      </c>
      <c r="O25" s="91" ph="1">
        <f>O24*18.322*LOOKUP(O26,密度!$A$2:$A$50,密度!$C$2:$C$50)</f>
        <v>113462.66405760001</v>
      </c>
      <c r="P25" s="91" ph="1">
        <f>P24*11.702*LOOKUP(P26,密度!$A$2:$A$50,密度!$B$2:$B$50)</f>
        <v>3304.7653305999997</v>
      </c>
      <c r="Q25" s="92" ph="1">
        <f>Q24*18.322*LOOKUP(Q26,密度!$A$2:$A$50,密度!$B$2:$B$50)</f>
        <v>21477.588898999998</v>
      </c>
      <c r="R25" s="91" ph="1">
        <f>R24*35.891*LOOKUP(R26,密度!$A$2:$A$50,密度!$C$2:$C$50)</f>
        <v>8705.2471987999998</v>
      </c>
      <c r="S25" s="91" ph="1">
        <f>S24*35.891*LOOKUP(S26,密度!$A$2:$A$50,密度!$B$2:$B$50)</f>
        <v>79185.394490399995</v>
      </c>
      <c r="T25" s="91" ph="1">
        <f>T24*35.891*LOOKUP(T26,密度!$A$2:$A$50,密度!$Q$2:$Q$50)</f>
        <v>9528.9169359999996</v>
      </c>
      <c r="U25" s="91" ph="1">
        <f>U24*35.891</f>
        <v>201133.16399999999</v>
      </c>
      <c r="V25" s="91" ph="1">
        <f>V24*47.051*LOOKUP(V26,密度!$A$2:$A$50,密度!$B$2:$B$50)</f>
        <v>390377.68656520004</v>
      </c>
      <c r="W25" s="91" ph="1">
        <f>W24*47.051*LOOKUP(W26,密度!$A$2:$A$50,密度!$B$2:$B$50)</f>
        <v>294492.86771399999</v>
      </c>
      <c r="X25" s="91" ph="1">
        <f>X24*47.051*LOOKUP(X26,密度!$A$2:$A$50,密度!$I$2:$I$50)</f>
        <v>138540.48381480001</v>
      </c>
      <c r="Y25" s="91" ph="1">
        <f>Y24*47.051*LOOKUP(Y26,密度!$A$2:$A$50,密度!$L$2:$L$50)</f>
        <v>342566.85055600002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7" ph="1"/>
      <c r="C26" s="68" t="s" ph="1">
        <v>179</v>
      </c>
      <c r="D26" s="74">
        <v>25</v>
      </c>
      <c r="E26" s="74">
        <v>25</v>
      </c>
      <c r="F26" s="74">
        <v>23</v>
      </c>
      <c r="G26" s="74">
        <v>23</v>
      </c>
      <c r="H26" s="74">
        <v>22</v>
      </c>
      <c r="I26" s="74">
        <v>23</v>
      </c>
      <c r="J26" s="74">
        <v>23</v>
      </c>
      <c r="K26" s="74">
        <v>23</v>
      </c>
      <c r="L26" s="74">
        <v>24</v>
      </c>
      <c r="M26" s="74">
        <v>24</v>
      </c>
      <c r="N26" s="74">
        <v>23</v>
      </c>
      <c r="O26" s="74">
        <v>23</v>
      </c>
      <c r="P26" s="74">
        <v>22</v>
      </c>
      <c r="Q26" s="93">
        <v>20</v>
      </c>
      <c r="R26" s="74">
        <v>20</v>
      </c>
      <c r="S26" s="74">
        <v>21</v>
      </c>
      <c r="T26" s="74">
        <v>23</v>
      </c>
      <c r="U26" s="74">
        <v>22</v>
      </c>
      <c r="V26" s="74">
        <v>23</v>
      </c>
      <c r="W26" s="74">
        <v>23</v>
      </c>
      <c r="X26" s="74">
        <v>24</v>
      </c>
      <c r="Y26" s="74">
        <v>24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7" ph="1">
        <v>0.66666666666666663</v>
      </c>
      <c r="C27" s="144" t="s" ph="1">
        <v>180</v>
      </c>
      <c r="D27" s="71">
        <v>78.64</v>
      </c>
      <c r="E27" s="71">
        <v>46.02</v>
      </c>
      <c r="F27" s="71">
        <v>1553</v>
      </c>
      <c r="G27" s="71">
        <v>2736</v>
      </c>
      <c r="H27" s="71">
        <v>235</v>
      </c>
      <c r="I27" s="71">
        <v>2005</v>
      </c>
      <c r="J27" s="71">
        <v>4837</v>
      </c>
      <c r="K27" s="71">
        <v>3832</v>
      </c>
      <c r="L27" s="71">
        <v>5577</v>
      </c>
      <c r="M27" s="71">
        <v>5106</v>
      </c>
      <c r="N27" s="71">
        <v>5502</v>
      </c>
      <c r="O27" s="71">
        <v>5575</v>
      </c>
      <c r="P27" s="71">
        <v>357</v>
      </c>
      <c r="Q27" s="90">
        <v>386</v>
      </c>
      <c r="R27" s="71">
        <v>217</v>
      </c>
      <c r="S27" s="71">
        <v>3200</v>
      </c>
      <c r="T27" s="71">
        <v>278</v>
      </c>
      <c r="U27" s="71">
        <v>5647</v>
      </c>
      <c r="V27" s="71">
        <v>10621</v>
      </c>
      <c r="W27" s="71">
        <v>8010</v>
      </c>
      <c r="X27" s="71">
        <v>2821</v>
      </c>
      <c r="Y27" s="71">
        <v>6154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7" ph="1"/>
      <c r="C28" s="144" t="s" ph="1">
        <v>178</v>
      </c>
      <c r="D28" s="91" ph="1">
        <f>D27*268.68*LOOKUP(D29,密度!$A$2:$A$50,密度!$Q$2:$Q$50)+IF(D27&lt;=0,0,1566*LOOKUP(D29,密度!$A$2:$A$50,密度!$Q$2:$Q$50))</f>
        <v>21486.259755648003</v>
      </c>
      <c r="E28" s="91" ph="1">
        <f>E27*268.68*LOOKUP(E29,密度!$A$2:$A$50,密度!$C$2:$C$50)+IF(E27&lt;=0,0,1566*LOOKUP(E29,密度!$A$2:$A$50,密度!$C$2:$C$50))</f>
        <v>15447.701777040002</v>
      </c>
      <c r="F28" s="91" ph="1">
        <f>F27*11.702*LOOKUP(F29,密度!$A$2:$A$50,密度!$Q$2:$Q$50)</f>
        <v>17205.30104844</v>
      </c>
      <c r="G28" s="91" ph="1">
        <f>G27*18.322*LOOKUP(G29,密度!$A$2:$A$50,密度!$B$2:$B$50)</f>
        <v>39125.678255999999</v>
      </c>
      <c r="H28" s="91" ph="1">
        <f>H27*18.322*LOOKUP(H29,密度!$A$2:$A$50,密度!$B$2:$B$50)</f>
        <v>3356.7003319999999</v>
      </c>
      <c r="I28" s="91" ph="1">
        <f>I27*18.322*LOOKUP(I29,密度!$A$2:$A$50,密度!$Q$2:$Q$50)</f>
        <v>34832.705402</v>
      </c>
      <c r="J28" s="91" ph="1">
        <f>J27*18.322*LOOKUP(J29,密度!$A$2:$A$50,密度!$Q$2:$Q$50)</f>
        <v>83903.425644360002</v>
      </c>
      <c r="K28" s="91" ph="1">
        <f>K27*18.322*LOOKUP(K29,密度!$A$2:$A$50,密度!$Q$2:$Q$50)</f>
        <v>66573.030972799999</v>
      </c>
      <c r="L28" s="91" ph="1">
        <f>L27*18.322*LOOKUP(L29,密度!$A$2:$A$50,密度!$Q$2:$Q$50)</f>
        <v>96814.18436118</v>
      </c>
      <c r="M28" s="91" ph="1">
        <f>M27*18.322*LOOKUP(M29,密度!$A$2:$A$50,密度!$Q$2:$Q$50)</f>
        <v>88637.838506040003</v>
      </c>
      <c r="N28" s="91" ph="1">
        <f>N27*18.322*LOOKUP(N29,密度!$A$2:$A$50,密度!$Q$2:$Q$50)</f>
        <v>95675.526843960004</v>
      </c>
      <c r="O28" s="91" ph="1">
        <f>O27*18.322*LOOKUP(O29,密度!$A$2:$A$50,密度!$C$2:$C$50)</f>
        <v>113493.47616499999</v>
      </c>
      <c r="P28" s="91" ph="1">
        <f>P27*11.702*LOOKUP(P29,密度!$A$2:$A$50,密度!$B$2:$B$50)</f>
        <v>3260.6277269999996</v>
      </c>
      <c r="Q28" s="92" t="e" ph="1">
        <f>Q27*18.322*LOOKUP(Q29,密度!$A$2:$A$50,密度!$B$2:$B$50)</f>
        <v>#N/A</v>
      </c>
      <c r="R28" s="91" ph="1">
        <f>R27*35.891*LOOKUP(R29,密度!$A$2:$A$50,密度!$C$2:$C$50)</f>
        <v>8641.9498311999996</v>
      </c>
      <c r="S28" s="91" ph="1">
        <f>S27*35.891*LOOKUP(S29,密度!$A$2:$A$50,密度!$B$2:$B$50)</f>
        <v>89641.361599999989</v>
      </c>
      <c r="T28" s="91" ph="1">
        <f>T27*35.891*LOOKUP(T29,密度!$A$2:$A$50,密度!$Q$2:$Q$50)</f>
        <v>9446.285804520001</v>
      </c>
      <c r="U28" s="91" ph="1">
        <f>U27*35.891</f>
        <v>202676.47699999998</v>
      </c>
      <c r="V28" s="91" ph="1">
        <f>V27*47.051*LOOKUP(V29,密度!$A$2:$A$50,密度!$B$2:$B$50)</f>
        <v>390487.9835194</v>
      </c>
      <c r="W28" s="91" ph="1">
        <f>W27*47.051*LOOKUP(W29,密度!$A$2:$A$50,密度!$B$2:$B$50)</f>
        <v>294153.67705499998</v>
      </c>
      <c r="X28" s="91" ph="1">
        <f>X27*47.051*LOOKUP(X29,密度!$A$2:$A$50,密度!$I$2:$I$50)</f>
        <v>138345.38684330002</v>
      </c>
      <c r="Y28" s="91" ph="1">
        <f>Y27*47.051*LOOKUP(Y29,密度!$A$2:$A$50,密度!$L$2:$L$50)</f>
        <v>271310.08719799999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7" ph="1"/>
      <c r="C29" s="144" t="s" ph="1">
        <v>179</v>
      </c>
      <c r="D29" s="74">
        <v>25</v>
      </c>
      <c r="E29" s="74">
        <v>25</v>
      </c>
      <c r="F29" s="74">
        <v>25</v>
      </c>
      <c r="G29" s="74">
        <v>24</v>
      </c>
      <c r="H29" s="74">
        <v>25</v>
      </c>
      <c r="I29" s="74">
        <v>23</v>
      </c>
      <c r="J29" s="74">
        <v>25</v>
      </c>
      <c r="K29" s="74">
        <v>23</v>
      </c>
      <c r="L29" s="74">
        <v>24</v>
      </c>
      <c r="M29" s="74">
        <v>24</v>
      </c>
      <c r="N29" s="74">
        <v>22</v>
      </c>
      <c r="O29" s="74">
        <v>22</v>
      </c>
      <c r="P29" s="74">
        <v>24</v>
      </c>
      <c r="Q29" s="93" t="s">
        <v>643</v>
      </c>
      <c r="R29" s="74">
        <v>24</v>
      </c>
      <c r="S29" s="74">
        <v>24</v>
      </c>
      <c r="T29" s="74">
        <v>25</v>
      </c>
      <c r="U29" s="74">
        <v>24</v>
      </c>
      <c r="V29" s="74">
        <v>23</v>
      </c>
      <c r="W29" s="74">
        <v>24</v>
      </c>
      <c r="X29" s="74">
        <v>25</v>
      </c>
      <c r="Y29" s="74">
        <v>25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44" t="s" ph="1">
        <v>5</v>
      </c>
      <c r="F32" s="145" t="s" ph="1">
        <v>43</v>
      </c>
      <c r="G32" s="97" t="s" ph="1">
        <v>4</v>
      </c>
      <c r="H32" s="144" t="s" ph="1">
        <v>5</v>
      </c>
      <c r="I32" s="145" t="s" ph="1">
        <v>43</v>
      </c>
      <c r="J32" s="97" t="s" ph="1">
        <v>4</v>
      </c>
      <c r="K32" s="144" t="s" ph="1">
        <v>5</v>
      </c>
      <c r="L32" s="145" t="s" ph="1">
        <v>43</v>
      </c>
      <c r="M32" s="97" t="s" ph="1">
        <v>4</v>
      </c>
      <c r="N32" s="144" t="s" ph="1">
        <v>5</v>
      </c>
      <c r="O32" s="14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4" t="s" ph="1">
        <v>5</v>
      </c>
      <c r="U32" s="99" t="s" ph="1">
        <v>43</v>
      </c>
      <c r="V32" s="97" t="s" ph="1">
        <v>4</v>
      </c>
      <c r="W32" s="144" t="s" ph="1">
        <v>5</v>
      </c>
      <c r="X32" s="99" t="s" ph="1">
        <v>43</v>
      </c>
      <c r="Y32" s="100" t="s" ph="1">
        <v>4</v>
      </c>
      <c r="Z32" s="144" t="s" ph="1">
        <v>5</v>
      </c>
      <c r="AA32" s="145" t="s" ph="1">
        <v>43</v>
      </c>
      <c r="AB32" s="97" t="s" ph="1">
        <v>85</v>
      </c>
      <c r="AC32" s="144" t="s" ph="1">
        <v>84</v>
      </c>
      <c r="AD32" s="204" t="s" ph="1">
        <v>83</v>
      </c>
      <c r="AE32" s="20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6" t="s" ph="1">
        <v>181</v>
      </c>
      <c r="C33" s="207" ph="1"/>
      <c r="D33" s="186" ph="1">
        <f>AA10+AB10+Z19</f>
        <v>111521.13103430001</v>
      </c>
      <c r="E33" s="186" ph="1">
        <f>M10+I10</f>
        <v>152772.97720960001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1522252632456786910111213141516171819202123456789101112131415161718192022232424356789101112131415161718192021222345678910111213141516171819202345678910111213149101516171819222123234567891012131415161711181920212224252345678910111213133[[#This Row],[F25]]</f>
        <v>3880</v>
      </c>
      <c r="G33" s="212" ph="1">
        <v>0</v>
      </c>
      <c r="H33" s="186" ph="1">
        <f>N19</f>
        <v>41988.6460792</v>
      </c>
      <c r="I33" s="190" ph="1">
        <v>0</v>
      </c>
      <c r="J33" s="194" ph="1">
        <f>F10+O28</f>
        <v>351089.30768089998</v>
      </c>
      <c r="K33" s="186" ph="1">
        <f>O10+K10+E28+R28</f>
        <v>29164.87774104</v>
      </c>
      <c r="L33" s="196" ph="1">
        <f>BE27</f>
        <v>7100</v>
      </c>
      <c r="M33" s="194" ph="1">
        <f>G10+H10+W28+S28+V28+E10</f>
        <v>1385025.7854323999</v>
      </c>
      <c r="N33" s="186" ph="1">
        <f>L10+P10++G28+H28</f>
        <v>80516.169165999992</v>
      </c>
      <c r="O33" s="190" ph="1">
        <f>BE17</f>
        <v>2270</v>
      </c>
      <c r="P33" s="194" ph="1">
        <f>L19</f>
        <v>28126.380587580003</v>
      </c>
      <c r="Q33" s="186" ph="1">
        <f>J10+N10</f>
        <v>66691.945196800007</v>
      </c>
      <c r="R33" s="190" ph="1">
        <f>BE23</f>
        <v>890</v>
      </c>
      <c r="S33" s="194" ph="1">
        <f>E10+X28</f>
        <v>330774.41206130001</v>
      </c>
      <c r="T33" s="186" ph="1">
        <f>X19</f>
        <v>13808.787939999998</v>
      </c>
      <c r="U33" s="175" ph="1">
        <f>BE21</f>
        <v>730</v>
      </c>
      <c r="V33" s="188" ph="1">
        <f ca="1">P19+Q19+S19+M28+N28+J28</f>
        <v>394869.54105892801</v>
      </c>
      <c r="W33" s="188" ph="1">
        <f>D28+F28+V19+T28</f>
        <v>95692.883783843994</v>
      </c>
      <c r="X33" s="190" ph="1">
        <f>BE29+BE31</f>
        <v>10200</v>
      </c>
      <c r="Y33" s="192" ph="1">
        <f>+Q10+R10+S10+T10+U10+V10+W10+X10+Y10</f>
        <v>247503.60779760001</v>
      </c>
      <c r="Z33" s="173" ph="1">
        <f>D10+T19+U19+Y28+Z10</f>
        <v>605502.31044039992</v>
      </c>
      <c r="AA33" s="175" ph="1">
        <f>BE19</f>
        <v>1440</v>
      </c>
      <c r="AB33" s="177" ph="1">
        <f>I19</f>
        <v>15075.161100800002</v>
      </c>
      <c r="AC33" s="179" ph="1">
        <f>AD10</f>
        <v>93818.123072000002</v>
      </c>
      <c r="AD33" s="181" ph="1">
        <v>0</v>
      </c>
      <c r="AE33" s="18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5" t="s" ph="1">
        <v>633</v>
      </c>
      <c r="AD35" s="185"/>
      <c r="AE35" s="18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1" t="s" ph="1">
        <v>183</v>
      </c>
      <c r="J36" s="171" ph="1"/>
      <c r="K36" s="101" ph="1"/>
      <c r="P36" s="101" ph="1"/>
      <c r="R36" s="171" t="s" ph="1">
        <v>184</v>
      </c>
      <c r="S36" s="171" ph="1"/>
      <c r="Y36" s="102" ph="1"/>
      <c r="Z36" s="146" t="s" ph="1">
        <v>185</v>
      </c>
      <c r="AA36" s="146" ph="1"/>
      <c r="AB36" s="172" t="s" ph="1">
        <v>642</v>
      </c>
      <c r="AC36" s="172" ph="1"/>
      <c r="AD36" s="172" ph="1"/>
      <c r="AE36" s="172" ph="1"/>
      <c r="BA36" s="64" ph="1">
        <v>2270</v>
      </c>
    </row>
    <row r="37" spans="1:57" s="146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6" t="s" ph="1">
        <v>342</v>
      </c>
      <c r="AI37" s="146" t="s" ph="1">
        <v>209</v>
      </c>
      <c r="AJ37" s="146" t="s" ph="1">
        <v>210</v>
      </c>
      <c r="AK37" s="146" t="s" ph="1">
        <v>211</v>
      </c>
      <c r="AM37" s="146" t="s" ph="1">
        <v>210</v>
      </c>
      <c r="AN37" s="146" t="s" ph="1">
        <v>211</v>
      </c>
      <c r="AO37" s="146" t="s" ph="1">
        <v>212</v>
      </c>
      <c r="AP37" s="146" t="s" ph="1">
        <v>210</v>
      </c>
      <c r="AQ37" s="146" t="s" ph="1">
        <v>211</v>
      </c>
      <c r="AR37" s="146" t="s" ph="1">
        <v>212</v>
      </c>
      <c r="AS37" s="146" t="s" ph="1">
        <v>210</v>
      </c>
      <c r="AT37" s="146" t="s" ph="1">
        <v>211</v>
      </c>
      <c r="AU37" s="146" t="s" ph="1">
        <v>212</v>
      </c>
      <c r="AV37" s="146" t="s" ph="1">
        <v>210</v>
      </c>
      <c r="AW37" s="146" t="s" ph="1">
        <v>211</v>
      </c>
      <c r="AX37" s="146" t="s" ph="1">
        <v>212</v>
      </c>
      <c r="AY37" s="146" t="s" ph="1">
        <v>211</v>
      </c>
      <c r="AZ37" s="146" t="s" ph="1">
        <v>213</v>
      </c>
      <c r="BD37" s="146" t="s" ph="1">
        <v>305</v>
      </c>
      <c r="BE37" s="146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431" priority="98">
      <formula>ABS(D$7-D$10)&gt;=1000</formula>
    </cfRule>
  </conditionalFormatting>
  <conditionalFormatting sqref="E4 E6:E11">
    <cfRule type="expression" dxfId="2430" priority="97">
      <formula>ABS(E$7-E$10)&gt;=1000</formula>
    </cfRule>
  </conditionalFormatting>
  <conditionalFormatting sqref="F4:F11">
    <cfRule type="expression" dxfId="2429" priority="96">
      <formula>ABS(F$7-F$10)&gt;=1000</formula>
    </cfRule>
  </conditionalFormatting>
  <conditionalFormatting sqref="G4:G11">
    <cfRule type="expression" dxfId="2428" priority="95">
      <formula>ABS(G$7-G$10)&gt;=1000</formula>
    </cfRule>
  </conditionalFormatting>
  <conditionalFormatting sqref="H4:H11">
    <cfRule type="expression" dxfId="2427" priority="94">
      <formula>ABS(H$7-H$10)&gt;=1000</formula>
    </cfRule>
  </conditionalFormatting>
  <conditionalFormatting sqref="I4:I11">
    <cfRule type="expression" dxfId="2426" priority="93">
      <formula>ABS(I$7-I$10)&gt;=1000</formula>
    </cfRule>
  </conditionalFormatting>
  <conditionalFormatting sqref="J4:J11">
    <cfRule type="expression" dxfId="2425" priority="92">
      <formula>ABS(J$7-J$10)&gt;=1000</formula>
    </cfRule>
  </conditionalFormatting>
  <conditionalFormatting sqref="K4:K11">
    <cfRule type="expression" dxfId="2424" priority="91">
      <formula>ABS(K$7-K$10)&gt;=1000</formula>
    </cfRule>
  </conditionalFormatting>
  <conditionalFormatting sqref="L4:L11">
    <cfRule type="expression" dxfId="2423" priority="90">
      <formula>ABS(L$7-L$10)&gt;=1000</formula>
    </cfRule>
  </conditionalFormatting>
  <conditionalFormatting sqref="M4 M6:M11">
    <cfRule type="expression" dxfId="2422" priority="89">
      <formula>ABS(M$7-M$10)&gt;=1000</formula>
    </cfRule>
  </conditionalFormatting>
  <conditionalFormatting sqref="N4 N6:N11">
    <cfRule type="expression" dxfId="2421" priority="88">
      <formula>ABS(N$7-N$10)&gt;=1000</formula>
    </cfRule>
  </conditionalFormatting>
  <conditionalFormatting sqref="O4 O6:O11">
    <cfRule type="expression" dxfId="2420" priority="87">
      <formula>ABS(O$7-O$10)&gt;=1000</formula>
    </cfRule>
  </conditionalFormatting>
  <conditionalFormatting sqref="P4 P6:P11">
    <cfRule type="expression" dxfId="2419" priority="86">
      <formula>ABS(P$7-P$10)&gt;=1000</formula>
    </cfRule>
  </conditionalFormatting>
  <conditionalFormatting sqref="Q4:Q11">
    <cfRule type="expression" dxfId="2418" priority="85">
      <formula>ABS(Q$7-Q$10)&gt;=1000</formula>
    </cfRule>
  </conditionalFormatting>
  <conditionalFormatting sqref="R4:R11">
    <cfRule type="expression" dxfId="2417" priority="84">
      <formula>ABS(R$7-R$10)&gt;=1000</formula>
    </cfRule>
  </conditionalFormatting>
  <conditionalFormatting sqref="S4:S11">
    <cfRule type="expression" dxfId="2416" priority="83">
      <formula>ABS(S$7-S$10)&gt;=1000</formula>
    </cfRule>
  </conditionalFormatting>
  <conditionalFormatting sqref="T4:T9 T11">
    <cfRule type="expression" dxfId="2415" priority="82">
      <formula>ABS(T$7-T$10)&gt;=1000</formula>
    </cfRule>
  </conditionalFormatting>
  <conditionalFormatting sqref="U4:U9 U11">
    <cfRule type="expression" dxfId="2414" priority="81">
      <formula>ABS(U$7-U$10)&gt;=1000</formula>
    </cfRule>
  </conditionalFormatting>
  <conditionalFormatting sqref="V4:V9 V11">
    <cfRule type="expression" dxfId="2413" priority="80">
      <formula>ABS(V$7-V$10)&gt;=1000</formula>
    </cfRule>
  </conditionalFormatting>
  <conditionalFormatting sqref="W4:W9 W11">
    <cfRule type="expression" dxfId="2412" priority="79">
      <formula>ABS(W$7-W$10)&gt;=1000</formula>
    </cfRule>
  </conditionalFormatting>
  <conditionalFormatting sqref="X4:X9 X11">
    <cfRule type="expression" dxfId="2411" priority="78">
      <formula>ABS(X$7-X$10)&gt;=1000</formula>
    </cfRule>
  </conditionalFormatting>
  <conditionalFormatting sqref="Y4:Y9 Y11">
    <cfRule type="expression" dxfId="2410" priority="77">
      <formula>ABS(Y$7-Y$10)&gt;=1000</formula>
    </cfRule>
  </conditionalFormatting>
  <conditionalFormatting sqref="Z4:Z11">
    <cfRule type="expression" dxfId="2409" priority="76">
      <formula>ABS(Z$7-Z$10)&gt;=1000</formula>
    </cfRule>
  </conditionalFormatting>
  <conditionalFormatting sqref="AA4:AA11">
    <cfRule type="expression" dxfId="2408" priority="75">
      <formula>ABS(AA$7-AA$10)&gt;=1000</formula>
    </cfRule>
  </conditionalFormatting>
  <conditionalFormatting sqref="AB4:AB11">
    <cfRule type="expression" dxfId="2407" priority="74">
      <formula>ABS(AB$7-AB$10)&gt;=1000</formula>
    </cfRule>
  </conditionalFormatting>
  <conditionalFormatting sqref="AC4 AC6:AC11">
    <cfRule type="expression" dxfId="2406" priority="73">
      <formula>ABS(AC$7-AC$10)&gt;=1000</formula>
    </cfRule>
  </conditionalFormatting>
  <conditionalFormatting sqref="AD4:AD11">
    <cfRule type="expression" dxfId="2405" priority="72">
      <formula>ABS(AD$7-AD$10)&gt;=1000</formula>
    </cfRule>
  </conditionalFormatting>
  <conditionalFormatting sqref="AE4 AE6:AE11">
    <cfRule type="expression" dxfId="2404" priority="71">
      <formula>ABS(AE$7-AE$10)&gt;=1000</formula>
    </cfRule>
  </conditionalFormatting>
  <conditionalFormatting sqref="D13:D20">
    <cfRule type="expression" dxfId="2403" priority="70">
      <formula>ABS(D$16-D$19)&gt;=1000</formula>
    </cfRule>
  </conditionalFormatting>
  <conditionalFormatting sqref="E13:E20">
    <cfRule type="expression" dxfId="2402" priority="69">
      <formula>ABS(E$16-E$19)&gt;=1000</formula>
    </cfRule>
  </conditionalFormatting>
  <conditionalFormatting sqref="F13 F15:F20">
    <cfRule type="expression" dxfId="2401" priority="68">
      <formula>ABS(F$16-F$19)&gt;=1000</formula>
    </cfRule>
  </conditionalFormatting>
  <conditionalFormatting sqref="G13:G20">
    <cfRule type="expression" dxfId="2400" priority="67">
      <formula>ABS(G$16-G$19)&gt;=1000</formula>
    </cfRule>
  </conditionalFormatting>
  <conditionalFormatting sqref="H13:H20">
    <cfRule type="expression" dxfId="2399" priority="66">
      <formula>ABS(H$16-H$19)&gt;=1000</formula>
    </cfRule>
  </conditionalFormatting>
  <conditionalFormatting sqref="I13:I20">
    <cfRule type="expression" dxfId="2398" priority="65">
      <formula>ABS(I$16-I$19)&gt;=1000</formula>
    </cfRule>
  </conditionalFormatting>
  <conditionalFormatting sqref="J13:J20">
    <cfRule type="expression" dxfId="2397" priority="64">
      <formula>ABS(J$16-J$19)&gt;=1000</formula>
    </cfRule>
  </conditionalFormatting>
  <conditionalFormatting sqref="L13:L20">
    <cfRule type="expression" dxfId="2396" priority="63">
      <formula>ABS(L$16-L$19)&gt;=1000</formula>
    </cfRule>
  </conditionalFormatting>
  <conditionalFormatting sqref="M13 M15 M17:M18 M20">
    <cfRule type="expression" dxfId="2395" priority="62">
      <formula>ABS(M$16-M$19)&gt;=1000</formula>
    </cfRule>
  </conditionalFormatting>
  <conditionalFormatting sqref="N13:N20">
    <cfRule type="expression" dxfId="2394" priority="61">
      <formula>ABS(N$16-N$19)&gt;=1000</formula>
    </cfRule>
  </conditionalFormatting>
  <conditionalFormatting sqref="O13:O20">
    <cfRule type="expression" dxfId="2393" priority="60">
      <formula>ABS(O$16-O$19)&gt;=1000</formula>
    </cfRule>
  </conditionalFormatting>
  <conditionalFormatting sqref="P13:P20">
    <cfRule type="expression" dxfId="2392" priority="59">
      <formula>ABS(P$16-P$19)&gt;=1000</formula>
    </cfRule>
  </conditionalFormatting>
  <conditionalFormatting sqref="Q13 Q15:Q20">
    <cfRule type="expression" dxfId="2391" priority="58">
      <formula>ABS(Q$16-Q$19)&gt;=1000</formula>
    </cfRule>
  </conditionalFormatting>
  <conditionalFormatting sqref="R13:R20">
    <cfRule type="expression" dxfId="2390" priority="57">
      <formula>ABS(R$16-R$19)&gt;=1000</formula>
    </cfRule>
  </conditionalFormatting>
  <conditionalFormatting sqref="S13:S20">
    <cfRule type="expression" dxfId="2389" priority="56">
      <formula>ABS(S$16-S$19)&gt;=1000</formula>
    </cfRule>
  </conditionalFormatting>
  <conditionalFormatting sqref="T13:T20">
    <cfRule type="expression" dxfId="2388" priority="55">
      <formula>ABS(T$16-T$19)&gt;=1000</formula>
    </cfRule>
  </conditionalFormatting>
  <conditionalFormatting sqref="U13:U20">
    <cfRule type="expression" dxfId="2387" priority="54">
      <formula>ABS(U$16-U$19)&gt;=1000</formula>
    </cfRule>
  </conditionalFormatting>
  <conditionalFormatting sqref="V13:V20">
    <cfRule type="expression" dxfId="2386" priority="53">
      <formula>ABS(V$16-V$19)&gt;=1000</formula>
    </cfRule>
  </conditionalFormatting>
  <conditionalFormatting sqref="W13 W20 W15:W18">
    <cfRule type="expression" dxfId="2385" priority="52">
      <formula>ABS(W$16-W$19)&gt;=1000</formula>
    </cfRule>
  </conditionalFormatting>
  <conditionalFormatting sqref="X13 X15:X20 Y19">
    <cfRule type="expression" dxfId="2384" priority="51">
      <formula>ABS(X$16-X$19)&gt;=1000</formula>
    </cfRule>
  </conditionalFormatting>
  <conditionalFormatting sqref="Y13 Y15:Y18 Y20">
    <cfRule type="expression" dxfId="2383" priority="50">
      <formula>ABS(Y$16-Y$19)&gt;=1000</formula>
    </cfRule>
  </conditionalFormatting>
  <conditionalFormatting sqref="Z13:Z20">
    <cfRule type="expression" dxfId="2382" priority="49">
      <formula>ABS(Z$16-Z$19)&gt;=1000</formula>
    </cfRule>
  </conditionalFormatting>
  <conditionalFormatting sqref="AA13:AA20">
    <cfRule type="expression" dxfId="2381" priority="48">
      <formula>ABS(AA$16-AA$19)&gt;=1000</formula>
    </cfRule>
  </conditionalFormatting>
  <conditionalFormatting sqref="AB13 AB15:AB20">
    <cfRule type="expression" dxfId="2380" priority="47">
      <formula>ABS(AB$16-AB$19)&gt;=1000</formula>
    </cfRule>
  </conditionalFormatting>
  <conditionalFormatting sqref="AC13 AC15:AC20">
    <cfRule type="expression" dxfId="2379" priority="46">
      <formula>ABS(AC$16-AC$19)&gt;=1000</formula>
    </cfRule>
  </conditionalFormatting>
  <conditionalFormatting sqref="AD13:AD20">
    <cfRule type="expression" dxfId="2378" priority="45">
      <formula>ABS(AD$16-AD$19)&gt;=1000</formula>
    </cfRule>
  </conditionalFormatting>
  <conditionalFormatting sqref="AE13:AE20">
    <cfRule type="expression" dxfId="2377" priority="44">
      <formula>ABS(AE$16-AE$19)&gt;=1000</formula>
    </cfRule>
  </conditionalFormatting>
  <conditionalFormatting sqref="D22:D29">
    <cfRule type="expression" dxfId="2376" priority="43">
      <formula>ABS(D$25-D$28)&gt;=1000</formula>
    </cfRule>
  </conditionalFormatting>
  <conditionalFormatting sqref="E22:E29">
    <cfRule type="expression" dxfId="2375" priority="42">
      <formula>ABS(E$25-E$28)&gt;=1000</formula>
    </cfRule>
  </conditionalFormatting>
  <conditionalFormatting sqref="F22:F29">
    <cfRule type="expression" dxfId="2374" priority="41">
      <formula>ABS(F$25-F$28)&gt;=1000</formula>
    </cfRule>
  </conditionalFormatting>
  <conditionalFormatting sqref="G22:G29">
    <cfRule type="expression" dxfId="2373" priority="40">
      <formula>ABS(G$25-G$28)&gt;=1000</formula>
    </cfRule>
  </conditionalFormatting>
  <conditionalFormatting sqref="H22:H29">
    <cfRule type="expression" dxfId="2372" priority="39">
      <formula>ABS(H$25-H$28)&gt;=1000</formula>
    </cfRule>
  </conditionalFormatting>
  <conditionalFormatting sqref="I22 I24:I29">
    <cfRule type="expression" dxfId="2371" priority="38">
      <formula>ABS(I$25-I$28)&gt;=1000</formula>
    </cfRule>
  </conditionalFormatting>
  <conditionalFormatting sqref="J22:J29 K22">
    <cfRule type="expression" dxfId="2370" priority="37">
      <formula>ABS(J$25-J$28)&gt;=1000</formula>
    </cfRule>
  </conditionalFormatting>
  <conditionalFormatting sqref="K23:K29 L25 L28">
    <cfRule type="expression" dxfId="2369" priority="36">
      <formula>ABS(K$25-K$28)&gt;=1000</formula>
    </cfRule>
  </conditionalFormatting>
  <conditionalFormatting sqref="L22 L26:L27 L29 L24">
    <cfRule type="expression" dxfId="2368" priority="35">
      <formula>ABS(L$25-L$28)&gt;=1000</formula>
    </cfRule>
  </conditionalFormatting>
  <conditionalFormatting sqref="M22:M29">
    <cfRule type="expression" dxfId="2367" priority="34">
      <formula>ABS(M$25-M$28)&gt;=1000</formula>
    </cfRule>
  </conditionalFormatting>
  <conditionalFormatting sqref="N22:N29">
    <cfRule type="expression" dxfId="2366" priority="33">
      <formula>ABS(N$25-N$28)&gt;=1000</formula>
    </cfRule>
  </conditionalFormatting>
  <conditionalFormatting sqref="O22:O29">
    <cfRule type="expression" dxfId="2365" priority="32">
      <formula>ABS(O$25-O$28)&gt;=1000</formula>
    </cfRule>
  </conditionalFormatting>
  <conditionalFormatting sqref="P22:P29">
    <cfRule type="expression" dxfId="2364" priority="31">
      <formula>ABS(P$25-P$28)&gt;=1000</formula>
    </cfRule>
  </conditionalFormatting>
  <conditionalFormatting sqref="Q22:Q29">
    <cfRule type="expression" dxfId="2363" priority="30">
      <formula>ABS(Q$25-Q$28)&gt;=1000</formula>
    </cfRule>
  </conditionalFormatting>
  <conditionalFormatting sqref="R22:R29">
    <cfRule type="expression" dxfId="2362" priority="29">
      <formula>ABS(R$25-R$28)&gt;=1000</formula>
    </cfRule>
  </conditionalFormatting>
  <conditionalFormatting sqref="S22:S29">
    <cfRule type="expression" dxfId="2361" priority="28">
      <formula>ABS(S$25-S$28)&gt;=1000</formula>
    </cfRule>
  </conditionalFormatting>
  <conditionalFormatting sqref="T22:T29">
    <cfRule type="expression" dxfId="2360" priority="27">
      <formula>ABS(T$25-T$28)&gt;=1000</formula>
    </cfRule>
  </conditionalFormatting>
  <conditionalFormatting sqref="U22:U29">
    <cfRule type="expression" dxfId="2359" priority="26">
      <formula>ABS(U$25-U$28)&gt;=1000</formula>
    </cfRule>
  </conditionalFormatting>
  <conditionalFormatting sqref="V22:V29">
    <cfRule type="expression" dxfId="2358" priority="25">
      <formula>ABS(V$25-V$28)&gt;=1000</formula>
    </cfRule>
  </conditionalFormatting>
  <conditionalFormatting sqref="W22:W29">
    <cfRule type="expression" dxfId="2357" priority="24">
      <formula>ABS(W$25-W$28)&gt;=1000</formula>
    </cfRule>
  </conditionalFormatting>
  <conditionalFormatting sqref="X22:X29">
    <cfRule type="expression" dxfId="2356" priority="23">
      <formula>ABS(X$25-X$28)&gt;=1000</formula>
    </cfRule>
  </conditionalFormatting>
  <conditionalFormatting sqref="Y22:Y29">
    <cfRule type="expression" dxfId="2355" priority="22">
      <formula>ABS(Y$25-Y$28)&gt;=1000</formula>
    </cfRule>
  </conditionalFormatting>
  <conditionalFormatting sqref="I23">
    <cfRule type="expression" dxfId="2354" priority="21">
      <formula>ABS(I$25-I$28)&gt;=1000</formula>
    </cfRule>
  </conditionalFormatting>
  <conditionalFormatting sqref="Q14">
    <cfRule type="expression" dxfId="2353" priority="20">
      <formula>ABS(Q$16-Q$19)&gt;=1000</formula>
    </cfRule>
  </conditionalFormatting>
  <conditionalFormatting sqref="W14">
    <cfRule type="expression" dxfId="2352" priority="19">
      <formula>ABS(W$16-W$19)&gt;=1000</formula>
    </cfRule>
  </conditionalFormatting>
  <conditionalFormatting sqref="Y14">
    <cfRule type="expression" dxfId="2351" priority="18">
      <formula>ABS(Y$16-Y$19)&gt;=1000</formula>
    </cfRule>
  </conditionalFormatting>
  <conditionalFormatting sqref="X14">
    <cfRule type="expression" dxfId="2350" priority="17">
      <formula>ABS(X$16-X$19)&gt;=1000</formula>
    </cfRule>
  </conditionalFormatting>
  <conditionalFormatting sqref="T10:Y10">
    <cfRule type="expression" dxfId="2349" priority="16">
      <formula>ABS(T$7-T$10)&gt;=1000</formula>
    </cfRule>
  </conditionalFormatting>
  <conditionalFormatting sqref="W19">
    <cfRule type="expression" dxfId="2348" priority="15">
      <formula>ABS(W$16-W$19)&gt;=1000</formula>
    </cfRule>
  </conditionalFormatting>
  <conditionalFormatting sqref="AC5">
    <cfRule type="expression" dxfId="2347" priority="14">
      <formula>ABS(AC$7-AC$10)&gt;=1000</formula>
    </cfRule>
  </conditionalFormatting>
  <conditionalFormatting sqref="M14">
    <cfRule type="expression" dxfId="2346" priority="13">
      <formula>ABS(M$16-M$19)&gt;=1000</formula>
    </cfRule>
  </conditionalFormatting>
  <conditionalFormatting sqref="M16">
    <cfRule type="expression" dxfId="2345" priority="12">
      <formula>ABS(M$16-M$19)&gt;=1000</formula>
    </cfRule>
  </conditionalFormatting>
  <conditionalFormatting sqref="M19">
    <cfRule type="expression" dxfId="2344" priority="11">
      <formula>ABS(M$16-M$19)&gt;=1000</formula>
    </cfRule>
  </conditionalFormatting>
  <conditionalFormatting sqref="K13:K20">
    <cfRule type="expression" dxfId="2343" priority="10">
      <formula>ABS(K$16-K$19)&gt;=1000</formula>
    </cfRule>
  </conditionalFormatting>
  <conditionalFormatting sqref="E5">
    <cfRule type="expression" dxfId="2342" priority="9">
      <formula>ABS(E$7-E$10)&gt;=1000</formula>
    </cfRule>
  </conditionalFormatting>
  <conditionalFormatting sqref="AB14:AC14">
    <cfRule type="expression" dxfId="2341" priority="8">
      <formula>ABS(AB$16-AB$19)&gt;=1000</formula>
    </cfRule>
  </conditionalFormatting>
  <conditionalFormatting sqref="M5">
    <cfRule type="expression" dxfId="2340" priority="7">
      <formula>ABS(M$7-M$10)&gt;=1000</formula>
    </cfRule>
  </conditionalFormatting>
  <conditionalFormatting sqref="N5">
    <cfRule type="expression" dxfId="2339" priority="6">
      <formula>ABS(N$7-N$10)&gt;=1000</formula>
    </cfRule>
  </conditionalFormatting>
  <conditionalFormatting sqref="O5">
    <cfRule type="expression" dxfId="2338" priority="5">
      <formula>ABS(O$7-O$10)&gt;=1000</formula>
    </cfRule>
  </conditionalFormatting>
  <conditionalFormatting sqref="P5">
    <cfRule type="expression" dxfId="2337" priority="4">
      <formula>ABS(P$7-P$10)&gt;=1000</formula>
    </cfRule>
  </conditionalFormatting>
  <conditionalFormatting sqref="L23">
    <cfRule type="expression" dxfId="2336" priority="3">
      <formula>ABS(L$25-L$28)&gt;=1000</formula>
    </cfRule>
  </conditionalFormatting>
  <conditionalFormatting sqref="F14">
    <cfRule type="expression" dxfId="2335" priority="2">
      <formula>ABS(F$16-F$19)&gt;=1000</formula>
    </cfRule>
  </conditionalFormatting>
  <conditionalFormatting sqref="AE5">
    <cfRule type="expression" dxfId="2334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40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57">
    <pageSetUpPr fitToPage="1"/>
  </sheetPr>
  <dimension ref="A1:CU223"/>
  <sheetViews>
    <sheetView tabSelected="1" view="pageBreakPreview" zoomScale="80" zoomScaleNormal="100" zoomScaleSheetLayoutView="80" workbookViewId="0">
      <selection activeCell="AF24" sqref="AF2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8" t="s" ph="1">
        <v>161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" customHeight="1" ph="1">
      <c r="B3" s="240" ph="1">
        <v>45965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9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47" t="s" ph="1">
        <v>177</v>
      </c>
      <c r="D6" s="71">
        <v>6783</v>
      </c>
      <c r="E6" s="71">
        <v>4748</v>
      </c>
      <c r="F6" s="71">
        <v>5956</v>
      </c>
      <c r="G6" s="71">
        <v>4666</v>
      </c>
      <c r="H6" s="71">
        <v>5224</v>
      </c>
      <c r="I6" s="71">
        <v>40.92</v>
      </c>
      <c r="J6" s="71">
        <v>7.01</v>
      </c>
      <c r="K6" s="71">
        <v>8.42</v>
      </c>
      <c r="L6" s="71">
        <v>31.47</v>
      </c>
      <c r="M6" s="71">
        <v>4276</v>
      </c>
      <c r="N6" s="71">
        <v>2502</v>
      </c>
      <c r="O6" s="71">
        <v>104</v>
      </c>
      <c r="P6" s="71">
        <v>612</v>
      </c>
      <c r="Q6" s="71">
        <v>0</v>
      </c>
      <c r="R6" s="71">
        <v>0</v>
      </c>
      <c r="S6" s="71">
        <v>0</v>
      </c>
      <c r="T6" s="71">
        <v>7245</v>
      </c>
      <c r="U6" s="71">
        <v>5891</v>
      </c>
      <c r="V6" s="71">
        <v>6336</v>
      </c>
      <c r="W6" s="71">
        <v>4501</v>
      </c>
      <c r="X6" s="71">
        <v>5757</v>
      </c>
      <c r="Y6" s="71">
        <v>2674</v>
      </c>
      <c r="Z6" s="71">
        <v>2939</v>
      </c>
      <c r="AA6" s="71">
        <v>768</v>
      </c>
      <c r="AB6" s="71">
        <v>4040</v>
      </c>
      <c r="AC6" s="71">
        <v>1678</v>
      </c>
      <c r="AD6" s="71">
        <v>4780</v>
      </c>
      <c r="AE6" s="71">
        <v>6100</v>
      </c>
    </row>
    <row r="7" spans="1:99" s="72" customFormat="1" ht="22.2" ph="1">
      <c r="B7" s="237" ph="1"/>
      <c r="C7" s="68" t="s" ph="1">
        <v>178</v>
      </c>
      <c r="D7" s="73" ph="1">
        <f>D6*33.183*LOOKUP(D8,密度!$A$2:$A$50,密度!$Q$2:$Q$50)</f>
        <v>213621.45148701</v>
      </c>
      <c r="E7" s="73" ph="1">
        <f>E6*51.53*LOOKUP(E8,密度!$A$2:$A$50,密度!$B$2:$B$50)</f>
        <v>191400.991412</v>
      </c>
      <c r="F7" s="73" ph="1">
        <f>F6*33.183*LOOKUP(F8,密度!$A$2:$A$50,密度!$C$2:$C$50)</f>
        <v>219595.5240228</v>
      </c>
      <c r="G7" s="73" ph="1">
        <f xml:space="preserve"> (G6+2)*51.53*LOOKUP(G8,密度!$A$2:$A$50,密度!$B$2:$B$50)</f>
        <v>188801.44719600002</v>
      </c>
      <c r="H7" s="73" ph="1">
        <f>(H6)*51.53*LOOKUP(H8,密度!$A$2:$A$50,密度!$B$2:$B$50)</f>
        <v>211289.36592800004</v>
      </c>
      <c r="I7" s="73" ph="1">
        <f>I6*290.8*1.0267</f>
        <v>12217.2536112</v>
      </c>
      <c r="J7" s="73" ph="1">
        <f>J6*290.8*0.7892</f>
        <v>1608.7905136000002</v>
      </c>
      <c r="K7" s="73" ph="1">
        <f>K6*290.8*1.1126</f>
        <v>2724.2411536</v>
      </c>
      <c r="L7" s="73" ph="1">
        <f>L6*290.8*0.777</f>
        <v>7110.6968520000009</v>
      </c>
      <c r="M7" s="73" ph="1">
        <f>M6*33.183*LOOKUP(M8,密度!$A$2:$A$50,密度!$D$2:$D$50)</f>
        <v>145948.57652879998</v>
      </c>
      <c r="N7" s="73" ph="1">
        <f>N6*33.183*LOOKUP(N8,密度!$A$2:$A$50,密度!$E$2:$E$50)</f>
        <v>65123.920490399993</v>
      </c>
      <c r="O7" s="73" ph="1">
        <f>O6*20.428*LOOKUP(O8,密度!$A$2:$A$50,密度!$C$2:$C$50)</f>
        <v>2357.3585152000001</v>
      </c>
      <c r="P7" s="73" ph="1">
        <f>P6*51.53*LOOKUP(P8,密度!$A$2:$A$50,密度!$B$2:$B$50)</f>
        <v>24727.659876000002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48292.922600999998</v>
      </c>
      <c r="U7" s="73" ph="1">
        <f>U6*1.5*1.5*3.1416*LOOKUP(U8,密度!$A$2:$A$50,密度!$L$2:$L$50)</f>
        <v>39101.014121400003</v>
      </c>
      <c r="V7" s="73" ph="1">
        <f>V6*1.5*1.5*3.1416*LOOKUP(V8,密度!$A$2:$A$50,密度!$L$2:$L$50)</f>
        <v>41965.090675200001</v>
      </c>
      <c r="W7" s="73" ph="1">
        <f>W6*1.5*1.5*3.1416*LOOKUP(W8,密度!$A$2:$A$50,密度!$L$2:$L$50)</f>
        <v>29875.006715399999</v>
      </c>
      <c r="X7" s="73" ph="1">
        <f>X6*1.5*1.5*3.1416*LOOKUP(X8,密度!$A$2:$A$50,密度!$L$2:$L$50)</f>
        <v>38577.845829600003</v>
      </c>
      <c r="Y7" s="73" ph="1">
        <f>Y6*1.5*1.5*3.1416*LOOKUP(Y8,密度!$A$2:$A$50,密度!$L$2:$L$50)</f>
        <v>17767.350215999999</v>
      </c>
      <c r="Z7" s="73" ph="1">
        <f>Z6*33.183*LOOKUP(Z8,密度!$A$2:$A$50,密度!$L$2:$L$50)</f>
        <v>92063.446127999996</v>
      </c>
      <c r="AA7" s="73" ph="1">
        <f>AA6*33.183*LOOKUP(AA8,密度!$A$2:$A$50,密度!$D$2:$D$50)</f>
        <v>26187.917414400003</v>
      </c>
      <c r="AB7" s="73" ph="1">
        <f>AB6*20.428*LOOKUP(AB8,密度!$A$2:$A$50,密度!$D$2:$D$50)</f>
        <v>85467.156672000012</v>
      </c>
      <c r="AC7" s="73" ph="1">
        <f>AC6*51.53*LOOKUP(AC8,密度!$A$2:$A$50,密度!$Q$2:$Q$50)</f>
        <v>82117.168124599993</v>
      </c>
      <c r="AD7" s="73" ph="1">
        <f>AD6*20.428*LOOKUP(AD8,密度!$A$2:$A$50,密度!$V$2:$V$50)</f>
        <v>93818.123072000002</v>
      </c>
      <c r="AE7" s="73" ph="1">
        <f>AE6*20.428</f>
        <v>124610.8</v>
      </c>
    </row>
    <row r="8" spans="1:99" ph="1">
      <c r="B8" s="237" ph="1"/>
      <c r="C8" s="68" t="s" ph="1">
        <v>179</v>
      </c>
      <c r="D8" s="74">
        <v>22</v>
      </c>
      <c r="E8" s="74">
        <v>22</v>
      </c>
      <c r="F8" s="74">
        <v>22</v>
      </c>
      <c r="G8" s="74">
        <v>19</v>
      </c>
      <c r="H8" s="74">
        <v>19</v>
      </c>
      <c r="I8" s="74">
        <v>25</v>
      </c>
      <c r="J8" s="74">
        <v>25</v>
      </c>
      <c r="K8" s="74">
        <v>25</v>
      </c>
      <c r="L8" s="74">
        <v>25</v>
      </c>
      <c r="M8" s="74">
        <v>23</v>
      </c>
      <c r="N8" s="74">
        <v>24</v>
      </c>
      <c r="O8" s="74">
        <v>24</v>
      </c>
      <c r="P8" s="74">
        <v>20</v>
      </c>
      <c r="Q8" s="74">
        <v>23</v>
      </c>
      <c r="R8" s="74">
        <v>28</v>
      </c>
      <c r="S8" s="74">
        <v>19</v>
      </c>
      <c r="T8" s="74">
        <v>19</v>
      </c>
      <c r="U8" s="74">
        <v>23</v>
      </c>
      <c r="V8" s="74">
        <v>25</v>
      </c>
      <c r="W8" s="74">
        <v>23</v>
      </c>
      <c r="X8" s="74">
        <v>14</v>
      </c>
      <c r="Y8" s="74">
        <v>22</v>
      </c>
      <c r="Z8" s="74">
        <v>18</v>
      </c>
      <c r="AA8" s="74">
        <v>24</v>
      </c>
      <c r="AB8" s="74">
        <v>15</v>
      </c>
      <c r="AC8" s="74">
        <v>21</v>
      </c>
      <c r="AD8" s="74">
        <v>22</v>
      </c>
      <c r="AE8" s="74">
        <v>24</v>
      </c>
    </row>
    <row r="9" spans="1:99" ht="26.4" ph="1">
      <c r="B9" s="237" ph="1">
        <v>0.66666666666666663</v>
      </c>
      <c r="C9" s="147" t="s" ph="1">
        <v>180</v>
      </c>
      <c r="D9" s="71">
        <v>6785</v>
      </c>
      <c r="E9" s="71">
        <v>4750</v>
      </c>
      <c r="F9" s="71">
        <v>5460</v>
      </c>
      <c r="G9" s="71">
        <v>4414</v>
      </c>
      <c r="H9" s="71">
        <v>5226</v>
      </c>
      <c r="I9" s="71">
        <v>40.9</v>
      </c>
      <c r="J9" s="71">
        <v>7.01</v>
      </c>
      <c r="K9" s="71">
        <v>8.44</v>
      </c>
      <c r="L9" s="71">
        <v>9.83</v>
      </c>
      <c r="M9" s="71">
        <v>4276</v>
      </c>
      <c r="N9" s="71">
        <v>2439</v>
      </c>
      <c r="O9" s="71">
        <v>103</v>
      </c>
      <c r="P9" s="71">
        <v>329</v>
      </c>
      <c r="Q9" s="71">
        <v>0</v>
      </c>
      <c r="R9" s="71">
        <v>0</v>
      </c>
      <c r="S9" s="71">
        <v>0</v>
      </c>
      <c r="T9" s="71">
        <v>5605</v>
      </c>
      <c r="U9" s="71">
        <v>5894</v>
      </c>
      <c r="V9" s="71">
        <v>6341</v>
      </c>
      <c r="W9" s="71">
        <v>4505</v>
      </c>
      <c r="X9" s="71">
        <v>7088</v>
      </c>
      <c r="Y9" s="71">
        <v>4647</v>
      </c>
      <c r="Z9" s="71">
        <v>3069</v>
      </c>
      <c r="AA9" s="71">
        <v>768</v>
      </c>
      <c r="AB9" s="71">
        <v>4043</v>
      </c>
      <c r="AC9" s="71">
        <v>1973</v>
      </c>
      <c r="AD9" s="71">
        <v>4780</v>
      </c>
      <c r="AE9" s="71">
        <v>5875</v>
      </c>
    </row>
    <row r="10" spans="1:99" s="72" customFormat="1" ht="22.2" ph="1">
      <c r="B10" s="237" ph="1"/>
      <c r="C10" s="147" t="s" ph="1">
        <v>178</v>
      </c>
      <c r="D10" s="73" ph="1">
        <f>D9*33.183*LOOKUP(D11,密度!$A$2:$A$50,密度!$Q$2:$Q$50)</f>
        <v>213319.70121285002</v>
      </c>
      <c r="E10" s="73" ph="1">
        <f>E9*51.53*LOOKUP(E11,密度!$A$2:$A$50,密度!$B$2:$B$50)</f>
        <v>191041.03375</v>
      </c>
      <c r="F10" s="73" ph="1">
        <f>F9*33.183*LOOKUP(F11,密度!$A$2:$A$50,密度!$C$2:$C$50)</f>
        <v>201181.36147199999</v>
      </c>
      <c r="G10" s="73" ph="1">
        <f xml:space="preserve"> (G9+2)*51.53*LOOKUP(G11,密度!$A$2:$A$50,密度!$B$2:$B$50)</f>
        <v>178017.43430399999</v>
      </c>
      <c r="H10" s="73" ph="1">
        <f>(H9)*51.53*LOOKUP(H11,密度!$A$2:$A$50,密度!$B$2:$B$50)</f>
        <v>210670.08869400003</v>
      </c>
      <c r="I10" s="73" ph="1">
        <f>I9*290.8*1.0267</f>
        <v>12211.282323999998</v>
      </c>
      <c r="J10" s="73" ph="1">
        <f>J9*290.8*0.7892</f>
        <v>1608.7905136000002</v>
      </c>
      <c r="K10" s="73" ph="1">
        <f>K9*290.8*1.1126</f>
        <v>2730.7120351999997</v>
      </c>
      <c r="L10" s="73" ph="1">
        <f>L9*290.8*0.777</f>
        <v>2221.1042280000001</v>
      </c>
      <c r="M10" s="73" ph="1">
        <f>M9*33.183*LOOKUP(M11,密度!$A$2:$A$50,密度!$D$2:$D$50)</f>
        <v>145678.98456359998</v>
      </c>
      <c r="N10" s="73" ph="1">
        <f>N9*33.183*LOOKUP(N11,密度!$A$2:$A$50,密度!$E$2:$E$50)</f>
        <v>63386.989538399997</v>
      </c>
      <c r="O10" s="73" ph="1">
        <f>O9*20.428*LOOKUP(O11,密度!$A$2:$A$50,密度!$C$2:$C$50)</f>
        <v>2325.2232284000002</v>
      </c>
      <c r="P10" s="73" ph="1">
        <f>P9*51.53*LOOKUP(P11,密度!$A$2:$A$50,密度!$B$2:$B$50)</f>
        <v>13232.105284999998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37242.332819999996</v>
      </c>
      <c r="U10" s="73" ph="1">
        <f>U9*1.5*1.5*3.1416*LOOKUP(U11,密度!$A$2:$A$50,密度!$L$2:$L$50)</f>
        <v>39037.601710800001</v>
      </c>
      <c r="V10" s="73" ph="1">
        <f>V9*1.5*1.5*3.1416*LOOKUP(V11,密度!$A$2:$A$50,密度!$L$2:$L$50)</f>
        <v>41908.563081</v>
      </c>
      <c r="W10" s="73" ph="1">
        <f>W9*1.5*1.5*3.1416*LOOKUP(W11,密度!$A$2:$A$50,密度!$L$2:$L$50)</f>
        <v>29869.712333999996</v>
      </c>
      <c r="X10" s="73" ph="1">
        <f>X9*1.5*1.5*3.1416*LOOKUP(X11,密度!$A$2:$A$50,密度!$L$2:$L$50)</f>
        <v>47046.000355199998</v>
      </c>
      <c r="Y10" s="73" ph="1">
        <f>Y9*1.5*1.5*3.1416*LOOKUP(Y11,密度!$A$2:$A$50,密度!$L$2:$L$50)</f>
        <v>30778.373795400003</v>
      </c>
      <c r="Z10" s="73" ph="1">
        <f>Z9*33.183*LOOKUP(Z11,密度!$A$2:$A$50,密度!$L$2:$L$50)</f>
        <v>95830.148006999982</v>
      </c>
      <c r="AA10" s="73" ph="1">
        <f>AA9*33.183*LOOKUP(AA11,密度!$A$2:$A$50,密度!$D$2:$D$50)</f>
        <v>26164.981324799999</v>
      </c>
      <c r="AB10" s="73" ph="1">
        <f>AB9*20.428*LOOKUP(AB11,密度!$A$2:$A$50,密度!$D$2:$D$50)</f>
        <v>85390.218695600008</v>
      </c>
      <c r="AC10" s="73" ph="1">
        <f>AC9*51.53*LOOKUP(AC11,密度!$A$2:$A$50,密度!$Q$2:$Q$50)</f>
        <v>96328.033714300007</v>
      </c>
      <c r="AD10" s="73" ph="1">
        <f>AD9*20.428*LOOKUP(AD11,密度!$A$2:$A$50,密度!$V$2:$V$50)</f>
        <v>93818.123072000002</v>
      </c>
      <c r="AE10" s="73" ph="1">
        <f>AE9*20.428</f>
        <v>120014.5</v>
      </c>
    </row>
    <row r="11" spans="1:99" ph="1">
      <c r="A11" s="64" t="s" ph="1">
        <v>162</v>
      </c>
      <c r="B11" s="237" ph="1"/>
      <c r="C11" s="147" t="s" ph="1">
        <v>179</v>
      </c>
      <c r="D11" s="74">
        <v>24</v>
      </c>
      <c r="E11" s="74">
        <v>24</v>
      </c>
      <c r="F11" s="74">
        <v>23</v>
      </c>
      <c r="G11" s="74">
        <v>22</v>
      </c>
      <c r="H11" s="74">
        <v>22</v>
      </c>
      <c r="I11" s="74">
        <v>25</v>
      </c>
      <c r="J11" s="74">
        <v>25</v>
      </c>
      <c r="K11" s="74">
        <v>25</v>
      </c>
      <c r="L11" s="74">
        <v>25</v>
      </c>
      <c r="M11" s="74">
        <v>25</v>
      </c>
      <c r="N11" s="74">
        <v>25</v>
      </c>
      <c r="O11" s="74">
        <v>30</v>
      </c>
      <c r="P11" s="74">
        <v>24</v>
      </c>
      <c r="Q11" s="74">
        <v>27</v>
      </c>
      <c r="R11" s="74">
        <v>31</v>
      </c>
      <c r="S11" s="74">
        <v>22</v>
      </c>
      <c r="T11" s="74">
        <v>22</v>
      </c>
      <c r="U11" s="74">
        <v>25</v>
      </c>
      <c r="V11" s="74">
        <v>27</v>
      </c>
      <c r="W11" s="74">
        <v>24</v>
      </c>
      <c r="X11" s="74">
        <v>23</v>
      </c>
      <c r="Y11" s="74">
        <v>25</v>
      </c>
      <c r="Z11" s="74">
        <v>21</v>
      </c>
      <c r="AA11" s="74">
        <v>25</v>
      </c>
      <c r="AB11" s="74">
        <v>17</v>
      </c>
      <c r="AC11" s="74">
        <v>24</v>
      </c>
      <c r="AD11" s="74">
        <v>24</v>
      </c>
      <c r="AE11" s="74">
        <v>26</v>
      </c>
    </row>
    <row r="12" spans="1:99" ht="9.9" customHeight="1" ph="1"/>
    <row r="13" spans="1:99" s="72" customFormat="1" ht="29.25" customHeight="1" ph="1">
      <c r="B13" s="214" t="s" ph="1">
        <v>37</v>
      </c>
      <c r="C13" s="147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5" ph="1"/>
      <c r="C14" s="67" t="s" ph="1">
        <v>36</v>
      </c>
      <c r="D14" s="77" t="s" ph="1">
        <v>616</v>
      </c>
      <c r="E14" s="77" t="s" ph="1">
        <v>616</v>
      </c>
      <c r="F14" s="77" t="s" ph="1">
        <v>639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636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635</v>
      </c>
      <c r="AC14" s="77" t="s" ph="1">
        <v>637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6" ph="1">
        <v>0.33333333333333331</v>
      </c>
      <c r="C15" s="147" t="s" ph="1">
        <v>177</v>
      </c>
      <c r="D15" s="78">
        <v>5954</v>
      </c>
      <c r="E15" s="78">
        <v>783</v>
      </c>
      <c r="F15" s="78">
        <v>2138</v>
      </c>
      <c r="G15" s="78">
        <v>3062</v>
      </c>
      <c r="H15" s="78">
        <v>0</v>
      </c>
      <c r="I15" s="78">
        <v>1615</v>
      </c>
      <c r="J15" s="78">
        <v>735</v>
      </c>
      <c r="K15" s="78">
        <v>4765</v>
      </c>
      <c r="L15" s="78">
        <v>3956</v>
      </c>
      <c r="M15" s="78">
        <v>6991</v>
      </c>
      <c r="N15" s="78">
        <v>2213</v>
      </c>
      <c r="O15" s="78">
        <v>6389</v>
      </c>
      <c r="P15" s="78">
        <v>6930</v>
      </c>
      <c r="Q15" s="78">
        <v>1609</v>
      </c>
      <c r="R15" s="78">
        <v>0</v>
      </c>
      <c r="S15" s="78">
        <v>6183</v>
      </c>
      <c r="T15" s="78">
        <v>1449</v>
      </c>
      <c r="U15" s="78">
        <v>5895</v>
      </c>
      <c r="V15" s="78">
        <v>4935</v>
      </c>
      <c r="W15" s="71">
        <v>5038</v>
      </c>
      <c r="X15" s="78">
        <v>849</v>
      </c>
      <c r="Y15" s="106">
        <v>-9905</v>
      </c>
      <c r="Z15" s="78">
        <v>0</v>
      </c>
      <c r="AA15" s="78">
        <v>0</v>
      </c>
      <c r="AB15" s="78" ph="1">
        <v>1091</v>
      </c>
      <c r="AC15" s="78" ph="1">
        <v>2140</v>
      </c>
      <c r="AD15" s="78">
        <v>84.61</v>
      </c>
      <c r="AE15" s="78">
        <v>20.49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7" ph="1"/>
      <c r="C16" s="147" t="s" ph="1">
        <v>178</v>
      </c>
      <c r="D16" s="73" ph="1">
        <f>D15*7.0686*LOOKUP(D17,密度!$A$2:$A$50,密度!$L$2:$L$50)</f>
        <v>39477.0848472</v>
      </c>
      <c r="E16" s="73" ph="1">
        <f>E15*7.0686*LOOKUP(E17,密度!$A$2:$A$50,密度!$L$2:$L$50)</f>
        <v>5191.5615444000005</v>
      </c>
      <c r="F16" s="73" ph="1">
        <f>F15*9.0746*LOOKUP(F17,密度!$A$2:$A$50,密度!$L$2:$L$50)</f>
        <v>18179.200627600003</v>
      </c>
      <c r="G16" s="73" ph="1">
        <f>G15*9.0746*LOOKUP(G17,密度!$A$2:$A$50,密度!$B$2:$B$50)</f>
        <v>21712.312651280001</v>
      </c>
      <c r="H16" s="73" ph="1">
        <f>H15*9.0746*LOOKUP(H17,密度!$A$2:$A$50,密度!$L$2:$L$50)</f>
        <v>0</v>
      </c>
      <c r="I16" s="73" ph="1">
        <f>I15*9.0746*LOOKUP(I17,密度!$A$2:$A$50,密度!$U$2:$U$50)</f>
        <v>15065.832412000002</v>
      </c>
      <c r="J16" s="73" ph="1">
        <f>J15*9.0746*LOOKUP(J17,密度!$A$2:$A$50,密度!$L$2:$L$50)</f>
        <v>6262.9713089999996</v>
      </c>
      <c r="K16" s="73" ph="1">
        <f>K15*9.0746*LOOKUP(K17,密度!$A$2:$A$50,密度!$C$2:$C$50)</f>
        <v>48014.216777600006</v>
      </c>
      <c r="L16" s="73" ph="1">
        <f>L15*9.0746*LOOKUP(L17,密度!$A$2:$A$50,密度!$E$2:$E$50)</f>
        <v>28202.346786559996</v>
      </c>
      <c r="M16" s="73" ph="1">
        <f>M15*9.0746*LOOKUP(M17,密度!$A$2:$A$50,密度!$M$2:$M$50)</f>
        <v>55567.559000740002</v>
      </c>
      <c r="N16" s="73" ph="1">
        <f>N15*9.0746*LOOKUP(N17,密度!$A$2:$A$50,密度!$M$2:$M$50)</f>
        <v>17632.074844400002</v>
      </c>
      <c r="O16" s="73" ph="1">
        <f>O15*9.0746*LOOKUP(O17,密度!$A$2:$A$50,密度!$G$2:$G$50)</f>
        <v>55728.087767280005</v>
      </c>
      <c r="P16" s="73" ph="1">
        <f ca="1">P15*9.0746*LOOKUP(P17,密度!$A$2:$A$51,密度!$Q$2:$Q$50)</f>
        <v>59629.432539600006</v>
      </c>
      <c r="Q16" s="73" ph="1">
        <f>Q15*9.0746*LOOKUP(Q17,密度!$A$2:$A$50,密度!$Q$2:$Q$50)</f>
        <v>13834.039220558001</v>
      </c>
      <c r="R16" s="73" ph="1">
        <f>MAX(R15*9.0746*LOOKUP(R17,密度!$A$2:$A$50,密度!$B$2:$B$50),0)</f>
        <v>0</v>
      </c>
      <c r="S16" s="73" ph="1">
        <f>S15*9.0746*LOOKUP(S17,密度!$A$2:$A$50,密度!$Q$2:$Q$50)</f>
        <v>53160.885332946003</v>
      </c>
      <c r="T16" s="73" ph="1">
        <f>T15*9.0746*LOOKUP(T17,密度!$A$2:$A$50,密度!$O$2:$O$50)</f>
        <v>12176.062340400002</v>
      </c>
      <c r="U16" s="73" ph="1">
        <f>U15*9.0746*LOOKUP(U17,密度!$A$2:$A$50,密度!$H$2:$H$50)</f>
        <v>49199.1372099</v>
      </c>
      <c r="V16" s="73" ph="1">
        <f>MAX(5600*LOOKUP(V17,密度!$A$2:$A$50,密度!$Q$2:$Q$50)+V15*9.0476*LOOKUP(V17,密度!$A$2:$A$50,密度!$Q$2:$Q$50),0)</f>
        <v>47573.596006439999</v>
      </c>
      <c r="W16" s="73" ph="1">
        <f>MAX(5600*LOOKUP(W17,密度!$A$2:$A$50,密度!$Q$2:$Q$50)+W15*9.0476*LOOKUP(W17,密度!$A$2:$A$50,密度!$Q$2:$Q$50),0)</f>
        <v>48455.865663311997</v>
      </c>
      <c r="X16" s="73" ph="1">
        <f>MAX(5600*LOOKUP(X17,密度!$A$2:$A$50,密度!$I$2:$I$50)+X15*9.0476*LOOKUP(X17,密度!$A$2:$A$50,密度!$I$2:$I$50),0)</f>
        <v>13843.21614452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9306.3652839999995</v>
      </c>
      <c r="AC16" s="73" ph="1">
        <f>AC15*9.0746*LOOKUP(AC17,密度!$A$2:$A$50,密度!$L$2:$L$50)</f>
        <v>18273.885004</v>
      </c>
      <c r="AD16" s="73" ph="1">
        <f>AD15*268.68*LOOKUP(AD17,密度!$A$2:$A$50,密度!B2:B50)+IF(AD15&lt;=0,0,1566*LOOKUP(AD17,密度!$A$2:$A$50,密度!B2:B50))</f>
        <v>18943.511938079999</v>
      </c>
      <c r="AE16" s="73" ph="1">
        <f>AE15*268.68*LOOKUP(AE17,密度!$A$2:$A$50,密度!B2:B50)+IF(AE15&lt;=0,0,1566*LOOKUP(AE17,密度!$A$2:$A$50,密度!B2:B50))</f>
        <v>5512.7489947199992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8" ph="1"/>
      <c r="C17" s="79" t="s" ph="1">
        <v>179</v>
      </c>
      <c r="D17" s="74">
        <v>24</v>
      </c>
      <c r="E17" s="74">
        <v>24</v>
      </c>
      <c r="F17" s="74">
        <v>25</v>
      </c>
      <c r="G17" s="74">
        <v>23</v>
      </c>
      <c r="H17" s="74">
        <v>18</v>
      </c>
      <c r="I17" s="74">
        <v>20</v>
      </c>
      <c r="J17" s="74">
        <v>23</v>
      </c>
      <c r="K17" s="74">
        <v>23</v>
      </c>
      <c r="L17" s="74">
        <v>23</v>
      </c>
      <c r="M17" s="74">
        <v>24</v>
      </c>
      <c r="N17" s="74">
        <v>22</v>
      </c>
      <c r="O17" s="74">
        <v>24</v>
      </c>
      <c r="P17" s="74">
        <v>23</v>
      </c>
      <c r="Q17" s="74">
        <v>24</v>
      </c>
      <c r="R17" s="74">
        <v>22</v>
      </c>
      <c r="S17" s="74">
        <v>24</v>
      </c>
      <c r="T17" s="74">
        <v>25</v>
      </c>
      <c r="U17" s="74">
        <v>20</v>
      </c>
      <c r="V17" s="74">
        <v>25</v>
      </c>
      <c r="W17" s="74">
        <v>25</v>
      </c>
      <c r="X17" s="74">
        <v>25</v>
      </c>
      <c r="Y17" s="108">
        <v>25</v>
      </c>
      <c r="Z17" s="74">
        <v>22</v>
      </c>
      <c r="AA17" s="74">
        <v>20</v>
      </c>
      <c r="AB17" s="74">
        <v>22</v>
      </c>
      <c r="AC17" s="74">
        <v>21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6" ph="1">
        <v>0.66666666666666663</v>
      </c>
      <c r="C18" s="79" t="s" ph="1">
        <v>180</v>
      </c>
      <c r="D18" s="71">
        <v>5964</v>
      </c>
      <c r="E18" s="71">
        <v>963</v>
      </c>
      <c r="F18" s="71">
        <v>2146</v>
      </c>
      <c r="G18" s="71">
        <v>3315</v>
      </c>
      <c r="H18" s="71">
        <v>0</v>
      </c>
      <c r="I18" s="71">
        <v>1615</v>
      </c>
      <c r="J18" s="71">
        <v>735</v>
      </c>
      <c r="K18" s="71">
        <v>4766</v>
      </c>
      <c r="L18" s="71">
        <v>3963</v>
      </c>
      <c r="M18" s="71">
        <v>4034</v>
      </c>
      <c r="N18" s="71">
        <v>3597</v>
      </c>
      <c r="O18" s="71">
        <v>6394</v>
      </c>
      <c r="P18" s="71">
        <v>6940</v>
      </c>
      <c r="Q18" s="71">
        <v>1610</v>
      </c>
      <c r="R18" s="71">
        <v>7414</v>
      </c>
      <c r="S18" s="71">
        <v>6188</v>
      </c>
      <c r="T18" s="71">
        <v>646</v>
      </c>
      <c r="U18" s="71">
        <v>5898</v>
      </c>
      <c r="V18" s="71">
        <v>4935</v>
      </c>
      <c r="W18" s="71">
        <v>5037</v>
      </c>
      <c r="X18" s="71">
        <v>849</v>
      </c>
      <c r="Y18" s="109">
        <v>-9905</v>
      </c>
      <c r="Z18" s="71">
        <v>0</v>
      </c>
      <c r="AA18" s="71">
        <v>0</v>
      </c>
      <c r="AB18" s="71">
        <v>1094</v>
      </c>
      <c r="AC18" s="71">
        <v>2142</v>
      </c>
      <c r="AD18" s="71">
        <v>84.39</v>
      </c>
      <c r="AE18" s="71">
        <v>58.83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7" ph="1"/>
      <c r="C19" s="147" t="s" ph="1">
        <v>178</v>
      </c>
      <c r="D19" s="73" ph="1">
        <f>D18*7.0686*LOOKUP(D20,密度!$A$2:$A$50,密度!$L$2:$L$50)</f>
        <v>39501.231184800003</v>
      </c>
      <c r="E19" s="73" ph="1">
        <f>E18*7.0686*LOOKUP(E20,密度!$A$2:$A$50,密度!$L$2:$L$50)</f>
        <v>6378.2169066000006</v>
      </c>
      <c r="F19" s="73" ph="1">
        <f>F18*9.0746*LOOKUP(F20,密度!$A$2:$A$50,密度!$L$2:$L$50)</f>
        <v>18208.275646000002</v>
      </c>
      <c r="G19" s="73" ph="1">
        <f>G18*9.0746*LOOKUP(G20,密度!$A$2:$A$50,密度!$B$2:$B$50)</f>
        <v>23479.234369499998</v>
      </c>
      <c r="H19" s="73" ph="1">
        <f>H18*9.0746*LOOKUP(H20,密度!$A$2:$A$50,密度!$L$2:$L$50)</f>
        <v>0</v>
      </c>
      <c r="I19" s="73" ph="1">
        <f>I18*9.0746*LOOKUP(I20,密度!$A$2:$A$50,密度!$U$2:$U$50)</f>
        <v>15021.865975000001</v>
      </c>
      <c r="J19" s="73" ph="1">
        <f>J18*9.0746*LOOKUP(J20,密度!$A$2:$A$50,密度!$L$2:$L$50)</f>
        <v>6242.9618160000009</v>
      </c>
      <c r="K19" s="73" ph="1">
        <f>K18*9.0746*LOOKUP(K20,密度!$A$2:$A$50,密度!$C$2:$C$50)</f>
        <v>47924.81926316001</v>
      </c>
      <c r="L19" s="73" ph="1">
        <f>L18*9.0746*LOOKUP(L20,密度!$A$2:$A$50,密度!$E$2:$E$50)</f>
        <v>28165.939491360004</v>
      </c>
      <c r="M19" s="73" ph="1">
        <f>M18*9.0746*LOOKUP(M20,密度!$A$2:$A$50,密度!$M$2:$M$50)</f>
        <v>31921.248540799999</v>
      </c>
      <c r="N19" s="73" ph="1">
        <f>N18*9.0746*LOOKUP(N20,密度!$A$2:$A$50,密度!$M$2:$M$50)</f>
        <v>28626.4518474</v>
      </c>
      <c r="O19" s="73" ph="1">
        <f>O18*9.0746*LOOKUP(O20,密度!$A$2:$A$50,密度!$G$2:$G$50)</f>
        <v>55713.677302480006</v>
      </c>
      <c r="P19" s="73" ph="1">
        <f ca="1">P18*9.0746*LOOKUP(P20,密度!$A$2:$A$51,密度!$Q$2:$Q$50)</f>
        <v>59623.530419760005</v>
      </c>
      <c r="Q19" s="73" ph="1">
        <f>Q18*9.0746*LOOKUP(Q20,密度!$A$2:$A$50,密度!$Q$2:$Q$50)</f>
        <v>13831.971754440001</v>
      </c>
      <c r="R19" s="73" ph="1">
        <f>MAX(R18*9.0746*LOOKUP(R20,密度!$A$2:$A$50,密度!$B$2:$B$50),0)</f>
        <v>52390.223022279999</v>
      </c>
      <c r="S19" s="73" ph="1">
        <f>S18*9.0746*LOOKUP(S20,密度!$A$2:$A$50,密度!$Q$2:$Q$50)</f>
        <v>53162.882743151997</v>
      </c>
      <c r="T19" s="73" ph="1">
        <f>T18*9.0746*LOOKUP(T20,密度!$A$2:$A$50,密度!$O$2:$O$50)</f>
        <v>5404.9406552</v>
      </c>
      <c r="U19" s="73" ph="1">
        <f>U18*9.0746*LOOKUP(U20,密度!$A$2:$A$50,密度!$H$2:$H$50)</f>
        <v>49063.60896636</v>
      </c>
      <c r="V19" s="73" ph="1">
        <f>MAX(5600*LOOKUP(V20,密度!$A$2:$A$50,密度!$Q$2:$Q$50)+V18*9.0476*LOOKUP(V20,密度!$A$2:$A$50,密度!$Q$2:$Q$50),0)</f>
        <v>47502.241139919999</v>
      </c>
      <c r="W19" s="73" ph="1">
        <f>MAX(5600*LOOKUP(W20,密度!$A$2:$A$50,密度!$Q$2:$Q$50)+W18*9.0476*LOOKUP(W20,密度!$A$2:$A$50,密度!$Q$2:$Q$50),0)</f>
        <v>48374.634617584001</v>
      </c>
      <c r="X19" s="73" ph="1">
        <f>MAX(5600*LOOKUP(X20,密度!$A$2:$A$50,密度!$I$2:$I$50)+X18*9.0476*LOOKUP(X20,密度!$A$2:$A$50,密度!$I$2:$I$50),0)</f>
        <v>13799.3874836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9302.1728187999997</v>
      </c>
      <c r="AC19" s="73" ph="1">
        <f>AC18*9.0746*LOOKUP(AC20,密度!$A$2:$A$50,密度!$L$2:$L$50)</f>
        <v>18252.087814799997</v>
      </c>
      <c r="AD19" s="73" ph="1">
        <f>AD18*268.68*LOOKUP(AD20,密度!$A$2:$A$50,密度!B5:B53)+IF(AD18&lt;=0,0,1566*LOOKUP(AD20,密度!$A$2:$A$50,密度!B5:B53))</f>
        <v>18834.406340400001</v>
      </c>
      <c r="AE19" s="73" ph="1">
        <f>AE18*268.68*LOOKUP(AE20,密度!$A$2:$A$50,密度!B5:B53)+IF(AE18&lt;=0,0,1566*LOOKUP(AE20,密度!$A$2:$A$50,密度!B5:B53))</f>
        <v>13498.389298800001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7" ph="1"/>
      <c r="C20" s="80" t="s" ph="1">
        <v>179</v>
      </c>
      <c r="D20" s="81">
        <v>25</v>
      </c>
      <c r="E20" s="81">
        <v>25</v>
      </c>
      <c r="F20" s="81">
        <v>27</v>
      </c>
      <c r="G20" s="81">
        <v>24</v>
      </c>
      <c r="H20" s="81">
        <v>21</v>
      </c>
      <c r="I20" s="81">
        <v>25</v>
      </c>
      <c r="J20" s="81">
        <v>26</v>
      </c>
      <c r="K20" s="81">
        <v>26</v>
      </c>
      <c r="L20" s="81">
        <v>25</v>
      </c>
      <c r="M20" s="81">
        <v>28</v>
      </c>
      <c r="N20" s="81">
        <v>23</v>
      </c>
      <c r="O20" s="81">
        <v>25</v>
      </c>
      <c r="P20" s="81">
        <v>25</v>
      </c>
      <c r="Q20" s="81">
        <v>25</v>
      </c>
      <c r="R20" s="81">
        <v>26</v>
      </c>
      <c r="S20" s="81">
        <v>25</v>
      </c>
      <c r="T20" s="81">
        <v>30</v>
      </c>
      <c r="U20" s="81">
        <v>23</v>
      </c>
      <c r="V20" s="81">
        <v>27</v>
      </c>
      <c r="W20" s="81">
        <v>27</v>
      </c>
      <c r="X20" s="81">
        <v>28</v>
      </c>
      <c r="Y20" s="110">
        <v>28</v>
      </c>
      <c r="Z20" s="81">
        <v>26</v>
      </c>
      <c r="AA20" s="81">
        <v>24</v>
      </c>
      <c r="AB20" s="81">
        <v>25</v>
      </c>
      <c r="AC20" s="81">
        <v>23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28" t="s" ph="1">
        <v>640</v>
      </c>
      <c r="AA23" s="229"/>
      <c r="AB23" s="229"/>
      <c r="AC23" s="229"/>
      <c r="AD23" s="229"/>
      <c r="AE23" s="23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7" ph="1">
        <v>0.33333333333333331</v>
      </c>
      <c r="C24" s="147" t="s" ph="1">
        <v>177</v>
      </c>
      <c r="D24" s="71">
        <v>78.52</v>
      </c>
      <c r="E24" s="71">
        <v>46</v>
      </c>
      <c r="F24" s="71">
        <v>1552</v>
      </c>
      <c r="G24" s="71">
        <v>3144</v>
      </c>
      <c r="H24" s="71">
        <v>0</v>
      </c>
      <c r="I24" s="71">
        <v>2004</v>
      </c>
      <c r="J24" s="71">
        <v>4833</v>
      </c>
      <c r="K24" s="71">
        <v>3830</v>
      </c>
      <c r="L24" s="71">
        <v>5576</v>
      </c>
      <c r="M24" s="71">
        <v>5101</v>
      </c>
      <c r="N24" s="71">
        <v>5499</v>
      </c>
      <c r="O24" s="71">
        <v>5576</v>
      </c>
      <c r="P24" s="71">
        <v>360</v>
      </c>
      <c r="Q24" s="90">
        <v>633</v>
      </c>
      <c r="R24" s="71">
        <v>218</v>
      </c>
      <c r="S24" s="71">
        <v>3203</v>
      </c>
      <c r="T24" s="71">
        <v>280</v>
      </c>
      <c r="U24" s="71">
        <v>5809</v>
      </c>
      <c r="V24" s="71">
        <v>10614</v>
      </c>
      <c r="W24" s="71">
        <v>8006</v>
      </c>
      <c r="X24" s="71">
        <v>2821</v>
      </c>
      <c r="Y24" s="71">
        <v>6132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7" ph="1"/>
      <c r="C25" s="68" t="s" ph="1">
        <v>178</v>
      </c>
      <c r="D25" s="91" ph="1">
        <f>D24*268.68*LOOKUP(D26,密度!$A$2:$A$50,密度!$Q$2:$Q$50)+IF(D24&lt;=0,0,1566*LOOKUP(D26,密度!$A$2:$A$50,密度!$Q$2:$Q$50))</f>
        <v>21455.735343264001</v>
      </c>
      <c r="E25" s="91" ph="1">
        <f>E24*268.68*LOOKUP(E26,密度!$A$2:$A$50,密度!$C$2:$C$50)+IF(E24&lt;=0,0,1566*LOOKUP(E26,密度!$A$2:$A$50,密度!$C$2:$C$50))</f>
        <v>15441.742992</v>
      </c>
      <c r="F25" s="91" ph="1">
        <f>F24*11.702*LOOKUP(F26,密度!$A$2:$A$50,密度!$Q$2:$Q$50)</f>
        <v>17220.738092800002</v>
      </c>
      <c r="G25" s="91" ph="1">
        <f>G24*18.322*LOOKUP(G26,密度!$A$2:$A$50,密度!$B$2:$B$50)</f>
        <v>45012.053155199996</v>
      </c>
      <c r="H25" s="91" ph="1">
        <f>H24*18.322*LOOKUP(H26,密度!$A$2:$A$50,密度!$B$2:$B$50)</f>
        <v>0</v>
      </c>
      <c r="I25" s="91" ph="1">
        <f>I24*18.322*LOOKUP(I26,密度!$A$2:$A$50,密度!$Q$2:$Q$50)</f>
        <v>34815.332481600002</v>
      </c>
      <c r="J25" s="91" ph="1">
        <f>J24*18.322*LOOKUP(J26,密度!$A$2:$A$50,密度!$Q$2:$Q$50)</f>
        <v>83963.324293199999</v>
      </c>
      <c r="K25" s="91" ph="1">
        <f>K24*18.322*LOOKUP(K26,密度!$A$2:$A$50,密度!$Q$2:$Q$50)</f>
        <v>66538.285132000005</v>
      </c>
      <c r="L25" s="91" ph="1">
        <f>L24*18.322*LOOKUP(L26,密度!$A$2:$A$50,密度!$Q$2:$Q$50)</f>
        <v>96796.824815839995</v>
      </c>
      <c r="M25" s="91" ph="1">
        <f>M24*18.322*LOOKUP(M26,密度!$A$2:$A$50,密度!$Q$2:$Q$50)</f>
        <v>88551.040779339994</v>
      </c>
      <c r="N25" s="91" ph="1">
        <f>N24*18.322*LOOKUP(N26,密度!$A$2:$A$50,密度!$Q$2:$Q$50)</f>
        <v>95533.689279600003</v>
      </c>
      <c r="O25" s="91" ph="1">
        <f>O24*18.322*LOOKUP(O26,密度!$A$2:$A$50,密度!$C$2:$C$50)</f>
        <v>113442.3193088</v>
      </c>
      <c r="P25" s="91" ph="1">
        <f>P24*11.702*LOOKUP(P26,密度!$A$2:$A$50,密度!$B$2:$B$50)</f>
        <v>3295.6108560000002</v>
      </c>
      <c r="Q25" s="92" ph="1">
        <f>Q24*18.322*LOOKUP(Q26,密度!$A$2:$A$50,密度!$B$2:$B$50)</f>
        <v>9093.8553665999989</v>
      </c>
      <c r="R25" s="91" ph="1">
        <f>R24*35.891*LOOKUP(R26,密度!$A$2:$A$50,密度!$C$2:$C$50)</f>
        <v>8705.2471987999998</v>
      </c>
      <c r="S25" s="91" ph="1">
        <f>S24*35.891*LOOKUP(S26,密度!$A$2:$A$50,密度!$B$2:$B$50)</f>
        <v>90035.789333599998</v>
      </c>
      <c r="T25" s="91" ph="1">
        <f>T24*35.891*LOOKUP(T26,密度!$A$2:$A$50,密度!$Q$2:$Q$50)</f>
        <v>9528.9169359999996</v>
      </c>
      <c r="U25" s="91" ph="1">
        <f>U24*35.891</f>
        <v>208490.81899999999</v>
      </c>
      <c r="V25" s="91" ph="1">
        <f>V24*47.051*LOOKUP(V26,密度!$A$2:$A$50,密度!$B$2:$B$50)</f>
        <v>390230.62395959999</v>
      </c>
      <c r="W25" s="91" ph="1">
        <f>W24*47.051*LOOKUP(W26,密度!$A$2:$A$50,密度!$B$2:$B$50)</f>
        <v>294345.8051084</v>
      </c>
      <c r="X25" s="91" ph="1">
        <f>X24*47.051*LOOKUP(X26,密度!$A$2:$A$50,密度!$I$2:$I$50)</f>
        <v>138491.39080140003</v>
      </c>
      <c r="Y25" s="91" ph="1">
        <f>Y24*47.051*LOOKUP(Y26,密度!$A$2:$A$50,密度!$L$2:$L$50)</f>
        <v>270628.69461599999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7" ph="1"/>
      <c r="C26" s="68" t="s" ph="1">
        <v>179</v>
      </c>
      <c r="D26" s="74">
        <v>25</v>
      </c>
      <c r="E26" s="74">
        <v>25</v>
      </c>
      <c r="F26" s="74">
        <v>23</v>
      </c>
      <c r="G26" s="74">
        <v>23</v>
      </c>
      <c r="H26" s="74">
        <v>22</v>
      </c>
      <c r="I26" s="74">
        <v>23</v>
      </c>
      <c r="J26" s="74">
        <v>23</v>
      </c>
      <c r="K26" s="74">
        <v>23</v>
      </c>
      <c r="L26" s="74">
        <v>24</v>
      </c>
      <c r="M26" s="74">
        <v>24</v>
      </c>
      <c r="N26" s="74">
        <v>23</v>
      </c>
      <c r="O26" s="74">
        <v>23</v>
      </c>
      <c r="P26" s="74">
        <v>22</v>
      </c>
      <c r="Q26" s="93">
        <v>20</v>
      </c>
      <c r="R26" s="74">
        <v>20</v>
      </c>
      <c r="S26" s="74">
        <v>21</v>
      </c>
      <c r="T26" s="74">
        <v>23</v>
      </c>
      <c r="U26" s="74">
        <v>22</v>
      </c>
      <c r="V26" s="74">
        <v>23</v>
      </c>
      <c r="W26" s="74">
        <v>23</v>
      </c>
      <c r="X26" s="74">
        <v>24</v>
      </c>
      <c r="Y26" s="74">
        <v>24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7" ph="1">
        <v>0.66666666666666663</v>
      </c>
      <c r="C27" s="147" t="s" ph="1">
        <v>180</v>
      </c>
      <c r="D27" s="71">
        <v>78.64</v>
      </c>
      <c r="E27" s="71">
        <v>46.01</v>
      </c>
      <c r="F27" s="71">
        <v>1552</v>
      </c>
      <c r="G27" s="71">
        <v>2515</v>
      </c>
      <c r="H27" s="71">
        <v>0</v>
      </c>
      <c r="I27" s="71">
        <v>1130</v>
      </c>
      <c r="J27" s="71">
        <v>4834</v>
      </c>
      <c r="K27" s="71">
        <v>3831</v>
      </c>
      <c r="L27" s="71">
        <v>5576</v>
      </c>
      <c r="M27" s="71">
        <v>5102</v>
      </c>
      <c r="N27" s="71">
        <v>5500</v>
      </c>
      <c r="O27" s="71">
        <v>5574</v>
      </c>
      <c r="P27" s="71">
        <v>358</v>
      </c>
      <c r="Q27" s="90">
        <v>842</v>
      </c>
      <c r="R27" s="71">
        <v>216</v>
      </c>
      <c r="S27" s="71">
        <v>3201</v>
      </c>
      <c r="T27" s="71">
        <v>279</v>
      </c>
      <c r="U27" s="71">
        <v>5976</v>
      </c>
      <c r="V27" s="71">
        <v>10617</v>
      </c>
      <c r="W27" s="71">
        <v>8006</v>
      </c>
      <c r="X27" s="71">
        <v>2346</v>
      </c>
      <c r="Y27" s="71">
        <v>4522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7" ph="1"/>
      <c r="C28" s="147" t="s" ph="1">
        <v>178</v>
      </c>
      <c r="D28" s="91" ph="1">
        <f>D27*268.68*LOOKUP(D29,密度!$A$2:$A$50,密度!$Q$2:$Q$50)+IF(D27&lt;=0,0,1566*LOOKUP(D29,密度!$A$2:$A$50,密度!$Q$2:$Q$50))</f>
        <v>21486.259755648003</v>
      </c>
      <c r="E28" s="91" ph="1">
        <f>E27*268.68*LOOKUP(E29,密度!$A$2:$A$50,密度!$C$2:$C$50)+IF(E27&lt;=0,0,1566*LOOKUP(E29,密度!$A$2:$A$50,密度!$C$2:$C$50))</f>
        <v>15444.722384519999</v>
      </c>
      <c r="F28" s="91" ph="1">
        <f>F27*11.702*LOOKUP(F29,密度!$A$2:$A$50,密度!$Q$2:$Q$50)</f>
        <v>17194.222296960001</v>
      </c>
      <c r="G28" s="91" ph="1">
        <f>G27*18.322*LOOKUP(G29,密度!$A$2:$A$50,密度!$B$2:$B$50)</f>
        <v>35965.307314999991</v>
      </c>
      <c r="H28" s="91" ph="1">
        <f>H27*18.322*LOOKUP(H29,密度!$A$2:$A$50,密度!$B$2:$B$50)</f>
        <v>0</v>
      </c>
      <c r="I28" s="91" ph="1">
        <f>I27*18.322*LOOKUP(I29,密度!$A$2:$A$50,密度!$Q$2:$Q$50)</f>
        <v>19631.400052000001</v>
      </c>
      <c r="J28" s="91" ph="1">
        <f>J27*18.322*LOOKUP(J29,密度!$A$2:$A$50,密度!$Q$2:$Q$50)</f>
        <v>83851.387133519995</v>
      </c>
      <c r="K28" s="91" ph="1">
        <f>K27*18.322*LOOKUP(K29,密度!$A$2:$A$50,密度!$Q$2:$Q$50)</f>
        <v>66555.658052400002</v>
      </c>
      <c r="L28" s="91" ph="1">
        <f>L27*18.322*LOOKUP(L29,密度!$A$2:$A$50,密度!$Q$2:$Q$50)</f>
        <v>96796.824815839995</v>
      </c>
      <c r="M28" s="91" ph="1">
        <f>M27*18.322*LOOKUP(M29,密度!$A$2:$A$50,密度!$Q$2:$Q$50)</f>
        <v>88568.400324679998</v>
      </c>
      <c r="N28" s="91" ph="1">
        <f>N27*18.322*LOOKUP(N29,密度!$A$2:$A$50,密度!$Q$2:$Q$50)</f>
        <v>95640.748389999993</v>
      </c>
      <c r="O28" s="91" ph="1">
        <f>O27*18.322*LOOKUP(O29,密度!$A$2:$A$50,密度!$C$2:$C$50)</f>
        <v>113473.11859079999</v>
      </c>
      <c r="P28" s="91" ph="1">
        <f>P27*11.702*LOOKUP(P29,密度!$A$2:$A$50,密度!$B$2:$B$50)</f>
        <v>3269.7611379999998</v>
      </c>
      <c r="Q28" s="92" ph="1">
        <f>Q27*18.322*LOOKUP(Q29,密度!$A$2:$A$50,密度!$B$2:$B$50)</f>
        <v>12026.9858704</v>
      </c>
      <c r="R28" s="91" ph="1">
        <f>R27*35.891*LOOKUP(R29,密度!$A$2:$A$50,密度!$C$2:$C$50)</f>
        <v>8602.125177599999</v>
      </c>
      <c r="S28" s="91" ph="1">
        <f>S27*35.891*LOOKUP(S29,密度!$A$2:$A$50,密度!$B$2:$B$50)</f>
        <v>89669.374525499996</v>
      </c>
      <c r="T28" s="91" ph="1">
        <f>T27*35.891*LOOKUP(T29,密度!$A$2:$A$50,密度!$Q$2:$Q$50)</f>
        <v>9480.26524986</v>
      </c>
      <c r="U28" s="91" ph="1">
        <f>U27*35.891</f>
        <v>214484.61599999998</v>
      </c>
      <c r="V28" s="91" ph="1">
        <f>V27*47.051*LOOKUP(V29,密度!$A$2:$A$50,密度!$B$2:$B$50)</f>
        <v>390340.92091380002</v>
      </c>
      <c r="W28" s="91" ph="1">
        <f>W27*47.051*LOOKUP(W29,密度!$A$2:$A$50,密度!$B$2:$B$50)</f>
        <v>294006.78383299999</v>
      </c>
      <c r="X28" s="91" ph="1">
        <f>X27*47.051*LOOKUP(X29,密度!$A$2:$A$50,密度!$I$2:$I$50)</f>
        <v>115050.78962580001</v>
      </c>
      <c r="Y28" s="91" ph="1">
        <f>Y27*47.051*LOOKUP(Y29,密度!$A$2:$A$50,密度!$L$2:$L$50)</f>
        <v>199360.45081400001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7" ph="1"/>
      <c r="C29" s="147" t="s" ph="1">
        <v>179</v>
      </c>
      <c r="D29" s="74">
        <v>25</v>
      </c>
      <c r="E29" s="74">
        <v>25</v>
      </c>
      <c r="F29" s="74">
        <v>25</v>
      </c>
      <c r="G29" s="74">
        <v>24</v>
      </c>
      <c r="H29" s="74">
        <v>25</v>
      </c>
      <c r="I29" s="74">
        <v>23</v>
      </c>
      <c r="J29" s="74">
        <v>25</v>
      </c>
      <c r="K29" s="74">
        <v>23</v>
      </c>
      <c r="L29" s="74">
        <v>24</v>
      </c>
      <c r="M29" s="74">
        <v>24</v>
      </c>
      <c r="N29" s="74">
        <v>22</v>
      </c>
      <c r="O29" s="74">
        <v>22</v>
      </c>
      <c r="P29" s="74">
        <v>24</v>
      </c>
      <c r="Q29" s="93">
        <v>25</v>
      </c>
      <c r="R29" s="74">
        <v>24</v>
      </c>
      <c r="S29" s="74">
        <v>24</v>
      </c>
      <c r="T29" s="74">
        <v>25</v>
      </c>
      <c r="U29" s="74">
        <v>24</v>
      </c>
      <c r="V29" s="74">
        <v>23</v>
      </c>
      <c r="W29" s="74">
        <v>24</v>
      </c>
      <c r="X29" s="74">
        <v>25</v>
      </c>
      <c r="Y29" s="74">
        <v>25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47" t="s" ph="1">
        <v>5</v>
      </c>
      <c r="F32" s="148" t="s" ph="1">
        <v>43</v>
      </c>
      <c r="G32" s="97" t="s" ph="1">
        <v>4</v>
      </c>
      <c r="H32" s="147" t="s" ph="1">
        <v>5</v>
      </c>
      <c r="I32" s="148" t="s" ph="1">
        <v>43</v>
      </c>
      <c r="J32" s="97" t="s" ph="1">
        <v>4</v>
      </c>
      <c r="K32" s="147" t="s" ph="1">
        <v>5</v>
      </c>
      <c r="L32" s="148" t="s" ph="1">
        <v>43</v>
      </c>
      <c r="M32" s="97" t="s" ph="1">
        <v>4</v>
      </c>
      <c r="N32" s="147" t="s" ph="1">
        <v>5</v>
      </c>
      <c r="O32" s="14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7" t="s" ph="1">
        <v>5</v>
      </c>
      <c r="U32" s="99" t="s" ph="1">
        <v>43</v>
      </c>
      <c r="V32" s="97" t="s" ph="1">
        <v>4</v>
      </c>
      <c r="W32" s="147" t="s" ph="1">
        <v>5</v>
      </c>
      <c r="X32" s="99" t="s" ph="1">
        <v>43</v>
      </c>
      <c r="Y32" s="100" t="s" ph="1">
        <v>4</v>
      </c>
      <c r="Z32" s="147" t="s" ph="1">
        <v>5</v>
      </c>
      <c r="AA32" s="148" t="s" ph="1">
        <v>43</v>
      </c>
      <c r="AB32" s="97" t="s" ph="1">
        <v>85</v>
      </c>
      <c r="AC32" s="147" t="s" ph="1">
        <v>84</v>
      </c>
      <c r="AD32" s="204" t="s" ph="1">
        <v>83</v>
      </c>
      <c r="AE32" s="20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6" t="s" ph="1">
        <v>181</v>
      </c>
      <c r="C33" s="207" ph="1"/>
      <c r="D33" s="186" ph="1">
        <f>AA10+AB10+Z19</f>
        <v>111555.20002040001</v>
      </c>
      <c r="E33" s="186" ph="1">
        <f>M10+I10</f>
        <v>157890.26688759998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1522252632456786910111213141516171819202123456789101112131415161718192022232424356789101112131415161718192021222345678910111213141516171819202345678910111213149101516171819222123234567891012131415161711181920212224252345678910111213134[[#This Row],[F25]]</f>
        <v>3880</v>
      </c>
      <c r="G33" s="212" ph="1">
        <v>0</v>
      </c>
      <c r="H33" s="186" ph="1">
        <f>N19</f>
        <v>28626.4518474</v>
      </c>
      <c r="I33" s="190" ph="1">
        <v>0</v>
      </c>
      <c r="J33" s="194" ph="1">
        <f>F10+O28</f>
        <v>314654.48006279999</v>
      </c>
      <c r="K33" s="186" ph="1">
        <f>O10+K10+E28+R28</f>
        <v>29102.782825719998</v>
      </c>
      <c r="L33" s="196" ph="1">
        <f>BE27</f>
        <v>7100</v>
      </c>
      <c r="M33" s="194" ph="1">
        <f>G10+H10+W28+S28+V28+E10</f>
        <v>1353745.6360203</v>
      </c>
      <c r="N33" s="186" ph="1">
        <f>L10+P10++G28+H28</f>
        <v>51418.516827999993</v>
      </c>
      <c r="O33" s="190" ph="1">
        <f>BE17</f>
        <v>2270</v>
      </c>
      <c r="P33" s="194" ph="1">
        <f>L19</f>
        <v>28165.939491360004</v>
      </c>
      <c r="Q33" s="186" ph="1">
        <f>J10+N10</f>
        <v>64995.780051999995</v>
      </c>
      <c r="R33" s="190" ph="1">
        <f>BE23</f>
        <v>890</v>
      </c>
      <c r="S33" s="194" ph="1">
        <f>E10+X28</f>
        <v>306091.82337580004</v>
      </c>
      <c r="T33" s="186" ph="1">
        <f>X19</f>
        <v>13799.3874836</v>
      </c>
      <c r="U33" s="175" ph="1">
        <f>BE21</f>
        <v>730</v>
      </c>
      <c r="V33" s="188" ph="1">
        <f ca="1">P19+Q19+S19+M28+N28+J28</f>
        <v>394678.92076555197</v>
      </c>
      <c r="W33" s="188" ph="1">
        <f>D28+F28+V19+T28</f>
        <v>95662.988442388014</v>
      </c>
      <c r="X33" s="190" ph="1">
        <f>BE29+BE31</f>
        <v>10200</v>
      </c>
      <c r="Y33" s="192" ph="1">
        <f>+Q10+R10+S10+T10+U10+V10+W10+X10+Y10</f>
        <v>225882.58409640001</v>
      </c>
      <c r="Z33" s="173" ph="1">
        <f>D10+T19+U19+Y28+Z10</f>
        <v>562978.84965541004</v>
      </c>
      <c r="AA33" s="175" ph="1">
        <f>BE19</f>
        <v>1440</v>
      </c>
      <c r="AB33" s="177" ph="1">
        <f>I19</f>
        <v>15021.865975000001</v>
      </c>
      <c r="AC33" s="179" ph="1">
        <f>AD10</f>
        <v>93818.123072000002</v>
      </c>
      <c r="AD33" s="181" ph="1">
        <v>0</v>
      </c>
      <c r="AE33" s="18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5" t="s" ph="1">
        <v>633</v>
      </c>
      <c r="AD35" s="185"/>
      <c r="AE35" s="18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1" t="s" ph="1">
        <v>183</v>
      </c>
      <c r="J36" s="171" ph="1"/>
      <c r="K36" s="101" ph="1"/>
      <c r="P36" s="101" ph="1"/>
      <c r="R36" s="171" t="s" ph="1">
        <v>184</v>
      </c>
      <c r="S36" s="171" ph="1"/>
      <c r="Y36" s="102" ph="1"/>
      <c r="Z36" s="149" t="s" ph="1">
        <v>185</v>
      </c>
      <c r="AA36" s="149" ph="1"/>
      <c r="AB36" s="172" t="s" ph="1">
        <v>642</v>
      </c>
      <c r="AC36" s="172" ph="1"/>
      <c r="AD36" s="172" ph="1"/>
      <c r="AE36" s="172" ph="1"/>
      <c r="BA36" s="64" ph="1">
        <v>2270</v>
      </c>
    </row>
    <row r="37" spans="1:57" s="14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9" t="s" ph="1">
        <v>342</v>
      </c>
      <c r="AI37" s="149" t="s" ph="1">
        <v>209</v>
      </c>
      <c r="AJ37" s="149" t="s" ph="1">
        <v>210</v>
      </c>
      <c r="AK37" s="149" t="s" ph="1">
        <v>211</v>
      </c>
      <c r="AM37" s="149" t="s" ph="1">
        <v>210</v>
      </c>
      <c r="AN37" s="149" t="s" ph="1">
        <v>211</v>
      </c>
      <c r="AO37" s="149" t="s" ph="1">
        <v>212</v>
      </c>
      <c r="AP37" s="149" t="s" ph="1">
        <v>210</v>
      </c>
      <c r="AQ37" s="149" t="s" ph="1">
        <v>211</v>
      </c>
      <c r="AR37" s="149" t="s" ph="1">
        <v>212</v>
      </c>
      <c r="AS37" s="149" t="s" ph="1">
        <v>210</v>
      </c>
      <c r="AT37" s="149" t="s" ph="1">
        <v>211</v>
      </c>
      <c r="AU37" s="149" t="s" ph="1">
        <v>212</v>
      </c>
      <c r="AV37" s="149" t="s" ph="1">
        <v>210</v>
      </c>
      <c r="AW37" s="149" t="s" ph="1">
        <v>211</v>
      </c>
      <c r="AX37" s="149" t="s" ph="1">
        <v>212</v>
      </c>
      <c r="AY37" s="149" t="s" ph="1">
        <v>211</v>
      </c>
      <c r="AZ37" s="149" t="s" ph="1">
        <v>213</v>
      </c>
      <c r="BD37" s="149" t="s" ph="1">
        <v>305</v>
      </c>
      <c r="BE37" s="149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303" priority="98">
      <formula>ABS(D$7-D$10)&gt;=1000</formula>
    </cfRule>
  </conditionalFormatting>
  <conditionalFormatting sqref="E4 E6:E11">
    <cfRule type="expression" dxfId="2302" priority="97">
      <formula>ABS(E$7-E$10)&gt;=1000</formula>
    </cfRule>
  </conditionalFormatting>
  <conditionalFormatting sqref="F4:F11">
    <cfRule type="expression" dxfId="2301" priority="96">
      <formula>ABS(F$7-F$10)&gt;=1000</formula>
    </cfRule>
  </conditionalFormatting>
  <conditionalFormatting sqref="G4:G11">
    <cfRule type="expression" dxfId="2300" priority="95">
      <formula>ABS(G$7-G$10)&gt;=1000</formula>
    </cfRule>
  </conditionalFormatting>
  <conditionalFormatting sqref="H4:H11">
    <cfRule type="expression" dxfId="2299" priority="94">
      <formula>ABS(H$7-H$10)&gt;=1000</formula>
    </cfRule>
  </conditionalFormatting>
  <conditionalFormatting sqref="I4:I11">
    <cfRule type="expression" dxfId="2298" priority="93">
      <formula>ABS(I$7-I$10)&gt;=1000</formula>
    </cfRule>
  </conditionalFormatting>
  <conditionalFormatting sqref="J4:J11">
    <cfRule type="expression" dxfId="2297" priority="92">
      <formula>ABS(J$7-J$10)&gt;=1000</formula>
    </cfRule>
  </conditionalFormatting>
  <conditionalFormatting sqref="K4:K11">
    <cfRule type="expression" dxfId="2296" priority="91">
      <formula>ABS(K$7-K$10)&gt;=1000</formula>
    </cfRule>
  </conditionalFormatting>
  <conditionalFormatting sqref="L4:L11">
    <cfRule type="expression" dxfId="2295" priority="90">
      <formula>ABS(L$7-L$10)&gt;=1000</formula>
    </cfRule>
  </conditionalFormatting>
  <conditionalFormatting sqref="M4 M6:M11">
    <cfRule type="expression" dxfId="2294" priority="89">
      <formula>ABS(M$7-M$10)&gt;=1000</formula>
    </cfRule>
  </conditionalFormatting>
  <conditionalFormatting sqref="N4 N6:N11">
    <cfRule type="expression" dxfId="2293" priority="88">
      <formula>ABS(N$7-N$10)&gt;=1000</formula>
    </cfRule>
  </conditionalFormatting>
  <conditionalFormatting sqref="O4 O6:O11">
    <cfRule type="expression" dxfId="2292" priority="87">
      <formula>ABS(O$7-O$10)&gt;=1000</formula>
    </cfRule>
  </conditionalFormatting>
  <conditionalFormatting sqref="P4 P6:P11">
    <cfRule type="expression" dxfId="2291" priority="86">
      <formula>ABS(P$7-P$10)&gt;=1000</formula>
    </cfRule>
  </conditionalFormatting>
  <conditionalFormatting sqref="Q4:Q11">
    <cfRule type="expression" dxfId="2290" priority="85">
      <formula>ABS(Q$7-Q$10)&gt;=1000</formula>
    </cfRule>
  </conditionalFormatting>
  <conditionalFormatting sqref="R4:R11">
    <cfRule type="expression" dxfId="2289" priority="84">
      <formula>ABS(R$7-R$10)&gt;=1000</formula>
    </cfRule>
  </conditionalFormatting>
  <conditionalFormatting sqref="S4:S11">
    <cfRule type="expression" dxfId="2288" priority="83">
      <formula>ABS(S$7-S$10)&gt;=1000</formula>
    </cfRule>
  </conditionalFormatting>
  <conditionalFormatting sqref="T4:T9 T11">
    <cfRule type="expression" dxfId="2287" priority="82">
      <formula>ABS(T$7-T$10)&gt;=1000</formula>
    </cfRule>
  </conditionalFormatting>
  <conditionalFormatting sqref="U4:U9 U11">
    <cfRule type="expression" dxfId="2286" priority="81">
      <formula>ABS(U$7-U$10)&gt;=1000</formula>
    </cfRule>
  </conditionalFormatting>
  <conditionalFormatting sqref="V4:V9 V11">
    <cfRule type="expression" dxfId="2285" priority="80">
      <formula>ABS(V$7-V$10)&gt;=1000</formula>
    </cfRule>
  </conditionalFormatting>
  <conditionalFormatting sqref="W4:W9 W11">
    <cfRule type="expression" dxfId="2284" priority="79">
      <formula>ABS(W$7-W$10)&gt;=1000</formula>
    </cfRule>
  </conditionalFormatting>
  <conditionalFormatting sqref="X4:X9 X11">
    <cfRule type="expression" dxfId="2283" priority="78">
      <formula>ABS(X$7-X$10)&gt;=1000</formula>
    </cfRule>
  </conditionalFormatting>
  <conditionalFormatting sqref="Y4:Y9 Y11">
    <cfRule type="expression" dxfId="2282" priority="77">
      <formula>ABS(Y$7-Y$10)&gt;=1000</formula>
    </cfRule>
  </conditionalFormatting>
  <conditionalFormatting sqref="Z4:Z11">
    <cfRule type="expression" dxfId="2281" priority="76">
      <formula>ABS(Z$7-Z$10)&gt;=1000</formula>
    </cfRule>
  </conditionalFormatting>
  <conditionalFormatting sqref="AA4:AA11">
    <cfRule type="expression" dxfId="2280" priority="75">
      <formula>ABS(AA$7-AA$10)&gt;=1000</formula>
    </cfRule>
  </conditionalFormatting>
  <conditionalFormatting sqref="AB4:AB11">
    <cfRule type="expression" dxfId="2279" priority="74">
      <formula>ABS(AB$7-AB$10)&gt;=1000</formula>
    </cfRule>
  </conditionalFormatting>
  <conditionalFormatting sqref="AC4 AC6:AC11">
    <cfRule type="expression" dxfId="2278" priority="73">
      <formula>ABS(AC$7-AC$10)&gt;=1000</formula>
    </cfRule>
  </conditionalFormatting>
  <conditionalFormatting sqref="AD4:AD11">
    <cfRule type="expression" dxfId="2277" priority="72">
      <formula>ABS(AD$7-AD$10)&gt;=1000</formula>
    </cfRule>
  </conditionalFormatting>
  <conditionalFormatting sqref="AE4 AE6:AE11">
    <cfRule type="expression" dxfId="2276" priority="71">
      <formula>ABS(AE$7-AE$10)&gt;=1000</formula>
    </cfRule>
  </conditionalFormatting>
  <conditionalFormatting sqref="D13:D20">
    <cfRule type="expression" dxfId="2275" priority="70">
      <formula>ABS(D$16-D$19)&gt;=1000</formula>
    </cfRule>
  </conditionalFormatting>
  <conditionalFormatting sqref="E13:E20">
    <cfRule type="expression" dxfId="2274" priority="69">
      <formula>ABS(E$16-E$19)&gt;=1000</formula>
    </cfRule>
  </conditionalFormatting>
  <conditionalFormatting sqref="F13 F15:F20">
    <cfRule type="expression" dxfId="2273" priority="68">
      <formula>ABS(F$16-F$19)&gt;=1000</formula>
    </cfRule>
  </conditionalFormatting>
  <conditionalFormatting sqref="G13:G20">
    <cfRule type="expression" dxfId="2272" priority="67">
      <formula>ABS(G$16-G$19)&gt;=1000</formula>
    </cfRule>
  </conditionalFormatting>
  <conditionalFormatting sqref="H13:H20">
    <cfRule type="expression" dxfId="2271" priority="66">
      <formula>ABS(H$16-H$19)&gt;=1000</formula>
    </cfRule>
  </conditionalFormatting>
  <conditionalFormatting sqref="I13:I20">
    <cfRule type="expression" dxfId="2270" priority="65">
      <formula>ABS(I$16-I$19)&gt;=1000</formula>
    </cfRule>
  </conditionalFormatting>
  <conditionalFormatting sqref="J13:J20">
    <cfRule type="expression" dxfId="2269" priority="64">
      <formula>ABS(J$16-J$19)&gt;=1000</formula>
    </cfRule>
  </conditionalFormatting>
  <conditionalFormatting sqref="L13:L20">
    <cfRule type="expression" dxfId="2268" priority="63">
      <formula>ABS(L$16-L$19)&gt;=1000</formula>
    </cfRule>
  </conditionalFormatting>
  <conditionalFormatting sqref="M13 M15 M17:M18 M20">
    <cfRule type="expression" dxfId="2267" priority="62">
      <formula>ABS(M$16-M$19)&gt;=1000</formula>
    </cfRule>
  </conditionalFormatting>
  <conditionalFormatting sqref="N13:N20">
    <cfRule type="expression" dxfId="2266" priority="61">
      <formula>ABS(N$16-N$19)&gt;=1000</formula>
    </cfRule>
  </conditionalFormatting>
  <conditionalFormatting sqref="O13:O20">
    <cfRule type="expression" dxfId="2265" priority="60">
      <formula>ABS(O$16-O$19)&gt;=1000</formula>
    </cfRule>
  </conditionalFormatting>
  <conditionalFormatting sqref="P13:P20">
    <cfRule type="expression" dxfId="2264" priority="59">
      <formula>ABS(P$16-P$19)&gt;=1000</formula>
    </cfRule>
  </conditionalFormatting>
  <conditionalFormatting sqref="Q13 Q15:Q20">
    <cfRule type="expression" dxfId="2263" priority="58">
      <formula>ABS(Q$16-Q$19)&gt;=1000</formula>
    </cfRule>
  </conditionalFormatting>
  <conditionalFormatting sqref="R13:R20">
    <cfRule type="expression" dxfId="2262" priority="57">
      <formula>ABS(R$16-R$19)&gt;=1000</formula>
    </cfRule>
  </conditionalFormatting>
  <conditionalFormatting sqref="S13:S20">
    <cfRule type="expression" dxfId="2261" priority="56">
      <formula>ABS(S$16-S$19)&gt;=1000</formula>
    </cfRule>
  </conditionalFormatting>
  <conditionalFormatting sqref="T13:T20">
    <cfRule type="expression" dxfId="2260" priority="55">
      <formula>ABS(T$16-T$19)&gt;=1000</formula>
    </cfRule>
  </conditionalFormatting>
  <conditionalFormatting sqref="U13:U20">
    <cfRule type="expression" dxfId="2259" priority="54">
      <formula>ABS(U$16-U$19)&gt;=1000</formula>
    </cfRule>
  </conditionalFormatting>
  <conditionalFormatting sqref="V13:V20">
    <cfRule type="expression" dxfId="2258" priority="53">
      <formula>ABS(V$16-V$19)&gt;=1000</formula>
    </cfRule>
  </conditionalFormatting>
  <conditionalFormatting sqref="W13 W20 W15:W18">
    <cfRule type="expression" dxfId="2257" priority="52">
      <formula>ABS(W$16-W$19)&gt;=1000</formula>
    </cfRule>
  </conditionalFormatting>
  <conditionalFormatting sqref="X13 X15:X20 Y19">
    <cfRule type="expression" dxfId="2256" priority="51">
      <formula>ABS(X$16-X$19)&gt;=1000</formula>
    </cfRule>
  </conditionalFormatting>
  <conditionalFormatting sqref="Y13 Y15:Y18 Y20">
    <cfRule type="expression" dxfId="2255" priority="50">
      <formula>ABS(Y$16-Y$19)&gt;=1000</formula>
    </cfRule>
  </conditionalFormatting>
  <conditionalFormatting sqref="Z13:Z20">
    <cfRule type="expression" dxfId="2254" priority="49">
      <formula>ABS(Z$16-Z$19)&gt;=1000</formula>
    </cfRule>
  </conditionalFormatting>
  <conditionalFormatting sqref="AA13:AA20">
    <cfRule type="expression" dxfId="2253" priority="48">
      <formula>ABS(AA$16-AA$19)&gt;=1000</formula>
    </cfRule>
  </conditionalFormatting>
  <conditionalFormatting sqref="AB13 AB15:AB20">
    <cfRule type="expression" dxfId="2252" priority="47">
      <formula>ABS(AB$16-AB$19)&gt;=1000</formula>
    </cfRule>
  </conditionalFormatting>
  <conditionalFormatting sqref="AC13 AC15:AC20">
    <cfRule type="expression" dxfId="2251" priority="46">
      <formula>ABS(AC$16-AC$19)&gt;=1000</formula>
    </cfRule>
  </conditionalFormatting>
  <conditionalFormatting sqref="AD13:AD20">
    <cfRule type="expression" dxfId="2250" priority="45">
      <formula>ABS(AD$16-AD$19)&gt;=1000</formula>
    </cfRule>
  </conditionalFormatting>
  <conditionalFormatting sqref="AE13:AE20">
    <cfRule type="expression" dxfId="2249" priority="44">
      <formula>ABS(AE$16-AE$19)&gt;=1000</formula>
    </cfRule>
  </conditionalFormatting>
  <conditionalFormatting sqref="D22:D29">
    <cfRule type="expression" dxfId="2248" priority="43">
      <formula>ABS(D$25-D$28)&gt;=1000</formula>
    </cfRule>
  </conditionalFormatting>
  <conditionalFormatting sqref="E22:E29">
    <cfRule type="expression" dxfId="2247" priority="42">
      <formula>ABS(E$25-E$28)&gt;=1000</formula>
    </cfRule>
  </conditionalFormatting>
  <conditionalFormatting sqref="F22:F29">
    <cfRule type="expression" dxfId="2246" priority="41">
      <formula>ABS(F$25-F$28)&gt;=1000</formula>
    </cfRule>
  </conditionalFormatting>
  <conditionalFormatting sqref="G22:G29">
    <cfRule type="expression" dxfId="2245" priority="40">
      <formula>ABS(G$25-G$28)&gt;=1000</formula>
    </cfRule>
  </conditionalFormatting>
  <conditionalFormatting sqref="H22:H29">
    <cfRule type="expression" dxfId="2244" priority="39">
      <formula>ABS(H$25-H$28)&gt;=1000</formula>
    </cfRule>
  </conditionalFormatting>
  <conditionalFormatting sqref="I22 I24:I29">
    <cfRule type="expression" dxfId="2243" priority="38">
      <formula>ABS(I$25-I$28)&gt;=1000</formula>
    </cfRule>
  </conditionalFormatting>
  <conditionalFormatting sqref="J22:J29 K22">
    <cfRule type="expression" dxfId="2242" priority="37">
      <formula>ABS(J$25-J$28)&gt;=1000</formula>
    </cfRule>
  </conditionalFormatting>
  <conditionalFormatting sqref="K23:K29 L25 L28">
    <cfRule type="expression" dxfId="2241" priority="36">
      <formula>ABS(K$25-K$28)&gt;=1000</formula>
    </cfRule>
  </conditionalFormatting>
  <conditionalFormatting sqref="L22 L26:L27 L29 L24">
    <cfRule type="expression" dxfId="2240" priority="35">
      <formula>ABS(L$25-L$28)&gt;=1000</formula>
    </cfRule>
  </conditionalFormatting>
  <conditionalFormatting sqref="M22:M29">
    <cfRule type="expression" dxfId="2239" priority="34">
      <formula>ABS(M$25-M$28)&gt;=1000</formula>
    </cfRule>
  </conditionalFormatting>
  <conditionalFormatting sqref="N22:N29">
    <cfRule type="expression" dxfId="2238" priority="33">
      <formula>ABS(N$25-N$28)&gt;=1000</formula>
    </cfRule>
  </conditionalFormatting>
  <conditionalFormatting sqref="O22:O29">
    <cfRule type="expression" dxfId="2237" priority="32">
      <formula>ABS(O$25-O$28)&gt;=1000</formula>
    </cfRule>
  </conditionalFormatting>
  <conditionalFormatting sqref="P22:P29">
    <cfRule type="expression" dxfId="2236" priority="31">
      <formula>ABS(P$25-P$28)&gt;=1000</formula>
    </cfRule>
  </conditionalFormatting>
  <conditionalFormatting sqref="Q22:Q29">
    <cfRule type="expression" dxfId="2235" priority="30">
      <formula>ABS(Q$25-Q$28)&gt;=1000</formula>
    </cfRule>
  </conditionalFormatting>
  <conditionalFormatting sqref="R22:R29">
    <cfRule type="expression" dxfId="2234" priority="29">
      <formula>ABS(R$25-R$28)&gt;=1000</formula>
    </cfRule>
  </conditionalFormatting>
  <conditionalFormatting sqref="S22:S29">
    <cfRule type="expression" dxfId="2233" priority="28">
      <formula>ABS(S$25-S$28)&gt;=1000</formula>
    </cfRule>
  </conditionalFormatting>
  <conditionalFormatting sqref="T22:T29">
    <cfRule type="expression" dxfId="2232" priority="27">
      <formula>ABS(T$25-T$28)&gt;=1000</formula>
    </cfRule>
  </conditionalFormatting>
  <conditionalFormatting sqref="U22:U29">
    <cfRule type="expression" dxfId="2231" priority="26">
      <formula>ABS(U$25-U$28)&gt;=1000</formula>
    </cfRule>
  </conditionalFormatting>
  <conditionalFormatting sqref="V22:V29">
    <cfRule type="expression" dxfId="2230" priority="25">
      <formula>ABS(V$25-V$28)&gt;=1000</formula>
    </cfRule>
  </conditionalFormatting>
  <conditionalFormatting sqref="W22:W29">
    <cfRule type="expression" dxfId="2229" priority="24">
      <formula>ABS(W$25-W$28)&gt;=1000</formula>
    </cfRule>
  </conditionalFormatting>
  <conditionalFormatting sqref="X22:X29">
    <cfRule type="expression" dxfId="2228" priority="23">
      <formula>ABS(X$25-X$28)&gt;=1000</formula>
    </cfRule>
  </conditionalFormatting>
  <conditionalFormatting sqref="Y22:Y29">
    <cfRule type="expression" dxfId="2227" priority="22">
      <formula>ABS(Y$25-Y$28)&gt;=1000</formula>
    </cfRule>
  </conditionalFormatting>
  <conditionalFormatting sqref="I23">
    <cfRule type="expression" dxfId="2226" priority="21">
      <formula>ABS(I$25-I$28)&gt;=1000</formula>
    </cfRule>
  </conditionalFormatting>
  <conditionalFormatting sqref="Q14">
    <cfRule type="expression" dxfId="2225" priority="20">
      <formula>ABS(Q$16-Q$19)&gt;=1000</formula>
    </cfRule>
  </conditionalFormatting>
  <conditionalFormatting sqref="W14">
    <cfRule type="expression" dxfId="2224" priority="19">
      <formula>ABS(W$16-W$19)&gt;=1000</formula>
    </cfRule>
  </conditionalFormatting>
  <conditionalFormatting sqref="Y14">
    <cfRule type="expression" dxfId="2223" priority="18">
      <formula>ABS(Y$16-Y$19)&gt;=1000</formula>
    </cfRule>
  </conditionalFormatting>
  <conditionalFormatting sqref="X14">
    <cfRule type="expression" dxfId="2222" priority="17">
      <formula>ABS(X$16-X$19)&gt;=1000</formula>
    </cfRule>
  </conditionalFormatting>
  <conditionalFormatting sqref="T10:Y10">
    <cfRule type="expression" dxfId="2221" priority="16">
      <formula>ABS(T$7-T$10)&gt;=1000</formula>
    </cfRule>
  </conditionalFormatting>
  <conditionalFormatting sqref="W19">
    <cfRule type="expression" dxfId="2220" priority="15">
      <formula>ABS(W$16-W$19)&gt;=1000</formula>
    </cfRule>
  </conditionalFormatting>
  <conditionalFormatting sqref="AC5">
    <cfRule type="expression" dxfId="2219" priority="14">
      <formula>ABS(AC$7-AC$10)&gt;=1000</formula>
    </cfRule>
  </conditionalFormatting>
  <conditionalFormatting sqref="M14">
    <cfRule type="expression" dxfId="2218" priority="13">
      <formula>ABS(M$16-M$19)&gt;=1000</formula>
    </cfRule>
  </conditionalFormatting>
  <conditionalFormatting sqref="M16">
    <cfRule type="expression" dxfId="2217" priority="12">
      <formula>ABS(M$16-M$19)&gt;=1000</formula>
    </cfRule>
  </conditionalFormatting>
  <conditionalFormatting sqref="M19">
    <cfRule type="expression" dxfId="2216" priority="11">
      <formula>ABS(M$16-M$19)&gt;=1000</formula>
    </cfRule>
  </conditionalFormatting>
  <conditionalFormatting sqref="K13:K20">
    <cfRule type="expression" dxfId="2215" priority="10">
      <formula>ABS(K$16-K$19)&gt;=1000</formula>
    </cfRule>
  </conditionalFormatting>
  <conditionalFormatting sqref="E5">
    <cfRule type="expression" dxfId="2214" priority="9">
      <formula>ABS(E$7-E$10)&gt;=1000</formula>
    </cfRule>
  </conditionalFormatting>
  <conditionalFormatting sqref="AB14:AC14">
    <cfRule type="expression" dxfId="2213" priority="8">
      <formula>ABS(AB$16-AB$19)&gt;=1000</formula>
    </cfRule>
  </conditionalFormatting>
  <conditionalFormatting sqref="M5">
    <cfRule type="expression" dxfId="2212" priority="7">
      <formula>ABS(M$7-M$10)&gt;=1000</formula>
    </cfRule>
  </conditionalFormatting>
  <conditionalFormatting sqref="N5">
    <cfRule type="expression" dxfId="2211" priority="6">
      <formula>ABS(N$7-N$10)&gt;=1000</formula>
    </cfRule>
  </conditionalFormatting>
  <conditionalFormatting sqref="O5">
    <cfRule type="expression" dxfId="2210" priority="5">
      <formula>ABS(O$7-O$10)&gt;=1000</formula>
    </cfRule>
  </conditionalFormatting>
  <conditionalFormatting sqref="P5">
    <cfRule type="expression" dxfId="2209" priority="4">
      <formula>ABS(P$7-P$10)&gt;=1000</formula>
    </cfRule>
  </conditionalFormatting>
  <conditionalFormatting sqref="L23">
    <cfRule type="expression" dxfId="2208" priority="3">
      <formula>ABS(L$25-L$28)&gt;=1000</formula>
    </cfRule>
  </conditionalFormatting>
  <conditionalFormatting sqref="F14">
    <cfRule type="expression" dxfId="2207" priority="2">
      <formula>ABS(F$16-F$19)&gt;=1000</formula>
    </cfRule>
  </conditionalFormatting>
  <conditionalFormatting sqref="AE5">
    <cfRule type="expression" dxfId="2206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444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58">
    <pageSetUpPr fitToPage="1"/>
  </sheetPr>
  <dimension ref="A1:CU223"/>
  <sheetViews>
    <sheetView tabSelected="1" view="pageBreakPreview" topLeftCell="A7" zoomScale="80" zoomScaleNormal="100" zoomScaleSheetLayoutView="80" workbookViewId="0">
      <selection activeCell="AF24" sqref="AF2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8" t="s" ph="1">
        <v>161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" customHeight="1" ph="1">
      <c r="B3" s="240" ph="1">
        <v>45966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9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47" t="s" ph="1">
        <v>177</v>
      </c>
      <c r="D6" s="71">
        <v>6780</v>
      </c>
      <c r="E6" s="71">
        <v>4717</v>
      </c>
      <c r="F6" s="71">
        <v>5459</v>
      </c>
      <c r="G6" s="71">
        <v>3846</v>
      </c>
      <c r="H6" s="71">
        <v>5223</v>
      </c>
      <c r="I6" s="71">
        <v>40.81</v>
      </c>
      <c r="J6" s="71">
        <v>7</v>
      </c>
      <c r="K6" s="71">
        <v>8.5</v>
      </c>
      <c r="L6" s="71">
        <v>49.3</v>
      </c>
      <c r="M6" s="71">
        <v>4274</v>
      </c>
      <c r="N6" s="71">
        <v>2213</v>
      </c>
      <c r="O6" s="71">
        <v>103</v>
      </c>
      <c r="P6" s="71">
        <v>262</v>
      </c>
      <c r="Q6" s="71">
        <v>0</v>
      </c>
      <c r="R6" s="71">
        <v>0</v>
      </c>
      <c r="S6" s="71">
        <v>0</v>
      </c>
      <c r="T6" s="71">
        <v>69</v>
      </c>
      <c r="U6" s="71">
        <v>5891</v>
      </c>
      <c r="V6" s="71">
        <v>6336</v>
      </c>
      <c r="W6" s="71">
        <v>4501</v>
      </c>
      <c r="X6" s="71">
        <v>7085</v>
      </c>
      <c r="Y6" s="71">
        <v>4645</v>
      </c>
      <c r="Z6" s="71">
        <v>4221</v>
      </c>
      <c r="AA6" s="71">
        <v>768</v>
      </c>
      <c r="AB6" s="71">
        <v>4039</v>
      </c>
      <c r="AC6" s="71">
        <v>2014</v>
      </c>
      <c r="AD6" s="71">
        <v>4780</v>
      </c>
      <c r="AE6" s="71">
        <v>6072</v>
      </c>
    </row>
    <row r="7" spans="1:99" s="72" customFormat="1" ht="22.2" ph="1">
      <c r="B7" s="237" ph="1"/>
      <c r="C7" s="68" t="s" ph="1">
        <v>178</v>
      </c>
      <c r="D7" s="73" ph="1">
        <f>D6*33.183*LOOKUP(D8,密度!$A$2:$A$50,密度!$Q$2:$Q$50)</f>
        <v>213526.97052659999</v>
      </c>
      <c r="E7" s="73" ph="1">
        <f>E6*51.53*LOOKUP(E8,密度!$A$2:$A$50,密度!$B$2:$B$50)</f>
        <v>190151.32192300001</v>
      </c>
      <c r="F7" s="73" ph="1">
        <f>F6*33.183*LOOKUP(F8,密度!$A$2:$A$50,密度!$C$2:$C$50)</f>
        <v>201144.51506880001</v>
      </c>
      <c r="G7" s="73" ph="1">
        <f xml:space="preserve"> (G6+2)*51.53*LOOKUP(G8,密度!$A$2:$A$50,密度!$B$2:$B$50)</f>
        <v>155635.81165600001</v>
      </c>
      <c r="H7" s="73" ph="1">
        <f>(H6)*51.53*LOOKUP(H8,密度!$A$2:$A$50,密度!$B$2:$B$50)</f>
        <v>211248.92003100002</v>
      </c>
      <c r="I7" s="73" ph="1">
        <f>I6*290.8*1.0267</f>
        <v>12184.411531600001</v>
      </c>
      <c r="J7" s="73" ph="1">
        <f>J6*290.8*0.7892</f>
        <v>1606.4955200000002</v>
      </c>
      <c r="K7" s="73" ph="1">
        <f>K6*290.8*1.1126</f>
        <v>2750.1246800000004</v>
      </c>
      <c r="L7" s="73" ph="1">
        <f>L6*290.8*0.777</f>
        <v>11139.41388</v>
      </c>
      <c r="M7" s="73" ph="1">
        <f>M6*33.183*LOOKUP(M8,密度!$A$2:$A$50,密度!$D$2:$D$50)</f>
        <v>145880.3124612</v>
      </c>
      <c r="N7" s="73" ph="1">
        <f>N6*33.183*LOOKUP(N8,密度!$A$2:$A$50,密度!$E$2:$E$50)</f>
        <v>57601.613127600001</v>
      </c>
      <c r="O7" s="73" ph="1">
        <f>O6*20.428*LOOKUP(O8,密度!$A$2:$A$50,密度!$C$2:$C$50)</f>
        <v>2333.2187476000004</v>
      </c>
      <c r="P7" s="73" ph="1">
        <f>P6*51.53*LOOKUP(P8,密度!$A$2:$A$50,密度!$B$2:$B$50)</f>
        <v>10573.873552000001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459.44486280000001</v>
      </c>
      <c r="U7" s="73" ph="1">
        <f>U6*1.5*1.5*3.1416*LOOKUP(U8,密度!$A$2:$A$50,密度!$L$2:$L$50)</f>
        <v>39101.014121400003</v>
      </c>
      <c r="V7" s="73" ph="1">
        <f>V6*1.5*1.5*3.1416*LOOKUP(V8,密度!$A$2:$A$50,密度!$L$2:$L$50)</f>
        <v>42009.877324799992</v>
      </c>
      <c r="W7" s="73" ph="1">
        <f>W6*1.5*1.5*3.1416*LOOKUP(W8,密度!$A$2:$A$50,密度!$L$2:$L$50)</f>
        <v>29843.190946799998</v>
      </c>
      <c r="X7" s="73" ph="1">
        <f>X6*1.5*1.5*3.1416*LOOKUP(X8,密度!$A$2:$A$50,密度!$L$2:$L$50)</f>
        <v>47426.736357000002</v>
      </c>
      <c r="Y7" s="73" ph="1">
        <f>Y6*1.5*1.5*3.1416*LOOKUP(Y8,密度!$A$2:$A$50,密度!$L$2:$L$50)</f>
        <v>30863.628179999996</v>
      </c>
      <c r="Z7" s="73" ph="1">
        <f>Z6*33.183*LOOKUP(Z8,密度!$A$2:$A$50,密度!$L$2:$L$50)</f>
        <v>132221.778192</v>
      </c>
      <c r="AA7" s="73" ph="1">
        <f>AA6*33.183*LOOKUP(AA8,密度!$A$2:$A$50,密度!$D$2:$D$50)</f>
        <v>26187.917414400003</v>
      </c>
      <c r="AB7" s="73" ph="1">
        <f>AB6*20.428*LOOKUP(AB8,密度!$A$2:$A$50,密度!$D$2:$D$50)</f>
        <v>85446.001435200014</v>
      </c>
      <c r="AC7" s="73" ph="1">
        <f>AC6*51.53*LOOKUP(AC8,密度!$A$2:$A$50,密度!$Q$2:$Q$50)</f>
        <v>98560.176759800001</v>
      </c>
      <c r="AD7" s="73" ph="1">
        <f>AD6*20.428*LOOKUP(AD8,密度!$A$2:$A$50,密度!$V$2:$V$50)</f>
        <v>93818.123072000002</v>
      </c>
      <c r="AE7" s="73" ph="1">
        <f>AE6*20.428</f>
        <v>124038.81600000001</v>
      </c>
    </row>
    <row r="8" spans="1:99" ph="1">
      <c r="B8" s="237" ph="1"/>
      <c r="C8" s="68" t="s" ph="1">
        <v>179</v>
      </c>
      <c r="D8" s="74">
        <v>22</v>
      </c>
      <c r="E8" s="74">
        <v>22</v>
      </c>
      <c r="F8" s="74">
        <v>23</v>
      </c>
      <c r="G8" s="74">
        <v>19</v>
      </c>
      <c r="H8" s="74">
        <v>19</v>
      </c>
      <c r="I8" s="74">
        <v>25</v>
      </c>
      <c r="J8" s="74">
        <v>25</v>
      </c>
      <c r="K8" s="74">
        <v>25</v>
      </c>
      <c r="L8" s="74">
        <v>25</v>
      </c>
      <c r="M8" s="74">
        <v>23</v>
      </c>
      <c r="N8" s="74">
        <v>24</v>
      </c>
      <c r="O8" s="74">
        <v>25</v>
      </c>
      <c r="P8" s="74">
        <v>21</v>
      </c>
      <c r="Q8" s="74">
        <v>23</v>
      </c>
      <c r="R8" s="74">
        <v>18</v>
      </c>
      <c r="S8" s="74">
        <v>19</v>
      </c>
      <c r="T8" s="74">
        <v>20</v>
      </c>
      <c r="U8" s="74">
        <v>23</v>
      </c>
      <c r="V8" s="74">
        <v>24</v>
      </c>
      <c r="W8" s="74">
        <v>24</v>
      </c>
      <c r="X8" s="74">
        <v>15</v>
      </c>
      <c r="Y8" s="74">
        <v>22</v>
      </c>
      <c r="Z8" s="74">
        <v>18</v>
      </c>
      <c r="AA8" s="74">
        <v>24</v>
      </c>
      <c r="AB8" s="74">
        <v>15</v>
      </c>
      <c r="AC8" s="74">
        <v>21</v>
      </c>
      <c r="AD8" s="74">
        <v>22</v>
      </c>
      <c r="AE8" s="74">
        <v>25</v>
      </c>
    </row>
    <row r="9" spans="1:99" ht="26.4" ph="1">
      <c r="B9" s="237" ph="1">
        <v>0.66666666666666663</v>
      </c>
      <c r="C9" s="147" t="s" ph="1">
        <v>180</v>
      </c>
      <c r="D9" s="71">
        <v>6786</v>
      </c>
      <c r="E9" s="71">
        <v>4486</v>
      </c>
      <c r="F9" s="71">
        <v>5460</v>
      </c>
      <c r="G9" s="71">
        <v>4899</v>
      </c>
      <c r="H9" s="71">
        <v>5226</v>
      </c>
      <c r="I9" s="71">
        <v>40.86</v>
      </c>
      <c r="J9" s="71">
        <v>7.11</v>
      </c>
      <c r="K9" s="71">
        <v>8.5</v>
      </c>
      <c r="L9" s="71">
        <v>45.12</v>
      </c>
      <c r="M9" s="71">
        <v>4174</v>
      </c>
      <c r="N9" s="71">
        <v>2215</v>
      </c>
      <c r="O9" s="71">
        <v>104</v>
      </c>
      <c r="P9" s="71">
        <v>389</v>
      </c>
      <c r="Q9" s="71">
        <v>4743</v>
      </c>
      <c r="R9" s="71">
        <v>0</v>
      </c>
      <c r="S9" s="71">
        <v>0</v>
      </c>
      <c r="T9" s="71">
        <v>0</v>
      </c>
      <c r="U9" s="71">
        <v>1763</v>
      </c>
      <c r="V9" s="71">
        <v>6344</v>
      </c>
      <c r="W9" s="71">
        <v>5040</v>
      </c>
      <c r="X9" s="71">
        <v>7097</v>
      </c>
      <c r="Y9" s="71">
        <v>7031</v>
      </c>
      <c r="Z9" s="71">
        <v>5123</v>
      </c>
      <c r="AA9" s="71">
        <v>768</v>
      </c>
      <c r="AB9" s="71">
        <v>3982</v>
      </c>
      <c r="AC9" s="71">
        <v>2281</v>
      </c>
      <c r="AD9" s="71">
        <v>4780</v>
      </c>
      <c r="AE9" s="71">
        <v>5905</v>
      </c>
    </row>
    <row r="10" spans="1:99" s="72" customFormat="1" ht="22.2" ph="1">
      <c r="B10" s="237" ph="1"/>
      <c r="C10" s="147" t="s" ph="1">
        <v>178</v>
      </c>
      <c r="D10" s="73" ph="1">
        <f>D9*33.183*LOOKUP(D11,密度!$A$2:$A$50,密度!$Q$2:$Q$50)</f>
        <v>213186.75982812</v>
      </c>
      <c r="E10" s="73" ph="1">
        <f>E9*51.53*LOOKUP(E11,密度!$A$2:$A$50,密度!$B$2:$B$50)</f>
        <v>180423.17419000002</v>
      </c>
      <c r="F10" s="73" ph="1">
        <f>F9*33.183*LOOKUP(F11,密度!$A$2:$A$50,密度!$C$2:$C$50)</f>
        <v>201036.41812799999</v>
      </c>
      <c r="G10" s="73" ph="1">
        <f xml:space="preserve"> (G9+2)*51.53*LOOKUP(G11,密度!$A$2:$A$50,密度!$B$2:$B$50)</f>
        <v>197796.008696</v>
      </c>
      <c r="H10" s="73" ph="1">
        <f>(H9)*51.53*LOOKUP(H11,密度!$A$2:$A$50,密度!$B$2:$B$50)</f>
        <v>210912.45489600001</v>
      </c>
      <c r="I10" s="73" ph="1">
        <f>I9*290.8*1.0267</f>
        <v>12199.3397496</v>
      </c>
      <c r="J10" s="73" ph="1">
        <f>J9*290.8*0.7892</f>
        <v>1631.7404496000001</v>
      </c>
      <c r="K10" s="73" ph="1">
        <f>K9*290.8*1.1126</f>
        <v>2750.1246800000004</v>
      </c>
      <c r="L10" s="73" ph="1">
        <f>L9*290.8*0.777</f>
        <v>10194.936192000001</v>
      </c>
      <c r="M10" s="73" ph="1">
        <f>M9*33.183*LOOKUP(M11,密度!$A$2:$A$50,密度!$D$2:$D$50)</f>
        <v>142203.94798140001</v>
      </c>
      <c r="N10" s="73" ph="1">
        <f>N9*33.183*LOOKUP(N11,密度!$A$2:$A$50,密度!$E$2:$E$50)</f>
        <v>57565.470204000005</v>
      </c>
      <c r="O10" s="73" ph="1">
        <f>O9*20.428*LOOKUP(O11,密度!$A$2:$A$50,密度!$C$2:$C$50)</f>
        <v>2349.4978208000002</v>
      </c>
      <c r="P10" s="73" ph="1">
        <f>P9*51.53*LOOKUP(P11,密度!$A$2:$A$50,密度!$B$2:$B$50)</f>
        <v>15609.173879</v>
      </c>
      <c r="Q10" s="73" ph="1">
        <f>Q9*1.5*1.5*3.1416*LOOKUP(W11,密度!$A$2:$A$50,密度!$L$2:$L$50)</f>
        <v>31414.208502600002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11676.8394666</v>
      </c>
      <c r="V10" s="73" ph="1">
        <f>V9*1.5*1.5*3.1416*LOOKUP(V11,密度!$A$2:$A$50,密度!$L$2:$L$50)</f>
        <v>41928.390504000003</v>
      </c>
      <c r="W10" s="73" ph="1">
        <f>W9*1.5*1.5*3.1416*LOOKUP(W11,密度!$A$2:$A$50,密度!$L$2:$L$50)</f>
        <v>33381.322128</v>
      </c>
      <c r="X10" s="73" ph="1">
        <f>X9*1.5*1.5*3.1416*LOOKUP(X11,密度!$A$2:$A$50,密度!$L$2:$L$50)</f>
        <v>47105.737093800002</v>
      </c>
      <c r="Y10" s="73" ph="1">
        <f>Y9*1.5*1.5*3.1416*LOOKUP(Y11,密度!$A$2:$A$50,密度!$L$2:$L$50)</f>
        <v>46568.269024200003</v>
      </c>
      <c r="Z10" s="73" ph="1">
        <f>Z9*33.183*LOOKUP(Z11,密度!$A$2:$A$50,密度!$L$2:$L$50)</f>
        <v>159966.71496899999</v>
      </c>
      <c r="AA10" s="73" ph="1">
        <f>AA9*33.183*LOOKUP(AA11,密度!$A$2:$A$50,密度!$D$2:$D$50)</f>
        <v>26164.981324799999</v>
      </c>
      <c r="AB10" s="73" ph="1">
        <f>AB9*20.428*LOOKUP(AB11,密度!$A$2:$A$50,密度!$D$2:$D$50)</f>
        <v>84101.867634400012</v>
      </c>
      <c r="AC10" s="73" ph="1">
        <f>AC9*51.53*LOOKUP(AC11,密度!$A$2:$A$50,密度!$Q$2:$Q$50)</f>
        <v>111365.55747710001</v>
      </c>
      <c r="AD10" s="73" ph="1">
        <f>AD9*20.428*LOOKUP(AD11,密度!$A$2:$A$50,密度!$V$2:$V$50)</f>
        <v>93818.123072000002</v>
      </c>
      <c r="AE10" s="73" ph="1">
        <f>AE9*20.428</f>
        <v>120627.34000000001</v>
      </c>
    </row>
    <row r="11" spans="1:99" ph="1">
      <c r="A11" s="64" t="s" ph="1">
        <v>162</v>
      </c>
      <c r="B11" s="237" ph="1"/>
      <c r="C11" s="147" t="s" ph="1">
        <v>179</v>
      </c>
      <c r="D11" s="74">
        <v>25</v>
      </c>
      <c r="E11" s="74">
        <v>24</v>
      </c>
      <c r="F11" s="74">
        <v>24</v>
      </c>
      <c r="G11" s="74">
        <v>21</v>
      </c>
      <c r="H11" s="74">
        <v>21</v>
      </c>
      <c r="I11" s="74">
        <v>25</v>
      </c>
      <c r="J11" s="74">
        <v>25</v>
      </c>
      <c r="K11" s="74">
        <v>25</v>
      </c>
      <c r="L11" s="74">
        <v>25</v>
      </c>
      <c r="M11" s="74">
        <v>25</v>
      </c>
      <c r="N11" s="74">
        <v>25</v>
      </c>
      <c r="O11" s="74">
        <v>29</v>
      </c>
      <c r="P11" s="74">
        <v>26</v>
      </c>
      <c r="Q11" s="74">
        <v>27</v>
      </c>
      <c r="R11" s="74">
        <v>31</v>
      </c>
      <c r="S11" s="74">
        <v>22</v>
      </c>
      <c r="T11" s="74">
        <v>22</v>
      </c>
      <c r="U11" s="74">
        <v>25</v>
      </c>
      <c r="V11" s="74">
        <v>27</v>
      </c>
      <c r="W11" s="74">
        <v>25</v>
      </c>
      <c r="X11" s="74">
        <v>23</v>
      </c>
      <c r="Y11" s="74">
        <v>25</v>
      </c>
      <c r="Z11" s="74">
        <v>21</v>
      </c>
      <c r="AA11" s="74">
        <v>25</v>
      </c>
      <c r="AB11" s="74">
        <v>17</v>
      </c>
      <c r="AC11" s="74">
        <v>24</v>
      </c>
      <c r="AD11" s="74">
        <v>23</v>
      </c>
      <c r="AE11" s="74">
        <v>27</v>
      </c>
    </row>
    <row r="12" spans="1:99" ht="9.9" customHeight="1" ph="1"/>
    <row r="13" spans="1:99" s="72" customFormat="1" ht="29.25" customHeight="1" ph="1">
      <c r="B13" s="214" t="s" ph="1">
        <v>37</v>
      </c>
      <c r="C13" s="147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5" ph="1"/>
      <c r="C14" s="67" t="s" ph="1">
        <v>36</v>
      </c>
      <c r="D14" s="77" t="s" ph="1">
        <v>616</v>
      </c>
      <c r="E14" s="77" t="s" ph="1">
        <v>616</v>
      </c>
      <c r="F14" s="77" t="s" ph="1">
        <v>639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636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635</v>
      </c>
      <c r="AC14" s="77" t="s" ph="1">
        <v>637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6" ph="1">
        <v>0.33333333333333331</v>
      </c>
      <c r="C15" s="147" t="s" ph="1">
        <v>177</v>
      </c>
      <c r="D15" s="78">
        <v>5954</v>
      </c>
      <c r="E15" s="78">
        <v>70</v>
      </c>
      <c r="F15" s="78">
        <v>2144</v>
      </c>
      <c r="G15" s="78">
        <v>3427</v>
      </c>
      <c r="H15" s="78">
        <v>0</v>
      </c>
      <c r="I15" s="78">
        <v>1614</v>
      </c>
      <c r="J15" s="78">
        <v>735</v>
      </c>
      <c r="K15" s="78">
        <v>4764</v>
      </c>
      <c r="L15" s="78">
        <v>3955</v>
      </c>
      <c r="M15" s="78">
        <v>4027</v>
      </c>
      <c r="N15" s="78">
        <v>3594</v>
      </c>
      <c r="O15" s="78">
        <v>6388</v>
      </c>
      <c r="P15" s="78">
        <v>6929</v>
      </c>
      <c r="Q15" s="78">
        <v>1610</v>
      </c>
      <c r="R15" s="78">
        <v>7410</v>
      </c>
      <c r="S15" s="78">
        <v>6183</v>
      </c>
      <c r="T15" s="78">
        <v>644</v>
      </c>
      <c r="U15" s="78">
        <v>5893</v>
      </c>
      <c r="V15" s="78">
        <v>4934</v>
      </c>
      <c r="W15" s="71">
        <v>5036</v>
      </c>
      <c r="X15" s="78">
        <v>849</v>
      </c>
      <c r="Y15" s="106">
        <v>-9903</v>
      </c>
      <c r="Z15" s="78">
        <v>0</v>
      </c>
      <c r="AA15" s="78">
        <v>0</v>
      </c>
      <c r="AB15" s="78" ph="1">
        <v>1093</v>
      </c>
      <c r="AC15" s="78" ph="1">
        <v>2140</v>
      </c>
      <c r="AD15" s="78">
        <v>61.46</v>
      </c>
      <c r="AE15" s="78">
        <v>5.57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7" ph="1"/>
      <c r="C16" s="147" t="s" ph="1">
        <v>178</v>
      </c>
      <c r="D16" s="73" ph="1">
        <f>D15*7.0686*LOOKUP(D17,密度!$A$2:$A$50,密度!$L$2:$L$50)</f>
        <v>39477.0848472</v>
      </c>
      <c r="E16" s="73" ph="1">
        <f>E15*7.0686*LOOKUP(E17,密度!$A$2:$A$50,密度!$L$2:$L$50)</f>
        <v>464.12427600000001</v>
      </c>
      <c r="F16" s="73" ph="1">
        <f>F15*9.0746*LOOKUP(F17,密度!$A$2:$A$50,密度!$L$2:$L$50)</f>
        <v>18230.218028800002</v>
      </c>
      <c r="G16" s="73" ph="1">
        <f>G15*9.0746*LOOKUP(G17,密度!$A$2:$A$50,密度!$B$2:$B$50)</f>
        <v>24328.47718066</v>
      </c>
      <c r="H16" s="73" ph="1">
        <f>H15*9.0746*LOOKUP(H17,密度!$A$2:$A$50,密度!$L$2:$L$50)</f>
        <v>0</v>
      </c>
      <c r="I16" s="73" ph="1">
        <f>I15*9.0746*LOOKUP(I17,密度!$A$2:$A$50,密度!$U$2:$U$50)</f>
        <v>15056.503723200001</v>
      </c>
      <c r="J16" s="73" ph="1">
        <f>J15*9.0746*LOOKUP(J17,密度!$A$2:$A$50,密度!$L$2:$L$50)</f>
        <v>6262.9713089999996</v>
      </c>
      <c r="K16" s="73" ph="1">
        <f>K15*9.0746*LOOKUP(K17,密度!$A$2:$A$50,密度!$C$2:$C$50)</f>
        <v>48004.140341760009</v>
      </c>
      <c r="L16" s="73" ph="1">
        <f>L15*9.0746*LOOKUP(L17,密度!$A$2:$A$50,密度!$E$2:$E$50)</f>
        <v>28195.217780799998</v>
      </c>
      <c r="M16" s="73" ph="1">
        <f>M15*9.0746*LOOKUP(M17,密度!$A$2:$A$50,密度!$M$2:$M$50)</f>
        <v>32008.376497779998</v>
      </c>
      <c r="N16" s="73" ph="1">
        <f>N15*9.0746*LOOKUP(N17,密度!$A$2:$A$50,密度!$M$2:$M$50)</f>
        <v>28635.1906872</v>
      </c>
      <c r="O16" s="73" ph="1">
        <f>O15*9.0746*LOOKUP(O17,密度!$A$2:$A$50,密度!$G$2:$G$50)</f>
        <v>55661.396716960007</v>
      </c>
      <c r="P16" s="73" ph="1">
        <f ca="1">P15*9.0746*LOOKUP(P17,密度!$A$2:$A$51,密度!$Q$2:$Q$50)</f>
        <v>59620.828003880008</v>
      </c>
      <c r="Q16" s="73" ph="1">
        <f>Q15*9.0746*LOOKUP(Q17,密度!$A$2:$A$50,密度!$Q$2:$Q$50)</f>
        <v>13842.63713182</v>
      </c>
      <c r="R16" s="73" ph="1">
        <f>MAX(R15*9.0746*LOOKUP(R17,密度!$A$2:$A$50,密度!$B$2:$B$50),0)</f>
        <v>52482.994473000006</v>
      </c>
      <c r="S16" s="73" ph="1">
        <f>S15*9.0746*LOOKUP(S17,密度!$A$2:$A$50,密度!$Q$2:$Q$50)</f>
        <v>53160.885332946003</v>
      </c>
      <c r="T16" s="73" ph="1">
        <f>T15*9.0746*LOOKUP(T17,密度!$A$2:$A$50,密度!$O$2:$O$50)</f>
        <v>5434.9594320000006</v>
      </c>
      <c r="U16" s="73" ph="1">
        <f>U15*9.0746*LOOKUP(U17,密度!$A$2:$A$50,密度!$H$2:$H$50)</f>
        <v>49182.445390659996</v>
      </c>
      <c r="V16" s="73" ph="1">
        <f>MAX(5600*LOOKUP(V17,密度!$A$2:$A$50,密度!$Q$2:$Q$50)+V15*9.0476*LOOKUP(V17,密度!$A$2:$A$50,密度!$Q$2:$Q$50),0)</f>
        <v>47565.030281615997</v>
      </c>
      <c r="W16" s="73" ph="1">
        <f>MAX(5600*LOOKUP(W17,密度!$A$2:$A$50,密度!$Q$2:$Q$50)+W15*9.0476*LOOKUP(W17,密度!$A$2:$A$50,密度!$Q$2:$Q$50),0)</f>
        <v>48438.734213663993</v>
      </c>
      <c r="X16" s="73" ph="1">
        <f>MAX(5600*LOOKUP(X17,密度!$A$2:$A$50,密度!$I$2:$I$50)+X15*9.0476*LOOKUP(X17,密度!$A$2:$A$50,密度!$I$2:$I$50),0)</f>
        <v>13843.21614452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9333.3440697999995</v>
      </c>
      <c r="AC16" s="73" ph="1">
        <f>AC15*9.0746*LOOKUP(AC17,密度!$A$2:$A$50,密度!$L$2:$L$50)</f>
        <v>18273.885004</v>
      </c>
      <c r="AD16" s="73" ph="1">
        <f>AD15*268.68*LOOKUP(AD17,密度!$A$2:$A$50,密度!B2:B50)+IF(AD15&lt;=0,0,1566*LOOKUP(AD17,密度!$A$2:$A$50,密度!B2:B50))</f>
        <v>14094.445154880001</v>
      </c>
      <c r="AE16" s="73" ph="1">
        <f>AE15*268.68*LOOKUP(AE17,密度!$A$2:$A$50,密度!B2:B50)+IF(AE15&lt;=0,0,1566*LOOKUP(AE17,密度!$A$2:$A$50,密度!B2:B50))</f>
        <v>2387.5621089599999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8" ph="1"/>
      <c r="C17" s="79" t="s" ph="1">
        <v>179</v>
      </c>
      <c r="D17" s="74">
        <v>24</v>
      </c>
      <c r="E17" s="74">
        <v>24</v>
      </c>
      <c r="F17" s="74">
        <v>25</v>
      </c>
      <c r="G17" s="74">
        <v>22</v>
      </c>
      <c r="H17" s="74">
        <v>18</v>
      </c>
      <c r="I17" s="74">
        <v>20</v>
      </c>
      <c r="J17" s="74">
        <v>23</v>
      </c>
      <c r="K17" s="74">
        <v>23</v>
      </c>
      <c r="L17" s="74">
        <v>23</v>
      </c>
      <c r="M17" s="74">
        <v>24</v>
      </c>
      <c r="N17" s="74">
        <v>22</v>
      </c>
      <c r="O17" s="74">
        <v>25</v>
      </c>
      <c r="P17" s="74">
        <v>23</v>
      </c>
      <c r="Q17" s="74">
        <v>24</v>
      </c>
      <c r="R17" s="74">
        <v>24</v>
      </c>
      <c r="S17" s="74">
        <v>24</v>
      </c>
      <c r="T17" s="74">
        <v>22</v>
      </c>
      <c r="U17" s="74">
        <v>20</v>
      </c>
      <c r="V17" s="74">
        <v>25</v>
      </c>
      <c r="W17" s="74">
        <v>25</v>
      </c>
      <c r="X17" s="74">
        <v>25</v>
      </c>
      <c r="Y17" s="108">
        <v>25</v>
      </c>
      <c r="Z17" s="74">
        <v>22</v>
      </c>
      <c r="AA17" s="74">
        <v>20</v>
      </c>
      <c r="AB17" s="74">
        <v>21</v>
      </c>
      <c r="AC17" s="74">
        <v>21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6" ph="1">
        <v>0.66666666666666663</v>
      </c>
      <c r="C18" s="79" t="s" ph="1">
        <v>180</v>
      </c>
      <c r="D18" s="71">
        <v>3402</v>
      </c>
      <c r="E18" s="71">
        <v>1313</v>
      </c>
      <c r="F18" s="71">
        <v>2144</v>
      </c>
      <c r="G18" s="71">
        <v>3488</v>
      </c>
      <c r="H18" s="71">
        <v>0</v>
      </c>
      <c r="I18" s="71">
        <v>1615</v>
      </c>
      <c r="J18" s="71">
        <v>735</v>
      </c>
      <c r="K18" s="71">
        <v>4766</v>
      </c>
      <c r="L18" s="71">
        <v>3964</v>
      </c>
      <c r="M18" s="71">
        <v>1069</v>
      </c>
      <c r="N18" s="71">
        <v>5056</v>
      </c>
      <c r="O18" s="71">
        <v>6396</v>
      </c>
      <c r="P18" s="71">
        <v>5189</v>
      </c>
      <c r="Q18" s="71">
        <v>1612</v>
      </c>
      <c r="R18" s="71">
        <v>6572</v>
      </c>
      <c r="S18" s="71">
        <v>6190</v>
      </c>
      <c r="T18" s="71">
        <v>6638</v>
      </c>
      <c r="U18" s="71">
        <v>1656</v>
      </c>
      <c r="V18" s="71">
        <v>5035</v>
      </c>
      <c r="W18" s="71">
        <v>4933</v>
      </c>
      <c r="X18" s="71">
        <v>847</v>
      </c>
      <c r="Y18" s="109">
        <v>-9906</v>
      </c>
      <c r="Z18" s="71">
        <v>0</v>
      </c>
      <c r="AA18" s="71">
        <v>0</v>
      </c>
      <c r="AB18" s="71">
        <v>1093</v>
      </c>
      <c r="AC18" s="71">
        <v>2142</v>
      </c>
      <c r="AD18" s="71">
        <v>84.76</v>
      </c>
      <c r="AE18" s="71">
        <v>25.88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7" ph="1"/>
      <c r="C19" s="147" t="s" ph="1">
        <v>178</v>
      </c>
      <c r="D19" s="73" ph="1">
        <f>D18*7.0686*LOOKUP(D20,密度!$A$2:$A$50,密度!$L$2:$L$50)</f>
        <v>22532.392436400001</v>
      </c>
      <c r="E19" s="73" ph="1">
        <f>E18*7.0686*LOOKUP(E20,密度!$A$2:$A$50,密度!$L$2:$L$50)</f>
        <v>8696.3642765999994</v>
      </c>
      <c r="F19" s="73" ph="1">
        <f>F18*9.0746*LOOKUP(F20,密度!$A$2:$A$50,密度!$L$2:$L$50)</f>
        <v>18210.762086400002</v>
      </c>
      <c r="G19" s="73" ph="1">
        <f>G18*9.0746*LOOKUP(G20,密度!$A$2:$A$50,密度!$B$2:$B$50)</f>
        <v>24676.058862079997</v>
      </c>
      <c r="H19" s="73" ph="1">
        <f>H18*9.0746*LOOKUP(H20,密度!$A$2:$A$50,密度!$L$2:$L$50)</f>
        <v>0</v>
      </c>
      <c r="I19" s="73" ph="1">
        <f>I18*9.0746*LOOKUP(I20,密度!$A$2:$A$50,密度!$U$2:$U$50)</f>
        <v>15051.176933000001</v>
      </c>
      <c r="J19" s="73" ph="1">
        <f>J18*9.0746*LOOKUP(J20,密度!$A$2:$A$50,密度!$L$2:$L$50)</f>
        <v>6249.6316470000002</v>
      </c>
      <c r="K19" s="73" ph="1">
        <f>K18*9.0746*LOOKUP(K20,密度!$A$2:$A$50,密度!$C$2:$C$50)</f>
        <v>47924.81926316001</v>
      </c>
      <c r="L19" s="73" ph="1">
        <f>L18*9.0746*LOOKUP(L20,密度!$A$2:$A$50,密度!$E$2:$E$50)</f>
        <v>28173.046718080004</v>
      </c>
      <c r="M19" s="73" ph="1">
        <f>M18*9.0746*LOOKUP(M20,密度!$A$2:$A$50,密度!$M$2:$M$50)</f>
        <v>8459.0517328000005</v>
      </c>
      <c r="N19" s="73" ph="1">
        <f>N18*9.0746*LOOKUP(N20,密度!$A$2:$A$50,密度!$M$2:$M$50)</f>
        <v>40187.323459840001</v>
      </c>
      <c r="O19" s="73" ph="1">
        <f>O18*9.0746*LOOKUP(O20,密度!$A$2:$A$50,密度!$G$2:$G$50)</f>
        <v>55731.104164320008</v>
      </c>
      <c r="P19" s="73" ph="1">
        <f ca="1">P18*9.0746*LOOKUP(P20,密度!$A$2:$A$51,密度!$Q$2:$Q$50)</f>
        <v>44513.322124808001</v>
      </c>
      <c r="Q19" s="73" ph="1">
        <f>Q18*9.0746*LOOKUP(Q20,密度!$A$2:$A$50,密度!$Q$2:$Q$50)</f>
        <v>13849.154328048</v>
      </c>
      <c r="R19" s="73" ph="1">
        <f>MAX(R18*9.0746*LOOKUP(R20,密度!$A$2:$A$50,密度!$B$2:$B$50),0)</f>
        <v>46291.226105440001</v>
      </c>
      <c r="S19" s="73" ph="1">
        <f>S18*9.0746*LOOKUP(S20,密度!$A$2:$A$50,密度!$Q$2:$Q$50)</f>
        <v>53180.065316760003</v>
      </c>
      <c r="T19" s="73" ph="1">
        <f>T18*9.0746*LOOKUP(T20,密度!$A$2:$A$50,密度!$O$2:$O$50)</f>
        <v>55779.642384800005</v>
      </c>
      <c r="U19" s="73" ph="1">
        <f>U18*9.0746*LOOKUP(U20,密度!$A$2:$A$50,密度!$H$2:$H$50)</f>
        <v>13792.27400928</v>
      </c>
      <c r="V19" s="73" ph="1">
        <f>MAX(5600*LOOKUP(V20,密度!$A$2:$A$50,密度!$Q$2:$Q$50)+V18*9.0476*LOOKUP(V20,密度!$A$2:$A$50,密度!$Q$2:$Q$50),0)</f>
        <v>48357.528863120002</v>
      </c>
      <c r="W19" s="73" ph="1">
        <f>MAX(5600*LOOKUP(W20,密度!$A$2:$A$50,密度!$Q$2:$Q$50)+W18*9.0476*LOOKUP(W20,密度!$A$2:$A$50,密度!$Q$2:$Q$50),0)</f>
        <v>47485.135385456</v>
      </c>
      <c r="X19" s="73" ph="1">
        <f>MAX(5600*LOOKUP(X20,密度!$A$2:$A$50,密度!$I$2:$I$50)+X18*9.0476*LOOKUP(X20,密度!$A$2:$A$50,密度!$I$2:$I$50),0)</f>
        <v>13780.586570799998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9234.1586918000012</v>
      </c>
      <c r="AC19" s="73" ph="1">
        <f>AC18*9.0746*LOOKUP(AC20,密度!$A$2:$A$50,密度!$L$2:$L$50)</f>
        <v>18232.650021599999</v>
      </c>
      <c r="AD19" s="73" ph="1">
        <f>AD18*268.68*LOOKUP(AD20,密度!$A$2:$A$50,密度!B5:B53)+IF(AD18&lt;=0,0,1566*LOOKUP(AD20,密度!$A$2:$A$50,密度!B5:B53))</f>
        <v>18911.649153599999</v>
      </c>
      <c r="AE19" s="73" ph="1">
        <f>AE18*268.68*LOOKUP(AE20,密度!$A$2:$A$50,密度!B5:B53)+IF(AE18&lt;=0,0,1566*LOOKUP(AE20,密度!$A$2:$A$50,密度!B5:B53))</f>
        <v>6619.6036368000005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7" ph="1"/>
      <c r="C20" s="80" t="s" ph="1">
        <v>179</v>
      </c>
      <c r="D20" s="81">
        <v>25</v>
      </c>
      <c r="E20" s="81">
        <v>25</v>
      </c>
      <c r="F20" s="81">
        <v>26</v>
      </c>
      <c r="G20" s="81">
        <v>25</v>
      </c>
      <c r="H20" s="81">
        <v>21</v>
      </c>
      <c r="I20" s="81">
        <v>23</v>
      </c>
      <c r="J20" s="81">
        <v>25</v>
      </c>
      <c r="K20" s="81">
        <v>26</v>
      </c>
      <c r="L20" s="81">
        <v>25</v>
      </c>
      <c r="M20" s="81">
        <v>28</v>
      </c>
      <c r="N20" s="81">
        <v>24</v>
      </c>
      <c r="O20" s="81">
        <v>25</v>
      </c>
      <c r="P20" s="81">
        <v>27</v>
      </c>
      <c r="Q20" s="81">
        <v>25</v>
      </c>
      <c r="R20" s="81">
        <v>29</v>
      </c>
      <c r="S20" s="81">
        <v>25</v>
      </c>
      <c r="T20" s="81">
        <v>27</v>
      </c>
      <c r="U20" s="81">
        <v>22</v>
      </c>
      <c r="V20" s="81">
        <v>27</v>
      </c>
      <c r="W20" s="81">
        <v>27</v>
      </c>
      <c r="X20" s="81">
        <v>28</v>
      </c>
      <c r="Y20" s="110">
        <v>28</v>
      </c>
      <c r="Z20" s="81">
        <v>32</v>
      </c>
      <c r="AA20" s="81">
        <v>26</v>
      </c>
      <c r="AB20" s="81">
        <v>31</v>
      </c>
      <c r="AC20" s="81">
        <v>24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28" t="s" ph="1">
        <v>640</v>
      </c>
      <c r="AA23" s="229"/>
      <c r="AB23" s="229"/>
      <c r="AC23" s="229"/>
      <c r="AD23" s="229"/>
      <c r="AE23" s="23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7" ph="1">
        <v>0.33333333333333331</v>
      </c>
      <c r="C24" s="147" t="s" ph="1">
        <v>177</v>
      </c>
      <c r="D24" s="71">
        <v>78.53</v>
      </c>
      <c r="E24" s="71">
        <v>5.07</v>
      </c>
      <c r="F24" s="71">
        <v>1552</v>
      </c>
      <c r="G24" s="71">
        <v>3092</v>
      </c>
      <c r="H24" s="71">
        <v>1111</v>
      </c>
      <c r="I24" s="71">
        <v>1129</v>
      </c>
      <c r="J24" s="71">
        <v>4831</v>
      </c>
      <c r="K24" s="71">
        <v>3830</v>
      </c>
      <c r="L24" s="71">
        <v>5575</v>
      </c>
      <c r="M24" s="71">
        <v>5100</v>
      </c>
      <c r="N24" s="71">
        <v>5497</v>
      </c>
      <c r="O24" s="71">
        <v>5575</v>
      </c>
      <c r="P24" s="71">
        <v>360</v>
      </c>
      <c r="Q24" s="90">
        <v>912</v>
      </c>
      <c r="R24" s="71">
        <v>518</v>
      </c>
      <c r="S24" s="71">
        <v>3203</v>
      </c>
      <c r="T24" s="71">
        <v>280</v>
      </c>
      <c r="U24" s="71">
        <v>5883</v>
      </c>
      <c r="V24" s="71">
        <v>10611</v>
      </c>
      <c r="W24" s="71">
        <v>8004</v>
      </c>
      <c r="X24" s="71">
        <v>2340</v>
      </c>
      <c r="Y24" s="71">
        <v>4499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7" ph="1"/>
      <c r="C25" s="68" t="s" ph="1">
        <v>178</v>
      </c>
      <c r="D25" s="91" ph="1">
        <f>D24*268.68*LOOKUP(D26,密度!$A$2:$A$50,密度!$Q$2:$Q$50)+IF(D24&lt;=0,0,1566*LOOKUP(D26,密度!$A$2:$A$50,密度!$Q$2:$Q$50))</f>
        <v>21458.279044296003</v>
      </c>
      <c r="E25" s="91" ph="1">
        <f>E24*268.68*LOOKUP(E26,密度!$A$2:$A$50,密度!$C$2:$C$50)+IF(E24&lt;=0,0,1566*LOOKUP(E26,密度!$A$2:$A$50,密度!$C$2:$C$50))</f>
        <v>3247.08940764</v>
      </c>
      <c r="F25" s="91" ph="1">
        <f>F24*11.702*LOOKUP(F26,密度!$A$2:$A$50,密度!$Q$2:$Q$50)</f>
        <v>17207.480194880001</v>
      </c>
      <c r="G25" s="91" ph="1">
        <f>G24*18.322*LOOKUP(G26,密度!$A$2:$A$50,密度!$B$2:$B$50)</f>
        <v>44267.578993599993</v>
      </c>
      <c r="H25" s="91" ph="1">
        <f>H24*18.322*LOOKUP(H26,密度!$A$2:$A$50,密度!$B$2:$B$50)</f>
        <v>15905.976798799999</v>
      </c>
      <c r="I25" s="91" ph="1">
        <f>I24*18.322*LOOKUP(I26,密度!$A$2:$A$50,密度!$Q$2:$Q$50)</f>
        <v>19614.0271316</v>
      </c>
      <c r="J25" s="91" ph="1">
        <f>J24*18.322*LOOKUP(J26,密度!$A$2:$A$50,密度!$Q$2:$Q$50)</f>
        <v>83928.578452400005</v>
      </c>
      <c r="K25" s="91" ph="1">
        <f>K24*18.322*LOOKUP(K26,密度!$A$2:$A$50,密度!$Q$2:$Q$50)</f>
        <v>66538.285132000005</v>
      </c>
      <c r="L25" s="91" ph="1">
        <f>L24*18.322*LOOKUP(L26,密度!$A$2:$A$50,密度!$Q$2:$Q$50)</f>
        <v>96779.465270500004</v>
      </c>
      <c r="M25" s="91" ph="1">
        <f>M24*18.322*LOOKUP(M26,密度!$A$2:$A$50,密度!$Q$2:$Q$50)</f>
        <v>88533.681234000003</v>
      </c>
      <c r="N25" s="91" ph="1">
        <f>N24*18.322*LOOKUP(N26,密度!$A$2:$A$50,密度!$Q$2:$Q$50)</f>
        <v>95498.943438800008</v>
      </c>
      <c r="O25" s="91" ph="1">
        <f>O24*18.322*LOOKUP(O26,密度!$A$2:$A$50,密度!$C$2:$C$50)</f>
        <v>113421.97456</v>
      </c>
      <c r="P25" s="91" ph="1">
        <f>P24*11.702*LOOKUP(P26,密度!$A$2:$A$50,密度!$B$2:$B$50)</f>
        <v>3295.6108560000002</v>
      </c>
      <c r="Q25" s="92" ph="1">
        <f>Q24*18.322*LOOKUP(Q26,密度!$A$2:$A$50,密度!$B$2:$B$50)</f>
        <v>13102.047542400001</v>
      </c>
      <c r="R25" s="91" ph="1">
        <f>R24*35.891*LOOKUP(R26,密度!$A$2:$A$50,密度!$C$2:$C$50)</f>
        <v>20684.945178800001</v>
      </c>
      <c r="S25" s="91" ph="1">
        <f>S24*35.891*LOOKUP(S26,密度!$A$2:$A$50,密度!$B$2:$B$50)</f>
        <v>90035.789333599998</v>
      </c>
      <c r="T25" s="91" ph="1">
        <f>T24*35.891*LOOKUP(T26,密度!$A$2:$A$50,密度!$Q$2:$Q$50)</f>
        <v>9528.9169359999996</v>
      </c>
      <c r="U25" s="91" ph="1">
        <f>U24*35.891</f>
        <v>211146.753</v>
      </c>
      <c r="V25" s="91" ph="1">
        <f>V24*47.051*LOOKUP(V26,密度!$A$2:$A$50,密度!$B$2:$B$50)</f>
        <v>390120.32700540003</v>
      </c>
      <c r="W25" s="91" ph="1">
        <f>W24*47.051*LOOKUP(W26,密度!$A$2:$A$50,密度!$B$2:$B$50)</f>
        <v>294272.27380560001</v>
      </c>
      <c r="X25" s="91" ph="1">
        <f>X24*47.051*LOOKUP(X26,密度!$A$2:$A$50,密度!$I$2:$I$50)</f>
        <v>114877.65135600002</v>
      </c>
      <c r="Y25" s="91" ph="1">
        <f>Y24*47.051*LOOKUP(Y26,密度!$A$2:$A$50,密度!$L$2:$L$50)</f>
        <v>198558.137162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7" ph="1"/>
      <c r="C26" s="68" t="s" ph="1">
        <v>179</v>
      </c>
      <c r="D26" s="74">
        <v>25</v>
      </c>
      <c r="E26" s="74">
        <v>25</v>
      </c>
      <c r="F26" s="74">
        <v>24</v>
      </c>
      <c r="G26" s="74">
        <v>23</v>
      </c>
      <c r="H26" s="74">
        <v>23</v>
      </c>
      <c r="I26" s="74">
        <v>23</v>
      </c>
      <c r="J26" s="74">
        <v>23</v>
      </c>
      <c r="K26" s="74">
        <v>23</v>
      </c>
      <c r="L26" s="74">
        <v>24</v>
      </c>
      <c r="M26" s="74">
        <v>24</v>
      </c>
      <c r="N26" s="74">
        <v>23</v>
      </c>
      <c r="O26" s="74">
        <v>23</v>
      </c>
      <c r="P26" s="74">
        <v>22</v>
      </c>
      <c r="Q26" s="93">
        <v>20</v>
      </c>
      <c r="R26" s="74">
        <v>20</v>
      </c>
      <c r="S26" s="74">
        <v>21</v>
      </c>
      <c r="T26" s="74">
        <v>23</v>
      </c>
      <c r="U26" s="74">
        <v>22</v>
      </c>
      <c r="V26" s="74">
        <v>23</v>
      </c>
      <c r="W26" s="74">
        <v>23</v>
      </c>
      <c r="X26" s="74">
        <v>24</v>
      </c>
      <c r="Y26" s="74">
        <v>24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7" ph="1">
        <v>0.66666666666666663</v>
      </c>
      <c r="C27" s="147" t="s" ph="1">
        <v>180</v>
      </c>
      <c r="D27" s="71">
        <v>5</v>
      </c>
      <c r="E27" s="71">
        <v>3.49</v>
      </c>
      <c r="F27" s="71">
        <v>3218</v>
      </c>
      <c r="G27" s="71">
        <v>2588</v>
      </c>
      <c r="H27" s="71">
        <v>510</v>
      </c>
      <c r="I27" s="71">
        <v>1128</v>
      </c>
      <c r="J27" s="71">
        <v>4833</v>
      </c>
      <c r="K27" s="71">
        <v>4940</v>
      </c>
      <c r="L27" s="71">
        <v>5574</v>
      </c>
      <c r="M27" s="71">
        <v>5102</v>
      </c>
      <c r="N27" s="71">
        <v>5498</v>
      </c>
      <c r="O27" s="71">
        <v>5573</v>
      </c>
      <c r="P27" s="71">
        <v>356</v>
      </c>
      <c r="Q27" s="90">
        <v>1330</v>
      </c>
      <c r="R27" s="71">
        <v>476</v>
      </c>
      <c r="S27" s="71">
        <v>3202</v>
      </c>
      <c r="T27" s="71">
        <v>278</v>
      </c>
      <c r="U27" s="71">
        <v>5956</v>
      </c>
      <c r="V27" s="71">
        <v>10617</v>
      </c>
      <c r="W27" s="71">
        <v>8006</v>
      </c>
      <c r="X27" s="71">
        <v>2460</v>
      </c>
      <c r="Y27" s="71">
        <v>2904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7" ph="1"/>
      <c r="C28" s="147" t="s" ph="1">
        <v>178</v>
      </c>
      <c r="D28" s="91" ph="1">
        <f>D27*268.68*LOOKUP(D29,密度!$A$2:$A$50,密度!$Q$2:$Q$50)+IF(D27&lt;=0,0,1566*LOOKUP(D29,密度!$A$2:$A$50,密度!$Q$2:$Q$50))</f>
        <v>2754.4453560000002</v>
      </c>
      <c r="E28" s="91" ph="1">
        <f>E27*268.68*LOOKUP(E29,密度!$A$2:$A$50,密度!$C$2:$C$50)+IF(E27&lt;=0,0,1566*LOOKUP(E29,密度!$A$2:$A$50,密度!$C$2:$C$50))</f>
        <v>2776.34538948</v>
      </c>
      <c r="F28" s="91" ph="1">
        <f>F27*11.702*LOOKUP(F29,密度!$A$2:$A$50,密度!$Q$2:$Q$50)</f>
        <v>35651.422262640001</v>
      </c>
      <c r="G28" s="91" ph="1">
        <f>G27*18.322*LOOKUP(G29,密度!$A$2:$A$50,密度!$B$2:$B$50)</f>
        <v>37009.230747999994</v>
      </c>
      <c r="H28" s="91" ph="1">
        <f>H27*18.322*LOOKUP(H29,密度!$A$2:$A$50,密度!$B$2:$B$50)</f>
        <v>7284.7539119999992</v>
      </c>
      <c r="I28" s="91" ph="1">
        <f>I27*18.322*LOOKUP(I29,密度!$A$2:$A$50,密度!$Q$2:$Q$50)</f>
        <v>19596.654211200002</v>
      </c>
      <c r="J28" s="91" ph="1">
        <f>J27*18.322*LOOKUP(J29,密度!$A$2:$A$50,密度!$Q$2:$Q$50)</f>
        <v>83834.040963239997</v>
      </c>
      <c r="K28" s="91" ph="1">
        <f>K27*18.322*LOOKUP(K29,密度!$A$2:$A$50,密度!$Q$2:$Q$50)</f>
        <v>85822.226775999996</v>
      </c>
      <c r="L28" s="91" ph="1">
        <f>L27*18.322*LOOKUP(L29,密度!$A$2:$A$50,密度!$Q$2:$Q$50)</f>
        <v>96762.10572516</v>
      </c>
      <c r="M28" s="91" ph="1">
        <f>M27*18.322*LOOKUP(M29,密度!$A$2:$A$50,密度!$Q$2:$Q$50)</f>
        <v>88568.400324679998</v>
      </c>
      <c r="N28" s="91" ph="1">
        <f>N27*18.322*LOOKUP(N29,密度!$A$2:$A$50,密度!$Q$2:$Q$50)</f>
        <v>95605.969936039997</v>
      </c>
      <c r="O28" s="91" ph="1">
        <f>O27*18.322*LOOKUP(O29,密度!$A$2:$A$50,密度!$C$2:$C$50)</f>
        <v>113452.76101659999</v>
      </c>
      <c r="P28" s="91" ph="1">
        <f>P27*11.702*LOOKUP(P29,密度!$A$2:$A$50,密度!$B$2:$B$50)</f>
        <v>3251.4943160000003</v>
      </c>
      <c r="Q28" s="92" ph="1">
        <f>Q27*18.322*LOOKUP(Q29,密度!$A$2:$A$50,密度!$B$2:$B$50)</f>
        <v>18997.495496</v>
      </c>
      <c r="R28" s="91" ph="1">
        <f>R27*35.891*LOOKUP(R29,密度!$A$2:$A$50,密度!$C$2:$C$50)</f>
        <v>18956.535113599995</v>
      </c>
      <c r="S28" s="91" ph="1">
        <f>S27*35.891*LOOKUP(S29,密度!$A$2:$A$50,密度!$B$2:$B$50)</f>
        <v>89697.387450999988</v>
      </c>
      <c r="T28" s="91" ph="1">
        <f>T27*35.891*LOOKUP(T29,密度!$A$2:$A$50,密度!$Q$2:$Q$50)</f>
        <v>9446.285804520001</v>
      </c>
      <c r="U28" s="91" ph="1">
        <f>U27*35.891</f>
        <v>213766.796</v>
      </c>
      <c r="V28" s="91" ph="1">
        <f>V27*47.051*LOOKUP(V29,密度!$A$2:$A$50,密度!$B$2:$B$50)</f>
        <v>390340.92091380002</v>
      </c>
      <c r="W28" s="91" ph="1">
        <f>W27*47.051*LOOKUP(W29,密度!$A$2:$A$50,密度!$B$2:$B$50)</f>
        <v>294006.78383299999</v>
      </c>
      <c r="X28" s="91" ph="1">
        <f>X27*47.051*LOOKUP(X29,密度!$A$2:$A$50,密度!$I$2:$I$50)</f>
        <v>120641.492958</v>
      </c>
      <c r="Y28" s="91" ph="1">
        <f>Y27*47.051*LOOKUP(Y29,密度!$A$2:$A$50,密度!$L$2:$L$50)</f>
        <v>128028.029448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7" ph="1"/>
      <c r="C29" s="147" t="s" ph="1">
        <v>179</v>
      </c>
      <c r="D29" s="74">
        <v>25</v>
      </c>
      <c r="E29" s="74">
        <v>25</v>
      </c>
      <c r="F29" s="74">
        <v>25</v>
      </c>
      <c r="G29" s="74">
        <v>24</v>
      </c>
      <c r="H29" s="74">
        <v>25</v>
      </c>
      <c r="I29" s="74">
        <v>23</v>
      </c>
      <c r="J29" s="74">
        <v>25</v>
      </c>
      <c r="K29" s="74">
        <v>23</v>
      </c>
      <c r="L29" s="74">
        <v>24</v>
      </c>
      <c r="M29" s="74">
        <v>24</v>
      </c>
      <c r="N29" s="74">
        <v>22</v>
      </c>
      <c r="O29" s="74">
        <v>22</v>
      </c>
      <c r="P29" s="74">
        <v>24</v>
      </c>
      <c r="Q29" s="93">
        <v>25</v>
      </c>
      <c r="R29" s="74">
        <v>24</v>
      </c>
      <c r="S29" s="74">
        <v>24</v>
      </c>
      <c r="T29" s="74">
        <v>25</v>
      </c>
      <c r="U29" s="74">
        <v>24</v>
      </c>
      <c r="V29" s="74">
        <v>23</v>
      </c>
      <c r="W29" s="74">
        <v>24</v>
      </c>
      <c r="X29" s="74">
        <v>25</v>
      </c>
      <c r="Y29" s="74">
        <v>25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47" t="s" ph="1">
        <v>5</v>
      </c>
      <c r="F32" s="148" t="s" ph="1">
        <v>43</v>
      </c>
      <c r="G32" s="97" t="s" ph="1">
        <v>4</v>
      </c>
      <c r="H32" s="147" t="s" ph="1">
        <v>5</v>
      </c>
      <c r="I32" s="148" t="s" ph="1">
        <v>43</v>
      </c>
      <c r="J32" s="97" t="s" ph="1">
        <v>4</v>
      </c>
      <c r="K32" s="147" t="s" ph="1">
        <v>5</v>
      </c>
      <c r="L32" s="148" t="s" ph="1">
        <v>43</v>
      </c>
      <c r="M32" s="97" t="s" ph="1">
        <v>4</v>
      </c>
      <c r="N32" s="147" t="s" ph="1">
        <v>5</v>
      </c>
      <c r="O32" s="14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7" t="s" ph="1">
        <v>5</v>
      </c>
      <c r="U32" s="99" t="s" ph="1">
        <v>43</v>
      </c>
      <c r="V32" s="97" t="s" ph="1">
        <v>4</v>
      </c>
      <c r="W32" s="147" t="s" ph="1">
        <v>5</v>
      </c>
      <c r="X32" s="99" t="s" ph="1">
        <v>43</v>
      </c>
      <c r="Y32" s="100" t="s" ph="1">
        <v>4</v>
      </c>
      <c r="Z32" s="147" t="s" ph="1">
        <v>5</v>
      </c>
      <c r="AA32" s="148" t="s" ph="1">
        <v>43</v>
      </c>
      <c r="AB32" s="97" t="s" ph="1">
        <v>85</v>
      </c>
      <c r="AC32" s="147" t="s" ph="1">
        <v>84</v>
      </c>
      <c r="AD32" s="204" t="s" ph="1">
        <v>83</v>
      </c>
      <c r="AE32" s="20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6" t="s" ph="1">
        <v>181</v>
      </c>
      <c r="C33" s="207" ph="1"/>
      <c r="D33" s="186" ph="1">
        <f>AA10+AB10+Z19</f>
        <v>110266.84895920001</v>
      </c>
      <c r="E33" s="186" ph="1">
        <f>M10+I10</f>
        <v>154403.28773100002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1522252632456786910111213141516171819202123456789101112131415161718192022232424356789101112131415161718192021222345678910111213141516171819202345678910111213149101516171819222123234567891012131415161711181920212224252345678910111213135[[#This Row],[F25]]</f>
        <v>3880</v>
      </c>
      <c r="G33" s="212" ph="1">
        <v>0</v>
      </c>
      <c r="H33" s="186" ph="1">
        <f>N19</f>
        <v>40187.323459840001</v>
      </c>
      <c r="I33" s="190" ph="1">
        <v>0</v>
      </c>
      <c r="J33" s="194" ph="1">
        <f>F10+O28</f>
        <v>314489.1791446</v>
      </c>
      <c r="K33" s="186" ph="1">
        <f>O10+K10+E28+R28</f>
        <v>26832.503003879996</v>
      </c>
      <c r="L33" s="196" ph="1">
        <f>BE27</f>
        <v>7100</v>
      </c>
      <c r="M33" s="194" ph="1">
        <f>G10+H10+W28+S28+V28+E10</f>
        <v>1363176.7299797998</v>
      </c>
      <c r="N33" s="186" ph="1">
        <f>L10+P10++G28+H28</f>
        <v>70098.09473099999</v>
      </c>
      <c r="O33" s="190" ph="1">
        <f>BE17</f>
        <v>2270</v>
      </c>
      <c r="P33" s="194" ph="1">
        <f>L19</f>
        <v>28173.046718080004</v>
      </c>
      <c r="Q33" s="186" ph="1">
        <f>J10+N10</f>
        <v>59197.210653600006</v>
      </c>
      <c r="R33" s="190" ph="1">
        <f>BE23</f>
        <v>890</v>
      </c>
      <c r="S33" s="194" ph="1">
        <f>E10+X28</f>
        <v>301064.66714800004</v>
      </c>
      <c r="T33" s="186" ph="1">
        <f>X19</f>
        <v>13780.586570799998</v>
      </c>
      <c r="U33" s="175" ph="1">
        <f>BE21</f>
        <v>730</v>
      </c>
      <c r="V33" s="188" ph="1">
        <f ca="1">P19+Q19+S19+M28+N28+J28</f>
        <v>379550.95299357595</v>
      </c>
      <c r="W33" s="188" ph="1">
        <f>D28+F28+V19+T28</f>
        <v>96209.682286279989</v>
      </c>
      <c r="X33" s="190" ph="1">
        <f>BE29+BE31</f>
        <v>10200</v>
      </c>
      <c r="Y33" s="192" ph="1">
        <f>+Q10+R10+S10+T10+U10+V10+W10+X10+Y10</f>
        <v>212074.76671920001</v>
      </c>
      <c r="Z33" s="173" ph="1">
        <f>D10+T19+U19+Y28+Z10</f>
        <v>570753.42063920002</v>
      </c>
      <c r="AA33" s="175" ph="1">
        <f>BE19</f>
        <v>1440</v>
      </c>
      <c r="AB33" s="177" ph="1">
        <f>I19</f>
        <v>15051.176933000001</v>
      </c>
      <c r="AC33" s="179" ph="1">
        <f>AD10</f>
        <v>93818.123072000002</v>
      </c>
      <c r="AD33" s="181" ph="1">
        <v>0</v>
      </c>
      <c r="AE33" s="18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5" t="s" ph="1">
        <v>633</v>
      </c>
      <c r="AD35" s="185"/>
      <c r="AE35" s="18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1" t="s" ph="1">
        <v>183</v>
      </c>
      <c r="J36" s="171" ph="1"/>
      <c r="K36" s="101" ph="1"/>
      <c r="P36" s="101" ph="1"/>
      <c r="R36" s="171" t="s" ph="1">
        <v>184</v>
      </c>
      <c r="S36" s="171" ph="1"/>
      <c r="Y36" s="102" ph="1"/>
      <c r="Z36" s="149" t="s" ph="1">
        <v>185</v>
      </c>
      <c r="AA36" s="149" ph="1"/>
      <c r="AB36" s="172" t="s" ph="1">
        <v>642</v>
      </c>
      <c r="AC36" s="172" ph="1"/>
      <c r="AD36" s="172" ph="1"/>
      <c r="AE36" s="172" ph="1"/>
      <c r="BA36" s="64" ph="1">
        <v>2270</v>
      </c>
    </row>
    <row r="37" spans="1:57" s="14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9" t="s" ph="1">
        <v>342</v>
      </c>
      <c r="AI37" s="149" t="s" ph="1">
        <v>209</v>
      </c>
      <c r="AJ37" s="149" t="s" ph="1">
        <v>210</v>
      </c>
      <c r="AK37" s="149" t="s" ph="1">
        <v>211</v>
      </c>
      <c r="AM37" s="149" t="s" ph="1">
        <v>210</v>
      </c>
      <c r="AN37" s="149" t="s" ph="1">
        <v>211</v>
      </c>
      <c r="AO37" s="149" t="s" ph="1">
        <v>212</v>
      </c>
      <c r="AP37" s="149" t="s" ph="1">
        <v>210</v>
      </c>
      <c r="AQ37" s="149" t="s" ph="1">
        <v>211</v>
      </c>
      <c r="AR37" s="149" t="s" ph="1">
        <v>212</v>
      </c>
      <c r="AS37" s="149" t="s" ph="1">
        <v>210</v>
      </c>
      <c r="AT37" s="149" t="s" ph="1">
        <v>211</v>
      </c>
      <c r="AU37" s="149" t="s" ph="1">
        <v>212</v>
      </c>
      <c r="AV37" s="149" t="s" ph="1">
        <v>210</v>
      </c>
      <c r="AW37" s="149" t="s" ph="1">
        <v>211</v>
      </c>
      <c r="AX37" s="149" t="s" ph="1">
        <v>212</v>
      </c>
      <c r="AY37" s="149" t="s" ph="1">
        <v>211</v>
      </c>
      <c r="AZ37" s="149" t="s" ph="1">
        <v>213</v>
      </c>
      <c r="BD37" s="149" t="s" ph="1">
        <v>305</v>
      </c>
      <c r="BE37" s="149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175" priority="98">
      <formula>ABS(D$7-D$10)&gt;=1000</formula>
    </cfRule>
  </conditionalFormatting>
  <conditionalFormatting sqref="E4 E6:E11">
    <cfRule type="expression" dxfId="2174" priority="97">
      <formula>ABS(E$7-E$10)&gt;=1000</formula>
    </cfRule>
  </conditionalFormatting>
  <conditionalFormatting sqref="F4:F11">
    <cfRule type="expression" dxfId="2173" priority="96">
      <formula>ABS(F$7-F$10)&gt;=1000</formula>
    </cfRule>
  </conditionalFormatting>
  <conditionalFormatting sqref="G4:G11">
    <cfRule type="expression" dxfId="2172" priority="95">
      <formula>ABS(G$7-G$10)&gt;=1000</formula>
    </cfRule>
  </conditionalFormatting>
  <conditionalFormatting sqref="H4:H11">
    <cfRule type="expression" dxfId="2171" priority="94">
      <formula>ABS(H$7-H$10)&gt;=1000</formula>
    </cfRule>
  </conditionalFormatting>
  <conditionalFormatting sqref="I4:I11">
    <cfRule type="expression" dxfId="2170" priority="93">
      <formula>ABS(I$7-I$10)&gt;=1000</formula>
    </cfRule>
  </conditionalFormatting>
  <conditionalFormatting sqref="J4:J11">
    <cfRule type="expression" dxfId="2169" priority="92">
      <formula>ABS(J$7-J$10)&gt;=1000</formula>
    </cfRule>
  </conditionalFormatting>
  <conditionalFormatting sqref="K4:K11">
    <cfRule type="expression" dxfId="2168" priority="91">
      <formula>ABS(K$7-K$10)&gt;=1000</formula>
    </cfRule>
  </conditionalFormatting>
  <conditionalFormatting sqref="L4:L11">
    <cfRule type="expression" dxfId="2167" priority="90">
      <formula>ABS(L$7-L$10)&gt;=1000</formula>
    </cfRule>
  </conditionalFormatting>
  <conditionalFormatting sqref="M4 M6:M11">
    <cfRule type="expression" dxfId="2166" priority="89">
      <formula>ABS(M$7-M$10)&gt;=1000</formula>
    </cfRule>
  </conditionalFormatting>
  <conditionalFormatting sqref="N4 N6:N11">
    <cfRule type="expression" dxfId="2165" priority="88">
      <formula>ABS(N$7-N$10)&gt;=1000</formula>
    </cfRule>
  </conditionalFormatting>
  <conditionalFormatting sqref="O4 O6:O11">
    <cfRule type="expression" dxfId="2164" priority="87">
      <formula>ABS(O$7-O$10)&gt;=1000</formula>
    </cfRule>
  </conditionalFormatting>
  <conditionalFormatting sqref="P4 P6:P11">
    <cfRule type="expression" dxfId="2163" priority="86">
      <formula>ABS(P$7-P$10)&gt;=1000</formula>
    </cfRule>
  </conditionalFormatting>
  <conditionalFormatting sqref="Q4:Q11">
    <cfRule type="expression" dxfId="2162" priority="85">
      <formula>ABS(Q$7-Q$10)&gt;=1000</formula>
    </cfRule>
  </conditionalFormatting>
  <conditionalFormatting sqref="R4:R11">
    <cfRule type="expression" dxfId="2161" priority="84">
      <formula>ABS(R$7-R$10)&gt;=1000</formula>
    </cfRule>
  </conditionalFormatting>
  <conditionalFormatting sqref="S4:S11">
    <cfRule type="expression" dxfId="2160" priority="83">
      <formula>ABS(S$7-S$10)&gt;=1000</formula>
    </cfRule>
  </conditionalFormatting>
  <conditionalFormatting sqref="T4:T9 T11">
    <cfRule type="expression" dxfId="2159" priority="82">
      <formula>ABS(T$7-T$10)&gt;=1000</formula>
    </cfRule>
  </conditionalFormatting>
  <conditionalFormatting sqref="U4:U9 U11">
    <cfRule type="expression" dxfId="2158" priority="81">
      <formula>ABS(U$7-U$10)&gt;=1000</formula>
    </cfRule>
  </conditionalFormatting>
  <conditionalFormatting sqref="V4:V9 V11">
    <cfRule type="expression" dxfId="2157" priority="80">
      <formula>ABS(V$7-V$10)&gt;=1000</formula>
    </cfRule>
  </conditionalFormatting>
  <conditionalFormatting sqref="W4:W9 W11">
    <cfRule type="expression" dxfId="2156" priority="79">
      <formula>ABS(W$7-W$10)&gt;=1000</formula>
    </cfRule>
  </conditionalFormatting>
  <conditionalFormatting sqref="X4:X9 X11">
    <cfRule type="expression" dxfId="2155" priority="78">
      <formula>ABS(X$7-X$10)&gt;=1000</formula>
    </cfRule>
  </conditionalFormatting>
  <conditionalFormatting sqref="Y4:Y9 Y11">
    <cfRule type="expression" dxfId="2154" priority="77">
      <formula>ABS(Y$7-Y$10)&gt;=1000</formula>
    </cfRule>
  </conditionalFormatting>
  <conditionalFormatting sqref="Z4:Z11">
    <cfRule type="expression" dxfId="2153" priority="76">
      <formula>ABS(Z$7-Z$10)&gt;=1000</formula>
    </cfRule>
  </conditionalFormatting>
  <conditionalFormatting sqref="AA4:AA11">
    <cfRule type="expression" dxfId="2152" priority="75">
      <formula>ABS(AA$7-AA$10)&gt;=1000</formula>
    </cfRule>
  </conditionalFormatting>
  <conditionalFormatting sqref="AB4:AB11">
    <cfRule type="expression" dxfId="2151" priority="74">
      <formula>ABS(AB$7-AB$10)&gt;=1000</formula>
    </cfRule>
  </conditionalFormatting>
  <conditionalFormatting sqref="AC4 AC6:AC11">
    <cfRule type="expression" dxfId="2150" priority="73">
      <formula>ABS(AC$7-AC$10)&gt;=1000</formula>
    </cfRule>
  </conditionalFormatting>
  <conditionalFormatting sqref="AD4:AD11">
    <cfRule type="expression" dxfId="2149" priority="72">
      <formula>ABS(AD$7-AD$10)&gt;=1000</formula>
    </cfRule>
  </conditionalFormatting>
  <conditionalFormatting sqref="AE4 AE6:AE11">
    <cfRule type="expression" dxfId="2148" priority="71">
      <formula>ABS(AE$7-AE$10)&gt;=1000</formula>
    </cfRule>
  </conditionalFormatting>
  <conditionalFormatting sqref="D13:D20">
    <cfRule type="expression" dxfId="2147" priority="70">
      <formula>ABS(D$16-D$19)&gt;=1000</formula>
    </cfRule>
  </conditionalFormatting>
  <conditionalFormatting sqref="E13:E20">
    <cfRule type="expression" dxfId="2146" priority="69">
      <formula>ABS(E$16-E$19)&gt;=1000</formula>
    </cfRule>
  </conditionalFormatting>
  <conditionalFormatting sqref="F13 F15:F20">
    <cfRule type="expression" dxfId="2145" priority="68">
      <formula>ABS(F$16-F$19)&gt;=1000</formula>
    </cfRule>
  </conditionalFormatting>
  <conditionalFormatting sqref="G13:G20">
    <cfRule type="expression" dxfId="2144" priority="67">
      <formula>ABS(G$16-G$19)&gt;=1000</formula>
    </cfRule>
  </conditionalFormatting>
  <conditionalFormatting sqref="H13:H20">
    <cfRule type="expression" dxfId="2143" priority="66">
      <formula>ABS(H$16-H$19)&gt;=1000</formula>
    </cfRule>
  </conditionalFormatting>
  <conditionalFormatting sqref="I13:I20">
    <cfRule type="expression" dxfId="2142" priority="65">
      <formula>ABS(I$16-I$19)&gt;=1000</formula>
    </cfRule>
  </conditionalFormatting>
  <conditionalFormatting sqref="J13:J20">
    <cfRule type="expression" dxfId="2141" priority="64">
      <formula>ABS(J$16-J$19)&gt;=1000</formula>
    </cfRule>
  </conditionalFormatting>
  <conditionalFormatting sqref="L13:L20">
    <cfRule type="expression" dxfId="2140" priority="63">
      <formula>ABS(L$16-L$19)&gt;=1000</formula>
    </cfRule>
  </conditionalFormatting>
  <conditionalFormatting sqref="M13 M15 M17:M18 M20">
    <cfRule type="expression" dxfId="2139" priority="62">
      <formula>ABS(M$16-M$19)&gt;=1000</formula>
    </cfRule>
  </conditionalFormatting>
  <conditionalFormatting sqref="N13:N20">
    <cfRule type="expression" dxfId="2138" priority="61">
      <formula>ABS(N$16-N$19)&gt;=1000</formula>
    </cfRule>
  </conditionalFormatting>
  <conditionalFormatting sqref="O13:O20">
    <cfRule type="expression" dxfId="2137" priority="60">
      <formula>ABS(O$16-O$19)&gt;=1000</formula>
    </cfRule>
  </conditionalFormatting>
  <conditionalFormatting sqref="P13:P20">
    <cfRule type="expression" dxfId="2136" priority="59">
      <formula>ABS(P$16-P$19)&gt;=1000</formula>
    </cfRule>
  </conditionalFormatting>
  <conditionalFormatting sqref="Q13 Q15:Q20">
    <cfRule type="expression" dxfId="2135" priority="58">
      <formula>ABS(Q$16-Q$19)&gt;=1000</formula>
    </cfRule>
  </conditionalFormatting>
  <conditionalFormatting sqref="R13:R20">
    <cfRule type="expression" dxfId="2134" priority="57">
      <formula>ABS(R$16-R$19)&gt;=1000</formula>
    </cfRule>
  </conditionalFormatting>
  <conditionalFormatting sqref="S13:S20">
    <cfRule type="expression" dxfId="2133" priority="56">
      <formula>ABS(S$16-S$19)&gt;=1000</formula>
    </cfRule>
  </conditionalFormatting>
  <conditionalFormatting sqref="T13:T20">
    <cfRule type="expression" dxfId="2132" priority="55">
      <formula>ABS(T$16-T$19)&gt;=1000</formula>
    </cfRule>
  </conditionalFormatting>
  <conditionalFormatting sqref="U13:U20">
    <cfRule type="expression" dxfId="2131" priority="54">
      <formula>ABS(U$16-U$19)&gt;=1000</formula>
    </cfRule>
  </conditionalFormatting>
  <conditionalFormatting sqref="V13:V20">
    <cfRule type="expression" dxfId="2130" priority="53">
      <formula>ABS(V$16-V$19)&gt;=1000</formula>
    </cfRule>
  </conditionalFormatting>
  <conditionalFormatting sqref="W13 W20 W15:W18">
    <cfRule type="expression" dxfId="2129" priority="52">
      <formula>ABS(W$16-W$19)&gt;=1000</formula>
    </cfRule>
  </conditionalFormatting>
  <conditionalFormatting sqref="X13 X15:X20 Y19">
    <cfRule type="expression" dxfId="2128" priority="51">
      <formula>ABS(X$16-X$19)&gt;=1000</formula>
    </cfRule>
  </conditionalFormatting>
  <conditionalFormatting sqref="Y13 Y15:Y18 Y20">
    <cfRule type="expression" dxfId="2127" priority="50">
      <formula>ABS(Y$16-Y$19)&gt;=1000</formula>
    </cfRule>
  </conditionalFormatting>
  <conditionalFormatting sqref="Z13:Z20">
    <cfRule type="expression" dxfId="2126" priority="49">
      <formula>ABS(Z$16-Z$19)&gt;=1000</formula>
    </cfRule>
  </conditionalFormatting>
  <conditionalFormatting sqref="AA13:AA20">
    <cfRule type="expression" dxfId="2125" priority="48">
      <formula>ABS(AA$16-AA$19)&gt;=1000</formula>
    </cfRule>
  </conditionalFormatting>
  <conditionalFormatting sqref="AB13 AB15:AB20">
    <cfRule type="expression" dxfId="2124" priority="47">
      <formula>ABS(AB$16-AB$19)&gt;=1000</formula>
    </cfRule>
  </conditionalFormatting>
  <conditionalFormatting sqref="AC13 AC15:AC20">
    <cfRule type="expression" dxfId="2123" priority="46">
      <formula>ABS(AC$16-AC$19)&gt;=1000</formula>
    </cfRule>
  </conditionalFormatting>
  <conditionalFormatting sqref="AD13:AD20">
    <cfRule type="expression" dxfId="2122" priority="45">
      <formula>ABS(AD$16-AD$19)&gt;=1000</formula>
    </cfRule>
  </conditionalFormatting>
  <conditionalFormatting sqref="AE13:AE20">
    <cfRule type="expression" dxfId="2121" priority="44">
      <formula>ABS(AE$16-AE$19)&gt;=1000</formula>
    </cfRule>
  </conditionalFormatting>
  <conditionalFormatting sqref="D22:D29">
    <cfRule type="expression" dxfId="2120" priority="43">
      <formula>ABS(D$25-D$28)&gt;=1000</formula>
    </cfRule>
  </conditionalFormatting>
  <conditionalFormatting sqref="E22:E29">
    <cfRule type="expression" dxfId="2119" priority="42">
      <formula>ABS(E$25-E$28)&gt;=1000</formula>
    </cfRule>
  </conditionalFormatting>
  <conditionalFormatting sqref="F22:F29">
    <cfRule type="expression" dxfId="2118" priority="41">
      <formula>ABS(F$25-F$28)&gt;=1000</formula>
    </cfRule>
  </conditionalFormatting>
  <conditionalFormatting sqref="G22:G29">
    <cfRule type="expression" dxfId="2117" priority="40">
      <formula>ABS(G$25-G$28)&gt;=1000</formula>
    </cfRule>
  </conditionalFormatting>
  <conditionalFormatting sqref="H22:H29">
    <cfRule type="expression" dxfId="2116" priority="39">
      <formula>ABS(H$25-H$28)&gt;=1000</formula>
    </cfRule>
  </conditionalFormatting>
  <conditionalFormatting sqref="I22 I24:I29">
    <cfRule type="expression" dxfId="2115" priority="38">
      <formula>ABS(I$25-I$28)&gt;=1000</formula>
    </cfRule>
  </conditionalFormatting>
  <conditionalFormatting sqref="J22:J29 K22">
    <cfRule type="expression" dxfId="2114" priority="37">
      <formula>ABS(J$25-J$28)&gt;=1000</formula>
    </cfRule>
  </conditionalFormatting>
  <conditionalFormatting sqref="K23:K29 L25 L28">
    <cfRule type="expression" dxfId="2113" priority="36">
      <formula>ABS(K$25-K$28)&gt;=1000</formula>
    </cfRule>
  </conditionalFormatting>
  <conditionalFormatting sqref="L22 L26:L27 L29 L24">
    <cfRule type="expression" dxfId="2112" priority="35">
      <formula>ABS(L$25-L$28)&gt;=1000</formula>
    </cfRule>
  </conditionalFormatting>
  <conditionalFormatting sqref="M22:M29">
    <cfRule type="expression" dxfId="2111" priority="34">
      <formula>ABS(M$25-M$28)&gt;=1000</formula>
    </cfRule>
  </conditionalFormatting>
  <conditionalFormatting sqref="N22:N29">
    <cfRule type="expression" dxfId="2110" priority="33">
      <formula>ABS(N$25-N$28)&gt;=1000</formula>
    </cfRule>
  </conditionalFormatting>
  <conditionalFormatting sqref="O22:O29">
    <cfRule type="expression" dxfId="2109" priority="32">
      <formula>ABS(O$25-O$28)&gt;=1000</formula>
    </cfRule>
  </conditionalFormatting>
  <conditionalFormatting sqref="P22:P29">
    <cfRule type="expression" dxfId="2108" priority="31">
      <formula>ABS(P$25-P$28)&gt;=1000</formula>
    </cfRule>
  </conditionalFormatting>
  <conditionalFormatting sqref="Q22:Q29">
    <cfRule type="expression" dxfId="2107" priority="30">
      <formula>ABS(Q$25-Q$28)&gt;=1000</formula>
    </cfRule>
  </conditionalFormatting>
  <conditionalFormatting sqref="R22:R29">
    <cfRule type="expression" dxfId="2106" priority="29">
      <formula>ABS(R$25-R$28)&gt;=1000</formula>
    </cfRule>
  </conditionalFormatting>
  <conditionalFormatting sqref="S22:S29">
    <cfRule type="expression" dxfId="2105" priority="28">
      <formula>ABS(S$25-S$28)&gt;=1000</formula>
    </cfRule>
  </conditionalFormatting>
  <conditionalFormatting sqref="T22:T29">
    <cfRule type="expression" dxfId="2104" priority="27">
      <formula>ABS(T$25-T$28)&gt;=1000</formula>
    </cfRule>
  </conditionalFormatting>
  <conditionalFormatting sqref="U22:U29">
    <cfRule type="expression" dxfId="2103" priority="26">
      <formula>ABS(U$25-U$28)&gt;=1000</formula>
    </cfRule>
  </conditionalFormatting>
  <conditionalFormatting sqref="V22:V29">
    <cfRule type="expression" dxfId="2102" priority="25">
      <formula>ABS(V$25-V$28)&gt;=1000</formula>
    </cfRule>
  </conditionalFormatting>
  <conditionalFormatting sqref="W22:W29">
    <cfRule type="expression" dxfId="2101" priority="24">
      <formula>ABS(W$25-W$28)&gt;=1000</formula>
    </cfRule>
  </conditionalFormatting>
  <conditionalFormatting sqref="X22:X29">
    <cfRule type="expression" dxfId="2100" priority="23">
      <formula>ABS(X$25-X$28)&gt;=1000</formula>
    </cfRule>
  </conditionalFormatting>
  <conditionalFormatting sqref="Y22:Y29">
    <cfRule type="expression" dxfId="2099" priority="22">
      <formula>ABS(Y$25-Y$28)&gt;=1000</formula>
    </cfRule>
  </conditionalFormatting>
  <conditionalFormatting sqref="I23">
    <cfRule type="expression" dxfId="2098" priority="21">
      <formula>ABS(I$25-I$28)&gt;=1000</formula>
    </cfRule>
  </conditionalFormatting>
  <conditionalFormatting sqref="Q14">
    <cfRule type="expression" dxfId="2097" priority="20">
      <formula>ABS(Q$16-Q$19)&gt;=1000</formula>
    </cfRule>
  </conditionalFormatting>
  <conditionalFormatting sqref="W14">
    <cfRule type="expression" dxfId="2096" priority="19">
      <formula>ABS(W$16-W$19)&gt;=1000</formula>
    </cfRule>
  </conditionalFormatting>
  <conditionalFormatting sqref="Y14">
    <cfRule type="expression" dxfId="2095" priority="18">
      <formula>ABS(Y$16-Y$19)&gt;=1000</formula>
    </cfRule>
  </conditionalFormatting>
  <conditionalFormatting sqref="X14">
    <cfRule type="expression" dxfId="2094" priority="17">
      <formula>ABS(X$16-X$19)&gt;=1000</formula>
    </cfRule>
  </conditionalFormatting>
  <conditionalFormatting sqref="T10:Y10">
    <cfRule type="expression" dxfId="2093" priority="16">
      <formula>ABS(T$7-T$10)&gt;=1000</formula>
    </cfRule>
  </conditionalFormatting>
  <conditionalFormatting sqref="W19">
    <cfRule type="expression" dxfId="2092" priority="15">
      <formula>ABS(W$16-W$19)&gt;=1000</formula>
    </cfRule>
  </conditionalFormatting>
  <conditionalFormatting sqref="AC5">
    <cfRule type="expression" dxfId="2091" priority="14">
      <formula>ABS(AC$7-AC$10)&gt;=1000</formula>
    </cfRule>
  </conditionalFormatting>
  <conditionalFormatting sqref="M14">
    <cfRule type="expression" dxfId="2090" priority="13">
      <formula>ABS(M$16-M$19)&gt;=1000</formula>
    </cfRule>
  </conditionalFormatting>
  <conditionalFormatting sqref="M16">
    <cfRule type="expression" dxfId="2089" priority="12">
      <formula>ABS(M$16-M$19)&gt;=1000</formula>
    </cfRule>
  </conditionalFormatting>
  <conditionalFormatting sqref="M19">
    <cfRule type="expression" dxfId="2088" priority="11">
      <formula>ABS(M$16-M$19)&gt;=1000</formula>
    </cfRule>
  </conditionalFormatting>
  <conditionalFormatting sqref="K13:K20">
    <cfRule type="expression" dxfId="2087" priority="10">
      <formula>ABS(K$16-K$19)&gt;=1000</formula>
    </cfRule>
  </conditionalFormatting>
  <conditionalFormatting sqref="E5">
    <cfRule type="expression" dxfId="2086" priority="9">
      <formula>ABS(E$7-E$10)&gt;=1000</formula>
    </cfRule>
  </conditionalFormatting>
  <conditionalFormatting sqref="AB14:AC14">
    <cfRule type="expression" dxfId="2085" priority="8">
      <formula>ABS(AB$16-AB$19)&gt;=1000</formula>
    </cfRule>
  </conditionalFormatting>
  <conditionalFormatting sqref="M5">
    <cfRule type="expression" dxfId="2084" priority="7">
      <formula>ABS(M$7-M$10)&gt;=1000</formula>
    </cfRule>
  </conditionalFormatting>
  <conditionalFormatting sqref="N5">
    <cfRule type="expression" dxfId="2083" priority="6">
      <formula>ABS(N$7-N$10)&gt;=1000</formula>
    </cfRule>
  </conditionalFormatting>
  <conditionalFormatting sqref="O5">
    <cfRule type="expression" dxfId="2082" priority="5">
      <formula>ABS(O$7-O$10)&gt;=1000</formula>
    </cfRule>
  </conditionalFormatting>
  <conditionalFormatting sqref="P5">
    <cfRule type="expression" dxfId="2081" priority="4">
      <formula>ABS(P$7-P$10)&gt;=1000</formula>
    </cfRule>
  </conditionalFormatting>
  <conditionalFormatting sqref="L23">
    <cfRule type="expression" dxfId="2080" priority="3">
      <formula>ABS(L$25-L$28)&gt;=1000</formula>
    </cfRule>
  </conditionalFormatting>
  <conditionalFormatting sqref="F14">
    <cfRule type="expression" dxfId="2079" priority="2">
      <formula>ABS(F$16-F$19)&gt;=1000</formula>
    </cfRule>
  </conditionalFormatting>
  <conditionalFormatting sqref="AE5">
    <cfRule type="expression" dxfId="2078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547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59">
    <pageSetUpPr fitToPage="1"/>
  </sheetPr>
  <dimension ref="A1:CU223"/>
  <sheetViews>
    <sheetView tabSelected="1" view="pageBreakPreview" zoomScale="80" zoomScaleNormal="100" zoomScaleSheetLayoutView="80" workbookViewId="0">
      <selection activeCell="AF24" sqref="AF2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8" t="s" ph="1">
        <v>161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" customHeight="1" ph="1">
      <c r="B3" s="240" ph="1">
        <v>45967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9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47" t="s" ph="1">
        <v>177</v>
      </c>
      <c r="D6" s="71">
        <v>6783</v>
      </c>
      <c r="E6" s="71">
        <v>3996</v>
      </c>
      <c r="F6" s="71">
        <v>5459</v>
      </c>
      <c r="G6" s="71">
        <v>5028</v>
      </c>
      <c r="H6" s="71">
        <v>5223</v>
      </c>
      <c r="I6" s="71">
        <v>40.81</v>
      </c>
      <c r="J6" s="71">
        <v>7</v>
      </c>
      <c r="K6" s="71">
        <v>8.5</v>
      </c>
      <c r="L6" s="71">
        <v>36.76</v>
      </c>
      <c r="M6" s="71">
        <v>4173</v>
      </c>
      <c r="N6" s="71">
        <v>2213</v>
      </c>
      <c r="O6" s="71">
        <v>104</v>
      </c>
      <c r="P6" s="71">
        <v>931</v>
      </c>
      <c r="Q6" s="71">
        <v>5790</v>
      </c>
      <c r="R6" s="71">
        <v>0</v>
      </c>
      <c r="S6" s="71">
        <v>0</v>
      </c>
      <c r="T6" s="71">
        <v>0</v>
      </c>
      <c r="U6" s="71">
        <v>0</v>
      </c>
      <c r="V6" s="71">
        <v>3505</v>
      </c>
      <c r="W6" s="71">
        <v>5037</v>
      </c>
      <c r="X6" s="71">
        <v>7094</v>
      </c>
      <c r="Y6" s="71">
        <v>7029</v>
      </c>
      <c r="Z6" s="71">
        <v>6090</v>
      </c>
      <c r="AA6" s="71">
        <v>769</v>
      </c>
      <c r="AB6" s="71">
        <v>3980</v>
      </c>
      <c r="AC6" s="71">
        <v>2279</v>
      </c>
      <c r="AD6" s="71">
        <v>4780</v>
      </c>
      <c r="AE6" s="71">
        <v>5754</v>
      </c>
    </row>
    <row r="7" spans="1:99" s="72" customFormat="1" ht="22.2" ph="1">
      <c r="B7" s="237" ph="1"/>
      <c r="C7" s="68" t="s" ph="1">
        <v>178</v>
      </c>
      <c r="D7" s="73" ph="1">
        <f>D6*33.183*LOOKUP(D8,密度!$A$2:$A$50,密度!$Q$2:$Q$50)</f>
        <v>213421.1300298</v>
      </c>
      <c r="E7" s="73" ph="1">
        <f>E6*51.53*LOOKUP(E8,密度!$A$2:$A$50,密度!$B$2:$B$50)</f>
        <v>161086.42832400001</v>
      </c>
      <c r="F7" s="73" ph="1">
        <f>F6*33.183*LOOKUP(F8,密度!$A$2:$A$50,密度!$C$2:$C$50)</f>
        <v>201144.51506880001</v>
      </c>
      <c r="G7" s="73" ph="1">
        <f xml:space="preserve"> (G6+2)*51.53*LOOKUP(G8,密度!$A$2:$A$50,密度!$B$2:$B$50)</f>
        <v>203442.86191000001</v>
      </c>
      <c r="H7" s="73" ph="1">
        <f>(H6)*51.53*LOOKUP(H8,密度!$A$2:$A$50,密度!$B$2:$B$50)</f>
        <v>211248.92003100002</v>
      </c>
      <c r="I7" s="73" ph="1">
        <f>I6*290.8*1.0267</f>
        <v>12184.411531600001</v>
      </c>
      <c r="J7" s="73" ph="1">
        <f>J6*290.8*0.7892</f>
        <v>1606.4955200000002</v>
      </c>
      <c r="K7" s="73" ph="1">
        <f>K6*290.8*1.1126</f>
        <v>2750.1246800000004</v>
      </c>
      <c r="L7" s="73" ph="1">
        <f>L6*290.8*0.777</f>
        <v>8305.9808159999993</v>
      </c>
      <c r="M7" s="73" ph="1">
        <f>M6*33.183*LOOKUP(M8,密度!$A$2:$A$50,密度!$D$2:$D$50)</f>
        <v>142294.5043884</v>
      </c>
      <c r="N7" s="73" ph="1">
        <f>N6*33.183*LOOKUP(N8,密度!$A$2:$A$50,密度!$E$2:$E$50)</f>
        <v>57513.492352800007</v>
      </c>
      <c r="O7" s="73" ph="1">
        <f>O6*20.428*LOOKUP(O8,密度!$A$2:$A$50,密度!$C$2:$C$50)</f>
        <v>2355.8713568000003</v>
      </c>
      <c r="P7" s="73" ph="1">
        <f>P6*51.53*LOOKUP(P8,密度!$A$2:$A$50,密度!$B$2:$B$50)</f>
        <v>37573.573576000003</v>
      </c>
      <c r="Q7" s="73" ph="1">
        <f>Q6*1.5*1.5*3.1416*LOOKUP(W8,密度!$A$2:$A$50,密度!$L$2:$L$50)</f>
        <v>38389.707971999997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23239.365533999997</v>
      </c>
      <c r="W7" s="73" ph="1">
        <f>W6*1.5*1.5*3.1416*LOOKUP(W8,密度!$A$2:$A$50,密度!$L$2:$L$50)</f>
        <v>33397.056831599999</v>
      </c>
      <c r="X7" s="73" ph="1">
        <f>X6*1.5*1.5*3.1416*LOOKUP(X8,密度!$A$2:$A$50,密度!$L$2:$L$50)</f>
        <v>47486.982034799999</v>
      </c>
      <c r="Y7" s="73" ph="1">
        <f>Y6*1.5*1.5*3.1416*LOOKUP(Y8,密度!$A$2:$A$50,密度!$L$2:$L$50)</f>
        <v>46704.078035999992</v>
      </c>
      <c r="Z7" s="73" ph="1">
        <f>Z6*33.183*LOOKUP(Z8,密度!$A$2:$A$50,密度!$L$2:$L$50)</f>
        <v>190767.73968</v>
      </c>
      <c r="AA7" s="73" ph="1">
        <f>AA6*33.183*LOOKUP(AA8,密度!$A$2:$A$50,密度!$D$2:$D$50)</f>
        <v>26222.0162652</v>
      </c>
      <c r="AB7" s="73" ph="1">
        <f>AB6*20.428*LOOKUP(AB8,密度!$A$2:$A$50,密度!$D$2:$D$50)</f>
        <v>84132.799711999993</v>
      </c>
      <c r="AC7" s="73" ph="1">
        <f>AC6*51.53*LOOKUP(AC8,密度!$A$2:$A$50,密度!$Q$2:$Q$50)</f>
        <v>111528.6210703</v>
      </c>
      <c r="AD7" s="73" ph="1">
        <f>AD6*20.428*LOOKUP(AD8,密度!$A$2:$A$50,密度!$V$2:$V$50)</f>
        <v>93818.123072000002</v>
      </c>
      <c r="AE7" s="73" ph="1">
        <f>AE6*20.428</f>
        <v>117542.712</v>
      </c>
    </row>
    <row r="8" spans="1:99" ph="1">
      <c r="B8" s="237" ph="1"/>
      <c r="C8" s="68" t="s" ph="1">
        <v>179</v>
      </c>
      <c r="D8" s="74">
        <v>23</v>
      </c>
      <c r="E8" s="74">
        <v>22</v>
      </c>
      <c r="F8" s="74">
        <v>23</v>
      </c>
      <c r="G8" s="74">
        <v>19</v>
      </c>
      <c r="H8" s="74">
        <v>19</v>
      </c>
      <c r="I8" s="74">
        <v>25</v>
      </c>
      <c r="J8" s="74">
        <v>25</v>
      </c>
      <c r="K8" s="74">
        <v>25</v>
      </c>
      <c r="L8" s="74">
        <v>25</v>
      </c>
      <c r="M8" s="74">
        <v>24</v>
      </c>
      <c r="N8" s="74">
        <v>25</v>
      </c>
      <c r="O8" s="74">
        <v>25</v>
      </c>
      <c r="P8" s="74">
        <v>21</v>
      </c>
      <c r="Q8" s="74">
        <v>22</v>
      </c>
      <c r="R8" s="74">
        <v>18</v>
      </c>
      <c r="S8" s="74">
        <v>19</v>
      </c>
      <c r="T8" s="74">
        <v>23</v>
      </c>
      <c r="U8" s="74">
        <v>24</v>
      </c>
      <c r="V8" s="74">
        <v>24</v>
      </c>
      <c r="W8" s="74">
        <v>24</v>
      </c>
      <c r="X8" s="74">
        <v>15</v>
      </c>
      <c r="Y8" s="74">
        <v>22</v>
      </c>
      <c r="Z8" s="74">
        <v>18</v>
      </c>
      <c r="AA8" s="74">
        <v>24</v>
      </c>
      <c r="AB8" s="74">
        <v>16</v>
      </c>
      <c r="AC8" s="74">
        <v>21</v>
      </c>
      <c r="AD8" s="74">
        <v>22</v>
      </c>
      <c r="AE8" s="74">
        <v>26</v>
      </c>
    </row>
    <row r="9" spans="1:99" ht="26.4" ph="1">
      <c r="B9" s="237" ph="1">
        <v>0.66666666666666663</v>
      </c>
      <c r="C9" s="147" t="s" ph="1">
        <v>180</v>
      </c>
      <c r="D9" s="71">
        <v>6789</v>
      </c>
      <c r="E9" s="71">
        <v>3730</v>
      </c>
      <c r="F9" s="71">
        <v>5460</v>
      </c>
      <c r="G9" s="71">
        <v>7209</v>
      </c>
      <c r="H9" s="71">
        <v>5227</v>
      </c>
      <c r="I9" s="71">
        <v>40.89</v>
      </c>
      <c r="J9" s="71">
        <v>7.12</v>
      </c>
      <c r="K9" s="71">
        <v>8.4700000000000006</v>
      </c>
      <c r="L9" s="71">
        <v>37.53</v>
      </c>
      <c r="M9" s="71">
        <v>4174</v>
      </c>
      <c r="N9" s="71">
        <v>2216</v>
      </c>
      <c r="O9" s="71">
        <v>104</v>
      </c>
      <c r="P9" s="71">
        <v>851</v>
      </c>
      <c r="Q9" s="71">
        <v>6873</v>
      </c>
      <c r="R9" s="71">
        <v>2378</v>
      </c>
      <c r="S9" s="71">
        <v>768</v>
      </c>
      <c r="T9" s="71">
        <v>0</v>
      </c>
      <c r="U9" s="71">
        <v>0</v>
      </c>
      <c r="V9" s="71">
        <v>0</v>
      </c>
      <c r="W9" s="71">
        <v>5045</v>
      </c>
      <c r="X9" s="71">
        <v>7106</v>
      </c>
      <c r="Y9" s="71">
        <v>7042</v>
      </c>
      <c r="Z9" s="71">
        <v>6959</v>
      </c>
      <c r="AA9" s="71">
        <v>768</v>
      </c>
      <c r="AB9" s="71">
        <v>3953</v>
      </c>
      <c r="AC9" s="71">
        <v>2328</v>
      </c>
      <c r="AD9" s="71">
        <v>4780</v>
      </c>
      <c r="AE9" s="71">
        <v>5747</v>
      </c>
    </row>
    <row r="10" spans="1:99" s="72" customFormat="1" ht="22.2" ph="1">
      <c r="B10" s="237" ph="1"/>
      <c r="C10" s="147" t="s" ph="1">
        <v>178</v>
      </c>
      <c r="D10" s="73" ph="1">
        <f>D9*33.183*LOOKUP(D11,密度!$A$2:$A$50,密度!$Q$2:$Q$50)</f>
        <v>213445.46080089</v>
      </c>
      <c r="E10" s="73" ph="1">
        <f>E9*51.53*LOOKUP(E11,密度!$A$2:$A$50,密度!$B$2:$B$50)</f>
        <v>150017.48544999998</v>
      </c>
      <c r="F10" s="73" ph="1">
        <f>F9*33.183*LOOKUP(F11,密度!$A$2:$A$50,密度!$C$2:$C$50)</f>
        <v>200909.59270199999</v>
      </c>
      <c r="G10" s="73" ph="1">
        <f xml:space="preserve"> (G9+2)*51.53*LOOKUP(G11,密度!$A$2:$A$50,密度!$B$2:$B$50)</f>
        <v>297006.15601900005</v>
      </c>
      <c r="H10" s="73" ph="1">
        <f>(H9)*51.53*LOOKUP(H11,密度!$A$2:$A$50,密度!$B$2:$B$50)</f>
        <v>210710.40061300001</v>
      </c>
      <c r="I10" s="73" ph="1">
        <f>I9*290.8*1.0267</f>
        <v>12208.296680399999</v>
      </c>
      <c r="J10" s="73" ph="1">
        <f>J9*290.8*0.7892</f>
        <v>1634.0354432000001</v>
      </c>
      <c r="K10" s="73" ph="1">
        <f>K9*290.8*1.1126</f>
        <v>2740.4183576000005</v>
      </c>
      <c r="L10" s="73" ph="1">
        <f>L9*290.8*0.777</f>
        <v>8479.9635479999997</v>
      </c>
      <c r="M10" s="73" ph="1">
        <f>M9*33.183*LOOKUP(M11,密度!$A$2:$A$50,密度!$D$2:$D$50)</f>
        <v>141940.78688159998</v>
      </c>
      <c r="N10" s="73" ph="1">
        <f>N9*33.183*LOOKUP(N11,密度!$A$2:$A$50,密度!$E$2:$E$50)</f>
        <v>57591.459129600007</v>
      </c>
      <c r="O10" s="73" ph="1">
        <f>O9*20.428*LOOKUP(O11,密度!$A$2:$A$50,密度!$C$2:$C$50)</f>
        <v>2345.6736992000006</v>
      </c>
      <c r="P10" s="73" ph="1">
        <f>P9*51.53*LOOKUP(P11,密度!$A$2:$A$50,密度!$B$2:$B$50)</f>
        <v>34073.027309999998</v>
      </c>
      <c r="Q10" s="73" ph="1">
        <f>Q9*1.5*1.5*3.1416*LOOKUP(W11,密度!$A$2:$A$50,密度!$L$2:$L$50)</f>
        <v>45521.791068600003</v>
      </c>
      <c r="R10" s="73" ph="1">
        <f>R9*1.5*1.5*3.1416*LOOKUP(R11,密度!$A$2:$A$50,密度!$L$2:$L$50)</f>
        <v>15649.3007748</v>
      </c>
      <c r="S10" s="73" ph="1">
        <f>S9*1.5*1.5*3.1416*LOOKUP(S11,密度!$A$2:$A$50,密度!$L$2:$L$50)</f>
        <v>5102.9637119999998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33414.438519000003</v>
      </c>
      <c r="X10" s="73" ph="1">
        <f>X9*1.5*1.5*3.1416*LOOKUP(X11,密度!$A$2:$A$50,密度!$L$2:$L$50)</f>
        <v>47165.473832399992</v>
      </c>
      <c r="Y10" s="73" ph="1">
        <f>Y9*1.5*1.5*3.1416*LOOKUP(Y11,密度!$A$2:$A$50,密度!$L$2:$L$50)</f>
        <v>46641.125084400002</v>
      </c>
      <c r="Z10" s="73" ph="1">
        <f>Z9*33.183*LOOKUP(Z11,密度!$A$2:$A$50,密度!$L$2:$L$50)</f>
        <v>217296.18767699998</v>
      </c>
      <c r="AA10" s="73" ph="1">
        <f>AA9*33.183*LOOKUP(AA11,密度!$A$2:$A$50,密度!$D$2:$D$50)</f>
        <v>26164.981324799999</v>
      </c>
      <c r="AB10" s="73" ph="1">
        <f>AB9*20.428*LOOKUP(AB11,密度!$A$2:$A$50,密度!$D$2:$D$50)</f>
        <v>83489.372867600003</v>
      </c>
      <c r="AC10" s="73" ph="1">
        <f>AC9*51.53*LOOKUP(AC11,密度!$A$2:$A$50,密度!$Q$2:$Q$50)</f>
        <v>113660.24454480001</v>
      </c>
      <c r="AD10" s="73" ph="1">
        <f>AD9*20.428*LOOKUP(AD11,密度!$A$2:$A$50,密度!$V$2:$V$50)</f>
        <v>93818.123072000002</v>
      </c>
      <c r="AE10" s="73" ph="1">
        <f>AE9*20.428</f>
        <v>117399.716</v>
      </c>
    </row>
    <row r="11" spans="1:99" ph="1">
      <c r="A11" s="64" t="s" ph="1">
        <v>162</v>
      </c>
      <c r="B11" s="237" ph="1"/>
      <c r="C11" s="147" t="s" ph="1">
        <v>179</v>
      </c>
      <c r="D11" s="74">
        <v>24</v>
      </c>
      <c r="E11" s="74">
        <v>24</v>
      </c>
      <c r="F11" s="74">
        <v>25</v>
      </c>
      <c r="G11" s="74">
        <v>2</v>
      </c>
      <c r="H11" s="74">
        <v>22</v>
      </c>
      <c r="I11" s="74">
        <v>25</v>
      </c>
      <c r="J11" s="74">
        <v>25</v>
      </c>
      <c r="K11" s="74">
        <v>25</v>
      </c>
      <c r="L11" s="74">
        <v>25</v>
      </c>
      <c r="M11" s="74">
        <v>27</v>
      </c>
      <c r="N11" s="74">
        <v>25</v>
      </c>
      <c r="O11" s="74">
        <v>31</v>
      </c>
      <c r="P11" s="74">
        <v>28</v>
      </c>
      <c r="Q11" s="74">
        <v>27</v>
      </c>
      <c r="R11" s="74">
        <v>31</v>
      </c>
      <c r="S11" s="74">
        <v>22</v>
      </c>
      <c r="T11" s="74">
        <v>22</v>
      </c>
      <c r="U11" s="74">
        <v>25</v>
      </c>
      <c r="V11" s="74">
        <v>27</v>
      </c>
      <c r="W11" s="74">
        <v>25</v>
      </c>
      <c r="X11" s="74">
        <v>23</v>
      </c>
      <c r="Y11" s="74">
        <v>25</v>
      </c>
      <c r="Z11" s="74">
        <v>21</v>
      </c>
      <c r="AA11" s="74">
        <v>25</v>
      </c>
      <c r="AB11" s="74">
        <v>17</v>
      </c>
      <c r="AC11" s="74">
        <v>24</v>
      </c>
      <c r="AD11" s="74">
        <v>23</v>
      </c>
      <c r="AE11" s="74">
        <v>27</v>
      </c>
    </row>
    <row r="12" spans="1:99" ht="9.9" customHeight="1" ph="1"/>
    <row r="13" spans="1:99" s="72" customFormat="1" ht="29.25" customHeight="1" ph="1">
      <c r="B13" s="214" t="s" ph="1">
        <v>37</v>
      </c>
      <c r="C13" s="147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5" ph="1"/>
      <c r="C14" s="67" t="s" ph="1">
        <v>36</v>
      </c>
      <c r="D14" s="77" t="s" ph="1">
        <v>616</v>
      </c>
      <c r="E14" s="77" t="s" ph="1">
        <v>616</v>
      </c>
      <c r="F14" s="77" t="s" ph="1">
        <v>639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636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635</v>
      </c>
      <c r="AC14" s="77" t="s" ph="1">
        <v>637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6" ph="1">
        <v>0.33333333333333331</v>
      </c>
      <c r="C15" s="147" t="s" ph="1">
        <v>177</v>
      </c>
      <c r="D15" s="78">
        <v>3397</v>
      </c>
      <c r="E15" s="78">
        <v>1314</v>
      </c>
      <c r="F15" s="78">
        <v>2143</v>
      </c>
      <c r="G15" s="78">
        <v>3577</v>
      </c>
      <c r="H15" s="78">
        <v>0</v>
      </c>
      <c r="I15" s="78">
        <v>1615</v>
      </c>
      <c r="J15" s="78">
        <v>735</v>
      </c>
      <c r="K15" s="78">
        <v>4764</v>
      </c>
      <c r="L15" s="78">
        <v>3959</v>
      </c>
      <c r="M15" s="78">
        <v>1070</v>
      </c>
      <c r="N15" s="78">
        <v>5051</v>
      </c>
      <c r="O15" s="78">
        <v>6392</v>
      </c>
      <c r="P15" s="78">
        <v>5182</v>
      </c>
      <c r="Q15" s="78">
        <v>1611</v>
      </c>
      <c r="R15" s="78">
        <v>3395</v>
      </c>
      <c r="S15" s="78">
        <v>6186</v>
      </c>
      <c r="T15" s="78">
        <v>6712</v>
      </c>
      <c r="U15" s="78">
        <v>1600</v>
      </c>
      <c r="V15" s="78">
        <v>5035</v>
      </c>
      <c r="W15" s="71">
        <v>4933</v>
      </c>
      <c r="X15" s="78">
        <v>850</v>
      </c>
      <c r="Y15" s="106">
        <v>-9904</v>
      </c>
      <c r="Z15" s="78">
        <v>0</v>
      </c>
      <c r="AA15" s="78">
        <v>0</v>
      </c>
      <c r="AB15" s="78" ph="1">
        <v>1095</v>
      </c>
      <c r="AC15" s="78" ph="1">
        <v>2141</v>
      </c>
      <c r="AD15" s="78">
        <v>33.9</v>
      </c>
      <c r="AE15" s="78">
        <v>84.43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7" ph="1"/>
      <c r="C16" s="147" t="s" ph="1">
        <v>178</v>
      </c>
      <c r="D16" s="73" ph="1">
        <f>D15*7.0686*LOOKUP(D17,密度!$A$2:$A$50,密度!$L$2:$L$50)</f>
        <v>22523.288079599995</v>
      </c>
      <c r="E16" s="73" ph="1">
        <f>E15*7.0686*LOOKUP(E17,密度!$A$2:$A$50,密度!$L$2:$L$50)</f>
        <v>8712.2756952</v>
      </c>
      <c r="F16" s="73" ph="1">
        <f>F15*9.0746*LOOKUP(F17,密度!$A$2:$A$50,密度!$L$2:$L$50)</f>
        <v>18202.2682608</v>
      </c>
      <c r="G16" s="73" ph="1">
        <f>G15*9.0746*LOOKUP(G17,密度!$A$2:$A$50,密度!$B$2:$B$50)</f>
        <v>25393.336117660001</v>
      </c>
      <c r="H16" s="73" ph="1">
        <f>H15*9.0746*LOOKUP(H17,密度!$A$2:$A$50,密度!$L$2:$L$50)</f>
        <v>0</v>
      </c>
      <c r="I16" s="73" ph="1">
        <f>I15*9.0746*LOOKUP(I17,密度!$A$2:$A$50,密度!$U$2:$U$50)</f>
        <v>15065.832412000002</v>
      </c>
      <c r="J16" s="73" ph="1">
        <f>J15*9.0746*LOOKUP(J17,密度!$A$2:$A$50,密度!$L$2:$L$50)</f>
        <v>6262.9713089999996</v>
      </c>
      <c r="K16" s="73" ph="1">
        <f>K15*9.0746*LOOKUP(K17,密度!$A$2:$A$50,密度!$C$2:$C$50)</f>
        <v>48004.140341760009</v>
      </c>
      <c r="L16" s="73" ph="1">
        <f>L15*9.0746*LOOKUP(L17,密度!$A$2:$A$50,密度!$E$2:$E$50)</f>
        <v>28180.622194159998</v>
      </c>
      <c r="M16" s="73" ph="1">
        <f>M15*9.0746*LOOKUP(M17,密度!$A$2:$A$50,密度!$M$2:$M$50)</f>
        <v>8515.5138939999997</v>
      </c>
      <c r="N16" s="73" ph="1">
        <f>N15*9.0746*LOOKUP(N17,密度!$A$2:$A$50,密度!$M$2:$M$50)</f>
        <v>40243.836438800005</v>
      </c>
      <c r="O16" s="73" ph="1">
        <f>O15*9.0746*LOOKUP(O17,密度!$A$2:$A$50,密度!$G$2:$G$50)</f>
        <v>55754.255283840008</v>
      </c>
      <c r="P16" s="73" ph="1">
        <f ca="1">P15*9.0746*LOOKUP(P17,密度!$A$2:$A$51,密度!$Q$2:$Q$50)</f>
        <v>44554.376159684005</v>
      </c>
      <c r="Q16" s="73" ph="1">
        <f>Q15*9.0746*LOOKUP(Q17,密度!$A$2:$A$50,密度!$Q$2:$Q$50)</f>
        <v>13851.235043082001</v>
      </c>
      <c r="R16" s="73" ph="1">
        <f>MAX(R15*9.0746*LOOKUP(R17,密度!$A$2:$A$50,密度!$B$2:$B$50),0)</f>
        <v>24018.1249532</v>
      </c>
      <c r="S16" s="73" ph="1">
        <f>S15*9.0746*LOOKUP(S17,密度!$A$2:$A$50,密度!$Q$2:$Q$50)</f>
        <v>53186.679066732002</v>
      </c>
      <c r="T16" s="73" ph="1">
        <f>T15*9.0746*LOOKUP(T17,密度!$A$2:$A$50,密度!$O$2:$O$50)</f>
        <v>56645.105135999998</v>
      </c>
      <c r="U16" s="73" ph="1">
        <f>U15*9.0746*LOOKUP(U17,密度!$A$2:$A$50,密度!$H$2:$H$50)</f>
        <v>13353.455392</v>
      </c>
      <c r="V16" s="73" ph="1">
        <f>MAX(5600*LOOKUP(V17,密度!$A$2:$A$50,密度!$Q$2:$Q$50)+V15*9.0476*LOOKUP(V17,密度!$A$2:$A$50,密度!$Q$2:$Q$50),0)</f>
        <v>48430.168488839998</v>
      </c>
      <c r="W16" s="73" ph="1">
        <f>MAX(5600*LOOKUP(W17,密度!$A$2:$A$50,密度!$Q$2:$Q$50)+W15*9.0476*LOOKUP(W17,密度!$A$2:$A$50,密度!$Q$2:$Q$50),0)</f>
        <v>47556.464556792002</v>
      </c>
      <c r="X16" s="73" ph="1">
        <f>MAX(5600*LOOKUP(X17,密度!$A$2:$A$50,密度!$I$2:$I$50)+X15*9.0476*LOOKUP(X17,密度!$A$2:$A$50,密度!$I$2:$I$50),0)</f>
        <v>13852.646457999999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9340.4857799999991</v>
      </c>
      <c r="AC16" s="73" ph="1">
        <f>AC15*9.0746*LOOKUP(AC17,密度!$A$2:$A$50,密度!$L$2:$L$50)</f>
        <v>18262.995483999999</v>
      </c>
      <c r="AD16" s="73" ph="1">
        <f>AD15*268.68*LOOKUP(AD17,密度!$A$2:$A$50,密度!B2:B50)+IF(AD15&lt;=0,0,1566*LOOKUP(AD17,密度!$A$2:$A$50,密度!B2:B50))</f>
        <v>8321.6468592000001</v>
      </c>
      <c r="AE16" s="73" ph="1">
        <f>AE15*268.68*LOOKUP(AE17,密度!$A$2:$A$50,密度!B2:B50)+IF(AE15&lt;=0,0,1566*LOOKUP(AE17,密度!$A$2:$A$50,密度!B2:B50))</f>
        <v>18905.80861104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8" ph="1"/>
      <c r="C17" s="79" t="s" ph="1">
        <v>179</v>
      </c>
      <c r="D17" s="74">
        <v>24</v>
      </c>
      <c r="E17" s="74">
        <v>24</v>
      </c>
      <c r="F17" s="74">
        <v>26</v>
      </c>
      <c r="G17" s="74">
        <v>22</v>
      </c>
      <c r="H17" s="74">
        <v>19</v>
      </c>
      <c r="I17" s="74">
        <v>22</v>
      </c>
      <c r="J17" s="74">
        <v>23</v>
      </c>
      <c r="K17" s="74">
        <v>23</v>
      </c>
      <c r="L17" s="74">
        <v>24</v>
      </c>
      <c r="M17" s="74">
        <v>23</v>
      </c>
      <c r="N17" s="74">
        <v>22</v>
      </c>
      <c r="O17" s="74">
        <v>24</v>
      </c>
      <c r="P17" s="74">
        <v>24</v>
      </c>
      <c r="Q17" s="74">
        <v>24</v>
      </c>
      <c r="R17" s="74">
        <v>25</v>
      </c>
      <c r="S17" s="74">
        <v>24</v>
      </c>
      <c r="T17" s="74">
        <v>23</v>
      </c>
      <c r="U17" s="74">
        <v>20</v>
      </c>
      <c r="V17" s="74">
        <v>25</v>
      </c>
      <c r="W17" s="74">
        <v>25</v>
      </c>
      <c r="X17" s="74">
        <v>25</v>
      </c>
      <c r="Y17" s="108">
        <v>25</v>
      </c>
      <c r="Z17" s="74">
        <v>23</v>
      </c>
      <c r="AA17" s="74">
        <v>21</v>
      </c>
      <c r="AB17" s="74">
        <v>22</v>
      </c>
      <c r="AC17" s="74">
        <v>22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6" ph="1">
        <v>0.66666666666666663</v>
      </c>
      <c r="C18" s="79" t="s" ph="1">
        <v>180</v>
      </c>
      <c r="D18" s="71">
        <v>3316</v>
      </c>
      <c r="E18" s="71">
        <v>2981</v>
      </c>
      <c r="F18" s="71">
        <v>2144</v>
      </c>
      <c r="G18" s="71">
        <v>3640</v>
      </c>
      <c r="H18" s="71">
        <v>0</v>
      </c>
      <c r="I18" s="71">
        <v>1616</v>
      </c>
      <c r="J18" s="71">
        <v>736</v>
      </c>
      <c r="K18" s="71">
        <v>4766</v>
      </c>
      <c r="L18" s="71">
        <v>3969</v>
      </c>
      <c r="M18" s="71">
        <v>3946</v>
      </c>
      <c r="N18" s="71">
        <v>3368</v>
      </c>
      <c r="O18" s="71">
        <v>6402</v>
      </c>
      <c r="P18" s="71">
        <v>5195</v>
      </c>
      <c r="Q18" s="71">
        <v>1612</v>
      </c>
      <c r="R18" s="71">
        <v>1699</v>
      </c>
      <c r="S18" s="71">
        <v>6195</v>
      </c>
      <c r="T18" s="71">
        <v>5852</v>
      </c>
      <c r="U18" s="71">
        <v>1600</v>
      </c>
      <c r="V18" s="71">
        <v>5035</v>
      </c>
      <c r="W18" s="71">
        <v>4934</v>
      </c>
      <c r="X18" s="71">
        <v>847</v>
      </c>
      <c r="Y18" s="109">
        <v>-9907</v>
      </c>
      <c r="Z18" s="71">
        <v>0</v>
      </c>
      <c r="AA18" s="71">
        <v>0</v>
      </c>
      <c r="AB18" s="71">
        <v>1094</v>
      </c>
      <c r="AC18" s="71">
        <v>2145</v>
      </c>
      <c r="AD18" s="71">
        <v>74.930000000000007</v>
      </c>
      <c r="AE18" s="71">
        <v>84.44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7" ph="1"/>
      <c r="C19" s="147" t="s" ph="1">
        <v>178</v>
      </c>
      <c r="D19" s="73" ph="1">
        <f>D18*7.0686*LOOKUP(D20,密度!$A$2:$A$50,密度!$L$2:$L$50)</f>
        <v>21962.790511200001</v>
      </c>
      <c r="E19" s="73" ph="1">
        <f>E18*7.0686*LOOKUP(E20,密度!$A$2:$A$50,密度!$L$2:$L$50)</f>
        <v>19743.992314200001</v>
      </c>
      <c r="F19" s="73" ph="1">
        <f>F18*9.0746*LOOKUP(F20,密度!$A$2:$A$50,密度!$L$2:$L$50)</f>
        <v>18152.394259200002</v>
      </c>
      <c r="G19" s="73" ph="1">
        <f>G18*9.0746*LOOKUP(G20,密度!$A$2:$A$50,密度!$B$2:$B$50)</f>
        <v>25751.3917024</v>
      </c>
      <c r="H19" s="73" ph="1">
        <f>H18*9.0746*LOOKUP(H20,密度!$A$2:$A$50,密度!$L$2:$L$50)</f>
        <v>0</v>
      </c>
      <c r="I19" s="73" ph="1">
        <f>I18*9.0746*LOOKUP(I20,密度!$A$2:$A$50,密度!$U$2:$U$50)</f>
        <v>15016.502886400001</v>
      </c>
      <c r="J19" s="73" ph="1">
        <f>J18*9.0746*LOOKUP(J20,密度!$A$2:$A$50,密度!$L$2:$L$50)</f>
        <v>6238.0978304</v>
      </c>
      <c r="K19" s="73" ph="1">
        <f>K18*9.0746*LOOKUP(K20,密度!$A$2:$A$50,密度!$C$2:$C$50)</f>
        <v>47959.418898040007</v>
      </c>
      <c r="L19" s="73" ph="1">
        <f>L18*9.0746*LOOKUP(L20,密度!$A$2:$A$50,密度!$E$2:$E$50)</f>
        <v>28208.582851680003</v>
      </c>
      <c r="M19" s="73" ph="1">
        <f>M18*9.0746*LOOKUP(M20,密度!$A$2:$A$50,密度!$M$2:$M$50)</f>
        <v>31189.0916636</v>
      </c>
      <c r="N19" s="73" ph="1">
        <f>N18*9.0746*LOOKUP(N20,密度!$A$2:$A$50,密度!$M$2:$M$50)</f>
        <v>26715.33927248</v>
      </c>
      <c r="O19" s="73" ph="1">
        <f>O18*9.0746*LOOKUP(O20,密度!$A$2:$A$50,密度!$G$2:$G$50)</f>
        <v>55655.574453599998</v>
      </c>
      <c r="P19" s="73" ph="1">
        <f ca="1">P18*9.0746*LOOKUP(P20,密度!$A$2:$A$51,密度!$Q$2:$Q$50)</f>
        <v>44531.792747139996</v>
      </c>
      <c r="Q19" s="73" ph="1">
        <f>Q18*9.0746*LOOKUP(Q20,密度!$A$2:$A$50,密度!$Q$2:$Q$50)</f>
        <v>13849.154328048</v>
      </c>
      <c r="R19" s="73" ph="1">
        <f>MAX(R18*9.0746*LOOKUP(R20,密度!$A$2:$A$50,密度!$B$2:$B$50),0)</f>
        <v>11953.37800862</v>
      </c>
      <c r="S19" s="73" ph="1">
        <f>S18*9.0746*LOOKUP(S20,密度!$A$2:$A$50,密度!$Q$2:$Q$50)</f>
        <v>53183.10757641001</v>
      </c>
      <c r="T19" s="73" ph="1">
        <f>T18*9.0746*LOOKUP(T20,密度!$A$2:$A$50,密度!$O$2:$O$50)</f>
        <v>49174.821819200006</v>
      </c>
      <c r="U19" s="73" ph="1">
        <f>U18*9.0746*LOOKUP(U20,密度!$A$2:$A$50,密度!$H$2:$H$50)</f>
        <v>13280.858592</v>
      </c>
      <c r="V19" s="73" ph="1">
        <f>MAX(5600*LOOKUP(V20,密度!$A$2:$A$50,密度!$Q$2:$Q$50)+V18*9.0476*LOOKUP(V20,密度!$A$2:$A$50,密度!$Q$2:$Q$50),0)</f>
        <v>48321.72059692</v>
      </c>
      <c r="W19" s="73" ph="1">
        <f>MAX(5600*LOOKUP(W20,密度!$A$2:$A$50,密度!$Q$2:$Q$50)+W18*9.0476*LOOKUP(W20,密度!$A$2:$A$50,密度!$Q$2:$Q$50),0)</f>
        <v>47458.519661808001</v>
      </c>
      <c r="X19" s="73" ph="1">
        <f>MAX(5600*LOOKUP(X20,密度!$A$2:$A$50,密度!$I$2:$I$50)+X18*9.0476*LOOKUP(X20,密度!$A$2:$A$50,密度!$I$2:$I$50),0)</f>
        <v>13780.586570799998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9242.6071444000008</v>
      </c>
      <c r="AC19" s="73" ph="1">
        <f>AC18*9.0746*LOOKUP(AC20,密度!$A$2:$A$50,密度!$L$2:$L$50)</f>
        <v>18238.720928999999</v>
      </c>
      <c r="AD19" s="73" ph="1">
        <f>AD18*268.68*LOOKUP(AD20,密度!$A$2:$A$50,密度!B5:B53)+IF(AD18&lt;=0,0,1566*LOOKUP(AD20,密度!$A$2:$A$50,密度!B5:B53))</f>
        <v>16859.495494800005</v>
      </c>
      <c r="AE19" s="73" ph="1">
        <f>AE18*268.68*LOOKUP(AE20,密度!$A$2:$A$50,密度!B5:B53)+IF(AE18&lt;=0,0,1566*LOOKUP(AE20,密度!$A$2:$A$50,密度!B5:B53))</f>
        <v>18844.8445584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7" ph="1"/>
      <c r="C20" s="80" t="s" ph="1">
        <v>179</v>
      </c>
      <c r="D20" s="81">
        <v>25</v>
      </c>
      <c r="E20" s="81">
        <v>25</v>
      </c>
      <c r="F20" s="81">
        <v>29</v>
      </c>
      <c r="G20" s="81">
        <v>25</v>
      </c>
      <c r="H20" s="81">
        <v>23</v>
      </c>
      <c r="I20" s="81">
        <v>26</v>
      </c>
      <c r="J20" s="81">
        <v>28</v>
      </c>
      <c r="K20" s="81">
        <v>25</v>
      </c>
      <c r="L20" s="81">
        <v>25</v>
      </c>
      <c r="M20" s="81">
        <v>29</v>
      </c>
      <c r="N20" s="81">
        <v>26</v>
      </c>
      <c r="O20" s="81">
        <v>27</v>
      </c>
      <c r="P20" s="81">
        <v>28</v>
      </c>
      <c r="Q20" s="81">
        <v>25</v>
      </c>
      <c r="R20" s="81">
        <v>30</v>
      </c>
      <c r="S20" s="81">
        <v>26</v>
      </c>
      <c r="T20" s="81">
        <v>29</v>
      </c>
      <c r="U20" s="81">
        <v>25</v>
      </c>
      <c r="V20" s="81">
        <v>28</v>
      </c>
      <c r="W20" s="81">
        <v>28</v>
      </c>
      <c r="X20" s="81">
        <v>28</v>
      </c>
      <c r="Y20" s="110">
        <v>28</v>
      </c>
      <c r="Z20" s="81">
        <v>34</v>
      </c>
      <c r="AA20" s="81">
        <v>27</v>
      </c>
      <c r="AB20" s="81">
        <v>31</v>
      </c>
      <c r="AC20" s="81">
        <v>25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28" t="s" ph="1">
        <v>640</v>
      </c>
      <c r="AA23" s="229"/>
      <c r="AB23" s="229"/>
      <c r="AC23" s="229"/>
      <c r="AD23" s="229"/>
      <c r="AE23" s="23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7" ph="1">
        <v>0.33333333333333331</v>
      </c>
      <c r="C24" s="147" t="s" ph="1">
        <v>177</v>
      </c>
      <c r="D24" s="71">
        <v>3.82</v>
      </c>
      <c r="E24" s="71">
        <v>2.99</v>
      </c>
      <c r="F24" s="71">
        <v>3245</v>
      </c>
      <c r="G24" s="71">
        <v>3038</v>
      </c>
      <c r="H24" s="71">
        <v>306</v>
      </c>
      <c r="I24" s="71">
        <v>1130</v>
      </c>
      <c r="J24" s="71">
        <v>4834</v>
      </c>
      <c r="K24" s="71">
        <v>4944</v>
      </c>
      <c r="L24" s="71">
        <v>5577</v>
      </c>
      <c r="M24" s="71">
        <v>5102</v>
      </c>
      <c r="N24" s="71">
        <v>5500</v>
      </c>
      <c r="O24" s="71">
        <v>5575</v>
      </c>
      <c r="P24" s="71">
        <v>360</v>
      </c>
      <c r="Q24" s="90">
        <v>1542</v>
      </c>
      <c r="R24" s="71">
        <v>205</v>
      </c>
      <c r="S24" s="71">
        <v>3203</v>
      </c>
      <c r="T24" s="71">
        <v>281</v>
      </c>
      <c r="U24" s="71">
        <v>5975</v>
      </c>
      <c r="V24" s="71">
        <v>10615</v>
      </c>
      <c r="W24" s="71">
        <v>8006</v>
      </c>
      <c r="X24" s="71">
        <v>2463</v>
      </c>
      <c r="Y24" s="71">
        <v>2895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7" ph="1"/>
      <c r="C25" s="68" t="s" ph="1">
        <v>178</v>
      </c>
      <c r="D25" s="91" ph="1">
        <f>D24*268.68*LOOKUP(D26,密度!$A$2:$A$50,密度!$Q$2:$Q$50)+IF(D24&lt;=0,0,1566*LOOKUP(D26,密度!$A$2:$A$50,密度!$Q$2:$Q$50))</f>
        <v>2454.2886342239999</v>
      </c>
      <c r="E25" s="91" ph="1">
        <f>E24*268.68*LOOKUP(E26,密度!$A$2:$A$50,密度!$C$2:$C$50)+IF(E24&lt;=0,0,1566*LOOKUP(E26,密度!$A$2:$A$50,密度!$C$2:$C$50))</f>
        <v>2627.3757634799999</v>
      </c>
      <c r="F25" s="91" ph="1">
        <f>F24*11.702*LOOKUP(F26,密度!$A$2:$A$50,密度!$Q$2:$Q$50)</f>
        <v>35978.268835299998</v>
      </c>
      <c r="G25" s="91" ph="1">
        <f>G24*18.322*LOOKUP(G26,密度!$A$2:$A$50,密度!$B$2:$B$50)</f>
        <v>43494.471210399999</v>
      </c>
      <c r="H25" s="91" ph="1">
        <f>H24*18.322*LOOKUP(H26,密度!$A$2:$A$50,密度!$B$2:$B$50)</f>
        <v>4385.9899836000004</v>
      </c>
      <c r="I25" s="91" ph="1">
        <f>I24*18.322*LOOKUP(I26,密度!$A$2:$A$50,密度!$Q$2:$Q$50)</f>
        <v>19649.826487400001</v>
      </c>
      <c r="J25" s="91" ph="1">
        <f>J24*18.322*LOOKUP(J26,密度!$A$2:$A$50,密度!$Q$2:$Q$50)</f>
        <v>83980.697213599997</v>
      </c>
      <c r="K25" s="91" ph="1">
        <f>K24*18.322*LOOKUP(K26,密度!$A$2:$A$50,密度!$Q$2:$Q$50)</f>
        <v>85891.7184576</v>
      </c>
      <c r="L25" s="91" ph="1">
        <f>L24*18.322*LOOKUP(L26,密度!$A$2:$A$50,密度!$Q$2:$Q$50)</f>
        <v>96814.18436118</v>
      </c>
      <c r="M25" s="91" ph="1">
        <f>M24*18.322*LOOKUP(M26,密度!$A$2:$A$50,密度!$Q$2:$Q$50)</f>
        <v>88568.400324679998</v>
      </c>
      <c r="N25" s="91" ph="1">
        <f>N24*18.322*LOOKUP(N26,密度!$A$2:$A$50,密度!$Q$2:$Q$50)</f>
        <v>95551.0622</v>
      </c>
      <c r="O25" s="91" ph="1">
        <f>O24*18.322*LOOKUP(O26,密度!$A$2:$A$50,密度!$C$2:$C$50)</f>
        <v>113421.97456</v>
      </c>
      <c r="P25" s="91" ph="1">
        <f>P24*11.702*LOOKUP(P26,密度!$A$2:$A$50,密度!$B$2:$B$50)</f>
        <v>3295.6108560000002</v>
      </c>
      <c r="Q25" s="92" ph="1">
        <f>Q24*18.322*LOOKUP(Q26,密度!$A$2:$A$50,密度!$B$2:$B$50)</f>
        <v>22152.804068399997</v>
      </c>
      <c r="R25" s="91" ph="1">
        <f>R24*35.891*LOOKUP(R26,密度!$A$2:$A$50,密度!$C$2:$C$50)</f>
        <v>8186.126953</v>
      </c>
      <c r="S25" s="91" ph="1">
        <f>S24*35.891*LOOKUP(S26,密度!$A$2:$A$50,密度!$B$2:$B$50)</f>
        <v>90035.789333599998</v>
      </c>
      <c r="T25" s="91" ph="1">
        <f>T24*35.891*LOOKUP(T26,密度!$A$2:$A$50,密度!$Q$2:$Q$50)</f>
        <v>9562.9487821999992</v>
      </c>
      <c r="U25" s="91" ph="1">
        <f>U24*35.891</f>
        <v>214448.72499999998</v>
      </c>
      <c r="V25" s="91" ph="1">
        <f>V24*47.051*LOOKUP(V26,密度!$A$2:$A$50,密度!$B$2:$B$50)</f>
        <v>390267.38961100002</v>
      </c>
      <c r="W25" s="91" ph="1">
        <f>W24*47.051*LOOKUP(W26,密度!$A$2:$A$50,密度!$B$2:$B$50)</f>
        <v>294345.8051084</v>
      </c>
      <c r="X25" s="91" ph="1">
        <f>X24*47.051*LOOKUP(X26,密度!$A$2:$A$50,密度!$I$2:$I$50)</f>
        <v>120916.09200420001</v>
      </c>
      <c r="Y25" s="91" ph="1">
        <f>Y24*47.051*LOOKUP(Y26,密度!$A$2:$A$50,密度!$L$2:$L$50)</f>
        <v>127767.46101000001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7" ph="1"/>
      <c r="C26" s="68" t="s" ph="1">
        <v>179</v>
      </c>
      <c r="D26" s="74">
        <v>25</v>
      </c>
      <c r="E26" s="74">
        <v>25</v>
      </c>
      <c r="F26" s="74">
        <v>24</v>
      </c>
      <c r="G26" s="74">
        <v>23</v>
      </c>
      <c r="H26" s="74">
        <v>22</v>
      </c>
      <c r="I26" s="74">
        <v>22</v>
      </c>
      <c r="J26" s="74">
        <v>23</v>
      </c>
      <c r="K26" s="74">
        <v>23</v>
      </c>
      <c r="L26" s="74">
        <v>24</v>
      </c>
      <c r="M26" s="74">
        <v>24</v>
      </c>
      <c r="N26" s="74">
        <v>23</v>
      </c>
      <c r="O26" s="74">
        <v>23</v>
      </c>
      <c r="P26" s="74">
        <v>22</v>
      </c>
      <c r="Q26" s="93">
        <v>20</v>
      </c>
      <c r="R26" s="74">
        <v>20</v>
      </c>
      <c r="S26" s="74">
        <v>21</v>
      </c>
      <c r="T26" s="74">
        <v>23</v>
      </c>
      <c r="U26" s="74">
        <v>22</v>
      </c>
      <c r="V26" s="74">
        <v>23</v>
      </c>
      <c r="W26" s="74">
        <v>23</v>
      </c>
      <c r="X26" s="74">
        <v>24</v>
      </c>
      <c r="Y26" s="74">
        <v>24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7" ph="1">
        <v>0.66666666666666663</v>
      </c>
      <c r="C27" s="147" t="s" ph="1">
        <v>180</v>
      </c>
      <c r="D27" s="71">
        <v>3.38</v>
      </c>
      <c r="E27" s="71">
        <v>2.99</v>
      </c>
      <c r="F27" s="71">
        <v>3266</v>
      </c>
      <c r="G27" s="71">
        <v>2400</v>
      </c>
      <c r="H27" s="71">
        <v>240</v>
      </c>
      <c r="I27" s="71">
        <v>1128</v>
      </c>
      <c r="J27" s="71">
        <v>4837</v>
      </c>
      <c r="K27" s="71">
        <v>4946</v>
      </c>
      <c r="L27" s="71">
        <v>5577</v>
      </c>
      <c r="M27" s="71">
        <v>5105</v>
      </c>
      <c r="N27" s="71">
        <v>5500</v>
      </c>
      <c r="O27" s="71">
        <v>5574</v>
      </c>
      <c r="P27" s="71">
        <v>357</v>
      </c>
      <c r="Q27" s="90">
        <v>1799</v>
      </c>
      <c r="R27" s="71">
        <v>202</v>
      </c>
      <c r="S27" s="71">
        <v>3202</v>
      </c>
      <c r="T27" s="71">
        <v>279</v>
      </c>
      <c r="U27" s="71">
        <v>6042</v>
      </c>
      <c r="V27" s="71">
        <v>10624</v>
      </c>
      <c r="W27" s="71">
        <v>8012</v>
      </c>
      <c r="X27" s="71">
        <v>3082</v>
      </c>
      <c r="Y27" s="71">
        <v>1041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7" ph="1"/>
      <c r="C28" s="147" t="s" ph="1">
        <v>178</v>
      </c>
      <c r="D28" s="91" ph="1">
        <f>D27*268.68*LOOKUP(D29,密度!$A$2:$A$50,密度!$Q$2:$Q$50)+IF(D27&lt;=0,0,1566*LOOKUP(D29,密度!$A$2:$A$50,密度!$Q$2:$Q$50))</f>
        <v>2342.3657888160001</v>
      </c>
      <c r="E28" s="91" ph="1">
        <f>E27*268.68*LOOKUP(E29,密度!$A$2:$A$50,密度!$C$2:$C$50)+IF(E27&lt;=0,0,1566*LOOKUP(E29,密度!$A$2:$A$50,密度!$C$2:$C$50))</f>
        <v>2627.3757634799999</v>
      </c>
      <c r="F28" s="91" ph="1">
        <f>F27*11.702*LOOKUP(F29,密度!$A$2:$A$50,密度!$Q$2:$Q$50)</f>
        <v>36183.202333679998</v>
      </c>
      <c r="G28" s="91" ph="1">
        <f>G27*18.322*LOOKUP(G29,密度!$A$2:$A$50,密度!$B$2:$B$50)</f>
        <v>34320.770399999994</v>
      </c>
      <c r="H28" s="91" ph="1">
        <f>H27*18.322*LOOKUP(H29,密度!$A$2:$A$50,密度!$B$2:$B$50)</f>
        <v>3428.1194879999998</v>
      </c>
      <c r="I28" s="91" ph="1">
        <f>I27*18.322*LOOKUP(I29,密度!$A$2:$A$50,密度!$Q$2:$Q$50)</f>
        <v>19596.654211200002</v>
      </c>
      <c r="J28" s="91" ph="1">
        <f>J27*18.322*LOOKUP(J29,密度!$A$2:$A$50,密度!$Q$2:$Q$50)</f>
        <v>83903.425644360002</v>
      </c>
      <c r="K28" s="91" ph="1">
        <f>K27*18.322*LOOKUP(K29,密度!$A$2:$A$50,密度!$Q$2:$Q$50)</f>
        <v>85926.464298399995</v>
      </c>
      <c r="L28" s="91" ph="1">
        <f>L27*18.322*LOOKUP(L29,密度!$A$2:$A$50,密度!$Q$2:$Q$50)</f>
        <v>96814.18436118</v>
      </c>
      <c r="M28" s="91" ph="1">
        <f>M27*18.322*LOOKUP(M29,密度!$A$2:$A$50,密度!$Q$2:$Q$50)</f>
        <v>88620.478960699998</v>
      </c>
      <c r="N28" s="91" ph="1">
        <f>N27*18.322*LOOKUP(N29,密度!$A$2:$A$50,密度!$Q$2:$Q$50)</f>
        <v>95640.748389999993</v>
      </c>
      <c r="O28" s="91" ph="1">
        <f>O27*18.322*LOOKUP(O29,密度!$A$2:$A$50,密度!$C$2:$C$50)</f>
        <v>113473.11859079999</v>
      </c>
      <c r="P28" s="91" ph="1">
        <f>P27*11.702*LOOKUP(P29,密度!$A$2:$A$50,密度!$B$2:$B$50)</f>
        <v>3260.6277269999996</v>
      </c>
      <c r="Q28" s="92" ph="1">
        <f>Q27*18.322*LOOKUP(Q29,密度!$A$2:$A$50,密度!$B$2:$B$50)</f>
        <v>25696.612328799998</v>
      </c>
      <c r="R28" s="91" ph="1">
        <f>R27*35.891*LOOKUP(R29,密度!$A$2:$A$50,密度!$C$2:$C$50)</f>
        <v>8044.5800271999997</v>
      </c>
      <c r="S28" s="91" ph="1">
        <f>S27*35.891*LOOKUP(S29,密度!$A$2:$A$50,密度!$B$2:$B$50)</f>
        <v>89697.387450999988</v>
      </c>
      <c r="T28" s="91" ph="1">
        <f>T27*35.891*LOOKUP(T29,密度!$A$2:$A$50,密度!$Q$2:$Q$50)</f>
        <v>9480.26524986</v>
      </c>
      <c r="U28" s="91" ph="1">
        <f>U27*35.891</f>
        <v>216853.42199999999</v>
      </c>
      <c r="V28" s="91" ph="1">
        <f>V27*47.051*LOOKUP(V29,密度!$A$2:$A$50,密度!$B$2:$B$50)</f>
        <v>390598.28047360003</v>
      </c>
      <c r="W28" s="91" ph="1">
        <f>W27*47.051*LOOKUP(W29,密度!$A$2:$A$50,密度!$B$2:$B$50)</f>
        <v>294227.12366600003</v>
      </c>
      <c r="X28" s="91" ph="1">
        <f>X27*47.051*LOOKUP(X29,密度!$A$2:$A$50,密度!$I$2:$I$50)</f>
        <v>151145.15499859999</v>
      </c>
      <c r="Y28" s="91" ph="1">
        <f>Y27*47.051*LOOKUP(Y29,密度!$A$2:$A$50,密度!$L$2:$L$50)</f>
        <v>45894.345267000004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7" ph="1"/>
      <c r="C29" s="147" t="s" ph="1">
        <v>179</v>
      </c>
      <c r="D29" s="74">
        <v>25</v>
      </c>
      <c r="E29" s="74">
        <v>25</v>
      </c>
      <c r="F29" s="74">
        <v>25</v>
      </c>
      <c r="G29" s="74">
        <v>24</v>
      </c>
      <c r="H29" s="74">
        <v>25</v>
      </c>
      <c r="I29" s="74">
        <v>23</v>
      </c>
      <c r="J29" s="74">
        <v>25</v>
      </c>
      <c r="K29" s="74">
        <v>23</v>
      </c>
      <c r="L29" s="74">
        <v>24</v>
      </c>
      <c r="M29" s="74">
        <v>24</v>
      </c>
      <c r="N29" s="74">
        <v>22</v>
      </c>
      <c r="O29" s="74">
        <v>22</v>
      </c>
      <c r="P29" s="74">
        <v>24</v>
      </c>
      <c r="Q29" s="93">
        <v>25</v>
      </c>
      <c r="R29" s="74">
        <v>24</v>
      </c>
      <c r="S29" s="74">
        <v>24</v>
      </c>
      <c r="T29" s="74">
        <v>25</v>
      </c>
      <c r="U29" s="74">
        <v>24</v>
      </c>
      <c r="V29" s="74">
        <v>23</v>
      </c>
      <c r="W29" s="74">
        <v>24</v>
      </c>
      <c r="X29" s="74">
        <v>25</v>
      </c>
      <c r="Y29" s="74">
        <v>25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47" t="s" ph="1">
        <v>5</v>
      </c>
      <c r="F32" s="148" t="s" ph="1">
        <v>43</v>
      </c>
      <c r="G32" s="97" t="s" ph="1">
        <v>4</v>
      </c>
      <c r="H32" s="147" t="s" ph="1">
        <v>5</v>
      </c>
      <c r="I32" s="148" t="s" ph="1">
        <v>43</v>
      </c>
      <c r="J32" s="97" t="s" ph="1">
        <v>4</v>
      </c>
      <c r="K32" s="147" t="s" ph="1">
        <v>5</v>
      </c>
      <c r="L32" s="148" t="s" ph="1">
        <v>43</v>
      </c>
      <c r="M32" s="97" t="s" ph="1">
        <v>4</v>
      </c>
      <c r="N32" s="147" t="s" ph="1">
        <v>5</v>
      </c>
      <c r="O32" s="14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7" t="s" ph="1">
        <v>5</v>
      </c>
      <c r="U32" s="99" t="s" ph="1">
        <v>43</v>
      </c>
      <c r="V32" s="97" t="s" ph="1">
        <v>4</v>
      </c>
      <c r="W32" s="147" t="s" ph="1">
        <v>5</v>
      </c>
      <c r="X32" s="99" t="s" ph="1">
        <v>43</v>
      </c>
      <c r="Y32" s="100" t="s" ph="1">
        <v>4</v>
      </c>
      <c r="Z32" s="147" t="s" ph="1">
        <v>5</v>
      </c>
      <c r="AA32" s="148" t="s" ph="1">
        <v>43</v>
      </c>
      <c r="AB32" s="97" t="s" ph="1">
        <v>85</v>
      </c>
      <c r="AC32" s="147" t="s" ph="1">
        <v>84</v>
      </c>
      <c r="AD32" s="204" t="s" ph="1">
        <v>83</v>
      </c>
      <c r="AE32" s="20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6" t="s" ph="1">
        <v>181</v>
      </c>
      <c r="C33" s="207" ph="1"/>
      <c r="D33" s="186" ph="1">
        <f>AA10+AB10+Z19</f>
        <v>109654.3541924</v>
      </c>
      <c r="E33" s="186" ph="1">
        <f>M10+I10</f>
        <v>154149.08356199999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1522252632456786910111213141516171819202123456789101112131415161718192022232424356789101112131415161718192021222345678910111213141516171819202345678910111213149101516171819222123234567891012131415161711181920212224252345678910111213136[[#This Row],[F25]]</f>
        <v>3880</v>
      </c>
      <c r="G33" s="212" ph="1">
        <v>0</v>
      </c>
      <c r="H33" s="186" ph="1">
        <f>N19</f>
        <v>26715.33927248</v>
      </c>
      <c r="I33" s="190" ph="1">
        <v>0</v>
      </c>
      <c r="J33" s="194" ph="1">
        <f>F10+O28</f>
        <v>314382.71129279997</v>
      </c>
      <c r="K33" s="186" ph="1">
        <f>O10+K10+E28+R28</f>
        <v>15758.04784748</v>
      </c>
      <c r="L33" s="196" ph="1">
        <f>BE27</f>
        <v>7100</v>
      </c>
      <c r="M33" s="194" ph="1">
        <f>G10+H10+W28+S28+V28+E10</f>
        <v>1432256.8336726003</v>
      </c>
      <c r="N33" s="186" ph="1">
        <f>L10+P10++G28+H28</f>
        <v>80301.880745999981</v>
      </c>
      <c r="O33" s="190" ph="1">
        <f>BE17</f>
        <v>2270</v>
      </c>
      <c r="P33" s="194" ph="1">
        <f>L19</f>
        <v>28208.582851680003</v>
      </c>
      <c r="Q33" s="186" ph="1">
        <f>J10+N10</f>
        <v>59225.494572800009</v>
      </c>
      <c r="R33" s="190" ph="1">
        <f>BE23</f>
        <v>890</v>
      </c>
      <c r="S33" s="194" ph="1">
        <f>E10+X28</f>
        <v>301162.64044859994</v>
      </c>
      <c r="T33" s="186" ph="1">
        <f>X19</f>
        <v>13780.586570799998</v>
      </c>
      <c r="U33" s="175" ph="1">
        <f>BE21</f>
        <v>730</v>
      </c>
      <c r="V33" s="188" ph="1">
        <f ca="1">P19+Q19+S19+M28+N28+J28</f>
        <v>379728.70764665806</v>
      </c>
      <c r="W33" s="188" ph="1">
        <f>D28+F28+V19+T28</f>
        <v>96327.553969275992</v>
      </c>
      <c r="X33" s="190" ph="1">
        <f>BE29+BE31</f>
        <v>10200</v>
      </c>
      <c r="Y33" s="192" ph="1">
        <f>+Q10+R10+S10+T10+U10+V10+W10+X10+Y10</f>
        <v>193495.09299119998</v>
      </c>
      <c r="Z33" s="173" ph="1">
        <f>D10+T19+U19+Y28+Z10</f>
        <v>539091.67415609001</v>
      </c>
      <c r="AA33" s="175" ph="1">
        <f>BE19</f>
        <v>1440</v>
      </c>
      <c r="AB33" s="177" ph="1">
        <f>I19</f>
        <v>15016.502886400001</v>
      </c>
      <c r="AC33" s="179" ph="1">
        <f>AD10</f>
        <v>93818.123072000002</v>
      </c>
      <c r="AD33" s="181" ph="1">
        <v>0</v>
      </c>
      <c r="AE33" s="18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5" t="s" ph="1">
        <v>633</v>
      </c>
      <c r="AD35" s="185"/>
      <c r="AE35" s="18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1" t="s" ph="1">
        <v>183</v>
      </c>
      <c r="J36" s="171" ph="1"/>
      <c r="K36" s="101" ph="1"/>
      <c r="P36" s="101" ph="1"/>
      <c r="R36" s="171" t="s" ph="1">
        <v>184</v>
      </c>
      <c r="S36" s="171" ph="1"/>
      <c r="Y36" s="102" ph="1"/>
      <c r="Z36" s="149" t="s" ph="1">
        <v>185</v>
      </c>
      <c r="AA36" s="149" ph="1"/>
      <c r="AB36" s="172" t="s" ph="1">
        <v>642</v>
      </c>
      <c r="AC36" s="172" ph="1"/>
      <c r="AD36" s="172" ph="1"/>
      <c r="AE36" s="172" ph="1"/>
      <c r="BA36" s="64" ph="1">
        <v>2270</v>
      </c>
    </row>
    <row r="37" spans="1:57" s="14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9" t="s" ph="1">
        <v>342</v>
      </c>
      <c r="AI37" s="149" t="s" ph="1">
        <v>209</v>
      </c>
      <c r="AJ37" s="149" t="s" ph="1">
        <v>210</v>
      </c>
      <c r="AK37" s="149" t="s" ph="1">
        <v>211</v>
      </c>
      <c r="AM37" s="149" t="s" ph="1">
        <v>210</v>
      </c>
      <c r="AN37" s="149" t="s" ph="1">
        <v>211</v>
      </c>
      <c r="AO37" s="149" t="s" ph="1">
        <v>212</v>
      </c>
      <c r="AP37" s="149" t="s" ph="1">
        <v>210</v>
      </c>
      <c r="AQ37" s="149" t="s" ph="1">
        <v>211</v>
      </c>
      <c r="AR37" s="149" t="s" ph="1">
        <v>212</v>
      </c>
      <c r="AS37" s="149" t="s" ph="1">
        <v>210</v>
      </c>
      <c r="AT37" s="149" t="s" ph="1">
        <v>211</v>
      </c>
      <c r="AU37" s="149" t="s" ph="1">
        <v>212</v>
      </c>
      <c r="AV37" s="149" t="s" ph="1">
        <v>210</v>
      </c>
      <c r="AW37" s="149" t="s" ph="1">
        <v>211</v>
      </c>
      <c r="AX37" s="149" t="s" ph="1">
        <v>212</v>
      </c>
      <c r="AY37" s="149" t="s" ph="1">
        <v>211</v>
      </c>
      <c r="AZ37" s="149" t="s" ph="1">
        <v>213</v>
      </c>
      <c r="BD37" s="149" t="s" ph="1">
        <v>305</v>
      </c>
      <c r="BE37" s="149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047" priority="98">
      <formula>ABS(D$7-D$10)&gt;=1000</formula>
    </cfRule>
  </conditionalFormatting>
  <conditionalFormatting sqref="E4 E6:E11">
    <cfRule type="expression" dxfId="2046" priority="97">
      <formula>ABS(E$7-E$10)&gt;=1000</formula>
    </cfRule>
  </conditionalFormatting>
  <conditionalFormatting sqref="F4:F11">
    <cfRule type="expression" dxfId="2045" priority="96">
      <formula>ABS(F$7-F$10)&gt;=1000</formula>
    </cfRule>
  </conditionalFormatting>
  <conditionalFormatting sqref="G4:G11">
    <cfRule type="expression" dxfId="2044" priority="95">
      <formula>ABS(G$7-G$10)&gt;=1000</formula>
    </cfRule>
  </conditionalFormatting>
  <conditionalFormatting sqref="H4:H11">
    <cfRule type="expression" dxfId="2043" priority="94">
      <formula>ABS(H$7-H$10)&gt;=1000</formula>
    </cfRule>
  </conditionalFormatting>
  <conditionalFormatting sqref="I4:I11">
    <cfRule type="expression" dxfId="2042" priority="93">
      <formula>ABS(I$7-I$10)&gt;=1000</formula>
    </cfRule>
  </conditionalFormatting>
  <conditionalFormatting sqref="J4:J11">
    <cfRule type="expression" dxfId="2041" priority="92">
      <formula>ABS(J$7-J$10)&gt;=1000</formula>
    </cfRule>
  </conditionalFormatting>
  <conditionalFormatting sqref="K4:K11">
    <cfRule type="expression" dxfId="2040" priority="91">
      <formula>ABS(K$7-K$10)&gt;=1000</formula>
    </cfRule>
  </conditionalFormatting>
  <conditionalFormatting sqref="L4:L11">
    <cfRule type="expression" dxfId="2039" priority="90">
      <formula>ABS(L$7-L$10)&gt;=1000</formula>
    </cfRule>
  </conditionalFormatting>
  <conditionalFormatting sqref="M4 M6:M11">
    <cfRule type="expression" dxfId="2038" priority="89">
      <formula>ABS(M$7-M$10)&gt;=1000</formula>
    </cfRule>
  </conditionalFormatting>
  <conditionalFormatting sqref="N4 N6:N11">
    <cfRule type="expression" dxfId="2037" priority="88">
      <formula>ABS(N$7-N$10)&gt;=1000</formula>
    </cfRule>
  </conditionalFormatting>
  <conditionalFormatting sqref="O4 O6:O11">
    <cfRule type="expression" dxfId="2036" priority="87">
      <formula>ABS(O$7-O$10)&gt;=1000</formula>
    </cfRule>
  </conditionalFormatting>
  <conditionalFormatting sqref="P4 P6:P11">
    <cfRule type="expression" dxfId="2035" priority="86">
      <formula>ABS(P$7-P$10)&gt;=1000</formula>
    </cfRule>
  </conditionalFormatting>
  <conditionalFormatting sqref="Q4:Q11">
    <cfRule type="expression" dxfId="2034" priority="85">
      <formula>ABS(Q$7-Q$10)&gt;=1000</formula>
    </cfRule>
  </conditionalFormatting>
  <conditionalFormatting sqref="R4:R11">
    <cfRule type="expression" dxfId="2033" priority="84">
      <formula>ABS(R$7-R$10)&gt;=1000</formula>
    </cfRule>
  </conditionalFormatting>
  <conditionalFormatting sqref="S4:S11">
    <cfRule type="expression" dxfId="2032" priority="83">
      <formula>ABS(S$7-S$10)&gt;=1000</formula>
    </cfRule>
  </conditionalFormatting>
  <conditionalFormatting sqref="T4:T9 T11">
    <cfRule type="expression" dxfId="2031" priority="82">
      <formula>ABS(T$7-T$10)&gt;=1000</formula>
    </cfRule>
  </conditionalFormatting>
  <conditionalFormatting sqref="U4:U9 U11">
    <cfRule type="expression" dxfId="2030" priority="81">
      <formula>ABS(U$7-U$10)&gt;=1000</formula>
    </cfRule>
  </conditionalFormatting>
  <conditionalFormatting sqref="V4:V9 V11">
    <cfRule type="expression" dxfId="2029" priority="80">
      <formula>ABS(V$7-V$10)&gt;=1000</formula>
    </cfRule>
  </conditionalFormatting>
  <conditionalFormatting sqref="W4:W9 W11">
    <cfRule type="expression" dxfId="2028" priority="79">
      <formula>ABS(W$7-W$10)&gt;=1000</formula>
    </cfRule>
  </conditionalFormatting>
  <conditionalFormatting sqref="X4:X9 X11">
    <cfRule type="expression" dxfId="2027" priority="78">
      <formula>ABS(X$7-X$10)&gt;=1000</formula>
    </cfRule>
  </conditionalFormatting>
  <conditionalFormatting sqref="Y4:Y9 Y11">
    <cfRule type="expression" dxfId="2026" priority="77">
      <formula>ABS(Y$7-Y$10)&gt;=1000</formula>
    </cfRule>
  </conditionalFormatting>
  <conditionalFormatting sqref="Z4:Z11">
    <cfRule type="expression" dxfId="2025" priority="76">
      <formula>ABS(Z$7-Z$10)&gt;=1000</formula>
    </cfRule>
  </conditionalFormatting>
  <conditionalFormatting sqref="AA4:AA11">
    <cfRule type="expression" dxfId="2024" priority="75">
      <formula>ABS(AA$7-AA$10)&gt;=1000</formula>
    </cfRule>
  </conditionalFormatting>
  <conditionalFormatting sqref="AB4:AB11">
    <cfRule type="expression" dxfId="2023" priority="74">
      <formula>ABS(AB$7-AB$10)&gt;=1000</formula>
    </cfRule>
  </conditionalFormatting>
  <conditionalFormatting sqref="AC4 AC6:AC11">
    <cfRule type="expression" dxfId="2022" priority="73">
      <formula>ABS(AC$7-AC$10)&gt;=1000</formula>
    </cfRule>
  </conditionalFormatting>
  <conditionalFormatting sqref="AD4:AD11">
    <cfRule type="expression" dxfId="2021" priority="72">
      <formula>ABS(AD$7-AD$10)&gt;=1000</formula>
    </cfRule>
  </conditionalFormatting>
  <conditionalFormatting sqref="AE4 AE6:AE11">
    <cfRule type="expression" dxfId="2020" priority="71">
      <formula>ABS(AE$7-AE$10)&gt;=1000</formula>
    </cfRule>
  </conditionalFormatting>
  <conditionalFormatting sqref="D13:D20">
    <cfRule type="expression" dxfId="2019" priority="70">
      <formula>ABS(D$16-D$19)&gt;=1000</formula>
    </cfRule>
  </conditionalFormatting>
  <conditionalFormatting sqref="E13:E20">
    <cfRule type="expression" dxfId="2018" priority="69">
      <formula>ABS(E$16-E$19)&gt;=1000</formula>
    </cfRule>
  </conditionalFormatting>
  <conditionalFormatting sqref="F13 F15:F20">
    <cfRule type="expression" dxfId="2017" priority="68">
      <formula>ABS(F$16-F$19)&gt;=1000</formula>
    </cfRule>
  </conditionalFormatting>
  <conditionalFormatting sqref="G13:G20">
    <cfRule type="expression" dxfId="2016" priority="67">
      <formula>ABS(G$16-G$19)&gt;=1000</formula>
    </cfRule>
  </conditionalFormatting>
  <conditionalFormatting sqref="H13:H20">
    <cfRule type="expression" dxfId="2015" priority="66">
      <formula>ABS(H$16-H$19)&gt;=1000</formula>
    </cfRule>
  </conditionalFormatting>
  <conditionalFormatting sqref="I13:I20">
    <cfRule type="expression" dxfId="2014" priority="65">
      <formula>ABS(I$16-I$19)&gt;=1000</formula>
    </cfRule>
  </conditionalFormatting>
  <conditionalFormatting sqref="J13:J20">
    <cfRule type="expression" dxfId="2013" priority="64">
      <formula>ABS(J$16-J$19)&gt;=1000</formula>
    </cfRule>
  </conditionalFormatting>
  <conditionalFormatting sqref="L13:L20">
    <cfRule type="expression" dxfId="2012" priority="63">
      <formula>ABS(L$16-L$19)&gt;=1000</formula>
    </cfRule>
  </conditionalFormatting>
  <conditionalFormatting sqref="M13 M15 M17:M18 M20">
    <cfRule type="expression" dxfId="2011" priority="62">
      <formula>ABS(M$16-M$19)&gt;=1000</formula>
    </cfRule>
  </conditionalFormatting>
  <conditionalFormatting sqref="N13:N20">
    <cfRule type="expression" dxfId="2010" priority="61">
      <formula>ABS(N$16-N$19)&gt;=1000</formula>
    </cfRule>
  </conditionalFormatting>
  <conditionalFormatting sqref="O13:O20">
    <cfRule type="expression" dxfId="2009" priority="60">
      <formula>ABS(O$16-O$19)&gt;=1000</formula>
    </cfRule>
  </conditionalFormatting>
  <conditionalFormatting sqref="P13:P20">
    <cfRule type="expression" dxfId="2008" priority="59">
      <formula>ABS(P$16-P$19)&gt;=1000</formula>
    </cfRule>
  </conditionalFormatting>
  <conditionalFormatting sqref="Q13 Q15:Q20">
    <cfRule type="expression" dxfId="2007" priority="58">
      <formula>ABS(Q$16-Q$19)&gt;=1000</formula>
    </cfRule>
  </conditionalFormatting>
  <conditionalFormatting sqref="R13:R20">
    <cfRule type="expression" dxfId="2006" priority="57">
      <formula>ABS(R$16-R$19)&gt;=1000</formula>
    </cfRule>
  </conditionalFormatting>
  <conditionalFormatting sqref="S13:S20">
    <cfRule type="expression" dxfId="2005" priority="56">
      <formula>ABS(S$16-S$19)&gt;=1000</formula>
    </cfRule>
  </conditionalFormatting>
  <conditionalFormatting sqref="T13:T20">
    <cfRule type="expression" dxfId="2004" priority="55">
      <formula>ABS(T$16-T$19)&gt;=1000</formula>
    </cfRule>
  </conditionalFormatting>
  <conditionalFormatting sqref="U13:U20">
    <cfRule type="expression" dxfId="2003" priority="54">
      <formula>ABS(U$16-U$19)&gt;=1000</formula>
    </cfRule>
  </conditionalFormatting>
  <conditionalFormatting sqref="V13:V20">
    <cfRule type="expression" dxfId="2002" priority="53">
      <formula>ABS(V$16-V$19)&gt;=1000</formula>
    </cfRule>
  </conditionalFormatting>
  <conditionalFormatting sqref="W13 W20 W15:W18">
    <cfRule type="expression" dxfId="2001" priority="52">
      <formula>ABS(W$16-W$19)&gt;=1000</formula>
    </cfRule>
  </conditionalFormatting>
  <conditionalFormatting sqref="X13 X15:X20 Y19">
    <cfRule type="expression" dxfId="2000" priority="51">
      <formula>ABS(X$16-X$19)&gt;=1000</formula>
    </cfRule>
  </conditionalFormatting>
  <conditionalFormatting sqref="Y13 Y15:Y18 Y20">
    <cfRule type="expression" dxfId="1999" priority="50">
      <formula>ABS(Y$16-Y$19)&gt;=1000</formula>
    </cfRule>
  </conditionalFormatting>
  <conditionalFormatting sqref="Z13:Z20">
    <cfRule type="expression" dxfId="1998" priority="49">
      <formula>ABS(Z$16-Z$19)&gt;=1000</formula>
    </cfRule>
  </conditionalFormatting>
  <conditionalFormatting sqref="AA13:AA20">
    <cfRule type="expression" dxfId="1997" priority="48">
      <formula>ABS(AA$16-AA$19)&gt;=1000</formula>
    </cfRule>
  </conditionalFormatting>
  <conditionalFormatting sqref="AB13 AB15:AB20">
    <cfRule type="expression" dxfId="1996" priority="47">
      <formula>ABS(AB$16-AB$19)&gt;=1000</formula>
    </cfRule>
  </conditionalFormatting>
  <conditionalFormatting sqref="AC13 AC15:AC20">
    <cfRule type="expression" dxfId="1995" priority="46">
      <formula>ABS(AC$16-AC$19)&gt;=1000</formula>
    </cfRule>
  </conditionalFormatting>
  <conditionalFormatting sqref="AD13:AD20">
    <cfRule type="expression" dxfId="1994" priority="45">
      <formula>ABS(AD$16-AD$19)&gt;=1000</formula>
    </cfRule>
  </conditionalFormatting>
  <conditionalFormatting sqref="AE13:AE20">
    <cfRule type="expression" dxfId="1993" priority="44">
      <formula>ABS(AE$16-AE$19)&gt;=1000</formula>
    </cfRule>
  </conditionalFormatting>
  <conditionalFormatting sqref="D22:D29">
    <cfRule type="expression" dxfId="1992" priority="43">
      <formula>ABS(D$25-D$28)&gt;=1000</formula>
    </cfRule>
  </conditionalFormatting>
  <conditionalFormatting sqref="E22:E29">
    <cfRule type="expression" dxfId="1991" priority="42">
      <formula>ABS(E$25-E$28)&gt;=1000</formula>
    </cfRule>
  </conditionalFormatting>
  <conditionalFormatting sqref="F22:F29">
    <cfRule type="expression" dxfId="1990" priority="41">
      <formula>ABS(F$25-F$28)&gt;=1000</formula>
    </cfRule>
  </conditionalFormatting>
  <conditionalFormatting sqref="G22:G29">
    <cfRule type="expression" dxfId="1989" priority="40">
      <formula>ABS(G$25-G$28)&gt;=1000</formula>
    </cfRule>
  </conditionalFormatting>
  <conditionalFormatting sqref="H22:H29">
    <cfRule type="expression" dxfId="1988" priority="39">
      <formula>ABS(H$25-H$28)&gt;=1000</formula>
    </cfRule>
  </conditionalFormatting>
  <conditionalFormatting sqref="I22 I24:I29">
    <cfRule type="expression" dxfId="1987" priority="38">
      <formula>ABS(I$25-I$28)&gt;=1000</formula>
    </cfRule>
  </conditionalFormatting>
  <conditionalFormatting sqref="J22:J29 K22">
    <cfRule type="expression" dxfId="1986" priority="37">
      <formula>ABS(J$25-J$28)&gt;=1000</formula>
    </cfRule>
  </conditionalFormatting>
  <conditionalFormatting sqref="K23:K29 L25 L28">
    <cfRule type="expression" dxfId="1985" priority="36">
      <formula>ABS(K$25-K$28)&gt;=1000</formula>
    </cfRule>
  </conditionalFormatting>
  <conditionalFormatting sqref="L22 L26:L27 L29 L24">
    <cfRule type="expression" dxfId="1984" priority="35">
      <formula>ABS(L$25-L$28)&gt;=1000</formula>
    </cfRule>
  </conditionalFormatting>
  <conditionalFormatting sqref="M22:M29">
    <cfRule type="expression" dxfId="1983" priority="34">
      <formula>ABS(M$25-M$28)&gt;=1000</formula>
    </cfRule>
  </conditionalFormatting>
  <conditionalFormatting sqref="N22:N29">
    <cfRule type="expression" dxfId="1982" priority="33">
      <formula>ABS(N$25-N$28)&gt;=1000</formula>
    </cfRule>
  </conditionalFormatting>
  <conditionalFormatting sqref="O22:O29">
    <cfRule type="expression" dxfId="1981" priority="32">
      <formula>ABS(O$25-O$28)&gt;=1000</formula>
    </cfRule>
  </conditionalFormatting>
  <conditionalFormatting sqref="P22:P29">
    <cfRule type="expression" dxfId="1980" priority="31">
      <formula>ABS(P$25-P$28)&gt;=1000</formula>
    </cfRule>
  </conditionalFormatting>
  <conditionalFormatting sqref="Q22:Q29">
    <cfRule type="expression" dxfId="1979" priority="30">
      <formula>ABS(Q$25-Q$28)&gt;=1000</formula>
    </cfRule>
  </conditionalFormatting>
  <conditionalFormatting sqref="R22:R29">
    <cfRule type="expression" dxfId="1978" priority="29">
      <formula>ABS(R$25-R$28)&gt;=1000</formula>
    </cfRule>
  </conditionalFormatting>
  <conditionalFormatting sqref="S22:S29">
    <cfRule type="expression" dxfId="1977" priority="28">
      <formula>ABS(S$25-S$28)&gt;=1000</formula>
    </cfRule>
  </conditionalFormatting>
  <conditionalFormatting sqref="T22:T29">
    <cfRule type="expression" dxfId="1976" priority="27">
      <formula>ABS(T$25-T$28)&gt;=1000</formula>
    </cfRule>
  </conditionalFormatting>
  <conditionalFormatting sqref="U22:U29">
    <cfRule type="expression" dxfId="1975" priority="26">
      <formula>ABS(U$25-U$28)&gt;=1000</formula>
    </cfRule>
  </conditionalFormatting>
  <conditionalFormatting sqref="V22:V29">
    <cfRule type="expression" dxfId="1974" priority="25">
      <formula>ABS(V$25-V$28)&gt;=1000</formula>
    </cfRule>
  </conditionalFormatting>
  <conditionalFormatting sqref="W22:W29">
    <cfRule type="expression" dxfId="1973" priority="24">
      <formula>ABS(W$25-W$28)&gt;=1000</formula>
    </cfRule>
  </conditionalFormatting>
  <conditionalFormatting sqref="X22:X29">
    <cfRule type="expression" dxfId="1972" priority="23">
      <formula>ABS(X$25-X$28)&gt;=1000</formula>
    </cfRule>
  </conditionalFormatting>
  <conditionalFormatting sqref="Y22:Y29">
    <cfRule type="expression" dxfId="1971" priority="22">
      <formula>ABS(Y$25-Y$28)&gt;=1000</formula>
    </cfRule>
  </conditionalFormatting>
  <conditionalFormatting sqref="I23">
    <cfRule type="expression" dxfId="1970" priority="21">
      <formula>ABS(I$25-I$28)&gt;=1000</formula>
    </cfRule>
  </conditionalFormatting>
  <conditionalFormatting sqref="Q14">
    <cfRule type="expression" dxfId="1969" priority="20">
      <formula>ABS(Q$16-Q$19)&gt;=1000</formula>
    </cfRule>
  </conditionalFormatting>
  <conditionalFormatting sqref="W14">
    <cfRule type="expression" dxfId="1968" priority="19">
      <formula>ABS(W$16-W$19)&gt;=1000</formula>
    </cfRule>
  </conditionalFormatting>
  <conditionalFormatting sqref="Y14">
    <cfRule type="expression" dxfId="1967" priority="18">
      <formula>ABS(Y$16-Y$19)&gt;=1000</formula>
    </cfRule>
  </conditionalFormatting>
  <conditionalFormatting sqref="X14">
    <cfRule type="expression" dxfId="1966" priority="17">
      <formula>ABS(X$16-X$19)&gt;=1000</formula>
    </cfRule>
  </conditionalFormatting>
  <conditionalFormatting sqref="T10:Y10">
    <cfRule type="expression" dxfId="1965" priority="16">
      <formula>ABS(T$7-T$10)&gt;=1000</formula>
    </cfRule>
  </conditionalFormatting>
  <conditionalFormatting sqref="W19">
    <cfRule type="expression" dxfId="1964" priority="15">
      <formula>ABS(W$16-W$19)&gt;=1000</formula>
    </cfRule>
  </conditionalFormatting>
  <conditionalFormatting sqref="AC5">
    <cfRule type="expression" dxfId="1963" priority="14">
      <formula>ABS(AC$7-AC$10)&gt;=1000</formula>
    </cfRule>
  </conditionalFormatting>
  <conditionalFormatting sqref="M14">
    <cfRule type="expression" dxfId="1962" priority="13">
      <formula>ABS(M$16-M$19)&gt;=1000</formula>
    </cfRule>
  </conditionalFormatting>
  <conditionalFormatting sqref="M16">
    <cfRule type="expression" dxfId="1961" priority="12">
      <formula>ABS(M$16-M$19)&gt;=1000</formula>
    </cfRule>
  </conditionalFormatting>
  <conditionalFormatting sqref="M19">
    <cfRule type="expression" dxfId="1960" priority="11">
      <formula>ABS(M$16-M$19)&gt;=1000</formula>
    </cfRule>
  </conditionalFormatting>
  <conditionalFormatting sqref="K13:K20">
    <cfRule type="expression" dxfId="1959" priority="10">
      <formula>ABS(K$16-K$19)&gt;=1000</formula>
    </cfRule>
  </conditionalFormatting>
  <conditionalFormatting sqref="E5">
    <cfRule type="expression" dxfId="1958" priority="9">
      <formula>ABS(E$7-E$10)&gt;=1000</formula>
    </cfRule>
  </conditionalFormatting>
  <conditionalFormatting sqref="AB14:AC14">
    <cfRule type="expression" dxfId="1957" priority="8">
      <formula>ABS(AB$16-AB$19)&gt;=1000</formula>
    </cfRule>
  </conditionalFormatting>
  <conditionalFormatting sqref="M5">
    <cfRule type="expression" dxfId="1956" priority="7">
      <formula>ABS(M$7-M$10)&gt;=1000</formula>
    </cfRule>
  </conditionalFormatting>
  <conditionalFormatting sqref="N5">
    <cfRule type="expression" dxfId="1955" priority="6">
      <formula>ABS(N$7-N$10)&gt;=1000</formula>
    </cfRule>
  </conditionalFormatting>
  <conditionalFormatting sqref="O5">
    <cfRule type="expression" dxfId="1954" priority="5">
      <formula>ABS(O$7-O$10)&gt;=1000</formula>
    </cfRule>
  </conditionalFormatting>
  <conditionalFormatting sqref="P5">
    <cfRule type="expression" dxfId="1953" priority="4">
      <formula>ABS(P$7-P$10)&gt;=1000</formula>
    </cfRule>
  </conditionalFormatting>
  <conditionalFormatting sqref="L23">
    <cfRule type="expression" dxfId="1952" priority="3">
      <formula>ABS(L$25-L$28)&gt;=1000</formula>
    </cfRule>
  </conditionalFormatting>
  <conditionalFormatting sqref="F14">
    <cfRule type="expression" dxfId="1951" priority="2">
      <formula>ABS(F$16-F$19)&gt;=1000</formula>
    </cfRule>
  </conditionalFormatting>
  <conditionalFormatting sqref="AE5">
    <cfRule type="expression" dxfId="1950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649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60">
    <pageSetUpPr fitToPage="1"/>
  </sheetPr>
  <dimension ref="A1:CU223"/>
  <sheetViews>
    <sheetView tabSelected="1" view="pageBreakPreview" topLeftCell="A16" zoomScale="80" zoomScaleNormal="100" zoomScaleSheetLayoutView="80" workbookViewId="0">
      <selection activeCell="AF24" sqref="AF2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8" t="s" ph="1">
        <v>161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" customHeight="1" ph="1">
      <c r="B3" s="240" ph="1">
        <v>45968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9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47" t="s" ph="1">
        <v>177</v>
      </c>
      <c r="D6" s="71">
        <v>6786</v>
      </c>
      <c r="E6" s="71">
        <v>3207</v>
      </c>
      <c r="F6" s="71">
        <v>5460</v>
      </c>
      <c r="G6" s="71">
        <v>6952</v>
      </c>
      <c r="H6" s="71">
        <v>5226</v>
      </c>
      <c r="I6" s="71">
        <v>40.85</v>
      </c>
      <c r="J6" s="71">
        <v>7.01</v>
      </c>
      <c r="K6" s="71">
        <v>8.5</v>
      </c>
      <c r="L6" s="71">
        <v>36.369999999999997</v>
      </c>
      <c r="M6" s="71">
        <v>4175</v>
      </c>
      <c r="N6" s="71">
        <v>2214</v>
      </c>
      <c r="O6" s="71">
        <v>104</v>
      </c>
      <c r="P6" s="71">
        <v>1475</v>
      </c>
      <c r="Q6" s="71">
        <v>6871</v>
      </c>
      <c r="R6" s="71">
        <v>4586</v>
      </c>
      <c r="S6" s="71">
        <v>773</v>
      </c>
      <c r="T6" s="71">
        <v>0</v>
      </c>
      <c r="U6" s="71">
        <v>0</v>
      </c>
      <c r="V6" s="71">
        <v>0</v>
      </c>
      <c r="W6" s="71">
        <v>455</v>
      </c>
      <c r="X6" s="71">
        <v>7102</v>
      </c>
      <c r="Y6" s="71">
        <v>7038</v>
      </c>
      <c r="Z6" s="71">
        <v>6957</v>
      </c>
      <c r="AA6" s="71">
        <v>769</v>
      </c>
      <c r="AB6" s="71">
        <v>3953</v>
      </c>
      <c r="AC6" s="71">
        <v>2329</v>
      </c>
      <c r="AD6" s="71">
        <v>4780</v>
      </c>
      <c r="AE6" s="71">
        <v>5744</v>
      </c>
    </row>
    <row r="7" spans="1:99" s="72" customFormat="1" ht="22.2" ph="1">
      <c r="B7" s="237" ph="1"/>
      <c r="C7" s="68" t="s" ph="1">
        <v>178</v>
      </c>
      <c r="D7" s="73" ph="1">
        <f>D6*33.183*LOOKUP(D8,密度!$A$2:$A$50,密度!$Q$2:$Q$50)</f>
        <v>213715.93244742</v>
      </c>
      <c r="E7" s="73" ph="1">
        <f>E6*51.53*LOOKUP(E8,密度!$A$2:$A$50,密度!$B$2:$B$50)</f>
        <v>129280.32423299999</v>
      </c>
      <c r="F7" s="73" ph="1">
        <f>F6*33.183*LOOKUP(F8,密度!$A$2:$A$50,密度!$C$2:$C$50)</f>
        <v>201308.18689799999</v>
      </c>
      <c r="G7" s="73" ph="1">
        <f xml:space="preserve"> (G6+2)*51.53*LOOKUP(G8,密度!$A$2:$A$50,密度!$B$2:$B$50)</f>
        <v>280974.09604199999</v>
      </c>
      <c r="H7" s="73" ph="1">
        <f>(H6)*51.53*LOOKUP(H8,密度!$A$2:$A$50,密度!$B$2:$B$50)</f>
        <v>211154.82109800001</v>
      </c>
      <c r="I7" s="73" ph="1">
        <f>I6*290.8*1.0267</f>
        <v>12196.354105999999</v>
      </c>
      <c r="J7" s="73" ph="1">
        <f>J6*290.8*0.7892</f>
        <v>1608.7905136000002</v>
      </c>
      <c r="K7" s="73" ph="1">
        <f>K6*290.8*1.1126</f>
        <v>2750.1246800000004</v>
      </c>
      <c r="L7" s="73" ph="1">
        <f>L6*290.8*0.777</f>
        <v>8217.859692</v>
      </c>
      <c r="M7" s="73" ph="1">
        <f>M6*33.183*LOOKUP(M8,密度!$A$2:$A$50,密度!$D$2:$D$50)</f>
        <v>142362.70209000001</v>
      </c>
      <c r="N7" s="73" ph="1">
        <f>N6*33.183*LOOKUP(N8,密度!$A$2:$A$50,密度!$E$2:$E$50)</f>
        <v>57539.481278399995</v>
      </c>
      <c r="O7" s="73" ph="1">
        <f>O6*20.428*LOOKUP(O8,密度!$A$2:$A$50,密度!$C$2:$C$50)</f>
        <v>2354.1717472000005</v>
      </c>
      <c r="P7" s="73" ph="1">
        <f>P6*51.53*LOOKUP(P8,密度!$A$2:$A$50,密度!$B$2:$B$50)</f>
        <v>59186.456224999994</v>
      </c>
      <c r="Q7" s="73" ph="1">
        <f>Q6*1.5*1.5*3.1416*LOOKUP(W8,密度!$A$2:$A$50,密度!$L$2:$L$50)</f>
        <v>45557.112862799993</v>
      </c>
      <c r="R7" s="73" ph="1">
        <f>R6*1.5*1.5*3.1416*LOOKUP(R8,密度!$A$2:$A$50,密度!$L$2:$L$50)</f>
        <v>30568.853422799995</v>
      </c>
      <c r="S7" s="73" ph="1">
        <f>S6*1.5*1.5*3.1416*LOOKUP(S8,密度!$A$2:$A$50,密度!$L$2:$L$50)</f>
        <v>5152.5782153999999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3016.8077939999994</v>
      </c>
      <c r="X7" s="73" ph="1">
        <f>X6*1.5*1.5*3.1416*LOOKUP(X8,密度!$A$2:$A$50,密度!$L$2:$L$50)</f>
        <v>47490.332551200001</v>
      </c>
      <c r="Y7" s="73" ph="1">
        <f>Y6*1.5*1.5*3.1416*LOOKUP(Y8,密度!$A$2:$A$50,密度!$L$2:$L$50)</f>
        <v>46763.878391999999</v>
      </c>
      <c r="Z7" s="73" ph="1">
        <f>Z6*33.183*LOOKUP(Z8,密度!$A$2:$A$50,密度!$L$2:$L$50)</f>
        <v>217926.29966399999</v>
      </c>
      <c r="AA7" s="73" ph="1">
        <f>AA6*33.183*LOOKUP(AA8,密度!$A$2:$A$50,密度!$D$2:$D$50)</f>
        <v>26222.0162652</v>
      </c>
      <c r="AB7" s="73" ph="1">
        <f>AB6*20.428*LOOKUP(AB8,密度!$A$2:$A$50,密度!$D$2:$D$50)</f>
        <v>83562.049563199995</v>
      </c>
      <c r="AC7" s="73" ph="1">
        <f>AC6*51.53*LOOKUP(AC8,密度!$A$2:$A$50,密度!$Q$2:$Q$50)</f>
        <v>113975.49735530002</v>
      </c>
      <c r="AD7" s="73" ph="1">
        <f>AD6*20.428*LOOKUP(AD8,密度!$A$2:$A$50,密度!$V$2:$V$50)</f>
        <v>93818.123072000002</v>
      </c>
      <c r="AE7" s="73" ph="1">
        <f>AE6*20.428</f>
        <v>117338.432</v>
      </c>
    </row>
    <row r="8" spans="1:99" ph="1">
      <c r="B8" s="237" ph="1"/>
      <c r="C8" s="68" t="s" ph="1">
        <v>179</v>
      </c>
      <c r="D8" s="74">
        <v>22</v>
      </c>
      <c r="E8" s="74">
        <v>22</v>
      </c>
      <c r="F8" s="74">
        <v>22</v>
      </c>
      <c r="G8" s="74">
        <v>20</v>
      </c>
      <c r="H8" s="74">
        <v>20</v>
      </c>
      <c r="I8" s="74">
        <v>25</v>
      </c>
      <c r="J8" s="74">
        <v>25</v>
      </c>
      <c r="K8" s="74">
        <v>25</v>
      </c>
      <c r="L8" s="74">
        <v>25</v>
      </c>
      <c r="M8" s="74">
        <v>24</v>
      </c>
      <c r="N8" s="74">
        <v>25</v>
      </c>
      <c r="O8" s="74">
        <v>26</v>
      </c>
      <c r="P8" s="74">
        <v>26</v>
      </c>
      <c r="Q8" s="74">
        <v>22</v>
      </c>
      <c r="R8" s="74">
        <v>19</v>
      </c>
      <c r="S8" s="74">
        <v>19</v>
      </c>
      <c r="T8" s="74">
        <v>23</v>
      </c>
      <c r="U8" s="74">
        <v>24</v>
      </c>
      <c r="V8" s="74">
        <v>24</v>
      </c>
      <c r="W8" s="74">
        <v>24</v>
      </c>
      <c r="X8" s="74">
        <v>16</v>
      </c>
      <c r="Y8" s="74">
        <v>22</v>
      </c>
      <c r="Z8" s="74">
        <v>18</v>
      </c>
      <c r="AA8" s="74">
        <v>24</v>
      </c>
      <c r="AB8" s="74">
        <v>16</v>
      </c>
      <c r="AC8" s="74">
        <v>21</v>
      </c>
      <c r="AD8" s="74">
        <v>22</v>
      </c>
      <c r="AE8" s="74">
        <v>26</v>
      </c>
    </row>
    <row r="9" spans="1:99" ht="26.4" ph="1">
      <c r="B9" s="237" ph="1">
        <v>0.66666666666666663</v>
      </c>
      <c r="C9" s="147" t="s" ph="1">
        <v>180</v>
      </c>
      <c r="D9" s="71">
        <v>6792</v>
      </c>
      <c r="E9" s="71">
        <v>2943</v>
      </c>
      <c r="F9" s="71">
        <v>4964</v>
      </c>
      <c r="G9" s="71">
        <v>6687</v>
      </c>
      <c r="H9" s="71">
        <v>5229</v>
      </c>
      <c r="I9" s="71">
        <v>40.880000000000003</v>
      </c>
      <c r="J9" s="71">
        <v>7.1</v>
      </c>
      <c r="K9" s="71">
        <v>8.43</v>
      </c>
      <c r="L9" s="71">
        <v>27.96</v>
      </c>
      <c r="M9" s="71">
        <v>4175</v>
      </c>
      <c r="N9" s="71">
        <v>2171</v>
      </c>
      <c r="O9" s="71">
        <v>103</v>
      </c>
      <c r="P9" s="71">
        <v>1062</v>
      </c>
      <c r="Q9" s="71">
        <v>6877</v>
      </c>
      <c r="R9" s="71">
        <v>4001</v>
      </c>
      <c r="S9" s="71">
        <v>767</v>
      </c>
      <c r="T9" s="71">
        <v>0</v>
      </c>
      <c r="U9" s="71">
        <v>0</v>
      </c>
      <c r="V9" s="71">
        <v>0</v>
      </c>
      <c r="W9" s="71">
        <v>0</v>
      </c>
      <c r="X9" s="71">
        <v>7112</v>
      </c>
      <c r="Y9" s="71">
        <v>7049</v>
      </c>
      <c r="Z9" s="71">
        <v>5400</v>
      </c>
      <c r="AA9" s="71">
        <v>769</v>
      </c>
      <c r="AB9" s="71">
        <v>3956</v>
      </c>
      <c r="AC9" s="71">
        <v>2515</v>
      </c>
      <c r="AD9" s="71">
        <v>4780</v>
      </c>
      <c r="AE9" s="71">
        <v>5740</v>
      </c>
    </row>
    <row r="10" spans="1:99" s="72" customFormat="1" ht="22.2" ph="1">
      <c r="B10" s="237" ph="1"/>
      <c r="C10" s="147" t="s" ph="1">
        <v>178</v>
      </c>
      <c r="D10" s="73" ph="1">
        <f>D9*33.183*LOOKUP(D11,密度!$A$2:$A$50,密度!$Q$2:$Q$50)</f>
        <v>213539.78049191998</v>
      </c>
      <c r="E10" s="73" ph="1">
        <f>E9*51.53*LOOKUP(E11,密度!$A$2:$A$50,密度!$B$2:$B$50)</f>
        <v>118365.002595</v>
      </c>
      <c r="F10" s="73" ph="1">
        <f>F9*33.183*LOOKUP(F11,密度!$A$2:$A$50,密度!$C$2:$C$50)</f>
        <v>182905.54548480001</v>
      </c>
      <c r="G10" s="73" ph="1">
        <f xml:space="preserve"> (G9+2)*51.53*LOOKUP(G11,密度!$A$2:$A$50,密度!$B$2:$B$50)</f>
        <v>269025.99468499998</v>
      </c>
      <c r="H10" s="73" ph="1">
        <f>(H9)*51.53*LOOKUP(H11,密度!$A$2:$A$50,密度!$B$2:$B$50)</f>
        <v>210306.01378499999</v>
      </c>
      <c r="I10" s="73" ph="1">
        <f>I9*290.8*1.0267</f>
        <v>12205.3110368</v>
      </c>
      <c r="J10" s="73" ph="1">
        <f>J9*290.8*0.7892</f>
        <v>1629.4454559999999</v>
      </c>
      <c r="K10" s="73" ph="1">
        <f>K9*290.8*1.1126</f>
        <v>2727.4765944000001</v>
      </c>
      <c r="L10" s="73" ph="1">
        <f>L9*290.8*0.777</f>
        <v>6317.6067360000006</v>
      </c>
      <c r="M10" s="73" ph="1">
        <f>M9*33.183*LOOKUP(M11,密度!$A$2:$A$50,密度!$D$2:$D$50)</f>
        <v>142113.33184500001</v>
      </c>
      <c r="N10" s="73" ph="1">
        <f>N9*33.183*LOOKUP(N11,密度!$A$2:$A$50,密度!$E$2:$E$50)</f>
        <v>56263.468833000006</v>
      </c>
      <c r="O10" s="73" ph="1">
        <f>O9*20.428*LOOKUP(O11,密度!$A$2:$A$50,密度!$C$2:$C$50)</f>
        <v>2323.1191444000006</v>
      </c>
      <c r="P10" s="73" ph="1">
        <f>P9*51.53*LOOKUP(P11,密度!$A$2:$A$50,密度!$B$2:$B$50)</f>
        <v>42428.183958000001</v>
      </c>
      <c r="Q10" s="73" ph="1">
        <f>Q9*1.5*1.5*3.1416*LOOKUP(W11,密度!$A$2:$A$50,密度!$L$2:$L$50)</f>
        <v>44916.344272800001</v>
      </c>
      <c r="R10" s="73" ph="1">
        <f>R9*1.5*1.5*3.1416*LOOKUP(R11,密度!$A$2:$A$50,密度!$L$2:$L$50)</f>
        <v>26386.610203800003</v>
      </c>
      <c r="S10" s="73" ph="1">
        <f>S9*1.5*1.5*3.1416*LOOKUP(S11,密度!$A$2:$A$50,密度!$L$2:$L$50)</f>
        <v>5085.4759955999989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47205.298324799995</v>
      </c>
      <c r="Y10" s="73" ph="1">
        <f>Y9*1.5*1.5*3.1416*LOOKUP(Y11,密度!$A$2:$A$50,密度!$L$2:$L$50)</f>
        <v>46687.4880318</v>
      </c>
      <c r="Z10" s="73" ph="1">
        <f>Z9*33.183*LOOKUP(Z11,密度!$A$2:$A$50,密度!$L$2:$L$50)</f>
        <v>168616.0962</v>
      </c>
      <c r="AA10" s="73" ph="1">
        <f>AA9*33.183*LOOKUP(AA11,密度!$A$2:$A$50,密度!$D$2:$D$50)</f>
        <v>26199.050310899998</v>
      </c>
      <c r="AB10" s="73" ph="1">
        <f>AB9*20.428*LOOKUP(AB11,密度!$A$2:$A$50,密度!$D$2:$D$50)</f>
        <v>83488.083860800005</v>
      </c>
      <c r="AC10" s="73" ph="1">
        <f>AC9*51.53*LOOKUP(AC11,密度!$A$2:$A$50,密度!$Q$2:$Q$50)</f>
        <v>122790.1696865</v>
      </c>
      <c r="AD10" s="73" ph="1">
        <f>AD9*20.428*LOOKUP(AD11,密度!$A$2:$A$50,密度!$V$2:$V$50)</f>
        <v>93818.123072000002</v>
      </c>
      <c r="AE10" s="73" ph="1">
        <f>AE9*20.428</f>
        <v>117256.72</v>
      </c>
    </row>
    <row r="11" spans="1:99" ph="1">
      <c r="A11" s="64" t="s" ph="1">
        <v>162</v>
      </c>
      <c r="B11" s="237" ph="1"/>
      <c r="C11" s="147" t="s" ph="1">
        <v>179</v>
      </c>
      <c r="D11" s="74">
        <v>24</v>
      </c>
      <c r="E11" s="74">
        <v>24</v>
      </c>
      <c r="F11" s="74">
        <v>23</v>
      </c>
      <c r="G11" s="74">
        <v>24</v>
      </c>
      <c r="H11" s="74">
        <v>24</v>
      </c>
      <c r="I11" s="74">
        <v>25</v>
      </c>
      <c r="J11" s="74">
        <v>25</v>
      </c>
      <c r="K11" s="74">
        <v>25</v>
      </c>
      <c r="L11" s="74">
        <v>25</v>
      </c>
      <c r="M11" s="74">
        <v>26</v>
      </c>
      <c r="N11" s="74">
        <v>27</v>
      </c>
      <c r="O11" s="74">
        <v>31</v>
      </c>
      <c r="P11" s="74">
        <v>30</v>
      </c>
      <c r="Q11" s="74">
        <v>28</v>
      </c>
      <c r="R11" s="74">
        <v>29</v>
      </c>
      <c r="S11" s="74">
        <v>24</v>
      </c>
      <c r="T11" s="74">
        <v>38</v>
      </c>
      <c r="U11" s="74">
        <v>27</v>
      </c>
      <c r="V11" s="74">
        <v>28</v>
      </c>
      <c r="W11" s="74">
        <v>38</v>
      </c>
      <c r="X11" s="74">
        <v>23</v>
      </c>
      <c r="Y11" s="74">
        <v>25</v>
      </c>
      <c r="Z11" s="74">
        <v>21</v>
      </c>
      <c r="AA11" s="74">
        <v>25</v>
      </c>
      <c r="AB11" s="74">
        <v>18</v>
      </c>
      <c r="AC11" s="74">
        <v>24</v>
      </c>
      <c r="AD11" s="74">
        <v>24</v>
      </c>
      <c r="AE11" s="74">
        <v>27</v>
      </c>
    </row>
    <row r="12" spans="1:99" ht="9.9" customHeight="1" ph="1"/>
    <row r="13" spans="1:99" s="72" customFormat="1" ht="29.25" customHeight="1" ph="1">
      <c r="B13" s="214" t="s" ph="1">
        <v>37</v>
      </c>
      <c r="C13" s="147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5" ph="1"/>
      <c r="C14" s="67" t="s" ph="1">
        <v>36</v>
      </c>
      <c r="D14" s="77" t="s" ph="1">
        <v>616</v>
      </c>
      <c r="E14" s="77" t="s" ph="1">
        <v>616</v>
      </c>
      <c r="F14" s="77" t="s" ph="1">
        <v>639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636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635</v>
      </c>
      <c r="AC14" s="77" t="s" ph="1">
        <v>637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6" ph="1">
        <v>0.33333333333333331</v>
      </c>
      <c r="C15" s="147" t="s" ph="1">
        <v>177</v>
      </c>
      <c r="D15" s="78">
        <v>3311</v>
      </c>
      <c r="E15" s="78">
        <v>2980</v>
      </c>
      <c r="F15" s="78">
        <v>2143</v>
      </c>
      <c r="G15" s="78">
        <v>3742</v>
      </c>
      <c r="H15" s="78">
        <v>0</v>
      </c>
      <c r="I15" s="78">
        <v>1616</v>
      </c>
      <c r="J15" s="78">
        <v>735</v>
      </c>
      <c r="K15" s="78">
        <v>4765</v>
      </c>
      <c r="L15" s="78">
        <v>3964</v>
      </c>
      <c r="M15" s="78">
        <v>6842</v>
      </c>
      <c r="N15" s="78">
        <v>452</v>
      </c>
      <c r="O15" s="78">
        <v>6398</v>
      </c>
      <c r="P15" s="78">
        <v>5188</v>
      </c>
      <c r="Q15" s="78">
        <v>1611</v>
      </c>
      <c r="R15" s="78">
        <v>51</v>
      </c>
      <c r="S15" s="78">
        <v>6191</v>
      </c>
      <c r="T15" s="78">
        <v>4987</v>
      </c>
      <c r="U15" s="78">
        <v>1600</v>
      </c>
      <c r="V15" s="78">
        <v>4933</v>
      </c>
      <c r="W15" s="71">
        <v>5035</v>
      </c>
      <c r="X15" s="78">
        <v>849</v>
      </c>
      <c r="Y15" s="106">
        <v>-2367</v>
      </c>
      <c r="Z15" s="78">
        <v>0</v>
      </c>
      <c r="AA15" s="78">
        <v>0</v>
      </c>
      <c r="AB15" s="78" ph="1">
        <v>1095</v>
      </c>
      <c r="AC15" s="78" ph="1">
        <v>2144</v>
      </c>
      <c r="AD15" s="78">
        <v>5.49</v>
      </c>
      <c r="AE15" s="78">
        <v>81.39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7" ph="1"/>
      <c r="C16" s="147" t="s" ph="1">
        <v>178</v>
      </c>
      <c r="D16" s="73" ph="1">
        <f>D15*7.0686*LOOKUP(D17,密度!$A$2:$A$50,密度!$L$2:$L$50)</f>
        <v>21953.078254799999</v>
      </c>
      <c r="E16" s="73" ph="1">
        <f>E15*7.0686*LOOKUP(E17,密度!$A$2:$A$50,密度!$L$2:$L$50)</f>
        <v>19758.433463999998</v>
      </c>
      <c r="F16" s="73" ph="1">
        <f>F15*9.0746*LOOKUP(F17,密度!$A$2:$A$50,密度!$L$2:$L$50)</f>
        <v>18202.2682608</v>
      </c>
      <c r="G16" s="73" ph="1">
        <f>G15*9.0746*LOOKUP(G17,密度!$A$2:$A$50,密度!$B$2:$B$50)</f>
        <v>26503.558072600001</v>
      </c>
      <c r="H16" s="73" ph="1">
        <f>H15*9.0746*LOOKUP(H17,密度!$A$2:$A$50,密度!$L$2:$L$50)</f>
        <v>0</v>
      </c>
      <c r="I16" s="73" ph="1">
        <f>I15*9.0746*LOOKUP(I17,密度!$A$2:$A$50,密度!$U$2:$U$50)</f>
        <v>15075.161100800002</v>
      </c>
      <c r="J16" s="73" ph="1">
        <f>J15*9.0746*LOOKUP(J17,密度!$A$2:$A$50,密度!$L$2:$L$50)</f>
        <v>6276.3109709999999</v>
      </c>
      <c r="K16" s="73" ph="1">
        <f>K15*9.0746*LOOKUP(K17,密度!$A$2:$A$50,密度!$C$2:$C$50)</f>
        <v>48014.216777600006</v>
      </c>
      <c r="L16" s="73" ph="1">
        <f>L15*9.0746*LOOKUP(L17,密度!$A$2:$A$50,密度!$E$2:$E$50)</f>
        <v>28173.046718080004</v>
      </c>
      <c r="M16" s="73" ph="1">
        <f>M15*9.0746*LOOKUP(M17,密度!$A$2:$A$50,密度!$M$2:$M$50)</f>
        <v>54383.241121880004</v>
      </c>
      <c r="N16" s="73" ph="1">
        <f>N15*9.0746*LOOKUP(N17,密度!$A$2:$A$50,密度!$M$2:$M$50)</f>
        <v>3601.3094576000003</v>
      </c>
      <c r="O16" s="73" ph="1">
        <f>O15*9.0746*LOOKUP(O17,密度!$A$2:$A$50,密度!$G$2:$G$50)</f>
        <v>55748.531026160003</v>
      </c>
      <c r="P16" s="73" ph="1">
        <f ca="1">P15*9.0746*LOOKUP(P17,密度!$A$2:$A$51,密度!$Q$2:$Q$50)</f>
        <v>44571.595939152001</v>
      </c>
      <c r="Q16" s="73" ph="1">
        <f>Q15*9.0746*LOOKUP(Q17,密度!$A$2:$A$50,密度!$Q$2:$Q$50)</f>
        <v>13851.235043082001</v>
      </c>
      <c r="R16" s="73" ph="1">
        <f>MAX(R15*9.0746*LOOKUP(R17,密度!$A$2:$A$50,密度!$B$2:$B$50),0)</f>
        <v>361.21899029999997</v>
      </c>
      <c r="S16" s="73" ph="1">
        <f>S15*9.0746*LOOKUP(S17,密度!$A$2:$A$50,密度!$Q$2:$Q$50)</f>
        <v>53229.668623042009</v>
      </c>
      <c r="T16" s="73" ph="1">
        <f>T15*9.0746*LOOKUP(T17,密度!$A$2:$A$50,密度!$O$2:$O$50)</f>
        <v>42087.178086</v>
      </c>
      <c r="U16" s="73" ph="1">
        <f>U15*9.0746*LOOKUP(U17,密度!$A$2:$A$50,密度!$H$2:$H$50)</f>
        <v>13340.387967999999</v>
      </c>
      <c r="V16" s="73" ph="1">
        <f>MAX(5600*LOOKUP(V17,密度!$A$2:$A$50,密度!$Q$2:$Q$50)+V15*9.0476*LOOKUP(V17,密度!$A$2:$A$50,密度!$Q$2:$Q$50),0)</f>
        <v>47520.799971123997</v>
      </c>
      <c r="W16" s="73" ph="1">
        <f>MAX(5600*LOOKUP(W17,密度!$A$2:$A$50,密度!$Q$2:$Q$50)+W15*9.0476*LOOKUP(W17,密度!$A$2:$A$50,密度!$Q$2:$Q$50),0)</f>
        <v>48393.84867598</v>
      </c>
      <c r="X16" s="73" ph="1">
        <f>MAX(5600*LOOKUP(X17,密度!$A$2:$A$50,密度!$I$2:$I$50)+X15*9.0476*LOOKUP(X17,密度!$A$2:$A$50,密度!$I$2:$I$50),0)</f>
        <v>13843.21614452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9320.6124060000002</v>
      </c>
      <c r="AC16" s="73" ph="1">
        <f>AC15*9.0746*LOOKUP(AC17,密度!$A$2:$A$50,密度!$L$2:$L$50)</f>
        <v>18269.129913599998</v>
      </c>
      <c r="AD16" s="73" ph="1">
        <f>AD15*268.68*LOOKUP(AD17,密度!$A$2:$A$50,密度!B2:B50)+IF(AD15&lt;=0,0,1566*LOOKUP(AD17,密度!$A$2:$A$50,密度!B2:B50))</f>
        <v>2370.80507472</v>
      </c>
      <c r="AE16" s="73" ph="1">
        <f>AE15*268.68*LOOKUP(AE17,密度!$A$2:$A$50,密度!B2:B50)+IF(AE15&lt;=0,0,1566*LOOKUP(AE17,密度!$A$2:$A$50,密度!B2:B50))</f>
        <v>18269.041309919998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8" ph="1"/>
      <c r="C17" s="79" t="s" ph="1">
        <v>179</v>
      </c>
      <c r="D17" s="74">
        <v>24</v>
      </c>
      <c r="E17" s="74">
        <v>24</v>
      </c>
      <c r="F17" s="74">
        <v>26</v>
      </c>
      <c r="G17" s="74">
        <v>24</v>
      </c>
      <c r="H17" s="74">
        <v>20</v>
      </c>
      <c r="I17" s="74">
        <v>21</v>
      </c>
      <c r="J17" s="74">
        <v>21</v>
      </c>
      <c r="K17" s="74">
        <v>23</v>
      </c>
      <c r="L17" s="74">
        <v>25</v>
      </c>
      <c r="M17" s="74">
        <v>24</v>
      </c>
      <c r="N17" s="74">
        <v>22</v>
      </c>
      <c r="O17" s="74">
        <v>25</v>
      </c>
      <c r="P17" s="74">
        <v>25</v>
      </c>
      <c r="Q17" s="74">
        <v>24</v>
      </c>
      <c r="R17" s="74">
        <v>24</v>
      </c>
      <c r="S17" s="74">
        <v>24</v>
      </c>
      <c r="T17" s="74">
        <v>24</v>
      </c>
      <c r="U17" s="74">
        <v>21</v>
      </c>
      <c r="V17" s="74">
        <v>26</v>
      </c>
      <c r="W17" s="74">
        <v>26</v>
      </c>
      <c r="X17" s="74">
        <v>25</v>
      </c>
      <c r="Y17" s="108">
        <v>25</v>
      </c>
      <c r="Z17" s="74">
        <v>24</v>
      </c>
      <c r="AA17" s="74">
        <v>22</v>
      </c>
      <c r="AB17" s="74">
        <v>24</v>
      </c>
      <c r="AC17" s="74">
        <v>23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6" ph="1">
        <v>0.66666666666666663</v>
      </c>
      <c r="C18" s="79" t="s" ph="1">
        <v>180</v>
      </c>
      <c r="D18" s="71">
        <v>2840</v>
      </c>
      <c r="E18" s="71">
        <v>5984</v>
      </c>
      <c r="F18" s="71">
        <v>2144</v>
      </c>
      <c r="G18" s="71">
        <v>3827</v>
      </c>
      <c r="H18" s="71">
        <v>0</v>
      </c>
      <c r="I18" s="71">
        <v>1616</v>
      </c>
      <c r="J18" s="71">
        <v>0</v>
      </c>
      <c r="K18" s="71">
        <v>4767</v>
      </c>
      <c r="L18" s="71">
        <v>4154</v>
      </c>
      <c r="M18" s="71">
        <v>3856</v>
      </c>
      <c r="N18" s="71">
        <v>2182</v>
      </c>
      <c r="O18" s="71">
        <v>6406</v>
      </c>
      <c r="P18" s="71">
        <v>5199</v>
      </c>
      <c r="Q18" s="71">
        <v>1613</v>
      </c>
      <c r="R18" s="71">
        <v>49</v>
      </c>
      <c r="S18" s="71">
        <v>6798</v>
      </c>
      <c r="T18" s="71">
        <v>4997</v>
      </c>
      <c r="U18" s="71">
        <v>3453</v>
      </c>
      <c r="V18" s="71">
        <v>4934</v>
      </c>
      <c r="W18" s="71">
        <v>5035</v>
      </c>
      <c r="X18" s="71">
        <v>847</v>
      </c>
      <c r="Y18" s="109">
        <v>-9907</v>
      </c>
      <c r="Z18" s="71">
        <v>0</v>
      </c>
      <c r="AA18" s="71">
        <v>0</v>
      </c>
      <c r="AB18" s="71">
        <v>1094</v>
      </c>
      <c r="AC18" s="71">
        <v>2146</v>
      </c>
      <c r="AD18" s="71">
        <v>39.64</v>
      </c>
      <c r="AE18" s="71">
        <v>84.65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7" ph="1"/>
      <c r="C19" s="147" t="s" ph="1">
        <v>178</v>
      </c>
      <c r="D19" s="73" ph="1">
        <f>D18*7.0686*LOOKUP(D20,密度!$A$2:$A$50,密度!$L$2:$L$50)</f>
        <v>18790.035264000002</v>
      </c>
      <c r="E19" s="73" ph="1">
        <f>E18*7.0686*LOOKUP(E20,密度!$A$2:$A$50,密度!$L$2:$L$50)</f>
        <v>39591.3982464</v>
      </c>
      <c r="F19" s="73" ph="1">
        <f>F18*9.0746*LOOKUP(F20,密度!$A$2:$A$50,密度!$L$2:$L$50)</f>
        <v>18171.850201600002</v>
      </c>
      <c r="G19" s="73" ph="1">
        <f>G18*9.0746*LOOKUP(G20,密度!$A$2:$A$50,密度!$B$2:$B$50)</f>
        <v>27043.078433539999</v>
      </c>
      <c r="H19" s="73" ph="1">
        <f>H18*9.0746*LOOKUP(H20,密度!$A$2:$A$50,密度!$L$2:$L$50)</f>
        <v>0</v>
      </c>
      <c r="I19" s="73" ph="1">
        <f>I18*9.0746*LOOKUP(I20,密度!$A$2:$A$50,密度!$U$2:$U$50)</f>
        <v>15016.502886400001</v>
      </c>
      <c r="J19" s="73" ph="1">
        <f>J18*9.0746*LOOKUP(J20,密度!$A$2:$A$50,密度!$L$2:$L$50)</f>
        <v>0</v>
      </c>
      <c r="K19" s="73" ph="1">
        <f>K18*9.0746*LOOKUP(K20,密度!$A$2:$A$50,密度!$C$2:$C$50)</f>
        <v>47934.874827420012</v>
      </c>
      <c r="L19" s="73" ph="1">
        <f>L18*9.0746*LOOKUP(L20,密度!$A$2:$A$50,密度!$E$2:$E$50)</f>
        <v>29440.488840400005</v>
      </c>
      <c r="M19" s="73" ph="1">
        <f>M18*9.0746*LOOKUP(M20,密度!$A$2:$A$50,密度!$M$2:$M$50)</f>
        <v>30439.24294624</v>
      </c>
      <c r="N19" s="73" ph="1">
        <f>N18*9.0746*LOOKUP(N20,密度!$A$2:$A$50,密度!$M$2:$M$50)</f>
        <v>17327.660127719999</v>
      </c>
      <c r="O19" s="73" ph="1">
        <f>O18*9.0746*LOOKUP(O20,密度!$A$2:$A$50,密度!$G$2:$G$50)</f>
        <v>55748.480208399997</v>
      </c>
      <c r="P19" s="73" ph="1">
        <f ca="1">P18*9.0746*LOOKUP(P20,密度!$A$2:$A$51,密度!$Q$2:$Q$50)</f>
        <v>44533.527538422</v>
      </c>
      <c r="Q19" s="73" ph="1">
        <f>Q18*9.0746*LOOKUP(Q20,密度!$A$2:$A$50,密度!$Q$2:$Q$50)</f>
        <v>13847.353110694001</v>
      </c>
      <c r="R19" s="73" ph="1">
        <f>MAX(R18*9.0746*LOOKUP(R20,密度!$A$2:$A$50,密度!$B$2:$B$50),0)</f>
        <v>340.82836409999999</v>
      </c>
      <c r="S19" s="73" ph="1">
        <f>S18*9.0746*LOOKUP(S20,密度!$A$2:$A$50,密度!$Q$2:$Q$50)</f>
        <v>58315.969127855999</v>
      </c>
      <c r="T19" s="73" ph="1">
        <f>T18*9.0746*LOOKUP(T20,密度!$A$2:$A$50,密度!$O$2:$O$50)</f>
        <v>41808.8056564</v>
      </c>
      <c r="U19" s="73" ph="1">
        <f>U18*9.0746*LOOKUP(U20,密度!$A$2:$A$50,密度!$H$2:$H$50)</f>
        <v>28661.752948860001</v>
      </c>
      <c r="V19" s="73" ph="1">
        <f>MAX(5600*LOOKUP(V20,密度!$A$2:$A$50,密度!$Q$2:$Q$50)+V18*9.0476*LOOKUP(V20,密度!$A$2:$A$50,密度!$Q$2:$Q$50),0)</f>
        <v>47458.519661808001</v>
      </c>
      <c r="W19" s="73" ph="1">
        <f>MAX(5600*LOOKUP(W20,密度!$A$2:$A$50,密度!$Q$2:$Q$50)+W18*9.0476*LOOKUP(W20,密度!$A$2:$A$50,密度!$Q$2:$Q$50),0)</f>
        <v>48321.72059692</v>
      </c>
      <c r="X19" s="73" ph="1">
        <f>MAX(5600*LOOKUP(X20,密度!$A$2:$A$50,密度!$I$2:$I$50)+X18*9.0476*LOOKUP(X20,密度!$A$2:$A$50,密度!$I$2:$I$50),0)</f>
        <v>13780.586570799998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9212.8243072000005</v>
      </c>
      <c r="AC19" s="73" ph="1">
        <f>AC18*9.0746*LOOKUP(AC20,密度!$A$2:$A$50,密度!$L$2:$L$50)</f>
        <v>18247.2238292</v>
      </c>
      <c r="AD19" s="73" ph="1">
        <f>AD18*268.68*LOOKUP(AD20,密度!$A$2:$A$50,密度!B5:B53)+IF(AD18&lt;=0,0,1566*LOOKUP(AD20,密度!$A$2:$A$50,密度!B5:B53))</f>
        <v>9492.2012304</v>
      </c>
      <c r="AE19" s="73" ph="1">
        <f>AE18*268.68*LOOKUP(AE20,密度!$A$2:$A$50,密度!B5:B53)+IF(AE18&lt;=0,0,1566*LOOKUP(AE20,密度!$A$2:$A$50,密度!B5:B53))</f>
        <v>18888.685074000001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7" ph="1"/>
      <c r="C20" s="80" t="s" ph="1">
        <v>179</v>
      </c>
      <c r="D20" s="81">
        <v>26</v>
      </c>
      <c r="E20" s="81">
        <v>26</v>
      </c>
      <c r="F20" s="81">
        <v>28</v>
      </c>
      <c r="G20" s="81">
        <v>26</v>
      </c>
      <c r="H20" s="81">
        <v>23</v>
      </c>
      <c r="I20" s="81">
        <v>26</v>
      </c>
      <c r="J20" s="81">
        <v>30</v>
      </c>
      <c r="K20" s="81">
        <v>26</v>
      </c>
      <c r="L20" s="81">
        <v>27</v>
      </c>
      <c r="M20" s="81">
        <v>30</v>
      </c>
      <c r="N20" s="81">
        <v>25</v>
      </c>
      <c r="O20" s="81">
        <v>26</v>
      </c>
      <c r="P20" s="81">
        <v>29</v>
      </c>
      <c r="Q20" s="81">
        <v>26</v>
      </c>
      <c r="R20" s="81">
        <v>40</v>
      </c>
      <c r="S20" s="81">
        <v>27</v>
      </c>
      <c r="T20" s="81">
        <v>30</v>
      </c>
      <c r="U20" s="81">
        <v>25</v>
      </c>
      <c r="V20" s="81">
        <v>28</v>
      </c>
      <c r="W20" s="81">
        <v>28</v>
      </c>
      <c r="X20" s="81">
        <v>28</v>
      </c>
      <c r="Y20" s="110">
        <v>28</v>
      </c>
      <c r="Z20" s="81">
        <v>38</v>
      </c>
      <c r="AA20" s="81">
        <v>28</v>
      </c>
      <c r="AB20" s="81">
        <v>34</v>
      </c>
      <c r="AC20" s="81">
        <v>25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28" t="s" ph="1">
        <v>640</v>
      </c>
      <c r="AA23" s="229"/>
      <c r="AB23" s="229"/>
      <c r="AC23" s="229"/>
      <c r="AD23" s="229"/>
      <c r="AE23" s="23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7" ph="1">
        <v>0.33333333333333331</v>
      </c>
      <c r="C24" s="147" t="s" ph="1">
        <v>177</v>
      </c>
      <c r="D24" s="71">
        <v>3.29</v>
      </c>
      <c r="E24" s="71">
        <v>3</v>
      </c>
      <c r="F24" s="71">
        <v>3267</v>
      </c>
      <c r="G24" s="71">
        <v>2975</v>
      </c>
      <c r="H24" s="71">
        <v>1370</v>
      </c>
      <c r="I24" s="71">
        <v>1130</v>
      </c>
      <c r="J24" s="71">
        <v>4833</v>
      </c>
      <c r="K24" s="71">
        <v>4946</v>
      </c>
      <c r="L24" s="71">
        <v>5581</v>
      </c>
      <c r="M24" s="71">
        <v>5106</v>
      </c>
      <c r="N24" s="71">
        <v>5503</v>
      </c>
      <c r="O24" s="71">
        <v>5576</v>
      </c>
      <c r="P24" s="71">
        <v>360</v>
      </c>
      <c r="Q24" s="90">
        <v>1869</v>
      </c>
      <c r="R24" s="71">
        <v>204</v>
      </c>
      <c r="S24" s="71">
        <v>3204</v>
      </c>
      <c r="T24" s="71">
        <v>280</v>
      </c>
      <c r="U24" s="71">
        <v>6191</v>
      </c>
      <c r="V24" s="71">
        <v>10623</v>
      </c>
      <c r="W24" s="71">
        <v>8012</v>
      </c>
      <c r="X24" s="71">
        <v>3082</v>
      </c>
      <c r="Y24" s="71">
        <v>1259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7" ph="1"/>
      <c r="C25" s="68" t="s" ph="1">
        <v>178</v>
      </c>
      <c r="D25" s="91" ph="1">
        <f>D24*268.68*LOOKUP(D26,密度!$A$2:$A$50,密度!$Q$2:$Q$50)+IF(D24&lt;=0,0,1566*LOOKUP(D26,密度!$A$2:$A$50,密度!$Q$2:$Q$50))</f>
        <v>2319.4724795279999</v>
      </c>
      <c r="E25" s="91" ph="1">
        <f>E24*268.68*LOOKUP(E26,密度!$A$2:$A$50,密度!$C$2:$C$50)+IF(E24&lt;=0,0,1566*LOOKUP(E26,密度!$A$2:$A$50,密度!$C$2:$C$50))</f>
        <v>2630.3551559999996</v>
      </c>
      <c r="F25" s="91" ph="1">
        <f>F24*11.702*LOOKUP(F26,密度!$A$2:$A$50,密度!$Q$2:$Q$50)</f>
        <v>36250.097518800001</v>
      </c>
      <c r="G25" s="91" ph="1">
        <f>G24*18.322*LOOKUP(G26,密度!$A$2:$A$50,密度!$B$2:$B$50)</f>
        <v>42592.512129999996</v>
      </c>
      <c r="H25" s="91" ph="1">
        <f>H24*18.322*LOOKUP(H26,密度!$A$2:$A$50,密度!$B$2:$B$50)</f>
        <v>19636.621822000001</v>
      </c>
      <c r="I25" s="91" ph="1">
        <f>I24*18.322*LOOKUP(I26,密度!$A$2:$A$50,密度!$Q$2:$Q$50)</f>
        <v>19631.400052000001</v>
      </c>
      <c r="J25" s="91" ph="1">
        <f>J24*18.322*LOOKUP(J26,密度!$A$2:$A$50,密度!$Q$2:$Q$50)</f>
        <v>83963.324293199999</v>
      </c>
      <c r="K25" s="91" ph="1">
        <f>K24*18.322*LOOKUP(K26,密度!$A$2:$A$50,密度!$Q$2:$Q$50)</f>
        <v>85860.31125164</v>
      </c>
      <c r="L25" s="91" ph="1">
        <f>L24*18.322*LOOKUP(L26,密度!$A$2:$A$50,密度!$Q$2:$Q$50)</f>
        <v>96883.622542540004</v>
      </c>
      <c r="M25" s="91" ph="1">
        <f>M24*18.322*LOOKUP(M26,密度!$A$2:$A$50,密度!$Q$2:$Q$50)</f>
        <v>88637.838506040003</v>
      </c>
      <c r="N25" s="91" ph="1">
        <f>N24*18.322*LOOKUP(N26,密度!$A$2:$A$50,密度!$Q$2:$Q$50)</f>
        <v>95603.180961200007</v>
      </c>
      <c r="O25" s="91" ph="1">
        <f>O24*18.322*LOOKUP(O26,密度!$A$2:$A$50,密度!$C$2:$C$50)</f>
        <v>113442.3193088</v>
      </c>
      <c r="P25" s="91" ph="1">
        <f>P24*11.702*LOOKUP(P26,密度!$A$2:$A$50,密度!$B$2:$B$50)</f>
        <v>3295.6108560000002</v>
      </c>
      <c r="Q25" s="92" ph="1">
        <f>Q24*18.322*LOOKUP(Q26,密度!$A$2:$A$50,密度!$B$2:$B$50)</f>
        <v>26850.577693800002</v>
      </c>
      <c r="R25" s="91" ph="1">
        <f>R24*35.891*LOOKUP(R26,密度!$A$2:$A$50,密度!$C$2:$C$50)</f>
        <v>8146.1946263999989</v>
      </c>
      <c r="S25" s="91" ph="1">
        <f>S24*35.891*LOOKUP(S26,密度!$A$2:$A$50,密度!$B$2:$B$50)</f>
        <v>90063.899164799994</v>
      </c>
      <c r="T25" s="91" ph="1">
        <f>T24*35.891*LOOKUP(T26,密度!$A$2:$A$50,密度!$Q$2:$Q$50)</f>
        <v>9528.9169359999996</v>
      </c>
      <c r="U25" s="91" ph="1">
        <f>U24*35.891</f>
        <v>222201.18099999998</v>
      </c>
      <c r="V25" s="91" ph="1">
        <f>V24*47.051*LOOKUP(V26,密度!$A$2:$A$50,密度!$B$2:$B$50)</f>
        <v>390561.5148222</v>
      </c>
      <c r="W25" s="91" ph="1">
        <f>W24*47.051*LOOKUP(W26,密度!$A$2:$A$50,密度!$B$2:$B$50)</f>
        <v>294566.39901679999</v>
      </c>
      <c r="X25" s="91" ph="1">
        <f>X24*47.051*LOOKUP(X26,密度!$A$2:$A$50,密度!$I$2:$I$50)</f>
        <v>151304.66729880002</v>
      </c>
      <c r="Y25" s="91" ph="1">
        <f>Y24*47.051*LOOKUP(Y26,密度!$A$2:$A$50,密度!$L$2:$L$50)</f>
        <v>55564.502042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7" ph="1"/>
      <c r="C26" s="68" t="s" ph="1">
        <v>179</v>
      </c>
      <c r="D26" s="74">
        <v>25</v>
      </c>
      <c r="E26" s="74">
        <v>25</v>
      </c>
      <c r="F26" s="74">
        <v>23</v>
      </c>
      <c r="G26" s="74">
        <v>23</v>
      </c>
      <c r="H26" s="74">
        <v>22</v>
      </c>
      <c r="I26" s="74">
        <v>23</v>
      </c>
      <c r="J26" s="74">
        <v>23</v>
      </c>
      <c r="K26" s="74">
        <v>24</v>
      </c>
      <c r="L26" s="74">
        <v>24</v>
      </c>
      <c r="M26" s="74">
        <v>24</v>
      </c>
      <c r="N26" s="74">
        <v>23</v>
      </c>
      <c r="O26" s="74">
        <v>23</v>
      </c>
      <c r="P26" s="74">
        <v>22</v>
      </c>
      <c r="Q26" s="93">
        <v>20</v>
      </c>
      <c r="R26" s="74">
        <v>20</v>
      </c>
      <c r="S26" s="74">
        <v>21</v>
      </c>
      <c r="T26" s="74">
        <v>23</v>
      </c>
      <c r="U26" s="74">
        <v>22</v>
      </c>
      <c r="V26" s="74">
        <v>23</v>
      </c>
      <c r="W26" s="74">
        <v>23</v>
      </c>
      <c r="X26" s="74">
        <v>24</v>
      </c>
      <c r="Y26" s="74">
        <v>24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7" ph="1">
        <v>0.66666666666666663</v>
      </c>
      <c r="C27" s="147" t="s" ph="1">
        <v>180</v>
      </c>
      <c r="D27" s="71">
        <v>3.21</v>
      </c>
      <c r="E27" s="71">
        <v>2.98</v>
      </c>
      <c r="F27" s="71">
        <v>483</v>
      </c>
      <c r="G27" s="71">
        <v>2470</v>
      </c>
      <c r="H27" s="71">
        <v>899</v>
      </c>
      <c r="I27" s="71">
        <v>280</v>
      </c>
      <c r="J27" s="71">
        <v>4419</v>
      </c>
      <c r="K27" s="71">
        <v>4948</v>
      </c>
      <c r="L27" s="71">
        <v>5578</v>
      </c>
      <c r="M27" s="71">
        <v>5106</v>
      </c>
      <c r="N27" s="71">
        <v>5502</v>
      </c>
      <c r="O27" s="71">
        <v>4679</v>
      </c>
      <c r="P27" s="71">
        <v>356</v>
      </c>
      <c r="Q27" s="90">
        <v>2565</v>
      </c>
      <c r="R27" s="71">
        <v>202</v>
      </c>
      <c r="S27" s="71">
        <v>3202</v>
      </c>
      <c r="T27" s="71">
        <v>279</v>
      </c>
      <c r="U27" s="71">
        <v>6263</v>
      </c>
      <c r="V27" s="71">
        <v>10628</v>
      </c>
      <c r="W27" s="71">
        <v>8015</v>
      </c>
      <c r="X27" s="71">
        <v>3310</v>
      </c>
      <c r="Y27" s="71">
        <v>1829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7" ph="1"/>
      <c r="C28" s="147" t="s" ph="1">
        <v>178</v>
      </c>
      <c r="D28" s="91" ph="1">
        <f>D27*268.68*LOOKUP(D29,密度!$A$2:$A$50,密度!$Q$2:$Q$50)+IF(D27&lt;=0,0,1566*LOOKUP(D29,密度!$A$2:$A$50,密度!$Q$2:$Q$50))</f>
        <v>2299.1228712719999</v>
      </c>
      <c r="E28" s="91" ph="1">
        <f>E27*268.68*LOOKUP(E29,密度!$A$2:$A$50,密度!$C$2:$C$50)+IF(E27&lt;=0,0,1566*LOOKUP(E29,密度!$A$2:$A$50,密度!$C$2:$C$50))</f>
        <v>2624.3963709600002</v>
      </c>
      <c r="F28" s="91" ph="1">
        <f>F27*11.702*LOOKUP(F29,密度!$A$2:$A$50,密度!$Q$2:$Q$50)</f>
        <v>5351.0369648400001</v>
      </c>
      <c r="G28" s="91" ph="1">
        <f>G27*18.322*LOOKUP(G29,密度!$A$2:$A$50,密度!$B$2:$B$50)</f>
        <v>35321.792869999997</v>
      </c>
      <c r="H28" s="91" ph="1">
        <f>H27*18.322*LOOKUP(H29,密度!$A$2:$A$50,密度!$B$2:$B$50)</f>
        <v>12841.164248799998</v>
      </c>
      <c r="I28" s="91" ph="1">
        <f>I27*18.322*LOOKUP(I29,密度!$A$2:$A$50,密度!$Q$2:$Q$50)</f>
        <v>4864.4177120000004</v>
      </c>
      <c r="J28" s="91" ph="1">
        <f>J27*18.322*LOOKUP(J29,密度!$A$2:$A$50,密度!$Q$2:$Q$50)</f>
        <v>76652.726467319997</v>
      </c>
      <c r="K28" s="91" ph="1">
        <f>K27*18.322*LOOKUP(K29,密度!$A$2:$A$50,密度!$Q$2:$Q$50)</f>
        <v>85961.210139200004</v>
      </c>
      <c r="L28" s="91" ph="1">
        <f>L27*18.322*LOOKUP(L29,密度!$A$2:$A$50,密度!$Q$2:$Q$50)</f>
        <v>96831.543906520004</v>
      </c>
      <c r="M28" s="91" ph="1">
        <f>M27*18.322*LOOKUP(M29,密度!$A$2:$A$50,密度!$Q$2:$Q$50)</f>
        <v>88637.838506040003</v>
      </c>
      <c r="N28" s="91" ph="1">
        <f>N27*18.322*LOOKUP(N29,密度!$A$2:$A$50,密度!$Q$2:$Q$50)</f>
        <v>95675.526843960004</v>
      </c>
      <c r="O28" s="91" ph="1">
        <f>O27*18.322*LOOKUP(O29,密度!$A$2:$A$50,密度!$C$2:$C$50)</f>
        <v>95253.089681799989</v>
      </c>
      <c r="P28" s="91" ph="1">
        <f>P27*11.702*LOOKUP(P29,密度!$A$2:$A$50,密度!$B$2:$B$50)</f>
        <v>3251.4943160000003</v>
      </c>
      <c r="Q28" s="92" ph="1">
        <f>Q27*18.322*LOOKUP(Q29,密度!$A$2:$A$50,密度!$B$2:$B$50)</f>
        <v>36638.027027999997</v>
      </c>
      <c r="R28" s="91" ph="1">
        <f>R27*35.891*LOOKUP(R29,密度!$A$2:$A$50,密度!$C$2:$C$50)</f>
        <v>8044.5800271999997</v>
      </c>
      <c r="S28" s="91" ph="1">
        <f>S27*35.891*LOOKUP(S29,密度!$A$2:$A$50,密度!$B$2:$B$50)</f>
        <v>89697.387450999988</v>
      </c>
      <c r="T28" s="91" ph="1">
        <f>T27*35.891*LOOKUP(T29,密度!$A$2:$A$50,密度!$Q$2:$Q$50)</f>
        <v>9480.26524986</v>
      </c>
      <c r="U28" s="91" ph="1">
        <f>U27*35.891</f>
        <v>224785.33299999998</v>
      </c>
      <c r="V28" s="91" ph="1">
        <f>V27*47.051*LOOKUP(V29,密度!$A$2:$A$50,密度!$B$2:$B$50)</f>
        <v>390745.34307920001</v>
      </c>
      <c r="W28" s="91" ph="1">
        <f>W27*47.051*LOOKUP(W29,密度!$A$2:$A$50,密度!$B$2:$B$50)</f>
        <v>294337.29358250002</v>
      </c>
      <c r="X28" s="91" ph="1">
        <f>X27*47.051*LOOKUP(X29,密度!$A$2:$A$50,密度!$I$2:$I$50)</f>
        <v>162326.561663</v>
      </c>
      <c r="Y28" s="91" ph="1">
        <f>Y27*47.051*LOOKUP(Y29,密度!$A$2:$A$50,密度!$L$2:$L$50)</f>
        <v>80634.733423000012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7" ph="1"/>
      <c r="C29" s="147" t="s" ph="1">
        <v>179</v>
      </c>
      <c r="D29" s="74">
        <v>25</v>
      </c>
      <c r="E29" s="74">
        <v>25</v>
      </c>
      <c r="F29" s="74">
        <v>25</v>
      </c>
      <c r="G29" s="74">
        <v>24</v>
      </c>
      <c r="H29" s="74">
        <v>25</v>
      </c>
      <c r="I29" s="74">
        <v>23</v>
      </c>
      <c r="J29" s="74">
        <v>25</v>
      </c>
      <c r="K29" s="74">
        <v>23</v>
      </c>
      <c r="L29" s="74">
        <v>24</v>
      </c>
      <c r="M29" s="74">
        <v>24</v>
      </c>
      <c r="N29" s="74">
        <v>22</v>
      </c>
      <c r="O29" s="74">
        <v>22</v>
      </c>
      <c r="P29" s="74">
        <v>24</v>
      </c>
      <c r="Q29" s="93">
        <v>25</v>
      </c>
      <c r="R29" s="74">
        <v>24</v>
      </c>
      <c r="S29" s="74">
        <v>24</v>
      </c>
      <c r="T29" s="74">
        <v>25</v>
      </c>
      <c r="U29" s="74">
        <v>24</v>
      </c>
      <c r="V29" s="74">
        <v>23</v>
      </c>
      <c r="W29" s="74">
        <v>24</v>
      </c>
      <c r="X29" s="74">
        <v>25</v>
      </c>
      <c r="Y29" s="74">
        <v>25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47" t="s" ph="1">
        <v>5</v>
      </c>
      <c r="F32" s="148" t="s" ph="1">
        <v>43</v>
      </c>
      <c r="G32" s="97" t="s" ph="1">
        <v>4</v>
      </c>
      <c r="H32" s="147" t="s" ph="1">
        <v>5</v>
      </c>
      <c r="I32" s="148" t="s" ph="1">
        <v>43</v>
      </c>
      <c r="J32" s="97" t="s" ph="1">
        <v>4</v>
      </c>
      <c r="K32" s="147" t="s" ph="1">
        <v>5</v>
      </c>
      <c r="L32" s="148" t="s" ph="1">
        <v>43</v>
      </c>
      <c r="M32" s="97" t="s" ph="1">
        <v>4</v>
      </c>
      <c r="N32" s="147" t="s" ph="1">
        <v>5</v>
      </c>
      <c r="O32" s="14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7" t="s" ph="1">
        <v>5</v>
      </c>
      <c r="U32" s="99" t="s" ph="1">
        <v>43</v>
      </c>
      <c r="V32" s="97" t="s" ph="1">
        <v>4</v>
      </c>
      <c r="W32" s="147" t="s" ph="1">
        <v>5</v>
      </c>
      <c r="X32" s="99" t="s" ph="1">
        <v>43</v>
      </c>
      <c r="Y32" s="100" t="s" ph="1">
        <v>4</v>
      </c>
      <c r="Z32" s="147" t="s" ph="1">
        <v>5</v>
      </c>
      <c r="AA32" s="148" t="s" ph="1">
        <v>43</v>
      </c>
      <c r="AB32" s="97" t="s" ph="1">
        <v>85</v>
      </c>
      <c r="AC32" s="147" t="s" ph="1">
        <v>84</v>
      </c>
      <c r="AD32" s="204" t="s" ph="1">
        <v>83</v>
      </c>
      <c r="AE32" s="20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6" t="s" ph="1">
        <v>181</v>
      </c>
      <c r="C33" s="207" ph="1"/>
      <c r="D33" s="186" ph="1">
        <f>AA10+AB10+Z19</f>
        <v>109687.1341717</v>
      </c>
      <c r="E33" s="186" ph="1">
        <f>M10+I10</f>
        <v>154318.64288180001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1522252632456786910111213141516171819202123456789101112131415161718192022232424356789101112131415161718192021222345678910111213141516171819202345678910111213149101516171819222123234567891012131415161711181920212224252345678910111213137[[#This Row],[F25]]</f>
        <v>3880</v>
      </c>
      <c r="G33" s="212" ph="1">
        <v>0</v>
      </c>
      <c r="H33" s="186" ph="1">
        <f>N19</f>
        <v>17327.660127719999</v>
      </c>
      <c r="I33" s="190" ph="1">
        <v>0</v>
      </c>
      <c r="J33" s="194" ph="1">
        <f>F10+O28</f>
        <v>278158.6351666</v>
      </c>
      <c r="K33" s="186" ph="1">
        <f>O10+K10+E28+R28</f>
        <v>15719.57213696</v>
      </c>
      <c r="L33" s="196" ph="1">
        <f>BE27</f>
        <v>7100</v>
      </c>
      <c r="M33" s="194" ph="1">
        <f>G10+H10+W28+S28+V28+E10</f>
        <v>1372477.0351777</v>
      </c>
      <c r="N33" s="186" ph="1">
        <f>L10+P10++G28+H28</f>
        <v>96908.747812799993</v>
      </c>
      <c r="O33" s="190" ph="1">
        <f>BE17</f>
        <v>2270</v>
      </c>
      <c r="P33" s="194" ph="1">
        <f>L19</f>
        <v>29440.488840400005</v>
      </c>
      <c r="Q33" s="186" ph="1">
        <f>J10+N10</f>
        <v>57892.914289000008</v>
      </c>
      <c r="R33" s="190" ph="1">
        <f>BE23</f>
        <v>890</v>
      </c>
      <c r="S33" s="194" ph="1">
        <f>E10+X28</f>
        <v>280691.564258</v>
      </c>
      <c r="T33" s="186" ph="1">
        <f>X19</f>
        <v>13780.586570799998</v>
      </c>
      <c r="U33" s="175" ph="1">
        <f>BE21</f>
        <v>730</v>
      </c>
      <c r="V33" s="188" ph="1">
        <f ca="1">P19+Q19+S19+M28+N28+J28</f>
        <v>377662.941594292</v>
      </c>
      <c r="W33" s="188" ph="1">
        <f>D28+F28+V19+T28</f>
        <v>64588.944747779999</v>
      </c>
      <c r="X33" s="190" ph="1">
        <f>BE29+BE31</f>
        <v>10200</v>
      </c>
      <c r="Y33" s="192" ph="1">
        <f>+Q10+R10+S10+T10+U10+V10+W10+X10+Y10</f>
        <v>170281.21682880001</v>
      </c>
      <c r="Z33" s="173" ph="1">
        <f>D10+T19+U19+Y28+Z10</f>
        <v>533261.16872018005</v>
      </c>
      <c r="AA33" s="175" ph="1">
        <f>BE19</f>
        <v>1440</v>
      </c>
      <c r="AB33" s="177" ph="1">
        <f>I19</f>
        <v>15016.502886400001</v>
      </c>
      <c r="AC33" s="179" ph="1">
        <f>AD10</f>
        <v>93818.123072000002</v>
      </c>
      <c r="AD33" s="181" ph="1">
        <v>0</v>
      </c>
      <c r="AE33" s="18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5" t="s" ph="1">
        <v>633</v>
      </c>
      <c r="AD35" s="185"/>
      <c r="AE35" s="18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1" t="s" ph="1">
        <v>183</v>
      </c>
      <c r="J36" s="171" ph="1"/>
      <c r="K36" s="101" ph="1"/>
      <c r="P36" s="101" ph="1"/>
      <c r="R36" s="171" t="s" ph="1">
        <v>184</v>
      </c>
      <c r="S36" s="171" ph="1"/>
      <c r="Y36" s="102" ph="1"/>
      <c r="Z36" s="149" t="s" ph="1">
        <v>185</v>
      </c>
      <c r="AA36" s="149" ph="1"/>
      <c r="AB36" s="172" t="s" ph="1">
        <v>642</v>
      </c>
      <c r="AC36" s="172" ph="1"/>
      <c r="AD36" s="172" ph="1"/>
      <c r="AE36" s="172" ph="1"/>
      <c r="BA36" s="64" ph="1">
        <v>2270</v>
      </c>
    </row>
    <row r="37" spans="1:57" s="14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9" t="s" ph="1">
        <v>342</v>
      </c>
      <c r="AI37" s="149" t="s" ph="1">
        <v>209</v>
      </c>
      <c r="AJ37" s="149" t="s" ph="1">
        <v>210</v>
      </c>
      <c r="AK37" s="149" t="s" ph="1">
        <v>211</v>
      </c>
      <c r="AM37" s="149" t="s" ph="1">
        <v>210</v>
      </c>
      <c r="AN37" s="149" t="s" ph="1">
        <v>211</v>
      </c>
      <c r="AO37" s="149" t="s" ph="1">
        <v>212</v>
      </c>
      <c r="AP37" s="149" t="s" ph="1">
        <v>210</v>
      </c>
      <c r="AQ37" s="149" t="s" ph="1">
        <v>211</v>
      </c>
      <c r="AR37" s="149" t="s" ph="1">
        <v>212</v>
      </c>
      <c r="AS37" s="149" t="s" ph="1">
        <v>210</v>
      </c>
      <c r="AT37" s="149" t="s" ph="1">
        <v>211</v>
      </c>
      <c r="AU37" s="149" t="s" ph="1">
        <v>212</v>
      </c>
      <c r="AV37" s="149" t="s" ph="1">
        <v>210</v>
      </c>
      <c r="AW37" s="149" t="s" ph="1">
        <v>211</v>
      </c>
      <c r="AX37" s="149" t="s" ph="1">
        <v>212</v>
      </c>
      <c r="AY37" s="149" t="s" ph="1">
        <v>211</v>
      </c>
      <c r="AZ37" s="149" t="s" ph="1">
        <v>213</v>
      </c>
      <c r="BD37" s="149" t="s" ph="1">
        <v>305</v>
      </c>
      <c r="BE37" s="149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919" priority="98">
      <formula>ABS(D$7-D$10)&gt;=1000</formula>
    </cfRule>
  </conditionalFormatting>
  <conditionalFormatting sqref="E4 E6:E11">
    <cfRule type="expression" dxfId="1918" priority="97">
      <formula>ABS(E$7-E$10)&gt;=1000</formula>
    </cfRule>
  </conditionalFormatting>
  <conditionalFormatting sqref="F4:F11">
    <cfRule type="expression" dxfId="1917" priority="96">
      <formula>ABS(F$7-F$10)&gt;=1000</formula>
    </cfRule>
  </conditionalFormatting>
  <conditionalFormatting sqref="G4:G11">
    <cfRule type="expression" dxfId="1916" priority="95">
      <formula>ABS(G$7-G$10)&gt;=1000</formula>
    </cfRule>
  </conditionalFormatting>
  <conditionalFormatting sqref="H4:H11">
    <cfRule type="expression" dxfId="1915" priority="94">
      <formula>ABS(H$7-H$10)&gt;=1000</formula>
    </cfRule>
  </conditionalFormatting>
  <conditionalFormatting sqref="I4:I11">
    <cfRule type="expression" dxfId="1914" priority="93">
      <formula>ABS(I$7-I$10)&gt;=1000</formula>
    </cfRule>
  </conditionalFormatting>
  <conditionalFormatting sqref="J4:J11">
    <cfRule type="expression" dxfId="1913" priority="92">
      <formula>ABS(J$7-J$10)&gt;=1000</formula>
    </cfRule>
  </conditionalFormatting>
  <conditionalFormatting sqref="K4:K11">
    <cfRule type="expression" dxfId="1912" priority="91">
      <formula>ABS(K$7-K$10)&gt;=1000</formula>
    </cfRule>
  </conditionalFormatting>
  <conditionalFormatting sqref="L4:L11">
    <cfRule type="expression" dxfId="1911" priority="90">
      <formula>ABS(L$7-L$10)&gt;=1000</formula>
    </cfRule>
  </conditionalFormatting>
  <conditionalFormatting sqref="M4 M6:M11">
    <cfRule type="expression" dxfId="1910" priority="89">
      <formula>ABS(M$7-M$10)&gt;=1000</formula>
    </cfRule>
  </conditionalFormatting>
  <conditionalFormatting sqref="N4 N6:N11">
    <cfRule type="expression" dxfId="1909" priority="88">
      <formula>ABS(N$7-N$10)&gt;=1000</formula>
    </cfRule>
  </conditionalFormatting>
  <conditionalFormatting sqref="O4 O6:O11">
    <cfRule type="expression" dxfId="1908" priority="87">
      <formula>ABS(O$7-O$10)&gt;=1000</formula>
    </cfRule>
  </conditionalFormatting>
  <conditionalFormatting sqref="P4 P6:P11">
    <cfRule type="expression" dxfId="1907" priority="86">
      <formula>ABS(P$7-P$10)&gt;=1000</formula>
    </cfRule>
  </conditionalFormatting>
  <conditionalFormatting sqref="Q4:Q11">
    <cfRule type="expression" dxfId="1906" priority="85">
      <formula>ABS(Q$7-Q$10)&gt;=1000</formula>
    </cfRule>
  </conditionalFormatting>
  <conditionalFormatting sqref="R4:R11">
    <cfRule type="expression" dxfId="1905" priority="84">
      <formula>ABS(R$7-R$10)&gt;=1000</formula>
    </cfRule>
  </conditionalFormatting>
  <conditionalFormatting sqref="S4:S11">
    <cfRule type="expression" dxfId="1904" priority="83">
      <formula>ABS(S$7-S$10)&gt;=1000</formula>
    </cfRule>
  </conditionalFormatting>
  <conditionalFormatting sqref="T4:T9 T11">
    <cfRule type="expression" dxfId="1903" priority="82">
      <formula>ABS(T$7-T$10)&gt;=1000</formula>
    </cfRule>
  </conditionalFormatting>
  <conditionalFormatting sqref="U4:U9 U11">
    <cfRule type="expression" dxfId="1902" priority="81">
      <formula>ABS(U$7-U$10)&gt;=1000</formula>
    </cfRule>
  </conditionalFormatting>
  <conditionalFormatting sqref="V4:V9 V11">
    <cfRule type="expression" dxfId="1901" priority="80">
      <formula>ABS(V$7-V$10)&gt;=1000</formula>
    </cfRule>
  </conditionalFormatting>
  <conditionalFormatting sqref="W4:W9 W11">
    <cfRule type="expression" dxfId="1900" priority="79">
      <formula>ABS(W$7-W$10)&gt;=1000</formula>
    </cfRule>
  </conditionalFormatting>
  <conditionalFormatting sqref="X4:X9 X11">
    <cfRule type="expression" dxfId="1899" priority="78">
      <formula>ABS(X$7-X$10)&gt;=1000</formula>
    </cfRule>
  </conditionalFormatting>
  <conditionalFormatting sqref="Y4:Y9 Y11">
    <cfRule type="expression" dxfId="1898" priority="77">
      <formula>ABS(Y$7-Y$10)&gt;=1000</formula>
    </cfRule>
  </conditionalFormatting>
  <conditionalFormatting sqref="Z4:Z11">
    <cfRule type="expression" dxfId="1897" priority="76">
      <formula>ABS(Z$7-Z$10)&gt;=1000</formula>
    </cfRule>
  </conditionalFormatting>
  <conditionalFormatting sqref="AA4:AA11">
    <cfRule type="expression" dxfId="1896" priority="75">
      <formula>ABS(AA$7-AA$10)&gt;=1000</formula>
    </cfRule>
  </conditionalFormatting>
  <conditionalFormatting sqref="AB4:AB11">
    <cfRule type="expression" dxfId="1895" priority="74">
      <formula>ABS(AB$7-AB$10)&gt;=1000</formula>
    </cfRule>
  </conditionalFormatting>
  <conditionalFormatting sqref="AC4 AC6:AC11">
    <cfRule type="expression" dxfId="1894" priority="73">
      <formula>ABS(AC$7-AC$10)&gt;=1000</formula>
    </cfRule>
  </conditionalFormatting>
  <conditionalFormatting sqref="AD4:AD11">
    <cfRule type="expression" dxfId="1893" priority="72">
      <formula>ABS(AD$7-AD$10)&gt;=1000</formula>
    </cfRule>
  </conditionalFormatting>
  <conditionalFormatting sqref="AE4 AE6:AE11">
    <cfRule type="expression" dxfId="1892" priority="71">
      <formula>ABS(AE$7-AE$10)&gt;=1000</formula>
    </cfRule>
  </conditionalFormatting>
  <conditionalFormatting sqref="D13:D20">
    <cfRule type="expression" dxfId="1891" priority="70">
      <formula>ABS(D$16-D$19)&gt;=1000</formula>
    </cfRule>
  </conditionalFormatting>
  <conditionalFormatting sqref="E13:E20">
    <cfRule type="expression" dxfId="1890" priority="69">
      <formula>ABS(E$16-E$19)&gt;=1000</formula>
    </cfRule>
  </conditionalFormatting>
  <conditionalFormatting sqref="F13 F15:F20">
    <cfRule type="expression" dxfId="1889" priority="68">
      <formula>ABS(F$16-F$19)&gt;=1000</formula>
    </cfRule>
  </conditionalFormatting>
  <conditionalFormatting sqref="G13:G20">
    <cfRule type="expression" dxfId="1888" priority="67">
      <formula>ABS(G$16-G$19)&gt;=1000</formula>
    </cfRule>
  </conditionalFormatting>
  <conditionalFormatting sqref="H13:H20">
    <cfRule type="expression" dxfId="1887" priority="66">
      <formula>ABS(H$16-H$19)&gt;=1000</formula>
    </cfRule>
  </conditionalFormatting>
  <conditionalFormatting sqref="I13:I20">
    <cfRule type="expression" dxfId="1886" priority="65">
      <formula>ABS(I$16-I$19)&gt;=1000</formula>
    </cfRule>
  </conditionalFormatting>
  <conditionalFormatting sqref="J13:J20">
    <cfRule type="expression" dxfId="1885" priority="64">
      <formula>ABS(J$16-J$19)&gt;=1000</formula>
    </cfRule>
  </conditionalFormatting>
  <conditionalFormatting sqref="L13:L20">
    <cfRule type="expression" dxfId="1884" priority="63">
      <formula>ABS(L$16-L$19)&gt;=1000</formula>
    </cfRule>
  </conditionalFormatting>
  <conditionalFormatting sqref="M13 M15 M17:M18 M20">
    <cfRule type="expression" dxfId="1883" priority="62">
      <formula>ABS(M$16-M$19)&gt;=1000</formula>
    </cfRule>
  </conditionalFormatting>
  <conditionalFormatting sqref="N13:N20">
    <cfRule type="expression" dxfId="1882" priority="61">
      <formula>ABS(N$16-N$19)&gt;=1000</formula>
    </cfRule>
  </conditionalFormatting>
  <conditionalFormatting sqref="O13:O20">
    <cfRule type="expression" dxfId="1881" priority="60">
      <formula>ABS(O$16-O$19)&gt;=1000</formula>
    </cfRule>
  </conditionalFormatting>
  <conditionalFormatting sqref="P13:P20">
    <cfRule type="expression" dxfId="1880" priority="59">
      <formula>ABS(P$16-P$19)&gt;=1000</formula>
    </cfRule>
  </conditionalFormatting>
  <conditionalFormatting sqref="Q13 Q15:Q20">
    <cfRule type="expression" dxfId="1879" priority="58">
      <formula>ABS(Q$16-Q$19)&gt;=1000</formula>
    </cfRule>
  </conditionalFormatting>
  <conditionalFormatting sqref="R13:R20">
    <cfRule type="expression" dxfId="1878" priority="57">
      <formula>ABS(R$16-R$19)&gt;=1000</formula>
    </cfRule>
  </conditionalFormatting>
  <conditionalFormatting sqref="S13:S20">
    <cfRule type="expression" dxfId="1877" priority="56">
      <formula>ABS(S$16-S$19)&gt;=1000</formula>
    </cfRule>
  </conditionalFormatting>
  <conditionalFormatting sqref="T13:T20">
    <cfRule type="expression" dxfId="1876" priority="55">
      <formula>ABS(T$16-T$19)&gt;=1000</formula>
    </cfRule>
  </conditionalFormatting>
  <conditionalFormatting sqref="U13:U20">
    <cfRule type="expression" dxfId="1875" priority="54">
      <formula>ABS(U$16-U$19)&gt;=1000</formula>
    </cfRule>
  </conditionalFormatting>
  <conditionalFormatting sqref="V13:V20">
    <cfRule type="expression" dxfId="1874" priority="53">
      <formula>ABS(V$16-V$19)&gt;=1000</formula>
    </cfRule>
  </conditionalFormatting>
  <conditionalFormatting sqref="W13 W20 W15:W18">
    <cfRule type="expression" dxfId="1873" priority="52">
      <formula>ABS(W$16-W$19)&gt;=1000</formula>
    </cfRule>
  </conditionalFormatting>
  <conditionalFormatting sqref="X13 X15:X20 Y19">
    <cfRule type="expression" dxfId="1872" priority="51">
      <formula>ABS(X$16-X$19)&gt;=1000</formula>
    </cfRule>
  </conditionalFormatting>
  <conditionalFormatting sqref="Y13 Y15:Y18 Y20">
    <cfRule type="expression" dxfId="1871" priority="50">
      <formula>ABS(Y$16-Y$19)&gt;=1000</formula>
    </cfRule>
  </conditionalFormatting>
  <conditionalFormatting sqref="Z13:Z20">
    <cfRule type="expression" dxfId="1870" priority="49">
      <formula>ABS(Z$16-Z$19)&gt;=1000</formula>
    </cfRule>
  </conditionalFormatting>
  <conditionalFormatting sqref="AA13:AA20">
    <cfRule type="expression" dxfId="1869" priority="48">
      <formula>ABS(AA$16-AA$19)&gt;=1000</formula>
    </cfRule>
  </conditionalFormatting>
  <conditionalFormatting sqref="AB13 AB15:AB20">
    <cfRule type="expression" dxfId="1868" priority="47">
      <formula>ABS(AB$16-AB$19)&gt;=1000</formula>
    </cfRule>
  </conditionalFormatting>
  <conditionalFormatting sqref="AC13 AC15:AC20">
    <cfRule type="expression" dxfId="1867" priority="46">
      <formula>ABS(AC$16-AC$19)&gt;=1000</formula>
    </cfRule>
  </conditionalFormatting>
  <conditionalFormatting sqref="AD13:AD20">
    <cfRule type="expression" dxfId="1866" priority="45">
      <formula>ABS(AD$16-AD$19)&gt;=1000</formula>
    </cfRule>
  </conditionalFormatting>
  <conditionalFormatting sqref="AE13:AE20">
    <cfRule type="expression" dxfId="1865" priority="44">
      <formula>ABS(AE$16-AE$19)&gt;=1000</formula>
    </cfRule>
  </conditionalFormatting>
  <conditionalFormatting sqref="D22:D29">
    <cfRule type="expression" dxfId="1864" priority="43">
      <formula>ABS(D$25-D$28)&gt;=1000</formula>
    </cfRule>
  </conditionalFormatting>
  <conditionalFormatting sqref="E22:E29">
    <cfRule type="expression" dxfId="1863" priority="42">
      <formula>ABS(E$25-E$28)&gt;=1000</formula>
    </cfRule>
  </conditionalFormatting>
  <conditionalFormatting sqref="F22:F29">
    <cfRule type="expression" dxfId="1862" priority="41">
      <formula>ABS(F$25-F$28)&gt;=1000</formula>
    </cfRule>
  </conditionalFormatting>
  <conditionalFormatting sqref="G22:G29">
    <cfRule type="expression" dxfId="1861" priority="40">
      <formula>ABS(G$25-G$28)&gt;=1000</formula>
    </cfRule>
  </conditionalFormatting>
  <conditionalFormatting sqref="H22:H29">
    <cfRule type="expression" dxfId="1860" priority="39">
      <formula>ABS(H$25-H$28)&gt;=1000</formula>
    </cfRule>
  </conditionalFormatting>
  <conditionalFormatting sqref="I22 I24:I29">
    <cfRule type="expression" dxfId="1859" priority="38">
      <formula>ABS(I$25-I$28)&gt;=1000</formula>
    </cfRule>
  </conditionalFormatting>
  <conditionalFormatting sqref="J22:J29 K22">
    <cfRule type="expression" dxfId="1858" priority="37">
      <formula>ABS(J$25-J$28)&gt;=1000</formula>
    </cfRule>
  </conditionalFormatting>
  <conditionalFormatting sqref="K23:K29 L25 L28">
    <cfRule type="expression" dxfId="1857" priority="36">
      <formula>ABS(K$25-K$28)&gt;=1000</formula>
    </cfRule>
  </conditionalFormatting>
  <conditionalFormatting sqref="L22 L26:L27 L29 L24">
    <cfRule type="expression" dxfId="1856" priority="35">
      <formula>ABS(L$25-L$28)&gt;=1000</formula>
    </cfRule>
  </conditionalFormatting>
  <conditionalFormatting sqref="M22:M29">
    <cfRule type="expression" dxfId="1855" priority="34">
      <formula>ABS(M$25-M$28)&gt;=1000</formula>
    </cfRule>
  </conditionalFormatting>
  <conditionalFormatting sqref="N22:N29">
    <cfRule type="expression" dxfId="1854" priority="33">
      <formula>ABS(N$25-N$28)&gt;=1000</formula>
    </cfRule>
  </conditionalFormatting>
  <conditionalFormatting sqref="O22:O29">
    <cfRule type="expression" dxfId="1853" priority="32">
      <formula>ABS(O$25-O$28)&gt;=1000</formula>
    </cfRule>
  </conditionalFormatting>
  <conditionalFormatting sqref="P22:P29">
    <cfRule type="expression" dxfId="1852" priority="31">
      <formula>ABS(P$25-P$28)&gt;=1000</formula>
    </cfRule>
  </conditionalFormatting>
  <conditionalFormatting sqref="Q22:Q29">
    <cfRule type="expression" dxfId="1851" priority="30">
      <formula>ABS(Q$25-Q$28)&gt;=1000</formula>
    </cfRule>
  </conditionalFormatting>
  <conditionalFormatting sqref="R22:R29">
    <cfRule type="expression" dxfId="1850" priority="29">
      <formula>ABS(R$25-R$28)&gt;=1000</formula>
    </cfRule>
  </conditionalFormatting>
  <conditionalFormatting sqref="S22:S29">
    <cfRule type="expression" dxfId="1849" priority="28">
      <formula>ABS(S$25-S$28)&gt;=1000</formula>
    </cfRule>
  </conditionalFormatting>
  <conditionalFormatting sqref="T22:T29">
    <cfRule type="expression" dxfId="1848" priority="27">
      <formula>ABS(T$25-T$28)&gt;=1000</formula>
    </cfRule>
  </conditionalFormatting>
  <conditionalFormatting sqref="U22:U29">
    <cfRule type="expression" dxfId="1847" priority="26">
      <formula>ABS(U$25-U$28)&gt;=1000</formula>
    </cfRule>
  </conditionalFormatting>
  <conditionalFormatting sqref="V22:V29">
    <cfRule type="expression" dxfId="1846" priority="25">
      <formula>ABS(V$25-V$28)&gt;=1000</formula>
    </cfRule>
  </conditionalFormatting>
  <conditionalFormatting sqref="W22:W29">
    <cfRule type="expression" dxfId="1845" priority="24">
      <formula>ABS(W$25-W$28)&gt;=1000</formula>
    </cfRule>
  </conditionalFormatting>
  <conditionalFormatting sqref="X22:X29">
    <cfRule type="expression" dxfId="1844" priority="23">
      <formula>ABS(X$25-X$28)&gt;=1000</formula>
    </cfRule>
  </conditionalFormatting>
  <conditionalFormatting sqref="Y22:Y29">
    <cfRule type="expression" dxfId="1843" priority="22">
      <formula>ABS(Y$25-Y$28)&gt;=1000</formula>
    </cfRule>
  </conditionalFormatting>
  <conditionalFormatting sqref="I23">
    <cfRule type="expression" dxfId="1842" priority="21">
      <formula>ABS(I$25-I$28)&gt;=1000</formula>
    </cfRule>
  </conditionalFormatting>
  <conditionalFormatting sqref="Q14">
    <cfRule type="expression" dxfId="1841" priority="20">
      <formula>ABS(Q$16-Q$19)&gt;=1000</formula>
    </cfRule>
  </conditionalFormatting>
  <conditionalFormatting sqref="W14">
    <cfRule type="expression" dxfId="1840" priority="19">
      <formula>ABS(W$16-W$19)&gt;=1000</formula>
    </cfRule>
  </conditionalFormatting>
  <conditionalFormatting sqref="Y14">
    <cfRule type="expression" dxfId="1839" priority="18">
      <formula>ABS(Y$16-Y$19)&gt;=1000</formula>
    </cfRule>
  </conditionalFormatting>
  <conditionalFormatting sqref="X14">
    <cfRule type="expression" dxfId="1838" priority="17">
      <formula>ABS(X$16-X$19)&gt;=1000</formula>
    </cfRule>
  </conditionalFormatting>
  <conditionalFormatting sqref="T10:Y10">
    <cfRule type="expression" dxfId="1837" priority="16">
      <formula>ABS(T$7-T$10)&gt;=1000</formula>
    </cfRule>
  </conditionalFormatting>
  <conditionalFormatting sqref="W19">
    <cfRule type="expression" dxfId="1836" priority="15">
      <formula>ABS(W$16-W$19)&gt;=1000</formula>
    </cfRule>
  </conditionalFormatting>
  <conditionalFormatting sqref="AC5">
    <cfRule type="expression" dxfId="1835" priority="14">
      <formula>ABS(AC$7-AC$10)&gt;=1000</formula>
    </cfRule>
  </conditionalFormatting>
  <conditionalFormatting sqref="M14">
    <cfRule type="expression" dxfId="1834" priority="13">
      <formula>ABS(M$16-M$19)&gt;=1000</formula>
    </cfRule>
  </conditionalFormatting>
  <conditionalFormatting sqref="M16">
    <cfRule type="expression" dxfId="1833" priority="12">
      <formula>ABS(M$16-M$19)&gt;=1000</formula>
    </cfRule>
  </conditionalFormatting>
  <conditionalFormatting sqref="M19">
    <cfRule type="expression" dxfId="1832" priority="11">
      <formula>ABS(M$16-M$19)&gt;=1000</formula>
    </cfRule>
  </conditionalFormatting>
  <conditionalFormatting sqref="K13:K20">
    <cfRule type="expression" dxfId="1831" priority="10">
      <formula>ABS(K$16-K$19)&gt;=1000</formula>
    </cfRule>
  </conditionalFormatting>
  <conditionalFormatting sqref="E5">
    <cfRule type="expression" dxfId="1830" priority="9">
      <formula>ABS(E$7-E$10)&gt;=1000</formula>
    </cfRule>
  </conditionalFormatting>
  <conditionalFormatting sqref="AB14:AC14">
    <cfRule type="expression" dxfId="1829" priority="8">
      <formula>ABS(AB$16-AB$19)&gt;=1000</formula>
    </cfRule>
  </conditionalFormatting>
  <conditionalFormatting sqref="M5">
    <cfRule type="expression" dxfId="1828" priority="7">
      <formula>ABS(M$7-M$10)&gt;=1000</formula>
    </cfRule>
  </conditionalFormatting>
  <conditionalFormatting sqref="N5">
    <cfRule type="expression" dxfId="1827" priority="6">
      <formula>ABS(N$7-N$10)&gt;=1000</formula>
    </cfRule>
  </conditionalFormatting>
  <conditionalFormatting sqref="O5">
    <cfRule type="expression" dxfId="1826" priority="5">
      <formula>ABS(O$7-O$10)&gt;=1000</formula>
    </cfRule>
  </conditionalFormatting>
  <conditionalFormatting sqref="P5">
    <cfRule type="expression" dxfId="1825" priority="4">
      <formula>ABS(P$7-P$10)&gt;=1000</formula>
    </cfRule>
  </conditionalFormatting>
  <conditionalFormatting sqref="L23">
    <cfRule type="expression" dxfId="1824" priority="3">
      <formula>ABS(L$25-L$28)&gt;=1000</formula>
    </cfRule>
  </conditionalFormatting>
  <conditionalFormatting sqref="F14">
    <cfRule type="expression" dxfId="1823" priority="2">
      <formula>ABS(F$16-F$19)&gt;=1000</formula>
    </cfRule>
  </conditionalFormatting>
  <conditionalFormatting sqref="AE5">
    <cfRule type="expression" dxfId="1822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752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61">
    <pageSetUpPr fitToPage="1"/>
  </sheetPr>
  <dimension ref="A1:CU223"/>
  <sheetViews>
    <sheetView tabSelected="1" view="pageBreakPreview" topLeftCell="A14" zoomScale="70" zoomScaleNormal="100" zoomScaleSheetLayoutView="70" workbookViewId="0">
      <selection activeCell="AF24" sqref="AF2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8" t="s" ph="1">
        <v>161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" customHeight="1" ph="1">
      <c r="B3" s="240" ph="1">
        <v>45971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9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47" t="s" ph="1">
        <v>177</v>
      </c>
      <c r="D6" s="71">
        <v>6790</v>
      </c>
      <c r="E6" s="71">
        <v>724</v>
      </c>
      <c r="F6" s="71">
        <v>4468</v>
      </c>
      <c r="G6" s="71">
        <v>4444</v>
      </c>
      <c r="H6" s="71">
        <v>5227</v>
      </c>
      <c r="I6" s="71">
        <v>40.85</v>
      </c>
      <c r="J6" s="71">
        <v>6.99</v>
      </c>
      <c r="K6" s="71">
        <v>8.49</v>
      </c>
      <c r="L6" s="71">
        <v>38.200000000000003</v>
      </c>
      <c r="M6" s="71">
        <v>4176</v>
      </c>
      <c r="N6" s="71">
        <v>1947</v>
      </c>
      <c r="O6" s="71">
        <v>105</v>
      </c>
      <c r="P6" s="71">
        <v>2207</v>
      </c>
      <c r="Q6" s="71">
        <v>6868</v>
      </c>
      <c r="R6" s="71">
        <v>6445</v>
      </c>
      <c r="S6" s="71">
        <v>5972</v>
      </c>
      <c r="T6" s="71">
        <v>4563</v>
      </c>
      <c r="U6" s="71">
        <v>0</v>
      </c>
      <c r="V6" s="71">
        <v>0</v>
      </c>
      <c r="W6" s="71">
        <v>0</v>
      </c>
      <c r="X6" s="71">
        <v>0</v>
      </c>
      <c r="Y6" s="71">
        <v>0</v>
      </c>
      <c r="Z6" s="71">
        <v>5365</v>
      </c>
      <c r="AA6" s="71">
        <v>769</v>
      </c>
      <c r="AB6" s="71">
        <v>3955</v>
      </c>
      <c r="AC6" s="71">
        <v>2553</v>
      </c>
      <c r="AD6" s="71">
        <v>4780</v>
      </c>
      <c r="AE6" s="71">
        <v>5442</v>
      </c>
    </row>
    <row r="7" spans="1:99" s="72" customFormat="1" ht="22.2" ph="1">
      <c r="B7" s="237" ph="1"/>
      <c r="C7" s="68" t="s" ph="1">
        <v>178</v>
      </c>
      <c r="D7" s="73" ph="1">
        <f>D6*33.183*LOOKUP(D8,密度!$A$2:$A$50,密度!$Q$2:$Q$50)</f>
        <v>213841.90706130001</v>
      </c>
      <c r="E7" s="73" ph="1">
        <f>E6*51.53*LOOKUP(E8,密度!$A$2:$A$50,密度!$B$2:$B$50)</f>
        <v>29185.829356000002</v>
      </c>
      <c r="F7" s="73" ph="1">
        <f>F6*33.183*LOOKUP(F8,密度!$A$2:$A$50,密度!$C$2:$C$50)</f>
        <v>164733.51264840001</v>
      </c>
      <c r="G7" s="73" ph="1">
        <f xml:space="preserve"> (G6+2)*51.53*LOOKUP(G8,密度!$A$2:$A$50,密度!$B$2:$B$50)</f>
        <v>179639.17615800002</v>
      </c>
      <c r="H7" s="73" ph="1">
        <f>(H6)*51.53*LOOKUP(H8,密度!$A$2:$A$50,密度!$B$2:$B$50)</f>
        <v>211195.225771</v>
      </c>
      <c r="I7" s="73" ph="1">
        <f>I6*290.8*1.0267</f>
        <v>12196.354105999999</v>
      </c>
      <c r="J7" s="73" ph="1">
        <f>J6*290.8*0.7892</f>
        <v>1604.2005264000002</v>
      </c>
      <c r="K7" s="73" ph="1">
        <f>K6*290.8*1.1126</f>
        <v>2746.8892392000002</v>
      </c>
      <c r="L7" s="73" ph="1">
        <f>L6*290.8*0.777</f>
        <v>8631.3511200000012</v>
      </c>
      <c r="M7" s="73" ph="1">
        <f>M6*33.183*LOOKUP(M8,密度!$A$2:$A$50,密度!$D$2:$D$50)</f>
        <v>142396.80094080002</v>
      </c>
      <c r="N7" s="73" ph="1">
        <f>N6*33.183*LOOKUP(N8,密度!$A$2:$A$50,密度!$E$2:$E$50)</f>
        <v>50600.438143200001</v>
      </c>
      <c r="O7" s="73" ph="1">
        <f>O6*20.428*LOOKUP(O8,密度!$A$2:$A$50,密度!$C$2:$C$50)</f>
        <v>2376.8080140000002</v>
      </c>
      <c r="P7" s="73" ph="1">
        <f>P6*51.53*LOOKUP(P8,密度!$A$2:$A$50,密度!$B$2:$B$50)</f>
        <v>88763.697155000002</v>
      </c>
      <c r="Q7" s="73" ph="1">
        <f>Q6*1.5*1.5*3.1416*LOOKUP(W8,密度!$A$2:$A$50,密度!$L$2:$L$50)</f>
        <v>45585.768967199998</v>
      </c>
      <c r="R7" s="73" ph="1">
        <f>R6*1.5*1.5*3.1416*LOOKUP(R8,密度!$A$2:$A$50,密度!$L$2:$L$50)</f>
        <v>42550.356618000005</v>
      </c>
      <c r="S7" s="73" ph="1">
        <f>S6*1.5*1.5*3.1416*LOOKUP(S8,密度!$A$2:$A$50,密度!$L$2:$L$50)</f>
        <v>39765.285806399996</v>
      </c>
      <c r="T7" s="73" ph="1">
        <f>T6*1.5*1.5*3.1416*LOOKUP(T8,密度!$A$2:$A$50,密度!$L$2:$L$50)</f>
        <v>30415.542557399996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167701.24089000002</v>
      </c>
      <c r="AA7" s="73" ph="1">
        <f>AA6*33.183*LOOKUP(AA8,密度!$A$2:$A$50,密度!$D$2:$D$50)</f>
        <v>26247.533992199998</v>
      </c>
      <c r="AB7" s="73" ph="1">
        <f>AB6*20.428*LOOKUP(AB8,密度!$A$2:$A$50,密度!$D$2:$D$50)</f>
        <v>83604.327352000008</v>
      </c>
      <c r="AC7" s="73" ph="1">
        <f>AC6*51.53*LOOKUP(AC8,密度!$A$2:$A$50,密度!$Q$2:$Q$50)</f>
        <v>124937.50311210001</v>
      </c>
      <c r="AD7" s="73" ph="1">
        <f>AD6*20.428*LOOKUP(AD8,密度!$A$2:$A$50,密度!$V$2:$V$50)</f>
        <v>93818.123072000002</v>
      </c>
      <c r="AE7" s="73" ph="1">
        <f>AE6*20.428</f>
        <v>111169.17600000001</v>
      </c>
    </row>
    <row r="8" spans="1:99" ph="1">
      <c r="B8" s="237" ph="1"/>
      <c r="C8" s="68" t="s" ph="1">
        <v>179</v>
      </c>
      <c r="D8" s="74">
        <v>22</v>
      </c>
      <c r="E8" s="74">
        <v>22</v>
      </c>
      <c r="F8" s="74">
        <v>22</v>
      </c>
      <c r="G8" s="74">
        <v>20</v>
      </c>
      <c r="H8" s="74">
        <v>20</v>
      </c>
      <c r="I8" s="74">
        <v>25</v>
      </c>
      <c r="J8" s="74">
        <v>25</v>
      </c>
      <c r="K8" s="74">
        <v>25</v>
      </c>
      <c r="L8" s="74">
        <v>25</v>
      </c>
      <c r="M8" s="74">
        <v>24</v>
      </c>
      <c r="N8" s="74">
        <v>25</v>
      </c>
      <c r="O8" s="74">
        <v>26</v>
      </c>
      <c r="P8" s="74">
        <v>24</v>
      </c>
      <c r="Q8" s="74">
        <v>22</v>
      </c>
      <c r="R8" s="74">
        <v>28</v>
      </c>
      <c r="S8" s="74">
        <v>20</v>
      </c>
      <c r="T8" s="74">
        <v>19</v>
      </c>
      <c r="U8" s="74">
        <v>23</v>
      </c>
      <c r="V8" s="74">
        <v>23</v>
      </c>
      <c r="W8" s="74">
        <v>23</v>
      </c>
      <c r="X8" s="74">
        <v>14</v>
      </c>
      <c r="Y8" s="74">
        <v>23</v>
      </c>
      <c r="Z8" s="74">
        <v>20</v>
      </c>
      <c r="AA8" s="74">
        <v>23</v>
      </c>
      <c r="AB8" s="74">
        <v>16</v>
      </c>
      <c r="AC8" s="74">
        <v>21</v>
      </c>
      <c r="AD8" s="74">
        <v>22</v>
      </c>
      <c r="AE8" s="74">
        <v>24</v>
      </c>
    </row>
    <row r="9" spans="1:99" ht="26.4" ph="1">
      <c r="B9" s="237" ph="1">
        <v>0.66666666666666663</v>
      </c>
      <c r="C9" s="147" t="s" ph="1">
        <v>180</v>
      </c>
      <c r="D9" s="71">
        <v>6790</v>
      </c>
      <c r="E9" s="71">
        <v>464</v>
      </c>
      <c r="F9" s="71">
        <v>4468</v>
      </c>
      <c r="G9" s="71">
        <v>4178</v>
      </c>
      <c r="H9" s="71">
        <v>5227</v>
      </c>
      <c r="I9" s="71">
        <v>40.85</v>
      </c>
      <c r="J9" s="71">
        <v>6.98</v>
      </c>
      <c r="K9" s="71">
        <v>8.4499999999999993</v>
      </c>
      <c r="L9" s="71">
        <v>19.63</v>
      </c>
      <c r="M9" s="71">
        <v>4175</v>
      </c>
      <c r="N9" s="71">
        <v>1764</v>
      </c>
      <c r="O9" s="71">
        <v>105</v>
      </c>
      <c r="P9" s="71">
        <v>2091</v>
      </c>
      <c r="Q9" s="71">
        <v>1862</v>
      </c>
      <c r="R9" s="71">
        <v>6445</v>
      </c>
      <c r="S9" s="71">
        <v>5972</v>
      </c>
      <c r="T9" s="71">
        <v>6493</v>
      </c>
      <c r="U9" s="71">
        <v>2077</v>
      </c>
      <c r="V9" s="71">
        <v>1639</v>
      </c>
      <c r="W9" s="71">
        <v>0</v>
      </c>
      <c r="X9" s="71">
        <v>0</v>
      </c>
      <c r="Y9" s="71">
        <v>0</v>
      </c>
      <c r="Z9" s="71">
        <v>3072</v>
      </c>
      <c r="AA9" s="71">
        <v>769</v>
      </c>
      <c r="AB9" s="71">
        <v>3953</v>
      </c>
      <c r="AC9" s="71">
        <v>2553</v>
      </c>
      <c r="AD9" s="71">
        <v>4780</v>
      </c>
      <c r="AE9" s="71">
        <v>5240</v>
      </c>
    </row>
    <row r="10" spans="1:99" s="72" customFormat="1" ht="22.2" ph="1">
      <c r="B10" s="237" ph="1"/>
      <c r="C10" s="147" t="s" ph="1">
        <v>178</v>
      </c>
      <c r="D10" s="73" ph="1">
        <f>D9*33.183*LOOKUP(D11,密度!$A$2:$A$50,密度!$Q$2:$Q$50)</f>
        <v>213312.42252180001</v>
      </c>
      <c r="E10" s="73" ph="1">
        <f>E9*51.53*LOOKUP(E11,密度!$A$2:$A$50,密度!$B$2:$B$50)</f>
        <v>18661.69256</v>
      </c>
      <c r="F10" s="73" ph="1">
        <f>F9*33.183*LOOKUP(F11,密度!$A$2:$A$50,密度!$C$2:$C$50)</f>
        <v>164629.7294976</v>
      </c>
      <c r="G10" s="73" ph="1">
        <f xml:space="preserve"> (G9+2)*51.53*LOOKUP(G11,密度!$A$2:$A$50,密度!$B$2:$B$50)</f>
        <v>168116.1097</v>
      </c>
      <c r="H10" s="73" ph="1">
        <f>(H9)*51.53*LOOKUP(H11,密度!$A$2:$A$50,密度!$B$2:$B$50)</f>
        <v>210225.57545499998</v>
      </c>
      <c r="I10" s="73" ph="1">
        <f>I9*290.8*1.0267</f>
        <v>12196.354105999999</v>
      </c>
      <c r="J10" s="73" ph="1">
        <f>J9*290.8*0.7892</f>
        <v>1601.9055328000002</v>
      </c>
      <c r="K10" s="73" ph="1">
        <f>K9*290.8*1.1126</f>
        <v>2733.9474759999998</v>
      </c>
      <c r="L10" s="73" ph="1">
        <f>L9*290.8*0.777</f>
        <v>4435.4299080000001</v>
      </c>
      <c r="M10" s="73" ph="1">
        <f>M9*33.183*LOOKUP(M11,密度!$A$2:$A$50,密度!$D$2:$D$50)</f>
        <v>142501.24111499998</v>
      </c>
      <c r="N10" s="73" ph="1">
        <f>N9*33.183*LOOKUP(N11,密度!$A$2:$A$50,密度!$E$2:$E$50)</f>
        <v>45914.706532799995</v>
      </c>
      <c r="O10" s="73" ph="1">
        <f>O9*20.428*LOOKUP(O11,密度!$A$2:$A$50,密度!$C$2:$C$50)</f>
        <v>2376.8080140000002</v>
      </c>
      <c r="P10" s="73" ph="1">
        <f>P9*51.53*LOOKUP(P11,密度!$A$2:$A$50,密度!$B$2:$B$50)</f>
        <v>84001.299707999991</v>
      </c>
      <c r="Q10" s="73" ph="1">
        <f>Q9*1.5*1.5*3.1416*LOOKUP(W11,密度!$A$2:$A$50,密度!$L$2:$L$50)</f>
        <v>12345.705741600001</v>
      </c>
      <c r="R10" s="73" ph="1">
        <f>R9*1.5*1.5*3.1416*LOOKUP(R11,密度!$A$2:$A$50,密度!$L$2:$L$50)</f>
        <v>42550.356618000005</v>
      </c>
      <c r="S10" s="73" ph="1">
        <f>S9*1.5*1.5*3.1416*LOOKUP(S11,密度!$A$2:$A$50,密度!$L$2:$L$50)</f>
        <v>39723.072127199994</v>
      </c>
      <c r="T10" s="73" ph="1">
        <f>T9*1.5*1.5*3.1416*LOOKUP(T11,密度!$A$2:$A$50,密度!$L$2:$L$50)</f>
        <v>43234.427451599993</v>
      </c>
      <c r="U10" s="73" ph="1">
        <f>U9*1.5*1.5*3.1416*LOOKUP(U11,密度!$A$2:$A$50,密度!$L$2:$L$50)</f>
        <v>13771.230303599999</v>
      </c>
      <c r="V10" s="73" ph="1">
        <f>V9*1.5*1.5*3.1416*LOOKUP(V11,密度!$A$2:$A$50,密度!$L$2:$L$50)</f>
        <v>10855.552969800001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96025.761792000005</v>
      </c>
      <c r="AA10" s="73" ph="1">
        <f>AA9*33.183*LOOKUP(AA11,密度!$A$2:$A$50,密度!$D$2:$D$50)</f>
        <v>26222.0162652</v>
      </c>
      <c r="AB10" s="73" ph="1">
        <f>AB9*20.428*LOOKUP(AB11,密度!$A$2:$A$50,密度!$D$2:$D$50)</f>
        <v>83424.771360400002</v>
      </c>
      <c r="AC10" s="73" ph="1">
        <f>AC9*51.53*LOOKUP(AC11,密度!$A$2:$A$50,密度!$Q$2:$Q$50)</f>
        <v>124858.5694581</v>
      </c>
      <c r="AD10" s="73" ph="1">
        <f>AD9*20.428*LOOKUP(AD11,密度!$A$2:$A$50,密度!$V$2:$V$50)</f>
        <v>93818.123072000002</v>
      </c>
      <c r="AE10" s="73" ph="1">
        <f>AE9*20.428</f>
        <v>107042.72</v>
      </c>
    </row>
    <row r="11" spans="1:99" ph="1">
      <c r="A11" s="64" t="s" ph="1">
        <v>162</v>
      </c>
      <c r="B11" s="237" ph="1"/>
      <c r="C11" s="147" t="s" ph="1">
        <v>179</v>
      </c>
      <c r="D11" s="74">
        <v>25</v>
      </c>
      <c r="E11" s="74">
        <v>24</v>
      </c>
      <c r="F11" s="74">
        <v>23</v>
      </c>
      <c r="G11" s="74">
        <v>24</v>
      </c>
      <c r="H11" s="74">
        <v>24</v>
      </c>
      <c r="I11" s="74">
        <v>25</v>
      </c>
      <c r="J11" s="74">
        <v>25</v>
      </c>
      <c r="K11" s="74">
        <v>25</v>
      </c>
      <c r="L11" s="74">
        <v>25</v>
      </c>
      <c r="M11" s="74">
        <v>23</v>
      </c>
      <c r="N11" s="74">
        <v>24</v>
      </c>
      <c r="O11" s="74">
        <v>26</v>
      </c>
      <c r="P11" s="74">
        <v>25</v>
      </c>
      <c r="Q11" s="74">
        <v>26</v>
      </c>
      <c r="R11" s="74">
        <v>28</v>
      </c>
      <c r="S11" s="74">
        <v>21</v>
      </c>
      <c r="T11" s="74">
        <v>20</v>
      </c>
      <c r="U11" s="74">
        <v>24</v>
      </c>
      <c r="V11" s="74">
        <v>25</v>
      </c>
      <c r="W11" s="74">
        <v>24</v>
      </c>
      <c r="X11" s="74">
        <v>16</v>
      </c>
      <c r="Y11" s="74">
        <v>23</v>
      </c>
      <c r="Z11" s="74">
        <v>20</v>
      </c>
      <c r="AA11" s="74">
        <v>24</v>
      </c>
      <c r="AB11" s="74">
        <v>18</v>
      </c>
      <c r="AC11" s="74">
        <v>22</v>
      </c>
      <c r="AD11" s="74">
        <v>23</v>
      </c>
      <c r="AE11" s="74">
        <v>26</v>
      </c>
    </row>
    <row r="12" spans="1:99" ht="9.9" customHeight="1" ph="1"/>
    <row r="13" spans="1:99" s="72" customFormat="1" ht="29.25" customHeight="1" ph="1">
      <c r="B13" s="214" t="s" ph="1">
        <v>37</v>
      </c>
      <c r="C13" s="147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5" ph="1"/>
      <c r="C14" s="67" t="s" ph="1">
        <v>36</v>
      </c>
      <c r="D14" s="77" t="s" ph="1">
        <v>616</v>
      </c>
      <c r="E14" s="77" t="s" ph="1">
        <v>616</v>
      </c>
      <c r="F14" s="77" t="s" ph="1">
        <v>639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636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635</v>
      </c>
      <c r="AC14" s="77" t="s" ph="1">
        <v>637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6" ph="1">
        <v>0.33333333333333331</v>
      </c>
      <c r="C15" s="147" t="s" ph="1">
        <v>177</v>
      </c>
      <c r="D15" s="78">
        <v>5721</v>
      </c>
      <c r="E15" s="78">
        <v>6209</v>
      </c>
      <c r="F15" s="78">
        <v>2143</v>
      </c>
      <c r="G15" s="78">
        <v>4295</v>
      </c>
      <c r="H15" s="78">
        <v>0</v>
      </c>
      <c r="I15" s="78">
        <v>1616</v>
      </c>
      <c r="J15" s="78">
        <v>0</v>
      </c>
      <c r="K15" s="78">
        <v>4766</v>
      </c>
      <c r="L15" s="78">
        <v>7224</v>
      </c>
      <c r="M15" s="78">
        <v>6946</v>
      </c>
      <c r="N15" s="78">
        <v>439</v>
      </c>
      <c r="O15" s="78">
        <v>6402</v>
      </c>
      <c r="P15" s="78">
        <v>5190</v>
      </c>
      <c r="Q15" s="78">
        <v>1612</v>
      </c>
      <c r="R15" s="78">
        <v>53</v>
      </c>
      <c r="S15" s="78">
        <v>6195</v>
      </c>
      <c r="T15" s="78">
        <v>4990</v>
      </c>
      <c r="U15" s="78">
        <v>5282</v>
      </c>
      <c r="V15" s="78">
        <v>4933</v>
      </c>
      <c r="W15" s="71">
        <v>5035</v>
      </c>
      <c r="X15" s="78">
        <v>849</v>
      </c>
      <c r="Y15" s="106">
        <v>-2366</v>
      </c>
      <c r="Z15" s="78">
        <v>0</v>
      </c>
      <c r="AA15" s="78">
        <v>0</v>
      </c>
      <c r="AB15" s="78" ph="1">
        <v>1097</v>
      </c>
      <c r="AC15" s="78" ph="1">
        <v>2145</v>
      </c>
      <c r="AD15" s="78">
        <v>62.18</v>
      </c>
      <c r="AE15" s="78">
        <v>5.6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7" ph="1"/>
      <c r="C16" s="147" t="s" ph="1">
        <v>178</v>
      </c>
      <c r="D16" s="73" ph="1">
        <f>D15*7.0686*LOOKUP(D17,密度!$A$2:$A$50,密度!$L$2:$L$50)</f>
        <v>37891.7745822</v>
      </c>
      <c r="E16" s="73" ph="1">
        <f>E15*7.0686*LOOKUP(E17,密度!$A$2:$A$50,密度!$L$2:$L$50)</f>
        <v>41123.934343800007</v>
      </c>
      <c r="F16" s="73" ph="1">
        <f>F15*9.0746*LOOKUP(F17,密度!$A$2:$A$50,密度!$L$2:$L$50)</f>
        <v>18221.715128600001</v>
      </c>
      <c r="G16" s="73" ph="1">
        <f>G15*9.0746*LOOKUP(G17,密度!$A$2:$A$50,密度!$B$2:$B$50)</f>
        <v>30455.383029799999</v>
      </c>
      <c r="H16" s="73" ph="1">
        <f>H15*9.0746*LOOKUP(H17,密度!$A$2:$A$50,密度!$L$2:$L$50)</f>
        <v>0</v>
      </c>
      <c r="I16" s="73" ph="1">
        <f>I15*9.0746*LOOKUP(I17,密度!$A$2:$A$50,密度!$U$2:$U$50)</f>
        <v>15075.161100800002</v>
      </c>
      <c r="J16" s="73" ph="1">
        <f>J15*9.0746*LOOKUP(J17,密度!$A$2:$A$50,密度!$L$2:$L$50)</f>
        <v>0</v>
      </c>
      <c r="K16" s="73" ph="1">
        <f>K15*9.0746*LOOKUP(K17,密度!$A$2:$A$50,密度!$C$2:$C$50)</f>
        <v>48024.293213440011</v>
      </c>
      <c r="L16" s="73" ph="1">
        <f>L15*9.0746*LOOKUP(L17,密度!$A$2:$A$50,密度!$E$2:$E$50)</f>
        <v>51342.605825280007</v>
      </c>
      <c r="M16" s="73" ph="1">
        <f>M15*9.0746*LOOKUP(M17,密度!$A$2:$A$50,密度!$M$2:$M$50)</f>
        <v>55159.45336716</v>
      </c>
      <c r="N16" s="73" ph="1">
        <f>N15*9.0746*LOOKUP(N17,密度!$A$2:$A$50,密度!$M$2:$M$50)</f>
        <v>3497.7319732000001</v>
      </c>
      <c r="O16" s="73" ph="1">
        <f>O15*9.0746*LOOKUP(O17,密度!$A$2:$A$50,密度!$G$2:$G$50)</f>
        <v>55783.384749840006</v>
      </c>
      <c r="P16" s="73" ph="1">
        <f ca="1">P15*9.0746*LOOKUP(P17,密度!$A$2:$A$51,密度!$Q$2:$Q$50)</f>
        <v>44588.77851276</v>
      </c>
      <c r="Q16" s="73" ph="1">
        <f>Q15*9.0746*LOOKUP(Q17,密度!$A$2:$A$50,密度!$Q$2:$Q$50)</f>
        <v>13849.154328048</v>
      </c>
      <c r="R16" s="73" ph="1">
        <f>MAX(R15*9.0746*LOOKUP(R17,密度!$A$2:$A$50,密度!$B$2:$B$50),0)</f>
        <v>374.95158247999996</v>
      </c>
      <c r="S16" s="73" ph="1">
        <f>S15*9.0746*LOOKUP(S17,密度!$A$2:$A$50,密度!$Q$2:$Q$50)</f>
        <v>53223.021750780004</v>
      </c>
      <c r="T16" s="73" ph="1">
        <f>T15*9.0746*LOOKUP(T17,密度!$A$2:$A$50,密度!$O$2:$O$50)</f>
        <v>41931.367204000002</v>
      </c>
      <c r="U16" s="73" ph="1">
        <f>U15*9.0746*LOOKUP(U17,密度!$A$2:$A$50,密度!$H$2:$H$50)</f>
        <v>43939.298501239995</v>
      </c>
      <c r="V16" s="73" ph="1">
        <f>MAX(5600*LOOKUP(V17,密度!$A$2:$A$50,密度!$Q$2:$Q$50)+V15*9.0476*LOOKUP(V17,密度!$A$2:$A$50,密度!$Q$2:$Q$50),0)</f>
        <v>47556.464556792002</v>
      </c>
      <c r="W16" s="73" ph="1">
        <f>MAX(5600*LOOKUP(W17,密度!$A$2:$A$50,密度!$Q$2:$Q$50)+W15*9.0476*LOOKUP(W17,密度!$A$2:$A$50,密度!$Q$2:$Q$50),0)</f>
        <v>48430.168488839998</v>
      </c>
      <c r="X16" s="73" ph="1">
        <f>MAX(5600*LOOKUP(X17,密度!$A$2:$A$50,密度!$I$2:$I$50)+X15*9.0476*LOOKUP(X17,密度!$A$2:$A$50,密度!$I$2:$I$50),0)</f>
        <v>13843.21614452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9347.5911917999983</v>
      </c>
      <c r="AC16" s="73" ph="1">
        <f>AC15*9.0746*LOOKUP(AC17,密度!$A$2:$A$50,密度!$L$2:$L$50)</f>
        <v>18277.650963</v>
      </c>
      <c r="AD16" s="73" ph="1">
        <f>AD15*268.68*LOOKUP(AD17,密度!$A$2:$A$50,密度!B2:B50)+IF(AD15&lt;=0,0,1566*LOOKUP(AD17,密度!$A$2:$A$50,密度!B2:B50))</f>
        <v>14245.258463040002</v>
      </c>
      <c r="AE16" s="73" ph="1">
        <f>AE15*268.68*LOOKUP(AE17,密度!$A$2:$A$50,密度!B2:B50)+IF(AE15&lt;=0,0,1566*LOOKUP(AE17,密度!$A$2:$A$50,密度!B2:B50))</f>
        <v>2393.8459967999997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8" ph="1"/>
      <c r="C17" s="79" t="s" ph="1">
        <v>179</v>
      </c>
      <c r="D17" s="74">
        <v>25</v>
      </c>
      <c r="E17" s="74">
        <v>25</v>
      </c>
      <c r="F17" s="74">
        <v>25</v>
      </c>
      <c r="G17" s="74">
        <v>23</v>
      </c>
      <c r="H17" s="74">
        <v>19</v>
      </c>
      <c r="I17" s="74">
        <v>20</v>
      </c>
      <c r="J17" s="74">
        <v>24</v>
      </c>
      <c r="K17" s="74">
        <v>23</v>
      </c>
      <c r="L17" s="74">
        <v>25</v>
      </c>
      <c r="M17" s="74">
        <v>25</v>
      </c>
      <c r="N17" s="74">
        <v>22</v>
      </c>
      <c r="O17" s="74">
        <v>25</v>
      </c>
      <c r="P17" s="74">
        <v>25</v>
      </c>
      <c r="Q17" s="74">
        <v>25</v>
      </c>
      <c r="R17" s="74">
        <v>25</v>
      </c>
      <c r="S17" s="74">
        <v>25</v>
      </c>
      <c r="T17" s="74">
        <v>25</v>
      </c>
      <c r="U17" s="74">
        <v>23</v>
      </c>
      <c r="V17" s="74">
        <v>25</v>
      </c>
      <c r="W17" s="74">
        <v>25</v>
      </c>
      <c r="X17" s="74">
        <v>25</v>
      </c>
      <c r="Y17" s="108">
        <v>25</v>
      </c>
      <c r="Z17" s="74">
        <v>24</v>
      </c>
      <c r="AA17" s="74">
        <v>21</v>
      </c>
      <c r="AB17" s="74">
        <v>23</v>
      </c>
      <c r="AC17" s="74">
        <v>23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6" ph="1">
        <v>0.66666666666666663</v>
      </c>
      <c r="C18" s="79" t="s" ph="1">
        <v>180</v>
      </c>
      <c r="D18" s="71">
        <v>5719</v>
      </c>
      <c r="E18" s="71">
        <v>6400</v>
      </c>
      <c r="F18" s="71">
        <v>2165</v>
      </c>
      <c r="G18" s="71">
        <v>959</v>
      </c>
      <c r="H18" s="71">
        <v>0</v>
      </c>
      <c r="I18" s="71">
        <v>1616</v>
      </c>
      <c r="J18" s="71">
        <v>1675</v>
      </c>
      <c r="K18" s="71">
        <v>4766</v>
      </c>
      <c r="L18" s="71">
        <v>7222</v>
      </c>
      <c r="M18" s="71">
        <v>4136</v>
      </c>
      <c r="N18" s="71">
        <v>2497</v>
      </c>
      <c r="O18" s="71">
        <v>6400</v>
      </c>
      <c r="P18" s="71">
        <v>5187</v>
      </c>
      <c r="Q18" s="71">
        <v>1612</v>
      </c>
      <c r="R18" s="71">
        <v>7467</v>
      </c>
      <c r="S18" s="71">
        <v>6193</v>
      </c>
      <c r="T18" s="71">
        <v>4711</v>
      </c>
      <c r="U18" s="71">
        <v>7130</v>
      </c>
      <c r="V18" s="71">
        <v>4923</v>
      </c>
      <c r="W18" s="71">
        <v>5034</v>
      </c>
      <c r="X18" s="71">
        <v>849</v>
      </c>
      <c r="Y18" s="109">
        <v>-2366</v>
      </c>
      <c r="Z18" s="71">
        <v>0</v>
      </c>
      <c r="AA18" s="71">
        <v>0</v>
      </c>
      <c r="AB18" s="71">
        <v>1096</v>
      </c>
      <c r="AC18" s="71">
        <v>2145</v>
      </c>
      <c r="AD18" s="71">
        <v>84.88</v>
      </c>
      <c r="AE18" s="71">
        <v>22.47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7" ph="1"/>
      <c r="C19" s="147" t="s" ph="1">
        <v>178</v>
      </c>
      <c r="D19" s="73" ph="1">
        <f>D18*7.0686*LOOKUP(D20,密度!$A$2:$A$50,密度!$L$2:$L$50)</f>
        <v>37918.953349199997</v>
      </c>
      <c r="E19" s="73" ph="1">
        <f>E18*7.0686*LOOKUP(E20,密度!$A$2:$A$50,密度!$L$2:$L$50)</f>
        <v>42434.219519999999</v>
      </c>
      <c r="F19" s="73" ph="1">
        <f>F18*9.0746*LOOKUP(F20,密度!$A$2:$A$50,密度!$L$2:$L$50)</f>
        <v>18408.778933000001</v>
      </c>
      <c r="G19" s="73" ph="1">
        <f>G18*9.0746*LOOKUP(G20,密度!$A$2:$A$50,密度!$B$2:$B$50)</f>
        <v>6800.1658499599998</v>
      </c>
      <c r="H19" s="73" ph="1">
        <f>H18*9.0746*LOOKUP(H20,密度!$A$2:$A$50,密度!$L$2:$L$50)</f>
        <v>0</v>
      </c>
      <c r="I19" s="73" ph="1">
        <f>I18*9.0746*LOOKUP(I20,密度!$A$2:$A$50,密度!$U$2:$U$50)</f>
        <v>15045.831993600001</v>
      </c>
      <c r="J19" s="73" ph="1">
        <f>J18*9.0746*LOOKUP(J20,密度!$A$2:$A$50,密度!$L$2:$L$50)</f>
        <v>14257.557789999999</v>
      </c>
      <c r="K19" s="73" ph="1">
        <f>K18*9.0746*LOOKUP(K20,密度!$A$2:$A$50,密度!$C$2:$C$50)</f>
        <v>47989.69357856</v>
      </c>
      <c r="L19" s="73" ph="1">
        <f>L18*9.0746*LOOKUP(L20,密度!$A$2:$A$50,密度!$E$2:$E$50)</f>
        <v>51485.679598720002</v>
      </c>
      <c r="M19" s="73" ph="1">
        <f>M18*9.0746*LOOKUP(M20,密度!$A$2:$A$50,密度!$M$2:$M$50)</f>
        <v>32916.042491199994</v>
      </c>
      <c r="N19" s="73" ph="1">
        <f>N18*9.0746*LOOKUP(N20,密度!$A$2:$A$50,密度!$M$2:$M$50)</f>
        <v>19894.844503600001</v>
      </c>
      <c r="O19" s="73" ph="1">
        <f>O18*9.0746*LOOKUP(O20,密度!$A$2:$A$50,密度!$G$2:$G$50)</f>
        <v>55824.035328000005</v>
      </c>
      <c r="P19" s="73" ph="1">
        <f ca="1">P18*9.0746*LOOKUP(P20,密度!$A$2:$A$51,密度!$Q$2:$Q$50)</f>
        <v>44631.726779640005</v>
      </c>
      <c r="Q19" s="73" ph="1">
        <f>Q18*9.0746*LOOKUP(Q20,密度!$A$2:$A$50,密度!$Q$2:$Q$50)</f>
        <v>13859.832954344</v>
      </c>
      <c r="R19" s="73" ph="1">
        <f>MAX(R18*9.0746*LOOKUP(R20,密度!$A$2:$A$50,密度!$B$2:$B$50),0)</f>
        <v>52947.693849479998</v>
      </c>
      <c r="S19" s="73" ph="1">
        <f>S18*9.0746*LOOKUP(S20,密度!$A$2:$A$50,密度!$Q$2:$Q$50)</f>
        <v>53246.864445566003</v>
      </c>
      <c r="T19" s="73" ph="1">
        <f>T18*9.0746*LOOKUP(T20,密度!$A$2:$A$50,密度!$O$2:$O$50)</f>
        <v>39757.909758000002</v>
      </c>
      <c r="U19" s="73" ph="1">
        <f>U18*9.0746*LOOKUP(U20,密度!$A$2:$A$50,密度!$H$2:$H$50)</f>
        <v>59247.527998599995</v>
      </c>
      <c r="V19" s="73" ph="1">
        <f>MAX(5600*LOOKUP(V20,密度!$A$2:$A$50,密度!$Q$2:$Q$50)+V18*9.0476*LOOKUP(V20,密度!$A$2:$A$50,密度!$Q$2:$Q$50),0)</f>
        <v>47470.807308551994</v>
      </c>
      <c r="W19" s="73" ph="1">
        <f>MAX(5600*LOOKUP(W20,密度!$A$2:$A$50,密度!$Q$2:$Q$50)+W18*9.0476*LOOKUP(W20,密度!$A$2:$A$50,密度!$Q$2:$Q$50),0)</f>
        <v>48421.602764016003</v>
      </c>
      <c r="X19" s="73" ph="1">
        <f>MAX(5600*LOOKUP(X20,密度!$A$2:$A$50,密度!$I$2:$I$50)+X18*9.0476*LOOKUP(X20,密度!$A$2:$A$50,密度!$I$2:$I$50),0)</f>
        <v>13857.825698160001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9329.1243807999999</v>
      </c>
      <c r="AC19" s="73" ph="1">
        <f>AC18*9.0746*LOOKUP(AC20,密度!$A$2:$A$50,密度!$L$2:$L$50)</f>
        <v>18277.650963</v>
      </c>
      <c r="AD19" s="73" ph="1">
        <f>AD18*268.68*LOOKUP(AD20,密度!$A$2:$A$50,密度!B5:B53)+IF(AD18&lt;=0,0,1566*LOOKUP(AD20,密度!$A$2:$A$50,密度!B5:B53))</f>
        <v>18936.700876799998</v>
      </c>
      <c r="AE19" s="73" ph="1">
        <f>AE18*268.68*LOOKUP(AE20,密度!$A$2:$A$50,密度!B5:B53)+IF(AE18&lt;=0,0,1566*LOOKUP(AE20,密度!$A$2:$A$50,密度!B5:B53))</f>
        <v>5907.7171692000002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7" ph="1"/>
      <c r="C20" s="80" t="s" ph="1">
        <v>179</v>
      </c>
      <c r="D20" s="81">
        <v>24</v>
      </c>
      <c r="E20" s="81">
        <v>24</v>
      </c>
      <c r="F20" s="81">
        <v>25</v>
      </c>
      <c r="G20" s="81">
        <v>23</v>
      </c>
      <c r="H20" s="81">
        <v>20</v>
      </c>
      <c r="I20" s="81">
        <v>24</v>
      </c>
      <c r="J20" s="81">
        <v>24</v>
      </c>
      <c r="K20" s="81">
        <v>24</v>
      </c>
      <c r="L20" s="81">
        <v>23</v>
      </c>
      <c r="M20" s="81">
        <v>23</v>
      </c>
      <c r="N20" s="81">
        <v>22</v>
      </c>
      <c r="O20" s="81">
        <v>24</v>
      </c>
      <c r="P20" s="81">
        <v>23</v>
      </c>
      <c r="Q20" s="81">
        <v>24</v>
      </c>
      <c r="R20" s="81">
        <v>23</v>
      </c>
      <c r="S20" s="81">
        <v>24</v>
      </c>
      <c r="T20" s="81">
        <v>23</v>
      </c>
      <c r="U20" s="81">
        <v>24</v>
      </c>
      <c r="V20" s="81">
        <v>25</v>
      </c>
      <c r="W20" s="81">
        <v>25</v>
      </c>
      <c r="X20" s="81">
        <v>24</v>
      </c>
      <c r="Y20" s="110">
        <v>24</v>
      </c>
      <c r="Z20" s="81">
        <v>25</v>
      </c>
      <c r="AA20" s="81">
        <v>22</v>
      </c>
      <c r="AB20" s="81">
        <v>24</v>
      </c>
      <c r="AC20" s="81">
        <v>23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28" t="s" ph="1">
        <v>640</v>
      </c>
      <c r="AA23" s="229"/>
      <c r="AB23" s="229"/>
      <c r="AC23" s="229"/>
      <c r="AD23" s="229"/>
      <c r="AE23" s="23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7" ph="1">
        <v>0.33333333333333331</v>
      </c>
      <c r="C24" s="147" t="s" ph="1">
        <v>177</v>
      </c>
      <c r="D24" s="71">
        <v>58.15</v>
      </c>
      <c r="E24" s="71">
        <v>3</v>
      </c>
      <c r="F24" s="71">
        <v>2634</v>
      </c>
      <c r="G24" s="71">
        <v>3461</v>
      </c>
      <c r="H24" s="71">
        <v>1717</v>
      </c>
      <c r="I24" s="71">
        <v>281</v>
      </c>
      <c r="J24" s="71">
        <v>421</v>
      </c>
      <c r="K24" s="71">
        <v>4922</v>
      </c>
      <c r="L24" s="71">
        <v>5584</v>
      </c>
      <c r="M24" s="71">
        <v>5109</v>
      </c>
      <c r="N24" s="71">
        <v>5506</v>
      </c>
      <c r="O24" s="71">
        <v>3772</v>
      </c>
      <c r="P24" s="71">
        <v>362</v>
      </c>
      <c r="Q24" s="90">
        <v>4070</v>
      </c>
      <c r="R24" s="71">
        <v>205</v>
      </c>
      <c r="S24" s="71">
        <v>3205</v>
      </c>
      <c r="T24" s="71">
        <v>281</v>
      </c>
      <c r="U24" s="71">
        <v>5771</v>
      </c>
      <c r="V24" s="71">
        <v>10265</v>
      </c>
      <c r="W24" s="71">
        <v>8022</v>
      </c>
      <c r="X24" s="71">
        <v>3309</v>
      </c>
      <c r="Y24" s="71">
        <v>3938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7" ph="1"/>
      <c r="C25" s="68" t="s" ph="1">
        <v>178</v>
      </c>
      <c r="D25" s="91" ph="1">
        <f>D24*268.68*LOOKUP(D26,密度!$A$2:$A$50,密度!$Q$2:$Q$50)+IF(D24&lt;=0,0,1566*LOOKUP(D26,密度!$A$2:$A$50,密度!$Q$2:$Q$50))</f>
        <v>16274.21634108</v>
      </c>
      <c r="E25" s="91" ph="1">
        <f>E24*268.68*LOOKUP(E26,密度!$A$2:$A$50,密度!$C$2:$C$50)+IF(E24&lt;=0,0,1566*LOOKUP(E26,密度!$A$2:$A$50,密度!$C$2:$C$50))</f>
        <v>2630.3551559999996</v>
      </c>
      <c r="F25" s="91" ph="1">
        <f>F24*11.702*LOOKUP(F26,密度!$A$2:$A$50,密度!$Q$2:$Q$50)</f>
        <v>29253.865608119999</v>
      </c>
      <c r="G25" s="91" ph="1">
        <f>G24*18.322*LOOKUP(G26,密度!$A$2:$A$50,密度!$B$2:$B$50)</f>
        <v>49607.553376599993</v>
      </c>
      <c r="H25" s="91" ph="1">
        <f>H24*18.322*LOOKUP(H26,密度!$A$2:$A$50,密度!$B$2:$B$50)</f>
        <v>24638.590116800002</v>
      </c>
      <c r="I25" s="91" ph="1">
        <f>I24*18.322*LOOKUP(I26,密度!$A$2:$A$50,密度!$Q$2:$Q$50)</f>
        <v>4886.3727813799997</v>
      </c>
      <c r="J25" s="91" ph="1">
        <f>J24*18.322*LOOKUP(J26,密度!$A$2:$A$50,密度!$Q$2:$Q$50)</f>
        <v>7320.8645585799995</v>
      </c>
      <c r="K25" s="91" ph="1">
        <f>K24*18.322*LOOKUP(K26,密度!$A$2:$A$50,密度!$Q$2:$Q$50)</f>
        <v>85509.514208799999</v>
      </c>
      <c r="L25" s="91" ph="1">
        <f>L24*18.322*LOOKUP(L26,密度!$A$2:$A$50,密度!$Q$2:$Q$50)</f>
        <v>97010.387513599999</v>
      </c>
      <c r="M25" s="91" ph="1">
        <f>M24*18.322*LOOKUP(M26,密度!$A$2:$A$50,密度!$Q$2:$Q$50)</f>
        <v>88758.250323600005</v>
      </c>
      <c r="N25" s="91" ph="1">
        <f>N24*18.322*LOOKUP(N26,密度!$A$2:$A$50,密度!$Q$2:$Q$50)</f>
        <v>95745.083751879996</v>
      </c>
      <c r="O25" s="91" ph="1">
        <f>O24*18.322*LOOKUP(O26,密度!$A$2:$A$50,密度!$C$2:$C$50)</f>
        <v>76788.769882399996</v>
      </c>
      <c r="P25" s="91" ph="1">
        <f>P24*11.702*LOOKUP(P26,密度!$A$2:$A$50,密度!$B$2:$B$50)</f>
        <v>3317.7323167999998</v>
      </c>
      <c r="Q25" s="92" ph="1">
        <f>Q24*18.322*LOOKUP(Q26,密度!$A$2:$A$50,密度!$B$2:$B$50)</f>
        <v>58403.646927999995</v>
      </c>
      <c r="R25" s="91" ph="1">
        <f>R24*35.891*LOOKUP(R26,密度!$A$2:$A$50,密度!$C$2:$C$50)</f>
        <v>8186.126953</v>
      </c>
      <c r="S25" s="91" ph="1">
        <f>S24*35.891*LOOKUP(S26,密度!$A$2:$A$50,密度!$B$2:$B$50)</f>
        <v>90195.536585499998</v>
      </c>
      <c r="T25" s="91" ph="1">
        <f>T24*35.891*LOOKUP(T26,密度!$A$2:$A$50,密度!$Q$2:$Q$50)</f>
        <v>9571.9247623899992</v>
      </c>
      <c r="U25" s="91" ph="1">
        <f>U24*35.891</f>
        <v>207126.96099999998</v>
      </c>
      <c r="V25" s="91" ph="1">
        <f>V24*47.051*LOOKUP(V26,密度!$A$2:$A$50,密度!$B$2:$B$50)</f>
        <v>377834.09228450002</v>
      </c>
      <c r="W25" s="91" ph="1">
        <f>W24*47.051*LOOKUP(W26,密度!$A$2:$A$50,密度!$B$2:$B$50)</f>
        <v>295273.75434060005</v>
      </c>
      <c r="X25" s="91" ph="1">
        <f>X24*47.051*LOOKUP(X26,密度!$A$2:$A$50,密度!$I$2:$I$50)</f>
        <v>162635.61145140001</v>
      </c>
      <c r="Y25" s="91" ph="1">
        <f>Y24*47.051*LOOKUP(Y26,密度!$A$2:$A$50,密度!$L$2:$L$50)</f>
        <v>173984.34088200002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7" ph="1"/>
      <c r="C26" s="68" t="s" ph="1">
        <v>179</v>
      </c>
      <c r="D26" s="74">
        <v>25</v>
      </c>
      <c r="E26" s="74">
        <v>25</v>
      </c>
      <c r="F26" s="74">
        <v>22</v>
      </c>
      <c r="G26" s="74">
        <v>22</v>
      </c>
      <c r="H26" s="74">
        <v>21</v>
      </c>
      <c r="I26" s="74">
        <v>22</v>
      </c>
      <c r="J26" s="74">
        <v>22</v>
      </c>
      <c r="K26" s="74">
        <v>23</v>
      </c>
      <c r="L26" s="74">
        <v>23</v>
      </c>
      <c r="M26" s="74">
        <v>23</v>
      </c>
      <c r="N26" s="74">
        <v>22</v>
      </c>
      <c r="O26" s="74">
        <v>22</v>
      </c>
      <c r="P26" s="74">
        <v>21</v>
      </c>
      <c r="Q26" s="93">
        <v>21</v>
      </c>
      <c r="R26" s="74">
        <v>20</v>
      </c>
      <c r="S26" s="74">
        <v>20</v>
      </c>
      <c r="T26" s="74">
        <v>22</v>
      </c>
      <c r="U26" s="74">
        <v>21</v>
      </c>
      <c r="V26" s="74">
        <v>22</v>
      </c>
      <c r="W26" s="74">
        <v>22</v>
      </c>
      <c r="X26" s="74">
        <v>23</v>
      </c>
      <c r="Y26" s="74">
        <v>23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7" ph="1">
        <v>0.66666666666666663</v>
      </c>
      <c r="C27" s="147" t="s" ph="1">
        <v>180</v>
      </c>
      <c r="D27" s="71">
        <v>12.31</v>
      </c>
      <c r="E27" s="71">
        <v>3</v>
      </c>
      <c r="F27" s="71">
        <v>1836</v>
      </c>
      <c r="G27" s="71">
        <v>2956</v>
      </c>
      <c r="H27" s="71">
        <v>1360</v>
      </c>
      <c r="I27" s="71">
        <v>281</v>
      </c>
      <c r="J27" s="71">
        <v>420</v>
      </c>
      <c r="K27" s="71">
        <v>4346</v>
      </c>
      <c r="L27" s="71">
        <v>5583</v>
      </c>
      <c r="M27" s="71">
        <v>5108</v>
      </c>
      <c r="N27" s="71">
        <v>5505</v>
      </c>
      <c r="O27" s="71">
        <v>3772</v>
      </c>
      <c r="P27" s="71">
        <v>361</v>
      </c>
      <c r="Q27" s="90">
        <v>405</v>
      </c>
      <c r="R27" s="71">
        <v>204</v>
      </c>
      <c r="S27" s="71">
        <v>5187</v>
      </c>
      <c r="T27" s="71">
        <v>280</v>
      </c>
      <c r="U27" s="71">
        <v>5699</v>
      </c>
      <c r="V27" s="71">
        <v>10263</v>
      </c>
      <c r="W27" s="71">
        <v>8018</v>
      </c>
      <c r="X27" s="71">
        <v>3307</v>
      </c>
      <c r="Y27" s="71">
        <v>4492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7" ph="1"/>
      <c r="C28" s="147" t="s" ph="1">
        <v>178</v>
      </c>
      <c r="D28" s="91" ph="1">
        <f>D27*268.68*LOOKUP(D29,密度!$A$2:$A$50,密度!$Q$2:$Q$50)+IF(D27&lt;=0,0,1566*LOOKUP(D29,密度!$A$2:$A$50,密度!$Q$2:$Q$50))</f>
        <v>4613.8908103920003</v>
      </c>
      <c r="E28" s="91" ph="1">
        <f>E27*268.68*LOOKUP(E29,密度!$A$2:$A$50,密度!$C$2:$C$50)+IF(E27&lt;=0,0,1566*LOOKUP(E29,密度!$A$2:$A$50,密度!$C$2:$C$50))</f>
        <v>2630.3551559999996</v>
      </c>
      <c r="F28" s="91" ph="1">
        <f>F27*11.702*LOOKUP(F29,密度!$A$2:$A$50,密度!$Q$2:$Q$50)</f>
        <v>20356.271673840001</v>
      </c>
      <c r="G28" s="91" ph="1">
        <f>G27*18.322*LOOKUP(G29,密度!$A$2:$A$50,密度!$B$2:$B$50)</f>
        <v>42271.748875999998</v>
      </c>
      <c r="H28" s="91" ph="1">
        <f>H27*18.322*LOOKUP(H29,密度!$A$2:$A$50,密度!$B$2:$B$50)</f>
        <v>19448.436559999998</v>
      </c>
      <c r="I28" s="91" ph="1">
        <f>I27*18.322*LOOKUP(I29,密度!$A$2:$A$50,密度!$Q$2:$Q$50)</f>
        <v>4878.0322405400002</v>
      </c>
      <c r="J28" s="91" ph="1">
        <f>J27*18.322*LOOKUP(J29,密度!$A$2:$A$50,密度!$Q$2:$Q$50)</f>
        <v>7285.3915176</v>
      </c>
      <c r="K28" s="91" ph="1">
        <f>K27*18.322*LOOKUP(K29,密度!$A$2:$A$50,密度!$Q$2:$Q$50)</f>
        <v>75386.456036880001</v>
      </c>
      <c r="L28" s="91" ph="1">
        <f>L27*18.322*LOOKUP(L29,密度!$A$2:$A$50,密度!$Q$2:$Q$50)</f>
        <v>96918.341633219999</v>
      </c>
      <c r="M28" s="91" ph="1">
        <f>M27*18.322*LOOKUP(M29,密度!$A$2:$A$50,密度!$Q$2:$Q$50)</f>
        <v>88672.557596719998</v>
      </c>
      <c r="N28" s="91" ph="1">
        <f>N27*18.322*LOOKUP(N29,密度!$A$2:$A$50,密度!$Q$2:$Q$50)</f>
        <v>95490.667391399998</v>
      </c>
      <c r="O28" s="91" ph="1">
        <f>O27*18.322*LOOKUP(O29,密度!$A$2:$A$50,密度!$C$2:$C$50)</f>
        <v>76685.104006399997</v>
      </c>
      <c r="P28" s="91" ph="1">
        <f>P27*11.702*LOOKUP(P29,密度!$A$2:$A$50,密度!$B$2:$B$50)</f>
        <v>3293.3593911999997</v>
      </c>
      <c r="Q28" s="92" ph="1">
        <f>Q27*18.322*LOOKUP(Q29,密度!$A$2:$A$50,密度!$B$2:$B$50)</f>
        <v>5791.630005</v>
      </c>
      <c r="R28" s="91" ph="1">
        <f>R27*35.891*LOOKUP(R29,密度!$A$2:$A$50,密度!$C$2:$C$50)</f>
        <v>8124.2293343999982</v>
      </c>
      <c r="S28" s="91" ph="1">
        <f>S27*35.891*LOOKUP(S29,密度!$A$2:$A$50,密度!$B$2:$B$50)</f>
        <v>145135.49461319999</v>
      </c>
      <c r="T28" s="91" ph="1">
        <f>T27*35.891*LOOKUP(T29,密度!$A$2:$A$50,密度!$Q$2:$Q$50)</f>
        <v>9514.2446951999991</v>
      </c>
      <c r="U28" s="91" ph="1">
        <f>U27*35.891</f>
        <v>204542.80899999998</v>
      </c>
      <c r="V28" s="91" ph="1">
        <f>V27*47.051*LOOKUP(V29,密度!$A$2:$A$50,密度!$B$2:$B$50)</f>
        <v>376891.2843465</v>
      </c>
      <c r="W28" s="91" ph="1">
        <f>W27*47.051*LOOKUP(W29,密度!$A$2:$A$50,密度!$B$2:$B$50)</f>
        <v>294447.463499</v>
      </c>
      <c r="X28" s="91" ph="1">
        <f>X27*47.051*LOOKUP(X29,密度!$A$2:$A$50,密度!$I$2:$I$50)</f>
        <v>162179.43789110001</v>
      </c>
      <c r="Y28" s="91" ph="1">
        <f>Y27*47.051*LOOKUP(Y29,密度!$A$2:$A$50,密度!$L$2:$L$50)</f>
        <v>198249.200296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7" ph="1"/>
      <c r="C29" s="147" t="s" ph="1">
        <v>179</v>
      </c>
      <c r="D29" s="74">
        <v>25</v>
      </c>
      <c r="E29" s="74">
        <v>25</v>
      </c>
      <c r="F29" s="74">
        <v>24</v>
      </c>
      <c r="G29" s="74">
        <v>24</v>
      </c>
      <c r="H29" s="74">
        <v>24</v>
      </c>
      <c r="I29" s="74">
        <v>24</v>
      </c>
      <c r="J29" s="74">
        <v>25</v>
      </c>
      <c r="K29" s="74">
        <v>25</v>
      </c>
      <c r="L29" s="74">
        <v>24</v>
      </c>
      <c r="M29" s="74">
        <v>24</v>
      </c>
      <c r="N29" s="74">
        <v>25</v>
      </c>
      <c r="O29" s="74">
        <v>24</v>
      </c>
      <c r="P29" s="74">
        <v>25</v>
      </c>
      <c r="Q29" s="93">
        <v>24</v>
      </c>
      <c r="R29" s="74">
        <v>24</v>
      </c>
      <c r="S29" s="74">
        <v>25</v>
      </c>
      <c r="T29" s="74">
        <v>25</v>
      </c>
      <c r="U29" s="74">
        <v>25</v>
      </c>
      <c r="V29" s="74">
        <v>24</v>
      </c>
      <c r="W29" s="74">
        <v>24</v>
      </c>
      <c r="X29" s="74">
        <v>25</v>
      </c>
      <c r="Y29" s="74">
        <v>24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47" t="s" ph="1">
        <v>5</v>
      </c>
      <c r="F32" s="148" t="s" ph="1">
        <v>43</v>
      </c>
      <c r="G32" s="97" t="s" ph="1">
        <v>4</v>
      </c>
      <c r="H32" s="147" t="s" ph="1">
        <v>5</v>
      </c>
      <c r="I32" s="148" t="s" ph="1">
        <v>43</v>
      </c>
      <c r="J32" s="97" t="s" ph="1">
        <v>4</v>
      </c>
      <c r="K32" s="147" t="s" ph="1">
        <v>5</v>
      </c>
      <c r="L32" s="148" t="s" ph="1">
        <v>43</v>
      </c>
      <c r="M32" s="97" t="s" ph="1">
        <v>4</v>
      </c>
      <c r="N32" s="147" t="s" ph="1">
        <v>5</v>
      </c>
      <c r="O32" s="14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7" t="s" ph="1">
        <v>5</v>
      </c>
      <c r="U32" s="99" t="s" ph="1">
        <v>43</v>
      </c>
      <c r="V32" s="97" t="s" ph="1">
        <v>4</v>
      </c>
      <c r="W32" s="147" t="s" ph="1">
        <v>5</v>
      </c>
      <c r="X32" s="99" t="s" ph="1">
        <v>43</v>
      </c>
      <c r="Y32" s="100" t="s" ph="1">
        <v>4</v>
      </c>
      <c r="Z32" s="147" t="s" ph="1">
        <v>5</v>
      </c>
      <c r="AA32" s="148" t="s" ph="1">
        <v>43</v>
      </c>
      <c r="AB32" s="97" t="s" ph="1">
        <v>85</v>
      </c>
      <c r="AC32" s="147" t="s" ph="1">
        <v>84</v>
      </c>
      <c r="AD32" s="204" t="s" ph="1">
        <v>83</v>
      </c>
      <c r="AE32" s="20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6" t="s" ph="1">
        <v>181</v>
      </c>
      <c r="C33" s="207" ph="1"/>
      <c r="D33" s="186" ph="1">
        <f>AA10+AB10+Z19</f>
        <v>109646.7876256</v>
      </c>
      <c r="E33" s="186" ph="1">
        <f>M10+I10</f>
        <v>154697.59522099997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1522252632456786910111213141516171819202123456789101112131415161718192022232424356789101112131415161718192021222345678910111213141516171819202345678910111213149101516171819222123234567891012131415161711181920212224252345678910111213138[[#This Row],[F25]]</f>
        <v>3880</v>
      </c>
      <c r="G33" s="212" ph="1">
        <v>0</v>
      </c>
      <c r="H33" s="186" ph="1">
        <f>N19</f>
        <v>19894.844503600001</v>
      </c>
      <c r="I33" s="190" ph="1">
        <v>0</v>
      </c>
      <c r="J33" s="194" ph="1">
        <f>F10+O28</f>
        <v>241314.83350399998</v>
      </c>
      <c r="K33" s="186" ph="1">
        <f>O10+K10+E28+R28</f>
        <v>15865.339980399996</v>
      </c>
      <c r="L33" s="196" ph="1">
        <f>BE27</f>
        <v>7100</v>
      </c>
      <c r="M33" s="194" ph="1">
        <f>G10+H10+W28+S28+V28+E10</f>
        <v>1213477.6201736999</v>
      </c>
      <c r="N33" s="186" ph="1">
        <f>L10+P10++G28+H28</f>
        <v>150156.915052</v>
      </c>
      <c r="O33" s="190" ph="1">
        <f>BE17</f>
        <v>2270</v>
      </c>
      <c r="P33" s="194" ph="1">
        <f>L19</f>
        <v>51485.679598720002</v>
      </c>
      <c r="Q33" s="186" ph="1">
        <f>J10+N10</f>
        <v>47516.612065599998</v>
      </c>
      <c r="R33" s="190" ph="1">
        <f>BE23</f>
        <v>890</v>
      </c>
      <c r="S33" s="194" ph="1">
        <f>E10+X28</f>
        <v>180841.13045110001</v>
      </c>
      <c r="T33" s="186" ph="1">
        <f>X19</f>
        <v>13857.825698160001</v>
      </c>
      <c r="U33" s="175" ph="1">
        <f>BE21</f>
        <v>730</v>
      </c>
      <c r="V33" s="188" ph="1">
        <f ca="1">P19+Q19+S19+M28+N28+J28</f>
        <v>303187.04068526998</v>
      </c>
      <c r="W33" s="188" ph="1">
        <f>D28+F28+V19+T28</f>
        <v>81955.214487983991</v>
      </c>
      <c r="X33" s="190" ph="1">
        <f>BE29+BE31</f>
        <v>10200</v>
      </c>
      <c r="Y33" s="192" ph="1">
        <f>+Q10+R10+S10+T10+U10+V10+W10+X10+Y10</f>
        <v>162480.34521179998</v>
      </c>
      <c r="Z33" s="173" ph="1">
        <f>D10+T19+U19+Y28+Z10</f>
        <v>606592.82236640004</v>
      </c>
      <c r="AA33" s="175" ph="1">
        <f>BE19</f>
        <v>1440</v>
      </c>
      <c r="AB33" s="177" ph="1">
        <f>I19</f>
        <v>15045.831993600001</v>
      </c>
      <c r="AC33" s="179" ph="1">
        <f>AD10</f>
        <v>93818.123072000002</v>
      </c>
      <c r="AD33" s="181" ph="1">
        <v>0</v>
      </c>
      <c r="AE33" s="18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5" t="s" ph="1">
        <v>633</v>
      </c>
      <c r="AD35" s="185"/>
      <c r="AE35" s="18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1" t="s" ph="1">
        <v>183</v>
      </c>
      <c r="J36" s="171" ph="1"/>
      <c r="K36" s="101" ph="1"/>
      <c r="P36" s="101" ph="1"/>
      <c r="R36" s="171" t="s" ph="1">
        <v>184</v>
      </c>
      <c r="S36" s="171" ph="1"/>
      <c r="Y36" s="102" ph="1"/>
      <c r="Z36" s="149" t="s" ph="1">
        <v>185</v>
      </c>
      <c r="AA36" s="149" ph="1"/>
      <c r="AB36" s="172" t="s" ph="1">
        <v>642</v>
      </c>
      <c r="AC36" s="172" ph="1"/>
      <c r="AD36" s="172" ph="1"/>
      <c r="AE36" s="172" ph="1"/>
      <c r="BA36" s="64" ph="1">
        <v>2270</v>
      </c>
    </row>
    <row r="37" spans="1:57" s="14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9" t="s" ph="1">
        <v>342</v>
      </c>
      <c r="AI37" s="149" t="s" ph="1">
        <v>209</v>
      </c>
      <c r="AJ37" s="149" t="s" ph="1">
        <v>210</v>
      </c>
      <c r="AK37" s="149" t="s" ph="1">
        <v>211</v>
      </c>
      <c r="AM37" s="149" t="s" ph="1">
        <v>210</v>
      </c>
      <c r="AN37" s="149" t="s" ph="1">
        <v>211</v>
      </c>
      <c r="AO37" s="149" t="s" ph="1">
        <v>212</v>
      </c>
      <c r="AP37" s="149" t="s" ph="1">
        <v>210</v>
      </c>
      <c r="AQ37" s="149" t="s" ph="1">
        <v>211</v>
      </c>
      <c r="AR37" s="149" t="s" ph="1">
        <v>212</v>
      </c>
      <c r="AS37" s="149" t="s" ph="1">
        <v>210</v>
      </c>
      <c r="AT37" s="149" t="s" ph="1">
        <v>211</v>
      </c>
      <c r="AU37" s="149" t="s" ph="1">
        <v>212</v>
      </c>
      <c r="AV37" s="149" t="s" ph="1">
        <v>210</v>
      </c>
      <c r="AW37" s="149" t="s" ph="1">
        <v>211</v>
      </c>
      <c r="AX37" s="149" t="s" ph="1">
        <v>212</v>
      </c>
      <c r="AY37" s="149" t="s" ph="1">
        <v>211</v>
      </c>
      <c r="AZ37" s="149" t="s" ph="1">
        <v>213</v>
      </c>
      <c r="BD37" s="149" t="s" ph="1">
        <v>305</v>
      </c>
      <c r="BE37" s="149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791" priority="98">
      <formula>ABS(D$7-D$10)&gt;=1000</formula>
    </cfRule>
  </conditionalFormatting>
  <conditionalFormatting sqref="E4 E6:E11">
    <cfRule type="expression" dxfId="1790" priority="97">
      <formula>ABS(E$7-E$10)&gt;=1000</formula>
    </cfRule>
  </conditionalFormatting>
  <conditionalFormatting sqref="F4:F11">
    <cfRule type="expression" dxfId="1789" priority="96">
      <formula>ABS(F$7-F$10)&gt;=1000</formula>
    </cfRule>
  </conditionalFormatting>
  <conditionalFormatting sqref="G4:G11">
    <cfRule type="expression" dxfId="1788" priority="95">
      <formula>ABS(G$7-G$10)&gt;=1000</formula>
    </cfRule>
  </conditionalFormatting>
  <conditionalFormatting sqref="H4:H11">
    <cfRule type="expression" dxfId="1787" priority="94">
      <formula>ABS(H$7-H$10)&gt;=1000</formula>
    </cfRule>
  </conditionalFormatting>
  <conditionalFormatting sqref="I4:I11">
    <cfRule type="expression" dxfId="1786" priority="93">
      <formula>ABS(I$7-I$10)&gt;=1000</formula>
    </cfRule>
  </conditionalFormatting>
  <conditionalFormatting sqref="J4:J11">
    <cfRule type="expression" dxfId="1785" priority="92">
      <formula>ABS(J$7-J$10)&gt;=1000</formula>
    </cfRule>
  </conditionalFormatting>
  <conditionalFormatting sqref="K4:K11">
    <cfRule type="expression" dxfId="1784" priority="91">
      <formula>ABS(K$7-K$10)&gt;=1000</formula>
    </cfRule>
  </conditionalFormatting>
  <conditionalFormatting sqref="L4:L11">
    <cfRule type="expression" dxfId="1783" priority="90">
      <formula>ABS(L$7-L$10)&gt;=1000</formula>
    </cfRule>
  </conditionalFormatting>
  <conditionalFormatting sqref="M4 M6:M11">
    <cfRule type="expression" dxfId="1782" priority="89">
      <formula>ABS(M$7-M$10)&gt;=1000</formula>
    </cfRule>
  </conditionalFormatting>
  <conditionalFormatting sqref="N4 N6:N11">
    <cfRule type="expression" dxfId="1781" priority="88">
      <formula>ABS(N$7-N$10)&gt;=1000</formula>
    </cfRule>
  </conditionalFormatting>
  <conditionalFormatting sqref="O4 O6:O11">
    <cfRule type="expression" dxfId="1780" priority="87">
      <formula>ABS(O$7-O$10)&gt;=1000</formula>
    </cfRule>
  </conditionalFormatting>
  <conditionalFormatting sqref="P4 P6:P11">
    <cfRule type="expression" dxfId="1779" priority="86">
      <formula>ABS(P$7-P$10)&gt;=1000</formula>
    </cfRule>
  </conditionalFormatting>
  <conditionalFormatting sqref="Q4:Q11">
    <cfRule type="expression" dxfId="1778" priority="85">
      <formula>ABS(Q$7-Q$10)&gt;=1000</formula>
    </cfRule>
  </conditionalFormatting>
  <conditionalFormatting sqref="R4:R11">
    <cfRule type="expression" dxfId="1777" priority="84">
      <formula>ABS(R$7-R$10)&gt;=1000</formula>
    </cfRule>
  </conditionalFormatting>
  <conditionalFormatting sqref="S4:S11">
    <cfRule type="expression" dxfId="1776" priority="83">
      <formula>ABS(S$7-S$10)&gt;=1000</formula>
    </cfRule>
  </conditionalFormatting>
  <conditionalFormatting sqref="T4:T9 T11">
    <cfRule type="expression" dxfId="1775" priority="82">
      <formula>ABS(T$7-T$10)&gt;=1000</formula>
    </cfRule>
  </conditionalFormatting>
  <conditionalFormatting sqref="U4:U9 U11">
    <cfRule type="expression" dxfId="1774" priority="81">
      <formula>ABS(U$7-U$10)&gt;=1000</formula>
    </cfRule>
  </conditionalFormatting>
  <conditionalFormatting sqref="V4:V9 V11">
    <cfRule type="expression" dxfId="1773" priority="80">
      <formula>ABS(V$7-V$10)&gt;=1000</formula>
    </cfRule>
  </conditionalFormatting>
  <conditionalFormatting sqref="W4:W9 W11">
    <cfRule type="expression" dxfId="1772" priority="79">
      <formula>ABS(W$7-W$10)&gt;=1000</formula>
    </cfRule>
  </conditionalFormatting>
  <conditionalFormatting sqref="X4:X9 X11">
    <cfRule type="expression" dxfId="1771" priority="78">
      <formula>ABS(X$7-X$10)&gt;=1000</formula>
    </cfRule>
  </conditionalFormatting>
  <conditionalFormatting sqref="Y4:Y9 Y11">
    <cfRule type="expression" dxfId="1770" priority="77">
      <formula>ABS(Y$7-Y$10)&gt;=1000</formula>
    </cfRule>
  </conditionalFormatting>
  <conditionalFormatting sqref="Z4:Z11">
    <cfRule type="expression" dxfId="1769" priority="76">
      <formula>ABS(Z$7-Z$10)&gt;=1000</formula>
    </cfRule>
  </conditionalFormatting>
  <conditionalFormatting sqref="AA4:AA11">
    <cfRule type="expression" dxfId="1768" priority="75">
      <formula>ABS(AA$7-AA$10)&gt;=1000</formula>
    </cfRule>
  </conditionalFormatting>
  <conditionalFormatting sqref="AB4:AB11">
    <cfRule type="expression" dxfId="1767" priority="74">
      <formula>ABS(AB$7-AB$10)&gt;=1000</formula>
    </cfRule>
  </conditionalFormatting>
  <conditionalFormatting sqref="AC4 AC6:AC11">
    <cfRule type="expression" dxfId="1766" priority="73">
      <formula>ABS(AC$7-AC$10)&gt;=1000</formula>
    </cfRule>
  </conditionalFormatting>
  <conditionalFormatting sqref="AD4:AD11">
    <cfRule type="expression" dxfId="1765" priority="72">
      <formula>ABS(AD$7-AD$10)&gt;=1000</formula>
    </cfRule>
  </conditionalFormatting>
  <conditionalFormatting sqref="AE4 AE6:AE11">
    <cfRule type="expression" dxfId="1764" priority="71">
      <formula>ABS(AE$7-AE$10)&gt;=1000</formula>
    </cfRule>
  </conditionalFormatting>
  <conditionalFormatting sqref="D13:D20">
    <cfRule type="expression" dxfId="1763" priority="70">
      <formula>ABS(D$16-D$19)&gt;=1000</formula>
    </cfRule>
  </conditionalFormatting>
  <conditionalFormatting sqref="E13:E20">
    <cfRule type="expression" dxfId="1762" priority="69">
      <formula>ABS(E$16-E$19)&gt;=1000</formula>
    </cfRule>
  </conditionalFormatting>
  <conditionalFormatting sqref="F13 F15:F20">
    <cfRule type="expression" dxfId="1761" priority="68">
      <formula>ABS(F$16-F$19)&gt;=1000</formula>
    </cfRule>
  </conditionalFormatting>
  <conditionalFormatting sqref="G13:G20">
    <cfRule type="expression" dxfId="1760" priority="67">
      <formula>ABS(G$16-G$19)&gt;=1000</formula>
    </cfRule>
  </conditionalFormatting>
  <conditionalFormatting sqref="H13:H20">
    <cfRule type="expression" dxfId="1759" priority="66">
      <formula>ABS(H$16-H$19)&gt;=1000</formula>
    </cfRule>
  </conditionalFormatting>
  <conditionalFormatting sqref="I13:I20">
    <cfRule type="expression" dxfId="1758" priority="65">
      <formula>ABS(I$16-I$19)&gt;=1000</formula>
    </cfRule>
  </conditionalFormatting>
  <conditionalFormatting sqref="J13:J20">
    <cfRule type="expression" dxfId="1757" priority="64">
      <formula>ABS(J$16-J$19)&gt;=1000</formula>
    </cfRule>
  </conditionalFormatting>
  <conditionalFormatting sqref="L13:L20">
    <cfRule type="expression" dxfId="1756" priority="63">
      <formula>ABS(L$16-L$19)&gt;=1000</formula>
    </cfRule>
  </conditionalFormatting>
  <conditionalFormatting sqref="M13 M15 M17:M18 M20">
    <cfRule type="expression" dxfId="1755" priority="62">
      <formula>ABS(M$16-M$19)&gt;=1000</formula>
    </cfRule>
  </conditionalFormatting>
  <conditionalFormatting sqref="N13:N20">
    <cfRule type="expression" dxfId="1754" priority="61">
      <formula>ABS(N$16-N$19)&gt;=1000</formula>
    </cfRule>
  </conditionalFormatting>
  <conditionalFormatting sqref="O13:O20">
    <cfRule type="expression" dxfId="1753" priority="60">
      <formula>ABS(O$16-O$19)&gt;=1000</formula>
    </cfRule>
  </conditionalFormatting>
  <conditionalFormatting sqref="P13:P20">
    <cfRule type="expression" dxfId="1752" priority="59">
      <formula>ABS(P$16-P$19)&gt;=1000</formula>
    </cfRule>
  </conditionalFormatting>
  <conditionalFormatting sqref="Q13 Q15:Q20">
    <cfRule type="expression" dxfId="1751" priority="58">
      <formula>ABS(Q$16-Q$19)&gt;=1000</formula>
    </cfRule>
  </conditionalFormatting>
  <conditionalFormatting sqref="R13:R20">
    <cfRule type="expression" dxfId="1750" priority="57">
      <formula>ABS(R$16-R$19)&gt;=1000</formula>
    </cfRule>
  </conditionalFormatting>
  <conditionalFormatting sqref="S13:S20">
    <cfRule type="expression" dxfId="1749" priority="56">
      <formula>ABS(S$16-S$19)&gt;=1000</formula>
    </cfRule>
  </conditionalFormatting>
  <conditionalFormatting sqref="T13:T20">
    <cfRule type="expression" dxfId="1748" priority="55">
      <formula>ABS(T$16-T$19)&gt;=1000</formula>
    </cfRule>
  </conditionalFormatting>
  <conditionalFormatting sqref="U13:U20">
    <cfRule type="expression" dxfId="1747" priority="54">
      <formula>ABS(U$16-U$19)&gt;=1000</formula>
    </cfRule>
  </conditionalFormatting>
  <conditionalFormatting sqref="V13:V20">
    <cfRule type="expression" dxfId="1746" priority="53">
      <formula>ABS(V$16-V$19)&gt;=1000</formula>
    </cfRule>
  </conditionalFormatting>
  <conditionalFormatting sqref="W13 W20 W15:W18">
    <cfRule type="expression" dxfId="1745" priority="52">
      <formula>ABS(W$16-W$19)&gt;=1000</formula>
    </cfRule>
  </conditionalFormatting>
  <conditionalFormatting sqref="X13 X15:X20 Y19">
    <cfRule type="expression" dxfId="1744" priority="51">
      <formula>ABS(X$16-X$19)&gt;=1000</formula>
    </cfRule>
  </conditionalFormatting>
  <conditionalFormatting sqref="Y13 Y15:Y18 Y20">
    <cfRule type="expression" dxfId="1743" priority="50">
      <formula>ABS(Y$16-Y$19)&gt;=1000</formula>
    </cfRule>
  </conditionalFormatting>
  <conditionalFormatting sqref="Z13:Z20">
    <cfRule type="expression" dxfId="1742" priority="49">
      <formula>ABS(Z$16-Z$19)&gt;=1000</formula>
    </cfRule>
  </conditionalFormatting>
  <conditionalFormatting sqref="AA13:AA20">
    <cfRule type="expression" dxfId="1741" priority="48">
      <formula>ABS(AA$16-AA$19)&gt;=1000</formula>
    </cfRule>
  </conditionalFormatting>
  <conditionalFormatting sqref="AB13 AB15:AB20">
    <cfRule type="expression" dxfId="1740" priority="47">
      <formula>ABS(AB$16-AB$19)&gt;=1000</formula>
    </cfRule>
  </conditionalFormatting>
  <conditionalFormatting sqref="AC13 AC15:AC20">
    <cfRule type="expression" dxfId="1739" priority="46">
      <formula>ABS(AC$16-AC$19)&gt;=1000</formula>
    </cfRule>
  </conditionalFormatting>
  <conditionalFormatting sqref="AD13:AD20">
    <cfRule type="expression" dxfId="1738" priority="45">
      <formula>ABS(AD$16-AD$19)&gt;=1000</formula>
    </cfRule>
  </conditionalFormatting>
  <conditionalFormatting sqref="AE13:AE20">
    <cfRule type="expression" dxfId="1737" priority="44">
      <formula>ABS(AE$16-AE$19)&gt;=1000</formula>
    </cfRule>
  </conditionalFormatting>
  <conditionalFormatting sqref="D22:D29">
    <cfRule type="expression" dxfId="1736" priority="43">
      <formula>ABS(D$25-D$28)&gt;=1000</formula>
    </cfRule>
  </conditionalFormatting>
  <conditionalFormatting sqref="E22:E29">
    <cfRule type="expression" dxfId="1735" priority="42">
      <formula>ABS(E$25-E$28)&gt;=1000</formula>
    </cfRule>
  </conditionalFormatting>
  <conditionalFormatting sqref="F22:F29">
    <cfRule type="expression" dxfId="1734" priority="41">
      <formula>ABS(F$25-F$28)&gt;=1000</formula>
    </cfRule>
  </conditionalFormatting>
  <conditionalFormatting sqref="G22:G29">
    <cfRule type="expression" dxfId="1733" priority="40">
      <formula>ABS(G$25-G$28)&gt;=1000</formula>
    </cfRule>
  </conditionalFormatting>
  <conditionalFormatting sqref="H22:H29">
    <cfRule type="expression" dxfId="1732" priority="39">
      <formula>ABS(H$25-H$28)&gt;=1000</formula>
    </cfRule>
  </conditionalFormatting>
  <conditionalFormatting sqref="I22 I24:I29">
    <cfRule type="expression" dxfId="1731" priority="38">
      <formula>ABS(I$25-I$28)&gt;=1000</formula>
    </cfRule>
  </conditionalFormatting>
  <conditionalFormatting sqref="J22:J29 K22">
    <cfRule type="expression" dxfId="1730" priority="37">
      <formula>ABS(J$25-J$28)&gt;=1000</formula>
    </cfRule>
  </conditionalFormatting>
  <conditionalFormatting sqref="K23:K29 L25 L28">
    <cfRule type="expression" dxfId="1729" priority="36">
      <formula>ABS(K$25-K$28)&gt;=1000</formula>
    </cfRule>
  </conditionalFormatting>
  <conditionalFormatting sqref="L22 L26:L27 L29 L24">
    <cfRule type="expression" dxfId="1728" priority="35">
      <formula>ABS(L$25-L$28)&gt;=1000</formula>
    </cfRule>
  </conditionalFormatting>
  <conditionalFormatting sqref="M22:M29">
    <cfRule type="expression" dxfId="1727" priority="34">
      <formula>ABS(M$25-M$28)&gt;=1000</formula>
    </cfRule>
  </conditionalFormatting>
  <conditionalFormatting sqref="N22:N29">
    <cfRule type="expression" dxfId="1726" priority="33">
      <formula>ABS(N$25-N$28)&gt;=1000</formula>
    </cfRule>
  </conditionalFormatting>
  <conditionalFormatting sqref="O22:O29">
    <cfRule type="expression" dxfId="1725" priority="32">
      <formula>ABS(O$25-O$28)&gt;=1000</formula>
    </cfRule>
  </conditionalFormatting>
  <conditionalFormatting sqref="P22:P29">
    <cfRule type="expression" dxfId="1724" priority="31">
      <formula>ABS(P$25-P$28)&gt;=1000</formula>
    </cfRule>
  </conditionalFormatting>
  <conditionalFormatting sqref="Q22:Q29">
    <cfRule type="expression" dxfId="1723" priority="30">
      <formula>ABS(Q$25-Q$28)&gt;=1000</formula>
    </cfRule>
  </conditionalFormatting>
  <conditionalFormatting sqref="R22:R29">
    <cfRule type="expression" dxfId="1722" priority="29">
      <formula>ABS(R$25-R$28)&gt;=1000</formula>
    </cfRule>
  </conditionalFormatting>
  <conditionalFormatting sqref="S22:S29">
    <cfRule type="expression" dxfId="1721" priority="28">
      <formula>ABS(S$25-S$28)&gt;=1000</formula>
    </cfRule>
  </conditionalFormatting>
  <conditionalFormatting sqref="T22:T29">
    <cfRule type="expression" dxfId="1720" priority="27">
      <formula>ABS(T$25-T$28)&gt;=1000</formula>
    </cfRule>
  </conditionalFormatting>
  <conditionalFormatting sqref="U22:U29">
    <cfRule type="expression" dxfId="1719" priority="26">
      <formula>ABS(U$25-U$28)&gt;=1000</formula>
    </cfRule>
  </conditionalFormatting>
  <conditionalFormatting sqref="V22:V29">
    <cfRule type="expression" dxfId="1718" priority="25">
      <formula>ABS(V$25-V$28)&gt;=1000</formula>
    </cfRule>
  </conditionalFormatting>
  <conditionalFormatting sqref="W22:W29">
    <cfRule type="expression" dxfId="1717" priority="24">
      <formula>ABS(W$25-W$28)&gt;=1000</formula>
    </cfRule>
  </conditionalFormatting>
  <conditionalFormatting sqref="X22:X29">
    <cfRule type="expression" dxfId="1716" priority="23">
      <formula>ABS(X$25-X$28)&gt;=1000</formula>
    </cfRule>
  </conditionalFormatting>
  <conditionalFormatting sqref="Y22:Y29">
    <cfRule type="expression" dxfId="1715" priority="22">
      <formula>ABS(Y$25-Y$28)&gt;=1000</formula>
    </cfRule>
  </conditionalFormatting>
  <conditionalFormatting sqref="I23">
    <cfRule type="expression" dxfId="1714" priority="21">
      <formula>ABS(I$25-I$28)&gt;=1000</formula>
    </cfRule>
  </conditionalFormatting>
  <conditionalFormatting sqref="Q14">
    <cfRule type="expression" dxfId="1713" priority="20">
      <formula>ABS(Q$16-Q$19)&gt;=1000</formula>
    </cfRule>
  </conditionalFormatting>
  <conditionalFormatting sqref="W14">
    <cfRule type="expression" dxfId="1712" priority="19">
      <formula>ABS(W$16-W$19)&gt;=1000</formula>
    </cfRule>
  </conditionalFormatting>
  <conditionalFormatting sqref="Y14">
    <cfRule type="expression" dxfId="1711" priority="18">
      <formula>ABS(Y$16-Y$19)&gt;=1000</formula>
    </cfRule>
  </conditionalFormatting>
  <conditionalFormatting sqref="X14">
    <cfRule type="expression" dxfId="1710" priority="17">
      <formula>ABS(X$16-X$19)&gt;=1000</formula>
    </cfRule>
  </conditionalFormatting>
  <conditionalFormatting sqref="T10:Y10">
    <cfRule type="expression" dxfId="1709" priority="16">
      <formula>ABS(T$7-T$10)&gt;=1000</formula>
    </cfRule>
  </conditionalFormatting>
  <conditionalFormatting sqref="W19">
    <cfRule type="expression" dxfId="1708" priority="15">
      <formula>ABS(W$16-W$19)&gt;=1000</formula>
    </cfRule>
  </conditionalFormatting>
  <conditionalFormatting sqref="AC5">
    <cfRule type="expression" dxfId="1707" priority="14">
      <formula>ABS(AC$7-AC$10)&gt;=1000</formula>
    </cfRule>
  </conditionalFormatting>
  <conditionalFormatting sqref="M14">
    <cfRule type="expression" dxfId="1706" priority="13">
      <formula>ABS(M$16-M$19)&gt;=1000</formula>
    </cfRule>
  </conditionalFormatting>
  <conditionalFormatting sqref="M16">
    <cfRule type="expression" dxfId="1705" priority="12">
      <formula>ABS(M$16-M$19)&gt;=1000</formula>
    </cfRule>
  </conditionalFormatting>
  <conditionalFormatting sqref="M19">
    <cfRule type="expression" dxfId="1704" priority="11">
      <formula>ABS(M$16-M$19)&gt;=1000</formula>
    </cfRule>
  </conditionalFormatting>
  <conditionalFormatting sqref="K13:K20">
    <cfRule type="expression" dxfId="1703" priority="10">
      <formula>ABS(K$16-K$19)&gt;=1000</formula>
    </cfRule>
  </conditionalFormatting>
  <conditionalFormatting sqref="E5">
    <cfRule type="expression" dxfId="1702" priority="9">
      <formula>ABS(E$7-E$10)&gt;=1000</formula>
    </cfRule>
  </conditionalFormatting>
  <conditionalFormatting sqref="AB14:AC14">
    <cfRule type="expression" dxfId="1701" priority="8">
      <formula>ABS(AB$16-AB$19)&gt;=1000</formula>
    </cfRule>
  </conditionalFormatting>
  <conditionalFormatting sqref="M5">
    <cfRule type="expression" dxfId="1700" priority="7">
      <formula>ABS(M$7-M$10)&gt;=1000</formula>
    </cfRule>
  </conditionalFormatting>
  <conditionalFormatting sqref="N5">
    <cfRule type="expression" dxfId="1699" priority="6">
      <formula>ABS(N$7-N$10)&gt;=1000</formula>
    </cfRule>
  </conditionalFormatting>
  <conditionalFormatting sqref="O5">
    <cfRule type="expression" dxfId="1698" priority="5">
      <formula>ABS(O$7-O$10)&gt;=1000</formula>
    </cfRule>
  </conditionalFormatting>
  <conditionalFormatting sqref="P5">
    <cfRule type="expression" dxfId="1697" priority="4">
      <formula>ABS(P$7-P$10)&gt;=1000</formula>
    </cfRule>
  </conditionalFormatting>
  <conditionalFormatting sqref="L23">
    <cfRule type="expression" dxfId="1696" priority="3">
      <formula>ABS(L$25-L$28)&gt;=1000</formula>
    </cfRule>
  </conditionalFormatting>
  <conditionalFormatting sqref="F14">
    <cfRule type="expression" dxfId="1695" priority="2">
      <formula>ABS(F$16-F$19)&gt;=1000</formula>
    </cfRule>
  </conditionalFormatting>
  <conditionalFormatting sqref="AE5">
    <cfRule type="expression" dxfId="1694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854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62">
    <pageSetUpPr fitToPage="1"/>
  </sheetPr>
  <dimension ref="A1:CU223"/>
  <sheetViews>
    <sheetView tabSelected="1" view="pageBreakPreview" zoomScale="70" zoomScaleNormal="100" zoomScaleSheetLayoutView="70" workbookViewId="0">
      <selection activeCell="AF24" sqref="AF2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8" t="s" ph="1">
        <v>161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" customHeight="1" ph="1">
      <c r="B3" s="240" ph="1">
        <v>45972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9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50" t="s" ph="1">
        <v>177</v>
      </c>
      <c r="D6" s="71">
        <v>6785</v>
      </c>
      <c r="E6" s="71">
        <v>0</v>
      </c>
      <c r="F6" s="71">
        <v>4467</v>
      </c>
      <c r="G6" s="71">
        <v>3624</v>
      </c>
      <c r="H6" s="71">
        <v>5132</v>
      </c>
      <c r="I6" s="71">
        <v>40.79</v>
      </c>
      <c r="J6" s="71">
        <v>6.98</v>
      </c>
      <c r="K6" s="71">
        <v>8.4499999999999993</v>
      </c>
      <c r="L6" s="71">
        <v>39.4</v>
      </c>
      <c r="M6" s="71">
        <v>4173</v>
      </c>
      <c r="N6" s="71">
        <v>1762</v>
      </c>
      <c r="O6" s="71">
        <v>104</v>
      </c>
      <c r="P6" s="71">
        <v>2466</v>
      </c>
      <c r="Q6" s="71">
        <v>0</v>
      </c>
      <c r="R6" s="71">
        <v>3593</v>
      </c>
      <c r="S6" s="71">
        <v>5969</v>
      </c>
      <c r="T6" s="71">
        <v>6491</v>
      </c>
      <c r="U6" s="71">
        <v>2580</v>
      </c>
      <c r="V6" s="71">
        <v>1639</v>
      </c>
      <c r="W6" s="71">
        <v>0</v>
      </c>
      <c r="X6" s="71">
        <v>0</v>
      </c>
      <c r="Y6" s="71">
        <v>0</v>
      </c>
      <c r="Z6" s="71">
        <v>3067</v>
      </c>
      <c r="AA6" s="71">
        <v>768</v>
      </c>
      <c r="AB6" s="71">
        <v>3951</v>
      </c>
      <c r="AC6" s="71">
        <v>2816</v>
      </c>
      <c r="AD6" s="71">
        <v>4780</v>
      </c>
      <c r="AE6" s="71">
        <v>5239</v>
      </c>
    </row>
    <row r="7" spans="1:99" s="72" customFormat="1" ht="22.2" ph="1">
      <c r="B7" s="237" ph="1"/>
      <c r="C7" s="68" t="s" ph="1">
        <v>178</v>
      </c>
      <c r="D7" s="73" ph="1">
        <f>D6*33.183*LOOKUP(D8,密度!$A$2:$A$50,密度!$Q$2:$Q$50)</f>
        <v>213684.43879394999</v>
      </c>
      <c r="E7" s="73" ph="1">
        <f>E6*51.53*LOOKUP(E8,密度!$A$2:$A$50,密度!$B$2:$B$50)</f>
        <v>0</v>
      </c>
      <c r="F7" s="73" ph="1">
        <f>F6*33.183*LOOKUP(F8,密度!$A$2:$A$50,密度!$C$2:$C$50)</f>
        <v>164696.6430171</v>
      </c>
      <c r="G7" s="73" ph="1">
        <f xml:space="preserve"> (G6+2)*51.53*LOOKUP(G8,密度!$A$2:$A$50,密度!$B$2:$B$50)</f>
        <v>146507.34429800001</v>
      </c>
      <c r="H7" s="73" ph="1">
        <f>(H6)*51.53*LOOKUP(H8,密度!$A$2:$A$50,密度!$B$2:$B$50)</f>
        <v>207356.78183600001</v>
      </c>
      <c r="I7" s="73" ph="1">
        <f>I6*290.8*1.0267</f>
        <v>12178.440244399999</v>
      </c>
      <c r="J7" s="73" ph="1">
        <f>J6*290.8*0.7892</f>
        <v>1601.9055328000002</v>
      </c>
      <c r="K7" s="73" ph="1">
        <f>K6*290.8*1.1126</f>
        <v>2733.9474759999998</v>
      </c>
      <c r="L7" s="73" ph="1">
        <f>L6*290.8*0.777</f>
        <v>8902.4930400000012</v>
      </c>
      <c r="M7" s="73" ph="1">
        <f>M6*33.183*LOOKUP(M8,密度!$A$2:$A$50,密度!$D$2:$D$50)</f>
        <v>142432.97704739997</v>
      </c>
      <c r="N7" s="73" ph="1">
        <f>N6*33.183*LOOKUP(N8,密度!$A$2:$A$50,密度!$E$2:$E$50)</f>
        <v>45862.649042399993</v>
      </c>
      <c r="O7" s="73" ph="1">
        <f>O6*20.428*LOOKUP(O8,密度!$A$2:$A$50,密度!$C$2:$C$50)</f>
        <v>2354.1717472000005</v>
      </c>
      <c r="P7" s="73" ph="1">
        <f>P6*51.53*LOOKUP(P8,密度!$A$2:$A$50,密度!$B$2:$B$50)</f>
        <v>99180.460889999988</v>
      </c>
      <c r="Q7" s="73" ph="1">
        <f>Q6*1.5*1.5*3.1416*LOOKUP(W8,密度!$A$2:$A$50,密度!$L$2:$L$50)</f>
        <v>0</v>
      </c>
      <c r="R7" s="73" ph="1">
        <f>R6*1.5*1.5*3.1416*LOOKUP(R8,密度!$A$2:$A$50,密度!$L$2:$L$50)</f>
        <v>23721.246133200002</v>
      </c>
      <c r="S7" s="73" ph="1">
        <f>S6*1.5*1.5*3.1416*LOOKUP(S8,密度!$A$2:$A$50,密度!$L$2:$L$50)</f>
        <v>39745.309942799999</v>
      </c>
      <c r="T7" s="73" ph="1">
        <f>T6*1.5*1.5*3.1416*LOOKUP(T8,密度!$A$2:$A$50,密度!$L$2:$L$50)</f>
        <v>43266.992491799996</v>
      </c>
      <c r="U7" s="73" ph="1">
        <f>U6*1.5*1.5*3.1416*LOOKUP(U8,密度!$A$2:$A$50,密度!$L$2:$L$50)</f>
        <v>17124.531731999999</v>
      </c>
      <c r="V7" s="73" ph="1">
        <f>V6*1.5*1.5*3.1416*LOOKUP(V8,密度!$A$2:$A$50,密度!$L$2:$L$50)</f>
        <v>10878.7238406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95869.469861999998</v>
      </c>
      <c r="AA7" s="73" ph="1">
        <f>AA6*33.183*LOOKUP(AA8,密度!$A$2:$A$50,密度!$D$2:$D$50)</f>
        <v>26213.401958400002</v>
      </c>
      <c r="AB7" s="73" ph="1">
        <f>AB6*20.428*LOOKUP(AB8,密度!$A$2:$A$50,密度!$D$2:$D$50)</f>
        <v>83519.771774399997</v>
      </c>
      <c r="AC7" s="73" ph="1">
        <f>AC6*51.53*LOOKUP(AC8,密度!$A$2:$A$50,密度!$Q$2:$Q$50)</f>
        <v>137808.07237120002</v>
      </c>
      <c r="AD7" s="73" ph="1">
        <f>AD6*20.428*LOOKUP(AD8,密度!$A$2:$A$50,密度!$V$2:$V$50)</f>
        <v>93818.123072000002</v>
      </c>
      <c r="AE7" s="73" ph="1">
        <f>AE6*20.428</f>
        <v>107022.292</v>
      </c>
    </row>
    <row r="8" spans="1:99" ph="1">
      <c r="B8" s="237" ph="1"/>
      <c r="C8" s="68" t="s" ph="1">
        <v>179</v>
      </c>
      <c r="D8" s="74">
        <v>22</v>
      </c>
      <c r="E8" s="74">
        <v>22</v>
      </c>
      <c r="F8" s="74">
        <v>22</v>
      </c>
      <c r="G8" s="74">
        <v>20</v>
      </c>
      <c r="H8" s="74">
        <v>20</v>
      </c>
      <c r="I8" s="74">
        <v>25</v>
      </c>
      <c r="J8" s="74">
        <v>25</v>
      </c>
      <c r="K8" s="74">
        <v>25</v>
      </c>
      <c r="L8" s="74">
        <v>25</v>
      </c>
      <c r="M8" s="74">
        <v>23</v>
      </c>
      <c r="N8" s="74">
        <v>24</v>
      </c>
      <c r="O8" s="74">
        <v>26</v>
      </c>
      <c r="P8" s="74">
        <v>24</v>
      </c>
      <c r="Q8" s="74">
        <v>22</v>
      </c>
      <c r="R8" s="74">
        <v>28</v>
      </c>
      <c r="S8" s="74">
        <v>20</v>
      </c>
      <c r="T8" s="74">
        <v>19</v>
      </c>
      <c r="U8" s="74">
        <v>23</v>
      </c>
      <c r="V8" s="74">
        <v>23</v>
      </c>
      <c r="W8" s="74">
        <v>24</v>
      </c>
      <c r="X8" s="74">
        <v>14</v>
      </c>
      <c r="Y8" s="74">
        <v>24</v>
      </c>
      <c r="Z8" s="74">
        <v>20</v>
      </c>
      <c r="AA8" s="74">
        <v>23</v>
      </c>
      <c r="AB8" s="74">
        <v>16</v>
      </c>
      <c r="AC8" s="74">
        <v>21</v>
      </c>
      <c r="AD8" s="74">
        <v>23</v>
      </c>
      <c r="AE8" s="74">
        <v>24</v>
      </c>
    </row>
    <row r="9" spans="1:99" ht="26.4" ph="1">
      <c r="B9" s="237" ph="1">
        <v>0.66666666666666663</v>
      </c>
      <c r="C9" s="150" t="s" ph="1">
        <v>180</v>
      </c>
      <c r="D9" s="71">
        <v>6789</v>
      </c>
      <c r="E9" s="71">
        <v>0</v>
      </c>
      <c r="F9" s="71">
        <v>4468</v>
      </c>
      <c r="G9" s="71">
        <v>5802</v>
      </c>
      <c r="H9" s="71">
        <v>4846</v>
      </c>
      <c r="I9" s="71">
        <v>40.85</v>
      </c>
      <c r="J9" s="71">
        <v>7.01</v>
      </c>
      <c r="K9" s="71">
        <v>8.42</v>
      </c>
      <c r="L9" s="71">
        <v>40.799999999999997</v>
      </c>
      <c r="M9" s="71">
        <v>4174</v>
      </c>
      <c r="N9" s="71">
        <v>1592</v>
      </c>
      <c r="O9" s="71">
        <v>105</v>
      </c>
      <c r="P9" s="71">
        <v>2402</v>
      </c>
      <c r="Q9" s="71">
        <v>0</v>
      </c>
      <c r="R9" s="71">
        <v>0</v>
      </c>
      <c r="S9" s="71">
        <v>4818</v>
      </c>
      <c r="T9" s="71">
        <v>6495</v>
      </c>
      <c r="U9" s="71">
        <v>6998</v>
      </c>
      <c r="V9" s="71">
        <v>3820</v>
      </c>
      <c r="W9" s="71">
        <v>880</v>
      </c>
      <c r="X9" s="71">
        <v>0</v>
      </c>
      <c r="Y9" s="71">
        <v>0</v>
      </c>
      <c r="Z9" s="71">
        <v>761</v>
      </c>
      <c r="AA9" s="71">
        <v>768</v>
      </c>
      <c r="AB9" s="71">
        <v>3537</v>
      </c>
      <c r="AC9" s="71">
        <v>3187</v>
      </c>
      <c r="AD9" s="71">
        <v>4780</v>
      </c>
      <c r="AE9" s="71">
        <v>5130</v>
      </c>
    </row>
    <row r="10" spans="1:99" s="72" customFormat="1" ht="22.2" ph="1">
      <c r="B10" s="237" ph="1"/>
      <c r="C10" s="150" t="s" ph="1">
        <v>178</v>
      </c>
      <c r="D10" s="73" ph="1">
        <f>D9*33.183*LOOKUP(D11,密度!$A$2:$A$50,密度!$Q$2:$Q$50)</f>
        <v>213810.41340783</v>
      </c>
      <c r="E10" s="73" ph="1">
        <f>E9*51.53*LOOKUP(E11,密度!$A$2:$A$50,密度!$B$2:$B$50)</f>
        <v>0</v>
      </c>
      <c r="F10" s="73" ph="1">
        <f>F9*33.183*LOOKUP(F11,密度!$A$2:$A$50,密度!$C$2:$C$50)</f>
        <v>164852.12196360002</v>
      </c>
      <c r="G10" s="73" ph="1">
        <f xml:space="preserve"> (G9+2)*51.53*LOOKUP(G11,密度!$A$2:$A$50,密度!$B$2:$B$50)</f>
        <v>234239.54998400001</v>
      </c>
      <c r="H10" s="73" ph="1">
        <f>(H9)*51.53*LOOKUP(H11,密度!$A$2:$A$50,密度!$B$2:$B$50)</f>
        <v>195576.30241599999</v>
      </c>
      <c r="I10" s="73" ph="1">
        <f>I9*290.8*1.0267</f>
        <v>12196.354105999999</v>
      </c>
      <c r="J10" s="73" ph="1">
        <f>J9*290.8*0.7892</f>
        <v>1608.7905136000002</v>
      </c>
      <c r="K10" s="73" ph="1">
        <f>K9*290.8*1.1126</f>
        <v>2724.2411536</v>
      </c>
      <c r="L10" s="73" ph="1">
        <f>L9*290.8*0.777</f>
        <v>9218.8252799999991</v>
      </c>
      <c r="M10" s="73" ph="1">
        <f>M9*33.183*LOOKUP(M11,密度!$A$2:$A$50,密度!$D$2:$D$50)</f>
        <v>142328.60323920002</v>
      </c>
      <c r="N10" s="73" ph="1">
        <f>N9*33.183*LOOKUP(N11,密度!$A$2:$A$50,密度!$E$2:$E$50)</f>
        <v>41374.369555200006</v>
      </c>
      <c r="O10" s="73" ph="1">
        <f>O9*20.428*LOOKUP(O11,密度!$A$2:$A$50,密度!$C$2:$C$50)</f>
        <v>2375.306556</v>
      </c>
      <c r="P10" s="73" ph="1">
        <f>P9*51.53*LOOKUP(P11,密度!$A$2:$A$50,密度!$B$2:$B$50)</f>
        <v>96495.036775999994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32047.180426799994</v>
      </c>
      <c r="T10" s="73" ph="1">
        <f>T9*1.5*1.5*3.1416*LOOKUP(T11,密度!$A$2:$A$50,密度!$L$2:$L$50)</f>
        <v>43247.744694000001</v>
      </c>
      <c r="U10" s="73" ph="1">
        <f>U9*1.5*1.5*3.1416*LOOKUP(U11,密度!$A$2:$A$50,密度!$L$2:$L$50)</f>
        <v>46448.6329692</v>
      </c>
      <c r="V10" s="73" ph="1">
        <f>V9*1.5*1.5*3.1416*LOOKUP(V11,密度!$A$2:$A$50,密度!$L$2:$L$50)</f>
        <v>25327.924776</v>
      </c>
      <c r="W10" s="73" ph="1">
        <f>W9*1.5*1.5*3.1416*LOOKUP(W11,密度!$A$2:$A$50,密度!$L$2:$L$50)</f>
        <v>5840.9255519999988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23787.631745999999</v>
      </c>
      <c r="AA10" s="73" ph="1">
        <f>AA9*33.183*LOOKUP(AA11,密度!$A$2:$A$50,密度!$D$2:$D$50)</f>
        <v>26187.917414400003</v>
      </c>
      <c r="AB10" s="73" ph="1">
        <f>AB9*20.428*LOOKUP(AB11,密度!$A$2:$A$50,密度!$D$2:$D$50)</f>
        <v>74703.241040399997</v>
      </c>
      <c r="AC10" s="73" ph="1">
        <f>AC9*51.53*LOOKUP(AC11,密度!$A$2:$A$50,密度!$Q$2:$Q$50)</f>
        <v>155865.35873990002</v>
      </c>
      <c r="AD10" s="73" ph="1">
        <f>AD9*20.428*LOOKUP(AD11,密度!$A$2:$A$50,密度!$V$2:$V$50)</f>
        <v>93818.123072000002</v>
      </c>
      <c r="AE10" s="73" ph="1">
        <f>AE9*20.428</f>
        <v>104795.64</v>
      </c>
    </row>
    <row r="11" spans="1:99" ph="1">
      <c r="A11" s="64" t="s" ph="1">
        <v>162</v>
      </c>
      <c r="B11" s="237" ph="1"/>
      <c r="C11" s="150" t="s" ph="1">
        <v>179</v>
      </c>
      <c r="D11" s="74">
        <v>22</v>
      </c>
      <c r="E11" s="74">
        <v>22</v>
      </c>
      <c r="F11" s="74">
        <v>21</v>
      </c>
      <c r="G11" s="74">
        <v>21</v>
      </c>
      <c r="H11" s="74">
        <v>21</v>
      </c>
      <c r="I11" s="74">
        <v>25</v>
      </c>
      <c r="J11" s="74">
        <v>25</v>
      </c>
      <c r="K11" s="74">
        <v>25</v>
      </c>
      <c r="L11" s="74">
        <v>25</v>
      </c>
      <c r="M11" s="74">
        <v>24</v>
      </c>
      <c r="N11" s="74">
        <v>25</v>
      </c>
      <c r="O11" s="74">
        <v>27</v>
      </c>
      <c r="P11" s="74">
        <v>25</v>
      </c>
      <c r="Q11" s="74">
        <v>24</v>
      </c>
      <c r="R11" s="74">
        <v>23</v>
      </c>
      <c r="S11" s="74">
        <v>21</v>
      </c>
      <c r="T11" s="74">
        <v>20</v>
      </c>
      <c r="U11" s="74">
        <v>23</v>
      </c>
      <c r="V11" s="74">
        <v>24</v>
      </c>
      <c r="W11" s="74">
        <v>23</v>
      </c>
      <c r="X11" s="74">
        <v>24</v>
      </c>
      <c r="Y11" s="74">
        <v>23</v>
      </c>
      <c r="Z11" s="74">
        <v>20</v>
      </c>
      <c r="AA11" s="74">
        <v>24</v>
      </c>
      <c r="AB11" s="74">
        <v>17</v>
      </c>
      <c r="AC11" s="74">
        <v>22</v>
      </c>
      <c r="AD11" s="74">
        <v>23</v>
      </c>
      <c r="AE11" s="74">
        <v>24</v>
      </c>
    </row>
    <row r="12" spans="1:99" ht="9.9" customHeight="1" ph="1"/>
    <row r="13" spans="1:99" s="72" customFormat="1" ht="29.25" customHeight="1" ph="1">
      <c r="B13" s="214" t="s" ph="1">
        <v>37</v>
      </c>
      <c r="C13" s="150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5" ph="1"/>
      <c r="C14" s="67" t="s" ph="1">
        <v>36</v>
      </c>
      <c r="D14" s="77" t="s" ph="1">
        <v>616</v>
      </c>
      <c r="E14" s="77" t="s" ph="1">
        <v>616</v>
      </c>
      <c r="F14" s="77" t="s" ph="1">
        <v>639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636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635</v>
      </c>
      <c r="AC14" s="77" t="s" ph="1">
        <v>637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6" ph="1">
        <v>0.33333333333333331</v>
      </c>
      <c r="C15" s="150" t="s" ph="1">
        <v>177</v>
      </c>
      <c r="D15" s="78">
        <v>5713</v>
      </c>
      <c r="E15" s="78">
        <v>6400</v>
      </c>
      <c r="F15" s="78">
        <v>2164</v>
      </c>
      <c r="G15" s="78">
        <v>1060</v>
      </c>
      <c r="H15" s="78">
        <v>0</v>
      </c>
      <c r="I15" s="78">
        <v>1616</v>
      </c>
      <c r="J15" s="78">
        <v>92</v>
      </c>
      <c r="K15" s="78">
        <v>4764</v>
      </c>
      <c r="L15" s="78">
        <v>7210</v>
      </c>
      <c r="M15" s="78">
        <v>6289</v>
      </c>
      <c r="N15" s="78">
        <v>320</v>
      </c>
      <c r="O15" s="78">
        <v>6393</v>
      </c>
      <c r="P15" s="78">
        <v>5179</v>
      </c>
      <c r="Q15" s="78">
        <v>1610</v>
      </c>
      <c r="R15" s="78">
        <v>7470</v>
      </c>
      <c r="S15" s="78">
        <v>6188</v>
      </c>
      <c r="T15" s="78">
        <v>4703</v>
      </c>
      <c r="U15" s="78">
        <v>7124</v>
      </c>
      <c r="V15" s="78">
        <v>4931</v>
      </c>
      <c r="W15" s="71">
        <v>5033</v>
      </c>
      <c r="X15" s="78">
        <v>849</v>
      </c>
      <c r="Y15" s="106">
        <v>-9905</v>
      </c>
      <c r="Z15" s="78">
        <v>0</v>
      </c>
      <c r="AA15" s="78">
        <v>0</v>
      </c>
      <c r="AB15" s="78" ph="1">
        <v>1095</v>
      </c>
      <c r="AC15" s="78" ph="1">
        <v>2142</v>
      </c>
      <c r="AD15" s="78">
        <v>33.53</v>
      </c>
      <c r="AE15" s="78">
        <v>84.59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7" ph="1"/>
      <c r="C16" s="150" t="s" ph="1">
        <v>178</v>
      </c>
      <c r="D16" s="73" ph="1">
        <f>D15*7.0686*LOOKUP(D17,密度!$A$2:$A$50,密度!$L$2:$L$50)</f>
        <v>37838.788356600002</v>
      </c>
      <c r="E16" s="73" ph="1">
        <f>E15*7.0686*LOOKUP(E17,密度!$A$2:$A$50,密度!$L$2:$L$50)</f>
        <v>42388.980480000006</v>
      </c>
      <c r="F16" s="73" ph="1">
        <f>F15*9.0746*LOOKUP(F17,密度!$A$2:$A$50,密度!$L$2:$L$50)</f>
        <v>18380.638598400004</v>
      </c>
      <c r="G16" s="73" ph="1">
        <f>G15*9.0746*LOOKUP(G17,密度!$A$2:$A$50,密度!$B$2:$B$50)</f>
        <v>7516.3459864000006</v>
      </c>
      <c r="H16" s="73" ph="1">
        <f>H15*9.0746*LOOKUP(H17,密度!$A$2:$A$50,密度!$L$2:$L$50)</f>
        <v>0</v>
      </c>
      <c r="I16" s="73" ph="1">
        <f>I15*9.0746*LOOKUP(I17,密度!$A$2:$A$50,密度!$U$2:$U$50)</f>
        <v>15075.161100800002</v>
      </c>
      <c r="J16" s="73" ph="1">
        <f>J15*9.0746*LOOKUP(J17,密度!$A$2:$A$50,密度!$L$2:$L$50)</f>
        <v>782.26681840000003</v>
      </c>
      <c r="K16" s="73" ph="1">
        <f>K15*9.0746*LOOKUP(K17,密度!$A$2:$A$50,密度!$C$2:$C$50)</f>
        <v>47969.555226240002</v>
      </c>
      <c r="L16" s="73" ph="1">
        <f>L15*9.0746*LOOKUP(L17,密度!$A$2:$A$50,密度!$E$2:$E$50)</f>
        <v>51321.618090399999</v>
      </c>
      <c r="M16" s="73" ph="1">
        <f>M15*9.0746*LOOKUP(M17,密度!$A$2:$A$50,密度!$M$2:$M$50)</f>
        <v>49987.752618460006</v>
      </c>
      <c r="N16" s="73" ph="1">
        <f>N15*9.0746*LOOKUP(N17,密度!$A$2:$A$50,密度!$M$2:$M$50)</f>
        <v>2549.5996160000004</v>
      </c>
      <c r="O16" s="73" ph="1">
        <f>O15*9.0746*LOOKUP(O17,密度!$A$2:$A$50,密度!$G$2:$G$50)</f>
        <v>55704.963871560009</v>
      </c>
      <c r="P16" s="73" ph="1">
        <f ca="1">P15*9.0746*LOOKUP(P17,密度!$A$2:$A$51,密度!$Q$2:$Q$50)</f>
        <v>44528.582425897999</v>
      </c>
      <c r="Q16" s="73" ph="1">
        <f>Q15*9.0746*LOOKUP(Q17,密度!$A$2:$A$50,密度!$Q$2:$Q$50)</f>
        <v>13831.971754440001</v>
      </c>
      <c r="R16" s="73" ph="1">
        <f>MAX(R15*9.0746*LOOKUP(R17,密度!$A$2:$A$50,密度!$B$2:$B$50),0)</f>
        <v>52907.957991000003</v>
      </c>
      <c r="S16" s="73" ph="1">
        <f>S15*9.0746*LOOKUP(S17,密度!$A$2:$A$50,密度!$Q$2:$Q$50)</f>
        <v>53162.882743151997</v>
      </c>
      <c r="T16" s="73" ph="1">
        <f>T15*9.0746*LOOKUP(T17,密度!$A$2:$A$50,密度!$O$2:$O$50)</f>
        <v>39690.394734000001</v>
      </c>
      <c r="U16" s="73" ph="1">
        <f>U15*9.0746*LOOKUP(U17,密度!$A$2:$A$50,密度!$H$2:$H$50)</f>
        <v>59333.429977119995</v>
      </c>
      <c r="V16" s="73" ph="1">
        <f>MAX(5600*LOOKUP(V17,密度!$A$2:$A$50,密度!$Q$2:$Q$50)+V15*9.0476*LOOKUP(V17,密度!$A$2:$A$50,密度!$Q$2:$Q$50),0)</f>
        <v>47503.681369067999</v>
      </c>
      <c r="W16" s="73" ph="1">
        <f>MAX(5600*LOOKUP(W17,密度!$A$2:$A$50,密度!$Q$2:$Q$50)+W15*9.0476*LOOKUP(W17,密度!$A$2:$A$50,密度!$Q$2:$Q$50),0)</f>
        <v>48376.730073924002</v>
      </c>
      <c r="X16" s="73" ph="1">
        <f>MAX(5600*LOOKUP(X17,密度!$A$2:$A$50,密度!$I$2:$I$50)+X15*9.0476*LOOKUP(X17,密度!$A$2:$A$50,密度!$I$2:$I$50),0)</f>
        <v>13843.21614452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9320.6124060000002</v>
      </c>
      <c r="AC16" s="73" ph="1">
        <f>AC15*9.0746*LOOKUP(AC17,密度!$A$2:$A$50,密度!$L$2:$L$50)</f>
        <v>18252.087814799997</v>
      </c>
      <c r="AD16" s="73" ph="1">
        <f>AD15*268.68*LOOKUP(AD17,密度!$A$2:$A$50,密度!B2:B50)+IF(AD15&lt;=0,0,1566*LOOKUP(AD17,密度!$A$2:$A$50,密度!B2:B50))</f>
        <v>8244.1455758400007</v>
      </c>
      <c r="AE16" s="73" ph="1">
        <f>AE15*268.68*LOOKUP(AE17,密度!$A$2:$A$50,密度!B2:B50)+IF(AE15&lt;=0,0,1566*LOOKUP(AE17,密度!$A$2:$A$50,密度!B2:B50))</f>
        <v>18939.322679519999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8" ph="1"/>
      <c r="C17" s="79" t="s" ph="1">
        <v>179</v>
      </c>
      <c r="D17" s="74">
        <v>25</v>
      </c>
      <c r="E17" s="74">
        <v>25</v>
      </c>
      <c r="F17" s="74">
        <v>26</v>
      </c>
      <c r="G17" s="74">
        <v>23</v>
      </c>
      <c r="H17" s="74">
        <v>20</v>
      </c>
      <c r="I17" s="74">
        <v>21</v>
      </c>
      <c r="J17" s="74">
        <v>25</v>
      </c>
      <c r="K17" s="74">
        <v>24</v>
      </c>
      <c r="L17" s="74">
        <v>24</v>
      </c>
      <c r="M17" s="74">
        <v>24</v>
      </c>
      <c r="N17" s="74">
        <v>22</v>
      </c>
      <c r="O17" s="74">
        <v>25</v>
      </c>
      <c r="P17" s="74">
        <v>24</v>
      </c>
      <c r="Q17" s="74">
        <v>25</v>
      </c>
      <c r="R17" s="74">
        <v>24</v>
      </c>
      <c r="S17" s="74">
        <v>25</v>
      </c>
      <c r="T17" s="74">
        <v>24</v>
      </c>
      <c r="U17" s="74">
        <v>22</v>
      </c>
      <c r="V17" s="74">
        <v>26</v>
      </c>
      <c r="W17" s="74">
        <v>26</v>
      </c>
      <c r="X17" s="74">
        <v>25</v>
      </c>
      <c r="Y17" s="108">
        <v>25</v>
      </c>
      <c r="Z17" s="74">
        <v>24</v>
      </c>
      <c r="AA17" s="74">
        <v>22</v>
      </c>
      <c r="AB17" s="74">
        <v>24</v>
      </c>
      <c r="AC17" s="74">
        <v>23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6" ph="1">
        <v>0.66666666666666663</v>
      </c>
      <c r="C18" s="79" t="s" ph="1">
        <v>180</v>
      </c>
      <c r="D18" s="71">
        <v>3830</v>
      </c>
      <c r="E18" s="71">
        <v>5890</v>
      </c>
      <c r="F18" s="71">
        <v>2165</v>
      </c>
      <c r="G18" s="71">
        <v>1107</v>
      </c>
      <c r="H18" s="71">
        <v>0</v>
      </c>
      <c r="I18" s="71">
        <v>1616</v>
      </c>
      <c r="J18" s="71">
        <v>1284</v>
      </c>
      <c r="K18" s="71">
        <v>4765</v>
      </c>
      <c r="L18" s="71">
        <v>6624</v>
      </c>
      <c r="M18" s="71">
        <v>3335</v>
      </c>
      <c r="N18" s="71">
        <v>3357</v>
      </c>
      <c r="O18" s="71">
        <v>6397</v>
      </c>
      <c r="P18" s="71">
        <v>5184</v>
      </c>
      <c r="Q18" s="71">
        <v>1611</v>
      </c>
      <c r="R18" s="71">
        <v>7481</v>
      </c>
      <c r="S18" s="71">
        <v>6191</v>
      </c>
      <c r="T18" s="71">
        <v>3512</v>
      </c>
      <c r="U18" s="71">
        <v>7124</v>
      </c>
      <c r="V18" s="71">
        <v>4930</v>
      </c>
      <c r="W18" s="71">
        <v>5031</v>
      </c>
      <c r="X18" s="71">
        <v>847</v>
      </c>
      <c r="Y18" s="109">
        <v>-9905</v>
      </c>
      <c r="Z18" s="71">
        <v>0</v>
      </c>
      <c r="AA18" s="71">
        <v>0</v>
      </c>
      <c r="AB18" s="71">
        <v>1095</v>
      </c>
      <c r="AC18" s="71">
        <v>2143</v>
      </c>
      <c r="AD18" s="71">
        <v>75.599999999999994</v>
      </c>
      <c r="AE18" s="71">
        <v>84.09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7" ph="1"/>
      <c r="C19" s="150" t="s" ph="1">
        <v>178</v>
      </c>
      <c r="D19" s="73" ph="1">
        <f>D18*7.0686*LOOKUP(D20,密度!$A$2:$A$50,密度!$L$2:$L$50)</f>
        <v>25367.155506000003</v>
      </c>
      <c r="E19" s="73" ph="1">
        <f>E18*7.0686*LOOKUP(E20,密度!$A$2:$A$50,密度!$L$2:$L$50)</f>
        <v>39011.108597999999</v>
      </c>
      <c r="F19" s="73" ph="1">
        <f>F18*9.0746*LOOKUP(F20,密度!$A$2:$A$50,密度!$L$2:$L$50)</f>
        <v>18428.425442</v>
      </c>
      <c r="G19" s="73" ph="1">
        <f>G18*9.0746*LOOKUP(G20,密度!$A$2:$A$50,密度!$B$2:$B$50)</f>
        <v>7840.5769071000004</v>
      </c>
      <c r="H19" s="73" ph="1">
        <f>H18*9.0746*LOOKUP(H20,密度!$A$2:$A$50,密度!$L$2:$L$50)</f>
        <v>0</v>
      </c>
      <c r="I19" s="73" ph="1">
        <f>I18*9.0746*LOOKUP(I20,密度!$A$2:$A$50,密度!$U$2:$U$50)</f>
        <v>15060.4965472</v>
      </c>
      <c r="J19" s="73" ph="1">
        <f>J18*9.0746*LOOKUP(J20,密度!$A$2:$A$50,密度!$L$2:$L$50)</f>
        <v>10906.072070400001</v>
      </c>
      <c r="K19" s="73" ph="1">
        <f>K18*9.0746*LOOKUP(K20,密度!$A$2:$A$50,密度!$C$2:$C$50)</f>
        <v>47949.356074100004</v>
      </c>
      <c r="L19" s="73" ph="1">
        <f>L18*9.0746*LOOKUP(L20,密度!$A$2:$A$50,密度!$E$2:$E$50)</f>
        <v>47078.26979328</v>
      </c>
      <c r="M19" s="73" ph="1">
        <f>M18*9.0746*LOOKUP(M20,密度!$A$2:$A$50,密度!$M$2:$M$50)</f>
        <v>26453.5797131</v>
      </c>
      <c r="N19" s="73" ph="1">
        <f>N18*9.0746*LOOKUP(N20,密度!$A$2:$A$50,密度!$M$2:$M$50)</f>
        <v>26716.430039399998</v>
      </c>
      <c r="O19" s="73" ph="1">
        <f>O18*9.0746*LOOKUP(O20,密度!$A$2:$A$50,密度!$G$2:$G$50)</f>
        <v>55739.817595240005</v>
      </c>
      <c r="P19" s="73" ph="1">
        <f ca="1">P18*9.0746*LOOKUP(P20,密度!$A$2:$A$51,密度!$Q$2:$Q$50)</f>
        <v>44537.230791936003</v>
      </c>
      <c r="Q19" s="73" ph="1">
        <f>Q18*9.0746*LOOKUP(Q20,密度!$A$2:$A$50,密度!$Q$2:$Q$50)</f>
        <v>13840.563041244</v>
      </c>
      <c r="R19" s="73" ph="1">
        <f>MAX(R18*9.0746*LOOKUP(R20,密度!$A$2:$A$50,密度!$B$2:$B$50),0)</f>
        <v>52863.671220620003</v>
      </c>
      <c r="S19" s="73" ph="1">
        <f>S18*9.0746*LOOKUP(S20,密度!$A$2:$A$50,密度!$Q$2:$Q$50)</f>
        <v>53188.656603564006</v>
      </c>
      <c r="T19" s="73" ph="1">
        <f>T18*9.0746*LOOKUP(T20,密度!$A$2:$A$50,密度!$O$2:$O$50)</f>
        <v>29511.615555200002</v>
      </c>
      <c r="U19" s="73" ph="1">
        <f>U18*9.0746*LOOKUP(U20,密度!$A$2:$A$50,密度!$H$2:$H$50)</f>
        <v>59197.670331280002</v>
      </c>
      <c r="V19" s="73" ph="1">
        <f>MAX(5600*LOOKUP(V20,密度!$A$2:$A$50,密度!$Q$2:$Q$50)+V18*9.0476*LOOKUP(V20,密度!$A$2:$A$50,密度!$Q$2:$Q$50),0)</f>
        <v>47530.767382319995</v>
      </c>
      <c r="W19" s="73" ph="1">
        <f>MAX(5600*LOOKUP(W20,密度!$A$2:$A$50,密度!$Q$2:$Q$50)+W18*9.0476*LOOKUP(W20,密度!$A$2:$A$50,密度!$Q$2:$Q$50),0)</f>
        <v>48395.905589543996</v>
      </c>
      <c r="X19" s="73" ph="1">
        <f>MAX(5600*LOOKUP(X20,密度!$A$2:$A$50,密度!$I$2:$I$50)+X18*9.0476*LOOKUP(X20,密度!$A$2:$A$50,密度!$I$2:$I$50),0)</f>
        <v>13838.94516648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9320.6124060000002</v>
      </c>
      <c r="AC19" s="73" ph="1">
        <f>AC18*9.0746*LOOKUP(AC20,密度!$A$2:$A$50,密度!$L$2:$L$50)</f>
        <v>18260.6088642</v>
      </c>
      <c r="AD19" s="73" ph="1">
        <f>AD18*268.68*LOOKUP(AD20,密度!$A$2:$A$50,密度!B5:B53)+IF(AD18&lt;=0,0,1566*LOOKUP(AD20,密度!$A$2:$A$50,密度!B5:B53))</f>
        <v>16999.367616</v>
      </c>
      <c r="AE19" s="73" ph="1">
        <f>AE18*268.68*LOOKUP(AE20,密度!$A$2:$A$50,密度!B5:B53)+IF(AE18&lt;=0,0,1566*LOOKUP(AE20,密度!$A$2:$A$50,密度!B5:B53))</f>
        <v>18771.777032400001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7" ph="1"/>
      <c r="C20" s="80" t="s" ph="1">
        <v>179</v>
      </c>
      <c r="D20" s="81">
        <v>25</v>
      </c>
      <c r="E20" s="81">
        <v>25</v>
      </c>
      <c r="F20" s="81">
        <v>24</v>
      </c>
      <c r="G20" s="81">
        <v>24</v>
      </c>
      <c r="H20" s="81">
        <v>20</v>
      </c>
      <c r="I20" s="81">
        <v>23</v>
      </c>
      <c r="J20" s="81">
        <v>26</v>
      </c>
      <c r="K20" s="81">
        <v>25</v>
      </c>
      <c r="L20" s="81">
        <v>25</v>
      </c>
      <c r="M20" s="81">
        <v>26</v>
      </c>
      <c r="N20" s="81">
        <v>23</v>
      </c>
      <c r="O20" s="81">
        <v>25</v>
      </c>
      <c r="P20" s="81">
        <v>25</v>
      </c>
      <c r="Q20" s="81">
        <v>25</v>
      </c>
      <c r="R20" s="81">
        <v>26</v>
      </c>
      <c r="S20" s="81">
        <v>25</v>
      </c>
      <c r="T20" s="81">
        <v>26</v>
      </c>
      <c r="U20" s="81">
        <v>24</v>
      </c>
      <c r="V20" s="81">
        <v>25</v>
      </c>
      <c r="W20" s="81">
        <v>25</v>
      </c>
      <c r="X20" s="81">
        <v>24</v>
      </c>
      <c r="Y20" s="110">
        <v>24</v>
      </c>
      <c r="Z20" s="81">
        <v>25</v>
      </c>
      <c r="AA20" s="81">
        <v>23</v>
      </c>
      <c r="AB20" s="81">
        <v>24</v>
      </c>
      <c r="AC20" s="81">
        <v>23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28" t="s" ph="1">
        <v>640</v>
      </c>
      <c r="AA23" s="229"/>
      <c r="AB23" s="229"/>
      <c r="AC23" s="229"/>
      <c r="AD23" s="229"/>
      <c r="AE23" s="23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7" ph="1">
        <v>0.33333333333333331</v>
      </c>
      <c r="C24" s="150" t="s" ph="1">
        <v>177</v>
      </c>
      <c r="D24" s="71">
        <v>60.34</v>
      </c>
      <c r="E24" s="71">
        <v>2.99</v>
      </c>
      <c r="F24" s="71">
        <v>2729</v>
      </c>
      <c r="G24" s="71">
        <v>3756</v>
      </c>
      <c r="H24" s="71">
        <v>1220</v>
      </c>
      <c r="I24" s="71">
        <v>282</v>
      </c>
      <c r="J24" s="71">
        <v>419</v>
      </c>
      <c r="K24" s="71">
        <v>3054</v>
      </c>
      <c r="L24" s="71">
        <v>5580</v>
      </c>
      <c r="M24" s="71">
        <v>5103</v>
      </c>
      <c r="N24" s="71">
        <v>5502</v>
      </c>
      <c r="O24" s="71">
        <v>3771</v>
      </c>
      <c r="P24" s="71">
        <v>360</v>
      </c>
      <c r="Q24" s="90">
        <v>575</v>
      </c>
      <c r="R24" s="71">
        <v>204</v>
      </c>
      <c r="S24" s="71">
        <v>5175</v>
      </c>
      <c r="T24" s="71">
        <v>280</v>
      </c>
      <c r="U24" s="71">
        <v>5671</v>
      </c>
      <c r="V24" s="71">
        <v>10255</v>
      </c>
      <c r="W24" s="71">
        <v>8014</v>
      </c>
      <c r="X24" s="71">
        <v>3310</v>
      </c>
      <c r="Y24" s="71">
        <v>5223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7" ph="1"/>
      <c r="C25" s="68" t="s" ph="1">
        <v>178</v>
      </c>
      <c r="D25" s="91" ph="1">
        <f>D24*268.68*LOOKUP(D26,密度!$A$2:$A$50,密度!$Q$2:$Q$50)+IF(D24&lt;=0,0,1566*LOOKUP(D26,密度!$A$2:$A$50,密度!$Q$2:$Q$50))</f>
        <v>16831.286867088002</v>
      </c>
      <c r="E25" s="91" ph="1">
        <f>E24*268.68*LOOKUP(E26,密度!$A$2:$A$50,密度!$C$2:$C$50)+IF(E24&lt;=0,0,1566*LOOKUP(E26,密度!$A$2:$A$50,密度!$C$2:$C$50))</f>
        <v>2627.3757634799999</v>
      </c>
      <c r="F25" s="91" ph="1">
        <f>F24*11.702*LOOKUP(F26,密度!$A$2:$A$50,密度!$Q$2:$Q$50)</f>
        <v>30308.959470220001</v>
      </c>
      <c r="G25" s="91" ph="1">
        <f>G24*18.322*LOOKUP(G26,密度!$A$2:$A$50,密度!$B$2:$B$50)</f>
        <v>53835.877053600001</v>
      </c>
      <c r="H25" s="91" ph="1">
        <f>H24*18.322*LOOKUP(H26,密度!$A$2:$A$50,密度!$B$2:$B$50)</f>
        <v>17506.744288000002</v>
      </c>
      <c r="I25" s="91" ph="1">
        <f>I24*18.322*LOOKUP(I26,密度!$A$2:$A$50,密度!$Q$2:$Q$50)</f>
        <v>4903.7620083600004</v>
      </c>
      <c r="J25" s="91" ph="1">
        <f>J24*18.322*LOOKUP(J26,密度!$A$2:$A$50,密度!$Q$2:$Q$50)</f>
        <v>7286.0861046199998</v>
      </c>
      <c r="K25" s="91" ph="1">
        <f>K24*18.322*LOOKUP(K26,密度!$A$2:$A$50,密度!$Q$2:$Q$50)</f>
        <v>53056.898901600005</v>
      </c>
      <c r="L25" s="91" ph="1">
        <f>L24*18.322*LOOKUP(L26,密度!$A$2:$A$50,密度!$Q$2:$Q$50)</f>
        <v>96940.895831999995</v>
      </c>
      <c r="M25" s="91" ph="1">
        <f>M24*18.322*LOOKUP(M26,密度!$A$2:$A$50,密度!$Q$2:$Q$50)</f>
        <v>88654.012801200006</v>
      </c>
      <c r="N25" s="91" ph="1">
        <f>N24*18.322*LOOKUP(N26,密度!$A$2:$A$50,密度!$Q$2:$Q$50)</f>
        <v>95675.526843960004</v>
      </c>
      <c r="O25" s="91" ph="1">
        <f>O24*18.322*LOOKUP(O26,密度!$A$2:$A$50,密度!$C$2:$C$50)</f>
        <v>76768.412308200001</v>
      </c>
      <c r="P25" s="91" ph="1">
        <f>P24*11.702*LOOKUP(P26,密度!$A$2:$A$50,密度!$B$2:$B$50)</f>
        <v>3299.4023040000002</v>
      </c>
      <c r="Q25" s="92" ph="1">
        <f>Q24*18.322*LOOKUP(Q26,密度!$A$2:$A$50,密度!$B$2:$B$50)</f>
        <v>8251.1294799999996</v>
      </c>
      <c r="R25" s="91" ph="1">
        <f>R24*35.891*LOOKUP(R26,密度!$A$2:$A$50,密度!$C$2:$C$50)</f>
        <v>8146.1946263999989</v>
      </c>
      <c r="S25" s="91" ph="1">
        <f>S24*35.891*LOOKUP(S26,密度!$A$2:$A$50,密度!$B$2:$B$50)</f>
        <v>145635.53879249998</v>
      </c>
      <c r="T25" s="91" ph="1">
        <f>T24*35.891*LOOKUP(T26,密度!$A$2:$A$50,密度!$Q$2:$Q$50)</f>
        <v>9543.8906611999992</v>
      </c>
      <c r="U25" s="91" ph="1">
        <f>U24*35.891</f>
        <v>203537.861</v>
      </c>
      <c r="V25" s="91" ph="1">
        <f>V24*47.051*LOOKUP(V26,密度!$A$2:$A$50,密度!$B$2:$B$50)</f>
        <v>377466.01231149997</v>
      </c>
      <c r="W25" s="91" ph="1">
        <f>W24*47.051*LOOKUP(W26,密度!$A$2:$A$50,密度!$B$2:$B$50)</f>
        <v>294979.2903622</v>
      </c>
      <c r="X25" s="91" ph="1">
        <f>X24*47.051*LOOKUP(X26,密度!$A$2:$A$50,密度!$I$2:$I$50)</f>
        <v>162684.76092599999</v>
      </c>
      <c r="Y25" s="91" ph="1">
        <f>Y24*47.051*LOOKUP(Y26,密度!$A$2:$A$50,密度!$L$2:$L$50)</f>
        <v>230756.78324700001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7" ph="1"/>
      <c r="C26" s="68" t="s" ph="1">
        <v>179</v>
      </c>
      <c r="D26" s="74">
        <v>25</v>
      </c>
      <c r="E26" s="74">
        <v>25</v>
      </c>
      <c r="F26" s="74">
        <v>22</v>
      </c>
      <c r="G26" s="74">
        <v>22</v>
      </c>
      <c r="H26" s="74">
        <v>21</v>
      </c>
      <c r="I26" s="74">
        <v>22</v>
      </c>
      <c r="J26" s="74">
        <v>22</v>
      </c>
      <c r="K26" s="74">
        <v>23</v>
      </c>
      <c r="L26" s="74">
        <v>23</v>
      </c>
      <c r="M26" s="74">
        <v>23</v>
      </c>
      <c r="N26" s="74">
        <v>22</v>
      </c>
      <c r="O26" s="74">
        <v>22</v>
      </c>
      <c r="P26" s="74">
        <v>21</v>
      </c>
      <c r="Q26" s="93">
        <v>21</v>
      </c>
      <c r="R26" s="74">
        <v>20</v>
      </c>
      <c r="S26" s="74">
        <v>20</v>
      </c>
      <c r="T26" s="74">
        <v>21</v>
      </c>
      <c r="U26" s="74">
        <v>22</v>
      </c>
      <c r="V26" s="74">
        <v>22</v>
      </c>
      <c r="W26" s="74">
        <v>22</v>
      </c>
      <c r="X26" s="74">
        <v>23</v>
      </c>
      <c r="Y26" s="74">
        <v>23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7" ph="1">
        <v>0.66666666666666663</v>
      </c>
      <c r="C27" s="150" t="s" ph="1">
        <v>180</v>
      </c>
      <c r="D27" s="71">
        <v>27.08</v>
      </c>
      <c r="E27" s="71">
        <v>3</v>
      </c>
      <c r="F27" s="71">
        <v>1705</v>
      </c>
      <c r="G27" s="71">
        <v>2913</v>
      </c>
      <c r="H27" s="71">
        <v>1090</v>
      </c>
      <c r="I27" s="71">
        <v>281</v>
      </c>
      <c r="J27" s="71">
        <v>418</v>
      </c>
      <c r="K27" s="71">
        <v>2406</v>
      </c>
      <c r="L27" s="71">
        <v>5581</v>
      </c>
      <c r="M27" s="71">
        <v>5106</v>
      </c>
      <c r="N27" s="71">
        <v>5504</v>
      </c>
      <c r="O27" s="71">
        <v>3771</v>
      </c>
      <c r="P27" s="71">
        <v>360</v>
      </c>
      <c r="Q27" s="90">
        <v>786</v>
      </c>
      <c r="R27" s="71">
        <v>204</v>
      </c>
      <c r="S27" s="71">
        <v>4750</v>
      </c>
      <c r="T27" s="71">
        <v>280</v>
      </c>
      <c r="U27" s="71">
        <v>5677</v>
      </c>
      <c r="V27" s="71">
        <v>10258</v>
      </c>
      <c r="W27" s="71">
        <v>8011</v>
      </c>
      <c r="X27" s="71">
        <v>3905</v>
      </c>
      <c r="Y27" s="71">
        <v>5913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7" ph="1"/>
      <c r="C28" s="150" t="s" ph="1">
        <v>178</v>
      </c>
      <c r="D28" s="91" ph="1">
        <f>D27*268.68*LOOKUP(D29,密度!$A$2:$A$50,密度!$Q$2:$Q$50)+IF(D27&lt;=0,0,1566*LOOKUP(D29,密度!$A$2:$A$50,密度!$Q$2:$Q$50))</f>
        <v>8370.9372346560012</v>
      </c>
      <c r="E28" s="91" ph="1">
        <f>E27*268.68*LOOKUP(E29,密度!$A$2:$A$50,密度!$C$2:$C$50)+IF(E27&lt;=0,0,1566*LOOKUP(E29,密度!$A$2:$A$50,密度!$C$2:$C$50))</f>
        <v>2630.3551559999996</v>
      </c>
      <c r="F28" s="91" ph="1">
        <f>F27*11.702*LOOKUP(F29,密度!$A$2:$A$50,密度!$Q$2:$Q$50)</f>
        <v>18903.836167699999</v>
      </c>
      <c r="G28" s="91" ph="1">
        <f>G27*18.322*LOOKUP(G29,密度!$A$2:$A$50,密度!$B$2:$B$50)</f>
        <v>41656.835072999995</v>
      </c>
      <c r="H28" s="91" ph="1">
        <f>H27*18.322*LOOKUP(H29,密度!$A$2:$A$50,密度!$B$2:$B$50)</f>
        <v>15587.34989</v>
      </c>
      <c r="I28" s="91" ph="1">
        <f>I27*18.322*LOOKUP(I29,密度!$A$2:$A$50,密度!$Q$2:$Q$50)</f>
        <v>4878.0322405400002</v>
      </c>
      <c r="J28" s="91" ph="1">
        <f>J27*18.322*LOOKUP(J29,密度!$A$2:$A$50,密度!$Q$2:$Q$50)</f>
        <v>7250.69917704</v>
      </c>
      <c r="K28" s="91" ph="1">
        <f>K27*18.322*LOOKUP(K29,密度!$A$2:$A$50,密度!$Q$2:$Q$50)</f>
        <v>41734.88569368</v>
      </c>
      <c r="L28" s="91" ph="1">
        <f>L27*18.322*LOOKUP(L29,密度!$A$2:$A$50,密度!$Q$2:$Q$50)</f>
        <v>96883.622542540004</v>
      </c>
      <c r="M28" s="91" ph="1">
        <f>M27*18.322*LOOKUP(M29,密度!$A$2:$A$50,密度!$Q$2:$Q$50)</f>
        <v>88637.838506040003</v>
      </c>
      <c r="N28" s="91" ph="1">
        <f>N27*18.322*LOOKUP(N29,密度!$A$2:$A$50,密度!$Q$2:$Q$50)</f>
        <v>95473.321221120001</v>
      </c>
      <c r="O28" s="91" ph="1">
        <f>O27*18.322*LOOKUP(O29,密度!$A$2:$A$50,密度!$C$2:$C$50)</f>
        <v>76664.773915199999</v>
      </c>
      <c r="P28" s="91" ph="1">
        <f>P27*11.702*LOOKUP(P29,密度!$A$2:$A$50,密度!$B$2:$B$50)</f>
        <v>3284.2365119999999</v>
      </c>
      <c r="Q28" s="92" ph="1">
        <f>Q27*18.322*LOOKUP(Q29,密度!$A$2:$A$50,密度!$B$2:$B$50)</f>
        <v>11240.052305999998</v>
      </c>
      <c r="R28" s="91" ph="1">
        <f>R27*35.891*LOOKUP(R29,密度!$A$2:$A$50,密度!$C$2:$C$50)</f>
        <v>8124.2293343999982</v>
      </c>
      <c r="S28" s="91" ph="1">
        <f>S27*35.891*LOOKUP(S29,密度!$A$2:$A$50,密度!$B$2:$B$50)</f>
        <v>132907.9621</v>
      </c>
      <c r="T28" s="91" ph="1">
        <f>T27*35.891*LOOKUP(T29,密度!$A$2:$A$50,密度!$Q$2:$Q$50)</f>
        <v>9514.2446951999991</v>
      </c>
      <c r="U28" s="91" ph="1">
        <f>U27*35.891</f>
        <v>203753.20699999999</v>
      </c>
      <c r="V28" s="91" ph="1">
        <f>V27*47.051*LOOKUP(V29,密度!$A$2:$A$50,密度!$B$2:$B$50)</f>
        <v>376707.66781899997</v>
      </c>
      <c r="W28" s="91" ph="1">
        <f>W27*47.051*LOOKUP(W29,密度!$A$2:$A$50,密度!$B$2:$B$50)</f>
        <v>294190.40036049997</v>
      </c>
      <c r="X28" s="91" ph="1">
        <f>X27*47.051*LOOKUP(X29,密度!$A$2:$A$50,密度!$I$2:$I$50)</f>
        <v>191506.10975649999</v>
      </c>
      <c r="Y28" s="91" ph="1">
        <f>Y27*47.051*LOOKUP(Y29,密度!$A$2:$A$50,密度!$L$2:$L$50)</f>
        <v>260963.38409400001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7" ph="1"/>
      <c r="C29" s="150" t="s" ph="1">
        <v>179</v>
      </c>
      <c r="D29" s="74">
        <v>25</v>
      </c>
      <c r="E29" s="74">
        <v>25</v>
      </c>
      <c r="F29" s="74">
        <v>24</v>
      </c>
      <c r="G29" s="74">
        <v>24</v>
      </c>
      <c r="H29" s="74">
        <v>24</v>
      </c>
      <c r="I29" s="74">
        <v>24</v>
      </c>
      <c r="J29" s="74">
        <v>25</v>
      </c>
      <c r="K29" s="74">
        <v>25</v>
      </c>
      <c r="L29" s="74">
        <v>24</v>
      </c>
      <c r="M29" s="74">
        <v>24</v>
      </c>
      <c r="N29" s="74">
        <v>25</v>
      </c>
      <c r="O29" s="74">
        <v>24</v>
      </c>
      <c r="P29" s="74">
        <v>25</v>
      </c>
      <c r="Q29" s="93">
        <v>24</v>
      </c>
      <c r="R29" s="74">
        <v>24</v>
      </c>
      <c r="S29" s="74">
        <v>25</v>
      </c>
      <c r="T29" s="74">
        <v>25</v>
      </c>
      <c r="U29" s="74">
        <v>25</v>
      </c>
      <c r="V29" s="74">
        <v>24</v>
      </c>
      <c r="W29" s="74">
        <v>24</v>
      </c>
      <c r="X29" s="74">
        <v>25</v>
      </c>
      <c r="Y29" s="74">
        <v>24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50" t="s" ph="1">
        <v>5</v>
      </c>
      <c r="F32" s="151" t="s" ph="1">
        <v>43</v>
      </c>
      <c r="G32" s="97" t="s" ph="1">
        <v>4</v>
      </c>
      <c r="H32" s="150" t="s" ph="1">
        <v>5</v>
      </c>
      <c r="I32" s="151" t="s" ph="1">
        <v>43</v>
      </c>
      <c r="J32" s="97" t="s" ph="1">
        <v>4</v>
      </c>
      <c r="K32" s="150" t="s" ph="1">
        <v>5</v>
      </c>
      <c r="L32" s="151" t="s" ph="1">
        <v>43</v>
      </c>
      <c r="M32" s="97" t="s" ph="1">
        <v>4</v>
      </c>
      <c r="N32" s="150" t="s" ph="1">
        <v>5</v>
      </c>
      <c r="O32" s="15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0" t="s" ph="1">
        <v>5</v>
      </c>
      <c r="U32" s="99" t="s" ph="1">
        <v>43</v>
      </c>
      <c r="V32" s="97" t="s" ph="1">
        <v>4</v>
      </c>
      <c r="W32" s="150" t="s" ph="1">
        <v>5</v>
      </c>
      <c r="X32" s="99" t="s" ph="1">
        <v>43</v>
      </c>
      <c r="Y32" s="100" t="s" ph="1">
        <v>4</v>
      </c>
      <c r="Z32" s="150" t="s" ph="1">
        <v>5</v>
      </c>
      <c r="AA32" s="151" t="s" ph="1">
        <v>43</v>
      </c>
      <c r="AB32" s="97" t="s" ph="1">
        <v>85</v>
      </c>
      <c r="AC32" s="150" t="s" ph="1">
        <v>84</v>
      </c>
      <c r="AD32" s="204" t="s" ph="1">
        <v>83</v>
      </c>
      <c r="AE32" s="20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6" t="s" ph="1">
        <v>181</v>
      </c>
      <c r="C33" s="207" ph="1"/>
      <c r="D33" s="186" ph="1">
        <f>AA10+AB10+Z19</f>
        <v>100891.1584548</v>
      </c>
      <c r="E33" s="186" ph="1">
        <f>M10+I10</f>
        <v>154524.9573452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1522252632456786910111213141516171819202123456789101112131415161718192022232424356789101112131415161718192021222345678910111213141516171819202345678910111213149101516171819222123234567891012131415161711181920212224252345678910111213139[[#This Row],[F25]]</f>
        <v>3880</v>
      </c>
      <c r="G33" s="212" ph="1">
        <v>0</v>
      </c>
      <c r="H33" s="186" ph="1">
        <f>N19</f>
        <v>26716.430039399998</v>
      </c>
      <c r="I33" s="190" ph="1">
        <v>0</v>
      </c>
      <c r="J33" s="194" ph="1">
        <f>F10+O28</f>
        <v>241516.89587880002</v>
      </c>
      <c r="K33" s="186" ph="1">
        <f>O10+K10+E28+R28</f>
        <v>15854.132199999996</v>
      </c>
      <c r="L33" s="196" ph="1">
        <f>BE27</f>
        <v>7100</v>
      </c>
      <c r="M33" s="194" ph="1">
        <f>G10+H10+W28+S28+V28+E10</f>
        <v>1233621.8826794999</v>
      </c>
      <c r="N33" s="186" ph="1">
        <f>L10+P10++G28+H28</f>
        <v>162958.04701899999</v>
      </c>
      <c r="O33" s="190" ph="1">
        <f>BE17</f>
        <v>2270</v>
      </c>
      <c r="P33" s="194" ph="1">
        <f>L19</f>
        <v>47078.26979328</v>
      </c>
      <c r="Q33" s="186" ph="1">
        <f>J10+N10</f>
        <v>42983.160068800004</v>
      </c>
      <c r="R33" s="190" ph="1">
        <f>BE23</f>
        <v>890</v>
      </c>
      <c r="S33" s="194" ph="1">
        <f>E10+X28</f>
        <v>191506.10975649999</v>
      </c>
      <c r="T33" s="186" ph="1">
        <f>X19</f>
        <v>13838.94516648</v>
      </c>
      <c r="U33" s="175" ph="1">
        <f>BE21</f>
        <v>730</v>
      </c>
      <c r="V33" s="188" ph="1">
        <f ca="1">P19+Q19+S19+M28+N28+J28</f>
        <v>302928.30934094405</v>
      </c>
      <c r="W33" s="188" ph="1">
        <f>D28+F28+V19+T28</f>
        <v>84319.785479875994</v>
      </c>
      <c r="X33" s="190" ph="1">
        <f>BE29+BE31</f>
        <v>10200</v>
      </c>
      <c r="Y33" s="192" ph="1">
        <f>+Q10+R10+S10+T10+U10+V10+W10+X10+Y10</f>
        <v>152912.40841799998</v>
      </c>
      <c r="Z33" s="173" ph="1">
        <f>D10+T19+U19+Y28+Z10</f>
        <v>587270.71513431007</v>
      </c>
      <c r="AA33" s="175" ph="1">
        <f>BE19</f>
        <v>1440</v>
      </c>
      <c r="AB33" s="177" ph="1">
        <f>I19</f>
        <v>15060.4965472</v>
      </c>
      <c r="AC33" s="179" ph="1">
        <f>AD10</f>
        <v>93818.123072000002</v>
      </c>
      <c r="AD33" s="181" ph="1">
        <v>0</v>
      </c>
      <c r="AE33" s="18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5" t="s" ph="1">
        <v>633</v>
      </c>
      <c r="AD35" s="185"/>
      <c r="AE35" s="18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1" t="s" ph="1">
        <v>183</v>
      </c>
      <c r="J36" s="171" ph="1"/>
      <c r="K36" s="101" ph="1"/>
      <c r="P36" s="101" ph="1"/>
      <c r="R36" s="171" t="s" ph="1">
        <v>184</v>
      </c>
      <c r="S36" s="171" ph="1"/>
      <c r="Y36" s="102" ph="1"/>
      <c r="Z36" s="152" t="s" ph="1">
        <v>185</v>
      </c>
      <c r="AA36" s="152" ph="1"/>
      <c r="AB36" s="172" t="s" ph="1">
        <v>642</v>
      </c>
      <c r="AC36" s="172" ph="1"/>
      <c r="AD36" s="172" ph="1"/>
      <c r="AE36" s="172" ph="1"/>
      <c r="BA36" s="64" ph="1">
        <v>2270</v>
      </c>
    </row>
    <row r="37" spans="1:57" s="152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2" t="s" ph="1">
        <v>342</v>
      </c>
      <c r="AI37" s="152" t="s" ph="1">
        <v>209</v>
      </c>
      <c r="AJ37" s="152" t="s" ph="1">
        <v>210</v>
      </c>
      <c r="AK37" s="152" t="s" ph="1">
        <v>211</v>
      </c>
      <c r="AM37" s="152" t="s" ph="1">
        <v>210</v>
      </c>
      <c r="AN37" s="152" t="s" ph="1">
        <v>211</v>
      </c>
      <c r="AO37" s="152" t="s" ph="1">
        <v>212</v>
      </c>
      <c r="AP37" s="152" t="s" ph="1">
        <v>210</v>
      </c>
      <c r="AQ37" s="152" t="s" ph="1">
        <v>211</v>
      </c>
      <c r="AR37" s="152" t="s" ph="1">
        <v>212</v>
      </c>
      <c r="AS37" s="152" t="s" ph="1">
        <v>210</v>
      </c>
      <c r="AT37" s="152" t="s" ph="1">
        <v>211</v>
      </c>
      <c r="AU37" s="152" t="s" ph="1">
        <v>212</v>
      </c>
      <c r="AV37" s="152" t="s" ph="1">
        <v>210</v>
      </c>
      <c r="AW37" s="152" t="s" ph="1">
        <v>211</v>
      </c>
      <c r="AX37" s="152" t="s" ph="1">
        <v>212</v>
      </c>
      <c r="AY37" s="152" t="s" ph="1">
        <v>211</v>
      </c>
      <c r="AZ37" s="152" t="s" ph="1">
        <v>213</v>
      </c>
      <c r="BD37" s="152" t="s" ph="1">
        <v>305</v>
      </c>
      <c r="BE37" s="152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663" priority="98">
      <formula>ABS(D$7-D$10)&gt;=1000</formula>
    </cfRule>
  </conditionalFormatting>
  <conditionalFormatting sqref="E4 E6:E11">
    <cfRule type="expression" dxfId="1662" priority="97">
      <formula>ABS(E$7-E$10)&gt;=1000</formula>
    </cfRule>
  </conditionalFormatting>
  <conditionalFormatting sqref="F4:F11">
    <cfRule type="expression" dxfId="1661" priority="96">
      <formula>ABS(F$7-F$10)&gt;=1000</formula>
    </cfRule>
  </conditionalFormatting>
  <conditionalFormatting sqref="G4:G11">
    <cfRule type="expression" dxfId="1660" priority="95">
      <formula>ABS(G$7-G$10)&gt;=1000</formula>
    </cfRule>
  </conditionalFormatting>
  <conditionalFormatting sqref="H4:H11">
    <cfRule type="expression" dxfId="1659" priority="94">
      <formula>ABS(H$7-H$10)&gt;=1000</formula>
    </cfRule>
  </conditionalFormatting>
  <conditionalFormatting sqref="I4:I11">
    <cfRule type="expression" dxfId="1658" priority="93">
      <formula>ABS(I$7-I$10)&gt;=1000</formula>
    </cfRule>
  </conditionalFormatting>
  <conditionalFormatting sqref="J4:J11">
    <cfRule type="expression" dxfId="1657" priority="92">
      <formula>ABS(J$7-J$10)&gt;=1000</formula>
    </cfRule>
  </conditionalFormatting>
  <conditionalFormatting sqref="K4:K11">
    <cfRule type="expression" dxfId="1656" priority="91">
      <formula>ABS(K$7-K$10)&gt;=1000</formula>
    </cfRule>
  </conditionalFormatting>
  <conditionalFormatting sqref="L4:L11">
    <cfRule type="expression" dxfId="1655" priority="90">
      <formula>ABS(L$7-L$10)&gt;=1000</formula>
    </cfRule>
  </conditionalFormatting>
  <conditionalFormatting sqref="M4 M6:M11">
    <cfRule type="expression" dxfId="1654" priority="89">
      <formula>ABS(M$7-M$10)&gt;=1000</formula>
    </cfRule>
  </conditionalFormatting>
  <conditionalFormatting sqref="N4 N6:N11">
    <cfRule type="expression" dxfId="1653" priority="88">
      <formula>ABS(N$7-N$10)&gt;=1000</formula>
    </cfRule>
  </conditionalFormatting>
  <conditionalFormatting sqref="O4 O6:O11">
    <cfRule type="expression" dxfId="1652" priority="87">
      <formula>ABS(O$7-O$10)&gt;=1000</formula>
    </cfRule>
  </conditionalFormatting>
  <conditionalFormatting sqref="P4 P6:P11">
    <cfRule type="expression" dxfId="1651" priority="86">
      <formula>ABS(P$7-P$10)&gt;=1000</formula>
    </cfRule>
  </conditionalFormatting>
  <conditionalFormatting sqref="Q4:Q11">
    <cfRule type="expression" dxfId="1650" priority="85">
      <formula>ABS(Q$7-Q$10)&gt;=1000</formula>
    </cfRule>
  </conditionalFormatting>
  <conditionalFormatting sqref="R4:R11">
    <cfRule type="expression" dxfId="1649" priority="84">
      <formula>ABS(R$7-R$10)&gt;=1000</formula>
    </cfRule>
  </conditionalFormatting>
  <conditionalFormatting sqref="S4:S11">
    <cfRule type="expression" dxfId="1648" priority="83">
      <formula>ABS(S$7-S$10)&gt;=1000</formula>
    </cfRule>
  </conditionalFormatting>
  <conditionalFormatting sqref="T4:T9 T11">
    <cfRule type="expression" dxfId="1647" priority="82">
      <formula>ABS(T$7-T$10)&gt;=1000</formula>
    </cfRule>
  </conditionalFormatting>
  <conditionalFormatting sqref="U4:U9 U11">
    <cfRule type="expression" dxfId="1646" priority="81">
      <formula>ABS(U$7-U$10)&gt;=1000</formula>
    </cfRule>
  </conditionalFormatting>
  <conditionalFormatting sqref="V4:V9 V11">
    <cfRule type="expression" dxfId="1645" priority="80">
      <formula>ABS(V$7-V$10)&gt;=1000</formula>
    </cfRule>
  </conditionalFormatting>
  <conditionalFormatting sqref="W4:W9 W11">
    <cfRule type="expression" dxfId="1644" priority="79">
      <formula>ABS(W$7-W$10)&gt;=1000</formula>
    </cfRule>
  </conditionalFormatting>
  <conditionalFormatting sqref="X4:X9 X11">
    <cfRule type="expression" dxfId="1643" priority="78">
      <formula>ABS(X$7-X$10)&gt;=1000</formula>
    </cfRule>
  </conditionalFormatting>
  <conditionalFormatting sqref="Y4:Y9 Y11">
    <cfRule type="expression" dxfId="1642" priority="77">
      <formula>ABS(Y$7-Y$10)&gt;=1000</formula>
    </cfRule>
  </conditionalFormatting>
  <conditionalFormatting sqref="Z4:Z11">
    <cfRule type="expression" dxfId="1641" priority="76">
      <formula>ABS(Z$7-Z$10)&gt;=1000</formula>
    </cfRule>
  </conditionalFormatting>
  <conditionalFormatting sqref="AA4:AA11">
    <cfRule type="expression" dxfId="1640" priority="75">
      <formula>ABS(AA$7-AA$10)&gt;=1000</formula>
    </cfRule>
  </conditionalFormatting>
  <conditionalFormatting sqref="AB4:AB11">
    <cfRule type="expression" dxfId="1639" priority="74">
      <formula>ABS(AB$7-AB$10)&gt;=1000</formula>
    </cfRule>
  </conditionalFormatting>
  <conditionalFormatting sqref="AC4 AC6:AC11">
    <cfRule type="expression" dxfId="1638" priority="73">
      <formula>ABS(AC$7-AC$10)&gt;=1000</formula>
    </cfRule>
  </conditionalFormatting>
  <conditionalFormatting sqref="AD4:AD11">
    <cfRule type="expression" dxfId="1637" priority="72">
      <formula>ABS(AD$7-AD$10)&gt;=1000</formula>
    </cfRule>
  </conditionalFormatting>
  <conditionalFormatting sqref="AE4 AE6:AE11">
    <cfRule type="expression" dxfId="1636" priority="71">
      <formula>ABS(AE$7-AE$10)&gt;=1000</formula>
    </cfRule>
  </conditionalFormatting>
  <conditionalFormatting sqref="D13:D20">
    <cfRule type="expression" dxfId="1635" priority="70">
      <formula>ABS(D$16-D$19)&gt;=1000</formula>
    </cfRule>
  </conditionalFormatting>
  <conditionalFormatting sqref="E13:E20">
    <cfRule type="expression" dxfId="1634" priority="69">
      <formula>ABS(E$16-E$19)&gt;=1000</formula>
    </cfRule>
  </conditionalFormatting>
  <conditionalFormatting sqref="F13 F15:F20">
    <cfRule type="expression" dxfId="1633" priority="68">
      <formula>ABS(F$16-F$19)&gt;=1000</formula>
    </cfRule>
  </conditionalFormatting>
  <conditionalFormatting sqref="G13:G20">
    <cfRule type="expression" dxfId="1632" priority="67">
      <formula>ABS(G$16-G$19)&gt;=1000</formula>
    </cfRule>
  </conditionalFormatting>
  <conditionalFormatting sqref="H13:H20">
    <cfRule type="expression" dxfId="1631" priority="66">
      <formula>ABS(H$16-H$19)&gt;=1000</formula>
    </cfRule>
  </conditionalFormatting>
  <conditionalFormatting sqref="I13:I20">
    <cfRule type="expression" dxfId="1630" priority="65">
      <formula>ABS(I$16-I$19)&gt;=1000</formula>
    </cfRule>
  </conditionalFormatting>
  <conditionalFormatting sqref="J13:J20">
    <cfRule type="expression" dxfId="1629" priority="64">
      <formula>ABS(J$16-J$19)&gt;=1000</formula>
    </cfRule>
  </conditionalFormatting>
  <conditionalFormatting sqref="L13:L20">
    <cfRule type="expression" dxfId="1628" priority="63">
      <formula>ABS(L$16-L$19)&gt;=1000</formula>
    </cfRule>
  </conditionalFormatting>
  <conditionalFormatting sqref="M13 M15 M17:M18 M20">
    <cfRule type="expression" dxfId="1627" priority="62">
      <formula>ABS(M$16-M$19)&gt;=1000</formula>
    </cfRule>
  </conditionalFormatting>
  <conditionalFormatting sqref="N13:N20">
    <cfRule type="expression" dxfId="1626" priority="61">
      <formula>ABS(N$16-N$19)&gt;=1000</formula>
    </cfRule>
  </conditionalFormatting>
  <conditionalFormatting sqref="O13:O20">
    <cfRule type="expression" dxfId="1625" priority="60">
      <formula>ABS(O$16-O$19)&gt;=1000</formula>
    </cfRule>
  </conditionalFormatting>
  <conditionalFormatting sqref="P13:P20">
    <cfRule type="expression" dxfId="1624" priority="59">
      <formula>ABS(P$16-P$19)&gt;=1000</formula>
    </cfRule>
  </conditionalFormatting>
  <conditionalFormatting sqref="Q13 Q15:Q20">
    <cfRule type="expression" dxfId="1623" priority="58">
      <formula>ABS(Q$16-Q$19)&gt;=1000</formula>
    </cfRule>
  </conditionalFormatting>
  <conditionalFormatting sqref="R13:R20">
    <cfRule type="expression" dxfId="1622" priority="57">
      <formula>ABS(R$16-R$19)&gt;=1000</formula>
    </cfRule>
  </conditionalFormatting>
  <conditionalFormatting sqref="S13:S20">
    <cfRule type="expression" dxfId="1621" priority="56">
      <formula>ABS(S$16-S$19)&gt;=1000</formula>
    </cfRule>
  </conditionalFormatting>
  <conditionalFormatting sqref="T13:T20">
    <cfRule type="expression" dxfId="1620" priority="55">
      <formula>ABS(T$16-T$19)&gt;=1000</formula>
    </cfRule>
  </conditionalFormatting>
  <conditionalFormatting sqref="U13:U20">
    <cfRule type="expression" dxfId="1619" priority="54">
      <formula>ABS(U$16-U$19)&gt;=1000</formula>
    </cfRule>
  </conditionalFormatting>
  <conditionalFormatting sqref="V13:V20">
    <cfRule type="expression" dxfId="1618" priority="53">
      <formula>ABS(V$16-V$19)&gt;=1000</formula>
    </cfRule>
  </conditionalFormatting>
  <conditionalFormatting sqref="W13 W20 W15:W18">
    <cfRule type="expression" dxfId="1617" priority="52">
      <formula>ABS(W$16-W$19)&gt;=1000</formula>
    </cfRule>
  </conditionalFormatting>
  <conditionalFormatting sqref="X13 X15:X20 Y19">
    <cfRule type="expression" dxfId="1616" priority="51">
      <formula>ABS(X$16-X$19)&gt;=1000</formula>
    </cfRule>
  </conditionalFormatting>
  <conditionalFormatting sqref="Y13 Y15:Y18 Y20">
    <cfRule type="expression" dxfId="1615" priority="50">
      <formula>ABS(Y$16-Y$19)&gt;=1000</formula>
    </cfRule>
  </conditionalFormatting>
  <conditionalFormatting sqref="Z13:Z20">
    <cfRule type="expression" dxfId="1614" priority="49">
      <formula>ABS(Z$16-Z$19)&gt;=1000</formula>
    </cfRule>
  </conditionalFormatting>
  <conditionalFormatting sqref="AA13:AA20">
    <cfRule type="expression" dxfId="1613" priority="48">
      <formula>ABS(AA$16-AA$19)&gt;=1000</formula>
    </cfRule>
  </conditionalFormatting>
  <conditionalFormatting sqref="AB13 AB15:AB20">
    <cfRule type="expression" dxfId="1612" priority="47">
      <formula>ABS(AB$16-AB$19)&gt;=1000</formula>
    </cfRule>
  </conditionalFormatting>
  <conditionalFormatting sqref="AC13 AC15:AC20">
    <cfRule type="expression" dxfId="1611" priority="46">
      <formula>ABS(AC$16-AC$19)&gt;=1000</formula>
    </cfRule>
  </conditionalFormatting>
  <conditionalFormatting sqref="AD13:AD20">
    <cfRule type="expression" dxfId="1610" priority="45">
      <formula>ABS(AD$16-AD$19)&gt;=1000</formula>
    </cfRule>
  </conditionalFormatting>
  <conditionalFormatting sqref="AE13:AE20">
    <cfRule type="expression" dxfId="1609" priority="44">
      <formula>ABS(AE$16-AE$19)&gt;=1000</formula>
    </cfRule>
  </conditionalFormatting>
  <conditionalFormatting sqref="D22:D29">
    <cfRule type="expression" dxfId="1608" priority="43">
      <formula>ABS(D$25-D$28)&gt;=1000</formula>
    </cfRule>
  </conditionalFormatting>
  <conditionalFormatting sqref="E22:E29">
    <cfRule type="expression" dxfId="1607" priority="42">
      <formula>ABS(E$25-E$28)&gt;=1000</formula>
    </cfRule>
  </conditionalFormatting>
  <conditionalFormatting sqref="F22:F29">
    <cfRule type="expression" dxfId="1606" priority="41">
      <formula>ABS(F$25-F$28)&gt;=1000</formula>
    </cfRule>
  </conditionalFormatting>
  <conditionalFormatting sqref="G22:G29">
    <cfRule type="expression" dxfId="1605" priority="40">
      <formula>ABS(G$25-G$28)&gt;=1000</formula>
    </cfRule>
  </conditionalFormatting>
  <conditionalFormatting sqref="H22:H29">
    <cfRule type="expression" dxfId="1604" priority="39">
      <formula>ABS(H$25-H$28)&gt;=1000</formula>
    </cfRule>
  </conditionalFormatting>
  <conditionalFormatting sqref="I22 I24:I29">
    <cfRule type="expression" dxfId="1603" priority="38">
      <formula>ABS(I$25-I$28)&gt;=1000</formula>
    </cfRule>
  </conditionalFormatting>
  <conditionalFormatting sqref="J22:J29 K22">
    <cfRule type="expression" dxfId="1602" priority="37">
      <formula>ABS(J$25-J$28)&gt;=1000</formula>
    </cfRule>
  </conditionalFormatting>
  <conditionalFormatting sqref="K23:K29 L25 L28">
    <cfRule type="expression" dxfId="1601" priority="36">
      <formula>ABS(K$25-K$28)&gt;=1000</formula>
    </cfRule>
  </conditionalFormatting>
  <conditionalFormatting sqref="L22 L26:L27 L29 L24">
    <cfRule type="expression" dxfId="1600" priority="35">
      <formula>ABS(L$25-L$28)&gt;=1000</formula>
    </cfRule>
  </conditionalFormatting>
  <conditionalFormatting sqref="M22:M29">
    <cfRule type="expression" dxfId="1599" priority="34">
      <formula>ABS(M$25-M$28)&gt;=1000</formula>
    </cfRule>
  </conditionalFormatting>
  <conditionalFormatting sqref="N22:N29">
    <cfRule type="expression" dxfId="1598" priority="33">
      <formula>ABS(N$25-N$28)&gt;=1000</formula>
    </cfRule>
  </conditionalFormatting>
  <conditionalFormatting sqref="O22:O29">
    <cfRule type="expression" dxfId="1597" priority="32">
      <formula>ABS(O$25-O$28)&gt;=1000</formula>
    </cfRule>
  </conditionalFormatting>
  <conditionalFormatting sqref="P22:P29">
    <cfRule type="expression" dxfId="1596" priority="31">
      <formula>ABS(P$25-P$28)&gt;=1000</formula>
    </cfRule>
  </conditionalFormatting>
  <conditionalFormatting sqref="Q22:Q29">
    <cfRule type="expression" dxfId="1595" priority="30">
      <formula>ABS(Q$25-Q$28)&gt;=1000</formula>
    </cfRule>
  </conditionalFormatting>
  <conditionalFormatting sqref="R22:R29">
    <cfRule type="expression" dxfId="1594" priority="29">
      <formula>ABS(R$25-R$28)&gt;=1000</formula>
    </cfRule>
  </conditionalFormatting>
  <conditionalFormatting sqref="S22:S29">
    <cfRule type="expression" dxfId="1593" priority="28">
      <formula>ABS(S$25-S$28)&gt;=1000</formula>
    </cfRule>
  </conditionalFormatting>
  <conditionalFormatting sqref="T22:T29">
    <cfRule type="expression" dxfId="1592" priority="27">
      <formula>ABS(T$25-T$28)&gt;=1000</formula>
    </cfRule>
  </conditionalFormatting>
  <conditionalFormatting sqref="U22:U29">
    <cfRule type="expression" dxfId="1591" priority="26">
      <formula>ABS(U$25-U$28)&gt;=1000</formula>
    </cfRule>
  </conditionalFormatting>
  <conditionalFormatting sqref="V22:V29">
    <cfRule type="expression" dxfId="1590" priority="25">
      <formula>ABS(V$25-V$28)&gt;=1000</formula>
    </cfRule>
  </conditionalFormatting>
  <conditionalFormatting sqref="W22:W29">
    <cfRule type="expression" dxfId="1589" priority="24">
      <formula>ABS(W$25-W$28)&gt;=1000</formula>
    </cfRule>
  </conditionalFormatting>
  <conditionalFormatting sqref="X22:X29">
    <cfRule type="expression" dxfId="1588" priority="23">
      <formula>ABS(X$25-X$28)&gt;=1000</formula>
    </cfRule>
  </conditionalFormatting>
  <conditionalFormatting sqref="Y22:Y29">
    <cfRule type="expression" dxfId="1587" priority="22">
      <formula>ABS(Y$25-Y$28)&gt;=1000</formula>
    </cfRule>
  </conditionalFormatting>
  <conditionalFormatting sqref="I23">
    <cfRule type="expression" dxfId="1586" priority="21">
      <formula>ABS(I$25-I$28)&gt;=1000</formula>
    </cfRule>
  </conditionalFormatting>
  <conditionalFormatting sqref="Q14">
    <cfRule type="expression" dxfId="1585" priority="20">
      <formula>ABS(Q$16-Q$19)&gt;=1000</formula>
    </cfRule>
  </conditionalFormatting>
  <conditionalFormatting sqref="W14">
    <cfRule type="expression" dxfId="1584" priority="19">
      <formula>ABS(W$16-W$19)&gt;=1000</formula>
    </cfRule>
  </conditionalFormatting>
  <conditionalFormatting sqref="Y14">
    <cfRule type="expression" dxfId="1583" priority="18">
      <formula>ABS(Y$16-Y$19)&gt;=1000</formula>
    </cfRule>
  </conditionalFormatting>
  <conditionalFormatting sqref="X14">
    <cfRule type="expression" dxfId="1582" priority="17">
      <formula>ABS(X$16-X$19)&gt;=1000</formula>
    </cfRule>
  </conditionalFormatting>
  <conditionalFormatting sqref="T10:Y10">
    <cfRule type="expression" dxfId="1581" priority="16">
      <formula>ABS(T$7-T$10)&gt;=1000</formula>
    </cfRule>
  </conditionalFormatting>
  <conditionalFormatting sqref="W19">
    <cfRule type="expression" dxfId="1580" priority="15">
      <formula>ABS(W$16-W$19)&gt;=1000</formula>
    </cfRule>
  </conditionalFormatting>
  <conditionalFormatting sqref="AC5">
    <cfRule type="expression" dxfId="1579" priority="14">
      <formula>ABS(AC$7-AC$10)&gt;=1000</formula>
    </cfRule>
  </conditionalFormatting>
  <conditionalFormatting sqref="M14">
    <cfRule type="expression" dxfId="1578" priority="13">
      <formula>ABS(M$16-M$19)&gt;=1000</formula>
    </cfRule>
  </conditionalFormatting>
  <conditionalFormatting sqref="M16">
    <cfRule type="expression" dxfId="1577" priority="12">
      <formula>ABS(M$16-M$19)&gt;=1000</formula>
    </cfRule>
  </conditionalFormatting>
  <conditionalFormatting sqref="M19">
    <cfRule type="expression" dxfId="1576" priority="11">
      <formula>ABS(M$16-M$19)&gt;=1000</formula>
    </cfRule>
  </conditionalFormatting>
  <conditionalFormatting sqref="K13:K20">
    <cfRule type="expression" dxfId="1575" priority="10">
      <formula>ABS(K$16-K$19)&gt;=1000</formula>
    </cfRule>
  </conditionalFormatting>
  <conditionalFormatting sqref="E5">
    <cfRule type="expression" dxfId="1574" priority="9">
      <formula>ABS(E$7-E$10)&gt;=1000</formula>
    </cfRule>
  </conditionalFormatting>
  <conditionalFormatting sqref="AB14:AC14">
    <cfRule type="expression" dxfId="1573" priority="8">
      <formula>ABS(AB$16-AB$19)&gt;=1000</formula>
    </cfRule>
  </conditionalFormatting>
  <conditionalFormatting sqref="M5">
    <cfRule type="expression" dxfId="1572" priority="7">
      <formula>ABS(M$7-M$10)&gt;=1000</formula>
    </cfRule>
  </conditionalFormatting>
  <conditionalFormatting sqref="N5">
    <cfRule type="expression" dxfId="1571" priority="6">
      <formula>ABS(N$7-N$10)&gt;=1000</formula>
    </cfRule>
  </conditionalFormatting>
  <conditionalFormatting sqref="O5">
    <cfRule type="expression" dxfId="1570" priority="5">
      <formula>ABS(O$7-O$10)&gt;=1000</formula>
    </cfRule>
  </conditionalFormatting>
  <conditionalFormatting sqref="P5">
    <cfRule type="expression" dxfId="1569" priority="4">
      <formula>ABS(P$7-P$10)&gt;=1000</formula>
    </cfRule>
  </conditionalFormatting>
  <conditionalFormatting sqref="L23">
    <cfRule type="expression" dxfId="1568" priority="3">
      <formula>ABS(L$25-L$28)&gt;=1000</formula>
    </cfRule>
  </conditionalFormatting>
  <conditionalFormatting sqref="F14">
    <cfRule type="expression" dxfId="1567" priority="2">
      <formula>ABS(F$16-F$19)&gt;=1000</formula>
    </cfRule>
  </conditionalFormatting>
  <conditionalFormatting sqref="AE5">
    <cfRule type="expression" dxfId="1566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059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63">
    <pageSetUpPr fitToPage="1"/>
  </sheetPr>
  <dimension ref="A1:CU223"/>
  <sheetViews>
    <sheetView tabSelected="1" view="pageBreakPreview" topLeftCell="A13" zoomScale="70" zoomScaleNormal="100" zoomScaleSheetLayoutView="70" workbookViewId="0">
      <selection activeCell="AF24" sqref="AF2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8" t="s" ph="1">
        <v>161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" customHeight="1" ph="1">
      <c r="B3" s="240" ph="1">
        <v>45974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9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55" t="s" ph="1">
        <v>177</v>
      </c>
      <c r="D6" s="71">
        <v>6776</v>
      </c>
      <c r="E6" s="71">
        <v>0</v>
      </c>
      <c r="F6" s="71">
        <v>4467</v>
      </c>
      <c r="G6" s="71">
        <v>5457</v>
      </c>
      <c r="H6" s="71">
        <v>3426</v>
      </c>
      <c r="I6" s="71">
        <v>40.74</v>
      </c>
      <c r="J6" s="71">
        <v>7</v>
      </c>
      <c r="K6" s="71">
        <v>8.4700000000000006</v>
      </c>
      <c r="L6" s="71">
        <v>37.71</v>
      </c>
      <c r="M6" s="71">
        <v>4168</v>
      </c>
      <c r="N6" s="71">
        <v>1590</v>
      </c>
      <c r="O6" s="71">
        <v>104</v>
      </c>
      <c r="P6" s="71">
        <v>2650</v>
      </c>
      <c r="Q6" s="71">
        <v>0</v>
      </c>
      <c r="R6" s="71">
        <v>0</v>
      </c>
      <c r="S6" s="71">
        <v>0</v>
      </c>
      <c r="T6" s="71">
        <v>6476</v>
      </c>
      <c r="U6" s="71">
        <v>6990</v>
      </c>
      <c r="V6" s="71">
        <v>3817</v>
      </c>
      <c r="W6" s="71">
        <v>4641</v>
      </c>
      <c r="X6" s="71">
        <v>0</v>
      </c>
      <c r="Y6" s="71">
        <v>0</v>
      </c>
      <c r="Z6" s="71">
        <v>759</v>
      </c>
      <c r="AA6" s="71">
        <v>769</v>
      </c>
      <c r="AB6" s="71">
        <v>3531</v>
      </c>
      <c r="AC6" s="71">
        <v>3558</v>
      </c>
      <c r="AD6" s="71">
        <v>4780</v>
      </c>
      <c r="AE6" s="71">
        <v>5050</v>
      </c>
    </row>
    <row r="7" spans="1:99" s="72" customFormat="1" ht="22.2" ph="1">
      <c r="B7" s="237" ph="1"/>
      <c r="C7" s="68" t="s" ph="1">
        <v>178</v>
      </c>
      <c r="D7" s="73" ph="1">
        <f>D6*33.183*LOOKUP(D8,密度!$A$2:$A$50,密度!$Q$2:$Q$50)</f>
        <v>213691.04984304</v>
      </c>
      <c r="E7" s="73" ph="1">
        <f>E6*51.53*LOOKUP(E8,密度!$A$2:$A$50,密度!$B$2:$B$50)</f>
        <v>0</v>
      </c>
      <c r="F7" s="73" ph="1">
        <f>F6*33.183*LOOKUP(F8,密度!$A$2:$A$50,密度!$C$2:$C$50)</f>
        <v>164696.6430171</v>
      </c>
      <c r="G7" s="73" ph="1">
        <f xml:space="preserve"> (G6+2)*51.53*LOOKUP(G8,密度!$A$2:$A$50,密度!$B$2:$B$50)</f>
        <v>221019.193539</v>
      </c>
      <c r="H7" s="73" ph="1">
        <f>(H6)*51.53*LOOKUP(H8,密度!$A$2:$A$50,密度!$B$2:$B$50)</f>
        <v>138708.87654599998</v>
      </c>
      <c r="I7" s="73" ph="1">
        <f>I6*290.8*1.0267</f>
        <v>12163.5120264</v>
      </c>
      <c r="J7" s="73" ph="1">
        <f>J6*290.8*0.7892</f>
        <v>1606.4955200000002</v>
      </c>
      <c r="K7" s="73" ph="1">
        <f>K6*290.8*1.1126</f>
        <v>2740.4183576000005</v>
      </c>
      <c r="L7" s="73" ph="1">
        <f>L6*290.8*0.777</f>
        <v>8520.6348360000011</v>
      </c>
      <c r="M7" s="73" ph="1">
        <f>M6*33.183*LOOKUP(M8,密度!$A$2:$A$50,密度!$D$2:$D$50)</f>
        <v>142262.31687839999</v>
      </c>
      <c r="N7" s="73" ph="1">
        <f>N6*33.183*LOOKUP(N8,密度!$A$2:$A$50,密度!$E$2:$E$50)</f>
        <v>41385.704868000001</v>
      </c>
      <c r="O7" s="73" ph="1">
        <f>O6*20.428*LOOKUP(O8,密度!$A$2:$A$50,密度!$C$2:$C$50)</f>
        <v>2357.3585152000001</v>
      </c>
      <c r="P7" s="73" ph="1">
        <f>P6*51.53*LOOKUP(P8,密度!$A$2:$A$50,密度!$B$2:$B$50)</f>
        <v>106949.4844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43167.007144799994</v>
      </c>
      <c r="U7" s="73" ph="1">
        <f>U6*1.5*1.5*3.1416*LOOKUP(U8,密度!$A$2:$A$50,密度!$L$2:$L$50)</f>
        <v>46494.352673999994</v>
      </c>
      <c r="V7" s="73" ph="1">
        <f>V6*1.5*1.5*3.1416*LOOKUP(V8,密度!$A$2:$A$50,密度!$L$2:$L$50)</f>
        <v>25361.995427999998</v>
      </c>
      <c r="W7" s="73" ph="1">
        <f>W6*1.5*1.5*3.1416*LOOKUP(W8,密度!$A$2:$A$50,密度!$L$2:$L$50)</f>
        <v>30837.050244000002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23725.114974</v>
      </c>
      <c r="AA7" s="73" ph="1">
        <f>AA6*33.183*LOOKUP(AA8,密度!$A$2:$A$50,密度!$D$2:$D$50)</f>
        <v>26270.4999465</v>
      </c>
      <c r="AB7" s="73" ph="1">
        <f>AB6*20.428*LOOKUP(AB8,密度!$A$2:$A$50,密度!$D$2:$D$50)</f>
        <v>74641.436126399989</v>
      </c>
      <c r="AC7" s="73" ph="1">
        <f>AC6*51.53*LOOKUP(AC8,密度!$A$2:$A$50,密度!$Q$2:$Q$50)</f>
        <v>174119.71644059999</v>
      </c>
      <c r="AD7" s="73" ph="1">
        <f>AD6*20.428*LOOKUP(AD8,密度!$A$2:$A$50,密度!$V$2:$V$50)</f>
        <v>94130.589760000003</v>
      </c>
      <c r="AE7" s="73" ph="1">
        <f>AE6*20.428</f>
        <v>103161.40000000001</v>
      </c>
    </row>
    <row r="8" spans="1:99" ph="1">
      <c r="B8" s="237" ph="1"/>
      <c r="C8" s="68" t="s" ph="1">
        <v>179</v>
      </c>
      <c r="D8" s="74">
        <v>20</v>
      </c>
      <c r="E8" s="74">
        <v>20</v>
      </c>
      <c r="F8" s="74">
        <v>22</v>
      </c>
      <c r="G8" s="74">
        <v>18</v>
      </c>
      <c r="H8" s="74">
        <v>18</v>
      </c>
      <c r="I8" s="74">
        <v>25</v>
      </c>
      <c r="J8" s="74">
        <v>25</v>
      </c>
      <c r="K8" s="74">
        <v>25</v>
      </c>
      <c r="L8" s="74">
        <v>25</v>
      </c>
      <c r="M8" s="74">
        <v>23</v>
      </c>
      <c r="N8" s="74">
        <v>24</v>
      </c>
      <c r="O8" s="74">
        <v>24</v>
      </c>
      <c r="P8" s="74">
        <v>21</v>
      </c>
      <c r="Q8" s="74">
        <v>21</v>
      </c>
      <c r="R8" s="74">
        <v>25</v>
      </c>
      <c r="S8" s="74">
        <v>20</v>
      </c>
      <c r="T8" s="74">
        <v>19</v>
      </c>
      <c r="U8" s="74">
        <v>21</v>
      </c>
      <c r="V8" s="74">
        <v>22</v>
      </c>
      <c r="W8" s="74">
        <v>22</v>
      </c>
      <c r="X8" s="74">
        <v>13</v>
      </c>
      <c r="Y8" s="74">
        <v>22</v>
      </c>
      <c r="Z8" s="74">
        <v>20</v>
      </c>
      <c r="AA8" s="74">
        <v>22</v>
      </c>
      <c r="AB8" s="74">
        <v>16</v>
      </c>
      <c r="AC8" s="74">
        <v>21</v>
      </c>
      <c r="AD8" s="74">
        <v>20</v>
      </c>
      <c r="AE8" s="74">
        <v>22</v>
      </c>
    </row>
    <row r="9" spans="1:99" ht="26.4" ph="1">
      <c r="B9" s="237" ph="1">
        <v>0.66666666666666663</v>
      </c>
      <c r="C9" s="155" t="s" ph="1">
        <v>180</v>
      </c>
      <c r="D9" s="71">
        <v>6894</v>
      </c>
      <c r="E9" s="71">
        <v>424</v>
      </c>
      <c r="F9" s="71">
        <v>5276</v>
      </c>
      <c r="G9" s="71">
        <v>5176</v>
      </c>
      <c r="H9" s="71">
        <v>3138</v>
      </c>
      <c r="I9" s="71">
        <v>40.78</v>
      </c>
      <c r="J9" s="71">
        <v>7.14</v>
      </c>
      <c r="K9" s="71">
        <v>8.5</v>
      </c>
      <c r="L9" s="71">
        <v>41.8</v>
      </c>
      <c r="M9" s="71">
        <v>4169</v>
      </c>
      <c r="N9" s="71">
        <v>1591</v>
      </c>
      <c r="O9" s="71">
        <v>104</v>
      </c>
      <c r="P9" s="71">
        <v>2539</v>
      </c>
      <c r="Q9" s="71">
        <v>0</v>
      </c>
      <c r="R9" s="71">
        <v>0</v>
      </c>
      <c r="S9" s="71">
        <v>0</v>
      </c>
      <c r="T9" s="71">
        <v>4085</v>
      </c>
      <c r="U9" s="71">
        <v>6994</v>
      </c>
      <c r="V9" s="71">
        <v>3819</v>
      </c>
      <c r="W9" s="71">
        <v>6690</v>
      </c>
      <c r="X9" s="71">
        <v>2457</v>
      </c>
      <c r="Y9" s="71">
        <v>0</v>
      </c>
      <c r="Z9" s="71">
        <v>988</v>
      </c>
      <c r="AA9" s="71">
        <v>1932</v>
      </c>
      <c r="AB9" s="71">
        <v>3434</v>
      </c>
      <c r="AC9" s="71">
        <v>3934</v>
      </c>
      <c r="AD9" s="71">
        <v>4780</v>
      </c>
      <c r="AE9" s="71">
        <v>4842</v>
      </c>
    </row>
    <row r="10" spans="1:99" s="72" customFormat="1" ht="22.2" ph="1">
      <c r="B10" s="237" ph="1"/>
      <c r="C10" s="155" t="s" ph="1">
        <v>178</v>
      </c>
      <c r="D10" s="73" ph="1">
        <f>D9*33.183*LOOKUP(D11,密度!$A$2:$A$50,密度!$Q$2:$Q$50)</f>
        <v>216913.6474164</v>
      </c>
      <c r="E10" s="73" ph="1">
        <f>E9*51.53*LOOKUP(E11,密度!$A$2:$A$50,密度!$B$2:$B$50)</f>
        <v>17072.589808000001</v>
      </c>
      <c r="F10" s="73" ph="1">
        <f>F9*33.183*LOOKUP(F11,密度!$A$2:$A$50,密度!$C$2:$C$50)</f>
        <v>194664.23354520003</v>
      </c>
      <c r="G10" s="73" ph="1">
        <f xml:space="preserve"> (G9+2)*51.53*LOOKUP(G11,密度!$A$2:$A$50,密度!$B$2:$B$50)</f>
        <v>209215.39679400003</v>
      </c>
      <c r="H10" s="73" ph="1">
        <f>(H9)*51.53*LOOKUP(H11,密度!$A$2:$A$50,密度!$B$2:$B$50)</f>
        <v>126789.86387400002</v>
      </c>
      <c r="I10" s="73" ph="1">
        <f>I9*290.8*1.0267</f>
        <v>12175.4546008</v>
      </c>
      <c r="J10" s="73" ph="1">
        <f>J9*290.8*0.7892</f>
        <v>1638.6254303999999</v>
      </c>
      <c r="K10" s="73" ph="1">
        <f>K9*290.8*1.1126</f>
        <v>2750.1246800000004</v>
      </c>
      <c r="L10" s="73" ph="1">
        <f>L9*290.8*0.777</f>
        <v>9444.7768800000013</v>
      </c>
      <c r="M10" s="73" ph="1">
        <f>M9*33.183*LOOKUP(M11,密度!$A$2:$A$50,密度!$D$2:$D$50)</f>
        <v>142158.1089852</v>
      </c>
      <c r="N10" s="73" ph="1">
        <f>N9*33.183*LOOKUP(N11,密度!$A$2:$A$50,密度!$E$2:$E$50)</f>
        <v>41348.380629599997</v>
      </c>
      <c r="O10" s="73" ph="1">
        <f>O9*20.428*LOOKUP(O11,密度!$A$2:$A$50,密度!$C$2:$C$50)</f>
        <v>2352.6845888000003</v>
      </c>
      <c r="P10" s="73" ph="1">
        <f>P9*51.53*LOOKUP(P11,密度!$A$2:$A$50,密度!$B$2:$B$50)</f>
        <v>101998.708732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27200.467601999997</v>
      </c>
      <c r="U10" s="73" ph="1">
        <f>U9*1.5*1.5*3.1416*LOOKUP(U11,密度!$A$2:$A$50,密度!$L$2:$L$50)</f>
        <v>46422.083307599998</v>
      </c>
      <c r="V10" s="73" ph="1">
        <f>V9*1.5*1.5*3.1416*LOOKUP(V11,密度!$A$2:$A$50,密度!$L$2:$L$50)</f>
        <v>25321.294429199999</v>
      </c>
      <c r="W10" s="73" ph="1">
        <f>W9*1.5*1.5*3.1416*LOOKUP(W11,密度!$A$2:$A$50,密度!$L$2:$L$50)</f>
        <v>44404.309025999995</v>
      </c>
      <c r="X10" s="73" ph="1">
        <f>X9*1.5*1.5*3.1416*LOOKUP(X11,密度!$A$2:$A$50,密度!$L$2:$L$50)</f>
        <v>16290.7620876</v>
      </c>
      <c r="Y10" s="73" ph="1">
        <f>Y9*1.5*1.5*3.1416*LOOKUP(Y11,密度!$A$2:$A$50,密度!$L$2:$L$50)</f>
        <v>0</v>
      </c>
      <c r="Z10" s="73" ph="1">
        <f>Z9*33.183*LOOKUP(Z11,密度!$A$2:$A$50,密度!$L$2:$L$50)</f>
        <v>30883.285367999993</v>
      </c>
      <c r="AA10" s="73" ph="1">
        <f>AA9*33.183*LOOKUP(AA11,密度!$A$2:$A$50,密度!$D$2:$D$50)</f>
        <v>65878.979745599994</v>
      </c>
      <c r="AB10" s="73" ph="1">
        <f>AB9*20.428*LOOKUP(AB11,密度!$A$2:$A$50,密度!$D$2:$D$50)</f>
        <v>72527.828592800011</v>
      </c>
      <c r="AC10" s="73" ph="1">
        <f>AC9*51.53*LOOKUP(AC11,密度!$A$2:$A$50,密度!$Q$2:$Q$50)</f>
        <v>192398.59469180001</v>
      </c>
      <c r="AD10" s="73" ph="1">
        <f>AD9*20.428*LOOKUP(AD11,密度!$A$2:$A$50,密度!$V$2:$V$50)</f>
        <v>93818.123072000002</v>
      </c>
      <c r="AE10" s="73" ph="1">
        <f>AE9*20.428</f>
        <v>98912.376000000004</v>
      </c>
    </row>
    <row r="11" spans="1:99" ph="1">
      <c r="A11" s="64" t="s" ph="1">
        <v>162</v>
      </c>
      <c r="B11" s="237" ph="1"/>
      <c r="C11" s="155" t="s" ph="1">
        <v>179</v>
      </c>
      <c r="D11" s="74">
        <v>23</v>
      </c>
      <c r="E11" s="74">
        <v>23</v>
      </c>
      <c r="F11" s="74">
        <v>21</v>
      </c>
      <c r="G11" s="74">
        <v>20</v>
      </c>
      <c r="H11" s="74">
        <v>20</v>
      </c>
      <c r="I11" s="74">
        <v>25</v>
      </c>
      <c r="J11" s="74">
        <v>25</v>
      </c>
      <c r="K11" s="74">
        <v>25</v>
      </c>
      <c r="L11" s="74">
        <v>25</v>
      </c>
      <c r="M11" s="74">
        <v>24</v>
      </c>
      <c r="N11" s="74">
        <v>25</v>
      </c>
      <c r="O11" s="74">
        <v>27</v>
      </c>
      <c r="P11" s="74">
        <v>25</v>
      </c>
      <c r="Q11" s="74">
        <v>24</v>
      </c>
      <c r="R11" s="74">
        <v>30</v>
      </c>
      <c r="S11" s="74">
        <v>21</v>
      </c>
      <c r="T11" s="74">
        <v>20</v>
      </c>
      <c r="U11" s="74">
        <v>23</v>
      </c>
      <c r="V11" s="74">
        <v>24</v>
      </c>
      <c r="W11" s="74">
        <v>23</v>
      </c>
      <c r="X11" s="74">
        <v>24</v>
      </c>
      <c r="Y11" s="74">
        <v>24</v>
      </c>
      <c r="Z11" s="74">
        <v>20</v>
      </c>
      <c r="AA11" s="74">
        <v>24</v>
      </c>
      <c r="AB11" s="74">
        <v>17</v>
      </c>
      <c r="AC11" s="74">
        <v>22</v>
      </c>
      <c r="AD11" s="74">
        <v>23</v>
      </c>
      <c r="AE11" s="74">
        <v>24</v>
      </c>
    </row>
    <row r="12" spans="1:99" ht="9.9" customHeight="1" ph="1"/>
    <row r="13" spans="1:99" s="72" customFormat="1" ht="29.25" customHeight="1" ph="1">
      <c r="B13" s="214" t="s" ph="1">
        <v>37</v>
      </c>
      <c r="C13" s="155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5" ph="1"/>
      <c r="C14" s="67" t="s" ph="1">
        <v>36</v>
      </c>
      <c r="D14" s="77" t="s" ph="1">
        <v>616</v>
      </c>
      <c r="E14" s="77" t="s" ph="1">
        <v>616</v>
      </c>
      <c r="F14" s="77" t="s" ph="1">
        <v>639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636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635</v>
      </c>
      <c r="AC14" s="77" t="s" ph="1">
        <v>637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6" ph="1">
        <v>0.33333333333333331</v>
      </c>
      <c r="C15" s="155" t="s" ph="1">
        <v>177</v>
      </c>
      <c r="D15" s="78">
        <v>3002</v>
      </c>
      <c r="E15" s="78">
        <v>5719</v>
      </c>
      <c r="F15" s="78">
        <v>2604</v>
      </c>
      <c r="G15" s="78">
        <v>1458</v>
      </c>
      <c r="H15" s="78">
        <v>0</v>
      </c>
      <c r="I15" s="78">
        <v>1613</v>
      </c>
      <c r="J15" s="78">
        <v>0</v>
      </c>
      <c r="K15" s="78">
        <v>4759</v>
      </c>
      <c r="L15" s="78">
        <v>5321</v>
      </c>
      <c r="M15" s="78">
        <v>6662</v>
      </c>
      <c r="N15" s="78">
        <v>1449</v>
      </c>
      <c r="O15" s="78">
        <v>6381</v>
      </c>
      <c r="P15" s="78">
        <v>5168</v>
      </c>
      <c r="Q15" s="78">
        <v>1609</v>
      </c>
      <c r="R15" s="78">
        <v>7467</v>
      </c>
      <c r="S15" s="78">
        <v>6176</v>
      </c>
      <c r="T15" s="78">
        <v>2819</v>
      </c>
      <c r="U15" s="78">
        <v>7110</v>
      </c>
      <c r="V15" s="78">
        <v>4927</v>
      </c>
      <c r="W15" s="71">
        <v>5029</v>
      </c>
      <c r="X15" s="78">
        <v>846</v>
      </c>
      <c r="Y15" s="106">
        <v>-9904</v>
      </c>
      <c r="Z15" s="78">
        <v>0</v>
      </c>
      <c r="AA15" s="78">
        <v>0</v>
      </c>
      <c r="AB15" s="78" ph="1">
        <v>1094</v>
      </c>
      <c r="AC15" s="78" ph="1">
        <v>2139</v>
      </c>
      <c r="AD15" s="78">
        <v>4.99</v>
      </c>
      <c r="AE15" s="78">
        <v>51.4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7" ph="1"/>
      <c r="C16" s="155" t="s" ph="1">
        <v>178</v>
      </c>
      <c r="D16" s="73" ph="1">
        <f>D15*7.0686*LOOKUP(D17,密度!$A$2:$A$50,密度!$L$2:$L$50)</f>
        <v>19967.960905199998</v>
      </c>
      <c r="E16" s="73" ph="1">
        <f>E15*7.0686*LOOKUP(E17,密度!$A$2:$A$50,密度!$L$2:$L$50)</f>
        <v>38040.229319400001</v>
      </c>
      <c r="F16" s="73" ph="1">
        <f>F15*9.0746*LOOKUP(F17,密度!$A$2:$A$50,密度!$L$2:$L$50)</f>
        <v>22141.552120799999</v>
      </c>
      <c r="G16" s="73" ph="1">
        <f>G15*9.0746*LOOKUP(G17,密度!$A$2:$A$50,密度!$B$2:$B$50)</f>
        <v>10350.428867639999</v>
      </c>
      <c r="H16" s="73" ph="1">
        <f>H15*9.0746*LOOKUP(H17,密度!$A$2:$A$50,密度!$L$2:$L$50)</f>
        <v>0</v>
      </c>
      <c r="I16" s="73" ph="1">
        <f>I15*9.0746*LOOKUP(I17,密度!$A$2:$A$50,密度!$U$2:$U$50)</f>
        <v>15047.175034399999</v>
      </c>
      <c r="J16" s="73" ph="1">
        <f>J15*9.0746*LOOKUP(J17,密度!$A$2:$A$50,密度!$L$2:$L$50)</f>
        <v>0</v>
      </c>
      <c r="K16" s="73" ph="1">
        <f>K15*9.0746*LOOKUP(K17,密度!$A$2:$A$50,密度!$C$2:$C$50)</f>
        <v>48018.537194659999</v>
      </c>
      <c r="L16" s="73" ph="1">
        <f>L15*9.0746*LOOKUP(L17,密度!$A$2:$A$50,密度!$E$2:$E$50)</f>
        <v>37991.382784880007</v>
      </c>
      <c r="M16" s="73" ph="1">
        <f>M15*9.0746*LOOKUP(M17,密度!$A$2:$A$50,密度!$M$2:$M$50)</f>
        <v>53079.477005600005</v>
      </c>
      <c r="N16" s="73" ph="1">
        <f>N15*9.0746*LOOKUP(N17,密度!$A$2:$A$50,密度!$M$2:$M$50)</f>
        <v>11517.292660860001</v>
      </c>
      <c r="O16" s="73" ph="1">
        <f>O15*9.0746*LOOKUP(O17,密度!$A$2:$A$50,密度!$G$2:$G$50)</f>
        <v>55658.307723120008</v>
      </c>
      <c r="P16" s="73" ph="1">
        <f ca="1">P15*9.0746*LOOKUP(P17,密度!$A$2:$A$51,密度!$Q$2:$Q$50)</f>
        <v>44509.979405152</v>
      </c>
      <c r="Q16" s="73" ph="1">
        <f>Q15*9.0746*LOOKUP(Q17,密度!$A$2:$A$50,密度!$Q$2:$Q$50)</f>
        <v>13866.453510266001</v>
      </c>
      <c r="R16" s="73" ph="1">
        <f>MAX(R15*9.0746*LOOKUP(R17,密度!$A$2:$A$50,密度!$B$2:$B$50),0)</f>
        <v>53008.677883859993</v>
      </c>
      <c r="S16" s="73" ph="1">
        <f>S15*9.0746*LOOKUP(S17,密度!$A$2:$A$50,密度!$Q$2:$Q$50)</f>
        <v>53141.612606720002</v>
      </c>
      <c r="T16" s="73" ph="1">
        <f>T15*9.0746*LOOKUP(T17,密度!$A$2:$A$50,密度!$O$2:$O$50)</f>
        <v>23790.606582</v>
      </c>
      <c r="U16" s="73" ph="1">
        <f>U15*9.0746*LOOKUP(U17,密度!$A$2:$A$50,密度!$H$2:$H$50)</f>
        <v>59216.828626800001</v>
      </c>
      <c r="V16" s="73" ph="1">
        <f>MAX(5600*LOOKUP(V17,密度!$A$2:$A$50,密度!$Q$2:$Q$50)+V15*9.0476*LOOKUP(V17,密度!$A$2:$A$50,密度!$Q$2:$Q$50),0)</f>
        <v>47541.699801244002</v>
      </c>
      <c r="W16" s="73" ph="1">
        <f>MAX(5600*LOOKUP(W17,密度!$A$2:$A$50,密度!$Q$2:$Q$50)+W15*9.0476*LOOKUP(W17,密度!$A$2:$A$50,密度!$Q$2:$Q$50),0)</f>
        <v>48416.077417588</v>
      </c>
      <c r="X16" s="73" ph="1">
        <f>MAX(5600*LOOKUP(X17,密度!$A$2:$A$50,密度!$I$2:$I$50)+X15*9.0476*LOOKUP(X17,密度!$A$2:$A$50,密度!$I$2:$I$50),0)</f>
        <v>13814.92520408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9331.9556560000001</v>
      </c>
      <c r="AC16" s="73" ph="1">
        <f>AC15*9.0746*LOOKUP(AC17,密度!$A$2:$A$50,密度!$L$2:$L$50)</f>
        <v>18284.756374799999</v>
      </c>
      <c r="AD16" s="73" ph="1">
        <f>AD15*268.68*LOOKUP(AD17,密度!$A$2:$A$50,密度!B2:B50)+IF(AD15&lt;=0,0,1566*LOOKUP(AD17,密度!$A$2:$A$50,密度!B2:B50))</f>
        <v>2266.07361072</v>
      </c>
      <c r="AE16" s="73" ph="1">
        <f>AE15*268.68*LOOKUP(AE17,密度!$A$2:$A$50,密度!B2:B50)+IF(AE15&lt;=0,0,1566*LOOKUP(AE17,密度!$A$2:$A$50,密度!B2:B50))</f>
        <v>11987.2480992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8" ph="1"/>
      <c r="C17" s="79" t="s" ph="1">
        <v>179</v>
      </c>
      <c r="D17" s="74">
        <v>21</v>
      </c>
      <c r="E17" s="74">
        <v>21</v>
      </c>
      <c r="F17" s="74">
        <v>25</v>
      </c>
      <c r="G17" s="74">
        <v>22</v>
      </c>
      <c r="H17" s="74">
        <v>18</v>
      </c>
      <c r="I17" s="74">
        <v>20</v>
      </c>
      <c r="J17" s="74">
        <v>22</v>
      </c>
      <c r="K17" s="74">
        <v>21</v>
      </c>
      <c r="L17" s="74">
        <v>22</v>
      </c>
      <c r="M17" s="74">
        <v>22</v>
      </c>
      <c r="N17" s="74">
        <v>24</v>
      </c>
      <c r="O17" s="74">
        <v>24</v>
      </c>
      <c r="P17" s="74">
        <v>22</v>
      </c>
      <c r="Q17" s="74">
        <v>21</v>
      </c>
      <c r="R17" s="74">
        <v>22</v>
      </c>
      <c r="S17" s="74">
        <v>23</v>
      </c>
      <c r="T17" s="74">
        <v>22</v>
      </c>
      <c r="U17" s="74">
        <v>22</v>
      </c>
      <c r="V17" s="74">
        <v>24</v>
      </c>
      <c r="W17" s="74">
        <v>24</v>
      </c>
      <c r="X17" s="74">
        <v>25</v>
      </c>
      <c r="Y17" s="108">
        <v>25</v>
      </c>
      <c r="Z17" s="74">
        <v>22</v>
      </c>
      <c r="AA17" s="74">
        <v>20</v>
      </c>
      <c r="AB17" s="74">
        <v>22</v>
      </c>
      <c r="AC17" s="74">
        <v>20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6" ph="1">
        <v>0.66666666666666663</v>
      </c>
      <c r="C18" s="79" t="s" ph="1">
        <v>180</v>
      </c>
      <c r="D18" s="71">
        <v>1081</v>
      </c>
      <c r="E18" s="71">
        <v>5889</v>
      </c>
      <c r="F18" s="71">
        <v>3249</v>
      </c>
      <c r="G18" s="71">
        <v>1504</v>
      </c>
      <c r="H18" s="71">
        <v>0</v>
      </c>
      <c r="I18" s="71">
        <v>1614</v>
      </c>
      <c r="J18" s="71">
        <v>0</v>
      </c>
      <c r="K18" s="71">
        <v>4760</v>
      </c>
      <c r="L18" s="71">
        <v>5331</v>
      </c>
      <c r="M18" s="71">
        <v>6677</v>
      </c>
      <c r="N18" s="71">
        <v>3045</v>
      </c>
      <c r="O18" s="71">
        <v>6388</v>
      </c>
      <c r="P18" s="71">
        <v>5178</v>
      </c>
      <c r="Q18" s="71">
        <v>1610</v>
      </c>
      <c r="R18" s="71">
        <v>7485</v>
      </c>
      <c r="S18" s="71">
        <v>6183</v>
      </c>
      <c r="T18" s="71">
        <v>2140</v>
      </c>
      <c r="U18" s="71">
        <v>7114</v>
      </c>
      <c r="V18" s="71">
        <v>4926</v>
      </c>
      <c r="W18" s="71">
        <v>5311</v>
      </c>
      <c r="X18" s="71">
        <v>844</v>
      </c>
      <c r="Y18" s="109">
        <v>-9906</v>
      </c>
      <c r="Z18" s="71">
        <v>0</v>
      </c>
      <c r="AA18" s="71">
        <v>0</v>
      </c>
      <c r="AB18" s="71">
        <v>1093</v>
      </c>
      <c r="AC18" s="71">
        <v>2140</v>
      </c>
      <c r="AD18" s="71">
        <v>14.69</v>
      </c>
      <c r="AE18" s="71">
        <v>84.69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7" ph="1"/>
      <c r="C19" s="155" t="s" ph="1">
        <v>178</v>
      </c>
      <c r="D19" s="73" ph="1">
        <f>D18*7.0686*LOOKUP(D20,密度!$A$2:$A$50,密度!$L$2:$L$50)</f>
        <v>7167.4048907999995</v>
      </c>
      <c r="E19" s="73" ph="1">
        <f>E18*7.0686*LOOKUP(E20,密度!$A$2:$A$50,密度!$L$2:$L$50)</f>
        <v>39046.112305199997</v>
      </c>
      <c r="F19" s="73" ph="1">
        <f>F18*9.0746*LOOKUP(F20,密度!$A$2:$A$50,密度!$L$2:$L$50)</f>
        <v>27449.022497400001</v>
      </c>
      <c r="G19" s="73" ph="1">
        <f>G18*9.0746*LOOKUP(G20,密度!$A$2:$A$50,密度!$B$2:$B$50)</f>
        <v>10652.4188512</v>
      </c>
      <c r="H19" s="73" ph="1">
        <f>H18*9.0746*LOOKUP(H20,密度!$A$2:$A$50,密度!$L$2:$L$50)</f>
        <v>0</v>
      </c>
      <c r="I19" s="73" ph="1">
        <f>I18*9.0746*LOOKUP(I20,密度!$A$2:$A$50,密度!$U$2:$U$50)</f>
        <v>15056.503723200001</v>
      </c>
      <c r="J19" s="73" ph="1">
        <f>J18*9.0746*LOOKUP(J20,密度!$A$2:$A$50,密度!$L$2:$L$50)</f>
        <v>0</v>
      </c>
      <c r="K19" s="73" ph="1">
        <f>K18*9.0746*LOOKUP(K20,密度!$A$2:$A$50,密度!$C$2:$C$50)</f>
        <v>47929.278521599997</v>
      </c>
      <c r="L19" s="73" ph="1">
        <f>L18*9.0746*LOOKUP(L20,密度!$A$2:$A$50,密度!$E$2:$E$50)</f>
        <v>38004.72970656</v>
      </c>
      <c r="M19" s="73" ph="1">
        <f>M18*9.0746*LOOKUP(M20,密度!$A$2:$A$50,密度!$M$2:$M$50)</f>
        <v>53138.398383400003</v>
      </c>
      <c r="N19" s="73" ph="1">
        <f>N18*9.0746*LOOKUP(N20,密度!$A$2:$A$50,密度!$M$2:$M$50)</f>
        <v>24233.401688999998</v>
      </c>
      <c r="O19" s="73" ph="1">
        <f>O18*9.0746*LOOKUP(O20,密度!$A$2:$A$50,密度!$G$2:$G$50)</f>
        <v>55719.365261760009</v>
      </c>
      <c r="P19" s="73" ph="1">
        <f ca="1">P18*9.0746*LOOKUP(P20,密度!$A$2:$A$51,密度!$Q$2:$Q$50)</f>
        <v>44452.321393163998</v>
      </c>
      <c r="Q19" s="73" ph="1">
        <f>Q18*9.0746*LOOKUP(Q20,密度!$A$2:$A$50,密度!$Q$2:$Q$50)</f>
        <v>13842.63713182</v>
      </c>
      <c r="R19" s="73" ph="1">
        <f>MAX(R18*9.0746*LOOKUP(R20,密度!$A$2:$A$50,密度!$B$2:$B$50),0)</f>
        <v>52837.59807990001</v>
      </c>
      <c r="S19" s="73" ph="1">
        <f>S18*9.0746*LOOKUP(S20,密度!$A$2:$A$50,密度!$Q$2:$Q$50)</f>
        <v>53201.844356760004</v>
      </c>
      <c r="T19" s="73" ph="1">
        <f>T18*9.0746*LOOKUP(T20,密度!$A$2:$A$50,密度!$O$2:$O$50)</f>
        <v>17982.590344</v>
      </c>
      <c r="U19" s="73" ph="1">
        <f>U18*9.0746*LOOKUP(U20,密度!$A$2:$A$50,密度!$H$2:$H$50)</f>
        <v>59250.143298319999</v>
      </c>
      <c r="V19" s="73" ph="1">
        <f>MAX(5600*LOOKUP(V20,密度!$A$2:$A$50,密度!$Q$2:$Q$50)+V18*9.0476*LOOKUP(V20,密度!$A$2:$A$50,密度!$Q$2:$Q$50),0)</f>
        <v>47460.884863928004</v>
      </c>
      <c r="W19" s="73" ph="1">
        <f>MAX(5600*LOOKUP(W20,密度!$A$2:$A$50,密度!$Q$2:$Q$50)+W18*9.0476*LOOKUP(W20,密度!$A$2:$A$50,密度!$Q$2:$Q$50),0)</f>
        <v>50756.215759708008</v>
      </c>
      <c r="X19" s="73" ph="1">
        <f>MAX(5600*LOOKUP(X20,密度!$A$2:$A$50,密度!$I$2:$I$50)+X18*9.0476*LOOKUP(X20,密度!$A$2:$A$50,密度!$I$2:$I$50),0)</f>
        <v>13796.06457712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9273.8328430000001</v>
      </c>
      <c r="AC19" s="73" ph="1">
        <f>AC18*9.0746*LOOKUP(AC20,密度!$A$2:$A$50,密度!$L$2:$L$50)</f>
        <v>18235.045716000001</v>
      </c>
      <c r="AD19" s="73" ph="1">
        <f>AD18*268.68*LOOKUP(AD20,密度!$A$2:$A$50,密度!B5:B53)+IF(AD18&lt;=0,0,1566*LOOKUP(AD20,密度!$A$2:$A$50,密度!B5:B53))</f>
        <v>4283.5304483999998</v>
      </c>
      <c r="AE19" s="73" ph="1">
        <f>AE18*268.68*LOOKUP(AE20,密度!$A$2:$A$50,密度!B5:B53)+IF(AE18&lt;=0,0,1566*LOOKUP(AE20,密度!$A$2:$A$50,密度!B5:B53))</f>
        <v>18897.0356484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7" ph="1"/>
      <c r="C20" s="80" t="s" ph="1">
        <v>179</v>
      </c>
      <c r="D20" s="81">
        <v>24</v>
      </c>
      <c r="E20" s="81">
        <v>24</v>
      </c>
      <c r="F20" s="81">
        <v>31</v>
      </c>
      <c r="G20" s="81">
        <v>24</v>
      </c>
      <c r="H20" s="81">
        <v>21</v>
      </c>
      <c r="I20" s="81">
        <v>21</v>
      </c>
      <c r="J20" s="81">
        <v>24</v>
      </c>
      <c r="K20" s="81">
        <v>24</v>
      </c>
      <c r="L20" s="81">
        <v>23</v>
      </c>
      <c r="M20" s="81">
        <v>23</v>
      </c>
      <c r="N20" s="81">
        <v>23</v>
      </c>
      <c r="O20" s="81">
        <v>24</v>
      </c>
      <c r="P20" s="81">
        <v>26</v>
      </c>
      <c r="Q20" s="81">
        <v>24</v>
      </c>
      <c r="R20" s="81">
        <v>27</v>
      </c>
      <c r="S20" s="81">
        <v>23</v>
      </c>
      <c r="T20" s="81">
        <v>28</v>
      </c>
      <c r="U20" s="81">
        <v>22</v>
      </c>
      <c r="V20" s="81">
        <v>26</v>
      </c>
      <c r="W20" s="81">
        <v>26</v>
      </c>
      <c r="X20" s="81">
        <v>25</v>
      </c>
      <c r="Y20" s="110">
        <v>25</v>
      </c>
      <c r="Z20" s="81">
        <v>30</v>
      </c>
      <c r="AA20" s="81">
        <v>24</v>
      </c>
      <c r="AB20" s="81">
        <v>27</v>
      </c>
      <c r="AC20" s="81">
        <v>23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28" t="s" ph="1">
        <v>640</v>
      </c>
      <c r="AA23" s="229"/>
      <c r="AB23" s="229"/>
      <c r="AC23" s="229"/>
      <c r="AD23" s="229"/>
      <c r="AE23" s="23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7" ph="1">
        <v>0.33333333333333331</v>
      </c>
      <c r="C24" s="155" t="s" ph="1">
        <v>177</v>
      </c>
      <c r="D24" s="71">
        <v>58.72</v>
      </c>
      <c r="E24" s="71">
        <v>2.99</v>
      </c>
      <c r="F24" s="71">
        <v>3036</v>
      </c>
      <c r="G24" s="71">
        <v>3571</v>
      </c>
      <c r="H24" s="71">
        <v>2919</v>
      </c>
      <c r="I24" s="71">
        <v>281</v>
      </c>
      <c r="J24" s="71">
        <v>409</v>
      </c>
      <c r="K24" s="71">
        <v>444</v>
      </c>
      <c r="L24" s="71">
        <v>5572</v>
      </c>
      <c r="M24" s="71">
        <v>3961</v>
      </c>
      <c r="N24" s="71">
        <v>5496</v>
      </c>
      <c r="O24" s="71">
        <v>3769</v>
      </c>
      <c r="P24" s="71">
        <v>360</v>
      </c>
      <c r="Q24" s="90">
        <v>1321</v>
      </c>
      <c r="R24" s="71">
        <v>205</v>
      </c>
      <c r="S24" s="71">
        <v>4487</v>
      </c>
      <c r="T24" s="71">
        <v>280</v>
      </c>
      <c r="U24" s="71">
        <v>5295</v>
      </c>
      <c r="V24" s="71">
        <v>10239</v>
      </c>
      <c r="W24" s="71">
        <v>8000</v>
      </c>
      <c r="X24" s="71">
        <v>3431</v>
      </c>
      <c r="Y24" s="71">
        <v>6697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7" ph="1"/>
      <c r="C25" s="68" t="s" ph="1">
        <v>178</v>
      </c>
      <c r="D25" s="91" ph="1">
        <f>D24*268.68*LOOKUP(D26,密度!$A$2:$A$50,密度!$Q$2:$Q$50)+IF(D24&lt;=0,0,1566*LOOKUP(D26,密度!$A$2:$A$50,密度!$Q$2:$Q$50))</f>
        <v>16419.207299904003</v>
      </c>
      <c r="E25" s="91" ph="1">
        <f>E24*268.68*LOOKUP(E26,密度!$A$2:$A$50,密度!$C$2:$C$50)+IF(E24&lt;=0,0,1566*LOOKUP(E26,密度!$A$2:$A$50,密度!$C$2:$C$50))</f>
        <v>2627.3757634799999</v>
      </c>
      <c r="F25" s="91" ph="1">
        <f>F24*11.702*LOOKUP(F26,密度!$A$2:$A$50,密度!$Q$2:$Q$50)</f>
        <v>33718.578582479997</v>
      </c>
      <c r="G25" s="91" ph="1">
        <f>G24*18.322*LOOKUP(G26,密度!$A$2:$A$50,密度!$B$2:$B$50)</f>
        <v>51243.101518399999</v>
      </c>
      <c r="H25" s="91" ph="1">
        <f>H24*18.322*LOOKUP(H26,密度!$A$2:$A$50,密度!$B$2:$B$50)</f>
        <v>41838.904451399998</v>
      </c>
      <c r="I25" s="91" ph="1">
        <f>I24*18.322*LOOKUP(I26,密度!$A$2:$A$50,密度!$Q$2:$Q$50)</f>
        <v>4886.3727813799997</v>
      </c>
      <c r="J25" s="91" ph="1">
        <f>J24*18.322*LOOKUP(J26,密度!$A$2:$A$50,密度!$Q$2:$Q$50)</f>
        <v>7112.1938348199992</v>
      </c>
      <c r="K25" s="91" ph="1">
        <f>K24*18.322*LOOKUP(K26,密度!$A$2:$A$50,密度!$Q$2:$Q$50)</f>
        <v>7713.5766576000005</v>
      </c>
      <c r="L25" s="91" ph="1">
        <f>L24*18.322*LOOKUP(L26,密度!$A$2:$A$50,密度!$Q$2:$Q$50)</f>
        <v>96801.912468800001</v>
      </c>
      <c r="M25" s="91" ph="1">
        <f>M24*18.322*LOOKUP(M26,密度!$A$2:$A$50,密度!$Q$2:$Q$50)</f>
        <v>68814.137704399996</v>
      </c>
      <c r="N25" s="91" ph="1">
        <f>N24*18.322*LOOKUP(N26,密度!$A$2:$A$50,密度!$Q$2:$Q$50)</f>
        <v>95571.191482080001</v>
      </c>
      <c r="O25" s="91" ph="1">
        <f>O24*18.322*LOOKUP(O26,密度!$A$2:$A$50,密度!$C$2:$C$50)</f>
        <v>76782.941654200011</v>
      </c>
      <c r="P25" s="91" ph="1">
        <f>P24*11.702*LOOKUP(P26,密度!$A$2:$A$50,密度!$B$2:$B$50)</f>
        <v>3299.4023040000002</v>
      </c>
      <c r="Q25" s="92" ph="1">
        <f>Q24*18.322*LOOKUP(Q26,密度!$A$2:$A$50,密度!$B$2:$B$50)</f>
        <v>18956.0731184</v>
      </c>
      <c r="R25" s="91" ph="1">
        <f>R24*35.891*LOOKUP(R26,密度!$A$2:$A$50,密度!$C$2:$C$50)</f>
        <v>8186.126953</v>
      </c>
      <c r="S25" s="91" ph="1">
        <f>S24*35.891*LOOKUP(S26,密度!$A$2:$A$50,密度!$B$2:$B$50)</f>
        <v>126273.75121969999</v>
      </c>
      <c r="T25" s="91" ph="1">
        <f>T24*35.891*LOOKUP(T26,密度!$A$2:$A$50,密度!$Q$2:$Q$50)</f>
        <v>9543.8906611999992</v>
      </c>
      <c r="U25" s="91" ph="1">
        <f>U24*35.891</f>
        <v>190042.845</v>
      </c>
      <c r="V25" s="91" ph="1">
        <f>V24*47.051*LOOKUP(V26,密度!$A$2:$A$50,密度!$B$2:$B$50)</f>
        <v>376877.0843547</v>
      </c>
      <c r="W25" s="91" ph="1">
        <f>W24*47.051*LOOKUP(W26,密度!$A$2:$A$50,密度!$B$2:$B$50)</f>
        <v>294125.21120000002</v>
      </c>
      <c r="X25" s="91" ph="1">
        <f>X24*47.051*LOOKUP(X26,密度!$A$2:$A$50,密度!$I$2:$I$50)</f>
        <v>168631.84735259999</v>
      </c>
      <c r="Y25" s="91" ph="1">
        <f>Y24*47.051*LOOKUP(Y26,密度!$A$2:$A$50,密度!$L$2:$L$50)</f>
        <v>295879.41363299999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7" ph="1"/>
      <c r="C26" s="68" t="s" ph="1">
        <v>179</v>
      </c>
      <c r="D26" s="74">
        <v>25</v>
      </c>
      <c r="E26" s="74">
        <v>25</v>
      </c>
      <c r="F26" s="74">
        <v>22</v>
      </c>
      <c r="G26" s="74">
        <v>21</v>
      </c>
      <c r="H26" s="74">
        <v>22</v>
      </c>
      <c r="I26" s="74">
        <v>22</v>
      </c>
      <c r="J26" s="74">
        <v>22</v>
      </c>
      <c r="K26" s="74">
        <v>23</v>
      </c>
      <c r="L26" s="74">
        <v>23</v>
      </c>
      <c r="M26" s="74">
        <v>23</v>
      </c>
      <c r="N26" s="74">
        <v>22</v>
      </c>
      <c r="O26" s="74">
        <v>21</v>
      </c>
      <c r="P26" s="74">
        <v>21</v>
      </c>
      <c r="Q26" s="93">
        <v>21</v>
      </c>
      <c r="R26" s="74">
        <v>20</v>
      </c>
      <c r="S26" s="74">
        <v>20</v>
      </c>
      <c r="T26" s="74">
        <v>21</v>
      </c>
      <c r="U26" s="74">
        <v>22</v>
      </c>
      <c r="V26" s="74">
        <v>22</v>
      </c>
      <c r="W26" s="74">
        <v>23</v>
      </c>
      <c r="X26" s="74">
        <v>23</v>
      </c>
      <c r="Y26" s="74">
        <v>23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7" ph="1">
        <v>0.66666666666666663</v>
      </c>
      <c r="C27" s="155" t="s" ph="1">
        <v>180</v>
      </c>
      <c r="D27" s="71">
        <v>26.13</v>
      </c>
      <c r="E27" s="71">
        <v>2.98</v>
      </c>
      <c r="F27" s="71">
        <v>1993</v>
      </c>
      <c r="G27" s="71">
        <v>3068</v>
      </c>
      <c r="H27" s="71">
        <v>2410</v>
      </c>
      <c r="I27" s="71">
        <v>279</v>
      </c>
      <c r="J27" s="71">
        <v>405</v>
      </c>
      <c r="K27" s="71">
        <v>442</v>
      </c>
      <c r="L27" s="71">
        <v>5572</v>
      </c>
      <c r="M27" s="71">
        <v>3332</v>
      </c>
      <c r="N27" s="71">
        <v>5496</v>
      </c>
      <c r="O27" s="71">
        <v>3767</v>
      </c>
      <c r="P27" s="71">
        <v>356</v>
      </c>
      <c r="Q27" s="90">
        <v>1590</v>
      </c>
      <c r="R27" s="71">
        <v>204</v>
      </c>
      <c r="S27" s="71">
        <v>4486</v>
      </c>
      <c r="T27" s="71">
        <v>279</v>
      </c>
      <c r="U27" s="71">
        <v>5215</v>
      </c>
      <c r="V27" s="71">
        <v>10240</v>
      </c>
      <c r="W27" s="71">
        <v>7988</v>
      </c>
      <c r="X27" s="71">
        <v>4042</v>
      </c>
      <c r="Y27" s="71">
        <v>5096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7" ph="1"/>
      <c r="C28" s="155" t="s" ph="1">
        <v>178</v>
      </c>
      <c r="D28" s="91" ph="1">
        <f>D27*268.68*LOOKUP(D29,密度!$A$2:$A$50,密度!$Q$2:$Q$50)+IF(D27&lt;=0,0,1566*LOOKUP(D29,密度!$A$2:$A$50,密度!$Q$2:$Q$50))</f>
        <v>8129.2856366160004</v>
      </c>
      <c r="E28" s="91" ph="1">
        <f>E27*268.68*LOOKUP(E29,密度!$A$2:$A$50,密度!$C$2:$C$50)+IF(E27&lt;=0,0,1566*LOOKUP(E29,密度!$A$2:$A$50,密度!$C$2:$C$50))</f>
        <v>2624.3963709600002</v>
      </c>
      <c r="F28" s="91" ph="1">
        <f>F27*11.702*LOOKUP(F29,密度!$A$2:$A$50,密度!$Q$2:$Q$50)</f>
        <v>22096.976822420002</v>
      </c>
      <c r="G28" s="91" ph="1">
        <f>G27*18.322*LOOKUP(G29,密度!$A$2:$A$50,密度!$B$2:$B$50)</f>
        <v>43873.384828000002</v>
      </c>
      <c r="H28" s="91" ph="1">
        <f>H27*18.322*LOOKUP(H29,密度!$A$2:$A$50,密度!$B$2:$B$50)</f>
        <v>34463.773609999997</v>
      </c>
      <c r="I28" s="91" ph="1">
        <f>I27*18.322*LOOKUP(I29,密度!$A$2:$A$50,密度!$Q$2:$Q$50)</f>
        <v>4843.3131498599996</v>
      </c>
      <c r="J28" s="91" ph="1">
        <f>J27*18.322*LOOKUP(J29,密度!$A$2:$A$50,密度!$Q$2:$Q$50)</f>
        <v>7025.1989634000001</v>
      </c>
      <c r="K28" s="91" ph="1">
        <f>K27*18.322*LOOKUP(K29,密度!$A$2:$A$50,密度!$Q$2:$Q$50)</f>
        <v>7667.0072637599997</v>
      </c>
      <c r="L28" s="91" ph="1">
        <f>L27*18.322*LOOKUP(L29,密度!$A$2:$A$50,密度!$Q$2:$Q$50)</f>
        <v>96727.386634480004</v>
      </c>
      <c r="M28" s="91" ph="1">
        <f>M27*18.322*LOOKUP(M29,密度!$A$2:$A$50,密度!$Q$2:$Q$50)</f>
        <v>57842.005072879998</v>
      </c>
      <c r="N28" s="91" ph="1">
        <f>N27*18.322*LOOKUP(N29,密度!$A$2:$A$50,密度!$Q$2:$Q$50)</f>
        <v>95334.551858880004</v>
      </c>
      <c r="O28" s="91" ph="1">
        <f>O27*18.322*LOOKUP(O29,密度!$A$2:$A$50,密度!$C$2:$C$50)</f>
        <v>76535.140268600007</v>
      </c>
      <c r="P28" s="91" ph="1">
        <f>P27*11.702*LOOKUP(P29,密度!$A$2:$A$50,密度!$B$2:$B$50)</f>
        <v>3247.7449952000002</v>
      </c>
      <c r="Q28" s="92" ph="1">
        <f>Q27*18.322*LOOKUP(Q29,密度!$A$2:$A$50,密度!$B$2:$B$50)</f>
        <v>22737.510389999999</v>
      </c>
      <c r="R28" s="91" ph="1">
        <f>R27*35.891*LOOKUP(R29,密度!$A$2:$A$50,密度!$C$2:$C$50)</f>
        <v>8124.2293343999982</v>
      </c>
      <c r="S28" s="91" ph="1">
        <f>S27*35.891*LOOKUP(S29,密度!$A$2:$A$50,密度!$B$2:$B$50)</f>
        <v>125665.98379299998</v>
      </c>
      <c r="T28" s="91" ph="1">
        <f>T27*35.891*LOOKUP(T29,密度!$A$2:$A$50,密度!$Q$2:$Q$50)</f>
        <v>9480.26524986</v>
      </c>
      <c r="U28" s="91" ph="1">
        <f>U27*35.891</f>
        <v>187171.565</v>
      </c>
      <c r="V28" s="91" ph="1">
        <f>V27*47.051*LOOKUP(V29,密度!$A$2:$A$50,密度!$B$2:$B$50)</f>
        <v>376046.64831999998</v>
      </c>
      <c r="W28" s="91" ph="1">
        <f>W27*47.051*LOOKUP(W29,密度!$A$2:$A$50,密度!$B$2:$B$50)</f>
        <v>293345.76433400001</v>
      </c>
      <c r="X28" s="91" ph="1">
        <f>X27*47.051*LOOKUP(X29,密度!$A$2:$A$50,密度!$I$2:$I$50)</f>
        <v>198224.76200660001</v>
      </c>
      <c r="Y28" s="91" ph="1">
        <f>Y27*47.051*LOOKUP(Y29,密度!$A$2:$A$50,密度!$L$2:$L$50)</f>
        <v>224906.03844800001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7" ph="1"/>
      <c r="C29" s="155" t="s" ph="1">
        <v>179</v>
      </c>
      <c r="D29" s="74">
        <v>25</v>
      </c>
      <c r="E29" s="74">
        <v>25</v>
      </c>
      <c r="F29" s="74">
        <v>24</v>
      </c>
      <c r="G29" s="74">
        <v>24</v>
      </c>
      <c r="H29" s="74">
        <v>24</v>
      </c>
      <c r="I29" s="74">
        <v>24</v>
      </c>
      <c r="J29" s="74">
        <v>25</v>
      </c>
      <c r="K29" s="74">
        <v>25</v>
      </c>
      <c r="L29" s="74">
        <v>24</v>
      </c>
      <c r="M29" s="74">
        <v>24</v>
      </c>
      <c r="N29" s="74">
        <v>25</v>
      </c>
      <c r="O29" s="74">
        <v>25</v>
      </c>
      <c r="P29" s="74">
        <v>25</v>
      </c>
      <c r="Q29" s="93">
        <v>24</v>
      </c>
      <c r="R29" s="74">
        <v>24</v>
      </c>
      <c r="S29" s="74">
        <v>24</v>
      </c>
      <c r="T29" s="74">
        <v>25</v>
      </c>
      <c r="U29" s="74">
        <v>25</v>
      </c>
      <c r="V29" s="74">
        <v>24</v>
      </c>
      <c r="W29" s="74">
        <v>24</v>
      </c>
      <c r="X29" s="74">
        <v>25</v>
      </c>
      <c r="Y29" s="74">
        <v>24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55" t="s" ph="1">
        <v>5</v>
      </c>
      <c r="F32" s="154" t="s" ph="1">
        <v>43</v>
      </c>
      <c r="G32" s="97" t="s" ph="1">
        <v>4</v>
      </c>
      <c r="H32" s="155" t="s" ph="1">
        <v>5</v>
      </c>
      <c r="I32" s="154" t="s" ph="1">
        <v>43</v>
      </c>
      <c r="J32" s="97" t="s" ph="1">
        <v>4</v>
      </c>
      <c r="K32" s="155" t="s" ph="1">
        <v>5</v>
      </c>
      <c r="L32" s="154" t="s" ph="1">
        <v>43</v>
      </c>
      <c r="M32" s="97" t="s" ph="1">
        <v>4</v>
      </c>
      <c r="N32" s="155" t="s" ph="1">
        <v>5</v>
      </c>
      <c r="O32" s="15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5" t="s" ph="1">
        <v>5</v>
      </c>
      <c r="U32" s="99" t="s" ph="1">
        <v>43</v>
      </c>
      <c r="V32" s="97" t="s" ph="1">
        <v>4</v>
      </c>
      <c r="W32" s="155" t="s" ph="1">
        <v>5</v>
      </c>
      <c r="X32" s="99" t="s" ph="1">
        <v>43</v>
      </c>
      <c r="Y32" s="100" t="s" ph="1">
        <v>4</v>
      </c>
      <c r="Z32" s="155" t="s" ph="1">
        <v>5</v>
      </c>
      <c r="AA32" s="154" t="s" ph="1">
        <v>43</v>
      </c>
      <c r="AB32" s="97" t="s" ph="1">
        <v>85</v>
      </c>
      <c r="AC32" s="155" t="s" ph="1">
        <v>84</v>
      </c>
      <c r="AD32" s="204" t="s" ph="1">
        <v>83</v>
      </c>
      <c r="AE32" s="20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6" t="s" ph="1">
        <v>181</v>
      </c>
      <c r="C33" s="207" ph="1"/>
      <c r="D33" s="186" ph="1">
        <f>AA10+AB10+Z19</f>
        <v>138406.80833840001</v>
      </c>
      <c r="E33" s="186" ph="1">
        <f>M10+I10</f>
        <v>154333.563586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[[#This Row],[F25]]</f>
        <v>3880</v>
      </c>
      <c r="G33" s="212" ph="1">
        <v>0</v>
      </c>
      <c r="H33" s="186" ph="1">
        <f>N19</f>
        <v>24233.401688999998</v>
      </c>
      <c r="I33" s="190" ph="1">
        <v>0</v>
      </c>
      <c r="J33" s="194" ph="1">
        <f>F10+O28</f>
        <v>271199.37381380005</v>
      </c>
      <c r="K33" s="186" ph="1">
        <f>O10+K10+E28+R28</f>
        <v>15851.434974159998</v>
      </c>
      <c r="L33" s="196" ph="1">
        <f>BE27</f>
        <v>7100</v>
      </c>
      <c r="M33" s="194" ph="1">
        <f>G10+H10+W28+S28+V28+E10</f>
        <v>1148136.2469230001</v>
      </c>
      <c r="N33" s="186" ph="1">
        <f>L10+P10++G28+H28</f>
        <v>189780.64405</v>
      </c>
      <c r="O33" s="190" ph="1">
        <f>BE17</f>
        <v>2270</v>
      </c>
      <c r="P33" s="194" ph="1">
        <f>L19</f>
        <v>38004.72970656</v>
      </c>
      <c r="Q33" s="186" ph="1">
        <f>J10+N10</f>
        <v>42987.00606</v>
      </c>
      <c r="R33" s="190" ph="1">
        <f>BE23</f>
        <v>890</v>
      </c>
      <c r="S33" s="194" ph="1">
        <f>E10+X28</f>
        <v>215297.3518146</v>
      </c>
      <c r="T33" s="186" ph="1">
        <f>X19</f>
        <v>13796.06457712</v>
      </c>
      <c r="U33" s="175" ph="1">
        <f>BE21</f>
        <v>730</v>
      </c>
      <c r="V33" s="188" ph="1">
        <f ca="1">P19+Q19+S19+M28+N28+J28</f>
        <v>271698.55877690401</v>
      </c>
      <c r="W33" s="188" ph="1">
        <f>D28+F28+V19+T28</f>
        <v>87167.412572824018</v>
      </c>
      <c r="X33" s="190" ph="1">
        <f>BE29+BE31</f>
        <v>10200</v>
      </c>
      <c r="Y33" s="192" ph="1">
        <f>+Q10+R10+S10+T10+U10+V10+W10+X10+Y10</f>
        <v>159638.91645239998</v>
      </c>
      <c r="Z33" s="173" ph="1">
        <f>D10+T19+U19+Y28+Z10</f>
        <v>549935.70487472008</v>
      </c>
      <c r="AA33" s="175" ph="1">
        <f>BE19</f>
        <v>1440</v>
      </c>
      <c r="AB33" s="177" ph="1">
        <f>I19</f>
        <v>15056.503723200001</v>
      </c>
      <c r="AC33" s="179" ph="1">
        <f>AD10</f>
        <v>93818.123072000002</v>
      </c>
      <c r="AD33" s="181" ph="1">
        <v>0</v>
      </c>
      <c r="AE33" s="18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5" t="s" ph="1">
        <v>633</v>
      </c>
      <c r="AD35" s="185"/>
      <c r="AE35" s="18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1" t="s" ph="1">
        <v>183</v>
      </c>
      <c r="J36" s="171" ph="1"/>
      <c r="K36" s="101" ph="1"/>
      <c r="P36" s="101" ph="1"/>
      <c r="R36" s="171" t="s" ph="1">
        <v>184</v>
      </c>
      <c r="S36" s="171" ph="1"/>
      <c r="Y36" s="102" ph="1"/>
      <c r="Z36" s="153" t="s" ph="1">
        <v>185</v>
      </c>
      <c r="AA36" s="153" ph="1"/>
      <c r="AB36" s="172" t="s" ph="1">
        <v>642</v>
      </c>
      <c r="AC36" s="172" ph="1"/>
      <c r="AD36" s="172" ph="1"/>
      <c r="AE36" s="172" ph="1"/>
      <c r="BA36" s="64" ph="1">
        <v>2270</v>
      </c>
    </row>
    <row r="37" spans="1:57" s="15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3" t="s" ph="1">
        <v>342</v>
      </c>
      <c r="AI37" s="153" t="s" ph="1">
        <v>209</v>
      </c>
      <c r="AJ37" s="153" t="s" ph="1">
        <v>210</v>
      </c>
      <c r="AK37" s="153" t="s" ph="1">
        <v>211</v>
      </c>
      <c r="AM37" s="153" t="s" ph="1">
        <v>210</v>
      </c>
      <c r="AN37" s="153" t="s" ph="1">
        <v>211</v>
      </c>
      <c r="AO37" s="153" t="s" ph="1">
        <v>212</v>
      </c>
      <c r="AP37" s="153" t="s" ph="1">
        <v>210</v>
      </c>
      <c r="AQ37" s="153" t="s" ph="1">
        <v>211</v>
      </c>
      <c r="AR37" s="153" t="s" ph="1">
        <v>212</v>
      </c>
      <c r="AS37" s="153" t="s" ph="1">
        <v>210</v>
      </c>
      <c r="AT37" s="153" t="s" ph="1">
        <v>211</v>
      </c>
      <c r="AU37" s="153" t="s" ph="1">
        <v>212</v>
      </c>
      <c r="AV37" s="153" t="s" ph="1">
        <v>210</v>
      </c>
      <c r="AW37" s="153" t="s" ph="1">
        <v>211</v>
      </c>
      <c r="AX37" s="153" t="s" ph="1">
        <v>212</v>
      </c>
      <c r="AY37" s="153" t="s" ph="1">
        <v>211</v>
      </c>
      <c r="AZ37" s="153" t="s" ph="1">
        <v>213</v>
      </c>
      <c r="BD37" s="153" t="s" ph="1">
        <v>305</v>
      </c>
      <c r="BE37" s="153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535" priority="98">
      <formula>ABS(D$7-D$10)&gt;=1000</formula>
    </cfRule>
  </conditionalFormatting>
  <conditionalFormatting sqref="E4 E6:E11">
    <cfRule type="expression" dxfId="1534" priority="97">
      <formula>ABS(E$7-E$10)&gt;=1000</formula>
    </cfRule>
  </conditionalFormatting>
  <conditionalFormatting sqref="F4:F11">
    <cfRule type="expression" dxfId="1533" priority="96">
      <formula>ABS(F$7-F$10)&gt;=1000</formula>
    </cfRule>
  </conditionalFormatting>
  <conditionalFormatting sqref="G4:G11">
    <cfRule type="expression" dxfId="1532" priority="95">
      <formula>ABS(G$7-G$10)&gt;=1000</formula>
    </cfRule>
  </conditionalFormatting>
  <conditionalFormatting sqref="H4:H11">
    <cfRule type="expression" dxfId="1531" priority="94">
      <formula>ABS(H$7-H$10)&gt;=1000</formula>
    </cfRule>
  </conditionalFormatting>
  <conditionalFormatting sqref="I4:I11">
    <cfRule type="expression" dxfId="1530" priority="93">
      <formula>ABS(I$7-I$10)&gt;=1000</formula>
    </cfRule>
  </conditionalFormatting>
  <conditionalFormatting sqref="J4:J11">
    <cfRule type="expression" dxfId="1529" priority="92">
      <formula>ABS(J$7-J$10)&gt;=1000</formula>
    </cfRule>
  </conditionalFormatting>
  <conditionalFormatting sqref="K4:K11">
    <cfRule type="expression" dxfId="1528" priority="91">
      <formula>ABS(K$7-K$10)&gt;=1000</formula>
    </cfRule>
  </conditionalFormatting>
  <conditionalFormatting sqref="L4:L11">
    <cfRule type="expression" dxfId="1527" priority="90">
      <formula>ABS(L$7-L$10)&gt;=1000</formula>
    </cfRule>
  </conditionalFormatting>
  <conditionalFormatting sqref="M4 M6:M11">
    <cfRule type="expression" dxfId="1526" priority="89">
      <formula>ABS(M$7-M$10)&gt;=1000</formula>
    </cfRule>
  </conditionalFormatting>
  <conditionalFormatting sqref="N4 N6:N11">
    <cfRule type="expression" dxfId="1525" priority="88">
      <formula>ABS(N$7-N$10)&gt;=1000</formula>
    </cfRule>
  </conditionalFormatting>
  <conditionalFormatting sqref="O4 O6:O11">
    <cfRule type="expression" dxfId="1524" priority="87">
      <formula>ABS(O$7-O$10)&gt;=1000</formula>
    </cfRule>
  </conditionalFormatting>
  <conditionalFormatting sqref="P4 P6:P11">
    <cfRule type="expression" dxfId="1523" priority="86">
      <formula>ABS(P$7-P$10)&gt;=1000</formula>
    </cfRule>
  </conditionalFormatting>
  <conditionalFormatting sqref="Q4:Q11">
    <cfRule type="expression" dxfId="1522" priority="85">
      <formula>ABS(Q$7-Q$10)&gt;=1000</formula>
    </cfRule>
  </conditionalFormatting>
  <conditionalFormatting sqref="R4:R11">
    <cfRule type="expression" dxfId="1521" priority="84">
      <formula>ABS(R$7-R$10)&gt;=1000</formula>
    </cfRule>
  </conditionalFormatting>
  <conditionalFormatting sqref="S4:S11">
    <cfRule type="expression" dxfId="1520" priority="83">
      <formula>ABS(S$7-S$10)&gt;=1000</formula>
    </cfRule>
  </conditionalFormatting>
  <conditionalFormatting sqref="T4:T9 T11">
    <cfRule type="expression" dxfId="1519" priority="82">
      <formula>ABS(T$7-T$10)&gt;=1000</formula>
    </cfRule>
  </conditionalFormatting>
  <conditionalFormatting sqref="U4:U9 U11">
    <cfRule type="expression" dxfId="1518" priority="81">
      <formula>ABS(U$7-U$10)&gt;=1000</formula>
    </cfRule>
  </conditionalFormatting>
  <conditionalFormatting sqref="V4:V9 V11">
    <cfRule type="expression" dxfId="1517" priority="80">
      <formula>ABS(V$7-V$10)&gt;=1000</formula>
    </cfRule>
  </conditionalFormatting>
  <conditionalFormatting sqref="W4:W9 W11">
    <cfRule type="expression" dxfId="1516" priority="79">
      <formula>ABS(W$7-W$10)&gt;=1000</formula>
    </cfRule>
  </conditionalFormatting>
  <conditionalFormatting sqref="X4:X9 X11">
    <cfRule type="expression" dxfId="1515" priority="78">
      <formula>ABS(X$7-X$10)&gt;=1000</formula>
    </cfRule>
  </conditionalFormatting>
  <conditionalFormatting sqref="Y4:Y9 Y11">
    <cfRule type="expression" dxfId="1514" priority="77">
      <formula>ABS(Y$7-Y$10)&gt;=1000</formula>
    </cfRule>
  </conditionalFormatting>
  <conditionalFormatting sqref="Z4:Z11">
    <cfRule type="expression" dxfId="1513" priority="76">
      <formula>ABS(Z$7-Z$10)&gt;=1000</formula>
    </cfRule>
  </conditionalFormatting>
  <conditionalFormatting sqref="AA4:AA11">
    <cfRule type="expression" dxfId="1512" priority="75">
      <formula>ABS(AA$7-AA$10)&gt;=1000</formula>
    </cfRule>
  </conditionalFormatting>
  <conditionalFormatting sqref="AB4:AB11">
    <cfRule type="expression" dxfId="1511" priority="74">
      <formula>ABS(AB$7-AB$10)&gt;=1000</formula>
    </cfRule>
  </conditionalFormatting>
  <conditionalFormatting sqref="AC4 AC6:AC11">
    <cfRule type="expression" dxfId="1510" priority="73">
      <formula>ABS(AC$7-AC$10)&gt;=1000</formula>
    </cfRule>
  </conditionalFormatting>
  <conditionalFormatting sqref="AD4:AD11">
    <cfRule type="expression" dxfId="1509" priority="72">
      <formula>ABS(AD$7-AD$10)&gt;=1000</formula>
    </cfRule>
  </conditionalFormatting>
  <conditionalFormatting sqref="AE4 AE6:AE11">
    <cfRule type="expression" dxfId="1508" priority="71">
      <formula>ABS(AE$7-AE$10)&gt;=1000</formula>
    </cfRule>
  </conditionalFormatting>
  <conditionalFormatting sqref="D13:D20">
    <cfRule type="expression" dxfId="1507" priority="70">
      <formula>ABS(D$16-D$19)&gt;=1000</formula>
    </cfRule>
  </conditionalFormatting>
  <conditionalFormatting sqref="E13:E20">
    <cfRule type="expression" dxfId="1506" priority="69">
      <formula>ABS(E$16-E$19)&gt;=1000</formula>
    </cfRule>
  </conditionalFormatting>
  <conditionalFormatting sqref="F13 F15:F20">
    <cfRule type="expression" dxfId="1505" priority="68">
      <formula>ABS(F$16-F$19)&gt;=1000</formula>
    </cfRule>
  </conditionalFormatting>
  <conditionalFormatting sqref="G13:G20">
    <cfRule type="expression" dxfId="1504" priority="67">
      <formula>ABS(G$16-G$19)&gt;=1000</formula>
    </cfRule>
  </conditionalFormatting>
  <conditionalFormatting sqref="H13:H20">
    <cfRule type="expression" dxfId="1503" priority="66">
      <formula>ABS(H$16-H$19)&gt;=1000</formula>
    </cfRule>
  </conditionalFormatting>
  <conditionalFormatting sqref="I13:I20">
    <cfRule type="expression" dxfId="1502" priority="65">
      <formula>ABS(I$16-I$19)&gt;=1000</formula>
    </cfRule>
  </conditionalFormatting>
  <conditionalFormatting sqref="J13:J20">
    <cfRule type="expression" dxfId="1501" priority="64">
      <formula>ABS(J$16-J$19)&gt;=1000</formula>
    </cfRule>
  </conditionalFormatting>
  <conditionalFormatting sqref="L13:L20">
    <cfRule type="expression" dxfId="1500" priority="63">
      <formula>ABS(L$16-L$19)&gt;=1000</formula>
    </cfRule>
  </conditionalFormatting>
  <conditionalFormatting sqref="M13 M15 M17:M18 M20">
    <cfRule type="expression" dxfId="1499" priority="62">
      <formula>ABS(M$16-M$19)&gt;=1000</formula>
    </cfRule>
  </conditionalFormatting>
  <conditionalFormatting sqref="N13:N20">
    <cfRule type="expression" dxfId="1498" priority="61">
      <formula>ABS(N$16-N$19)&gt;=1000</formula>
    </cfRule>
  </conditionalFormatting>
  <conditionalFormatting sqref="O13:O20">
    <cfRule type="expression" dxfId="1497" priority="60">
      <formula>ABS(O$16-O$19)&gt;=1000</formula>
    </cfRule>
  </conditionalFormatting>
  <conditionalFormatting sqref="P13:P20">
    <cfRule type="expression" dxfId="1496" priority="59">
      <formula>ABS(P$16-P$19)&gt;=1000</formula>
    </cfRule>
  </conditionalFormatting>
  <conditionalFormatting sqref="Q13 Q15:Q20">
    <cfRule type="expression" dxfId="1495" priority="58">
      <formula>ABS(Q$16-Q$19)&gt;=1000</formula>
    </cfRule>
  </conditionalFormatting>
  <conditionalFormatting sqref="R13:R20">
    <cfRule type="expression" dxfId="1494" priority="57">
      <formula>ABS(R$16-R$19)&gt;=1000</formula>
    </cfRule>
  </conditionalFormatting>
  <conditionalFormatting sqref="S13:S20">
    <cfRule type="expression" dxfId="1493" priority="56">
      <formula>ABS(S$16-S$19)&gt;=1000</formula>
    </cfRule>
  </conditionalFormatting>
  <conditionalFormatting sqref="T13:T20">
    <cfRule type="expression" dxfId="1492" priority="55">
      <formula>ABS(T$16-T$19)&gt;=1000</formula>
    </cfRule>
  </conditionalFormatting>
  <conditionalFormatting sqref="U13:U20">
    <cfRule type="expression" dxfId="1491" priority="54">
      <formula>ABS(U$16-U$19)&gt;=1000</formula>
    </cfRule>
  </conditionalFormatting>
  <conditionalFormatting sqref="V13:V20">
    <cfRule type="expression" dxfId="1490" priority="53">
      <formula>ABS(V$16-V$19)&gt;=1000</formula>
    </cfRule>
  </conditionalFormatting>
  <conditionalFormatting sqref="W13 W20 W15:W18">
    <cfRule type="expression" dxfId="1489" priority="52">
      <formula>ABS(W$16-W$19)&gt;=1000</formula>
    </cfRule>
  </conditionalFormatting>
  <conditionalFormatting sqref="X13 X15:X20 Y19">
    <cfRule type="expression" dxfId="1488" priority="51">
      <formula>ABS(X$16-X$19)&gt;=1000</formula>
    </cfRule>
  </conditionalFormatting>
  <conditionalFormatting sqref="Y13 Y15:Y18 Y20">
    <cfRule type="expression" dxfId="1487" priority="50">
      <formula>ABS(Y$16-Y$19)&gt;=1000</formula>
    </cfRule>
  </conditionalFormatting>
  <conditionalFormatting sqref="Z13:Z20">
    <cfRule type="expression" dxfId="1486" priority="49">
      <formula>ABS(Z$16-Z$19)&gt;=1000</formula>
    </cfRule>
  </conditionalFormatting>
  <conditionalFormatting sqref="AA13:AA20">
    <cfRule type="expression" dxfId="1485" priority="48">
      <formula>ABS(AA$16-AA$19)&gt;=1000</formula>
    </cfRule>
  </conditionalFormatting>
  <conditionalFormatting sqref="AB13 AB15:AB20">
    <cfRule type="expression" dxfId="1484" priority="47">
      <formula>ABS(AB$16-AB$19)&gt;=1000</formula>
    </cfRule>
  </conditionalFormatting>
  <conditionalFormatting sqref="AC13 AC15:AC20">
    <cfRule type="expression" dxfId="1483" priority="46">
      <formula>ABS(AC$16-AC$19)&gt;=1000</formula>
    </cfRule>
  </conditionalFormatting>
  <conditionalFormatting sqref="AD13:AD20">
    <cfRule type="expression" dxfId="1482" priority="45">
      <formula>ABS(AD$16-AD$19)&gt;=1000</formula>
    </cfRule>
  </conditionalFormatting>
  <conditionalFormatting sqref="AE13:AE20">
    <cfRule type="expression" dxfId="1481" priority="44">
      <formula>ABS(AE$16-AE$19)&gt;=1000</formula>
    </cfRule>
  </conditionalFormatting>
  <conditionalFormatting sqref="D22:D29">
    <cfRule type="expression" dxfId="1480" priority="43">
      <formula>ABS(D$25-D$28)&gt;=1000</formula>
    </cfRule>
  </conditionalFormatting>
  <conditionalFormatting sqref="E22:E29">
    <cfRule type="expression" dxfId="1479" priority="42">
      <formula>ABS(E$25-E$28)&gt;=1000</formula>
    </cfRule>
  </conditionalFormatting>
  <conditionalFormatting sqref="F22:F29">
    <cfRule type="expression" dxfId="1478" priority="41">
      <formula>ABS(F$25-F$28)&gt;=1000</formula>
    </cfRule>
  </conditionalFormatting>
  <conditionalFormatting sqref="G22:G29">
    <cfRule type="expression" dxfId="1477" priority="40">
      <formula>ABS(G$25-G$28)&gt;=1000</formula>
    </cfRule>
  </conditionalFormatting>
  <conditionalFormatting sqref="H22:H29">
    <cfRule type="expression" dxfId="1476" priority="39">
      <formula>ABS(H$25-H$28)&gt;=1000</formula>
    </cfRule>
  </conditionalFormatting>
  <conditionalFormatting sqref="I22 I24:I29">
    <cfRule type="expression" dxfId="1475" priority="38">
      <formula>ABS(I$25-I$28)&gt;=1000</formula>
    </cfRule>
  </conditionalFormatting>
  <conditionalFormatting sqref="J22:J29 K22">
    <cfRule type="expression" dxfId="1474" priority="37">
      <formula>ABS(J$25-J$28)&gt;=1000</formula>
    </cfRule>
  </conditionalFormatting>
  <conditionalFormatting sqref="K23:K29 L25 L28">
    <cfRule type="expression" dxfId="1473" priority="36">
      <formula>ABS(K$25-K$28)&gt;=1000</formula>
    </cfRule>
  </conditionalFormatting>
  <conditionalFormatting sqref="L22 L26:L27 L29 L24">
    <cfRule type="expression" dxfId="1472" priority="35">
      <formula>ABS(L$25-L$28)&gt;=1000</formula>
    </cfRule>
  </conditionalFormatting>
  <conditionalFormatting sqref="M22:M29">
    <cfRule type="expression" dxfId="1471" priority="34">
      <formula>ABS(M$25-M$28)&gt;=1000</formula>
    </cfRule>
  </conditionalFormatting>
  <conditionalFormatting sqref="N22:N29">
    <cfRule type="expression" dxfId="1470" priority="33">
      <formula>ABS(N$25-N$28)&gt;=1000</formula>
    </cfRule>
  </conditionalFormatting>
  <conditionalFormatting sqref="O22:O29">
    <cfRule type="expression" dxfId="1469" priority="32">
      <formula>ABS(O$25-O$28)&gt;=1000</formula>
    </cfRule>
  </conditionalFormatting>
  <conditionalFormatting sqref="P22:P29">
    <cfRule type="expression" dxfId="1468" priority="31">
      <formula>ABS(P$25-P$28)&gt;=1000</formula>
    </cfRule>
  </conditionalFormatting>
  <conditionalFormatting sqref="Q22:Q29">
    <cfRule type="expression" dxfId="1467" priority="30">
      <formula>ABS(Q$25-Q$28)&gt;=1000</formula>
    </cfRule>
  </conditionalFormatting>
  <conditionalFormatting sqref="R22:R29">
    <cfRule type="expression" dxfId="1466" priority="29">
      <formula>ABS(R$25-R$28)&gt;=1000</formula>
    </cfRule>
  </conditionalFormatting>
  <conditionalFormatting sqref="S22:S29">
    <cfRule type="expression" dxfId="1465" priority="28">
      <formula>ABS(S$25-S$28)&gt;=1000</formula>
    </cfRule>
  </conditionalFormatting>
  <conditionalFormatting sqref="T22:T29">
    <cfRule type="expression" dxfId="1464" priority="27">
      <formula>ABS(T$25-T$28)&gt;=1000</formula>
    </cfRule>
  </conditionalFormatting>
  <conditionalFormatting sqref="U22:U29">
    <cfRule type="expression" dxfId="1463" priority="26">
      <formula>ABS(U$25-U$28)&gt;=1000</formula>
    </cfRule>
  </conditionalFormatting>
  <conditionalFormatting sqref="V22:V29">
    <cfRule type="expression" dxfId="1462" priority="25">
      <formula>ABS(V$25-V$28)&gt;=1000</formula>
    </cfRule>
  </conditionalFormatting>
  <conditionalFormatting sqref="W22:W29">
    <cfRule type="expression" dxfId="1461" priority="24">
      <formula>ABS(W$25-W$28)&gt;=1000</formula>
    </cfRule>
  </conditionalFormatting>
  <conditionalFormatting sqref="X22:X29">
    <cfRule type="expression" dxfId="1460" priority="23">
      <formula>ABS(X$25-X$28)&gt;=1000</formula>
    </cfRule>
  </conditionalFormatting>
  <conditionalFormatting sqref="Y22:Y29">
    <cfRule type="expression" dxfId="1459" priority="22">
      <formula>ABS(Y$25-Y$28)&gt;=1000</formula>
    </cfRule>
  </conditionalFormatting>
  <conditionalFormatting sqref="I23">
    <cfRule type="expression" dxfId="1458" priority="21">
      <formula>ABS(I$25-I$28)&gt;=1000</formula>
    </cfRule>
  </conditionalFormatting>
  <conditionalFormatting sqref="Q14">
    <cfRule type="expression" dxfId="1457" priority="20">
      <formula>ABS(Q$16-Q$19)&gt;=1000</formula>
    </cfRule>
  </conditionalFormatting>
  <conditionalFormatting sqref="W14">
    <cfRule type="expression" dxfId="1456" priority="19">
      <formula>ABS(W$16-W$19)&gt;=1000</formula>
    </cfRule>
  </conditionalFormatting>
  <conditionalFormatting sqref="Y14">
    <cfRule type="expression" dxfId="1455" priority="18">
      <formula>ABS(Y$16-Y$19)&gt;=1000</formula>
    </cfRule>
  </conditionalFormatting>
  <conditionalFormatting sqref="X14">
    <cfRule type="expression" dxfId="1454" priority="17">
      <formula>ABS(X$16-X$19)&gt;=1000</formula>
    </cfRule>
  </conditionalFormatting>
  <conditionalFormatting sqref="T10:Y10">
    <cfRule type="expression" dxfId="1453" priority="16">
      <formula>ABS(T$7-T$10)&gt;=1000</formula>
    </cfRule>
  </conditionalFormatting>
  <conditionalFormatting sqref="W19">
    <cfRule type="expression" dxfId="1452" priority="15">
      <formula>ABS(W$16-W$19)&gt;=1000</formula>
    </cfRule>
  </conditionalFormatting>
  <conditionalFormatting sqref="AC5">
    <cfRule type="expression" dxfId="1451" priority="14">
      <formula>ABS(AC$7-AC$10)&gt;=1000</formula>
    </cfRule>
  </conditionalFormatting>
  <conditionalFormatting sqref="M14">
    <cfRule type="expression" dxfId="1450" priority="13">
      <formula>ABS(M$16-M$19)&gt;=1000</formula>
    </cfRule>
  </conditionalFormatting>
  <conditionalFormatting sqref="M16">
    <cfRule type="expression" dxfId="1449" priority="12">
      <formula>ABS(M$16-M$19)&gt;=1000</formula>
    </cfRule>
  </conditionalFormatting>
  <conditionalFormatting sqref="M19">
    <cfRule type="expression" dxfId="1448" priority="11">
      <formula>ABS(M$16-M$19)&gt;=1000</formula>
    </cfRule>
  </conditionalFormatting>
  <conditionalFormatting sqref="K13:K20">
    <cfRule type="expression" dxfId="1447" priority="10">
      <formula>ABS(K$16-K$19)&gt;=1000</formula>
    </cfRule>
  </conditionalFormatting>
  <conditionalFormatting sqref="E5">
    <cfRule type="expression" dxfId="1446" priority="9">
      <formula>ABS(E$7-E$10)&gt;=1000</formula>
    </cfRule>
  </conditionalFormatting>
  <conditionalFormatting sqref="AB14:AC14">
    <cfRule type="expression" dxfId="1445" priority="8">
      <formula>ABS(AB$16-AB$19)&gt;=1000</formula>
    </cfRule>
  </conditionalFormatting>
  <conditionalFormatting sqref="M5">
    <cfRule type="expression" dxfId="1444" priority="7">
      <formula>ABS(M$7-M$10)&gt;=1000</formula>
    </cfRule>
  </conditionalFormatting>
  <conditionalFormatting sqref="N5">
    <cfRule type="expression" dxfId="1443" priority="6">
      <formula>ABS(N$7-N$10)&gt;=1000</formula>
    </cfRule>
  </conditionalFormatting>
  <conditionalFormatting sqref="O5">
    <cfRule type="expression" dxfId="1442" priority="5">
      <formula>ABS(O$7-O$10)&gt;=1000</formula>
    </cfRule>
  </conditionalFormatting>
  <conditionalFormatting sqref="P5">
    <cfRule type="expression" dxfId="1441" priority="4">
      <formula>ABS(P$7-P$10)&gt;=1000</formula>
    </cfRule>
  </conditionalFormatting>
  <conditionalFormatting sqref="L23">
    <cfRule type="expression" dxfId="1440" priority="3">
      <formula>ABS(L$25-L$28)&gt;=1000</formula>
    </cfRule>
  </conditionalFormatting>
  <conditionalFormatting sqref="F14">
    <cfRule type="expression" dxfId="1439" priority="2">
      <formula>ABS(F$16-F$19)&gt;=1000</formula>
    </cfRule>
  </conditionalFormatting>
  <conditionalFormatting sqref="AE5">
    <cfRule type="expression" dxfId="1438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64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64">
    <pageSetUpPr fitToPage="1"/>
  </sheetPr>
  <dimension ref="A1:CU223"/>
  <sheetViews>
    <sheetView tabSelected="1" view="pageBreakPreview" topLeftCell="A16" zoomScale="70" zoomScaleNormal="100" zoomScaleSheetLayoutView="70" workbookViewId="0">
      <selection activeCell="AF24" sqref="AF2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8" t="s" ph="1">
        <v>161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" customHeight="1" ph="1">
      <c r="B3" s="240" ph="1">
        <v>45975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9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55" t="s" ph="1">
        <v>177</v>
      </c>
      <c r="D6" s="71">
        <v>6890</v>
      </c>
      <c r="E6" s="71">
        <v>424</v>
      </c>
      <c r="F6" s="71">
        <v>5275</v>
      </c>
      <c r="G6" s="71">
        <v>4627</v>
      </c>
      <c r="H6" s="71">
        <v>2569</v>
      </c>
      <c r="I6" s="71">
        <v>40.770000000000003</v>
      </c>
      <c r="J6" s="71">
        <v>7.01</v>
      </c>
      <c r="K6" s="71">
        <v>8.41</v>
      </c>
      <c r="L6" s="71">
        <v>37.17</v>
      </c>
      <c r="M6" s="71">
        <v>4167</v>
      </c>
      <c r="N6" s="71">
        <v>1589</v>
      </c>
      <c r="O6" s="71">
        <v>104</v>
      </c>
      <c r="P6" s="71">
        <v>3116</v>
      </c>
      <c r="Q6" s="71">
        <v>0</v>
      </c>
      <c r="R6" s="71">
        <v>0</v>
      </c>
      <c r="S6" s="71">
        <v>0</v>
      </c>
      <c r="T6" s="71">
        <v>2539</v>
      </c>
      <c r="U6" s="71">
        <v>6989</v>
      </c>
      <c r="V6" s="71">
        <v>3816</v>
      </c>
      <c r="W6" s="71">
        <v>6685</v>
      </c>
      <c r="X6" s="71">
        <v>2456</v>
      </c>
      <c r="Y6" s="71">
        <v>0</v>
      </c>
      <c r="Z6" s="71">
        <v>1305</v>
      </c>
      <c r="AA6" s="71">
        <v>1936</v>
      </c>
      <c r="AB6" s="71">
        <v>3431</v>
      </c>
      <c r="AC6" s="71">
        <v>3930</v>
      </c>
      <c r="AD6" s="71">
        <v>4780</v>
      </c>
      <c r="AE6" s="71">
        <v>4854</v>
      </c>
    </row>
    <row r="7" spans="1:99" s="72" customFormat="1" ht="22.2" ph="1">
      <c r="B7" s="237" ph="1"/>
      <c r="C7" s="68" t="s" ph="1">
        <v>178</v>
      </c>
      <c r="D7" s="73" ph="1">
        <f>D6*33.183*LOOKUP(D8,密度!$A$2:$A$50,密度!$Q$2:$Q$50)</f>
        <v>217286.20623059999</v>
      </c>
      <c r="E7" s="73" ph="1">
        <f>E6*51.53*LOOKUP(E8,密度!$A$2:$A$50,密度!$B$2:$B$50)</f>
        <v>17131.581352000001</v>
      </c>
      <c r="F7" s="73" ph="1">
        <f>F6*33.183*LOOKUP(F8,密度!$A$2:$A$50,密度!$C$2:$C$50)</f>
        <v>194487.3051075</v>
      </c>
      <c r="G7" s="73" ph="1">
        <f xml:space="preserve"> (G6+2)*51.53*LOOKUP(G8,密度!$A$2:$A$50,密度!$B$2:$B$50)</f>
        <v>187414.88310899999</v>
      </c>
      <c r="H7" s="73" ph="1">
        <f>(H6)*51.53*LOOKUP(H8,密度!$A$2:$A$50,密度!$B$2:$B$50)</f>
        <v>104011.413849</v>
      </c>
      <c r="I7" s="73" ph="1">
        <f>I6*290.8*1.0267</f>
        <v>12172.468957200001</v>
      </c>
      <c r="J7" s="73" ph="1">
        <f>J6*290.8*0.7892</f>
        <v>1608.7905136000002</v>
      </c>
      <c r="K7" s="73" ph="1">
        <f>K6*290.8*1.1126</f>
        <v>2721.0057128000003</v>
      </c>
      <c r="L7" s="73" ph="1">
        <f>L6*290.8*0.777</f>
        <v>8398.6209720000006</v>
      </c>
      <c r="M7" s="73" ph="1">
        <f>M6*33.183*LOOKUP(M8,密度!$A$2:$A$50,密度!$D$2:$D$50)</f>
        <v>142352.63104949999</v>
      </c>
      <c r="N7" s="73" ph="1">
        <f>N6*33.183*LOOKUP(N8,密度!$A$2:$A$50,密度!$E$2:$E$50)</f>
        <v>41422.949467199993</v>
      </c>
      <c r="O7" s="73" ph="1">
        <f>O6*20.428*LOOKUP(O8,密度!$A$2:$A$50,密度!$C$2:$C$50)</f>
        <v>2357.3585152000001</v>
      </c>
      <c r="P7" s="73" ph="1">
        <f>P6*51.53*LOOKUP(P8,密度!$A$2:$A$50,密度!$B$2:$B$50)</f>
        <v>125756.45033600001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16924.186402200001</v>
      </c>
      <c r="U7" s="73" ph="1">
        <f>U6*1.5*1.5*3.1416*LOOKUP(U8,密度!$A$2:$A$50,密度!$L$2:$L$50)</f>
        <v>46487.701121399994</v>
      </c>
      <c r="V7" s="73" ph="1">
        <f>V6*1.5*1.5*3.1416*LOOKUP(V8,密度!$A$2:$A$50,密度!$L$2:$L$50)</f>
        <v>25355.350943999998</v>
      </c>
      <c r="W7" s="73" ph="1">
        <f>W6*1.5*1.5*3.1416*LOOKUP(W8,密度!$A$2:$A$50,密度!$L$2:$L$50)</f>
        <v>44418.375540000001</v>
      </c>
      <c r="X7" s="73" ph="1">
        <f>X6*1.5*1.5*3.1416*LOOKUP(X8,密度!$A$2:$A$50,密度!$L$2:$L$50)</f>
        <v>16457.736556799999</v>
      </c>
      <c r="Y7" s="73" ph="1">
        <f>Y6*1.5*1.5*3.1416*LOOKUP(Y8,密度!$A$2:$A$50,密度!$L$2:$L$50)</f>
        <v>0</v>
      </c>
      <c r="Z7" s="73" ph="1">
        <f>Z6*33.183*LOOKUP(Z8,密度!$A$2:$A$50,密度!$L$2:$L$50)</f>
        <v>40878.801359999998</v>
      </c>
      <c r="AA7" s="73" ph="1">
        <f>AA6*33.183*LOOKUP(AA8,密度!$A$2:$A$50,密度!$D$2:$D$50)</f>
        <v>66201.677784</v>
      </c>
      <c r="AB7" s="73" ph="1">
        <f>AB6*20.428*LOOKUP(AB8,密度!$A$2:$A$50,密度!$D$2:$D$50)</f>
        <v>72583.617460800015</v>
      </c>
      <c r="AC7" s="73" ph="1">
        <f>AC6*51.53*LOOKUP(AC8,密度!$A$2:$A$50,密度!$Q$2:$Q$50)</f>
        <v>192324.476001</v>
      </c>
      <c r="AD7" s="73" ph="1">
        <f>AD6*20.428*LOOKUP(AD8,密度!$A$2:$A$50,密度!$V$2:$V$50)</f>
        <v>94130.589760000003</v>
      </c>
      <c r="AE7" s="73" ph="1">
        <f>AE6*20.428</f>
        <v>99157.512000000002</v>
      </c>
    </row>
    <row r="8" spans="1:99" ph="1">
      <c r="B8" s="237" ph="1"/>
      <c r="C8" s="68" t="s" ph="1">
        <v>179</v>
      </c>
      <c r="D8" s="74">
        <v>20</v>
      </c>
      <c r="E8" s="74">
        <v>20</v>
      </c>
      <c r="F8" s="74">
        <v>22</v>
      </c>
      <c r="G8" s="74">
        <v>18</v>
      </c>
      <c r="H8" s="74">
        <v>18</v>
      </c>
      <c r="I8" s="74">
        <v>25</v>
      </c>
      <c r="J8" s="74">
        <v>25</v>
      </c>
      <c r="K8" s="74">
        <v>25</v>
      </c>
      <c r="L8" s="74">
        <v>25</v>
      </c>
      <c r="M8" s="74">
        <v>22</v>
      </c>
      <c r="N8" s="74">
        <v>23</v>
      </c>
      <c r="O8" s="74">
        <v>24</v>
      </c>
      <c r="P8" s="74">
        <v>21</v>
      </c>
      <c r="Q8" s="74">
        <v>21</v>
      </c>
      <c r="R8" s="74">
        <v>26</v>
      </c>
      <c r="S8" s="74">
        <v>20</v>
      </c>
      <c r="T8" s="74">
        <v>19</v>
      </c>
      <c r="U8" s="74">
        <v>21</v>
      </c>
      <c r="V8" s="74">
        <v>22</v>
      </c>
      <c r="W8" s="74">
        <v>22</v>
      </c>
      <c r="X8" s="74">
        <v>14</v>
      </c>
      <c r="Y8" s="74">
        <v>21</v>
      </c>
      <c r="Z8" s="74">
        <v>18</v>
      </c>
      <c r="AA8" s="74">
        <v>21</v>
      </c>
      <c r="AB8" s="74">
        <v>15</v>
      </c>
      <c r="AC8" s="74">
        <v>21</v>
      </c>
      <c r="AD8" s="74">
        <v>20</v>
      </c>
      <c r="AE8" s="74">
        <v>22</v>
      </c>
    </row>
    <row r="9" spans="1:99" ht="26.4" ph="1">
      <c r="B9" s="237" ph="1">
        <v>0.66666666666666663</v>
      </c>
      <c r="C9" s="155" t="s" ph="1">
        <v>180</v>
      </c>
      <c r="D9" s="71">
        <v>6895</v>
      </c>
      <c r="E9" s="71">
        <v>424</v>
      </c>
      <c r="F9" s="71">
        <v>6096</v>
      </c>
      <c r="G9" s="71">
        <v>4349</v>
      </c>
      <c r="H9" s="71">
        <v>2271</v>
      </c>
      <c r="I9" s="71">
        <v>40.81</v>
      </c>
      <c r="J9" s="71">
        <v>7.14</v>
      </c>
      <c r="K9" s="71">
        <v>8.4499999999999993</v>
      </c>
      <c r="L9" s="71">
        <v>37.74</v>
      </c>
      <c r="M9" s="71">
        <v>4170</v>
      </c>
      <c r="N9" s="71">
        <v>1578</v>
      </c>
      <c r="O9" s="71">
        <v>104</v>
      </c>
      <c r="P9" s="71">
        <v>2690</v>
      </c>
      <c r="Q9" s="71">
        <v>2376</v>
      </c>
      <c r="R9" s="71">
        <v>0</v>
      </c>
      <c r="S9" s="71">
        <v>0</v>
      </c>
      <c r="T9" s="71">
        <v>0</v>
      </c>
      <c r="U9" s="71">
        <v>5140</v>
      </c>
      <c r="V9" s="71">
        <v>3819</v>
      </c>
      <c r="W9" s="71">
        <v>6696</v>
      </c>
      <c r="X9" s="71">
        <v>7084</v>
      </c>
      <c r="Y9" s="71">
        <v>2430</v>
      </c>
      <c r="Z9" s="71">
        <v>2259</v>
      </c>
      <c r="AA9" s="71">
        <v>1936</v>
      </c>
      <c r="AB9" s="71">
        <v>3276</v>
      </c>
      <c r="AC9" s="71">
        <v>4433</v>
      </c>
      <c r="AD9" s="71">
        <v>4780</v>
      </c>
      <c r="AE9" s="71">
        <v>4638</v>
      </c>
    </row>
    <row r="10" spans="1:99" s="72" customFormat="1" ht="22.2" ph="1">
      <c r="B10" s="237" ph="1"/>
      <c r="C10" s="155" t="s" ph="1">
        <v>178</v>
      </c>
      <c r="D10" s="73" ph="1">
        <f>D9*33.183*LOOKUP(D11,密度!$A$2:$A$50,密度!$Q$2:$Q$50)</f>
        <v>216945.11153700002</v>
      </c>
      <c r="E10" s="73" ph="1">
        <f>E9*51.53*LOOKUP(E11,密度!$A$2:$A$50,密度!$B$2:$B$50)</f>
        <v>17072.589808000001</v>
      </c>
      <c r="F10" s="73" ph="1">
        <f>F9*33.183*LOOKUP(F11,密度!$A$2:$A$50,密度!$C$2:$C$50)</f>
        <v>224615.67390720002</v>
      </c>
      <c r="G10" s="73" ph="1">
        <f xml:space="preserve"> (G9+2)*51.53*LOOKUP(G11,密度!$A$2:$A$50,密度!$B$2:$B$50)</f>
        <v>175800.732223</v>
      </c>
      <c r="H10" s="73" ph="1">
        <f>(H9)*51.53*LOOKUP(H11,密度!$A$2:$A$50,密度!$B$2:$B$50)</f>
        <v>91759.012383000008</v>
      </c>
      <c r="I10" s="73" ph="1">
        <f>I9*290.8*1.0267</f>
        <v>12184.411531600001</v>
      </c>
      <c r="J10" s="73" ph="1">
        <f>J9*290.8*0.7892</f>
        <v>1638.6254303999999</v>
      </c>
      <c r="K10" s="73" ph="1">
        <f>K9*290.8*1.1126</f>
        <v>2733.9474759999998</v>
      </c>
      <c r="L10" s="73" ph="1">
        <f>L9*290.8*0.777</f>
        <v>8527.4133840000013</v>
      </c>
      <c r="M10" s="73" ph="1">
        <f>M9*33.183*LOOKUP(M11,密度!$A$2:$A$50,密度!$D$2:$D$50)</f>
        <v>142192.20783599999</v>
      </c>
      <c r="N10" s="73" ph="1">
        <f>N9*33.183*LOOKUP(N11,密度!$A$2:$A$50,密度!$E$2:$E$50)</f>
        <v>41073.359925599994</v>
      </c>
      <c r="O10" s="73" ph="1">
        <f>O9*20.428*LOOKUP(O11,密度!$A$2:$A$50,密度!$C$2:$C$50)</f>
        <v>2352.6845888000003</v>
      </c>
      <c r="P10" s="73" ph="1">
        <f>P9*51.53*LOOKUP(P11,密度!$A$2:$A$50,密度!$B$2:$B$50)</f>
        <v>108064.79972000001</v>
      </c>
      <c r="Q10" s="73" ph="1">
        <f>Q9*1.5*1.5*3.1416*LOOKUP(W11,密度!$A$2:$A$50,密度!$L$2:$L$50)</f>
        <v>15770.498990399998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34116.315155999997</v>
      </c>
      <c r="V10" s="73" ph="1">
        <f>V9*1.5*1.5*3.1416*LOOKUP(V11,密度!$A$2:$A$50,密度!$L$2:$L$50)</f>
        <v>25321.294429199999</v>
      </c>
      <c r="W10" s="73" ph="1">
        <f>W9*1.5*1.5*3.1416*LOOKUP(W11,密度!$A$2:$A$50,密度!$L$2:$L$50)</f>
        <v>44444.133518399998</v>
      </c>
      <c r="X10" s="73" ph="1">
        <f>X9*1.5*1.5*3.1416*LOOKUP(X11,密度!$A$2:$A$50,密度!$L$2:$L$50)</f>
        <v>46969.376731199991</v>
      </c>
      <c r="Y10" s="73" ph="1">
        <f>Y9*1.5*1.5*3.1416*LOOKUP(Y11,密度!$A$2:$A$50,密度!$L$2:$L$50)</f>
        <v>16128.919421999999</v>
      </c>
      <c r="Z10" s="73" ph="1">
        <f>Z9*33.183*LOOKUP(Z11,密度!$A$2:$A$50,密度!$L$2:$L$50)</f>
        <v>70612.693973999994</v>
      </c>
      <c r="AA10" s="73" ph="1">
        <f>AA9*33.183*LOOKUP(AA11,密度!$A$2:$A$50,密度!$D$2:$D$50)</f>
        <v>66015.375148799998</v>
      </c>
      <c r="AB10" s="73" ph="1">
        <f>AB9*20.428*LOOKUP(AB11,密度!$A$2:$A$50,密度!$D$2:$D$50)</f>
        <v>69251.018054399989</v>
      </c>
      <c r="AC10" s="73" ph="1">
        <f>AC9*51.53*LOOKUP(AC11,密度!$A$2:$A$50,密度!$Q$2:$Q$50)</f>
        <v>216802.99193409999</v>
      </c>
      <c r="AD10" s="73" ph="1">
        <f>AD9*20.428*LOOKUP(AD11,密度!$A$2:$A$50,密度!$V$2:$V$50)</f>
        <v>93818.123072000002</v>
      </c>
      <c r="AE10" s="73" ph="1">
        <f>AE9*20.428</f>
        <v>94745.063999999998</v>
      </c>
    </row>
    <row r="11" spans="1:99" ph="1">
      <c r="A11" s="64" t="s" ph="1">
        <v>162</v>
      </c>
      <c r="B11" s="237" ph="1"/>
      <c r="C11" s="155" t="s" ph="1">
        <v>179</v>
      </c>
      <c r="D11" s="74">
        <v>23</v>
      </c>
      <c r="E11" s="74">
        <v>23</v>
      </c>
      <c r="F11" s="74">
        <v>23</v>
      </c>
      <c r="G11" s="74">
        <v>20</v>
      </c>
      <c r="H11" s="74">
        <v>20</v>
      </c>
      <c r="I11" s="74">
        <v>25</v>
      </c>
      <c r="J11" s="74">
        <v>25</v>
      </c>
      <c r="K11" s="74">
        <v>25</v>
      </c>
      <c r="L11" s="74">
        <v>25</v>
      </c>
      <c r="M11" s="74">
        <v>24</v>
      </c>
      <c r="N11" s="74">
        <v>24</v>
      </c>
      <c r="O11" s="74">
        <v>27</v>
      </c>
      <c r="P11" s="74">
        <v>25</v>
      </c>
      <c r="Q11" s="74">
        <v>24</v>
      </c>
      <c r="R11" s="74">
        <v>30</v>
      </c>
      <c r="S11" s="74">
        <v>21</v>
      </c>
      <c r="T11" s="74">
        <v>20</v>
      </c>
      <c r="U11" s="74">
        <v>23</v>
      </c>
      <c r="V11" s="74">
        <v>24</v>
      </c>
      <c r="W11" s="74">
        <v>23</v>
      </c>
      <c r="X11" s="74">
        <v>24</v>
      </c>
      <c r="Y11" s="74">
        <v>23</v>
      </c>
      <c r="Z11" s="74">
        <v>20</v>
      </c>
      <c r="AA11" s="74">
        <v>24</v>
      </c>
      <c r="AB11" s="74">
        <v>16</v>
      </c>
      <c r="AC11" s="74">
        <v>22</v>
      </c>
      <c r="AD11" s="74">
        <v>22</v>
      </c>
      <c r="AE11" s="74">
        <v>24</v>
      </c>
    </row>
    <row r="12" spans="1:99" ht="9.9" customHeight="1" ph="1"/>
    <row r="13" spans="1:99" s="72" customFormat="1" ht="29.25" customHeight="1" ph="1">
      <c r="B13" s="214" t="s" ph="1">
        <v>37</v>
      </c>
      <c r="C13" s="155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5" ph="1"/>
      <c r="C14" s="67" t="s" ph="1">
        <v>36</v>
      </c>
      <c r="D14" s="77" t="s" ph="1">
        <v>616</v>
      </c>
      <c r="E14" s="77" t="s" ph="1">
        <v>616</v>
      </c>
      <c r="F14" s="77" t="s" ph="1">
        <v>639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636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635</v>
      </c>
      <c r="AC14" s="77" t="s" ph="1">
        <v>637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6" ph="1">
        <v>0.33333333333333331</v>
      </c>
      <c r="C15" s="155" t="s" ph="1">
        <v>177</v>
      </c>
      <c r="D15" s="78">
        <v>0</v>
      </c>
      <c r="E15" s="78">
        <v>5796</v>
      </c>
      <c r="F15" s="78">
        <v>3228</v>
      </c>
      <c r="G15" s="78">
        <v>1607</v>
      </c>
      <c r="H15" s="78">
        <v>0</v>
      </c>
      <c r="I15" s="78">
        <v>1613</v>
      </c>
      <c r="J15" s="78">
        <v>0</v>
      </c>
      <c r="K15" s="78">
        <v>4759</v>
      </c>
      <c r="L15" s="78">
        <v>5322</v>
      </c>
      <c r="M15" s="78">
        <v>6667</v>
      </c>
      <c r="N15" s="78">
        <v>3043</v>
      </c>
      <c r="O15" s="78">
        <v>6382</v>
      </c>
      <c r="P15" s="78">
        <v>5171</v>
      </c>
      <c r="Q15" s="78">
        <v>1609</v>
      </c>
      <c r="R15" s="78">
        <v>7471</v>
      </c>
      <c r="S15" s="78">
        <v>6177</v>
      </c>
      <c r="T15" s="78">
        <v>1446</v>
      </c>
      <c r="U15" s="78">
        <v>7108</v>
      </c>
      <c r="V15" s="78">
        <v>4925</v>
      </c>
      <c r="W15" s="71">
        <v>5310</v>
      </c>
      <c r="X15" s="78">
        <v>845</v>
      </c>
      <c r="Y15" s="106">
        <v>-9902</v>
      </c>
      <c r="Z15" s="78">
        <v>0</v>
      </c>
      <c r="AA15" s="78">
        <v>0</v>
      </c>
      <c r="AB15" s="78" ph="1">
        <v>1094</v>
      </c>
      <c r="AC15" s="78" ph="1">
        <v>2138</v>
      </c>
      <c r="AD15" s="78">
        <v>84.73</v>
      </c>
      <c r="AE15" s="78">
        <v>22.7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7" ph="1"/>
      <c r="C16" s="155" t="s" ph="1">
        <v>178</v>
      </c>
      <c r="D16" s="73" ph="1">
        <f>D15*7.0686*LOOKUP(D17,密度!$A$2:$A$50,密度!$L$2:$L$50)</f>
        <v>0</v>
      </c>
      <c r="E16" s="73" ph="1">
        <f>E15*7.0686*LOOKUP(E17,密度!$A$2:$A$50,密度!$L$2:$L$50)</f>
        <v>38552.398869600001</v>
      </c>
      <c r="F16" s="73" ph="1">
        <f>F15*9.0746*LOOKUP(F17,密度!$A$2:$A$50,密度!$L$2:$L$50)</f>
        <v>27388.776228000002</v>
      </c>
      <c r="G16" s="73" ph="1">
        <f>G15*9.0746*LOOKUP(G17,密度!$A$2:$A$50,密度!$B$2:$B$50)</f>
        <v>11421.31333904</v>
      </c>
      <c r="H16" s="73" ph="1">
        <f>H15*9.0746*LOOKUP(H17,密度!$A$2:$A$50,密度!$L$2:$L$50)</f>
        <v>0</v>
      </c>
      <c r="I16" s="73" ph="1">
        <f>I15*9.0746*LOOKUP(I17,密度!$A$2:$A$50,密度!$U$2:$U$50)</f>
        <v>15047.175034399999</v>
      </c>
      <c r="J16" s="73" ph="1">
        <f>J15*9.0746*LOOKUP(J17,密度!$A$2:$A$50,密度!$L$2:$L$50)</f>
        <v>0</v>
      </c>
      <c r="K16" s="73" ph="1">
        <f>K15*9.0746*LOOKUP(K17,密度!$A$2:$A$50,密度!$C$2:$C$50)</f>
        <v>48018.537194659999</v>
      </c>
      <c r="L16" s="73" ph="1">
        <f>L15*9.0746*LOOKUP(L17,密度!$A$2:$A$50,密度!$E$2:$E$50)</f>
        <v>37998.522680160007</v>
      </c>
      <c r="M16" s="73" ph="1">
        <f>M15*9.0746*LOOKUP(M17,密度!$A$2:$A$50,密度!$M$2:$M$50)</f>
        <v>53119.314499600005</v>
      </c>
      <c r="N16" s="73" ph="1">
        <f>N15*9.0746*LOOKUP(N17,密度!$A$2:$A$50,密度!$M$2:$M$50)</f>
        <v>24275.47425698</v>
      </c>
      <c r="O16" s="73" ph="1">
        <f>O15*9.0746*LOOKUP(O17,密度!$A$2:$A$50,密度!$G$2:$G$50)</f>
        <v>55724.944325840006</v>
      </c>
      <c r="P16" s="73" ph="1">
        <f ca="1">P15*9.0746*LOOKUP(P17,密度!$A$2:$A$51,密度!$Q$2:$Q$50)</f>
        <v>44535.817241493998</v>
      </c>
      <c r="Q16" s="73" ph="1">
        <f>Q15*9.0746*LOOKUP(Q17,密度!$A$2:$A$50,密度!$Q$2:$Q$50)</f>
        <v>13866.453510266001</v>
      </c>
      <c r="R16" s="73" ph="1">
        <f>MAX(R15*9.0746*LOOKUP(R17,密度!$A$2:$A$50,密度!$B$2:$B$50),0)</f>
        <v>52915.040716299991</v>
      </c>
      <c r="S16" s="73" ph="1">
        <f>S15*9.0746*LOOKUP(S17,密度!$A$2:$A$50,密度!$Q$2:$Q$50)</f>
        <v>53200.105028177997</v>
      </c>
      <c r="T16" s="73" ph="1">
        <f>T15*9.0746*LOOKUP(T17,密度!$A$2:$A$50,密度!$O$2:$O$50)</f>
        <v>12203.340588000001</v>
      </c>
      <c r="U16" s="73" ph="1">
        <f>U15*9.0746*LOOKUP(U17,密度!$A$2:$A$50,密度!$H$2:$H$50)</f>
        <v>59387.227835760001</v>
      </c>
      <c r="V16" s="73" ph="1">
        <f>MAX(5600*LOOKUP(V17,密度!$A$2:$A$50,密度!$Q$2:$Q$50)+V15*9.0476*LOOKUP(V17,密度!$A$2:$A$50,密度!$Q$2:$Q$50),0)</f>
        <v>47524.555142099998</v>
      </c>
      <c r="W16" s="73" ph="1">
        <f>MAX(5600*LOOKUP(W17,密度!$A$2:$A$50,密度!$Q$2:$Q$50)+W15*9.0476*LOOKUP(W17,密度!$A$2:$A$50,密度!$Q$2:$Q$50),0)</f>
        <v>50824.90202732</v>
      </c>
      <c r="X16" s="73" ph="1">
        <f>MAX(5600*LOOKUP(X17,密度!$A$2:$A$50,密度!$I$2:$I$50)+X15*9.0476*LOOKUP(X17,密度!$A$2:$A$50,密度!$I$2:$I$50),0)</f>
        <v>13820.064634800001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9341.883268399999</v>
      </c>
      <c r="AC16" s="73" ph="1">
        <f>AC15*9.0746*LOOKUP(AC17,密度!$A$2:$A$50,密度!$L$2:$L$50)</f>
        <v>18276.208101600001</v>
      </c>
      <c r="AD16" s="73" ph="1">
        <f>AD15*268.68*LOOKUP(AD17,密度!$A$2:$A$50,密度!B2:B50)+IF(AD15&lt;=0,0,1566*LOOKUP(AD17,密度!$A$2:$A$50,密度!B2:B50))</f>
        <v>18968.647489439998</v>
      </c>
      <c r="AE16" s="73" ph="1">
        <f>AE15*268.68*LOOKUP(AE17,密度!$A$2:$A$50,密度!B2:B50)+IF(AE15&lt;=0,0,1566*LOOKUP(AE17,密度!$A$2:$A$50,密度!B2:B50))</f>
        <v>5975.6620655999996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8" ph="1"/>
      <c r="C17" s="79" t="s" ph="1">
        <v>179</v>
      </c>
      <c r="D17" s="74">
        <v>21</v>
      </c>
      <c r="E17" s="74">
        <v>21</v>
      </c>
      <c r="F17" s="74">
        <v>27</v>
      </c>
      <c r="G17" s="74">
        <v>21</v>
      </c>
      <c r="H17" s="74">
        <v>16</v>
      </c>
      <c r="I17" s="74">
        <v>19</v>
      </c>
      <c r="J17" s="74">
        <v>22</v>
      </c>
      <c r="K17" s="74">
        <v>21</v>
      </c>
      <c r="L17" s="74">
        <v>22</v>
      </c>
      <c r="M17" s="74">
        <v>22</v>
      </c>
      <c r="N17" s="74">
        <v>21</v>
      </c>
      <c r="O17" s="74">
        <v>23</v>
      </c>
      <c r="P17" s="74">
        <v>22</v>
      </c>
      <c r="Q17" s="74">
        <v>21</v>
      </c>
      <c r="R17" s="74">
        <v>24</v>
      </c>
      <c r="S17" s="74">
        <v>22</v>
      </c>
      <c r="T17" s="74">
        <v>23</v>
      </c>
      <c r="U17" s="74">
        <v>19</v>
      </c>
      <c r="V17" s="74">
        <v>24</v>
      </c>
      <c r="W17" s="74">
        <v>24</v>
      </c>
      <c r="X17" s="74">
        <v>24</v>
      </c>
      <c r="Y17" s="108">
        <v>24</v>
      </c>
      <c r="Z17" s="74">
        <v>21</v>
      </c>
      <c r="AA17" s="74">
        <v>19</v>
      </c>
      <c r="AB17" s="74">
        <v>21</v>
      </c>
      <c r="AC17" s="74">
        <v>20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6" ph="1">
        <v>0.66666666666666663</v>
      </c>
      <c r="C18" s="79" t="s" ph="1">
        <v>180</v>
      </c>
      <c r="D18" s="71">
        <v>955</v>
      </c>
      <c r="E18" s="71">
        <v>2873</v>
      </c>
      <c r="F18" s="71">
        <v>945</v>
      </c>
      <c r="G18" s="71">
        <v>2744</v>
      </c>
      <c r="H18" s="71">
        <v>0</v>
      </c>
      <c r="I18" s="71">
        <v>1614</v>
      </c>
      <c r="J18" s="71">
        <v>95</v>
      </c>
      <c r="K18" s="71">
        <v>4760</v>
      </c>
      <c r="L18" s="71">
        <v>3605</v>
      </c>
      <c r="M18" s="71">
        <v>4869</v>
      </c>
      <c r="N18" s="71">
        <v>3141</v>
      </c>
      <c r="O18" s="71">
        <v>6389</v>
      </c>
      <c r="P18" s="71">
        <v>5183</v>
      </c>
      <c r="Q18" s="71">
        <v>1610</v>
      </c>
      <c r="R18" s="71">
        <v>7492</v>
      </c>
      <c r="S18" s="71">
        <v>6183</v>
      </c>
      <c r="T18" s="71">
        <v>1448</v>
      </c>
      <c r="U18" s="71">
        <v>7113</v>
      </c>
      <c r="V18" s="71">
        <v>4926</v>
      </c>
      <c r="W18" s="71">
        <v>5309</v>
      </c>
      <c r="X18" s="71">
        <v>844</v>
      </c>
      <c r="Y18" s="109">
        <v>-9906</v>
      </c>
      <c r="Z18" s="71">
        <v>0</v>
      </c>
      <c r="AA18" s="71">
        <v>0</v>
      </c>
      <c r="AB18" s="71">
        <v>1093</v>
      </c>
      <c r="AC18" s="71">
        <v>2141</v>
      </c>
      <c r="AD18" s="71">
        <v>5.3</v>
      </c>
      <c r="AE18" s="71">
        <v>67.28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7" ph="1"/>
      <c r="C19" s="155" t="s" ph="1">
        <v>178</v>
      </c>
      <c r="D19" s="73" ph="1">
        <f>D18*7.0686*LOOKUP(D20,密度!$A$2:$A$50,密度!$L$2:$L$50)</f>
        <v>6325.230681</v>
      </c>
      <c r="E19" s="73" ph="1">
        <f>E18*7.0686*LOOKUP(E20,密度!$A$2:$A$50,密度!$L$2:$L$50)</f>
        <v>19028.678268600001</v>
      </c>
      <c r="F19" s="73" ph="1">
        <f>F18*9.0746*LOOKUP(F20,密度!$A$2:$A$50,密度!$L$2:$L$50)</f>
        <v>8018.0896949999997</v>
      </c>
      <c r="G19" s="73" ph="1">
        <f>G18*9.0746*LOOKUP(G20,密度!$A$2:$A$50,密度!$B$2:$B$50)</f>
        <v>19457.408855360001</v>
      </c>
      <c r="H19" s="73" ph="1">
        <f>H18*9.0746*LOOKUP(H20,密度!$A$2:$A$50,密度!$L$2:$L$50)</f>
        <v>0</v>
      </c>
      <c r="I19" s="73" ph="1">
        <f>I18*9.0746*LOOKUP(I20,密度!$A$2:$A$50,密度!$U$2:$U$50)</f>
        <v>15056.503723200001</v>
      </c>
      <c r="J19" s="73" ph="1">
        <f>J18*9.0746*LOOKUP(J20,密度!$A$2:$A$50,密度!$L$2:$L$50)</f>
        <v>807.77551900000003</v>
      </c>
      <c r="K19" s="73" ph="1">
        <f>K18*9.0746*LOOKUP(K20,密度!$A$2:$A$50,密度!$C$2:$C$50)</f>
        <v>47929.278521599997</v>
      </c>
      <c r="L19" s="73" ph="1">
        <f>L18*9.0746*LOOKUP(L20,密度!$A$2:$A$50,密度!$E$2:$E$50)</f>
        <v>25660.8090452</v>
      </c>
      <c r="M19" s="73" ph="1">
        <f>M18*9.0746*LOOKUP(M20,密度!$A$2:$A$50,密度!$M$2:$M$50)</f>
        <v>38749.567429800001</v>
      </c>
      <c r="N19" s="73" ph="1">
        <f>N18*9.0746*LOOKUP(N20,密度!$A$2:$A$50,密度!$M$2:$M$50)</f>
        <v>24966.056761740001</v>
      </c>
      <c r="O19" s="73" ph="1">
        <f>O18*9.0746*LOOKUP(O20,密度!$A$2:$A$50,密度!$G$2:$G$50)</f>
        <v>55670.110147880005</v>
      </c>
      <c r="P19" s="73" ph="1">
        <f ca="1">P18*9.0746*LOOKUP(P20,密度!$A$2:$A$51,密度!$Q$2:$Q$50)</f>
        <v>44495.245612354003</v>
      </c>
      <c r="Q19" s="73" ph="1">
        <f>Q18*9.0746*LOOKUP(Q20,密度!$A$2:$A$50,密度!$Q$2:$Q$50)</f>
        <v>13831.971754440001</v>
      </c>
      <c r="R19" s="73" ph="1">
        <f>MAX(R18*9.0746*LOOKUP(R20,密度!$A$2:$A$50,密度!$B$2:$B$50),0)</f>
        <v>52941.401521839995</v>
      </c>
      <c r="S19" s="73" ph="1">
        <f>S18*9.0746*LOOKUP(S20,密度!$A$2:$A$50,密度!$Q$2:$Q$50)</f>
        <v>53160.885332946003</v>
      </c>
      <c r="T19" s="73" ph="1">
        <f>T18*9.0746*LOOKUP(T20,密度!$A$2:$A$50,密度!$O$2:$O$50)</f>
        <v>12167.659260800001</v>
      </c>
      <c r="U19" s="73" ph="1">
        <f>U18*9.0746*LOOKUP(U20,密度!$A$2:$A$50,密度!$H$2:$H$50)</f>
        <v>59306.362260239999</v>
      </c>
      <c r="V19" s="73" ph="1">
        <f>MAX(5600*LOOKUP(V20,密度!$A$2:$A$50,密度!$Q$2:$Q$50)+V18*9.0476*LOOKUP(V20,密度!$A$2:$A$50,密度!$Q$2:$Q$50),0)</f>
        <v>47460.884863928004</v>
      </c>
      <c r="W19" s="73" ph="1">
        <f>MAX(5600*LOOKUP(W20,密度!$A$2:$A$50,密度!$Q$2:$Q$50)+W18*9.0476*LOOKUP(W20,密度!$A$2:$A$50,密度!$Q$2:$Q$50),0)</f>
        <v>50739.097157651995</v>
      </c>
      <c r="X19" s="73" ph="1">
        <f>MAX(5600*LOOKUP(X20,密度!$A$2:$A$50,密度!$I$2:$I$50)+X18*9.0476*LOOKUP(X20,密度!$A$2:$A$50,密度!$I$2:$I$50),0)</f>
        <v>13796.06457712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9263.9143051999999</v>
      </c>
      <c r="AC19" s="73" ph="1">
        <f>AC18*9.0746*LOOKUP(AC20,密度!$A$2:$A$50,密度!$L$2:$L$50)</f>
        <v>18262.995483999999</v>
      </c>
      <c r="AD19" s="73" ph="1">
        <f>AD18*268.68*LOOKUP(AD20,密度!$A$2:$A$50,密度!B5:B53)+IF(AD18&lt;=0,0,1566*LOOKUP(AD20,密度!$A$2:$A$50,密度!B5:B53))</f>
        <v>2323.2331079999999</v>
      </c>
      <c r="AE19" s="73" ph="1">
        <f>AE18*268.68*LOOKUP(AE20,密度!$A$2:$A$50,密度!B5:B53)+IF(AE18&lt;=0,0,1566*LOOKUP(AE20,密度!$A$2:$A$50,密度!B5:B53))</f>
        <v>15262.448140800001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7" ph="1"/>
      <c r="C20" s="80" t="s" ph="1">
        <v>179</v>
      </c>
      <c r="D20" s="81">
        <v>25</v>
      </c>
      <c r="E20" s="81">
        <v>25</v>
      </c>
      <c r="F20" s="81">
        <v>27</v>
      </c>
      <c r="G20" s="81">
        <v>23</v>
      </c>
      <c r="H20" s="81">
        <v>20</v>
      </c>
      <c r="I20" s="81">
        <v>21</v>
      </c>
      <c r="J20" s="81">
        <v>25</v>
      </c>
      <c r="K20" s="81">
        <v>24</v>
      </c>
      <c r="L20" s="81">
        <v>24</v>
      </c>
      <c r="M20" s="81">
        <v>23</v>
      </c>
      <c r="N20" s="81">
        <v>24</v>
      </c>
      <c r="O20" s="81">
        <v>25</v>
      </c>
      <c r="P20" s="81">
        <v>26</v>
      </c>
      <c r="Q20" s="81">
        <v>25</v>
      </c>
      <c r="R20" s="81">
        <v>26</v>
      </c>
      <c r="S20" s="81">
        <v>24</v>
      </c>
      <c r="T20" s="81">
        <v>29</v>
      </c>
      <c r="U20" s="81">
        <v>21</v>
      </c>
      <c r="V20" s="81">
        <v>26</v>
      </c>
      <c r="W20" s="81">
        <v>26</v>
      </c>
      <c r="X20" s="81">
        <v>25</v>
      </c>
      <c r="Y20" s="110">
        <v>25</v>
      </c>
      <c r="Z20" s="81">
        <v>29</v>
      </c>
      <c r="AA20" s="81">
        <v>24</v>
      </c>
      <c r="AB20" s="81">
        <v>28</v>
      </c>
      <c r="AC20" s="81">
        <v>22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28" t="s" ph="1">
        <v>640</v>
      </c>
      <c r="AA23" s="229"/>
      <c r="AB23" s="229"/>
      <c r="AC23" s="229"/>
      <c r="AD23" s="229"/>
      <c r="AE23" s="23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7" ph="1">
        <v>0.33333333333333331</v>
      </c>
      <c r="C24" s="155" t="s" ph="1">
        <v>177</v>
      </c>
      <c r="D24" s="71">
        <v>53.78</v>
      </c>
      <c r="E24" s="71">
        <v>2.99</v>
      </c>
      <c r="F24" s="71">
        <v>3313</v>
      </c>
      <c r="G24" s="71">
        <v>3527</v>
      </c>
      <c r="H24" s="71">
        <v>1877</v>
      </c>
      <c r="I24" s="71">
        <v>281</v>
      </c>
      <c r="J24" s="71">
        <v>407</v>
      </c>
      <c r="K24" s="71">
        <v>444</v>
      </c>
      <c r="L24" s="71">
        <v>5571</v>
      </c>
      <c r="M24" s="71">
        <v>2103</v>
      </c>
      <c r="N24" s="71">
        <v>5495</v>
      </c>
      <c r="O24" s="71">
        <v>3768</v>
      </c>
      <c r="P24" s="71">
        <v>360</v>
      </c>
      <c r="Q24" s="90">
        <v>1736</v>
      </c>
      <c r="R24" s="71">
        <v>204</v>
      </c>
      <c r="S24" s="71">
        <v>4486</v>
      </c>
      <c r="T24" s="71">
        <v>280</v>
      </c>
      <c r="U24" s="71">
        <v>5240</v>
      </c>
      <c r="V24" s="71">
        <v>10235</v>
      </c>
      <c r="W24" s="71">
        <v>7998</v>
      </c>
      <c r="X24" s="71">
        <v>4042</v>
      </c>
      <c r="Y24" s="71">
        <v>5087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7" ph="1"/>
      <c r="C25" s="68" t="s" ph="1">
        <v>178</v>
      </c>
      <c r="D25" s="91" ph="1">
        <f>D24*268.68*LOOKUP(D26,密度!$A$2:$A$50,密度!$Q$2:$Q$50)+IF(D24&lt;=0,0,1566*LOOKUP(D26,密度!$A$2:$A$50,密度!$Q$2:$Q$50))</f>
        <v>15162.618990096002</v>
      </c>
      <c r="E25" s="91" ph="1">
        <f>E24*268.68*LOOKUP(E26,密度!$A$2:$A$50,密度!$C$2:$C$50)+IF(E24&lt;=0,0,1566*LOOKUP(E26,密度!$A$2:$A$50,密度!$C$2:$C$50))</f>
        <v>2627.3757634799999</v>
      </c>
      <c r="F25" s="91" ph="1">
        <f>F24*11.702*LOOKUP(F26,密度!$A$2:$A$50,密度!$Q$2:$Q$50)</f>
        <v>36795.010159340003</v>
      </c>
      <c r="G25" s="91" ph="1">
        <f>G24*18.322*LOOKUP(G26,密度!$A$2:$A$50,密度!$B$2:$B$50)</f>
        <v>50611.710740799994</v>
      </c>
      <c r="H25" s="91" ph="1">
        <f>H24*18.322*LOOKUP(H26,密度!$A$2:$A$50,密度!$B$2:$B$50)</f>
        <v>26903.605226200001</v>
      </c>
      <c r="I25" s="91" ph="1">
        <f>I24*18.322*LOOKUP(I26,密度!$A$2:$A$50,密度!$Q$2:$Q$50)</f>
        <v>4886.3727813799997</v>
      </c>
      <c r="J25" s="91" ph="1">
        <f>J24*18.322*LOOKUP(J26,密度!$A$2:$A$50,密度!$Q$2:$Q$50)</f>
        <v>7077.4153808600004</v>
      </c>
      <c r="K25" s="91" ph="1">
        <f>K24*18.322*LOOKUP(K26,密度!$A$2:$A$50,密度!$Q$2:$Q$50)</f>
        <v>7713.5766576000005</v>
      </c>
      <c r="L25" s="91" ph="1">
        <f>L24*18.322*LOOKUP(L26,密度!$A$2:$A$50,密度!$Q$2:$Q$50)</f>
        <v>96784.539548400004</v>
      </c>
      <c r="M25" s="91" ph="1">
        <f>M24*18.322*LOOKUP(M26,密度!$A$2:$A$50,密度!$Q$2:$Q$50)</f>
        <v>36535.251601199998</v>
      </c>
      <c r="N25" s="91" ph="1">
        <f>N24*18.322*LOOKUP(N26,密度!$A$2:$A$50,密度!$Q$2:$Q$50)</f>
        <v>95553.802255100003</v>
      </c>
      <c r="O25" s="91" ph="1">
        <f>O24*18.322*LOOKUP(O26,密度!$A$2:$A$50,密度!$C$2:$C$50)</f>
        <v>76762.569422400004</v>
      </c>
      <c r="P25" s="91" ph="1">
        <f>P24*11.702*LOOKUP(P26,密度!$A$2:$A$50,密度!$B$2:$B$50)</f>
        <v>3299.4023040000002</v>
      </c>
      <c r="Q25" s="92" ph="1">
        <f>Q24*18.322*LOOKUP(Q26,密度!$A$2:$A$50,密度!$B$2:$B$50)</f>
        <v>24939.862427199998</v>
      </c>
      <c r="R25" s="91" ph="1">
        <f>R24*35.891*LOOKUP(R26,密度!$A$2:$A$50,密度!$C$2:$C$50)</f>
        <v>8135.2119803999985</v>
      </c>
      <c r="S25" s="91" ph="1">
        <f>S24*35.891*LOOKUP(S26,密度!$A$2:$A$50,密度!$B$2:$B$50)</f>
        <v>125810.89011639998</v>
      </c>
      <c r="T25" s="91" ph="1">
        <f>T24*35.891*LOOKUP(T26,密度!$A$2:$A$50,密度!$Q$2:$Q$50)</f>
        <v>9537.8609731999986</v>
      </c>
      <c r="U25" s="91" ph="1">
        <f>U24*35.891</f>
        <v>188068.84</v>
      </c>
      <c r="V25" s="91" ph="1">
        <f>V24*47.051*LOOKUP(V26,密度!$A$2:$A$50,密度!$B$2:$B$50)</f>
        <v>376296.442079</v>
      </c>
      <c r="W25" s="91" ph="1">
        <f>W24*47.051*LOOKUP(W26,密度!$A$2:$A$50,密度!$B$2:$B$50)</f>
        <v>293374.31488079997</v>
      </c>
      <c r="X25" s="91" ph="1">
        <f>X24*47.051*LOOKUP(X26,密度!$A$2:$A$50,密度!$I$2:$I$50)</f>
        <v>198015.56385040001</v>
      </c>
      <c r="Y25" s="91" ph="1">
        <f>Y24*47.051*LOOKUP(Y26,密度!$A$2:$A$50,密度!$L$2:$L$50)</f>
        <v>224269.48546900001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7" ph="1"/>
      <c r="C26" s="68" t="s" ph="1">
        <v>179</v>
      </c>
      <c r="D26" s="74">
        <v>25</v>
      </c>
      <c r="E26" s="74">
        <v>25</v>
      </c>
      <c r="F26" s="74">
        <v>22</v>
      </c>
      <c r="G26" s="74">
        <v>21</v>
      </c>
      <c r="H26" s="74">
        <v>22</v>
      </c>
      <c r="I26" s="74">
        <v>22</v>
      </c>
      <c r="J26" s="74">
        <v>22</v>
      </c>
      <c r="K26" s="74">
        <v>23</v>
      </c>
      <c r="L26" s="74">
        <v>23</v>
      </c>
      <c r="M26" s="74">
        <v>23</v>
      </c>
      <c r="N26" s="74">
        <v>22</v>
      </c>
      <c r="O26" s="74">
        <v>21</v>
      </c>
      <c r="P26" s="74">
        <v>21</v>
      </c>
      <c r="Q26" s="93">
        <v>20</v>
      </c>
      <c r="R26" s="74">
        <v>22</v>
      </c>
      <c r="S26" s="74">
        <v>23</v>
      </c>
      <c r="T26" s="74">
        <v>22</v>
      </c>
      <c r="U26" s="74">
        <v>21</v>
      </c>
      <c r="V26" s="74">
        <v>23</v>
      </c>
      <c r="W26" s="74">
        <v>25</v>
      </c>
      <c r="X26" s="74">
        <v>26</v>
      </c>
      <c r="Y26" s="74">
        <v>25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7" ph="1">
        <v>0.66666666666666663</v>
      </c>
      <c r="C27" s="155" t="s" ph="1">
        <v>180</v>
      </c>
      <c r="D27" s="71">
        <v>24.18</v>
      </c>
      <c r="E27" s="71">
        <v>2.99</v>
      </c>
      <c r="F27" s="71">
        <v>2192</v>
      </c>
      <c r="G27" s="71">
        <v>3013</v>
      </c>
      <c r="H27" s="71">
        <v>3015</v>
      </c>
      <c r="I27" s="71">
        <v>278</v>
      </c>
      <c r="J27" s="71">
        <v>3835</v>
      </c>
      <c r="K27" s="71">
        <v>442</v>
      </c>
      <c r="L27" s="71">
        <v>5571</v>
      </c>
      <c r="M27" s="71">
        <v>1503</v>
      </c>
      <c r="N27" s="71">
        <v>5495</v>
      </c>
      <c r="O27" s="71">
        <v>3766</v>
      </c>
      <c r="P27" s="71">
        <v>357</v>
      </c>
      <c r="Q27" s="90">
        <v>1934</v>
      </c>
      <c r="R27" s="71">
        <v>204</v>
      </c>
      <c r="S27" s="71">
        <v>4484</v>
      </c>
      <c r="T27" s="71">
        <v>279</v>
      </c>
      <c r="U27" s="71">
        <v>5238</v>
      </c>
      <c r="V27" s="71">
        <v>9860</v>
      </c>
      <c r="W27" s="71">
        <v>7988</v>
      </c>
      <c r="X27" s="71">
        <v>3820</v>
      </c>
      <c r="Y27" s="71">
        <v>4033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7" ph="1"/>
      <c r="C28" s="155" t="s" ph="1">
        <v>178</v>
      </c>
      <c r="D28" s="91" ph="1">
        <f>D27*268.68*LOOKUP(D29,密度!$A$2:$A$50,密度!$Q$2:$Q$50)+IF(D27&lt;=0,0,1566*LOOKUP(D29,密度!$A$2:$A$50,密度!$Q$2:$Q$50))</f>
        <v>7633.2639353759996</v>
      </c>
      <c r="E28" s="91" ph="1">
        <f>E27*268.68*LOOKUP(E29,密度!$A$2:$A$50,密度!$C$2:$C$50)+IF(E27&lt;=0,0,1566*LOOKUP(E29,密度!$A$2:$A$50,密度!$C$2:$C$50))</f>
        <v>2627.3757634799999</v>
      </c>
      <c r="F28" s="91" ph="1">
        <f>F27*11.702*LOOKUP(F29,密度!$A$2:$A$50,密度!$Q$2:$Q$50)</f>
        <v>24303.348316480002</v>
      </c>
      <c r="G28" s="91" ph="1">
        <f>G27*18.322*LOOKUP(G29,密度!$A$2:$A$50,密度!$B$2:$B$50)</f>
        <v>43086.867172999991</v>
      </c>
      <c r="H28" s="91" ph="1">
        <f>H27*18.322*LOOKUP(H29,密度!$A$2:$A$50,密度!$B$2:$B$50)</f>
        <v>43115.467814999996</v>
      </c>
      <c r="I28" s="91" ph="1">
        <f>I27*18.322*LOOKUP(I29,密度!$A$2:$A$50,密度!$Q$2:$Q$50)</f>
        <v>4825.9536045200002</v>
      </c>
      <c r="J28" s="91" ph="1">
        <f>J27*18.322*LOOKUP(J29,密度!$A$2:$A$50,密度!$Q$2:$Q$50)</f>
        <v>66522.563023800001</v>
      </c>
      <c r="K28" s="91" ph="1">
        <f>K27*18.322*LOOKUP(K29,密度!$A$2:$A$50,密度!$Q$2:$Q$50)</f>
        <v>7667.0072637599997</v>
      </c>
      <c r="L28" s="91" ph="1">
        <f>L27*18.322*LOOKUP(L29,密度!$A$2:$A$50,密度!$Q$2:$Q$50)</f>
        <v>96710.02708914</v>
      </c>
      <c r="M28" s="91" ph="1">
        <f>M27*18.322*LOOKUP(M29,密度!$A$2:$A$50,密度!$Q$2:$Q$50)</f>
        <v>26091.396646020003</v>
      </c>
      <c r="N28" s="91" ph="1">
        <f>N27*18.322*LOOKUP(N29,密度!$A$2:$A$50,密度!$Q$2:$Q$50)</f>
        <v>95317.205688600006</v>
      </c>
      <c r="O28" s="91" ph="1">
        <f>O27*18.322*LOOKUP(O29,密度!$A$2:$A$50,密度!$C$2:$C$50)</f>
        <v>76514.823002799996</v>
      </c>
      <c r="P28" s="91" ph="1">
        <f>P27*11.702*LOOKUP(P29,密度!$A$2:$A$50,密度!$B$2:$B$50)</f>
        <v>3246.0060779999999</v>
      </c>
      <c r="Q28" s="92" ph="1">
        <f>Q27*18.322*LOOKUP(Q29,密度!$A$2:$A$50,密度!$B$2:$B$50)</f>
        <v>27656.820813999999</v>
      </c>
      <c r="R28" s="91" ph="1">
        <f>R27*35.891*LOOKUP(R29,密度!$A$2:$A$50,密度!$C$2:$C$50)</f>
        <v>8124.2293343999982</v>
      </c>
      <c r="S28" s="91" ph="1">
        <f>S27*35.891*LOOKUP(S29,密度!$A$2:$A$50,密度!$B$2:$B$50)</f>
        <v>125754.7996616</v>
      </c>
      <c r="T28" s="91" ph="1">
        <f>T27*35.891*LOOKUP(T29,密度!$A$2:$A$50,密度!$Q$2:$Q$50)</f>
        <v>9487.575169830001</v>
      </c>
      <c r="U28" s="91" ph="1">
        <f>U27*35.891</f>
        <v>187997.05799999999</v>
      </c>
      <c r="V28" s="91" ph="1">
        <f>V27*47.051*LOOKUP(V29,密度!$A$2:$A$50,密度!$B$2:$B$50)</f>
        <v>362091.79223000002</v>
      </c>
      <c r="W28" s="91" ph="1">
        <f>W27*47.051*LOOKUP(W29,密度!$A$2:$A$50,密度!$B$2:$B$50)</f>
        <v>293345.76433400001</v>
      </c>
      <c r="X28" s="91" ph="1">
        <f>X27*47.051*LOOKUP(X29,密度!$A$2:$A$50,密度!$I$2:$I$50)</f>
        <v>186528.79619600001</v>
      </c>
      <c r="Y28" s="91" ph="1">
        <f>Y27*47.051*LOOKUP(Y29,密度!$A$2:$A$50,密度!$L$2:$L$50)</f>
        <v>177802.01197100003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7" ph="1"/>
      <c r="C29" s="155" t="s" ph="1">
        <v>179</v>
      </c>
      <c r="D29" s="74">
        <v>25</v>
      </c>
      <c r="E29" s="74">
        <v>25</v>
      </c>
      <c r="F29" s="74">
        <v>24</v>
      </c>
      <c r="G29" s="74">
        <v>24</v>
      </c>
      <c r="H29" s="74">
        <v>24</v>
      </c>
      <c r="I29" s="74">
        <v>24</v>
      </c>
      <c r="J29" s="74">
        <v>25</v>
      </c>
      <c r="K29" s="74">
        <v>25</v>
      </c>
      <c r="L29" s="74">
        <v>24</v>
      </c>
      <c r="M29" s="74">
        <v>24</v>
      </c>
      <c r="N29" s="74">
        <v>25</v>
      </c>
      <c r="O29" s="74">
        <v>25</v>
      </c>
      <c r="P29" s="74">
        <v>28</v>
      </c>
      <c r="Q29" s="93">
        <v>24</v>
      </c>
      <c r="R29" s="74">
        <v>24</v>
      </c>
      <c r="S29" s="74">
        <v>23</v>
      </c>
      <c r="T29" s="74">
        <v>24</v>
      </c>
      <c r="U29" s="74">
        <v>23</v>
      </c>
      <c r="V29" s="74">
        <v>24</v>
      </c>
      <c r="W29" s="74">
        <v>24</v>
      </c>
      <c r="X29" s="74">
        <v>29</v>
      </c>
      <c r="Y29" s="74">
        <v>25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55" t="s" ph="1">
        <v>5</v>
      </c>
      <c r="F32" s="154" t="s" ph="1">
        <v>43</v>
      </c>
      <c r="G32" s="97" t="s" ph="1">
        <v>4</v>
      </c>
      <c r="H32" s="155" t="s" ph="1">
        <v>5</v>
      </c>
      <c r="I32" s="154" t="s" ph="1">
        <v>43</v>
      </c>
      <c r="J32" s="97" t="s" ph="1">
        <v>4</v>
      </c>
      <c r="K32" s="155" t="s" ph="1">
        <v>5</v>
      </c>
      <c r="L32" s="154" t="s" ph="1">
        <v>43</v>
      </c>
      <c r="M32" s="97" t="s" ph="1">
        <v>4</v>
      </c>
      <c r="N32" s="155" t="s" ph="1">
        <v>5</v>
      </c>
      <c r="O32" s="15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5" t="s" ph="1">
        <v>5</v>
      </c>
      <c r="U32" s="99" t="s" ph="1">
        <v>43</v>
      </c>
      <c r="V32" s="97" t="s" ph="1">
        <v>4</v>
      </c>
      <c r="W32" s="155" t="s" ph="1">
        <v>5</v>
      </c>
      <c r="X32" s="99" t="s" ph="1">
        <v>43</v>
      </c>
      <c r="Y32" s="100" t="s" ph="1">
        <v>4</v>
      </c>
      <c r="Z32" s="155" t="s" ph="1">
        <v>5</v>
      </c>
      <c r="AA32" s="154" t="s" ph="1">
        <v>43</v>
      </c>
      <c r="AB32" s="97" t="s" ph="1">
        <v>85</v>
      </c>
      <c r="AC32" s="155" t="s" ph="1">
        <v>84</v>
      </c>
      <c r="AD32" s="204" t="s" ph="1">
        <v>83</v>
      </c>
      <c r="AE32" s="20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6" t="s" ph="1">
        <v>181</v>
      </c>
      <c r="C33" s="207" ph="1"/>
      <c r="D33" s="186" ph="1">
        <f>AA10+AB10+Z19</f>
        <v>135266.39320319999</v>
      </c>
      <c r="E33" s="186" ph="1">
        <f>M10+I10</f>
        <v>154376.61936759998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[[#This Row],[F25]]</f>
        <v>3880</v>
      </c>
      <c r="G33" s="212" ph="1">
        <v>0</v>
      </c>
      <c r="H33" s="186" ph="1">
        <f>N19</f>
        <v>24966.056761740001</v>
      </c>
      <c r="I33" s="190" ph="1">
        <v>0</v>
      </c>
      <c r="J33" s="194" ph="1">
        <f>F10+O28</f>
        <v>301130.49690999999</v>
      </c>
      <c r="K33" s="186" ph="1">
        <f>O10+K10+E28+R28</f>
        <v>15838.237162679998</v>
      </c>
      <c r="L33" s="196" ph="1">
        <f>BE27</f>
        <v>7100</v>
      </c>
      <c r="M33" s="194" ph="1">
        <f>G10+H10+W28+S28+V28+E10</f>
        <v>1065824.6906396002</v>
      </c>
      <c r="N33" s="186" ph="1">
        <f>L10+P10++G28+H28</f>
        <v>202794.54809200001</v>
      </c>
      <c r="O33" s="190" ph="1">
        <f>BE17</f>
        <v>2270</v>
      </c>
      <c r="P33" s="194" ph="1">
        <f>L19</f>
        <v>25660.8090452</v>
      </c>
      <c r="Q33" s="186" ph="1">
        <f>J10+N10</f>
        <v>42711.985355999997</v>
      </c>
      <c r="R33" s="190" ph="1">
        <f>BE23</f>
        <v>890</v>
      </c>
      <c r="S33" s="194" ph="1">
        <f>E10+X28</f>
        <v>203601.386004</v>
      </c>
      <c r="T33" s="186" ph="1">
        <f>X19</f>
        <v>13796.06457712</v>
      </c>
      <c r="U33" s="175" ph="1">
        <f>BE21</f>
        <v>730</v>
      </c>
      <c r="V33" s="188" ph="1">
        <f ca="1">P19+Q19+S19+M28+N28+J28</f>
        <v>299419.26805815997</v>
      </c>
      <c r="W33" s="188" ph="1">
        <f>D28+F28+V19+T28</f>
        <v>88885.072285614006</v>
      </c>
      <c r="X33" s="190" ph="1">
        <f>BE29+BE31</f>
        <v>10200</v>
      </c>
      <c r="Y33" s="192" ph="1">
        <f>+Q10+R10+S10+T10+U10+V10+W10+X10+Y10</f>
        <v>182750.53824719999</v>
      </c>
      <c r="Z33" s="173" ph="1">
        <f>D10+T19+U19+Y28+Z10</f>
        <v>536833.83900303999</v>
      </c>
      <c r="AA33" s="175" ph="1">
        <f>BE19</f>
        <v>1440</v>
      </c>
      <c r="AB33" s="177" ph="1">
        <f>I19</f>
        <v>15056.503723200001</v>
      </c>
      <c r="AC33" s="179" ph="1">
        <f>AD10</f>
        <v>93818.123072000002</v>
      </c>
      <c r="AD33" s="181" ph="1">
        <v>0</v>
      </c>
      <c r="AE33" s="18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5" t="s" ph="1">
        <v>633</v>
      </c>
      <c r="AD35" s="185"/>
      <c r="AE35" s="18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1" t="s" ph="1">
        <v>183</v>
      </c>
      <c r="J36" s="171" ph="1"/>
      <c r="K36" s="101" ph="1"/>
      <c r="P36" s="101" ph="1"/>
      <c r="R36" s="171" t="s" ph="1">
        <v>184</v>
      </c>
      <c r="S36" s="171" ph="1"/>
      <c r="Y36" s="102" ph="1"/>
      <c r="Z36" s="153" t="s" ph="1">
        <v>185</v>
      </c>
      <c r="AA36" s="153" ph="1"/>
      <c r="AB36" s="172" t="s" ph="1">
        <v>642</v>
      </c>
      <c r="AC36" s="172" ph="1"/>
      <c r="AD36" s="172" ph="1"/>
      <c r="AE36" s="172" ph="1"/>
      <c r="BA36" s="64" ph="1">
        <v>2270</v>
      </c>
    </row>
    <row r="37" spans="1:57" s="15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3" t="s" ph="1">
        <v>342</v>
      </c>
      <c r="AI37" s="153" t="s" ph="1">
        <v>209</v>
      </c>
      <c r="AJ37" s="153" t="s" ph="1">
        <v>210</v>
      </c>
      <c r="AK37" s="153" t="s" ph="1">
        <v>211</v>
      </c>
      <c r="AM37" s="153" t="s" ph="1">
        <v>210</v>
      </c>
      <c r="AN37" s="153" t="s" ph="1">
        <v>211</v>
      </c>
      <c r="AO37" s="153" t="s" ph="1">
        <v>212</v>
      </c>
      <c r="AP37" s="153" t="s" ph="1">
        <v>210</v>
      </c>
      <c r="AQ37" s="153" t="s" ph="1">
        <v>211</v>
      </c>
      <c r="AR37" s="153" t="s" ph="1">
        <v>212</v>
      </c>
      <c r="AS37" s="153" t="s" ph="1">
        <v>210</v>
      </c>
      <c r="AT37" s="153" t="s" ph="1">
        <v>211</v>
      </c>
      <c r="AU37" s="153" t="s" ph="1">
        <v>212</v>
      </c>
      <c r="AV37" s="153" t="s" ph="1">
        <v>210</v>
      </c>
      <c r="AW37" s="153" t="s" ph="1">
        <v>211</v>
      </c>
      <c r="AX37" s="153" t="s" ph="1">
        <v>212</v>
      </c>
      <c r="AY37" s="153" t="s" ph="1">
        <v>211</v>
      </c>
      <c r="AZ37" s="153" t="s" ph="1">
        <v>213</v>
      </c>
      <c r="BD37" s="153" t="s" ph="1">
        <v>305</v>
      </c>
      <c r="BE37" s="153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407" priority="98">
      <formula>ABS(D$7-D$10)&gt;=1000</formula>
    </cfRule>
  </conditionalFormatting>
  <conditionalFormatting sqref="E4 E6:E11">
    <cfRule type="expression" dxfId="1406" priority="97">
      <formula>ABS(E$7-E$10)&gt;=1000</formula>
    </cfRule>
  </conditionalFormatting>
  <conditionalFormatting sqref="F4:F11">
    <cfRule type="expression" dxfId="1405" priority="96">
      <formula>ABS(F$7-F$10)&gt;=1000</formula>
    </cfRule>
  </conditionalFormatting>
  <conditionalFormatting sqref="G4:G11">
    <cfRule type="expression" dxfId="1404" priority="95">
      <formula>ABS(G$7-G$10)&gt;=1000</formula>
    </cfRule>
  </conditionalFormatting>
  <conditionalFormatting sqref="H4:H11">
    <cfRule type="expression" dxfId="1403" priority="94">
      <formula>ABS(H$7-H$10)&gt;=1000</formula>
    </cfRule>
  </conditionalFormatting>
  <conditionalFormatting sqref="I4:I11">
    <cfRule type="expression" dxfId="1402" priority="93">
      <formula>ABS(I$7-I$10)&gt;=1000</formula>
    </cfRule>
  </conditionalFormatting>
  <conditionalFormatting sqref="J4:J11">
    <cfRule type="expression" dxfId="1401" priority="92">
      <formula>ABS(J$7-J$10)&gt;=1000</formula>
    </cfRule>
  </conditionalFormatting>
  <conditionalFormatting sqref="K4:K11">
    <cfRule type="expression" dxfId="1400" priority="91">
      <formula>ABS(K$7-K$10)&gt;=1000</formula>
    </cfRule>
  </conditionalFormatting>
  <conditionalFormatting sqref="L4:L11">
    <cfRule type="expression" dxfId="1399" priority="90">
      <formula>ABS(L$7-L$10)&gt;=1000</formula>
    </cfRule>
  </conditionalFormatting>
  <conditionalFormatting sqref="M4 M6:M11">
    <cfRule type="expression" dxfId="1398" priority="89">
      <formula>ABS(M$7-M$10)&gt;=1000</formula>
    </cfRule>
  </conditionalFormatting>
  <conditionalFormatting sqref="N4 N6:N11">
    <cfRule type="expression" dxfId="1397" priority="88">
      <formula>ABS(N$7-N$10)&gt;=1000</formula>
    </cfRule>
  </conditionalFormatting>
  <conditionalFormatting sqref="O4 O6:O11">
    <cfRule type="expression" dxfId="1396" priority="87">
      <formula>ABS(O$7-O$10)&gt;=1000</formula>
    </cfRule>
  </conditionalFormatting>
  <conditionalFormatting sqref="P4 P6:P11">
    <cfRule type="expression" dxfId="1395" priority="86">
      <formula>ABS(P$7-P$10)&gt;=1000</formula>
    </cfRule>
  </conditionalFormatting>
  <conditionalFormatting sqref="Q4:Q11">
    <cfRule type="expression" dxfId="1394" priority="85">
      <formula>ABS(Q$7-Q$10)&gt;=1000</formula>
    </cfRule>
  </conditionalFormatting>
  <conditionalFormatting sqref="R4:R11">
    <cfRule type="expression" dxfId="1393" priority="84">
      <formula>ABS(R$7-R$10)&gt;=1000</formula>
    </cfRule>
  </conditionalFormatting>
  <conditionalFormatting sqref="S4:S11">
    <cfRule type="expression" dxfId="1392" priority="83">
      <formula>ABS(S$7-S$10)&gt;=1000</formula>
    </cfRule>
  </conditionalFormatting>
  <conditionalFormatting sqref="T4:T9 T11">
    <cfRule type="expression" dxfId="1391" priority="82">
      <formula>ABS(T$7-T$10)&gt;=1000</formula>
    </cfRule>
  </conditionalFormatting>
  <conditionalFormatting sqref="U4:U9 U11">
    <cfRule type="expression" dxfId="1390" priority="81">
      <formula>ABS(U$7-U$10)&gt;=1000</formula>
    </cfRule>
  </conditionalFormatting>
  <conditionalFormatting sqref="V4:V9 V11">
    <cfRule type="expression" dxfId="1389" priority="80">
      <formula>ABS(V$7-V$10)&gt;=1000</formula>
    </cfRule>
  </conditionalFormatting>
  <conditionalFormatting sqref="W4:W9 W11">
    <cfRule type="expression" dxfId="1388" priority="79">
      <formula>ABS(W$7-W$10)&gt;=1000</formula>
    </cfRule>
  </conditionalFormatting>
  <conditionalFormatting sqref="X4:X9 X11">
    <cfRule type="expression" dxfId="1387" priority="78">
      <formula>ABS(X$7-X$10)&gt;=1000</formula>
    </cfRule>
  </conditionalFormatting>
  <conditionalFormatting sqref="Y4:Y9 Y11">
    <cfRule type="expression" dxfId="1386" priority="77">
      <formula>ABS(Y$7-Y$10)&gt;=1000</formula>
    </cfRule>
  </conditionalFormatting>
  <conditionalFormatting sqref="Z4:Z11">
    <cfRule type="expression" dxfId="1385" priority="76">
      <formula>ABS(Z$7-Z$10)&gt;=1000</formula>
    </cfRule>
  </conditionalFormatting>
  <conditionalFormatting sqref="AA4:AA11">
    <cfRule type="expression" dxfId="1384" priority="75">
      <formula>ABS(AA$7-AA$10)&gt;=1000</formula>
    </cfRule>
  </conditionalFormatting>
  <conditionalFormatting sqref="AB4:AB11">
    <cfRule type="expression" dxfId="1383" priority="74">
      <formula>ABS(AB$7-AB$10)&gt;=1000</formula>
    </cfRule>
  </conditionalFormatting>
  <conditionalFormatting sqref="AC4 AC6:AC11">
    <cfRule type="expression" dxfId="1382" priority="73">
      <formula>ABS(AC$7-AC$10)&gt;=1000</formula>
    </cfRule>
  </conditionalFormatting>
  <conditionalFormatting sqref="AD4:AD11">
    <cfRule type="expression" dxfId="1381" priority="72">
      <formula>ABS(AD$7-AD$10)&gt;=1000</formula>
    </cfRule>
  </conditionalFormatting>
  <conditionalFormatting sqref="AE4 AE6:AE11">
    <cfRule type="expression" dxfId="1380" priority="71">
      <formula>ABS(AE$7-AE$10)&gt;=1000</formula>
    </cfRule>
  </conditionalFormatting>
  <conditionalFormatting sqref="D13:D20">
    <cfRule type="expression" dxfId="1379" priority="70">
      <formula>ABS(D$16-D$19)&gt;=1000</formula>
    </cfRule>
  </conditionalFormatting>
  <conditionalFormatting sqref="E13:E20">
    <cfRule type="expression" dxfId="1378" priority="69">
      <formula>ABS(E$16-E$19)&gt;=1000</formula>
    </cfRule>
  </conditionalFormatting>
  <conditionalFormatting sqref="F13 F15:F20">
    <cfRule type="expression" dxfId="1377" priority="68">
      <formula>ABS(F$16-F$19)&gt;=1000</formula>
    </cfRule>
  </conditionalFormatting>
  <conditionalFormatting sqref="G13:G20">
    <cfRule type="expression" dxfId="1376" priority="67">
      <formula>ABS(G$16-G$19)&gt;=1000</formula>
    </cfRule>
  </conditionalFormatting>
  <conditionalFormatting sqref="H13:H20">
    <cfRule type="expression" dxfId="1375" priority="66">
      <formula>ABS(H$16-H$19)&gt;=1000</formula>
    </cfRule>
  </conditionalFormatting>
  <conditionalFormatting sqref="I13:I20">
    <cfRule type="expression" dxfId="1374" priority="65">
      <formula>ABS(I$16-I$19)&gt;=1000</formula>
    </cfRule>
  </conditionalFormatting>
  <conditionalFormatting sqref="J13:J20">
    <cfRule type="expression" dxfId="1373" priority="64">
      <formula>ABS(J$16-J$19)&gt;=1000</formula>
    </cfRule>
  </conditionalFormatting>
  <conditionalFormatting sqref="L13:L20">
    <cfRule type="expression" dxfId="1372" priority="63">
      <formula>ABS(L$16-L$19)&gt;=1000</formula>
    </cfRule>
  </conditionalFormatting>
  <conditionalFormatting sqref="M13 M15 M17:M18 M20">
    <cfRule type="expression" dxfId="1371" priority="62">
      <formula>ABS(M$16-M$19)&gt;=1000</formula>
    </cfRule>
  </conditionalFormatting>
  <conditionalFormatting sqref="N13:N20">
    <cfRule type="expression" dxfId="1370" priority="61">
      <formula>ABS(N$16-N$19)&gt;=1000</formula>
    </cfRule>
  </conditionalFormatting>
  <conditionalFormatting sqref="O13:O20">
    <cfRule type="expression" dxfId="1369" priority="60">
      <formula>ABS(O$16-O$19)&gt;=1000</formula>
    </cfRule>
  </conditionalFormatting>
  <conditionalFormatting sqref="P13:P20">
    <cfRule type="expression" dxfId="1368" priority="59">
      <formula>ABS(P$16-P$19)&gt;=1000</formula>
    </cfRule>
  </conditionalFormatting>
  <conditionalFormatting sqref="Q13 Q15:Q20">
    <cfRule type="expression" dxfId="1367" priority="58">
      <formula>ABS(Q$16-Q$19)&gt;=1000</formula>
    </cfRule>
  </conditionalFormatting>
  <conditionalFormatting sqref="R13:R20">
    <cfRule type="expression" dxfId="1366" priority="57">
      <formula>ABS(R$16-R$19)&gt;=1000</formula>
    </cfRule>
  </conditionalFormatting>
  <conditionalFormatting sqref="S13:S20">
    <cfRule type="expression" dxfId="1365" priority="56">
      <formula>ABS(S$16-S$19)&gt;=1000</formula>
    </cfRule>
  </conditionalFormatting>
  <conditionalFormatting sqref="T13:T20">
    <cfRule type="expression" dxfId="1364" priority="55">
      <formula>ABS(T$16-T$19)&gt;=1000</formula>
    </cfRule>
  </conditionalFormatting>
  <conditionalFormatting sqref="U13:U20">
    <cfRule type="expression" dxfId="1363" priority="54">
      <formula>ABS(U$16-U$19)&gt;=1000</formula>
    </cfRule>
  </conditionalFormatting>
  <conditionalFormatting sqref="V13:V20">
    <cfRule type="expression" dxfId="1362" priority="53">
      <formula>ABS(V$16-V$19)&gt;=1000</formula>
    </cfRule>
  </conditionalFormatting>
  <conditionalFormatting sqref="W13 W20 W15:W18">
    <cfRule type="expression" dxfId="1361" priority="52">
      <formula>ABS(W$16-W$19)&gt;=1000</formula>
    </cfRule>
  </conditionalFormatting>
  <conditionalFormatting sqref="X13 X15:X20 Y19">
    <cfRule type="expression" dxfId="1360" priority="51">
      <formula>ABS(X$16-X$19)&gt;=1000</formula>
    </cfRule>
  </conditionalFormatting>
  <conditionalFormatting sqref="Y13 Y15:Y18 Y20">
    <cfRule type="expression" dxfId="1359" priority="50">
      <formula>ABS(Y$16-Y$19)&gt;=1000</formula>
    </cfRule>
  </conditionalFormatting>
  <conditionalFormatting sqref="Z13:Z20">
    <cfRule type="expression" dxfId="1358" priority="49">
      <formula>ABS(Z$16-Z$19)&gt;=1000</formula>
    </cfRule>
  </conditionalFormatting>
  <conditionalFormatting sqref="AA13:AA20">
    <cfRule type="expression" dxfId="1357" priority="48">
      <formula>ABS(AA$16-AA$19)&gt;=1000</formula>
    </cfRule>
  </conditionalFormatting>
  <conditionalFormatting sqref="AB13 AB15:AB20">
    <cfRule type="expression" dxfId="1356" priority="47">
      <formula>ABS(AB$16-AB$19)&gt;=1000</formula>
    </cfRule>
  </conditionalFormatting>
  <conditionalFormatting sqref="AC13 AC15:AC20">
    <cfRule type="expression" dxfId="1355" priority="46">
      <formula>ABS(AC$16-AC$19)&gt;=1000</formula>
    </cfRule>
  </conditionalFormatting>
  <conditionalFormatting sqref="AD13:AD20">
    <cfRule type="expression" dxfId="1354" priority="45">
      <formula>ABS(AD$16-AD$19)&gt;=1000</formula>
    </cfRule>
  </conditionalFormatting>
  <conditionalFormatting sqref="AE13:AE20">
    <cfRule type="expression" dxfId="1353" priority="44">
      <formula>ABS(AE$16-AE$19)&gt;=1000</formula>
    </cfRule>
  </conditionalFormatting>
  <conditionalFormatting sqref="D22:D29">
    <cfRule type="expression" dxfId="1352" priority="43">
      <formula>ABS(D$25-D$28)&gt;=1000</formula>
    </cfRule>
  </conditionalFormatting>
  <conditionalFormatting sqref="E22:E29">
    <cfRule type="expression" dxfId="1351" priority="42">
      <formula>ABS(E$25-E$28)&gt;=1000</formula>
    </cfRule>
  </conditionalFormatting>
  <conditionalFormatting sqref="F22:F29">
    <cfRule type="expression" dxfId="1350" priority="41">
      <formula>ABS(F$25-F$28)&gt;=1000</formula>
    </cfRule>
  </conditionalFormatting>
  <conditionalFormatting sqref="G22:G29">
    <cfRule type="expression" dxfId="1349" priority="40">
      <formula>ABS(G$25-G$28)&gt;=1000</formula>
    </cfRule>
  </conditionalFormatting>
  <conditionalFormatting sqref="H22:H29">
    <cfRule type="expression" dxfId="1348" priority="39">
      <formula>ABS(H$25-H$28)&gt;=1000</formula>
    </cfRule>
  </conditionalFormatting>
  <conditionalFormatting sqref="I22 I24:I29">
    <cfRule type="expression" dxfId="1347" priority="38">
      <formula>ABS(I$25-I$28)&gt;=1000</formula>
    </cfRule>
  </conditionalFormatting>
  <conditionalFormatting sqref="J22:J29 K22">
    <cfRule type="expression" dxfId="1346" priority="37">
      <formula>ABS(J$25-J$28)&gt;=1000</formula>
    </cfRule>
  </conditionalFormatting>
  <conditionalFormatting sqref="K23:K29 L25 L28">
    <cfRule type="expression" dxfId="1345" priority="36">
      <formula>ABS(K$25-K$28)&gt;=1000</formula>
    </cfRule>
  </conditionalFormatting>
  <conditionalFormatting sqref="L22 L26:L27 L29 L24">
    <cfRule type="expression" dxfId="1344" priority="35">
      <formula>ABS(L$25-L$28)&gt;=1000</formula>
    </cfRule>
  </conditionalFormatting>
  <conditionalFormatting sqref="M22:M29">
    <cfRule type="expression" dxfId="1343" priority="34">
      <formula>ABS(M$25-M$28)&gt;=1000</formula>
    </cfRule>
  </conditionalFormatting>
  <conditionalFormatting sqref="N22:N29">
    <cfRule type="expression" dxfId="1342" priority="33">
      <formula>ABS(N$25-N$28)&gt;=1000</formula>
    </cfRule>
  </conditionalFormatting>
  <conditionalFormatting sqref="O22:O29">
    <cfRule type="expression" dxfId="1341" priority="32">
      <formula>ABS(O$25-O$28)&gt;=1000</formula>
    </cfRule>
  </conditionalFormatting>
  <conditionalFormatting sqref="P22:P29">
    <cfRule type="expression" dxfId="1340" priority="31">
      <formula>ABS(P$25-P$28)&gt;=1000</formula>
    </cfRule>
  </conditionalFormatting>
  <conditionalFormatting sqref="Q22:Q29">
    <cfRule type="expression" dxfId="1339" priority="30">
      <formula>ABS(Q$25-Q$28)&gt;=1000</formula>
    </cfRule>
  </conditionalFormatting>
  <conditionalFormatting sqref="R22:R29">
    <cfRule type="expression" dxfId="1338" priority="29">
      <formula>ABS(R$25-R$28)&gt;=1000</formula>
    </cfRule>
  </conditionalFormatting>
  <conditionalFormatting sqref="S22:S29">
    <cfRule type="expression" dxfId="1337" priority="28">
      <formula>ABS(S$25-S$28)&gt;=1000</formula>
    </cfRule>
  </conditionalFormatting>
  <conditionalFormatting sqref="T22:T29">
    <cfRule type="expression" dxfId="1336" priority="27">
      <formula>ABS(T$25-T$28)&gt;=1000</formula>
    </cfRule>
  </conditionalFormatting>
  <conditionalFormatting sqref="U22:U29">
    <cfRule type="expression" dxfId="1335" priority="26">
      <formula>ABS(U$25-U$28)&gt;=1000</formula>
    </cfRule>
  </conditionalFormatting>
  <conditionalFormatting sqref="V22:V29">
    <cfRule type="expression" dxfId="1334" priority="25">
      <formula>ABS(V$25-V$28)&gt;=1000</formula>
    </cfRule>
  </conditionalFormatting>
  <conditionalFormatting sqref="W22:W29">
    <cfRule type="expression" dxfId="1333" priority="24">
      <formula>ABS(W$25-W$28)&gt;=1000</formula>
    </cfRule>
  </conditionalFormatting>
  <conditionalFormatting sqref="X22:X29">
    <cfRule type="expression" dxfId="1332" priority="23">
      <formula>ABS(X$25-X$28)&gt;=1000</formula>
    </cfRule>
  </conditionalFormatting>
  <conditionalFormatting sqref="Y22:Y29">
    <cfRule type="expression" dxfId="1331" priority="22">
      <formula>ABS(Y$25-Y$28)&gt;=1000</formula>
    </cfRule>
  </conditionalFormatting>
  <conditionalFormatting sqref="I23">
    <cfRule type="expression" dxfId="1330" priority="21">
      <formula>ABS(I$25-I$28)&gt;=1000</formula>
    </cfRule>
  </conditionalFormatting>
  <conditionalFormatting sqref="Q14">
    <cfRule type="expression" dxfId="1329" priority="20">
      <formula>ABS(Q$16-Q$19)&gt;=1000</formula>
    </cfRule>
  </conditionalFormatting>
  <conditionalFormatting sqref="W14">
    <cfRule type="expression" dxfId="1328" priority="19">
      <formula>ABS(W$16-W$19)&gt;=1000</formula>
    </cfRule>
  </conditionalFormatting>
  <conditionalFormatting sqref="Y14">
    <cfRule type="expression" dxfId="1327" priority="18">
      <formula>ABS(Y$16-Y$19)&gt;=1000</formula>
    </cfRule>
  </conditionalFormatting>
  <conditionalFormatting sqref="X14">
    <cfRule type="expression" dxfId="1326" priority="17">
      <formula>ABS(X$16-X$19)&gt;=1000</formula>
    </cfRule>
  </conditionalFormatting>
  <conditionalFormatting sqref="T10:Y10">
    <cfRule type="expression" dxfId="1325" priority="16">
      <formula>ABS(T$7-T$10)&gt;=1000</formula>
    </cfRule>
  </conditionalFormatting>
  <conditionalFormatting sqref="W19">
    <cfRule type="expression" dxfId="1324" priority="15">
      <formula>ABS(W$16-W$19)&gt;=1000</formula>
    </cfRule>
  </conditionalFormatting>
  <conditionalFormatting sqref="AC5">
    <cfRule type="expression" dxfId="1323" priority="14">
      <formula>ABS(AC$7-AC$10)&gt;=1000</formula>
    </cfRule>
  </conditionalFormatting>
  <conditionalFormatting sqref="M14">
    <cfRule type="expression" dxfId="1322" priority="13">
      <formula>ABS(M$16-M$19)&gt;=1000</formula>
    </cfRule>
  </conditionalFormatting>
  <conditionalFormatting sqref="M16">
    <cfRule type="expression" dxfId="1321" priority="12">
      <formula>ABS(M$16-M$19)&gt;=1000</formula>
    </cfRule>
  </conditionalFormatting>
  <conditionalFormatting sqref="M19">
    <cfRule type="expression" dxfId="1320" priority="11">
      <formula>ABS(M$16-M$19)&gt;=1000</formula>
    </cfRule>
  </conditionalFormatting>
  <conditionalFormatting sqref="K13:K20">
    <cfRule type="expression" dxfId="1319" priority="10">
      <formula>ABS(K$16-K$19)&gt;=1000</formula>
    </cfRule>
  </conditionalFormatting>
  <conditionalFormatting sqref="E5">
    <cfRule type="expression" dxfId="1318" priority="9">
      <formula>ABS(E$7-E$10)&gt;=1000</formula>
    </cfRule>
  </conditionalFormatting>
  <conditionalFormatting sqref="AB14:AC14">
    <cfRule type="expression" dxfId="1317" priority="8">
      <formula>ABS(AB$16-AB$19)&gt;=1000</formula>
    </cfRule>
  </conditionalFormatting>
  <conditionalFormatting sqref="M5">
    <cfRule type="expression" dxfId="1316" priority="7">
      <formula>ABS(M$7-M$10)&gt;=1000</formula>
    </cfRule>
  </conditionalFormatting>
  <conditionalFormatting sqref="N5">
    <cfRule type="expression" dxfId="1315" priority="6">
      <formula>ABS(N$7-N$10)&gt;=1000</formula>
    </cfRule>
  </conditionalFormatting>
  <conditionalFormatting sqref="O5">
    <cfRule type="expression" dxfId="1314" priority="5">
      <formula>ABS(O$7-O$10)&gt;=1000</formula>
    </cfRule>
  </conditionalFormatting>
  <conditionalFormatting sqref="P5">
    <cfRule type="expression" dxfId="1313" priority="4">
      <formula>ABS(P$7-P$10)&gt;=1000</formula>
    </cfRule>
  </conditionalFormatting>
  <conditionalFormatting sqref="L23">
    <cfRule type="expression" dxfId="1312" priority="3">
      <formula>ABS(L$25-L$28)&gt;=1000</formula>
    </cfRule>
  </conditionalFormatting>
  <conditionalFormatting sqref="F14">
    <cfRule type="expression" dxfId="1311" priority="2">
      <formula>ABS(F$16-F$19)&gt;=1000</formula>
    </cfRule>
  </conditionalFormatting>
  <conditionalFormatting sqref="AE5">
    <cfRule type="expression" dxfId="1310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366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65">
    <pageSetUpPr fitToPage="1"/>
  </sheetPr>
  <dimension ref="A1:CU223"/>
  <sheetViews>
    <sheetView tabSelected="1" view="pageBreakPreview" topLeftCell="A13" zoomScale="70" zoomScaleNormal="100" zoomScaleSheetLayoutView="70" workbookViewId="0">
      <selection activeCell="AF24" sqref="AF2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8" t="s" ph="1">
        <v>161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" customHeight="1" ph="1">
      <c r="B3" s="240" ph="1">
        <v>45978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9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55" t="s" ph="1">
        <v>177</v>
      </c>
      <c r="D6" s="71">
        <v>6894</v>
      </c>
      <c r="E6" s="71">
        <v>424</v>
      </c>
      <c r="F6" s="71">
        <v>5595</v>
      </c>
      <c r="G6" s="71">
        <v>2137</v>
      </c>
      <c r="H6" s="71">
        <v>18</v>
      </c>
      <c r="I6" s="71">
        <v>40.799999999999997</v>
      </c>
      <c r="J6" s="71">
        <v>7</v>
      </c>
      <c r="K6" s="71">
        <v>8.4600000000000009</v>
      </c>
      <c r="L6" s="71">
        <v>39.18</v>
      </c>
      <c r="M6" s="71">
        <v>4169</v>
      </c>
      <c r="N6" s="71">
        <v>1352</v>
      </c>
      <c r="O6" s="71">
        <v>104</v>
      </c>
      <c r="P6" s="71">
        <v>4188</v>
      </c>
      <c r="Q6" s="71">
        <v>7030</v>
      </c>
      <c r="R6" s="71">
        <v>6408</v>
      </c>
      <c r="S6" s="71">
        <v>1693</v>
      </c>
      <c r="T6" s="71">
        <v>0</v>
      </c>
      <c r="U6" s="71">
        <v>0</v>
      </c>
      <c r="V6" s="71">
        <v>0</v>
      </c>
      <c r="W6" s="71">
        <v>5551</v>
      </c>
      <c r="X6" s="71">
        <v>7089</v>
      </c>
      <c r="Y6" s="71">
        <v>4608</v>
      </c>
      <c r="Z6" s="71">
        <v>4312</v>
      </c>
      <c r="AA6" s="71">
        <v>1939</v>
      </c>
      <c r="AB6" s="71">
        <v>3276</v>
      </c>
      <c r="AC6" s="71">
        <v>4846</v>
      </c>
      <c r="AD6" s="71">
        <v>4780</v>
      </c>
      <c r="AE6" s="71">
        <v>4350</v>
      </c>
    </row>
    <row r="7" spans="1:99" s="72" customFormat="1" ht="22.2" ph="1">
      <c r="B7" s="237" ph="1"/>
      <c r="C7" s="68" t="s" ph="1">
        <v>178</v>
      </c>
      <c r="D7" s="73" ph="1">
        <f>D6*33.183*LOOKUP(D8,密度!$A$2:$A$50,密度!$Q$2:$Q$50)</f>
        <v>217412.35206876</v>
      </c>
      <c r="E7" s="73" ph="1">
        <f>E6*51.53*LOOKUP(E8,密度!$A$2:$A$50,密度!$B$2:$B$50)</f>
        <v>17131.581352000001</v>
      </c>
      <c r="F7" s="73" ph="1">
        <f>F6*33.183*LOOKUP(F8,密度!$A$2:$A$50,密度!$C$2:$C$50)</f>
        <v>206285.58712350001</v>
      </c>
      <c r="G7" s="73" ph="1">
        <f xml:space="preserve"> (G6+2)*51.53*LOOKUP(G8,密度!$A$2:$A$50,密度!$B$2:$B$50)</f>
        <v>86601.951818999994</v>
      </c>
      <c r="H7" s="73" ph="1">
        <f>(H6)*51.53*LOOKUP(H8,密度!$A$2:$A$50,密度!$B$2:$B$50)</f>
        <v>728.76817799999992</v>
      </c>
      <c r="I7" s="73" ph="1">
        <f>I6*290.8*1.0267</f>
        <v>12181.425887999998</v>
      </c>
      <c r="J7" s="73" ph="1">
        <f>J6*290.8*0.7892</f>
        <v>1606.4955200000002</v>
      </c>
      <c r="K7" s="73" ph="1">
        <f>K6*290.8*1.1126</f>
        <v>2737.1829168000004</v>
      </c>
      <c r="L7" s="73" ph="1">
        <f>L6*290.8*0.777</f>
        <v>8852.7836879999995</v>
      </c>
      <c r="M7" s="73" ph="1">
        <f>M6*33.183*LOOKUP(M8,密度!$A$2:$A$50,密度!$D$2:$D$50)</f>
        <v>142296.44891219999</v>
      </c>
      <c r="N7" s="73" ph="1">
        <f>N6*33.183*LOOKUP(N8,密度!$A$2:$A$50,密度!$E$2:$E$50)</f>
        <v>35137.027411199997</v>
      </c>
      <c r="O7" s="73" ph="1">
        <f>O6*20.428*LOOKUP(O8,密度!$A$2:$A$50,密度!$C$2:$C$50)</f>
        <v>2355.8713568000003</v>
      </c>
      <c r="P7" s="73" ph="1">
        <f>P6*51.53*LOOKUP(P8,密度!$A$2:$A$50,密度!$B$2:$B$50)</f>
        <v>168632.08989600002</v>
      </c>
      <c r="Q7" s="73" ph="1">
        <f>Q6*1.5*1.5*3.1416*LOOKUP(W8,密度!$A$2:$A$50,密度!$L$2:$L$50)</f>
        <v>46661.030262</v>
      </c>
      <c r="R7" s="73" ph="1">
        <f>R6*1.5*1.5*3.1416*LOOKUP(R8,密度!$A$2:$A$50,密度!$L$2:$L$50)</f>
        <v>42441.966705600003</v>
      </c>
      <c r="S7" s="73" ph="1">
        <f>S6*1.5*1.5*3.1416*LOOKUP(S8,密度!$A$2:$A$50,密度!$L$2:$L$50)</f>
        <v>11273.045691599998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36844.292885399998</v>
      </c>
      <c r="X7" s="73" ph="1">
        <f>X6*1.5*1.5*3.1416*LOOKUP(X8,密度!$A$2:$A$50,密度!$L$2:$L$50)</f>
        <v>47503.621519199995</v>
      </c>
      <c r="Y7" s="73" ph="1">
        <f>Y6*1.5*1.5*3.1416*LOOKUP(Y8,密度!$A$2:$A$50,密度!$L$2:$L$50)</f>
        <v>30650.354380799996</v>
      </c>
      <c r="Z7" s="73" ph="1">
        <f>Z6*33.183*LOOKUP(Z8,密度!$A$2:$A$50,密度!$L$2:$L$50)</f>
        <v>135072.33062399999</v>
      </c>
      <c r="AA7" s="73" ph="1">
        <f>AA6*33.183*LOOKUP(AA8,密度!$A$2:$A$50,密度!$D$2:$D$50)</f>
        <v>66304.26302849999</v>
      </c>
      <c r="AB7" s="73" ph="1">
        <f>AB6*20.428*LOOKUP(AB8,密度!$A$2:$A$50,密度!$D$2:$D$50)</f>
        <v>69304.555756800008</v>
      </c>
      <c r="AC7" s="73" ph="1">
        <f>AC6*51.53*LOOKUP(AC8,密度!$A$2:$A$50,密度!$Q$2:$Q$50)</f>
        <v>237151.24954220001</v>
      </c>
      <c r="AD7" s="73" ph="1">
        <f>AD6*20.428*LOOKUP(AD8,密度!$A$2:$A$50,密度!$V$2:$V$50)</f>
        <v>93818.123072000002</v>
      </c>
      <c r="AE7" s="73" ph="1">
        <f>AE6*20.428</f>
        <v>88861.8</v>
      </c>
    </row>
    <row r="8" spans="1:99" ph="1">
      <c r="B8" s="237" ph="1"/>
      <c r="C8" s="68" t="s" ph="1">
        <v>179</v>
      </c>
      <c r="D8" s="74">
        <v>20</v>
      </c>
      <c r="E8" s="74">
        <v>20</v>
      </c>
      <c r="F8" s="74">
        <v>22</v>
      </c>
      <c r="G8" s="74">
        <v>18</v>
      </c>
      <c r="H8" s="74">
        <v>18</v>
      </c>
      <c r="I8" s="74">
        <v>25</v>
      </c>
      <c r="J8" s="74">
        <v>25</v>
      </c>
      <c r="K8" s="74">
        <v>25</v>
      </c>
      <c r="L8" s="74">
        <v>25</v>
      </c>
      <c r="M8" s="74">
        <v>23</v>
      </c>
      <c r="N8" s="74">
        <v>25</v>
      </c>
      <c r="O8" s="74">
        <v>25</v>
      </c>
      <c r="P8" s="74">
        <v>23</v>
      </c>
      <c r="Q8" s="74">
        <v>21</v>
      </c>
      <c r="R8" s="74">
        <v>25</v>
      </c>
      <c r="S8" s="74">
        <v>20</v>
      </c>
      <c r="T8" s="74">
        <v>19</v>
      </c>
      <c r="U8" s="74">
        <v>21</v>
      </c>
      <c r="V8" s="74">
        <v>22</v>
      </c>
      <c r="W8" s="74">
        <v>23</v>
      </c>
      <c r="X8" s="74">
        <v>14</v>
      </c>
      <c r="Y8" s="74">
        <v>21</v>
      </c>
      <c r="Z8" s="74">
        <v>18</v>
      </c>
      <c r="AA8" s="74">
        <v>21</v>
      </c>
      <c r="AB8" s="74">
        <v>15</v>
      </c>
      <c r="AC8" s="74">
        <v>21</v>
      </c>
      <c r="AD8" s="74">
        <v>21</v>
      </c>
      <c r="AE8" s="74">
        <v>22</v>
      </c>
    </row>
    <row r="9" spans="1:99" ht="26.4" ph="1">
      <c r="B9" s="237" ph="1">
        <v>0.66666666666666663</v>
      </c>
      <c r="C9" s="155" t="s" ph="1">
        <v>180</v>
      </c>
      <c r="D9" s="71">
        <v>6896</v>
      </c>
      <c r="E9" s="71">
        <v>424</v>
      </c>
      <c r="F9" s="71">
        <v>5592</v>
      </c>
      <c r="G9" s="71">
        <v>1856</v>
      </c>
      <c r="H9" s="71">
        <v>18</v>
      </c>
      <c r="I9" s="71">
        <v>40.840000000000003</v>
      </c>
      <c r="J9" s="71">
        <v>7.01</v>
      </c>
      <c r="K9" s="71">
        <v>8.44</v>
      </c>
      <c r="L9" s="71">
        <v>60.18</v>
      </c>
      <c r="M9" s="71">
        <v>4171</v>
      </c>
      <c r="N9" s="71">
        <v>1353</v>
      </c>
      <c r="O9" s="71">
        <v>105</v>
      </c>
      <c r="P9" s="71">
        <v>3855</v>
      </c>
      <c r="Q9" s="71">
        <v>7035</v>
      </c>
      <c r="R9" s="71">
        <v>7120</v>
      </c>
      <c r="S9" s="71">
        <v>6472</v>
      </c>
      <c r="T9" s="71">
        <v>2917</v>
      </c>
      <c r="U9" s="71">
        <v>0</v>
      </c>
      <c r="V9" s="71">
        <v>0</v>
      </c>
      <c r="W9" s="71">
        <v>1599</v>
      </c>
      <c r="X9" s="71">
        <v>7096</v>
      </c>
      <c r="Y9" s="71">
        <v>4616</v>
      </c>
      <c r="Z9" s="71">
        <v>5151</v>
      </c>
      <c r="AA9" s="71">
        <v>1939</v>
      </c>
      <c r="AB9" s="71">
        <v>3278</v>
      </c>
      <c r="AC9" s="71">
        <v>5249</v>
      </c>
      <c r="AD9" s="71">
        <v>4780</v>
      </c>
      <c r="AE9" s="71">
        <v>4138</v>
      </c>
    </row>
    <row r="10" spans="1:99" s="72" customFormat="1" ht="22.2" ph="1">
      <c r="B10" s="237" ph="1"/>
      <c r="C10" s="155" t="s" ph="1">
        <v>178</v>
      </c>
      <c r="D10" s="73" ph="1">
        <f>D9*33.183*LOOKUP(D11,密度!$A$2:$A$50,密度!$Q$2:$Q$50)</f>
        <v>216976.57565760001</v>
      </c>
      <c r="E10" s="73" ph="1">
        <f>E9*51.53*LOOKUP(E11,密度!$A$2:$A$50,密度!$B$2:$B$50)</f>
        <v>17072.589808000001</v>
      </c>
      <c r="F10" s="73" ph="1">
        <f>F9*33.183*LOOKUP(F11,密度!$A$2:$A$50,密度!$C$2:$C$50)</f>
        <v>206045.08669440003</v>
      </c>
      <c r="G10" s="73" ph="1">
        <f xml:space="preserve"> (G9+2)*51.53*LOOKUP(G11,密度!$A$2:$A$50,密度!$B$2:$B$50)</f>
        <v>74813.377036000005</v>
      </c>
      <c r="H10" s="73" ph="1">
        <f>(H9)*51.53*LOOKUP(H11,密度!$A$2:$A$50,密度!$B$2:$B$50)</f>
        <v>724.77975599999991</v>
      </c>
      <c r="I10" s="73" ph="1">
        <f>I9*290.8*1.0267</f>
        <v>12193.3684624</v>
      </c>
      <c r="J10" s="73" ph="1">
        <f>J9*290.8*0.7892</f>
        <v>1608.7905136000002</v>
      </c>
      <c r="K10" s="73" ph="1">
        <f>K9*290.8*1.1126</f>
        <v>2730.7120351999997</v>
      </c>
      <c r="L10" s="73" ph="1">
        <f>L9*290.8*0.777</f>
        <v>13597.767288000001</v>
      </c>
      <c r="M10" s="73" ph="1">
        <f>M9*33.183*LOOKUP(M11,密度!$A$2:$A$50,密度!$D$2:$D$50)</f>
        <v>142226.3066868</v>
      </c>
      <c r="N10" s="73" ph="1">
        <f>N9*33.183*LOOKUP(N11,密度!$A$2:$A$50,密度!$E$2:$E$50)</f>
        <v>35216.892255600003</v>
      </c>
      <c r="O10" s="73" ph="1">
        <f>O9*20.428*LOOKUP(O11,密度!$A$2:$A$50,密度!$C$2:$C$50)</f>
        <v>2373.590604</v>
      </c>
      <c r="P10" s="73" ph="1">
        <f>P9*51.53*LOOKUP(P11,密度!$A$2:$A$50,密度!$B$2:$B$50)</f>
        <v>154866.09774</v>
      </c>
      <c r="Q10" s="73" ph="1">
        <f>Q9*1.5*1.5*3.1416*LOOKUP(W11,密度!$A$2:$A$50,密度!$L$2:$L$50)</f>
        <v>46545.034536000006</v>
      </c>
      <c r="R10" s="73" ph="1">
        <f>R9*1.5*1.5*3.1416*LOOKUP(R11,密度!$A$2:$A$50,密度!$L$2:$L$50)</f>
        <v>47409.382943999997</v>
      </c>
      <c r="S10" s="73" ph="1">
        <f>S9*1.5*1.5*3.1416*LOOKUP(S11,密度!$A$2:$A$50,密度!$L$2:$L$50)</f>
        <v>43048.848427199999</v>
      </c>
      <c r="T10" s="73" ph="1">
        <f>T9*1.5*1.5*3.1416*LOOKUP(T11,密度!$A$2:$A$50,密度!$L$2:$L$50)</f>
        <v>19443.817146599999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10579.319150400001</v>
      </c>
      <c r="X10" s="73" ph="1">
        <f>X9*1.5*1.5*3.1416*LOOKUP(X11,密度!$A$2:$A$50,密度!$L$2:$L$50)</f>
        <v>47048.94089279999</v>
      </c>
      <c r="Y10" s="73" ph="1">
        <f>Y9*1.5*1.5*3.1416*LOOKUP(Y11,密度!$A$2:$A$50,密度!$L$2:$L$50)</f>
        <v>30605.680828799996</v>
      </c>
      <c r="Z10" s="73" ph="1">
        <f>Z9*33.183*LOOKUP(Z11,密度!$A$2:$A$50,密度!$L$2:$L$50)</f>
        <v>160841.02065299999</v>
      </c>
      <c r="AA10" s="73" ph="1">
        <f>AA9*33.183*LOOKUP(AA11,密度!$A$2:$A$50,密度!$D$2:$D$50)</f>
        <v>66239.921191500005</v>
      </c>
      <c r="AB10" s="73" ph="1">
        <f>AB9*20.428*LOOKUP(AB11,密度!$A$2:$A$50,密度!$D$2:$D$50)</f>
        <v>69233.029157600002</v>
      </c>
      <c r="AC10" s="73" ph="1">
        <f>AC9*51.53*LOOKUP(AC11,密度!$A$2:$A$50,密度!$Q$2:$Q$50)</f>
        <v>256710.78381730002</v>
      </c>
      <c r="AD10" s="73" ph="1">
        <f>AD9*20.428*LOOKUP(AD11,密度!$A$2:$A$50,密度!$V$2:$V$50)</f>
        <v>93818.123072000002</v>
      </c>
      <c r="AE10" s="73" ph="1">
        <f>AE9*20.428</f>
        <v>84531.063999999998</v>
      </c>
    </row>
    <row r="11" spans="1:99" ph="1">
      <c r="A11" s="64" t="s" ph="1">
        <v>162</v>
      </c>
      <c r="B11" s="237" ph="1"/>
      <c r="C11" s="155" t="s" ph="1">
        <v>179</v>
      </c>
      <c r="D11" s="74">
        <v>23</v>
      </c>
      <c r="E11" s="74">
        <v>23</v>
      </c>
      <c r="F11" s="74">
        <v>23</v>
      </c>
      <c r="G11" s="74">
        <v>23</v>
      </c>
      <c r="H11" s="74">
        <v>23</v>
      </c>
      <c r="I11" s="74">
        <v>25</v>
      </c>
      <c r="J11" s="74">
        <v>25</v>
      </c>
      <c r="K11" s="74">
        <v>25</v>
      </c>
      <c r="L11" s="74">
        <v>25</v>
      </c>
      <c r="M11" s="74">
        <v>24</v>
      </c>
      <c r="N11" s="74">
        <v>24</v>
      </c>
      <c r="O11" s="74">
        <v>28</v>
      </c>
      <c r="P11" s="74">
        <v>25</v>
      </c>
      <c r="Q11" s="74">
        <v>26</v>
      </c>
      <c r="R11" s="74">
        <v>20</v>
      </c>
      <c r="S11" s="74">
        <v>21</v>
      </c>
      <c r="T11" s="74">
        <v>19</v>
      </c>
      <c r="U11" s="74">
        <v>24</v>
      </c>
      <c r="V11" s="74">
        <v>24</v>
      </c>
      <c r="W11" s="74">
        <v>26</v>
      </c>
      <c r="X11" s="74">
        <v>24</v>
      </c>
      <c r="Y11" s="74">
        <v>24</v>
      </c>
      <c r="Z11" s="74">
        <v>21</v>
      </c>
      <c r="AA11" s="74">
        <v>22</v>
      </c>
      <c r="AB11" s="74">
        <v>17</v>
      </c>
      <c r="AC11" s="74">
        <v>22</v>
      </c>
      <c r="AD11" s="74">
        <v>22</v>
      </c>
      <c r="AE11" s="74">
        <v>24</v>
      </c>
    </row>
    <row r="12" spans="1:99" ht="9.9" customHeight="1" ph="1"/>
    <row r="13" spans="1:99" s="72" customFormat="1" ht="29.25" customHeight="1" ph="1">
      <c r="B13" s="214" t="s" ph="1">
        <v>37</v>
      </c>
      <c r="C13" s="155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5" ph="1"/>
      <c r="C14" s="67" t="s" ph="1">
        <v>36</v>
      </c>
      <c r="D14" s="77" t="s" ph="1">
        <v>616</v>
      </c>
      <c r="E14" s="77" t="s" ph="1">
        <v>616</v>
      </c>
      <c r="F14" s="77" t="s" ph="1">
        <v>639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636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635</v>
      </c>
      <c r="AC14" s="77" t="s" ph="1">
        <v>637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6" ph="1">
        <v>0.33333333333333331</v>
      </c>
      <c r="C15" s="155" t="s" ph="1">
        <v>177</v>
      </c>
      <c r="D15" s="78">
        <v>3003</v>
      </c>
      <c r="E15" s="78">
        <v>69</v>
      </c>
      <c r="F15" s="78">
        <v>948</v>
      </c>
      <c r="G15" s="78">
        <v>3285</v>
      </c>
      <c r="H15" s="78">
        <v>0</v>
      </c>
      <c r="I15" s="78">
        <v>1614</v>
      </c>
      <c r="J15" s="78">
        <v>113</v>
      </c>
      <c r="K15" s="78">
        <v>4760</v>
      </c>
      <c r="L15" s="78">
        <v>3598</v>
      </c>
      <c r="M15" s="78">
        <v>6803</v>
      </c>
      <c r="N15" s="78">
        <v>3524</v>
      </c>
      <c r="O15" s="78">
        <v>6389</v>
      </c>
      <c r="P15" s="78">
        <v>5182</v>
      </c>
      <c r="Q15" s="78">
        <v>1609</v>
      </c>
      <c r="R15" s="78">
        <v>7491</v>
      </c>
      <c r="S15" s="78">
        <v>6183</v>
      </c>
      <c r="T15" s="78">
        <v>1447</v>
      </c>
      <c r="U15" s="78">
        <v>7114</v>
      </c>
      <c r="V15" s="78">
        <v>4924</v>
      </c>
      <c r="W15" s="71">
        <v>5307</v>
      </c>
      <c r="X15" s="78">
        <v>844</v>
      </c>
      <c r="Y15" s="106">
        <v>-9905</v>
      </c>
      <c r="Z15" s="78">
        <v>0</v>
      </c>
      <c r="AA15" s="78">
        <v>0</v>
      </c>
      <c r="AB15" s="78" ph="1">
        <v>1095</v>
      </c>
      <c r="AC15" s="78" ph="1">
        <v>2141</v>
      </c>
      <c r="AD15" s="78">
        <v>17.989999999999998</v>
      </c>
      <c r="AE15" s="78">
        <v>84.54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7" ph="1"/>
      <c r="C16" s="155" t="s" ph="1">
        <v>178</v>
      </c>
      <c r="D16" s="73" ph="1">
        <f>D15*7.0686*LOOKUP(D17,密度!$A$2:$A$50,密度!$L$2:$L$50)</f>
        <v>19932.158446199999</v>
      </c>
      <c r="E16" s="73" ph="1">
        <f>E15*7.0686*LOOKUP(E17,密度!$A$2:$A$50,密度!$L$2:$L$50)</f>
        <v>457.98166259999999</v>
      </c>
      <c r="F16" s="73" ph="1">
        <f>F15*9.0746*LOOKUP(F17,密度!$A$2:$A$50,密度!$L$2:$L$50)</f>
        <v>8069.3521104000001</v>
      </c>
      <c r="G16" s="73" ph="1">
        <f>G15*9.0746*LOOKUP(G17,密度!$A$2:$A$50,密度!$B$2:$B$50)</f>
        <v>23320.410720300002</v>
      </c>
      <c r="H16" s="73" ph="1">
        <f>H15*9.0746*LOOKUP(H17,密度!$A$2:$A$50,密度!$L$2:$L$50)</f>
        <v>0</v>
      </c>
      <c r="I16" s="73" ph="1">
        <f>I15*9.0746*LOOKUP(I17,密度!$A$2:$A$50,密度!$U$2:$U$50)</f>
        <v>15056.503723200001</v>
      </c>
      <c r="J16" s="73" ph="1">
        <f>J15*9.0746*LOOKUP(J17,密度!$A$2:$A$50,密度!$L$2:$L$50)</f>
        <v>963.90401200000008</v>
      </c>
      <c r="K16" s="73" ph="1">
        <f>K15*9.0746*LOOKUP(K17,密度!$A$2:$A$50,密度!$C$2:$C$50)</f>
        <v>47994.071165599998</v>
      </c>
      <c r="L16" s="73" ph="1">
        <f>L15*9.0746*LOOKUP(L17,密度!$A$2:$A$50,密度!$E$2:$E$50)</f>
        <v>25650.16272448</v>
      </c>
      <c r="M16" s="73" ph="1">
        <f>M15*9.0746*LOOKUP(M17,密度!$A$2:$A$50,密度!$M$2:$M$50)</f>
        <v>54141.159832600002</v>
      </c>
      <c r="N16" s="73" ph="1">
        <f>N15*9.0746*LOOKUP(N17,密度!$A$2:$A$50,密度!$M$2:$M$50)</f>
        <v>28045.486880799999</v>
      </c>
      <c r="O16" s="73" ph="1">
        <f>O15*9.0746*LOOKUP(O17,密度!$A$2:$A$50,密度!$G$2:$G$50)</f>
        <v>55670.110147880005</v>
      </c>
      <c r="P16" s="73" ph="1">
        <f ca="1">P15*9.0746*LOOKUP(P17,密度!$A$2:$A$51,密度!$Q$2:$Q$50)</f>
        <v>44554.376159684005</v>
      </c>
      <c r="Q16" s="73" ph="1">
        <f>Q15*9.0746*LOOKUP(Q17,密度!$A$2:$A$50,密度!$Q$2:$Q$50)</f>
        <v>13844.697973480001</v>
      </c>
      <c r="R16" s="73" ph="1">
        <f>MAX(R15*9.0746*LOOKUP(R17,密度!$A$2:$A$50,密度!$B$2:$B$50),0)</f>
        <v>52995.515176560002</v>
      </c>
      <c r="S16" s="73" ph="1">
        <f>S15*9.0746*LOOKUP(S17,密度!$A$2:$A$50,密度!$Q$2:$Q$50)</f>
        <v>53201.844356760004</v>
      </c>
      <c r="T16" s="73" ph="1">
        <f>T15*9.0746*LOOKUP(T17,密度!$A$2:$A$50,密度!$O$2:$O$50)</f>
        <v>12211.779966</v>
      </c>
      <c r="U16" s="73" ph="1">
        <f>U15*9.0746*LOOKUP(U17,密度!$A$2:$A$50,密度!$H$2:$H$50)</f>
        <v>59372.801036680001</v>
      </c>
      <c r="V16" s="73" ph="1">
        <f>MAX(5600*LOOKUP(V17,密度!$A$2:$A$50,密度!$Q$2:$Q$50)+V15*9.0476*LOOKUP(V17,密度!$A$2:$A$50,密度!$Q$2:$Q$50),0)</f>
        <v>47515.982812527996</v>
      </c>
      <c r="W16" s="73" ph="1">
        <f>MAX(5600*LOOKUP(W17,密度!$A$2:$A$50,密度!$Q$2:$Q$50)+W15*9.0476*LOOKUP(W17,密度!$A$2:$A$50,密度!$Q$2:$Q$50),0)</f>
        <v>50799.185038603995</v>
      </c>
      <c r="X16" s="73" ph="1">
        <f>MAX(5600*LOOKUP(X17,密度!$A$2:$A$50,密度!$I$2:$I$50)+X15*9.0476*LOOKUP(X17,密度!$A$2:$A$50,密度!$I$2:$I$50),0)</f>
        <v>13810.624368960001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9340.4857799999991</v>
      </c>
      <c r="AC16" s="73" ph="1">
        <f>AC15*9.0746*LOOKUP(AC17,密度!$A$2:$A$50,密度!$L$2:$L$50)</f>
        <v>18282.424202599999</v>
      </c>
      <c r="AD16" s="73" ph="1">
        <f>AD15*268.68*LOOKUP(AD17,密度!$A$2:$A$50,密度!B2:B50)+IF(AD15&lt;=0,0,1566*LOOKUP(AD17,密度!$A$2:$A$50,密度!B2:B50))</f>
        <v>4989.091674719999</v>
      </c>
      <c r="AE16" s="73" ph="1">
        <f>AE15*268.68*LOOKUP(AE17,密度!$A$2:$A$50,密度!B2:B50)+IF(AE15&lt;=0,0,1566*LOOKUP(AE17,密度!$A$2:$A$50,密度!B2:B50))</f>
        <v>18928.849533119999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8" ph="1"/>
      <c r="C17" s="79" t="s" ph="1">
        <v>179</v>
      </c>
      <c r="D17" s="74">
        <v>23</v>
      </c>
      <c r="E17" s="74">
        <v>23</v>
      </c>
      <c r="F17" s="74">
        <v>24</v>
      </c>
      <c r="G17" s="74">
        <v>22</v>
      </c>
      <c r="H17" s="74">
        <v>18</v>
      </c>
      <c r="I17" s="74">
        <v>20</v>
      </c>
      <c r="J17" s="74">
        <v>22</v>
      </c>
      <c r="K17" s="74">
        <v>22</v>
      </c>
      <c r="L17" s="74">
        <v>23</v>
      </c>
      <c r="M17" s="74">
        <v>23</v>
      </c>
      <c r="N17" s="74">
        <v>23</v>
      </c>
      <c r="O17" s="74">
        <v>25</v>
      </c>
      <c r="P17" s="74">
        <v>24</v>
      </c>
      <c r="Q17" s="74">
        <v>23</v>
      </c>
      <c r="R17" s="74">
        <v>25</v>
      </c>
      <c r="S17" s="74">
        <v>23</v>
      </c>
      <c r="T17" s="74">
        <v>23</v>
      </c>
      <c r="U17" s="74">
        <v>20</v>
      </c>
      <c r="V17" s="74">
        <v>24</v>
      </c>
      <c r="W17" s="74">
        <v>24</v>
      </c>
      <c r="X17" s="74">
        <v>24</v>
      </c>
      <c r="Y17" s="108">
        <v>24</v>
      </c>
      <c r="Z17" s="74">
        <v>22</v>
      </c>
      <c r="AA17" s="74">
        <v>20</v>
      </c>
      <c r="AB17" s="74">
        <v>22</v>
      </c>
      <c r="AC17" s="74">
        <v>21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6" ph="1">
        <v>0.66666666666666663</v>
      </c>
      <c r="C18" s="79" t="s" ph="1">
        <v>180</v>
      </c>
      <c r="D18" s="71">
        <v>1050</v>
      </c>
      <c r="E18" s="71">
        <v>69</v>
      </c>
      <c r="F18" s="71">
        <v>947</v>
      </c>
      <c r="G18" s="71">
        <v>3349</v>
      </c>
      <c r="H18" s="71">
        <v>0</v>
      </c>
      <c r="I18" s="71">
        <v>1615</v>
      </c>
      <c r="J18" s="71">
        <v>113</v>
      </c>
      <c r="K18" s="71">
        <v>4762</v>
      </c>
      <c r="L18" s="71">
        <v>3603</v>
      </c>
      <c r="M18" s="71">
        <v>4118</v>
      </c>
      <c r="N18" s="71">
        <v>5811</v>
      </c>
      <c r="O18" s="71">
        <v>3625</v>
      </c>
      <c r="P18" s="71">
        <v>3463</v>
      </c>
      <c r="Q18" s="71">
        <v>1611</v>
      </c>
      <c r="R18" s="71">
        <v>7501</v>
      </c>
      <c r="S18" s="71">
        <v>6187</v>
      </c>
      <c r="T18" s="71">
        <v>1448</v>
      </c>
      <c r="U18" s="71">
        <v>7119</v>
      </c>
      <c r="V18" s="71">
        <v>4924</v>
      </c>
      <c r="W18" s="71">
        <v>5306</v>
      </c>
      <c r="X18" s="71">
        <v>844</v>
      </c>
      <c r="Y18" s="109">
        <v>-9905</v>
      </c>
      <c r="Z18" s="71">
        <v>0</v>
      </c>
      <c r="AA18" s="71">
        <v>0</v>
      </c>
      <c r="AB18" s="71">
        <v>1095</v>
      </c>
      <c r="AC18" s="71">
        <v>2143</v>
      </c>
      <c r="AD18" s="71">
        <v>63.56</v>
      </c>
      <c r="AE18" s="71">
        <v>84.36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7" ph="1"/>
      <c r="C19" s="155" t="s" ph="1">
        <v>178</v>
      </c>
      <c r="D19" s="73" ph="1">
        <f>D18*7.0686*LOOKUP(D20,密度!$A$2:$A$50,密度!$L$2:$L$50)</f>
        <v>6961.8641399999997</v>
      </c>
      <c r="E19" s="73" ph="1">
        <f>E18*7.0686*LOOKUP(E20,密度!$A$2:$A$50,密度!$L$2:$L$50)</f>
        <v>457.49392919999997</v>
      </c>
      <c r="F19" s="73" ph="1">
        <f>F18*9.0746*LOOKUP(F20,密度!$A$2:$A$50,密度!$L$2:$L$50)</f>
        <v>8043.6528432000014</v>
      </c>
      <c r="G19" s="73" ph="1">
        <f>G18*9.0746*LOOKUP(G20,密度!$A$2:$A$50,密度!$B$2:$B$50)</f>
        <v>23747.398781560001</v>
      </c>
      <c r="H19" s="73" ph="1">
        <f>H18*9.0746*LOOKUP(H20,密度!$A$2:$A$50,密度!$L$2:$L$50)</f>
        <v>0</v>
      </c>
      <c r="I19" s="73" ph="1">
        <f>I18*9.0746*LOOKUP(I20,密度!$A$2:$A$50,密度!$U$2:$U$50)</f>
        <v>15036.521454000002</v>
      </c>
      <c r="J19" s="73" ph="1">
        <f>J18*9.0746*LOOKUP(J20,密度!$A$2:$A$50,密度!$L$2:$L$50)</f>
        <v>959.80229280000015</v>
      </c>
      <c r="K19" s="73" ph="1">
        <f>K18*9.0746*LOOKUP(K20,密度!$A$2:$A$50,密度!$C$2:$C$50)</f>
        <v>47919.167602279995</v>
      </c>
      <c r="L19" s="73" ph="1">
        <f>L18*9.0746*LOOKUP(L20,密度!$A$2:$A$50,密度!$E$2:$E$50)</f>
        <v>25607.337872160002</v>
      </c>
      <c r="M19" s="73" ph="1">
        <f>M18*9.0746*LOOKUP(M20,密度!$A$2:$A$50,密度!$M$2:$M$50)</f>
        <v>32664.420167479999</v>
      </c>
      <c r="N19" s="73" ph="1">
        <f>N18*9.0746*LOOKUP(N20,密度!$A$2:$A$50,密度!$M$2:$M$50)</f>
        <v>46246.403026200001</v>
      </c>
      <c r="O19" s="73" ph="1">
        <f>O18*9.0746*LOOKUP(O20,密度!$A$2:$A$50,密度!$G$2:$G$50)</f>
        <v>31586.187085000005</v>
      </c>
      <c r="P19" s="73" ph="1">
        <f ca="1">P18*9.0746*LOOKUP(P20,密度!$A$2:$A$51,密度!$Q$2:$Q$50)</f>
        <v>29729.314210994002</v>
      </c>
      <c r="Q19" s="73" ph="1">
        <f>Q18*9.0746*LOOKUP(Q20,密度!$A$2:$A$50,密度!$Q$2:$Q$50)</f>
        <v>13851.235043082001</v>
      </c>
      <c r="R19" s="73" ph="1">
        <f>MAX(R18*9.0746*LOOKUP(R20,密度!$A$2:$A$50,密度!$B$2:$B$50),0)</f>
        <v>53004.999041020004</v>
      </c>
      <c r="S19" s="73" ph="1">
        <f>S18*9.0746*LOOKUP(S20,密度!$A$2:$A$50,密度!$Q$2:$Q$50)</f>
        <v>53154.291456348001</v>
      </c>
      <c r="T19" s="73" ph="1">
        <f>T18*9.0746*LOOKUP(T20,密度!$A$2:$A$50,密度!$O$2:$O$50)</f>
        <v>12167.659260800001</v>
      </c>
      <c r="U19" s="73" ph="1">
        <f>U18*9.0746*LOOKUP(U20,密度!$A$2:$A$50,密度!$H$2:$H$50)</f>
        <v>59291.786637719997</v>
      </c>
      <c r="V19" s="73" ph="1">
        <f>MAX(5600*LOOKUP(V20,密度!$A$2:$A$50,密度!$Q$2:$Q$50)+V18*9.0476*LOOKUP(V20,密度!$A$2:$A$50,密度!$Q$2:$Q$50),0)</f>
        <v>47443.766261871991</v>
      </c>
      <c r="W19" s="73" ph="1">
        <f>MAX(5600*LOOKUP(W20,密度!$A$2:$A$50,密度!$Q$2:$Q$50)+W18*9.0476*LOOKUP(W20,密度!$A$2:$A$50,密度!$Q$2:$Q$50),0)</f>
        <v>50713.419254567998</v>
      </c>
      <c r="X19" s="73" ph="1">
        <f>MAX(5600*LOOKUP(X20,密度!$A$2:$A$50,密度!$I$2:$I$50)+X18*9.0476*LOOKUP(X20,密度!$A$2:$A$50,密度!$I$2:$I$50),0)</f>
        <v>13707.38220864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9310.6757190000008</v>
      </c>
      <c r="AC19" s="73" ph="1">
        <f>AC18*9.0746*LOOKUP(AC20,密度!$A$2:$A$50,密度!$L$2:$L$50)</f>
        <v>18260.6088642</v>
      </c>
      <c r="AD19" s="73" ph="1">
        <f>AD18*268.68*LOOKUP(AD20,密度!$A$2:$A$50,密度!B5:B53)+IF(AD18&lt;=0,0,1566*LOOKUP(AD20,密度!$A$2:$A$50,密度!B5:B53))</f>
        <v>14485.8447216</v>
      </c>
      <c r="AE19" s="73" ph="1">
        <f>AE18*268.68*LOOKUP(AE20,密度!$A$2:$A$50,密度!B5:B53)+IF(AE18&lt;=0,0,1566*LOOKUP(AE20,密度!$A$2:$A$50,密度!B5:B53))</f>
        <v>18828.143409599998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7" ph="1"/>
      <c r="C20" s="80" t="s" ph="1">
        <v>179</v>
      </c>
      <c r="D20" s="81">
        <v>24</v>
      </c>
      <c r="E20" s="81">
        <v>24</v>
      </c>
      <c r="F20" s="81">
        <v>26</v>
      </c>
      <c r="G20" s="81">
        <v>23</v>
      </c>
      <c r="H20" s="81">
        <v>20</v>
      </c>
      <c r="I20" s="81">
        <v>24</v>
      </c>
      <c r="J20" s="81">
        <v>26</v>
      </c>
      <c r="K20" s="81">
        <v>25</v>
      </c>
      <c r="L20" s="81">
        <v>25</v>
      </c>
      <c r="M20" s="81">
        <v>26</v>
      </c>
      <c r="N20" s="81">
        <v>23</v>
      </c>
      <c r="O20" s="81">
        <v>25</v>
      </c>
      <c r="P20" s="81">
        <v>26</v>
      </c>
      <c r="Q20" s="81">
        <v>24</v>
      </c>
      <c r="R20" s="81">
        <v>26</v>
      </c>
      <c r="S20" s="81">
        <v>25</v>
      </c>
      <c r="T20" s="81">
        <v>26</v>
      </c>
      <c r="U20" s="81">
        <v>22</v>
      </c>
      <c r="V20" s="81">
        <v>26</v>
      </c>
      <c r="W20" s="81">
        <v>26</v>
      </c>
      <c r="X20" s="81">
        <v>31</v>
      </c>
      <c r="Y20" s="110">
        <v>31</v>
      </c>
      <c r="Z20" s="81">
        <v>25</v>
      </c>
      <c r="AA20" s="81">
        <v>23</v>
      </c>
      <c r="AB20" s="81">
        <v>25</v>
      </c>
      <c r="AC20" s="81">
        <v>23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28" t="s" ph="1">
        <v>640</v>
      </c>
      <c r="AA23" s="229"/>
      <c r="AB23" s="229"/>
      <c r="AC23" s="229"/>
      <c r="AD23" s="229"/>
      <c r="AE23" s="23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7" ph="1">
        <v>0.33333333333333331</v>
      </c>
      <c r="C24" s="155" t="s" ph="1">
        <v>177</v>
      </c>
      <c r="D24" s="71">
        <v>63.12</v>
      </c>
      <c r="E24" s="71">
        <v>3</v>
      </c>
      <c r="F24" s="71">
        <v>3637</v>
      </c>
      <c r="G24" s="71">
        <v>3921</v>
      </c>
      <c r="H24" s="71">
        <v>2899</v>
      </c>
      <c r="I24" s="71">
        <v>281</v>
      </c>
      <c r="J24" s="71">
        <v>3846</v>
      </c>
      <c r="K24" s="71">
        <v>444</v>
      </c>
      <c r="L24" s="71">
        <v>5575</v>
      </c>
      <c r="M24" s="71">
        <v>413</v>
      </c>
      <c r="N24" s="71">
        <v>2068</v>
      </c>
      <c r="O24" s="71">
        <v>2871</v>
      </c>
      <c r="P24" s="71">
        <v>361</v>
      </c>
      <c r="Q24" s="90">
        <v>2760</v>
      </c>
      <c r="R24" s="71">
        <v>205</v>
      </c>
      <c r="S24" s="71">
        <v>4486</v>
      </c>
      <c r="T24" s="71">
        <v>281</v>
      </c>
      <c r="U24" s="71">
        <v>5520</v>
      </c>
      <c r="V24" s="71">
        <v>9865</v>
      </c>
      <c r="W24" s="71">
        <v>7867</v>
      </c>
      <c r="X24" s="71">
        <v>3821</v>
      </c>
      <c r="Y24" s="71">
        <v>4035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7" ph="1"/>
      <c r="C25" s="68" t="s" ph="1">
        <v>178</v>
      </c>
      <c r="D25" s="91" ph="1">
        <f>D24*268.68*LOOKUP(D26,密度!$A$2:$A$50,密度!$Q$2:$Q$50)+IF(D24&lt;=0,0,1566*LOOKUP(D26,密度!$A$2:$A$50,密度!$Q$2:$Q$50))</f>
        <v>17538.435753984002</v>
      </c>
      <c r="E25" s="91" ph="1">
        <f>E24*268.68*LOOKUP(E26,密度!$A$2:$A$50,密度!$C$2:$C$50)+IF(E24&lt;=0,0,1566*LOOKUP(E26,密度!$A$2:$A$50,密度!$C$2:$C$50))</f>
        <v>2630.3551559999996</v>
      </c>
      <c r="F25" s="91" ph="1">
        <f>F24*11.702*LOOKUP(F26,密度!$A$2:$A$50,密度!$Q$2:$Q$50)</f>
        <v>40393.435541660001</v>
      </c>
      <c r="G25" s="91" ph="1">
        <f>G24*18.322*LOOKUP(G26,密度!$A$2:$A$50,密度!$B$2:$B$50)</f>
        <v>56265.528158399997</v>
      </c>
      <c r="H25" s="91" ph="1">
        <f>H24*18.322*LOOKUP(H26,密度!$A$2:$A$50,密度!$B$2:$B$50)</f>
        <v>41552.238439399996</v>
      </c>
      <c r="I25" s="91" ph="1">
        <f>I24*18.322*LOOKUP(I26,密度!$A$2:$A$50,密度!$Q$2:$Q$50)</f>
        <v>4886.3727813799997</v>
      </c>
      <c r="J25" s="91" ph="1">
        <f>J24*18.322*LOOKUP(J26,密度!$A$2:$A$50,密度!$Q$2:$Q$50)</f>
        <v>66878.966965079991</v>
      </c>
      <c r="K25" s="91" ph="1">
        <f>K24*18.322*LOOKUP(K26,密度!$A$2:$A$50,密度!$Q$2:$Q$50)</f>
        <v>7713.5766576000005</v>
      </c>
      <c r="L25" s="91" ph="1">
        <f>L24*18.322*LOOKUP(L26,密度!$A$2:$A$50,密度!$Q$2:$Q$50)</f>
        <v>96854.031229999993</v>
      </c>
      <c r="M25" s="91" ph="1">
        <f>M24*18.322*LOOKUP(M26,密度!$A$2:$A$50,密度!$Q$2:$Q$50)</f>
        <v>7181.7507427399996</v>
      </c>
      <c r="N25" s="91" ph="1">
        <f>N24*18.322*LOOKUP(N26,密度!$A$2:$A$50,密度!$Q$2:$Q$50)</f>
        <v>35983.65533224</v>
      </c>
      <c r="O25" s="91" ph="1">
        <f>O24*18.322*LOOKUP(O26,密度!$A$2:$A$50,密度!$C$2:$C$50)</f>
        <v>58488.677497800003</v>
      </c>
      <c r="P25" s="91" ph="1">
        <f>P24*11.702*LOOKUP(P26,密度!$A$2:$A$50,密度!$B$2:$B$50)</f>
        <v>3300.9633507999997</v>
      </c>
      <c r="Q25" s="92" ph="1">
        <f>Q24*18.322*LOOKUP(Q26,密度!$A$2:$A$50,密度!$B$2:$B$50)</f>
        <v>39650.933352</v>
      </c>
      <c r="R25" s="91" ph="1">
        <f>R24*35.891*LOOKUP(R26,密度!$A$2:$A$50,密度!$C$2:$C$50)</f>
        <v>8175.0904704999994</v>
      </c>
      <c r="S25" s="91" ph="1">
        <f>S24*35.891*LOOKUP(S26,密度!$A$2:$A$50,密度!$B$2:$B$50)</f>
        <v>125810.89011639998</v>
      </c>
      <c r="T25" s="91" ph="1">
        <f>T24*35.891*LOOKUP(T26,密度!$A$2:$A$50,密度!$Q$2:$Q$50)</f>
        <v>9571.9247623899992</v>
      </c>
      <c r="U25" s="91" ph="1">
        <f>U24*35.891</f>
        <v>198118.31999999998</v>
      </c>
      <c r="V25" s="91" ph="1">
        <f>V24*47.051*LOOKUP(V26,密度!$A$2:$A$50,密度!$B$2:$B$50)</f>
        <v>362275.4087575</v>
      </c>
      <c r="W25" s="91" ph="1">
        <f>W24*47.051*LOOKUP(W26,密度!$A$2:$A$50,密度!$B$2:$B$50)</f>
        <v>288569.10917319998</v>
      </c>
      <c r="X25" s="91" ph="1">
        <f>X24*47.051*LOOKUP(X26,密度!$A$2:$A$50,密度!$I$2:$I$50)</f>
        <v>186793.363969</v>
      </c>
      <c r="Y25" s="91" ph="1">
        <f>Y24*47.051*LOOKUP(Y26,密度!$A$2:$A$50,密度!$L$2:$L$50)</f>
        <v>177890.18554500001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7" ph="1"/>
      <c r="C26" s="68" t="s" ph="1">
        <v>179</v>
      </c>
      <c r="D26" s="74">
        <v>25</v>
      </c>
      <c r="E26" s="74">
        <v>25</v>
      </c>
      <c r="F26" s="74">
        <v>22</v>
      </c>
      <c r="G26" s="74">
        <v>21</v>
      </c>
      <c r="H26" s="74">
        <v>22</v>
      </c>
      <c r="I26" s="74">
        <v>22</v>
      </c>
      <c r="J26" s="74">
        <v>22</v>
      </c>
      <c r="K26" s="74">
        <v>23</v>
      </c>
      <c r="L26" s="74">
        <v>23</v>
      </c>
      <c r="M26" s="74">
        <v>22</v>
      </c>
      <c r="N26" s="74">
        <v>21</v>
      </c>
      <c r="O26" s="74">
        <v>21</v>
      </c>
      <c r="P26" s="74">
        <v>23</v>
      </c>
      <c r="Q26" s="93">
        <v>20</v>
      </c>
      <c r="R26" s="74">
        <v>22</v>
      </c>
      <c r="S26" s="74">
        <v>23</v>
      </c>
      <c r="T26" s="74">
        <v>22</v>
      </c>
      <c r="U26" s="74">
        <v>23</v>
      </c>
      <c r="V26" s="74">
        <v>24</v>
      </c>
      <c r="W26" s="74">
        <v>25</v>
      </c>
      <c r="X26" s="74">
        <v>28</v>
      </c>
      <c r="Y26" s="74">
        <v>25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7" ph="1">
        <v>0.66666666666666663</v>
      </c>
      <c r="C27" s="155" t="s" ph="1">
        <v>180</v>
      </c>
      <c r="D27" s="71">
        <v>32.76</v>
      </c>
      <c r="E27" s="71">
        <v>38.299999999999997</v>
      </c>
      <c r="F27" s="71">
        <v>271</v>
      </c>
      <c r="G27" s="71">
        <v>3402</v>
      </c>
      <c r="H27" s="71">
        <v>2457</v>
      </c>
      <c r="I27" s="71">
        <v>280</v>
      </c>
      <c r="J27" s="71">
        <v>4994</v>
      </c>
      <c r="K27" s="71">
        <v>443</v>
      </c>
      <c r="L27" s="71">
        <v>5576</v>
      </c>
      <c r="M27" s="71">
        <v>411</v>
      </c>
      <c r="N27" s="71">
        <v>1470</v>
      </c>
      <c r="O27" s="71">
        <v>2866</v>
      </c>
      <c r="P27" s="71">
        <v>359</v>
      </c>
      <c r="Q27" s="90">
        <v>3005</v>
      </c>
      <c r="R27" s="71">
        <v>204</v>
      </c>
      <c r="S27" s="71">
        <v>4484</v>
      </c>
      <c r="T27" s="71">
        <v>1030</v>
      </c>
      <c r="U27" s="71">
        <v>5122</v>
      </c>
      <c r="V27" s="71">
        <v>9869</v>
      </c>
      <c r="W27" s="71">
        <v>7544</v>
      </c>
      <c r="X27" s="71">
        <v>3710</v>
      </c>
      <c r="Y27" s="71">
        <v>2934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7" ph="1"/>
      <c r="C28" s="155" t="s" ph="1">
        <v>178</v>
      </c>
      <c r="D28" s="91" ph="1">
        <f>D27*268.68*LOOKUP(D29,密度!$A$2:$A$50,密度!$Q$2:$Q$50)+IF(D27&lt;=0,0,1566*LOOKUP(D29,密度!$A$2:$A$50,密度!$Q$2:$Q$50))</f>
        <v>9815.7594208320006</v>
      </c>
      <c r="E28" s="91" ph="1">
        <f>E27*268.68*LOOKUP(E29,密度!$A$2:$A$50,密度!$C$2:$C$50)+IF(E27&lt;=0,0,1566*LOOKUP(E29,密度!$A$2:$A$50,密度!$C$2:$C$50))</f>
        <v>13147.610751599999</v>
      </c>
      <c r="F28" s="91" ph="1">
        <f>F27*11.702*LOOKUP(F29,密度!$A$2:$A$50,密度!$Q$2:$Q$50)</f>
        <v>3004.6566577400004</v>
      </c>
      <c r="G28" s="91" ph="1">
        <f>G27*18.322*LOOKUP(G29,密度!$A$2:$A$50,密度!$B$2:$B$50)</f>
        <v>48649.692041999995</v>
      </c>
      <c r="H28" s="91" ph="1">
        <f>H27*18.322*LOOKUP(H29,密度!$A$2:$A$50,密度!$B$2:$B$50)</f>
        <v>35135.888696999995</v>
      </c>
      <c r="I28" s="91" ph="1">
        <f>I27*18.322*LOOKUP(I29,密度!$A$2:$A$50,密度!$Q$2:$Q$50)</f>
        <v>4860.6726951999999</v>
      </c>
      <c r="J28" s="91" ph="1">
        <f>J27*18.322*LOOKUP(J29,密度!$A$2:$A$50,密度!$Q$2:$Q$50)</f>
        <v>86626.774378319999</v>
      </c>
      <c r="K28" s="91" ph="1">
        <f>K27*18.322*LOOKUP(K29,密度!$A$2:$A$50,密度!$Q$2:$Q$50)</f>
        <v>7684.3534340400001</v>
      </c>
      <c r="L28" s="91" ph="1">
        <f>L27*18.322*LOOKUP(L29,密度!$A$2:$A$50,密度!$Q$2:$Q$50)</f>
        <v>96796.824815839995</v>
      </c>
      <c r="M28" s="91" ph="1">
        <f>M27*18.322*LOOKUP(M29,密度!$A$2:$A$50,密度!$Q$2:$Q$50)</f>
        <v>7134.7731347399995</v>
      </c>
      <c r="N28" s="91" ph="1">
        <f>N27*18.322*LOOKUP(N29,密度!$A$2:$A$50,密度!$Q$2:$Q$50)</f>
        <v>25498.8703116</v>
      </c>
      <c r="O28" s="91" ph="1">
        <f>O27*18.322*LOOKUP(O29,密度!$A$2:$A$50,密度!$C$2:$C$50)</f>
        <v>58229.283782799997</v>
      </c>
      <c r="P28" s="91" ph="1">
        <f>P27*11.702*LOOKUP(P29,密度!$A$2:$A$50,密度!$B$2:$B$50)</f>
        <v>3278.8945490000001</v>
      </c>
      <c r="Q28" s="92" ph="1">
        <f>Q27*18.322*LOOKUP(Q29,密度!$A$2:$A$50,密度!$B$2:$B$50)</f>
        <v>43170.672000999999</v>
      </c>
      <c r="R28" s="91" ph="1">
        <f>R27*35.891*LOOKUP(R29,密度!$A$2:$A$50,密度!$C$2:$C$50)</f>
        <v>8124.2293343999982</v>
      </c>
      <c r="S28" s="91" ph="1">
        <f>S27*35.891*LOOKUP(S29,密度!$A$2:$A$50,密度!$B$2:$B$50)</f>
        <v>125754.7996616</v>
      </c>
      <c r="T28" s="91" ph="1">
        <f>T27*35.891*LOOKUP(T29,密度!$A$2:$A$50,密度!$Q$2:$Q$50)</f>
        <v>34998.8287002</v>
      </c>
      <c r="U28" s="91" ph="1">
        <f>U27*35.891</f>
        <v>183833.70199999999</v>
      </c>
      <c r="V28" s="91" ph="1">
        <f>V27*47.051*LOOKUP(V29,密度!$A$2:$A$50,密度!$B$2:$B$50)</f>
        <v>363258.12535370002</v>
      </c>
      <c r="W28" s="91" ph="1">
        <f>W27*47.051*LOOKUP(W29,密度!$A$2:$A$50,密度!$B$2:$B$50)</f>
        <v>277040.61669200001</v>
      </c>
      <c r="X28" s="91" ph="1">
        <f>X27*47.051*LOOKUP(X29,密度!$A$2:$A$50,密度!$I$2:$I$50)</f>
        <v>180581.50274500001</v>
      </c>
      <c r="Y28" s="91" ph="1">
        <f>Y27*47.051*LOOKUP(Y29,密度!$A$2:$A$50,密度!$L$2:$L$50)</f>
        <v>129350.63305800002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7" ph="1"/>
      <c r="C29" s="155" t="s" ph="1">
        <v>179</v>
      </c>
      <c r="D29" s="74">
        <v>25</v>
      </c>
      <c r="E29" s="74">
        <v>25</v>
      </c>
      <c r="F29" s="74">
        <v>24</v>
      </c>
      <c r="G29" s="74">
        <v>24</v>
      </c>
      <c r="H29" s="74">
        <v>24</v>
      </c>
      <c r="I29" s="74">
        <v>24</v>
      </c>
      <c r="J29" s="74">
        <v>25</v>
      </c>
      <c r="K29" s="74">
        <v>25</v>
      </c>
      <c r="L29" s="74">
        <v>24</v>
      </c>
      <c r="M29" s="74">
        <v>24</v>
      </c>
      <c r="N29" s="74">
        <v>25</v>
      </c>
      <c r="O29" s="74">
        <v>25</v>
      </c>
      <c r="P29" s="74">
        <v>24</v>
      </c>
      <c r="Q29" s="93">
        <v>20</v>
      </c>
      <c r="R29" s="74">
        <v>24</v>
      </c>
      <c r="S29" s="74">
        <v>23</v>
      </c>
      <c r="T29" s="74">
        <v>25</v>
      </c>
      <c r="U29" s="74">
        <v>23</v>
      </c>
      <c r="V29" s="74">
        <v>22</v>
      </c>
      <c r="W29" s="74">
        <v>24</v>
      </c>
      <c r="X29" s="74">
        <v>32</v>
      </c>
      <c r="Y29" s="74">
        <v>25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55" t="s" ph="1">
        <v>5</v>
      </c>
      <c r="F32" s="154" t="s" ph="1">
        <v>43</v>
      </c>
      <c r="G32" s="97" t="s" ph="1">
        <v>4</v>
      </c>
      <c r="H32" s="155" t="s" ph="1">
        <v>5</v>
      </c>
      <c r="I32" s="154" t="s" ph="1">
        <v>43</v>
      </c>
      <c r="J32" s="97" t="s" ph="1">
        <v>4</v>
      </c>
      <c r="K32" s="155" t="s" ph="1">
        <v>5</v>
      </c>
      <c r="L32" s="154" t="s" ph="1">
        <v>43</v>
      </c>
      <c r="M32" s="97" t="s" ph="1">
        <v>4</v>
      </c>
      <c r="N32" s="155" t="s" ph="1">
        <v>5</v>
      </c>
      <c r="O32" s="15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5" t="s" ph="1">
        <v>5</v>
      </c>
      <c r="U32" s="99" t="s" ph="1">
        <v>43</v>
      </c>
      <c r="V32" s="97" t="s" ph="1">
        <v>4</v>
      </c>
      <c r="W32" s="155" t="s" ph="1">
        <v>5</v>
      </c>
      <c r="X32" s="99" t="s" ph="1">
        <v>43</v>
      </c>
      <c r="Y32" s="100" t="s" ph="1">
        <v>4</v>
      </c>
      <c r="Z32" s="155" t="s" ph="1">
        <v>5</v>
      </c>
      <c r="AA32" s="154" t="s" ph="1">
        <v>43</v>
      </c>
      <c r="AB32" s="97" t="s" ph="1">
        <v>85</v>
      </c>
      <c r="AC32" s="155" t="s" ph="1">
        <v>84</v>
      </c>
      <c r="AD32" s="204" t="s" ph="1">
        <v>83</v>
      </c>
      <c r="AE32" s="20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6" t="s" ph="1">
        <v>181</v>
      </c>
      <c r="C33" s="207" ph="1"/>
      <c r="D33" s="186" ph="1">
        <f>AA10+AB10+Z19</f>
        <v>135472.95034909999</v>
      </c>
      <c r="E33" s="186" ph="1">
        <f>M10+I10</f>
        <v>154419.67514919999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[[#This Row],[F25]]</f>
        <v>3880</v>
      </c>
      <c r="G33" s="212" ph="1">
        <v>0</v>
      </c>
      <c r="H33" s="186" ph="1">
        <f>N19</f>
        <v>46246.403026200001</v>
      </c>
      <c r="I33" s="190" ph="1">
        <v>0</v>
      </c>
      <c r="J33" s="194" ph="1">
        <f>F10+O28</f>
        <v>264274.37047720002</v>
      </c>
      <c r="K33" s="186" ph="1">
        <f>O10+K10+E28+R28</f>
        <v>26376.142725199999</v>
      </c>
      <c r="L33" s="196" ph="1">
        <f>BE27</f>
        <v>7100</v>
      </c>
      <c r="M33" s="194" ph="1">
        <f>G10+H10+W28+S28+V28+E10</f>
        <v>858664.28830730007</v>
      </c>
      <c r="N33" s="186" ph="1">
        <f>L10+P10++G28+H28</f>
        <v>252249.44576699997</v>
      </c>
      <c r="O33" s="190" ph="1">
        <f>BE17</f>
        <v>2270</v>
      </c>
      <c r="P33" s="194" ph="1">
        <f>L19</f>
        <v>25607.337872160002</v>
      </c>
      <c r="Q33" s="186" ph="1">
        <f>J10+N10</f>
        <v>36825.682769200001</v>
      </c>
      <c r="R33" s="190" ph="1">
        <f>BE23</f>
        <v>890</v>
      </c>
      <c r="S33" s="194" ph="1">
        <f>E10+X28</f>
        <v>197654.09255299999</v>
      </c>
      <c r="T33" s="186" ph="1">
        <f>X19</f>
        <v>13707.38220864</v>
      </c>
      <c r="U33" s="175" ph="1">
        <f>BE21</f>
        <v>730</v>
      </c>
      <c r="V33" s="188" ph="1">
        <f ca="1">P19+Q19+S19+M28+N28+J28</f>
        <v>215995.25853508399</v>
      </c>
      <c r="W33" s="188" ph="1">
        <f>D28+F28+V19+T28</f>
        <v>95263.011040643993</v>
      </c>
      <c r="X33" s="190" ph="1">
        <f>BE29+BE31</f>
        <v>10200</v>
      </c>
      <c r="Y33" s="192" ph="1">
        <f>+Q10+R10+S10+T10+U10+V10+W10+X10+Y10</f>
        <v>244681.02392579996</v>
      </c>
      <c r="Z33" s="173" ph="1">
        <f>D10+T19+U19+Y28+Z10</f>
        <v>578627.67526712001</v>
      </c>
      <c r="AA33" s="175" ph="1">
        <f>BE19</f>
        <v>1440</v>
      </c>
      <c r="AB33" s="177" ph="1">
        <f>I19</f>
        <v>15036.521454000002</v>
      </c>
      <c r="AC33" s="179" ph="1">
        <f>AD10</f>
        <v>93818.123072000002</v>
      </c>
      <c r="AD33" s="181" ph="1">
        <v>0</v>
      </c>
      <c r="AE33" s="18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5" t="s" ph="1">
        <v>633</v>
      </c>
      <c r="AD35" s="185"/>
      <c r="AE35" s="18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1" t="s" ph="1">
        <v>183</v>
      </c>
      <c r="J36" s="171" ph="1"/>
      <c r="K36" s="101" ph="1"/>
      <c r="P36" s="101" ph="1"/>
      <c r="R36" s="171" t="s" ph="1">
        <v>184</v>
      </c>
      <c r="S36" s="171" ph="1"/>
      <c r="Y36" s="102" ph="1"/>
      <c r="Z36" s="153" t="s" ph="1">
        <v>185</v>
      </c>
      <c r="AA36" s="153" ph="1"/>
      <c r="AB36" s="172" t="s" ph="1">
        <v>642</v>
      </c>
      <c r="AC36" s="172" ph="1"/>
      <c r="AD36" s="172" ph="1"/>
      <c r="AE36" s="172" ph="1"/>
      <c r="BA36" s="64" ph="1">
        <v>2270</v>
      </c>
    </row>
    <row r="37" spans="1:57" s="15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3" t="s" ph="1">
        <v>342</v>
      </c>
      <c r="AI37" s="153" t="s" ph="1">
        <v>209</v>
      </c>
      <c r="AJ37" s="153" t="s" ph="1">
        <v>210</v>
      </c>
      <c r="AK37" s="153" t="s" ph="1">
        <v>211</v>
      </c>
      <c r="AM37" s="153" t="s" ph="1">
        <v>210</v>
      </c>
      <c r="AN37" s="153" t="s" ph="1">
        <v>211</v>
      </c>
      <c r="AO37" s="153" t="s" ph="1">
        <v>212</v>
      </c>
      <c r="AP37" s="153" t="s" ph="1">
        <v>210</v>
      </c>
      <c r="AQ37" s="153" t="s" ph="1">
        <v>211</v>
      </c>
      <c r="AR37" s="153" t="s" ph="1">
        <v>212</v>
      </c>
      <c r="AS37" s="153" t="s" ph="1">
        <v>210</v>
      </c>
      <c r="AT37" s="153" t="s" ph="1">
        <v>211</v>
      </c>
      <c r="AU37" s="153" t="s" ph="1">
        <v>212</v>
      </c>
      <c r="AV37" s="153" t="s" ph="1">
        <v>210</v>
      </c>
      <c r="AW37" s="153" t="s" ph="1">
        <v>211</v>
      </c>
      <c r="AX37" s="153" t="s" ph="1">
        <v>212</v>
      </c>
      <c r="AY37" s="153" t="s" ph="1">
        <v>211</v>
      </c>
      <c r="AZ37" s="153" t="s" ph="1">
        <v>213</v>
      </c>
      <c r="BD37" s="153" t="s" ph="1">
        <v>305</v>
      </c>
      <c r="BE37" s="153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279" priority="98">
      <formula>ABS(D$7-D$10)&gt;=1000</formula>
    </cfRule>
  </conditionalFormatting>
  <conditionalFormatting sqref="E4 E6:E11">
    <cfRule type="expression" dxfId="1278" priority="97">
      <formula>ABS(E$7-E$10)&gt;=1000</formula>
    </cfRule>
  </conditionalFormatting>
  <conditionalFormatting sqref="F4:F11">
    <cfRule type="expression" dxfId="1277" priority="96">
      <formula>ABS(F$7-F$10)&gt;=1000</formula>
    </cfRule>
  </conditionalFormatting>
  <conditionalFormatting sqref="G4:G11">
    <cfRule type="expression" dxfId="1276" priority="95">
      <formula>ABS(G$7-G$10)&gt;=1000</formula>
    </cfRule>
  </conditionalFormatting>
  <conditionalFormatting sqref="H4:H11">
    <cfRule type="expression" dxfId="1275" priority="94">
      <formula>ABS(H$7-H$10)&gt;=1000</formula>
    </cfRule>
  </conditionalFormatting>
  <conditionalFormatting sqref="I4:I11">
    <cfRule type="expression" dxfId="1274" priority="93">
      <formula>ABS(I$7-I$10)&gt;=1000</formula>
    </cfRule>
  </conditionalFormatting>
  <conditionalFormatting sqref="J4:J11">
    <cfRule type="expression" dxfId="1273" priority="92">
      <formula>ABS(J$7-J$10)&gt;=1000</formula>
    </cfRule>
  </conditionalFormatting>
  <conditionalFormatting sqref="K4:K11">
    <cfRule type="expression" dxfId="1272" priority="91">
      <formula>ABS(K$7-K$10)&gt;=1000</formula>
    </cfRule>
  </conditionalFormatting>
  <conditionalFormatting sqref="L4:L11">
    <cfRule type="expression" dxfId="1271" priority="90">
      <formula>ABS(L$7-L$10)&gt;=1000</formula>
    </cfRule>
  </conditionalFormatting>
  <conditionalFormatting sqref="M4 M6:M11">
    <cfRule type="expression" dxfId="1270" priority="89">
      <formula>ABS(M$7-M$10)&gt;=1000</formula>
    </cfRule>
  </conditionalFormatting>
  <conditionalFormatting sqref="N4 N6:N11">
    <cfRule type="expression" dxfId="1269" priority="88">
      <formula>ABS(N$7-N$10)&gt;=1000</formula>
    </cfRule>
  </conditionalFormatting>
  <conditionalFormatting sqref="O4 O6:O11">
    <cfRule type="expression" dxfId="1268" priority="87">
      <formula>ABS(O$7-O$10)&gt;=1000</formula>
    </cfRule>
  </conditionalFormatting>
  <conditionalFormatting sqref="P4 P6:P11">
    <cfRule type="expression" dxfId="1267" priority="86">
      <formula>ABS(P$7-P$10)&gt;=1000</formula>
    </cfRule>
  </conditionalFormatting>
  <conditionalFormatting sqref="Q4:Q11">
    <cfRule type="expression" dxfId="1266" priority="85">
      <formula>ABS(Q$7-Q$10)&gt;=1000</formula>
    </cfRule>
  </conditionalFormatting>
  <conditionalFormatting sqref="R4:R11">
    <cfRule type="expression" dxfId="1265" priority="84">
      <formula>ABS(R$7-R$10)&gt;=1000</formula>
    </cfRule>
  </conditionalFormatting>
  <conditionalFormatting sqref="S4:S11">
    <cfRule type="expression" dxfId="1264" priority="83">
      <formula>ABS(S$7-S$10)&gt;=1000</formula>
    </cfRule>
  </conditionalFormatting>
  <conditionalFormatting sqref="T4:T9 T11">
    <cfRule type="expression" dxfId="1263" priority="82">
      <formula>ABS(T$7-T$10)&gt;=1000</formula>
    </cfRule>
  </conditionalFormatting>
  <conditionalFormatting sqref="U4:U9 U11">
    <cfRule type="expression" dxfId="1262" priority="81">
      <formula>ABS(U$7-U$10)&gt;=1000</formula>
    </cfRule>
  </conditionalFormatting>
  <conditionalFormatting sqref="V4:V9 V11">
    <cfRule type="expression" dxfId="1261" priority="80">
      <formula>ABS(V$7-V$10)&gt;=1000</formula>
    </cfRule>
  </conditionalFormatting>
  <conditionalFormatting sqref="W4:W9 W11">
    <cfRule type="expression" dxfId="1260" priority="79">
      <formula>ABS(W$7-W$10)&gt;=1000</formula>
    </cfRule>
  </conditionalFormatting>
  <conditionalFormatting sqref="X4:X9 X11">
    <cfRule type="expression" dxfId="1259" priority="78">
      <formula>ABS(X$7-X$10)&gt;=1000</formula>
    </cfRule>
  </conditionalFormatting>
  <conditionalFormatting sqref="Y4:Y9 Y11">
    <cfRule type="expression" dxfId="1258" priority="77">
      <formula>ABS(Y$7-Y$10)&gt;=1000</formula>
    </cfRule>
  </conditionalFormatting>
  <conditionalFormatting sqref="Z4:Z11">
    <cfRule type="expression" dxfId="1257" priority="76">
      <formula>ABS(Z$7-Z$10)&gt;=1000</formula>
    </cfRule>
  </conditionalFormatting>
  <conditionalFormatting sqref="AA4:AA11">
    <cfRule type="expression" dxfId="1256" priority="75">
      <formula>ABS(AA$7-AA$10)&gt;=1000</formula>
    </cfRule>
  </conditionalFormatting>
  <conditionalFormatting sqref="AB4:AB11">
    <cfRule type="expression" dxfId="1255" priority="74">
      <formula>ABS(AB$7-AB$10)&gt;=1000</formula>
    </cfRule>
  </conditionalFormatting>
  <conditionalFormatting sqref="AC4 AC6:AC11">
    <cfRule type="expression" dxfId="1254" priority="73">
      <formula>ABS(AC$7-AC$10)&gt;=1000</formula>
    </cfRule>
  </conditionalFormatting>
  <conditionalFormatting sqref="AD4:AD11">
    <cfRule type="expression" dxfId="1253" priority="72">
      <formula>ABS(AD$7-AD$10)&gt;=1000</formula>
    </cfRule>
  </conditionalFormatting>
  <conditionalFormatting sqref="AE4 AE6:AE11">
    <cfRule type="expression" dxfId="1252" priority="71">
      <formula>ABS(AE$7-AE$10)&gt;=1000</formula>
    </cfRule>
  </conditionalFormatting>
  <conditionalFormatting sqref="D13:D20">
    <cfRule type="expression" dxfId="1251" priority="70">
      <formula>ABS(D$16-D$19)&gt;=1000</formula>
    </cfRule>
  </conditionalFormatting>
  <conditionalFormatting sqref="E13:E20">
    <cfRule type="expression" dxfId="1250" priority="69">
      <formula>ABS(E$16-E$19)&gt;=1000</formula>
    </cfRule>
  </conditionalFormatting>
  <conditionalFormatting sqref="F13 F15:F20">
    <cfRule type="expression" dxfId="1249" priority="68">
      <formula>ABS(F$16-F$19)&gt;=1000</formula>
    </cfRule>
  </conditionalFormatting>
  <conditionalFormatting sqref="G13:G20">
    <cfRule type="expression" dxfId="1248" priority="67">
      <formula>ABS(G$16-G$19)&gt;=1000</formula>
    </cfRule>
  </conditionalFormatting>
  <conditionalFormatting sqref="H13:H20">
    <cfRule type="expression" dxfId="1247" priority="66">
      <formula>ABS(H$16-H$19)&gt;=1000</formula>
    </cfRule>
  </conditionalFormatting>
  <conditionalFormatting sqref="I13:I20">
    <cfRule type="expression" dxfId="1246" priority="65">
      <formula>ABS(I$16-I$19)&gt;=1000</formula>
    </cfRule>
  </conditionalFormatting>
  <conditionalFormatting sqref="J13:J20">
    <cfRule type="expression" dxfId="1245" priority="64">
      <formula>ABS(J$16-J$19)&gt;=1000</formula>
    </cfRule>
  </conditionalFormatting>
  <conditionalFormatting sqref="L13:L20">
    <cfRule type="expression" dxfId="1244" priority="63">
      <formula>ABS(L$16-L$19)&gt;=1000</formula>
    </cfRule>
  </conditionalFormatting>
  <conditionalFormatting sqref="M13 M15 M17:M18 M20">
    <cfRule type="expression" dxfId="1243" priority="62">
      <formula>ABS(M$16-M$19)&gt;=1000</formula>
    </cfRule>
  </conditionalFormatting>
  <conditionalFormatting sqref="N13:N20">
    <cfRule type="expression" dxfId="1242" priority="61">
      <formula>ABS(N$16-N$19)&gt;=1000</formula>
    </cfRule>
  </conditionalFormatting>
  <conditionalFormatting sqref="O13:O20">
    <cfRule type="expression" dxfId="1241" priority="60">
      <formula>ABS(O$16-O$19)&gt;=1000</formula>
    </cfRule>
  </conditionalFormatting>
  <conditionalFormatting sqref="P13:P20">
    <cfRule type="expression" dxfId="1240" priority="59">
      <formula>ABS(P$16-P$19)&gt;=1000</formula>
    </cfRule>
  </conditionalFormatting>
  <conditionalFormatting sqref="Q13 Q15:Q20">
    <cfRule type="expression" dxfId="1239" priority="58">
      <formula>ABS(Q$16-Q$19)&gt;=1000</formula>
    </cfRule>
  </conditionalFormatting>
  <conditionalFormatting sqref="R13:R20">
    <cfRule type="expression" dxfId="1238" priority="57">
      <formula>ABS(R$16-R$19)&gt;=1000</formula>
    </cfRule>
  </conditionalFormatting>
  <conditionalFormatting sqref="S13:S20">
    <cfRule type="expression" dxfId="1237" priority="56">
      <formula>ABS(S$16-S$19)&gt;=1000</formula>
    </cfRule>
  </conditionalFormatting>
  <conditionalFormatting sqref="T13:T20">
    <cfRule type="expression" dxfId="1236" priority="55">
      <formula>ABS(T$16-T$19)&gt;=1000</formula>
    </cfRule>
  </conditionalFormatting>
  <conditionalFormatting sqref="U13:U20">
    <cfRule type="expression" dxfId="1235" priority="54">
      <formula>ABS(U$16-U$19)&gt;=1000</formula>
    </cfRule>
  </conditionalFormatting>
  <conditionalFormatting sqref="V13:V20">
    <cfRule type="expression" dxfId="1234" priority="53">
      <formula>ABS(V$16-V$19)&gt;=1000</formula>
    </cfRule>
  </conditionalFormatting>
  <conditionalFormatting sqref="W13 W20 W15:W18">
    <cfRule type="expression" dxfId="1233" priority="52">
      <formula>ABS(W$16-W$19)&gt;=1000</formula>
    </cfRule>
  </conditionalFormatting>
  <conditionalFormatting sqref="X13 X15:X20 Y19">
    <cfRule type="expression" dxfId="1232" priority="51">
      <formula>ABS(X$16-X$19)&gt;=1000</formula>
    </cfRule>
  </conditionalFormatting>
  <conditionalFormatting sqref="Y13 Y15:Y18 Y20">
    <cfRule type="expression" dxfId="1231" priority="50">
      <formula>ABS(Y$16-Y$19)&gt;=1000</formula>
    </cfRule>
  </conditionalFormatting>
  <conditionalFormatting sqref="Z13:Z20">
    <cfRule type="expression" dxfId="1230" priority="49">
      <formula>ABS(Z$16-Z$19)&gt;=1000</formula>
    </cfRule>
  </conditionalFormatting>
  <conditionalFormatting sqref="AA13:AA20">
    <cfRule type="expression" dxfId="1229" priority="48">
      <formula>ABS(AA$16-AA$19)&gt;=1000</formula>
    </cfRule>
  </conditionalFormatting>
  <conditionalFormatting sqref="AB13 AB15:AB20">
    <cfRule type="expression" dxfId="1228" priority="47">
      <formula>ABS(AB$16-AB$19)&gt;=1000</formula>
    </cfRule>
  </conditionalFormatting>
  <conditionalFormatting sqref="AC13 AC15:AC20">
    <cfRule type="expression" dxfId="1227" priority="46">
      <formula>ABS(AC$16-AC$19)&gt;=1000</formula>
    </cfRule>
  </conditionalFormatting>
  <conditionalFormatting sqref="AD13:AD20">
    <cfRule type="expression" dxfId="1226" priority="45">
      <formula>ABS(AD$16-AD$19)&gt;=1000</formula>
    </cfRule>
  </conditionalFormatting>
  <conditionalFormatting sqref="AE13:AE20">
    <cfRule type="expression" dxfId="1225" priority="44">
      <formula>ABS(AE$16-AE$19)&gt;=1000</formula>
    </cfRule>
  </conditionalFormatting>
  <conditionalFormatting sqref="D22:D29">
    <cfRule type="expression" dxfId="1224" priority="43">
      <formula>ABS(D$25-D$28)&gt;=1000</formula>
    </cfRule>
  </conditionalFormatting>
  <conditionalFormatting sqref="E22:E29">
    <cfRule type="expression" dxfId="1223" priority="42">
      <formula>ABS(E$25-E$28)&gt;=1000</formula>
    </cfRule>
  </conditionalFormatting>
  <conditionalFormatting sqref="F22:F29">
    <cfRule type="expression" dxfId="1222" priority="41">
      <formula>ABS(F$25-F$28)&gt;=1000</formula>
    </cfRule>
  </conditionalFormatting>
  <conditionalFormatting sqref="G22:G29">
    <cfRule type="expression" dxfId="1221" priority="40">
      <formula>ABS(G$25-G$28)&gt;=1000</formula>
    </cfRule>
  </conditionalFormatting>
  <conditionalFormatting sqref="H22:H29">
    <cfRule type="expression" dxfId="1220" priority="39">
      <formula>ABS(H$25-H$28)&gt;=1000</formula>
    </cfRule>
  </conditionalFormatting>
  <conditionalFormatting sqref="I22 I24:I29">
    <cfRule type="expression" dxfId="1219" priority="38">
      <formula>ABS(I$25-I$28)&gt;=1000</formula>
    </cfRule>
  </conditionalFormatting>
  <conditionalFormatting sqref="J22:J29 K22">
    <cfRule type="expression" dxfId="1218" priority="37">
      <formula>ABS(J$25-J$28)&gt;=1000</formula>
    </cfRule>
  </conditionalFormatting>
  <conditionalFormatting sqref="K23:K29 L25 L28">
    <cfRule type="expression" dxfId="1217" priority="36">
      <formula>ABS(K$25-K$28)&gt;=1000</formula>
    </cfRule>
  </conditionalFormatting>
  <conditionalFormatting sqref="L22 L26:L27 L29 L24">
    <cfRule type="expression" dxfId="1216" priority="35">
      <formula>ABS(L$25-L$28)&gt;=1000</formula>
    </cfRule>
  </conditionalFormatting>
  <conditionalFormatting sqref="M22:M29">
    <cfRule type="expression" dxfId="1215" priority="34">
      <formula>ABS(M$25-M$28)&gt;=1000</formula>
    </cfRule>
  </conditionalFormatting>
  <conditionalFormatting sqref="N22:N29">
    <cfRule type="expression" dxfId="1214" priority="33">
      <formula>ABS(N$25-N$28)&gt;=1000</formula>
    </cfRule>
  </conditionalFormatting>
  <conditionalFormatting sqref="O22:O29">
    <cfRule type="expression" dxfId="1213" priority="32">
      <formula>ABS(O$25-O$28)&gt;=1000</formula>
    </cfRule>
  </conditionalFormatting>
  <conditionalFormatting sqref="P22:P29">
    <cfRule type="expression" dxfId="1212" priority="31">
      <formula>ABS(P$25-P$28)&gt;=1000</formula>
    </cfRule>
  </conditionalFormatting>
  <conditionalFormatting sqref="Q22:Q29">
    <cfRule type="expression" dxfId="1211" priority="30">
      <formula>ABS(Q$25-Q$28)&gt;=1000</formula>
    </cfRule>
  </conditionalFormatting>
  <conditionalFormatting sqref="R22:R29">
    <cfRule type="expression" dxfId="1210" priority="29">
      <formula>ABS(R$25-R$28)&gt;=1000</formula>
    </cfRule>
  </conditionalFormatting>
  <conditionalFormatting sqref="S22:S29">
    <cfRule type="expression" dxfId="1209" priority="28">
      <formula>ABS(S$25-S$28)&gt;=1000</formula>
    </cfRule>
  </conditionalFormatting>
  <conditionalFormatting sqref="T22:T29">
    <cfRule type="expression" dxfId="1208" priority="27">
      <formula>ABS(T$25-T$28)&gt;=1000</formula>
    </cfRule>
  </conditionalFormatting>
  <conditionalFormatting sqref="U22:U29">
    <cfRule type="expression" dxfId="1207" priority="26">
      <formula>ABS(U$25-U$28)&gt;=1000</formula>
    </cfRule>
  </conditionalFormatting>
  <conditionalFormatting sqref="V22:V29">
    <cfRule type="expression" dxfId="1206" priority="25">
      <formula>ABS(V$25-V$28)&gt;=1000</formula>
    </cfRule>
  </conditionalFormatting>
  <conditionalFormatting sqref="W22:W29">
    <cfRule type="expression" dxfId="1205" priority="24">
      <formula>ABS(W$25-W$28)&gt;=1000</formula>
    </cfRule>
  </conditionalFormatting>
  <conditionalFormatting sqref="X22:X29">
    <cfRule type="expression" dxfId="1204" priority="23">
      <formula>ABS(X$25-X$28)&gt;=1000</formula>
    </cfRule>
  </conditionalFormatting>
  <conditionalFormatting sqref="Y22:Y29">
    <cfRule type="expression" dxfId="1203" priority="22">
      <formula>ABS(Y$25-Y$28)&gt;=1000</formula>
    </cfRule>
  </conditionalFormatting>
  <conditionalFormatting sqref="I23">
    <cfRule type="expression" dxfId="1202" priority="21">
      <formula>ABS(I$25-I$28)&gt;=1000</formula>
    </cfRule>
  </conditionalFormatting>
  <conditionalFormatting sqref="Q14">
    <cfRule type="expression" dxfId="1201" priority="20">
      <formula>ABS(Q$16-Q$19)&gt;=1000</formula>
    </cfRule>
  </conditionalFormatting>
  <conditionalFormatting sqref="W14">
    <cfRule type="expression" dxfId="1200" priority="19">
      <formula>ABS(W$16-W$19)&gt;=1000</formula>
    </cfRule>
  </conditionalFormatting>
  <conditionalFormatting sqref="Y14">
    <cfRule type="expression" dxfId="1199" priority="18">
      <formula>ABS(Y$16-Y$19)&gt;=1000</formula>
    </cfRule>
  </conditionalFormatting>
  <conditionalFormatting sqref="X14">
    <cfRule type="expression" dxfId="1198" priority="17">
      <formula>ABS(X$16-X$19)&gt;=1000</formula>
    </cfRule>
  </conditionalFormatting>
  <conditionalFormatting sqref="T10:Y10">
    <cfRule type="expression" dxfId="1197" priority="16">
      <formula>ABS(T$7-T$10)&gt;=1000</formula>
    </cfRule>
  </conditionalFormatting>
  <conditionalFormatting sqref="W19">
    <cfRule type="expression" dxfId="1196" priority="15">
      <formula>ABS(W$16-W$19)&gt;=1000</formula>
    </cfRule>
  </conditionalFormatting>
  <conditionalFormatting sqref="AC5">
    <cfRule type="expression" dxfId="1195" priority="14">
      <formula>ABS(AC$7-AC$10)&gt;=1000</formula>
    </cfRule>
  </conditionalFormatting>
  <conditionalFormatting sqref="M14">
    <cfRule type="expression" dxfId="1194" priority="13">
      <formula>ABS(M$16-M$19)&gt;=1000</formula>
    </cfRule>
  </conditionalFormatting>
  <conditionalFormatting sqref="M16">
    <cfRule type="expression" dxfId="1193" priority="12">
      <formula>ABS(M$16-M$19)&gt;=1000</formula>
    </cfRule>
  </conditionalFormatting>
  <conditionalFormatting sqref="M19">
    <cfRule type="expression" dxfId="1192" priority="11">
      <formula>ABS(M$16-M$19)&gt;=1000</formula>
    </cfRule>
  </conditionalFormatting>
  <conditionalFormatting sqref="K13:K20">
    <cfRule type="expression" dxfId="1191" priority="10">
      <formula>ABS(K$16-K$19)&gt;=1000</formula>
    </cfRule>
  </conditionalFormatting>
  <conditionalFormatting sqref="E5">
    <cfRule type="expression" dxfId="1190" priority="9">
      <formula>ABS(E$7-E$10)&gt;=1000</formula>
    </cfRule>
  </conditionalFormatting>
  <conditionalFormatting sqref="AB14:AC14">
    <cfRule type="expression" dxfId="1189" priority="8">
      <formula>ABS(AB$16-AB$19)&gt;=1000</formula>
    </cfRule>
  </conditionalFormatting>
  <conditionalFormatting sqref="M5">
    <cfRule type="expression" dxfId="1188" priority="7">
      <formula>ABS(M$7-M$10)&gt;=1000</formula>
    </cfRule>
  </conditionalFormatting>
  <conditionalFormatting sqref="N5">
    <cfRule type="expression" dxfId="1187" priority="6">
      <formula>ABS(N$7-N$10)&gt;=1000</formula>
    </cfRule>
  </conditionalFormatting>
  <conditionalFormatting sqref="O5">
    <cfRule type="expression" dxfId="1186" priority="5">
      <formula>ABS(O$7-O$10)&gt;=1000</formula>
    </cfRule>
  </conditionalFormatting>
  <conditionalFormatting sqref="P5">
    <cfRule type="expression" dxfId="1185" priority="4">
      <formula>ABS(P$7-P$10)&gt;=1000</formula>
    </cfRule>
  </conditionalFormatting>
  <conditionalFormatting sqref="L23">
    <cfRule type="expression" dxfId="1184" priority="3">
      <formula>ABS(L$25-L$28)&gt;=1000</formula>
    </cfRule>
  </conditionalFormatting>
  <conditionalFormatting sqref="F14">
    <cfRule type="expression" dxfId="1183" priority="2">
      <formula>ABS(F$16-F$19)&gt;=1000</formula>
    </cfRule>
  </conditionalFormatting>
  <conditionalFormatting sqref="AE5">
    <cfRule type="expression" dxfId="1182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468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66">
    <pageSetUpPr fitToPage="1"/>
  </sheetPr>
  <dimension ref="A1:CU223"/>
  <sheetViews>
    <sheetView tabSelected="1" view="pageBreakPreview" zoomScale="70" zoomScaleNormal="100" zoomScaleSheetLayoutView="70" workbookViewId="0">
      <selection activeCell="AF24" sqref="AF2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8" t="s" ph="1">
        <v>161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" customHeight="1" ph="1">
      <c r="B3" s="240" ph="1">
        <v>45979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9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55" t="s" ph="1">
        <v>177</v>
      </c>
      <c r="D6" s="71">
        <v>6890</v>
      </c>
      <c r="E6" s="71">
        <v>424</v>
      </c>
      <c r="F6" s="71">
        <v>5096</v>
      </c>
      <c r="G6" s="71">
        <v>1302</v>
      </c>
      <c r="H6" s="71">
        <v>18</v>
      </c>
      <c r="I6" s="71">
        <v>40.770000000000003</v>
      </c>
      <c r="J6" s="71">
        <v>7.05</v>
      </c>
      <c r="K6" s="71">
        <v>8.4600000000000009</v>
      </c>
      <c r="L6" s="71">
        <v>16.22</v>
      </c>
      <c r="M6" s="71">
        <v>4168</v>
      </c>
      <c r="N6" s="71">
        <v>1353</v>
      </c>
      <c r="O6" s="71">
        <v>104</v>
      </c>
      <c r="P6" s="71">
        <v>4417</v>
      </c>
      <c r="Q6" s="71">
        <v>7025</v>
      </c>
      <c r="R6" s="71">
        <v>7112</v>
      </c>
      <c r="S6" s="71">
        <v>6464</v>
      </c>
      <c r="T6" s="71">
        <v>2916</v>
      </c>
      <c r="U6" s="71">
        <v>2831</v>
      </c>
      <c r="V6" s="71">
        <v>0</v>
      </c>
      <c r="W6" s="71">
        <v>0</v>
      </c>
      <c r="X6" s="71">
        <v>4974</v>
      </c>
      <c r="Y6" s="71">
        <v>4603</v>
      </c>
      <c r="Z6" s="71">
        <v>5724</v>
      </c>
      <c r="AA6" s="71">
        <v>1939</v>
      </c>
      <c r="AB6" s="71">
        <v>3274</v>
      </c>
      <c r="AC6" s="71">
        <v>5410</v>
      </c>
      <c r="AD6" s="71">
        <v>4780</v>
      </c>
      <c r="AE6" s="71">
        <v>4126</v>
      </c>
    </row>
    <row r="7" spans="1:99" s="72" customFormat="1" ht="22.2" ph="1">
      <c r="B7" s="237" ph="1"/>
      <c r="C7" s="68" t="s" ph="1">
        <v>178</v>
      </c>
      <c r="D7" s="73" ph="1">
        <f>D6*33.183*LOOKUP(D8,密度!$A$2:$A$50,密度!$Q$2:$Q$50)</f>
        <v>217480.54247009999</v>
      </c>
      <c r="E7" s="73" ph="1">
        <f>E6*51.53*LOOKUP(E8,密度!$A$2:$A$50,密度!$B$2:$B$50)</f>
        <v>17149.060328000003</v>
      </c>
      <c r="F7" s="73" ph="1">
        <f>F6*33.183*LOOKUP(F8,密度!$A$2:$A$50,密度!$C$2:$C$50)</f>
        <v>188141.29195680001</v>
      </c>
      <c r="G7" s="73" ph="1">
        <f xml:space="preserve"> (G6+2)*51.53*LOOKUP(G8,密度!$A$2:$A$50,密度!$B$2:$B$50)</f>
        <v>52895.998463999997</v>
      </c>
      <c r="H7" s="73" ph="1">
        <f>(H6)*51.53*LOOKUP(H8,密度!$A$2:$A$50,密度!$B$2:$B$50)</f>
        <v>730.15948800000001</v>
      </c>
      <c r="I7" s="73" ph="1">
        <f>I6*290.8*1.0267</f>
        <v>12172.468957200001</v>
      </c>
      <c r="J7" s="73" ph="1">
        <f>J6*290.8*0.7892</f>
        <v>1617.9704879999999</v>
      </c>
      <c r="K7" s="73" ph="1">
        <f>K6*290.8*1.1126</f>
        <v>2737.1829168000004</v>
      </c>
      <c r="L7" s="73" ph="1">
        <f>L6*290.8*0.777</f>
        <v>3664.9349520000001</v>
      </c>
      <c r="M7" s="73" ph="1">
        <f>M6*33.183*LOOKUP(M8,密度!$A$2:$A$50,密度!$D$2:$D$50)</f>
        <v>142525.09969199999</v>
      </c>
      <c r="N7" s="73" ph="1">
        <f>N6*33.183*LOOKUP(N8,密度!$A$2:$A$50,密度!$E$2:$E$50)</f>
        <v>35324.644093200004</v>
      </c>
      <c r="O7" s="73" ph="1">
        <f>O6*20.428*LOOKUP(O8,密度!$A$2:$A$50,密度!$C$2:$C$50)</f>
        <v>2359.0581248000003</v>
      </c>
      <c r="P7" s="73" ph="1">
        <f>P6*51.53*LOOKUP(P8,密度!$A$2:$A$50,密度!$B$2:$B$50)</f>
        <v>178262.59343200002</v>
      </c>
      <c r="Q7" s="73" ph="1">
        <f>Q6*1.5*1.5*3.1416*LOOKUP(W8,密度!$A$2:$A$50,密度!$L$2:$L$50)</f>
        <v>46776.813929999997</v>
      </c>
      <c r="R7" s="73" ph="1">
        <f>R6*1.5*1.5*3.1416*LOOKUP(R8,密度!$A$2:$A$50,密度!$L$2:$L$50)</f>
        <v>47255.570207999997</v>
      </c>
      <c r="S7" s="73" ph="1">
        <f>S6*1.5*1.5*3.1416*LOOKUP(S8,密度!$A$2:$A$50,密度!$L$2:$L$50)</f>
        <v>43132.710297599995</v>
      </c>
      <c r="T7" s="73" ph="1">
        <f>T6*1.5*1.5*3.1416*LOOKUP(T8,密度!$A$2:$A$50,密度!$L$2:$L$50)</f>
        <v>19478.375531999998</v>
      </c>
      <c r="U7" s="73" ph="1">
        <f>U6*1.5*1.5*3.1416*LOOKUP(U8,密度!$A$2:$A$50,密度!$L$2:$L$50)</f>
        <v>18810.534204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33049.663415999996</v>
      </c>
      <c r="Y7" s="73" ph="1">
        <f>Y6*1.5*1.5*3.1416*LOOKUP(Y8,密度!$A$2:$A$50,密度!$L$2:$L$50)</f>
        <v>30617.096617799998</v>
      </c>
      <c r="Z7" s="73" ph="1">
        <f>Z6*33.183*LOOKUP(Z8,密度!$A$2:$A$50,密度!$L$2:$L$50)</f>
        <v>179302.88044799998</v>
      </c>
      <c r="AA7" s="73" ph="1">
        <f>AA6*33.183*LOOKUP(AA8,密度!$A$2:$A$50,密度!$D$2:$D$50)</f>
        <v>66304.26302849999</v>
      </c>
      <c r="AB7" s="73" ph="1">
        <f>AB6*20.428*LOOKUP(AB8,密度!$A$2:$A$50,密度!$D$2:$D$50)</f>
        <v>69322.438427999994</v>
      </c>
      <c r="AC7" s="73" ph="1">
        <f>AC6*51.53*LOOKUP(AC8,密度!$A$2:$A$50,密度!$Q$2:$Q$50)</f>
        <v>264944.37037399999</v>
      </c>
      <c r="AD7" s="73" ph="1">
        <f>AD6*20.428*LOOKUP(AD8,密度!$A$2:$A$50,密度!$V$2:$V$50)</f>
        <v>94130.589760000003</v>
      </c>
      <c r="AE7" s="73" ph="1">
        <f>AE6*20.428</f>
        <v>84285.928</v>
      </c>
    </row>
    <row r="8" spans="1:99" ph="1">
      <c r="B8" s="237" ph="1"/>
      <c r="C8" s="68" t="s" ph="1">
        <v>179</v>
      </c>
      <c r="D8" s="74">
        <v>19</v>
      </c>
      <c r="E8" s="74">
        <v>19</v>
      </c>
      <c r="F8" s="74">
        <v>20</v>
      </c>
      <c r="G8" s="74">
        <v>16</v>
      </c>
      <c r="H8" s="74">
        <v>16</v>
      </c>
      <c r="I8" s="74">
        <v>25</v>
      </c>
      <c r="J8" s="74">
        <v>25</v>
      </c>
      <c r="K8" s="74">
        <v>25</v>
      </c>
      <c r="L8" s="74">
        <v>25</v>
      </c>
      <c r="M8" s="74">
        <v>21</v>
      </c>
      <c r="N8" s="74">
        <v>22</v>
      </c>
      <c r="O8" s="74">
        <v>23</v>
      </c>
      <c r="P8" s="74">
        <v>21</v>
      </c>
      <c r="Q8" s="74">
        <v>20</v>
      </c>
      <c r="R8" s="74">
        <v>22</v>
      </c>
      <c r="S8" s="74">
        <v>18</v>
      </c>
      <c r="T8" s="74">
        <v>17</v>
      </c>
      <c r="U8" s="74">
        <v>22</v>
      </c>
      <c r="V8" s="74">
        <v>21</v>
      </c>
      <c r="W8" s="74">
        <v>20</v>
      </c>
      <c r="X8" s="74">
        <v>22</v>
      </c>
      <c r="Y8" s="74">
        <v>21</v>
      </c>
      <c r="Z8" s="74">
        <v>18</v>
      </c>
      <c r="AA8" s="74">
        <v>21</v>
      </c>
      <c r="AB8" s="74">
        <v>14</v>
      </c>
      <c r="AC8" s="74">
        <v>20</v>
      </c>
      <c r="AD8" s="74">
        <v>20</v>
      </c>
      <c r="AE8" s="74">
        <v>21</v>
      </c>
    </row>
    <row r="9" spans="1:99" ht="26.4" ph="1">
      <c r="B9" s="237" ph="1">
        <v>0.66666666666666663</v>
      </c>
      <c r="C9" s="155" t="s" ph="1">
        <v>180</v>
      </c>
      <c r="D9" s="71">
        <v>6890</v>
      </c>
      <c r="E9" s="71">
        <v>424</v>
      </c>
      <c r="F9" s="71">
        <v>4598</v>
      </c>
      <c r="G9" s="71">
        <v>1023</v>
      </c>
      <c r="H9" s="71">
        <v>18</v>
      </c>
      <c r="I9" s="71">
        <v>40.78</v>
      </c>
      <c r="J9" s="71">
        <v>7.02</v>
      </c>
      <c r="K9" s="71">
        <v>8.43</v>
      </c>
      <c r="L9" s="71">
        <v>40.81</v>
      </c>
      <c r="M9" s="71">
        <v>4168</v>
      </c>
      <c r="N9" s="71">
        <v>1351</v>
      </c>
      <c r="O9" s="71">
        <v>104</v>
      </c>
      <c r="P9" s="71">
        <v>3857</v>
      </c>
      <c r="Q9" s="71">
        <v>7024</v>
      </c>
      <c r="R9" s="71">
        <v>7112</v>
      </c>
      <c r="S9" s="71">
        <v>6463</v>
      </c>
      <c r="T9" s="71">
        <v>5943</v>
      </c>
      <c r="U9" s="71">
        <v>4642</v>
      </c>
      <c r="V9" s="71">
        <v>0</v>
      </c>
      <c r="W9" s="71">
        <v>0</v>
      </c>
      <c r="X9" s="71">
        <v>758</v>
      </c>
      <c r="Y9" s="71">
        <v>4607</v>
      </c>
      <c r="Z9" s="71">
        <v>3422</v>
      </c>
      <c r="AA9" s="71">
        <v>1938</v>
      </c>
      <c r="AB9" s="71">
        <v>3003</v>
      </c>
      <c r="AC9" s="71">
        <v>5671</v>
      </c>
      <c r="AD9" s="71">
        <v>4780</v>
      </c>
      <c r="AE9" s="71">
        <v>3934</v>
      </c>
    </row>
    <row r="10" spans="1:99" s="72" customFormat="1" ht="22.2" ph="1">
      <c r="B10" s="237" ph="1"/>
      <c r="C10" s="155" t="s" ph="1">
        <v>178</v>
      </c>
      <c r="D10" s="73" ph="1">
        <f>D9*33.183*LOOKUP(D11,密度!$A$2:$A$50,密度!$Q$2:$Q$50)</f>
        <v>217286.20623059999</v>
      </c>
      <c r="E10" s="73" ph="1">
        <f>E9*51.53*LOOKUP(E11,密度!$A$2:$A$50,密度!$B$2:$B$50)</f>
        <v>17131.581352000001</v>
      </c>
      <c r="F10" s="73" ph="1">
        <f>F9*33.183*LOOKUP(F11,密度!$A$2:$A$50,密度!$C$2:$C$50)</f>
        <v>169648.62506460003</v>
      </c>
      <c r="G10" s="73" ph="1">
        <f xml:space="preserve"> (G9+2)*51.53*LOOKUP(G11,密度!$A$2:$A$50,密度!$B$2:$B$50)</f>
        <v>41536.271800000002</v>
      </c>
      <c r="H10" s="73" ph="1">
        <f>(H9)*51.53*LOOKUP(H11,密度!$A$2:$A$50,密度!$B$2:$B$50)</f>
        <v>729.41745600000002</v>
      </c>
      <c r="I10" s="73" ph="1">
        <f>I9*290.8*1.0267</f>
        <v>12175.4546008</v>
      </c>
      <c r="J10" s="73" ph="1">
        <f>J9*290.8*0.7892</f>
        <v>1611.0855071999999</v>
      </c>
      <c r="K10" s="73" ph="1">
        <f>K9*290.8*1.1126</f>
        <v>2727.4765944000001</v>
      </c>
      <c r="L10" s="73" ph="1">
        <f>L9*290.8*0.777</f>
        <v>9221.084796000001</v>
      </c>
      <c r="M10" s="73" ph="1">
        <f>M9*33.183*LOOKUP(M11,密度!$A$2:$A$50,密度!$D$2:$D$50)</f>
        <v>142525.09969199999</v>
      </c>
      <c r="N10" s="73" ph="1">
        <f>N9*33.183*LOOKUP(N11,密度!$A$2:$A$50,密度!$E$2:$E$50)</f>
        <v>35218.6310448</v>
      </c>
      <c r="O10" s="73" ph="1">
        <f>O9*20.428*LOOKUP(O11,密度!$A$2:$A$50,密度!$C$2:$C$50)</f>
        <v>2357.3585152000001</v>
      </c>
      <c r="P10" s="73" ph="1">
        <f>P9*51.53*LOOKUP(P11,密度!$A$2:$A$50,密度!$B$2:$B$50)</f>
        <v>155661.94767200001</v>
      </c>
      <c r="Q10" s="73" ph="1">
        <f>Q9*1.5*1.5*3.1416*LOOKUP(W11,密度!$A$2:$A$50,密度!$L$2:$L$50)</f>
        <v>46670.855616000001</v>
      </c>
      <c r="R10" s="73" ph="1">
        <f>R9*1.5*1.5*3.1416*LOOKUP(R11,密度!$A$2:$A$50,密度!$L$2:$L$50)</f>
        <v>47054.482675200001</v>
      </c>
      <c r="S10" s="73" ph="1">
        <f>S9*1.5*1.5*3.1416*LOOKUP(S11,密度!$A$2:$A$50,密度!$L$2:$L$50)</f>
        <v>42988.984453799996</v>
      </c>
      <c r="T10" s="73" ph="1">
        <f>T9*1.5*1.5*3.1416*LOOKUP(T11,密度!$A$2:$A$50,密度!$L$2:$L$50)</f>
        <v>39698.211860999996</v>
      </c>
      <c r="U10" s="73" ph="1">
        <f>U9*1.5*1.5*3.1416*LOOKUP(U11,密度!$A$2:$A$50,密度!$L$2:$L$50)</f>
        <v>30876.507169199998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5025.8028744000003</v>
      </c>
      <c r="Y10" s="73" ph="1">
        <f>Y9*1.5*1.5*3.1416*LOOKUP(Y11,密度!$A$2:$A$50,密度!$L$2:$L$50)</f>
        <v>30643.702828199999</v>
      </c>
      <c r="Z10" s="73" ph="1">
        <f>Z9*33.183*LOOKUP(Z11,密度!$A$2:$A$50,密度!$L$2:$L$50)</f>
        <v>107193.30134399999</v>
      </c>
      <c r="AA10" s="73" ph="1">
        <f>AA9*33.183*LOOKUP(AA11,密度!$A$2:$A$50,密度!$D$2:$D$50)</f>
        <v>66205.75929300001</v>
      </c>
      <c r="AB10" s="73" ph="1">
        <f>AB9*20.428*LOOKUP(AB11,密度!$A$2:$A$50,密度!$D$2:$D$50)</f>
        <v>63529.176110400003</v>
      </c>
      <c r="AC10" s="73" ph="1">
        <f>AC9*51.53*LOOKUP(AC11,密度!$A$2:$A$50,密度!$Q$2:$Q$50)</f>
        <v>277349.37226670003</v>
      </c>
      <c r="AD10" s="73" ph="1">
        <f>AD9*20.428*LOOKUP(AD11,密度!$A$2:$A$50,密度!$V$2:$V$50)</f>
        <v>93818.123072000002</v>
      </c>
      <c r="AE10" s="73" ph="1">
        <f>AE9*20.428</f>
        <v>80363.752000000008</v>
      </c>
    </row>
    <row r="11" spans="1:99" ph="1">
      <c r="A11" s="64" t="s" ph="1">
        <v>162</v>
      </c>
      <c r="B11" s="237" ph="1"/>
      <c r="C11" s="155" t="s" ph="1">
        <v>179</v>
      </c>
      <c r="D11" s="74">
        <v>20</v>
      </c>
      <c r="E11" s="74">
        <v>20</v>
      </c>
      <c r="F11" s="74">
        <v>21</v>
      </c>
      <c r="G11" s="74">
        <v>17</v>
      </c>
      <c r="H11" s="74">
        <v>17</v>
      </c>
      <c r="I11" s="74">
        <v>25</v>
      </c>
      <c r="J11" s="74">
        <v>25</v>
      </c>
      <c r="K11" s="74">
        <v>25</v>
      </c>
      <c r="L11" s="74">
        <v>25</v>
      </c>
      <c r="M11" s="74">
        <v>21</v>
      </c>
      <c r="N11" s="74">
        <v>23</v>
      </c>
      <c r="O11" s="74">
        <v>24</v>
      </c>
      <c r="P11" s="74">
        <v>21</v>
      </c>
      <c r="Q11" s="74">
        <v>23</v>
      </c>
      <c r="R11" s="74">
        <v>26</v>
      </c>
      <c r="S11" s="74">
        <v>21</v>
      </c>
      <c r="T11" s="74">
        <v>17</v>
      </c>
      <c r="U11" s="74">
        <v>21</v>
      </c>
      <c r="V11" s="74">
        <v>24</v>
      </c>
      <c r="W11" s="74">
        <v>22</v>
      </c>
      <c r="X11" s="74">
        <v>24</v>
      </c>
      <c r="Y11" s="74">
        <v>21</v>
      </c>
      <c r="Z11" s="74">
        <v>18</v>
      </c>
      <c r="AA11" s="74">
        <v>22</v>
      </c>
      <c r="AB11" s="74">
        <v>15</v>
      </c>
      <c r="AC11" s="74">
        <v>22</v>
      </c>
      <c r="AD11" s="74">
        <v>21</v>
      </c>
      <c r="AE11" s="74">
        <v>21</v>
      </c>
    </row>
    <row r="12" spans="1:99" ht="9.9" customHeight="1" ph="1"/>
    <row r="13" spans="1:99" s="72" customFormat="1" ht="29.25" customHeight="1" ph="1">
      <c r="B13" s="214" t="s" ph="1">
        <v>37</v>
      </c>
      <c r="C13" s="155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5" ph="1"/>
      <c r="C14" s="67" t="s" ph="1">
        <v>36</v>
      </c>
      <c r="D14" s="77" t="s" ph="1">
        <v>616</v>
      </c>
      <c r="E14" s="77" t="s" ph="1">
        <v>616</v>
      </c>
      <c r="F14" s="77" t="s" ph="1">
        <v>639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636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635</v>
      </c>
      <c r="AC14" s="77" t="s" ph="1">
        <v>637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6" ph="1">
        <v>0.33333333333333331</v>
      </c>
      <c r="C15" s="155" t="s" ph="1">
        <v>177</v>
      </c>
      <c r="D15" s="78">
        <v>0</v>
      </c>
      <c r="E15" s="78">
        <v>69</v>
      </c>
      <c r="F15" s="78">
        <v>988</v>
      </c>
      <c r="G15" s="78">
        <v>3933</v>
      </c>
      <c r="H15" s="78">
        <v>0</v>
      </c>
      <c r="I15" s="78">
        <v>1613</v>
      </c>
      <c r="J15" s="78">
        <v>113</v>
      </c>
      <c r="K15" s="78">
        <v>4760</v>
      </c>
      <c r="L15" s="78">
        <v>3594</v>
      </c>
      <c r="M15" s="78">
        <v>6893</v>
      </c>
      <c r="N15" s="78">
        <v>2988</v>
      </c>
      <c r="O15" s="78">
        <v>3620</v>
      </c>
      <c r="P15" s="78">
        <v>3453</v>
      </c>
      <c r="Q15" s="78">
        <v>1608</v>
      </c>
      <c r="R15" s="78">
        <v>7477</v>
      </c>
      <c r="S15" s="78">
        <v>6177</v>
      </c>
      <c r="T15" s="78">
        <v>1444</v>
      </c>
      <c r="U15" s="78">
        <v>7109</v>
      </c>
      <c r="V15" s="78">
        <v>4923</v>
      </c>
      <c r="W15" s="71">
        <v>5306</v>
      </c>
      <c r="X15" s="78">
        <v>845</v>
      </c>
      <c r="Y15" s="106">
        <v>-9903</v>
      </c>
      <c r="Z15" s="78">
        <v>0</v>
      </c>
      <c r="AA15" s="78">
        <v>0</v>
      </c>
      <c r="AB15" s="78" ph="1">
        <v>1093</v>
      </c>
      <c r="AC15" s="78" ph="1">
        <v>2139</v>
      </c>
      <c r="AD15" s="78">
        <v>5.65</v>
      </c>
      <c r="AE15" s="78">
        <v>74.5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7" ph="1"/>
      <c r="C16" s="155" t="s" ph="1">
        <v>178</v>
      </c>
      <c r="D16" s="73" ph="1">
        <f>D15*7.0686*LOOKUP(D17,密度!$A$2:$A$50,密度!$L$2:$L$50)</f>
        <v>0</v>
      </c>
      <c r="E16" s="73" ph="1">
        <f>E15*7.0686*LOOKUP(E17,密度!$A$2:$A$50,密度!$L$2:$L$50)</f>
        <v>458.95712939999999</v>
      </c>
      <c r="F16" s="73" ph="1">
        <f>F15*9.0746*LOOKUP(F17,密度!$A$2:$A$50,密度!$L$2:$L$50)</f>
        <v>8427.7625119999993</v>
      </c>
      <c r="G16" s="73" ph="1">
        <f>G15*9.0746*LOOKUP(G17,密度!$A$2:$A$50,密度!$B$2:$B$50)</f>
        <v>27856.358604900001</v>
      </c>
      <c r="H16" s="73" ph="1">
        <f>H15*9.0746*LOOKUP(H17,密度!$A$2:$A$50,密度!$L$2:$L$50)</f>
        <v>0</v>
      </c>
      <c r="I16" s="73" ph="1">
        <f>I15*9.0746*LOOKUP(I17,密度!$A$2:$A$50,密度!$U$2:$U$50)</f>
        <v>15047.175034399999</v>
      </c>
      <c r="J16" s="73" ph="1">
        <f>J15*9.0746*LOOKUP(J17,密度!$A$2:$A$50,密度!$L$2:$L$50)</f>
        <v>964.92944180000006</v>
      </c>
      <c r="K16" s="73" ph="1">
        <f>K15*9.0746*LOOKUP(K17,密度!$A$2:$A$50,密度!$C$2:$C$50)</f>
        <v>48058.8638096</v>
      </c>
      <c r="L16" s="73" ph="1">
        <f>L15*9.0746*LOOKUP(L17,密度!$A$2:$A$50,密度!$E$2:$E$50)</f>
        <v>25660.783636320004</v>
      </c>
      <c r="M16" s="73" ph="1">
        <f>M15*9.0746*LOOKUP(M17,密度!$A$2:$A$50,密度!$M$2:$M$50)</f>
        <v>54919.969228399998</v>
      </c>
      <c r="N16" s="73" ph="1">
        <f>N15*9.0746*LOOKUP(N17,密度!$A$2:$A$50,密度!$M$2:$M$50)</f>
        <v>23836.712809680001</v>
      </c>
      <c r="O16" s="73" ph="1">
        <f>O15*9.0746*LOOKUP(O17,密度!$A$2:$A$50,密度!$G$2:$G$50)</f>
        <v>31608.320034400003</v>
      </c>
      <c r="P16" s="73" ph="1">
        <f ca="1">P15*9.0746*LOOKUP(P17,密度!$A$2:$A$51,密度!$Q$2:$Q$50)</f>
        <v>29739.349629642002</v>
      </c>
      <c r="Q16" s="73" ph="1">
        <f>Q15*9.0746*LOOKUP(Q17,密度!$A$2:$A$50,密度!$Q$2:$Q$50)</f>
        <v>13857.835453392001</v>
      </c>
      <c r="R16" s="73" ph="1">
        <f>MAX(R15*9.0746*LOOKUP(R17,密度!$A$2:$A$50,密度!$B$2:$B$50),0)</f>
        <v>53018.602773879997</v>
      </c>
      <c r="S16" s="73" ph="1">
        <f>S15*9.0746*LOOKUP(S17,密度!$A$2:$A$50,密度!$Q$2:$Q$50)</f>
        <v>53200.105028177997</v>
      </c>
      <c r="T16" s="73" ph="1">
        <f>T15*9.0746*LOOKUP(T17,密度!$A$2:$A$50,密度!$O$2:$O$50)</f>
        <v>12186.461832000001</v>
      </c>
      <c r="U16" s="73" ph="1">
        <f>U15*9.0746*LOOKUP(U17,密度!$A$2:$A$50,密度!$H$2:$H$50)</f>
        <v>59395.582819980002</v>
      </c>
      <c r="V16" s="73" ph="1">
        <f>MAX(5600*LOOKUP(V17,密度!$A$2:$A$50,密度!$Q$2:$Q$50)+V15*9.0476*LOOKUP(V17,密度!$A$2:$A$50,密度!$Q$2:$Q$50),0)</f>
        <v>47588.639445331995</v>
      </c>
      <c r="W16" s="73" ph="1">
        <f>MAX(5600*LOOKUP(W17,密度!$A$2:$A$50,密度!$Q$2:$Q$50)+W15*9.0476*LOOKUP(W17,密度!$A$2:$A$50,密度!$Q$2:$Q$50),0)</f>
        <v>50877.455345303999</v>
      </c>
      <c r="X16" s="73" ph="1">
        <f>MAX(5600*LOOKUP(X17,密度!$A$2:$A$50,密度!$I$2:$I$50)+X15*9.0476*LOOKUP(X17,密度!$A$2:$A$50,密度!$I$2:$I$50),0)</f>
        <v>13687.612414800002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9343.2626075999997</v>
      </c>
      <c r="AC16" s="73" ph="1">
        <f>AC15*9.0746*LOOKUP(AC17,密度!$A$2:$A$50,密度!$L$2:$L$50)</f>
        <v>18284.756374799999</v>
      </c>
      <c r="AD16" s="73" ph="1">
        <f>AD15*268.68*LOOKUP(AD17,密度!$A$2:$A$50,密度!B2:B50)+IF(AD15&lt;=0,0,1566*LOOKUP(AD17,密度!$A$2:$A$50,密度!B2:B50))</f>
        <v>2404.3191431999999</v>
      </c>
      <c r="AE16" s="73" ph="1">
        <f>AE15*268.68*LOOKUP(AE17,密度!$A$2:$A$50,密度!B2:B50)+IF(AE15&lt;=0,0,1566*LOOKUP(AE17,密度!$A$2:$A$50,密度!B2:B50))</f>
        <v>16825.841735999998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8" ph="1"/>
      <c r="C17" s="79" t="s" ph="1">
        <v>179</v>
      </c>
      <c r="D17" s="74">
        <v>21</v>
      </c>
      <c r="E17" s="74">
        <v>21</v>
      </c>
      <c r="F17" s="74">
        <v>22</v>
      </c>
      <c r="G17" s="74">
        <v>24</v>
      </c>
      <c r="H17" s="74">
        <v>15</v>
      </c>
      <c r="I17" s="74">
        <v>19</v>
      </c>
      <c r="J17" s="74">
        <v>21</v>
      </c>
      <c r="K17" s="74">
        <v>20</v>
      </c>
      <c r="L17" s="74">
        <v>22</v>
      </c>
      <c r="M17" s="74">
        <v>22</v>
      </c>
      <c r="N17" s="74">
        <v>21</v>
      </c>
      <c r="O17" s="74">
        <v>23</v>
      </c>
      <c r="P17" s="74">
        <v>22</v>
      </c>
      <c r="Q17" s="74">
        <v>21</v>
      </c>
      <c r="R17" s="74">
        <v>23</v>
      </c>
      <c r="S17" s="74">
        <v>22</v>
      </c>
      <c r="T17" s="74">
        <v>22</v>
      </c>
      <c r="U17" s="74">
        <v>19</v>
      </c>
      <c r="V17" s="74">
        <v>22</v>
      </c>
      <c r="W17" s="74">
        <v>22</v>
      </c>
      <c r="X17" s="74">
        <v>33</v>
      </c>
      <c r="Y17" s="108">
        <v>33</v>
      </c>
      <c r="Z17" s="74">
        <v>20</v>
      </c>
      <c r="AA17" s="74">
        <v>18</v>
      </c>
      <c r="AB17" s="74">
        <v>20</v>
      </c>
      <c r="AC17" s="74">
        <v>20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6" ph="1">
        <v>0.66666666666666663</v>
      </c>
      <c r="C18" s="79" t="s" ph="1">
        <v>180</v>
      </c>
      <c r="D18" s="71">
        <v>993</v>
      </c>
      <c r="E18" s="71">
        <v>69</v>
      </c>
      <c r="F18" s="71">
        <v>987</v>
      </c>
      <c r="G18" s="71">
        <v>4103</v>
      </c>
      <c r="H18" s="71">
        <v>0</v>
      </c>
      <c r="I18" s="71">
        <v>1613</v>
      </c>
      <c r="J18" s="71">
        <v>113</v>
      </c>
      <c r="K18" s="71">
        <v>4760</v>
      </c>
      <c r="L18" s="71">
        <v>3595</v>
      </c>
      <c r="M18" s="71">
        <v>3930</v>
      </c>
      <c r="N18" s="71">
        <v>4067</v>
      </c>
      <c r="O18" s="71">
        <v>849</v>
      </c>
      <c r="P18" s="71">
        <v>3454</v>
      </c>
      <c r="Q18" s="71">
        <v>5371</v>
      </c>
      <c r="R18" s="71">
        <v>7479</v>
      </c>
      <c r="S18" s="71">
        <v>6177</v>
      </c>
      <c r="T18" s="71">
        <v>6640</v>
      </c>
      <c r="U18" s="71">
        <v>3439</v>
      </c>
      <c r="V18" s="71">
        <v>4922</v>
      </c>
      <c r="W18" s="71">
        <v>5305</v>
      </c>
      <c r="X18" s="71">
        <v>845</v>
      </c>
      <c r="Y18" s="109">
        <v>-9904</v>
      </c>
      <c r="Z18" s="71">
        <v>0</v>
      </c>
      <c r="AA18" s="71">
        <v>0</v>
      </c>
      <c r="AB18" s="71">
        <v>1094</v>
      </c>
      <c r="AC18" s="71">
        <v>2139</v>
      </c>
      <c r="AD18" s="71">
        <v>41.28</v>
      </c>
      <c r="AE18" s="71">
        <v>84.64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7" ph="1"/>
      <c r="C19" s="155" t="s" ph="1">
        <v>178</v>
      </c>
      <c r="D19" s="73" ph="1">
        <f>D18*7.0686*LOOKUP(D20,密度!$A$2:$A$50,密度!$L$2:$L$50)</f>
        <v>6597.9726119999996</v>
      </c>
      <c r="E19" s="73" ph="1">
        <f>E18*7.0686*LOOKUP(E20,密度!$A$2:$A$50,密度!$L$2:$L$50)</f>
        <v>458.46939600000002</v>
      </c>
      <c r="F19" s="73" ph="1">
        <f>F18*9.0746*LOOKUP(F20,密度!$A$2:$A$50,密度!$L$2:$L$50)</f>
        <v>8410.2757577999982</v>
      </c>
      <c r="G19" s="73" ph="1">
        <f>G18*9.0746*LOOKUP(G20,密度!$A$2:$A$50,密度!$B$2:$B$50)</f>
        <v>29093.931681319998</v>
      </c>
      <c r="H19" s="73" ph="1">
        <f>H18*9.0746*LOOKUP(H20,密度!$A$2:$A$50,密度!$L$2:$L$50)</f>
        <v>0</v>
      </c>
      <c r="I19" s="73" ph="1">
        <f>I18*9.0746*LOOKUP(I20,密度!$A$2:$A$50,密度!$U$2:$U$50)</f>
        <v>15047.175034399999</v>
      </c>
      <c r="J19" s="73" ph="1">
        <f>J18*9.0746*LOOKUP(J20,密度!$A$2:$A$50,密度!$L$2:$L$50)</f>
        <v>964.92944180000006</v>
      </c>
      <c r="K19" s="73" ph="1">
        <f>K18*9.0746*LOOKUP(K20,密度!$A$2:$A$50,密度!$C$2:$C$50)</f>
        <v>48058.8638096</v>
      </c>
      <c r="L19" s="73" ph="1">
        <f>L18*9.0746*LOOKUP(L20,密度!$A$2:$A$50,密度!$E$2:$E$50)</f>
        <v>25667.923531600005</v>
      </c>
      <c r="M19" s="73" ph="1">
        <f>M18*9.0746*LOOKUP(M20,密度!$A$2:$A$50,密度!$M$2:$M$50)</f>
        <v>31312.270283999998</v>
      </c>
      <c r="N19" s="73" ph="1">
        <f>N18*9.0746*LOOKUP(N20,密度!$A$2:$A$50,密度!$M$2:$M$50)</f>
        <v>32444.414657620004</v>
      </c>
      <c r="O19" s="73" ph="1">
        <f>O18*9.0746*LOOKUP(O20,密度!$A$2:$A$50,密度!$G$2:$G$50)</f>
        <v>7425.4384585199996</v>
      </c>
      <c r="P19" s="73" ph="1">
        <f ca="1">P18*9.0746*LOOKUP(P20,密度!$A$2:$A$51,密度!$Q$2:$Q$50)</f>
        <v>29720.066376880004</v>
      </c>
      <c r="Q19" s="73" ph="1">
        <f>Q18*9.0746*LOOKUP(Q20,密度!$A$2:$A$50,密度!$Q$2:$Q$50)</f>
        <v>46258.339664293999</v>
      </c>
      <c r="R19" s="73" ph="1">
        <f>MAX(R18*9.0746*LOOKUP(R20,密度!$A$2:$A$50,密度!$B$2:$B$50),0)</f>
        <v>53032.784558759995</v>
      </c>
      <c r="S19" s="73" ph="1">
        <f>S18*9.0746*LOOKUP(S20,密度!$A$2:$A$50,密度!$Q$2:$Q$50)</f>
        <v>53233.737310698001</v>
      </c>
      <c r="T19" s="73" ph="1">
        <f>T18*9.0746*LOOKUP(T20,密度!$A$2:$A$50,密度!$O$2:$O$50)</f>
        <v>56037.46992000001</v>
      </c>
      <c r="U19" s="73" ph="1">
        <f>U18*9.0746*LOOKUP(U20,密度!$A$2:$A$50,密度!$H$2:$H$50)</f>
        <v>28732.790732579997</v>
      </c>
      <c r="V19" s="73" ph="1">
        <f>MAX(5600*LOOKUP(V20,密度!$A$2:$A$50,密度!$Q$2:$Q$50)+V18*9.0476*LOOKUP(V20,密度!$A$2:$A$50,密度!$Q$2:$Q$50),0)</f>
        <v>47580.052458648002</v>
      </c>
      <c r="W19" s="73" ph="1">
        <f>MAX(5600*LOOKUP(W20,密度!$A$2:$A$50,密度!$Q$2:$Q$50)+W18*9.0476*LOOKUP(W20,密度!$A$2:$A$50,密度!$Q$2:$Q$50),0)</f>
        <v>50868.868358619999</v>
      </c>
      <c r="X19" s="73" ph="1">
        <f>MAX(5600*LOOKUP(X20,密度!$A$2:$A$50,密度!$I$2:$I$50)+X18*9.0476*LOOKUP(X20,密度!$A$2:$A$50,密度!$I$2:$I$50),0)</f>
        <v>13657.148404199999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9351.8108807999997</v>
      </c>
      <c r="AC19" s="73" ph="1">
        <f>AC18*9.0746*LOOKUP(AC20,密度!$A$2:$A$50,密度!$L$2:$L$50)</f>
        <v>18284.756374799999</v>
      </c>
      <c r="AD19" s="73" ph="1">
        <f>AD18*268.68*LOOKUP(AD20,密度!$A$2:$A$50,密度!B5:B53)+IF(AD18&lt;=0,0,1566*LOOKUP(AD20,密度!$A$2:$A$50,密度!B5:B53))</f>
        <v>9834.5747808000015</v>
      </c>
      <c r="AE19" s="73" ph="1">
        <f>AE18*268.68*LOOKUP(AE20,密度!$A$2:$A$50,密度!B5:B53)+IF(AE18&lt;=0,0,1566*LOOKUP(AE20,密度!$A$2:$A$50,密度!B5:B53))</f>
        <v>18886.597430400001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7" ph="1"/>
      <c r="C20" s="80" t="s" ph="1">
        <v>179</v>
      </c>
      <c r="D20" s="81">
        <v>22</v>
      </c>
      <c r="E20" s="81">
        <v>22</v>
      </c>
      <c r="F20" s="81">
        <v>23</v>
      </c>
      <c r="G20" s="81">
        <v>23</v>
      </c>
      <c r="H20" s="81">
        <v>17</v>
      </c>
      <c r="I20" s="81">
        <v>20</v>
      </c>
      <c r="J20" s="81">
        <v>21</v>
      </c>
      <c r="K20" s="81">
        <v>20</v>
      </c>
      <c r="L20" s="81">
        <v>22</v>
      </c>
      <c r="M20" s="81">
        <v>22</v>
      </c>
      <c r="N20" s="81">
        <v>21</v>
      </c>
      <c r="O20" s="81">
        <v>22</v>
      </c>
      <c r="P20" s="81">
        <v>23</v>
      </c>
      <c r="Q20" s="81">
        <v>22</v>
      </c>
      <c r="R20" s="81">
        <v>23</v>
      </c>
      <c r="S20" s="81">
        <v>21</v>
      </c>
      <c r="T20" s="81">
        <v>21</v>
      </c>
      <c r="U20" s="81">
        <v>19</v>
      </c>
      <c r="V20" s="81">
        <v>22</v>
      </c>
      <c r="W20" s="81">
        <v>22</v>
      </c>
      <c r="X20" s="81">
        <v>35</v>
      </c>
      <c r="Y20" s="110">
        <v>35</v>
      </c>
      <c r="Z20" s="81">
        <v>21</v>
      </c>
      <c r="AA20" s="81">
        <v>18</v>
      </c>
      <c r="AB20" s="81">
        <v>20</v>
      </c>
      <c r="AC20" s="81">
        <v>20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28" t="s" ph="1">
        <v>640</v>
      </c>
      <c r="AA23" s="229"/>
      <c r="AB23" s="229"/>
      <c r="AC23" s="229"/>
      <c r="AD23" s="229"/>
      <c r="AE23" s="23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7" ph="1">
        <v>0.33333333333333331</v>
      </c>
      <c r="C24" s="155" t="s" ph="1">
        <v>177</v>
      </c>
      <c r="D24" s="71">
        <v>64.209999999999994</v>
      </c>
      <c r="E24" s="71">
        <v>59.52</v>
      </c>
      <c r="F24" s="71">
        <v>1308</v>
      </c>
      <c r="G24" s="71">
        <v>3834</v>
      </c>
      <c r="H24" s="71">
        <v>2908</v>
      </c>
      <c r="I24" s="71">
        <v>281</v>
      </c>
      <c r="J24" s="71">
        <v>4744</v>
      </c>
      <c r="K24" s="71">
        <v>444</v>
      </c>
      <c r="L24" s="71">
        <v>5572</v>
      </c>
      <c r="M24" s="71">
        <v>412</v>
      </c>
      <c r="N24" s="71">
        <v>467</v>
      </c>
      <c r="O24" s="71">
        <v>1973</v>
      </c>
      <c r="P24" s="71">
        <v>360</v>
      </c>
      <c r="Q24" s="90">
        <v>3071</v>
      </c>
      <c r="R24" s="71">
        <v>663</v>
      </c>
      <c r="S24" s="71">
        <v>4483</v>
      </c>
      <c r="T24" s="71">
        <v>1076</v>
      </c>
      <c r="U24" s="71">
        <v>5331</v>
      </c>
      <c r="V24" s="71">
        <v>9859</v>
      </c>
      <c r="W24" s="71">
        <v>7250</v>
      </c>
      <c r="X24" s="71">
        <v>3731</v>
      </c>
      <c r="Y24" s="71">
        <v>2604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7" ph="1"/>
      <c r="C25" s="68" t="s" ph="1">
        <v>178</v>
      </c>
      <c r="D25" s="91" ph="1">
        <f>D24*268.68*LOOKUP(D26,密度!$A$2:$A$50,密度!$Q$2:$Q$50)+IF(D24&lt;=0,0,1566*LOOKUP(D26,密度!$A$2:$A$50,密度!$Q$2:$Q$50))</f>
        <v>17815.699166471997</v>
      </c>
      <c r="E25" s="91" ph="1">
        <f>E24*268.68*LOOKUP(E26,密度!$A$2:$A$50,密度!$C$2:$C$50)+IF(E24&lt;=0,0,1566*LOOKUP(E26,密度!$A$2:$A$50,密度!$C$2:$C$50))</f>
        <v>19469.881679040001</v>
      </c>
      <c r="F25" s="91" ph="1">
        <f>F24*11.702*LOOKUP(F26,密度!$A$2:$A$50,密度!$Q$2:$Q$50)</f>
        <v>14526.97654344</v>
      </c>
      <c r="G25" s="91" ph="1">
        <f>G24*18.322*LOOKUP(G26,密度!$A$2:$A$50,密度!$B$2:$B$50)</f>
        <v>55017.096393599997</v>
      </c>
      <c r="H25" s="91" ph="1">
        <f>H24*18.322*LOOKUP(H26,密度!$A$2:$A$50,密度!$B$2:$B$50)</f>
        <v>41681.238144799994</v>
      </c>
      <c r="I25" s="91" ph="1">
        <f>I24*18.322*LOOKUP(I26,密度!$A$2:$A$50,密度!$Q$2:$Q$50)</f>
        <v>4886.3727813799997</v>
      </c>
      <c r="J25" s="91" ph="1">
        <f>J24*18.322*LOOKUP(J26,密度!$A$2:$A$50,密度!$Q$2:$Q$50)</f>
        <v>82494.492793119993</v>
      </c>
      <c r="K25" s="91" ph="1">
        <f>K24*18.322*LOOKUP(K26,密度!$A$2:$A$50,密度!$Q$2:$Q$50)</f>
        <v>7713.5766576000005</v>
      </c>
      <c r="L25" s="91" ph="1">
        <f>L24*18.322*LOOKUP(L26,密度!$A$2:$A$50,密度!$Q$2:$Q$50)</f>
        <v>96801.912468800001</v>
      </c>
      <c r="M25" s="91" ph="1">
        <f>M24*18.322*LOOKUP(M26,密度!$A$2:$A$50,密度!$Q$2:$Q$50)</f>
        <v>7164.3615157599997</v>
      </c>
      <c r="N25" s="91" ph="1">
        <f>N24*18.322*LOOKUP(N26,密度!$A$2:$A$50,密度!$Q$2:$Q$50)</f>
        <v>8125.9028240600001</v>
      </c>
      <c r="O25" s="91" ph="1">
        <f>O24*18.322*LOOKUP(O26,密度!$A$2:$A$50,密度!$C$2:$C$50)</f>
        <v>40140.1893824</v>
      </c>
      <c r="P25" s="91" ph="1">
        <f>P24*11.702*LOOKUP(P26,密度!$A$2:$A$50,密度!$B$2:$B$50)</f>
        <v>3303.1937520000001</v>
      </c>
      <c r="Q25" s="92" ph="1">
        <f>Q24*18.322*LOOKUP(Q26,密度!$A$2:$A$50,密度!$B$2:$B$50)</f>
        <v>44118.846494199999</v>
      </c>
      <c r="R25" s="91" ph="1">
        <f>R24*35.891*LOOKUP(R26,密度!$A$2:$A$50,密度!$C$2:$C$50)</f>
        <v>26439.438936300001</v>
      </c>
      <c r="S25" s="91" ph="1">
        <f>S24*35.891*LOOKUP(S26,密度!$A$2:$A$50,密度!$B$2:$B$50)</f>
        <v>125726.7544342</v>
      </c>
      <c r="T25" s="91" ph="1">
        <f>T24*35.891*LOOKUP(T26,密度!$A$2:$A$50,密度!$Q$2:$Q$50)</f>
        <v>36590.074848520002</v>
      </c>
      <c r="U25" s="91" ph="1">
        <f>U24*35.891</f>
        <v>191334.921</v>
      </c>
      <c r="V25" s="91" ph="1">
        <f>V24*47.051*LOOKUP(V26,密度!$A$2:$A$50,密度!$B$2:$B$50)</f>
        <v>362890.04538070003</v>
      </c>
      <c r="W25" s="91" ph="1">
        <f>W24*47.051*LOOKUP(W26,密度!$A$2:$A$50,密度!$B$2:$B$50)</f>
        <v>266550.97265000001</v>
      </c>
      <c r="X25" s="91" ph="1">
        <f>X24*47.051*LOOKUP(X26,密度!$A$2:$A$50,密度!$I$2:$I$50)</f>
        <v>180427.49541180002</v>
      </c>
      <c r="Y25" s="91" ph="1">
        <f>Y24*47.051*LOOKUP(Y26,密度!$A$2:$A$50,密度!$L$2:$L$50)</f>
        <v>114801.993348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7" ph="1"/>
      <c r="C26" s="68" t="s" ph="1">
        <v>179</v>
      </c>
      <c r="D26" s="74">
        <v>25</v>
      </c>
      <c r="E26" s="74">
        <v>25</v>
      </c>
      <c r="F26" s="74">
        <v>22</v>
      </c>
      <c r="G26" s="74">
        <v>21</v>
      </c>
      <c r="H26" s="74">
        <v>22</v>
      </c>
      <c r="I26" s="74">
        <v>22</v>
      </c>
      <c r="J26" s="74">
        <v>22</v>
      </c>
      <c r="K26" s="74">
        <v>23</v>
      </c>
      <c r="L26" s="74">
        <v>23</v>
      </c>
      <c r="M26" s="74">
        <v>22</v>
      </c>
      <c r="N26" s="74">
        <v>21</v>
      </c>
      <c r="O26" s="74">
        <v>23</v>
      </c>
      <c r="P26" s="74">
        <v>20</v>
      </c>
      <c r="Q26" s="93">
        <v>20</v>
      </c>
      <c r="R26" s="74">
        <v>22</v>
      </c>
      <c r="S26" s="74">
        <v>23</v>
      </c>
      <c r="T26" s="74">
        <v>24</v>
      </c>
      <c r="U26" s="74">
        <v>23</v>
      </c>
      <c r="V26" s="74">
        <v>22</v>
      </c>
      <c r="W26" s="74">
        <v>23</v>
      </c>
      <c r="X26" s="74">
        <v>38</v>
      </c>
      <c r="Y26" s="74">
        <v>25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7" ph="1">
        <v>0.66666666666666663</v>
      </c>
      <c r="C27" s="155" t="s" ph="1">
        <v>180</v>
      </c>
      <c r="D27" s="71">
        <v>21.48</v>
      </c>
      <c r="E27" s="71">
        <v>62.83</v>
      </c>
      <c r="F27" s="71">
        <v>3199</v>
      </c>
      <c r="G27" s="71">
        <v>3343</v>
      </c>
      <c r="H27" s="71">
        <v>2414</v>
      </c>
      <c r="I27" s="71">
        <v>281</v>
      </c>
      <c r="J27" s="71">
        <v>4150</v>
      </c>
      <c r="K27" s="71">
        <v>444</v>
      </c>
      <c r="L27" s="71">
        <v>5570</v>
      </c>
      <c r="M27" s="71">
        <v>1526</v>
      </c>
      <c r="N27" s="71">
        <v>2698</v>
      </c>
      <c r="O27" s="71">
        <v>1972</v>
      </c>
      <c r="P27" s="71">
        <v>360</v>
      </c>
      <c r="Q27" s="90">
        <v>3566</v>
      </c>
      <c r="R27" s="71">
        <v>1074</v>
      </c>
      <c r="S27" s="71">
        <v>4482</v>
      </c>
      <c r="T27" s="71">
        <v>1075</v>
      </c>
      <c r="U27" s="71">
        <v>5530</v>
      </c>
      <c r="V27" s="71">
        <v>9861</v>
      </c>
      <c r="W27" s="71">
        <v>7248</v>
      </c>
      <c r="X27" s="71">
        <v>3617</v>
      </c>
      <c r="Y27" s="71">
        <v>3205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7" ph="1"/>
      <c r="C28" s="155" t="s" ph="1">
        <v>178</v>
      </c>
      <c r="D28" s="91" ph="1">
        <f>D27*268.68*LOOKUP(D29,密度!$A$2:$A$50,密度!$Q$2:$Q$50)+IF(D27&lt;=0,0,1566*LOOKUP(D29,密度!$A$2:$A$50,密度!$Q$2:$Q$50))</f>
        <v>6946.4646567359996</v>
      </c>
      <c r="E28" s="91" ph="1">
        <f>E27*268.68*LOOKUP(E29,密度!$A$2:$A$50,密度!$C$2:$C$50)+IF(E27&lt;=0,0,1566*LOOKUP(E29,密度!$A$2:$A$50,密度!$C$2:$C$50))</f>
        <v>20456.060603160004</v>
      </c>
      <c r="F28" s="91" ph="1">
        <f>F27*11.702*LOOKUP(F29,密度!$A$2:$A$50,密度!$Q$2:$Q$50)</f>
        <v>35468.253314059999</v>
      </c>
      <c r="G28" s="91" ph="1">
        <f>G27*18.322*LOOKUP(G29,密度!$A$2:$A$50,密度!$B$2:$B$50)</f>
        <v>47805.973102999997</v>
      </c>
      <c r="H28" s="91" ph="1">
        <f>H27*18.322*LOOKUP(H29,密度!$A$2:$A$50,密度!$B$2:$B$50)</f>
        <v>34520.974893999999</v>
      </c>
      <c r="I28" s="91" ph="1">
        <f>I27*18.322*LOOKUP(I29,密度!$A$2:$A$50,密度!$Q$2:$Q$50)</f>
        <v>4878.0322405400002</v>
      </c>
      <c r="J28" s="91" ph="1">
        <f>J27*18.322*LOOKUP(J29,密度!$A$2:$A$50,密度!$Q$2:$Q$50)</f>
        <v>71986.606662000006</v>
      </c>
      <c r="K28" s="91" ph="1">
        <f>K27*18.322*LOOKUP(K29,密度!$A$2:$A$50,密度!$Q$2:$Q$50)</f>
        <v>7701.6996043199997</v>
      </c>
      <c r="L28" s="91" ph="1">
        <f>L27*18.322*LOOKUP(L29,密度!$A$2:$A$50,密度!$Q$2:$Q$50)</f>
        <v>96692.667543799995</v>
      </c>
      <c r="M28" s="91" ph="1">
        <f>M27*18.322*LOOKUP(M29,密度!$A$2:$A$50,密度!$Q$2:$Q$50)</f>
        <v>26470.255847280001</v>
      </c>
      <c r="N28" s="91" ph="1">
        <f>N27*18.322*LOOKUP(N29,密度!$A$2:$A$50,密度!$Q$2:$Q$50)</f>
        <v>46836.053327320005</v>
      </c>
      <c r="O28" s="91" ph="1">
        <f>O27*18.322*LOOKUP(O29,密度!$A$2:$A$50,密度!$C$2:$C$50)</f>
        <v>40065.648157599993</v>
      </c>
      <c r="P28" s="91" ph="1">
        <f>P27*11.702*LOOKUP(P29,密度!$A$2:$A$50,密度!$B$2:$B$50)</f>
        <v>3299.4023040000002</v>
      </c>
      <c r="Q28" s="92" ph="1">
        <f>Q27*18.322*LOOKUP(Q29,密度!$A$2:$A$50,密度!$B$2:$B$50)</f>
        <v>51230.1551932</v>
      </c>
      <c r="R28" s="91" ph="1">
        <f>R27*35.891*LOOKUP(R29,密度!$A$2:$A$50,密度!$C$2:$C$50)</f>
        <v>42771.677966399999</v>
      </c>
      <c r="S28" s="91" ph="1">
        <f>S27*35.891*LOOKUP(S29,密度!$A$2:$A$50,密度!$B$2:$B$50)</f>
        <v>125698.70920679999</v>
      </c>
      <c r="T28" s="91" ph="1">
        <f>T27*35.891*LOOKUP(T29,密度!$A$2:$A$50,密度!$Q$2:$Q$50)</f>
        <v>36527.903740499998</v>
      </c>
      <c r="U28" s="91" ph="1">
        <f>U27*35.891</f>
        <v>198477.22999999998</v>
      </c>
      <c r="V28" s="91" ph="1">
        <f>V27*47.051*LOOKUP(V29,密度!$A$2:$A$50,密度!$B$2:$B$50)</f>
        <v>362546.08845540002</v>
      </c>
      <c r="W28" s="91" ph="1">
        <f>W27*47.051*LOOKUP(W29,密度!$A$2:$A$50,密度!$B$2:$B$50)</f>
        <v>266170.51826399995</v>
      </c>
      <c r="X28" s="91" ph="1">
        <f>X27*47.051*LOOKUP(X29,密度!$A$2:$A$50,密度!$I$2:$I$50)</f>
        <v>174523.14540850002</v>
      </c>
      <c r="Y28" s="91" ph="1">
        <f>Y27*47.051*LOOKUP(Y29,密度!$A$2:$A$50,密度!$L$2:$L$50)</f>
        <v>141298.15233500002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7" ph="1"/>
      <c r="C29" s="155" t="s" ph="1">
        <v>179</v>
      </c>
      <c r="D29" s="74">
        <v>25</v>
      </c>
      <c r="E29" s="74">
        <v>25</v>
      </c>
      <c r="F29" s="74">
        <v>24</v>
      </c>
      <c r="G29" s="74">
        <v>24</v>
      </c>
      <c r="H29" s="74">
        <v>24</v>
      </c>
      <c r="I29" s="74">
        <v>24</v>
      </c>
      <c r="J29" s="74">
        <v>25</v>
      </c>
      <c r="K29" s="74">
        <v>25</v>
      </c>
      <c r="L29" s="74">
        <v>24</v>
      </c>
      <c r="M29" s="74">
        <v>25</v>
      </c>
      <c r="N29" s="74">
        <v>24</v>
      </c>
      <c r="O29" s="74">
        <v>25</v>
      </c>
      <c r="P29" s="74">
        <v>21</v>
      </c>
      <c r="Q29" s="93">
        <v>20</v>
      </c>
      <c r="R29" s="74">
        <v>24</v>
      </c>
      <c r="S29" s="74">
        <v>23</v>
      </c>
      <c r="T29" s="74">
        <v>25</v>
      </c>
      <c r="U29" s="74">
        <v>23</v>
      </c>
      <c r="V29" s="74">
        <v>23</v>
      </c>
      <c r="W29" s="74">
        <v>24</v>
      </c>
      <c r="X29" s="74">
        <v>40</v>
      </c>
      <c r="Y29" s="74">
        <v>25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55" t="s" ph="1">
        <v>5</v>
      </c>
      <c r="F32" s="154" t="s" ph="1">
        <v>43</v>
      </c>
      <c r="G32" s="97" t="s" ph="1">
        <v>4</v>
      </c>
      <c r="H32" s="155" t="s" ph="1">
        <v>5</v>
      </c>
      <c r="I32" s="154" t="s" ph="1">
        <v>43</v>
      </c>
      <c r="J32" s="97" t="s" ph="1">
        <v>4</v>
      </c>
      <c r="K32" s="155" t="s" ph="1">
        <v>5</v>
      </c>
      <c r="L32" s="154" t="s" ph="1">
        <v>43</v>
      </c>
      <c r="M32" s="97" t="s" ph="1">
        <v>4</v>
      </c>
      <c r="N32" s="155" t="s" ph="1">
        <v>5</v>
      </c>
      <c r="O32" s="15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5" t="s" ph="1">
        <v>5</v>
      </c>
      <c r="U32" s="99" t="s" ph="1">
        <v>43</v>
      </c>
      <c r="V32" s="97" t="s" ph="1">
        <v>4</v>
      </c>
      <c r="W32" s="155" t="s" ph="1">
        <v>5</v>
      </c>
      <c r="X32" s="99" t="s" ph="1">
        <v>43</v>
      </c>
      <c r="Y32" s="100" t="s" ph="1">
        <v>4</v>
      </c>
      <c r="Z32" s="155" t="s" ph="1">
        <v>5</v>
      </c>
      <c r="AA32" s="154" t="s" ph="1">
        <v>43</v>
      </c>
      <c r="AB32" s="97" t="s" ph="1">
        <v>85</v>
      </c>
      <c r="AC32" s="155" t="s" ph="1">
        <v>84</v>
      </c>
      <c r="AD32" s="204" t="s" ph="1">
        <v>83</v>
      </c>
      <c r="AE32" s="20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6" t="s" ph="1">
        <v>181</v>
      </c>
      <c r="C33" s="207" ph="1"/>
      <c r="D33" s="186" ph="1">
        <f>AA10+AB10+Z19</f>
        <v>129734.93540340001</v>
      </c>
      <c r="E33" s="186" ph="1">
        <f>M10+I10</f>
        <v>154700.55429279999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[[#This Row],[F25]]</f>
        <v>3880</v>
      </c>
      <c r="G33" s="212" ph="1">
        <v>0</v>
      </c>
      <c r="H33" s="186" ph="1">
        <f>N19</f>
        <v>32444.414657620004</v>
      </c>
      <c r="I33" s="190" ph="1">
        <v>0</v>
      </c>
      <c r="J33" s="194" ph="1">
        <f>F10+O28</f>
        <v>209714.27322220002</v>
      </c>
      <c r="K33" s="186" ph="1">
        <f>O10+K10+E28+R28</f>
        <v>68312.573679160007</v>
      </c>
      <c r="L33" s="196" ph="1">
        <f>BE27</f>
        <v>7100</v>
      </c>
      <c r="M33" s="194" ph="1">
        <f>G10+H10+W28+S28+V28+E10</f>
        <v>813812.58653419989</v>
      </c>
      <c r="N33" s="186" ph="1">
        <f>L10+P10++G28+H28</f>
        <v>247209.98046500003</v>
      </c>
      <c r="O33" s="190" ph="1">
        <f>BE17</f>
        <v>2270</v>
      </c>
      <c r="P33" s="194" ph="1">
        <f>L19</f>
        <v>25667.923531600005</v>
      </c>
      <c r="Q33" s="186" ph="1">
        <f>J10+N10</f>
        <v>36829.716551999998</v>
      </c>
      <c r="R33" s="190" ph="1">
        <f>BE23</f>
        <v>890</v>
      </c>
      <c r="S33" s="194" ph="1">
        <f>E10+X28</f>
        <v>191654.72676050002</v>
      </c>
      <c r="T33" s="186" ph="1">
        <f>X19</f>
        <v>13657.148404199999</v>
      </c>
      <c r="U33" s="175" ph="1">
        <f>BE21</f>
        <v>730</v>
      </c>
      <c r="V33" s="188" ph="1">
        <f ca="1">P19+Q19+S19+M28+N28+J28</f>
        <v>274505.05918847199</v>
      </c>
      <c r="W33" s="188" ph="1">
        <f>D28+F28+V19+T28</f>
        <v>126522.674169944</v>
      </c>
      <c r="X33" s="190" ph="1">
        <f>BE29+BE31</f>
        <v>10200</v>
      </c>
      <c r="Y33" s="192" ph="1">
        <f>+Q10+R10+S10+T10+U10+V10+W10+X10+Y10</f>
        <v>242958.54747779996</v>
      </c>
      <c r="Z33" s="173" ph="1">
        <f>D10+T19+U19+Y28+Z10</f>
        <v>550547.92056218011</v>
      </c>
      <c r="AA33" s="175" ph="1">
        <f>BE19</f>
        <v>1440</v>
      </c>
      <c r="AB33" s="177" ph="1">
        <f>I19</f>
        <v>15047.175034399999</v>
      </c>
      <c r="AC33" s="179" ph="1">
        <f>AD10</f>
        <v>93818.123072000002</v>
      </c>
      <c r="AD33" s="181" ph="1">
        <v>0</v>
      </c>
      <c r="AE33" s="18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5" t="s" ph="1">
        <v>633</v>
      </c>
      <c r="AD35" s="185"/>
      <c r="AE35" s="18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1" t="s" ph="1">
        <v>183</v>
      </c>
      <c r="J36" s="171" ph="1"/>
      <c r="K36" s="101" ph="1"/>
      <c r="P36" s="101" ph="1"/>
      <c r="R36" s="171" t="s" ph="1">
        <v>184</v>
      </c>
      <c r="S36" s="171" ph="1"/>
      <c r="Y36" s="102" ph="1"/>
      <c r="Z36" s="153" t="s" ph="1">
        <v>185</v>
      </c>
      <c r="AA36" s="153" ph="1"/>
      <c r="AB36" s="172" t="s" ph="1">
        <v>642</v>
      </c>
      <c r="AC36" s="172" ph="1"/>
      <c r="AD36" s="172" ph="1"/>
      <c r="AE36" s="172" ph="1"/>
      <c r="BA36" s="64" ph="1">
        <v>2270</v>
      </c>
    </row>
    <row r="37" spans="1:57" s="15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3" t="s" ph="1">
        <v>342</v>
      </c>
      <c r="AI37" s="153" t="s" ph="1">
        <v>209</v>
      </c>
      <c r="AJ37" s="153" t="s" ph="1">
        <v>210</v>
      </c>
      <c r="AK37" s="153" t="s" ph="1">
        <v>211</v>
      </c>
      <c r="AM37" s="153" t="s" ph="1">
        <v>210</v>
      </c>
      <c r="AN37" s="153" t="s" ph="1">
        <v>211</v>
      </c>
      <c r="AO37" s="153" t="s" ph="1">
        <v>212</v>
      </c>
      <c r="AP37" s="153" t="s" ph="1">
        <v>210</v>
      </c>
      <c r="AQ37" s="153" t="s" ph="1">
        <v>211</v>
      </c>
      <c r="AR37" s="153" t="s" ph="1">
        <v>212</v>
      </c>
      <c r="AS37" s="153" t="s" ph="1">
        <v>210</v>
      </c>
      <c r="AT37" s="153" t="s" ph="1">
        <v>211</v>
      </c>
      <c r="AU37" s="153" t="s" ph="1">
        <v>212</v>
      </c>
      <c r="AV37" s="153" t="s" ph="1">
        <v>210</v>
      </c>
      <c r="AW37" s="153" t="s" ph="1">
        <v>211</v>
      </c>
      <c r="AX37" s="153" t="s" ph="1">
        <v>212</v>
      </c>
      <c r="AY37" s="153" t="s" ph="1">
        <v>211</v>
      </c>
      <c r="AZ37" s="153" t="s" ph="1">
        <v>213</v>
      </c>
      <c r="BD37" s="153" t="s" ph="1">
        <v>305</v>
      </c>
      <c r="BE37" s="153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151" priority="98">
      <formula>ABS(D$7-D$10)&gt;=1000</formula>
    </cfRule>
  </conditionalFormatting>
  <conditionalFormatting sqref="E4 E6:E11">
    <cfRule type="expression" dxfId="1150" priority="97">
      <formula>ABS(E$7-E$10)&gt;=1000</formula>
    </cfRule>
  </conditionalFormatting>
  <conditionalFormatting sqref="F4:F11">
    <cfRule type="expression" dxfId="1149" priority="96">
      <formula>ABS(F$7-F$10)&gt;=1000</formula>
    </cfRule>
  </conditionalFormatting>
  <conditionalFormatting sqref="G4:G11">
    <cfRule type="expression" dxfId="1148" priority="95">
      <formula>ABS(G$7-G$10)&gt;=1000</formula>
    </cfRule>
  </conditionalFormatting>
  <conditionalFormatting sqref="H4:H11">
    <cfRule type="expression" dxfId="1147" priority="94">
      <formula>ABS(H$7-H$10)&gt;=1000</formula>
    </cfRule>
  </conditionalFormatting>
  <conditionalFormatting sqref="I4:I11">
    <cfRule type="expression" dxfId="1146" priority="93">
      <formula>ABS(I$7-I$10)&gt;=1000</formula>
    </cfRule>
  </conditionalFormatting>
  <conditionalFormatting sqref="J4:J11">
    <cfRule type="expression" dxfId="1145" priority="92">
      <formula>ABS(J$7-J$10)&gt;=1000</formula>
    </cfRule>
  </conditionalFormatting>
  <conditionalFormatting sqref="K4:K11">
    <cfRule type="expression" dxfId="1144" priority="91">
      <formula>ABS(K$7-K$10)&gt;=1000</formula>
    </cfRule>
  </conditionalFormatting>
  <conditionalFormatting sqref="L4:L11">
    <cfRule type="expression" dxfId="1143" priority="90">
      <formula>ABS(L$7-L$10)&gt;=1000</formula>
    </cfRule>
  </conditionalFormatting>
  <conditionalFormatting sqref="M4 M6:M11">
    <cfRule type="expression" dxfId="1142" priority="89">
      <formula>ABS(M$7-M$10)&gt;=1000</formula>
    </cfRule>
  </conditionalFormatting>
  <conditionalFormatting sqref="N4 N6:N11">
    <cfRule type="expression" dxfId="1141" priority="88">
      <formula>ABS(N$7-N$10)&gt;=1000</formula>
    </cfRule>
  </conditionalFormatting>
  <conditionalFormatting sqref="O4 O6:O11">
    <cfRule type="expression" dxfId="1140" priority="87">
      <formula>ABS(O$7-O$10)&gt;=1000</formula>
    </cfRule>
  </conditionalFormatting>
  <conditionalFormatting sqref="P4 P6:P11">
    <cfRule type="expression" dxfId="1139" priority="86">
      <formula>ABS(P$7-P$10)&gt;=1000</formula>
    </cfRule>
  </conditionalFormatting>
  <conditionalFormatting sqref="Q4:Q11">
    <cfRule type="expression" dxfId="1138" priority="85">
      <formula>ABS(Q$7-Q$10)&gt;=1000</formula>
    </cfRule>
  </conditionalFormatting>
  <conditionalFormatting sqref="R4:R11">
    <cfRule type="expression" dxfId="1137" priority="84">
      <formula>ABS(R$7-R$10)&gt;=1000</formula>
    </cfRule>
  </conditionalFormatting>
  <conditionalFormatting sqref="S4:S11">
    <cfRule type="expression" dxfId="1136" priority="83">
      <formula>ABS(S$7-S$10)&gt;=1000</formula>
    </cfRule>
  </conditionalFormatting>
  <conditionalFormatting sqref="T4:T9 T11">
    <cfRule type="expression" dxfId="1135" priority="82">
      <formula>ABS(T$7-T$10)&gt;=1000</formula>
    </cfRule>
  </conditionalFormatting>
  <conditionalFormatting sqref="U4:U9 U11">
    <cfRule type="expression" dxfId="1134" priority="81">
      <formula>ABS(U$7-U$10)&gt;=1000</formula>
    </cfRule>
  </conditionalFormatting>
  <conditionalFormatting sqref="V4:V9 V11">
    <cfRule type="expression" dxfId="1133" priority="80">
      <formula>ABS(V$7-V$10)&gt;=1000</formula>
    </cfRule>
  </conditionalFormatting>
  <conditionalFormatting sqref="W4:W9 W11">
    <cfRule type="expression" dxfId="1132" priority="79">
      <formula>ABS(W$7-W$10)&gt;=1000</formula>
    </cfRule>
  </conditionalFormatting>
  <conditionalFormatting sqref="X4:X9 X11">
    <cfRule type="expression" dxfId="1131" priority="78">
      <formula>ABS(X$7-X$10)&gt;=1000</formula>
    </cfRule>
  </conditionalFormatting>
  <conditionalFormatting sqref="Y4:Y9 Y11">
    <cfRule type="expression" dxfId="1130" priority="77">
      <formula>ABS(Y$7-Y$10)&gt;=1000</formula>
    </cfRule>
  </conditionalFormatting>
  <conditionalFormatting sqref="Z4:Z11">
    <cfRule type="expression" dxfId="1129" priority="76">
      <formula>ABS(Z$7-Z$10)&gt;=1000</formula>
    </cfRule>
  </conditionalFormatting>
  <conditionalFormatting sqref="AA4:AA11">
    <cfRule type="expression" dxfId="1128" priority="75">
      <formula>ABS(AA$7-AA$10)&gt;=1000</formula>
    </cfRule>
  </conditionalFormatting>
  <conditionalFormatting sqref="AB4:AB11">
    <cfRule type="expression" dxfId="1127" priority="74">
      <formula>ABS(AB$7-AB$10)&gt;=1000</formula>
    </cfRule>
  </conditionalFormatting>
  <conditionalFormatting sqref="AC4 AC6:AC11">
    <cfRule type="expression" dxfId="1126" priority="73">
      <formula>ABS(AC$7-AC$10)&gt;=1000</formula>
    </cfRule>
  </conditionalFormatting>
  <conditionalFormatting sqref="AD4:AD11">
    <cfRule type="expression" dxfId="1125" priority="72">
      <formula>ABS(AD$7-AD$10)&gt;=1000</formula>
    </cfRule>
  </conditionalFormatting>
  <conditionalFormatting sqref="AE4 AE6:AE11">
    <cfRule type="expression" dxfId="1124" priority="71">
      <formula>ABS(AE$7-AE$10)&gt;=1000</formula>
    </cfRule>
  </conditionalFormatting>
  <conditionalFormatting sqref="D13:D20">
    <cfRule type="expression" dxfId="1123" priority="70">
      <formula>ABS(D$16-D$19)&gt;=1000</formula>
    </cfRule>
  </conditionalFormatting>
  <conditionalFormatting sqref="E13:E20">
    <cfRule type="expression" dxfId="1122" priority="69">
      <formula>ABS(E$16-E$19)&gt;=1000</formula>
    </cfRule>
  </conditionalFormatting>
  <conditionalFormatting sqref="F13 F15:F20">
    <cfRule type="expression" dxfId="1121" priority="68">
      <formula>ABS(F$16-F$19)&gt;=1000</formula>
    </cfRule>
  </conditionalFormatting>
  <conditionalFormatting sqref="G13:G20">
    <cfRule type="expression" dxfId="1120" priority="67">
      <formula>ABS(G$16-G$19)&gt;=1000</formula>
    </cfRule>
  </conditionalFormatting>
  <conditionalFormatting sqref="H13:H20">
    <cfRule type="expression" dxfId="1119" priority="66">
      <formula>ABS(H$16-H$19)&gt;=1000</formula>
    </cfRule>
  </conditionalFormatting>
  <conditionalFormatting sqref="I13:I20">
    <cfRule type="expression" dxfId="1118" priority="65">
      <formula>ABS(I$16-I$19)&gt;=1000</formula>
    </cfRule>
  </conditionalFormatting>
  <conditionalFormatting sqref="J13:J20">
    <cfRule type="expression" dxfId="1117" priority="64">
      <formula>ABS(J$16-J$19)&gt;=1000</formula>
    </cfRule>
  </conditionalFormatting>
  <conditionalFormatting sqref="L13:L20">
    <cfRule type="expression" dxfId="1116" priority="63">
      <formula>ABS(L$16-L$19)&gt;=1000</formula>
    </cfRule>
  </conditionalFormatting>
  <conditionalFormatting sqref="M13 M15 M17:M18 M20">
    <cfRule type="expression" dxfId="1115" priority="62">
      <formula>ABS(M$16-M$19)&gt;=1000</formula>
    </cfRule>
  </conditionalFormatting>
  <conditionalFormatting sqref="N13:N20">
    <cfRule type="expression" dxfId="1114" priority="61">
      <formula>ABS(N$16-N$19)&gt;=1000</formula>
    </cfRule>
  </conditionalFormatting>
  <conditionalFormatting sqref="O13:O20">
    <cfRule type="expression" dxfId="1113" priority="60">
      <formula>ABS(O$16-O$19)&gt;=1000</formula>
    </cfRule>
  </conditionalFormatting>
  <conditionalFormatting sqref="P13:P20">
    <cfRule type="expression" dxfId="1112" priority="59">
      <formula>ABS(P$16-P$19)&gt;=1000</formula>
    </cfRule>
  </conditionalFormatting>
  <conditionalFormatting sqref="Q13 Q15:Q20">
    <cfRule type="expression" dxfId="1111" priority="58">
      <formula>ABS(Q$16-Q$19)&gt;=1000</formula>
    </cfRule>
  </conditionalFormatting>
  <conditionalFormatting sqref="R13:R20">
    <cfRule type="expression" dxfId="1110" priority="57">
      <formula>ABS(R$16-R$19)&gt;=1000</formula>
    </cfRule>
  </conditionalFormatting>
  <conditionalFormatting sqref="S13:S20">
    <cfRule type="expression" dxfId="1109" priority="56">
      <formula>ABS(S$16-S$19)&gt;=1000</formula>
    </cfRule>
  </conditionalFormatting>
  <conditionalFormatting sqref="T13:T20">
    <cfRule type="expression" dxfId="1108" priority="55">
      <formula>ABS(T$16-T$19)&gt;=1000</formula>
    </cfRule>
  </conditionalFormatting>
  <conditionalFormatting sqref="U13:U20">
    <cfRule type="expression" dxfId="1107" priority="54">
      <formula>ABS(U$16-U$19)&gt;=1000</formula>
    </cfRule>
  </conditionalFormatting>
  <conditionalFormatting sqref="V13:V20">
    <cfRule type="expression" dxfId="1106" priority="53">
      <formula>ABS(V$16-V$19)&gt;=1000</formula>
    </cfRule>
  </conditionalFormatting>
  <conditionalFormatting sqref="W13 W20 W15:W18">
    <cfRule type="expression" dxfId="1105" priority="52">
      <formula>ABS(W$16-W$19)&gt;=1000</formula>
    </cfRule>
  </conditionalFormatting>
  <conditionalFormatting sqref="X13 X15:X20 Y19">
    <cfRule type="expression" dxfId="1104" priority="51">
      <formula>ABS(X$16-X$19)&gt;=1000</formula>
    </cfRule>
  </conditionalFormatting>
  <conditionalFormatting sqref="Y13 Y15:Y18 Y20">
    <cfRule type="expression" dxfId="1103" priority="50">
      <formula>ABS(Y$16-Y$19)&gt;=1000</formula>
    </cfRule>
  </conditionalFormatting>
  <conditionalFormatting sqref="Z13:Z20">
    <cfRule type="expression" dxfId="1102" priority="49">
      <formula>ABS(Z$16-Z$19)&gt;=1000</formula>
    </cfRule>
  </conditionalFormatting>
  <conditionalFormatting sqref="AA13:AA20">
    <cfRule type="expression" dxfId="1101" priority="48">
      <formula>ABS(AA$16-AA$19)&gt;=1000</formula>
    </cfRule>
  </conditionalFormatting>
  <conditionalFormatting sqref="AB13 AB15:AB20">
    <cfRule type="expression" dxfId="1100" priority="47">
      <formula>ABS(AB$16-AB$19)&gt;=1000</formula>
    </cfRule>
  </conditionalFormatting>
  <conditionalFormatting sqref="AC13 AC15:AC20">
    <cfRule type="expression" dxfId="1099" priority="46">
      <formula>ABS(AC$16-AC$19)&gt;=1000</formula>
    </cfRule>
  </conditionalFormatting>
  <conditionalFormatting sqref="AD13:AD20">
    <cfRule type="expression" dxfId="1098" priority="45">
      <formula>ABS(AD$16-AD$19)&gt;=1000</formula>
    </cfRule>
  </conditionalFormatting>
  <conditionalFormatting sqref="AE13:AE20">
    <cfRule type="expression" dxfId="1097" priority="44">
      <formula>ABS(AE$16-AE$19)&gt;=1000</formula>
    </cfRule>
  </conditionalFormatting>
  <conditionalFormatting sqref="D22:D29">
    <cfRule type="expression" dxfId="1096" priority="43">
      <formula>ABS(D$25-D$28)&gt;=1000</formula>
    </cfRule>
  </conditionalFormatting>
  <conditionalFormatting sqref="E22:E29">
    <cfRule type="expression" dxfId="1095" priority="42">
      <formula>ABS(E$25-E$28)&gt;=1000</formula>
    </cfRule>
  </conditionalFormatting>
  <conditionalFormatting sqref="F22:F29">
    <cfRule type="expression" dxfId="1094" priority="41">
      <formula>ABS(F$25-F$28)&gt;=1000</formula>
    </cfRule>
  </conditionalFormatting>
  <conditionalFormatting sqref="G22:G29">
    <cfRule type="expression" dxfId="1093" priority="40">
      <formula>ABS(G$25-G$28)&gt;=1000</formula>
    </cfRule>
  </conditionalFormatting>
  <conditionalFormatting sqref="H22:H29">
    <cfRule type="expression" dxfId="1092" priority="39">
      <formula>ABS(H$25-H$28)&gt;=1000</formula>
    </cfRule>
  </conditionalFormatting>
  <conditionalFormatting sqref="I22 I24:I29">
    <cfRule type="expression" dxfId="1091" priority="38">
      <formula>ABS(I$25-I$28)&gt;=1000</formula>
    </cfRule>
  </conditionalFormatting>
  <conditionalFormatting sqref="J22:J29 K22">
    <cfRule type="expression" dxfId="1090" priority="37">
      <formula>ABS(J$25-J$28)&gt;=1000</formula>
    </cfRule>
  </conditionalFormatting>
  <conditionalFormatting sqref="K23:K29 L25 L28">
    <cfRule type="expression" dxfId="1089" priority="36">
      <formula>ABS(K$25-K$28)&gt;=1000</formula>
    </cfRule>
  </conditionalFormatting>
  <conditionalFormatting sqref="L22 L26:L27 L29 L24">
    <cfRule type="expression" dxfId="1088" priority="35">
      <formula>ABS(L$25-L$28)&gt;=1000</formula>
    </cfRule>
  </conditionalFormatting>
  <conditionalFormatting sqref="M22:M29">
    <cfRule type="expression" dxfId="1087" priority="34">
      <formula>ABS(M$25-M$28)&gt;=1000</formula>
    </cfRule>
  </conditionalFormatting>
  <conditionalFormatting sqref="N22:N29">
    <cfRule type="expression" dxfId="1086" priority="33">
      <formula>ABS(N$25-N$28)&gt;=1000</formula>
    </cfRule>
  </conditionalFormatting>
  <conditionalFormatting sqref="O22:O29">
    <cfRule type="expression" dxfId="1085" priority="32">
      <formula>ABS(O$25-O$28)&gt;=1000</formula>
    </cfRule>
  </conditionalFormatting>
  <conditionalFormatting sqref="P22:P29">
    <cfRule type="expression" dxfId="1084" priority="31">
      <formula>ABS(P$25-P$28)&gt;=1000</formula>
    </cfRule>
  </conditionalFormatting>
  <conditionalFormatting sqref="Q22:Q29">
    <cfRule type="expression" dxfId="1083" priority="30">
      <formula>ABS(Q$25-Q$28)&gt;=1000</formula>
    </cfRule>
  </conditionalFormatting>
  <conditionalFormatting sqref="R22:R29">
    <cfRule type="expression" dxfId="1082" priority="29">
      <formula>ABS(R$25-R$28)&gt;=1000</formula>
    </cfRule>
  </conditionalFormatting>
  <conditionalFormatting sqref="S22:S29">
    <cfRule type="expression" dxfId="1081" priority="28">
      <formula>ABS(S$25-S$28)&gt;=1000</formula>
    </cfRule>
  </conditionalFormatting>
  <conditionalFormatting sqref="T22:T29">
    <cfRule type="expression" dxfId="1080" priority="27">
      <formula>ABS(T$25-T$28)&gt;=1000</formula>
    </cfRule>
  </conditionalFormatting>
  <conditionalFormatting sqref="U22:U29">
    <cfRule type="expression" dxfId="1079" priority="26">
      <formula>ABS(U$25-U$28)&gt;=1000</formula>
    </cfRule>
  </conditionalFormatting>
  <conditionalFormatting sqref="V22:V29">
    <cfRule type="expression" dxfId="1078" priority="25">
      <formula>ABS(V$25-V$28)&gt;=1000</formula>
    </cfRule>
  </conditionalFormatting>
  <conditionalFormatting sqref="W22:W29">
    <cfRule type="expression" dxfId="1077" priority="24">
      <formula>ABS(W$25-W$28)&gt;=1000</formula>
    </cfRule>
  </conditionalFormatting>
  <conditionalFormatting sqref="X22:X29">
    <cfRule type="expression" dxfId="1076" priority="23">
      <formula>ABS(X$25-X$28)&gt;=1000</formula>
    </cfRule>
  </conditionalFormatting>
  <conditionalFormatting sqref="Y22:Y29">
    <cfRule type="expression" dxfId="1075" priority="22">
      <formula>ABS(Y$25-Y$28)&gt;=1000</formula>
    </cfRule>
  </conditionalFormatting>
  <conditionalFormatting sqref="I23">
    <cfRule type="expression" dxfId="1074" priority="21">
      <formula>ABS(I$25-I$28)&gt;=1000</formula>
    </cfRule>
  </conditionalFormatting>
  <conditionalFormatting sqref="Q14">
    <cfRule type="expression" dxfId="1073" priority="20">
      <formula>ABS(Q$16-Q$19)&gt;=1000</formula>
    </cfRule>
  </conditionalFormatting>
  <conditionalFormatting sqref="W14">
    <cfRule type="expression" dxfId="1072" priority="19">
      <formula>ABS(W$16-W$19)&gt;=1000</formula>
    </cfRule>
  </conditionalFormatting>
  <conditionalFormatting sqref="Y14">
    <cfRule type="expression" dxfId="1071" priority="18">
      <formula>ABS(Y$16-Y$19)&gt;=1000</formula>
    </cfRule>
  </conditionalFormatting>
  <conditionalFormatting sqref="X14">
    <cfRule type="expression" dxfId="1070" priority="17">
      <formula>ABS(X$16-X$19)&gt;=1000</formula>
    </cfRule>
  </conditionalFormatting>
  <conditionalFormatting sqref="T10:Y10">
    <cfRule type="expression" dxfId="1069" priority="16">
      <formula>ABS(T$7-T$10)&gt;=1000</formula>
    </cfRule>
  </conditionalFormatting>
  <conditionalFormatting sqref="W19">
    <cfRule type="expression" dxfId="1068" priority="15">
      <formula>ABS(W$16-W$19)&gt;=1000</formula>
    </cfRule>
  </conditionalFormatting>
  <conditionalFormatting sqref="AC5">
    <cfRule type="expression" dxfId="1067" priority="14">
      <formula>ABS(AC$7-AC$10)&gt;=1000</formula>
    </cfRule>
  </conditionalFormatting>
  <conditionalFormatting sqref="M14">
    <cfRule type="expression" dxfId="1066" priority="13">
      <formula>ABS(M$16-M$19)&gt;=1000</formula>
    </cfRule>
  </conditionalFormatting>
  <conditionalFormatting sqref="M16">
    <cfRule type="expression" dxfId="1065" priority="12">
      <formula>ABS(M$16-M$19)&gt;=1000</formula>
    </cfRule>
  </conditionalFormatting>
  <conditionalFormatting sqref="M19">
    <cfRule type="expression" dxfId="1064" priority="11">
      <formula>ABS(M$16-M$19)&gt;=1000</formula>
    </cfRule>
  </conditionalFormatting>
  <conditionalFormatting sqref="K13:K20">
    <cfRule type="expression" dxfId="1063" priority="10">
      <formula>ABS(K$16-K$19)&gt;=1000</formula>
    </cfRule>
  </conditionalFormatting>
  <conditionalFormatting sqref="E5">
    <cfRule type="expression" dxfId="1062" priority="9">
      <formula>ABS(E$7-E$10)&gt;=1000</formula>
    </cfRule>
  </conditionalFormatting>
  <conditionalFormatting sqref="AB14:AC14">
    <cfRule type="expression" dxfId="1061" priority="8">
      <formula>ABS(AB$16-AB$19)&gt;=1000</formula>
    </cfRule>
  </conditionalFormatting>
  <conditionalFormatting sqref="M5">
    <cfRule type="expression" dxfId="1060" priority="7">
      <formula>ABS(M$7-M$10)&gt;=1000</formula>
    </cfRule>
  </conditionalFormatting>
  <conditionalFormatting sqref="N5">
    <cfRule type="expression" dxfId="1059" priority="6">
      <formula>ABS(N$7-N$10)&gt;=1000</formula>
    </cfRule>
  </conditionalFormatting>
  <conditionalFormatting sqref="O5">
    <cfRule type="expression" dxfId="1058" priority="5">
      <formula>ABS(O$7-O$10)&gt;=1000</formula>
    </cfRule>
  </conditionalFormatting>
  <conditionalFormatting sqref="P5">
    <cfRule type="expression" dxfId="1057" priority="4">
      <formula>ABS(P$7-P$10)&gt;=1000</formula>
    </cfRule>
  </conditionalFormatting>
  <conditionalFormatting sqref="L23">
    <cfRule type="expression" dxfId="1056" priority="3">
      <formula>ABS(L$25-L$28)&gt;=1000</formula>
    </cfRule>
  </conditionalFormatting>
  <conditionalFormatting sqref="F14">
    <cfRule type="expression" dxfId="1055" priority="2">
      <formula>ABS(F$16-F$19)&gt;=1000</formula>
    </cfRule>
  </conditionalFormatting>
  <conditionalFormatting sqref="AE5">
    <cfRule type="expression" dxfId="1054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571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67">
    <pageSetUpPr fitToPage="1"/>
  </sheetPr>
  <dimension ref="A1:CU223"/>
  <sheetViews>
    <sheetView tabSelected="1" view="pageBreakPreview" topLeftCell="A10" zoomScale="70" zoomScaleNormal="100" zoomScaleSheetLayoutView="70" workbookViewId="0">
      <selection activeCell="AF24" sqref="AF2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8" t="s" ph="1">
        <v>161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" customHeight="1" ph="1">
      <c r="B3" s="240" ph="1">
        <v>45980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9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55" t="s" ph="1">
        <v>177</v>
      </c>
      <c r="D6" s="71">
        <v>6879</v>
      </c>
      <c r="E6" s="71">
        <v>425</v>
      </c>
      <c r="F6" s="71">
        <v>4597</v>
      </c>
      <c r="G6" s="71">
        <v>473</v>
      </c>
      <c r="H6" s="71">
        <v>20</v>
      </c>
      <c r="I6" s="71">
        <v>40.700000000000003</v>
      </c>
      <c r="J6" s="71">
        <v>7.07</v>
      </c>
      <c r="K6" s="71">
        <v>8.48</v>
      </c>
      <c r="L6" s="71">
        <v>24.01</v>
      </c>
      <c r="M6" s="71">
        <v>4164</v>
      </c>
      <c r="N6" s="71">
        <v>1352</v>
      </c>
      <c r="O6" s="71">
        <v>106</v>
      </c>
      <c r="P6" s="71">
        <v>4021</v>
      </c>
      <c r="Q6" s="71">
        <v>7007</v>
      </c>
      <c r="R6" s="71">
        <v>7096</v>
      </c>
      <c r="S6" s="71">
        <v>6447</v>
      </c>
      <c r="T6" s="71">
        <v>5933</v>
      </c>
      <c r="U6" s="71">
        <v>4632</v>
      </c>
      <c r="V6" s="71">
        <v>0</v>
      </c>
      <c r="W6" s="71">
        <v>0</v>
      </c>
      <c r="X6" s="71">
        <v>0</v>
      </c>
      <c r="Y6" s="71">
        <v>821</v>
      </c>
      <c r="Z6" s="71">
        <v>3416</v>
      </c>
      <c r="AA6" s="71">
        <v>1938</v>
      </c>
      <c r="AB6" s="71">
        <v>3000</v>
      </c>
      <c r="AC6" s="71">
        <v>5662</v>
      </c>
      <c r="AD6" s="71">
        <v>4780</v>
      </c>
      <c r="AE6" s="71">
        <v>3934</v>
      </c>
    </row>
    <row r="7" spans="1:99" s="72" customFormat="1" ht="22.2" ph="1">
      <c r="B7" s="237" ph="1"/>
      <c r="C7" s="68" t="s" ph="1">
        <v>178</v>
      </c>
      <c r="D7" s="73" ph="1">
        <f>D6*33.183*LOOKUP(D8,密度!$A$2:$A$50,密度!$Q$2:$Q$50)</f>
        <v>217888.89114078</v>
      </c>
      <c r="E7" s="73" ph="1">
        <f>E6*51.53*LOOKUP(E8,密度!$A$2:$A$50,密度!$B$2:$B$50)</f>
        <v>17257.397000000001</v>
      </c>
      <c r="F7" s="73" ph="1">
        <f>F6*33.183*LOOKUP(F8,密度!$A$2:$A$50,密度!$C$2:$C$50)</f>
        <v>169916.81338889996</v>
      </c>
      <c r="G7" s="73" ph="1">
        <f xml:space="preserve"> (G6+2)*51.53*LOOKUP(G8,密度!$A$2:$A$50,密度!$B$2:$B$50)</f>
        <v>19309.708075000002</v>
      </c>
      <c r="H7" s="73" ph="1">
        <f>(H6)*51.53*LOOKUP(H8,密度!$A$2:$A$50,密度!$B$2:$B$50)</f>
        <v>813.04034000000001</v>
      </c>
      <c r="I7" s="73" ph="1">
        <f>I6*290.8*1.0267</f>
        <v>12151.569452000002</v>
      </c>
      <c r="J7" s="73" ph="1">
        <f>J6*290.8*0.7892</f>
        <v>1622.5604752000002</v>
      </c>
      <c r="K7" s="73" ph="1">
        <f>K6*290.8*1.1126</f>
        <v>2743.6537984000006</v>
      </c>
      <c r="L7" s="73" ph="1">
        <f>L6*290.8*0.777</f>
        <v>5425.0979160000006</v>
      </c>
      <c r="M7" s="73" ph="1">
        <f>M6*33.183*LOOKUP(M8,密度!$A$2:$A$50,密度!$D$2:$D$50)</f>
        <v>142858.1110068</v>
      </c>
      <c r="N7" s="73" ph="1">
        <f>N6*33.183*LOOKUP(N8,密度!$A$2:$A$50,密度!$E$2:$E$50)</f>
        <v>35352.371807999996</v>
      </c>
      <c r="O7" s="73" ph="1">
        <f>O6*20.428*LOOKUP(O8,密度!$A$2:$A$50,密度!$C$2:$C$50)</f>
        <v>2409.1884368000001</v>
      </c>
      <c r="P7" s="73" ph="1">
        <f>P6*51.53*LOOKUP(P8,密度!$A$2:$A$50,密度!$B$2:$B$50)</f>
        <v>162943.75503200002</v>
      </c>
      <c r="Q7" s="73" ph="1">
        <f>Q6*1.5*1.5*3.1416*LOOKUP(W8,密度!$A$2:$A$50,密度!$L$2:$L$50)</f>
        <v>46805.547788999997</v>
      </c>
      <c r="R7" s="73" ph="1">
        <f>R6*1.5*1.5*3.1416*LOOKUP(R8,密度!$A$2:$A$50,密度!$L$2:$L$50)</f>
        <v>47249.576035199992</v>
      </c>
      <c r="S7" s="73" ph="1">
        <f>S6*1.5*1.5*3.1416*LOOKUP(S8,密度!$A$2:$A$50,密度!$L$2:$L$50)</f>
        <v>43155.987197399998</v>
      </c>
      <c r="T7" s="73" ph="1">
        <f>T6*1.5*1.5*3.1416*LOOKUP(T8,密度!$A$2:$A$50,密度!$L$2:$L$50)</f>
        <v>39715.2895986</v>
      </c>
      <c r="U7" s="73" ph="1">
        <f>U6*1.5*1.5*3.1416*LOOKUP(U8,密度!$A$2:$A$50,密度!$L$2:$L$50)</f>
        <v>30809.991643199999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5489.9412875999997</v>
      </c>
      <c r="Z7" s="73" ph="1">
        <f>Z6*33.183*LOOKUP(Z8,密度!$A$2:$A$50,密度!$L$2:$L$50)</f>
        <v>107345.412216</v>
      </c>
      <c r="AA7" s="73" ph="1">
        <f>AA6*33.183*LOOKUP(AA8,密度!$A$2:$A$50,密度!$D$2:$D$50)</f>
        <v>66379.392658800003</v>
      </c>
      <c r="AB7" s="73" ph="1">
        <f>AB6*20.428*LOOKUP(AB8,密度!$A$2:$A$50,密度!$D$2:$D$50)</f>
        <v>63631.177199999998</v>
      </c>
      <c r="AC7" s="73" ph="1">
        <f>AC6*51.53*LOOKUP(AC8,密度!$A$2:$A$50,密度!$Q$2:$Q$50)</f>
        <v>277285.58688680001</v>
      </c>
      <c r="AD7" s="73" ph="1">
        <f>AD6*20.428*LOOKUP(AD8,密度!$A$2:$A$50,密度!$V$2:$V$50)</f>
        <v>94130.589760000003</v>
      </c>
      <c r="AE7" s="73" ph="1">
        <f>AE6*20.428</f>
        <v>80363.752000000008</v>
      </c>
    </row>
    <row r="8" spans="1:99" ph="1">
      <c r="B8" s="237" ph="1"/>
      <c r="C8" s="68" t="s" ph="1">
        <v>179</v>
      </c>
      <c r="D8" s="74">
        <v>15</v>
      </c>
      <c r="E8" s="74">
        <v>15</v>
      </c>
      <c r="F8" s="74">
        <v>18</v>
      </c>
      <c r="G8" s="74">
        <v>14</v>
      </c>
      <c r="H8" s="74">
        <v>14</v>
      </c>
      <c r="I8" s="74">
        <v>25</v>
      </c>
      <c r="J8" s="74">
        <v>25</v>
      </c>
      <c r="K8" s="74">
        <v>25</v>
      </c>
      <c r="L8" s="74">
        <v>25</v>
      </c>
      <c r="M8" s="74">
        <v>17</v>
      </c>
      <c r="N8" s="74">
        <v>21</v>
      </c>
      <c r="O8" s="74">
        <v>20</v>
      </c>
      <c r="P8" s="74">
        <v>17</v>
      </c>
      <c r="Q8" s="74">
        <v>21</v>
      </c>
      <c r="R8" s="74">
        <v>20</v>
      </c>
      <c r="S8" s="74">
        <v>15</v>
      </c>
      <c r="T8" s="74">
        <v>15</v>
      </c>
      <c r="U8" s="74">
        <v>21</v>
      </c>
      <c r="V8" s="74">
        <v>23</v>
      </c>
      <c r="W8" s="74">
        <v>17</v>
      </c>
      <c r="X8" s="74">
        <v>21</v>
      </c>
      <c r="Y8" s="74">
        <v>16</v>
      </c>
      <c r="Z8" s="74">
        <v>15</v>
      </c>
      <c r="AA8" s="74">
        <v>19</v>
      </c>
      <c r="AB8" s="74">
        <v>12</v>
      </c>
      <c r="AC8" s="74">
        <v>20</v>
      </c>
      <c r="AD8" s="74">
        <v>17</v>
      </c>
      <c r="AE8" s="74">
        <v>19</v>
      </c>
    </row>
    <row r="9" spans="1:99" ht="26.4" ph="1">
      <c r="B9" s="237" ph="1">
        <v>0.66666666666666663</v>
      </c>
      <c r="C9" s="155" t="s" ph="1">
        <v>180</v>
      </c>
      <c r="D9" s="71">
        <v>6877</v>
      </c>
      <c r="E9" s="71">
        <v>424</v>
      </c>
      <c r="F9" s="71">
        <v>3933</v>
      </c>
      <c r="G9" s="71">
        <v>198</v>
      </c>
      <c r="H9" s="71">
        <v>18</v>
      </c>
      <c r="I9" s="71">
        <v>40.67</v>
      </c>
      <c r="J9" s="71">
        <v>7.03</v>
      </c>
      <c r="K9" s="71">
        <v>8.5</v>
      </c>
      <c r="L9" s="71">
        <v>17.02</v>
      </c>
      <c r="M9" s="71">
        <v>4163</v>
      </c>
      <c r="N9" s="71">
        <v>1348</v>
      </c>
      <c r="O9" s="71">
        <v>105</v>
      </c>
      <c r="P9" s="71">
        <v>3614</v>
      </c>
      <c r="Q9" s="71">
        <v>5621</v>
      </c>
      <c r="R9" s="71">
        <v>7092</v>
      </c>
      <c r="S9" s="71">
        <v>6444</v>
      </c>
      <c r="T9" s="71">
        <v>7086</v>
      </c>
      <c r="U9" s="71">
        <v>6998</v>
      </c>
      <c r="V9" s="71">
        <v>946</v>
      </c>
      <c r="W9" s="71">
        <v>0</v>
      </c>
      <c r="X9" s="71">
        <v>0</v>
      </c>
      <c r="Y9" s="71">
        <v>0</v>
      </c>
      <c r="Z9" s="71">
        <v>1201</v>
      </c>
      <c r="AA9" s="71">
        <v>1936</v>
      </c>
      <c r="AB9" s="71">
        <v>2843</v>
      </c>
      <c r="AC9" s="71">
        <v>5977</v>
      </c>
      <c r="AD9" s="71">
        <v>4780</v>
      </c>
      <c r="AE9" s="71">
        <v>3673</v>
      </c>
    </row>
    <row r="10" spans="1:99" s="72" customFormat="1" ht="22.2" ph="1">
      <c r="B10" s="237" ph="1"/>
      <c r="C10" s="155" t="s" ph="1">
        <v>178</v>
      </c>
      <c r="D10" s="73" ph="1">
        <f>D9*33.183*LOOKUP(D11,密度!$A$2:$A$50,密度!$Q$2:$Q$50)</f>
        <v>217428.47502479999</v>
      </c>
      <c r="E10" s="73" ph="1">
        <f>E9*51.53*LOOKUP(E11,密度!$A$2:$A$50,密度!$B$2:$B$50)</f>
        <v>17181.833408000002</v>
      </c>
      <c r="F10" s="73" ph="1">
        <f>F9*33.183*LOOKUP(F11,密度!$A$2:$A$50,密度!$C$2:$C$50)</f>
        <v>145204.02301140002</v>
      </c>
      <c r="G10" s="73" ph="1">
        <f xml:space="preserve"> (G9+2)*51.53*LOOKUP(G11,密度!$A$2:$A$50,密度!$B$2:$B$50)</f>
        <v>8121.1280000000006</v>
      </c>
      <c r="H10" s="73" ph="1">
        <f>(H9)*51.53*LOOKUP(H11,密度!$A$2:$A$50,密度!$B$2:$B$50)</f>
        <v>730.90152</v>
      </c>
      <c r="I10" s="73" ph="1">
        <f>I9*290.8*1.0267</f>
        <v>12142.612521200001</v>
      </c>
      <c r="J10" s="73" ph="1">
        <f>J9*290.8*0.7892</f>
        <v>1613.3805008000002</v>
      </c>
      <c r="K10" s="73" ph="1">
        <f>K9*290.8*1.1126</f>
        <v>2750.1246800000004</v>
      </c>
      <c r="L10" s="73" ph="1">
        <f>L9*290.8*0.777</f>
        <v>3845.6962320000002</v>
      </c>
      <c r="M10" s="73" ph="1">
        <f>M9*33.183*LOOKUP(M11,密度!$A$2:$A$50,密度!$D$2:$D$50)</f>
        <v>142588.9636938</v>
      </c>
      <c r="N10" s="73" ph="1">
        <f>N9*33.183*LOOKUP(N11,密度!$A$2:$A$50,密度!$E$2:$E$50)</f>
        <v>35194.1021712</v>
      </c>
      <c r="O10" s="73" ph="1">
        <f>O9*20.428*LOOKUP(O11,密度!$A$2:$A$50,密度!$C$2:$C$50)</f>
        <v>2384.9587860000001</v>
      </c>
      <c r="P10" s="73" ph="1">
        <f>P9*51.53*LOOKUP(P11,密度!$A$2:$A$50,密度!$B$2:$B$50)</f>
        <v>146320.45529400001</v>
      </c>
      <c r="Q10" s="73" ph="1">
        <f>Q9*1.5*1.5*3.1416*LOOKUP(W11,密度!$A$2:$A$50,密度!$L$2:$L$50)</f>
        <v>37467.842365799996</v>
      </c>
      <c r="R10" s="73" ph="1">
        <f>R9*1.5*1.5*3.1416*LOOKUP(R11,密度!$A$2:$A$50,密度!$L$2:$L$50)</f>
        <v>47022.419505599995</v>
      </c>
      <c r="S10" s="73" ph="1">
        <f>S9*1.5*1.5*3.1416*LOOKUP(S11,密度!$A$2:$A$50,密度!$L$2:$L$50)</f>
        <v>42862.604954399998</v>
      </c>
      <c r="T10" s="73" ph="1">
        <f>T9*1.5*1.5*3.1416*LOOKUP(T11,密度!$A$2:$A$50,密度!$L$2:$L$50)</f>
        <v>47433.430321200001</v>
      </c>
      <c r="U10" s="73" ph="1">
        <f>U9*1.5*1.5*3.1416*LOOKUP(U11,密度!$A$2:$A$50,密度!$L$2:$L$50)</f>
        <v>46646.497220400001</v>
      </c>
      <c r="V10" s="73" ph="1">
        <f>V9*1.5*1.5*3.1416*LOOKUP(V11,密度!$A$2:$A$50,密度!$L$2:$L$50)</f>
        <v>6272.3080727999995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37740.585501000001</v>
      </c>
      <c r="AA10" s="73" ph="1">
        <f>AA9*33.183*LOOKUP(AA11,密度!$A$2:$A$50,密度!$D$2:$D$50)</f>
        <v>66368.707732800001</v>
      </c>
      <c r="AB10" s="73" ph="1">
        <f>AB9*20.428*LOOKUP(AB11,密度!$A$2:$A$50,密度!$D$2:$D$50)</f>
        <v>60301.145593200003</v>
      </c>
      <c r="AC10" s="73" ph="1">
        <f>AC9*51.53*LOOKUP(AC11,密度!$A$2:$A$50,密度!$Q$2:$Q$50)</f>
        <v>293703.85081600002</v>
      </c>
      <c r="AD10" s="73" ph="1">
        <f>AD9*20.428*LOOKUP(AD11,密度!$A$2:$A$50,密度!$V$2:$V$50)</f>
        <v>94130.589760000003</v>
      </c>
      <c r="AE10" s="73" ph="1">
        <f>AE9*20.428</f>
        <v>75032.044000000009</v>
      </c>
    </row>
    <row r="11" spans="1:99" ph="1">
      <c r="A11" s="64" t="s" ph="1">
        <v>162</v>
      </c>
      <c r="B11" s="237" ph="1"/>
      <c r="C11" s="155" t="s" ph="1">
        <v>179</v>
      </c>
      <c r="D11" s="74">
        <v>17</v>
      </c>
      <c r="E11" s="74">
        <v>17</v>
      </c>
      <c r="F11" s="74">
        <v>20</v>
      </c>
      <c r="G11" s="74">
        <v>15</v>
      </c>
      <c r="H11" s="74">
        <v>15</v>
      </c>
      <c r="I11" s="74">
        <v>25</v>
      </c>
      <c r="J11" s="74">
        <v>25</v>
      </c>
      <c r="K11" s="74">
        <v>25</v>
      </c>
      <c r="L11" s="74">
        <v>25</v>
      </c>
      <c r="M11" s="74">
        <v>19</v>
      </c>
      <c r="N11" s="74">
        <v>22</v>
      </c>
      <c r="O11" s="74">
        <v>21</v>
      </c>
      <c r="P11" s="74">
        <v>18</v>
      </c>
      <c r="Q11" s="74">
        <v>23</v>
      </c>
      <c r="R11" s="74">
        <v>24</v>
      </c>
      <c r="S11" s="74">
        <v>21</v>
      </c>
      <c r="T11" s="74">
        <v>15</v>
      </c>
      <c r="U11" s="74">
        <v>19</v>
      </c>
      <c r="V11" s="74">
        <v>24</v>
      </c>
      <c r="W11" s="74">
        <v>19</v>
      </c>
      <c r="X11" s="74">
        <v>22</v>
      </c>
      <c r="Y11" s="74">
        <v>18</v>
      </c>
      <c r="Z11" s="74">
        <v>15</v>
      </c>
      <c r="AA11" s="74">
        <v>18</v>
      </c>
      <c r="AB11" s="74">
        <v>12</v>
      </c>
      <c r="AC11" s="74">
        <v>16</v>
      </c>
      <c r="AD11" s="74">
        <v>17</v>
      </c>
      <c r="AE11" s="74">
        <v>20</v>
      </c>
    </row>
    <row r="12" spans="1:99" ht="9.9" customHeight="1" ph="1"/>
    <row r="13" spans="1:99" s="72" customFormat="1" ht="29.25" customHeight="1" ph="1">
      <c r="B13" s="214" t="s" ph="1">
        <v>37</v>
      </c>
      <c r="C13" s="155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5" ph="1"/>
      <c r="C14" s="67" t="s" ph="1">
        <v>36</v>
      </c>
      <c r="D14" s="77" t="s" ph="1">
        <v>616</v>
      </c>
      <c r="E14" s="77" t="s" ph="1">
        <v>616</v>
      </c>
      <c r="F14" s="77" t="s" ph="1">
        <v>639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636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635</v>
      </c>
      <c r="AC14" s="77" t="s" ph="1">
        <v>637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6" ph="1">
        <v>0.33333333333333331</v>
      </c>
      <c r="C15" s="155" t="s" ph="1">
        <v>177</v>
      </c>
      <c r="D15" s="78">
        <v>0</v>
      </c>
      <c r="E15" s="78">
        <v>69</v>
      </c>
      <c r="F15" s="78">
        <v>985</v>
      </c>
      <c r="G15" s="78">
        <v>4195</v>
      </c>
      <c r="H15" s="78">
        <v>0</v>
      </c>
      <c r="I15" s="78">
        <v>1611</v>
      </c>
      <c r="J15" s="78">
        <v>156</v>
      </c>
      <c r="K15" s="78">
        <v>4755</v>
      </c>
      <c r="L15" s="78">
        <v>3584</v>
      </c>
      <c r="M15" s="78">
        <v>3915</v>
      </c>
      <c r="N15" s="78">
        <v>5528</v>
      </c>
      <c r="O15" s="78">
        <v>847</v>
      </c>
      <c r="P15" s="78">
        <v>3444</v>
      </c>
      <c r="Q15" s="78">
        <v>5352</v>
      </c>
      <c r="R15" s="78">
        <v>7453</v>
      </c>
      <c r="S15" s="78">
        <v>6160</v>
      </c>
      <c r="T15" s="78">
        <v>6650</v>
      </c>
      <c r="U15" s="78">
        <v>3400</v>
      </c>
      <c r="V15" s="78">
        <v>4920</v>
      </c>
      <c r="W15" s="71">
        <v>5303</v>
      </c>
      <c r="X15" s="78">
        <v>845</v>
      </c>
      <c r="Y15" s="106">
        <v>-9901</v>
      </c>
      <c r="Z15" s="78">
        <v>0</v>
      </c>
      <c r="AA15" s="78">
        <v>0</v>
      </c>
      <c r="AB15" s="78" ph="1">
        <v>1092</v>
      </c>
      <c r="AC15" s="78" ph="1">
        <v>2133</v>
      </c>
      <c r="AD15" s="78">
        <v>5.3</v>
      </c>
      <c r="AE15" s="78">
        <v>47.5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7" ph="1"/>
      <c r="C16" s="155" t="s" ph="1">
        <v>178</v>
      </c>
      <c r="D16" s="73" ph="1">
        <f>D15*7.0686*LOOKUP(D17,密度!$A$2:$A$50,密度!$L$2:$L$50)</f>
        <v>0</v>
      </c>
      <c r="E16" s="73" ph="1">
        <f>E15*7.0686*LOOKUP(E17,密度!$A$2:$A$50,密度!$L$2:$L$50)</f>
        <v>459.93259619999998</v>
      </c>
      <c r="F16" s="73" ph="1">
        <f>F15*9.0746*LOOKUP(F17,密度!$A$2:$A$50,密度!$L$2:$L$50)</f>
        <v>8428.9875830000001</v>
      </c>
      <c r="G16" s="73" ph="1">
        <f>G15*9.0746*LOOKUP(G17,密度!$A$2:$A$50,密度!$B$2:$B$50)</f>
        <v>29849.077242700001</v>
      </c>
      <c r="H16" s="73" ph="1">
        <f>H15*9.0746*LOOKUP(H17,密度!$A$2:$A$50,密度!$L$2:$L$50)</f>
        <v>0</v>
      </c>
      <c r="I16" s="73" ph="1">
        <f>I15*9.0746*LOOKUP(I17,密度!$A$2:$A$50,密度!$U$2:$U$50)</f>
        <v>15028.517656800001</v>
      </c>
      <c r="J16" s="73" ph="1">
        <f>J15*9.0746*LOOKUP(J17,密度!$A$2:$A$50,密度!$L$2:$L$50)</f>
        <v>1337.7775319999998</v>
      </c>
      <c r="K16" s="73" ph="1">
        <f>K15*9.0746*LOOKUP(K17,密度!$A$2:$A$50,密度!$C$2:$C$50)</f>
        <v>48064.476449699992</v>
      </c>
      <c r="L16" s="73" ph="1">
        <f>L15*9.0746*LOOKUP(L17,密度!$A$2:$A$50,密度!$E$2:$E$50)</f>
        <v>25703.216465919999</v>
      </c>
      <c r="M16" s="73" ph="1">
        <f>M15*9.0746*LOOKUP(M17,密度!$A$2:$A$50,密度!$M$2:$M$50)</f>
        <v>31274.470037700001</v>
      </c>
      <c r="N16" s="73" ph="1">
        <f>N15*9.0746*LOOKUP(N17,密度!$A$2:$A$50,密度!$M$2:$M$50)</f>
        <v>44159.711460639999</v>
      </c>
      <c r="O16" s="73" ph="1">
        <f>O15*9.0746*LOOKUP(O17,密度!$A$2:$A$50,密度!$G$2:$G$50)</f>
        <v>7440.2282415999998</v>
      </c>
      <c r="P16" s="73" ph="1">
        <f ca="1">P15*9.0746*LOOKUP(P17,密度!$A$2:$A$51,密度!$Q$2:$Q$50)</f>
        <v>29702.152390512001</v>
      </c>
      <c r="Q16" s="73" ph="1">
        <f>Q15*9.0746*LOOKUP(Q17,密度!$A$2:$A$50,密度!$Q$2:$Q$50)</f>
        <v>46198.633968816001</v>
      </c>
      <c r="R16" s="73" ph="1">
        <f>MAX(R15*9.0746*LOOKUP(R17,密度!$A$2:$A$50,密度!$B$2:$B$50),0)</f>
        <v>52970.160744159999</v>
      </c>
      <c r="S16" s="73" ph="1">
        <f>S15*9.0746*LOOKUP(S17,密度!$A$2:$A$50,密度!$Q$2:$Q$50)</f>
        <v>53173.315629279998</v>
      </c>
      <c r="T16" s="73" ph="1">
        <f>T15*9.0746*LOOKUP(T17,密度!$A$2:$A$50,密度!$O$2:$O$50)</f>
        <v>56363.248060000005</v>
      </c>
      <c r="U16" s="73" ph="1">
        <f>U15*9.0746*LOOKUP(U17,密度!$A$2:$A$50,密度!$H$2:$H$50)</f>
        <v>28468.653628</v>
      </c>
      <c r="V16" s="73" ph="1">
        <f>MAX(5600*LOOKUP(V17,密度!$A$2:$A$50,密度!$Q$2:$Q$50)+V15*9.0476*LOOKUP(V17,密度!$A$2:$A$50,密度!$Q$2:$Q$50),0)</f>
        <v>47670.122856159993</v>
      </c>
      <c r="W16" s="73" ph="1">
        <f>MAX(5600*LOOKUP(W17,密度!$A$2:$A$50,密度!$Q$2:$Q$50)+W15*9.0476*LOOKUP(W17,密度!$A$2:$A$50,密度!$Q$2:$Q$50),0)</f>
        <v>50966.354350043992</v>
      </c>
      <c r="X16" s="73" ph="1">
        <f>MAX(5600*LOOKUP(X17,密度!$A$2:$A$50,密度!$I$2:$I$50)+X15*9.0476*LOOKUP(X17,密度!$A$2:$A$50,密度!$I$2:$I$50),0)</f>
        <v>13687.612414800002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9364.4427240000005</v>
      </c>
      <c r="AC16" s="73" ph="1">
        <f>AC15*9.0746*LOOKUP(AC17,密度!$A$2:$A$50,密度!$L$2:$L$50)</f>
        <v>18291.535101000001</v>
      </c>
      <c r="AD16" s="73" ph="1">
        <f>AD15*268.68*LOOKUP(AD17,密度!$A$2:$A$50,密度!B2:B50)+IF(AD15&lt;=0,0,1566*LOOKUP(AD17,密度!$A$2:$A$50,密度!B2:B50))</f>
        <v>2331.0071183999999</v>
      </c>
      <c r="AE16" s="73" ph="1">
        <f>AE15*268.68*LOOKUP(AE17,密度!$A$2:$A$50,密度!B2:B50)+IF(AE15&lt;=0,0,1566*LOOKUP(AE17,密度!$A$2:$A$50,密度!B2:B50))</f>
        <v>11170.342680000002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8" ph="1"/>
      <c r="C17" s="79" t="s" ph="1">
        <v>179</v>
      </c>
      <c r="D17" s="74">
        <v>19</v>
      </c>
      <c r="E17" s="74">
        <v>19</v>
      </c>
      <c r="F17" s="74">
        <v>19</v>
      </c>
      <c r="G17" s="74">
        <v>20</v>
      </c>
      <c r="H17" s="74">
        <v>16</v>
      </c>
      <c r="I17" s="74">
        <v>16</v>
      </c>
      <c r="J17" s="74">
        <v>17</v>
      </c>
      <c r="K17" s="74">
        <v>18</v>
      </c>
      <c r="L17" s="74">
        <v>19</v>
      </c>
      <c r="M17" s="74">
        <v>19</v>
      </c>
      <c r="N17" s="74">
        <v>18</v>
      </c>
      <c r="O17" s="74">
        <v>18</v>
      </c>
      <c r="P17" s="74">
        <v>20</v>
      </c>
      <c r="Q17" s="74">
        <v>19</v>
      </c>
      <c r="R17" s="74">
        <v>21</v>
      </c>
      <c r="S17" s="74">
        <v>19</v>
      </c>
      <c r="T17" s="74">
        <v>18</v>
      </c>
      <c r="U17" s="74">
        <v>17</v>
      </c>
      <c r="V17" s="74">
        <v>19</v>
      </c>
      <c r="W17" s="74">
        <v>19</v>
      </c>
      <c r="X17" s="74">
        <v>33</v>
      </c>
      <c r="Y17" s="108">
        <v>33</v>
      </c>
      <c r="Z17" s="74">
        <v>17</v>
      </c>
      <c r="AA17" s="74">
        <v>14</v>
      </c>
      <c r="AB17" s="74">
        <v>17</v>
      </c>
      <c r="AC17" s="74">
        <v>17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6" ph="1">
        <v>0.66666666666666663</v>
      </c>
      <c r="C18" s="79" t="s" ph="1">
        <v>180</v>
      </c>
      <c r="D18" s="71">
        <v>0</v>
      </c>
      <c r="E18" s="71">
        <v>69</v>
      </c>
      <c r="F18" s="71">
        <v>985</v>
      </c>
      <c r="G18" s="71">
        <v>4239</v>
      </c>
      <c r="H18" s="71">
        <v>0</v>
      </c>
      <c r="I18" s="71">
        <v>1610</v>
      </c>
      <c r="J18" s="71">
        <v>156</v>
      </c>
      <c r="K18" s="71">
        <v>4754</v>
      </c>
      <c r="L18" s="71">
        <v>3581</v>
      </c>
      <c r="M18" s="71">
        <v>2175</v>
      </c>
      <c r="N18" s="71">
        <v>5726</v>
      </c>
      <c r="O18" s="71">
        <v>846</v>
      </c>
      <c r="P18" s="71">
        <v>3440</v>
      </c>
      <c r="Q18" s="71">
        <v>5350</v>
      </c>
      <c r="R18" s="71">
        <v>7451</v>
      </c>
      <c r="S18" s="71">
        <v>6159</v>
      </c>
      <c r="T18" s="71">
        <v>5480</v>
      </c>
      <c r="U18" s="71">
        <v>3398</v>
      </c>
      <c r="V18" s="71">
        <v>4919</v>
      </c>
      <c r="W18" s="71">
        <v>4865</v>
      </c>
      <c r="X18" s="71">
        <v>846</v>
      </c>
      <c r="Y18" s="109">
        <v>-9902</v>
      </c>
      <c r="Z18" s="71">
        <v>0</v>
      </c>
      <c r="AA18" s="71">
        <v>0</v>
      </c>
      <c r="AB18" s="71">
        <v>1091</v>
      </c>
      <c r="AC18" s="71">
        <v>2132</v>
      </c>
      <c r="AD18" s="71">
        <v>9.74</v>
      </c>
      <c r="AE18" s="71">
        <v>84.48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7" ph="1"/>
      <c r="C19" s="155" t="s" ph="1">
        <v>178</v>
      </c>
      <c r="D19" s="73" ph="1">
        <f>D18*7.0686*LOOKUP(D20,密度!$A$2:$A$50,密度!$L$2:$L$50)</f>
        <v>0</v>
      </c>
      <c r="E19" s="73" ph="1">
        <f>E18*7.0686*LOOKUP(E20,密度!$A$2:$A$50,密度!$L$2:$L$50)</f>
        <v>459.93259619999998</v>
      </c>
      <c r="F19" s="73" ph="1">
        <f>F18*9.0746*LOOKUP(F20,密度!$A$2:$A$50,密度!$L$2:$L$50)</f>
        <v>8411.1106209999998</v>
      </c>
      <c r="G19" s="73" ph="1">
        <f>G18*9.0746*LOOKUP(G20,密度!$A$2:$A$50,密度!$B$2:$B$50)</f>
        <v>30162.154572540003</v>
      </c>
      <c r="H19" s="73" ph="1">
        <f>H18*9.0746*LOOKUP(H20,密度!$A$2:$A$50,密度!$L$2:$L$50)</f>
        <v>0</v>
      </c>
      <c r="I19" s="73" ph="1">
        <f>I18*9.0746*LOOKUP(I20,密度!$A$2:$A$50,密度!$U$2:$U$50)</f>
        <v>15019.188968</v>
      </c>
      <c r="J19" s="73" ph="1">
        <f>J18*9.0746*LOOKUP(J20,密度!$A$2:$A$50,密度!$L$2:$L$50)</f>
        <v>1333.5306192</v>
      </c>
      <c r="K19" s="73" ph="1">
        <f>K18*9.0746*LOOKUP(K20,密度!$A$2:$A$50,密度!$C$2:$C$50)</f>
        <v>48024.169798879993</v>
      </c>
      <c r="L19" s="73" ph="1">
        <f>L18*9.0746*LOOKUP(L20,密度!$A$2:$A$50,密度!$E$2:$E$50)</f>
        <v>25681.701496779999</v>
      </c>
      <c r="M19" s="73" ph="1">
        <f>M18*9.0746*LOOKUP(M20,密度!$A$2:$A$50,密度!$M$2:$M$50)</f>
        <v>17374.7055765</v>
      </c>
      <c r="N19" s="73" ph="1">
        <f>N18*9.0746*LOOKUP(N20,密度!$A$2:$A$50,密度!$M$2:$M$50)</f>
        <v>45741.408795880001</v>
      </c>
      <c r="O19" s="73" ph="1">
        <f>O18*9.0746*LOOKUP(O20,密度!$A$2:$A$50,密度!$G$2:$G$50)</f>
        <v>7415.32209444</v>
      </c>
      <c r="P19" s="73" ph="1">
        <f ca="1">P18*9.0746*LOOKUP(P20,密度!$A$2:$A$51,密度!$Q$2:$Q$50)</f>
        <v>29667.655117120001</v>
      </c>
      <c r="Q19" s="73" ph="1">
        <f>Q18*9.0746*LOOKUP(Q20,密度!$A$2:$A$50,密度!$Q$2:$Q$50)</f>
        <v>46181.369905300002</v>
      </c>
      <c r="R19" s="73" ph="1">
        <f>MAX(R18*9.0746*LOOKUP(R20,密度!$A$2:$A$50,密度!$B$2:$B$50),0)</f>
        <v>53016.799650859997</v>
      </c>
      <c r="S19" s="73" ph="1">
        <f>S18*9.0746*LOOKUP(S20,密度!$A$2:$A$50,密度!$Q$2:$Q$50)</f>
        <v>53164.683597522002</v>
      </c>
      <c r="T19" s="73" ph="1">
        <f>T18*9.0746*LOOKUP(T20,密度!$A$2:$A$50,密度!$O$2:$O$50)</f>
        <v>46247.791440000008</v>
      </c>
      <c r="U19" s="73" ph="1">
        <f>U18*9.0746*LOOKUP(U20,密度!$A$2:$A$50,密度!$H$2:$H$50)</f>
        <v>28482.74285196</v>
      </c>
      <c r="V19" s="73" ph="1">
        <f>MAX(5600*LOOKUP(V20,密度!$A$2:$A$50,密度!$Q$2:$Q$50)+V18*9.0476*LOOKUP(V20,密度!$A$2:$A$50,密度!$Q$2:$Q$50),0)</f>
        <v>47618.927134871992</v>
      </c>
      <c r="W19" s="73" ph="1">
        <f>MAX(5600*LOOKUP(W20,密度!$A$2:$A$50,密度!$Q$2:$Q$50)+W18*9.0476*LOOKUP(W20,密度!$A$2:$A$50,密度!$Q$2:$Q$50),0)</f>
        <v>47154.599598119989</v>
      </c>
      <c r="X19" s="73" ph="1">
        <f>MAX(5600*LOOKUP(X20,密度!$A$2:$A$50,密度!$I$2:$I$50)+X18*9.0476*LOOKUP(X20,密度!$A$2:$A$50,密度!$I$2:$I$50),0)</f>
        <v>13681.05708112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9336.0664498000006</v>
      </c>
      <c r="AC19" s="73" ph="1">
        <f>AC18*9.0746*LOOKUP(AC20,密度!$A$2:$A$50,密度!$L$2:$L$50)</f>
        <v>18282.959604</v>
      </c>
      <c r="AD19" s="73" ph="1">
        <f>AD18*268.68*LOOKUP(AD20,密度!$A$2:$A$50,密度!B5:B53)+IF(AD18&lt;=0,0,1566*LOOKUP(AD20,密度!$A$2:$A$50,密度!B5:B53))</f>
        <v>3250.1468664000004</v>
      </c>
      <c r="AE19" s="73" ph="1">
        <f>AE18*268.68*LOOKUP(AE20,密度!$A$2:$A$50,密度!B5:B53)+IF(AE18&lt;=0,0,1566*LOOKUP(AE20,密度!$A$2:$A$50,密度!B5:B53))</f>
        <v>18853.1951328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7" ph="1"/>
      <c r="C20" s="80" t="s" ph="1">
        <v>179</v>
      </c>
      <c r="D20" s="81">
        <v>19</v>
      </c>
      <c r="E20" s="81">
        <v>19</v>
      </c>
      <c r="F20" s="81">
        <v>21</v>
      </c>
      <c r="G20" s="81">
        <v>20</v>
      </c>
      <c r="H20" s="81">
        <v>14</v>
      </c>
      <c r="I20" s="81">
        <v>18</v>
      </c>
      <c r="J20" s="81">
        <v>20</v>
      </c>
      <c r="K20" s="81">
        <v>19</v>
      </c>
      <c r="L20" s="81">
        <v>19</v>
      </c>
      <c r="M20" s="81">
        <v>19</v>
      </c>
      <c r="N20" s="81">
        <v>19</v>
      </c>
      <c r="O20" s="81">
        <v>20</v>
      </c>
      <c r="P20" s="81">
        <v>20</v>
      </c>
      <c r="Q20" s="81">
        <v>19</v>
      </c>
      <c r="R20" s="81">
        <v>20</v>
      </c>
      <c r="S20" s="81">
        <v>19</v>
      </c>
      <c r="T20" s="81">
        <v>20</v>
      </c>
      <c r="U20" s="81">
        <v>16</v>
      </c>
      <c r="V20" s="81">
        <v>20</v>
      </c>
      <c r="W20" s="81">
        <v>20</v>
      </c>
      <c r="X20" s="81">
        <v>34</v>
      </c>
      <c r="Y20" s="110">
        <v>34</v>
      </c>
      <c r="Z20" s="81">
        <v>19</v>
      </c>
      <c r="AA20" s="81">
        <v>16</v>
      </c>
      <c r="AB20" s="81">
        <v>19</v>
      </c>
      <c r="AC20" s="81">
        <v>17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28" t="s" ph="1">
        <v>640</v>
      </c>
      <c r="AA23" s="229"/>
      <c r="AB23" s="229"/>
      <c r="AC23" s="229"/>
      <c r="AD23" s="229"/>
      <c r="AE23" s="23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7" ph="1">
        <v>0.33333333333333331</v>
      </c>
      <c r="C24" s="155" t="s" ph="1">
        <v>177</v>
      </c>
      <c r="D24" s="71">
        <v>83.21</v>
      </c>
      <c r="E24" s="71">
        <v>5.54</v>
      </c>
      <c r="F24" s="71">
        <v>3612</v>
      </c>
      <c r="G24" s="71">
        <v>3785</v>
      </c>
      <c r="H24" s="71">
        <v>2927</v>
      </c>
      <c r="I24" s="71">
        <v>282</v>
      </c>
      <c r="J24" s="71">
        <v>2950</v>
      </c>
      <c r="K24" s="71">
        <v>444</v>
      </c>
      <c r="L24" s="71">
        <v>5561</v>
      </c>
      <c r="M24" s="71">
        <v>1526</v>
      </c>
      <c r="N24" s="71">
        <v>2698</v>
      </c>
      <c r="O24" s="71">
        <v>1972</v>
      </c>
      <c r="P24" s="71">
        <v>360</v>
      </c>
      <c r="Q24" s="90">
        <v>365</v>
      </c>
      <c r="R24" s="71">
        <v>1932</v>
      </c>
      <c r="S24" s="71">
        <v>6280</v>
      </c>
      <c r="T24" s="71">
        <v>1073</v>
      </c>
      <c r="U24" s="71">
        <v>5756</v>
      </c>
      <c r="V24" s="71">
        <v>9843</v>
      </c>
      <c r="W24" s="71">
        <v>7239</v>
      </c>
      <c r="X24" s="71">
        <v>3633</v>
      </c>
      <c r="Y24" s="71">
        <v>3913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7" ph="1"/>
      <c r="C25" s="68" t="s" ph="1">
        <v>178</v>
      </c>
      <c r="D25" s="91" ph="1">
        <f>D24*268.68*LOOKUP(D26,密度!$A$2:$A$50,密度!$Q$2:$Q$50)+IF(D24&lt;=0,0,1566*LOOKUP(D26,密度!$A$2:$A$50,密度!$Q$2:$Q$50))</f>
        <v>22648.731127272</v>
      </c>
      <c r="E25" s="91" ph="1">
        <f>E24*268.68*LOOKUP(E26,密度!$A$2:$A$50,密度!$C$2:$C$50)+IF(E24&lt;=0,0,1566*LOOKUP(E26,密度!$A$2:$A$50,密度!$C$2:$C$50))</f>
        <v>3387.1208560800001</v>
      </c>
      <c r="F25" s="91" ph="1">
        <f>F24*11.702*LOOKUP(F26,密度!$A$2:$A$50,密度!$Q$2:$Q$50)</f>
        <v>40115.779262160002</v>
      </c>
      <c r="G25" s="91" ph="1">
        <f>G24*18.322*LOOKUP(G26,密度!$A$2:$A$50,密度!$B$2:$B$50)</f>
        <v>54313.956664000005</v>
      </c>
      <c r="H25" s="91" ph="1">
        <f>H24*18.322*LOOKUP(H26,密度!$A$2:$A$50,密度!$B$2:$B$50)</f>
        <v>41953.5708562</v>
      </c>
      <c r="I25" s="91" ph="1">
        <f>I24*18.322*LOOKUP(I26,密度!$A$2:$A$50,密度!$Q$2:$Q$50)</f>
        <v>4903.7620083600004</v>
      </c>
      <c r="J25" s="91" ph="1">
        <f>J24*18.322*LOOKUP(J26,密度!$A$2:$A$50,密度!$Q$2:$Q$50)</f>
        <v>51298.219590999994</v>
      </c>
      <c r="K25" s="91" ph="1">
        <f>K24*18.322*LOOKUP(K26,密度!$A$2:$A$50,密度!$Q$2:$Q$50)</f>
        <v>7725.69775992</v>
      </c>
      <c r="L25" s="91" ph="1">
        <f>L24*18.322*LOOKUP(L26,密度!$A$2:$A$50,密度!$Q$2:$Q$50)</f>
        <v>96701.491235779991</v>
      </c>
      <c r="M25" s="91" ph="1">
        <f>M24*18.322*LOOKUP(M26,密度!$A$2:$A$50,密度!$Q$2:$Q$50)</f>
        <v>26572.02796136</v>
      </c>
      <c r="N25" s="91" ph="1">
        <f>N24*18.322*LOOKUP(N26,密度!$A$2:$A$50,密度!$Q$2:$Q$50)</f>
        <v>46945.794045640003</v>
      </c>
      <c r="O25" s="91" ph="1">
        <f>O24*18.322*LOOKUP(O26,密度!$A$2:$A$50,密度!$C$2:$C$50)</f>
        <v>40145.136322399994</v>
      </c>
      <c r="P25" s="91" ph="1">
        <f>P24*11.702*LOOKUP(P26,密度!$A$2:$A$50,密度!$B$2:$B$50)</f>
        <v>3303.1937520000001</v>
      </c>
      <c r="Q25" s="92" ph="1">
        <f>Q24*18.322*LOOKUP(Q26,密度!$A$2:$A$50,密度!$B$2:$B$50)</f>
        <v>5243.6922729999997</v>
      </c>
      <c r="R25" s="91" ph="1">
        <f>R24*35.891*LOOKUP(R26,密度!$A$2:$A$50,密度!$C$2:$C$50)</f>
        <v>77045.242873199997</v>
      </c>
      <c r="S25" s="91" ph="1">
        <f>S24*35.891*LOOKUP(S26,密度!$A$2:$A$50,密度!$B$2:$B$50)</f>
        <v>176326.88400399999</v>
      </c>
      <c r="T25" s="91" ph="1">
        <f>T24*35.891*LOOKUP(T26,密度!$A$2:$A$50,密度!$Q$2:$Q$50)</f>
        <v>36600.125046339999</v>
      </c>
      <c r="U25" s="91" ph="1">
        <f>U24*35.891</f>
        <v>206588.59599999999</v>
      </c>
      <c r="V25" s="91" ph="1">
        <f>V24*47.051*LOOKUP(V26,密度!$A$2:$A$50,密度!$B$2:$B$50)</f>
        <v>362301.1174239</v>
      </c>
      <c r="W25" s="91" ph="1">
        <f>W24*47.051*LOOKUP(W26,密度!$A$2:$A$50,密度!$B$2:$B$50)</f>
        <v>266146.55048460001</v>
      </c>
      <c r="X25" s="91" ph="1">
        <f>X24*47.051*LOOKUP(X26,密度!$A$2:$A$50,密度!$I$2:$I$50)</f>
        <v>174337.91503169999</v>
      </c>
      <c r="Y25" s="91" ph="1">
        <f>Y24*47.051*LOOKUP(Y26,密度!$A$2:$A$50,密度!$L$2:$L$50)</f>
        <v>172695.70809399997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7" ph="1"/>
      <c r="C26" s="68" t="s" ph="1">
        <v>179</v>
      </c>
      <c r="D26" s="74">
        <v>25</v>
      </c>
      <c r="E26" s="74">
        <v>25</v>
      </c>
      <c r="F26" s="74">
        <v>22</v>
      </c>
      <c r="G26" s="74">
        <v>21</v>
      </c>
      <c r="H26" s="74">
        <v>22</v>
      </c>
      <c r="I26" s="74">
        <v>22</v>
      </c>
      <c r="J26" s="74">
        <v>22</v>
      </c>
      <c r="K26" s="74">
        <v>21</v>
      </c>
      <c r="L26" s="74">
        <v>22</v>
      </c>
      <c r="M26" s="74">
        <v>20</v>
      </c>
      <c r="N26" s="74">
        <v>21</v>
      </c>
      <c r="O26" s="74">
        <v>22</v>
      </c>
      <c r="P26" s="74">
        <v>20</v>
      </c>
      <c r="Q26" s="93">
        <v>20</v>
      </c>
      <c r="R26" s="74">
        <v>22</v>
      </c>
      <c r="S26" s="74">
        <v>22</v>
      </c>
      <c r="T26" s="74">
        <v>20</v>
      </c>
      <c r="U26" s="74">
        <v>22</v>
      </c>
      <c r="V26" s="74">
        <v>22</v>
      </c>
      <c r="W26" s="74">
        <v>23</v>
      </c>
      <c r="X26" s="74">
        <v>45</v>
      </c>
      <c r="Y26" s="74">
        <v>24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7" ph="1">
        <v>0.66666666666666663</v>
      </c>
      <c r="C27" s="155" t="s" ph="1">
        <v>180</v>
      </c>
      <c r="D27" s="71">
        <v>83.1</v>
      </c>
      <c r="E27" s="71">
        <v>64.17</v>
      </c>
      <c r="F27" s="71">
        <v>3608</v>
      </c>
      <c r="G27" s="71">
        <v>3014</v>
      </c>
      <c r="H27" s="71">
        <v>2164</v>
      </c>
      <c r="I27" s="71">
        <v>467</v>
      </c>
      <c r="J27" s="71">
        <v>2952</v>
      </c>
      <c r="K27" s="71">
        <v>443</v>
      </c>
      <c r="L27" s="71">
        <v>5557</v>
      </c>
      <c r="M27" s="71">
        <v>2643</v>
      </c>
      <c r="N27" s="71">
        <v>4498</v>
      </c>
      <c r="O27" s="71">
        <v>1076</v>
      </c>
      <c r="P27" s="71">
        <v>359</v>
      </c>
      <c r="Q27" s="90">
        <v>640</v>
      </c>
      <c r="R27" s="71">
        <v>1930</v>
      </c>
      <c r="S27" s="71">
        <v>6286</v>
      </c>
      <c r="T27" s="71">
        <v>1072</v>
      </c>
      <c r="U27" s="71">
        <v>5944</v>
      </c>
      <c r="V27" s="71">
        <v>9839</v>
      </c>
      <c r="W27" s="71">
        <v>7234</v>
      </c>
      <c r="X27" s="71">
        <v>3215</v>
      </c>
      <c r="Y27" s="71">
        <v>4113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7" ph="1"/>
      <c r="C28" s="155" t="s" ph="1">
        <v>178</v>
      </c>
      <c r="D28" s="91" ph="1">
        <f>D27*268.68*LOOKUP(D29,密度!$A$2:$A$50,密度!$Q$2:$Q$50)+IF(D27&lt;=0,0,1566*LOOKUP(D29,密度!$A$2:$A$50,密度!$Q$2:$Q$50))</f>
        <v>22620.75041592</v>
      </c>
      <c r="E28" s="91" ph="1">
        <f>E27*268.68*LOOKUP(E29,密度!$A$2:$A$50,密度!$C$2:$C$50)+IF(E27&lt;=0,0,1566*LOOKUP(E29,密度!$A$2:$A$50,密度!$C$2:$C$50))</f>
        <v>20855.29920084</v>
      </c>
      <c r="F28" s="91" ph="1">
        <f>F27*11.702*LOOKUP(F29,密度!$A$2:$A$50,密度!$Q$2:$Q$50)</f>
        <v>40002.956535520003</v>
      </c>
      <c r="G28" s="91" ph="1">
        <f>G27*18.322*LOOKUP(G29,密度!$A$2:$A$50,密度!$B$2:$B$50)</f>
        <v>43150.867751199992</v>
      </c>
      <c r="H28" s="91" ph="1">
        <f>H27*18.322*LOOKUP(H29,密度!$A$2:$A$50,密度!$B$2:$B$50)</f>
        <v>30981.578571199996</v>
      </c>
      <c r="I28" s="91" ph="1">
        <f>I27*18.322*LOOKUP(I29,密度!$A$2:$A$50,密度!$Q$2:$Q$50)</f>
        <v>8113.1538268000004</v>
      </c>
      <c r="J28" s="91" ph="1">
        <f>J27*18.322*LOOKUP(J29,密度!$A$2:$A$50,密度!$Q$2:$Q$50)</f>
        <v>51365.449971359994</v>
      </c>
      <c r="K28" s="91" ph="1">
        <f>K27*18.322*LOOKUP(K29,密度!$A$2:$A$50,密度!$Q$2:$Q$50)</f>
        <v>7703.4275521399995</v>
      </c>
      <c r="L28" s="91" ph="1">
        <f>L27*18.322*LOOKUP(L29,密度!$A$2:$A$50,密度!$Q$2:$Q$50)</f>
        <v>96693.023540259994</v>
      </c>
      <c r="M28" s="91" ph="1">
        <f>M27*18.322*LOOKUP(M29,密度!$A$2:$A$50,密度!$Q$2:$Q$50)</f>
        <v>46022.195217479995</v>
      </c>
      <c r="N28" s="91" ph="1">
        <f>N27*18.322*LOOKUP(N29,密度!$A$2:$A$50,密度!$Q$2:$Q$50)</f>
        <v>78266.190369639997</v>
      </c>
      <c r="O28" s="91" ph="1">
        <f>O27*18.322*LOOKUP(O29,密度!$A$2:$A$50,密度!$C$2:$C$50)</f>
        <v>21904.749839199998</v>
      </c>
      <c r="P28" s="91" ph="1">
        <f>P27*11.702*LOOKUP(P29,密度!$A$2:$A$50,密度!$B$2:$B$50)</f>
        <v>3297.3790282</v>
      </c>
      <c r="Q28" s="92" ph="1">
        <f>Q27*18.322*LOOKUP(Q29,密度!$A$2:$A$50,密度!$B$2:$B$50)</f>
        <v>9194.419328</v>
      </c>
      <c r="R28" s="91" ph="1">
        <f>R27*35.891*LOOKUP(R29,密度!$A$2:$A$50,密度!$C$2:$C$50)</f>
        <v>76861.581447999983</v>
      </c>
      <c r="S28" s="91" ph="1">
        <f>S27*35.891*LOOKUP(S29,密度!$A$2:$A$50,密度!$B$2:$B$50)</f>
        <v>176292.2994364</v>
      </c>
      <c r="T28" s="91" ph="1">
        <f>T27*35.891*LOOKUP(T29,密度!$A$2:$A$50,密度!$Q$2:$Q$50)</f>
        <v>36566.014957759995</v>
      </c>
      <c r="U28" s="91" ph="1">
        <f>U27*35.891</f>
        <v>213336.10399999999</v>
      </c>
      <c r="V28" s="91" ph="1">
        <f>V27*47.051*LOOKUP(V29,密度!$A$2:$A$50,密度!$B$2:$B$50)</f>
        <v>362570.52674480004</v>
      </c>
      <c r="W28" s="91" ph="1">
        <f>W27*47.051*LOOKUP(W29,密度!$A$2:$A$50,密度!$B$2:$B$50)</f>
        <v>265962.7222276</v>
      </c>
      <c r="X28" s="91" ph="1">
        <f>X27*47.051*LOOKUP(X29,密度!$A$2:$A$50,密度!$I$2:$I$50)</f>
        <v>153946.42568049999</v>
      </c>
      <c r="Y28" s="91" ph="1">
        <f>Y27*47.051*LOOKUP(Y29,密度!$A$2:$A$50,密度!$L$2:$L$50)</f>
        <v>181328.95493100001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7" ph="1"/>
      <c r="C29" s="155" t="s" ph="1">
        <v>179</v>
      </c>
      <c r="D29" s="74">
        <v>25</v>
      </c>
      <c r="E29" s="74">
        <v>25</v>
      </c>
      <c r="F29" s="74">
        <v>24</v>
      </c>
      <c r="G29" s="74">
        <v>23</v>
      </c>
      <c r="H29" s="74">
        <v>23</v>
      </c>
      <c r="I29" s="74">
        <v>23</v>
      </c>
      <c r="J29" s="74">
        <v>21</v>
      </c>
      <c r="K29" s="74">
        <v>22</v>
      </c>
      <c r="L29" s="74">
        <v>21</v>
      </c>
      <c r="M29" s="74">
        <v>20</v>
      </c>
      <c r="N29" s="74">
        <v>21</v>
      </c>
      <c r="O29" s="74">
        <v>22</v>
      </c>
      <c r="P29" s="74">
        <v>19</v>
      </c>
      <c r="Q29" s="93">
        <v>20</v>
      </c>
      <c r="R29" s="74">
        <v>24</v>
      </c>
      <c r="S29" s="74">
        <v>23</v>
      </c>
      <c r="T29" s="74">
        <v>20</v>
      </c>
      <c r="U29" s="74">
        <v>23</v>
      </c>
      <c r="V29" s="74">
        <v>21</v>
      </c>
      <c r="W29" s="74">
        <v>23</v>
      </c>
      <c r="X29" s="74">
        <v>47</v>
      </c>
      <c r="Y29" s="74">
        <v>25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55" t="s" ph="1">
        <v>5</v>
      </c>
      <c r="F32" s="154" t="s" ph="1">
        <v>43</v>
      </c>
      <c r="G32" s="97" t="s" ph="1">
        <v>4</v>
      </c>
      <c r="H32" s="155" t="s" ph="1">
        <v>5</v>
      </c>
      <c r="I32" s="154" t="s" ph="1">
        <v>43</v>
      </c>
      <c r="J32" s="97" t="s" ph="1">
        <v>4</v>
      </c>
      <c r="K32" s="155" t="s" ph="1">
        <v>5</v>
      </c>
      <c r="L32" s="154" t="s" ph="1">
        <v>43</v>
      </c>
      <c r="M32" s="97" t="s" ph="1">
        <v>4</v>
      </c>
      <c r="N32" s="155" t="s" ph="1">
        <v>5</v>
      </c>
      <c r="O32" s="15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5" t="s" ph="1">
        <v>5</v>
      </c>
      <c r="U32" s="99" t="s" ph="1">
        <v>43</v>
      </c>
      <c r="V32" s="97" t="s" ph="1">
        <v>4</v>
      </c>
      <c r="W32" s="155" t="s" ph="1">
        <v>5</v>
      </c>
      <c r="X32" s="99" t="s" ph="1">
        <v>43</v>
      </c>
      <c r="Y32" s="100" t="s" ph="1">
        <v>4</v>
      </c>
      <c r="Z32" s="155" t="s" ph="1">
        <v>5</v>
      </c>
      <c r="AA32" s="154" t="s" ph="1">
        <v>43</v>
      </c>
      <c r="AB32" s="97" t="s" ph="1">
        <v>85</v>
      </c>
      <c r="AC32" s="155" t="s" ph="1">
        <v>84</v>
      </c>
      <c r="AD32" s="204" t="s" ph="1">
        <v>83</v>
      </c>
      <c r="AE32" s="20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6" t="s" ph="1">
        <v>181</v>
      </c>
      <c r="C33" s="207" ph="1"/>
      <c r="D33" s="186" ph="1">
        <f>AA10+AB10+Z19</f>
        <v>126669.85332600001</v>
      </c>
      <c r="E33" s="186" ph="1">
        <f>M10+I10</f>
        <v>154731.57621500001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[[#This Row],[F25]]</f>
        <v>3880</v>
      </c>
      <c r="G33" s="212" ph="1">
        <v>0</v>
      </c>
      <c r="H33" s="186" ph="1">
        <f>N19</f>
        <v>45741.408795880001</v>
      </c>
      <c r="I33" s="190" ph="1">
        <v>0</v>
      </c>
      <c r="J33" s="194" ph="1">
        <f>F10+O28</f>
        <v>167108.77285060001</v>
      </c>
      <c r="K33" s="186" ph="1">
        <f>O10+K10+E28+R28</f>
        <v>102851.96411483998</v>
      </c>
      <c r="L33" s="196" ph="1">
        <f>BE27</f>
        <v>7100</v>
      </c>
      <c r="M33" s="194" ph="1">
        <f>G10+H10+W28+S28+V28+E10</f>
        <v>830859.41133679997</v>
      </c>
      <c r="N33" s="186" ph="1">
        <f>L10+P10++G28+H28</f>
        <v>224298.59784839998</v>
      </c>
      <c r="O33" s="190" ph="1">
        <f>BE17</f>
        <v>2270</v>
      </c>
      <c r="P33" s="194" ph="1">
        <f>L19</f>
        <v>25681.701496779999</v>
      </c>
      <c r="Q33" s="186" ph="1">
        <f>J10+N10</f>
        <v>36807.482671999998</v>
      </c>
      <c r="R33" s="190" ph="1">
        <f>BE23</f>
        <v>890</v>
      </c>
      <c r="S33" s="194" ph="1">
        <f>E10+X28</f>
        <v>171128.2590885</v>
      </c>
      <c r="T33" s="186" ph="1">
        <f>X19</f>
        <v>13681.05708112</v>
      </c>
      <c r="U33" s="175" ph="1">
        <f>BE21</f>
        <v>730</v>
      </c>
      <c r="V33" s="188" ph="1">
        <f ca="1">P19+Q19+S19+M28+N28+J28</f>
        <v>304667.54417842196</v>
      </c>
      <c r="W33" s="188" ph="1">
        <f>D28+F28+V19+T28</f>
        <v>146808.64904407199</v>
      </c>
      <c r="X33" s="190" ph="1">
        <f>BE29+BE31</f>
        <v>10200</v>
      </c>
      <c r="Y33" s="192" ph="1">
        <f>+Q10+R10+S10+T10+U10+V10+W10+X10+Y10</f>
        <v>227705.10244019999</v>
      </c>
      <c r="Z33" s="173" ph="1">
        <f>D10+T19+U19+Y28+Z10</f>
        <v>511228.54974876001</v>
      </c>
      <c r="AA33" s="175" ph="1">
        <f>BE19</f>
        <v>1440</v>
      </c>
      <c r="AB33" s="177" ph="1">
        <f>I19</f>
        <v>15019.188968</v>
      </c>
      <c r="AC33" s="179" ph="1">
        <f>AD10</f>
        <v>94130.589760000003</v>
      </c>
      <c r="AD33" s="181" ph="1">
        <v>0</v>
      </c>
      <c r="AE33" s="18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5" t="s" ph="1">
        <v>633</v>
      </c>
      <c r="AD35" s="185"/>
      <c r="AE35" s="18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1" t="s" ph="1">
        <v>183</v>
      </c>
      <c r="J36" s="171" ph="1"/>
      <c r="K36" s="101" ph="1"/>
      <c r="P36" s="101" ph="1"/>
      <c r="R36" s="171" t="s" ph="1">
        <v>184</v>
      </c>
      <c r="S36" s="171" ph="1"/>
      <c r="Y36" s="102" ph="1"/>
      <c r="Z36" s="153" t="s" ph="1">
        <v>185</v>
      </c>
      <c r="AA36" s="153" ph="1"/>
      <c r="AB36" s="172" t="s" ph="1">
        <v>642</v>
      </c>
      <c r="AC36" s="172" ph="1"/>
      <c r="AD36" s="172" ph="1"/>
      <c r="AE36" s="172" ph="1"/>
      <c r="BA36" s="64" ph="1">
        <v>2270</v>
      </c>
    </row>
    <row r="37" spans="1:57" s="15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3" t="s" ph="1">
        <v>342</v>
      </c>
      <c r="AI37" s="153" t="s" ph="1">
        <v>209</v>
      </c>
      <c r="AJ37" s="153" t="s" ph="1">
        <v>210</v>
      </c>
      <c r="AK37" s="153" t="s" ph="1">
        <v>211</v>
      </c>
      <c r="AM37" s="153" t="s" ph="1">
        <v>210</v>
      </c>
      <c r="AN37" s="153" t="s" ph="1">
        <v>211</v>
      </c>
      <c r="AO37" s="153" t="s" ph="1">
        <v>212</v>
      </c>
      <c r="AP37" s="153" t="s" ph="1">
        <v>210</v>
      </c>
      <c r="AQ37" s="153" t="s" ph="1">
        <v>211</v>
      </c>
      <c r="AR37" s="153" t="s" ph="1">
        <v>212</v>
      </c>
      <c r="AS37" s="153" t="s" ph="1">
        <v>210</v>
      </c>
      <c r="AT37" s="153" t="s" ph="1">
        <v>211</v>
      </c>
      <c r="AU37" s="153" t="s" ph="1">
        <v>212</v>
      </c>
      <c r="AV37" s="153" t="s" ph="1">
        <v>210</v>
      </c>
      <c r="AW37" s="153" t="s" ph="1">
        <v>211</v>
      </c>
      <c r="AX37" s="153" t="s" ph="1">
        <v>212</v>
      </c>
      <c r="AY37" s="153" t="s" ph="1">
        <v>211</v>
      </c>
      <c r="AZ37" s="153" t="s" ph="1">
        <v>213</v>
      </c>
      <c r="BD37" s="153" t="s" ph="1">
        <v>305</v>
      </c>
      <c r="BE37" s="153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023" priority="98">
      <formula>ABS(D$7-D$10)&gt;=1000</formula>
    </cfRule>
  </conditionalFormatting>
  <conditionalFormatting sqref="E4 E6:E11">
    <cfRule type="expression" dxfId="1022" priority="97">
      <formula>ABS(E$7-E$10)&gt;=1000</formula>
    </cfRule>
  </conditionalFormatting>
  <conditionalFormatting sqref="F4:F11">
    <cfRule type="expression" dxfId="1021" priority="96">
      <formula>ABS(F$7-F$10)&gt;=1000</formula>
    </cfRule>
  </conditionalFormatting>
  <conditionalFormatting sqref="G4:G11">
    <cfRule type="expression" dxfId="1020" priority="95">
      <formula>ABS(G$7-G$10)&gt;=1000</formula>
    </cfRule>
  </conditionalFormatting>
  <conditionalFormatting sqref="H4:H11">
    <cfRule type="expression" dxfId="1019" priority="94">
      <formula>ABS(H$7-H$10)&gt;=1000</formula>
    </cfRule>
  </conditionalFormatting>
  <conditionalFormatting sqref="I4:I11">
    <cfRule type="expression" dxfId="1018" priority="93">
      <formula>ABS(I$7-I$10)&gt;=1000</formula>
    </cfRule>
  </conditionalFormatting>
  <conditionalFormatting sqref="J4:J11">
    <cfRule type="expression" dxfId="1017" priority="92">
      <formula>ABS(J$7-J$10)&gt;=1000</formula>
    </cfRule>
  </conditionalFormatting>
  <conditionalFormatting sqref="K4:K11">
    <cfRule type="expression" dxfId="1016" priority="91">
      <formula>ABS(K$7-K$10)&gt;=1000</formula>
    </cfRule>
  </conditionalFormatting>
  <conditionalFormatting sqref="L4:L11">
    <cfRule type="expression" dxfId="1015" priority="90">
      <formula>ABS(L$7-L$10)&gt;=1000</formula>
    </cfRule>
  </conditionalFormatting>
  <conditionalFormatting sqref="M4 M6:M11">
    <cfRule type="expression" dxfId="1014" priority="89">
      <formula>ABS(M$7-M$10)&gt;=1000</formula>
    </cfRule>
  </conditionalFormatting>
  <conditionalFormatting sqref="N4 N6:N11">
    <cfRule type="expression" dxfId="1013" priority="88">
      <formula>ABS(N$7-N$10)&gt;=1000</formula>
    </cfRule>
  </conditionalFormatting>
  <conditionalFormatting sqref="O4 O6:O11">
    <cfRule type="expression" dxfId="1012" priority="87">
      <formula>ABS(O$7-O$10)&gt;=1000</formula>
    </cfRule>
  </conditionalFormatting>
  <conditionalFormatting sqref="P4 P6:P11">
    <cfRule type="expression" dxfId="1011" priority="86">
      <formula>ABS(P$7-P$10)&gt;=1000</formula>
    </cfRule>
  </conditionalFormatting>
  <conditionalFormatting sqref="Q4:Q11">
    <cfRule type="expression" dxfId="1010" priority="85">
      <formula>ABS(Q$7-Q$10)&gt;=1000</formula>
    </cfRule>
  </conditionalFormatting>
  <conditionalFormatting sqref="R4:R11">
    <cfRule type="expression" dxfId="1009" priority="84">
      <formula>ABS(R$7-R$10)&gt;=1000</formula>
    </cfRule>
  </conditionalFormatting>
  <conditionalFormatting sqref="S4:S11">
    <cfRule type="expression" dxfId="1008" priority="83">
      <formula>ABS(S$7-S$10)&gt;=1000</formula>
    </cfRule>
  </conditionalFormatting>
  <conditionalFormatting sqref="T4:T9 T11">
    <cfRule type="expression" dxfId="1007" priority="82">
      <formula>ABS(T$7-T$10)&gt;=1000</formula>
    </cfRule>
  </conditionalFormatting>
  <conditionalFormatting sqref="U4:U9 U11">
    <cfRule type="expression" dxfId="1006" priority="81">
      <formula>ABS(U$7-U$10)&gt;=1000</formula>
    </cfRule>
  </conditionalFormatting>
  <conditionalFormatting sqref="V4:V9 V11">
    <cfRule type="expression" dxfId="1005" priority="80">
      <formula>ABS(V$7-V$10)&gt;=1000</formula>
    </cfRule>
  </conditionalFormatting>
  <conditionalFormatting sqref="W4:W9 W11">
    <cfRule type="expression" dxfId="1004" priority="79">
      <formula>ABS(W$7-W$10)&gt;=1000</formula>
    </cfRule>
  </conditionalFormatting>
  <conditionalFormatting sqref="X4:X9 X11">
    <cfRule type="expression" dxfId="1003" priority="78">
      <formula>ABS(X$7-X$10)&gt;=1000</formula>
    </cfRule>
  </conditionalFormatting>
  <conditionalFormatting sqref="Y4:Y9 Y11">
    <cfRule type="expression" dxfId="1002" priority="77">
      <formula>ABS(Y$7-Y$10)&gt;=1000</formula>
    </cfRule>
  </conditionalFormatting>
  <conditionalFormatting sqref="Z4:Z11">
    <cfRule type="expression" dxfId="1001" priority="76">
      <formula>ABS(Z$7-Z$10)&gt;=1000</formula>
    </cfRule>
  </conditionalFormatting>
  <conditionalFormatting sqref="AA4:AA11">
    <cfRule type="expression" dxfId="1000" priority="75">
      <formula>ABS(AA$7-AA$10)&gt;=1000</formula>
    </cfRule>
  </conditionalFormatting>
  <conditionalFormatting sqref="AB4:AB11">
    <cfRule type="expression" dxfId="999" priority="74">
      <formula>ABS(AB$7-AB$10)&gt;=1000</formula>
    </cfRule>
  </conditionalFormatting>
  <conditionalFormatting sqref="AC4 AC6:AC11">
    <cfRule type="expression" dxfId="998" priority="73">
      <formula>ABS(AC$7-AC$10)&gt;=1000</formula>
    </cfRule>
  </conditionalFormatting>
  <conditionalFormatting sqref="AD4:AD11">
    <cfRule type="expression" dxfId="997" priority="72">
      <formula>ABS(AD$7-AD$10)&gt;=1000</formula>
    </cfRule>
  </conditionalFormatting>
  <conditionalFormatting sqref="AE4 AE6:AE11">
    <cfRule type="expression" dxfId="996" priority="71">
      <formula>ABS(AE$7-AE$10)&gt;=1000</formula>
    </cfRule>
  </conditionalFormatting>
  <conditionalFormatting sqref="D13:D20">
    <cfRule type="expression" dxfId="995" priority="70">
      <formula>ABS(D$16-D$19)&gt;=1000</formula>
    </cfRule>
  </conditionalFormatting>
  <conditionalFormatting sqref="E13:E20">
    <cfRule type="expression" dxfId="994" priority="69">
      <formula>ABS(E$16-E$19)&gt;=1000</formula>
    </cfRule>
  </conditionalFormatting>
  <conditionalFormatting sqref="F13 F15:F20">
    <cfRule type="expression" dxfId="993" priority="68">
      <formula>ABS(F$16-F$19)&gt;=1000</formula>
    </cfRule>
  </conditionalFormatting>
  <conditionalFormatting sqref="G13:G20">
    <cfRule type="expression" dxfId="992" priority="67">
      <formula>ABS(G$16-G$19)&gt;=1000</formula>
    </cfRule>
  </conditionalFormatting>
  <conditionalFormatting sqref="H13:H20">
    <cfRule type="expression" dxfId="991" priority="66">
      <formula>ABS(H$16-H$19)&gt;=1000</formula>
    </cfRule>
  </conditionalFormatting>
  <conditionalFormatting sqref="I13:I20">
    <cfRule type="expression" dxfId="990" priority="65">
      <formula>ABS(I$16-I$19)&gt;=1000</formula>
    </cfRule>
  </conditionalFormatting>
  <conditionalFormatting sqref="J13:J20">
    <cfRule type="expression" dxfId="989" priority="64">
      <formula>ABS(J$16-J$19)&gt;=1000</formula>
    </cfRule>
  </conditionalFormatting>
  <conditionalFormatting sqref="L13:L20">
    <cfRule type="expression" dxfId="988" priority="63">
      <formula>ABS(L$16-L$19)&gt;=1000</formula>
    </cfRule>
  </conditionalFormatting>
  <conditionalFormatting sqref="M13 M15 M17:M18 M20">
    <cfRule type="expression" dxfId="987" priority="62">
      <formula>ABS(M$16-M$19)&gt;=1000</formula>
    </cfRule>
  </conditionalFormatting>
  <conditionalFormatting sqref="N13:N20">
    <cfRule type="expression" dxfId="986" priority="61">
      <formula>ABS(N$16-N$19)&gt;=1000</formula>
    </cfRule>
  </conditionalFormatting>
  <conditionalFormatting sqref="O13:O20">
    <cfRule type="expression" dxfId="985" priority="60">
      <formula>ABS(O$16-O$19)&gt;=1000</formula>
    </cfRule>
  </conditionalFormatting>
  <conditionalFormatting sqref="P13:P20">
    <cfRule type="expression" dxfId="984" priority="59">
      <formula>ABS(P$16-P$19)&gt;=1000</formula>
    </cfRule>
  </conditionalFormatting>
  <conditionalFormatting sqref="Q13 Q15:Q20">
    <cfRule type="expression" dxfId="983" priority="58">
      <formula>ABS(Q$16-Q$19)&gt;=1000</formula>
    </cfRule>
  </conditionalFormatting>
  <conditionalFormatting sqref="R13:R20">
    <cfRule type="expression" dxfId="982" priority="57">
      <formula>ABS(R$16-R$19)&gt;=1000</formula>
    </cfRule>
  </conditionalFormatting>
  <conditionalFormatting sqref="S13:S20">
    <cfRule type="expression" dxfId="981" priority="56">
      <formula>ABS(S$16-S$19)&gt;=1000</formula>
    </cfRule>
  </conditionalFormatting>
  <conditionalFormatting sqref="T13:T20">
    <cfRule type="expression" dxfId="980" priority="55">
      <formula>ABS(T$16-T$19)&gt;=1000</formula>
    </cfRule>
  </conditionalFormatting>
  <conditionalFormatting sqref="U13:U20">
    <cfRule type="expression" dxfId="979" priority="54">
      <formula>ABS(U$16-U$19)&gt;=1000</formula>
    </cfRule>
  </conditionalFormatting>
  <conditionalFormatting sqref="V13:V20">
    <cfRule type="expression" dxfId="978" priority="53">
      <formula>ABS(V$16-V$19)&gt;=1000</formula>
    </cfRule>
  </conditionalFormatting>
  <conditionalFormatting sqref="W13 W20 W15:W18">
    <cfRule type="expression" dxfId="977" priority="52">
      <formula>ABS(W$16-W$19)&gt;=1000</formula>
    </cfRule>
  </conditionalFormatting>
  <conditionalFormatting sqref="X13 X15:X20 Y19">
    <cfRule type="expression" dxfId="976" priority="51">
      <formula>ABS(X$16-X$19)&gt;=1000</formula>
    </cfRule>
  </conditionalFormatting>
  <conditionalFormatting sqref="Y13 Y15:Y18 Y20">
    <cfRule type="expression" dxfId="975" priority="50">
      <formula>ABS(Y$16-Y$19)&gt;=1000</formula>
    </cfRule>
  </conditionalFormatting>
  <conditionalFormatting sqref="Z13:Z20">
    <cfRule type="expression" dxfId="974" priority="49">
      <formula>ABS(Z$16-Z$19)&gt;=1000</formula>
    </cfRule>
  </conditionalFormatting>
  <conditionalFormatting sqref="AA13:AA20">
    <cfRule type="expression" dxfId="973" priority="48">
      <formula>ABS(AA$16-AA$19)&gt;=1000</formula>
    </cfRule>
  </conditionalFormatting>
  <conditionalFormatting sqref="AB13 AB15:AB20">
    <cfRule type="expression" dxfId="972" priority="47">
      <formula>ABS(AB$16-AB$19)&gt;=1000</formula>
    </cfRule>
  </conditionalFormatting>
  <conditionalFormatting sqref="AC13 AC15:AC20">
    <cfRule type="expression" dxfId="971" priority="46">
      <formula>ABS(AC$16-AC$19)&gt;=1000</formula>
    </cfRule>
  </conditionalFormatting>
  <conditionalFormatting sqref="AD13:AD20">
    <cfRule type="expression" dxfId="970" priority="45">
      <formula>ABS(AD$16-AD$19)&gt;=1000</formula>
    </cfRule>
  </conditionalFormatting>
  <conditionalFormatting sqref="AE13:AE20">
    <cfRule type="expression" dxfId="969" priority="44">
      <formula>ABS(AE$16-AE$19)&gt;=1000</formula>
    </cfRule>
  </conditionalFormatting>
  <conditionalFormatting sqref="D22:D29">
    <cfRule type="expression" dxfId="968" priority="43">
      <formula>ABS(D$25-D$28)&gt;=1000</formula>
    </cfRule>
  </conditionalFormatting>
  <conditionalFormatting sqref="E22:E29">
    <cfRule type="expression" dxfId="967" priority="42">
      <formula>ABS(E$25-E$28)&gt;=1000</formula>
    </cfRule>
  </conditionalFormatting>
  <conditionalFormatting sqref="F22:F29">
    <cfRule type="expression" dxfId="966" priority="41">
      <formula>ABS(F$25-F$28)&gt;=1000</formula>
    </cfRule>
  </conditionalFormatting>
  <conditionalFormatting sqref="G22:G29">
    <cfRule type="expression" dxfId="965" priority="40">
      <formula>ABS(G$25-G$28)&gt;=1000</formula>
    </cfRule>
  </conditionalFormatting>
  <conditionalFormatting sqref="H22:H29">
    <cfRule type="expression" dxfId="964" priority="39">
      <formula>ABS(H$25-H$28)&gt;=1000</formula>
    </cfRule>
  </conditionalFormatting>
  <conditionalFormatting sqref="I22 I24:I29">
    <cfRule type="expression" dxfId="963" priority="38">
      <formula>ABS(I$25-I$28)&gt;=1000</formula>
    </cfRule>
  </conditionalFormatting>
  <conditionalFormatting sqref="J22:J29 K22">
    <cfRule type="expression" dxfId="962" priority="37">
      <formula>ABS(J$25-J$28)&gt;=1000</formula>
    </cfRule>
  </conditionalFormatting>
  <conditionalFormatting sqref="K23:K29 L25 L28">
    <cfRule type="expression" dxfId="961" priority="36">
      <formula>ABS(K$25-K$28)&gt;=1000</formula>
    </cfRule>
  </conditionalFormatting>
  <conditionalFormatting sqref="L22 L26:L27 L29 L24">
    <cfRule type="expression" dxfId="960" priority="35">
      <formula>ABS(L$25-L$28)&gt;=1000</formula>
    </cfRule>
  </conditionalFormatting>
  <conditionalFormatting sqref="M22:M29">
    <cfRule type="expression" dxfId="959" priority="34">
      <formula>ABS(M$25-M$28)&gt;=1000</formula>
    </cfRule>
  </conditionalFormatting>
  <conditionalFormatting sqref="N22:N29">
    <cfRule type="expression" dxfId="958" priority="33">
      <formula>ABS(N$25-N$28)&gt;=1000</formula>
    </cfRule>
  </conditionalFormatting>
  <conditionalFormatting sqref="O22:O29">
    <cfRule type="expression" dxfId="957" priority="32">
      <formula>ABS(O$25-O$28)&gt;=1000</formula>
    </cfRule>
  </conditionalFormatting>
  <conditionalFormatting sqref="P22:P29">
    <cfRule type="expression" dxfId="956" priority="31">
      <formula>ABS(P$25-P$28)&gt;=1000</formula>
    </cfRule>
  </conditionalFormatting>
  <conditionalFormatting sqref="Q22:Q29">
    <cfRule type="expression" dxfId="955" priority="30">
      <formula>ABS(Q$25-Q$28)&gt;=1000</formula>
    </cfRule>
  </conditionalFormatting>
  <conditionalFormatting sqref="R22:R29">
    <cfRule type="expression" dxfId="954" priority="29">
      <formula>ABS(R$25-R$28)&gt;=1000</formula>
    </cfRule>
  </conditionalFormatting>
  <conditionalFormatting sqref="S22:S29">
    <cfRule type="expression" dxfId="953" priority="28">
      <formula>ABS(S$25-S$28)&gt;=1000</formula>
    </cfRule>
  </conditionalFormatting>
  <conditionalFormatting sqref="T22:T29">
    <cfRule type="expression" dxfId="952" priority="27">
      <formula>ABS(T$25-T$28)&gt;=1000</formula>
    </cfRule>
  </conditionalFormatting>
  <conditionalFormatting sqref="U22:U29">
    <cfRule type="expression" dxfId="951" priority="26">
      <formula>ABS(U$25-U$28)&gt;=1000</formula>
    </cfRule>
  </conditionalFormatting>
  <conditionalFormatting sqref="V22:V29">
    <cfRule type="expression" dxfId="950" priority="25">
      <formula>ABS(V$25-V$28)&gt;=1000</formula>
    </cfRule>
  </conditionalFormatting>
  <conditionalFormatting sqref="W22:W29">
    <cfRule type="expression" dxfId="949" priority="24">
      <formula>ABS(W$25-W$28)&gt;=1000</formula>
    </cfRule>
  </conditionalFormatting>
  <conditionalFormatting sqref="X22:X29">
    <cfRule type="expression" dxfId="948" priority="23">
      <formula>ABS(X$25-X$28)&gt;=1000</formula>
    </cfRule>
  </conditionalFormatting>
  <conditionalFormatting sqref="Y22:Y29">
    <cfRule type="expression" dxfId="947" priority="22">
      <formula>ABS(Y$25-Y$28)&gt;=1000</formula>
    </cfRule>
  </conditionalFormatting>
  <conditionalFormatting sqref="I23">
    <cfRule type="expression" dxfId="946" priority="21">
      <formula>ABS(I$25-I$28)&gt;=1000</formula>
    </cfRule>
  </conditionalFormatting>
  <conditionalFormatting sqref="Q14">
    <cfRule type="expression" dxfId="945" priority="20">
      <formula>ABS(Q$16-Q$19)&gt;=1000</formula>
    </cfRule>
  </conditionalFormatting>
  <conditionalFormatting sqref="W14">
    <cfRule type="expression" dxfId="944" priority="19">
      <formula>ABS(W$16-W$19)&gt;=1000</formula>
    </cfRule>
  </conditionalFormatting>
  <conditionalFormatting sqref="Y14">
    <cfRule type="expression" dxfId="943" priority="18">
      <formula>ABS(Y$16-Y$19)&gt;=1000</formula>
    </cfRule>
  </conditionalFormatting>
  <conditionalFormatting sqref="X14">
    <cfRule type="expression" dxfId="942" priority="17">
      <formula>ABS(X$16-X$19)&gt;=1000</formula>
    </cfRule>
  </conditionalFormatting>
  <conditionalFormatting sqref="T10:Y10">
    <cfRule type="expression" dxfId="941" priority="16">
      <formula>ABS(T$7-T$10)&gt;=1000</formula>
    </cfRule>
  </conditionalFormatting>
  <conditionalFormatting sqref="W19">
    <cfRule type="expression" dxfId="940" priority="15">
      <formula>ABS(W$16-W$19)&gt;=1000</formula>
    </cfRule>
  </conditionalFormatting>
  <conditionalFormatting sqref="AC5">
    <cfRule type="expression" dxfId="939" priority="14">
      <formula>ABS(AC$7-AC$10)&gt;=1000</formula>
    </cfRule>
  </conditionalFormatting>
  <conditionalFormatting sqref="M14">
    <cfRule type="expression" dxfId="938" priority="13">
      <formula>ABS(M$16-M$19)&gt;=1000</formula>
    </cfRule>
  </conditionalFormatting>
  <conditionalFormatting sqref="M16">
    <cfRule type="expression" dxfId="937" priority="12">
      <formula>ABS(M$16-M$19)&gt;=1000</formula>
    </cfRule>
  </conditionalFormatting>
  <conditionalFormatting sqref="M19">
    <cfRule type="expression" dxfId="936" priority="11">
      <formula>ABS(M$16-M$19)&gt;=1000</formula>
    </cfRule>
  </conditionalFormatting>
  <conditionalFormatting sqref="K13:K20">
    <cfRule type="expression" dxfId="935" priority="10">
      <formula>ABS(K$16-K$19)&gt;=1000</formula>
    </cfRule>
  </conditionalFormatting>
  <conditionalFormatting sqref="E5">
    <cfRule type="expression" dxfId="934" priority="9">
      <formula>ABS(E$7-E$10)&gt;=1000</formula>
    </cfRule>
  </conditionalFormatting>
  <conditionalFormatting sqref="AB14:AC14">
    <cfRule type="expression" dxfId="933" priority="8">
      <formula>ABS(AB$16-AB$19)&gt;=1000</formula>
    </cfRule>
  </conditionalFormatting>
  <conditionalFormatting sqref="M5">
    <cfRule type="expression" dxfId="932" priority="7">
      <formula>ABS(M$7-M$10)&gt;=1000</formula>
    </cfRule>
  </conditionalFormatting>
  <conditionalFormatting sqref="N5">
    <cfRule type="expression" dxfId="931" priority="6">
      <formula>ABS(N$7-N$10)&gt;=1000</formula>
    </cfRule>
  </conditionalFormatting>
  <conditionalFormatting sqref="O5">
    <cfRule type="expression" dxfId="930" priority="5">
      <formula>ABS(O$7-O$10)&gt;=1000</formula>
    </cfRule>
  </conditionalFormatting>
  <conditionalFormatting sqref="P5">
    <cfRule type="expression" dxfId="929" priority="4">
      <formula>ABS(P$7-P$10)&gt;=1000</formula>
    </cfRule>
  </conditionalFormatting>
  <conditionalFormatting sqref="L23">
    <cfRule type="expression" dxfId="928" priority="3">
      <formula>ABS(L$25-L$28)&gt;=1000</formula>
    </cfRule>
  </conditionalFormatting>
  <conditionalFormatting sqref="F14">
    <cfRule type="expression" dxfId="927" priority="2">
      <formula>ABS(F$16-F$19)&gt;=1000</formula>
    </cfRule>
  </conditionalFormatting>
  <conditionalFormatting sqref="AE5">
    <cfRule type="expression" dxfId="926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673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68">
    <pageSetUpPr fitToPage="1"/>
  </sheetPr>
  <dimension ref="A1:CU223"/>
  <sheetViews>
    <sheetView view="pageBreakPreview" topLeftCell="A7" zoomScale="70" zoomScaleNormal="100" zoomScaleSheetLayoutView="70" workbookViewId="0">
      <selection activeCell="Q20" sqref="Q20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8" t="s" ph="1">
        <v>161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" customHeight="1" ph="1">
      <c r="B3" s="240" ph="1">
        <v>45981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9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56" t="s" ph="1">
        <v>177</v>
      </c>
      <c r="D6" s="71">
        <v>6863</v>
      </c>
      <c r="E6" s="71">
        <v>424</v>
      </c>
      <c r="F6" s="71">
        <v>3932</v>
      </c>
      <c r="G6" s="71">
        <v>86</v>
      </c>
      <c r="H6" s="71">
        <v>20</v>
      </c>
      <c r="I6" s="71">
        <v>40.619999999999997</v>
      </c>
      <c r="J6" s="71">
        <v>7.03</v>
      </c>
      <c r="K6" s="71">
        <v>8.4700000000000006</v>
      </c>
      <c r="L6" s="71">
        <v>20.77</v>
      </c>
      <c r="M6" s="71">
        <v>4158</v>
      </c>
      <c r="N6" s="71">
        <v>1348</v>
      </c>
      <c r="O6" s="71">
        <v>105</v>
      </c>
      <c r="P6" s="71">
        <v>3857</v>
      </c>
      <c r="Q6" s="71">
        <v>1545</v>
      </c>
      <c r="R6" s="71">
        <v>7082</v>
      </c>
      <c r="S6" s="71">
        <v>6435</v>
      </c>
      <c r="T6" s="71">
        <v>7076</v>
      </c>
      <c r="U6" s="71">
        <v>6988</v>
      </c>
      <c r="V6" s="71">
        <v>944</v>
      </c>
      <c r="W6" s="71">
        <v>0</v>
      </c>
      <c r="X6" s="71">
        <v>0</v>
      </c>
      <c r="Y6" s="71">
        <v>0</v>
      </c>
      <c r="Z6" s="71">
        <v>1977</v>
      </c>
      <c r="AA6" s="71">
        <v>1936</v>
      </c>
      <c r="AB6" s="71">
        <v>2840</v>
      </c>
      <c r="AC6" s="71">
        <v>5969</v>
      </c>
      <c r="AD6" s="71">
        <v>4780</v>
      </c>
      <c r="AE6" s="71">
        <v>3664</v>
      </c>
    </row>
    <row r="7" spans="1:99" s="72" customFormat="1" ht="22.2" ph="1">
      <c r="B7" s="237" ph="1"/>
      <c r="C7" s="68" t="s" ph="1">
        <v>178</v>
      </c>
      <c r="D7" s="73" ph="1">
        <f>D6*33.183*LOOKUP(D8,密度!$A$2:$A$50,密度!$Q$2:$Q$50)</f>
        <v>217168.02829439999</v>
      </c>
      <c r="E7" s="73" ph="1">
        <f>E6*51.53*LOOKUP(E8,密度!$A$2:$A$50,密度!$B$2:$B$50)</f>
        <v>17199.312384000001</v>
      </c>
      <c r="F7" s="73" ph="1">
        <f>F6*33.183*LOOKUP(F8,密度!$A$2:$A$50,密度!$C$2:$C$50)</f>
        <v>145336.72182839998</v>
      </c>
      <c r="G7" s="73" ph="1">
        <f xml:space="preserve"> (G6+2)*51.53*LOOKUP(G8,密度!$A$2:$A$50,密度!$B$2:$B$50)</f>
        <v>3569.6686080000004</v>
      </c>
      <c r="H7" s="73" ph="1">
        <f>(H6)*51.53*LOOKUP(H8,密度!$A$2:$A$50,密度!$B$2:$B$50)</f>
        <v>811.28831999999989</v>
      </c>
      <c r="I7" s="73" ph="1">
        <f>I6*290.8*1.0267</f>
        <v>12127.6843032</v>
      </c>
      <c r="J7" s="73" ph="1">
        <f>J6*290.8*0.7892</f>
        <v>1613.3805008000002</v>
      </c>
      <c r="K7" s="73" ph="1">
        <f>K6*290.8*1.1126</f>
        <v>2740.4183576000005</v>
      </c>
      <c r="L7" s="73" ph="1">
        <f>L6*290.8*0.777</f>
        <v>4693.0147320000005</v>
      </c>
      <c r="M7" s="73" ph="1">
        <f>M6*33.183*LOOKUP(M8,密度!$A$2:$A$50,密度!$D$2:$D$50)</f>
        <v>142652.2635846</v>
      </c>
      <c r="N7" s="73" ph="1">
        <f>N6*33.183*LOOKUP(N8,密度!$A$2:$A$50,密度!$E$2:$E$50)</f>
        <v>35301.455812799999</v>
      </c>
      <c r="O7" s="73" ph="1">
        <f>O6*20.428*LOOKUP(O8,密度!$A$2:$A$50,密度!$C$2:$C$50)</f>
        <v>2386.4602440000003</v>
      </c>
      <c r="P7" s="73" ph="1">
        <f>P6*51.53*LOOKUP(P8,密度!$A$2:$A$50,密度!$B$2:$B$50)</f>
        <v>156456.95251199999</v>
      </c>
      <c r="Q7" s="73" ph="1">
        <f>Q6*1.5*1.5*3.1416*LOOKUP(W8,密度!$A$2:$A$50,密度!$L$2:$L$50)</f>
        <v>10320.332714999999</v>
      </c>
      <c r="R7" s="73" ph="1">
        <f>R6*1.5*1.5*3.1416*LOOKUP(R8,密度!$A$2:$A$50,密度!$L$2:$L$50)</f>
        <v>47006.175862799995</v>
      </c>
      <c r="S7" s="73" ph="1">
        <f>S6*1.5*1.5*3.1416*LOOKUP(S8,密度!$A$2:$A$50,密度!$L$2:$L$50)</f>
        <v>43075.659626999994</v>
      </c>
      <c r="T7" s="73" ph="1">
        <f>T6*1.5*1.5*3.1416*LOOKUP(T8,密度!$A$2:$A$50,密度!$L$2:$L$50)</f>
        <v>47466.525506400001</v>
      </c>
      <c r="U7" s="73" ph="1">
        <f>U6*1.5*1.5*3.1416*LOOKUP(U8,密度!$A$2:$A$50,密度!$L$2:$L$50)</f>
        <v>46629.235699199999</v>
      </c>
      <c r="V7" s="73" ph="1">
        <f>V6*1.5*1.5*3.1416*LOOKUP(V8,密度!$A$2:$A$50,密度!$L$2:$L$50)</f>
        <v>6265.7201375999994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62125.843076999998</v>
      </c>
      <c r="AA7" s="73" ph="1">
        <f>AA6*33.183*LOOKUP(AA8,密度!$A$2:$A$50,密度!$D$2:$D$50)</f>
        <v>66420.101563200005</v>
      </c>
      <c r="AB7" s="73" ph="1">
        <f>AB6*20.428*LOOKUP(AB8,密度!$A$2:$A$50,密度!$D$2:$D$50)</f>
        <v>60283.926831999997</v>
      </c>
      <c r="AC7" s="73" ph="1">
        <f>AC6*51.53*LOOKUP(AC8,密度!$A$2:$A$50,密度!$Q$2:$Q$50)</f>
        <v>293599.86636780004</v>
      </c>
      <c r="AD7" s="73" ph="1">
        <f>AD6*20.428*LOOKUP(AD8,密度!$A$2:$A$50,密度!$V$2:$V$50)</f>
        <v>94130.589760000003</v>
      </c>
      <c r="AE7" s="73" ph="1">
        <f>AE6*20.428</f>
        <v>74848.19200000001</v>
      </c>
    </row>
    <row r="8" spans="1:99" ph="1">
      <c r="B8" s="237" ph="1"/>
      <c r="C8" s="68" t="s" ph="1">
        <v>179</v>
      </c>
      <c r="D8" s="74">
        <v>16</v>
      </c>
      <c r="E8" s="74">
        <v>16</v>
      </c>
      <c r="F8" s="74">
        <v>18</v>
      </c>
      <c r="G8" s="74">
        <v>16</v>
      </c>
      <c r="H8" s="74">
        <v>16</v>
      </c>
      <c r="I8" s="74">
        <v>25</v>
      </c>
      <c r="J8" s="74">
        <v>25</v>
      </c>
      <c r="K8" s="74">
        <v>25</v>
      </c>
      <c r="L8" s="74">
        <v>25</v>
      </c>
      <c r="M8" s="74">
        <v>17</v>
      </c>
      <c r="N8" s="74">
        <v>20</v>
      </c>
      <c r="O8" s="74">
        <v>20</v>
      </c>
      <c r="P8" s="74">
        <v>16</v>
      </c>
      <c r="Q8" s="74">
        <v>21</v>
      </c>
      <c r="R8" s="74">
        <v>23</v>
      </c>
      <c r="S8" s="74">
        <v>15</v>
      </c>
      <c r="T8" s="74">
        <v>13</v>
      </c>
      <c r="U8" s="74">
        <v>18</v>
      </c>
      <c r="V8" s="74">
        <v>23</v>
      </c>
      <c r="W8" s="74">
        <v>17</v>
      </c>
      <c r="X8" s="74">
        <v>21</v>
      </c>
      <c r="Y8" s="74">
        <v>16</v>
      </c>
      <c r="Z8" s="74">
        <v>15</v>
      </c>
      <c r="AA8" s="74">
        <v>17</v>
      </c>
      <c r="AB8" s="74">
        <v>11</v>
      </c>
      <c r="AC8" s="74">
        <v>15</v>
      </c>
      <c r="AD8" s="74">
        <v>16</v>
      </c>
      <c r="AE8" s="74">
        <v>19</v>
      </c>
    </row>
    <row r="9" spans="1:99" ht="26.4" ph="1">
      <c r="B9" s="237" ph="1">
        <v>0.66666666666666663</v>
      </c>
      <c r="C9" s="156" t="s" ph="1">
        <v>180</v>
      </c>
      <c r="D9" s="71">
        <v>6177</v>
      </c>
      <c r="E9" s="71">
        <v>826</v>
      </c>
      <c r="F9" s="71">
        <v>4742</v>
      </c>
      <c r="G9" s="71">
        <v>84</v>
      </c>
      <c r="H9" s="71">
        <v>18</v>
      </c>
      <c r="I9" s="71">
        <v>29.27</v>
      </c>
      <c r="J9" s="71">
        <v>7.03</v>
      </c>
      <c r="K9" s="71">
        <v>8.42</v>
      </c>
      <c r="L9" s="71">
        <v>9.6999999999999993</v>
      </c>
      <c r="M9" s="71">
        <v>3596</v>
      </c>
      <c r="N9" s="71">
        <v>1349</v>
      </c>
      <c r="O9" s="71">
        <v>105</v>
      </c>
      <c r="P9" s="71">
        <v>3846</v>
      </c>
      <c r="Q9" s="71">
        <v>0</v>
      </c>
      <c r="R9" s="71">
        <v>4650</v>
      </c>
      <c r="S9" s="71">
        <v>6440</v>
      </c>
      <c r="T9" s="71">
        <v>7081</v>
      </c>
      <c r="U9" s="71">
        <v>6992</v>
      </c>
      <c r="V9" s="71">
        <v>3584</v>
      </c>
      <c r="W9" s="71">
        <v>2679</v>
      </c>
      <c r="X9" s="71">
        <v>3535</v>
      </c>
      <c r="Y9" s="71">
        <v>0</v>
      </c>
      <c r="Z9" s="71">
        <v>2864</v>
      </c>
      <c r="AA9" s="71">
        <v>1934</v>
      </c>
      <c r="AB9" s="71">
        <v>2687</v>
      </c>
      <c r="AC9" s="71">
        <v>6266</v>
      </c>
      <c r="AD9" s="71">
        <v>4780</v>
      </c>
      <c r="AE9" s="71">
        <v>3503</v>
      </c>
    </row>
    <row r="10" spans="1:99" s="72" customFormat="1" ht="22.2" ph="1">
      <c r="B10" s="237" ph="1"/>
      <c r="C10" s="156" t="s" ph="1">
        <v>178</v>
      </c>
      <c r="D10" s="73" ph="1">
        <f>D9*33.183*LOOKUP(D11,密度!$A$2:$A$50,密度!$Q$2:$Q$50)</f>
        <v>194974.93626093</v>
      </c>
      <c r="E10" s="73" ph="1">
        <f>E9*51.53*LOOKUP(E11,密度!$A$2:$A$50,密度!$B$2:$B$50)</f>
        <v>33408.310922000004</v>
      </c>
      <c r="F10" s="73" ph="1">
        <f>F9*33.183*LOOKUP(F11,密度!$A$2:$A$50,密度!$C$2:$C$50)</f>
        <v>174961.6746534</v>
      </c>
      <c r="G10" s="73" ph="1">
        <f xml:space="preserve"> (G9+2)*51.53*LOOKUP(G11,密度!$A$2:$A$50,密度!$B$2:$B$50)</f>
        <v>3481.8924059999999</v>
      </c>
      <c r="H10" s="73" ph="1">
        <f>(H9)*51.53*LOOKUP(H11,密度!$A$2:$A$50,密度!$B$2:$B$50)</f>
        <v>728.76817799999992</v>
      </c>
      <c r="I10" s="73" ph="1">
        <f>I9*290.8*1.0267</f>
        <v>8738.9788172000008</v>
      </c>
      <c r="J10" s="73" ph="1">
        <f>J9*290.8*0.7892</f>
        <v>1613.3805008000002</v>
      </c>
      <c r="K10" s="73" ph="1">
        <f>K9*290.8*1.1126</f>
        <v>2724.2411536</v>
      </c>
      <c r="L10" s="73" ph="1">
        <f>L9*290.8*0.777</f>
        <v>2191.7305200000001</v>
      </c>
      <c r="M10" s="73" ph="1">
        <f>M9*33.183*LOOKUP(M11,密度!$A$2:$A$50,密度!$D$2:$D$50)</f>
        <v>122965.513074</v>
      </c>
      <c r="N10" s="73" ph="1">
        <f>N9*33.183*LOOKUP(N11,密度!$A$2:$A$50,密度!$E$2:$E$50)</f>
        <v>35273.927195999997</v>
      </c>
      <c r="O10" s="73" ph="1">
        <f>O9*20.428*LOOKUP(O11,密度!$A$2:$A$50,密度!$C$2:$C$50)</f>
        <v>2380.0254239999999</v>
      </c>
      <c r="P10" s="73" ph="1">
        <f>P9*51.53*LOOKUP(P11,密度!$A$2:$A$50,密度!$B$2:$B$50)</f>
        <v>155554.91986200001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30765.374639999998</v>
      </c>
      <c r="S10" s="73" ph="1">
        <f>S9*1.5*1.5*3.1416*LOOKUP(S11,密度!$A$2:$A$50,密度!$L$2:$L$50)</f>
        <v>42835.998743999997</v>
      </c>
      <c r="T10" s="73" ph="1">
        <f>T9*1.5*1.5*3.1416*LOOKUP(T11,密度!$A$2:$A$50,密度!$L$2:$L$50)</f>
        <v>47399.960500199995</v>
      </c>
      <c r="U10" s="73" ph="1">
        <f>U9*1.5*1.5*3.1416*LOOKUP(U11,密度!$A$2:$A$50,密度!$L$2:$L$50)</f>
        <v>46557.079430400001</v>
      </c>
      <c r="V10" s="73" ph="1">
        <f>V9*1.5*1.5*3.1416*LOOKUP(V11,密度!$A$2:$A$50,密度!$L$2:$L$50)</f>
        <v>23763.162931199997</v>
      </c>
      <c r="W10" s="73" ph="1">
        <f>W9*1.5*1.5*3.1416*LOOKUP(W11,密度!$A$2:$A$50,密度!$L$2:$L$50)</f>
        <v>17857.382974199998</v>
      </c>
      <c r="X10" s="73" ph="1">
        <f>X9*1.5*1.5*3.1416*LOOKUP(X11,密度!$A$2:$A$50,密度!$L$2:$L$50)</f>
        <v>23488.250939999998</v>
      </c>
      <c r="Y10" s="73" ph="1">
        <f>Y9*1.5*1.5*3.1416*LOOKUP(Y11,密度!$A$2:$A$50,密度!$L$2:$L$50)</f>
        <v>0</v>
      </c>
      <c r="Z10" s="73" ph="1">
        <f>Z9*33.183*LOOKUP(Z11,密度!$A$2:$A$50,密度!$L$2:$L$50)</f>
        <v>89714.089727999992</v>
      </c>
      <c r="AA10" s="73" ph="1">
        <f>AA9*33.183*LOOKUP(AA11,密度!$A$2:$A$50,密度!$D$2:$D$50)</f>
        <v>66191.045950800006</v>
      </c>
      <c r="AB10" s="73" ph="1">
        <f>AB9*20.428*LOOKUP(AB11,密度!$A$2:$A$50,密度!$D$2:$D$50)</f>
        <v>56942.923346400006</v>
      </c>
      <c r="AC10" s="73" ph="1">
        <f>AC9*51.53*LOOKUP(AC11,密度!$A$2:$A$50,密度!$Q$2:$Q$50)</f>
        <v>307391.6338298</v>
      </c>
      <c r="AD10" s="73" ph="1">
        <f>AD9*20.428*LOOKUP(AD11,密度!$A$2:$A$50,密度!$V$2:$V$50)</f>
        <v>94130.589760000003</v>
      </c>
      <c r="AE10" s="73" ph="1">
        <f>AE9*20.428</f>
        <v>71559.284</v>
      </c>
    </row>
    <row r="11" spans="1:99" ph="1">
      <c r="A11" s="64" t="s" ph="1">
        <v>162</v>
      </c>
      <c r="B11" s="237" ph="1"/>
      <c r="C11" s="156" t="s" ph="1">
        <v>179</v>
      </c>
      <c r="D11" s="74">
        <v>19</v>
      </c>
      <c r="E11" s="74">
        <v>19</v>
      </c>
      <c r="F11" s="74">
        <v>21</v>
      </c>
      <c r="G11" s="74">
        <v>18</v>
      </c>
      <c r="H11" s="74">
        <v>18</v>
      </c>
      <c r="I11" s="74">
        <v>25</v>
      </c>
      <c r="J11" s="74">
        <v>25</v>
      </c>
      <c r="K11" s="74">
        <v>25</v>
      </c>
      <c r="L11" s="74">
        <v>25</v>
      </c>
      <c r="M11" s="74">
        <v>21</v>
      </c>
      <c r="N11" s="74">
        <v>21</v>
      </c>
      <c r="O11" s="74">
        <v>24</v>
      </c>
      <c r="P11" s="74">
        <v>19</v>
      </c>
      <c r="Q11" s="74">
        <v>23</v>
      </c>
      <c r="R11" s="74">
        <v>26</v>
      </c>
      <c r="S11" s="74">
        <v>21</v>
      </c>
      <c r="T11" s="74">
        <v>15</v>
      </c>
      <c r="U11" s="74">
        <v>20</v>
      </c>
      <c r="V11" s="74">
        <v>24</v>
      </c>
      <c r="W11" s="74">
        <v>19</v>
      </c>
      <c r="X11" s="74">
        <v>22</v>
      </c>
      <c r="Y11" s="74">
        <v>20</v>
      </c>
      <c r="Z11" s="74">
        <v>18</v>
      </c>
      <c r="AA11" s="74">
        <v>20</v>
      </c>
      <c r="AB11" s="74">
        <v>13</v>
      </c>
      <c r="AC11" s="74">
        <v>18</v>
      </c>
      <c r="AD11" s="74">
        <v>18</v>
      </c>
      <c r="AE11" s="74">
        <v>21</v>
      </c>
    </row>
    <row r="12" spans="1:99" ht="9.9" customHeight="1" ph="1"/>
    <row r="13" spans="1:99" s="72" customFormat="1" ht="29.25" customHeight="1" ph="1">
      <c r="B13" s="214" t="s" ph="1">
        <v>37</v>
      </c>
      <c r="C13" s="156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5" ph="1"/>
      <c r="C14" s="67" t="s" ph="1">
        <v>36</v>
      </c>
      <c r="D14" s="77" t="s" ph="1">
        <v>616</v>
      </c>
      <c r="E14" s="77" t="s" ph="1">
        <v>616</v>
      </c>
      <c r="F14" s="77" t="s" ph="1">
        <v>639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636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635</v>
      </c>
      <c r="AC14" s="77" t="s" ph="1">
        <v>637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6" ph="1">
        <v>0.33333333333333331</v>
      </c>
      <c r="C15" s="156" t="s" ph="1">
        <v>177</v>
      </c>
      <c r="D15" s="78">
        <v>0</v>
      </c>
      <c r="E15" s="78">
        <v>70</v>
      </c>
      <c r="F15" s="78">
        <v>984</v>
      </c>
      <c r="G15" s="78">
        <v>4341</v>
      </c>
      <c r="H15" s="78">
        <v>0</v>
      </c>
      <c r="I15" s="78">
        <v>1608</v>
      </c>
      <c r="J15" s="78">
        <v>218</v>
      </c>
      <c r="K15" s="78">
        <v>4750</v>
      </c>
      <c r="L15" s="78">
        <v>3574</v>
      </c>
      <c r="M15" s="78">
        <v>5934</v>
      </c>
      <c r="N15" s="78">
        <v>1932</v>
      </c>
      <c r="O15" s="78">
        <v>846</v>
      </c>
      <c r="P15" s="78">
        <v>3434</v>
      </c>
      <c r="Q15" s="78">
        <v>5340</v>
      </c>
      <c r="R15" s="78">
        <v>7437</v>
      </c>
      <c r="S15" s="78">
        <v>6149</v>
      </c>
      <c r="T15" s="78">
        <v>4790</v>
      </c>
      <c r="U15" s="78">
        <v>3394</v>
      </c>
      <c r="V15" s="78">
        <v>4917</v>
      </c>
      <c r="W15" s="71">
        <v>2655</v>
      </c>
      <c r="X15" s="78">
        <v>844</v>
      </c>
      <c r="Y15" s="106">
        <v>-9901</v>
      </c>
      <c r="Z15" s="78">
        <v>0</v>
      </c>
      <c r="AA15" s="78">
        <v>0</v>
      </c>
      <c r="AB15" s="78" ph="1">
        <v>1090</v>
      </c>
      <c r="AC15" s="78" ph="1">
        <v>2129</v>
      </c>
      <c r="AD15" s="78">
        <v>84.42</v>
      </c>
      <c r="AE15" s="78">
        <v>13.69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7" ph="1"/>
      <c r="C16" s="156" t="s" ph="1">
        <v>178</v>
      </c>
      <c r="D16" s="73" ph="1">
        <f>D15*7.0686*LOOKUP(D17,密度!$A$2:$A$50,密度!$L$2:$L$50)</f>
        <v>0</v>
      </c>
      <c r="E16" s="73" ph="1">
        <f>E15*7.0686*LOOKUP(E17,密度!$A$2:$A$50,密度!$L$2:$L$50)</f>
        <v>467.09308800000002</v>
      </c>
      <c r="F16" s="73" ph="1">
        <f>F15*9.0746*LOOKUP(F17,密度!$A$2:$A$50,密度!$L$2:$L$50)</f>
        <v>8420.4302351999995</v>
      </c>
      <c r="G16" s="73" ph="1">
        <f>G15*9.0746*LOOKUP(G17,密度!$A$2:$A$50,密度!$B$2:$B$50)</f>
        <v>30919.439017140005</v>
      </c>
      <c r="H16" s="73" ph="1">
        <f>H15*9.0746*LOOKUP(H17,密度!$A$2:$A$50,密度!$L$2:$L$50)</f>
        <v>0</v>
      </c>
      <c r="I16" s="73" ph="1">
        <f>I15*9.0746*LOOKUP(I17,密度!$A$2:$A$50,密度!$U$2:$U$50)</f>
        <v>15000.5315904</v>
      </c>
      <c r="J16" s="73" ph="1">
        <f>J15*9.0746*LOOKUP(J17,密度!$A$2:$A$50,密度!$L$2:$L$50)</f>
        <v>1869.4583459999999</v>
      </c>
      <c r="K16" s="73" ph="1">
        <f>K15*9.0746*LOOKUP(K17,密度!$A$2:$A$50,密度!$C$2:$C$50)</f>
        <v>48013.935464999995</v>
      </c>
      <c r="L16" s="73" ph="1">
        <f>L15*9.0746*LOOKUP(L17,密度!$A$2:$A$50,密度!$E$2:$E$50)</f>
        <v>25702.851666999999</v>
      </c>
      <c r="M16" s="73" ph="1">
        <f>M15*9.0746*LOOKUP(M17,密度!$A$2:$A$50,密度!$M$2:$M$50)</f>
        <v>47402.989834920001</v>
      </c>
      <c r="N16" s="73" ph="1">
        <f>N15*9.0746*LOOKUP(N17,密度!$A$2:$A$50,密度!$M$2:$M$50)</f>
        <v>15433.531574159999</v>
      </c>
      <c r="O16" s="73" ph="1">
        <f>O15*9.0746*LOOKUP(O17,密度!$A$2:$A$50,密度!$G$2:$G$50)</f>
        <v>7423.7669171999996</v>
      </c>
      <c r="P16" s="73" ph="1">
        <f ca="1">P15*9.0746*LOOKUP(P17,密度!$A$2:$A$51,密度!$Q$2:$Q$50)</f>
        <v>29666.703554563999</v>
      </c>
      <c r="Q16" s="73" ph="1">
        <f>Q15*9.0746*LOOKUP(Q17,密度!$A$2:$A$50,密度!$Q$2:$Q$50)</f>
        <v>46132.847111640003</v>
      </c>
      <c r="R16" s="73" ph="1">
        <f>MAX(R15*9.0746*LOOKUP(R17,密度!$A$2:$A$50,密度!$B$2:$B$50),0)</f>
        <v>52917.184136819997</v>
      </c>
      <c r="S16" s="73" ph="1">
        <f>S15*9.0746*LOOKUP(S17,密度!$A$2:$A$50,密度!$Q$2:$Q$50)</f>
        <v>53121.887057954002</v>
      </c>
      <c r="T16" s="73" ph="1">
        <f>T15*9.0746*LOOKUP(T17,密度!$A$2:$A$50,密度!$O$2:$O$50)</f>
        <v>40598.489956000005</v>
      </c>
      <c r="U16" s="73" ph="1">
        <f>U15*9.0746*LOOKUP(U17,密度!$A$2:$A$50,密度!$H$2:$H$50)</f>
        <v>28510.81240468</v>
      </c>
      <c r="V16" s="73" ph="1">
        <f>MAX(5600*LOOKUP(V17,密度!$A$2:$A$50,密度!$Q$2:$Q$50)+V15*9.0476*LOOKUP(V17,密度!$A$2:$A$50,密度!$Q$2:$Q$50),0)</f>
        <v>47601.729818695989</v>
      </c>
      <c r="W16" s="73" ph="1">
        <f>MAX(5600*LOOKUP(W17,密度!$A$2:$A$50,密度!$Q$2:$Q$50)+W15*9.0476*LOOKUP(W17,密度!$A$2:$A$50,密度!$Q$2:$Q$50),0)</f>
        <v>28151.565223639998</v>
      </c>
      <c r="X16" s="73" ph="1">
        <f>MAX(5600*LOOKUP(X17,密度!$A$2:$A$50,密度!$I$2:$I$50)+X15*9.0476*LOOKUP(X17,密度!$A$2:$A$50,密度!$I$2:$I$50),0)</f>
        <v>13678.26262496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9347.291729999999</v>
      </c>
      <c r="AC16" s="73" ph="1">
        <f>AC15*9.0746*LOOKUP(AC17,密度!$A$2:$A$50,密度!$L$2:$L$50)</f>
        <v>18276.552936399999</v>
      </c>
      <c r="AD16" s="73" ph="1">
        <f>AD15*268.68*LOOKUP(AD17,密度!$A$2:$A$50,密度!B2:B50)+IF(AD15&lt;=0,0,1566*LOOKUP(AD17,密度!$A$2:$A$50,密度!B2:B50))</f>
        <v>18903.713981759996</v>
      </c>
      <c r="AE16" s="73" ph="1">
        <f>AE15*268.68*LOOKUP(AE17,密度!$A$2:$A$50,密度!B2:B50)+IF(AE15&lt;=0,0,1566*LOOKUP(AE17,密度!$A$2:$A$50,密度!B2:B50))</f>
        <v>4088.4010843199994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8" ph="1"/>
      <c r="C17" s="79" t="s" ph="1">
        <v>179</v>
      </c>
      <c r="D17" s="74">
        <v>18</v>
      </c>
      <c r="E17" s="74">
        <v>18</v>
      </c>
      <c r="F17" s="74">
        <v>19</v>
      </c>
      <c r="G17" s="74">
        <v>19</v>
      </c>
      <c r="H17" s="74">
        <v>21</v>
      </c>
      <c r="I17" s="74">
        <v>17</v>
      </c>
      <c r="J17" s="74">
        <v>17</v>
      </c>
      <c r="K17" s="74">
        <v>18</v>
      </c>
      <c r="L17" s="74">
        <v>17</v>
      </c>
      <c r="M17" s="74">
        <v>18</v>
      </c>
      <c r="N17" s="74">
        <v>17</v>
      </c>
      <c r="O17" s="74">
        <v>19</v>
      </c>
      <c r="P17" s="74">
        <v>18</v>
      </c>
      <c r="Q17" s="74">
        <v>18</v>
      </c>
      <c r="R17" s="74">
        <v>20</v>
      </c>
      <c r="S17" s="74">
        <v>18</v>
      </c>
      <c r="T17" s="74">
        <v>17</v>
      </c>
      <c r="U17" s="74">
        <v>14</v>
      </c>
      <c r="V17" s="74">
        <v>20</v>
      </c>
      <c r="W17" s="74">
        <v>20</v>
      </c>
      <c r="X17" s="74">
        <v>33</v>
      </c>
      <c r="Y17" s="108">
        <v>33</v>
      </c>
      <c r="Z17" s="74">
        <v>17</v>
      </c>
      <c r="AA17" s="74">
        <v>15</v>
      </c>
      <c r="AB17" s="74">
        <v>17</v>
      </c>
      <c r="AC17" s="74">
        <v>16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6" ph="1">
        <v>0.66666666666666663</v>
      </c>
      <c r="C18" s="79" t="s" ph="1">
        <v>180</v>
      </c>
      <c r="D18" s="71">
        <v>0</v>
      </c>
      <c r="E18" s="71">
        <v>69</v>
      </c>
      <c r="F18" s="71">
        <v>983</v>
      </c>
      <c r="G18" s="71">
        <v>4387</v>
      </c>
      <c r="H18" s="71">
        <v>0</v>
      </c>
      <c r="I18" s="71">
        <v>1609</v>
      </c>
      <c r="J18" s="71">
        <v>502</v>
      </c>
      <c r="K18" s="71">
        <v>4802</v>
      </c>
      <c r="L18" s="71">
        <v>3580</v>
      </c>
      <c r="M18" s="71">
        <v>2972</v>
      </c>
      <c r="N18" s="71">
        <v>3109</v>
      </c>
      <c r="O18" s="71">
        <v>845</v>
      </c>
      <c r="P18" s="71">
        <v>4993</v>
      </c>
      <c r="Q18" s="71">
        <v>5344</v>
      </c>
      <c r="R18" s="71">
        <v>7445</v>
      </c>
      <c r="S18" s="71">
        <v>6154</v>
      </c>
      <c r="T18" s="71">
        <v>4108</v>
      </c>
      <c r="U18" s="71">
        <v>3396</v>
      </c>
      <c r="V18" s="71">
        <v>4917</v>
      </c>
      <c r="W18" s="71">
        <v>3258</v>
      </c>
      <c r="X18" s="71">
        <v>844</v>
      </c>
      <c r="Y18" s="109">
        <v>-9901</v>
      </c>
      <c r="Z18" s="71">
        <v>0</v>
      </c>
      <c r="AA18" s="71">
        <v>0</v>
      </c>
      <c r="AB18" s="71">
        <v>1090</v>
      </c>
      <c r="AC18" s="71">
        <v>2130</v>
      </c>
      <c r="AD18" s="71">
        <v>84.03</v>
      </c>
      <c r="AE18" s="71">
        <v>59.38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7" ph="1"/>
      <c r="C19" s="156" t="s" ph="1">
        <v>178</v>
      </c>
      <c r="D19" s="73" ph="1">
        <f>D18*7.0686*LOOKUP(D20,密度!$A$2:$A$50,密度!$L$2:$L$50)</f>
        <v>0</v>
      </c>
      <c r="E19" s="73" ph="1">
        <f>E18*7.0686*LOOKUP(E20,密度!$A$2:$A$50,密度!$L$2:$L$50)</f>
        <v>459.93259619999998</v>
      </c>
      <c r="F19" s="73" ph="1">
        <f>F18*9.0746*LOOKUP(F20,密度!$A$2:$A$50,密度!$L$2:$L$50)</f>
        <v>8358.3508966000009</v>
      </c>
      <c r="G19" s="73" ph="1">
        <f>G18*9.0746*LOOKUP(G20,密度!$A$2:$A$50,密度!$B$2:$B$50)</f>
        <v>31215.232863820002</v>
      </c>
      <c r="H19" s="73" ph="1">
        <f>H18*9.0746*LOOKUP(H20,密度!$A$2:$A$50,密度!$L$2:$L$50)</f>
        <v>0</v>
      </c>
      <c r="I19" s="73" ph="1">
        <f>I18*9.0746*LOOKUP(I20,密度!$A$2:$A$50,密度!$U$2:$U$50)</f>
        <v>15009.8602792</v>
      </c>
      <c r="J19" s="73" ph="1">
        <f>J18*9.0746*LOOKUP(J20,密度!$A$2:$A$50,密度!$L$2:$L$50)</f>
        <v>4277.5667987999996</v>
      </c>
      <c r="K19" s="73" ph="1">
        <f>K18*9.0746*LOOKUP(K20,密度!$A$2:$A$50,密度!$C$2:$C$50)</f>
        <v>48452.409247480005</v>
      </c>
      <c r="L19" s="73" ph="1">
        <f>L18*9.0746*LOOKUP(L20,密度!$A$2:$A$50,密度!$E$2:$E$50)</f>
        <v>25674.529840399999</v>
      </c>
      <c r="M19" s="73" ph="1">
        <f>M18*9.0746*LOOKUP(M20,密度!$A$2:$A$50,密度!$M$2:$M$50)</f>
        <v>23741.43676936</v>
      </c>
      <c r="N19" s="73" ph="1">
        <f>N18*9.0746*LOOKUP(N20,密度!$A$2:$A$50,密度!$M$2:$M$50)</f>
        <v>24835.84351142</v>
      </c>
      <c r="O19" s="73" ph="1">
        <f>O18*9.0746*LOOKUP(O20,密度!$A$2:$A$50,密度!$G$2:$G$50)</f>
        <v>7390.4540606</v>
      </c>
      <c r="P19" s="73" ph="1">
        <f ca="1">P18*9.0746*LOOKUP(P20,密度!$A$2:$A$51,密度!$Q$2:$Q$50)</f>
        <v>43002.772285202002</v>
      </c>
      <c r="Q19" s="73" ph="1">
        <f>Q18*9.0746*LOOKUP(Q20,密度!$A$2:$A$50,密度!$Q$2:$Q$50)</f>
        <v>46129.577714751998</v>
      </c>
      <c r="R19" s="73" ph="1">
        <f>MAX(R18*9.0746*LOOKUP(R20,密度!$A$2:$A$50,密度!$B$2:$B$50),0)</f>
        <v>52852.498573099998</v>
      </c>
      <c r="S19" s="73" ph="1">
        <f>S18*9.0746*LOOKUP(S20,密度!$A$2:$A$50,密度!$Q$2:$Q$50)</f>
        <v>53074.055113592003</v>
      </c>
      <c r="T19" s="73" ph="1">
        <f>T18*9.0746*LOOKUP(T20,密度!$A$2:$A$50,密度!$O$2:$O$50)</f>
        <v>34668.964824000002</v>
      </c>
      <c r="U19" s="73" ph="1">
        <f>U18*9.0746*LOOKUP(U20,密度!$A$2:$A$50,密度!$H$2:$H$50)</f>
        <v>28435.161094319999</v>
      </c>
      <c r="V19" s="73" ph="1">
        <f>MAX(5600*LOOKUP(V20,密度!$A$2:$A$50,密度!$Q$2:$Q$50)+V18*9.0476*LOOKUP(V20,密度!$A$2:$A$50,密度!$Q$2:$Q$50),0)</f>
        <v>47537.117525227994</v>
      </c>
      <c r="W19" s="73" ph="1">
        <f>MAX(5600*LOOKUP(W20,密度!$A$2:$A$50,密度!$Q$2:$Q$50)+W18*9.0476*LOOKUP(W20,密度!$A$2:$A$50,密度!$Q$2:$Q$50),0)</f>
        <v>33291.306616471993</v>
      </c>
      <c r="X19" s="73" ph="1">
        <f>MAX(5600*LOOKUP(X20,密度!$A$2:$A$50,密度!$I$2:$I$50)+X18*9.0476*LOOKUP(X20,密度!$A$2:$A$50,密度!$I$2:$I$50),0)</f>
        <v>13633.259631999999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9317.6177879999996</v>
      </c>
      <c r="AC19" s="73" ph="1">
        <f>AC18*9.0746*LOOKUP(AC20,密度!$A$2:$A$50,密度!$L$2:$L$50)</f>
        <v>18246.479712</v>
      </c>
      <c r="AD19" s="73" ph="1">
        <f>AD18*268.68*LOOKUP(AD20,密度!$A$2:$A$50,密度!B5:B53)+IF(AD18&lt;=0,0,1566*LOOKUP(AD20,密度!$A$2:$A$50,密度!B5:B53))</f>
        <v>18759.251170800002</v>
      </c>
      <c r="AE19" s="73" ph="1">
        <f>AE18*268.68*LOOKUP(AE20,密度!$A$2:$A$50,密度!B5:B53)+IF(AE18&lt;=0,0,1566*LOOKUP(AE20,密度!$A$2:$A$50,密度!B5:B53))</f>
        <v>13613.209696800001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7" ph="1"/>
      <c r="C20" s="80" t="s" ph="1">
        <v>179</v>
      </c>
      <c r="D20" s="81">
        <v>19</v>
      </c>
      <c r="E20" s="81">
        <v>19</v>
      </c>
      <c r="F20" s="81">
        <v>25</v>
      </c>
      <c r="G20" s="81">
        <v>20</v>
      </c>
      <c r="H20" s="81">
        <v>17</v>
      </c>
      <c r="I20" s="81">
        <v>20</v>
      </c>
      <c r="J20" s="81">
        <v>23</v>
      </c>
      <c r="K20" s="81">
        <v>21</v>
      </c>
      <c r="L20" s="81">
        <v>19</v>
      </c>
      <c r="M20" s="81">
        <v>19</v>
      </c>
      <c r="N20" s="81">
        <v>20</v>
      </c>
      <c r="O20" s="81">
        <v>22</v>
      </c>
      <c r="P20" s="81">
        <v>22</v>
      </c>
      <c r="Q20" s="81">
        <v>19</v>
      </c>
      <c r="R20" s="81">
        <v>22</v>
      </c>
      <c r="S20" s="81">
        <v>20</v>
      </c>
      <c r="T20" s="81">
        <v>20</v>
      </c>
      <c r="U20" s="81">
        <v>17</v>
      </c>
      <c r="V20" s="81">
        <v>22</v>
      </c>
      <c r="W20" s="81">
        <v>22</v>
      </c>
      <c r="X20" s="81">
        <v>36</v>
      </c>
      <c r="Y20" s="110">
        <v>36</v>
      </c>
      <c r="Z20" s="81">
        <v>22</v>
      </c>
      <c r="AA20" s="81">
        <v>19</v>
      </c>
      <c r="AB20" s="81">
        <v>20</v>
      </c>
      <c r="AC20" s="81">
        <v>18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28" t="s" ph="1">
        <v>640</v>
      </c>
      <c r="AA23" s="229"/>
      <c r="AB23" s="229"/>
      <c r="AC23" s="229"/>
      <c r="AD23" s="229"/>
      <c r="AE23" s="23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7" ph="1">
        <v>0.33333333333333331</v>
      </c>
      <c r="C24" s="156" t="s" ph="1">
        <v>177</v>
      </c>
      <c r="D24" s="71">
        <v>82.97</v>
      </c>
      <c r="E24" s="71">
        <v>5.58</v>
      </c>
      <c r="F24" s="71">
        <v>3604</v>
      </c>
      <c r="G24" s="71">
        <v>3000</v>
      </c>
      <c r="H24" s="71">
        <v>2479</v>
      </c>
      <c r="I24" s="71">
        <v>1526</v>
      </c>
      <c r="J24" s="71">
        <v>2947</v>
      </c>
      <c r="K24" s="71">
        <v>444</v>
      </c>
      <c r="L24" s="71">
        <v>5552</v>
      </c>
      <c r="M24" s="71">
        <v>2642</v>
      </c>
      <c r="N24" s="71">
        <v>4933</v>
      </c>
      <c r="O24" s="71">
        <v>1075</v>
      </c>
      <c r="P24" s="71">
        <v>360</v>
      </c>
      <c r="Q24" s="90">
        <v>660</v>
      </c>
      <c r="R24" s="71">
        <v>2360</v>
      </c>
      <c r="S24" s="71">
        <v>5663</v>
      </c>
      <c r="T24" s="71">
        <v>1072</v>
      </c>
      <c r="U24" s="71">
        <v>6070</v>
      </c>
      <c r="V24" s="71">
        <v>9827</v>
      </c>
      <c r="W24" s="71">
        <v>7222</v>
      </c>
      <c r="X24" s="71">
        <v>3178</v>
      </c>
      <c r="Y24" s="71">
        <v>4099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7" ph="1"/>
      <c r="C25" s="68" t="s" ph="1">
        <v>178</v>
      </c>
      <c r="D25" s="91" ph="1">
        <f>D24*268.68*LOOKUP(D26,密度!$A$2:$A$50,密度!$Q$2:$Q$50)+IF(D24&lt;=0,0,1566*LOOKUP(D26,密度!$A$2:$A$50,密度!$Q$2:$Q$50))</f>
        <v>22587.682302504003</v>
      </c>
      <c r="E25" s="91" ph="1">
        <f>E24*268.68*LOOKUP(E26,密度!$A$2:$A$50,密度!$C$2:$C$50)+IF(E24&lt;=0,0,1566*LOOKUP(E26,密度!$A$2:$A$50,密度!$C$2:$C$50))</f>
        <v>3399.0384261600002</v>
      </c>
      <c r="F25" s="91" ph="1">
        <f>F24*11.702*LOOKUP(F26,密度!$A$2:$A$50,密度!$Q$2:$Q$50)</f>
        <v>40117.181629840001</v>
      </c>
      <c r="G25" s="91" ph="1">
        <f>G24*18.322*LOOKUP(G26,密度!$A$2:$A$50,密度!$B$2:$B$50)</f>
        <v>43098.840600000003</v>
      </c>
      <c r="H25" s="91" ph="1">
        <f>H24*18.322*LOOKUP(H26,密度!$A$2:$A$50,密度!$B$2:$B$50)</f>
        <v>35686.680996599993</v>
      </c>
      <c r="I25" s="91" ph="1">
        <f>I24*18.322*LOOKUP(I26,密度!$A$2:$A$50,密度!$Q$2:$Q$50)</f>
        <v>26617.601737720001</v>
      </c>
      <c r="J25" s="91" ph="1">
        <f>J24*18.322*LOOKUP(J26,密度!$A$2:$A$50,密度!$Q$2:$Q$50)</f>
        <v>51315.705374919999</v>
      </c>
      <c r="K25" s="91" ph="1">
        <f>K24*18.322*LOOKUP(K26,密度!$A$2:$A$50,密度!$Q$2:$Q$50)</f>
        <v>7738.22561064</v>
      </c>
      <c r="L25" s="91" ph="1">
        <f>L24*18.322*LOOKUP(L26,密度!$A$2:$A$50,密度!$Q$2:$Q$50)</f>
        <v>96842.021525439995</v>
      </c>
      <c r="M25" s="91" ph="1">
        <f>M24*18.322*LOOKUP(M26,密度!$A$2:$A$50,密度!$Q$2:$Q$50)</f>
        <v>46045.928070519993</v>
      </c>
      <c r="N25" s="91" ph="1">
        <f>N24*18.322*LOOKUP(N26,密度!$A$2:$A$50,密度!$Q$2:$Q$50)</f>
        <v>86044.973376259994</v>
      </c>
      <c r="O25" s="91" ph="1">
        <f>O24*18.322*LOOKUP(O26,密度!$A$2:$A$50,密度!$C$2:$C$50)</f>
        <v>21925.754179999996</v>
      </c>
      <c r="P25" s="91" ph="1">
        <f>P24*11.702*LOOKUP(P26,密度!$A$2:$A$50,密度!$B$2:$B$50)</f>
        <v>3312.8830080000002</v>
      </c>
      <c r="Q25" s="92" ph="1">
        <f>Q24*18.322*LOOKUP(Q26,密度!$A$2:$A$50,密度!$B$2:$B$50)</f>
        <v>9481.7449319999996</v>
      </c>
      <c r="R25" s="91" ph="1">
        <f>R24*35.891*LOOKUP(R26,密度!$A$2:$A$50,密度!$C$2:$C$50)</f>
        <v>94180.998844000002</v>
      </c>
      <c r="S25" s="91" ph="1">
        <f>S24*35.891*LOOKUP(S26,密度!$A$2:$A$50,密度!$B$2:$B$50)</f>
        <v>159185.9740856</v>
      </c>
      <c r="T25" s="91" ph="1">
        <f>T24*35.891*LOOKUP(T26,密度!$A$2:$A$50,密度!$Q$2:$Q$50)</f>
        <v>36566.014957759995</v>
      </c>
      <c r="U25" s="91" ph="1">
        <f>U24*35.891</f>
        <v>217858.37</v>
      </c>
      <c r="V25" s="91" ph="1">
        <f>V24*47.051*LOOKUP(V26,密度!$A$2:$A$50,密度!$B$2:$B$50)</f>
        <v>362544.4557857</v>
      </c>
      <c r="W25" s="91" ph="1">
        <f>W24*47.051*LOOKUP(W26,密度!$A$2:$A$50,密度!$B$2:$B$50)</f>
        <v>265827.3565006</v>
      </c>
      <c r="X25" s="91" ph="1">
        <f>X24*47.051*LOOKUP(X26,密度!$A$2:$A$50,密度!$I$2:$I$50)</f>
        <v>151830.81040120003</v>
      </c>
      <c r="Y25" s="91" ph="1">
        <f>Y24*47.051*LOOKUP(Y26,密度!$A$2:$A$50,密度!$L$2:$L$50)</f>
        <v>181290.32605999999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7" ph="1"/>
      <c r="C26" s="68" t="s" ph="1">
        <v>179</v>
      </c>
      <c r="D26" s="74">
        <v>25</v>
      </c>
      <c r="E26" s="74">
        <v>25</v>
      </c>
      <c r="F26" s="74">
        <v>19</v>
      </c>
      <c r="G26" s="74">
        <v>20</v>
      </c>
      <c r="H26" s="74">
        <v>18</v>
      </c>
      <c r="I26" s="74">
        <v>18</v>
      </c>
      <c r="J26" s="74">
        <v>20</v>
      </c>
      <c r="K26" s="74">
        <v>19</v>
      </c>
      <c r="L26" s="74">
        <v>18</v>
      </c>
      <c r="M26" s="74">
        <v>19</v>
      </c>
      <c r="N26" s="74">
        <v>18</v>
      </c>
      <c r="O26" s="74">
        <v>19</v>
      </c>
      <c r="P26" s="74">
        <v>17</v>
      </c>
      <c r="Q26" s="93">
        <v>20</v>
      </c>
      <c r="R26" s="74">
        <v>21</v>
      </c>
      <c r="S26" s="74">
        <v>21</v>
      </c>
      <c r="T26" s="74">
        <v>20</v>
      </c>
      <c r="U26" s="74">
        <v>21</v>
      </c>
      <c r="V26" s="74">
        <v>20</v>
      </c>
      <c r="W26" s="74">
        <v>22</v>
      </c>
      <c r="X26" s="74">
        <v>52</v>
      </c>
      <c r="Y26" s="74">
        <v>22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7" ph="1">
        <v>0.66666666666666663</v>
      </c>
      <c r="C27" s="156" t="s" ph="1">
        <v>180</v>
      </c>
      <c r="D27" s="71">
        <v>83.13</v>
      </c>
      <c r="E27" s="71">
        <v>56.33</v>
      </c>
      <c r="F27" s="71">
        <v>3605</v>
      </c>
      <c r="G27" s="71">
        <v>2281</v>
      </c>
      <c r="H27" s="71">
        <v>1551</v>
      </c>
      <c r="I27" s="71">
        <v>1526</v>
      </c>
      <c r="J27" s="71">
        <v>2946</v>
      </c>
      <c r="K27" s="71">
        <v>442</v>
      </c>
      <c r="L27" s="71">
        <v>5551</v>
      </c>
      <c r="M27" s="71">
        <v>2641</v>
      </c>
      <c r="N27" s="71">
        <v>4933</v>
      </c>
      <c r="O27" s="71">
        <v>2494</v>
      </c>
      <c r="P27" s="71">
        <v>357</v>
      </c>
      <c r="Q27" s="90">
        <v>802</v>
      </c>
      <c r="R27" s="71">
        <v>2358</v>
      </c>
      <c r="S27" s="71">
        <v>5291</v>
      </c>
      <c r="T27" s="71">
        <v>1070</v>
      </c>
      <c r="U27" s="71">
        <v>5883</v>
      </c>
      <c r="V27" s="71">
        <v>9826</v>
      </c>
      <c r="W27" s="71">
        <v>7225</v>
      </c>
      <c r="X27" s="71">
        <v>2812</v>
      </c>
      <c r="Y27" s="71">
        <v>3021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7" ph="1"/>
      <c r="C28" s="156" t="s" ph="1">
        <v>178</v>
      </c>
      <c r="D28" s="91" ph="1">
        <f>D27*268.68*LOOKUP(D29,密度!$A$2:$A$50,密度!$Q$2:$Q$50)+IF(D27&lt;=0,0,1566*LOOKUP(D29,密度!$A$2:$A$50,密度!$Q$2:$Q$50))</f>
        <v>22628.381519016002</v>
      </c>
      <c r="E28" s="91" ph="1">
        <f>E27*268.68*LOOKUP(E29,密度!$A$2:$A$50,密度!$C$2:$C$50)+IF(E27&lt;=0,0,1566*LOOKUP(E29,密度!$A$2:$A$50,密度!$C$2:$C$50))</f>
        <v>18519.455465160001</v>
      </c>
      <c r="F28" s="91" ph="1">
        <f>F27*11.702*LOOKUP(F29,密度!$A$2:$A$50,密度!$Q$2:$Q$50)</f>
        <v>40000.490222</v>
      </c>
      <c r="G28" s="91" ph="1">
        <f>G27*18.322*LOOKUP(G29,密度!$A$2:$A$50,密度!$B$2:$B$50)</f>
        <v>32769.485136199997</v>
      </c>
      <c r="H28" s="91" ph="1">
        <f>H27*18.322*LOOKUP(H29,密度!$A$2:$A$50,密度!$B$2:$B$50)</f>
        <v>22230.949230599999</v>
      </c>
      <c r="I28" s="91" ph="1">
        <f>I27*18.322*LOOKUP(I29,密度!$A$2:$A$50,密度!$Q$2:$Q$50)</f>
        <v>26535.96037148</v>
      </c>
      <c r="J28" s="91" ph="1">
        <f>J27*18.322*LOOKUP(J29,密度!$A$2:$A$50,密度!$Q$2:$Q$50)</f>
        <v>51298.292512560001</v>
      </c>
      <c r="K28" s="91" ph="1">
        <f>K27*18.322*LOOKUP(K29,密度!$A$2:$A$50,密度!$Q$2:$Q$50)</f>
        <v>7686.0383251599997</v>
      </c>
      <c r="L28" s="91" ph="1">
        <f>L27*18.322*LOOKUP(L29,密度!$A$2:$A$50,密度!$Q$2:$Q$50)</f>
        <v>96588.62221917999</v>
      </c>
      <c r="M28" s="91" ph="1">
        <f>M27*18.322*LOOKUP(M29,密度!$A$2:$A$50,密度!$Q$2:$Q$50)</f>
        <v>46028.499634459993</v>
      </c>
      <c r="N28" s="91" ph="1">
        <f>N27*18.322*LOOKUP(N29,密度!$A$2:$A$50,密度!$Q$2:$Q$50)</f>
        <v>85835.286147940002</v>
      </c>
      <c r="O28" s="91" ph="1">
        <f>O27*18.322*LOOKUP(O29,密度!$A$2:$A$50,密度!$C$2:$C$50)</f>
        <v>50771.790054799996</v>
      </c>
      <c r="P28" s="91" ph="1">
        <f>P27*11.702*LOOKUP(P29,密度!$A$2:$A$50,密度!$B$2:$B$50)</f>
        <v>3271.9072847999996</v>
      </c>
      <c r="Q28" s="92" ph="1">
        <f>Q27*18.322*LOOKUP(Q29,密度!$A$2:$A$50,密度!$B$2:$B$50)</f>
        <v>11521.756720399999</v>
      </c>
      <c r="R28" s="91" ph="1">
        <f>R27*35.891*LOOKUP(R29,密度!$A$2:$A$50,密度!$C$2:$C$50)</f>
        <v>93974.237971200011</v>
      </c>
      <c r="S28" s="91" ph="1">
        <f>S27*35.891*LOOKUP(S29,密度!$A$2:$A$50,密度!$B$2:$B$50)</f>
        <v>148387.29817339999</v>
      </c>
      <c r="T28" s="91" ph="1">
        <f>T27*35.891*LOOKUP(T29,密度!$A$2:$A$50,密度!$Q$2:$Q$50)</f>
        <v>36530.437645099999</v>
      </c>
      <c r="U28" s="91" ph="1">
        <f>U27*35.891</f>
        <v>211146.753</v>
      </c>
      <c r="V28" s="91" ph="1">
        <f>V27*47.051*LOOKUP(V29,密度!$A$2:$A$50,密度!$B$2:$B$50)</f>
        <v>362877.42159740004</v>
      </c>
      <c r="W28" s="91" ph="1">
        <f>W27*47.051*LOOKUP(W29,密度!$A$2:$A$50,密度!$B$2:$B$50)</f>
        <v>265937.78049250005</v>
      </c>
      <c r="X28" s="91" ph="1">
        <f>X27*47.051*LOOKUP(X29,密度!$A$2:$A$50,密度!$I$2:$I$50)</f>
        <v>134344.94614480002</v>
      </c>
      <c r="Y28" s="91" ph="1">
        <f>Y27*47.051*LOOKUP(Y29,密度!$A$2:$A$50,密度!$L$2:$L$50)</f>
        <v>133186.18352700002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7" ph="1"/>
      <c r="C29" s="156" t="s" ph="1">
        <v>179</v>
      </c>
      <c r="D29" s="74">
        <v>25</v>
      </c>
      <c r="E29" s="74">
        <v>25</v>
      </c>
      <c r="F29" s="74">
        <v>23</v>
      </c>
      <c r="G29" s="74">
        <v>20</v>
      </c>
      <c r="H29" s="74">
        <v>22</v>
      </c>
      <c r="I29" s="74">
        <v>22</v>
      </c>
      <c r="J29" s="74">
        <v>20</v>
      </c>
      <c r="K29" s="74">
        <v>22</v>
      </c>
      <c r="L29" s="74">
        <v>21</v>
      </c>
      <c r="M29" s="74">
        <v>19</v>
      </c>
      <c r="N29" s="74">
        <v>21</v>
      </c>
      <c r="O29" s="74">
        <v>22</v>
      </c>
      <c r="P29" s="74">
        <v>21</v>
      </c>
      <c r="Q29" s="93">
        <v>20</v>
      </c>
      <c r="R29" s="74">
        <v>23</v>
      </c>
      <c r="S29" s="74">
        <v>23</v>
      </c>
      <c r="T29" s="74">
        <v>19</v>
      </c>
      <c r="U29" s="74">
        <v>22</v>
      </c>
      <c r="V29" s="74">
        <v>19</v>
      </c>
      <c r="W29" s="74">
        <v>22</v>
      </c>
      <c r="X29" s="74">
        <v>56</v>
      </c>
      <c r="Y29" s="74">
        <v>25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56" t="s" ph="1">
        <v>5</v>
      </c>
      <c r="F32" s="157" t="s" ph="1">
        <v>43</v>
      </c>
      <c r="G32" s="97" t="s" ph="1">
        <v>4</v>
      </c>
      <c r="H32" s="156" t="s" ph="1">
        <v>5</v>
      </c>
      <c r="I32" s="157" t="s" ph="1">
        <v>43</v>
      </c>
      <c r="J32" s="97" t="s" ph="1">
        <v>4</v>
      </c>
      <c r="K32" s="156" t="s" ph="1">
        <v>5</v>
      </c>
      <c r="L32" s="157" t="s" ph="1">
        <v>43</v>
      </c>
      <c r="M32" s="97" t="s" ph="1">
        <v>4</v>
      </c>
      <c r="N32" s="156" t="s" ph="1">
        <v>5</v>
      </c>
      <c r="O32" s="157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6" t="s" ph="1">
        <v>5</v>
      </c>
      <c r="U32" s="99" t="s" ph="1">
        <v>43</v>
      </c>
      <c r="V32" s="97" t="s" ph="1">
        <v>4</v>
      </c>
      <c r="W32" s="156" t="s" ph="1">
        <v>5</v>
      </c>
      <c r="X32" s="99" t="s" ph="1">
        <v>43</v>
      </c>
      <c r="Y32" s="100" t="s" ph="1">
        <v>4</v>
      </c>
      <c r="Z32" s="156" t="s" ph="1">
        <v>5</v>
      </c>
      <c r="AA32" s="157" t="s" ph="1">
        <v>43</v>
      </c>
      <c r="AB32" s="97" t="s" ph="1">
        <v>85</v>
      </c>
      <c r="AC32" s="156" t="s" ph="1">
        <v>84</v>
      </c>
      <c r="AD32" s="204" t="s" ph="1">
        <v>83</v>
      </c>
      <c r="AE32" s="20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6" t="s" ph="1">
        <v>181</v>
      </c>
      <c r="C33" s="207" ph="1"/>
      <c r="D33" s="186" ph="1">
        <f>AA10+AB10+Z19</f>
        <v>123133.9692972</v>
      </c>
      <c r="E33" s="186" ph="1">
        <f>M10+I10</f>
        <v>131704.49189120001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[[#This Row],[F25]]</f>
        <v>3880</v>
      </c>
      <c r="G33" s="212" ph="1">
        <v>0</v>
      </c>
      <c r="H33" s="186" ph="1">
        <f>N19</f>
        <v>24835.84351142</v>
      </c>
      <c r="I33" s="190" ph="1">
        <v>0</v>
      </c>
      <c r="J33" s="194" ph="1">
        <f>F10+O28</f>
        <v>225733.46470819999</v>
      </c>
      <c r="K33" s="186" ph="1">
        <f>O10+K10+E28+R28</f>
        <v>117597.96001396001</v>
      </c>
      <c r="L33" s="196" ph="1">
        <f>BE27</f>
        <v>7100</v>
      </c>
      <c r="M33" s="194" ph="1">
        <f>G10+H10+W28+S28+V28+E10</f>
        <v>814821.47176930006</v>
      </c>
      <c r="N33" s="186" ph="1">
        <f>L10+P10++G28+H28</f>
        <v>212747.08474880003</v>
      </c>
      <c r="O33" s="190" ph="1">
        <f>BE17</f>
        <v>2270</v>
      </c>
      <c r="P33" s="194" ph="1">
        <f>L19</f>
        <v>25674.529840399999</v>
      </c>
      <c r="Q33" s="186" ph="1">
        <f>J10+N10</f>
        <v>36887.307696799995</v>
      </c>
      <c r="R33" s="190" ph="1">
        <f>BE23</f>
        <v>890</v>
      </c>
      <c r="S33" s="194" ph="1">
        <f>E10+X28</f>
        <v>167753.25706680003</v>
      </c>
      <c r="T33" s="186" ph="1">
        <f>X19</f>
        <v>13633.259631999999</v>
      </c>
      <c r="U33" s="175" ph="1">
        <f>BE21</f>
        <v>730</v>
      </c>
      <c r="V33" s="188" ph="1">
        <f ca="1">P19+Q19+S19+M28+N28+J28</f>
        <v>325368.48340850603</v>
      </c>
      <c r="W33" s="188" ph="1">
        <f>D28+F28+V19+T28</f>
        <v>146696.426911344</v>
      </c>
      <c r="X33" s="190" ph="1">
        <f>BE29+BE31</f>
        <v>10200</v>
      </c>
      <c r="Y33" s="192" ph="1">
        <f>+Q10+R10+S10+T10+U10+V10+W10+X10+Y10</f>
        <v>232667.21016000002</v>
      </c>
      <c r="Z33" s="173" ph="1">
        <f>D10+T19+U19+Y28+Z10</f>
        <v>480979.33543425001</v>
      </c>
      <c r="AA33" s="175" ph="1">
        <f>BE19</f>
        <v>1440</v>
      </c>
      <c r="AB33" s="177" ph="1">
        <f>I19</f>
        <v>15009.8602792</v>
      </c>
      <c r="AC33" s="179" ph="1">
        <f>AD10</f>
        <v>94130.589760000003</v>
      </c>
      <c r="AD33" s="181" ph="1">
        <v>0</v>
      </c>
      <c r="AE33" s="18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5" t="s" ph="1">
        <v>633</v>
      </c>
      <c r="AD35" s="185"/>
      <c r="AE35" s="18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1" t="s" ph="1">
        <v>183</v>
      </c>
      <c r="J36" s="171" ph="1"/>
      <c r="K36" s="101" ph="1"/>
      <c r="P36" s="101" ph="1"/>
      <c r="R36" s="171" t="s" ph="1">
        <v>184</v>
      </c>
      <c r="S36" s="171" ph="1"/>
      <c r="Y36" s="102" ph="1"/>
      <c r="Z36" s="158" t="s" ph="1">
        <v>185</v>
      </c>
      <c r="AA36" s="158" ph="1"/>
      <c r="AB36" s="172" t="s" ph="1">
        <v>642</v>
      </c>
      <c r="AC36" s="172" ph="1"/>
      <c r="AD36" s="172" ph="1"/>
      <c r="AE36" s="172" ph="1"/>
      <c r="BA36" s="64" ph="1">
        <v>2270</v>
      </c>
    </row>
    <row r="37" spans="1:57" s="158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8" t="s" ph="1">
        <v>342</v>
      </c>
      <c r="AI37" s="158" t="s" ph="1">
        <v>209</v>
      </c>
      <c r="AJ37" s="158" t="s" ph="1">
        <v>210</v>
      </c>
      <c r="AK37" s="158" t="s" ph="1">
        <v>211</v>
      </c>
      <c r="AM37" s="158" t="s" ph="1">
        <v>210</v>
      </c>
      <c r="AN37" s="158" t="s" ph="1">
        <v>211</v>
      </c>
      <c r="AO37" s="158" t="s" ph="1">
        <v>212</v>
      </c>
      <c r="AP37" s="158" t="s" ph="1">
        <v>210</v>
      </c>
      <c r="AQ37" s="158" t="s" ph="1">
        <v>211</v>
      </c>
      <c r="AR37" s="158" t="s" ph="1">
        <v>212</v>
      </c>
      <c r="AS37" s="158" t="s" ph="1">
        <v>210</v>
      </c>
      <c r="AT37" s="158" t="s" ph="1">
        <v>211</v>
      </c>
      <c r="AU37" s="158" t="s" ph="1">
        <v>212</v>
      </c>
      <c r="AV37" s="158" t="s" ph="1">
        <v>210</v>
      </c>
      <c r="AW37" s="158" t="s" ph="1">
        <v>211</v>
      </c>
      <c r="AX37" s="158" t="s" ph="1">
        <v>212</v>
      </c>
      <c r="AY37" s="158" t="s" ph="1">
        <v>211</v>
      </c>
      <c r="AZ37" s="158" t="s" ph="1">
        <v>213</v>
      </c>
      <c r="BD37" s="158" t="s" ph="1">
        <v>305</v>
      </c>
      <c r="BE37" s="158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895" priority="98">
      <formula>ABS(D$7-D$10)&gt;=1000</formula>
    </cfRule>
  </conditionalFormatting>
  <conditionalFormatting sqref="E4 E6:E11">
    <cfRule type="expression" dxfId="894" priority="97">
      <formula>ABS(E$7-E$10)&gt;=1000</formula>
    </cfRule>
  </conditionalFormatting>
  <conditionalFormatting sqref="F4:F11">
    <cfRule type="expression" dxfId="893" priority="96">
      <formula>ABS(F$7-F$10)&gt;=1000</formula>
    </cfRule>
  </conditionalFormatting>
  <conditionalFormatting sqref="G4:G11">
    <cfRule type="expression" dxfId="892" priority="95">
      <formula>ABS(G$7-G$10)&gt;=1000</formula>
    </cfRule>
  </conditionalFormatting>
  <conditionalFormatting sqref="H4:H11">
    <cfRule type="expression" dxfId="891" priority="94">
      <formula>ABS(H$7-H$10)&gt;=1000</formula>
    </cfRule>
  </conditionalFormatting>
  <conditionalFormatting sqref="I4:I11">
    <cfRule type="expression" dxfId="890" priority="93">
      <formula>ABS(I$7-I$10)&gt;=1000</formula>
    </cfRule>
  </conditionalFormatting>
  <conditionalFormatting sqref="J4:J11">
    <cfRule type="expression" dxfId="889" priority="92">
      <formula>ABS(J$7-J$10)&gt;=1000</formula>
    </cfRule>
  </conditionalFormatting>
  <conditionalFormatting sqref="K4:K11">
    <cfRule type="expression" dxfId="888" priority="91">
      <formula>ABS(K$7-K$10)&gt;=1000</formula>
    </cfRule>
  </conditionalFormatting>
  <conditionalFormatting sqref="L4:L11">
    <cfRule type="expression" dxfId="887" priority="90">
      <formula>ABS(L$7-L$10)&gt;=1000</formula>
    </cfRule>
  </conditionalFormatting>
  <conditionalFormatting sqref="M4 M6:M11">
    <cfRule type="expression" dxfId="886" priority="89">
      <formula>ABS(M$7-M$10)&gt;=1000</formula>
    </cfRule>
  </conditionalFormatting>
  <conditionalFormatting sqref="N4 N6:N11">
    <cfRule type="expression" dxfId="885" priority="88">
      <formula>ABS(N$7-N$10)&gt;=1000</formula>
    </cfRule>
  </conditionalFormatting>
  <conditionalFormatting sqref="O4 O6:O11">
    <cfRule type="expression" dxfId="884" priority="87">
      <formula>ABS(O$7-O$10)&gt;=1000</formula>
    </cfRule>
  </conditionalFormatting>
  <conditionalFormatting sqref="P4 P6:P11">
    <cfRule type="expression" dxfId="883" priority="86">
      <formula>ABS(P$7-P$10)&gt;=1000</formula>
    </cfRule>
  </conditionalFormatting>
  <conditionalFormatting sqref="Q4:Q11">
    <cfRule type="expression" dxfId="882" priority="85">
      <formula>ABS(Q$7-Q$10)&gt;=1000</formula>
    </cfRule>
  </conditionalFormatting>
  <conditionalFormatting sqref="R4:R11">
    <cfRule type="expression" dxfId="881" priority="84">
      <formula>ABS(R$7-R$10)&gt;=1000</formula>
    </cfRule>
  </conditionalFormatting>
  <conditionalFormatting sqref="S4:S11">
    <cfRule type="expression" dxfId="880" priority="83">
      <formula>ABS(S$7-S$10)&gt;=1000</formula>
    </cfRule>
  </conditionalFormatting>
  <conditionalFormatting sqref="T4:T9 T11">
    <cfRule type="expression" dxfId="879" priority="82">
      <formula>ABS(T$7-T$10)&gt;=1000</formula>
    </cfRule>
  </conditionalFormatting>
  <conditionalFormatting sqref="U4:U9 U11">
    <cfRule type="expression" dxfId="878" priority="81">
      <formula>ABS(U$7-U$10)&gt;=1000</formula>
    </cfRule>
  </conditionalFormatting>
  <conditionalFormatting sqref="V4:V9 V11">
    <cfRule type="expression" dxfId="877" priority="80">
      <formula>ABS(V$7-V$10)&gt;=1000</formula>
    </cfRule>
  </conditionalFormatting>
  <conditionalFormatting sqref="W4:W9 W11">
    <cfRule type="expression" dxfId="876" priority="79">
      <formula>ABS(W$7-W$10)&gt;=1000</formula>
    </cfRule>
  </conditionalFormatting>
  <conditionalFormatting sqref="X4:X9 X11">
    <cfRule type="expression" dxfId="875" priority="78">
      <formula>ABS(X$7-X$10)&gt;=1000</formula>
    </cfRule>
  </conditionalFormatting>
  <conditionalFormatting sqref="Y4:Y9 Y11">
    <cfRule type="expression" dxfId="874" priority="77">
      <formula>ABS(Y$7-Y$10)&gt;=1000</formula>
    </cfRule>
  </conditionalFormatting>
  <conditionalFormatting sqref="Z4:Z11">
    <cfRule type="expression" dxfId="873" priority="76">
      <formula>ABS(Z$7-Z$10)&gt;=1000</formula>
    </cfRule>
  </conditionalFormatting>
  <conditionalFormatting sqref="AA4:AA11">
    <cfRule type="expression" dxfId="872" priority="75">
      <formula>ABS(AA$7-AA$10)&gt;=1000</formula>
    </cfRule>
  </conditionalFormatting>
  <conditionalFormatting sqref="AB4:AB11">
    <cfRule type="expression" dxfId="871" priority="74">
      <formula>ABS(AB$7-AB$10)&gt;=1000</formula>
    </cfRule>
  </conditionalFormatting>
  <conditionalFormatting sqref="AC4 AC6:AC11">
    <cfRule type="expression" dxfId="870" priority="73">
      <formula>ABS(AC$7-AC$10)&gt;=1000</formula>
    </cfRule>
  </conditionalFormatting>
  <conditionalFormatting sqref="AD4:AD11">
    <cfRule type="expression" dxfId="869" priority="72">
      <formula>ABS(AD$7-AD$10)&gt;=1000</formula>
    </cfRule>
  </conditionalFormatting>
  <conditionalFormatting sqref="AE4 AE6:AE11">
    <cfRule type="expression" dxfId="868" priority="71">
      <formula>ABS(AE$7-AE$10)&gt;=1000</formula>
    </cfRule>
  </conditionalFormatting>
  <conditionalFormatting sqref="D13:D20">
    <cfRule type="expression" dxfId="867" priority="70">
      <formula>ABS(D$16-D$19)&gt;=1000</formula>
    </cfRule>
  </conditionalFormatting>
  <conditionalFormatting sqref="E13:E20">
    <cfRule type="expression" dxfId="866" priority="69">
      <formula>ABS(E$16-E$19)&gt;=1000</formula>
    </cfRule>
  </conditionalFormatting>
  <conditionalFormatting sqref="F13 F15:F20">
    <cfRule type="expression" dxfId="865" priority="68">
      <formula>ABS(F$16-F$19)&gt;=1000</formula>
    </cfRule>
  </conditionalFormatting>
  <conditionalFormatting sqref="G13:G20">
    <cfRule type="expression" dxfId="864" priority="67">
      <formula>ABS(G$16-G$19)&gt;=1000</formula>
    </cfRule>
  </conditionalFormatting>
  <conditionalFormatting sqref="H13:H20">
    <cfRule type="expression" dxfId="863" priority="66">
      <formula>ABS(H$16-H$19)&gt;=1000</formula>
    </cfRule>
  </conditionalFormatting>
  <conditionalFormatting sqref="I13:I20">
    <cfRule type="expression" dxfId="862" priority="65">
      <formula>ABS(I$16-I$19)&gt;=1000</formula>
    </cfRule>
  </conditionalFormatting>
  <conditionalFormatting sqref="J13:J20">
    <cfRule type="expression" dxfId="861" priority="64">
      <formula>ABS(J$16-J$19)&gt;=1000</formula>
    </cfRule>
  </conditionalFormatting>
  <conditionalFormatting sqref="L13:L20">
    <cfRule type="expression" dxfId="860" priority="63">
      <formula>ABS(L$16-L$19)&gt;=1000</formula>
    </cfRule>
  </conditionalFormatting>
  <conditionalFormatting sqref="M13 M15 M17:M18 M20">
    <cfRule type="expression" dxfId="859" priority="62">
      <formula>ABS(M$16-M$19)&gt;=1000</formula>
    </cfRule>
  </conditionalFormatting>
  <conditionalFormatting sqref="N13:N20">
    <cfRule type="expression" dxfId="858" priority="61">
      <formula>ABS(N$16-N$19)&gt;=1000</formula>
    </cfRule>
  </conditionalFormatting>
  <conditionalFormatting sqref="O13:O20">
    <cfRule type="expression" dxfId="857" priority="60">
      <formula>ABS(O$16-O$19)&gt;=1000</formula>
    </cfRule>
  </conditionalFormatting>
  <conditionalFormatting sqref="P13:P20">
    <cfRule type="expression" dxfId="856" priority="59">
      <formula>ABS(P$16-P$19)&gt;=1000</formula>
    </cfRule>
  </conditionalFormatting>
  <conditionalFormatting sqref="Q13 Q15:Q20">
    <cfRule type="expression" dxfId="855" priority="58">
      <formula>ABS(Q$16-Q$19)&gt;=1000</formula>
    </cfRule>
  </conditionalFormatting>
  <conditionalFormatting sqref="R13:R20">
    <cfRule type="expression" dxfId="854" priority="57">
      <formula>ABS(R$16-R$19)&gt;=1000</formula>
    </cfRule>
  </conditionalFormatting>
  <conditionalFormatting sqref="S13:S20">
    <cfRule type="expression" dxfId="853" priority="56">
      <formula>ABS(S$16-S$19)&gt;=1000</formula>
    </cfRule>
  </conditionalFormatting>
  <conditionalFormatting sqref="T13:T20">
    <cfRule type="expression" dxfId="852" priority="55">
      <formula>ABS(T$16-T$19)&gt;=1000</formula>
    </cfRule>
  </conditionalFormatting>
  <conditionalFormatting sqref="U13:U20">
    <cfRule type="expression" dxfId="851" priority="54">
      <formula>ABS(U$16-U$19)&gt;=1000</formula>
    </cfRule>
  </conditionalFormatting>
  <conditionalFormatting sqref="V13:V20">
    <cfRule type="expression" dxfId="850" priority="53">
      <formula>ABS(V$16-V$19)&gt;=1000</formula>
    </cfRule>
  </conditionalFormatting>
  <conditionalFormatting sqref="W13 W20 W15:W18">
    <cfRule type="expression" dxfId="849" priority="52">
      <formula>ABS(W$16-W$19)&gt;=1000</formula>
    </cfRule>
  </conditionalFormatting>
  <conditionalFormatting sqref="X13 X15:X20 Y19">
    <cfRule type="expression" dxfId="848" priority="51">
      <formula>ABS(X$16-X$19)&gt;=1000</formula>
    </cfRule>
  </conditionalFormatting>
  <conditionalFormatting sqref="Y13 Y15:Y18 Y20">
    <cfRule type="expression" dxfId="847" priority="50">
      <formula>ABS(Y$16-Y$19)&gt;=1000</formula>
    </cfRule>
  </conditionalFormatting>
  <conditionalFormatting sqref="Z13:Z20">
    <cfRule type="expression" dxfId="846" priority="49">
      <formula>ABS(Z$16-Z$19)&gt;=1000</formula>
    </cfRule>
  </conditionalFormatting>
  <conditionalFormatting sqref="AA13:AA20">
    <cfRule type="expression" dxfId="845" priority="48">
      <formula>ABS(AA$16-AA$19)&gt;=1000</formula>
    </cfRule>
  </conditionalFormatting>
  <conditionalFormatting sqref="AB13 AB15:AB20">
    <cfRule type="expression" dxfId="844" priority="47">
      <formula>ABS(AB$16-AB$19)&gt;=1000</formula>
    </cfRule>
  </conditionalFormatting>
  <conditionalFormatting sqref="AC13 AC15:AC20">
    <cfRule type="expression" dxfId="843" priority="46">
      <formula>ABS(AC$16-AC$19)&gt;=1000</formula>
    </cfRule>
  </conditionalFormatting>
  <conditionalFormatting sqref="AD13:AD20">
    <cfRule type="expression" dxfId="842" priority="45">
      <formula>ABS(AD$16-AD$19)&gt;=1000</formula>
    </cfRule>
  </conditionalFormatting>
  <conditionalFormatting sqref="AE13:AE20">
    <cfRule type="expression" dxfId="841" priority="44">
      <formula>ABS(AE$16-AE$19)&gt;=1000</formula>
    </cfRule>
  </conditionalFormatting>
  <conditionalFormatting sqref="D22:D29">
    <cfRule type="expression" dxfId="840" priority="43">
      <formula>ABS(D$25-D$28)&gt;=1000</formula>
    </cfRule>
  </conditionalFormatting>
  <conditionalFormatting sqref="E22:E29">
    <cfRule type="expression" dxfId="839" priority="42">
      <formula>ABS(E$25-E$28)&gt;=1000</formula>
    </cfRule>
  </conditionalFormatting>
  <conditionalFormatting sqref="F22:F29">
    <cfRule type="expression" dxfId="838" priority="41">
      <formula>ABS(F$25-F$28)&gt;=1000</formula>
    </cfRule>
  </conditionalFormatting>
  <conditionalFormatting sqref="G22:G29">
    <cfRule type="expression" dxfId="837" priority="40">
      <formula>ABS(G$25-G$28)&gt;=1000</formula>
    </cfRule>
  </conditionalFormatting>
  <conditionalFormatting sqref="H22:H29">
    <cfRule type="expression" dxfId="836" priority="39">
      <formula>ABS(H$25-H$28)&gt;=1000</formula>
    </cfRule>
  </conditionalFormatting>
  <conditionalFormatting sqref="I22 I24:I29">
    <cfRule type="expression" dxfId="835" priority="38">
      <formula>ABS(I$25-I$28)&gt;=1000</formula>
    </cfRule>
  </conditionalFormatting>
  <conditionalFormatting sqref="J22:J29 K22">
    <cfRule type="expression" dxfId="834" priority="37">
      <formula>ABS(J$25-J$28)&gt;=1000</formula>
    </cfRule>
  </conditionalFormatting>
  <conditionalFormatting sqref="K23:K29 L25 L28">
    <cfRule type="expression" dxfId="833" priority="36">
      <formula>ABS(K$25-K$28)&gt;=1000</formula>
    </cfRule>
  </conditionalFormatting>
  <conditionalFormatting sqref="L22 L26:L27 L29 L24">
    <cfRule type="expression" dxfId="832" priority="35">
      <formula>ABS(L$25-L$28)&gt;=1000</formula>
    </cfRule>
  </conditionalFormatting>
  <conditionalFormatting sqref="M22:M29">
    <cfRule type="expression" dxfId="831" priority="34">
      <formula>ABS(M$25-M$28)&gt;=1000</formula>
    </cfRule>
  </conditionalFormatting>
  <conditionalFormatting sqref="N22:N29">
    <cfRule type="expression" dxfId="830" priority="33">
      <formula>ABS(N$25-N$28)&gt;=1000</formula>
    </cfRule>
  </conditionalFormatting>
  <conditionalFormatting sqref="O22:O29">
    <cfRule type="expression" dxfId="829" priority="32">
      <formula>ABS(O$25-O$28)&gt;=1000</formula>
    </cfRule>
  </conditionalFormatting>
  <conditionalFormatting sqref="P22:P29">
    <cfRule type="expression" dxfId="828" priority="31">
      <formula>ABS(P$25-P$28)&gt;=1000</formula>
    </cfRule>
  </conditionalFormatting>
  <conditionalFormatting sqref="Q22:Q29">
    <cfRule type="expression" dxfId="827" priority="30">
      <formula>ABS(Q$25-Q$28)&gt;=1000</formula>
    </cfRule>
  </conditionalFormatting>
  <conditionalFormatting sqref="R22:R29">
    <cfRule type="expression" dxfId="826" priority="29">
      <formula>ABS(R$25-R$28)&gt;=1000</formula>
    </cfRule>
  </conditionalFormatting>
  <conditionalFormatting sqref="S22:S29">
    <cfRule type="expression" dxfId="825" priority="28">
      <formula>ABS(S$25-S$28)&gt;=1000</formula>
    </cfRule>
  </conditionalFormatting>
  <conditionalFormatting sqref="T22:T29">
    <cfRule type="expression" dxfId="824" priority="27">
      <formula>ABS(T$25-T$28)&gt;=1000</formula>
    </cfRule>
  </conditionalFormatting>
  <conditionalFormatting sqref="U22:U29">
    <cfRule type="expression" dxfId="823" priority="26">
      <formula>ABS(U$25-U$28)&gt;=1000</formula>
    </cfRule>
  </conditionalFormatting>
  <conditionalFormatting sqref="V22:V29">
    <cfRule type="expression" dxfId="822" priority="25">
      <formula>ABS(V$25-V$28)&gt;=1000</formula>
    </cfRule>
  </conditionalFormatting>
  <conditionalFormatting sqref="W22:W29">
    <cfRule type="expression" dxfId="821" priority="24">
      <formula>ABS(W$25-W$28)&gt;=1000</formula>
    </cfRule>
  </conditionalFormatting>
  <conditionalFormatting sqref="X22:X29">
    <cfRule type="expression" dxfId="820" priority="23">
      <formula>ABS(X$25-X$28)&gt;=1000</formula>
    </cfRule>
  </conditionalFormatting>
  <conditionalFormatting sqref="Y22:Y29">
    <cfRule type="expression" dxfId="819" priority="22">
      <formula>ABS(Y$25-Y$28)&gt;=1000</formula>
    </cfRule>
  </conditionalFormatting>
  <conditionalFormatting sqref="I23">
    <cfRule type="expression" dxfId="818" priority="21">
      <formula>ABS(I$25-I$28)&gt;=1000</formula>
    </cfRule>
  </conditionalFormatting>
  <conditionalFormatting sqref="Q14">
    <cfRule type="expression" dxfId="817" priority="20">
      <formula>ABS(Q$16-Q$19)&gt;=1000</formula>
    </cfRule>
  </conditionalFormatting>
  <conditionalFormatting sqref="W14">
    <cfRule type="expression" dxfId="816" priority="19">
      <formula>ABS(W$16-W$19)&gt;=1000</formula>
    </cfRule>
  </conditionalFormatting>
  <conditionalFormatting sqref="Y14">
    <cfRule type="expression" dxfId="815" priority="18">
      <formula>ABS(Y$16-Y$19)&gt;=1000</formula>
    </cfRule>
  </conditionalFormatting>
  <conditionalFormatting sqref="X14">
    <cfRule type="expression" dxfId="814" priority="17">
      <formula>ABS(X$16-X$19)&gt;=1000</formula>
    </cfRule>
  </conditionalFormatting>
  <conditionalFormatting sqref="T10:Y10">
    <cfRule type="expression" dxfId="813" priority="16">
      <formula>ABS(T$7-T$10)&gt;=1000</formula>
    </cfRule>
  </conditionalFormatting>
  <conditionalFormatting sqref="W19">
    <cfRule type="expression" dxfId="812" priority="15">
      <formula>ABS(W$16-W$19)&gt;=1000</formula>
    </cfRule>
  </conditionalFormatting>
  <conditionalFormatting sqref="AC5">
    <cfRule type="expression" dxfId="811" priority="14">
      <formula>ABS(AC$7-AC$10)&gt;=1000</formula>
    </cfRule>
  </conditionalFormatting>
  <conditionalFormatting sqref="M14">
    <cfRule type="expression" dxfId="810" priority="13">
      <formula>ABS(M$16-M$19)&gt;=1000</formula>
    </cfRule>
  </conditionalFormatting>
  <conditionalFormatting sqref="M16">
    <cfRule type="expression" dxfId="809" priority="12">
      <formula>ABS(M$16-M$19)&gt;=1000</formula>
    </cfRule>
  </conditionalFormatting>
  <conditionalFormatting sqref="M19">
    <cfRule type="expression" dxfId="808" priority="11">
      <formula>ABS(M$16-M$19)&gt;=1000</formula>
    </cfRule>
  </conditionalFormatting>
  <conditionalFormatting sqref="K13:K20">
    <cfRule type="expression" dxfId="807" priority="10">
      <formula>ABS(K$16-K$19)&gt;=1000</formula>
    </cfRule>
  </conditionalFormatting>
  <conditionalFormatting sqref="E5">
    <cfRule type="expression" dxfId="806" priority="9">
      <formula>ABS(E$7-E$10)&gt;=1000</formula>
    </cfRule>
  </conditionalFormatting>
  <conditionalFormatting sqref="AB14:AC14">
    <cfRule type="expression" dxfId="805" priority="8">
      <formula>ABS(AB$16-AB$19)&gt;=1000</formula>
    </cfRule>
  </conditionalFormatting>
  <conditionalFormatting sqref="M5">
    <cfRule type="expression" dxfId="804" priority="7">
      <formula>ABS(M$7-M$10)&gt;=1000</formula>
    </cfRule>
  </conditionalFormatting>
  <conditionalFormatting sqref="N5">
    <cfRule type="expression" dxfId="803" priority="6">
      <formula>ABS(N$7-N$10)&gt;=1000</formula>
    </cfRule>
  </conditionalFormatting>
  <conditionalFormatting sqref="O5">
    <cfRule type="expression" dxfId="802" priority="5">
      <formula>ABS(O$7-O$10)&gt;=1000</formula>
    </cfRule>
  </conditionalFormatting>
  <conditionalFormatting sqref="P5">
    <cfRule type="expression" dxfId="801" priority="4">
      <formula>ABS(P$7-P$10)&gt;=1000</formula>
    </cfRule>
  </conditionalFormatting>
  <conditionalFormatting sqref="L23">
    <cfRule type="expression" dxfId="800" priority="3">
      <formula>ABS(L$25-L$28)&gt;=1000</formula>
    </cfRule>
  </conditionalFormatting>
  <conditionalFormatting sqref="F14">
    <cfRule type="expression" dxfId="799" priority="2">
      <formula>ABS(F$16-F$19)&gt;=1000</formula>
    </cfRule>
  </conditionalFormatting>
  <conditionalFormatting sqref="AE5">
    <cfRule type="expression" dxfId="798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878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69">
    <pageSetUpPr fitToPage="1"/>
  </sheetPr>
  <dimension ref="A1:CU223"/>
  <sheetViews>
    <sheetView view="pageBreakPreview" topLeftCell="A7" zoomScale="70" zoomScaleNormal="100" zoomScaleSheetLayoutView="70" workbookViewId="0">
      <selection activeCell="X29" sqref="X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8" t="s" ph="1">
        <v>161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" customHeight="1" ph="1">
      <c r="B3" s="240" ph="1">
        <v>45982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9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56" t="s" ph="1">
        <v>177</v>
      </c>
      <c r="D6" s="71">
        <v>5111</v>
      </c>
      <c r="E6" s="71">
        <v>826</v>
      </c>
      <c r="F6" s="71">
        <v>4696</v>
      </c>
      <c r="G6" s="71">
        <v>84</v>
      </c>
      <c r="H6" s="71">
        <v>18</v>
      </c>
      <c r="I6" s="71">
        <v>27.1</v>
      </c>
      <c r="J6" s="71">
        <v>7.01</v>
      </c>
      <c r="K6" s="71">
        <v>8.5</v>
      </c>
      <c r="L6" s="71">
        <v>18.89</v>
      </c>
      <c r="M6" s="71">
        <v>3595</v>
      </c>
      <c r="N6" s="71">
        <v>1347</v>
      </c>
      <c r="O6" s="71">
        <v>105</v>
      </c>
      <c r="P6" s="71">
        <v>3877</v>
      </c>
      <c r="Q6" s="71">
        <v>0</v>
      </c>
      <c r="R6" s="71">
        <v>2114</v>
      </c>
      <c r="S6" s="71">
        <v>6441</v>
      </c>
      <c r="T6" s="71">
        <v>7081</v>
      </c>
      <c r="U6" s="71">
        <v>6994</v>
      </c>
      <c r="V6" s="71">
        <v>3584</v>
      </c>
      <c r="W6" s="71">
        <v>2679</v>
      </c>
      <c r="X6" s="71">
        <v>3536</v>
      </c>
      <c r="Y6" s="71">
        <v>0</v>
      </c>
      <c r="Z6" s="71">
        <v>3368</v>
      </c>
      <c r="AA6" s="71">
        <v>1935</v>
      </c>
      <c r="AB6" s="71">
        <v>2687</v>
      </c>
      <c r="AC6" s="71">
        <v>6265</v>
      </c>
      <c r="AD6" s="71">
        <v>4780</v>
      </c>
      <c r="AE6" s="71">
        <v>3503</v>
      </c>
    </row>
    <row r="7" spans="1:99" s="72" customFormat="1" ht="22.2" ph="1">
      <c r="B7" s="237" ph="1"/>
      <c r="C7" s="68" t="s" ph="1">
        <v>178</v>
      </c>
      <c r="D7" s="73" ph="1">
        <f>D6*33.183*LOOKUP(D8,密度!$A$2:$A$50,密度!$Q$2:$Q$50)</f>
        <v>161459.28995912999</v>
      </c>
      <c r="E7" s="73" ph="1">
        <f>E6*51.53*LOOKUP(E8,密度!$A$2:$A$50,密度!$B$2:$B$50)</f>
        <v>33442.361945999997</v>
      </c>
      <c r="F7" s="73" ph="1">
        <f>F6*33.183*LOOKUP(F8,密度!$A$2:$A$50,密度!$C$2:$C$50)</f>
        <v>173373.5296368</v>
      </c>
      <c r="G7" s="73" ph="1">
        <f xml:space="preserve"> (G6+2)*51.53*LOOKUP(G8,密度!$A$2:$A$50,密度!$B$2:$B$50)</f>
        <v>3488.5397760000001</v>
      </c>
      <c r="H7" s="73" ph="1">
        <f>(H6)*51.53*LOOKUP(H8,密度!$A$2:$A$50,密度!$B$2:$B$50)</f>
        <v>730.15948800000001</v>
      </c>
      <c r="I7" s="73" ph="1">
        <f>I6*290.8*1.0267</f>
        <v>8091.0941560000001</v>
      </c>
      <c r="J7" s="73" ph="1">
        <f>J6*290.8*0.7892</f>
        <v>1608.7905136000002</v>
      </c>
      <c r="K7" s="73" ph="1">
        <f>K6*290.8*1.1126</f>
        <v>2750.1246800000004</v>
      </c>
      <c r="L7" s="73" ph="1">
        <f>L6*290.8*0.777</f>
        <v>4268.2257240000008</v>
      </c>
      <c r="M7" s="73" ph="1">
        <f>M6*33.183*LOOKUP(M8,密度!$A$2:$A$50,密度!$D$2:$D$50)</f>
        <v>123038.681589</v>
      </c>
      <c r="N7" s="73" ph="1">
        <f>N6*33.183*LOOKUP(N8,密度!$A$2:$A$50,密度!$E$2:$E$50)</f>
        <v>35275.267789199999</v>
      </c>
      <c r="O7" s="73" ph="1">
        <f>O6*20.428*LOOKUP(O8,密度!$A$2:$A$50,密度!$C$2:$C$50)</f>
        <v>2383.2428340000001</v>
      </c>
      <c r="P7" s="73" ph="1">
        <f>P6*51.53*LOOKUP(P8,密度!$A$2:$A$50,密度!$B$2:$B$50)</f>
        <v>156968.56811699999</v>
      </c>
      <c r="Q7" s="73" ph="1">
        <f>Q6*1.5*1.5*3.1416*LOOKUP(W8,密度!$A$2:$A$50,密度!$L$2:$L$50)</f>
        <v>0</v>
      </c>
      <c r="R7" s="73" ph="1">
        <f>R6*1.5*1.5*3.1416*LOOKUP(R8,密度!$A$2:$A$50,密度!$L$2:$L$50)</f>
        <v>14001.6101148</v>
      </c>
      <c r="S7" s="73" ph="1">
        <f>S6*1.5*1.5*3.1416*LOOKUP(S8,密度!$A$2:$A$50,密度!$L$2:$L$50)</f>
        <v>43070.294559599999</v>
      </c>
      <c r="T7" s="73" ph="1">
        <f>T6*1.5*1.5*3.1416*LOOKUP(T8,密度!$A$2:$A$50,密度!$L$2:$L$50)</f>
        <v>47399.960500199995</v>
      </c>
      <c r="U7" s="73" ph="1">
        <f>U6*1.5*1.5*3.1416*LOOKUP(U8,密度!$A$2:$A$50,密度!$L$2:$L$50)</f>
        <v>46817.585614799995</v>
      </c>
      <c r="V7" s="73" ph="1">
        <f>V6*1.5*1.5*3.1416*LOOKUP(V8,密度!$A$2:$A$50,密度!$L$2:$L$50)</f>
        <v>23813.830655999998</v>
      </c>
      <c r="W7" s="73" ph="1">
        <f>W6*1.5*1.5*3.1416*LOOKUP(W8,密度!$A$2:$A$50,密度!$L$2:$L$50)</f>
        <v>17838.446194799999</v>
      </c>
      <c r="X7" s="73" ph="1">
        <f>X6*1.5*1.5*3.1416*LOOKUP(X8,密度!$A$2:$A$50,密度!$L$2:$L$50)</f>
        <v>23519.889993599998</v>
      </c>
      <c r="Y7" s="73" ph="1">
        <f>Y6*1.5*1.5*3.1416*LOOKUP(Y8,密度!$A$2:$A$50,密度!$L$2:$L$50)</f>
        <v>0</v>
      </c>
      <c r="Z7" s="73" ph="1">
        <f>Z6*33.183*LOOKUP(Z8,密度!$A$2:$A$50,密度!$L$2:$L$50)</f>
        <v>105613.52507999999</v>
      </c>
      <c r="AA7" s="73" ph="1">
        <f>AA6*33.183*LOOKUP(AA8,密度!$A$2:$A$50,密度!$D$2:$D$50)</f>
        <v>66276.638181000002</v>
      </c>
      <c r="AB7" s="73" ph="1">
        <f>AB6*20.428*LOOKUP(AB8,密度!$A$2:$A$50,密度!$D$2:$D$50)</f>
        <v>56992.324378800004</v>
      </c>
      <c r="AC7" s="73" ph="1">
        <f>AC6*51.53*LOOKUP(AC8,密度!$A$2:$A$50,密度!$Q$2:$Q$50)</f>
        <v>307855.88511999999</v>
      </c>
      <c r="AD7" s="73" ph="1">
        <f>AD6*20.428*LOOKUP(AD8,密度!$A$2:$A$50,密度!$V$2:$V$50)</f>
        <v>94130.589760000003</v>
      </c>
      <c r="AE7" s="73" ph="1">
        <f>AE6*20.428</f>
        <v>71559.284</v>
      </c>
    </row>
    <row r="8" spans="1:99" ph="1">
      <c r="B8" s="237" ph="1"/>
      <c r="C8" s="68" t="s" ph="1">
        <v>179</v>
      </c>
      <c r="D8" s="74">
        <v>18</v>
      </c>
      <c r="E8" s="74">
        <v>18</v>
      </c>
      <c r="F8" s="74">
        <v>20</v>
      </c>
      <c r="G8" s="74">
        <v>16</v>
      </c>
      <c r="H8" s="74">
        <v>16</v>
      </c>
      <c r="I8" s="74">
        <v>25</v>
      </c>
      <c r="J8" s="74">
        <v>25</v>
      </c>
      <c r="K8" s="74">
        <v>25</v>
      </c>
      <c r="L8" s="74">
        <v>25</v>
      </c>
      <c r="M8" s="74">
        <v>20</v>
      </c>
      <c r="N8" s="74">
        <v>20</v>
      </c>
      <c r="O8" s="74">
        <v>22</v>
      </c>
      <c r="P8" s="74">
        <v>18</v>
      </c>
      <c r="Q8" s="74">
        <v>21</v>
      </c>
      <c r="R8" s="74">
        <v>25</v>
      </c>
      <c r="S8" s="74">
        <v>16</v>
      </c>
      <c r="T8" s="74">
        <v>15</v>
      </c>
      <c r="U8" s="74">
        <v>15</v>
      </c>
      <c r="V8" s="74">
        <v>22</v>
      </c>
      <c r="W8" s="74">
        <v>20</v>
      </c>
      <c r="X8" s="74">
        <v>21</v>
      </c>
      <c r="Y8" s="74">
        <v>19</v>
      </c>
      <c r="Z8" s="74">
        <v>17</v>
      </c>
      <c r="AA8" s="74">
        <v>19</v>
      </c>
      <c r="AB8" s="74">
        <v>12</v>
      </c>
      <c r="AC8" s="74">
        <v>16</v>
      </c>
      <c r="AD8" s="74">
        <v>17</v>
      </c>
      <c r="AE8" s="74">
        <v>20</v>
      </c>
    </row>
    <row r="9" spans="1:99" ht="26.4" ph="1">
      <c r="B9" s="237" ph="1">
        <v>0.66666666666666663</v>
      </c>
      <c r="C9" s="156" t="s" ph="1">
        <v>180</v>
      </c>
      <c r="D9" s="71">
        <v>5112</v>
      </c>
      <c r="E9" s="71">
        <v>826</v>
      </c>
      <c r="F9" s="71">
        <v>5315</v>
      </c>
      <c r="G9" s="71">
        <v>84</v>
      </c>
      <c r="H9" s="71">
        <v>18</v>
      </c>
      <c r="I9" s="71">
        <v>27.08</v>
      </c>
      <c r="J9" s="71">
        <v>7.09</v>
      </c>
      <c r="K9" s="71">
        <v>8.56</v>
      </c>
      <c r="L9" s="71">
        <v>62.87</v>
      </c>
      <c r="M9" s="71">
        <v>3596</v>
      </c>
      <c r="N9" s="71">
        <v>1348</v>
      </c>
      <c r="O9" s="71">
        <v>105</v>
      </c>
      <c r="P9" s="71">
        <v>3351</v>
      </c>
      <c r="Q9" s="71">
        <v>2477</v>
      </c>
      <c r="R9" s="71">
        <v>0</v>
      </c>
      <c r="S9" s="71">
        <v>4567</v>
      </c>
      <c r="T9" s="71">
        <v>7087</v>
      </c>
      <c r="U9" s="71">
        <v>6999</v>
      </c>
      <c r="V9" s="71">
        <v>5770</v>
      </c>
      <c r="W9" s="71">
        <v>5794</v>
      </c>
      <c r="X9" s="71">
        <v>3538</v>
      </c>
      <c r="Y9" s="71">
        <v>0</v>
      </c>
      <c r="Z9" s="71">
        <v>4256</v>
      </c>
      <c r="AA9" s="71">
        <v>1934</v>
      </c>
      <c r="AB9" s="71">
        <v>2687</v>
      </c>
      <c r="AC9" s="71">
        <v>6524</v>
      </c>
      <c r="AD9" s="71">
        <v>4780</v>
      </c>
      <c r="AE9" s="71">
        <v>3431</v>
      </c>
    </row>
    <row r="10" spans="1:99" s="72" customFormat="1" ht="22.2" ph="1">
      <c r="B10" s="237" ph="1"/>
      <c r="C10" s="156" t="s" ph="1">
        <v>178</v>
      </c>
      <c r="D10" s="73" ph="1">
        <f>D9*33.183*LOOKUP(D11,密度!$A$2:$A$50,密度!$Q$2:$Q$50)</f>
        <v>161214.38116847997</v>
      </c>
      <c r="E10" s="73" ph="1">
        <f>E9*51.53*LOOKUP(E11,密度!$A$2:$A$50,密度!$B$2:$B$50)</f>
        <v>33374.259897999997</v>
      </c>
      <c r="F10" s="73" ph="1">
        <f>F9*33.183*LOOKUP(F11,密度!$A$2:$A$50,密度!$C$2:$C$50)</f>
        <v>196103.18447550002</v>
      </c>
      <c r="G10" s="73" ph="1">
        <f xml:space="preserve"> (G9+2)*51.53*LOOKUP(G11,密度!$A$2:$A$50,密度!$B$2:$B$50)</f>
        <v>3481.8924059999999</v>
      </c>
      <c r="H10" s="73" ph="1">
        <f>(H9)*51.53*LOOKUP(H11,密度!$A$2:$A$50,密度!$B$2:$B$50)</f>
        <v>728.76817799999992</v>
      </c>
      <c r="I10" s="73" ph="1">
        <f>I9*290.8*1.0267</f>
        <v>8085.1228687999992</v>
      </c>
      <c r="J10" s="73" ph="1">
        <f>J9*290.8*0.7892</f>
        <v>1627.1504623999999</v>
      </c>
      <c r="K10" s="73" ph="1">
        <f>K9*290.8*1.1126</f>
        <v>2769.5373248000001</v>
      </c>
      <c r="L10" s="73" ph="1">
        <f>L9*290.8*0.777</f>
        <v>14205.577092000001</v>
      </c>
      <c r="M10" s="73" ph="1">
        <f>M9*33.183*LOOKUP(M11,密度!$A$2:$A$50,密度!$D$2:$D$50)</f>
        <v>122965.513074</v>
      </c>
      <c r="N10" s="73" ph="1">
        <f>N9*33.183*LOOKUP(N11,密度!$A$2:$A$50,密度!$E$2:$E$50)</f>
        <v>35247.778992</v>
      </c>
      <c r="O10" s="73" ph="1">
        <f>O9*20.428*LOOKUP(O11,密度!$A$2:$A$50,密度!$C$2:$C$50)</f>
        <v>2378.5239660000002</v>
      </c>
      <c r="P10" s="73" ph="1">
        <f>P9*51.53*LOOKUP(P11,密度!$A$2:$A$50,密度!$B$2:$B$50)</f>
        <v>135396.05922299999</v>
      </c>
      <c r="Q10" s="73" ph="1">
        <f>Q9*1.5*1.5*3.1416*LOOKUP(W11,密度!$A$2:$A$50,密度!$L$2:$L$50)</f>
        <v>16493.404712399999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30377.640724199999</v>
      </c>
      <c r="T10" s="73" ph="1">
        <f>T9*1.5*1.5*3.1416*LOOKUP(T11,密度!$A$2:$A$50,密度!$L$2:$L$50)</f>
        <v>47390.0291172</v>
      </c>
      <c r="U10" s="73" ph="1">
        <f>U9*1.5*1.5*3.1416*LOOKUP(U11,密度!$A$2:$A$50,密度!$L$2:$L$50)</f>
        <v>46603.689778799999</v>
      </c>
      <c r="V10" s="73" ph="1">
        <f>V9*1.5*1.5*3.1416*LOOKUP(V11,密度!$A$2:$A$50,密度!$L$2:$L$50)</f>
        <v>38257.101036</v>
      </c>
      <c r="W10" s="73" ph="1">
        <f>W9*1.5*1.5*3.1416*LOOKUP(W11,密度!$A$2:$A$50,密度!$L$2:$L$50)</f>
        <v>38580.051232799997</v>
      </c>
      <c r="X10" s="73" ph="1">
        <f>X9*1.5*1.5*3.1416*LOOKUP(X11,密度!$A$2:$A$50,密度!$L$2:$L$50)</f>
        <v>23508.184391999999</v>
      </c>
      <c r="Y10" s="73" ph="1">
        <f>Y9*1.5*1.5*3.1416*LOOKUP(Y11,密度!$A$2:$A$50,密度!$L$2:$L$50)</f>
        <v>0</v>
      </c>
      <c r="Z10" s="73" ph="1">
        <f>Z9*33.183*LOOKUP(Z11,密度!$A$2:$A$50,密度!$L$2:$L$50)</f>
        <v>133176.91766399998</v>
      </c>
      <c r="AA10" s="73" ph="1">
        <f>AA9*33.183*LOOKUP(AA11,密度!$A$2:$A$50,密度!$D$2:$D$50)</f>
        <v>66133.287620999996</v>
      </c>
      <c r="AB10" s="73" ph="1">
        <f>AB9*20.428*LOOKUP(AB11,密度!$A$2:$A$50,密度!$D$2:$D$50)</f>
        <v>56942.923346400006</v>
      </c>
      <c r="AC10" s="73" ph="1">
        <f>AC9*51.53*LOOKUP(AC11,密度!$A$2:$A$50,密度!$Q$2:$Q$50)</f>
        <v>320048.35925720003</v>
      </c>
      <c r="AD10" s="73" ph="1">
        <f>AD9*20.428*LOOKUP(AD11,密度!$A$2:$A$50,密度!$V$2:$V$50)</f>
        <v>94130.589760000003</v>
      </c>
      <c r="AE10" s="73" ph="1">
        <f>AE9*20.428</f>
        <v>70088.468000000008</v>
      </c>
    </row>
    <row r="11" spans="1:99" ph="1">
      <c r="A11" s="64" t="s" ph="1">
        <v>162</v>
      </c>
      <c r="B11" s="237" ph="1"/>
      <c r="C11" s="156" t="s" ph="1">
        <v>179</v>
      </c>
      <c r="D11" s="74">
        <v>20</v>
      </c>
      <c r="E11" s="74">
        <v>20</v>
      </c>
      <c r="F11" s="74">
        <v>21</v>
      </c>
      <c r="G11" s="74">
        <v>18</v>
      </c>
      <c r="H11" s="74">
        <v>18</v>
      </c>
      <c r="I11" s="74">
        <v>25</v>
      </c>
      <c r="J11" s="74">
        <v>25</v>
      </c>
      <c r="K11" s="74">
        <v>25</v>
      </c>
      <c r="L11" s="74">
        <v>25</v>
      </c>
      <c r="M11" s="74">
        <v>21</v>
      </c>
      <c r="N11" s="74">
        <v>21</v>
      </c>
      <c r="O11" s="74">
        <v>25</v>
      </c>
      <c r="P11" s="74">
        <v>20</v>
      </c>
      <c r="Q11" s="74">
        <v>23</v>
      </c>
      <c r="R11" s="74">
        <v>26</v>
      </c>
      <c r="S11" s="74">
        <v>21</v>
      </c>
      <c r="T11" s="74">
        <v>16</v>
      </c>
      <c r="U11" s="74">
        <v>20</v>
      </c>
      <c r="V11" s="74">
        <v>24</v>
      </c>
      <c r="W11" s="74">
        <v>20</v>
      </c>
      <c r="X11" s="74">
        <v>22</v>
      </c>
      <c r="Y11" s="74">
        <v>21</v>
      </c>
      <c r="Z11" s="74">
        <v>19</v>
      </c>
      <c r="AA11" s="74">
        <v>21</v>
      </c>
      <c r="AB11" s="74">
        <v>13</v>
      </c>
      <c r="AC11" s="74">
        <v>18</v>
      </c>
      <c r="AD11" s="74">
        <v>19</v>
      </c>
      <c r="AE11" s="74">
        <v>20</v>
      </c>
    </row>
    <row r="12" spans="1:99" ht="9.9" customHeight="1" ph="1"/>
    <row r="13" spans="1:99" s="72" customFormat="1" ht="29.25" customHeight="1" ph="1">
      <c r="B13" s="214" t="s" ph="1">
        <v>37</v>
      </c>
      <c r="C13" s="156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5" ph="1"/>
      <c r="C14" s="67" t="s" ph="1">
        <v>36</v>
      </c>
      <c r="D14" s="77" t="s" ph="1">
        <v>616</v>
      </c>
      <c r="E14" s="77" t="s" ph="1">
        <v>616</v>
      </c>
      <c r="F14" s="77" t="s" ph="1">
        <v>639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636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635</v>
      </c>
      <c r="AC14" s="77" t="s" ph="1">
        <v>637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6" ph="1">
        <v>0.33333333333333331</v>
      </c>
      <c r="C15" s="156" t="s" ph="1">
        <v>177</v>
      </c>
      <c r="D15" s="78">
        <v>0</v>
      </c>
      <c r="E15" s="78">
        <v>69</v>
      </c>
      <c r="F15" s="78">
        <v>984</v>
      </c>
      <c r="G15" s="78">
        <v>4495</v>
      </c>
      <c r="H15" s="78">
        <v>0</v>
      </c>
      <c r="I15" s="78">
        <v>1609</v>
      </c>
      <c r="J15" s="78">
        <v>1346</v>
      </c>
      <c r="K15" s="78">
        <v>4845</v>
      </c>
      <c r="L15" s="78">
        <v>3578</v>
      </c>
      <c r="M15" s="78">
        <v>2909</v>
      </c>
      <c r="N15" s="78">
        <v>3109</v>
      </c>
      <c r="O15" s="78">
        <v>846</v>
      </c>
      <c r="P15" s="78">
        <v>6989</v>
      </c>
      <c r="Q15" s="78">
        <v>6011</v>
      </c>
      <c r="R15" s="78">
        <v>7441</v>
      </c>
      <c r="S15" s="78">
        <v>6154</v>
      </c>
      <c r="T15" s="78">
        <v>3421</v>
      </c>
      <c r="U15" s="78">
        <v>3395</v>
      </c>
      <c r="V15" s="78">
        <v>4915</v>
      </c>
      <c r="W15" s="71">
        <v>4301</v>
      </c>
      <c r="X15" s="78">
        <v>845</v>
      </c>
      <c r="Y15" s="106">
        <v>-9901</v>
      </c>
      <c r="Z15" s="78">
        <v>0</v>
      </c>
      <c r="AA15" s="78">
        <v>0</v>
      </c>
      <c r="AB15" s="78" ph="1">
        <v>1091</v>
      </c>
      <c r="AC15" s="78" ph="1">
        <v>2131</v>
      </c>
      <c r="AD15" s="78">
        <v>72.959999999999994</v>
      </c>
      <c r="AE15" s="78">
        <v>5.65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7" ph="1"/>
      <c r="C16" s="156" t="s" ph="1">
        <v>178</v>
      </c>
      <c r="D16" s="73" ph="1">
        <f>D15*7.0686*LOOKUP(D17,密度!$A$2:$A$50,密度!$L$2:$L$50)</f>
        <v>0</v>
      </c>
      <c r="E16" s="73" ph="1">
        <f>E15*7.0686*LOOKUP(E17,密度!$A$2:$A$50,密度!$L$2:$L$50)</f>
        <v>459.44486280000001</v>
      </c>
      <c r="F16" s="73" ph="1">
        <f>F15*9.0746*LOOKUP(F17,密度!$A$2:$A$50,密度!$L$2:$L$50)</f>
        <v>8402.5714223999985</v>
      </c>
      <c r="G16" s="73" ph="1">
        <f>G15*9.0746*LOOKUP(G17,密度!$A$2:$A$50,密度!$B$2:$B$50)</f>
        <v>32016.327662299998</v>
      </c>
      <c r="H16" s="73" ph="1">
        <f>H15*9.0746*LOOKUP(H17,密度!$A$2:$A$50,密度!$L$2:$L$50)</f>
        <v>0</v>
      </c>
      <c r="I16" s="73" ph="1">
        <f>I15*9.0746*LOOKUP(I17,密度!$A$2:$A$50,密度!$U$2:$U$50)</f>
        <v>15009.8602792</v>
      </c>
      <c r="J16" s="73" ph="1">
        <f>J15*9.0746*LOOKUP(J17,密度!$A$2:$A$50,密度!$L$2:$L$50)</f>
        <v>11505.975727199999</v>
      </c>
      <c r="K16" s="73" ph="1">
        <f>K15*9.0746*LOOKUP(K17,密度!$A$2:$A$50,密度!$C$2:$C$50)</f>
        <v>48943.437668399994</v>
      </c>
      <c r="L16" s="73" ph="1">
        <f>L15*9.0746*LOOKUP(L17,密度!$A$2:$A$50,密度!$E$2:$E$50)</f>
        <v>25660.186527639999</v>
      </c>
      <c r="M16" s="73" ph="1">
        <f>M15*9.0746*LOOKUP(M17,密度!$A$2:$A$50,密度!$M$2:$M$50)</f>
        <v>23238.169435419997</v>
      </c>
      <c r="N16" s="73" ph="1">
        <f>N15*9.0746*LOOKUP(N17,密度!$A$2:$A$50,密度!$M$2:$M$50)</f>
        <v>24835.84351142</v>
      </c>
      <c r="O16" s="73" ph="1">
        <f>O15*9.0746*LOOKUP(O17,密度!$A$2:$A$50,密度!$G$2:$G$50)</f>
        <v>7407.64498284</v>
      </c>
      <c r="P16" s="73" ph="1">
        <f ca="1">P15*9.0746*LOOKUP(P17,密度!$A$2:$A$51,密度!$Q$2:$Q$50)</f>
        <v>60231.599492385998</v>
      </c>
      <c r="Q16" s="73" ph="1">
        <f>Q15*9.0746*LOOKUP(Q17,密度!$A$2:$A$50,密度!$Q$2:$Q$50)</f>
        <v>51840.777589828002</v>
      </c>
      <c r="R16" s="73" ph="1">
        <f>MAX(R15*9.0746*LOOKUP(R17,密度!$A$2:$A$50,密度!$B$2:$B$50),0)</f>
        <v>52945.645712259997</v>
      </c>
      <c r="S16" s="73" ph="1">
        <f>S15*9.0746*LOOKUP(S17,密度!$A$2:$A$50,密度!$Q$2:$Q$50)</f>
        <v>53121.523438732002</v>
      </c>
      <c r="T16" s="73" ph="1">
        <f>T15*9.0746*LOOKUP(T17,密度!$A$2:$A$50,密度!$O$2:$O$50)</f>
        <v>28995.288964400002</v>
      </c>
      <c r="U16" s="73" ph="1">
        <f>U15*9.0746*LOOKUP(U17,密度!$A$2:$A$50,密度!$H$2:$H$50)</f>
        <v>28457.596227899998</v>
      </c>
      <c r="V16" s="73" ph="1">
        <f>MAX(5600*LOOKUP(V17,密度!$A$2:$A$50,密度!$Q$2:$Q$50)+V15*9.0476*LOOKUP(V17,密度!$A$2:$A$50,密度!$Q$2:$Q$50),0)</f>
        <v>47549.984924260003</v>
      </c>
      <c r="W16" s="73" ph="1">
        <f>MAX(5600*LOOKUP(W17,密度!$A$2:$A$50,密度!$Q$2:$Q$50)+W15*9.0476*LOOKUP(W17,密度!$A$2:$A$50,密度!$Q$2:$Q$50),0)</f>
        <v>42274.241964444001</v>
      </c>
      <c r="X16" s="73" ph="1">
        <f>MAX(5600*LOOKUP(X17,密度!$A$2:$A$50,密度!$I$2:$I$50)+X15*9.0476*LOOKUP(X17,密度!$A$2:$A$50,密度!$I$2:$I$50),0)</f>
        <v>13671.718148399999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9336.0664498000006</v>
      </c>
      <c r="AC16" s="73" ph="1">
        <f>AC15*9.0746*LOOKUP(AC17,密度!$A$2:$A$50,密度!$L$2:$L$50)</f>
        <v>18255.0461344</v>
      </c>
      <c r="AD16" s="73" ph="1">
        <f>AD15*268.68*LOOKUP(AD17,密度!$A$2:$A$50,密度!B2:B50)+IF(AD15&lt;=0,0,1566*LOOKUP(AD17,密度!$A$2:$A$50,密度!B2:B50))</f>
        <v>16503.268826879998</v>
      </c>
      <c r="AE16" s="73" ph="1">
        <f>AE15*268.68*LOOKUP(AE17,密度!$A$2:$A$50,密度!B2:B50)+IF(AE15&lt;=0,0,1566*LOOKUP(AE17,密度!$A$2:$A$50,密度!B2:B50))</f>
        <v>2404.3191431999999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8" ph="1"/>
      <c r="C17" s="79" t="s" ph="1">
        <v>179</v>
      </c>
      <c r="D17" s="74">
        <v>20</v>
      </c>
      <c r="E17" s="74">
        <v>20</v>
      </c>
      <c r="F17" s="74">
        <v>21</v>
      </c>
      <c r="G17" s="74">
        <v>19</v>
      </c>
      <c r="H17" s="74">
        <v>16</v>
      </c>
      <c r="I17" s="74">
        <v>19</v>
      </c>
      <c r="J17" s="74">
        <v>20</v>
      </c>
      <c r="K17" s="74">
        <v>19</v>
      </c>
      <c r="L17" s="74">
        <v>19</v>
      </c>
      <c r="M17" s="74">
        <v>19</v>
      </c>
      <c r="N17" s="74">
        <v>19</v>
      </c>
      <c r="O17" s="74">
        <v>21</v>
      </c>
      <c r="P17" s="74">
        <v>21</v>
      </c>
      <c r="Q17" s="74">
        <v>20</v>
      </c>
      <c r="R17" s="74">
        <v>20</v>
      </c>
      <c r="S17" s="74">
        <v>19</v>
      </c>
      <c r="T17" s="74">
        <v>19</v>
      </c>
      <c r="U17" s="74">
        <v>16</v>
      </c>
      <c r="V17" s="74">
        <v>21</v>
      </c>
      <c r="W17" s="74">
        <v>21</v>
      </c>
      <c r="X17" s="74">
        <v>34</v>
      </c>
      <c r="Y17" s="108">
        <v>34</v>
      </c>
      <c r="Z17" s="74">
        <v>20</v>
      </c>
      <c r="AA17" s="74">
        <v>17</v>
      </c>
      <c r="AB17" s="74">
        <v>19</v>
      </c>
      <c r="AC17" s="74">
        <v>18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6" ph="1">
        <v>0.66666666666666663</v>
      </c>
      <c r="C18" s="79" t="s" ph="1">
        <v>180</v>
      </c>
      <c r="D18" s="71">
        <v>770</v>
      </c>
      <c r="E18" s="71">
        <v>69</v>
      </c>
      <c r="F18" s="71">
        <v>984</v>
      </c>
      <c r="G18" s="71">
        <v>1168</v>
      </c>
      <c r="H18" s="71">
        <v>0</v>
      </c>
      <c r="I18" s="71">
        <v>1610</v>
      </c>
      <c r="J18" s="71">
        <v>1443</v>
      </c>
      <c r="K18" s="71">
        <v>4863</v>
      </c>
      <c r="L18" s="71">
        <v>3582</v>
      </c>
      <c r="M18" s="71">
        <v>3110</v>
      </c>
      <c r="N18" s="71">
        <v>5414</v>
      </c>
      <c r="O18" s="71">
        <v>846</v>
      </c>
      <c r="P18" s="71">
        <v>6991</v>
      </c>
      <c r="Q18" s="71">
        <v>6014</v>
      </c>
      <c r="R18" s="71">
        <v>7447</v>
      </c>
      <c r="S18" s="71">
        <v>6159</v>
      </c>
      <c r="T18" s="71">
        <v>2565</v>
      </c>
      <c r="U18" s="71">
        <v>5224</v>
      </c>
      <c r="V18" s="71">
        <v>4914</v>
      </c>
      <c r="W18" s="71">
        <v>4300</v>
      </c>
      <c r="X18" s="71">
        <v>843</v>
      </c>
      <c r="Y18" s="109">
        <v>-9904</v>
      </c>
      <c r="Z18" s="71">
        <v>0</v>
      </c>
      <c r="AA18" s="71">
        <v>0</v>
      </c>
      <c r="AB18" s="71">
        <v>1090</v>
      </c>
      <c r="AC18" s="71">
        <v>2133</v>
      </c>
      <c r="AD18" s="71">
        <v>84.61</v>
      </c>
      <c r="AE18" s="71">
        <v>38.79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7" ph="1"/>
      <c r="C19" s="156" t="s" ph="1">
        <v>178</v>
      </c>
      <c r="D19" s="73" ph="1">
        <f>D18*7.0686*LOOKUP(D20,密度!$A$2:$A$50,密度!$L$2:$L$50)</f>
        <v>5127.1383239999996</v>
      </c>
      <c r="E19" s="73" ph="1">
        <f>E18*7.0686*LOOKUP(E20,密度!$A$2:$A$50,密度!$L$2:$L$50)</f>
        <v>459.44486280000001</v>
      </c>
      <c r="F19" s="73" ph="1">
        <f>F18*9.0746*LOOKUP(F20,密度!$A$2:$A$50,密度!$L$2:$L$50)</f>
        <v>8366.8537968000001</v>
      </c>
      <c r="G19" s="73" ph="1">
        <f>G18*9.0746*LOOKUP(G20,密度!$A$2:$A$50,密度!$B$2:$B$50)</f>
        <v>8291.7015894399992</v>
      </c>
      <c r="H19" s="73" ph="1">
        <f>H18*9.0746*LOOKUP(H20,密度!$A$2:$A$50,密度!$L$2:$L$50)</f>
        <v>0</v>
      </c>
      <c r="I19" s="73" ph="1">
        <f>I18*9.0746*LOOKUP(I20,密度!$A$2:$A$50,密度!$U$2:$U$50)</f>
        <v>15019.188968</v>
      </c>
      <c r="J19" s="73" ph="1">
        <f>J18*9.0746*LOOKUP(J20,密度!$A$2:$A$50,密度!$L$2:$L$50)</f>
        <v>12295.874284199999</v>
      </c>
      <c r="K19" s="73" ph="1">
        <f>K18*9.0746*LOOKUP(K20,密度!$A$2:$A$50,密度!$C$2:$C$50)</f>
        <v>49067.902159620011</v>
      </c>
      <c r="L19" s="73" ph="1">
        <f>L18*9.0746*LOOKUP(L20,密度!$A$2:$A$50,密度!$E$2:$E$50)</f>
        <v>25575.10489296</v>
      </c>
      <c r="M19" s="73" ph="1">
        <f>M18*9.0746*LOOKUP(M20,密度!$A$2:$A$50,密度!$M$2:$M$50)</f>
        <v>24778.921268000002</v>
      </c>
      <c r="N19" s="73" ph="1">
        <f>N18*9.0746*LOOKUP(N20,密度!$A$2:$A$50,密度!$M$2:$M$50)</f>
        <v>43249.037237320001</v>
      </c>
      <c r="O19" s="73" ph="1">
        <f>O18*9.0746*LOOKUP(O20,密度!$A$2:$A$50,密度!$G$2:$G$50)</f>
        <v>7399.2001600800004</v>
      </c>
      <c r="P19" s="73" ph="1">
        <f ca="1">P18*9.0746*LOOKUP(P20,密度!$A$2:$A$51,密度!$Q$2:$Q$50)</f>
        <v>60154.309218520008</v>
      </c>
      <c r="Q19" s="73" ph="1">
        <f>Q18*9.0746*LOOKUP(Q20,密度!$A$2:$A$50,密度!$Q$2:$Q$50)</f>
        <v>51866.650544872005</v>
      </c>
      <c r="R19" s="73" ph="1">
        <f>MAX(R18*9.0746*LOOKUP(R20,密度!$A$2:$A$50,密度!$B$2:$B$50),0)</f>
        <v>52805.876000679993</v>
      </c>
      <c r="S19" s="73" ph="1">
        <f>S18*9.0746*LOOKUP(S20,密度!$A$2:$A$50,密度!$Q$2:$Q$50)</f>
        <v>53078.612286966003</v>
      </c>
      <c r="T19" s="73" ph="1">
        <f>T18*9.0746*LOOKUP(T20,密度!$A$2:$A$50,密度!$O$2:$O$50)</f>
        <v>21647.004570000005</v>
      </c>
      <c r="U19" s="73" ph="1">
        <f>U18*9.0746*LOOKUP(U20,密度!$A$2:$A$50,密度!$H$2:$H$50)</f>
        <v>43646.437565280001</v>
      </c>
      <c r="V19" s="73" ph="1">
        <f>MAX(5600*LOOKUP(V20,密度!$A$2:$A$50,密度!$Q$2:$Q$50)+V18*9.0476*LOOKUP(V20,密度!$A$2:$A$50,密度!$Q$2:$Q$50),0)</f>
        <v>47466.803248479991</v>
      </c>
      <c r="W19" s="73" ph="1">
        <f>MAX(5600*LOOKUP(W20,密度!$A$2:$A$50,密度!$Q$2:$Q$50)+W18*9.0476*LOOKUP(W20,密度!$A$2:$A$50,密度!$Q$2:$Q$50),0)</f>
        <v>42199.337575999991</v>
      </c>
      <c r="X19" s="73" ph="1">
        <f>MAX(5600*LOOKUP(X20,密度!$A$2:$A$50,密度!$I$2:$I$50)+X18*9.0476*LOOKUP(X20,密度!$A$2:$A$50,密度!$I$2:$I$50),0)</f>
        <v>13653.040282959999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9287.9438460000001</v>
      </c>
      <c r="AC19" s="73" ph="1">
        <f>AC18*9.0746*LOOKUP(AC20,密度!$A$2:$A$50,密度!$L$2:$L$50)</f>
        <v>18252.822857399999</v>
      </c>
      <c r="AD19" s="73" ph="1">
        <f>AD18*268.68*LOOKUP(AD20,密度!$A$2:$A$50,密度!B5:B53)+IF(AD18&lt;=0,0,1566*LOOKUP(AD20,密度!$A$2:$A$50,密度!B5:B53))</f>
        <v>18880.334499600001</v>
      </c>
      <c r="AE19" s="73" ph="1">
        <f>AE18*268.68*LOOKUP(AE20,密度!$A$2:$A$50,密度!B5:B53)+IF(AE18&lt;=0,0,1566*LOOKUP(AE20,密度!$A$2:$A$50,密度!B5:B53))</f>
        <v>9314.7515244000006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7" ph="1"/>
      <c r="C20" s="80" t="s" ph="1">
        <v>179</v>
      </c>
      <c r="D20" s="81">
        <v>20</v>
      </c>
      <c r="E20" s="81">
        <v>20</v>
      </c>
      <c r="F20" s="81">
        <v>25</v>
      </c>
      <c r="G20" s="81">
        <v>22</v>
      </c>
      <c r="H20" s="81">
        <v>18</v>
      </c>
      <c r="I20" s="81">
        <v>20</v>
      </c>
      <c r="J20" s="81">
        <v>23</v>
      </c>
      <c r="K20" s="81">
        <v>21</v>
      </c>
      <c r="L20" s="81">
        <v>22</v>
      </c>
      <c r="M20" s="81">
        <v>22</v>
      </c>
      <c r="N20" s="81">
        <v>20</v>
      </c>
      <c r="O20" s="81">
        <v>22</v>
      </c>
      <c r="P20" s="81">
        <v>23</v>
      </c>
      <c r="Q20" s="81">
        <v>20</v>
      </c>
      <c r="R20" s="81">
        <v>23</v>
      </c>
      <c r="S20" s="81">
        <v>21</v>
      </c>
      <c r="T20" s="81">
        <v>23</v>
      </c>
      <c r="U20" s="81">
        <v>19</v>
      </c>
      <c r="V20" s="81">
        <v>23</v>
      </c>
      <c r="W20" s="81">
        <v>23</v>
      </c>
      <c r="X20" s="81">
        <v>34</v>
      </c>
      <c r="Y20" s="110">
        <v>34</v>
      </c>
      <c r="Z20" s="81">
        <v>23</v>
      </c>
      <c r="AA20" s="81">
        <v>20</v>
      </c>
      <c r="AB20" s="81">
        <v>23</v>
      </c>
      <c r="AC20" s="81">
        <v>19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28" t="s" ph="1">
        <v>640</v>
      </c>
      <c r="AA23" s="229"/>
      <c r="AB23" s="229"/>
      <c r="AC23" s="229"/>
      <c r="AD23" s="229"/>
      <c r="AE23" s="23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7" ph="1">
        <v>0.33333333333333331</v>
      </c>
      <c r="C24" s="156" t="s" ph="1">
        <v>177</v>
      </c>
      <c r="D24" s="71">
        <v>83.14</v>
      </c>
      <c r="E24" s="71">
        <v>5.5</v>
      </c>
      <c r="F24" s="71">
        <v>3605</v>
      </c>
      <c r="G24" s="71">
        <v>3050</v>
      </c>
      <c r="H24" s="71">
        <v>1556</v>
      </c>
      <c r="I24" s="71">
        <v>1527</v>
      </c>
      <c r="J24" s="71">
        <v>2947</v>
      </c>
      <c r="K24" s="71">
        <v>443</v>
      </c>
      <c r="L24" s="71">
        <v>5552</v>
      </c>
      <c r="M24" s="71">
        <v>2643</v>
      </c>
      <c r="N24" s="71">
        <v>4935</v>
      </c>
      <c r="O24" s="71">
        <v>2492</v>
      </c>
      <c r="P24" s="71">
        <v>360</v>
      </c>
      <c r="Q24" s="90">
        <v>853</v>
      </c>
      <c r="R24" s="71">
        <v>3221</v>
      </c>
      <c r="S24" s="71">
        <v>5285</v>
      </c>
      <c r="T24" s="71">
        <v>1072</v>
      </c>
      <c r="U24" s="71">
        <v>5697</v>
      </c>
      <c r="V24" s="71">
        <v>9215</v>
      </c>
      <c r="W24" s="71">
        <v>7222</v>
      </c>
      <c r="X24" s="71">
        <v>2823</v>
      </c>
      <c r="Y24" s="71">
        <v>2485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7" ph="1"/>
      <c r="C25" s="68" t="s" ph="1">
        <v>178</v>
      </c>
      <c r="D25" s="91" ph="1">
        <f>D24*268.68*LOOKUP(D26,密度!$A$2:$A$50,密度!$Q$2:$Q$50)+IF(D24&lt;=0,0,1566*LOOKUP(D26,密度!$A$2:$A$50,密度!$Q$2:$Q$50))</f>
        <v>22630.925220048004</v>
      </c>
      <c r="E25" s="91" ph="1">
        <f>E24*268.68*LOOKUP(E26,密度!$A$2:$A$50,密度!$C$2:$C$50)+IF(E24&lt;=0,0,1566*LOOKUP(E26,密度!$A$2:$A$50,密度!$C$2:$C$50))</f>
        <v>3375.2032859999999</v>
      </c>
      <c r="F25" s="91" ph="1">
        <f>F24*11.702*LOOKUP(F26,密度!$A$2:$A$50,密度!$Q$2:$Q$50)</f>
        <v>40092.455069800002</v>
      </c>
      <c r="G25" s="91" ph="1">
        <f>G24*18.322*LOOKUP(G26,密度!$A$2:$A$50,密度!$B$2:$B$50)</f>
        <v>43817.154609999998</v>
      </c>
      <c r="H25" s="91" ph="1">
        <f>H24*18.322*LOOKUP(H26,密度!$A$2:$A$50,密度!$B$2:$B$50)</f>
        <v>22399.546442399998</v>
      </c>
      <c r="I25" s="91" ph="1">
        <f>I24*18.322*LOOKUP(I26,密度!$A$2:$A$50,密度!$Q$2:$Q$50)</f>
        <v>26635.044464940001</v>
      </c>
      <c r="J25" s="91" ph="1">
        <f>J24*18.322*LOOKUP(J26,密度!$A$2:$A$50,密度!$Q$2:$Q$50)</f>
        <v>51315.705374919999</v>
      </c>
      <c r="K25" s="91" ph="1">
        <f>K24*18.322*LOOKUP(K26,密度!$A$2:$A$50,密度!$Q$2:$Q$50)</f>
        <v>7720.7971745799996</v>
      </c>
      <c r="L25" s="91" ph="1">
        <f>L24*18.322*LOOKUP(L26,密度!$A$2:$A$50,密度!$Q$2:$Q$50)</f>
        <v>96842.021525439995</v>
      </c>
      <c r="M25" s="91" ph="1">
        <f>M24*18.322*LOOKUP(M26,密度!$A$2:$A$50,密度!$Q$2:$Q$50)</f>
        <v>46063.356506579999</v>
      </c>
      <c r="N25" s="91" ph="1">
        <f>N24*18.322*LOOKUP(N26,密度!$A$2:$A$50,密度!$Q$2:$Q$50)</f>
        <v>86079.858830699988</v>
      </c>
      <c r="O25" s="91" ph="1">
        <f>O24*18.322*LOOKUP(O26,密度!$A$2:$A$50,密度!$C$2:$C$50)</f>
        <v>50826.957596799999</v>
      </c>
      <c r="P25" s="91" ph="1">
        <f>P24*11.702*LOOKUP(P26,密度!$A$2:$A$50,密度!$B$2:$B$50)</f>
        <v>3303.1937520000001</v>
      </c>
      <c r="Q25" s="92" ph="1">
        <f>Q24*18.322*LOOKUP(Q26,密度!$A$2:$A$50,密度!$B$2:$B$50)</f>
        <v>12254.437010600001</v>
      </c>
      <c r="R25" s="91" ph="1">
        <f>R24*35.891*LOOKUP(R26,密度!$A$2:$A$50,密度!$C$2:$C$50)</f>
        <v>128541.10054090001</v>
      </c>
      <c r="S25" s="91" ph="1">
        <f>S24*35.891*LOOKUP(S26,密度!$A$2:$A$50,密度!$B$2:$B$50)</f>
        <v>148560.45789200001</v>
      </c>
      <c r="T25" s="91" ph="1">
        <f>T24*35.891*LOOKUP(T26,密度!$A$2:$A$50,密度!$Q$2:$Q$50)</f>
        <v>36566.014957759995</v>
      </c>
      <c r="U25" s="91" ph="1">
        <f>U24*35.891</f>
        <v>204471.027</v>
      </c>
      <c r="V25" s="91" ph="1">
        <f>V24*47.051*LOOKUP(V26,密度!$A$2:$A$50,密度!$B$2:$B$50)</f>
        <v>339966.13005650003</v>
      </c>
      <c r="W25" s="91" ph="1">
        <f>W24*47.051*LOOKUP(W26,密度!$A$2:$A$50,密度!$B$2:$B$50)</f>
        <v>266133.17859039997</v>
      </c>
      <c r="X25" s="91" ph="1">
        <f>X24*47.051*LOOKUP(X26,密度!$A$2:$A$61,密度!$I$2:$I$61)</f>
        <v>133236.73041630001</v>
      </c>
      <c r="Y25" s="91" ph="1">
        <f>Y24*47.051*LOOKUP(Y26,密度!$A$2:$A$50,密度!$L$2:$L$50)</f>
        <v>109906.43089999999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7" ph="1"/>
      <c r="C26" s="68" t="s" ph="1">
        <v>179</v>
      </c>
      <c r="D26" s="74">
        <v>25</v>
      </c>
      <c r="E26" s="74">
        <v>25</v>
      </c>
      <c r="F26" s="74">
        <v>20</v>
      </c>
      <c r="G26" s="74">
        <v>20</v>
      </c>
      <c r="H26" s="74">
        <v>18</v>
      </c>
      <c r="I26" s="74">
        <v>18</v>
      </c>
      <c r="J26" s="74">
        <v>20</v>
      </c>
      <c r="K26" s="74">
        <v>19</v>
      </c>
      <c r="L26" s="74">
        <v>18</v>
      </c>
      <c r="M26" s="74">
        <v>19</v>
      </c>
      <c r="N26" s="74">
        <v>18</v>
      </c>
      <c r="O26" s="74">
        <v>19</v>
      </c>
      <c r="P26" s="74">
        <v>20</v>
      </c>
      <c r="Q26" s="93">
        <v>20</v>
      </c>
      <c r="R26" s="74">
        <v>21</v>
      </c>
      <c r="S26" s="74">
        <v>21</v>
      </c>
      <c r="T26" s="74">
        <v>20</v>
      </c>
      <c r="U26" s="74">
        <v>21</v>
      </c>
      <c r="V26" s="74">
        <v>20</v>
      </c>
      <c r="W26" s="74">
        <v>21</v>
      </c>
      <c r="X26" s="74">
        <v>60</v>
      </c>
      <c r="Y26" s="74">
        <v>22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7" ph="1">
        <v>0.66666666666666663</v>
      </c>
      <c r="C27" s="156" t="s" ph="1">
        <v>180</v>
      </c>
      <c r="D27" s="71">
        <v>83.25</v>
      </c>
      <c r="E27" s="71">
        <v>63.63</v>
      </c>
      <c r="F27" s="71">
        <v>2198</v>
      </c>
      <c r="G27" s="71">
        <v>2521</v>
      </c>
      <c r="H27" s="71">
        <v>1124</v>
      </c>
      <c r="I27" s="71">
        <v>1527</v>
      </c>
      <c r="J27" s="71">
        <v>2947</v>
      </c>
      <c r="K27" s="71">
        <v>442</v>
      </c>
      <c r="L27" s="71">
        <v>5553</v>
      </c>
      <c r="M27" s="71">
        <v>2642</v>
      </c>
      <c r="N27" s="71">
        <v>4936</v>
      </c>
      <c r="O27" s="71">
        <v>3947</v>
      </c>
      <c r="P27" s="71">
        <v>359</v>
      </c>
      <c r="Q27" s="90">
        <v>1063</v>
      </c>
      <c r="R27" s="71">
        <v>3220</v>
      </c>
      <c r="S27" s="71">
        <v>5284</v>
      </c>
      <c r="T27" s="71">
        <v>1071</v>
      </c>
      <c r="U27" s="71">
        <v>5426</v>
      </c>
      <c r="V27" s="71">
        <v>8912</v>
      </c>
      <c r="W27" s="71">
        <v>7221</v>
      </c>
      <c r="X27" s="71">
        <v>2800</v>
      </c>
      <c r="Y27" s="71">
        <v>1403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7" ph="1"/>
      <c r="C28" s="156" t="s" ph="1">
        <v>178</v>
      </c>
      <c r="D28" s="91" ph="1">
        <f>D27*268.68*LOOKUP(D29,密度!$A$2:$A$50,密度!$Q$2:$Q$50)+IF(D27&lt;=0,0,1566*LOOKUP(D29,密度!$A$2:$A$50,密度!$Q$2:$Q$50))</f>
        <v>22658.905931400004</v>
      </c>
      <c r="E28" s="91" ph="1">
        <f>E27*268.68*LOOKUP(E29,密度!$A$2:$A$50,密度!$C$2:$C$50)+IF(E27&lt;=0,0,1566*LOOKUP(E29,密度!$A$2:$A$50,密度!$C$2:$C$50))</f>
        <v>20694.412004760001</v>
      </c>
      <c r="F28" s="91" ph="1">
        <f>F27*11.702*LOOKUP(F29,密度!$A$2:$A$50,密度!$Q$2:$Q$50)</f>
        <v>24388.648407200002</v>
      </c>
      <c r="G28" s="91" ph="1">
        <f>G27*18.322*LOOKUP(G29,密度!$A$2:$A$50,密度!$B$2:$B$50)</f>
        <v>36217.3923842</v>
      </c>
      <c r="H28" s="91" ph="1">
        <f>H27*18.322*LOOKUP(H29,密度!$A$2:$A$50,密度!$B$2:$B$50)</f>
        <v>16110.6298744</v>
      </c>
      <c r="I28" s="91" ph="1">
        <f>I27*18.322*LOOKUP(I29,密度!$A$2:$A$50,密度!$Q$2:$Q$50)</f>
        <v>26553.349598459998</v>
      </c>
      <c r="J28" s="91" ph="1">
        <f>J27*18.322*LOOKUP(J29,密度!$A$2:$A$50,密度!$Q$2:$Q$50)</f>
        <v>51315.705374919999</v>
      </c>
      <c r="K28" s="91" ph="1">
        <f>K27*18.322*LOOKUP(K29,密度!$A$2:$A$50,密度!$Q$2:$Q$50)</f>
        <v>7686.0383251599997</v>
      </c>
      <c r="L28" s="91" ph="1">
        <f>L27*18.322*LOOKUP(L29,密度!$A$2:$A$50,密度!$Q$2:$Q$50)</f>
        <v>96780.10544118</v>
      </c>
      <c r="M28" s="91" ph="1">
        <f>M27*18.322*LOOKUP(M29,密度!$A$2:$A$50,密度!$Q$2:$Q$50)</f>
        <v>45971.381715559997</v>
      </c>
      <c r="N28" s="91" ph="1">
        <f>N27*18.322*LOOKUP(N29,密度!$A$2:$A$50,密度!$Q$2:$Q$50)</f>
        <v>85887.486808479996</v>
      </c>
      <c r="O28" s="91" ph="1">
        <f>O27*18.322*LOOKUP(O29,密度!$A$2:$A$50,密度!$C$2:$C$50)</f>
        <v>80351.34536739999</v>
      </c>
      <c r="P28" s="91" ph="1">
        <f>P27*11.702*LOOKUP(P29,密度!$A$2:$A$50,密度!$B$2:$B$50)</f>
        <v>3290.2372976000001</v>
      </c>
      <c r="Q28" s="92" ph="1">
        <f>Q27*18.322*LOOKUP(Q29,密度!$A$2:$A$50,密度!$B$2:$B$50)</f>
        <v>15271.3558526</v>
      </c>
      <c r="R28" s="91" ph="1">
        <f>R27*35.891*LOOKUP(R29,密度!$A$2:$A$50,密度!$C$2:$C$50)</f>
        <v>128327.83980799999</v>
      </c>
      <c r="S28" s="91" ph="1">
        <f>S27*35.891*LOOKUP(S29,密度!$A$2:$A$50,密度!$B$2:$B$50)</f>
        <v>148190.9815816</v>
      </c>
      <c r="T28" s="91" ph="1">
        <f>T27*35.891*LOOKUP(T29,密度!$A$2:$A$50,密度!$Q$2:$Q$50)</f>
        <v>36564.578241030002</v>
      </c>
      <c r="U28" s="91" ph="1">
        <f>U27*35.891</f>
        <v>194744.56599999999</v>
      </c>
      <c r="V28" s="91" ph="1">
        <f>V27*47.051*LOOKUP(V29,密度!$A$2:$A$50,密度!$B$2:$B$50)</f>
        <v>329123.10006880003</v>
      </c>
      <c r="W28" s="91" ph="1">
        <f>W27*47.051*LOOKUP(W29,密度!$A$2:$A$50,密度!$B$2:$B$50)</f>
        <v>265790.5485033</v>
      </c>
      <c r="X28" s="91" ph="1">
        <f>X27*47.051*LOOKUP(X29,密度!$A$2:$A$61,密度!$I$2:$I$61)</f>
        <v>132151.20268000002</v>
      </c>
      <c r="Y28" s="91" ph="1">
        <f>Y27*47.051*LOOKUP(Y29,密度!$A$2:$A$50,密度!$L$2:$L$50)</f>
        <v>61853.762161000006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7" ph="1"/>
      <c r="C29" s="156" t="s" ph="1">
        <v>179</v>
      </c>
      <c r="D29" s="74">
        <v>25</v>
      </c>
      <c r="E29" s="74">
        <v>25</v>
      </c>
      <c r="F29" s="74">
        <v>23</v>
      </c>
      <c r="G29" s="74">
        <v>20</v>
      </c>
      <c r="H29" s="74">
        <v>22</v>
      </c>
      <c r="I29" s="74">
        <v>22</v>
      </c>
      <c r="J29" s="74">
        <v>20</v>
      </c>
      <c r="K29" s="74">
        <v>22</v>
      </c>
      <c r="L29" s="74">
        <v>19</v>
      </c>
      <c r="M29" s="74">
        <v>21</v>
      </c>
      <c r="N29" s="74">
        <v>21</v>
      </c>
      <c r="O29" s="74">
        <v>22</v>
      </c>
      <c r="P29" s="74">
        <v>21</v>
      </c>
      <c r="Q29" s="93">
        <v>20</v>
      </c>
      <c r="R29" s="74">
        <v>23</v>
      </c>
      <c r="S29" s="74">
        <v>23</v>
      </c>
      <c r="T29" s="74">
        <v>19</v>
      </c>
      <c r="U29" s="74">
        <v>22</v>
      </c>
      <c r="V29" s="74">
        <v>19</v>
      </c>
      <c r="W29" s="74">
        <v>22</v>
      </c>
      <c r="X29" s="74">
        <v>62</v>
      </c>
      <c r="Y29" s="74">
        <v>25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56" t="s" ph="1">
        <v>5</v>
      </c>
      <c r="F32" s="157" t="s" ph="1">
        <v>43</v>
      </c>
      <c r="G32" s="97" t="s" ph="1">
        <v>4</v>
      </c>
      <c r="H32" s="156" t="s" ph="1">
        <v>5</v>
      </c>
      <c r="I32" s="157" t="s" ph="1">
        <v>43</v>
      </c>
      <c r="J32" s="97" t="s" ph="1">
        <v>4</v>
      </c>
      <c r="K32" s="156" t="s" ph="1">
        <v>5</v>
      </c>
      <c r="L32" s="157" t="s" ph="1">
        <v>43</v>
      </c>
      <c r="M32" s="97" t="s" ph="1">
        <v>4</v>
      </c>
      <c r="N32" s="156" t="s" ph="1">
        <v>5</v>
      </c>
      <c r="O32" s="157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6" t="s" ph="1">
        <v>5</v>
      </c>
      <c r="U32" s="99" t="s" ph="1">
        <v>43</v>
      </c>
      <c r="V32" s="97" t="s" ph="1">
        <v>4</v>
      </c>
      <c r="W32" s="156" t="s" ph="1">
        <v>5</v>
      </c>
      <c r="X32" s="99" t="s" ph="1">
        <v>43</v>
      </c>
      <c r="Y32" s="100" t="s" ph="1">
        <v>4</v>
      </c>
      <c r="Z32" s="156" t="s" ph="1">
        <v>5</v>
      </c>
      <c r="AA32" s="157" t="s" ph="1">
        <v>43</v>
      </c>
      <c r="AB32" s="97" t="s" ph="1">
        <v>85</v>
      </c>
      <c r="AC32" s="156" t="s" ph="1">
        <v>84</v>
      </c>
      <c r="AD32" s="204" t="s" ph="1">
        <v>83</v>
      </c>
      <c r="AE32" s="20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6" t="s" ph="1">
        <v>181</v>
      </c>
      <c r="C33" s="207" ph="1"/>
      <c r="D33" s="186" ph="1">
        <f>AA10+AB10+Z19</f>
        <v>123076.21096739999</v>
      </c>
      <c r="E33" s="186" ph="1">
        <f>M10+I10</f>
        <v>131050.6359428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[[#This Row],[F25]]</f>
        <v>3880</v>
      </c>
      <c r="G33" s="212" ph="1">
        <v>0</v>
      </c>
      <c r="H33" s="186" ph="1">
        <f>N19</f>
        <v>43249.037237320001</v>
      </c>
      <c r="I33" s="190" ph="1">
        <v>0</v>
      </c>
      <c r="J33" s="194" ph="1">
        <f>F10+O28</f>
        <v>276454.5298429</v>
      </c>
      <c r="K33" s="186" ph="1">
        <f>O10+K10+E28+R28</f>
        <v>154170.31310355998</v>
      </c>
      <c r="L33" s="196" ph="1">
        <f>BE27</f>
        <v>7100</v>
      </c>
      <c r="M33" s="194" ph="1">
        <f>G10+H10+W28+S28+V28+E10</f>
        <v>780689.55063570011</v>
      </c>
      <c r="N33" s="186" ph="1">
        <f>L10+P10++G28+H28</f>
        <v>201929.6585736</v>
      </c>
      <c r="O33" s="190" ph="1">
        <f>BE17</f>
        <v>2270</v>
      </c>
      <c r="P33" s="194" ph="1">
        <f>L19</f>
        <v>25575.10489296</v>
      </c>
      <c r="Q33" s="186" ph="1">
        <f>J10+N10</f>
        <v>36874.9294544</v>
      </c>
      <c r="R33" s="190" ph="1">
        <f>BE23</f>
        <v>890</v>
      </c>
      <c r="S33" s="194" ph="1">
        <f>E10+X28</f>
        <v>165525.46257800001</v>
      </c>
      <c r="T33" s="186" ph="1">
        <f>X19</f>
        <v>13653.040282959999</v>
      </c>
      <c r="U33" s="175" ph="1">
        <f>BE21</f>
        <v>730</v>
      </c>
      <c r="V33" s="188" ph="1">
        <f ca="1">P19+Q19+S19+M28+N28+J28</f>
        <v>348274.14594931802</v>
      </c>
      <c r="W33" s="188" ph="1">
        <f>D28+F28+V19+T28</f>
        <v>131078.93582811</v>
      </c>
      <c r="X33" s="190" ph="1">
        <f>BE29+BE31</f>
        <v>10200</v>
      </c>
      <c r="Y33" s="192" ph="1">
        <f>+Q10+R10+S10+T10+U10+V10+W10+X10+Y10</f>
        <v>241210.1009934</v>
      </c>
      <c r="Z33" s="173" ph="1">
        <f>D10+T19+U19+Y28+Z10</f>
        <v>421538.50312875991</v>
      </c>
      <c r="AA33" s="175" ph="1">
        <f>BE19</f>
        <v>1440</v>
      </c>
      <c r="AB33" s="177" ph="1">
        <f>I19</f>
        <v>15019.188968</v>
      </c>
      <c r="AC33" s="179" ph="1">
        <f>AD10</f>
        <v>94130.589760000003</v>
      </c>
      <c r="AD33" s="181" ph="1">
        <v>0</v>
      </c>
      <c r="AE33" s="18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5" t="s" ph="1">
        <v>633</v>
      </c>
      <c r="AD35" s="185"/>
      <c r="AE35" s="18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1" t="s" ph="1">
        <v>183</v>
      </c>
      <c r="J36" s="171" ph="1"/>
      <c r="K36" s="101" ph="1"/>
      <c r="P36" s="101" ph="1"/>
      <c r="R36" s="171" t="s" ph="1">
        <v>184</v>
      </c>
      <c r="S36" s="171" ph="1"/>
      <c r="Y36" s="102" ph="1"/>
      <c r="Z36" s="158" t="s" ph="1">
        <v>185</v>
      </c>
      <c r="AA36" s="158" ph="1"/>
      <c r="AB36" s="172" t="s" ph="1">
        <v>642</v>
      </c>
      <c r="AC36" s="172" ph="1"/>
      <c r="AD36" s="172" ph="1"/>
      <c r="AE36" s="172" ph="1"/>
      <c r="BA36" s="64" ph="1">
        <v>2270</v>
      </c>
    </row>
    <row r="37" spans="1:57" s="158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8" t="s" ph="1">
        <v>342</v>
      </c>
      <c r="AI37" s="158" t="s" ph="1">
        <v>209</v>
      </c>
      <c r="AJ37" s="158" t="s" ph="1">
        <v>210</v>
      </c>
      <c r="AK37" s="158" t="s" ph="1">
        <v>211</v>
      </c>
      <c r="AM37" s="158" t="s" ph="1">
        <v>210</v>
      </c>
      <c r="AN37" s="158" t="s" ph="1">
        <v>211</v>
      </c>
      <c r="AO37" s="158" t="s" ph="1">
        <v>212</v>
      </c>
      <c r="AP37" s="158" t="s" ph="1">
        <v>210</v>
      </c>
      <c r="AQ37" s="158" t="s" ph="1">
        <v>211</v>
      </c>
      <c r="AR37" s="158" t="s" ph="1">
        <v>212</v>
      </c>
      <c r="AS37" s="158" t="s" ph="1">
        <v>210</v>
      </c>
      <c r="AT37" s="158" t="s" ph="1">
        <v>211</v>
      </c>
      <c r="AU37" s="158" t="s" ph="1">
        <v>212</v>
      </c>
      <c r="AV37" s="158" t="s" ph="1">
        <v>210</v>
      </c>
      <c r="AW37" s="158" t="s" ph="1">
        <v>211</v>
      </c>
      <c r="AX37" s="158" t="s" ph="1">
        <v>212</v>
      </c>
      <c r="AY37" s="158" t="s" ph="1">
        <v>211</v>
      </c>
      <c r="AZ37" s="158" t="s" ph="1">
        <v>213</v>
      </c>
      <c r="BD37" s="158" t="s" ph="1">
        <v>305</v>
      </c>
      <c r="BE37" s="158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767" priority="98">
      <formula>ABS(D$7-D$10)&gt;=1000</formula>
    </cfRule>
  </conditionalFormatting>
  <conditionalFormatting sqref="E4 E6:E11">
    <cfRule type="expression" dxfId="766" priority="97">
      <formula>ABS(E$7-E$10)&gt;=1000</formula>
    </cfRule>
  </conditionalFormatting>
  <conditionalFormatting sqref="F4:F11">
    <cfRule type="expression" dxfId="765" priority="96">
      <formula>ABS(F$7-F$10)&gt;=1000</formula>
    </cfRule>
  </conditionalFormatting>
  <conditionalFormatting sqref="G4:G11">
    <cfRule type="expression" dxfId="764" priority="95">
      <formula>ABS(G$7-G$10)&gt;=1000</formula>
    </cfRule>
  </conditionalFormatting>
  <conditionalFormatting sqref="H4:H11">
    <cfRule type="expression" dxfId="763" priority="94">
      <formula>ABS(H$7-H$10)&gt;=1000</formula>
    </cfRule>
  </conditionalFormatting>
  <conditionalFormatting sqref="I4:I11">
    <cfRule type="expression" dxfId="762" priority="93">
      <formula>ABS(I$7-I$10)&gt;=1000</formula>
    </cfRule>
  </conditionalFormatting>
  <conditionalFormatting sqref="J4:J11">
    <cfRule type="expression" dxfId="761" priority="92">
      <formula>ABS(J$7-J$10)&gt;=1000</formula>
    </cfRule>
  </conditionalFormatting>
  <conditionalFormatting sqref="K4:K11">
    <cfRule type="expression" dxfId="760" priority="91">
      <formula>ABS(K$7-K$10)&gt;=1000</formula>
    </cfRule>
  </conditionalFormatting>
  <conditionalFormatting sqref="L4:L11">
    <cfRule type="expression" dxfId="759" priority="90">
      <formula>ABS(L$7-L$10)&gt;=1000</formula>
    </cfRule>
  </conditionalFormatting>
  <conditionalFormatting sqref="M4 M6:M11">
    <cfRule type="expression" dxfId="758" priority="89">
      <formula>ABS(M$7-M$10)&gt;=1000</formula>
    </cfRule>
  </conditionalFormatting>
  <conditionalFormatting sqref="N4 N6:N11">
    <cfRule type="expression" dxfId="757" priority="88">
      <formula>ABS(N$7-N$10)&gt;=1000</formula>
    </cfRule>
  </conditionalFormatting>
  <conditionalFormatting sqref="O4 O6:O11">
    <cfRule type="expression" dxfId="756" priority="87">
      <formula>ABS(O$7-O$10)&gt;=1000</formula>
    </cfRule>
  </conditionalFormatting>
  <conditionalFormatting sqref="P4 P6:P11">
    <cfRule type="expression" dxfId="755" priority="86">
      <formula>ABS(P$7-P$10)&gt;=1000</formula>
    </cfRule>
  </conditionalFormatting>
  <conditionalFormatting sqref="Q4:Q11">
    <cfRule type="expression" dxfId="754" priority="85">
      <formula>ABS(Q$7-Q$10)&gt;=1000</formula>
    </cfRule>
  </conditionalFormatting>
  <conditionalFormatting sqref="R4:R11">
    <cfRule type="expression" dxfId="753" priority="84">
      <formula>ABS(R$7-R$10)&gt;=1000</formula>
    </cfRule>
  </conditionalFormatting>
  <conditionalFormatting sqref="S4:S11">
    <cfRule type="expression" dxfId="752" priority="83">
      <formula>ABS(S$7-S$10)&gt;=1000</formula>
    </cfRule>
  </conditionalFormatting>
  <conditionalFormatting sqref="T4:T9 T11">
    <cfRule type="expression" dxfId="751" priority="82">
      <formula>ABS(T$7-T$10)&gt;=1000</formula>
    </cfRule>
  </conditionalFormatting>
  <conditionalFormatting sqref="U4:U9 U11">
    <cfRule type="expression" dxfId="750" priority="81">
      <formula>ABS(U$7-U$10)&gt;=1000</formula>
    </cfRule>
  </conditionalFormatting>
  <conditionalFormatting sqref="V4:V9 V11">
    <cfRule type="expression" dxfId="749" priority="80">
      <formula>ABS(V$7-V$10)&gt;=1000</formula>
    </cfRule>
  </conditionalFormatting>
  <conditionalFormatting sqref="W4:W9 W11">
    <cfRule type="expression" dxfId="748" priority="79">
      <formula>ABS(W$7-W$10)&gt;=1000</formula>
    </cfRule>
  </conditionalFormatting>
  <conditionalFormatting sqref="X4:X9 X11">
    <cfRule type="expression" dxfId="747" priority="78">
      <formula>ABS(X$7-X$10)&gt;=1000</formula>
    </cfRule>
  </conditionalFormatting>
  <conditionalFormatting sqref="Y4:Y9 Y11">
    <cfRule type="expression" dxfId="746" priority="77">
      <formula>ABS(Y$7-Y$10)&gt;=1000</formula>
    </cfRule>
  </conditionalFormatting>
  <conditionalFormatting sqref="Z4:Z11">
    <cfRule type="expression" dxfId="745" priority="76">
      <formula>ABS(Z$7-Z$10)&gt;=1000</formula>
    </cfRule>
  </conditionalFormatting>
  <conditionalFormatting sqref="AA4:AA11">
    <cfRule type="expression" dxfId="744" priority="75">
      <formula>ABS(AA$7-AA$10)&gt;=1000</formula>
    </cfRule>
  </conditionalFormatting>
  <conditionalFormatting sqref="AB4:AB11">
    <cfRule type="expression" dxfId="743" priority="74">
      <formula>ABS(AB$7-AB$10)&gt;=1000</formula>
    </cfRule>
  </conditionalFormatting>
  <conditionalFormatting sqref="AC4 AC6:AC11">
    <cfRule type="expression" dxfId="742" priority="73">
      <formula>ABS(AC$7-AC$10)&gt;=1000</formula>
    </cfRule>
  </conditionalFormatting>
  <conditionalFormatting sqref="AD4:AD11">
    <cfRule type="expression" dxfId="741" priority="72">
      <formula>ABS(AD$7-AD$10)&gt;=1000</formula>
    </cfRule>
  </conditionalFormatting>
  <conditionalFormatting sqref="AE4 AE6:AE11">
    <cfRule type="expression" dxfId="740" priority="71">
      <formula>ABS(AE$7-AE$10)&gt;=1000</formula>
    </cfRule>
  </conditionalFormatting>
  <conditionalFormatting sqref="D13:D20">
    <cfRule type="expression" dxfId="739" priority="70">
      <formula>ABS(D$16-D$19)&gt;=1000</formula>
    </cfRule>
  </conditionalFormatting>
  <conditionalFormatting sqref="E13:E20">
    <cfRule type="expression" dxfId="738" priority="69">
      <formula>ABS(E$16-E$19)&gt;=1000</formula>
    </cfRule>
  </conditionalFormatting>
  <conditionalFormatting sqref="F13 F15:F20">
    <cfRule type="expression" dxfId="737" priority="68">
      <formula>ABS(F$16-F$19)&gt;=1000</formula>
    </cfRule>
  </conditionalFormatting>
  <conditionalFormatting sqref="G13:G20">
    <cfRule type="expression" dxfId="736" priority="67">
      <formula>ABS(G$16-G$19)&gt;=1000</formula>
    </cfRule>
  </conditionalFormatting>
  <conditionalFormatting sqref="H13:H20">
    <cfRule type="expression" dxfId="735" priority="66">
      <formula>ABS(H$16-H$19)&gt;=1000</formula>
    </cfRule>
  </conditionalFormatting>
  <conditionalFormatting sqref="I13:I20">
    <cfRule type="expression" dxfId="734" priority="65">
      <formula>ABS(I$16-I$19)&gt;=1000</formula>
    </cfRule>
  </conditionalFormatting>
  <conditionalFormatting sqref="J13:J20">
    <cfRule type="expression" dxfId="733" priority="64">
      <formula>ABS(J$16-J$19)&gt;=1000</formula>
    </cfRule>
  </conditionalFormatting>
  <conditionalFormatting sqref="L13:L20">
    <cfRule type="expression" dxfId="732" priority="63">
      <formula>ABS(L$16-L$19)&gt;=1000</formula>
    </cfRule>
  </conditionalFormatting>
  <conditionalFormatting sqref="M13 M15 M17:M18 M20">
    <cfRule type="expression" dxfId="731" priority="62">
      <formula>ABS(M$16-M$19)&gt;=1000</formula>
    </cfRule>
  </conditionalFormatting>
  <conditionalFormatting sqref="N13:N20">
    <cfRule type="expression" dxfId="730" priority="61">
      <formula>ABS(N$16-N$19)&gt;=1000</formula>
    </cfRule>
  </conditionalFormatting>
  <conditionalFormatting sqref="O13:O20">
    <cfRule type="expression" dxfId="729" priority="60">
      <formula>ABS(O$16-O$19)&gt;=1000</formula>
    </cfRule>
  </conditionalFormatting>
  <conditionalFormatting sqref="P13:P20">
    <cfRule type="expression" dxfId="728" priority="59">
      <formula>ABS(P$16-P$19)&gt;=1000</formula>
    </cfRule>
  </conditionalFormatting>
  <conditionalFormatting sqref="Q13 Q15:Q20">
    <cfRule type="expression" dxfId="727" priority="58">
      <formula>ABS(Q$16-Q$19)&gt;=1000</formula>
    </cfRule>
  </conditionalFormatting>
  <conditionalFormatting sqref="R13:R20">
    <cfRule type="expression" dxfId="726" priority="57">
      <formula>ABS(R$16-R$19)&gt;=1000</formula>
    </cfRule>
  </conditionalFormatting>
  <conditionalFormatting sqref="S13:S20">
    <cfRule type="expression" dxfId="725" priority="56">
      <formula>ABS(S$16-S$19)&gt;=1000</formula>
    </cfRule>
  </conditionalFormatting>
  <conditionalFormatting sqref="T13:T20">
    <cfRule type="expression" dxfId="724" priority="55">
      <formula>ABS(T$16-T$19)&gt;=1000</formula>
    </cfRule>
  </conditionalFormatting>
  <conditionalFormatting sqref="U13:U20">
    <cfRule type="expression" dxfId="723" priority="54">
      <formula>ABS(U$16-U$19)&gt;=1000</formula>
    </cfRule>
  </conditionalFormatting>
  <conditionalFormatting sqref="V13:V20">
    <cfRule type="expression" dxfId="722" priority="53">
      <formula>ABS(V$16-V$19)&gt;=1000</formula>
    </cfRule>
  </conditionalFormatting>
  <conditionalFormatting sqref="W13 W20 W15:W18">
    <cfRule type="expression" dxfId="721" priority="52">
      <formula>ABS(W$16-W$19)&gt;=1000</formula>
    </cfRule>
  </conditionalFormatting>
  <conditionalFormatting sqref="X13 X15:X20 Y19">
    <cfRule type="expression" dxfId="720" priority="51">
      <formula>ABS(X$16-X$19)&gt;=1000</formula>
    </cfRule>
  </conditionalFormatting>
  <conditionalFormatting sqref="Y13 Y15:Y18 Y20">
    <cfRule type="expression" dxfId="719" priority="50">
      <formula>ABS(Y$16-Y$19)&gt;=1000</formula>
    </cfRule>
  </conditionalFormatting>
  <conditionalFormatting sqref="Z13:Z20">
    <cfRule type="expression" dxfId="718" priority="49">
      <formula>ABS(Z$16-Z$19)&gt;=1000</formula>
    </cfRule>
  </conditionalFormatting>
  <conditionalFormatting sqref="AA13:AA20">
    <cfRule type="expression" dxfId="717" priority="48">
      <formula>ABS(AA$16-AA$19)&gt;=1000</formula>
    </cfRule>
  </conditionalFormatting>
  <conditionalFormatting sqref="AB13 AB15:AB20">
    <cfRule type="expression" dxfId="716" priority="47">
      <formula>ABS(AB$16-AB$19)&gt;=1000</formula>
    </cfRule>
  </conditionalFormatting>
  <conditionalFormatting sqref="AC13 AC15:AC20">
    <cfRule type="expression" dxfId="715" priority="46">
      <formula>ABS(AC$16-AC$19)&gt;=1000</formula>
    </cfRule>
  </conditionalFormatting>
  <conditionalFormatting sqref="AD13:AD20">
    <cfRule type="expression" dxfId="714" priority="45">
      <formula>ABS(AD$16-AD$19)&gt;=1000</formula>
    </cfRule>
  </conditionalFormatting>
  <conditionalFormatting sqref="AE13:AE20">
    <cfRule type="expression" dxfId="713" priority="44">
      <formula>ABS(AE$16-AE$19)&gt;=1000</formula>
    </cfRule>
  </conditionalFormatting>
  <conditionalFormatting sqref="D22:D29">
    <cfRule type="expression" dxfId="712" priority="43">
      <formula>ABS(D$25-D$28)&gt;=1000</formula>
    </cfRule>
  </conditionalFormatting>
  <conditionalFormatting sqref="E22:E29">
    <cfRule type="expression" dxfId="711" priority="42">
      <formula>ABS(E$25-E$28)&gt;=1000</formula>
    </cfRule>
  </conditionalFormatting>
  <conditionalFormatting sqref="F22:F29">
    <cfRule type="expression" dxfId="710" priority="41">
      <formula>ABS(F$25-F$28)&gt;=1000</formula>
    </cfRule>
  </conditionalFormatting>
  <conditionalFormatting sqref="G22:G29">
    <cfRule type="expression" dxfId="709" priority="40">
      <formula>ABS(G$25-G$28)&gt;=1000</formula>
    </cfRule>
  </conditionalFormatting>
  <conditionalFormatting sqref="H22:H29">
    <cfRule type="expression" dxfId="708" priority="39">
      <formula>ABS(H$25-H$28)&gt;=1000</formula>
    </cfRule>
  </conditionalFormatting>
  <conditionalFormatting sqref="I22 I24:I29">
    <cfRule type="expression" dxfId="707" priority="38">
      <formula>ABS(I$25-I$28)&gt;=1000</formula>
    </cfRule>
  </conditionalFormatting>
  <conditionalFormatting sqref="J22:J29 K22">
    <cfRule type="expression" dxfId="706" priority="37">
      <formula>ABS(J$25-J$28)&gt;=1000</formula>
    </cfRule>
  </conditionalFormatting>
  <conditionalFormatting sqref="K23:K29 L25 L28">
    <cfRule type="expression" dxfId="705" priority="36">
      <formula>ABS(K$25-K$28)&gt;=1000</formula>
    </cfRule>
  </conditionalFormatting>
  <conditionalFormatting sqref="L22 L26:L27 L29 L24">
    <cfRule type="expression" dxfId="704" priority="35">
      <formula>ABS(L$25-L$28)&gt;=1000</formula>
    </cfRule>
  </conditionalFormatting>
  <conditionalFormatting sqref="M22:M29">
    <cfRule type="expression" dxfId="703" priority="34">
      <formula>ABS(M$25-M$28)&gt;=1000</formula>
    </cfRule>
  </conditionalFormatting>
  <conditionalFormatting sqref="N22:N29">
    <cfRule type="expression" dxfId="702" priority="33">
      <formula>ABS(N$25-N$28)&gt;=1000</formula>
    </cfRule>
  </conditionalFormatting>
  <conditionalFormatting sqref="O22:O29">
    <cfRule type="expression" dxfId="701" priority="32">
      <formula>ABS(O$25-O$28)&gt;=1000</formula>
    </cfRule>
  </conditionalFormatting>
  <conditionalFormatting sqref="P22:P29">
    <cfRule type="expression" dxfId="700" priority="31">
      <formula>ABS(P$25-P$28)&gt;=1000</formula>
    </cfRule>
  </conditionalFormatting>
  <conditionalFormatting sqref="Q22:Q29">
    <cfRule type="expression" dxfId="699" priority="30">
      <formula>ABS(Q$25-Q$28)&gt;=1000</formula>
    </cfRule>
  </conditionalFormatting>
  <conditionalFormatting sqref="R22:R29">
    <cfRule type="expression" dxfId="698" priority="29">
      <formula>ABS(R$25-R$28)&gt;=1000</formula>
    </cfRule>
  </conditionalFormatting>
  <conditionalFormatting sqref="S22:S29">
    <cfRule type="expression" dxfId="697" priority="28">
      <formula>ABS(S$25-S$28)&gt;=1000</formula>
    </cfRule>
  </conditionalFormatting>
  <conditionalFormatting sqref="T22:T29">
    <cfRule type="expression" dxfId="696" priority="27">
      <formula>ABS(T$25-T$28)&gt;=1000</formula>
    </cfRule>
  </conditionalFormatting>
  <conditionalFormatting sqref="U22:U29">
    <cfRule type="expression" dxfId="695" priority="26">
      <formula>ABS(U$25-U$28)&gt;=1000</formula>
    </cfRule>
  </conditionalFormatting>
  <conditionalFormatting sqref="V22:V29">
    <cfRule type="expression" dxfId="694" priority="25">
      <formula>ABS(V$25-V$28)&gt;=1000</formula>
    </cfRule>
  </conditionalFormatting>
  <conditionalFormatting sqref="W22:W29">
    <cfRule type="expression" dxfId="693" priority="24">
      <formula>ABS(W$25-W$28)&gt;=1000</formula>
    </cfRule>
  </conditionalFormatting>
  <conditionalFormatting sqref="X22:X29">
    <cfRule type="expression" dxfId="692" priority="23">
      <formula>ABS(X$25-X$28)&gt;=1000</formula>
    </cfRule>
  </conditionalFormatting>
  <conditionalFormatting sqref="Y22:Y29">
    <cfRule type="expression" dxfId="691" priority="22">
      <formula>ABS(Y$25-Y$28)&gt;=1000</formula>
    </cfRule>
  </conditionalFormatting>
  <conditionalFormatting sqref="I23">
    <cfRule type="expression" dxfId="690" priority="21">
      <formula>ABS(I$25-I$28)&gt;=1000</formula>
    </cfRule>
  </conditionalFormatting>
  <conditionalFormatting sqref="Q14">
    <cfRule type="expression" dxfId="689" priority="20">
      <formula>ABS(Q$16-Q$19)&gt;=1000</formula>
    </cfRule>
  </conditionalFormatting>
  <conditionalFormatting sqref="W14">
    <cfRule type="expression" dxfId="688" priority="19">
      <formula>ABS(W$16-W$19)&gt;=1000</formula>
    </cfRule>
  </conditionalFormatting>
  <conditionalFormatting sqref="Y14">
    <cfRule type="expression" dxfId="687" priority="18">
      <formula>ABS(Y$16-Y$19)&gt;=1000</formula>
    </cfRule>
  </conditionalFormatting>
  <conditionalFormatting sqref="X14">
    <cfRule type="expression" dxfId="686" priority="17">
      <formula>ABS(X$16-X$19)&gt;=1000</formula>
    </cfRule>
  </conditionalFormatting>
  <conditionalFormatting sqref="T10:Y10">
    <cfRule type="expression" dxfId="685" priority="16">
      <formula>ABS(T$7-T$10)&gt;=1000</formula>
    </cfRule>
  </conditionalFormatting>
  <conditionalFormatting sqref="W19">
    <cfRule type="expression" dxfId="684" priority="15">
      <formula>ABS(W$16-W$19)&gt;=1000</formula>
    </cfRule>
  </conditionalFormatting>
  <conditionalFormatting sqref="AC5">
    <cfRule type="expression" dxfId="683" priority="14">
      <formula>ABS(AC$7-AC$10)&gt;=1000</formula>
    </cfRule>
  </conditionalFormatting>
  <conditionalFormatting sqref="M14">
    <cfRule type="expression" dxfId="682" priority="13">
      <formula>ABS(M$16-M$19)&gt;=1000</formula>
    </cfRule>
  </conditionalFormatting>
  <conditionalFormatting sqref="M16">
    <cfRule type="expression" dxfId="681" priority="12">
      <formula>ABS(M$16-M$19)&gt;=1000</formula>
    </cfRule>
  </conditionalFormatting>
  <conditionalFormatting sqref="M19">
    <cfRule type="expression" dxfId="680" priority="11">
      <formula>ABS(M$16-M$19)&gt;=1000</formula>
    </cfRule>
  </conditionalFormatting>
  <conditionalFormatting sqref="K13:K20">
    <cfRule type="expression" dxfId="679" priority="10">
      <formula>ABS(K$16-K$19)&gt;=1000</formula>
    </cfRule>
  </conditionalFormatting>
  <conditionalFormatting sqref="E5">
    <cfRule type="expression" dxfId="678" priority="9">
      <formula>ABS(E$7-E$10)&gt;=1000</formula>
    </cfRule>
  </conditionalFormatting>
  <conditionalFormatting sqref="AB14:AC14">
    <cfRule type="expression" dxfId="677" priority="8">
      <formula>ABS(AB$16-AB$19)&gt;=1000</formula>
    </cfRule>
  </conditionalFormatting>
  <conditionalFormatting sqref="M5">
    <cfRule type="expression" dxfId="676" priority="7">
      <formula>ABS(M$7-M$10)&gt;=1000</formula>
    </cfRule>
  </conditionalFormatting>
  <conditionalFormatting sqref="N5">
    <cfRule type="expression" dxfId="675" priority="6">
      <formula>ABS(N$7-N$10)&gt;=1000</formula>
    </cfRule>
  </conditionalFormatting>
  <conditionalFormatting sqref="O5">
    <cfRule type="expression" dxfId="674" priority="5">
      <formula>ABS(O$7-O$10)&gt;=1000</formula>
    </cfRule>
  </conditionalFormatting>
  <conditionalFormatting sqref="P5">
    <cfRule type="expression" dxfId="673" priority="4">
      <formula>ABS(P$7-P$10)&gt;=1000</formula>
    </cfRule>
  </conditionalFormatting>
  <conditionalFormatting sqref="L23">
    <cfRule type="expression" dxfId="672" priority="3">
      <formula>ABS(L$25-L$28)&gt;=1000</formula>
    </cfRule>
  </conditionalFormatting>
  <conditionalFormatting sqref="F14">
    <cfRule type="expression" dxfId="671" priority="2">
      <formula>ABS(F$16-F$19)&gt;=1000</formula>
    </cfRule>
  </conditionalFormatting>
  <conditionalFormatting sqref="AE5">
    <cfRule type="expression" dxfId="670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980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70">
    <pageSetUpPr fitToPage="1"/>
  </sheetPr>
  <dimension ref="A1:CU223"/>
  <sheetViews>
    <sheetView view="pageBreakPreview" zoomScale="70" zoomScaleNormal="100" zoomScaleSheetLayoutView="70" workbookViewId="0">
      <selection activeCell="H9" sqref="H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8" t="s" ph="1">
        <v>161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" customHeight="1" ph="1">
      <c r="B3" s="240" ph="1">
        <v>45985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9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59" t="s" ph="1">
        <v>177</v>
      </c>
      <c r="D6" s="71">
        <v>5117</v>
      </c>
      <c r="E6" s="71">
        <v>826</v>
      </c>
      <c r="F6" s="71">
        <v>3304</v>
      </c>
      <c r="G6" s="71">
        <v>86</v>
      </c>
      <c r="H6" s="71">
        <v>20</v>
      </c>
      <c r="I6" s="71">
        <v>27.14</v>
      </c>
      <c r="J6" s="71">
        <v>7.03</v>
      </c>
      <c r="K6" s="71">
        <v>38.03</v>
      </c>
      <c r="L6" s="71">
        <v>34.57</v>
      </c>
      <c r="M6" s="71">
        <v>3599</v>
      </c>
      <c r="N6" s="71">
        <v>1124</v>
      </c>
      <c r="O6" s="71">
        <v>1623</v>
      </c>
      <c r="P6" s="71">
        <v>2523</v>
      </c>
      <c r="Q6" s="71">
        <v>6476</v>
      </c>
      <c r="R6" s="71">
        <v>0</v>
      </c>
      <c r="S6" s="71">
        <v>0</v>
      </c>
      <c r="T6" s="71">
        <v>5081</v>
      </c>
      <c r="U6" s="71">
        <v>7010</v>
      </c>
      <c r="V6" s="71">
        <v>5778</v>
      </c>
      <c r="W6" s="71">
        <v>7056</v>
      </c>
      <c r="X6" s="71">
        <v>7108</v>
      </c>
      <c r="Y6" s="71">
        <v>7123</v>
      </c>
      <c r="Z6" s="71">
        <v>5288</v>
      </c>
      <c r="AA6" s="71">
        <v>1936</v>
      </c>
      <c r="AB6" s="71">
        <v>2690</v>
      </c>
      <c r="AC6" s="71">
        <v>6692</v>
      </c>
      <c r="AD6" s="71">
        <v>4780</v>
      </c>
      <c r="AE6" s="71">
        <v>4397</v>
      </c>
    </row>
    <row r="7" spans="1:99" s="72" customFormat="1" ht="22.2" ph="1">
      <c r="B7" s="237" ph="1"/>
      <c r="C7" s="68" t="s" ph="1">
        <v>178</v>
      </c>
      <c r="D7" s="73" ph="1">
        <f>D6*33.183*LOOKUP(D8,密度!$A$2:$A$50,密度!$Q$2:$Q$50)</f>
        <v>161648.83324611001</v>
      </c>
      <c r="E7" s="73" ph="1">
        <f>E6*51.53*LOOKUP(E8,密度!$A$2:$A$50,密度!$B$2:$B$50)</f>
        <v>33442.361945999997</v>
      </c>
      <c r="F7" s="73" ph="1">
        <f>F6*33.183*LOOKUP(F8,密度!$A$2:$A$50,密度!$C$2:$C$50)</f>
        <v>121904.97112080001</v>
      </c>
      <c r="G7" s="73" ph="1">
        <f xml:space="preserve"> (G6+2)*51.53*LOOKUP(G8,密度!$A$2:$A$50,密度!$B$2:$B$50)</f>
        <v>3569.6686080000004</v>
      </c>
      <c r="H7" s="73" ph="1">
        <f>(H6)*51.53*LOOKUP(H8,密度!$A$2:$A$50,密度!$B$2:$B$50)</f>
        <v>811.28831999999989</v>
      </c>
      <c r="I7" s="73" ph="1">
        <f>I6*290.8*1.0267</f>
        <v>8103.0367304000001</v>
      </c>
      <c r="J7" s="73" ph="1">
        <f>J6*290.8*0.7892</f>
        <v>1613.3805008000002</v>
      </c>
      <c r="K7" s="73" ph="1">
        <f>K6*290.8*1.1126</f>
        <v>12304.381362400001</v>
      </c>
      <c r="L7" s="73" ph="1">
        <f>L6*290.8*0.777</f>
        <v>7811.146812</v>
      </c>
      <c r="M7" s="73" ph="1">
        <f>M6*33.183*LOOKUP(M8,密度!$A$2:$A$50,密度!$D$2:$D$50)</f>
        <v>123175.58137380001</v>
      </c>
      <c r="N7" s="73" ph="1">
        <f>N6*33.183*LOOKUP(N8,密度!$A$2:$A$50,密度!$E$2:$E$50)</f>
        <v>29435.338526400003</v>
      </c>
      <c r="O7" s="73" ph="1">
        <f>O6*20.428*LOOKUP(O8,密度!$A$2:$A$50,密度!$C$2:$C$50)</f>
        <v>36715.452765599999</v>
      </c>
      <c r="P7" s="73" ph="1">
        <f>P6*51.53*LOOKUP(P8,密度!$A$2:$A$50,密度!$B$2:$B$50)</f>
        <v>102044.998131</v>
      </c>
      <c r="Q7" s="73" ph="1">
        <f>Q6*1.5*1.5*3.1416*LOOKUP(W8,密度!$A$2:$A$50,密度!$L$2:$L$50)</f>
        <v>43029.678383999992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33976.116543599994</v>
      </c>
      <c r="U7" s="73" ph="1">
        <f>U6*1.5*1.5*3.1416*LOOKUP(U8,密度!$A$2:$A$50,密度!$L$2:$L$50)</f>
        <v>46676.934611999997</v>
      </c>
      <c r="V7" s="73" ph="1">
        <f>V6*1.5*1.5*3.1416*LOOKUP(V8,密度!$A$2:$A$50,密度!$L$2:$L$50)</f>
        <v>38391.828551999992</v>
      </c>
      <c r="W7" s="73" ph="1">
        <f>W6*1.5*1.5*3.1416*LOOKUP(W8,密度!$A$2:$A$50,密度!$L$2:$L$50)</f>
        <v>46883.479103999991</v>
      </c>
      <c r="X7" s="73" ph="1">
        <f>X6*1.5*1.5*3.1416*LOOKUP(X8,密度!$A$2:$A$50,密度!$L$2:$L$50)</f>
        <v>47279.235880799999</v>
      </c>
      <c r="Y7" s="73" ph="1">
        <f>Y6*1.5*1.5*3.1416*LOOKUP(Y8,密度!$A$2:$A$50,密度!$L$2:$L$50)</f>
        <v>47379.009169799996</v>
      </c>
      <c r="Z7" s="73" ph="1">
        <f>Z6*33.183*LOOKUP(Z8,密度!$A$2:$A$50,密度!$L$2:$L$50)</f>
        <v>165820.76027999999</v>
      </c>
      <c r="AA7" s="73" ph="1">
        <f>AA6*33.183*LOOKUP(AA8,密度!$A$2:$A$50,密度!$D$2:$D$50)</f>
        <v>66259.495843200013</v>
      </c>
      <c r="AB7" s="73" ph="1">
        <f>AB6*20.428*LOOKUP(AB8,密度!$A$2:$A$50,密度!$D$2:$D$50)</f>
        <v>56957.043180000001</v>
      </c>
      <c r="AC7" s="73" ph="1">
        <f>AC6*51.53*LOOKUP(AC8,密度!$A$2:$A$50,密度!$Q$2:$Q$50)</f>
        <v>328562.370528</v>
      </c>
      <c r="AD7" s="73" ph="1">
        <f>AD6*20.428*LOOKUP(AD8,密度!$A$2:$A$50,密度!$V$2:$V$50)</f>
        <v>94130.589760000003</v>
      </c>
      <c r="AE7" s="73" ph="1">
        <f>AE6*20.428</f>
        <v>89821.915999999997</v>
      </c>
    </row>
    <row r="8" spans="1:99" ph="1">
      <c r="B8" s="237" ph="1"/>
      <c r="C8" s="68" t="s" ph="1">
        <v>179</v>
      </c>
      <c r="D8" s="74">
        <v>18</v>
      </c>
      <c r="E8" s="74">
        <v>18</v>
      </c>
      <c r="F8" s="74">
        <v>21</v>
      </c>
      <c r="G8" s="74">
        <v>16</v>
      </c>
      <c r="H8" s="74">
        <v>16</v>
      </c>
      <c r="I8" s="74">
        <v>25</v>
      </c>
      <c r="J8" s="74">
        <v>25</v>
      </c>
      <c r="K8" s="74">
        <v>25</v>
      </c>
      <c r="L8" s="74">
        <v>25</v>
      </c>
      <c r="M8" s="74">
        <v>20</v>
      </c>
      <c r="N8" s="74">
        <v>20</v>
      </c>
      <c r="O8" s="74">
        <v>27</v>
      </c>
      <c r="P8" s="74">
        <v>19</v>
      </c>
      <c r="Q8" s="74">
        <v>22</v>
      </c>
      <c r="R8" s="74">
        <v>24</v>
      </c>
      <c r="S8" s="74">
        <v>16</v>
      </c>
      <c r="T8" s="74">
        <v>16</v>
      </c>
      <c r="U8" s="74">
        <v>20</v>
      </c>
      <c r="V8" s="74">
        <v>22</v>
      </c>
      <c r="W8" s="74">
        <v>22</v>
      </c>
      <c r="X8" s="74">
        <v>21</v>
      </c>
      <c r="Y8" s="74">
        <v>21</v>
      </c>
      <c r="Z8" s="74">
        <v>17</v>
      </c>
      <c r="AA8" s="74">
        <v>20</v>
      </c>
      <c r="AB8" s="74">
        <v>14</v>
      </c>
      <c r="AC8" s="74">
        <v>17</v>
      </c>
      <c r="AD8" s="74">
        <v>18</v>
      </c>
      <c r="AE8" s="74">
        <v>24</v>
      </c>
    </row>
    <row r="9" spans="1:99" ht="26.4" ph="1">
      <c r="B9" s="237" ph="1">
        <v>0.66666666666666663</v>
      </c>
      <c r="C9" s="159" t="s" ph="1">
        <v>180</v>
      </c>
      <c r="D9" s="71">
        <v>5119</v>
      </c>
      <c r="E9" s="71">
        <v>825</v>
      </c>
      <c r="F9" s="71">
        <v>3963</v>
      </c>
      <c r="G9" s="71">
        <v>84</v>
      </c>
      <c r="H9" s="71">
        <v>879</v>
      </c>
      <c r="I9" s="71">
        <v>27.15</v>
      </c>
      <c r="J9" s="71">
        <v>7.09</v>
      </c>
      <c r="K9" s="71">
        <v>56.55</v>
      </c>
      <c r="L9" s="71">
        <v>8.94</v>
      </c>
      <c r="M9" s="71">
        <v>3600</v>
      </c>
      <c r="N9" s="71">
        <v>990</v>
      </c>
      <c r="O9" s="71">
        <v>1546</v>
      </c>
      <c r="P9" s="71">
        <v>2269</v>
      </c>
      <c r="Q9" s="71">
        <v>7170</v>
      </c>
      <c r="R9" s="71">
        <v>5309</v>
      </c>
      <c r="S9" s="71">
        <v>0</v>
      </c>
      <c r="T9" s="71">
        <v>253</v>
      </c>
      <c r="U9" s="71">
        <v>7016</v>
      </c>
      <c r="V9" s="71">
        <v>5784</v>
      </c>
      <c r="W9" s="71">
        <v>7067</v>
      </c>
      <c r="X9" s="71">
        <v>7118</v>
      </c>
      <c r="Y9" s="71">
        <v>7134</v>
      </c>
      <c r="Z9" s="71">
        <v>2986</v>
      </c>
      <c r="AA9" s="71">
        <v>1935</v>
      </c>
      <c r="AB9" s="71">
        <v>2623</v>
      </c>
      <c r="AC9" s="71">
        <v>6695</v>
      </c>
      <c r="AD9" s="71">
        <v>4780</v>
      </c>
      <c r="AE9" s="71">
        <v>4401</v>
      </c>
    </row>
    <row r="10" spans="1:99" s="72" customFormat="1" ht="22.2" ph="1">
      <c r="B10" s="237" ph="1"/>
      <c r="C10" s="159" t="s" ph="1">
        <v>178</v>
      </c>
      <c r="D10" s="73" ph="1">
        <f>D9*33.183*LOOKUP(D11,密度!$A$2:$A$50,密度!$Q$2:$Q$50)</f>
        <v>161216.01211293001</v>
      </c>
      <c r="E10" s="73" ph="1">
        <f>E9*51.53*LOOKUP(E11,密度!$A$2:$A$50,密度!$B$2:$B$50)</f>
        <v>33219.07215</v>
      </c>
      <c r="F10" s="73" ph="1">
        <f>F9*33.183*LOOKUP(F11,密度!$A$2:$A$50,密度!$C$2:$C$50)</f>
        <v>146114.34884189998</v>
      </c>
      <c r="G10" s="73" ph="1">
        <f xml:space="preserve"> (G9+2)*51.53*LOOKUP(G11,密度!$A$2:$A$50,密度!$B$2:$B$50)</f>
        <v>3474.8018780000002</v>
      </c>
      <c r="H10" s="73" ph="1">
        <f>(H9)*51.53*LOOKUP(H11,密度!$A$2:$A$50,密度!$B$2:$B$50)</f>
        <v>35271.115269000002</v>
      </c>
      <c r="I10" s="73" ph="1">
        <f>I9*290.8*1.0267</f>
        <v>8106.0223740000001</v>
      </c>
      <c r="J10" s="73" ph="1">
        <f>J9*290.8*0.7892</f>
        <v>1627.1504623999999</v>
      </c>
      <c r="K10" s="73" ph="1">
        <f>K9*290.8*1.1126</f>
        <v>18296.417724000003</v>
      </c>
      <c r="L10" s="73" ph="1">
        <f>L9*290.8*0.777</f>
        <v>2020.007304</v>
      </c>
      <c r="M10" s="73" ph="1">
        <f>M9*33.183*LOOKUP(M11,密度!$A$2:$A$50,密度!$D$2:$D$50)</f>
        <v>122755.86288000002</v>
      </c>
      <c r="N10" s="73" ph="1">
        <f>N9*33.183*LOOKUP(N11,密度!$A$2:$A$50,密度!$E$2:$E$50)</f>
        <v>25729.036344</v>
      </c>
      <c r="O10" s="73" ph="1">
        <f>O9*20.428*LOOKUP(O11,密度!$A$2:$A$50,密度!$C$2:$C$50)</f>
        <v>34948.295940800002</v>
      </c>
      <c r="P10" s="73" ph="1">
        <f>P9*51.53*LOOKUP(P11,密度!$A$2:$A$50,密度!$B$2:$B$50)</f>
        <v>91467.744211000012</v>
      </c>
      <c r="Q10" s="73" ph="1">
        <f>Q9*1.5*1.5*3.1416*LOOKUP(W11,密度!$A$2:$A$50,密度!$L$2:$L$50)</f>
        <v>47590.268418</v>
      </c>
      <c r="R10" s="73" ph="1">
        <f>R9*1.5*1.5*3.1416*LOOKUP(R11,密度!$A$2:$A$50,密度!$L$2:$L$50)</f>
        <v>35125.456766399999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1673.9010288000002</v>
      </c>
      <c r="U10" s="73" ph="1">
        <f>U9*1.5*1.5*3.1416*LOOKUP(U11,密度!$A$2:$A$50,密度!$L$2:$L$50)</f>
        <v>46667.293041599994</v>
      </c>
      <c r="V10" s="73" ph="1">
        <f>V9*1.5*1.5*3.1416*LOOKUP(V11,密度!$A$2:$A$50,密度!$L$2:$L$50)</f>
        <v>38349.925891199993</v>
      </c>
      <c r="W10" s="73" ph="1">
        <f>W9*1.5*1.5*3.1416*LOOKUP(W11,密度!$A$2:$A$50,密度!$L$2:$L$50)</f>
        <v>46906.614631799996</v>
      </c>
      <c r="X10" s="73" ph="1">
        <f>X9*1.5*1.5*3.1416*LOOKUP(X11,密度!$A$2:$A$50,密度!$L$2:$L$50)</f>
        <v>47697.951470399996</v>
      </c>
      <c r="Y10" s="73" ph="1">
        <f>Y9*1.5*1.5*3.1416*LOOKUP(Y11,密度!$A$2:$A$50,密度!$L$2:$L$50)</f>
        <v>47401.748855999991</v>
      </c>
      <c r="Z10" s="73" ph="1">
        <f>Z9*33.183*LOOKUP(Z11,密度!$A$2:$A$50,密度!$L$2:$L$50)</f>
        <v>93436.625033999997</v>
      </c>
      <c r="AA10" s="73" ph="1">
        <f>AA9*33.183*LOOKUP(AA11,密度!$A$2:$A$50,密度!$D$2:$D$50)</f>
        <v>66045.485402999999</v>
      </c>
      <c r="AB10" s="73" ph="1">
        <f>AB9*20.428*LOOKUP(AB11,密度!$A$2:$A$50,密度!$D$2:$D$50)</f>
        <v>55490.186126400004</v>
      </c>
      <c r="AC10" s="73" ph="1">
        <f>AC9*51.53*LOOKUP(AC11,密度!$A$2:$A$50,密度!$Q$2:$Q$50)</f>
        <v>327874.77997300006</v>
      </c>
      <c r="AD10" s="73" ph="1">
        <f>AD9*20.428*LOOKUP(AD11,密度!$A$2:$A$50,密度!$V$2:$V$50)</f>
        <v>94130.589760000003</v>
      </c>
      <c r="AE10" s="73" ph="1">
        <f>AE9*20.428</f>
        <v>89903.627999999997</v>
      </c>
    </row>
    <row r="11" spans="1:99" ph="1">
      <c r="A11" s="64" t="s" ph="1">
        <v>162</v>
      </c>
      <c r="B11" s="237" ph="1"/>
      <c r="C11" s="159" t="s" ph="1">
        <v>179</v>
      </c>
      <c r="D11" s="74">
        <v>22</v>
      </c>
      <c r="E11" s="74">
        <v>23</v>
      </c>
      <c r="F11" s="74">
        <v>22</v>
      </c>
      <c r="G11" s="74">
        <v>20</v>
      </c>
      <c r="H11" s="74">
        <v>26</v>
      </c>
      <c r="I11" s="74">
        <v>25</v>
      </c>
      <c r="J11" s="74">
        <v>25</v>
      </c>
      <c r="K11" s="74">
        <v>25</v>
      </c>
      <c r="L11" s="74">
        <v>25</v>
      </c>
      <c r="M11" s="74">
        <v>24</v>
      </c>
      <c r="N11" s="74">
        <v>25</v>
      </c>
      <c r="O11" s="74">
        <v>28</v>
      </c>
      <c r="P11" s="74">
        <v>22</v>
      </c>
      <c r="Q11" s="74">
        <v>25</v>
      </c>
      <c r="R11" s="74">
        <v>26</v>
      </c>
      <c r="S11" s="74">
        <v>21</v>
      </c>
      <c r="T11" s="74">
        <v>26</v>
      </c>
      <c r="U11" s="74">
        <v>21</v>
      </c>
      <c r="V11" s="74">
        <v>24</v>
      </c>
      <c r="W11" s="74">
        <v>23</v>
      </c>
      <c r="X11" s="74">
        <v>14</v>
      </c>
      <c r="Y11" s="74">
        <v>22</v>
      </c>
      <c r="Z11" s="74">
        <v>19</v>
      </c>
      <c r="AA11" s="74">
        <v>23</v>
      </c>
      <c r="AB11" s="74">
        <v>15</v>
      </c>
      <c r="AC11" s="74">
        <v>20</v>
      </c>
      <c r="AD11" s="74">
        <v>20</v>
      </c>
      <c r="AE11" s="74">
        <v>25</v>
      </c>
    </row>
    <row r="12" spans="1:99" ht="9.9" customHeight="1" ph="1"/>
    <row r="13" spans="1:99" s="72" customFormat="1" ht="29.25" customHeight="1" ph="1">
      <c r="B13" s="214" t="s" ph="1">
        <v>37</v>
      </c>
      <c r="C13" s="159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5" ph="1"/>
      <c r="C14" s="67" t="s" ph="1">
        <v>36</v>
      </c>
      <c r="D14" s="77" t="s" ph="1">
        <v>616</v>
      </c>
      <c r="E14" s="77" t="s" ph="1">
        <v>616</v>
      </c>
      <c r="F14" s="77" t="s" ph="1">
        <v>639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636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635</v>
      </c>
      <c r="AC14" s="77" t="s" ph="1">
        <v>637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6" ph="1">
        <v>0.33333333333333331</v>
      </c>
      <c r="C15" s="159" t="s" ph="1">
        <v>177</v>
      </c>
      <c r="D15" s="78">
        <v>1083</v>
      </c>
      <c r="E15" s="78">
        <v>69</v>
      </c>
      <c r="F15" s="78">
        <v>985</v>
      </c>
      <c r="G15" s="78">
        <v>1602</v>
      </c>
      <c r="H15" s="78">
        <v>0</v>
      </c>
      <c r="I15" s="78">
        <v>1611</v>
      </c>
      <c r="J15" s="78">
        <v>1443</v>
      </c>
      <c r="K15" s="78">
        <v>4964</v>
      </c>
      <c r="L15" s="78">
        <v>3587</v>
      </c>
      <c r="M15" s="78">
        <v>6978</v>
      </c>
      <c r="N15" s="78">
        <v>4049</v>
      </c>
      <c r="O15" s="78">
        <v>847</v>
      </c>
      <c r="P15" s="78">
        <v>6994</v>
      </c>
      <c r="Q15" s="78">
        <v>6016</v>
      </c>
      <c r="R15" s="78">
        <v>4152</v>
      </c>
      <c r="S15" s="78">
        <v>6168</v>
      </c>
      <c r="T15" s="78">
        <v>2569</v>
      </c>
      <c r="U15" s="78">
        <v>7030</v>
      </c>
      <c r="V15" s="78">
        <v>4912</v>
      </c>
      <c r="W15" s="71">
        <v>4297</v>
      </c>
      <c r="X15" s="78">
        <v>841</v>
      </c>
      <c r="Y15" s="106">
        <v>-9904</v>
      </c>
      <c r="Z15" s="78">
        <v>0</v>
      </c>
      <c r="AA15" s="78">
        <v>0</v>
      </c>
      <c r="AB15" s="78" ph="1">
        <v>1092</v>
      </c>
      <c r="AC15" s="78" ph="1">
        <v>2136</v>
      </c>
      <c r="AD15" s="78">
        <v>84.48</v>
      </c>
      <c r="AE15" s="78">
        <v>45.45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7" ph="1"/>
      <c r="C16" s="159" t="s" ph="1">
        <v>178</v>
      </c>
      <c r="D16" s="73" ph="1">
        <f>D15*7.0686*LOOKUP(D17,密度!$A$2:$A$50,密度!$L$2:$L$50)</f>
        <v>7203.6314658000001</v>
      </c>
      <c r="E16" s="73" ph="1">
        <f>E15*7.0686*LOOKUP(E17,密度!$A$2:$A$50,密度!$L$2:$L$50)</f>
        <v>458.95712939999999</v>
      </c>
      <c r="F16" s="73" ph="1">
        <f>F15*9.0746*LOOKUP(F17,密度!$A$2:$A$50,密度!$L$2:$L$50)</f>
        <v>8402.1721399999988</v>
      </c>
      <c r="G16" s="73" ph="1">
        <f>G15*9.0746*LOOKUP(G17,密度!$A$2:$A$50,密度!$B$2:$B$50)</f>
        <v>11398.860963720001</v>
      </c>
      <c r="H16" s="73" ph="1">
        <f>H15*9.0746*LOOKUP(H17,密度!$A$2:$A$50,密度!$L$2:$L$50)</f>
        <v>0</v>
      </c>
      <c r="I16" s="73" ph="1">
        <f>I15*9.0746*LOOKUP(I17,密度!$A$2:$A$50,密度!$U$2:$U$50)</f>
        <v>15028.517656800001</v>
      </c>
      <c r="J16" s="73" ph="1">
        <f>J15*9.0746*LOOKUP(J17,密度!$A$2:$A$50,密度!$L$2:$L$50)</f>
        <v>12322.0635798</v>
      </c>
      <c r="K16" s="73" ph="1">
        <f>K15*9.0746*LOOKUP(K17,密度!$A$2:$A$50,密度!$C$2:$C$50)</f>
        <v>50118.529401440006</v>
      </c>
      <c r="L16" s="73" ph="1">
        <f>L15*9.0746*LOOKUP(L17,密度!$A$2:$A$50,密度!$E$2:$E$50)</f>
        <v>25649.865077600003</v>
      </c>
      <c r="M16" s="73" ph="1">
        <f>M15*9.0746*LOOKUP(M17,密度!$A$2:$A$50,密度!$M$2:$M$50)</f>
        <v>55666.86144108</v>
      </c>
      <c r="N16" s="73" ph="1">
        <f>N15*9.0746*LOOKUP(N17,密度!$A$2:$A$50,密度!$M$2:$M$50)</f>
        <v>32344.911668619996</v>
      </c>
      <c r="O16" s="73" ph="1">
        <f>O15*9.0746*LOOKUP(O17,密度!$A$2:$A$50,密度!$G$2:$G$50)</f>
        <v>7416.4010643800002</v>
      </c>
      <c r="P16" s="73" ph="1">
        <f ca="1">P15*9.0746*LOOKUP(P17,密度!$A$2:$A$51,密度!$Q$2:$Q$50)</f>
        <v>60236.609125316005</v>
      </c>
      <c r="Q16" s="73" ph="1">
        <f>Q15*9.0746*LOOKUP(Q17,密度!$A$2:$A$50,密度!$Q$2:$Q$50)</f>
        <v>51846.230153984005</v>
      </c>
      <c r="R16" s="73" ph="1">
        <f>MAX(R15*9.0746*LOOKUP(R17,密度!$A$2:$A$50,密度!$B$2:$B$50),0)</f>
        <v>29441.385410880001</v>
      </c>
      <c r="S16" s="73" ph="1">
        <f>S15*9.0746*LOOKUP(S17,密度!$A$2:$A$50,密度!$Q$2:$Q$50)</f>
        <v>53194.795570463997</v>
      </c>
      <c r="T16" s="73" ph="1">
        <f>T15*9.0746*LOOKUP(T17,密度!$A$2:$A$50,密度!$O$2:$O$50)</f>
        <v>21680.762082000001</v>
      </c>
      <c r="U16" s="73" ph="1">
        <f>U15*9.0746*LOOKUP(U17,密度!$A$2:$A$50,密度!$H$2:$H$50)</f>
        <v>58799.333504599999</v>
      </c>
      <c r="V16" s="73" ph="1">
        <f>MAX(5600*LOOKUP(V17,密度!$A$2:$A$50,密度!$Q$2:$Q$50)+V15*9.0476*LOOKUP(V17,密度!$A$2:$A$50,密度!$Q$2:$Q$50),0)</f>
        <v>47494.182591807999</v>
      </c>
      <c r="W16" s="73" ph="1">
        <f>MAX(5600*LOOKUP(W17,密度!$A$2:$A$50,密度!$Q$2:$Q$50)+W15*9.0476*LOOKUP(W17,密度!$A$2:$A$50,密度!$Q$2:$Q$50),0)</f>
        <v>42213.185781148</v>
      </c>
      <c r="X16" s="73" ph="1">
        <f>MAX(5600*LOOKUP(X17,密度!$A$2:$A$50,密度!$I$2:$I$50)+X15*9.0476*LOOKUP(X17,密度!$A$2:$A$50,密度!$I$2:$I$50),0)</f>
        <v>13619.832482759997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9334.7143343999996</v>
      </c>
      <c r="AC16" s="73" ph="1">
        <f>AC15*9.0746*LOOKUP(AC17,密度!$A$2:$A$50,密度!$L$2:$L$50)</f>
        <v>18278.4949008</v>
      </c>
      <c r="AD16" s="73" ph="1">
        <f>AD15*268.68*LOOKUP(AD17,密度!$A$2:$A$50,密度!B2:B50)+IF(AD15&lt;=0,0,1566*LOOKUP(AD17,密度!$A$2:$A$50,密度!B2:B50))</f>
        <v>18916.281757439996</v>
      </c>
      <c r="AE16" s="73" ph="1">
        <f>AE15*268.68*LOOKUP(AE17,密度!$A$2:$A$50,密度!B2:B50)+IF(AE15&lt;=0,0,1566*LOOKUP(AE17,密度!$A$2:$A$50,密度!B2:B50))</f>
        <v>10740.9436776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8" ph="1"/>
      <c r="C17" s="79" t="s" ph="1">
        <v>179</v>
      </c>
      <c r="D17" s="74">
        <v>21</v>
      </c>
      <c r="E17" s="74">
        <v>21</v>
      </c>
      <c r="F17" s="74">
        <v>22</v>
      </c>
      <c r="G17" s="74">
        <v>20</v>
      </c>
      <c r="H17" s="74">
        <v>15</v>
      </c>
      <c r="I17" s="74">
        <v>18</v>
      </c>
      <c r="J17" s="74">
        <v>21</v>
      </c>
      <c r="K17" s="74">
        <v>20</v>
      </c>
      <c r="L17" s="74">
        <v>21</v>
      </c>
      <c r="M17" s="74">
        <v>21</v>
      </c>
      <c r="N17" s="74">
        <v>20</v>
      </c>
      <c r="O17" s="74">
        <v>21</v>
      </c>
      <c r="P17" s="74">
        <v>22</v>
      </c>
      <c r="Q17" s="74">
        <v>21</v>
      </c>
      <c r="R17" s="74">
        <v>23</v>
      </c>
      <c r="S17" s="74">
        <v>20</v>
      </c>
      <c r="T17" s="74">
        <v>21</v>
      </c>
      <c r="U17" s="74">
        <v>18</v>
      </c>
      <c r="V17" s="74">
        <v>22</v>
      </c>
      <c r="W17" s="74">
        <v>22</v>
      </c>
      <c r="X17" s="74">
        <v>35</v>
      </c>
      <c r="Y17" s="108">
        <v>35</v>
      </c>
      <c r="Z17" s="74">
        <v>20</v>
      </c>
      <c r="AA17" s="74">
        <v>17</v>
      </c>
      <c r="AB17" s="74">
        <v>20</v>
      </c>
      <c r="AC17" s="74">
        <v>19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6" ph="1">
        <v>0.66666666666666663</v>
      </c>
      <c r="C18" s="79" t="s" ph="1">
        <v>180</v>
      </c>
      <c r="D18" s="71">
        <v>4345</v>
      </c>
      <c r="E18" s="71">
        <v>68</v>
      </c>
      <c r="F18" s="71">
        <v>1785</v>
      </c>
      <c r="G18" s="71">
        <v>1648</v>
      </c>
      <c r="H18" s="71">
        <v>0</v>
      </c>
      <c r="I18" s="71">
        <v>1611</v>
      </c>
      <c r="J18" s="71">
        <v>1444</v>
      </c>
      <c r="K18" s="71">
        <v>4966</v>
      </c>
      <c r="L18" s="71">
        <v>3593</v>
      </c>
      <c r="M18" s="71">
        <v>5657</v>
      </c>
      <c r="N18" s="71">
        <v>3707</v>
      </c>
      <c r="O18" s="71">
        <v>847</v>
      </c>
      <c r="P18" s="71">
        <v>7010</v>
      </c>
      <c r="Q18" s="71">
        <v>6023</v>
      </c>
      <c r="R18" s="71">
        <v>2556</v>
      </c>
      <c r="S18" s="71">
        <v>6174</v>
      </c>
      <c r="T18" s="71">
        <v>2572</v>
      </c>
      <c r="U18" s="71">
        <v>7035</v>
      </c>
      <c r="V18" s="71">
        <v>4914</v>
      </c>
      <c r="W18" s="71">
        <v>4297</v>
      </c>
      <c r="X18" s="71">
        <v>652</v>
      </c>
      <c r="Y18" s="109">
        <v>-9905</v>
      </c>
      <c r="Z18" s="71">
        <v>0</v>
      </c>
      <c r="AA18" s="71">
        <v>0</v>
      </c>
      <c r="AB18" s="71">
        <v>1091</v>
      </c>
      <c r="AC18" s="71">
        <v>2138</v>
      </c>
      <c r="AD18" s="71">
        <v>10.66</v>
      </c>
      <c r="AE18" s="71">
        <v>86.45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7" ph="1"/>
      <c r="C19" s="159" t="s" ph="1">
        <v>178</v>
      </c>
      <c r="D19" s="73" ph="1">
        <f>D18*7.0686*LOOKUP(D20,密度!$A$2:$A$50,密度!$L$2:$L$50)</f>
        <v>28839.569912999996</v>
      </c>
      <c r="E19" s="73" ph="1">
        <f>E18*7.0686*LOOKUP(E20,密度!$A$2:$A$50,密度!$L$2:$L$50)</f>
        <v>451.34424719999998</v>
      </c>
      <c r="F19" s="73" ph="1">
        <f>F18*9.0746*LOOKUP(F20,密度!$A$2:$A$50,密度!$L$2:$L$50)</f>
        <v>14934.704442</v>
      </c>
      <c r="G19" s="73" ph="1">
        <f>G18*9.0746*LOOKUP(G20,密度!$A$2:$A$50,密度!$B$2:$B$50)</f>
        <v>11699.25018784</v>
      </c>
      <c r="H19" s="73" ph="1">
        <f>H18*9.0746*LOOKUP(H20,密度!$A$2:$A$50,密度!$L$2:$L$50)</f>
        <v>0</v>
      </c>
      <c r="I19" s="73" ph="1">
        <f>I18*9.0746*LOOKUP(I20,密度!$A$2:$A$50,密度!$U$2:$U$50)</f>
        <v>15028.517656800001</v>
      </c>
      <c r="J19" s="73" ph="1">
        <f>J18*9.0746*LOOKUP(J20,密度!$A$2:$A$50,密度!$L$2:$L$50)</f>
        <v>12278.187888800001</v>
      </c>
      <c r="K19" s="73" ph="1">
        <f>K18*9.0746*LOOKUP(K20,密度!$A$2:$A$50,密度!$C$2:$C$50)</f>
        <v>50039.580381440006</v>
      </c>
      <c r="L19" s="73" ph="1">
        <f>L18*9.0746*LOOKUP(L20,密度!$A$2:$A$50,密度!$E$2:$E$50)</f>
        <v>25614.517695679999</v>
      </c>
      <c r="M19" s="73" ph="1">
        <f>M18*9.0746*LOOKUP(M20,密度!$A$2:$A$50,密度!$M$2:$M$50)</f>
        <v>45020.805699400007</v>
      </c>
      <c r="N19" s="73" ph="1">
        <f>N18*9.0746*LOOKUP(N20,密度!$A$2:$A$50,密度!$M$2:$M$50)</f>
        <v>29501.878509400001</v>
      </c>
      <c r="O19" s="73" ph="1">
        <f>O18*9.0746*LOOKUP(O20,密度!$A$2:$A$50,密度!$G$2:$G$50)</f>
        <v>7387.9621754400005</v>
      </c>
      <c r="P19" s="73" ph="1">
        <f ca="1">P18*9.0746*LOOKUP(P20,密度!$A$2:$A$51,密度!$Q$2:$Q$50)</f>
        <v>60224.920496040002</v>
      </c>
      <c r="Q19" s="73" ph="1">
        <f>Q18*9.0746*LOOKUP(Q20,密度!$A$2:$A$50,密度!$Q$2:$Q$50)</f>
        <v>51825.11864156001</v>
      </c>
      <c r="R19" s="73" ph="1">
        <f>MAX(R18*9.0746*LOOKUP(R20,密度!$A$2:$A$50,密度!$B$2:$B$50),0)</f>
        <v>18022.264495200001</v>
      </c>
      <c r="S19" s="73" ph="1">
        <f>S18*9.0746*LOOKUP(S20,密度!$A$2:$A$50,密度!$Q$2:$Q$50)</f>
        <v>53124.403535279998</v>
      </c>
      <c r="T19" s="73" ph="1">
        <f>T18*9.0746*LOOKUP(T20,密度!$A$2:$A$50,密度!$O$2:$O$50)</f>
        <v>21612.720731200003</v>
      </c>
      <c r="U19" s="73" ph="1">
        <f>U18*9.0746*LOOKUP(U20,密度!$A$2:$A$50,密度!$H$2:$H$50)</f>
        <v>58656.018346799996</v>
      </c>
      <c r="V19" s="73" ph="1">
        <f>MAX(5600*LOOKUP(V20,密度!$A$2:$A$50,密度!$Q$2:$Q$50)+V18*9.0476*LOOKUP(V20,密度!$A$2:$A$50,密度!$Q$2:$Q$50),0)</f>
        <v>47393.715785135995</v>
      </c>
      <c r="W19" s="73" ph="1">
        <f>MAX(5600*LOOKUP(W20,密度!$A$2:$A$50,密度!$Q$2:$Q$50)+W18*9.0476*LOOKUP(W20,密度!$A$2:$A$50,密度!$Q$2:$Q$50),0)</f>
        <v>42108.663568728</v>
      </c>
      <c r="X19" s="73" ph="1">
        <f>MAX(5600*LOOKUP(X20,密度!$A$2:$A$50,密度!$I$2:$I$50)+X18*9.0476*LOOKUP(X20,密度!$A$2:$A$50,密度!$I$2:$I$50),0)</f>
        <v>11818.708378560001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9256.8633410000002</v>
      </c>
      <c r="AC19" s="73" ph="1">
        <f>AC18*9.0746*LOOKUP(AC20,密度!$A$2:$A$50,密度!$L$2:$L$50)</f>
        <v>18237.405112</v>
      </c>
      <c r="AD19" s="73" ph="1">
        <f>AD18*268.68*LOOKUP(AD20,密度!$A$2:$A$50,密度!B5:B53)+IF(AD18&lt;=0,0,1566*LOOKUP(AD20,密度!$A$2:$A$50,密度!B5:B53))</f>
        <v>3442.2100775999997</v>
      </c>
      <c r="AE19" s="73" ph="1">
        <f>AE18*268.68*LOOKUP(AE20,密度!$A$2:$A$50,密度!B5:B53)+IF(AE18&lt;=0,0,1566*LOOKUP(AE20,密度!$A$2:$A$50,密度!B5:B53))</f>
        <v>19264.460922000002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7" ph="1"/>
      <c r="C20" s="80" t="s" ph="1">
        <v>179</v>
      </c>
      <c r="D20" s="81">
        <v>23</v>
      </c>
      <c r="E20" s="81">
        <v>23</v>
      </c>
      <c r="F20" s="81">
        <v>40</v>
      </c>
      <c r="G20" s="81">
        <v>22</v>
      </c>
      <c r="H20" s="81">
        <v>20</v>
      </c>
      <c r="I20" s="81">
        <v>21</v>
      </c>
      <c r="J20" s="81">
        <v>25</v>
      </c>
      <c r="K20" s="81">
        <v>23</v>
      </c>
      <c r="L20" s="81">
        <v>23</v>
      </c>
      <c r="M20" s="81">
        <v>23</v>
      </c>
      <c r="N20" s="81">
        <v>23</v>
      </c>
      <c r="O20" s="81">
        <v>24</v>
      </c>
      <c r="P20" s="81">
        <v>25</v>
      </c>
      <c r="Q20" s="81">
        <v>23</v>
      </c>
      <c r="R20" s="81">
        <v>28</v>
      </c>
      <c r="S20" s="81">
        <v>23</v>
      </c>
      <c r="T20" s="81">
        <v>26</v>
      </c>
      <c r="U20" s="81">
        <v>21</v>
      </c>
      <c r="V20" s="81">
        <v>25</v>
      </c>
      <c r="W20" s="81">
        <v>25</v>
      </c>
      <c r="X20" s="81">
        <v>38</v>
      </c>
      <c r="Y20" s="110">
        <v>38</v>
      </c>
      <c r="Z20" s="81">
        <v>28</v>
      </c>
      <c r="AA20" s="81">
        <v>23</v>
      </c>
      <c r="AB20" s="81">
        <v>27</v>
      </c>
      <c r="AC20" s="81">
        <v>22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28" t="s" ph="1">
        <v>640</v>
      </c>
      <c r="AA23" s="229"/>
      <c r="AB23" s="229"/>
      <c r="AC23" s="229"/>
      <c r="AD23" s="229"/>
      <c r="AE23" s="23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7" ph="1">
        <v>0.33333333333333331</v>
      </c>
      <c r="C24" s="159" t="s" ph="1">
        <v>177</v>
      </c>
      <c r="D24" s="71">
        <v>83.42</v>
      </c>
      <c r="E24" s="71">
        <v>5.73</v>
      </c>
      <c r="F24" s="71">
        <v>2191</v>
      </c>
      <c r="G24" s="71">
        <v>3125</v>
      </c>
      <c r="H24" s="71">
        <v>1183</v>
      </c>
      <c r="I24" s="71">
        <v>1530</v>
      </c>
      <c r="J24" s="71">
        <v>2951</v>
      </c>
      <c r="K24" s="71">
        <v>444</v>
      </c>
      <c r="L24" s="71">
        <v>5563</v>
      </c>
      <c r="M24" s="71">
        <v>2647</v>
      </c>
      <c r="N24" s="71">
        <v>4943</v>
      </c>
      <c r="O24" s="71">
        <v>3037</v>
      </c>
      <c r="P24" s="71">
        <v>370</v>
      </c>
      <c r="Q24" s="90">
        <v>2371</v>
      </c>
      <c r="R24" s="71">
        <v>4737</v>
      </c>
      <c r="S24" s="71">
        <v>3059</v>
      </c>
      <c r="T24" s="71">
        <v>1073</v>
      </c>
      <c r="U24" s="71">
        <v>5117</v>
      </c>
      <c r="V24" s="71">
        <v>8852</v>
      </c>
      <c r="W24" s="71">
        <v>7231</v>
      </c>
      <c r="X24" s="71">
        <v>2684</v>
      </c>
      <c r="Y24" s="71">
        <v>1531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7" ph="1"/>
      <c r="C25" s="68" t="s" ph="1">
        <v>178</v>
      </c>
      <c r="D25" s="91" ph="1">
        <f>D24*268.68*LOOKUP(D26,密度!$A$2:$A$50,密度!$Q$2:$Q$50)+IF(D24&lt;=0,0,1566*LOOKUP(D26,密度!$A$2:$A$50,密度!$Q$2:$Q$50))</f>
        <v>22702.148848944002</v>
      </c>
      <c r="E25" s="91" ph="1">
        <f>E24*268.68*LOOKUP(E26,密度!$A$2:$A$50,密度!$C$2:$C$50)+IF(E24&lt;=0,0,1566*LOOKUP(E26,密度!$A$2:$A$50,密度!$C$2:$C$50))</f>
        <v>3443.7293139600001</v>
      </c>
      <c r="F25" s="91" ph="1">
        <f>F24*11.702*LOOKUP(F26,密度!$A$2:$A$50,密度!$Q$2:$Q$50)</f>
        <v>24349.179784579999</v>
      </c>
      <c r="G25" s="91" ph="1">
        <f>G24*18.322*LOOKUP(G26,密度!$A$2:$A$50,密度!$B$2:$B$50)</f>
        <v>44894.625625000001</v>
      </c>
      <c r="H25" s="91" ph="1">
        <f>H24*18.322*LOOKUP(H26,密度!$A$2:$A$50,密度!$B$2:$B$50)</f>
        <v>17029.989358199997</v>
      </c>
      <c r="I25" s="91" ph="1">
        <f>I24*18.322*LOOKUP(I26,密度!$A$2:$A$50,密度!$Q$2:$Q$50)</f>
        <v>26687.372646600001</v>
      </c>
      <c r="J25" s="91" ph="1">
        <f>J24*18.322*LOOKUP(J26,密度!$A$2:$A$50,密度!$Q$2:$Q$50)</f>
        <v>51385.356824359995</v>
      </c>
      <c r="K25" s="91" ph="1">
        <f>K24*18.322*LOOKUP(K26,密度!$A$2:$A$50,密度!$Q$2:$Q$50)</f>
        <v>7738.22561064</v>
      </c>
      <c r="L25" s="91" ph="1">
        <f>L24*18.322*LOOKUP(L26,密度!$A$2:$A$50,密度!$Q$2:$Q$50)</f>
        <v>97033.891524859995</v>
      </c>
      <c r="M25" s="91" ph="1">
        <f>M24*18.322*LOOKUP(M26,密度!$A$2:$A$50,密度!$Q$2:$Q$50)</f>
        <v>46058.382816459998</v>
      </c>
      <c r="N25" s="91" ph="1">
        <f>N24*18.322*LOOKUP(N26,密度!$A$2:$A$50,密度!$Q$2:$Q$50)</f>
        <v>86071.778645479993</v>
      </c>
      <c r="O25" s="91" ph="1">
        <f>O24*18.322*LOOKUP(O26,密度!$A$2:$A$50,密度!$C$2:$C$50)</f>
        <v>61909.418716399996</v>
      </c>
      <c r="P25" s="91" ph="1">
        <f>P24*11.702*LOOKUP(P26,密度!$A$2:$A$50,密度!$B$2:$B$50)</f>
        <v>3394.949134</v>
      </c>
      <c r="Q25" s="92" ph="1">
        <f>Q24*18.322*LOOKUP(Q26,密度!$A$2:$A$50,密度!$B$2:$B$50)</f>
        <v>34062.450354200002</v>
      </c>
      <c r="R25" s="91" ph="1">
        <f>R24*35.891*LOOKUP(R26,密度!$A$2:$A$50,密度!$C$2:$C$50)</f>
        <v>189040.42013730001</v>
      </c>
      <c r="S25" s="91" ph="1">
        <f>S24*35.891*LOOKUP(S26,密度!$A$2:$A$50,密度!$B$2:$B$50)</f>
        <v>85987.973640799988</v>
      </c>
      <c r="T25" s="91" ph="1">
        <f>T24*35.891*LOOKUP(T26,密度!$A$2:$A$50,密度!$Q$2:$Q$50)</f>
        <v>36600.125046339999</v>
      </c>
      <c r="U25" s="91" ph="1">
        <f>U24*35.891</f>
        <v>183654.247</v>
      </c>
      <c r="V25" s="91" ph="1">
        <f>V24*47.051*LOOKUP(V26,密度!$A$2:$A$50,密度!$B$2:$B$50)</f>
        <v>326574.08391320001</v>
      </c>
      <c r="W25" s="91" ph="1">
        <f>W24*47.051*LOOKUP(W26,密度!$A$2:$A$50,密度!$B$2:$B$50)</f>
        <v>266158.62847629999</v>
      </c>
      <c r="X25" s="91" ph="1">
        <f>X24*47.051*LOOKUP(X26,密度!$A$2:$A$61,密度!$I$2:$I$61)</f>
        <v>127812.9310964</v>
      </c>
      <c r="Y25" s="91" ph="1">
        <f>Y24*47.051*LOOKUP(Y26,密度!$A$2:$A$50,密度!$L$2:$L$50)</f>
        <v>67712.976139999999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7" ph="1"/>
      <c r="C26" s="68" t="s" ph="1">
        <v>179</v>
      </c>
      <c r="D26" s="74">
        <v>25</v>
      </c>
      <c r="E26" s="74">
        <v>25</v>
      </c>
      <c r="F26" s="74">
        <v>21</v>
      </c>
      <c r="G26" s="74">
        <v>20</v>
      </c>
      <c r="H26" s="74">
        <v>18</v>
      </c>
      <c r="I26" s="74">
        <v>18</v>
      </c>
      <c r="J26" s="74">
        <v>20</v>
      </c>
      <c r="K26" s="74">
        <v>19</v>
      </c>
      <c r="L26" s="74">
        <v>18</v>
      </c>
      <c r="M26" s="74">
        <v>21</v>
      </c>
      <c r="N26" s="74">
        <v>20</v>
      </c>
      <c r="O26" s="74">
        <v>20</v>
      </c>
      <c r="P26" s="74">
        <v>20</v>
      </c>
      <c r="Q26" s="93">
        <v>20</v>
      </c>
      <c r="R26" s="74">
        <v>21</v>
      </c>
      <c r="S26" s="74">
        <v>21</v>
      </c>
      <c r="T26" s="74">
        <v>20</v>
      </c>
      <c r="U26" s="74">
        <v>21</v>
      </c>
      <c r="V26" s="74">
        <v>20</v>
      </c>
      <c r="W26" s="74">
        <v>22</v>
      </c>
      <c r="X26" s="74">
        <v>52</v>
      </c>
      <c r="Y26" s="74">
        <v>22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7" ph="1">
        <v>0.66666666666666663</v>
      </c>
      <c r="C27" s="159" t="s" ph="1">
        <v>180</v>
      </c>
      <c r="D27" s="71">
        <v>83.58</v>
      </c>
      <c r="E27" s="71">
        <v>5.72</v>
      </c>
      <c r="F27" s="71">
        <v>815</v>
      </c>
      <c r="G27" s="71">
        <v>2638</v>
      </c>
      <c r="H27" s="71">
        <v>1496</v>
      </c>
      <c r="I27" s="71">
        <v>1530</v>
      </c>
      <c r="J27" s="71">
        <v>2950</v>
      </c>
      <c r="K27" s="71">
        <v>441</v>
      </c>
      <c r="L27" s="71">
        <v>5562</v>
      </c>
      <c r="M27" s="71">
        <v>2646</v>
      </c>
      <c r="N27" s="71">
        <v>4943</v>
      </c>
      <c r="O27" s="71">
        <v>3034</v>
      </c>
      <c r="P27" s="71">
        <v>367</v>
      </c>
      <c r="Q27" s="90">
        <v>2723</v>
      </c>
      <c r="R27" s="71">
        <v>4734</v>
      </c>
      <c r="S27" s="71">
        <v>3058</v>
      </c>
      <c r="T27" s="71">
        <v>1072</v>
      </c>
      <c r="U27" s="71">
        <v>5103</v>
      </c>
      <c r="V27" s="71">
        <v>8858</v>
      </c>
      <c r="W27" s="71">
        <v>7235</v>
      </c>
      <c r="X27" s="71">
        <v>3291</v>
      </c>
      <c r="Y27" s="71">
        <v>2247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7" ph="1"/>
      <c r="C28" s="159" t="s" ph="1">
        <v>178</v>
      </c>
      <c r="D28" s="91" ph="1">
        <f>D27*268.68*LOOKUP(D29,密度!$A$2:$A$50,密度!$Q$2:$Q$50)+IF(D27&lt;=0,0,1566*LOOKUP(D29,密度!$A$2:$A$50,密度!$Q$2:$Q$50))</f>
        <v>22742.848065456001</v>
      </c>
      <c r="E28" s="91" ph="1">
        <f>E27*268.68*LOOKUP(E29,密度!$A$2:$A$50,密度!$C$2:$C$50)+IF(E27&lt;=0,0,1566*LOOKUP(E29,密度!$A$2:$A$50,密度!$C$2:$C$50))</f>
        <v>3440.74992144</v>
      </c>
      <c r="F28" s="91" ph="1">
        <f>F27*11.702*LOOKUP(F29,密度!$A$2:$A$50,密度!$Q$2:$Q$50)</f>
        <v>9043.1066659999997</v>
      </c>
      <c r="G28" s="91" ph="1">
        <f>G27*18.322*LOOKUP(G29,密度!$A$2:$A$50,密度!$B$2:$B$50)</f>
        <v>37767.746890399998</v>
      </c>
      <c r="H28" s="91" ph="1">
        <f>H27*18.322*LOOKUP(H29,密度!$A$2:$A$50,密度!$B$2:$B$50)</f>
        <v>21442.617697599999</v>
      </c>
      <c r="I28" s="91" ph="1">
        <f>I27*18.322*LOOKUP(I29,密度!$A$2:$A$50,密度!$Q$2:$Q$50)</f>
        <v>26605.517279399999</v>
      </c>
      <c r="J28" s="91" ph="1">
        <f>J27*18.322*LOOKUP(J29,密度!$A$2:$A$50,密度!$Q$2:$Q$50)</f>
        <v>51298.219590999994</v>
      </c>
      <c r="K28" s="91" ph="1">
        <f>K27*18.322*LOOKUP(K29,密度!$A$2:$A$50,密度!$Q$2:$Q$50)</f>
        <v>7668.6490981799998</v>
      </c>
      <c r="L28" s="91" ph="1">
        <f>L27*18.322*LOOKUP(L29,密度!$A$2:$A$50,密度!$Q$2:$Q$50)</f>
        <v>96936.961365719995</v>
      </c>
      <c r="M28" s="91" ph="1">
        <f>M27*18.322*LOOKUP(M29,密度!$A$2:$A$50,密度!$Q$2:$Q$50)</f>
        <v>46040.982596279995</v>
      </c>
      <c r="N28" s="91" ph="1">
        <f>N27*18.322*LOOKUP(N29,密度!$A$2:$A$50,密度!$Q$2:$Q$50)</f>
        <v>86009.288349740003</v>
      </c>
      <c r="O28" s="91" ph="1">
        <f>O27*18.322*LOOKUP(O29,密度!$A$2:$A$50,密度!$C$2:$C$50)</f>
        <v>61764.880122799994</v>
      </c>
      <c r="P28" s="91" ph="1">
        <f>P27*11.702*LOOKUP(P29,密度!$A$2:$A$50,密度!$B$2:$B$50)</f>
        <v>3344.2314957999997</v>
      </c>
      <c r="Q28" s="92" ph="1">
        <f>Q27*18.322*LOOKUP(Q29,密度!$A$2:$A$50,密度!$B$2:$B$50)</f>
        <v>39119.3809846</v>
      </c>
      <c r="R28" s="91" ph="1">
        <f>R27*35.891*LOOKUP(R29,密度!$A$2:$A$50,密度!$C$2:$C$50)</f>
        <v>188920.69852860001</v>
      </c>
      <c r="S28" s="91" ph="1">
        <f>S27*35.891*LOOKUP(S29,密度!$A$2:$A$50,密度!$B$2:$B$50)</f>
        <v>85762.305389200003</v>
      </c>
      <c r="T28" s="91" ph="1">
        <f>T27*35.891*LOOKUP(T29,密度!$A$2:$A$50,密度!$Q$2:$Q$50)</f>
        <v>36482.139126399998</v>
      </c>
      <c r="U28" s="91" ph="1">
        <f>U27*35.891</f>
        <v>183151.77299999999</v>
      </c>
      <c r="V28" s="91" ph="1">
        <f>V27*47.051*LOOKUP(V29,密度!$A$2:$A$50,密度!$B$2:$B$50)</f>
        <v>326045.24008340004</v>
      </c>
      <c r="W28" s="91" ph="1">
        <f>W27*47.051*LOOKUP(W29,密度!$A$2:$A$50,密度!$B$2:$B$50)</f>
        <v>265999.48787899996</v>
      </c>
      <c r="X28" s="91" ph="1">
        <f>X27*47.051*LOOKUP(X29,密度!$A$2:$A$61,密度!$I$2:$I$61)</f>
        <v>159319.85690489999</v>
      </c>
      <c r="Y28" s="91" ph="1">
        <f>Y27*47.051*LOOKUP(Y29,密度!$A$2:$A$50,密度!$L$2:$L$50)</f>
        <v>98745.83959800002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7" ph="1"/>
      <c r="C29" s="159" t="s" ph="1">
        <v>179</v>
      </c>
      <c r="D29" s="74">
        <v>25</v>
      </c>
      <c r="E29" s="74">
        <v>25</v>
      </c>
      <c r="F29" s="74">
        <v>23</v>
      </c>
      <c r="G29" s="74">
        <v>23</v>
      </c>
      <c r="H29" s="74">
        <v>22</v>
      </c>
      <c r="I29" s="74">
        <v>22</v>
      </c>
      <c r="J29" s="74">
        <v>22</v>
      </c>
      <c r="K29" s="74">
        <v>22</v>
      </c>
      <c r="L29" s="74">
        <v>19</v>
      </c>
      <c r="M29" s="74">
        <v>21</v>
      </c>
      <c r="N29" s="74">
        <v>21</v>
      </c>
      <c r="O29" s="74">
        <v>22</v>
      </c>
      <c r="P29" s="74">
        <v>26</v>
      </c>
      <c r="Q29" s="93">
        <v>20</v>
      </c>
      <c r="R29" s="74">
        <v>21</v>
      </c>
      <c r="S29" s="74">
        <v>23</v>
      </c>
      <c r="T29" s="74">
        <v>23</v>
      </c>
      <c r="U29" s="74">
        <v>20</v>
      </c>
      <c r="V29" s="74">
        <v>22</v>
      </c>
      <c r="W29" s="74">
        <v>23</v>
      </c>
      <c r="X29" s="74">
        <v>37</v>
      </c>
      <c r="Y29" s="74">
        <v>28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59" t="s" ph="1">
        <v>5</v>
      </c>
      <c r="F32" s="160" t="s" ph="1">
        <v>43</v>
      </c>
      <c r="G32" s="97" t="s" ph="1">
        <v>4</v>
      </c>
      <c r="H32" s="159" t="s" ph="1">
        <v>5</v>
      </c>
      <c r="I32" s="160" t="s" ph="1">
        <v>43</v>
      </c>
      <c r="J32" s="97" t="s" ph="1">
        <v>4</v>
      </c>
      <c r="K32" s="159" t="s" ph="1">
        <v>5</v>
      </c>
      <c r="L32" s="160" t="s" ph="1">
        <v>43</v>
      </c>
      <c r="M32" s="97" t="s" ph="1">
        <v>4</v>
      </c>
      <c r="N32" s="159" t="s" ph="1">
        <v>5</v>
      </c>
      <c r="O32" s="160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9" t="s" ph="1">
        <v>5</v>
      </c>
      <c r="U32" s="99" t="s" ph="1">
        <v>43</v>
      </c>
      <c r="V32" s="97" t="s" ph="1">
        <v>4</v>
      </c>
      <c r="W32" s="159" t="s" ph="1">
        <v>5</v>
      </c>
      <c r="X32" s="99" t="s" ph="1">
        <v>43</v>
      </c>
      <c r="Y32" s="100" t="s" ph="1">
        <v>4</v>
      </c>
      <c r="Z32" s="159" t="s" ph="1">
        <v>5</v>
      </c>
      <c r="AA32" s="160" t="s" ph="1">
        <v>43</v>
      </c>
      <c r="AB32" s="97" t="s" ph="1">
        <v>85</v>
      </c>
      <c r="AC32" s="159" t="s" ph="1">
        <v>84</v>
      </c>
      <c r="AD32" s="204" t="s" ph="1">
        <v>83</v>
      </c>
      <c r="AE32" s="20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6" t="s" ph="1">
        <v>181</v>
      </c>
      <c r="C33" s="207" ph="1"/>
      <c r="D33" s="186" ph="1">
        <f>AA10+AB10+Z19</f>
        <v>121535.6715294</v>
      </c>
      <c r="E33" s="186" ph="1">
        <f>M10+I10</f>
        <v>130861.88525400002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[[#This Row],[F25]]</f>
        <v>3880</v>
      </c>
      <c r="G33" s="212" ph="1">
        <v>0</v>
      </c>
      <c r="H33" s="186" ph="1">
        <f>N19</f>
        <v>29501.878509400001</v>
      </c>
      <c r="I33" s="190" ph="1">
        <v>0</v>
      </c>
      <c r="J33" s="194" ph="1">
        <f>F10+O28</f>
        <v>207879.22896469996</v>
      </c>
      <c r="K33" s="186" ph="1">
        <f>O10+K10+E28+R28</f>
        <v>245606.16211484</v>
      </c>
      <c r="L33" s="196" ph="1">
        <f>BE27</f>
        <v>7100</v>
      </c>
      <c r="M33" s="194" ph="1">
        <f>G10+H10+W28+S28+V28+E10</f>
        <v>749772.02264860005</v>
      </c>
      <c r="N33" s="186" ph="1">
        <f>L10+P10++G28+H28</f>
        <v>152698.11610300001</v>
      </c>
      <c r="O33" s="190" ph="1">
        <f>BE17</f>
        <v>2270</v>
      </c>
      <c r="P33" s="194" ph="1">
        <f>L19</f>
        <v>25614.517695679999</v>
      </c>
      <c r="Q33" s="186" ph="1">
        <f>J10+N10</f>
        <v>27356.186806400001</v>
      </c>
      <c r="R33" s="190" ph="1">
        <f>BE23</f>
        <v>890</v>
      </c>
      <c r="S33" s="194" ph="1">
        <f>E10+X28</f>
        <v>192538.92905489999</v>
      </c>
      <c r="T33" s="186" ph="1">
        <f>X19</f>
        <v>11818.708378560001</v>
      </c>
      <c r="U33" s="175" ph="1">
        <f>BE21</f>
        <v>730</v>
      </c>
      <c r="V33" s="188" ph="1">
        <f ca="1">P19+Q19+S19+M28+N28+J28</f>
        <v>348522.93320990005</v>
      </c>
      <c r="W33" s="188" ph="1">
        <f>D28+F28+V19+T28</f>
        <v>115661.809642992</v>
      </c>
      <c r="X33" s="190" ph="1">
        <f>BE29+BE31</f>
        <v>10200</v>
      </c>
      <c r="Y33" s="192" ph="1">
        <f>+Q10+R10+S10+T10+U10+V10+W10+X10+Y10</f>
        <v>311413.16010419989</v>
      </c>
      <c r="Z33" s="173" ph="1">
        <f>D10+T19+U19+Y28+Z10</f>
        <v>433667.2158229301</v>
      </c>
      <c r="AA33" s="175" ph="1">
        <f>BE19</f>
        <v>1440</v>
      </c>
      <c r="AB33" s="177" ph="1">
        <f>I19</f>
        <v>15028.517656800001</v>
      </c>
      <c r="AC33" s="179" ph="1">
        <f>AD10</f>
        <v>94130.589760000003</v>
      </c>
      <c r="AD33" s="181" ph="1">
        <v>0</v>
      </c>
      <c r="AE33" s="18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5" t="s" ph="1">
        <v>633</v>
      </c>
      <c r="AD35" s="185"/>
      <c r="AE35" s="18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1" t="s" ph="1">
        <v>183</v>
      </c>
      <c r="J36" s="171" ph="1"/>
      <c r="K36" s="101" ph="1"/>
      <c r="P36" s="101" ph="1"/>
      <c r="R36" s="171" t="s" ph="1">
        <v>184</v>
      </c>
      <c r="S36" s="171" ph="1"/>
      <c r="Y36" s="102" ph="1"/>
      <c r="Z36" s="161" t="s" ph="1">
        <v>185</v>
      </c>
      <c r="AA36" s="161" ph="1"/>
      <c r="AB36" s="172" t="s" ph="1">
        <v>642</v>
      </c>
      <c r="AC36" s="172" ph="1"/>
      <c r="AD36" s="172" ph="1"/>
      <c r="AE36" s="172" ph="1"/>
      <c r="BA36" s="64" ph="1">
        <v>2270</v>
      </c>
    </row>
    <row r="37" spans="1:57" s="161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1" t="s" ph="1">
        <v>342</v>
      </c>
      <c r="AI37" s="161" t="s" ph="1">
        <v>209</v>
      </c>
      <c r="AJ37" s="161" t="s" ph="1">
        <v>210</v>
      </c>
      <c r="AK37" s="161" t="s" ph="1">
        <v>211</v>
      </c>
      <c r="AM37" s="161" t="s" ph="1">
        <v>210</v>
      </c>
      <c r="AN37" s="161" t="s" ph="1">
        <v>211</v>
      </c>
      <c r="AO37" s="161" t="s" ph="1">
        <v>212</v>
      </c>
      <c r="AP37" s="161" t="s" ph="1">
        <v>210</v>
      </c>
      <c r="AQ37" s="161" t="s" ph="1">
        <v>211</v>
      </c>
      <c r="AR37" s="161" t="s" ph="1">
        <v>212</v>
      </c>
      <c r="AS37" s="161" t="s" ph="1">
        <v>210</v>
      </c>
      <c r="AT37" s="161" t="s" ph="1">
        <v>211</v>
      </c>
      <c r="AU37" s="161" t="s" ph="1">
        <v>212</v>
      </c>
      <c r="AV37" s="161" t="s" ph="1">
        <v>210</v>
      </c>
      <c r="AW37" s="161" t="s" ph="1">
        <v>211</v>
      </c>
      <c r="AX37" s="161" t="s" ph="1">
        <v>212</v>
      </c>
      <c r="AY37" s="161" t="s" ph="1">
        <v>211</v>
      </c>
      <c r="AZ37" s="161" t="s" ph="1">
        <v>213</v>
      </c>
      <c r="BD37" s="161" t="s" ph="1">
        <v>305</v>
      </c>
      <c r="BE37" s="161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639" priority="98">
      <formula>ABS(D$7-D$10)&gt;=1000</formula>
    </cfRule>
  </conditionalFormatting>
  <conditionalFormatting sqref="E4 E6:E11">
    <cfRule type="expression" dxfId="638" priority="97">
      <formula>ABS(E$7-E$10)&gt;=1000</formula>
    </cfRule>
  </conditionalFormatting>
  <conditionalFormatting sqref="F4:F11">
    <cfRule type="expression" dxfId="637" priority="96">
      <formula>ABS(F$7-F$10)&gt;=1000</formula>
    </cfRule>
  </conditionalFormatting>
  <conditionalFormatting sqref="G4:G11">
    <cfRule type="expression" dxfId="636" priority="95">
      <formula>ABS(G$7-G$10)&gt;=1000</formula>
    </cfRule>
  </conditionalFormatting>
  <conditionalFormatting sqref="H4:H11">
    <cfRule type="expression" dxfId="635" priority="94">
      <formula>ABS(H$7-H$10)&gt;=1000</formula>
    </cfRule>
  </conditionalFormatting>
  <conditionalFormatting sqref="I4:I11">
    <cfRule type="expression" dxfId="634" priority="93">
      <formula>ABS(I$7-I$10)&gt;=1000</formula>
    </cfRule>
  </conditionalFormatting>
  <conditionalFormatting sqref="J4:J11">
    <cfRule type="expression" dxfId="633" priority="92">
      <formula>ABS(J$7-J$10)&gt;=1000</formula>
    </cfRule>
  </conditionalFormatting>
  <conditionalFormatting sqref="K4:K11">
    <cfRule type="expression" dxfId="632" priority="91">
      <formula>ABS(K$7-K$10)&gt;=1000</formula>
    </cfRule>
  </conditionalFormatting>
  <conditionalFormatting sqref="L4:L11">
    <cfRule type="expression" dxfId="631" priority="90">
      <formula>ABS(L$7-L$10)&gt;=1000</formula>
    </cfRule>
  </conditionalFormatting>
  <conditionalFormatting sqref="M4 M6:M11">
    <cfRule type="expression" dxfId="630" priority="89">
      <formula>ABS(M$7-M$10)&gt;=1000</formula>
    </cfRule>
  </conditionalFormatting>
  <conditionalFormatting sqref="N4 N6:N11">
    <cfRule type="expression" dxfId="629" priority="88">
      <formula>ABS(N$7-N$10)&gt;=1000</formula>
    </cfRule>
  </conditionalFormatting>
  <conditionalFormatting sqref="O4 O6:O11">
    <cfRule type="expression" dxfId="628" priority="87">
      <formula>ABS(O$7-O$10)&gt;=1000</formula>
    </cfRule>
  </conditionalFormatting>
  <conditionalFormatting sqref="P4 P6:P11">
    <cfRule type="expression" dxfId="627" priority="86">
      <formula>ABS(P$7-P$10)&gt;=1000</formula>
    </cfRule>
  </conditionalFormatting>
  <conditionalFormatting sqref="Q4:Q11">
    <cfRule type="expression" dxfId="626" priority="85">
      <formula>ABS(Q$7-Q$10)&gt;=1000</formula>
    </cfRule>
  </conditionalFormatting>
  <conditionalFormatting sqref="R4:R11">
    <cfRule type="expression" dxfId="625" priority="84">
      <formula>ABS(R$7-R$10)&gt;=1000</formula>
    </cfRule>
  </conditionalFormatting>
  <conditionalFormatting sqref="S4:S11">
    <cfRule type="expression" dxfId="624" priority="83">
      <formula>ABS(S$7-S$10)&gt;=1000</formula>
    </cfRule>
  </conditionalFormatting>
  <conditionalFormatting sqref="T4:T9 T11">
    <cfRule type="expression" dxfId="623" priority="82">
      <formula>ABS(T$7-T$10)&gt;=1000</formula>
    </cfRule>
  </conditionalFormatting>
  <conditionalFormatting sqref="U4:U9 U11">
    <cfRule type="expression" dxfId="622" priority="81">
      <formula>ABS(U$7-U$10)&gt;=1000</formula>
    </cfRule>
  </conditionalFormatting>
  <conditionalFormatting sqref="V4:V9 V11">
    <cfRule type="expression" dxfId="621" priority="80">
      <formula>ABS(V$7-V$10)&gt;=1000</formula>
    </cfRule>
  </conditionalFormatting>
  <conditionalFormatting sqref="W4:W9 W11">
    <cfRule type="expression" dxfId="620" priority="79">
      <formula>ABS(W$7-W$10)&gt;=1000</formula>
    </cfRule>
  </conditionalFormatting>
  <conditionalFormatting sqref="X4:X9 X11">
    <cfRule type="expression" dxfId="619" priority="78">
      <formula>ABS(X$7-X$10)&gt;=1000</formula>
    </cfRule>
  </conditionalFormatting>
  <conditionalFormatting sqref="Y4:Y9 Y11">
    <cfRule type="expression" dxfId="618" priority="77">
      <formula>ABS(Y$7-Y$10)&gt;=1000</formula>
    </cfRule>
  </conditionalFormatting>
  <conditionalFormatting sqref="Z4:Z11">
    <cfRule type="expression" dxfId="617" priority="76">
      <formula>ABS(Z$7-Z$10)&gt;=1000</formula>
    </cfRule>
  </conditionalFormatting>
  <conditionalFormatting sqref="AA4:AA11">
    <cfRule type="expression" dxfId="616" priority="75">
      <formula>ABS(AA$7-AA$10)&gt;=1000</formula>
    </cfRule>
  </conditionalFormatting>
  <conditionalFormatting sqref="AB4:AB11">
    <cfRule type="expression" dxfId="615" priority="74">
      <formula>ABS(AB$7-AB$10)&gt;=1000</formula>
    </cfRule>
  </conditionalFormatting>
  <conditionalFormatting sqref="AC4 AC6:AC11">
    <cfRule type="expression" dxfId="614" priority="73">
      <formula>ABS(AC$7-AC$10)&gt;=1000</formula>
    </cfRule>
  </conditionalFormatting>
  <conditionalFormatting sqref="AD4:AD11">
    <cfRule type="expression" dxfId="613" priority="72">
      <formula>ABS(AD$7-AD$10)&gt;=1000</formula>
    </cfRule>
  </conditionalFormatting>
  <conditionalFormatting sqref="AE4 AE6:AE11">
    <cfRule type="expression" dxfId="612" priority="71">
      <formula>ABS(AE$7-AE$10)&gt;=1000</formula>
    </cfRule>
  </conditionalFormatting>
  <conditionalFormatting sqref="D13:D20">
    <cfRule type="expression" dxfId="611" priority="70">
      <formula>ABS(D$16-D$19)&gt;=1000</formula>
    </cfRule>
  </conditionalFormatting>
  <conditionalFormatting sqref="E13:E20">
    <cfRule type="expression" dxfId="610" priority="69">
      <formula>ABS(E$16-E$19)&gt;=1000</formula>
    </cfRule>
  </conditionalFormatting>
  <conditionalFormatting sqref="F13 F15:F20">
    <cfRule type="expression" dxfId="609" priority="68">
      <formula>ABS(F$16-F$19)&gt;=1000</formula>
    </cfRule>
  </conditionalFormatting>
  <conditionalFormatting sqref="G13:G20">
    <cfRule type="expression" dxfId="608" priority="67">
      <formula>ABS(G$16-G$19)&gt;=1000</formula>
    </cfRule>
  </conditionalFormatting>
  <conditionalFormatting sqref="H13:H20">
    <cfRule type="expression" dxfId="607" priority="66">
      <formula>ABS(H$16-H$19)&gt;=1000</formula>
    </cfRule>
  </conditionalFormatting>
  <conditionalFormatting sqref="I13:I20">
    <cfRule type="expression" dxfId="606" priority="65">
      <formula>ABS(I$16-I$19)&gt;=1000</formula>
    </cfRule>
  </conditionalFormatting>
  <conditionalFormatting sqref="J13:J20">
    <cfRule type="expression" dxfId="605" priority="64">
      <formula>ABS(J$16-J$19)&gt;=1000</formula>
    </cfRule>
  </conditionalFormatting>
  <conditionalFormatting sqref="L13:L20">
    <cfRule type="expression" dxfId="604" priority="63">
      <formula>ABS(L$16-L$19)&gt;=1000</formula>
    </cfRule>
  </conditionalFormatting>
  <conditionalFormatting sqref="M13 M15 M17:M18 M20">
    <cfRule type="expression" dxfId="603" priority="62">
      <formula>ABS(M$16-M$19)&gt;=1000</formula>
    </cfRule>
  </conditionalFormatting>
  <conditionalFormatting sqref="N13:N20">
    <cfRule type="expression" dxfId="602" priority="61">
      <formula>ABS(N$16-N$19)&gt;=1000</formula>
    </cfRule>
  </conditionalFormatting>
  <conditionalFormatting sqref="O13:O20">
    <cfRule type="expression" dxfId="601" priority="60">
      <formula>ABS(O$16-O$19)&gt;=1000</formula>
    </cfRule>
  </conditionalFormatting>
  <conditionalFormatting sqref="P13:P20">
    <cfRule type="expression" dxfId="600" priority="59">
      <formula>ABS(P$16-P$19)&gt;=1000</formula>
    </cfRule>
  </conditionalFormatting>
  <conditionalFormatting sqref="Q13 Q15:Q20">
    <cfRule type="expression" dxfId="599" priority="58">
      <formula>ABS(Q$16-Q$19)&gt;=1000</formula>
    </cfRule>
  </conditionalFormatting>
  <conditionalFormatting sqref="R13:R20">
    <cfRule type="expression" dxfId="598" priority="57">
      <formula>ABS(R$16-R$19)&gt;=1000</formula>
    </cfRule>
  </conditionalFormatting>
  <conditionalFormatting sqref="S13:S20">
    <cfRule type="expression" dxfId="597" priority="56">
      <formula>ABS(S$16-S$19)&gt;=1000</formula>
    </cfRule>
  </conditionalFormatting>
  <conditionalFormatting sqref="T13:T20">
    <cfRule type="expression" dxfId="596" priority="55">
      <formula>ABS(T$16-T$19)&gt;=1000</formula>
    </cfRule>
  </conditionalFormatting>
  <conditionalFormatting sqref="U13:U20">
    <cfRule type="expression" dxfId="595" priority="54">
      <formula>ABS(U$16-U$19)&gt;=1000</formula>
    </cfRule>
  </conditionalFormatting>
  <conditionalFormatting sqref="V13:V20">
    <cfRule type="expression" dxfId="594" priority="53">
      <formula>ABS(V$16-V$19)&gt;=1000</formula>
    </cfRule>
  </conditionalFormatting>
  <conditionalFormatting sqref="W13 W20 W15:W18">
    <cfRule type="expression" dxfId="593" priority="52">
      <formula>ABS(W$16-W$19)&gt;=1000</formula>
    </cfRule>
  </conditionalFormatting>
  <conditionalFormatting sqref="X13 X15:X20 Y19">
    <cfRule type="expression" dxfId="592" priority="51">
      <formula>ABS(X$16-X$19)&gt;=1000</formula>
    </cfRule>
  </conditionalFormatting>
  <conditionalFormatting sqref="Y13 Y15:Y18 Y20">
    <cfRule type="expression" dxfId="591" priority="50">
      <formula>ABS(Y$16-Y$19)&gt;=1000</formula>
    </cfRule>
  </conditionalFormatting>
  <conditionalFormatting sqref="Z13:Z20">
    <cfRule type="expression" dxfId="590" priority="49">
      <formula>ABS(Z$16-Z$19)&gt;=1000</formula>
    </cfRule>
  </conditionalFormatting>
  <conditionalFormatting sqref="AA13:AA20">
    <cfRule type="expression" dxfId="589" priority="48">
      <formula>ABS(AA$16-AA$19)&gt;=1000</formula>
    </cfRule>
  </conditionalFormatting>
  <conditionalFormatting sqref="AB13 AB15:AB20">
    <cfRule type="expression" dxfId="588" priority="47">
      <formula>ABS(AB$16-AB$19)&gt;=1000</formula>
    </cfRule>
  </conditionalFormatting>
  <conditionalFormatting sqref="AC13 AC15:AC20">
    <cfRule type="expression" dxfId="587" priority="46">
      <formula>ABS(AC$16-AC$19)&gt;=1000</formula>
    </cfRule>
  </conditionalFormatting>
  <conditionalFormatting sqref="AD13:AD20">
    <cfRule type="expression" dxfId="586" priority="45">
      <formula>ABS(AD$16-AD$19)&gt;=1000</formula>
    </cfRule>
  </conditionalFormatting>
  <conditionalFormatting sqref="AE13:AE20">
    <cfRule type="expression" dxfId="585" priority="44">
      <formula>ABS(AE$16-AE$19)&gt;=1000</formula>
    </cfRule>
  </conditionalFormatting>
  <conditionalFormatting sqref="D22:D29">
    <cfRule type="expression" dxfId="584" priority="43">
      <formula>ABS(D$25-D$28)&gt;=1000</formula>
    </cfRule>
  </conditionalFormatting>
  <conditionalFormatting sqref="E22:E29">
    <cfRule type="expression" dxfId="583" priority="42">
      <formula>ABS(E$25-E$28)&gt;=1000</formula>
    </cfRule>
  </conditionalFormatting>
  <conditionalFormatting sqref="F22:F29">
    <cfRule type="expression" dxfId="582" priority="41">
      <formula>ABS(F$25-F$28)&gt;=1000</formula>
    </cfRule>
  </conditionalFormatting>
  <conditionalFormatting sqref="G22:G29">
    <cfRule type="expression" dxfId="581" priority="40">
      <formula>ABS(G$25-G$28)&gt;=1000</formula>
    </cfRule>
  </conditionalFormatting>
  <conditionalFormatting sqref="H22:H29">
    <cfRule type="expression" dxfId="580" priority="39">
      <formula>ABS(H$25-H$28)&gt;=1000</formula>
    </cfRule>
  </conditionalFormatting>
  <conditionalFormatting sqref="I22 I24:I29">
    <cfRule type="expression" dxfId="579" priority="38">
      <formula>ABS(I$25-I$28)&gt;=1000</formula>
    </cfRule>
  </conditionalFormatting>
  <conditionalFormatting sqref="J22:J29 K22">
    <cfRule type="expression" dxfId="578" priority="37">
      <formula>ABS(J$25-J$28)&gt;=1000</formula>
    </cfRule>
  </conditionalFormatting>
  <conditionalFormatting sqref="K23:K29 L25 L28">
    <cfRule type="expression" dxfId="577" priority="36">
      <formula>ABS(K$25-K$28)&gt;=1000</formula>
    </cfRule>
  </conditionalFormatting>
  <conditionalFormatting sqref="L22 L26:L27 L29 L24">
    <cfRule type="expression" dxfId="576" priority="35">
      <formula>ABS(L$25-L$28)&gt;=1000</formula>
    </cfRule>
  </conditionalFormatting>
  <conditionalFormatting sqref="M22:M29">
    <cfRule type="expression" dxfId="575" priority="34">
      <formula>ABS(M$25-M$28)&gt;=1000</formula>
    </cfRule>
  </conditionalFormatting>
  <conditionalFormatting sqref="N22:N29">
    <cfRule type="expression" dxfId="574" priority="33">
      <formula>ABS(N$25-N$28)&gt;=1000</formula>
    </cfRule>
  </conditionalFormatting>
  <conditionalFormatting sqref="O22:O29">
    <cfRule type="expression" dxfId="573" priority="32">
      <formula>ABS(O$25-O$28)&gt;=1000</formula>
    </cfRule>
  </conditionalFormatting>
  <conditionalFormatting sqref="P22:P29">
    <cfRule type="expression" dxfId="572" priority="31">
      <formula>ABS(P$25-P$28)&gt;=1000</formula>
    </cfRule>
  </conditionalFormatting>
  <conditionalFormatting sqref="Q22:Q29">
    <cfRule type="expression" dxfId="571" priority="30">
      <formula>ABS(Q$25-Q$28)&gt;=1000</formula>
    </cfRule>
  </conditionalFormatting>
  <conditionalFormatting sqref="R22:R29">
    <cfRule type="expression" dxfId="570" priority="29">
      <formula>ABS(R$25-R$28)&gt;=1000</formula>
    </cfRule>
  </conditionalFormatting>
  <conditionalFormatting sqref="S22:S29">
    <cfRule type="expression" dxfId="569" priority="28">
      <formula>ABS(S$25-S$28)&gt;=1000</formula>
    </cfRule>
  </conditionalFormatting>
  <conditionalFormatting sqref="T22:T29">
    <cfRule type="expression" dxfId="568" priority="27">
      <formula>ABS(T$25-T$28)&gt;=1000</formula>
    </cfRule>
  </conditionalFormatting>
  <conditionalFormatting sqref="U22:U29">
    <cfRule type="expression" dxfId="567" priority="26">
      <formula>ABS(U$25-U$28)&gt;=1000</formula>
    </cfRule>
  </conditionalFormatting>
  <conditionalFormatting sqref="V22:V29">
    <cfRule type="expression" dxfId="566" priority="25">
      <formula>ABS(V$25-V$28)&gt;=1000</formula>
    </cfRule>
  </conditionalFormatting>
  <conditionalFormatting sqref="W22:W29">
    <cfRule type="expression" dxfId="565" priority="24">
      <formula>ABS(W$25-W$28)&gt;=1000</formula>
    </cfRule>
  </conditionalFormatting>
  <conditionalFormatting sqref="X22:X29">
    <cfRule type="expression" dxfId="564" priority="23">
      <formula>ABS(X$25-X$28)&gt;=1000</formula>
    </cfRule>
  </conditionalFormatting>
  <conditionalFormatting sqref="Y22:Y29">
    <cfRule type="expression" dxfId="563" priority="22">
      <formula>ABS(Y$25-Y$28)&gt;=1000</formula>
    </cfRule>
  </conditionalFormatting>
  <conditionalFormatting sqref="I23">
    <cfRule type="expression" dxfId="562" priority="21">
      <formula>ABS(I$25-I$28)&gt;=1000</formula>
    </cfRule>
  </conditionalFormatting>
  <conditionalFormatting sqref="Q14">
    <cfRule type="expression" dxfId="561" priority="20">
      <formula>ABS(Q$16-Q$19)&gt;=1000</formula>
    </cfRule>
  </conditionalFormatting>
  <conditionalFormatting sqref="W14">
    <cfRule type="expression" dxfId="560" priority="19">
      <formula>ABS(W$16-W$19)&gt;=1000</formula>
    </cfRule>
  </conditionalFormatting>
  <conditionalFormatting sqref="Y14">
    <cfRule type="expression" dxfId="559" priority="18">
      <formula>ABS(Y$16-Y$19)&gt;=1000</formula>
    </cfRule>
  </conditionalFormatting>
  <conditionalFormatting sqref="X14">
    <cfRule type="expression" dxfId="558" priority="17">
      <formula>ABS(X$16-X$19)&gt;=1000</formula>
    </cfRule>
  </conditionalFormatting>
  <conditionalFormatting sqref="T10:Y10">
    <cfRule type="expression" dxfId="557" priority="16">
      <formula>ABS(T$7-T$10)&gt;=1000</formula>
    </cfRule>
  </conditionalFormatting>
  <conditionalFormatting sqref="W19">
    <cfRule type="expression" dxfId="556" priority="15">
      <formula>ABS(W$16-W$19)&gt;=1000</formula>
    </cfRule>
  </conditionalFormatting>
  <conditionalFormatting sqref="AC5">
    <cfRule type="expression" dxfId="555" priority="14">
      <formula>ABS(AC$7-AC$10)&gt;=1000</formula>
    </cfRule>
  </conditionalFormatting>
  <conditionalFormatting sqref="M14">
    <cfRule type="expression" dxfId="554" priority="13">
      <formula>ABS(M$16-M$19)&gt;=1000</formula>
    </cfRule>
  </conditionalFormatting>
  <conditionalFormatting sqref="M16">
    <cfRule type="expression" dxfId="553" priority="12">
      <formula>ABS(M$16-M$19)&gt;=1000</formula>
    </cfRule>
  </conditionalFormatting>
  <conditionalFormatting sqref="M19">
    <cfRule type="expression" dxfId="552" priority="11">
      <formula>ABS(M$16-M$19)&gt;=1000</formula>
    </cfRule>
  </conditionalFormatting>
  <conditionalFormatting sqref="K13:K20">
    <cfRule type="expression" dxfId="551" priority="10">
      <formula>ABS(K$16-K$19)&gt;=1000</formula>
    </cfRule>
  </conditionalFormatting>
  <conditionalFormatting sqref="E5">
    <cfRule type="expression" dxfId="550" priority="9">
      <formula>ABS(E$7-E$10)&gt;=1000</formula>
    </cfRule>
  </conditionalFormatting>
  <conditionalFormatting sqref="AB14:AC14">
    <cfRule type="expression" dxfId="549" priority="8">
      <formula>ABS(AB$16-AB$19)&gt;=1000</formula>
    </cfRule>
  </conditionalFormatting>
  <conditionalFormatting sqref="M5">
    <cfRule type="expression" dxfId="548" priority="7">
      <formula>ABS(M$7-M$10)&gt;=1000</formula>
    </cfRule>
  </conditionalFormatting>
  <conditionalFormatting sqref="N5">
    <cfRule type="expression" dxfId="547" priority="6">
      <formula>ABS(N$7-N$10)&gt;=1000</formula>
    </cfRule>
  </conditionalFormatting>
  <conditionalFormatting sqref="O5">
    <cfRule type="expression" dxfId="546" priority="5">
      <formula>ABS(O$7-O$10)&gt;=1000</formula>
    </cfRule>
  </conditionalFormatting>
  <conditionalFormatting sqref="P5">
    <cfRule type="expression" dxfId="545" priority="4">
      <formula>ABS(P$7-P$10)&gt;=1000</formula>
    </cfRule>
  </conditionalFormatting>
  <conditionalFormatting sqref="L23">
    <cfRule type="expression" dxfId="544" priority="3">
      <formula>ABS(L$25-L$28)&gt;=1000</formula>
    </cfRule>
  </conditionalFormatting>
  <conditionalFormatting sqref="F14">
    <cfRule type="expression" dxfId="543" priority="2">
      <formula>ABS(F$16-F$19)&gt;=1000</formula>
    </cfRule>
  </conditionalFormatting>
  <conditionalFormatting sqref="AE5">
    <cfRule type="expression" dxfId="542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8185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71">
    <pageSetUpPr fitToPage="1"/>
  </sheetPr>
  <dimension ref="A1:CU223"/>
  <sheetViews>
    <sheetView view="pageBreakPreview" topLeftCell="A7" zoomScale="70" zoomScaleNormal="100" zoomScaleSheetLayoutView="70" workbookViewId="0">
      <selection activeCell="M6" sqref="M6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8" t="s" ph="1">
        <v>161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" customHeight="1" ph="1">
      <c r="B3" s="240" ph="1">
        <v>45986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9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59" t="s" ph="1">
        <v>177</v>
      </c>
      <c r="D6" s="71">
        <v>5119</v>
      </c>
      <c r="E6" s="71">
        <v>826</v>
      </c>
      <c r="F6" s="71">
        <v>3677</v>
      </c>
      <c r="G6" s="71">
        <v>84</v>
      </c>
      <c r="H6" s="71">
        <v>1207</v>
      </c>
      <c r="I6" s="71">
        <v>27.16</v>
      </c>
      <c r="J6" s="71">
        <v>7.03</v>
      </c>
      <c r="K6" s="71">
        <v>21.48</v>
      </c>
      <c r="L6" s="71">
        <v>48.71</v>
      </c>
      <c r="M6" s="71">
        <v>3600</v>
      </c>
      <c r="N6" s="71">
        <v>989</v>
      </c>
      <c r="O6" s="71">
        <v>1475</v>
      </c>
      <c r="P6" s="71">
        <v>1973</v>
      </c>
      <c r="Q6" s="71">
        <v>7167</v>
      </c>
      <c r="R6" s="71">
        <v>5311</v>
      </c>
      <c r="S6" s="71">
        <v>0</v>
      </c>
      <c r="T6" s="71">
        <v>0</v>
      </c>
      <c r="U6" s="71">
        <v>7014</v>
      </c>
      <c r="V6" s="71">
        <v>0</v>
      </c>
      <c r="W6" s="71">
        <v>2796</v>
      </c>
      <c r="X6" s="71">
        <v>7114</v>
      </c>
      <c r="Y6" s="71">
        <v>7128</v>
      </c>
      <c r="Z6" s="71">
        <v>2992</v>
      </c>
      <c r="AA6" s="71">
        <v>1936</v>
      </c>
      <c r="AB6" s="71">
        <v>2623</v>
      </c>
      <c r="AC6" s="71">
        <v>6693</v>
      </c>
      <c r="AD6" s="71">
        <v>4780</v>
      </c>
      <c r="AE6" s="71">
        <v>4210</v>
      </c>
    </row>
    <row r="7" spans="1:99" s="72" customFormat="1" ht="22.2" ph="1">
      <c r="B7" s="237" ph="1"/>
      <c r="C7" s="68" t="s" ph="1">
        <v>178</v>
      </c>
      <c r="D7" s="73" ph="1">
        <f>D6*33.183*LOOKUP(D8,密度!$A$2:$A$50,密度!$Q$2:$Q$50)</f>
        <v>161579.52059571</v>
      </c>
      <c r="E7" s="73" ph="1">
        <f>E6*51.53*LOOKUP(E8,密度!$A$2:$A$50,密度!$B$2:$B$50)</f>
        <v>33408.310922000004</v>
      </c>
      <c r="F7" s="73" ph="1">
        <f>F6*33.183*LOOKUP(F8,密度!$A$2:$A$50,密度!$C$2:$C$50)</f>
        <v>135667.24540290001</v>
      </c>
      <c r="G7" s="73" ph="1">
        <f xml:space="preserve"> (G6+2)*51.53*LOOKUP(G8,密度!$A$2:$A$50,密度!$B$2:$B$50)</f>
        <v>3492.0850399999999</v>
      </c>
      <c r="H7" s="73" ph="1">
        <f>(H6)*51.53*LOOKUP(H8,密度!$A$2:$A$50,密度!$B$2:$B$50)</f>
        <v>49011.00748</v>
      </c>
      <c r="I7" s="73" ph="1">
        <f>I6*290.8*1.0267</f>
        <v>8109.0080176000001</v>
      </c>
      <c r="J7" s="73" ph="1">
        <f>J6*290.8*0.7892</f>
        <v>1613.3805008000002</v>
      </c>
      <c r="K7" s="73" ph="1">
        <f>K6*290.8*1.1126</f>
        <v>6949.7268383999999</v>
      </c>
      <c r="L7" s="73" ph="1">
        <f>L6*290.8*0.777</f>
        <v>11006.102436000001</v>
      </c>
      <c r="M7" s="73" ph="1">
        <f>M6*33.183*LOOKUP(M8,密度!$A$2:$A$50,密度!$D$2:$D$50)</f>
        <v>123209.80632000002</v>
      </c>
      <c r="N7" s="73" ph="1">
        <f>N6*33.183*LOOKUP(N8,密度!$A$2:$A$50,密度!$E$2:$E$50)</f>
        <v>25821.192171600003</v>
      </c>
      <c r="O7" s="73" ph="1">
        <f>O6*20.428*LOOKUP(O8,密度!$A$2:$A$50,密度!$C$2:$C$50)</f>
        <v>33367.401620000004</v>
      </c>
      <c r="P7" s="73" ph="1">
        <f>P6*51.53*LOOKUP(P8,密度!$A$2:$A$50,密度!$B$2:$B$50)</f>
        <v>79799.754781000011</v>
      </c>
      <c r="Q7" s="73" ph="1">
        <f>Q6*1.5*1.5*3.1416*LOOKUP(W8,密度!$A$2:$A$50,密度!$L$2:$L$50)</f>
        <v>47570.356171799998</v>
      </c>
      <c r="R7" s="73" ph="1">
        <f>R6*1.5*1.5*3.1416*LOOKUP(R8,密度!$A$2:$A$50,密度!$L$2:$L$50)</f>
        <v>35176.230520200006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46703.569096799998</v>
      </c>
      <c r="V7" s="73" ph="1">
        <f>V6*1.5*1.5*3.1416*LOOKUP(V8,密度!$A$2:$A$50,密度!$L$2:$L$50)</f>
        <v>0</v>
      </c>
      <c r="W7" s="73" ph="1">
        <f>W6*1.5*1.5*3.1416*LOOKUP(W8,密度!$A$2:$A$50,密度!$L$2:$L$50)</f>
        <v>18558.213458399998</v>
      </c>
      <c r="X7" s="73" ph="1">
        <f>X6*1.5*1.5*3.1416*LOOKUP(X8,密度!$A$2:$A$50,密度!$L$2:$L$50)</f>
        <v>47369.431216799996</v>
      </c>
      <c r="Y7" s="73" ph="1">
        <f>Y6*1.5*1.5*3.1416*LOOKUP(Y8,密度!$A$2:$A$50,密度!$L$2:$L$50)</f>
        <v>47462.651913599992</v>
      </c>
      <c r="Z7" s="73" ph="1">
        <f>Z6*33.183*LOOKUP(Z8,密度!$A$2:$A$50,密度!$L$2:$L$50)</f>
        <v>93822.941519999993</v>
      </c>
      <c r="AA7" s="73" ph="1">
        <f>AA6*33.183*LOOKUP(AA8,密度!$A$2:$A$50,密度!$D$2:$D$50)</f>
        <v>66259.495843200013</v>
      </c>
      <c r="AB7" s="73" ph="1">
        <f>AB6*20.428*LOOKUP(AB8,密度!$A$2:$A$50,密度!$D$2:$D$50)</f>
        <v>55538.410506</v>
      </c>
      <c r="AC7" s="73" ph="1">
        <f>AC6*51.53*LOOKUP(AC8,密度!$A$2:$A$50,密度!$Q$2:$Q$50)</f>
        <v>328611.46831199998</v>
      </c>
      <c r="AD7" s="73" ph="1">
        <f>AD6*20.428*LOOKUP(AD8,密度!$A$2:$A$50,密度!$V$2:$V$50)</f>
        <v>94130.589760000003</v>
      </c>
      <c r="AE7" s="73" ph="1">
        <f>AE6*20.428</f>
        <v>86001.88</v>
      </c>
    </row>
    <row r="8" spans="1:99" ph="1">
      <c r="B8" s="237" ph="1"/>
      <c r="C8" s="68" t="s" ph="1">
        <v>179</v>
      </c>
      <c r="D8" s="74">
        <v>19</v>
      </c>
      <c r="E8" s="74">
        <v>19</v>
      </c>
      <c r="F8" s="74">
        <v>21</v>
      </c>
      <c r="G8" s="74">
        <v>15</v>
      </c>
      <c r="H8" s="74">
        <v>15</v>
      </c>
      <c r="I8" s="74">
        <v>25</v>
      </c>
      <c r="J8" s="74">
        <v>25</v>
      </c>
      <c r="K8" s="74">
        <v>25</v>
      </c>
      <c r="L8" s="74">
        <v>25</v>
      </c>
      <c r="M8" s="74">
        <v>20</v>
      </c>
      <c r="N8" s="74">
        <v>22</v>
      </c>
      <c r="O8" s="74">
        <v>27</v>
      </c>
      <c r="P8" s="74">
        <v>19</v>
      </c>
      <c r="Q8" s="74">
        <v>23</v>
      </c>
      <c r="R8" s="74">
        <v>25</v>
      </c>
      <c r="S8" s="74">
        <v>17</v>
      </c>
      <c r="T8" s="74">
        <v>17</v>
      </c>
      <c r="U8" s="74">
        <v>20</v>
      </c>
      <c r="V8" s="74">
        <v>23</v>
      </c>
      <c r="W8" s="74">
        <v>23</v>
      </c>
      <c r="X8" s="74">
        <v>20</v>
      </c>
      <c r="Y8" s="74">
        <v>20</v>
      </c>
      <c r="Z8" s="74">
        <v>17</v>
      </c>
      <c r="AA8" s="74">
        <v>20</v>
      </c>
      <c r="AB8" s="74">
        <v>14</v>
      </c>
      <c r="AC8" s="74">
        <v>17</v>
      </c>
      <c r="AD8" s="74">
        <v>18</v>
      </c>
      <c r="AE8" s="74">
        <v>23</v>
      </c>
    </row>
    <row r="9" spans="1:99" ht="26.4" ph="1">
      <c r="B9" s="237" ph="1">
        <v>0.66666666666666663</v>
      </c>
      <c r="C9" s="159" t="s" ph="1">
        <v>180</v>
      </c>
      <c r="D9" s="71">
        <v>5122</v>
      </c>
      <c r="E9" s="71">
        <v>826</v>
      </c>
      <c r="F9" s="71">
        <v>4356</v>
      </c>
      <c r="G9" s="71">
        <v>1091</v>
      </c>
      <c r="H9" s="71">
        <v>932</v>
      </c>
      <c r="I9" s="71">
        <v>27.15</v>
      </c>
      <c r="J9" s="71">
        <v>7.1</v>
      </c>
      <c r="K9" s="71">
        <v>37.1</v>
      </c>
      <c r="L9" s="71">
        <v>74.11</v>
      </c>
      <c r="M9" s="71">
        <v>3601</v>
      </c>
      <c r="N9" s="71">
        <v>989</v>
      </c>
      <c r="O9" s="71">
        <v>1475</v>
      </c>
      <c r="P9" s="71">
        <v>1462</v>
      </c>
      <c r="Q9" s="71">
        <v>7164</v>
      </c>
      <c r="R9" s="71">
        <v>7121</v>
      </c>
      <c r="S9" s="71">
        <v>2859</v>
      </c>
      <c r="T9" s="71">
        <v>2296</v>
      </c>
      <c r="U9" s="71">
        <v>7017</v>
      </c>
      <c r="V9" s="71">
        <v>0</v>
      </c>
      <c r="W9" s="71">
        <v>0</v>
      </c>
      <c r="X9" s="71">
        <v>7119</v>
      </c>
      <c r="Y9" s="71">
        <v>7135</v>
      </c>
      <c r="Z9" s="71">
        <v>661</v>
      </c>
      <c r="AA9" s="71">
        <v>1935</v>
      </c>
      <c r="AB9" s="71">
        <v>2623</v>
      </c>
      <c r="AC9" s="71">
        <v>6697</v>
      </c>
      <c r="AD9" s="71">
        <v>4780</v>
      </c>
      <c r="AE9" s="71">
        <v>4120</v>
      </c>
    </row>
    <row r="10" spans="1:99" s="72" customFormat="1" ht="22.2" ph="1">
      <c r="B10" s="237" ph="1"/>
      <c r="C10" s="159" t="s" ph="1">
        <v>178</v>
      </c>
      <c r="D10" s="73" ph="1">
        <f>D9*33.183*LOOKUP(D11,密度!$A$2:$A$50,密度!$Q$2:$Q$50)</f>
        <v>161529.74576388</v>
      </c>
      <c r="E10" s="73" ph="1">
        <f>E9*51.53*LOOKUP(E11,密度!$A$2:$A$50,密度!$B$2:$B$50)</f>
        <v>33374.259897999997</v>
      </c>
      <c r="F10" s="73" ph="1">
        <f>F9*33.183*LOOKUP(F11,密度!$A$2:$A$50,密度!$C$2:$C$50)</f>
        <v>160604.11394279997</v>
      </c>
      <c r="G10" s="73" ph="1">
        <f xml:space="preserve"> (G9+2)*51.53*LOOKUP(G11,密度!$A$2:$A$50,密度!$B$2:$B$50)</f>
        <v>44252.423253000001</v>
      </c>
      <c r="H10" s="73" ph="1">
        <f>(H9)*51.53*LOOKUP(H11,密度!$A$2:$A$50,密度!$B$2:$B$50)</f>
        <v>37733.996771999999</v>
      </c>
      <c r="I10" s="73" ph="1">
        <f>I9*290.8*1.0267</f>
        <v>8106.0223740000001</v>
      </c>
      <c r="J10" s="73" ph="1">
        <f>J9*290.8*0.7892</f>
        <v>1629.4454559999999</v>
      </c>
      <c r="K10" s="73" ph="1">
        <f>K9*290.8*1.1126</f>
        <v>12003.485368000001</v>
      </c>
      <c r="L10" s="73" ph="1">
        <f>L9*290.8*0.777</f>
        <v>16745.273076000001</v>
      </c>
      <c r="M10" s="73" ph="1">
        <f>M9*33.183*LOOKUP(M11,密度!$A$2:$A$50,密度!$D$2:$D$50)</f>
        <v>123016.9964985</v>
      </c>
      <c r="N10" s="73" ph="1">
        <f>N9*33.183*LOOKUP(N11,密度!$A$2:$A$50,密度!$E$2:$E$50)</f>
        <v>25781.810587199998</v>
      </c>
      <c r="O10" s="73" ph="1">
        <f>O9*20.428*LOOKUP(O11,密度!$A$2:$A$50,密度!$C$2:$C$50)</f>
        <v>33367.401620000004</v>
      </c>
      <c r="P10" s="73" ph="1">
        <f>P9*51.53*LOOKUP(P11,密度!$A$2:$A$50,密度!$B$2:$B$50)</f>
        <v>59071.631926000002</v>
      </c>
      <c r="Q10" s="73" ph="1">
        <f>Q9*1.5*1.5*3.1416*LOOKUP(W11,密度!$A$2:$A$50,密度!$L$2:$L$50)</f>
        <v>47499.804475199999</v>
      </c>
      <c r="R10" s="73" ph="1">
        <f>R9*1.5*1.5*3.1416*LOOKUP(R11,密度!$A$2:$A$50,密度!$L$2:$L$50)</f>
        <v>47114.028561600004</v>
      </c>
      <c r="S10" s="73" ph="1">
        <f>S9*1.5*1.5*3.1416*LOOKUP(S11,密度!$A$2:$A$50,密度!$L$2:$L$50)</f>
        <v>19016.7888834</v>
      </c>
      <c r="T10" s="73" ph="1">
        <f>T9*1.5*1.5*3.1416*LOOKUP(T11,密度!$A$2:$A$50,密度!$L$2:$L$50)</f>
        <v>15304.4237808</v>
      </c>
      <c r="U10" s="73" ph="1">
        <f>U9*1.5*1.5*3.1416*LOOKUP(U11,密度!$A$2:$A$50,密度!$L$2:$L$50)</f>
        <v>46624.344227999994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47704.652503199999</v>
      </c>
      <c r="Y10" s="73" ph="1">
        <f>Y9*1.5*1.5*3.1416*LOOKUP(Y11,密度!$A$2:$A$50,密度!$L$2:$L$50)</f>
        <v>47408.393339999995</v>
      </c>
      <c r="Z10" s="73" ph="1">
        <f>Z9*33.183*LOOKUP(Z11,密度!$A$2:$A$50,密度!$L$2:$L$50)</f>
        <v>20749.528997999998</v>
      </c>
      <c r="AA10" s="73" ph="1">
        <f>AA9*33.183*LOOKUP(AA11,密度!$A$2:$A$50,密度!$D$2:$D$50)</f>
        <v>66167.482702499998</v>
      </c>
      <c r="AB10" s="73" ph="1">
        <f>AB9*20.428*LOOKUP(AB11,密度!$A$2:$A$50,密度!$D$2:$D$50)</f>
        <v>55490.186126400004</v>
      </c>
      <c r="AC10" s="73" ph="1">
        <f>AC9*51.53*LOOKUP(AC11,密度!$A$2:$A$50,密度!$Q$2:$Q$50)</f>
        <v>328535.23328410002</v>
      </c>
      <c r="AD10" s="73" ph="1">
        <f>AD9*20.428*LOOKUP(AD11,密度!$A$2:$A$50,密度!$V$2:$V$50)</f>
        <v>94130.589760000003</v>
      </c>
      <c r="AE10" s="73" ph="1">
        <f>AE9*20.428</f>
        <v>84163.36</v>
      </c>
    </row>
    <row r="11" spans="1:99" ph="1">
      <c r="A11" s="64" t="s" ph="1">
        <v>162</v>
      </c>
      <c r="B11" s="237" ph="1"/>
      <c r="C11" s="159" t="s" ph="1">
        <v>179</v>
      </c>
      <c r="D11" s="74">
        <v>20</v>
      </c>
      <c r="E11" s="74">
        <v>20</v>
      </c>
      <c r="F11" s="74">
        <v>22</v>
      </c>
      <c r="G11" s="74">
        <v>18</v>
      </c>
      <c r="H11" s="74">
        <v>18</v>
      </c>
      <c r="I11" s="74">
        <v>25</v>
      </c>
      <c r="J11" s="74">
        <v>25</v>
      </c>
      <c r="K11" s="74">
        <v>25</v>
      </c>
      <c r="L11" s="74">
        <v>25</v>
      </c>
      <c r="M11" s="74">
        <v>22</v>
      </c>
      <c r="N11" s="74">
        <v>23</v>
      </c>
      <c r="O11" s="74">
        <v>27</v>
      </c>
      <c r="P11" s="74">
        <v>20</v>
      </c>
      <c r="Q11" s="74">
        <v>25</v>
      </c>
      <c r="R11" s="74">
        <v>26</v>
      </c>
      <c r="S11" s="74">
        <v>21</v>
      </c>
      <c r="T11" s="74">
        <v>19</v>
      </c>
      <c r="U11" s="74">
        <v>22</v>
      </c>
      <c r="V11" s="74">
        <v>24</v>
      </c>
      <c r="W11" s="74">
        <v>24</v>
      </c>
      <c r="X11" s="74">
        <v>14</v>
      </c>
      <c r="Y11" s="74">
        <v>22</v>
      </c>
      <c r="Z11" s="74">
        <v>16</v>
      </c>
      <c r="AA11" s="74">
        <v>21</v>
      </c>
      <c r="AB11" s="74">
        <v>15</v>
      </c>
      <c r="AC11" s="74">
        <v>18</v>
      </c>
      <c r="AD11" s="74">
        <v>20</v>
      </c>
      <c r="AE11" s="74">
        <v>24</v>
      </c>
    </row>
    <row r="12" spans="1:99" ht="9.9" customHeight="1" ph="1"/>
    <row r="13" spans="1:99" s="72" customFormat="1" ht="29.25" customHeight="1" ph="1">
      <c r="B13" s="214" t="s" ph="1">
        <v>37</v>
      </c>
      <c r="C13" s="159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5" ph="1"/>
      <c r="C14" s="67" t="s" ph="1">
        <v>36</v>
      </c>
      <c r="D14" s="77" t="s" ph="1">
        <v>616</v>
      </c>
      <c r="E14" s="77" t="s" ph="1">
        <v>616</v>
      </c>
      <c r="F14" s="77" t="s" ph="1">
        <v>639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636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635</v>
      </c>
      <c r="AC14" s="77" t="s" ph="1">
        <v>637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6" ph="1">
        <v>0.33333333333333331</v>
      </c>
      <c r="C15" s="159" t="s" ph="1">
        <v>177</v>
      </c>
      <c r="D15" s="78">
        <v>4341</v>
      </c>
      <c r="E15" s="78">
        <v>69</v>
      </c>
      <c r="F15" s="78">
        <v>1775</v>
      </c>
      <c r="G15" s="78">
        <v>1751</v>
      </c>
      <c r="H15" s="78">
        <v>0</v>
      </c>
      <c r="I15" s="78">
        <v>1612</v>
      </c>
      <c r="J15" s="78">
        <v>1443</v>
      </c>
      <c r="K15" s="78">
        <v>4971</v>
      </c>
      <c r="L15" s="78">
        <v>3588</v>
      </c>
      <c r="M15" s="78">
        <v>6830</v>
      </c>
      <c r="N15" s="78">
        <v>2491</v>
      </c>
      <c r="O15" s="78">
        <v>847</v>
      </c>
      <c r="P15" s="78">
        <v>6990</v>
      </c>
      <c r="Q15" s="78">
        <v>6020</v>
      </c>
      <c r="R15" s="78">
        <v>43</v>
      </c>
      <c r="S15" s="78">
        <v>6170</v>
      </c>
      <c r="T15" s="78">
        <v>2571</v>
      </c>
      <c r="U15" s="78">
        <v>7032</v>
      </c>
      <c r="V15" s="78">
        <v>4913</v>
      </c>
      <c r="W15" s="71">
        <v>4296</v>
      </c>
      <c r="X15" s="78">
        <v>674</v>
      </c>
      <c r="Y15" s="106">
        <v>-9903</v>
      </c>
      <c r="Z15" s="78">
        <v>0</v>
      </c>
      <c r="AA15" s="78">
        <v>0</v>
      </c>
      <c r="AB15" s="78" ph="1">
        <v>1093</v>
      </c>
      <c r="AC15" s="78" ph="1">
        <v>2138</v>
      </c>
      <c r="AD15" s="78">
        <v>84.53</v>
      </c>
      <c r="AE15" s="78">
        <v>11.22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7" ph="1"/>
      <c r="C16" s="159" t="s" ph="1">
        <v>178</v>
      </c>
      <c r="D16" s="73" ph="1">
        <f>D15*7.0686*LOOKUP(D17,密度!$A$2:$A$50,密度!$L$2:$L$50)</f>
        <v>28874.389836599999</v>
      </c>
      <c r="E16" s="73" ph="1">
        <f>E15*7.0686*LOOKUP(E17,密度!$A$2:$A$50,密度!$L$2:$L$50)</f>
        <v>458.95712939999999</v>
      </c>
      <c r="F16" s="73" ph="1">
        <f>F15*9.0746*LOOKUP(F17,密度!$A$2:$A$50,密度!$L$2:$L$50)</f>
        <v>14979.895950000002</v>
      </c>
      <c r="G16" s="73" ph="1">
        <f>G15*9.0746*LOOKUP(G17,密度!$A$2:$A$50,密度!$B$2:$B$50)</f>
        <v>12459.054648860001</v>
      </c>
      <c r="H16" s="73" ph="1">
        <f>H15*9.0746*LOOKUP(H17,密度!$A$2:$A$50,密度!$L$2:$L$50)</f>
        <v>0</v>
      </c>
      <c r="I16" s="73" ph="1">
        <f>I15*9.0746*LOOKUP(I17,密度!$A$2:$A$50,密度!$U$2:$U$50)</f>
        <v>15037.846345600001</v>
      </c>
      <c r="J16" s="73" ph="1">
        <f>J15*9.0746*LOOKUP(J17,密度!$A$2:$A$50,密度!$L$2:$L$50)</f>
        <v>12308.968932</v>
      </c>
      <c r="K16" s="73" ph="1">
        <f>K15*9.0746*LOOKUP(K17,密度!$A$2:$A$50,密度!$C$2:$C$50)</f>
        <v>50189.204201160006</v>
      </c>
      <c r="L16" s="73" ph="1">
        <f>L15*9.0746*LOOKUP(L17,密度!$A$2:$A$50,密度!$E$2:$E$50)</f>
        <v>25657.015862400003</v>
      </c>
      <c r="M16" s="73" ph="1">
        <f>M15*9.0746*LOOKUP(M17,密度!$A$2:$A$50,密度!$M$2:$M$50)</f>
        <v>54486.1942738</v>
      </c>
      <c r="N16" s="73" ph="1">
        <f>N15*9.0746*LOOKUP(N17,密度!$A$2:$A$50,密度!$M$2:$M$50)</f>
        <v>19871.904822259999</v>
      </c>
      <c r="O16" s="73" ph="1">
        <f>O15*9.0746*LOOKUP(O17,密度!$A$2:$A$50,密度!$G$2:$G$50)</f>
        <v>7407.9462595599998</v>
      </c>
      <c r="P16" s="73" ph="1">
        <f ca="1">P15*9.0746*LOOKUP(P17,密度!$A$2:$A$51,密度!$Q$2:$Q$50)</f>
        <v>60202.158676860003</v>
      </c>
      <c r="Q16" s="73" ph="1">
        <f>Q15*9.0746*LOOKUP(Q17,密度!$A$2:$A$50,密度!$Q$2:$Q$50)</f>
        <v>51880.702381480005</v>
      </c>
      <c r="R16" s="73" ph="1">
        <f>MAX(R15*9.0746*LOOKUP(R17,密度!$A$2:$A$50,密度!$B$2:$B$50),0)</f>
        <v>305.61074896000002</v>
      </c>
      <c r="S16" s="73" ph="1">
        <f>S15*9.0746*LOOKUP(S17,密度!$A$2:$A$50,密度!$Q$2:$Q$50)</f>
        <v>53173.410912580002</v>
      </c>
      <c r="T16" s="73" ph="1">
        <f>T15*9.0746*LOOKUP(T17,密度!$A$2:$A$50,密度!$O$2:$O$50)</f>
        <v>21697.640838000003</v>
      </c>
      <c r="U16" s="73" ph="1">
        <f>U15*9.0746*LOOKUP(U17,密度!$A$2:$A$50,密度!$H$2:$H$50)</f>
        <v>58816.061622239999</v>
      </c>
      <c r="V16" s="73" ph="1">
        <f>MAX(5600*LOOKUP(V17,密度!$A$2:$A$50,密度!$Q$2:$Q$50)+V15*9.0476*LOOKUP(V17,密度!$A$2:$A$50,密度!$Q$2:$Q$50),0)</f>
        <v>47502.769578492</v>
      </c>
      <c r="W16" s="73" ph="1">
        <f>MAX(5600*LOOKUP(W17,密度!$A$2:$A$50,密度!$Q$2:$Q$50)+W15*9.0476*LOOKUP(W17,密度!$A$2:$A$50,密度!$Q$2:$Q$50),0)</f>
        <v>42204.598794463993</v>
      </c>
      <c r="X16" s="73" ph="1">
        <f>MAX(5600*LOOKUP(X17,密度!$A$2:$A$50,密度!$I$2:$I$50)+X15*9.0476*LOOKUP(X17,密度!$A$2:$A$50,密度!$I$2:$I$50),0)</f>
        <v>12192.91128552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9333.3440697999995</v>
      </c>
      <c r="AC16" s="73" ph="1">
        <f>AC15*9.0746*LOOKUP(AC17,密度!$A$2:$A$50,密度!$L$2:$L$50)</f>
        <v>18276.208101600001</v>
      </c>
      <c r="AD16" s="73" ph="1">
        <f>AD15*268.68*LOOKUP(AD17,密度!$A$2:$A$50,密度!B2:B50)+IF(AD15&lt;=0,0,1566*LOOKUP(AD17,密度!$A$2:$A$50,密度!B2:B50))</f>
        <v>18926.754903839999</v>
      </c>
      <c r="AE16" s="73" ph="1">
        <f>AE15*268.68*LOOKUP(AE17,密度!$A$2:$A$50,密度!B2:B50)+IF(AE15&lt;=0,0,1566*LOOKUP(AE17,密度!$A$2:$A$50,密度!B2:B50))</f>
        <v>3571.0276521599999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8" ph="1"/>
      <c r="C17" s="79" t="s" ph="1">
        <v>179</v>
      </c>
      <c r="D17" s="74">
        <v>21</v>
      </c>
      <c r="E17" s="74">
        <v>21</v>
      </c>
      <c r="F17" s="74">
        <v>32</v>
      </c>
      <c r="G17" s="74">
        <v>20</v>
      </c>
      <c r="H17" s="74">
        <v>16</v>
      </c>
      <c r="I17" s="74">
        <v>19</v>
      </c>
      <c r="J17" s="74">
        <v>22</v>
      </c>
      <c r="K17" s="74">
        <v>20</v>
      </c>
      <c r="L17" s="74">
        <v>21</v>
      </c>
      <c r="M17" s="74">
        <v>21</v>
      </c>
      <c r="N17" s="74">
        <v>21</v>
      </c>
      <c r="O17" s="74">
        <v>22</v>
      </c>
      <c r="P17" s="74">
        <v>22</v>
      </c>
      <c r="Q17" s="74">
        <v>21</v>
      </c>
      <c r="R17" s="74">
        <v>21</v>
      </c>
      <c r="S17" s="74">
        <v>21</v>
      </c>
      <c r="T17" s="74">
        <v>22</v>
      </c>
      <c r="U17" s="74">
        <v>18</v>
      </c>
      <c r="V17" s="74">
        <v>22</v>
      </c>
      <c r="W17" s="74">
        <v>22</v>
      </c>
      <c r="X17" s="74">
        <v>25</v>
      </c>
      <c r="Y17" s="108">
        <v>25</v>
      </c>
      <c r="Z17" s="74">
        <v>20</v>
      </c>
      <c r="AA17" s="74">
        <v>19</v>
      </c>
      <c r="AB17" s="74">
        <v>21</v>
      </c>
      <c r="AC17" s="74">
        <v>20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6" ph="1">
        <v>0.66666666666666663</v>
      </c>
      <c r="C18" s="79" t="s" ph="1">
        <v>180</v>
      </c>
      <c r="D18" s="71">
        <v>5716</v>
      </c>
      <c r="E18" s="71">
        <v>68</v>
      </c>
      <c r="F18" s="71">
        <v>1770</v>
      </c>
      <c r="G18" s="71">
        <v>1795</v>
      </c>
      <c r="H18" s="71">
        <v>1404</v>
      </c>
      <c r="I18" s="71">
        <v>1612</v>
      </c>
      <c r="J18" s="71">
        <v>1444</v>
      </c>
      <c r="K18" s="71">
        <v>4992</v>
      </c>
      <c r="L18" s="71">
        <v>1774</v>
      </c>
      <c r="M18" s="71">
        <v>4718</v>
      </c>
      <c r="N18" s="71">
        <v>3182</v>
      </c>
      <c r="O18" s="71">
        <v>848</v>
      </c>
      <c r="P18" s="71">
        <v>7007</v>
      </c>
      <c r="Q18" s="71">
        <v>4296</v>
      </c>
      <c r="R18" s="71">
        <v>40</v>
      </c>
      <c r="S18" s="71">
        <v>6174</v>
      </c>
      <c r="T18" s="71">
        <v>1431</v>
      </c>
      <c r="U18" s="71">
        <v>7036</v>
      </c>
      <c r="V18" s="71">
        <v>4913</v>
      </c>
      <c r="W18" s="71">
        <v>4296</v>
      </c>
      <c r="X18" s="71">
        <v>673</v>
      </c>
      <c r="Y18" s="109">
        <v>-9907</v>
      </c>
      <c r="Z18" s="71">
        <v>0</v>
      </c>
      <c r="AA18" s="71">
        <v>0</v>
      </c>
      <c r="AB18" s="71">
        <v>1093</v>
      </c>
      <c r="AC18" s="71">
        <v>2138</v>
      </c>
      <c r="AD18" s="71">
        <v>83.95</v>
      </c>
      <c r="AE18" s="71">
        <v>54.83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7" ph="1"/>
      <c r="C19" s="159" t="s" ph="1">
        <v>178</v>
      </c>
      <c r="D19" s="73" ph="1">
        <f>D18*7.0686*LOOKUP(D20,密度!$A$2:$A$50,密度!$L$2:$L$50)</f>
        <v>37939.466426399995</v>
      </c>
      <c r="E19" s="73" ph="1">
        <f>E18*7.0686*LOOKUP(E20,密度!$A$2:$A$50,密度!$L$2:$L$50)</f>
        <v>451.34424719999998</v>
      </c>
      <c r="F19" s="73" ph="1">
        <f>F18*9.0746*LOOKUP(F20,密度!$A$2:$A$50,密度!$L$2:$L$50)</f>
        <v>14953.761102000002</v>
      </c>
      <c r="G19" s="73" ph="1">
        <f>G18*9.0746*LOOKUP(G20,密度!$A$2:$A$50,密度!$B$2:$B$50)</f>
        <v>12757.471962400001</v>
      </c>
      <c r="H19" s="73" ph="1">
        <f>H18*9.0746*LOOKUP(H20,密度!$A$2:$A$50,密度!$L$2:$L$50)</f>
        <v>12001.775572799999</v>
      </c>
      <c r="I19" s="73" ph="1">
        <f>I18*9.0746*LOOKUP(I20,密度!$A$2:$A$50,密度!$U$2:$U$50)</f>
        <v>15037.846345600001</v>
      </c>
      <c r="J19" s="73" ph="1">
        <f>J18*9.0746*LOOKUP(J20,密度!$A$2:$A$50,密度!$L$2:$L$50)</f>
        <v>12317.499056000001</v>
      </c>
      <c r="K19" s="73" ph="1">
        <f>K18*9.0746*LOOKUP(K20,密度!$A$2:$A$50,密度!$C$2:$C$50)</f>
        <v>50333.277995520002</v>
      </c>
      <c r="L19" s="73" ph="1">
        <f>L18*9.0746*LOOKUP(L20,密度!$A$2:$A$50,密度!$E$2:$E$50)</f>
        <v>12646.85621824</v>
      </c>
      <c r="M19" s="73" ph="1">
        <f>M18*9.0746*LOOKUP(M20,密度!$A$2:$A$50,密度!$M$2:$M$50)</f>
        <v>37547.845375600002</v>
      </c>
      <c r="N19" s="73" ph="1">
        <f>N18*9.0746*LOOKUP(N20,密度!$A$2:$A$50,密度!$M$2:$M$50)</f>
        <v>25352.581181599999</v>
      </c>
      <c r="O19" s="73" ph="1">
        <f>O18*9.0746*LOOKUP(O20,密度!$A$2:$A$50,密度!$G$2:$G$50)</f>
        <v>7404.3799417600003</v>
      </c>
      <c r="P19" s="73" ph="1">
        <f ca="1">P18*9.0746*LOOKUP(P20,密度!$A$2:$A$51,密度!$Q$2:$Q$50)</f>
        <v>60199.146635628007</v>
      </c>
      <c r="Q19" s="73" ph="1">
        <f>Q18*9.0746*LOOKUP(Q20,密度!$A$2:$A$50,密度!$Q$2:$Q$50)</f>
        <v>36965.085453120002</v>
      </c>
      <c r="R19" s="73" ph="1">
        <f>MAX(R18*9.0746*LOOKUP(R20,密度!$A$2:$A$50,密度!$B$2:$B$50),0)</f>
        <v>282.03856800000005</v>
      </c>
      <c r="S19" s="73" ph="1">
        <f>S18*9.0746*LOOKUP(S20,密度!$A$2:$A$50,密度!$Q$2:$Q$50)</f>
        <v>53174.267191835999</v>
      </c>
      <c r="T19" s="73" ph="1">
        <f>T18*9.0746*LOOKUP(T20,密度!$A$2:$A$50,密度!$O$2:$O$50)</f>
        <v>12024.806907600001</v>
      </c>
      <c r="U19" s="73" ph="1">
        <f>U18*9.0746*LOOKUP(U20,密度!$A$2:$A$50,密度!$H$2:$H$50)</f>
        <v>58721.820086319996</v>
      </c>
      <c r="V19" s="73" ph="1">
        <f>MAX(5600*LOOKUP(V20,密度!$A$2:$A$50,密度!$Q$2:$Q$50)+V18*9.0476*LOOKUP(V20,密度!$A$2:$A$50,密度!$Q$2:$Q$50),0)</f>
        <v>47458.224314159997</v>
      </c>
      <c r="W19" s="73" ph="1">
        <f>MAX(5600*LOOKUP(W20,密度!$A$2:$A$50,密度!$Q$2:$Q$50)+W18*9.0476*LOOKUP(W20,密度!$A$2:$A$50,密度!$Q$2:$Q$50),0)</f>
        <v>42165.021838719993</v>
      </c>
      <c r="X19" s="73" ph="1">
        <f>MAX(5600*LOOKUP(X20,密度!$A$2:$A$50,密度!$I$2:$I$50)+X18*9.0476*LOOKUP(X20,密度!$A$2:$A$50,密度!$I$2:$I$50),0)</f>
        <v>12144.907157199999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9303.5884563999989</v>
      </c>
      <c r="AC19" s="73" ph="1">
        <f>AC18*9.0746*LOOKUP(AC20,密度!$A$2:$A$50,密度!$L$2:$L$50)</f>
        <v>18276.208101600001</v>
      </c>
      <c r="AD19" s="73" ph="1">
        <f>AD18*268.68*LOOKUP(AD20,密度!$A$2:$A$50,密度!B5:B53)+IF(AD18&lt;=0,0,1566*LOOKUP(AD20,密度!$A$2:$A$50,密度!B5:B53))</f>
        <v>18742.550021999999</v>
      </c>
      <c r="AE19" s="73" ph="1">
        <f>AE18*268.68*LOOKUP(AE20,密度!$A$2:$A$50,密度!B5:B53)+IF(AE18&lt;=0,0,1566*LOOKUP(AE20,密度!$A$2:$A$50,密度!B5:B53))</f>
        <v>12663.331858799998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7" ph="1"/>
      <c r="C20" s="80" t="s" ph="1">
        <v>179</v>
      </c>
      <c r="D20" s="81">
        <v>23</v>
      </c>
      <c r="E20" s="81">
        <v>23</v>
      </c>
      <c r="F20" s="81">
        <v>31</v>
      </c>
      <c r="G20" s="81">
        <v>21</v>
      </c>
      <c r="H20" s="81">
        <v>20</v>
      </c>
      <c r="I20" s="81">
        <v>20</v>
      </c>
      <c r="J20" s="81">
        <v>22</v>
      </c>
      <c r="K20" s="81">
        <v>22</v>
      </c>
      <c r="L20" s="81">
        <v>23</v>
      </c>
      <c r="M20" s="81">
        <v>23</v>
      </c>
      <c r="N20" s="81">
        <v>22</v>
      </c>
      <c r="O20" s="81">
        <v>23</v>
      </c>
      <c r="P20" s="81">
        <v>25</v>
      </c>
      <c r="Q20" s="81">
        <v>23</v>
      </c>
      <c r="R20" s="81">
        <v>28</v>
      </c>
      <c r="S20" s="81">
        <v>22</v>
      </c>
      <c r="T20" s="81">
        <v>26</v>
      </c>
      <c r="U20" s="81">
        <v>20</v>
      </c>
      <c r="V20" s="81">
        <v>23</v>
      </c>
      <c r="W20" s="81">
        <v>23</v>
      </c>
      <c r="X20" s="81">
        <v>28</v>
      </c>
      <c r="Y20" s="110">
        <v>28</v>
      </c>
      <c r="Z20" s="81">
        <v>25</v>
      </c>
      <c r="AA20" s="81">
        <v>21</v>
      </c>
      <c r="AB20" s="81">
        <v>24</v>
      </c>
      <c r="AC20" s="81">
        <v>20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28" t="s" ph="1">
        <v>640</v>
      </c>
      <c r="AA23" s="229"/>
      <c r="AB23" s="229"/>
      <c r="AC23" s="229"/>
      <c r="AD23" s="229"/>
      <c r="AE23" s="23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7" ph="1">
        <v>0.33333333333333331</v>
      </c>
      <c r="C24" s="159" t="s" ph="1">
        <v>177</v>
      </c>
      <c r="D24" s="71">
        <v>83.45</v>
      </c>
      <c r="E24" s="71">
        <v>5.73</v>
      </c>
      <c r="F24" s="71">
        <v>815</v>
      </c>
      <c r="G24" s="71">
        <v>3086</v>
      </c>
      <c r="H24" s="71">
        <v>1496</v>
      </c>
      <c r="I24" s="71">
        <v>1531</v>
      </c>
      <c r="J24" s="71">
        <v>2951</v>
      </c>
      <c r="K24" s="71">
        <v>444</v>
      </c>
      <c r="L24" s="71">
        <v>5564</v>
      </c>
      <c r="M24" s="71">
        <v>2649</v>
      </c>
      <c r="N24" s="71">
        <v>4945</v>
      </c>
      <c r="O24" s="71">
        <v>2671</v>
      </c>
      <c r="P24" s="71">
        <v>371</v>
      </c>
      <c r="Q24" s="90">
        <v>2868</v>
      </c>
      <c r="R24" s="71">
        <v>4737</v>
      </c>
      <c r="S24" s="71">
        <v>3060</v>
      </c>
      <c r="T24" s="71">
        <v>1073</v>
      </c>
      <c r="U24" s="71">
        <v>5279</v>
      </c>
      <c r="V24" s="71">
        <v>8858</v>
      </c>
      <c r="W24" s="71">
        <v>7236</v>
      </c>
      <c r="X24" s="71">
        <v>3292</v>
      </c>
      <c r="Y24" s="71">
        <v>3808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7" ph="1"/>
      <c r="C25" s="68" t="s" ph="1">
        <v>178</v>
      </c>
      <c r="D25" s="91" ph="1">
        <f>D24*268.68*LOOKUP(D26,密度!$A$2:$A$50,密度!$Q$2:$Q$50)+IF(D24&lt;=0,0,1566*LOOKUP(D26,密度!$A$2:$A$50,密度!$Q$2:$Q$50))</f>
        <v>22709.779952040004</v>
      </c>
      <c r="E25" s="91" ph="1">
        <f>E24*268.68*LOOKUP(E26,密度!$A$2:$A$50,密度!$C$2:$C$50)+IF(E24&lt;=0,0,1566*LOOKUP(E26,密度!$A$2:$A$50,密度!$C$2:$C$50))</f>
        <v>3443.7293139600001</v>
      </c>
      <c r="F25" s="91" ph="1">
        <f>F24*11.702*LOOKUP(F26,密度!$A$2:$A$50,密度!$Q$2:$Q$50)</f>
        <v>9051.5947116999996</v>
      </c>
      <c r="G25" s="91" ph="1">
        <f>G24*18.322*LOOKUP(G26,密度!$A$2:$A$50,密度!$B$2:$B$50)</f>
        <v>44334.340697200001</v>
      </c>
      <c r="H25" s="91" ph="1">
        <f>H24*18.322*LOOKUP(H26,密度!$A$2:$A$50,密度!$B$2:$B$50)</f>
        <v>21535.8107184</v>
      </c>
      <c r="I25" s="91" ph="1">
        <f>I24*18.322*LOOKUP(I26,密度!$A$2:$A$50,密度!$Q$2:$Q$50)</f>
        <v>26682.935607859999</v>
      </c>
      <c r="J25" s="91" ph="1">
        <f>J24*18.322*LOOKUP(J26,密度!$A$2:$A$50,密度!$Q$2:$Q$50)</f>
        <v>51385.356824359995</v>
      </c>
      <c r="K25" s="91" ph="1">
        <f>K24*18.322*LOOKUP(K26,密度!$A$2:$A$50,密度!$Q$2:$Q$50)</f>
        <v>7731.3108878399999</v>
      </c>
      <c r="L25" s="91" ph="1">
        <f>L24*18.322*LOOKUP(L26,密度!$A$2:$A$50,密度!$Q$2:$Q$50)</f>
        <v>96971.818237839994</v>
      </c>
      <c r="M25" s="91" ph="1">
        <f>M24*18.322*LOOKUP(M26,密度!$A$2:$A$50,密度!$Q$2:$Q$50)</f>
        <v>46064.062270019997</v>
      </c>
      <c r="N25" s="91" ph="1">
        <f>N24*18.322*LOOKUP(N26,密度!$A$2:$A$50,密度!$Q$2:$Q$50)</f>
        <v>86106.604370199988</v>
      </c>
      <c r="O25" s="91" ph="1">
        <f>O24*18.322*LOOKUP(O26,密度!$A$2:$A$50,密度!$C$2:$C$50)</f>
        <v>54448.487781199998</v>
      </c>
      <c r="P25" s="91" ph="1">
        <f>P24*11.702*LOOKUP(P26,密度!$A$2:$A$50,密度!$B$2:$B$50)</f>
        <v>3400.2173744000002</v>
      </c>
      <c r="Q25" s="92" ph="1">
        <f>Q24*18.322*LOOKUP(Q26,密度!$A$2:$A$50,密度!$B$2:$B$50)</f>
        <v>41202.491613600003</v>
      </c>
      <c r="R25" s="91" ph="1">
        <f>R24*35.891*LOOKUP(R26,密度!$A$2:$A$50,密度!$C$2:$C$50)</f>
        <v>189040.42013730001</v>
      </c>
      <c r="S25" s="91" ph="1">
        <f>S24*35.891*LOOKUP(S26,密度!$A$2:$A$50,密度!$B$2:$B$50)</f>
        <v>86016.083471999998</v>
      </c>
      <c r="T25" s="91" ph="1">
        <f>T24*35.891*LOOKUP(T26,密度!$A$2:$A$50,密度!$Q$2:$Q$50)</f>
        <v>36600.125046339999</v>
      </c>
      <c r="U25" s="91" ph="1">
        <f>U24*35.891</f>
        <v>189468.58899999998</v>
      </c>
      <c r="V25" s="91" ph="1">
        <f>V24*47.051*LOOKUP(V26,密度!$A$2:$A$50,密度!$B$2:$B$50)</f>
        <v>326045.24008340004</v>
      </c>
      <c r="W25" s="91" ph="1">
        <f>W24*47.051*LOOKUP(W26,密度!$A$2:$A$50,密度!$B$2:$B$50)</f>
        <v>266036.25353039999</v>
      </c>
      <c r="X25" s="91" ph="1">
        <f>X24*47.051*LOOKUP(X26,密度!$A$2:$A$61,密度!$I$2:$I$61)</f>
        <v>159368.26767879998</v>
      </c>
      <c r="Y25" s="91" ph="1">
        <f>Y24*47.051*LOOKUP(Y26,密度!$A$2:$A$50,密度!$L$2:$L$50)</f>
        <v>168240.825312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7" ph="1"/>
      <c r="C26" s="68" t="s" ph="1">
        <v>179</v>
      </c>
      <c r="D26" s="74">
        <v>25</v>
      </c>
      <c r="E26" s="74">
        <v>25</v>
      </c>
      <c r="F26" s="74">
        <v>22</v>
      </c>
      <c r="G26" s="74">
        <v>20</v>
      </c>
      <c r="H26" s="74">
        <v>18</v>
      </c>
      <c r="I26" s="74">
        <v>19</v>
      </c>
      <c r="J26" s="74">
        <v>20</v>
      </c>
      <c r="K26" s="74">
        <v>20</v>
      </c>
      <c r="L26" s="74">
        <v>19</v>
      </c>
      <c r="M26" s="74">
        <v>22</v>
      </c>
      <c r="N26" s="74">
        <v>20</v>
      </c>
      <c r="O26" s="74">
        <v>20</v>
      </c>
      <c r="P26" s="74">
        <v>21</v>
      </c>
      <c r="Q26" s="93">
        <v>20</v>
      </c>
      <c r="R26" s="74">
        <v>21</v>
      </c>
      <c r="S26" s="74">
        <v>21</v>
      </c>
      <c r="T26" s="74">
        <v>20</v>
      </c>
      <c r="U26" s="74">
        <v>21</v>
      </c>
      <c r="V26" s="74">
        <v>22</v>
      </c>
      <c r="W26" s="74">
        <v>23</v>
      </c>
      <c r="X26" s="74">
        <v>37</v>
      </c>
      <c r="Y26" s="74">
        <v>23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7" ph="1">
        <v>0.66666666666666663</v>
      </c>
      <c r="C27" s="159" t="s" ph="1">
        <v>180</v>
      </c>
      <c r="D27" s="71">
        <v>5.39</v>
      </c>
      <c r="E27" s="71">
        <v>5.73</v>
      </c>
      <c r="F27" s="71">
        <v>1049</v>
      </c>
      <c r="G27" s="71">
        <v>2588</v>
      </c>
      <c r="H27" s="71">
        <v>1425</v>
      </c>
      <c r="I27" s="71">
        <v>1530</v>
      </c>
      <c r="J27" s="71">
        <v>2951</v>
      </c>
      <c r="K27" s="71">
        <v>443</v>
      </c>
      <c r="L27" s="71">
        <v>5564</v>
      </c>
      <c r="M27" s="71">
        <v>2648</v>
      </c>
      <c r="N27" s="71">
        <v>5785</v>
      </c>
      <c r="O27" s="71">
        <v>2671</v>
      </c>
      <c r="P27" s="71">
        <v>368</v>
      </c>
      <c r="Q27" s="90">
        <v>3126</v>
      </c>
      <c r="R27" s="71">
        <v>4734</v>
      </c>
      <c r="S27" s="71">
        <v>3059</v>
      </c>
      <c r="T27" s="71">
        <v>1072</v>
      </c>
      <c r="U27" s="71">
        <v>5337</v>
      </c>
      <c r="V27" s="71">
        <v>8862</v>
      </c>
      <c r="W27" s="71">
        <v>7236</v>
      </c>
      <c r="X27" s="71">
        <v>3314</v>
      </c>
      <c r="Y27" s="71">
        <v>4295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7" ph="1"/>
      <c r="C28" s="159" t="s" ph="1">
        <v>178</v>
      </c>
      <c r="D28" s="91" ph="1">
        <f>D27*268.68*LOOKUP(D29,密度!$A$2:$A$50,密度!$Q$2:$Q$50)+IF(D27&lt;=0,0,1566*LOOKUP(D29,密度!$A$2:$A$50,密度!$Q$2:$Q$50))</f>
        <v>2853.6496962479996</v>
      </c>
      <c r="E28" s="91" ph="1">
        <f>E27*268.68*LOOKUP(E29,密度!$A$2:$A$50,密度!$C$2:$C$50)+IF(E27&lt;=0,0,1566*LOOKUP(E29,密度!$A$2:$A$50,密度!$C$2:$C$50))</f>
        <v>3443.7293139600001</v>
      </c>
      <c r="F28" s="91" ph="1">
        <f>F27*11.702*LOOKUP(F29,密度!$A$2:$A$50,密度!$Q$2:$Q$50)</f>
        <v>11639.532383600001</v>
      </c>
      <c r="G28" s="91" ph="1">
        <f>G27*18.322*LOOKUP(G29,密度!$A$2:$A$50,密度!$B$2:$B$50)</f>
        <v>37051.906350399993</v>
      </c>
      <c r="H28" s="91" ph="1">
        <f>H27*18.322*LOOKUP(H29,密度!$A$2:$A$50,密度!$B$2:$B$50)</f>
        <v>20424.953354999998</v>
      </c>
      <c r="I28" s="91" ph="1">
        <f>I27*18.322*LOOKUP(I29,密度!$A$2:$A$50,密度!$Q$2:$Q$50)</f>
        <v>26605.517279399999</v>
      </c>
      <c r="J28" s="91" ph="1">
        <f>J27*18.322*LOOKUP(J29,密度!$A$2:$A$50,密度!$Q$2:$Q$50)</f>
        <v>51315.608817979992</v>
      </c>
      <c r="K28" s="91" ph="1">
        <f>K27*18.322*LOOKUP(K29,密度!$A$2:$A$50,密度!$Q$2:$Q$50)</f>
        <v>7720.7971745799996</v>
      </c>
      <c r="L28" s="91" ph="1">
        <f>L27*18.322*LOOKUP(L29,密度!$A$2:$A$50,密度!$Q$2:$Q$50)</f>
        <v>96814.825081520001</v>
      </c>
      <c r="M28" s="91" ph="1">
        <f>M27*18.322*LOOKUP(M29,密度!$A$2:$A$50,密度!$Q$2:$Q$50)</f>
        <v>46075.783036639994</v>
      </c>
      <c r="N28" s="91" ph="1">
        <f>N27*18.322*LOOKUP(N29,密度!$A$2:$A$50,密度!$Q$2:$Q$50)</f>
        <v>100660.2737413</v>
      </c>
      <c r="O28" s="91" ph="1">
        <f>O27*18.322*LOOKUP(O29,密度!$A$2:$A$50,密度!$C$2:$C$50)</f>
        <v>54375.080688199996</v>
      </c>
      <c r="P28" s="91" ph="1">
        <f>P27*11.702*LOOKUP(P29,密度!$A$2:$A$50,密度!$B$2:$B$50)</f>
        <v>3353.3438431999998</v>
      </c>
      <c r="Q28" s="92" ph="1">
        <f>Q27*18.322*LOOKUP(Q29,密度!$A$2:$A$50,密度!$B$2:$B$50)</f>
        <v>44908.991905200004</v>
      </c>
      <c r="R28" s="91" ph="1">
        <f>R27*35.891*LOOKUP(R29,密度!$A$2:$A$50,密度!$C$2:$C$50)</f>
        <v>188920.69852860001</v>
      </c>
      <c r="S28" s="91" ph="1">
        <f>S27*35.891*LOOKUP(S29,密度!$A$2:$A$50,密度!$B$2:$B$50)</f>
        <v>85889.162128699987</v>
      </c>
      <c r="T28" s="91" ph="1">
        <f>T27*35.891*LOOKUP(T29,密度!$A$2:$A$50,密度!$Q$2:$Q$50)</f>
        <v>36516.382011679998</v>
      </c>
      <c r="U28" s="91" ph="1">
        <f>U27*35.891</f>
        <v>191550.26699999999</v>
      </c>
      <c r="V28" s="91" ph="1">
        <f>V27*47.051*LOOKUP(V29,密度!$A$2:$A$50,密度!$B$2:$B$50)</f>
        <v>326192.47207259998</v>
      </c>
      <c r="W28" s="91" ph="1">
        <f>W27*47.051*LOOKUP(W29,密度!$A$2:$A$50,密度!$B$2:$B$50)</f>
        <v>266036.25353039999</v>
      </c>
      <c r="X28" s="91" ph="1">
        <f>X27*47.051*LOOKUP(X29,密度!$A$2:$A$61,密度!$I$2:$I$61)</f>
        <v>159731.6331416</v>
      </c>
      <c r="Y28" s="91" ph="1">
        <f>Y27*47.051*LOOKUP(Y29,密度!$A$2:$A$50,密度!$L$2:$L$50)</f>
        <v>188948.58207500001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7" ph="1"/>
      <c r="C29" s="159" t="s" ph="1">
        <v>179</v>
      </c>
      <c r="D29" s="74">
        <v>25</v>
      </c>
      <c r="E29" s="74">
        <v>25</v>
      </c>
      <c r="F29" s="74">
        <v>23</v>
      </c>
      <c r="G29" s="74">
        <v>23</v>
      </c>
      <c r="H29" s="74">
        <v>22</v>
      </c>
      <c r="I29" s="74">
        <v>22</v>
      </c>
      <c r="J29" s="74">
        <v>22</v>
      </c>
      <c r="K29" s="74">
        <v>19</v>
      </c>
      <c r="L29" s="74">
        <v>21</v>
      </c>
      <c r="M29" s="74">
        <v>21</v>
      </c>
      <c r="N29" s="74">
        <v>21</v>
      </c>
      <c r="O29" s="74">
        <v>22</v>
      </c>
      <c r="P29" s="74">
        <v>26</v>
      </c>
      <c r="Q29" s="93">
        <v>20</v>
      </c>
      <c r="R29" s="74">
        <v>21</v>
      </c>
      <c r="S29" s="74">
        <v>22</v>
      </c>
      <c r="T29" s="74">
        <v>22</v>
      </c>
      <c r="U29" s="74">
        <v>22</v>
      </c>
      <c r="V29" s="74">
        <v>22</v>
      </c>
      <c r="W29" s="74">
        <v>23</v>
      </c>
      <c r="X29" s="74">
        <v>41</v>
      </c>
      <c r="Y29" s="74">
        <v>27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59" t="s" ph="1">
        <v>5</v>
      </c>
      <c r="F32" s="160" t="s" ph="1">
        <v>43</v>
      </c>
      <c r="G32" s="97" t="s" ph="1">
        <v>4</v>
      </c>
      <c r="H32" s="159" t="s" ph="1">
        <v>5</v>
      </c>
      <c r="I32" s="160" t="s" ph="1">
        <v>43</v>
      </c>
      <c r="J32" s="97" t="s" ph="1">
        <v>4</v>
      </c>
      <c r="K32" s="159" t="s" ph="1">
        <v>5</v>
      </c>
      <c r="L32" s="160" t="s" ph="1">
        <v>43</v>
      </c>
      <c r="M32" s="97" t="s" ph="1">
        <v>4</v>
      </c>
      <c r="N32" s="159" t="s" ph="1">
        <v>5</v>
      </c>
      <c r="O32" s="160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9" t="s" ph="1">
        <v>5</v>
      </c>
      <c r="U32" s="99" t="s" ph="1">
        <v>43</v>
      </c>
      <c r="V32" s="97" t="s" ph="1">
        <v>4</v>
      </c>
      <c r="W32" s="159" t="s" ph="1">
        <v>5</v>
      </c>
      <c r="X32" s="99" t="s" ph="1">
        <v>43</v>
      </c>
      <c r="Y32" s="100" t="s" ph="1">
        <v>4</v>
      </c>
      <c r="Z32" s="159" t="s" ph="1">
        <v>5</v>
      </c>
      <c r="AA32" s="160" t="s" ph="1">
        <v>43</v>
      </c>
      <c r="AB32" s="97" t="s" ph="1">
        <v>85</v>
      </c>
      <c r="AC32" s="159" t="s" ph="1">
        <v>84</v>
      </c>
      <c r="AD32" s="204" t="s" ph="1">
        <v>83</v>
      </c>
      <c r="AE32" s="20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6" t="s" ph="1">
        <v>181</v>
      </c>
      <c r="C33" s="207" ph="1"/>
      <c r="D33" s="186" ph="1">
        <f>AA10+AB10+Z19</f>
        <v>121657.6688289</v>
      </c>
      <c r="E33" s="186" ph="1">
        <f>M10+I10</f>
        <v>131123.01887249999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[[#This Row],[F25]]</f>
        <v>3880</v>
      </c>
      <c r="G33" s="212" ph="1">
        <v>0</v>
      </c>
      <c r="H33" s="186" ph="1">
        <f>N19</f>
        <v>25352.581181599999</v>
      </c>
      <c r="I33" s="190" ph="1">
        <v>0</v>
      </c>
      <c r="J33" s="194" ph="1">
        <f>F10+O28</f>
        <v>214979.19463099996</v>
      </c>
      <c r="K33" s="186" ph="1">
        <f>O10+K10+E28+R28</f>
        <v>237735.31483056</v>
      </c>
      <c r="L33" s="196" ph="1">
        <f>BE27</f>
        <v>7100</v>
      </c>
      <c r="M33" s="194" ph="1">
        <f>G10+H10+W28+S28+V28+E10</f>
        <v>793478.56765470002</v>
      </c>
      <c r="N33" s="186" ph="1">
        <f>L10+P10++G28+H28</f>
        <v>133293.7647074</v>
      </c>
      <c r="O33" s="190" ph="1">
        <f>BE17</f>
        <v>2270</v>
      </c>
      <c r="P33" s="194" ph="1">
        <f>L19</f>
        <v>12646.85621824</v>
      </c>
      <c r="Q33" s="186" ph="1">
        <f>J10+N10</f>
        <v>27411.256043199999</v>
      </c>
      <c r="R33" s="190" ph="1">
        <f>BE23</f>
        <v>890</v>
      </c>
      <c r="S33" s="194" ph="1">
        <f>E10+X28</f>
        <v>193105.89303959999</v>
      </c>
      <c r="T33" s="186" ph="1">
        <f>X19</f>
        <v>12144.907157199999</v>
      </c>
      <c r="U33" s="175" ph="1">
        <f>BE21</f>
        <v>730</v>
      </c>
      <c r="V33" s="188" ph="1">
        <f ca="1">P19+Q19+S19+M28+N28+J28</f>
        <v>348390.16487650399</v>
      </c>
      <c r="W33" s="188" ph="1">
        <f>D28+F28+V19+T28</f>
        <v>98467.788405687985</v>
      </c>
      <c r="X33" s="190" ph="1">
        <f>BE29+BE31</f>
        <v>10200</v>
      </c>
      <c r="Y33" s="192" ph="1">
        <f>+Q10+R10+S10+T10+U10+V10+W10+X10+Y10</f>
        <v>270672.4357722</v>
      </c>
      <c r="Z33" s="173" ph="1">
        <f>D10+T19+U19+Y28+Z10</f>
        <v>441974.48383079999</v>
      </c>
      <c r="AA33" s="175" ph="1">
        <f>BE19</f>
        <v>1440</v>
      </c>
      <c r="AB33" s="177" ph="1">
        <f>I19</f>
        <v>15037.846345600001</v>
      </c>
      <c r="AC33" s="179" ph="1">
        <f>AD10</f>
        <v>94130.589760000003</v>
      </c>
      <c r="AD33" s="181" ph="1">
        <v>0</v>
      </c>
      <c r="AE33" s="18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5" t="s" ph="1">
        <v>633</v>
      </c>
      <c r="AD35" s="185"/>
      <c r="AE35" s="18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1" t="s" ph="1">
        <v>183</v>
      </c>
      <c r="J36" s="171" ph="1"/>
      <c r="K36" s="101" ph="1"/>
      <c r="P36" s="101" ph="1"/>
      <c r="R36" s="171" t="s" ph="1">
        <v>184</v>
      </c>
      <c r="S36" s="171" ph="1"/>
      <c r="Y36" s="102" ph="1"/>
      <c r="Z36" s="161" t="s" ph="1">
        <v>185</v>
      </c>
      <c r="AA36" s="161" ph="1"/>
      <c r="AB36" s="172" t="s" ph="1">
        <v>642</v>
      </c>
      <c r="AC36" s="172" ph="1"/>
      <c r="AD36" s="172" ph="1"/>
      <c r="AE36" s="172" ph="1"/>
      <c r="BA36" s="64" ph="1">
        <v>2270</v>
      </c>
    </row>
    <row r="37" spans="1:57" s="161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1" t="s" ph="1">
        <v>342</v>
      </c>
      <c r="AI37" s="161" t="s" ph="1">
        <v>209</v>
      </c>
      <c r="AJ37" s="161" t="s" ph="1">
        <v>210</v>
      </c>
      <c r="AK37" s="161" t="s" ph="1">
        <v>211</v>
      </c>
      <c r="AM37" s="161" t="s" ph="1">
        <v>210</v>
      </c>
      <c r="AN37" s="161" t="s" ph="1">
        <v>211</v>
      </c>
      <c r="AO37" s="161" t="s" ph="1">
        <v>212</v>
      </c>
      <c r="AP37" s="161" t="s" ph="1">
        <v>210</v>
      </c>
      <c r="AQ37" s="161" t="s" ph="1">
        <v>211</v>
      </c>
      <c r="AR37" s="161" t="s" ph="1">
        <v>212</v>
      </c>
      <c r="AS37" s="161" t="s" ph="1">
        <v>210</v>
      </c>
      <c r="AT37" s="161" t="s" ph="1">
        <v>211</v>
      </c>
      <c r="AU37" s="161" t="s" ph="1">
        <v>212</v>
      </c>
      <c r="AV37" s="161" t="s" ph="1">
        <v>210</v>
      </c>
      <c r="AW37" s="161" t="s" ph="1">
        <v>211</v>
      </c>
      <c r="AX37" s="161" t="s" ph="1">
        <v>212</v>
      </c>
      <c r="AY37" s="161" t="s" ph="1">
        <v>211</v>
      </c>
      <c r="AZ37" s="161" t="s" ph="1">
        <v>213</v>
      </c>
      <c r="BD37" s="161" t="s" ph="1">
        <v>305</v>
      </c>
      <c r="BE37" s="161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511" priority="98">
      <formula>ABS(D$7-D$10)&gt;=1000</formula>
    </cfRule>
  </conditionalFormatting>
  <conditionalFormatting sqref="E4 E6:E11">
    <cfRule type="expression" dxfId="510" priority="97">
      <formula>ABS(E$7-E$10)&gt;=1000</formula>
    </cfRule>
  </conditionalFormatting>
  <conditionalFormatting sqref="F4:F11">
    <cfRule type="expression" dxfId="509" priority="96">
      <formula>ABS(F$7-F$10)&gt;=1000</formula>
    </cfRule>
  </conditionalFormatting>
  <conditionalFormatting sqref="G4:G11">
    <cfRule type="expression" dxfId="508" priority="95">
      <formula>ABS(G$7-G$10)&gt;=1000</formula>
    </cfRule>
  </conditionalFormatting>
  <conditionalFormatting sqref="H4:H11">
    <cfRule type="expression" dxfId="507" priority="94">
      <formula>ABS(H$7-H$10)&gt;=1000</formula>
    </cfRule>
  </conditionalFormatting>
  <conditionalFormatting sqref="I4:I11">
    <cfRule type="expression" dxfId="506" priority="93">
      <formula>ABS(I$7-I$10)&gt;=1000</formula>
    </cfRule>
  </conditionalFormatting>
  <conditionalFormatting sqref="J4:J11">
    <cfRule type="expression" dxfId="505" priority="92">
      <formula>ABS(J$7-J$10)&gt;=1000</formula>
    </cfRule>
  </conditionalFormatting>
  <conditionalFormatting sqref="K4:K11">
    <cfRule type="expression" dxfId="504" priority="91">
      <formula>ABS(K$7-K$10)&gt;=1000</formula>
    </cfRule>
  </conditionalFormatting>
  <conditionalFormatting sqref="L4:L11">
    <cfRule type="expression" dxfId="503" priority="90">
      <formula>ABS(L$7-L$10)&gt;=1000</formula>
    </cfRule>
  </conditionalFormatting>
  <conditionalFormatting sqref="M4 M6:M11">
    <cfRule type="expression" dxfId="502" priority="89">
      <formula>ABS(M$7-M$10)&gt;=1000</formula>
    </cfRule>
  </conditionalFormatting>
  <conditionalFormatting sqref="N4 N6:N11">
    <cfRule type="expression" dxfId="501" priority="88">
      <formula>ABS(N$7-N$10)&gt;=1000</formula>
    </cfRule>
  </conditionalFormatting>
  <conditionalFormatting sqref="O4 O6:O11">
    <cfRule type="expression" dxfId="500" priority="87">
      <formula>ABS(O$7-O$10)&gt;=1000</formula>
    </cfRule>
  </conditionalFormatting>
  <conditionalFormatting sqref="P4 P6:P11">
    <cfRule type="expression" dxfId="499" priority="86">
      <formula>ABS(P$7-P$10)&gt;=1000</formula>
    </cfRule>
  </conditionalFormatting>
  <conditionalFormatting sqref="Q4:Q11">
    <cfRule type="expression" dxfId="498" priority="85">
      <formula>ABS(Q$7-Q$10)&gt;=1000</formula>
    </cfRule>
  </conditionalFormatting>
  <conditionalFormatting sqref="R4:R11">
    <cfRule type="expression" dxfId="497" priority="84">
      <formula>ABS(R$7-R$10)&gt;=1000</formula>
    </cfRule>
  </conditionalFormatting>
  <conditionalFormatting sqref="S4:S11">
    <cfRule type="expression" dxfId="496" priority="83">
      <formula>ABS(S$7-S$10)&gt;=1000</formula>
    </cfRule>
  </conditionalFormatting>
  <conditionalFormatting sqref="T4:T9 T11">
    <cfRule type="expression" dxfId="495" priority="82">
      <formula>ABS(T$7-T$10)&gt;=1000</formula>
    </cfRule>
  </conditionalFormatting>
  <conditionalFormatting sqref="U4:U9 U11">
    <cfRule type="expression" dxfId="494" priority="81">
      <formula>ABS(U$7-U$10)&gt;=1000</formula>
    </cfRule>
  </conditionalFormatting>
  <conditionalFormatting sqref="V4:V9 V11">
    <cfRule type="expression" dxfId="493" priority="80">
      <formula>ABS(V$7-V$10)&gt;=1000</formula>
    </cfRule>
  </conditionalFormatting>
  <conditionalFormatting sqref="W4:W9 W11">
    <cfRule type="expression" dxfId="492" priority="79">
      <formula>ABS(W$7-W$10)&gt;=1000</formula>
    </cfRule>
  </conditionalFormatting>
  <conditionalFormatting sqref="X4:X9 X11">
    <cfRule type="expression" dxfId="491" priority="78">
      <formula>ABS(X$7-X$10)&gt;=1000</formula>
    </cfRule>
  </conditionalFormatting>
  <conditionalFormatting sqref="Y4:Y9 Y11">
    <cfRule type="expression" dxfId="490" priority="77">
      <formula>ABS(Y$7-Y$10)&gt;=1000</formula>
    </cfRule>
  </conditionalFormatting>
  <conditionalFormatting sqref="Z4:Z11">
    <cfRule type="expression" dxfId="489" priority="76">
      <formula>ABS(Z$7-Z$10)&gt;=1000</formula>
    </cfRule>
  </conditionalFormatting>
  <conditionalFormatting sqref="AA4:AA11">
    <cfRule type="expression" dxfId="488" priority="75">
      <formula>ABS(AA$7-AA$10)&gt;=1000</formula>
    </cfRule>
  </conditionalFormatting>
  <conditionalFormatting sqref="AB4:AB11">
    <cfRule type="expression" dxfId="487" priority="74">
      <formula>ABS(AB$7-AB$10)&gt;=1000</formula>
    </cfRule>
  </conditionalFormatting>
  <conditionalFormatting sqref="AC4 AC6:AC11">
    <cfRule type="expression" dxfId="486" priority="73">
      <formula>ABS(AC$7-AC$10)&gt;=1000</formula>
    </cfRule>
  </conditionalFormatting>
  <conditionalFormatting sqref="AD4:AD11">
    <cfRule type="expression" dxfId="485" priority="72">
      <formula>ABS(AD$7-AD$10)&gt;=1000</formula>
    </cfRule>
  </conditionalFormatting>
  <conditionalFormatting sqref="AE4 AE6:AE11">
    <cfRule type="expression" dxfId="484" priority="71">
      <formula>ABS(AE$7-AE$10)&gt;=1000</formula>
    </cfRule>
  </conditionalFormatting>
  <conditionalFormatting sqref="D13:D20">
    <cfRule type="expression" dxfId="483" priority="70">
      <formula>ABS(D$16-D$19)&gt;=1000</formula>
    </cfRule>
  </conditionalFormatting>
  <conditionalFormatting sqref="E13:E20">
    <cfRule type="expression" dxfId="482" priority="69">
      <formula>ABS(E$16-E$19)&gt;=1000</formula>
    </cfRule>
  </conditionalFormatting>
  <conditionalFormatting sqref="F13 F15:F20">
    <cfRule type="expression" dxfId="481" priority="68">
      <formula>ABS(F$16-F$19)&gt;=1000</formula>
    </cfRule>
  </conditionalFormatting>
  <conditionalFormatting sqref="G13:G20">
    <cfRule type="expression" dxfId="480" priority="67">
      <formula>ABS(G$16-G$19)&gt;=1000</formula>
    </cfRule>
  </conditionalFormatting>
  <conditionalFormatting sqref="H13:H20">
    <cfRule type="expression" dxfId="479" priority="66">
      <formula>ABS(H$16-H$19)&gt;=1000</formula>
    </cfRule>
  </conditionalFormatting>
  <conditionalFormatting sqref="I13:I20">
    <cfRule type="expression" dxfId="478" priority="65">
      <formula>ABS(I$16-I$19)&gt;=1000</formula>
    </cfRule>
  </conditionalFormatting>
  <conditionalFormatting sqref="J13:J20">
    <cfRule type="expression" dxfId="477" priority="64">
      <formula>ABS(J$16-J$19)&gt;=1000</formula>
    </cfRule>
  </conditionalFormatting>
  <conditionalFormatting sqref="L13:L20">
    <cfRule type="expression" dxfId="476" priority="63">
      <formula>ABS(L$16-L$19)&gt;=1000</formula>
    </cfRule>
  </conditionalFormatting>
  <conditionalFormatting sqref="M13 M15 M17:M18 M20">
    <cfRule type="expression" dxfId="475" priority="62">
      <formula>ABS(M$16-M$19)&gt;=1000</formula>
    </cfRule>
  </conditionalFormatting>
  <conditionalFormatting sqref="N13:N20">
    <cfRule type="expression" dxfId="474" priority="61">
      <formula>ABS(N$16-N$19)&gt;=1000</formula>
    </cfRule>
  </conditionalFormatting>
  <conditionalFormatting sqref="O13:O20">
    <cfRule type="expression" dxfId="473" priority="60">
      <formula>ABS(O$16-O$19)&gt;=1000</formula>
    </cfRule>
  </conditionalFormatting>
  <conditionalFormatting sqref="P13:P20">
    <cfRule type="expression" dxfId="472" priority="59">
      <formula>ABS(P$16-P$19)&gt;=1000</formula>
    </cfRule>
  </conditionalFormatting>
  <conditionalFormatting sqref="Q13 Q15:Q20">
    <cfRule type="expression" dxfId="471" priority="58">
      <formula>ABS(Q$16-Q$19)&gt;=1000</formula>
    </cfRule>
  </conditionalFormatting>
  <conditionalFormatting sqref="R13:R20">
    <cfRule type="expression" dxfId="470" priority="57">
      <formula>ABS(R$16-R$19)&gt;=1000</formula>
    </cfRule>
  </conditionalFormatting>
  <conditionalFormatting sqref="S13:S20">
    <cfRule type="expression" dxfId="469" priority="56">
      <formula>ABS(S$16-S$19)&gt;=1000</formula>
    </cfRule>
  </conditionalFormatting>
  <conditionalFormatting sqref="T13:T20">
    <cfRule type="expression" dxfId="468" priority="55">
      <formula>ABS(T$16-T$19)&gt;=1000</formula>
    </cfRule>
  </conditionalFormatting>
  <conditionalFormatting sqref="U13:U20">
    <cfRule type="expression" dxfId="467" priority="54">
      <formula>ABS(U$16-U$19)&gt;=1000</formula>
    </cfRule>
  </conditionalFormatting>
  <conditionalFormatting sqref="V13:V20">
    <cfRule type="expression" dxfId="466" priority="53">
      <formula>ABS(V$16-V$19)&gt;=1000</formula>
    </cfRule>
  </conditionalFormatting>
  <conditionalFormatting sqref="W13 W20 W15:W18">
    <cfRule type="expression" dxfId="465" priority="52">
      <formula>ABS(W$16-W$19)&gt;=1000</formula>
    </cfRule>
  </conditionalFormatting>
  <conditionalFormatting sqref="X13 X15:X20 Y19">
    <cfRule type="expression" dxfId="464" priority="51">
      <formula>ABS(X$16-X$19)&gt;=1000</formula>
    </cfRule>
  </conditionalFormatting>
  <conditionalFormatting sqref="Y13 Y15:Y18 Y20">
    <cfRule type="expression" dxfId="463" priority="50">
      <formula>ABS(Y$16-Y$19)&gt;=1000</formula>
    </cfRule>
  </conditionalFormatting>
  <conditionalFormatting sqref="Z13:Z20">
    <cfRule type="expression" dxfId="462" priority="49">
      <formula>ABS(Z$16-Z$19)&gt;=1000</formula>
    </cfRule>
  </conditionalFormatting>
  <conditionalFormatting sqref="AA13:AA20">
    <cfRule type="expression" dxfId="461" priority="48">
      <formula>ABS(AA$16-AA$19)&gt;=1000</formula>
    </cfRule>
  </conditionalFormatting>
  <conditionalFormatting sqref="AB13 AB15:AB20">
    <cfRule type="expression" dxfId="460" priority="47">
      <formula>ABS(AB$16-AB$19)&gt;=1000</formula>
    </cfRule>
  </conditionalFormatting>
  <conditionalFormatting sqref="AC13 AC15:AC20">
    <cfRule type="expression" dxfId="459" priority="46">
      <formula>ABS(AC$16-AC$19)&gt;=1000</formula>
    </cfRule>
  </conditionalFormatting>
  <conditionalFormatting sqref="AD13:AD20">
    <cfRule type="expression" dxfId="458" priority="45">
      <formula>ABS(AD$16-AD$19)&gt;=1000</formula>
    </cfRule>
  </conditionalFormatting>
  <conditionalFormatting sqref="AE13:AE20">
    <cfRule type="expression" dxfId="457" priority="44">
      <formula>ABS(AE$16-AE$19)&gt;=1000</formula>
    </cfRule>
  </conditionalFormatting>
  <conditionalFormatting sqref="D22:D29">
    <cfRule type="expression" dxfId="456" priority="43">
      <formula>ABS(D$25-D$28)&gt;=1000</formula>
    </cfRule>
  </conditionalFormatting>
  <conditionalFormatting sqref="E22:E29">
    <cfRule type="expression" dxfId="455" priority="42">
      <formula>ABS(E$25-E$28)&gt;=1000</formula>
    </cfRule>
  </conditionalFormatting>
  <conditionalFormatting sqref="F22:F29">
    <cfRule type="expression" dxfId="454" priority="41">
      <formula>ABS(F$25-F$28)&gt;=1000</formula>
    </cfRule>
  </conditionalFormatting>
  <conditionalFormatting sqref="G22:G29">
    <cfRule type="expression" dxfId="453" priority="40">
      <formula>ABS(G$25-G$28)&gt;=1000</formula>
    </cfRule>
  </conditionalFormatting>
  <conditionalFormatting sqref="H22:H29">
    <cfRule type="expression" dxfId="452" priority="39">
      <formula>ABS(H$25-H$28)&gt;=1000</formula>
    </cfRule>
  </conditionalFormatting>
  <conditionalFormatting sqref="I22 I24:I29">
    <cfRule type="expression" dxfId="451" priority="38">
      <formula>ABS(I$25-I$28)&gt;=1000</formula>
    </cfRule>
  </conditionalFormatting>
  <conditionalFormatting sqref="J22:J29 K22">
    <cfRule type="expression" dxfId="450" priority="37">
      <formula>ABS(J$25-J$28)&gt;=1000</formula>
    </cfRule>
  </conditionalFormatting>
  <conditionalFormatting sqref="K23:K29 L25 L28">
    <cfRule type="expression" dxfId="449" priority="36">
      <formula>ABS(K$25-K$28)&gt;=1000</formula>
    </cfRule>
  </conditionalFormatting>
  <conditionalFormatting sqref="L22 L26:L27 L29 L24">
    <cfRule type="expression" dxfId="448" priority="35">
      <formula>ABS(L$25-L$28)&gt;=1000</formula>
    </cfRule>
  </conditionalFormatting>
  <conditionalFormatting sqref="M22:M29">
    <cfRule type="expression" dxfId="447" priority="34">
      <formula>ABS(M$25-M$28)&gt;=1000</formula>
    </cfRule>
  </conditionalFormatting>
  <conditionalFormatting sqref="N22:N29">
    <cfRule type="expression" dxfId="446" priority="33">
      <formula>ABS(N$25-N$28)&gt;=1000</formula>
    </cfRule>
  </conditionalFormatting>
  <conditionalFormatting sqref="O22:O29">
    <cfRule type="expression" dxfId="445" priority="32">
      <formula>ABS(O$25-O$28)&gt;=1000</formula>
    </cfRule>
  </conditionalFormatting>
  <conditionalFormatting sqref="P22:P29">
    <cfRule type="expression" dxfId="444" priority="31">
      <formula>ABS(P$25-P$28)&gt;=1000</formula>
    </cfRule>
  </conditionalFormatting>
  <conditionalFormatting sqref="Q22:Q29">
    <cfRule type="expression" dxfId="443" priority="30">
      <formula>ABS(Q$25-Q$28)&gt;=1000</formula>
    </cfRule>
  </conditionalFormatting>
  <conditionalFormatting sqref="R22:R29">
    <cfRule type="expression" dxfId="442" priority="29">
      <formula>ABS(R$25-R$28)&gt;=1000</formula>
    </cfRule>
  </conditionalFormatting>
  <conditionalFormatting sqref="S22:S29">
    <cfRule type="expression" dxfId="441" priority="28">
      <formula>ABS(S$25-S$28)&gt;=1000</formula>
    </cfRule>
  </conditionalFormatting>
  <conditionalFormatting sqref="T22:T29">
    <cfRule type="expression" dxfId="440" priority="27">
      <formula>ABS(T$25-T$28)&gt;=1000</formula>
    </cfRule>
  </conditionalFormatting>
  <conditionalFormatting sqref="U22:U29">
    <cfRule type="expression" dxfId="439" priority="26">
      <formula>ABS(U$25-U$28)&gt;=1000</formula>
    </cfRule>
  </conditionalFormatting>
  <conditionalFormatting sqref="V22:V29">
    <cfRule type="expression" dxfId="438" priority="25">
      <formula>ABS(V$25-V$28)&gt;=1000</formula>
    </cfRule>
  </conditionalFormatting>
  <conditionalFormatting sqref="W22:W29">
    <cfRule type="expression" dxfId="437" priority="24">
      <formula>ABS(W$25-W$28)&gt;=1000</formula>
    </cfRule>
  </conditionalFormatting>
  <conditionalFormatting sqref="X22:X29">
    <cfRule type="expression" dxfId="436" priority="23">
      <formula>ABS(X$25-X$28)&gt;=1000</formula>
    </cfRule>
  </conditionalFormatting>
  <conditionalFormatting sqref="Y22:Y29">
    <cfRule type="expression" dxfId="435" priority="22">
      <formula>ABS(Y$25-Y$28)&gt;=1000</formula>
    </cfRule>
  </conditionalFormatting>
  <conditionalFormatting sqref="I23">
    <cfRule type="expression" dxfId="434" priority="21">
      <formula>ABS(I$25-I$28)&gt;=1000</formula>
    </cfRule>
  </conditionalFormatting>
  <conditionalFormatting sqref="Q14">
    <cfRule type="expression" dxfId="433" priority="20">
      <formula>ABS(Q$16-Q$19)&gt;=1000</formula>
    </cfRule>
  </conditionalFormatting>
  <conditionalFormatting sqref="W14">
    <cfRule type="expression" dxfId="432" priority="19">
      <formula>ABS(W$16-W$19)&gt;=1000</formula>
    </cfRule>
  </conditionalFormatting>
  <conditionalFormatting sqref="Y14">
    <cfRule type="expression" dxfId="431" priority="18">
      <formula>ABS(Y$16-Y$19)&gt;=1000</formula>
    </cfRule>
  </conditionalFormatting>
  <conditionalFormatting sqref="X14">
    <cfRule type="expression" dxfId="430" priority="17">
      <formula>ABS(X$16-X$19)&gt;=1000</formula>
    </cfRule>
  </conditionalFormatting>
  <conditionalFormatting sqref="T10:Y10">
    <cfRule type="expression" dxfId="429" priority="16">
      <formula>ABS(T$7-T$10)&gt;=1000</formula>
    </cfRule>
  </conditionalFormatting>
  <conditionalFormatting sqref="W19">
    <cfRule type="expression" dxfId="428" priority="15">
      <formula>ABS(W$16-W$19)&gt;=1000</formula>
    </cfRule>
  </conditionalFormatting>
  <conditionalFormatting sqref="AC5">
    <cfRule type="expression" dxfId="427" priority="14">
      <formula>ABS(AC$7-AC$10)&gt;=1000</formula>
    </cfRule>
  </conditionalFormatting>
  <conditionalFormatting sqref="M14">
    <cfRule type="expression" dxfId="426" priority="13">
      <formula>ABS(M$16-M$19)&gt;=1000</formula>
    </cfRule>
  </conditionalFormatting>
  <conditionalFormatting sqref="M16">
    <cfRule type="expression" dxfId="425" priority="12">
      <formula>ABS(M$16-M$19)&gt;=1000</formula>
    </cfRule>
  </conditionalFormatting>
  <conditionalFormatting sqref="M19">
    <cfRule type="expression" dxfId="424" priority="11">
      <formula>ABS(M$16-M$19)&gt;=1000</formula>
    </cfRule>
  </conditionalFormatting>
  <conditionalFormatting sqref="K13:K20">
    <cfRule type="expression" dxfId="423" priority="10">
      <formula>ABS(K$16-K$19)&gt;=1000</formula>
    </cfRule>
  </conditionalFormatting>
  <conditionalFormatting sqref="E5">
    <cfRule type="expression" dxfId="422" priority="9">
      <formula>ABS(E$7-E$10)&gt;=1000</formula>
    </cfRule>
  </conditionalFormatting>
  <conditionalFormatting sqref="AB14:AC14">
    <cfRule type="expression" dxfId="421" priority="8">
      <formula>ABS(AB$16-AB$19)&gt;=1000</formula>
    </cfRule>
  </conditionalFormatting>
  <conditionalFormatting sqref="M5">
    <cfRule type="expression" dxfId="420" priority="7">
      <formula>ABS(M$7-M$10)&gt;=1000</formula>
    </cfRule>
  </conditionalFormatting>
  <conditionalFormatting sqref="N5">
    <cfRule type="expression" dxfId="419" priority="6">
      <formula>ABS(N$7-N$10)&gt;=1000</formula>
    </cfRule>
  </conditionalFormatting>
  <conditionalFormatting sqref="O5">
    <cfRule type="expression" dxfId="418" priority="5">
      <formula>ABS(O$7-O$10)&gt;=1000</formula>
    </cfRule>
  </conditionalFormatting>
  <conditionalFormatting sqref="P5">
    <cfRule type="expression" dxfId="417" priority="4">
      <formula>ABS(P$7-P$10)&gt;=1000</formula>
    </cfRule>
  </conditionalFormatting>
  <conditionalFormatting sqref="L23">
    <cfRule type="expression" dxfId="416" priority="3">
      <formula>ABS(L$25-L$28)&gt;=1000</formula>
    </cfRule>
  </conditionalFormatting>
  <conditionalFormatting sqref="F14">
    <cfRule type="expression" dxfId="415" priority="2">
      <formula>ABS(F$16-F$19)&gt;=1000</formula>
    </cfRule>
  </conditionalFormatting>
  <conditionalFormatting sqref="AE5">
    <cfRule type="expression" dxfId="414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8288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72">
    <pageSetUpPr fitToPage="1"/>
  </sheetPr>
  <dimension ref="A1:CU223"/>
  <sheetViews>
    <sheetView view="pageBreakPreview" topLeftCell="A10" zoomScale="70" zoomScaleNormal="100" zoomScaleSheetLayoutView="70" workbookViewId="0">
      <selection activeCell="O27" sqref="O27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8" t="s" ph="1">
        <v>161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" customHeight="1" ph="1">
      <c r="B3" s="240" ph="1">
        <v>45987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9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59" t="s" ph="1">
        <v>177</v>
      </c>
      <c r="D6" s="71">
        <v>5115</v>
      </c>
      <c r="E6" s="71">
        <v>826</v>
      </c>
      <c r="F6" s="71">
        <v>4113</v>
      </c>
      <c r="G6" s="71">
        <v>1822</v>
      </c>
      <c r="H6" s="71">
        <v>388</v>
      </c>
      <c r="I6" s="71">
        <v>27.14</v>
      </c>
      <c r="J6" s="71">
        <v>7.03</v>
      </c>
      <c r="K6" s="71">
        <v>46.32</v>
      </c>
      <c r="L6" s="71">
        <v>43.09</v>
      </c>
      <c r="M6" s="71">
        <v>3599</v>
      </c>
      <c r="N6" s="71">
        <v>990</v>
      </c>
      <c r="O6" s="71">
        <v>2107</v>
      </c>
      <c r="P6" s="71">
        <v>1563</v>
      </c>
      <c r="Q6" s="71">
        <v>4984</v>
      </c>
      <c r="R6" s="71">
        <v>7110</v>
      </c>
      <c r="S6" s="71">
        <v>2853</v>
      </c>
      <c r="T6" s="71">
        <v>2290</v>
      </c>
      <c r="U6" s="71">
        <v>2531</v>
      </c>
      <c r="V6" s="71">
        <v>0</v>
      </c>
      <c r="W6" s="71">
        <v>0</v>
      </c>
      <c r="X6" s="71">
        <v>7103</v>
      </c>
      <c r="Y6" s="71">
        <v>7118</v>
      </c>
      <c r="Z6" s="71">
        <v>1809</v>
      </c>
      <c r="AA6" s="71">
        <v>1938</v>
      </c>
      <c r="AB6" s="71">
        <v>2621</v>
      </c>
      <c r="AC6" s="71">
        <v>6692</v>
      </c>
      <c r="AD6" s="71">
        <v>4780</v>
      </c>
      <c r="AE6" s="71">
        <v>4463</v>
      </c>
    </row>
    <row r="7" spans="1:99" s="72" customFormat="1" ht="22.2" ph="1">
      <c r="B7" s="237" ph="1"/>
      <c r="C7" s="68" t="s" ph="1">
        <v>178</v>
      </c>
      <c r="D7" s="73" ph="1">
        <f>D6*33.183*LOOKUP(D8,密度!$A$2:$A$50,密度!$Q$2:$Q$50)</f>
        <v>161719.739676</v>
      </c>
      <c r="E7" s="73" ph="1">
        <f>E6*51.53*LOOKUP(E8,密度!$A$2:$A$50,密度!$B$2:$B$50)</f>
        <v>33472.156591999999</v>
      </c>
      <c r="F7" s="73" ph="1">
        <f>F6*33.183*LOOKUP(F8,密度!$A$2:$A$50,密度!$C$2:$C$50)</f>
        <v>151931.40506280001</v>
      </c>
      <c r="G7" s="73" ph="1">
        <f xml:space="preserve"> (G6+2)*51.53*LOOKUP(G8,密度!$A$2:$A$50,密度!$B$2:$B$50)</f>
        <v>74149.279008000012</v>
      </c>
      <c r="H7" s="73" ph="1">
        <f>(H6)*51.53*LOOKUP(H8,密度!$A$2:$A$50,密度!$B$2:$B$50)</f>
        <v>15772.982596</v>
      </c>
      <c r="I7" s="73" ph="1">
        <f>I6*290.8*1.0267</f>
        <v>8103.0367304000001</v>
      </c>
      <c r="J7" s="73" ph="1">
        <f>J6*290.8*0.7892</f>
        <v>1613.3805008000002</v>
      </c>
      <c r="K7" s="73" ph="1">
        <f>K6*290.8*1.1126</f>
        <v>14986.561785600001</v>
      </c>
      <c r="L7" s="73" ph="1">
        <f>L6*290.8*0.777</f>
        <v>9736.254444000002</v>
      </c>
      <c r="M7" s="73" ph="1">
        <f>M6*33.183*LOOKUP(M8,密度!$A$2:$A$50,密度!$D$2:$D$50)</f>
        <v>123378.60492269999</v>
      </c>
      <c r="N7" s="73" ph="1">
        <f>N6*33.183*LOOKUP(N8,密度!$A$2:$A$50,密度!$E$2:$E$50)</f>
        <v>25926.143364</v>
      </c>
      <c r="O7" s="73" ph="1">
        <f>O6*20.428*LOOKUP(O8,密度!$A$2:$A$50,密度!$C$2:$C$50)</f>
        <v>47729.047584400003</v>
      </c>
      <c r="P7" s="73" ph="1">
        <f>P6*51.53*LOOKUP(P8,密度!$A$2:$A$50,密度!$B$2:$B$50)</f>
        <v>63402.182207999998</v>
      </c>
      <c r="Q7" s="73" ph="1">
        <f>Q6*1.5*1.5*3.1416*LOOKUP(W8,密度!$A$2:$A$50,密度!$L$2:$L$50)</f>
        <v>33257.027865600001</v>
      </c>
      <c r="R7" s="73" ph="1">
        <f>R6*1.5*1.5*3.1416*LOOKUP(R8,密度!$A$2:$A$50,密度!$L$2:$L$50)</f>
        <v>47644.343207999998</v>
      </c>
      <c r="S7" s="73" ph="1">
        <f>S6*1.5*1.5*3.1416*LOOKUP(S8,密度!$A$2:$A$50,密度!$L$2:$L$50)</f>
        <v>19057.546430999999</v>
      </c>
      <c r="T7" s="73" ph="1">
        <f>T6*1.5*1.5*3.1416*LOOKUP(T8,密度!$A$2:$A$50,密度!$L$2:$L$50)</f>
        <v>15312.990923999998</v>
      </c>
      <c r="U7" s="73" ph="1">
        <f>U6*1.5*1.5*3.1416*LOOKUP(U8,密度!$A$2:$A$50,密度!$L$2:$L$50)</f>
        <v>16852.970257199999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47296.186383599997</v>
      </c>
      <c r="Y7" s="73" ph="1">
        <f>Y6*1.5*1.5*3.1416*LOOKUP(Y8,密度!$A$2:$A$50,密度!$L$2:$L$50)</f>
        <v>47396.065701599997</v>
      </c>
      <c r="Z7" s="73" ph="1">
        <f>Z6*33.183*LOOKUP(Z8,密度!$A$2:$A$50,密度!$L$2:$L$50)</f>
        <v>56846.560508999995</v>
      </c>
      <c r="AA7" s="73" ph="1">
        <f>AA6*33.183*LOOKUP(AA8,密度!$A$2:$A$50,密度!$D$2:$D$50)</f>
        <v>66437.270447399991</v>
      </c>
      <c r="AB7" s="73" ph="1">
        <f>AB6*20.428*LOOKUP(AB8,密度!$A$2:$A$50,密度!$D$2:$D$50)</f>
        <v>55544.250871200005</v>
      </c>
      <c r="AC7" s="73" ph="1">
        <f>AC6*51.53*LOOKUP(AC8,密度!$A$2:$A$50,密度!$Q$2:$Q$50)</f>
        <v>329162.38997040002</v>
      </c>
      <c r="AD7" s="73" ph="1">
        <f>AD6*20.428*LOOKUP(AD8,密度!$A$2:$A$50,密度!$V$2:$V$50)</f>
        <v>94130.589760000003</v>
      </c>
      <c r="AE7" s="73" ph="1">
        <f>AE6*20.428</f>
        <v>91170.164000000004</v>
      </c>
    </row>
    <row r="8" spans="1:99" ph="1">
      <c r="B8" s="237" ph="1"/>
      <c r="C8" s="68" t="s" ph="1">
        <v>179</v>
      </c>
      <c r="D8" s="74">
        <v>17</v>
      </c>
      <c r="E8" s="74">
        <v>17</v>
      </c>
      <c r="F8" s="74">
        <v>19</v>
      </c>
      <c r="G8" s="74">
        <v>14</v>
      </c>
      <c r="H8" s="74">
        <v>14</v>
      </c>
      <c r="I8" s="74">
        <v>25</v>
      </c>
      <c r="J8" s="74">
        <v>25</v>
      </c>
      <c r="K8" s="74">
        <v>25</v>
      </c>
      <c r="L8" s="74">
        <v>25</v>
      </c>
      <c r="M8" s="74">
        <v>18</v>
      </c>
      <c r="N8" s="74">
        <v>20</v>
      </c>
      <c r="O8" s="74">
        <v>25</v>
      </c>
      <c r="P8" s="74">
        <v>16</v>
      </c>
      <c r="Q8" s="74">
        <v>21</v>
      </c>
      <c r="R8" s="74">
        <v>14</v>
      </c>
      <c r="S8" s="74">
        <v>17</v>
      </c>
      <c r="T8" s="74">
        <v>16</v>
      </c>
      <c r="U8" s="74">
        <v>20</v>
      </c>
      <c r="V8" s="74">
        <v>23</v>
      </c>
      <c r="W8" s="74">
        <v>18</v>
      </c>
      <c r="X8" s="74">
        <v>20</v>
      </c>
      <c r="Y8" s="74">
        <v>20</v>
      </c>
      <c r="Z8" s="74">
        <v>15</v>
      </c>
      <c r="AA8" s="74">
        <v>18</v>
      </c>
      <c r="AB8" s="74">
        <v>13</v>
      </c>
      <c r="AC8" s="74">
        <v>15</v>
      </c>
      <c r="AD8" s="74">
        <v>17</v>
      </c>
      <c r="AE8" s="74">
        <v>24</v>
      </c>
    </row>
    <row r="9" spans="1:99" ht="26.4" ph="1">
      <c r="B9" s="237" ph="1">
        <v>0.66666666666666663</v>
      </c>
      <c r="C9" s="159" t="s" ph="1">
        <v>180</v>
      </c>
      <c r="D9" s="71">
        <v>5118</v>
      </c>
      <c r="E9" s="71">
        <v>1233</v>
      </c>
      <c r="F9" s="71">
        <v>4517</v>
      </c>
      <c r="G9" s="71">
        <v>1822</v>
      </c>
      <c r="H9" s="71">
        <v>127</v>
      </c>
      <c r="I9" s="71">
        <v>27.12</v>
      </c>
      <c r="J9" s="71">
        <v>7.09</v>
      </c>
      <c r="K9" s="71">
        <v>13.04</v>
      </c>
      <c r="L9" s="71">
        <v>7.61</v>
      </c>
      <c r="M9" s="71">
        <v>3598</v>
      </c>
      <c r="N9" s="71">
        <v>946</v>
      </c>
      <c r="O9" s="71">
        <v>3068</v>
      </c>
      <c r="P9" s="71">
        <v>1353</v>
      </c>
      <c r="Q9" s="71">
        <v>4986</v>
      </c>
      <c r="R9" s="71">
        <v>7114</v>
      </c>
      <c r="S9" s="71">
        <v>6042</v>
      </c>
      <c r="T9" s="71">
        <v>4843</v>
      </c>
      <c r="U9" s="71">
        <v>0</v>
      </c>
      <c r="V9" s="71">
        <v>1561</v>
      </c>
      <c r="W9" s="71">
        <v>0</v>
      </c>
      <c r="X9" s="71">
        <v>4840</v>
      </c>
      <c r="Y9" s="71">
        <v>7123</v>
      </c>
      <c r="Z9" s="71">
        <v>2798</v>
      </c>
      <c r="AA9" s="71">
        <v>1934</v>
      </c>
      <c r="AB9" s="71">
        <v>2453</v>
      </c>
      <c r="AC9" s="71">
        <v>6689</v>
      </c>
      <c r="AD9" s="71">
        <v>4780</v>
      </c>
      <c r="AE9" s="71">
        <v>4396</v>
      </c>
    </row>
    <row r="10" spans="1:99" s="72" customFormat="1" ht="22.2" ph="1">
      <c r="B10" s="237" ph="1"/>
      <c r="C10" s="159" t="s" ph="1">
        <v>178</v>
      </c>
      <c r="D10" s="73" ph="1">
        <f>D9*33.183*LOOKUP(D11,密度!$A$2:$A$50,密度!$Q$2:$Q$50)</f>
        <v>161286.41681586002</v>
      </c>
      <c r="E10" s="73" ph="1">
        <f>E9*51.53*LOOKUP(E11,密度!$A$2:$A$50,密度!$B$2:$B$50)</f>
        <v>49761.778967999999</v>
      </c>
      <c r="F10" s="73" ph="1">
        <f>F9*33.183*LOOKUP(F11,密度!$A$2:$A$50,密度!$C$2:$C$50)</f>
        <v>166660.03467090003</v>
      </c>
      <c r="G10" s="73" ph="1">
        <f xml:space="preserve"> (G9+2)*51.53*LOOKUP(G11,密度!$A$2:$A$50,密度!$B$2:$B$50)</f>
        <v>73773.316128000006</v>
      </c>
      <c r="H10" s="73" ph="1">
        <f>(H9)*51.53*LOOKUP(H11,密度!$A$2:$A$50,密度!$B$2:$B$50)</f>
        <v>5136.6289190000007</v>
      </c>
      <c r="I10" s="73" ph="1">
        <f>I9*290.8*1.0267</f>
        <v>8097.065443200001</v>
      </c>
      <c r="J10" s="73" ph="1">
        <f>J9*290.8*0.7892</f>
        <v>1627.1504623999999</v>
      </c>
      <c r="K10" s="73" ph="1">
        <f>K9*290.8*1.1126</f>
        <v>4219.0148031999997</v>
      </c>
      <c r="L10" s="73" ph="1">
        <f>L9*290.8*0.777</f>
        <v>1719.4916760000003</v>
      </c>
      <c r="M10" s="73" ph="1">
        <f>M9*33.183*LOOKUP(M11,密度!$A$2:$A$50,密度!$D$2:$D$50)</f>
        <v>122914.510803</v>
      </c>
      <c r="N10" s="73" ph="1">
        <f>N9*33.183*LOOKUP(N11,密度!$A$2:$A$50,密度!$E$2:$E$50)</f>
        <v>24660.8623008</v>
      </c>
      <c r="O10" s="73" ph="1">
        <f>O9*20.428*LOOKUP(O11,密度!$A$2:$A$50,密度!$C$2:$C$50)</f>
        <v>69448.066542400004</v>
      </c>
      <c r="P10" s="73" ph="1">
        <f>P9*51.53*LOOKUP(P11,密度!$A$2:$A$50,密度!$B$2:$B$50)</f>
        <v>54542.026406999998</v>
      </c>
      <c r="Q10" s="73" ph="1">
        <f>Q9*1.5*1.5*3.1416*LOOKUP(W11,密度!$A$2:$A$50,密度!$L$2:$L$50)</f>
        <v>32953.177025999998</v>
      </c>
      <c r="R10" s="73" ph="1">
        <f>R9*1.5*1.5*3.1416*LOOKUP(R11,密度!$A$2:$A$50,密度!$L$2:$L$50)</f>
        <v>47067.715094400002</v>
      </c>
      <c r="S10" s="73" ph="1">
        <f>S9*1.5*1.5*3.1416*LOOKUP(S11,密度!$A$2:$A$50,密度!$L$2:$L$50)</f>
        <v>40188.680809199999</v>
      </c>
      <c r="T10" s="73" ph="1">
        <f>T9*1.5*1.5*3.1416*LOOKUP(T11,密度!$A$2:$A$50,密度!$L$2:$L$50)</f>
        <v>32350.402160999998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10349.9713548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32398.786727999995</v>
      </c>
      <c r="Y10" s="73" ph="1">
        <f>Y9*1.5*1.5*3.1416*LOOKUP(Y11,密度!$A$2:$A$50,密度!$L$2:$L$50)</f>
        <v>47379.009169799996</v>
      </c>
      <c r="Z10" s="73" ph="1">
        <f>Z9*33.183*LOOKUP(Z11,密度!$A$2:$A$50,密度!$L$2:$L$50)</f>
        <v>87460.964028000002</v>
      </c>
      <c r="AA10" s="73" ph="1">
        <f>AA9*33.183*LOOKUP(AA11,密度!$A$2:$A$50,密度!$D$2:$D$50)</f>
        <v>66069.111699000001</v>
      </c>
      <c r="AB10" s="73" ph="1">
        <f>AB9*20.428*LOOKUP(AB11,密度!$A$2:$A$50,密度!$D$2:$D$50)</f>
        <v>51893.795870400012</v>
      </c>
      <c r="AC10" s="73" ph="1">
        <f>AC9*51.53*LOOKUP(AC11,密度!$A$2:$A$50,密度!$Q$2:$Q$50)</f>
        <v>327580.94148459996</v>
      </c>
      <c r="AD10" s="73" ph="1">
        <f>AD9*20.428*LOOKUP(AD11,密度!$A$2:$A$50,密度!$V$2:$V$50)</f>
        <v>94130.589760000003</v>
      </c>
      <c r="AE10" s="73" ph="1">
        <f>AE9*20.428</f>
        <v>89801.487999999998</v>
      </c>
    </row>
    <row r="11" spans="1:99" ph="1">
      <c r="A11" s="64" t="s" ph="1">
        <v>162</v>
      </c>
      <c r="B11" s="237" ph="1"/>
      <c r="C11" s="159" t="s" ph="1">
        <v>179</v>
      </c>
      <c r="D11" s="74">
        <v>21</v>
      </c>
      <c r="E11" s="74">
        <v>21</v>
      </c>
      <c r="F11" s="74">
        <v>21</v>
      </c>
      <c r="G11" s="74">
        <v>19</v>
      </c>
      <c r="H11" s="74">
        <v>19</v>
      </c>
      <c r="I11" s="74">
        <v>25</v>
      </c>
      <c r="J11" s="74">
        <v>25</v>
      </c>
      <c r="K11" s="74">
        <v>25</v>
      </c>
      <c r="L11" s="74">
        <v>25</v>
      </c>
      <c r="M11" s="74">
        <v>22</v>
      </c>
      <c r="N11" s="74">
        <v>23</v>
      </c>
      <c r="O11" s="74">
        <v>26</v>
      </c>
      <c r="P11" s="74">
        <v>22</v>
      </c>
      <c r="Q11" s="74">
        <v>23</v>
      </c>
      <c r="R11" s="74">
        <v>26</v>
      </c>
      <c r="S11" s="74">
        <v>21</v>
      </c>
      <c r="T11" s="74">
        <v>17</v>
      </c>
      <c r="U11" s="74">
        <v>22</v>
      </c>
      <c r="V11" s="74">
        <v>24</v>
      </c>
      <c r="W11" s="74">
        <v>27</v>
      </c>
      <c r="X11" s="74">
        <v>15</v>
      </c>
      <c r="Y11" s="74">
        <v>21</v>
      </c>
      <c r="Z11" s="74">
        <v>20</v>
      </c>
      <c r="AA11" s="74">
        <v>22</v>
      </c>
      <c r="AB11" s="74">
        <v>15</v>
      </c>
      <c r="AC11" s="74">
        <v>20</v>
      </c>
      <c r="AD11" s="74">
        <v>20</v>
      </c>
      <c r="AE11" s="74">
        <v>24</v>
      </c>
    </row>
    <row r="12" spans="1:99" ht="9.9" customHeight="1" ph="1"/>
    <row r="13" spans="1:99" s="72" customFormat="1" ht="29.25" customHeight="1" ph="1">
      <c r="B13" s="214" t="s" ph="1">
        <v>37</v>
      </c>
      <c r="C13" s="159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5" ph="1"/>
      <c r="C14" s="67" t="s" ph="1">
        <v>36</v>
      </c>
      <c r="D14" s="77" t="s" ph="1">
        <v>616</v>
      </c>
      <c r="E14" s="77" t="s" ph="1">
        <v>616</v>
      </c>
      <c r="F14" s="77" t="s" ph="1">
        <v>639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636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635</v>
      </c>
      <c r="AC14" s="77" t="s" ph="1">
        <v>637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6" ph="1">
        <v>0.33333333333333331</v>
      </c>
      <c r="C15" s="159" t="s" ph="1">
        <v>177</v>
      </c>
      <c r="D15" s="78">
        <v>5701</v>
      </c>
      <c r="E15" s="78">
        <v>69</v>
      </c>
      <c r="F15" s="78">
        <v>1764</v>
      </c>
      <c r="G15" s="78">
        <v>1896</v>
      </c>
      <c r="H15" s="78">
        <v>1397</v>
      </c>
      <c r="I15" s="78">
        <v>1611</v>
      </c>
      <c r="J15" s="78">
        <v>1441</v>
      </c>
      <c r="K15" s="78">
        <v>4988</v>
      </c>
      <c r="L15" s="78">
        <v>1765</v>
      </c>
      <c r="M15" s="78">
        <v>6670</v>
      </c>
      <c r="N15" s="78">
        <v>1188</v>
      </c>
      <c r="O15" s="78">
        <v>847</v>
      </c>
      <c r="P15" s="78">
        <v>6985</v>
      </c>
      <c r="Q15" s="78">
        <v>4288</v>
      </c>
      <c r="R15" s="78">
        <v>44</v>
      </c>
      <c r="S15" s="78">
        <v>6161</v>
      </c>
      <c r="T15" s="78">
        <v>578</v>
      </c>
      <c r="U15" s="78">
        <v>7024</v>
      </c>
      <c r="V15" s="78">
        <v>4911</v>
      </c>
      <c r="W15" s="71">
        <v>4295</v>
      </c>
      <c r="X15" s="78">
        <v>674</v>
      </c>
      <c r="Y15" s="106">
        <v>-9903</v>
      </c>
      <c r="Z15" s="78">
        <v>0</v>
      </c>
      <c r="AA15" s="78">
        <v>0</v>
      </c>
      <c r="AB15" s="78" ph="1">
        <v>1092</v>
      </c>
      <c r="AC15" s="78" ph="1">
        <v>2134</v>
      </c>
      <c r="AD15" s="78">
        <v>55.95</v>
      </c>
      <c r="AE15" s="78">
        <v>5.37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7" ph="1"/>
      <c r="C16" s="159" t="s" ph="1">
        <v>178</v>
      </c>
      <c r="D16" s="73" ph="1">
        <f>D15*7.0686*LOOKUP(D17,密度!$A$2:$A$50,密度!$L$2:$L$50)</f>
        <v>37960.799461200004</v>
      </c>
      <c r="E16" s="73" ph="1">
        <f>E15*7.0686*LOOKUP(E17,密度!$A$2:$A$50,密度!$L$2:$L$50)</f>
        <v>459.44486280000001</v>
      </c>
      <c r="F16" s="73" ph="1">
        <f>F15*9.0746*LOOKUP(F17,密度!$A$2:$A$50,密度!$L$2:$L$50)</f>
        <v>14983.108358400001</v>
      </c>
      <c r="G16" s="73" ph="1">
        <f>G15*9.0746*LOOKUP(G17,密度!$A$2:$A$50,密度!$B$2:$B$50)</f>
        <v>13490.786758560002</v>
      </c>
      <c r="H16" s="73" ph="1">
        <f>H15*9.0746*LOOKUP(H17,密度!$A$2:$A$50,密度!$L$2:$L$50)</f>
        <v>11967.2920928</v>
      </c>
      <c r="I16" s="73" ph="1">
        <f>I15*9.0746*LOOKUP(I17,密度!$A$2:$A$50,密度!$U$2:$U$50)</f>
        <v>15028.517656800001</v>
      </c>
      <c r="J16" s="73" ph="1">
        <f>J15*9.0746*LOOKUP(J17,密度!$A$2:$A$50,密度!$L$2:$L$50)</f>
        <v>12318.061681200001</v>
      </c>
      <c r="K16" s="73" ph="1">
        <f>K15*9.0746*LOOKUP(K17,密度!$A$2:$A$50,密度!$C$2:$C$50)</f>
        <v>50388.00146336</v>
      </c>
      <c r="L16" s="73" ph="1">
        <f>L15*9.0746*LOOKUP(L17,密度!$A$2:$A$50,密度!$E$2:$E$50)</f>
        <v>12640.355174800001</v>
      </c>
      <c r="M16" s="73" ph="1">
        <f>M15*9.0746*LOOKUP(M17,密度!$A$2:$A$50,密度!$M$2:$M$50)</f>
        <v>53282.430434599999</v>
      </c>
      <c r="N16" s="73" ph="1">
        <f>N15*9.0746*LOOKUP(N17,密度!$A$2:$A$50,密度!$M$2:$M$50)</f>
        <v>9490.1840114400002</v>
      </c>
      <c r="O16" s="73" ph="1">
        <f>O15*9.0746*LOOKUP(O17,密度!$A$2:$A$50,密度!$G$2:$G$50)</f>
        <v>7424.0872505799998</v>
      </c>
      <c r="P16" s="73" ph="1">
        <f ca="1">P15*9.0746*LOOKUP(P17,密度!$A$2:$A$51,密度!$Q$2:$Q$50)</f>
        <v>60240.86366078</v>
      </c>
      <c r="Q16" s="73" ph="1">
        <f>Q15*9.0746*LOOKUP(Q17,密度!$A$2:$A$50,密度!$Q$2:$Q$50)</f>
        <v>36981.077076223999</v>
      </c>
      <c r="R16" s="73" ph="1">
        <f>MAX(R15*9.0746*LOOKUP(R17,密度!$A$2:$A$50,密度!$B$2:$B$50),0)</f>
        <v>313.39675576000002</v>
      </c>
      <c r="S16" s="73" ph="1">
        <f>S15*9.0746*LOOKUP(S17,密度!$A$2:$A$50,密度!$Q$2:$Q$50)</f>
        <v>53134.425342028</v>
      </c>
      <c r="T16" s="73" ph="1">
        <f>T15*9.0746*LOOKUP(T17,密度!$A$2:$A$50,密度!$O$2:$O$50)</f>
        <v>4898.9409592000002</v>
      </c>
      <c r="U16" s="73" ph="1">
        <f>U15*9.0746*LOOKUP(U17,密度!$A$2:$A$50,密度!$H$2:$H$50)</f>
        <v>58876.629132479997</v>
      </c>
      <c r="V16" s="73" ph="1">
        <f>MAX(5600*LOOKUP(V17,密度!$A$2:$A$50,密度!$Q$2:$Q$50)+V15*9.0476*LOOKUP(V17,密度!$A$2:$A$50,密度!$Q$2:$Q$50),0)</f>
        <v>47550.137870167993</v>
      </c>
      <c r="W16" s="73" ph="1">
        <f>MAX(5600*LOOKUP(W17,密度!$A$2:$A$50,密度!$Q$2:$Q$50)+W15*9.0476*LOOKUP(W17,密度!$A$2:$A$50,密度!$Q$2:$Q$50),0)</f>
        <v>42253.364487959996</v>
      </c>
      <c r="X16" s="73" ph="1">
        <f>MAX(5600*LOOKUP(X17,密度!$A$2:$A$50,密度!$I$2:$I$50)+X15*9.0476*LOOKUP(X17,密度!$A$2:$A$50,密度!$I$2:$I$50),0)</f>
        <v>12205.779176160002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9354.533260799999</v>
      </c>
      <c r="AC16" s="73" ph="1">
        <f>AC15*9.0746*LOOKUP(AC17,密度!$A$2:$A$50,密度!$L$2:$L$50)</f>
        <v>18300.110597999999</v>
      </c>
      <c r="AD16" s="73" ph="1">
        <f>AD15*268.68*LOOKUP(AD17,密度!$A$2:$A$50,密度!B2:B50)+IF(AD15&lt;=0,0,1566*LOOKUP(AD17,密度!$A$2:$A$50,密度!B2:B50))</f>
        <v>12940.3044216</v>
      </c>
      <c r="AE16" s="73" ph="1">
        <f>AE15*268.68*LOOKUP(AE17,密度!$A$2:$A$50,密度!B2:B50)+IF(AE15&lt;=0,0,1566*LOOKUP(AE17,密度!$A$2:$A$50,密度!B2:B50))</f>
        <v>2345.6695233599999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8" ph="1"/>
      <c r="C17" s="79" t="s" ph="1">
        <v>179</v>
      </c>
      <c r="D17" s="74">
        <v>20</v>
      </c>
      <c r="E17" s="74">
        <v>20</v>
      </c>
      <c r="F17" s="74">
        <v>26</v>
      </c>
      <c r="G17" s="74">
        <v>20</v>
      </c>
      <c r="H17" s="74">
        <v>18</v>
      </c>
      <c r="I17" s="74">
        <v>17</v>
      </c>
      <c r="J17" s="74">
        <v>20</v>
      </c>
      <c r="K17" s="74">
        <v>19</v>
      </c>
      <c r="L17" s="74">
        <v>20</v>
      </c>
      <c r="M17" s="74">
        <v>20</v>
      </c>
      <c r="N17" s="74">
        <v>17</v>
      </c>
      <c r="O17" s="74">
        <v>20</v>
      </c>
      <c r="P17" s="74">
        <v>20</v>
      </c>
      <c r="Q17" s="74">
        <v>20</v>
      </c>
      <c r="R17" s="74">
        <v>19</v>
      </c>
      <c r="S17" s="74">
        <v>20</v>
      </c>
      <c r="T17" s="74">
        <v>17</v>
      </c>
      <c r="U17" s="74">
        <v>16</v>
      </c>
      <c r="V17" s="74">
        <v>20</v>
      </c>
      <c r="W17" s="74">
        <v>20</v>
      </c>
      <c r="X17" s="74">
        <v>24</v>
      </c>
      <c r="Y17" s="108">
        <v>24</v>
      </c>
      <c r="Z17" s="74">
        <v>18</v>
      </c>
      <c r="AA17" s="74">
        <v>15</v>
      </c>
      <c r="AB17" s="74">
        <v>18</v>
      </c>
      <c r="AC17" s="74">
        <v>17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6" ph="1">
        <v>0.66666666666666663</v>
      </c>
      <c r="C18" s="79" t="s" ph="1">
        <v>180</v>
      </c>
      <c r="D18" s="71">
        <v>5709</v>
      </c>
      <c r="E18" s="71">
        <v>1987</v>
      </c>
      <c r="F18" s="71">
        <v>1761</v>
      </c>
      <c r="G18" s="71">
        <v>1937</v>
      </c>
      <c r="H18" s="71">
        <v>2023</v>
      </c>
      <c r="I18" s="71">
        <v>1611</v>
      </c>
      <c r="J18" s="71">
        <v>1442</v>
      </c>
      <c r="K18" s="71">
        <v>4784</v>
      </c>
      <c r="L18" s="71">
        <v>1766</v>
      </c>
      <c r="M18" s="71">
        <v>3708</v>
      </c>
      <c r="N18" s="71">
        <v>2516</v>
      </c>
      <c r="O18" s="71">
        <v>846</v>
      </c>
      <c r="P18" s="71">
        <v>6992</v>
      </c>
      <c r="Q18" s="71">
        <v>4289</v>
      </c>
      <c r="R18" s="71">
        <v>3842</v>
      </c>
      <c r="S18" s="71">
        <v>6165</v>
      </c>
      <c r="T18" s="71">
        <v>577</v>
      </c>
      <c r="U18" s="71">
        <v>7026</v>
      </c>
      <c r="V18" s="71">
        <v>4911</v>
      </c>
      <c r="W18" s="71">
        <v>4295</v>
      </c>
      <c r="X18" s="71">
        <v>671</v>
      </c>
      <c r="Y18" s="109">
        <v>-9905</v>
      </c>
      <c r="Z18" s="71">
        <v>0</v>
      </c>
      <c r="AA18" s="71">
        <v>0</v>
      </c>
      <c r="AB18" s="71">
        <v>1091</v>
      </c>
      <c r="AC18" s="71">
        <v>2135</v>
      </c>
      <c r="AD18" s="71">
        <v>84.72</v>
      </c>
      <c r="AE18" s="71">
        <v>18.989999999999998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7" ph="1"/>
      <c r="C19" s="159" t="s" ph="1">
        <v>178</v>
      </c>
      <c r="D19" s="73" ph="1">
        <f>D18*7.0686*LOOKUP(D20,密度!$A$2:$A$50,密度!$L$2:$L$50)</f>
        <v>37973.713793399998</v>
      </c>
      <c r="E19" s="73" ph="1">
        <f>E18*7.0686*LOOKUP(E20,密度!$A$2:$A$50,密度!$L$2:$L$50)</f>
        <v>13216.635016199998</v>
      </c>
      <c r="F19" s="73" ph="1">
        <f>F18*9.0746*LOOKUP(F20,密度!$A$2:$A$50,密度!$L$2:$L$50)</f>
        <v>14925.666140400001</v>
      </c>
      <c r="G19" s="73" ph="1">
        <f>G18*9.0746*LOOKUP(G20,密度!$A$2:$A$50,密度!$B$2:$B$50)</f>
        <v>13766.698156640003</v>
      </c>
      <c r="H19" s="73" ph="1">
        <f>H18*9.0746*LOOKUP(H20,密度!$A$2:$A$50,密度!$L$2:$L$50)</f>
        <v>17238.082936199997</v>
      </c>
      <c r="I19" s="73" ph="1">
        <f>I18*9.0746*LOOKUP(I20,密度!$A$2:$A$50,密度!$U$2:$U$50)</f>
        <v>15028.517656800001</v>
      </c>
      <c r="J19" s="73" ph="1">
        <f>J18*9.0746*LOOKUP(J20,密度!$A$2:$A$50,密度!$L$2:$L$50)</f>
        <v>12274.267661600001</v>
      </c>
      <c r="K19" s="73" ph="1">
        <f>K18*9.0746*LOOKUP(K20,密度!$A$2:$A$50,密度!$C$2:$C$50)</f>
        <v>48236.058079040005</v>
      </c>
      <c r="L19" s="73" ph="1">
        <f>L18*9.0746*LOOKUP(L20,密度!$A$2:$A$50,密度!$E$2:$E$50)</f>
        <v>12609.055064480001</v>
      </c>
      <c r="M19" s="73" ph="1">
        <f>M18*9.0746*LOOKUP(M20,密度!$A$2:$A$50,密度!$M$2:$M$50)</f>
        <v>29543.485550400004</v>
      </c>
      <c r="N19" s="73" ph="1">
        <f>N18*9.0746*LOOKUP(N20,密度!$A$2:$A$50,密度!$M$2:$M$50)</f>
        <v>20098.739876080002</v>
      </c>
      <c r="O19" s="73" ph="1">
        <f>O18*9.0746*LOOKUP(O20,密度!$A$2:$A$50,密度!$G$2:$G$50)</f>
        <v>7379.2396699200008</v>
      </c>
      <c r="P19" s="73" ph="1">
        <f ca="1">P18*9.0746*LOOKUP(P20,密度!$A$2:$A$51,密度!$Q$2:$Q$50)</f>
        <v>60219.383901088004</v>
      </c>
      <c r="Q19" s="73" ph="1">
        <f>Q18*9.0746*LOOKUP(Q20,密度!$A$2:$A$50,密度!$Q$2:$Q$50)</f>
        <v>36962.845932586002</v>
      </c>
      <c r="R19" s="73" ph="1">
        <f>MAX(R18*9.0746*LOOKUP(R20,密度!$A$2:$A$50,密度!$B$2:$B$50),0)</f>
        <v>27274.58690636</v>
      </c>
      <c r="S19" s="73" ph="1">
        <f>S18*9.0746*LOOKUP(S20,密度!$A$2:$A$50,密度!$Q$2:$Q$50)</f>
        <v>53096.753682809998</v>
      </c>
      <c r="T19" s="73" ph="1">
        <f>T18*9.0746*LOOKUP(T20,密度!$A$2:$A$50,密度!$O$2:$O$50)</f>
        <v>4827.6327524000008</v>
      </c>
      <c r="U19" s="73" ph="1">
        <f>U18*9.0746*LOOKUP(U20,密度!$A$2:$A$50,密度!$H$2:$H$50)</f>
        <v>58638.360990119996</v>
      </c>
      <c r="V19" s="73" ph="1">
        <f>MAX(5600*LOOKUP(V20,密度!$A$2:$A$50,密度!$Q$2:$Q$50)+V18*9.0476*LOOKUP(V20,密度!$A$2:$A$50,密度!$Q$2:$Q$50),0)</f>
        <v>47404.542528092003</v>
      </c>
      <c r="W19" s="73" ph="1">
        <f>MAX(5600*LOOKUP(W20,密度!$A$2:$A$50,密度!$Q$2:$Q$50)+W18*9.0476*LOOKUP(W20,密度!$A$2:$A$50,密度!$Q$2:$Q$50),0)</f>
        <v>42123.987511740001</v>
      </c>
      <c r="X19" s="73" ph="1">
        <f>MAX(5600*LOOKUP(X20,密度!$A$2:$A$50,密度!$I$2:$I$50)+X18*9.0476*LOOKUP(X20,密度!$A$2:$A$50,密度!$I$2:$I$50),0)</f>
        <v>12073.587016199999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9276.6641182000003</v>
      </c>
      <c r="AC19" s="73" ph="1">
        <f>AC18*9.0746*LOOKUP(AC20,密度!$A$2:$A$50,密度!$L$2:$L$50)</f>
        <v>18250.563281999999</v>
      </c>
      <c r="AD19" s="73" ph="1">
        <f>AD18*268.68*LOOKUP(AD20,密度!$A$2:$A$50,密度!B5:B53)+IF(AD18&lt;=0,0,1566*LOOKUP(AD20,密度!$A$2:$A$50,密度!B5:B53))</f>
        <v>18903.2985792</v>
      </c>
      <c r="AE19" s="73" ph="1">
        <f>AE18*268.68*LOOKUP(AE20,密度!$A$2:$A$50,密度!B5:B53)+IF(AE18&lt;=0,0,1566*LOOKUP(AE20,密度!$A$2:$A$50,密度!B5:B53))</f>
        <v>5181.2171963999999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7" ph="1"/>
      <c r="C20" s="80" t="s" ph="1">
        <v>179</v>
      </c>
      <c r="D20" s="81">
        <v>21</v>
      </c>
      <c r="E20" s="81">
        <v>21</v>
      </c>
      <c r="F20" s="81">
        <v>28</v>
      </c>
      <c r="G20" s="81">
        <v>21</v>
      </c>
      <c r="H20" s="81">
        <v>23</v>
      </c>
      <c r="I20" s="81">
        <v>20</v>
      </c>
      <c r="J20" s="81">
        <v>24</v>
      </c>
      <c r="K20" s="81">
        <v>22</v>
      </c>
      <c r="L20" s="81">
        <v>22</v>
      </c>
      <c r="M20" s="81">
        <v>22</v>
      </c>
      <c r="N20" s="81">
        <v>20</v>
      </c>
      <c r="O20" s="81">
        <v>24</v>
      </c>
      <c r="P20" s="81">
        <v>22</v>
      </c>
      <c r="Q20" s="81">
        <v>21</v>
      </c>
      <c r="R20" s="81">
        <v>22</v>
      </c>
      <c r="S20" s="81">
        <v>22</v>
      </c>
      <c r="T20" s="81">
        <v>32</v>
      </c>
      <c r="U20" s="81">
        <v>20</v>
      </c>
      <c r="V20" s="81">
        <v>24</v>
      </c>
      <c r="W20" s="81">
        <v>24</v>
      </c>
      <c r="X20" s="81">
        <v>32</v>
      </c>
      <c r="Y20" s="110">
        <v>32</v>
      </c>
      <c r="Z20" s="81">
        <v>26</v>
      </c>
      <c r="AA20" s="81">
        <v>21</v>
      </c>
      <c r="AB20" s="81">
        <v>25</v>
      </c>
      <c r="AC20" s="81">
        <v>20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28" t="s" ph="1">
        <v>640</v>
      </c>
      <c r="AA23" s="229"/>
      <c r="AB23" s="229"/>
      <c r="AC23" s="229"/>
      <c r="AD23" s="229"/>
      <c r="AE23" s="23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7" ph="1">
        <v>0.33333333333333331</v>
      </c>
      <c r="C24" s="159" t="s" ph="1">
        <v>177</v>
      </c>
      <c r="D24" s="71">
        <v>5.37</v>
      </c>
      <c r="E24" s="71">
        <v>5.71</v>
      </c>
      <c r="F24" s="71">
        <v>1047</v>
      </c>
      <c r="G24" s="71">
        <v>2971</v>
      </c>
      <c r="H24" s="71">
        <v>2548</v>
      </c>
      <c r="I24" s="71">
        <v>1529</v>
      </c>
      <c r="J24" s="71">
        <v>2948</v>
      </c>
      <c r="K24" s="71">
        <v>444</v>
      </c>
      <c r="L24" s="71">
        <v>5560</v>
      </c>
      <c r="M24" s="71">
        <v>2646</v>
      </c>
      <c r="N24" s="71">
        <v>5781</v>
      </c>
      <c r="O24" s="71">
        <v>2228</v>
      </c>
      <c r="P24" s="71">
        <v>370</v>
      </c>
      <c r="Q24" s="90">
        <v>3238</v>
      </c>
      <c r="R24" s="71">
        <v>4734</v>
      </c>
      <c r="S24" s="71">
        <v>3062</v>
      </c>
      <c r="T24" s="71">
        <v>1072</v>
      </c>
      <c r="U24" s="71">
        <v>5512</v>
      </c>
      <c r="V24" s="71">
        <v>8854</v>
      </c>
      <c r="W24" s="71">
        <v>7233</v>
      </c>
      <c r="X24" s="71">
        <v>3333</v>
      </c>
      <c r="Y24" s="71">
        <v>4275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7" ph="1"/>
      <c r="C25" s="68" t="s" ph="1">
        <v>178</v>
      </c>
      <c r="D25" s="91" ph="1">
        <f>D24*268.68*LOOKUP(D26,密度!$A$2:$A$50,密度!$Q$2:$Q$50)+IF(D24&lt;=0,0,1566*LOOKUP(D26,密度!$A$2:$A$50,密度!$Q$2:$Q$50))</f>
        <v>2848.5622941840002</v>
      </c>
      <c r="E25" s="91" ph="1">
        <f>E24*268.68*LOOKUP(E26,密度!$A$2:$A$50,密度!$C$2:$C$50)+IF(E24&lt;=0,0,1566*LOOKUP(E26,密度!$A$2:$A$50,密度!$C$2:$C$50))</f>
        <v>3437.7705289200003</v>
      </c>
      <c r="F25" s="91" ph="1">
        <f>F24*11.702*LOOKUP(F26,密度!$A$2:$A$50,密度!$Q$2:$Q$50)</f>
        <v>11628.24498546</v>
      </c>
      <c r="G25" s="91" ph="1">
        <f>G24*18.322*LOOKUP(G26,密度!$A$2:$A$50,密度!$B$2:$B$50)</f>
        <v>42682.218474199995</v>
      </c>
      <c r="H25" s="91" ph="1">
        <f>H24*18.322*LOOKUP(H26,密度!$A$2:$A$50,密度!$B$2:$B$50)</f>
        <v>36679.977079199998</v>
      </c>
      <c r="I25" s="91" ph="1">
        <f>I24*18.322*LOOKUP(I26,密度!$A$2:$A$50,密度!$Q$2:$Q$50)</f>
        <v>26648.07873574</v>
      </c>
      <c r="J25" s="91" ph="1">
        <f>J24*18.322*LOOKUP(J26,密度!$A$2:$A$50,密度!$Q$2:$Q$50)</f>
        <v>51333.118237279996</v>
      </c>
      <c r="K25" s="91" ph="1">
        <f>K24*18.322*LOOKUP(K26,密度!$A$2:$A$50,密度!$Q$2:$Q$50)</f>
        <v>7731.3108878399999</v>
      </c>
      <c r="L25" s="91" ph="1">
        <f>L24*18.322*LOOKUP(L26,密度!$A$2:$A$50,密度!$Q$2:$Q$50)</f>
        <v>96902.104493599996</v>
      </c>
      <c r="M25" s="91" ph="1">
        <f>M24*18.322*LOOKUP(M26,密度!$A$2:$A$50,密度!$Q$2:$Q$50)</f>
        <v>46011.894589079995</v>
      </c>
      <c r="N25" s="91" ph="1">
        <f>N24*18.322*LOOKUP(N26,密度!$A$2:$A$50,密度!$Q$2:$Q$50)</f>
        <v>100663.75730315999</v>
      </c>
      <c r="O25" s="91" ph="1">
        <f>O24*18.322*LOOKUP(O26,密度!$A$2:$A$50,密度!$C$2:$C$50)</f>
        <v>45417.9074416</v>
      </c>
      <c r="P25" s="91" ph="1">
        <f>P24*11.702*LOOKUP(P26,密度!$A$2:$A$50,密度!$B$2:$B$50)</f>
        <v>3401.8767179999995</v>
      </c>
      <c r="Q25" s="92" ph="1">
        <f>Q24*18.322*LOOKUP(Q26,密度!$A$2:$A$50,密度!$B$2:$B$50)</f>
        <v>46464.621315199998</v>
      </c>
      <c r="R25" s="91" ph="1">
        <f>R24*35.891*LOOKUP(R26,密度!$A$2:$A$50,密度!$C$2:$C$50)</f>
        <v>188920.69852860001</v>
      </c>
      <c r="S25" s="91" ph="1">
        <f>S24*35.891*LOOKUP(S26,密度!$A$2:$A$50,密度!$B$2:$B$50)</f>
        <v>86072.303134400005</v>
      </c>
      <c r="T25" s="91" ph="1">
        <f>T24*35.891*LOOKUP(T26,密度!$A$2:$A$50,密度!$Q$2:$Q$50)</f>
        <v>36566.014957759995</v>
      </c>
      <c r="U25" s="91" ph="1">
        <f>U24*35.891</f>
        <v>197831.19199999998</v>
      </c>
      <c r="V25" s="91" ph="1">
        <f>V24*47.051*LOOKUP(V26,密度!$A$2:$A$50,密度!$B$2:$B$50)</f>
        <v>326272.9386928</v>
      </c>
      <c r="W25" s="91" ph="1">
        <f>W24*47.051*LOOKUP(W26,密度!$A$2:$A$50,密度!$B$2:$B$50)</f>
        <v>265925.95657620003</v>
      </c>
      <c r="X25" s="91" ph="1">
        <f>X24*47.051*LOOKUP(X26,密度!$A$2:$A$61,密度!$I$2:$I$61)</f>
        <v>158357.8286334</v>
      </c>
      <c r="Y25" s="91" ph="1">
        <f>Y24*47.051*LOOKUP(Y26,密度!$A$2:$A$50,密度!$L$2:$L$50)</f>
        <v>188269.8714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7" ph="1"/>
      <c r="C26" s="68" t="s" ph="1">
        <v>179</v>
      </c>
      <c r="D26" s="74">
        <v>25</v>
      </c>
      <c r="E26" s="74">
        <v>25</v>
      </c>
      <c r="F26" s="74">
        <v>22</v>
      </c>
      <c r="G26" s="74">
        <v>20</v>
      </c>
      <c r="H26" s="74">
        <v>18</v>
      </c>
      <c r="I26" s="74">
        <v>19</v>
      </c>
      <c r="J26" s="74">
        <v>20</v>
      </c>
      <c r="K26" s="74">
        <v>20</v>
      </c>
      <c r="L26" s="74">
        <v>19</v>
      </c>
      <c r="M26" s="74">
        <v>22</v>
      </c>
      <c r="N26" s="74">
        <v>20</v>
      </c>
      <c r="O26" s="74">
        <v>20</v>
      </c>
      <c r="P26" s="74">
        <v>18</v>
      </c>
      <c r="Q26" s="93">
        <v>21</v>
      </c>
      <c r="R26" s="74">
        <v>21</v>
      </c>
      <c r="S26" s="74">
        <v>21</v>
      </c>
      <c r="T26" s="74">
        <v>20</v>
      </c>
      <c r="U26" s="74">
        <v>21</v>
      </c>
      <c r="V26" s="74">
        <v>21</v>
      </c>
      <c r="W26" s="74">
        <v>23</v>
      </c>
      <c r="X26" s="74">
        <v>54</v>
      </c>
      <c r="Y26" s="74">
        <v>26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7" ph="1">
        <v>0.66666666666666663</v>
      </c>
      <c r="C27" s="159" t="s" ph="1">
        <v>180</v>
      </c>
      <c r="D27" s="71">
        <v>5.41</v>
      </c>
      <c r="E27" s="71">
        <v>7.9</v>
      </c>
      <c r="F27" s="71">
        <v>0</v>
      </c>
      <c r="G27" s="71">
        <v>2388</v>
      </c>
      <c r="H27" s="71">
        <v>1994</v>
      </c>
      <c r="I27" s="71">
        <v>1528</v>
      </c>
      <c r="J27" s="71">
        <v>2947</v>
      </c>
      <c r="K27" s="71">
        <v>441</v>
      </c>
      <c r="L27" s="71">
        <v>5558</v>
      </c>
      <c r="M27" s="71">
        <v>2645</v>
      </c>
      <c r="N27" s="71">
        <v>5780</v>
      </c>
      <c r="O27" s="71">
        <v>1856</v>
      </c>
      <c r="P27" s="71">
        <v>366</v>
      </c>
      <c r="Q27" s="90">
        <v>3532</v>
      </c>
      <c r="R27" s="71">
        <v>4732</v>
      </c>
      <c r="S27" s="71">
        <v>3055</v>
      </c>
      <c r="T27" s="71">
        <v>1071</v>
      </c>
      <c r="U27" s="71">
        <v>5416</v>
      </c>
      <c r="V27" s="71">
        <v>8852</v>
      </c>
      <c r="W27" s="71">
        <v>7230</v>
      </c>
      <c r="X27" s="71">
        <v>3826</v>
      </c>
      <c r="Y27" s="71">
        <v>3200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7" ph="1"/>
      <c r="C28" s="159" t="s" ph="1">
        <v>178</v>
      </c>
      <c r="D28" s="91" ph="1">
        <f>D27*268.68*LOOKUP(D29,密度!$A$2:$A$50,密度!$Q$2:$Q$50)+IF(D27&lt;=0,0,1566*LOOKUP(D29,密度!$A$2:$A$50,密度!$Q$2:$Q$50))</f>
        <v>2858.7370983119999</v>
      </c>
      <c r="E28" s="91" ph="1">
        <f>E27*268.68*LOOKUP(E29,密度!$A$2:$A$50,密度!$C$2:$C$50)+IF(E27&lt;=0,0,1566*LOOKUP(E29,密度!$A$2:$A$50,密度!$C$2:$C$50))</f>
        <v>4090.2574907999997</v>
      </c>
      <c r="F28" s="91" ph="1">
        <f>F27*11.702*LOOKUP(F29,密度!$A$2:$A$50,密度!$Q$2:$Q$50)</f>
        <v>0</v>
      </c>
      <c r="G28" s="91" ph="1">
        <f>G27*18.322*LOOKUP(G29,密度!$A$2:$A$50,密度!$B$2:$B$50)</f>
        <v>34188.544190400004</v>
      </c>
      <c r="H28" s="91" ph="1">
        <f>H27*18.322*LOOKUP(H29,密度!$A$2:$A$50,密度!$B$2:$B$50)</f>
        <v>28580.601396399998</v>
      </c>
      <c r="I28" s="91" ph="1">
        <f>I27*18.322*LOOKUP(I29,密度!$A$2:$A$50,密度!$Q$2:$Q$50)</f>
        <v>26570.738825439999</v>
      </c>
      <c r="J28" s="91" ph="1">
        <f>J27*18.322*LOOKUP(J29,密度!$A$2:$A$50,密度!$Q$2:$Q$50)</f>
        <v>51246.051910059999</v>
      </c>
      <c r="K28" s="91" ph="1">
        <f>K27*18.322*LOOKUP(K29,密度!$A$2:$A$50,密度!$Q$2:$Q$50)</f>
        <v>7685.9403024599997</v>
      </c>
      <c r="L28" s="91" ph="1">
        <f>L27*18.322*LOOKUP(L29,密度!$A$2:$A$50,密度!$Q$2:$Q$50)</f>
        <v>96710.423760439997</v>
      </c>
      <c r="M28" s="91" ph="1">
        <f>M27*18.322*LOOKUP(M29,密度!$A$2:$A$50,密度!$Q$2:$Q$50)</f>
        <v>46023.582376099999</v>
      </c>
      <c r="N28" s="91" ph="1">
        <f>N27*18.322*LOOKUP(N29,密度!$A$2:$A$50,密度!$Q$2:$Q$50)</f>
        <v>100573.2726404</v>
      </c>
      <c r="O28" s="91" ph="1">
        <f>O27*18.322*LOOKUP(O29,密度!$A$2:$A$50,密度!$C$2:$C$50)</f>
        <v>37810.862220800002</v>
      </c>
      <c r="P28" s="91" ph="1">
        <f>P27*11.702*LOOKUP(P29,密度!$A$2:$A$50,密度!$B$2:$B$50)</f>
        <v>3338.9737871999996</v>
      </c>
      <c r="Q28" s="92" ph="1">
        <f>Q27*18.322*LOOKUP(Q29,密度!$A$2:$A$50,密度!$B$2:$B$50)</f>
        <v>50741.701666399997</v>
      </c>
      <c r="R28" s="91" ph="1">
        <f>R27*35.891*LOOKUP(R29,密度!$A$2:$A$50,密度!$C$2:$C$50)</f>
        <v>188840.88412280002</v>
      </c>
      <c r="S28" s="91" ph="1">
        <f>S27*35.891*LOOKUP(S29,密度!$A$2:$A$50,密度!$B$2:$B$50)</f>
        <v>85776.852011499985</v>
      </c>
      <c r="T28" s="91" ph="1">
        <f>T27*35.891*LOOKUP(T29,密度!$A$2:$A$50,密度!$Q$2:$Q$50)</f>
        <v>36482.318222490001</v>
      </c>
      <c r="U28" s="91" ph="1">
        <f>U27*35.891</f>
        <v>194385.65599999999</v>
      </c>
      <c r="V28" s="91" ph="1">
        <f>V27*47.051*LOOKUP(V29,密度!$A$2:$A$50,密度!$B$2:$B$50)</f>
        <v>326199.2380064</v>
      </c>
      <c r="W28" s="91" ph="1">
        <f>W27*47.051*LOOKUP(W29,密度!$A$2:$A$50,密度!$B$2:$B$50)</f>
        <v>265815.65962200001</v>
      </c>
      <c r="X28" s="91" ph="1">
        <f>X27*47.051*LOOKUP(X29,密度!$A$2:$A$61,密度!$I$2:$I$61)</f>
        <v>182789.38974040005</v>
      </c>
      <c r="Y28" s="91" ph="1">
        <f>Y27*47.051*LOOKUP(Y29,密度!$A$2:$A$50,密度!$L$2:$L$50)</f>
        <v>141077.71840000001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7" ph="1"/>
      <c r="C29" s="159" t="s" ph="1">
        <v>179</v>
      </c>
      <c r="D29" s="74">
        <v>25</v>
      </c>
      <c r="E29" s="74">
        <v>25</v>
      </c>
      <c r="F29" s="74">
        <v>23</v>
      </c>
      <c r="G29" s="74">
        <v>23</v>
      </c>
      <c r="H29" s="74">
        <v>22</v>
      </c>
      <c r="I29" s="74">
        <v>22</v>
      </c>
      <c r="J29" s="74">
        <v>22</v>
      </c>
      <c r="K29" s="74">
        <v>19</v>
      </c>
      <c r="L29" s="74">
        <v>21</v>
      </c>
      <c r="M29" s="74">
        <v>21</v>
      </c>
      <c r="N29" s="74">
        <v>21</v>
      </c>
      <c r="O29" s="74">
        <v>21</v>
      </c>
      <c r="P29" s="74">
        <v>25</v>
      </c>
      <c r="Q29" s="93">
        <v>20</v>
      </c>
      <c r="R29" s="74">
        <v>21</v>
      </c>
      <c r="S29" s="74">
        <v>22</v>
      </c>
      <c r="T29" s="74">
        <v>22</v>
      </c>
      <c r="U29" s="74">
        <v>22</v>
      </c>
      <c r="V29" s="74">
        <v>21</v>
      </c>
      <c r="W29" s="74">
        <v>23</v>
      </c>
      <c r="X29" s="74">
        <v>49</v>
      </c>
      <c r="Y29" s="74">
        <v>25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59" t="s" ph="1">
        <v>5</v>
      </c>
      <c r="F32" s="160" t="s" ph="1">
        <v>43</v>
      </c>
      <c r="G32" s="97" t="s" ph="1">
        <v>4</v>
      </c>
      <c r="H32" s="159" t="s" ph="1">
        <v>5</v>
      </c>
      <c r="I32" s="160" t="s" ph="1">
        <v>43</v>
      </c>
      <c r="J32" s="97" t="s" ph="1">
        <v>4</v>
      </c>
      <c r="K32" s="159" t="s" ph="1">
        <v>5</v>
      </c>
      <c r="L32" s="160" t="s" ph="1">
        <v>43</v>
      </c>
      <c r="M32" s="97" t="s" ph="1">
        <v>4</v>
      </c>
      <c r="N32" s="159" t="s" ph="1">
        <v>5</v>
      </c>
      <c r="O32" s="160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9" t="s" ph="1">
        <v>5</v>
      </c>
      <c r="U32" s="99" t="s" ph="1">
        <v>43</v>
      </c>
      <c r="V32" s="97" t="s" ph="1">
        <v>4</v>
      </c>
      <c r="W32" s="159" t="s" ph="1">
        <v>5</v>
      </c>
      <c r="X32" s="99" t="s" ph="1">
        <v>43</v>
      </c>
      <c r="Y32" s="100" t="s" ph="1">
        <v>4</v>
      </c>
      <c r="Z32" s="159" t="s" ph="1">
        <v>5</v>
      </c>
      <c r="AA32" s="160" t="s" ph="1">
        <v>43</v>
      </c>
      <c r="AB32" s="97" t="s" ph="1">
        <v>85</v>
      </c>
      <c r="AC32" s="159" t="s" ph="1">
        <v>84</v>
      </c>
      <c r="AD32" s="204" t="s" ph="1">
        <v>83</v>
      </c>
      <c r="AE32" s="20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6" t="s" ph="1">
        <v>181</v>
      </c>
      <c r="C33" s="207" ph="1"/>
      <c r="D33" s="186" ph="1">
        <f>AA10+AB10+Z19</f>
        <v>117962.90756940001</v>
      </c>
      <c r="E33" s="186" ph="1">
        <f>M10+I10</f>
        <v>131011.5762462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[[#This Row],[F25]]</f>
        <v>3880</v>
      </c>
      <c r="G33" s="212" ph="1">
        <v>0</v>
      </c>
      <c r="H33" s="186" ph="1">
        <f>N19</f>
        <v>20098.739876080002</v>
      </c>
      <c r="I33" s="190" ph="1">
        <v>0</v>
      </c>
      <c r="J33" s="194" ph="1">
        <f>F10+O28</f>
        <v>204470.89689170005</v>
      </c>
      <c r="K33" s="186" ph="1">
        <f>O10+K10+E28+R28</f>
        <v>266598.22295920004</v>
      </c>
      <c r="L33" s="196" ph="1">
        <f>BE27</f>
        <v>7100</v>
      </c>
      <c r="M33" s="194" ph="1">
        <f>G10+H10+W28+S28+V28+E10</f>
        <v>806463.47365489998</v>
      </c>
      <c r="N33" s="186" ph="1">
        <f>L10+P10++G28+H28</f>
        <v>119030.66366979999</v>
      </c>
      <c r="O33" s="190" ph="1">
        <f>BE17</f>
        <v>2270</v>
      </c>
      <c r="P33" s="194" ph="1">
        <f>L19</f>
        <v>12609.055064480001</v>
      </c>
      <c r="Q33" s="186" ph="1">
        <f>J10+N10</f>
        <v>26288.0127632</v>
      </c>
      <c r="R33" s="190" ph="1">
        <f>BE23</f>
        <v>890</v>
      </c>
      <c r="S33" s="194" ph="1">
        <f>E10+X28</f>
        <v>232551.16870840004</v>
      </c>
      <c r="T33" s="186" ph="1">
        <f>X19</f>
        <v>12073.587016199999</v>
      </c>
      <c r="U33" s="175" ph="1">
        <f>BE21</f>
        <v>730</v>
      </c>
      <c r="V33" s="188" ph="1">
        <f ca="1">P19+Q19+S19+M28+N28+J28</f>
        <v>348121.89044304402</v>
      </c>
      <c r="W33" s="188" ph="1">
        <f>D28+F28+V19+T28</f>
        <v>86745.597848894002</v>
      </c>
      <c r="X33" s="190" ph="1">
        <f>BE29+BE31</f>
        <v>10200</v>
      </c>
      <c r="Y33" s="192" ph="1">
        <f>+Q10+R10+S10+T10+U10+V10+W10+X10+Y10</f>
        <v>242687.74234320002</v>
      </c>
      <c r="Z33" s="173" ph="1">
        <f>D10+T19+U19+Y28+Z10</f>
        <v>453291.09298638004</v>
      </c>
      <c r="AA33" s="175" ph="1">
        <f>BE19</f>
        <v>1440</v>
      </c>
      <c r="AB33" s="177" ph="1">
        <f>I19</f>
        <v>15028.517656800001</v>
      </c>
      <c r="AC33" s="179" ph="1">
        <f>AD10</f>
        <v>94130.589760000003</v>
      </c>
      <c r="AD33" s="181" ph="1">
        <v>0</v>
      </c>
      <c r="AE33" s="18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5" t="s" ph="1">
        <v>633</v>
      </c>
      <c r="AD35" s="185"/>
      <c r="AE35" s="18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1" t="s" ph="1">
        <v>183</v>
      </c>
      <c r="J36" s="171" ph="1"/>
      <c r="K36" s="101" ph="1"/>
      <c r="P36" s="101" ph="1"/>
      <c r="R36" s="171" t="s" ph="1">
        <v>184</v>
      </c>
      <c r="S36" s="171" ph="1"/>
      <c r="Y36" s="102" ph="1"/>
      <c r="Z36" s="161" t="s" ph="1">
        <v>185</v>
      </c>
      <c r="AA36" s="161" ph="1"/>
      <c r="AB36" s="172" t="s" ph="1">
        <v>642</v>
      </c>
      <c r="AC36" s="172" ph="1"/>
      <c r="AD36" s="172" ph="1"/>
      <c r="AE36" s="172" ph="1"/>
      <c r="BA36" s="64" ph="1">
        <v>2270</v>
      </c>
    </row>
    <row r="37" spans="1:57" s="161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1" t="s" ph="1">
        <v>342</v>
      </c>
      <c r="AI37" s="161" t="s" ph="1">
        <v>209</v>
      </c>
      <c r="AJ37" s="161" t="s" ph="1">
        <v>210</v>
      </c>
      <c r="AK37" s="161" t="s" ph="1">
        <v>211</v>
      </c>
      <c r="AM37" s="161" t="s" ph="1">
        <v>210</v>
      </c>
      <c r="AN37" s="161" t="s" ph="1">
        <v>211</v>
      </c>
      <c r="AO37" s="161" t="s" ph="1">
        <v>212</v>
      </c>
      <c r="AP37" s="161" t="s" ph="1">
        <v>210</v>
      </c>
      <c r="AQ37" s="161" t="s" ph="1">
        <v>211</v>
      </c>
      <c r="AR37" s="161" t="s" ph="1">
        <v>212</v>
      </c>
      <c r="AS37" s="161" t="s" ph="1">
        <v>210</v>
      </c>
      <c r="AT37" s="161" t="s" ph="1">
        <v>211</v>
      </c>
      <c r="AU37" s="161" t="s" ph="1">
        <v>212</v>
      </c>
      <c r="AV37" s="161" t="s" ph="1">
        <v>210</v>
      </c>
      <c r="AW37" s="161" t="s" ph="1">
        <v>211</v>
      </c>
      <c r="AX37" s="161" t="s" ph="1">
        <v>212</v>
      </c>
      <c r="AY37" s="161" t="s" ph="1">
        <v>211</v>
      </c>
      <c r="AZ37" s="161" t="s" ph="1">
        <v>213</v>
      </c>
      <c r="BD37" s="161" t="s" ph="1">
        <v>305</v>
      </c>
      <c r="BE37" s="161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383" priority="98">
      <formula>ABS(D$7-D$10)&gt;=1000</formula>
    </cfRule>
  </conditionalFormatting>
  <conditionalFormatting sqref="E4 E6:E11">
    <cfRule type="expression" dxfId="382" priority="97">
      <formula>ABS(E$7-E$10)&gt;=1000</formula>
    </cfRule>
  </conditionalFormatting>
  <conditionalFormatting sqref="F4:F11">
    <cfRule type="expression" dxfId="381" priority="96">
      <formula>ABS(F$7-F$10)&gt;=1000</formula>
    </cfRule>
  </conditionalFormatting>
  <conditionalFormatting sqref="G4:G11">
    <cfRule type="expression" dxfId="380" priority="95">
      <formula>ABS(G$7-G$10)&gt;=1000</formula>
    </cfRule>
  </conditionalFormatting>
  <conditionalFormatting sqref="H4:H11">
    <cfRule type="expression" dxfId="379" priority="94">
      <formula>ABS(H$7-H$10)&gt;=1000</formula>
    </cfRule>
  </conditionalFormatting>
  <conditionalFormatting sqref="I4:I11">
    <cfRule type="expression" dxfId="378" priority="93">
      <formula>ABS(I$7-I$10)&gt;=1000</formula>
    </cfRule>
  </conditionalFormatting>
  <conditionalFormatting sqref="J4:J11">
    <cfRule type="expression" dxfId="377" priority="92">
      <formula>ABS(J$7-J$10)&gt;=1000</formula>
    </cfRule>
  </conditionalFormatting>
  <conditionalFormatting sqref="K4:K11">
    <cfRule type="expression" dxfId="376" priority="91">
      <formula>ABS(K$7-K$10)&gt;=1000</formula>
    </cfRule>
  </conditionalFormatting>
  <conditionalFormatting sqref="L4:L11">
    <cfRule type="expression" dxfId="375" priority="90">
      <formula>ABS(L$7-L$10)&gt;=1000</formula>
    </cfRule>
  </conditionalFormatting>
  <conditionalFormatting sqref="M4 M6:M11">
    <cfRule type="expression" dxfId="374" priority="89">
      <formula>ABS(M$7-M$10)&gt;=1000</formula>
    </cfRule>
  </conditionalFormatting>
  <conditionalFormatting sqref="N4 N6:N11">
    <cfRule type="expression" dxfId="373" priority="88">
      <formula>ABS(N$7-N$10)&gt;=1000</formula>
    </cfRule>
  </conditionalFormatting>
  <conditionalFormatting sqref="O4 O6:O11">
    <cfRule type="expression" dxfId="372" priority="87">
      <formula>ABS(O$7-O$10)&gt;=1000</formula>
    </cfRule>
  </conditionalFormatting>
  <conditionalFormatting sqref="P4 P6:P11">
    <cfRule type="expression" dxfId="371" priority="86">
      <formula>ABS(P$7-P$10)&gt;=1000</formula>
    </cfRule>
  </conditionalFormatting>
  <conditionalFormatting sqref="Q4:Q11">
    <cfRule type="expression" dxfId="370" priority="85">
      <formula>ABS(Q$7-Q$10)&gt;=1000</formula>
    </cfRule>
  </conditionalFormatting>
  <conditionalFormatting sqref="R4:R11">
    <cfRule type="expression" dxfId="369" priority="84">
      <formula>ABS(R$7-R$10)&gt;=1000</formula>
    </cfRule>
  </conditionalFormatting>
  <conditionalFormatting sqref="S4:S11">
    <cfRule type="expression" dxfId="368" priority="83">
      <formula>ABS(S$7-S$10)&gt;=1000</formula>
    </cfRule>
  </conditionalFormatting>
  <conditionalFormatting sqref="T4:T9 T11">
    <cfRule type="expression" dxfId="367" priority="82">
      <formula>ABS(T$7-T$10)&gt;=1000</formula>
    </cfRule>
  </conditionalFormatting>
  <conditionalFormatting sqref="U4:U9 U11">
    <cfRule type="expression" dxfId="366" priority="81">
      <formula>ABS(U$7-U$10)&gt;=1000</formula>
    </cfRule>
  </conditionalFormatting>
  <conditionalFormatting sqref="V4:V9 V11">
    <cfRule type="expression" dxfId="365" priority="80">
      <formula>ABS(V$7-V$10)&gt;=1000</formula>
    </cfRule>
  </conditionalFormatting>
  <conditionalFormatting sqref="W4:W9 W11">
    <cfRule type="expression" dxfId="364" priority="79">
      <formula>ABS(W$7-W$10)&gt;=1000</formula>
    </cfRule>
  </conditionalFormatting>
  <conditionalFormatting sqref="X4:X9 X11">
    <cfRule type="expression" dxfId="363" priority="78">
      <formula>ABS(X$7-X$10)&gt;=1000</formula>
    </cfRule>
  </conditionalFormatting>
  <conditionalFormatting sqref="Y4:Y9 Y11">
    <cfRule type="expression" dxfId="362" priority="77">
      <formula>ABS(Y$7-Y$10)&gt;=1000</formula>
    </cfRule>
  </conditionalFormatting>
  <conditionalFormatting sqref="Z4:Z11">
    <cfRule type="expression" dxfId="361" priority="76">
      <formula>ABS(Z$7-Z$10)&gt;=1000</formula>
    </cfRule>
  </conditionalFormatting>
  <conditionalFormatting sqref="AA4:AA11">
    <cfRule type="expression" dxfId="360" priority="75">
      <formula>ABS(AA$7-AA$10)&gt;=1000</formula>
    </cfRule>
  </conditionalFormatting>
  <conditionalFormatting sqref="AB4:AB11">
    <cfRule type="expression" dxfId="359" priority="74">
      <formula>ABS(AB$7-AB$10)&gt;=1000</formula>
    </cfRule>
  </conditionalFormatting>
  <conditionalFormatting sqref="AC4 AC6:AC11">
    <cfRule type="expression" dxfId="358" priority="73">
      <formula>ABS(AC$7-AC$10)&gt;=1000</formula>
    </cfRule>
  </conditionalFormatting>
  <conditionalFormatting sqref="AD4:AD11">
    <cfRule type="expression" dxfId="357" priority="72">
      <formula>ABS(AD$7-AD$10)&gt;=1000</formula>
    </cfRule>
  </conditionalFormatting>
  <conditionalFormatting sqref="AE4 AE6:AE11">
    <cfRule type="expression" dxfId="356" priority="71">
      <formula>ABS(AE$7-AE$10)&gt;=1000</formula>
    </cfRule>
  </conditionalFormatting>
  <conditionalFormatting sqref="D13:D20">
    <cfRule type="expression" dxfId="355" priority="70">
      <formula>ABS(D$16-D$19)&gt;=1000</formula>
    </cfRule>
  </conditionalFormatting>
  <conditionalFormatting sqref="E13:E20">
    <cfRule type="expression" dxfId="354" priority="69">
      <formula>ABS(E$16-E$19)&gt;=1000</formula>
    </cfRule>
  </conditionalFormatting>
  <conditionalFormatting sqref="F13 F15:F20">
    <cfRule type="expression" dxfId="353" priority="68">
      <formula>ABS(F$16-F$19)&gt;=1000</formula>
    </cfRule>
  </conditionalFormatting>
  <conditionalFormatting sqref="G13:G20">
    <cfRule type="expression" dxfId="352" priority="67">
      <formula>ABS(G$16-G$19)&gt;=1000</formula>
    </cfRule>
  </conditionalFormatting>
  <conditionalFormatting sqref="H13:H20">
    <cfRule type="expression" dxfId="351" priority="66">
      <formula>ABS(H$16-H$19)&gt;=1000</formula>
    </cfRule>
  </conditionalFormatting>
  <conditionalFormatting sqref="I13:I20">
    <cfRule type="expression" dxfId="350" priority="65">
      <formula>ABS(I$16-I$19)&gt;=1000</formula>
    </cfRule>
  </conditionalFormatting>
  <conditionalFormatting sqref="J13:J20">
    <cfRule type="expression" dxfId="349" priority="64">
      <formula>ABS(J$16-J$19)&gt;=1000</formula>
    </cfRule>
  </conditionalFormatting>
  <conditionalFormatting sqref="L13:L20">
    <cfRule type="expression" dxfId="348" priority="63">
      <formula>ABS(L$16-L$19)&gt;=1000</formula>
    </cfRule>
  </conditionalFormatting>
  <conditionalFormatting sqref="M13 M15 M17:M18 M20">
    <cfRule type="expression" dxfId="347" priority="62">
      <formula>ABS(M$16-M$19)&gt;=1000</formula>
    </cfRule>
  </conditionalFormatting>
  <conditionalFormatting sqref="N13:N20">
    <cfRule type="expression" dxfId="346" priority="61">
      <formula>ABS(N$16-N$19)&gt;=1000</formula>
    </cfRule>
  </conditionalFormatting>
  <conditionalFormatting sqref="O13:O20">
    <cfRule type="expression" dxfId="345" priority="60">
      <formula>ABS(O$16-O$19)&gt;=1000</formula>
    </cfRule>
  </conditionalFormatting>
  <conditionalFormatting sqref="P13:P20">
    <cfRule type="expression" dxfId="344" priority="59">
      <formula>ABS(P$16-P$19)&gt;=1000</formula>
    </cfRule>
  </conditionalFormatting>
  <conditionalFormatting sqref="Q13 Q15:Q20">
    <cfRule type="expression" dxfId="343" priority="58">
      <formula>ABS(Q$16-Q$19)&gt;=1000</formula>
    </cfRule>
  </conditionalFormatting>
  <conditionalFormatting sqref="R13:R20">
    <cfRule type="expression" dxfId="342" priority="57">
      <formula>ABS(R$16-R$19)&gt;=1000</formula>
    </cfRule>
  </conditionalFormatting>
  <conditionalFormatting sqref="S13:S20">
    <cfRule type="expression" dxfId="341" priority="56">
      <formula>ABS(S$16-S$19)&gt;=1000</formula>
    </cfRule>
  </conditionalFormatting>
  <conditionalFormatting sqref="T13:T20">
    <cfRule type="expression" dxfId="340" priority="55">
      <formula>ABS(T$16-T$19)&gt;=1000</formula>
    </cfRule>
  </conditionalFormatting>
  <conditionalFormatting sqref="U13:U20">
    <cfRule type="expression" dxfId="339" priority="54">
      <formula>ABS(U$16-U$19)&gt;=1000</formula>
    </cfRule>
  </conditionalFormatting>
  <conditionalFormatting sqref="V13:V20">
    <cfRule type="expression" dxfId="338" priority="53">
      <formula>ABS(V$16-V$19)&gt;=1000</formula>
    </cfRule>
  </conditionalFormatting>
  <conditionalFormatting sqref="W13 W20 W15:W18">
    <cfRule type="expression" dxfId="337" priority="52">
      <formula>ABS(W$16-W$19)&gt;=1000</formula>
    </cfRule>
  </conditionalFormatting>
  <conditionalFormatting sqref="X13 X15:X20 Y19">
    <cfRule type="expression" dxfId="336" priority="51">
      <formula>ABS(X$16-X$19)&gt;=1000</formula>
    </cfRule>
  </conditionalFormatting>
  <conditionalFormatting sqref="Y13 Y15:Y18 Y20">
    <cfRule type="expression" dxfId="335" priority="50">
      <formula>ABS(Y$16-Y$19)&gt;=1000</formula>
    </cfRule>
  </conditionalFormatting>
  <conditionalFormatting sqref="Z13:Z20">
    <cfRule type="expression" dxfId="334" priority="49">
      <formula>ABS(Z$16-Z$19)&gt;=1000</formula>
    </cfRule>
  </conditionalFormatting>
  <conditionalFormatting sqref="AA13:AA20">
    <cfRule type="expression" dxfId="333" priority="48">
      <formula>ABS(AA$16-AA$19)&gt;=1000</formula>
    </cfRule>
  </conditionalFormatting>
  <conditionalFormatting sqref="AB13 AB15:AB20">
    <cfRule type="expression" dxfId="332" priority="47">
      <formula>ABS(AB$16-AB$19)&gt;=1000</formula>
    </cfRule>
  </conditionalFormatting>
  <conditionalFormatting sqref="AC13 AC15:AC20">
    <cfRule type="expression" dxfId="331" priority="46">
      <formula>ABS(AC$16-AC$19)&gt;=1000</formula>
    </cfRule>
  </conditionalFormatting>
  <conditionalFormatting sqref="AD13:AD20">
    <cfRule type="expression" dxfId="330" priority="45">
      <formula>ABS(AD$16-AD$19)&gt;=1000</formula>
    </cfRule>
  </conditionalFormatting>
  <conditionalFormatting sqref="AE13:AE20">
    <cfRule type="expression" dxfId="329" priority="44">
      <formula>ABS(AE$16-AE$19)&gt;=1000</formula>
    </cfRule>
  </conditionalFormatting>
  <conditionalFormatting sqref="D22:D29">
    <cfRule type="expression" dxfId="328" priority="43">
      <formula>ABS(D$25-D$28)&gt;=1000</formula>
    </cfRule>
  </conditionalFormatting>
  <conditionalFormatting sqref="E22:E29">
    <cfRule type="expression" dxfId="327" priority="42">
      <formula>ABS(E$25-E$28)&gt;=1000</formula>
    </cfRule>
  </conditionalFormatting>
  <conditionalFormatting sqref="F22:F29">
    <cfRule type="expression" dxfId="326" priority="41">
      <formula>ABS(F$25-F$28)&gt;=1000</formula>
    </cfRule>
  </conditionalFormatting>
  <conditionalFormatting sqref="G22:G29">
    <cfRule type="expression" dxfId="325" priority="40">
      <formula>ABS(G$25-G$28)&gt;=1000</formula>
    </cfRule>
  </conditionalFormatting>
  <conditionalFormatting sqref="H22:H29">
    <cfRule type="expression" dxfId="324" priority="39">
      <formula>ABS(H$25-H$28)&gt;=1000</formula>
    </cfRule>
  </conditionalFormatting>
  <conditionalFormatting sqref="I22 I24:I29">
    <cfRule type="expression" dxfId="323" priority="38">
      <formula>ABS(I$25-I$28)&gt;=1000</formula>
    </cfRule>
  </conditionalFormatting>
  <conditionalFormatting sqref="J22:J29 K22">
    <cfRule type="expression" dxfId="322" priority="37">
      <formula>ABS(J$25-J$28)&gt;=1000</formula>
    </cfRule>
  </conditionalFormatting>
  <conditionalFormatting sqref="K23:K29 L25 L28">
    <cfRule type="expression" dxfId="321" priority="36">
      <formula>ABS(K$25-K$28)&gt;=1000</formula>
    </cfRule>
  </conditionalFormatting>
  <conditionalFormatting sqref="L22 L26:L27 L29 L24">
    <cfRule type="expression" dxfId="320" priority="35">
      <formula>ABS(L$25-L$28)&gt;=1000</formula>
    </cfRule>
  </conditionalFormatting>
  <conditionalFormatting sqref="M22:M29">
    <cfRule type="expression" dxfId="319" priority="34">
      <formula>ABS(M$25-M$28)&gt;=1000</formula>
    </cfRule>
  </conditionalFormatting>
  <conditionalFormatting sqref="N22:N29">
    <cfRule type="expression" dxfId="318" priority="33">
      <formula>ABS(N$25-N$28)&gt;=1000</formula>
    </cfRule>
  </conditionalFormatting>
  <conditionalFormatting sqref="O22:O29">
    <cfRule type="expression" dxfId="317" priority="32">
      <formula>ABS(O$25-O$28)&gt;=1000</formula>
    </cfRule>
  </conditionalFormatting>
  <conditionalFormatting sqref="P22:P29">
    <cfRule type="expression" dxfId="316" priority="31">
      <formula>ABS(P$25-P$28)&gt;=1000</formula>
    </cfRule>
  </conditionalFormatting>
  <conditionalFormatting sqref="Q22:Q29">
    <cfRule type="expression" dxfId="315" priority="30">
      <formula>ABS(Q$25-Q$28)&gt;=1000</formula>
    </cfRule>
  </conditionalFormatting>
  <conditionalFormatting sqref="R22:R29">
    <cfRule type="expression" dxfId="314" priority="29">
      <formula>ABS(R$25-R$28)&gt;=1000</formula>
    </cfRule>
  </conditionalFormatting>
  <conditionalFormatting sqref="S22:S29">
    <cfRule type="expression" dxfId="313" priority="28">
      <formula>ABS(S$25-S$28)&gt;=1000</formula>
    </cfRule>
  </conditionalFormatting>
  <conditionalFormatting sqref="T22:T29">
    <cfRule type="expression" dxfId="312" priority="27">
      <formula>ABS(T$25-T$28)&gt;=1000</formula>
    </cfRule>
  </conditionalFormatting>
  <conditionalFormatting sqref="U22:U29">
    <cfRule type="expression" dxfId="311" priority="26">
      <formula>ABS(U$25-U$28)&gt;=1000</formula>
    </cfRule>
  </conditionalFormatting>
  <conditionalFormatting sqref="V22:V29">
    <cfRule type="expression" dxfId="310" priority="25">
      <formula>ABS(V$25-V$28)&gt;=1000</formula>
    </cfRule>
  </conditionalFormatting>
  <conditionalFormatting sqref="W22:W29">
    <cfRule type="expression" dxfId="309" priority="24">
      <formula>ABS(W$25-W$28)&gt;=1000</formula>
    </cfRule>
  </conditionalFormatting>
  <conditionalFormatting sqref="X22:X29">
    <cfRule type="expression" dxfId="308" priority="23">
      <formula>ABS(X$25-X$28)&gt;=1000</formula>
    </cfRule>
  </conditionalFormatting>
  <conditionalFormatting sqref="Y22:Y29">
    <cfRule type="expression" dxfId="307" priority="22">
      <formula>ABS(Y$25-Y$28)&gt;=1000</formula>
    </cfRule>
  </conditionalFormatting>
  <conditionalFormatting sqref="I23">
    <cfRule type="expression" dxfId="306" priority="21">
      <formula>ABS(I$25-I$28)&gt;=1000</formula>
    </cfRule>
  </conditionalFormatting>
  <conditionalFormatting sqref="Q14">
    <cfRule type="expression" dxfId="305" priority="20">
      <formula>ABS(Q$16-Q$19)&gt;=1000</formula>
    </cfRule>
  </conditionalFormatting>
  <conditionalFormatting sqref="W14">
    <cfRule type="expression" dxfId="304" priority="19">
      <formula>ABS(W$16-W$19)&gt;=1000</formula>
    </cfRule>
  </conditionalFormatting>
  <conditionalFormatting sqref="Y14">
    <cfRule type="expression" dxfId="303" priority="18">
      <formula>ABS(Y$16-Y$19)&gt;=1000</formula>
    </cfRule>
  </conditionalFormatting>
  <conditionalFormatting sqref="X14">
    <cfRule type="expression" dxfId="302" priority="17">
      <formula>ABS(X$16-X$19)&gt;=1000</formula>
    </cfRule>
  </conditionalFormatting>
  <conditionalFormatting sqref="T10:Y10">
    <cfRule type="expression" dxfId="301" priority="16">
      <formula>ABS(T$7-T$10)&gt;=1000</formula>
    </cfRule>
  </conditionalFormatting>
  <conditionalFormatting sqref="W19">
    <cfRule type="expression" dxfId="300" priority="15">
      <formula>ABS(W$16-W$19)&gt;=1000</formula>
    </cfRule>
  </conditionalFormatting>
  <conditionalFormatting sqref="AC5">
    <cfRule type="expression" dxfId="299" priority="14">
      <formula>ABS(AC$7-AC$10)&gt;=1000</formula>
    </cfRule>
  </conditionalFormatting>
  <conditionalFormatting sqref="M14">
    <cfRule type="expression" dxfId="298" priority="13">
      <formula>ABS(M$16-M$19)&gt;=1000</formula>
    </cfRule>
  </conditionalFormatting>
  <conditionalFormatting sqref="M16">
    <cfRule type="expression" dxfId="297" priority="12">
      <formula>ABS(M$16-M$19)&gt;=1000</formula>
    </cfRule>
  </conditionalFormatting>
  <conditionalFormatting sqref="M19">
    <cfRule type="expression" dxfId="296" priority="11">
      <formula>ABS(M$16-M$19)&gt;=1000</formula>
    </cfRule>
  </conditionalFormatting>
  <conditionalFormatting sqref="K13:K20">
    <cfRule type="expression" dxfId="295" priority="10">
      <formula>ABS(K$16-K$19)&gt;=1000</formula>
    </cfRule>
  </conditionalFormatting>
  <conditionalFormatting sqref="E5">
    <cfRule type="expression" dxfId="294" priority="9">
      <formula>ABS(E$7-E$10)&gt;=1000</formula>
    </cfRule>
  </conditionalFormatting>
  <conditionalFormatting sqref="AB14:AC14">
    <cfRule type="expression" dxfId="293" priority="8">
      <formula>ABS(AB$16-AB$19)&gt;=1000</formula>
    </cfRule>
  </conditionalFormatting>
  <conditionalFormatting sqref="M5">
    <cfRule type="expression" dxfId="292" priority="7">
      <formula>ABS(M$7-M$10)&gt;=1000</formula>
    </cfRule>
  </conditionalFormatting>
  <conditionalFormatting sqref="N5">
    <cfRule type="expression" dxfId="291" priority="6">
      <formula>ABS(N$7-N$10)&gt;=1000</formula>
    </cfRule>
  </conditionalFormatting>
  <conditionalFormatting sqref="O5">
    <cfRule type="expression" dxfId="290" priority="5">
      <formula>ABS(O$7-O$10)&gt;=1000</formula>
    </cfRule>
  </conditionalFormatting>
  <conditionalFormatting sqref="P5">
    <cfRule type="expression" dxfId="289" priority="4">
      <formula>ABS(P$7-P$10)&gt;=1000</formula>
    </cfRule>
  </conditionalFormatting>
  <conditionalFormatting sqref="L23">
    <cfRule type="expression" dxfId="288" priority="3">
      <formula>ABS(L$25-L$28)&gt;=1000</formula>
    </cfRule>
  </conditionalFormatting>
  <conditionalFormatting sqref="F14">
    <cfRule type="expression" dxfId="287" priority="2">
      <formula>ABS(F$16-F$19)&gt;=1000</formula>
    </cfRule>
  </conditionalFormatting>
  <conditionalFormatting sqref="AE5">
    <cfRule type="expression" dxfId="286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8390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73">
    <pageSetUpPr fitToPage="1"/>
  </sheetPr>
  <dimension ref="A1:CU223"/>
  <sheetViews>
    <sheetView view="pageBreakPreview" topLeftCell="A13" zoomScale="70" zoomScaleNormal="100" zoomScaleSheetLayoutView="70" workbookViewId="0">
      <selection activeCell="E28" sqref="E28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8" t="s" ph="1">
        <v>161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" customHeight="1" ph="1">
      <c r="B3" s="240" ph="1">
        <v>45988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9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59" t="s" ph="1">
        <v>177</v>
      </c>
      <c r="D6" s="71">
        <v>5115</v>
      </c>
      <c r="E6" s="71">
        <v>1233</v>
      </c>
      <c r="F6" s="71">
        <v>5027</v>
      </c>
      <c r="G6" s="71">
        <v>1417</v>
      </c>
      <c r="H6" s="71">
        <v>121</v>
      </c>
      <c r="I6" s="71">
        <v>27.12</v>
      </c>
      <c r="J6" s="71">
        <v>7.01</v>
      </c>
      <c r="K6" s="71">
        <v>49.43</v>
      </c>
      <c r="L6" s="71">
        <v>63.38</v>
      </c>
      <c r="M6" s="71">
        <v>3598</v>
      </c>
      <c r="N6" s="71">
        <v>720</v>
      </c>
      <c r="O6" s="71">
        <v>2311</v>
      </c>
      <c r="P6" s="71">
        <v>1016</v>
      </c>
      <c r="Q6" s="71">
        <v>4983</v>
      </c>
      <c r="R6" s="71">
        <v>7110</v>
      </c>
      <c r="S6" s="71">
        <v>6039</v>
      </c>
      <c r="T6" s="71">
        <v>4842</v>
      </c>
      <c r="U6" s="71">
        <v>0</v>
      </c>
      <c r="V6" s="71">
        <v>2950</v>
      </c>
      <c r="W6" s="71">
        <v>0</v>
      </c>
      <c r="X6" s="71">
        <v>0</v>
      </c>
      <c r="Y6" s="71">
        <v>2380</v>
      </c>
      <c r="Z6" s="71">
        <v>4897</v>
      </c>
      <c r="AA6" s="71">
        <v>1935</v>
      </c>
      <c r="AB6" s="71">
        <v>2453</v>
      </c>
      <c r="AC6" s="71">
        <v>6689</v>
      </c>
      <c r="AD6" s="71">
        <v>4780</v>
      </c>
      <c r="AE6" s="71">
        <v>4392</v>
      </c>
    </row>
    <row r="7" spans="1:99" s="72" customFormat="1" ht="22.2" ph="1">
      <c r="B7" s="237" ph="1"/>
      <c r="C7" s="68" t="s" ph="1">
        <v>178</v>
      </c>
      <c r="D7" s="73" ph="1">
        <f>D6*33.183*LOOKUP(D8,密度!$A$2:$A$50,密度!$Q$2:$Q$50)</f>
        <v>161585.65215045001</v>
      </c>
      <c r="E7" s="73" ph="1">
        <f>E6*51.53*LOOKUP(E8,密度!$A$2:$A$50,密度!$B$2:$B$50)</f>
        <v>49920.620192999995</v>
      </c>
      <c r="F7" s="73" ph="1">
        <f>F6*33.183*LOOKUP(F8,密度!$A$2:$A$50,密度!$C$2:$C$50)</f>
        <v>185593.85295659999</v>
      </c>
      <c r="G7" s="73" ph="1">
        <f xml:space="preserve"> (G6+2)*51.53*LOOKUP(G8,密度!$A$2:$A$50,密度!$B$2:$B$50)</f>
        <v>57560.906304000004</v>
      </c>
      <c r="H7" s="73" ph="1">
        <f>(H6)*51.53*LOOKUP(H8,密度!$A$2:$A$50,密度!$B$2:$B$50)</f>
        <v>4908.2943359999999</v>
      </c>
      <c r="I7" s="73" ph="1">
        <f>I6*290.8*1.0267</f>
        <v>8097.065443200001</v>
      </c>
      <c r="J7" s="73" ph="1">
        <f>J6*290.8*0.7892</f>
        <v>1608.7905136000002</v>
      </c>
      <c r="K7" s="73" ph="1">
        <f>K6*290.8*1.1126</f>
        <v>15992.783874400002</v>
      </c>
      <c r="L7" s="73" ph="1">
        <f>L6*290.8*0.777</f>
        <v>14320.812408000002</v>
      </c>
      <c r="M7" s="73" ph="1">
        <f>M6*33.183*LOOKUP(M8,密度!$A$2:$A$50,密度!$D$2:$D$50)</f>
        <v>123141.35642760001</v>
      </c>
      <c r="N7" s="73" ph="1">
        <f>N6*33.183*LOOKUP(N8,密度!$A$2:$A$50,密度!$E$2:$E$50)</f>
        <v>18855.376991999998</v>
      </c>
      <c r="O7" s="73" ph="1">
        <f>O6*20.428*LOOKUP(O8,密度!$A$2:$A$50,密度!$C$2:$C$50)</f>
        <v>52350.179861199998</v>
      </c>
      <c r="P7" s="73" ph="1">
        <f>P6*51.53*LOOKUP(P8,密度!$A$2:$A$50,密度!$B$2:$B$50)</f>
        <v>41171.563072000004</v>
      </c>
      <c r="Q7" s="73" ph="1">
        <f>Q6*1.5*1.5*3.1416*LOOKUP(W8,密度!$A$2:$A$50,密度!$L$2:$L$50)</f>
        <v>33215.132273399999</v>
      </c>
      <c r="R7" s="73" ph="1">
        <f>R6*1.5*1.5*3.1416*LOOKUP(R8,密度!$A$2:$A$50,密度!$L$2:$L$50)</f>
        <v>47091.508002000002</v>
      </c>
      <c r="S7" s="73" ph="1">
        <f>S6*1.5*1.5*3.1416*LOOKUP(S8,密度!$A$2:$A$50,密度!$L$2:$L$50)</f>
        <v>40339.475252999997</v>
      </c>
      <c r="T7" s="73" ph="1">
        <f>T6*1.5*1.5*3.1416*LOOKUP(T8,密度!$A$2:$A$50,密度!$L$2:$L$50)</f>
        <v>32377.948495200002</v>
      </c>
      <c r="U7" s="73" ph="1">
        <f>U6*1.5*1.5*3.1416*LOOKUP(U8,密度!$A$2:$A$50,密度!$L$2:$L$50)</f>
        <v>0</v>
      </c>
      <c r="V7" s="73" ph="1">
        <f>V6*1.5*1.5*3.1416*LOOKUP(V8,密度!$A$2:$A$50,密度!$L$2:$L$50)</f>
        <v>19580.375429999996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15847.518456</v>
      </c>
      <c r="Z7" s="73" ph="1">
        <f>Z6*33.183*LOOKUP(Z8,密度!$A$2:$A$50,密度!$L$2:$L$50)</f>
        <v>153397.31054400001</v>
      </c>
      <c r="AA7" s="73" ph="1">
        <f>AA6*33.183*LOOKUP(AA8,密度!$A$2:$A$50,密度!$D$2:$D$50)</f>
        <v>66276.638181000002</v>
      </c>
      <c r="AB7" s="73" ph="1">
        <f>AB6*20.428*LOOKUP(AB8,密度!$A$2:$A$50,密度!$D$2:$D$50)</f>
        <v>51983.993661600012</v>
      </c>
      <c r="AC7" s="73" ph="1">
        <f>AC6*51.53*LOOKUP(AC8,密度!$A$2:$A$50,密度!$Q$2:$Q$50)</f>
        <v>328415.07717599999</v>
      </c>
      <c r="AD7" s="73" ph="1">
        <f>AD6*20.428*LOOKUP(AD8,密度!$A$2:$A$50,密度!$V$2:$V$50)</f>
        <v>94130.589760000003</v>
      </c>
      <c r="AE7" s="73" ph="1">
        <f>AE6*20.428</f>
        <v>89719.775999999998</v>
      </c>
    </row>
    <row r="8" spans="1:99" ph="1">
      <c r="B8" s="237" ph="1"/>
      <c r="C8" s="68" t="s" ph="1">
        <v>179</v>
      </c>
      <c r="D8" s="74">
        <v>18</v>
      </c>
      <c r="E8" s="74">
        <v>18</v>
      </c>
      <c r="F8" s="74">
        <v>20</v>
      </c>
      <c r="G8" s="74">
        <v>16</v>
      </c>
      <c r="H8" s="74">
        <v>16</v>
      </c>
      <c r="I8" s="74">
        <v>25</v>
      </c>
      <c r="J8" s="74">
        <v>25</v>
      </c>
      <c r="K8" s="74">
        <v>25</v>
      </c>
      <c r="L8" s="74">
        <v>25</v>
      </c>
      <c r="M8" s="74">
        <v>20</v>
      </c>
      <c r="N8" s="74">
        <v>20</v>
      </c>
      <c r="O8" s="74">
        <v>25</v>
      </c>
      <c r="P8" s="74">
        <v>17</v>
      </c>
      <c r="Q8" s="74">
        <v>21</v>
      </c>
      <c r="R8" s="74">
        <v>25</v>
      </c>
      <c r="S8" s="74">
        <v>17</v>
      </c>
      <c r="T8" s="74">
        <v>16</v>
      </c>
      <c r="U8" s="74">
        <v>20</v>
      </c>
      <c r="V8" s="74">
        <v>23</v>
      </c>
      <c r="W8" s="74">
        <v>19</v>
      </c>
      <c r="X8" s="74">
        <v>16</v>
      </c>
      <c r="Y8" s="74">
        <v>20</v>
      </c>
      <c r="Z8" s="74">
        <v>18</v>
      </c>
      <c r="AA8" s="74">
        <v>19</v>
      </c>
      <c r="AB8" s="74">
        <v>13</v>
      </c>
      <c r="AC8" s="74">
        <v>17</v>
      </c>
      <c r="AD8" s="74">
        <v>18</v>
      </c>
      <c r="AE8" s="74">
        <v>24</v>
      </c>
    </row>
    <row r="9" spans="1:99" ht="26.4" ph="1">
      <c r="B9" s="237" ph="1">
        <v>0.66666666666666663</v>
      </c>
      <c r="C9" s="159" t="s" ph="1">
        <v>180</v>
      </c>
      <c r="D9" s="71">
        <v>5117</v>
      </c>
      <c r="E9" s="71">
        <v>1233</v>
      </c>
      <c r="F9" s="71">
        <v>5824</v>
      </c>
      <c r="G9" s="71">
        <v>1144</v>
      </c>
      <c r="H9" s="71">
        <v>2135</v>
      </c>
      <c r="I9" s="71">
        <v>27.13</v>
      </c>
      <c r="J9" s="71">
        <v>7.03</v>
      </c>
      <c r="K9" s="71">
        <v>13.85</v>
      </c>
      <c r="L9" s="71">
        <v>29.02</v>
      </c>
      <c r="M9" s="71">
        <v>3598</v>
      </c>
      <c r="N9" s="71">
        <v>722</v>
      </c>
      <c r="O9" s="71">
        <v>2283</v>
      </c>
      <c r="P9" s="71">
        <v>765</v>
      </c>
      <c r="Q9" s="71">
        <v>3494</v>
      </c>
      <c r="R9" s="71">
        <v>7113</v>
      </c>
      <c r="S9" s="71">
        <v>6042</v>
      </c>
      <c r="T9" s="71">
        <v>7193</v>
      </c>
      <c r="U9" s="71">
        <v>0</v>
      </c>
      <c r="V9" s="71">
        <v>4978</v>
      </c>
      <c r="W9" s="71">
        <v>0</v>
      </c>
      <c r="X9" s="71">
        <v>0</v>
      </c>
      <c r="Y9" s="71">
        <v>0</v>
      </c>
      <c r="Z9" s="71">
        <v>5620</v>
      </c>
      <c r="AA9" s="71">
        <v>1934</v>
      </c>
      <c r="AB9" s="71">
        <v>1994</v>
      </c>
      <c r="AC9" s="71">
        <v>6689</v>
      </c>
      <c r="AD9" s="71">
        <v>4780</v>
      </c>
      <c r="AE9" s="71">
        <v>4342</v>
      </c>
    </row>
    <row r="10" spans="1:99" s="72" customFormat="1" ht="22.2" ph="1">
      <c r="B10" s="237" ph="1"/>
      <c r="C10" s="159" t="s" ph="1">
        <v>178</v>
      </c>
      <c r="D10" s="73" ph="1">
        <f>D9*33.183*LOOKUP(D11,密度!$A$2:$A$50,密度!$Q$2:$Q$50)</f>
        <v>161516.39126552999</v>
      </c>
      <c r="E10" s="73" ph="1">
        <f>E9*51.53*LOOKUP(E11,密度!$A$2:$A$50,密度!$B$2:$B$50)</f>
        <v>49869.791000999998</v>
      </c>
      <c r="F10" s="73" ph="1">
        <f>F9*33.183*LOOKUP(F11,密度!$A$2:$A$50,密度!$C$2:$C$50)</f>
        <v>214883.33892480002</v>
      </c>
      <c r="G10" s="73" ph="1">
        <f xml:space="preserve"> (G9+2)*51.53*LOOKUP(G11,密度!$A$2:$A$50,密度!$B$2:$B$50)</f>
        <v>46439.578032000005</v>
      </c>
      <c r="H10" s="73" ph="1">
        <f>(H9)*51.53*LOOKUP(H11,密度!$A$2:$A$50,密度!$B$2:$B$50)</f>
        <v>86517.014920000001</v>
      </c>
      <c r="I10" s="73" ph="1">
        <f>I9*290.8*1.0267</f>
        <v>8100.0510868000001</v>
      </c>
      <c r="J10" s="73" ph="1">
        <f>J9*290.8*0.7892</f>
        <v>1613.3805008000002</v>
      </c>
      <c r="K10" s="73" ph="1">
        <f>K9*290.8*1.1126</f>
        <v>4481.0855080000001</v>
      </c>
      <c r="L10" s="73" ph="1">
        <f>L9*290.8*0.777</f>
        <v>6557.1154319999996</v>
      </c>
      <c r="M10" s="73" ph="1">
        <f>M9*33.183*LOOKUP(M11,密度!$A$2:$A$50,密度!$D$2:$D$50)</f>
        <v>123033.90323699999</v>
      </c>
      <c r="N10" s="73" ph="1">
        <f>N9*33.183*LOOKUP(N11,密度!$A$2:$A$50,密度!$E$2:$E$50)</f>
        <v>18850.253536800003</v>
      </c>
      <c r="O10" s="73" ph="1">
        <f>O9*20.428*LOOKUP(O11,密度!$A$2:$A$50,密度!$C$2:$C$50)</f>
        <v>51715.906803600003</v>
      </c>
      <c r="P10" s="73" ph="1">
        <f>P9*51.53*LOOKUP(P11,密度!$A$2:$A$50,密度!$B$2:$B$50)</f>
        <v>30941.111205000005</v>
      </c>
      <c r="Q10" s="73" ph="1">
        <f>Q9*1.5*1.5*3.1416*LOOKUP(W11,密度!$A$2:$A$50,密度!$L$2:$L$50)</f>
        <v>23215.827095999997</v>
      </c>
      <c r="R10" s="73" ph="1">
        <f>R9*1.5*1.5*3.1416*LOOKUP(R11,密度!$A$2:$A$50,密度!$L$2:$L$50)</f>
        <v>47061.098884800005</v>
      </c>
      <c r="S10" s="73" ph="1">
        <f>S9*1.5*1.5*3.1416*LOOKUP(S11,密度!$A$2:$A$50,密度!$L$2:$L$50)</f>
        <v>40188.680809199999</v>
      </c>
      <c r="T10" s="73" ph="1">
        <f>T9*1.5*1.5*3.1416*LOOKUP(T11,密度!$A$2:$A$50,密度!$L$2:$L$50)</f>
        <v>48098.840050799998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33005.866370399999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175858.61777999997</v>
      </c>
      <c r="AA10" s="73" ph="1">
        <f>AA9*33.183*LOOKUP(AA11,密度!$A$2:$A$50,密度!$D$2:$D$50)</f>
        <v>66191.045950800006</v>
      </c>
      <c r="AB10" s="73" ph="1">
        <f>AB9*20.428*LOOKUP(AB11,密度!$A$2:$A$50,密度!$D$2:$D$50)</f>
        <v>42256.862356800004</v>
      </c>
      <c r="AC10" s="73" ph="1">
        <f>AC9*51.53*LOOKUP(AC11,密度!$A$2:$A$50,密度!$Q$2:$Q$50)</f>
        <v>327580.94148459996</v>
      </c>
      <c r="AD10" s="73" ph="1">
        <f>AD9*20.428*LOOKUP(AD11,密度!$A$2:$A$50,密度!$V$2:$V$50)</f>
        <v>94130.589760000003</v>
      </c>
      <c r="AE10" s="73" ph="1">
        <f>AE9*20.428</f>
        <v>88698.376000000004</v>
      </c>
    </row>
    <row r="11" spans="1:99" ph="1">
      <c r="A11" s="64" t="s" ph="1">
        <v>162</v>
      </c>
      <c r="B11" s="237" ph="1"/>
      <c r="C11" s="159" t="s" ph="1">
        <v>179</v>
      </c>
      <c r="D11" s="74">
        <v>19</v>
      </c>
      <c r="E11" s="74">
        <v>19</v>
      </c>
      <c r="F11" s="74">
        <v>21</v>
      </c>
      <c r="G11" s="74">
        <v>17</v>
      </c>
      <c r="H11" s="74">
        <v>17</v>
      </c>
      <c r="I11" s="74">
        <v>25</v>
      </c>
      <c r="J11" s="74">
        <v>25</v>
      </c>
      <c r="K11" s="74">
        <v>25</v>
      </c>
      <c r="L11" s="74">
        <v>25</v>
      </c>
      <c r="M11" s="74">
        <v>21</v>
      </c>
      <c r="N11" s="74">
        <v>22</v>
      </c>
      <c r="O11" s="74">
        <v>25</v>
      </c>
      <c r="P11" s="74">
        <v>19</v>
      </c>
      <c r="Q11" s="74">
        <v>22</v>
      </c>
      <c r="R11" s="74">
        <v>26</v>
      </c>
      <c r="S11" s="74">
        <v>21</v>
      </c>
      <c r="T11" s="74">
        <v>16</v>
      </c>
      <c r="U11" s="74">
        <v>21</v>
      </c>
      <c r="V11" s="74">
        <v>24</v>
      </c>
      <c r="W11" s="74">
        <v>22</v>
      </c>
      <c r="X11" s="74">
        <v>14</v>
      </c>
      <c r="Y11" s="74">
        <v>20</v>
      </c>
      <c r="Z11" s="74">
        <v>19</v>
      </c>
      <c r="AA11" s="74">
        <v>20</v>
      </c>
      <c r="AB11" s="74">
        <v>13</v>
      </c>
      <c r="AC11" s="74">
        <v>20</v>
      </c>
      <c r="AD11" s="74">
        <v>19</v>
      </c>
      <c r="AE11" s="74">
        <v>25</v>
      </c>
    </row>
    <row r="12" spans="1:99" ht="9.9" customHeight="1" ph="1"/>
    <row r="13" spans="1:99" s="72" customFormat="1" ht="29.25" customHeight="1" ph="1">
      <c r="B13" s="214" t="s" ph="1">
        <v>37</v>
      </c>
      <c r="C13" s="159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5" ph="1"/>
      <c r="C14" s="67" t="s" ph="1">
        <v>36</v>
      </c>
      <c r="D14" s="77" t="s" ph="1">
        <v>616</v>
      </c>
      <c r="E14" s="77" t="s" ph="1">
        <v>616</v>
      </c>
      <c r="F14" s="77" t="s" ph="1">
        <v>639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636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635</v>
      </c>
      <c r="AC14" s="77" t="s" ph="1">
        <v>637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6" ph="1">
        <v>0.33333333333333331</v>
      </c>
      <c r="C15" s="159" t="s" ph="1">
        <v>177</v>
      </c>
      <c r="D15" s="78">
        <v>5701</v>
      </c>
      <c r="E15" s="78">
        <v>1986</v>
      </c>
      <c r="F15" s="78">
        <v>1759</v>
      </c>
      <c r="G15" s="78">
        <v>2038</v>
      </c>
      <c r="H15" s="78">
        <v>2490</v>
      </c>
      <c r="I15" s="78">
        <v>1610</v>
      </c>
      <c r="J15" s="78">
        <v>1441</v>
      </c>
      <c r="K15" s="78">
        <v>4730</v>
      </c>
      <c r="L15" s="78">
        <v>1762</v>
      </c>
      <c r="M15" s="78">
        <v>3702</v>
      </c>
      <c r="N15" s="78">
        <v>2515</v>
      </c>
      <c r="O15" s="78">
        <v>846</v>
      </c>
      <c r="P15" s="78">
        <v>6983</v>
      </c>
      <c r="Q15" s="78">
        <v>4287</v>
      </c>
      <c r="R15" s="78">
        <v>4952</v>
      </c>
      <c r="S15" s="78">
        <v>6161</v>
      </c>
      <c r="T15" s="78">
        <v>579</v>
      </c>
      <c r="U15" s="78">
        <v>7022</v>
      </c>
      <c r="V15" s="78">
        <v>4910</v>
      </c>
      <c r="W15" s="71">
        <v>4294</v>
      </c>
      <c r="X15" s="78">
        <v>674</v>
      </c>
      <c r="Y15" s="106">
        <v>-9903</v>
      </c>
      <c r="Z15" s="78">
        <v>0</v>
      </c>
      <c r="AA15" s="78">
        <v>0</v>
      </c>
      <c r="AB15" s="78" ph="1">
        <v>1091</v>
      </c>
      <c r="AC15" s="78" ph="1">
        <v>2134</v>
      </c>
      <c r="AD15" s="78">
        <v>45.87</v>
      </c>
      <c r="AE15" s="78">
        <v>11.47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7" ph="1"/>
      <c r="C16" s="159" t="s" ph="1">
        <v>178</v>
      </c>
      <c r="D16" s="73" ph="1">
        <f>D15*7.0686*LOOKUP(D17,密度!$A$2:$A$50,密度!$L$2:$L$50)</f>
        <v>37960.799461200004</v>
      </c>
      <c r="E16" s="73" ph="1">
        <f>E15*7.0686*LOOKUP(E17,密度!$A$2:$A$50,密度!$L$2:$L$50)</f>
        <v>13224.0217032</v>
      </c>
      <c r="F16" s="73" ph="1">
        <f>F15*9.0746*LOOKUP(F17,密度!$A$2:$A$50,密度!$L$2:$L$50)</f>
        <v>14956.601451800001</v>
      </c>
      <c r="G16" s="73" ph="1">
        <f>G15*9.0746*LOOKUP(G17,密度!$A$2:$A$50,密度!$B$2:$B$50)</f>
        <v>14501.172686680002</v>
      </c>
      <c r="H16" s="73" ph="1">
        <f>H15*9.0746*LOOKUP(H17,密度!$A$2:$A$50,密度!$L$2:$L$50)</f>
        <v>21262.604513999999</v>
      </c>
      <c r="I16" s="73" ph="1">
        <f>I15*9.0746*LOOKUP(I17,密度!$A$2:$A$50,密度!$U$2:$U$50)</f>
        <v>15019.188968</v>
      </c>
      <c r="J16" s="73" ph="1">
        <f>J15*9.0746*LOOKUP(J17,密度!$A$2:$A$50,密度!$L$2:$L$50)</f>
        <v>12318.061681200001</v>
      </c>
      <c r="K16" s="73" ph="1">
        <f>K15*9.0746*LOOKUP(K17,密度!$A$2:$A$50,密度!$C$2:$C$50)</f>
        <v>47725.925810200002</v>
      </c>
      <c r="L16" s="73" ph="1">
        <f>L15*9.0746*LOOKUP(L17,密度!$A$2:$A$50,密度!$E$2:$E$50)</f>
        <v>12618.870151840001</v>
      </c>
      <c r="M16" s="73" ph="1">
        <f>M15*9.0746*LOOKUP(M17,密度!$A$2:$A$50,密度!$M$2:$M$50)</f>
        <v>29572.947146760001</v>
      </c>
      <c r="N16" s="73" ph="1">
        <f>N15*9.0746*LOOKUP(N17,密度!$A$2:$A$50,密度!$M$2:$M$50)</f>
        <v>20090.751505699998</v>
      </c>
      <c r="O16" s="73" ph="1">
        <f>O15*9.0746*LOOKUP(O17,密度!$A$2:$A$50,密度!$G$2:$G$50)</f>
        <v>7407.64498284</v>
      </c>
      <c r="P16" s="73" ph="1">
        <f ca="1">P15*9.0746*LOOKUP(P17,密度!$A$2:$A$51,密度!$Q$2:$Q$50)</f>
        <v>60223.615024084</v>
      </c>
      <c r="Q16" s="73" ph="1">
        <f>Q15*9.0746*LOOKUP(Q17,密度!$A$2:$A$50,密度!$Q$2:$Q$50)</f>
        <v>36972.452757876003</v>
      </c>
      <c r="R16" s="73" ph="1">
        <f>MAX(R15*9.0746*LOOKUP(R17,密度!$A$2:$A$50,密度!$B$2:$B$50),0)</f>
        <v>35235.430394720002</v>
      </c>
      <c r="S16" s="73" ph="1">
        <f>S15*9.0746*LOOKUP(S17,密度!$A$2:$A$50,密度!$Q$2:$Q$50)</f>
        <v>53134.425342028</v>
      </c>
      <c r="T16" s="73" ph="1">
        <f>T15*9.0746*LOOKUP(T17,密度!$A$2:$A$50,密度!$O$2:$O$50)</f>
        <v>4907.4166356000005</v>
      </c>
      <c r="U16" s="73" ph="1">
        <f>U15*9.0746*LOOKUP(U17,密度!$A$2:$A$50,密度!$H$2:$H$50)</f>
        <v>58796.142875240002</v>
      </c>
      <c r="V16" s="73" ph="1">
        <f>MAX(5600*LOOKUP(V17,密度!$A$2:$A$50,密度!$Q$2:$Q$50)+V15*9.0476*LOOKUP(V17,密度!$A$2:$A$50,密度!$Q$2:$Q$50),0)</f>
        <v>47507.022848039996</v>
      </c>
      <c r="W16" s="73" ph="1">
        <f>MAX(5600*LOOKUP(W17,密度!$A$2:$A$50,密度!$Q$2:$Q$50)+W15*9.0476*LOOKUP(W17,密度!$A$2:$A$50,密度!$Q$2:$Q$50),0)</f>
        <v>42214.095057735998</v>
      </c>
      <c r="X16" s="73" ph="1">
        <f>MAX(5600*LOOKUP(X17,密度!$A$2:$A$50,密度!$I$2:$I$50)+X15*9.0476*LOOKUP(X17,密度!$A$2:$A$50,密度!$I$2:$I$50),0)</f>
        <v>12140.26991472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9336.0664498000006</v>
      </c>
      <c r="AC16" s="73" ph="1">
        <f>AC15*9.0746*LOOKUP(AC17,密度!$A$2:$A$50,密度!$L$2:$L$50)</f>
        <v>18280.745401600001</v>
      </c>
      <c r="AD16" s="73" ph="1">
        <f>AD15*268.68*LOOKUP(AD17,密度!$A$2:$A$50,密度!B2:B50)+IF(AD15&lt;=0,0,1566*LOOKUP(AD17,密度!$A$2:$A$50,密度!B2:B50))</f>
        <v>10828.918107359999</v>
      </c>
      <c r="AE16" s="73" ph="1">
        <f>AE15*268.68*LOOKUP(AE17,密度!$A$2:$A$50,密度!B2:B50)+IF(AE15&lt;=0,0,1566*LOOKUP(AE17,密度!$A$2:$A$50,密度!B2:B50))</f>
        <v>3623.3933841600001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8" ph="1"/>
      <c r="C17" s="79" t="s" ph="1">
        <v>179</v>
      </c>
      <c r="D17" s="74">
        <v>20</v>
      </c>
      <c r="E17" s="74">
        <v>20</v>
      </c>
      <c r="F17" s="74">
        <v>25</v>
      </c>
      <c r="G17" s="74">
        <v>20</v>
      </c>
      <c r="H17" s="74">
        <v>21</v>
      </c>
      <c r="I17" s="74">
        <v>18</v>
      </c>
      <c r="J17" s="74">
        <v>20</v>
      </c>
      <c r="K17" s="74">
        <v>21</v>
      </c>
      <c r="L17" s="74">
        <v>20</v>
      </c>
      <c r="M17" s="74">
        <v>20</v>
      </c>
      <c r="N17" s="74">
        <v>19</v>
      </c>
      <c r="O17" s="74">
        <v>21</v>
      </c>
      <c r="P17" s="74">
        <v>20</v>
      </c>
      <c r="Q17" s="74">
        <v>20</v>
      </c>
      <c r="R17" s="74">
        <v>20</v>
      </c>
      <c r="S17" s="74">
        <v>20</v>
      </c>
      <c r="T17" s="74">
        <v>18</v>
      </c>
      <c r="U17" s="74">
        <v>17</v>
      </c>
      <c r="V17" s="74">
        <v>21</v>
      </c>
      <c r="W17" s="74">
        <v>21</v>
      </c>
      <c r="X17" s="74">
        <v>29</v>
      </c>
      <c r="Y17" s="108">
        <v>29</v>
      </c>
      <c r="Z17" s="74">
        <v>20</v>
      </c>
      <c r="AA17" s="74">
        <v>17</v>
      </c>
      <c r="AB17" s="74">
        <v>19</v>
      </c>
      <c r="AC17" s="74">
        <v>18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6" ph="1">
        <v>0.66666666666666663</v>
      </c>
      <c r="C18" s="79" t="s" ph="1">
        <v>180</v>
      </c>
      <c r="D18" s="71">
        <v>5997</v>
      </c>
      <c r="E18" s="71">
        <v>3982</v>
      </c>
      <c r="F18" s="71">
        <v>1754</v>
      </c>
      <c r="G18" s="71">
        <v>2086</v>
      </c>
      <c r="H18" s="71">
        <v>4153</v>
      </c>
      <c r="I18" s="71">
        <v>1610</v>
      </c>
      <c r="J18" s="71">
        <v>1442</v>
      </c>
      <c r="K18" s="71">
        <v>4799</v>
      </c>
      <c r="L18" s="71">
        <v>1764</v>
      </c>
      <c r="M18" s="71">
        <v>2631</v>
      </c>
      <c r="N18" s="71">
        <v>1965</v>
      </c>
      <c r="O18" s="71">
        <v>846</v>
      </c>
      <c r="P18" s="71">
        <v>6986</v>
      </c>
      <c r="Q18" s="71">
        <v>4075</v>
      </c>
      <c r="R18" s="71">
        <v>7416</v>
      </c>
      <c r="S18" s="71">
        <v>6163</v>
      </c>
      <c r="T18" s="71">
        <v>6224</v>
      </c>
      <c r="U18" s="71">
        <v>3009</v>
      </c>
      <c r="V18" s="71">
        <v>4910</v>
      </c>
      <c r="W18" s="71">
        <v>4293</v>
      </c>
      <c r="X18" s="71">
        <v>673</v>
      </c>
      <c r="Y18" s="109">
        <v>-9903</v>
      </c>
      <c r="Z18" s="71">
        <v>0</v>
      </c>
      <c r="AA18" s="71">
        <v>0</v>
      </c>
      <c r="AB18" s="71">
        <v>1092</v>
      </c>
      <c r="AC18" s="71">
        <v>26</v>
      </c>
      <c r="AD18" s="71">
        <v>84.65</v>
      </c>
      <c r="AE18" s="71">
        <v>24.61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7" ph="1"/>
      <c r="C19" s="159" t="s" ph="1">
        <v>178</v>
      </c>
      <c r="D19" s="73" ph="1">
        <f>D18*7.0686*LOOKUP(D20,密度!$A$2:$A$50,密度!$L$2:$L$50)</f>
        <v>39931.751336399997</v>
      </c>
      <c r="E19" s="73" ph="1">
        <f>E18*7.0686*LOOKUP(E20,密度!$A$2:$A$50,密度!$L$2:$L$50)</f>
        <v>26514.629618399998</v>
      </c>
      <c r="F19" s="73" ph="1">
        <f>F18*9.0746*LOOKUP(F20,密度!$A$2:$A$50,密度!$L$2:$L$50)</f>
        <v>14930.0037992</v>
      </c>
      <c r="G19" s="73" ph="1">
        <f>G18*9.0746*LOOKUP(G20,密度!$A$2:$A$50,密度!$B$2:$B$50)</f>
        <v>14842.711591960002</v>
      </c>
      <c r="H19" s="73" ph="1">
        <f>H18*9.0746*LOOKUP(H20,密度!$A$2:$A$50,密度!$L$2:$L$50)</f>
        <v>35425.604972000001</v>
      </c>
      <c r="I19" s="73" ph="1">
        <f>I18*9.0746*LOOKUP(I20,密度!$A$2:$A$50,密度!$U$2:$U$50)</f>
        <v>15019.188968</v>
      </c>
      <c r="J19" s="73" ph="1">
        <f>J18*9.0746*LOOKUP(J20,密度!$A$2:$A$50,密度!$L$2:$L$50)</f>
        <v>12274.267661600001</v>
      </c>
      <c r="K19" s="73" ph="1">
        <f>K18*9.0746*LOOKUP(K20,密度!$A$2:$A$50,密度!$C$2:$C$50)</f>
        <v>48356.815596160006</v>
      </c>
      <c r="L19" s="73" ph="1">
        <f>L18*9.0746*LOOKUP(L20,密度!$A$2:$A$50,密度!$E$2:$E$50)</f>
        <v>12613.9843872</v>
      </c>
      <c r="M19" s="73" ph="1">
        <f>M18*9.0746*LOOKUP(M20,密度!$A$2:$A$50,密度!$M$2:$M$50)</f>
        <v>20988.75214266</v>
      </c>
      <c r="N19" s="73" ph="1">
        <f>N18*9.0746*LOOKUP(N20,密度!$A$2:$A$50,密度!$M$2:$M$50)</f>
        <v>15697.147796699999</v>
      </c>
      <c r="O19" s="73" ph="1">
        <f>O18*9.0746*LOOKUP(O20,密度!$A$2:$A$50,密度!$G$2:$G$50)</f>
        <v>7399.2001600800004</v>
      </c>
      <c r="P19" s="73" ph="1">
        <f ca="1">P18*9.0746*LOOKUP(P20,密度!$A$2:$A$51,密度!$Q$2:$Q$50)</f>
        <v>60205.745321764</v>
      </c>
      <c r="Q19" s="73" ph="1">
        <f>Q18*9.0746*LOOKUP(Q20,密度!$A$2:$A$50,密度!$Q$2:$Q$50)</f>
        <v>35144.097268100006</v>
      </c>
      <c r="R19" s="73" ph="1">
        <f>MAX(R18*9.0746*LOOKUP(R20,密度!$A$2:$A$50,密度!$B$2:$B$50),0)</f>
        <v>52707.193355520008</v>
      </c>
      <c r="S19" s="73" ph="1">
        <f>S18*9.0746*LOOKUP(S20,密度!$A$2:$A$50,密度!$Q$2:$Q$50)</f>
        <v>53151.673978724</v>
      </c>
      <c r="T19" s="73" ph="1">
        <f>T18*9.0746*LOOKUP(T20,密度!$A$2:$A$50,密度!$O$2:$O$50)</f>
        <v>52526.688672000004</v>
      </c>
      <c r="U19" s="73" ph="1">
        <f>U18*9.0746*LOOKUP(U20,密度!$A$2:$A$50,密度!$H$2:$H$50)</f>
        <v>25167.452989380003</v>
      </c>
      <c r="V19" s="73" ph="1">
        <f>MAX(5600*LOOKUP(V20,密度!$A$2:$A$50,密度!$Q$2:$Q$50)+V18*9.0476*LOOKUP(V20,密度!$A$2:$A$50,密度!$Q$2:$Q$50),0)</f>
        <v>47395.970198519994</v>
      </c>
      <c r="W19" s="73" ph="1">
        <f>MAX(5600*LOOKUP(W20,密度!$A$2:$A$50,密度!$Q$2:$Q$50)+W18*9.0476*LOOKUP(W20,密度!$A$2:$A$50,密度!$Q$2:$Q$50),0)</f>
        <v>42178.837834411999</v>
      </c>
      <c r="X19" s="73" ph="1">
        <f>MAX(5600*LOOKUP(X20,密度!$A$2:$A$50,密度!$I$2:$I$50)+X18*9.0476*LOOKUP(X20,密度!$A$2:$A$50,密度!$I$2:$I$50),0)</f>
        <v>12144.907157199999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9324.8048712</v>
      </c>
      <c r="AC19" s="73" ph="1">
        <f>AC18*9.0746*LOOKUP(AC20,密度!$A$2:$A$50,密度!$L$2:$L$50)</f>
        <v>222.4910428</v>
      </c>
      <c r="AD19" s="73" ph="1">
        <f>AD18*268.68*LOOKUP(AD20,密度!$A$2:$A$50,密度!B5:B53)+IF(AD18&lt;=0,0,1566*LOOKUP(AD20,密度!$A$2:$A$50,密度!B5:B53))</f>
        <v>18888.685074000001</v>
      </c>
      <c r="AE19" s="73" ph="1">
        <f>AE18*268.68*LOOKUP(AE20,密度!$A$2:$A$50,密度!B5:B53)+IF(AE18&lt;=0,0,1566*LOOKUP(AE20,密度!$A$2:$A$50,密度!B5:B53))</f>
        <v>6354.4728996000003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7" ph="1"/>
      <c r="C20" s="80" t="s" ph="1">
        <v>179</v>
      </c>
      <c r="D20" s="81">
        <v>20</v>
      </c>
      <c r="E20" s="81">
        <v>20</v>
      </c>
      <c r="F20" s="81">
        <v>24</v>
      </c>
      <c r="G20" s="81">
        <v>20</v>
      </c>
      <c r="H20" s="81">
        <v>22</v>
      </c>
      <c r="I20" s="81">
        <v>20</v>
      </c>
      <c r="J20" s="81">
        <v>24</v>
      </c>
      <c r="K20" s="81">
        <v>23</v>
      </c>
      <c r="L20" s="81">
        <v>21</v>
      </c>
      <c r="M20" s="81">
        <v>21</v>
      </c>
      <c r="N20" s="81">
        <v>20</v>
      </c>
      <c r="O20" s="81">
        <v>22</v>
      </c>
      <c r="P20" s="81">
        <v>21</v>
      </c>
      <c r="Q20" s="81">
        <v>20</v>
      </c>
      <c r="R20" s="81">
        <v>21</v>
      </c>
      <c r="S20" s="81">
        <v>20</v>
      </c>
      <c r="T20" s="81">
        <v>20</v>
      </c>
      <c r="U20" s="81">
        <v>18</v>
      </c>
      <c r="V20" s="81">
        <v>24</v>
      </c>
      <c r="W20" s="81">
        <v>22</v>
      </c>
      <c r="X20" s="81">
        <v>28</v>
      </c>
      <c r="Y20" s="110">
        <v>28</v>
      </c>
      <c r="Z20" s="81">
        <v>21</v>
      </c>
      <c r="AA20" s="81">
        <v>19</v>
      </c>
      <c r="AB20" s="81">
        <v>21</v>
      </c>
      <c r="AC20" s="81">
        <v>19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28" t="s" ph="1">
        <v>640</v>
      </c>
      <c r="AA23" s="229"/>
      <c r="AB23" s="229"/>
      <c r="AC23" s="229"/>
      <c r="AD23" s="229"/>
      <c r="AE23" s="23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7" ph="1">
        <v>0.33333333333333331</v>
      </c>
      <c r="C24" s="159" t="s" ph="1">
        <v>177</v>
      </c>
      <c r="D24" s="71">
        <v>5.4</v>
      </c>
      <c r="E24" s="71">
        <v>18.23</v>
      </c>
      <c r="F24" s="71">
        <v>0</v>
      </c>
      <c r="G24" s="71">
        <v>3899</v>
      </c>
      <c r="H24" s="71">
        <v>1116</v>
      </c>
      <c r="I24" s="71">
        <v>1529</v>
      </c>
      <c r="J24" s="71">
        <v>2948</v>
      </c>
      <c r="K24" s="71">
        <v>443</v>
      </c>
      <c r="L24" s="71">
        <v>5559</v>
      </c>
      <c r="M24" s="71">
        <v>2646</v>
      </c>
      <c r="N24" s="71">
        <v>5779</v>
      </c>
      <c r="O24" s="71">
        <v>2396</v>
      </c>
      <c r="P24" s="71">
        <v>369</v>
      </c>
      <c r="Q24" s="90">
        <v>3650</v>
      </c>
      <c r="R24" s="71">
        <v>4733</v>
      </c>
      <c r="S24" s="71">
        <v>3059</v>
      </c>
      <c r="T24" s="71">
        <v>1071</v>
      </c>
      <c r="U24" s="71">
        <v>5540</v>
      </c>
      <c r="V24" s="71">
        <v>8850</v>
      </c>
      <c r="W24" s="71">
        <v>7229</v>
      </c>
      <c r="X24" s="71">
        <v>3845</v>
      </c>
      <c r="Y24" s="71">
        <v>3199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7" ph="1"/>
      <c r="C25" s="68" t="s" ph="1">
        <v>178</v>
      </c>
      <c r="D25" s="91" ph="1">
        <f>D24*268.68*LOOKUP(D26,密度!$A$2:$A$50,密度!$Q$2:$Q$50)+IF(D24&lt;=0,0,1566*LOOKUP(D26,密度!$A$2:$A$50,密度!$Q$2:$Q$50))</f>
        <v>2856.1933972799998</v>
      </c>
      <c r="E25" s="91" ph="1">
        <f>E24*268.68*LOOKUP(E26,密度!$A$2:$A$50,密度!$C$2:$C$50)+IF(E24&lt;=0,0,1566*LOOKUP(E26,密度!$A$2:$A$50,密度!$C$2:$C$50))</f>
        <v>7167.9699639600003</v>
      </c>
      <c r="F25" s="91" ph="1">
        <f>F24*11.702*LOOKUP(F26,密度!$A$2:$A$50,密度!$Q$2:$Q$50)</f>
        <v>0</v>
      </c>
      <c r="G25" s="91" ph="1">
        <f>G24*18.322*LOOKUP(G26,密度!$A$2:$A$50,密度!$B$2:$B$50)</f>
        <v>56014.126499800004</v>
      </c>
      <c r="H25" s="91" ph="1">
        <f>H24*18.322*LOOKUP(H26,密度!$A$2:$A$50,密度!$B$2:$B$50)</f>
        <v>16065.484466399997</v>
      </c>
      <c r="I25" s="91" ph="1">
        <f>I24*18.322*LOOKUP(I26,密度!$A$2:$A$50,密度!$Q$2:$Q$50)</f>
        <v>26648.07873574</v>
      </c>
      <c r="J25" s="91" ph="1">
        <f>J24*18.322*LOOKUP(J26,密度!$A$2:$A$50,密度!$Q$2:$Q$50)</f>
        <v>51295.849090639997</v>
      </c>
      <c r="K25" s="91" ph="1">
        <f>K24*18.322*LOOKUP(K26,密度!$A$2:$A$50,密度!$Q$2:$Q$50)</f>
        <v>7713.8980254799999</v>
      </c>
      <c r="L25" s="91" ph="1">
        <f>L24*18.322*LOOKUP(L26,密度!$A$2:$A$50,密度!$Q$2:$Q$50)</f>
        <v>96884.676057539997</v>
      </c>
      <c r="M25" s="91" ph="1">
        <f>M24*18.322*LOOKUP(M26,密度!$A$2:$A$50,密度!$Q$2:$Q$50)</f>
        <v>46074.433804559994</v>
      </c>
      <c r="N25" s="91" ph="1">
        <f>N24*18.322*LOOKUP(N26,密度!$A$2:$A$50,密度!$Q$2:$Q$50)</f>
        <v>100628.93157844</v>
      </c>
      <c r="O25" s="91" ph="1">
        <f>O24*18.322*LOOKUP(O26,密度!$A$2:$A$50,密度!$C$2:$C$50)</f>
        <v>48842.597051199999</v>
      </c>
      <c r="P25" s="91" ph="1">
        <f>P24*11.702*LOOKUP(P26,密度!$A$2:$A$50,密度!$B$2:$B$50)</f>
        <v>3385.7735957999998</v>
      </c>
      <c r="Q25" s="92" ph="1">
        <f>Q24*18.322*LOOKUP(Q26,密度!$A$2:$A$50,密度!$B$2:$B$50)</f>
        <v>52376.734960000002</v>
      </c>
      <c r="R25" s="91" ph="1">
        <f>R24*35.891*LOOKUP(R26,密度!$A$2:$A$50,密度!$C$2:$C$50)</f>
        <v>188880.79132570003</v>
      </c>
      <c r="S25" s="91" ph="1">
        <f>S24*35.891*LOOKUP(S26,密度!$A$2:$A$50,密度!$B$2:$B$50)</f>
        <v>85987.973640799988</v>
      </c>
      <c r="T25" s="91" ph="1">
        <f>T24*35.891*LOOKUP(T26,密度!$A$2:$A$50,密度!$Q$2:$Q$50)</f>
        <v>36531.904869179998</v>
      </c>
      <c r="U25" s="91" ph="1">
        <f>U24*35.891</f>
        <v>198836.13999999998</v>
      </c>
      <c r="V25" s="91" ph="1">
        <f>V24*47.051*LOOKUP(V26,密度!$A$2:$A$50,密度!$B$2:$B$50)</f>
        <v>326500.29853500001</v>
      </c>
      <c r="W25" s="91" ph="1">
        <f>W24*47.051*LOOKUP(W26,密度!$A$2:$A$50,密度!$B$2:$B$50)</f>
        <v>266085.01248169999</v>
      </c>
      <c r="X25" s="91" ph="1">
        <f>X24*47.051*LOOKUP(X26,密度!$A$2:$A$61,密度!$I$2:$I$61)</f>
        <v>182485.0215265</v>
      </c>
      <c r="Y25" s="91" ph="1">
        <f>Y24*47.051*LOOKUP(Y26,密度!$A$2:$A$50,密度!$L$2:$L$50)</f>
        <v>140883.115464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7" ph="1"/>
      <c r="C26" s="68" t="s" ph="1">
        <v>179</v>
      </c>
      <c r="D26" s="74">
        <v>25</v>
      </c>
      <c r="E26" s="74">
        <v>25</v>
      </c>
      <c r="F26" s="74">
        <v>22</v>
      </c>
      <c r="G26" s="74">
        <v>20</v>
      </c>
      <c r="H26" s="74">
        <v>18</v>
      </c>
      <c r="I26" s="74">
        <v>19</v>
      </c>
      <c r="J26" s="74">
        <v>21</v>
      </c>
      <c r="K26" s="74">
        <v>20</v>
      </c>
      <c r="L26" s="74">
        <v>19</v>
      </c>
      <c r="M26" s="74">
        <v>20</v>
      </c>
      <c r="N26" s="74">
        <v>20</v>
      </c>
      <c r="O26" s="74">
        <v>20</v>
      </c>
      <c r="P26" s="74">
        <v>20</v>
      </c>
      <c r="Q26" s="93">
        <v>21</v>
      </c>
      <c r="R26" s="74">
        <v>21</v>
      </c>
      <c r="S26" s="74">
        <v>21</v>
      </c>
      <c r="T26" s="74">
        <v>20</v>
      </c>
      <c r="U26" s="74">
        <v>21</v>
      </c>
      <c r="V26" s="74">
        <v>20</v>
      </c>
      <c r="W26" s="74">
        <v>22</v>
      </c>
      <c r="X26" s="74">
        <v>55</v>
      </c>
      <c r="Y26" s="74">
        <v>26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7" ph="1">
        <v>0.66666666666666663</v>
      </c>
      <c r="C27" s="159" t="s" ph="1">
        <v>180</v>
      </c>
      <c r="D27" s="71">
        <v>5.42</v>
      </c>
      <c r="E27" s="71">
        <v>64.3</v>
      </c>
      <c r="F27" s="71">
        <v>0</v>
      </c>
      <c r="G27" s="71">
        <v>3135</v>
      </c>
      <c r="H27" s="71">
        <v>650</v>
      </c>
      <c r="I27" s="71">
        <v>1529</v>
      </c>
      <c r="J27" s="71">
        <v>2948</v>
      </c>
      <c r="K27" s="71">
        <v>442</v>
      </c>
      <c r="L27" s="71">
        <v>5559</v>
      </c>
      <c r="M27" s="71">
        <v>2646</v>
      </c>
      <c r="N27" s="71">
        <v>5780</v>
      </c>
      <c r="O27" s="71">
        <v>1931</v>
      </c>
      <c r="P27" s="71">
        <v>369</v>
      </c>
      <c r="Q27" s="90">
        <v>4032</v>
      </c>
      <c r="R27" s="71">
        <v>4732</v>
      </c>
      <c r="S27" s="71">
        <v>3057</v>
      </c>
      <c r="T27" s="71">
        <v>1071</v>
      </c>
      <c r="U27" s="71">
        <v>5660</v>
      </c>
      <c r="V27" s="71">
        <v>8851</v>
      </c>
      <c r="W27" s="71">
        <v>7228</v>
      </c>
      <c r="X27" s="71">
        <v>4453</v>
      </c>
      <c r="Y27" s="71">
        <v>1995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7" ph="1"/>
      <c r="C28" s="159" t="s" ph="1">
        <v>178</v>
      </c>
      <c r="D28" s="91" ph="1">
        <f>D27*268.68*LOOKUP(D29,密度!$A$2:$A$50,密度!$Q$2:$Q$50)+IF(D27&lt;=0,0,1566*LOOKUP(D29,密度!$A$2:$A$50,密度!$Q$2:$Q$50))</f>
        <v>2861.2807993440001</v>
      </c>
      <c r="E28" s="91" ph="1">
        <f>E27*268.68*LOOKUP(E29,密度!$A$2:$A$50,密度!$C$2:$C$50)+IF(E27&lt;=0,0,1566*LOOKUP(E29,密度!$A$2:$A$50,密度!$C$2:$C$50))</f>
        <v>20894.031303600001</v>
      </c>
      <c r="F28" s="91" ph="1">
        <f>F27*11.702*LOOKUP(F29,密度!$A$2:$A$50,密度!$Q$2:$Q$50)</f>
        <v>0</v>
      </c>
      <c r="G28" s="91" ph="1">
        <f>G27*18.322*LOOKUP(G29,密度!$A$2:$A$50,密度!$B$2:$B$50)</f>
        <v>44883.201857999993</v>
      </c>
      <c r="H28" s="91" ph="1">
        <f>H27*18.322*LOOKUP(H29,密度!$A$2:$A$50,密度!$B$2:$B$50)</f>
        <v>9316.6453899999997</v>
      </c>
      <c r="I28" s="91" ph="1">
        <f>I27*18.322*LOOKUP(I29,密度!$A$2:$A$50,密度!$Q$2:$Q$50)</f>
        <v>26588.128052420001</v>
      </c>
      <c r="J28" s="91" ph="1">
        <f>J27*18.322*LOOKUP(J29,密度!$A$2:$A$50,密度!$Q$2:$Q$50)</f>
        <v>51263.44113703999</v>
      </c>
      <c r="K28" s="91" ph="1">
        <f>K27*18.322*LOOKUP(K29,密度!$A$2:$A$50,密度!$Q$2:$Q$50)</f>
        <v>7703.3687385200001</v>
      </c>
      <c r="L28" s="91" ph="1">
        <f>L27*18.322*LOOKUP(L29,密度!$A$2:$A$50,密度!$Q$2:$Q$50)</f>
        <v>96727.82398062</v>
      </c>
      <c r="M28" s="91" ph="1">
        <f>M27*18.322*LOOKUP(M29,密度!$A$2:$A$50,密度!$Q$2:$Q$50)</f>
        <v>46040.982596279995</v>
      </c>
      <c r="N28" s="91" ph="1">
        <f>N27*18.322*LOOKUP(N29,密度!$A$2:$A$50,密度!$Q$2:$Q$50)</f>
        <v>100573.2726404</v>
      </c>
      <c r="O28" s="91" ph="1">
        <f>O27*18.322*LOOKUP(O29,密度!$A$2:$A$50,密度!$C$2:$C$50)</f>
        <v>39310.475780199995</v>
      </c>
      <c r="P28" s="91" ph="1">
        <f>P27*11.702*LOOKUP(P29,密度!$A$2:$A$50,密度!$B$2:$B$50)</f>
        <v>3381.8873615999996</v>
      </c>
      <c r="Q28" s="92" ph="1">
        <f>Q27*18.322*LOOKUP(Q29,密度!$A$2:$A$50,密度!$B$2:$B$50)</f>
        <v>57924.841766400001</v>
      </c>
      <c r="R28" s="91" ph="1">
        <f>R27*35.891*LOOKUP(R29,密度!$A$2:$A$50,密度!$C$2:$C$50)</f>
        <v>188840.88412280002</v>
      </c>
      <c r="S28" s="91" ph="1">
        <f>S27*35.891*LOOKUP(S29,密度!$A$2:$A$50,密度!$B$2:$B$50)</f>
        <v>85833.007070099993</v>
      </c>
      <c r="T28" s="91" ph="1">
        <f>T27*35.891*LOOKUP(T29,密度!$A$2:$A$50,密度!$Q$2:$Q$50)</f>
        <v>36482.318222490001</v>
      </c>
      <c r="U28" s="91" ph="1">
        <f>U27*35.891</f>
        <v>203143.06</v>
      </c>
      <c r="V28" s="91" ph="1">
        <f>V27*47.051*LOOKUP(V29,密度!$A$2:$A$50,密度!$B$2:$B$50)</f>
        <v>326162.38766320003</v>
      </c>
      <c r="W28" s="91" ph="1">
        <f>W27*47.051*LOOKUP(W29,密度!$A$2:$A$50,密度!$B$2:$B$50)</f>
        <v>265742.12831920001</v>
      </c>
      <c r="X28" s="91" ph="1">
        <f>X27*47.051*LOOKUP(X29,密度!$A$2:$A$61,密度!$I$2:$I$61)</f>
        <v>216034.11600329998</v>
      </c>
      <c r="Y28" s="91" ph="1">
        <f>Y27*47.051*LOOKUP(Y29,密度!$A$2:$A$50,密度!$L$2:$L$50)</f>
        <v>87953.140065000014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7" ph="1"/>
      <c r="C29" s="159" t="s" ph="1">
        <v>179</v>
      </c>
      <c r="D29" s="74">
        <v>25</v>
      </c>
      <c r="E29" s="74">
        <v>25</v>
      </c>
      <c r="F29" s="74">
        <v>22</v>
      </c>
      <c r="G29" s="74">
        <v>23</v>
      </c>
      <c r="H29" s="74">
        <v>22</v>
      </c>
      <c r="I29" s="74">
        <v>22</v>
      </c>
      <c r="J29" s="74">
        <v>22</v>
      </c>
      <c r="K29" s="74">
        <v>19</v>
      </c>
      <c r="L29" s="74">
        <v>21</v>
      </c>
      <c r="M29" s="74">
        <v>21</v>
      </c>
      <c r="N29" s="74">
        <v>21</v>
      </c>
      <c r="O29" s="74">
        <v>22</v>
      </c>
      <c r="P29" s="74">
        <v>21</v>
      </c>
      <c r="Q29" s="93">
        <v>20</v>
      </c>
      <c r="R29" s="74">
        <v>21</v>
      </c>
      <c r="S29" s="74">
        <v>22</v>
      </c>
      <c r="T29" s="74">
        <v>22</v>
      </c>
      <c r="U29" s="74">
        <v>22</v>
      </c>
      <c r="V29" s="74">
        <v>21</v>
      </c>
      <c r="W29" s="74">
        <v>23</v>
      </c>
      <c r="X29" s="74">
        <v>35</v>
      </c>
      <c r="Y29" s="74">
        <v>25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59" t="s" ph="1">
        <v>5</v>
      </c>
      <c r="F32" s="160" t="s" ph="1">
        <v>43</v>
      </c>
      <c r="G32" s="97" t="s" ph="1">
        <v>4</v>
      </c>
      <c r="H32" s="159" t="s" ph="1">
        <v>5</v>
      </c>
      <c r="I32" s="160" t="s" ph="1">
        <v>43</v>
      </c>
      <c r="J32" s="97" t="s" ph="1">
        <v>4</v>
      </c>
      <c r="K32" s="159" t="s" ph="1">
        <v>5</v>
      </c>
      <c r="L32" s="160" t="s" ph="1">
        <v>43</v>
      </c>
      <c r="M32" s="97" t="s" ph="1">
        <v>4</v>
      </c>
      <c r="N32" s="159" t="s" ph="1">
        <v>5</v>
      </c>
      <c r="O32" s="160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9" t="s" ph="1">
        <v>5</v>
      </c>
      <c r="U32" s="99" t="s" ph="1">
        <v>43</v>
      </c>
      <c r="V32" s="97" t="s" ph="1">
        <v>4</v>
      </c>
      <c r="W32" s="159" t="s" ph="1">
        <v>5</v>
      </c>
      <c r="X32" s="99" t="s" ph="1">
        <v>43</v>
      </c>
      <c r="Y32" s="100" t="s" ph="1">
        <v>4</v>
      </c>
      <c r="Z32" s="159" t="s" ph="1">
        <v>5</v>
      </c>
      <c r="AA32" s="160" t="s" ph="1">
        <v>43</v>
      </c>
      <c r="AB32" s="97" t="s" ph="1">
        <v>85</v>
      </c>
      <c r="AC32" s="159" t="s" ph="1">
        <v>84</v>
      </c>
      <c r="AD32" s="204" t="s" ph="1">
        <v>83</v>
      </c>
      <c r="AE32" s="20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6" t="s" ph="1">
        <v>181</v>
      </c>
      <c r="C33" s="207" ph="1"/>
      <c r="D33" s="186" ph="1">
        <f>AA10+AB10+Z19</f>
        <v>108447.90830760001</v>
      </c>
      <c r="E33" s="186" ph="1">
        <f>M10+I10</f>
        <v>131133.95432379999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[[#This Row],[F25]]</f>
        <v>3880</v>
      </c>
      <c r="G33" s="212" ph="1">
        <v>0</v>
      </c>
      <c r="H33" s="186" ph="1">
        <f>N19</f>
        <v>15697.147796699999</v>
      </c>
      <c r="I33" s="190" ph="1">
        <v>0</v>
      </c>
      <c r="J33" s="194" ph="1">
        <f>F10+O28</f>
        <v>254193.81470500003</v>
      </c>
      <c r="K33" s="186" ph="1">
        <f>O10+K10+E28+R28</f>
        <v>265931.90773800004</v>
      </c>
      <c r="L33" s="196" ph="1">
        <f>BE27</f>
        <v>7100</v>
      </c>
      <c r="M33" s="194" ph="1">
        <f>G10+H10+W28+S28+V28+E10</f>
        <v>860563.90700550005</v>
      </c>
      <c r="N33" s="186" ph="1">
        <f>L10+P10++G28+H28</f>
        <v>91698.073885000005</v>
      </c>
      <c r="O33" s="190" ph="1">
        <f>BE17</f>
        <v>2270</v>
      </c>
      <c r="P33" s="194" ph="1">
        <f>L19</f>
        <v>12613.9843872</v>
      </c>
      <c r="Q33" s="186" ph="1">
        <f>J10+N10</f>
        <v>20463.634037600004</v>
      </c>
      <c r="R33" s="190" ph="1">
        <f>BE23</f>
        <v>890</v>
      </c>
      <c r="S33" s="194" ph="1">
        <f>E10+X28</f>
        <v>265903.90700429998</v>
      </c>
      <c r="T33" s="186" ph="1">
        <f>X19</f>
        <v>12144.907157199999</v>
      </c>
      <c r="U33" s="175" ph="1">
        <f>BE21</f>
        <v>730</v>
      </c>
      <c r="V33" s="188" ph="1">
        <f ca="1">P19+Q19+S19+M28+N28+J28</f>
        <v>346379.21294230799</v>
      </c>
      <c r="W33" s="188" ph="1">
        <f>D28+F28+V19+T28</f>
        <v>86739.569220353995</v>
      </c>
      <c r="X33" s="190" ph="1">
        <f>BE29+BE31</f>
        <v>10200</v>
      </c>
      <c r="Y33" s="192" ph="1">
        <f>+Q10+R10+S10+T10+U10+V10+W10+X10+Y10</f>
        <v>191570.3132112</v>
      </c>
      <c r="Z33" s="173" ph="1">
        <f>D10+T19+U19+Y28+Z10</f>
        <v>503022.29077190999</v>
      </c>
      <c r="AA33" s="175" ph="1">
        <f>BE19</f>
        <v>1440</v>
      </c>
      <c r="AB33" s="177" ph="1">
        <f>I19</f>
        <v>15019.188968</v>
      </c>
      <c r="AC33" s="179" ph="1">
        <f>AD10</f>
        <v>94130.589760000003</v>
      </c>
      <c r="AD33" s="181" ph="1">
        <v>0</v>
      </c>
      <c r="AE33" s="18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5" t="s" ph="1">
        <v>633</v>
      </c>
      <c r="AD35" s="185"/>
      <c r="AE35" s="18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1" t="s" ph="1">
        <v>183</v>
      </c>
      <c r="J36" s="171" ph="1"/>
      <c r="K36" s="101" ph="1"/>
      <c r="P36" s="101" ph="1"/>
      <c r="R36" s="171" t="s" ph="1">
        <v>184</v>
      </c>
      <c r="S36" s="171" ph="1"/>
      <c r="Y36" s="102" ph="1"/>
      <c r="Z36" s="161" t="s" ph="1">
        <v>185</v>
      </c>
      <c r="AA36" s="161" ph="1"/>
      <c r="AB36" s="172" t="s" ph="1">
        <v>642</v>
      </c>
      <c r="AC36" s="172" ph="1"/>
      <c r="AD36" s="172" ph="1"/>
      <c r="AE36" s="172" ph="1"/>
      <c r="BA36" s="64" ph="1">
        <v>2270</v>
      </c>
    </row>
    <row r="37" spans="1:57" s="161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1" t="s" ph="1">
        <v>342</v>
      </c>
      <c r="AI37" s="161" t="s" ph="1">
        <v>209</v>
      </c>
      <c r="AJ37" s="161" t="s" ph="1">
        <v>210</v>
      </c>
      <c r="AK37" s="161" t="s" ph="1">
        <v>211</v>
      </c>
      <c r="AM37" s="161" t="s" ph="1">
        <v>210</v>
      </c>
      <c r="AN37" s="161" t="s" ph="1">
        <v>211</v>
      </c>
      <c r="AO37" s="161" t="s" ph="1">
        <v>212</v>
      </c>
      <c r="AP37" s="161" t="s" ph="1">
        <v>210</v>
      </c>
      <c r="AQ37" s="161" t="s" ph="1">
        <v>211</v>
      </c>
      <c r="AR37" s="161" t="s" ph="1">
        <v>212</v>
      </c>
      <c r="AS37" s="161" t="s" ph="1">
        <v>210</v>
      </c>
      <c r="AT37" s="161" t="s" ph="1">
        <v>211</v>
      </c>
      <c r="AU37" s="161" t="s" ph="1">
        <v>212</v>
      </c>
      <c r="AV37" s="161" t="s" ph="1">
        <v>210</v>
      </c>
      <c r="AW37" s="161" t="s" ph="1">
        <v>211</v>
      </c>
      <c r="AX37" s="161" t="s" ph="1">
        <v>212</v>
      </c>
      <c r="AY37" s="161" t="s" ph="1">
        <v>211</v>
      </c>
      <c r="AZ37" s="161" t="s" ph="1">
        <v>213</v>
      </c>
      <c r="BD37" s="161" t="s" ph="1">
        <v>305</v>
      </c>
      <c r="BE37" s="161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55" priority="98">
      <formula>ABS(D$7-D$10)&gt;=1000</formula>
    </cfRule>
  </conditionalFormatting>
  <conditionalFormatting sqref="E4 E6:E11">
    <cfRule type="expression" dxfId="254" priority="97">
      <formula>ABS(E$7-E$10)&gt;=1000</formula>
    </cfRule>
  </conditionalFormatting>
  <conditionalFormatting sqref="F4:F11">
    <cfRule type="expression" dxfId="253" priority="96">
      <formula>ABS(F$7-F$10)&gt;=1000</formula>
    </cfRule>
  </conditionalFormatting>
  <conditionalFormatting sqref="G4:G11">
    <cfRule type="expression" dxfId="252" priority="95">
      <formula>ABS(G$7-G$10)&gt;=1000</formula>
    </cfRule>
  </conditionalFormatting>
  <conditionalFormatting sqref="H4:H11">
    <cfRule type="expression" dxfId="251" priority="94">
      <formula>ABS(H$7-H$10)&gt;=1000</formula>
    </cfRule>
  </conditionalFormatting>
  <conditionalFormatting sqref="I4:I11">
    <cfRule type="expression" dxfId="250" priority="93">
      <formula>ABS(I$7-I$10)&gt;=1000</formula>
    </cfRule>
  </conditionalFormatting>
  <conditionalFormatting sqref="J4:J11">
    <cfRule type="expression" dxfId="249" priority="92">
      <formula>ABS(J$7-J$10)&gt;=1000</formula>
    </cfRule>
  </conditionalFormatting>
  <conditionalFormatting sqref="K4:K11">
    <cfRule type="expression" dxfId="248" priority="91">
      <formula>ABS(K$7-K$10)&gt;=1000</formula>
    </cfRule>
  </conditionalFormatting>
  <conditionalFormatting sqref="L4:L11">
    <cfRule type="expression" dxfId="247" priority="90">
      <formula>ABS(L$7-L$10)&gt;=1000</formula>
    </cfRule>
  </conditionalFormatting>
  <conditionalFormatting sqref="M4 M6:M11">
    <cfRule type="expression" dxfId="246" priority="89">
      <formula>ABS(M$7-M$10)&gt;=1000</formula>
    </cfRule>
  </conditionalFormatting>
  <conditionalFormatting sqref="N4 N6:N11">
    <cfRule type="expression" dxfId="245" priority="88">
      <formula>ABS(N$7-N$10)&gt;=1000</formula>
    </cfRule>
  </conditionalFormatting>
  <conditionalFormatting sqref="O4 O6:O11">
    <cfRule type="expression" dxfId="244" priority="87">
      <formula>ABS(O$7-O$10)&gt;=1000</formula>
    </cfRule>
  </conditionalFormatting>
  <conditionalFormatting sqref="P4 P6:P11">
    <cfRule type="expression" dxfId="243" priority="86">
      <formula>ABS(P$7-P$10)&gt;=1000</formula>
    </cfRule>
  </conditionalFormatting>
  <conditionalFormatting sqref="Q4:Q11">
    <cfRule type="expression" dxfId="242" priority="85">
      <formula>ABS(Q$7-Q$10)&gt;=1000</formula>
    </cfRule>
  </conditionalFormatting>
  <conditionalFormatting sqref="R4:R11">
    <cfRule type="expression" dxfId="241" priority="84">
      <formula>ABS(R$7-R$10)&gt;=1000</formula>
    </cfRule>
  </conditionalFormatting>
  <conditionalFormatting sqref="S4:S11">
    <cfRule type="expression" dxfId="240" priority="83">
      <formula>ABS(S$7-S$10)&gt;=1000</formula>
    </cfRule>
  </conditionalFormatting>
  <conditionalFormatting sqref="T4:T9 T11">
    <cfRule type="expression" dxfId="239" priority="82">
      <formula>ABS(T$7-T$10)&gt;=1000</formula>
    </cfRule>
  </conditionalFormatting>
  <conditionalFormatting sqref="U4:U9 U11">
    <cfRule type="expression" dxfId="238" priority="81">
      <formula>ABS(U$7-U$10)&gt;=1000</formula>
    </cfRule>
  </conditionalFormatting>
  <conditionalFormatting sqref="V4:V9 V11">
    <cfRule type="expression" dxfId="237" priority="80">
      <formula>ABS(V$7-V$10)&gt;=1000</formula>
    </cfRule>
  </conditionalFormatting>
  <conditionalFormatting sqref="W4:W9 W11">
    <cfRule type="expression" dxfId="236" priority="79">
      <formula>ABS(W$7-W$10)&gt;=1000</formula>
    </cfRule>
  </conditionalFormatting>
  <conditionalFormatting sqref="X4:X9 X11">
    <cfRule type="expression" dxfId="235" priority="78">
      <formula>ABS(X$7-X$10)&gt;=1000</formula>
    </cfRule>
  </conditionalFormatting>
  <conditionalFormatting sqref="Y4:Y9 Y11">
    <cfRule type="expression" dxfId="234" priority="77">
      <formula>ABS(Y$7-Y$10)&gt;=1000</formula>
    </cfRule>
  </conditionalFormatting>
  <conditionalFormatting sqref="Z4:Z11">
    <cfRule type="expression" dxfId="233" priority="76">
      <formula>ABS(Z$7-Z$10)&gt;=1000</formula>
    </cfRule>
  </conditionalFormatting>
  <conditionalFormatting sqref="AA4:AA11">
    <cfRule type="expression" dxfId="232" priority="75">
      <formula>ABS(AA$7-AA$10)&gt;=1000</formula>
    </cfRule>
  </conditionalFormatting>
  <conditionalFormatting sqref="AB4:AB11">
    <cfRule type="expression" dxfId="231" priority="74">
      <formula>ABS(AB$7-AB$10)&gt;=1000</formula>
    </cfRule>
  </conditionalFormatting>
  <conditionalFormatting sqref="AC4 AC6:AC11">
    <cfRule type="expression" dxfId="230" priority="73">
      <formula>ABS(AC$7-AC$10)&gt;=1000</formula>
    </cfRule>
  </conditionalFormatting>
  <conditionalFormatting sqref="AD4:AD11">
    <cfRule type="expression" dxfId="229" priority="72">
      <formula>ABS(AD$7-AD$10)&gt;=1000</formula>
    </cfRule>
  </conditionalFormatting>
  <conditionalFormatting sqref="AE4 AE6:AE11">
    <cfRule type="expression" dxfId="228" priority="71">
      <formula>ABS(AE$7-AE$10)&gt;=1000</formula>
    </cfRule>
  </conditionalFormatting>
  <conditionalFormatting sqref="D13:D20">
    <cfRule type="expression" dxfId="227" priority="70">
      <formula>ABS(D$16-D$19)&gt;=1000</formula>
    </cfRule>
  </conditionalFormatting>
  <conditionalFormatting sqref="E13:E20">
    <cfRule type="expression" dxfId="226" priority="69">
      <formula>ABS(E$16-E$19)&gt;=1000</formula>
    </cfRule>
  </conditionalFormatting>
  <conditionalFormatting sqref="F13 F15:F20">
    <cfRule type="expression" dxfId="225" priority="68">
      <formula>ABS(F$16-F$19)&gt;=1000</formula>
    </cfRule>
  </conditionalFormatting>
  <conditionalFormatting sqref="G13:G20">
    <cfRule type="expression" dxfId="224" priority="67">
      <formula>ABS(G$16-G$19)&gt;=1000</formula>
    </cfRule>
  </conditionalFormatting>
  <conditionalFormatting sqref="H13:H20">
    <cfRule type="expression" dxfId="223" priority="66">
      <formula>ABS(H$16-H$19)&gt;=1000</formula>
    </cfRule>
  </conditionalFormatting>
  <conditionalFormatting sqref="I13:I20">
    <cfRule type="expression" dxfId="222" priority="65">
      <formula>ABS(I$16-I$19)&gt;=1000</formula>
    </cfRule>
  </conditionalFormatting>
  <conditionalFormatting sqref="J13:J20">
    <cfRule type="expression" dxfId="221" priority="64">
      <formula>ABS(J$16-J$19)&gt;=1000</formula>
    </cfRule>
  </conditionalFormatting>
  <conditionalFormatting sqref="L13:L20">
    <cfRule type="expression" dxfId="220" priority="63">
      <formula>ABS(L$16-L$19)&gt;=1000</formula>
    </cfRule>
  </conditionalFormatting>
  <conditionalFormatting sqref="M13 M15 M17:M18 M20">
    <cfRule type="expression" dxfId="219" priority="62">
      <formula>ABS(M$16-M$19)&gt;=1000</formula>
    </cfRule>
  </conditionalFormatting>
  <conditionalFormatting sqref="N13:N20">
    <cfRule type="expression" dxfId="218" priority="61">
      <formula>ABS(N$16-N$19)&gt;=1000</formula>
    </cfRule>
  </conditionalFormatting>
  <conditionalFormatting sqref="O13:O20">
    <cfRule type="expression" dxfId="217" priority="60">
      <formula>ABS(O$16-O$19)&gt;=1000</formula>
    </cfRule>
  </conditionalFormatting>
  <conditionalFormatting sqref="P13:P20">
    <cfRule type="expression" dxfId="216" priority="59">
      <formula>ABS(P$16-P$19)&gt;=1000</formula>
    </cfRule>
  </conditionalFormatting>
  <conditionalFormatting sqref="Q13 Q15:Q20">
    <cfRule type="expression" dxfId="215" priority="58">
      <formula>ABS(Q$16-Q$19)&gt;=1000</formula>
    </cfRule>
  </conditionalFormatting>
  <conditionalFormatting sqref="R13:R20">
    <cfRule type="expression" dxfId="214" priority="57">
      <formula>ABS(R$16-R$19)&gt;=1000</formula>
    </cfRule>
  </conditionalFormatting>
  <conditionalFormatting sqref="S13:S20">
    <cfRule type="expression" dxfId="213" priority="56">
      <formula>ABS(S$16-S$19)&gt;=1000</formula>
    </cfRule>
  </conditionalFormatting>
  <conditionalFormatting sqref="T13:T20">
    <cfRule type="expression" dxfId="212" priority="55">
      <formula>ABS(T$16-T$19)&gt;=1000</formula>
    </cfRule>
  </conditionalFormatting>
  <conditionalFormatting sqref="U13:U20">
    <cfRule type="expression" dxfId="211" priority="54">
      <formula>ABS(U$16-U$19)&gt;=1000</formula>
    </cfRule>
  </conditionalFormatting>
  <conditionalFormatting sqref="V13:V20">
    <cfRule type="expression" dxfId="210" priority="53">
      <formula>ABS(V$16-V$19)&gt;=1000</formula>
    </cfRule>
  </conditionalFormatting>
  <conditionalFormatting sqref="W13 W20 W15:W18">
    <cfRule type="expression" dxfId="209" priority="52">
      <formula>ABS(W$16-W$19)&gt;=1000</formula>
    </cfRule>
  </conditionalFormatting>
  <conditionalFormatting sqref="X13 X15:X20 Y19">
    <cfRule type="expression" dxfId="208" priority="51">
      <formula>ABS(X$16-X$19)&gt;=1000</formula>
    </cfRule>
  </conditionalFormatting>
  <conditionalFormatting sqref="Y13 Y15:Y18 Y20">
    <cfRule type="expression" dxfId="207" priority="50">
      <formula>ABS(Y$16-Y$19)&gt;=1000</formula>
    </cfRule>
  </conditionalFormatting>
  <conditionalFormatting sqref="Z13:Z20">
    <cfRule type="expression" dxfId="206" priority="49">
      <formula>ABS(Z$16-Z$19)&gt;=1000</formula>
    </cfRule>
  </conditionalFormatting>
  <conditionalFormatting sqref="AA13:AA20">
    <cfRule type="expression" dxfId="205" priority="48">
      <formula>ABS(AA$16-AA$19)&gt;=1000</formula>
    </cfRule>
  </conditionalFormatting>
  <conditionalFormatting sqref="AB13 AB15:AB20">
    <cfRule type="expression" dxfId="204" priority="47">
      <formula>ABS(AB$16-AB$19)&gt;=1000</formula>
    </cfRule>
  </conditionalFormatting>
  <conditionalFormatting sqref="AC13 AC15:AC20">
    <cfRule type="expression" dxfId="203" priority="46">
      <formula>ABS(AC$16-AC$19)&gt;=1000</formula>
    </cfRule>
  </conditionalFormatting>
  <conditionalFormatting sqref="AD13:AD20">
    <cfRule type="expression" dxfId="202" priority="45">
      <formula>ABS(AD$16-AD$19)&gt;=1000</formula>
    </cfRule>
  </conditionalFormatting>
  <conditionalFormatting sqref="AE13:AE20">
    <cfRule type="expression" dxfId="201" priority="44">
      <formula>ABS(AE$16-AE$19)&gt;=1000</formula>
    </cfRule>
  </conditionalFormatting>
  <conditionalFormatting sqref="D22:D29">
    <cfRule type="expression" dxfId="200" priority="43">
      <formula>ABS(D$25-D$28)&gt;=1000</formula>
    </cfRule>
  </conditionalFormatting>
  <conditionalFormatting sqref="E22:E29">
    <cfRule type="expression" dxfId="199" priority="42">
      <formula>ABS(E$25-E$28)&gt;=1000</formula>
    </cfRule>
  </conditionalFormatting>
  <conditionalFormatting sqref="F22:F29">
    <cfRule type="expression" dxfId="198" priority="41">
      <formula>ABS(F$25-F$28)&gt;=1000</formula>
    </cfRule>
  </conditionalFormatting>
  <conditionalFormatting sqref="G22:G29">
    <cfRule type="expression" dxfId="197" priority="40">
      <formula>ABS(G$25-G$28)&gt;=1000</formula>
    </cfRule>
  </conditionalFormatting>
  <conditionalFormatting sqref="H22:H29">
    <cfRule type="expression" dxfId="196" priority="39">
      <formula>ABS(H$25-H$28)&gt;=1000</formula>
    </cfRule>
  </conditionalFormatting>
  <conditionalFormatting sqref="I22 I24:I29">
    <cfRule type="expression" dxfId="195" priority="38">
      <formula>ABS(I$25-I$28)&gt;=1000</formula>
    </cfRule>
  </conditionalFormatting>
  <conditionalFormatting sqref="J22:J29 K22">
    <cfRule type="expression" dxfId="194" priority="37">
      <formula>ABS(J$25-J$28)&gt;=1000</formula>
    </cfRule>
  </conditionalFormatting>
  <conditionalFormatting sqref="K23:K29 L25 L28">
    <cfRule type="expression" dxfId="193" priority="36">
      <formula>ABS(K$25-K$28)&gt;=1000</formula>
    </cfRule>
  </conditionalFormatting>
  <conditionalFormatting sqref="L22 L26:L27 L29 L24">
    <cfRule type="expression" dxfId="192" priority="35">
      <formula>ABS(L$25-L$28)&gt;=1000</formula>
    </cfRule>
  </conditionalFormatting>
  <conditionalFormatting sqref="M22:M29">
    <cfRule type="expression" dxfId="191" priority="34">
      <formula>ABS(M$25-M$28)&gt;=1000</formula>
    </cfRule>
  </conditionalFormatting>
  <conditionalFormatting sqref="N22:N29">
    <cfRule type="expression" dxfId="190" priority="33">
      <formula>ABS(N$25-N$28)&gt;=1000</formula>
    </cfRule>
  </conditionalFormatting>
  <conditionalFormatting sqref="O22:O29">
    <cfRule type="expression" dxfId="189" priority="32">
      <formula>ABS(O$25-O$28)&gt;=1000</formula>
    </cfRule>
  </conditionalFormatting>
  <conditionalFormatting sqref="P22:P29">
    <cfRule type="expression" dxfId="188" priority="31">
      <formula>ABS(P$25-P$28)&gt;=1000</formula>
    </cfRule>
  </conditionalFormatting>
  <conditionalFormatting sqref="Q22:Q29">
    <cfRule type="expression" dxfId="187" priority="30">
      <formula>ABS(Q$25-Q$28)&gt;=1000</formula>
    </cfRule>
  </conditionalFormatting>
  <conditionalFormatting sqref="R22:R29">
    <cfRule type="expression" dxfId="186" priority="29">
      <formula>ABS(R$25-R$28)&gt;=1000</formula>
    </cfRule>
  </conditionalFormatting>
  <conditionalFormatting sqref="S22:S29">
    <cfRule type="expression" dxfId="185" priority="28">
      <formula>ABS(S$25-S$28)&gt;=1000</formula>
    </cfRule>
  </conditionalFormatting>
  <conditionalFormatting sqref="T22:T29">
    <cfRule type="expression" dxfId="184" priority="27">
      <formula>ABS(T$25-T$28)&gt;=1000</formula>
    </cfRule>
  </conditionalFormatting>
  <conditionalFormatting sqref="U22:U29">
    <cfRule type="expression" dxfId="183" priority="26">
      <formula>ABS(U$25-U$28)&gt;=1000</formula>
    </cfRule>
  </conditionalFormatting>
  <conditionalFormatting sqref="V22:V29">
    <cfRule type="expression" dxfId="182" priority="25">
      <formula>ABS(V$25-V$28)&gt;=1000</formula>
    </cfRule>
  </conditionalFormatting>
  <conditionalFormatting sqref="W22:W29">
    <cfRule type="expression" dxfId="181" priority="24">
      <formula>ABS(W$25-W$28)&gt;=1000</formula>
    </cfRule>
  </conditionalFormatting>
  <conditionalFormatting sqref="X22:X29">
    <cfRule type="expression" dxfId="180" priority="23">
      <formula>ABS(X$25-X$28)&gt;=1000</formula>
    </cfRule>
  </conditionalFormatting>
  <conditionalFormatting sqref="Y22:Y29">
    <cfRule type="expression" dxfId="179" priority="22">
      <formula>ABS(Y$25-Y$28)&gt;=1000</formula>
    </cfRule>
  </conditionalFormatting>
  <conditionalFormatting sqref="I23">
    <cfRule type="expression" dxfId="178" priority="21">
      <formula>ABS(I$25-I$28)&gt;=1000</formula>
    </cfRule>
  </conditionalFormatting>
  <conditionalFormatting sqref="Q14">
    <cfRule type="expression" dxfId="177" priority="20">
      <formula>ABS(Q$16-Q$19)&gt;=1000</formula>
    </cfRule>
  </conditionalFormatting>
  <conditionalFormatting sqref="W14">
    <cfRule type="expression" dxfId="176" priority="19">
      <formula>ABS(W$16-W$19)&gt;=1000</formula>
    </cfRule>
  </conditionalFormatting>
  <conditionalFormatting sqref="Y14">
    <cfRule type="expression" dxfId="175" priority="18">
      <formula>ABS(Y$16-Y$19)&gt;=1000</formula>
    </cfRule>
  </conditionalFormatting>
  <conditionalFormatting sqref="X14">
    <cfRule type="expression" dxfId="174" priority="17">
      <formula>ABS(X$16-X$19)&gt;=1000</formula>
    </cfRule>
  </conditionalFormatting>
  <conditionalFormatting sqref="T10:Y10">
    <cfRule type="expression" dxfId="173" priority="16">
      <formula>ABS(T$7-T$10)&gt;=1000</formula>
    </cfRule>
  </conditionalFormatting>
  <conditionalFormatting sqref="W19">
    <cfRule type="expression" dxfId="172" priority="15">
      <formula>ABS(W$16-W$19)&gt;=1000</formula>
    </cfRule>
  </conditionalFormatting>
  <conditionalFormatting sqref="AC5">
    <cfRule type="expression" dxfId="171" priority="14">
      <formula>ABS(AC$7-AC$10)&gt;=1000</formula>
    </cfRule>
  </conditionalFormatting>
  <conditionalFormatting sqref="M14">
    <cfRule type="expression" dxfId="170" priority="13">
      <formula>ABS(M$16-M$19)&gt;=1000</formula>
    </cfRule>
  </conditionalFormatting>
  <conditionalFormatting sqref="M16">
    <cfRule type="expression" dxfId="169" priority="12">
      <formula>ABS(M$16-M$19)&gt;=1000</formula>
    </cfRule>
  </conditionalFormatting>
  <conditionalFormatting sqref="M19">
    <cfRule type="expression" dxfId="168" priority="11">
      <formula>ABS(M$16-M$19)&gt;=1000</formula>
    </cfRule>
  </conditionalFormatting>
  <conditionalFormatting sqref="K13:K20">
    <cfRule type="expression" dxfId="167" priority="10">
      <formula>ABS(K$16-K$19)&gt;=1000</formula>
    </cfRule>
  </conditionalFormatting>
  <conditionalFormatting sqref="E5">
    <cfRule type="expression" dxfId="166" priority="9">
      <formula>ABS(E$7-E$10)&gt;=1000</formula>
    </cfRule>
  </conditionalFormatting>
  <conditionalFormatting sqref="AB14:AC14">
    <cfRule type="expression" dxfId="165" priority="8">
      <formula>ABS(AB$16-AB$19)&gt;=1000</formula>
    </cfRule>
  </conditionalFormatting>
  <conditionalFormatting sqref="M5">
    <cfRule type="expression" dxfId="164" priority="7">
      <formula>ABS(M$7-M$10)&gt;=1000</formula>
    </cfRule>
  </conditionalFormatting>
  <conditionalFormatting sqref="N5">
    <cfRule type="expression" dxfId="163" priority="6">
      <formula>ABS(N$7-N$10)&gt;=1000</formula>
    </cfRule>
  </conditionalFormatting>
  <conditionalFormatting sqref="O5">
    <cfRule type="expression" dxfId="162" priority="5">
      <formula>ABS(O$7-O$10)&gt;=1000</formula>
    </cfRule>
  </conditionalFormatting>
  <conditionalFormatting sqref="P5">
    <cfRule type="expression" dxfId="161" priority="4">
      <formula>ABS(P$7-P$10)&gt;=1000</formula>
    </cfRule>
  </conditionalFormatting>
  <conditionalFormatting sqref="L23">
    <cfRule type="expression" dxfId="160" priority="3">
      <formula>ABS(L$25-L$28)&gt;=1000</formula>
    </cfRule>
  </conditionalFormatting>
  <conditionalFormatting sqref="F14">
    <cfRule type="expression" dxfId="159" priority="2">
      <formula>ABS(F$16-F$19)&gt;=1000</formula>
    </cfRule>
  </conditionalFormatting>
  <conditionalFormatting sqref="AE5">
    <cfRule type="expression" dxfId="158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8492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74">
    <pageSetUpPr fitToPage="1"/>
  </sheetPr>
  <dimension ref="A1:CU223"/>
  <sheetViews>
    <sheetView view="pageBreakPreview" zoomScale="70" zoomScaleNormal="100" zoomScaleSheetLayoutView="70" workbookViewId="0">
      <selection activeCell="E28" sqref="E28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38" t="s" ph="1">
        <v>161</v>
      </c>
      <c r="C1" s="238" ph="1"/>
      <c r="D1" s="238" ph="1"/>
      <c r="E1" s="238" ph="1"/>
      <c r="F1" s="238" ph="1"/>
      <c r="G1" s="238" ph="1"/>
      <c r="H1" s="238" ph="1"/>
      <c r="I1" s="238" ph="1"/>
      <c r="J1" s="238" ph="1"/>
      <c r="K1" s="238" ph="1"/>
      <c r="L1" s="238" ph="1"/>
      <c r="M1" s="238" ph="1"/>
      <c r="N1" s="238" ph="1"/>
      <c r="O1" s="238" ph="1"/>
      <c r="P1" s="238" ph="1"/>
      <c r="Q1" s="238" ph="1"/>
      <c r="R1" s="238" ph="1"/>
      <c r="S1" s="238" ph="1"/>
      <c r="T1" s="238" ph="1"/>
      <c r="U1" s="238" ph="1"/>
      <c r="V1" s="238" ph="1"/>
      <c r="W1" s="238" ph="1"/>
      <c r="X1" s="238" ph="1"/>
      <c r="Y1" s="238" ph="1"/>
      <c r="Z1" s="238" ph="1"/>
      <c r="AA1" s="238" ph="1"/>
      <c r="AB1" s="238" ph="1"/>
      <c r="AC1" s="238" ph="1"/>
      <c r="AD1" s="238" ph="1"/>
      <c r="AE1" s="238" ph="1"/>
    </row>
    <row r="2" spans="1:99" s="66" customFormat="1" ht="24" customHeight="1" ph="1">
      <c r="B2" s="239" t="s" ph="1">
        <v>82</v>
      </c>
      <c r="C2" s="239" ph="1"/>
      <c r="D2" s="239" ph="1"/>
      <c r="E2" s="239" ph="1"/>
      <c r="F2" s="239" ph="1"/>
      <c r="G2" s="239" ph="1"/>
      <c r="H2" s="239" ph="1"/>
      <c r="I2" s="239" ph="1"/>
      <c r="J2" s="239" ph="1"/>
      <c r="K2" s="239" ph="1"/>
      <c r="L2" s="239" ph="1"/>
      <c r="M2" s="239" ph="1"/>
      <c r="N2" s="239" ph="1"/>
      <c r="O2" s="239" ph="1"/>
      <c r="P2" s="239" ph="1"/>
      <c r="Q2" s="239" ph="1"/>
      <c r="R2" s="239" ph="1"/>
      <c r="S2" s="239" ph="1"/>
      <c r="T2" s="239" ph="1"/>
      <c r="U2" s="239" ph="1"/>
      <c r="V2" s="239" ph="1"/>
      <c r="W2" s="239" ph="1"/>
      <c r="X2" s="239" ph="1"/>
      <c r="Y2" s="239" ph="1"/>
      <c r="Z2" s="239" ph="1"/>
      <c r="AA2" s="239" ph="1"/>
      <c r="AB2" s="239" ph="1"/>
      <c r="AC2" s="239" ph="1"/>
      <c r="AD2" s="239" ph="1"/>
      <c r="AE2" s="239" ph="1"/>
    </row>
    <row r="3" spans="1:99" ht="21" customHeight="1" ph="1">
      <c r="B3" s="240" ph="1">
        <v>45989</v>
      </c>
      <c r="C3" s="240"/>
      <c r="D3" s="240"/>
      <c r="E3" s="240"/>
      <c r="F3" s="240"/>
      <c r="G3" s="240"/>
      <c r="H3" s="240"/>
      <c r="I3" s="240"/>
      <c r="J3" s="240"/>
      <c r="K3" s="240"/>
      <c r="L3" s="240"/>
      <c r="M3" s="240"/>
      <c r="N3" s="240"/>
      <c r="O3" s="240"/>
      <c r="P3" s="240"/>
      <c r="Q3" s="240"/>
      <c r="R3" s="240"/>
      <c r="S3" s="240"/>
      <c r="T3" s="240"/>
      <c r="U3" s="240"/>
      <c r="V3" s="240"/>
      <c r="W3" s="240"/>
      <c r="X3" s="240"/>
      <c r="Y3" s="240"/>
      <c r="Z3" s="240"/>
      <c r="AA3" s="240"/>
      <c r="AB3" s="240"/>
      <c r="AC3" s="240"/>
      <c r="AD3" s="240"/>
      <c r="AE3" s="240"/>
    </row>
    <row r="4" spans="1:99" s="69" customFormat="1" ph="1">
      <c r="A4" s="65" ph="1"/>
      <c r="B4" s="219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19" ph="1"/>
      <c r="C5" s="67" t="s" ph="1">
        <v>36</v>
      </c>
      <c r="D5" s="70" t="s" ph="1">
        <v>160</v>
      </c>
      <c r="E5" s="70" t="s" ph="1">
        <v>634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37" ph="1">
        <v>0.33333333333333331</v>
      </c>
      <c r="C6" s="159" t="s" ph="1">
        <v>177</v>
      </c>
      <c r="D6" s="71">
        <v>5112</v>
      </c>
      <c r="E6" s="71">
        <v>1233</v>
      </c>
      <c r="F6" s="71">
        <v>6647</v>
      </c>
      <c r="G6" s="71">
        <v>591</v>
      </c>
      <c r="H6" s="71">
        <v>2143</v>
      </c>
      <c r="I6" s="71">
        <v>27.14</v>
      </c>
      <c r="J6" s="71">
        <v>7.02</v>
      </c>
      <c r="K6" s="71">
        <v>52.13</v>
      </c>
      <c r="L6" s="71">
        <v>7.85</v>
      </c>
      <c r="M6" s="71">
        <v>3597</v>
      </c>
      <c r="N6" s="71">
        <v>723</v>
      </c>
      <c r="O6" s="71">
        <v>2578</v>
      </c>
      <c r="P6" s="71">
        <v>1010</v>
      </c>
      <c r="Q6" s="71">
        <v>0</v>
      </c>
      <c r="R6" s="71">
        <v>5166</v>
      </c>
      <c r="S6" s="71">
        <v>6037</v>
      </c>
      <c r="T6" s="71">
        <v>7187</v>
      </c>
      <c r="U6" s="71">
        <v>0</v>
      </c>
      <c r="V6" s="71">
        <v>4974</v>
      </c>
      <c r="W6" s="71">
        <v>0</v>
      </c>
      <c r="X6" s="71">
        <v>0</v>
      </c>
      <c r="Y6" s="71">
        <v>0</v>
      </c>
      <c r="Z6" s="71">
        <v>6493</v>
      </c>
      <c r="AA6" s="71">
        <v>1935</v>
      </c>
      <c r="AB6" s="71">
        <v>1994</v>
      </c>
      <c r="AC6" s="71">
        <v>6687</v>
      </c>
      <c r="AD6" s="71">
        <v>4780</v>
      </c>
      <c r="AE6" s="71">
        <v>4652</v>
      </c>
    </row>
    <row r="7" spans="1:99" s="72" customFormat="1" ht="22.2" ph="1">
      <c r="B7" s="237" ph="1"/>
      <c r="C7" s="68" t="s" ph="1">
        <v>178</v>
      </c>
      <c r="D7" s="73" ph="1">
        <f>D6*33.183*LOOKUP(D8,密度!$A$2:$A$50,密度!$Q$2:$Q$50)</f>
        <v>161490.88050695998</v>
      </c>
      <c r="E7" s="73" ph="1">
        <f>E6*51.53*LOOKUP(E8,密度!$A$2:$A$50,密度!$B$2:$B$50)</f>
        <v>49920.620192999995</v>
      </c>
      <c r="F7" s="73" ph="1">
        <f>F6*33.183*LOOKUP(F8,密度!$A$2:$A$50,密度!$C$2:$C$50)</f>
        <v>245403.29035260002</v>
      </c>
      <c r="G7" s="73" ph="1">
        <f xml:space="preserve"> (G6+2)*51.53*LOOKUP(G8,密度!$A$2:$A$50,密度!$B$2:$B$50)</f>
        <v>24079.144520000002</v>
      </c>
      <c r="H7" s="73" ph="1">
        <f>(H6)*51.53*LOOKUP(H8,密度!$A$2:$A$50,密度!$B$2:$B$50)</f>
        <v>87017.886520000015</v>
      </c>
      <c r="I7" s="73" ph="1">
        <f>I6*290.8*1.0267</f>
        <v>8103.0367304000001</v>
      </c>
      <c r="J7" s="73" ph="1">
        <f>J6*290.8*0.7892</f>
        <v>1611.0855071999999</v>
      </c>
      <c r="K7" s="73" ph="1">
        <f>K6*290.8*1.1126</f>
        <v>16866.352890400001</v>
      </c>
      <c r="L7" s="73" ph="1">
        <f>L6*290.8*0.777</f>
        <v>1773.7200600000001</v>
      </c>
      <c r="M7" s="73" ph="1">
        <f>M6*33.183*LOOKUP(M8,密度!$A$2:$A$50,密度!$D$2:$D$50)</f>
        <v>123202.61888220001</v>
      </c>
      <c r="N7" s="73" ph="1">
        <f>N6*33.183*LOOKUP(N8,密度!$A$2:$A$50,密度!$E$2:$E$50)</f>
        <v>18933.941062800001</v>
      </c>
      <c r="O7" s="73" ph="1">
        <f>O6*20.428*LOOKUP(O8,密度!$A$2:$A$50,密度!$C$2:$C$50)</f>
        <v>58398.426517600004</v>
      </c>
      <c r="P7" s="73" ph="1">
        <f>P6*51.53*LOOKUP(P8,密度!$A$2:$A$50,密度!$B$2:$B$50)</f>
        <v>40970.060160000001</v>
      </c>
      <c r="Q7" s="73" ph="1">
        <f>Q6*1.5*1.5*3.1416*LOOKUP(W8,密度!$A$2:$A$50,密度!$L$2:$L$50)</f>
        <v>0</v>
      </c>
      <c r="R7" s="73" ph="1">
        <f>R6*1.5*1.5*3.1416*LOOKUP(R8,密度!$A$2:$A$50,密度!$L$2:$L$50)</f>
        <v>34215.855181200001</v>
      </c>
      <c r="S7" s="73" ph="1">
        <f>S6*1.5*1.5*3.1416*LOOKUP(S8,密度!$A$2:$A$50,密度!$L$2:$L$50)</f>
        <v>40326.115598999997</v>
      </c>
      <c r="T7" s="73" ph="1">
        <f>T6*1.5*1.5*3.1416*LOOKUP(T8,密度!$A$2:$A$50,密度!$L$2:$L$50)</f>
        <v>48109.520705399998</v>
      </c>
      <c r="U7" s="73" ph="1">
        <f>U6*1.5*1.5*3.1416*LOOKUP(U8,密度!$A$2:$A$50,密度!$L$2:$L$50)</f>
        <v>0</v>
      </c>
      <c r="V7" s="73" ph="1">
        <f>V6*1.5*1.5*3.1416*LOOKUP(V8,密度!$A$2:$A$50,密度!$L$2:$L$50)</f>
        <v>33014.504199599993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203822.529174</v>
      </c>
      <c r="AA7" s="73" ph="1">
        <f>AA6*33.183*LOOKUP(AA8,密度!$A$2:$A$50,密度!$D$2:$D$50)</f>
        <v>66334.426375499999</v>
      </c>
      <c r="AB7" s="73" ph="1">
        <f>AB6*20.428*LOOKUP(AB8,密度!$A$2:$A$50,密度!$D$2:$D$50)</f>
        <v>42293.5224456</v>
      </c>
      <c r="AC7" s="73" ph="1">
        <f>AC6*51.53*LOOKUP(AC8,密度!$A$2:$A$50,密度!$Q$2:$Q$50)</f>
        <v>328592.54649599997</v>
      </c>
      <c r="AD7" s="73" ph="1">
        <f>AD6*20.428*LOOKUP(AD8,密度!$A$2:$A$50,密度!$V$2:$V$50)</f>
        <v>94130.589760000003</v>
      </c>
      <c r="AE7" s="73" ph="1">
        <f>AE6*20.428</f>
        <v>95031.055999999997</v>
      </c>
    </row>
    <row r="8" spans="1:99" ph="1">
      <c r="B8" s="237" ph="1"/>
      <c r="C8" s="68" t="s" ph="1">
        <v>179</v>
      </c>
      <c r="D8" s="74">
        <v>18</v>
      </c>
      <c r="E8" s="74">
        <v>18</v>
      </c>
      <c r="F8" s="74">
        <v>20</v>
      </c>
      <c r="G8" s="74">
        <v>15</v>
      </c>
      <c r="H8" s="74">
        <v>15</v>
      </c>
      <c r="I8" s="74">
        <v>25</v>
      </c>
      <c r="J8" s="74">
        <v>25</v>
      </c>
      <c r="K8" s="74">
        <v>25</v>
      </c>
      <c r="L8" s="74">
        <v>25</v>
      </c>
      <c r="M8" s="74">
        <v>19</v>
      </c>
      <c r="N8" s="74">
        <v>20</v>
      </c>
      <c r="O8" s="74">
        <v>25</v>
      </c>
      <c r="P8" s="74">
        <v>16</v>
      </c>
      <c r="Q8" s="74">
        <v>21</v>
      </c>
      <c r="R8" s="74">
        <v>25</v>
      </c>
      <c r="S8" s="74">
        <v>17</v>
      </c>
      <c r="T8" s="74">
        <v>15</v>
      </c>
      <c r="U8" s="74">
        <v>20</v>
      </c>
      <c r="V8" s="74">
        <v>23</v>
      </c>
      <c r="W8" s="74">
        <v>19</v>
      </c>
      <c r="X8" s="74">
        <v>16</v>
      </c>
      <c r="Y8" s="74">
        <v>18</v>
      </c>
      <c r="Z8" s="74">
        <v>16</v>
      </c>
      <c r="AA8" s="74">
        <v>18</v>
      </c>
      <c r="AB8" s="74">
        <v>12</v>
      </c>
      <c r="AC8" s="74">
        <v>16</v>
      </c>
      <c r="AD8" s="74">
        <v>17</v>
      </c>
      <c r="AE8" s="74">
        <v>22</v>
      </c>
    </row>
    <row r="9" spans="1:99" ht="26.4" ph="1">
      <c r="B9" s="237" ph="1">
        <v>0.66666666666666663</v>
      </c>
      <c r="C9" s="159" t="s" ph="1">
        <v>180</v>
      </c>
      <c r="D9" s="71">
        <v>5114</v>
      </c>
      <c r="E9" s="71">
        <v>1319</v>
      </c>
      <c r="F9" s="71">
        <v>6647</v>
      </c>
      <c r="G9" s="71">
        <v>321</v>
      </c>
      <c r="H9" s="71">
        <v>3872</v>
      </c>
      <c r="I9" s="71">
        <v>27.13</v>
      </c>
      <c r="J9" s="71">
        <v>7.04</v>
      </c>
      <c r="K9" s="71">
        <v>21.58</v>
      </c>
      <c r="L9" s="71">
        <v>20.87</v>
      </c>
      <c r="M9" s="71">
        <v>3597</v>
      </c>
      <c r="N9" s="71">
        <v>721</v>
      </c>
      <c r="O9" s="71">
        <v>2461</v>
      </c>
      <c r="P9" s="71">
        <v>601</v>
      </c>
      <c r="Q9" s="71">
        <v>0</v>
      </c>
      <c r="R9" s="71">
        <v>0</v>
      </c>
      <c r="S9" s="71">
        <v>6041</v>
      </c>
      <c r="T9" s="71">
        <v>7191</v>
      </c>
      <c r="U9" s="71">
        <v>1443</v>
      </c>
      <c r="V9" s="71">
        <v>4975</v>
      </c>
      <c r="W9" s="71">
        <v>4098</v>
      </c>
      <c r="X9" s="71">
        <v>0</v>
      </c>
      <c r="Y9" s="71">
        <v>0</v>
      </c>
      <c r="Z9" s="71">
        <v>6489</v>
      </c>
      <c r="AA9" s="71">
        <v>1933</v>
      </c>
      <c r="AB9" s="71">
        <v>1893</v>
      </c>
      <c r="AC9" s="71">
        <v>6687</v>
      </c>
      <c r="AD9" s="71">
        <v>4780</v>
      </c>
      <c r="AE9" s="71">
        <v>4992</v>
      </c>
    </row>
    <row r="10" spans="1:99" s="72" customFormat="1" ht="22.2" ph="1">
      <c r="B10" s="237" ph="1"/>
      <c r="C10" s="159" t="s" ph="1">
        <v>178</v>
      </c>
      <c r="D10" s="73" ph="1">
        <f>D9*33.183*LOOKUP(D11,密度!$A$2:$A$50,密度!$Q$2:$Q$50)</f>
        <v>161160.36256278001</v>
      </c>
      <c r="E10" s="73" ph="1">
        <f>E9*51.53*LOOKUP(E11,密度!$A$2:$A$50,密度!$B$2:$B$50)</f>
        <v>53232.592424000009</v>
      </c>
      <c r="F10" s="73" ph="1">
        <f>F9*33.183*LOOKUP(F11,密度!$A$2:$A$50,密度!$C$2:$C$50)</f>
        <v>245403.29035260002</v>
      </c>
      <c r="G10" s="73" ph="1">
        <f xml:space="preserve"> (G9+2)*51.53*LOOKUP(G11,密度!$A$2:$A$50,密度!$B$2:$B$50)</f>
        <v>13035.729608</v>
      </c>
      <c r="H10" s="73" ph="1">
        <f>(H9)*51.53*LOOKUP(H11,密度!$A$2:$A$50,密度!$B$2:$B$50)</f>
        <v>156267.32211199999</v>
      </c>
      <c r="I10" s="73" ph="1">
        <f>I9*290.8*1.0267</f>
        <v>8100.0510868000001</v>
      </c>
      <c r="J10" s="73" ph="1">
        <f>J9*290.8*0.7892</f>
        <v>1615.6754944000002</v>
      </c>
      <c r="K10" s="73" ph="1">
        <f>K9*290.8*1.1126</f>
        <v>6982.0812464000001</v>
      </c>
      <c r="L10" s="73" ph="1">
        <f>L9*290.8*0.777</f>
        <v>4715.6098920000004</v>
      </c>
      <c r="M10" s="73" ph="1">
        <f>M9*33.183*LOOKUP(M11,密度!$A$2:$A$50,密度!$D$2:$D$50)</f>
        <v>122999.7081555</v>
      </c>
      <c r="N10" s="73" ph="1">
        <f>N9*33.183*LOOKUP(N11,密度!$A$2:$A$50,密度!$E$2:$E$50)</f>
        <v>18824.1451524</v>
      </c>
      <c r="O10" s="73" ph="1">
        <f>O9*20.428*LOOKUP(O11,密度!$A$2:$A$50,密度!$C$2:$C$50)</f>
        <v>55748.071241200007</v>
      </c>
      <c r="P10" s="73" ph="1">
        <f>P9*51.53*LOOKUP(P11,密度!$A$2:$A$50,密度!$B$2:$B$50)</f>
        <v>24255.335896000001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40395.536319599996</v>
      </c>
      <c r="T10" s="73" ph="1">
        <f>T9*1.5*1.5*3.1416*LOOKUP(T11,密度!$A$2:$A$50,密度!$L$2:$L$50)</f>
        <v>48085.466259599998</v>
      </c>
      <c r="U10" s="73" ph="1">
        <f>U9*1.5*1.5*3.1416*LOOKUP(U11,密度!$A$2:$A$50,密度!$L$2:$L$50)</f>
        <v>9598.1904017999987</v>
      </c>
      <c r="V10" s="73" ph="1">
        <f>V9*1.5*1.5*3.1416*LOOKUP(V11,密度!$A$2:$A$50,密度!$L$2:$L$50)</f>
        <v>32915.642759999995</v>
      </c>
      <c r="W10" s="73" ph="1">
        <f>W9*1.5*1.5*3.1416*LOOKUP(W11,密度!$A$2:$A$50,密度!$L$2:$L$50)</f>
        <v>27258.062554799999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203266.31572799999</v>
      </c>
      <c r="AA10" s="73" ph="1">
        <f>AA9*33.183*LOOKUP(AA11,密度!$A$2:$A$50,密度!$D$2:$D$50)</f>
        <v>66034.949800500006</v>
      </c>
      <c r="AB10" s="73" ph="1">
        <f>AB9*20.428*LOOKUP(AB11,密度!$A$2:$A$50,密度!$D$2:$D$50)</f>
        <v>40116.469629600011</v>
      </c>
      <c r="AC10" s="73" ph="1">
        <f>AC9*51.53*LOOKUP(AC11,密度!$A$2:$A$50,密度!$Q$2:$Q$50)</f>
        <v>328044.66253109998</v>
      </c>
      <c r="AD10" s="73" ph="1">
        <f>AD9*20.428*LOOKUP(AD11,密度!$A$2:$A$50,密度!$V$2:$V$50)</f>
        <v>94130.589760000003</v>
      </c>
      <c r="AE10" s="73" ph="1">
        <f>AE9*20.428</f>
        <v>101976.576</v>
      </c>
    </row>
    <row r="11" spans="1:99" ph="1">
      <c r="A11" s="64" t="s" ph="1">
        <v>162</v>
      </c>
      <c r="B11" s="237" ph="1"/>
      <c r="C11" s="159" t="s" ph="1">
        <v>179</v>
      </c>
      <c r="D11" s="74">
        <v>21</v>
      </c>
      <c r="E11" s="74">
        <v>21</v>
      </c>
      <c r="F11" s="74">
        <v>20</v>
      </c>
      <c r="G11" s="74">
        <v>21</v>
      </c>
      <c r="H11" s="74">
        <v>21</v>
      </c>
      <c r="I11" s="74">
        <v>25</v>
      </c>
      <c r="J11" s="74">
        <v>25</v>
      </c>
      <c r="K11" s="74">
        <v>25</v>
      </c>
      <c r="L11" s="74">
        <v>25</v>
      </c>
      <c r="M11" s="74">
        <v>21</v>
      </c>
      <c r="N11" s="74">
        <v>22</v>
      </c>
      <c r="O11" s="74">
        <v>25</v>
      </c>
      <c r="P11" s="74">
        <v>21</v>
      </c>
      <c r="Q11" s="74">
        <v>22</v>
      </c>
      <c r="R11" s="74">
        <v>26</v>
      </c>
      <c r="S11" s="74">
        <v>16</v>
      </c>
      <c r="T11" s="74">
        <v>16</v>
      </c>
      <c r="U11" s="74">
        <v>21</v>
      </c>
      <c r="V11" s="74">
        <v>26</v>
      </c>
      <c r="W11" s="74">
        <v>21</v>
      </c>
      <c r="X11" s="74">
        <v>14</v>
      </c>
      <c r="Y11" s="74">
        <v>21</v>
      </c>
      <c r="Z11" s="74">
        <v>18</v>
      </c>
      <c r="AA11" s="74">
        <v>22</v>
      </c>
      <c r="AB11" s="74">
        <v>13</v>
      </c>
      <c r="AC11" s="74">
        <v>18</v>
      </c>
      <c r="AD11" s="74">
        <v>19</v>
      </c>
      <c r="AE11" s="74">
        <v>26</v>
      </c>
    </row>
    <row r="12" spans="1:99" ht="9.9" customHeight="1" ph="1"/>
    <row r="13" spans="1:99" s="72" customFormat="1" ht="29.25" customHeight="1" ph="1">
      <c r="B13" s="214" t="s" ph="1">
        <v>37</v>
      </c>
      <c r="C13" s="159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5" ph="1"/>
      <c r="C14" s="67" t="s" ph="1">
        <v>36</v>
      </c>
      <c r="D14" s="77" t="s" ph="1">
        <v>616</v>
      </c>
      <c r="E14" s="77" t="s" ph="1">
        <v>616</v>
      </c>
      <c r="F14" s="77" t="s" ph="1">
        <v>639</v>
      </c>
      <c r="G14" s="77" t="s" ph="1">
        <v>617</v>
      </c>
      <c r="H14" s="77" t="s" ph="1">
        <v>618</v>
      </c>
      <c r="I14" s="139" t="s" ph="1">
        <v>619</v>
      </c>
      <c r="J14" s="77" t="s" ph="1">
        <v>620</v>
      </c>
      <c r="K14" s="77" t="s" ph="1">
        <v>186</v>
      </c>
      <c r="L14" s="77" t="s" ph="1">
        <v>41</v>
      </c>
      <c r="M14" s="104" t="s" ph="1">
        <v>621</v>
      </c>
      <c r="N14" s="104" t="s" ph="1">
        <v>622</v>
      </c>
      <c r="O14" s="104" t="s" ph="1">
        <v>620</v>
      </c>
      <c r="P14" s="77" t="s" ph="1">
        <v>623</v>
      </c>
      <c r="Q14" s="77" t="s" ph="1">
        <v>623</v>
      </c>
      <c r="R14" s="88" t="s" ph="1">
        <v>634</v>
      </c>
      <c r="S14" s="77" t="s" ph="1">
        <v>71</v>
      </c>
      <c r="T14" s="77" t="s" ph="1">
        <v>625</v>
      </c>
      <c r="U14" s="77" t="s" ph="1">
        <v>605</v>
      </c>
      <c r="V14" s="77" t="s" ph="1">
        <v>636</v>
      </c>
      <c r="W14" s="77" t="s" ph="1">
        <v>623</v>
      </c>
      <c r="X14" s="77" t="s" ph="1">
        <v>626</v>
      </c>
      <c r="Y14" s="138" t="s" ph="1">
        <v>0</v>
      </c>
      <c r="Z14" s="77" t="s" ph="1">
        <v>54</v>
      </c>
      <c r="AA14" s="77" t="s" ph="1">
        <v>613</v>
      </c>
      <c r="AB14" s="77" t="s" ph="1">
        <v>635</v>
      </c>
      <c r="AC14" s="77" t="s" ph="1">
        <v>637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16" ph="1">
        <v>0.33333333333333331</v>
      </c>
      <c r="C15" s="159" t="s" ph="1">
        <v>177</v>
      </c>
      <c r="D15" s="78">
        <v>5988</v>
      </c>
      <c r="E15" s="78">
        <v>5795</v>
      </c>
      <c r="F15" s="78">
        <v>2781</v>
      </c>
      <c r="G15" s="78">
        <v>2169</v>
      </c>
      <c r="H15" s="78">
        <v>4169</v>
      </c>
      <c r="I15" s="78">
        <v>1610</v>
      </c>
      <c r="J15" s="78">
        <v>1440</v>
      </c>
      <c r="K15" s="78">
        <v>4798</v>
      </c>
      <c r="L15" s="78">
        <v>1762</v>
      </c>
      <c r="M15" s="78">
        <v>3928</v>
      </c>
      <c r="N15" s="78">
        <v>630</v>
      </c>
      <c r="O15" s="78">
        <v>846</v>
      </c>
      <c r="P15" s="78">
        <v>6977</v>
      </c>
      <c r="Q15" s="78">
        <v>2595</v>
      </c>
      <c r="R15" s="78">
        <v>7415</v>
      </c>
      <c r="S15" s="78">
        <v>6157</v>
      </c>
      <c r="T15" s="78">
        <v>6262</v>
      </c>
      <c r="U15" s="78">
        <v>3015</v>
      </c>
      <c r="V15" s="78">
        <v>4909</v>
      </c>
      <c r="W15" s="71">
        <v>4293</v>
      </c>
      <c r="X15" s="78">
        <v>672</v>
      </c>
      <c r="Y15" s="106">
        <v>-9902</v>
      </c>
      <c r="Z15" s="78">
        <v>0</v>
      </c>
      <c r="AA15" s="78">
        <v>0</v>
      </c>
      <c r="AB15" s="78" ph="1">
        <v>1091</v>
      </c>
      <c r="AC15" s="78" ph="1">
        <v>32</v>
      </c>
      <c r="AD15" s="78">
        <v>50.61</v>
      </c>
      <c r="AE15" s="78">
        <v>5.1100000000000003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17" ph="1"/>
      <c r="C16" s="159" t="s" ph="1">
        <v>178</v>
      </c>
      <c r="D16" s="73" ph="1">
        <f>D15*7.0686*LOOKUP(D17,密度!$A$2:$A$50,密度!$L$2:$L$50)</f>
        <v>39871.823745599999</v>
      </c>
      <c r="E16" s="73" ph="1">
        <f>E15*7.0686*LOOKUP(E17,密度!$A$2:$A$50,密度!$L$2:$L$50)</f>
        <v>38586.709853999993</v>
      </c>
      <c r="F16" s="73" ph="1">
        <f>F15*9.0746*LOOKUP(F17,密度!$A$2:$A$50,密度!$L$2:$L$50)</f>
        <v>23520.383143200001</v>
      </c>
      <c r="G16" s="73" ph="1">
        <f>G15*9.0746*LOOKUP(G17,密度!$A$2:$A$50,密度!$B$2:$B$50)</f>
        <v>15433.289282340002</v>
      </c>
      <c r="H16" s="73" ph="1">
        <f>H15*9.0746*LOOKUP(H17,密度!$A$2:$A$50,密度!$L$2:$L$50)</f>
        <v>35637.7509708</v>
      </c>
      <c r="I16" s="73" ph="1">
        <f>I15*9.0746*LOOKUP(I17,密度!$A$2:$A$50,密度!$U$2:$U$50)</f>
        <v>15019.188968</v>
      </c>
      <c r="J16" s="73" ph="1">
        <f>J15*9.0746*LOOKUP(J17,密度!$A$2:$A$50,密度!$L$2:$L$50)</f>
        <v>12309.513408000001</v>
      </c>
      <c r="K16" s="73" ph="1">
        <f>K15*9.0746*LOOKUP(K17,密度!$A$2:$A$50,密度!$C$2:$C$50)</f>
        <v>48442.527008080004</v>
      </c>
      <c r="L16" s="73" ph="1">
        <f>L15*9.0746*LOOKUP(L17,密度!$A$2:$A$50,密度!$E$2:$E$50)</f>
        <v>12636.45854156</v>
      </c>
      <c r="M16" s="73" ph="1">
        <f>M15*9.0746*LOOKUP(M17,密度!$A$2:$A$50,密度!$M$2:$M$50)</f>
        <v>31378.318852639997</v>
      </c>
      <c r="N16" s="73" ph="1">
        <f>N15*9.0746*LOOKUP(N17,密度!$A$2:$A$50,密度!$M$2:$M$50)</f>
        <v>5032.6733394000003</v>
      </c>
      <c r="O16" s="73" ph="1">
        <f>O15*9.0746*LOOKUP(O17,密度!$A$2:$A$50,密度!$G$2:$G$50)</f>
        <v>7415.32209444</v>
      </c>
      <c r="P16" s="73" ph="1">
        <f ca="1">P15*9.0746*LOOKUP(P17,密度!$A$2:$A$51,密度!$Q$2:$Q$50)</f>
        <v>60171.869113995999</v>
      </c>
      <c r="Q16" s="73" ph="1">
        <f>Q15*9.0746*LOOKUP(Q17,密度!$A$2:$A$50,密度!$Q$2:$Q$50)</f>
        <v>22380.106113059999</v>
      </c>
      <c r="R16" s="73" ph="1">
        <f>MAX(R15*9.0746*LOOKUP(R17,密度!$A$2:$A$50,密度!$B$2:$B$50),0)</f>
        <v>52760.645471900003</v>
      </c>
      <c r="S16" s="73" ph="1">
        <f>S15*9.0746*LOOKUP(S17,密度!$A$2:$A$50,密度!$Q$2:$Q$50)</f>
        <v>53147.419534006003</v>
      </c>
      <c r="T16" s="73" ph="1">
        <f>T15*9.0746*LOOKUP(T17,密度!$A$2:$A$50,密度!$O$2:$O$50)</f>
        <v>53074.685616800001</v>
      </c>
      <c r="U16" s="73" ph="1">
        <f>U15*9.0746*LOOKUP(U17,密度!$A$2:$A$50,密度!$H$2:$H$50)</f>
        <v>25272.357180300001</v>
      </c>
      <c r="V16" s="73" ph="1">
        <f>MAX(5600*LOOKUP(V17,密度!$A$2:$A$50,密度!$Q$2:$Q$50)+V15*9.0476*LOOKUP(V17,密度!$A$2:$A$50,密度!$Q$2:$Q$50),0)</f>
        <v>47532.94055399199</v>
      </c>
      <c r="W16" s="73" ph="1">
        <f>MAX(5600*LOOKUP(W17,密度!$A$2:$A$50,密度!$Q$2:$Q$50)+W15*9.0476*LOOKUP(W17,密度!$A$2:$A$50,密度!$Q$2:$Q$50),0)</f>
        <v>42236.167171784</v>
      </c>
      <c r="X16" s="73" ph="1">
        <f>MAX(5600*LOOKUP(X17,密度!$A$2:$A$50,密度!$I$2:$I$50)+X15*9.0476*LOOKUP(X17,密度!$A$2:$A$50,密度!$I$2:$I$50),0)</f>
        <v>12082.946758399999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0</v>
      </c>
      <c r="AB16" s="73" ph="1">
        <f>AB15*9.0746*LOOKUP(AB17,密度!$A$2:$A$50,密度!$L$2:$L$50)</f>
        <v>9345.9668383999997</v>
      </c>
      <c r="AC16" s="73" ph="1">
        <f>AC15*9.0746*LOOKUP(AC17,密度!$A$2:$A$50,密度!$L$2:$L$50)</f>
        <v>274.99667840000001</v>
      </c>
      <c r="AD16" s="73" ph="1">
        <f>AD15*268.68*LOOKUP(AD17,密度!$A$2:$A$50,密度!B2:B50)+IF(AD15&lt;=0,0,1566*LOOKUP(AD17,密度!$A$2:$A$50,密度!B2:B50))</f>
        <v>11821.77238608</v>
      </c>
      <c r="AE16" s="73" ph="1">
        <f>AE15*268.68*LOOKUP(AE17,密度!$A$2:$A$50,密度!B2:B50)+IF(AE15&lt;=0,0,1566*LOOKUP(AE17,密度!$A$2:$A$50,密度!B2:B50))</f>
        <v>2291.2091620800002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18" ph="1"/>
      <c r="C17" s="79" t="s" ph="1">
        <v>179</v>
      </c>
      <c r="D17" s="74">
        <v>20</v>
      </c>
      <c r="E17" s="74">
        <v>20</v>
      </c>
      <c r="F17" s="74">
        <v>30</v>
      </c>
      <c r="G17" s="74">
        <v>20</v>
      </c>
      <c r="H17" s="74">
        <v>20</v>
      </c>
      <c r="I17" s="74">
        <v>18</v>
      </c>
      <c r="J17" s="74">
        <v>20</v>
      </c>
      <c r="K17" s="74">
        <v>20</v>
      </c>
      <c r="L17" s="74">
        <v>19</v>
      </c>
      <c r="M17" s="74">
        <v>19</v>
      </c>
      <c r="N17" s="74">
        <v>17</v>
      </c>
      <c r="O17" s="74">
        <v>20</v>
      </c>
      <c r="P17" s="74">
        <v>20</v>
      </c>
      <c r="Q17" s="74">
        <v>20</v>
      </c>
      <c r="R17" s="74">
        <v>20</v>
      </c>
      <c r="S17" s="74">
        <v>19</v>
      </c>
      <c r="T17" s="74">
        <v>18</v>
      </c>
      <c r="U17" s="74">
        <v>16</v>
      </c>
      <c r="V17" s="74">
        <v>20</v>
      </c>
      <c r="W17" s="74">
        <v>20</v>
      </c>
      <c r="X17" s="74">
        <v>32</v>
      </c>
      <c r="Y17" s="108">
        <v>32</v>
      </c>
      <c r="Z17" s="74">
        <v>19</v>
      </c>
      <c r="AA17" s="74">
        <v>16</v>
      </c>
      <c r="AB17" s="74">
        <v>18</v>
      </c>
      <c r="AC17" s="74">
        <v>15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16" ph="1">
        <v>0.66666666666666663</v>
      </c>
      <c r="C18" s="79" t="s" ph="1">
        <v>180</v>
      </c>
      <c r="D18" s="71">
        <v>5995</v>
      </c>
      <c r="E18" s="71">
        <v>5159</v>
      </c>
      <c r="F18" s="71">
        <v>2776</v>
      </c>
      <c r="G18" s="71">
        <v>2211</v>
      </c>
      <c r="H18" s="71">
        <v>4167</v>
      </c>
      <c r="I18" s="71">
        <v>1610</v>
      </c>
      <c r="J18" s="71">
        <v>1441</v>
      </c>
      <c r="K18" s="71">
        <v>4811</v>
      </c>
      <c r="L18" s="71">
        <v>1761</v>
      </c>
      <c r="M18" s="71">
        <v>3933</v>
      </c>
      <c r="N18" s="71">
        <v>4211</v>
      </c>
      <c r="O18" s="71">
        <v>846</v>
      </c>
      <c r="P18" s="71">
        <v>6984</v>
      </c>
      <c r="Q18" s="71">
        <v>2598</v>
      </c>
      <c r="R18" s="71">
        <v>7422</v>
      </c>
      <c r="S18" s="71">
        <v>6162</v>
      </c>
      <c r="T18" s="71">
        <v>4920</v>
      </c>
      <c r="U18" s="71">
        <v>3015</v>
      </c>
      <c r="V18" s="71">
        <v>4909</v>
      </c>
      <c r="W18" s="71">
        <v>4292</v>
      </c>
      <c r="X18" s="71">
        <v>672</v>
      </c>
      <c r="Y18" s="109">
        <v>-9904</v>
      </c>
      <c r="Z18" s="71">
        <v>0</v>
      </c>
      <c r="AA18" s="71">
        <v>0</v>
      </c>
      <c r="AB18" s="71">
        <v>1091</v>
      </c>
      <c r="AC18" s="71">
        <v>24</v>
      </c>
      <c r="AD18" s="71">
        <v>84.65</v>
      </c>
      <c r="AE18" s="71">
        <v>23.21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17" ph="1"/>
      <c r="C19" s="159" t="s" ph="1">
        <v>178</v>
      </c>
      <c r="D19" s="73" ph="1">
        <f>D18*7.0686*LOOKUP(D20,密度!$A$2:$A$50,密度!$L$2:$L$50)</f>
        <v>39918.434093999997</v>
      </c>
      <c r="E19" s="73" ph="1">
        <f>E18*7.0686*LOOKUP(E20,密度!$A$2:$A$50,密度!$L$2:$L$50)</f>
        <v>34351.826770799991</v>
      </c>
      <c r="F19" s="73" ph="1">
        <f>F18*9.0746*LOOKUP(F20,密度!$A$2:$A$50,密度!$L$2:$L$50)</f>
        <v>23478.0955072</v>
      </c>
      <c r="G19" s="73" ph="1">
        <f>G18*9.0746*LOOKUP(G20,密度!$A$2:$A$50,密度!$B$2:$B$50)</f>
        <v>15732.135824460001</v>
      </c>
      <c r="H19" s="73" ph="1">
        <f>H18*9.0746*LOOKUP(H20,密度!$A$2:$A$50,密度!$L$2:$L$50)</f>
        <v>35582.8405662</v>
      </c>
      <c r="I19" s="73" ph="1">
        <f>I18*9.0746*LOOKUP(I20,密度!$A$2:$A$50,密度!$U$2:$U$50)</f>
        <v>15019.188968</v>
      </c>
      <c r="J19" s="73" ph="1">
        <f>J18*9.0746*LOOKUP(J20,密度!$A$2:$A$50,密度!$L$2:$L$50)</f>
        <v>12278.832185400001</v>
      </c>
      <c r="K19" s="73" ph="1">
        <f>K18*9.0746*LOOKUP(K20,密度!$A$2:$A$50,密度!$C$2:$C$50)</f>
        <v>48508.293356659997</v>
      </c>
      <c r="L19" s="73" ph="1">
        <f>L18*9.0746*LOOKUP(L20,密度!$A$2:$A$50,密度!$E$2:$E$50)</f>
        <v>12554.179143359999</v>
      </c>
      <c r="M19" s="73" ph="1">
        <f>M18*9.0746*LOOKUP(M20,密度!$A$2:$A$50,密度!$M$2:$M$50)</f>
        <v>31300.482378600002</v>
      </c>
      <c r="N19" s="73" ph="1">
        <f>N18*9.0746*LOOKUP(N20,密度!$A$2:$A$50,密度!$M$2:$M$50)</f>
        <v>33512.924306200002</v>
      </c>
      <c r="O19" s="73" ph="1">
        <f>O18*9.0746*LOOKUP(O20,密度!$A$2:$A$50,密度!$G$2:$G$50)</f>
        <v>7399.2001600800004</v>
      </c>
      <c r="P19" s="73" ph="1">
        <f ca="1">P18*9.0746*LOOKUP(P20,密度!$A$2:$A$51,密度!$Q$2:$Q$50)</f>
        <v>60188.509208016003</v>
      </c>
      <c r="Q19" s="73" ph="1">
        <f>Q18*9.0746*LOOKUP(Q20,密度!$A$2:$A$50,密度!$Q$2:$Q$50)</f>
        <v>22405.979068103999</v>
      </c>
      <c r="R19" s="73" ph="1">
        <f>MAX(R18*9.0746*LOOKUP(R20,密度!$A$2:$A$50,密度!$B$2:$B$50),0)</f>
        <v>52689.220202760007</v>
      </c>
      <c r="S19" s="73" ph="1">
        <f>S18*9.0746*LOOKUP(S20,密度!$A$2:$A$50,密度!$Q$2:$Q$50)</f>
        <v>53104.466457588002</v>
      </c>
      <c r="T19" s="73" ph="1">
        <f>T18*9.0746*LOOKUP(T20,密度!$A$2:$A$50,密度!$O$2:$O$50)</f>
        <v>41521.739760000004</v>
      </c>
      <c r="U19" s="73" ph="1">
        <f>U18*9.0746*LOOKUP(U20,密度!$A$2:$A$50,密度!$H$2:$H$50)</f>
        <v>25190.277423300002</v>
      </c>
      <c r="V19" s="73" ph="1">
        <f>MAX(5600*LOOKUP(V20,密度!$A$2:$A$50,密度!$Q$2:$Q$50)+V18*9.0476*LOOKUP(V20,密度!$A$2:$A$50,密度!$Q$2:$Q$50),0)</f>
        <v>47498.430432795998</v>
      </c>
      <c r="W19" s="73" ph="1">
        <f>MAX(5600*LOOKUP(W20,密度!$A$2:$A$50,密度!$Q$2:$Q$50)+W18*9.0476*LOOKUP(W20,密度!$A$2:$A$50,密度!$Q$2:$Q$50),0)</f>
        <v>42196.910227248001</v>
      </c>
      <c r="X19" s="73" ph="1">
        <f>MAX(5600*LOOKUP(X20,密度!$A$2:$A$50,密度!$I$2:$I$50)+X18*9.0476*LOOKUP(X20,密度!$A$2:$A$50,密度!$I$2:$I$50),0)</f>
        <v>12043.23480192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9306.3652839999995</v>
      </c>
      <c r="AC19" s="73" ph="1">
        <f>AC18*9.0746*LOOKUP(AC20,密度!$A$2:$A$50,密度!$L$2:$L$50)</f>
        <v>205.15855679999999</v>
      </c>
      <c r="AD19" s="73" ph="1">
        <f>AD18*268.68*LOOKUP(AD20,密度!$A$2:$A$50,密度!B5:B53)+IF(AD18&lt;=0,0,1566*LOOKUP(AD20,密度!$A$2:$A$50,密度!B5:B53))</f>
        <v>18888.685074000001</v>
      </c>
      <c r="AE19" s="73" ph="1">
        <f>AE18*268.68*LOOKUP(AE20,密度!$A$2:$A$50,密度!B5:B53)+IF(AE18&lt;=0,0,1566*LOOKUP(AE20,密度!$A$2:$A$50,密度!B5:B53))</f>
        <v>6062.2027956000011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17" ph="1"/>
      <c r="C20" s="80" t="s" ph="1">
        <v>179</v>
      </c>
      <c r="D20" s="81">
        <v>20</v>
      </c>
      <c r="E20" s="81">
        <v>20</v>
      </c>
      <c r="F20" s="81">
        <v>30</v>
      </c>
      <c r="G20" s="81">
        <v>20</v>
      </c>
      <c r="H20" s="81">
        <v>21</v>
      </c>
      <c r="I20" s="81">
        <v>22</v>
      </c>
      <c r="J20" s="81">
        <v>23</v>
      </c>
      <c r="K20" s="81">
        <v>22</v>
      </c>
      <c r="L20" s="81">
        <v>23</v>
      </c>
      <c r="M20" s="81">
        <v>23</v>
      </c>
      <c r="N20" s="81">
        <v>23</v>
      </c>
      <c r="O20" s="81">
        <v>22</v>
      </c>
      <c r="P20" s="81">
        <v>21</v>
      </c>
      <c r="Q20" s="81">
        <v>20</v>
      </c>
      <c r="R20" s="81">
        <v>22</v>
      </c>
      <c r="S20" s="81">
        <v>21</v>
      </c>
      <c r="T20" s="81">
        <v>22</v>
      </c>
      <c r="U20" s="81">
        <v>19</v>
      </c>
      <c r="V20" s="81">
        <v>21</v>
      </c>
      <c r="W20" s="81">
        <v>21</v>
      </c>
      <c r="X20" s="81">
        <v>35</v>
      </c>
      <c r="Y20" s="110">
        <v>35</v>
      </c>
      <c r="Z20" s="81">
        <v>23</v>
      </c>
      <c r="AA20" s="81">
        <v>20</v>
      </c>
      <c r="AB20" s="81">
        <v>22</v>
      </c>
      <c r="AC20" s="81">
        <v>20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5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5" t="s" ph="1">
        <v>69</v>
      </c>
      <c r="AA22" s="226"/>
      <c r="AB22" s="226"/>
      <c r="AC22" s="226"/>
      <c r="AD22" s="226"/>
      <c r="AE22" s="227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19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627</v>
      </c>
      <c r="H23" s="88" t="s" ph="1">
        <v>627</v>
      </c>
      <c r="I23" s="88" t="s" ph="1">
        <v>628</v>
      </c>
      <c r="J23" s="88" t="s" ph="1">
        <v>629</v>
      </c>
      <c r="K23" s="88" t="s" ph="1">
        <v>629</v>
      </c>
      <c r="L23" s="88" t="s" ph="1">
        <v>629</v>
      </c>
      <c r="M23" s="88" t="s" ph="1">
        <v>624</v>
      </c>
      <c r="N23" s="88" t="s" ph="1">
        <v>624</v>
      </c>
      <c r="O23" s="88" t="s" ph="1">
        <v>318</v>
      </c>
      <c r="P23" s="88" t="s" ph="1">
        <v>631</v>
      </c>
      <c r="Q23" s="89" t="s" ph="1">
        <v>631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631</v>
      </c>
      <c r="W23" s="88" t="s" ph="1">
        <v>631</v>
      </c>
      <c r="X23" s="88" t="s" ph="1">
        <v>187</v>
      </c>
      <c r="Y23" s="88" t="s" ph="1">
        <v>632</v>
      </c>
      <c r="Z23" s="228" t="s" ph="1">
        <v>640</v>
      </c>
      <c r="AA23" s="229"/>
      <c r="AB23" s="229"/>
      <c r="AC23" s="229"/>
      <c r="AD23" s="229"/>
      <c r="AE23" s="230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37" ph="1">
        <v>0.33333333333333331</v>
      </c>
      <c r="C24" s="159" t="s" ph="1">
        <v>177</v>
      </c>
      <c r="D24" s="71">
        <v>5.41</v>
      </c>
      <c r="E24" s="71">
        <v>64.2</v>
      </c>
      <c r="F24" s="71">
        <v>0</v>
      </c>
      <c r="G24" s="71">
        <v>2620</v>
      </c>
      <c r="H24" s="71">
        <v>2257</v>
      </c>
      <c r="I24" s="71">
        <v>1528</v>
      </c>
      <c r="J24" s="71">
        <v>2946</v>
      </c>
      <c r="K24" s="71">
        <v>443</v>
      </c>
      <c r="L24" s="71">
        <v>5557</v>
      </c>
      <c r="M24" s="71">
        <v>2645</v>
      </c>
      <c r="N24" s="71">
        <v>5778</v>
      </c>
      <c r="O24" s="71">
        <v>2431</v>
      </c>
      <c r="P24" s="71">
        <v>370</v>
      </c>
      <c r="Q24" s="90">
        <v>4045</v>
      </c>
      <c r="R24" s="71">
        <v>4732</v>
      </c>
      <c r="S24" s="71">
        <v>3059</v>
      </c>
      <c r="T24" s="71">
        <v>1072</v>
      </c>
      <c r="U24" s="71">
        <v>5901</v>
      </c>
      <c r="V24" s="71">
        <v>8847</v>
      </c>
      <c r="W24" s="71">
        <v>7225</v>
      </c>
      <c r="X24" s="71">
        <v>4450</v>
      </c>
      <c r="Y24" s="71">
        <v>2116</v>
      </c>
      <c r="Z24" s="231"/>
      <c r="AA24" s="232"/>
      <c r="AB24" s="232"/>
      <c r="AC24" s="232"/>
      <c r="AD24" s="232"/>
      <c r="AE24" s="233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37" ph="1"/>
      <c r="C25" s="68" t="s" ph="1">
        <v>178</v>
      </c>
      <c r="D25" s="91" ph="1">
        <f>D24*268.68*LOOKUP(D26,密度!$A$2:$A$50,密度!$Q$2:$Q$50)+IF(D24&lt;=0,0,1566*LOOKUP(D26,密度!$A$2:$A$50,密度!$Q$2:$Q$50))</f>
        <v>2858.7370983119999</v>
      </c>
      <c r="E25" s="91" ph="1">
        <f>E24*268.68*LOOKUP(E26,密度!$A$2:$A$50,密度!$C$2:$C$50)+IF(E24&lt;=0,0,1566*LOOKUP(E26,密度!$A$2:$A$50,密度!$C$2:$C$50))</f>
        <v>20864.237378400001</v>
      </c>
      <c r="F25" s="91" ph="1">
        <f>F24*11.702*LOOKUP(F26,密度!$A$2:$A$50,密度!$Q$2:$Q$50)</f>
        <v>0</v>
      </c>
      <c r="G25" s="91" ph="1">
        <f>G24*18.322*LOOKUP(G26,密度!$A$2:$A$50,密度!$B$2:$B$50)</f>
        <v>37639.654124000001</v>
      </c>
      <c r="H25" s="91" ph="1">
        <f>H24*18.322*LOOKUP(H26,密度!$A$2:$A$50,密度!$B$2:$B$50)</f>
        <v>32490.858817799999</v>
      </c>
      <c r="I25" s="91" ph="1">
        <f>I24*18.322*LOOKUP(I26,密度!$A$2:$A$50,密度!$Q$2:$Q$50)</f>
        <v>26630.650299680001</v>
      </c>
      <c r="J25" s="91" ph="1">
        <f>J24*18.322*LOOKUP(J26,密度!$A$2:$A$50,密度!$Q$2:$Q$50)</f>
        <v>51261.048650280005</v>
      </c>
      <c r="K25" s="91" ph="1">
        <f>K24*18.322*LOOKUP(K26,密度!$A$2:$A$50,密度!$Q$2:$Q$50)</f>
        <v>7713.8980254799999</v>
      </c>
      <c r="L25" s="91" ph="1">
        <f>L24*18.322*LOOKUP(L26,密度!$A$2:$A$50,密度!$Q$2:$Q$50)</f>
        <v>96849.819185419998</v>
      </c>
      <c r="M25" s="91" ph="1">
        <f>M24*18.322*LOOKUP(M26,密度!$A$2:$A$50,密度!$Q$2:$Q$50)</f>
        <v>46057.020942199997</v>
      </c>
      <c r="N25" s="91" ph="1">
        <f>N24*18.322*LOOKUP(N26,密度!$A$2:$A$50,密度!$Q$2:$Q$50)</f>
        <v>100611.51871607998</v>
      </c>
      <c r="O25" s="91" ph="1">
        <f>O24*18.322*LOOKUP(O26,密度!$A$2:$A$50,密度!$C$2:$C$50)</f>
        <v>49556.074053199998</v>
      </c>
      <c r="P25" s="91" ph="1">
        <f>P24*11.702*LOOKUP(P26,密度!$A$2:$A$50,密度!$B$2:$B$50)</f>
        <v>3394.949134</v>
      </c>
      <c r="Q25" s="92" ph="1">
        <f>Q24*18.322*LOOKUP(Q26,密度!$A$2:$A$50,密度!$B$2:$B$50)</f>
        <v>58044.902167999993</v>
      </c>
      <c r="R25" s="91" ph="1">
        <f>R24*35.891*LOOKUP(R26,密度!$A$2:$A$50,密度!$C$2:$C$50)</f>
        <v>188840.88412280002</v>
      </c>
      <c r="S25" s="91" ph="1">
        <f>S24*35.891*LOOKUP(S26,密度!$A$2:$A$50,密度!$B$2:$B$50)</f>
        <v>85987.973640799988</v>
      </c>
      <c r="T25" s="91" ph="1">
        <f>T24*35.891*LOOKUP(T26,密度!$A$2:$A$50,密度!$Q$2:$Q$50)</f>
        <v>36566.014957759995</v>
      </c>
      <c r="U25" s="91" ph="1">
        <f>U24*35.891</f>
        <v>211792.791</v>
      </c>
      <c r="V25" s="91" ph="1">
        <f>V24*47.051*LOOKUP(V26,密度!$A$2:$A$50,密度!$B$2:$B$50)</f>
        <v>326389.62046770006</v>
      </c>
      <c r="W25" s="91" ph="1">
        <f>W24*47.051*LOOKUP(W26,密度!$A$2:$A$50,密度!$B$2:$B$50)</f>
        <v>265937.78049250005</v>
      </c>
      <c r="X25" s="91" ph="1">
        <f>X24*47.051*LOOKUP(X26,密度!$A$2:$A$61,密度!$I$2:$I$61)</f>
        <v>215888.573145</v>
      </c>
      <c r="Y25" s="91" ph="1">
        <f>Y24*47.051*LOOKUP(Y26,密度!$A$2:$A$50,密度!$L$2:$L$50)</f>
        <v>93188.081376000002</v>
      </c>
      <c r="Z25" s="231"/>
      <c r="AA25" s="232"/>
      <c r="AB25" s="232"/>
      <c r="AC25" s="232"/>
      <c r="AD25" s="232"/>
      <c r="AE25" s="233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37" ph="1"/>
      <c r="C26" s="68" t="s" ph="1">
        <v>179</v>
      </c>
      <c r="D26" s="74">
        <v>25</v>
      </c>
      <c r="E26" s="74">
        <v>25</v>
      </c>
      <c r="F26" s="74">
        <v>22</v>
      </c>
      <c r="G26" s="74">
        <v>20</v>
      </c>
      <c r="H26" s="74">
        <v>18</v>
      </c>
      <c r="I26" s="74">
        <v>19</v>
      </c>
      <c r="J26" s="74">
        <v>21</v>
      </c>
      <c r="K26" s="74">
        <v>20</v>
      </c>
      <c r="L26" s="74">
        <v>19</v>
      </c>
      <c r="M26" s="74">
        <v>20</v>
      </c>
      <c r="N26" s="74">
        <v>20</v>
      </c>
      <c r="O26" s="74">
        <v>20</v>
      </c>
      <c r="P26" s="74">
        <v>20</v>
      </c>
      <c r="Q26" s="93">
        <v>21</v>
      </c>
      <c r="R26" s="74">
        <v>21</v>
      </c>
      <c r="S26" s="74">
        <v>21</v>
      </c>
      <c r="T26" s="74">
        <v>20</v>
      </c>
      <c r="U26" s="74">
        <v>21</v>
      </c>
      <c r="V26" s="74">
        <v>20</v>
      </c>
      <c r="W26" s="74">
        <v>22</v>
      </c>
      <c r="X26" s="74">
        <v>35</v>
      </c>
      <c r="Y26" s="74">
        <v>26</v>
      </c>
      <c r="Z26" s="231"/>
      <c r="AA26" s="232"/>
      <c r="AB26" s="232"/>
      <c r="AC26" s="232"/>
      <c r="AD26" s="232"/>
      <c r="AE26" s="233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37" ph="1">
        <v>0.66666666666666663</v>
      </c>
      <c r="C27" s="159" t="s" ph="1">
        <v>180</v>
      </c>
      <c r="D27" s="71">
        <v>5.42</v>
      </c>
      <c r="E27" s="71">
        <v>64.2</v>
      </c>
      <c r="F27" s="71">
        <v>0</v>
      </c>
      <c r="G27" s="71">
        <v>2106</v>
      </c>
      <c r="H27" s="71">
        <v>1871</v>
      </c>
      <c r="I27" s="71">
        <v>1528</v>
      </c>
      <c r="J27" s="71">
        <v>2947</v>
      </c>
      <c r="K27" s="71">
        <v>442</v>
      </c>
      <c r="L27" s="71">
        <v>5557</v>
      </c>
      <c r="M27" s="71">
        <v>2644</v>
      </c>
      <c r="N27" s="71">
        <v>5778</v>
      </c>
      <c r="O27" s="71">
        <v>1960</v>
      </c>
      <c r="P27" s="71">
        <v>367</v>
      </c>
      <c r="Q27" s="90">
        <v>4445</v>
      </c>
      <c r="R27" s="71">
        <v>4730</v>
      </c>
      <c r="S27" s="71">
        <v>3056</v>
      </c>
      <c r="T27" s="71">
        <v>1071</v>
      </c>
      <c r="U27" s="71">
        <v>5929</v>
      </c>
      <c r="V27" s="71">
        <v>8846</v>
      </c>
      <c r="W27" s="71">
        <v>7224</v>
      </c>
      <c r="X27" s="71">
        <v>4459</v>
      </c>
      <c r="Y27" s="71">
        <v>1939</v>
      </c>
      <c r="Z27" s="231"/>
      <c r="AA27" s="232"/>
      <c r="AB27" s="232"/>
      <c r="AC27" s="232"/>
      <c r="AD27" s="232"/>
      <c r="AE27" s="233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37" ph="1"/>
      <c r="C28" s="159" t="s" ph="1">
        <v>178</v>
      </c>
      <c r="D28" s="91" ph="1">
        <f>D27*268.68*LOOKUP(D29,密度!$A$2:$A$50,密度!$Q$2:$Q$50)+IF(D27&lt;=0,0,1566*LOOKUP(D29,密度!$A$2:$A$50,密度!$Q$2:$Q$50))</f>
        <v>2861.2807993440001</v>
      </c>
      <c r="E28" s="91" ph="1">
        <f>E27*268.68*LOOKUP(E29,密度!$A$2:$A$50,密度!$C$2:$C$50)+IF(E27&lt;=0,0,1566*LOOKUP(E29,密度!$A$2:$A$50,密度!$C$2:$C$50))</f>
        <v>20864.237378400001</v>
      </c>
      <c r="F28" s="91" ph="1">
        <f>F27*11.702*LOOKUP(F29,密度!$A$2:$A$50,密度!$Q$2:$Q$50)</f>
        <v>0</v>
      </c>
      <c r="G28" s="91" ph="1">
        <f>G27*18.322*LOOKUP(G29,密度!$A$2:$A$50,密度!$B$2:$B$50)</f>
        <v>30151.203544799999</v>
      </c>
      <c r="H28" s="91" ph="1">
        <f>H27*18.322*LOOKUP(H29,密度!$A$2:$A$50,密度!$B$2:$B$50)</f>
        <v>26817.605422599998</v>
      </c>
      <c r="I28" s="91" ph="1">
        <f>I27*18.322*LOOKUP(I29,密度!$A$2:$A$50,密度!$Q$2:$Q$50)</f>
        <v>26570.738825439999</v>
      </c>
      <c r="J28" s="91" ph="1">
        <f>J27*18.322*LOOKUP(J29,密度!$A$2:$A$50,密度!$Q$2:$Q$50)</f>
        <v>51246.051910059999</v>
      </c>
      <c r="K28" s="91" ph="1">
        <f>K27*18.322*LOOKUP(K29,密度!$A$2:$A$50,密度!$Q$2:$Q$50)</f>
        <v>7703.3687385200001</v>
      </c>
      <c r="L28" s="91" ph="1">
        <f>L27*18.322*LOOKUP(L29,密度!$A$2:$A$50,密度!$Q$2:$Q$50)</f>
        <v>96693.023540259994</v>
      </c>
      <c r="M28" s="91" ph="1">
        <f>M27*18.322*LOOKUP(M29,密度!$A$2:$A$50,密度!$Q$2:$Q$50)</f>
        <v>46006.182155919996</v>
      </c>
      <c r="N28" s="91" ph="1">
        <f>N27*18.322*LOOKUP(N29,密度!$A$2:$A$50,密度!$Q$2:$Q$50)</f>
        <v>100538.47220003999</v>
      </c>
      <c r="O28" s="91" ph="1">
        <f>O27*18.322*LOOKUP(O29,密度!$A$2:$A$50,密度!$C$2:$C$50)</f>
        <v>39929.574328000002</v>
      </c>
      <c r="P28" s="91" ph="1">
        <f>P27*11.702*LOOKUP(P29,密度!$A$2:$A$50,密度!$B$2:$B$50)</f>
        <v>3367.4225194000001</v>
      </c>
      <c r="Q28" s="92" ph="1">
        <f>Q27*18.322*LOOKUP(Q29,密度!$A$2:$A$50,密度!$B$2:$B$50)</f>
        <v>63784.818327999994</v>
      </c>
      <c r="R28" s="91" ph="1">
        <f>R27*35.891*LOOKUP(R29,密度!$A$2:$A$50,密度!$C$2:$C$50)</f>
        <v>188761.06971700001</v>
      </c>
      <c r="S28" s="91" ph="1">
        <f>S27*35.891*LOOKUP(S29,密度!$A$2:$A$50,密度!$B$2:$B$50)</f>
        <v>85804.929540799989</v>
      </c>
      <c r="T28" s="91" ph="1">
        <f>T27*35.891*LOOKUP(T29,密度!$A$2:$A$50,密度!$Q$2:$Q$50)</f>
        <v>36531.904869179998</v>
      </c>
      <c r="U28" s="91" ph="1">
        <f>U27*35.891</f>
        <v>212797.739</v>
      </c>
      <c r="V28" s="91" ph="1">
        <f>V27*47.051*LOOKUP(V29,密度!$A$2:$A$50,密度!$B$2:$B$50)</f>
        <v>326352.7277786</v>
      </c>
      <c r="W28" s="91" ph="1">
        <f>W27*47.051*LOOKUP(W29,密度!$A$2:$A$50,密度!$B$2:$B$50)</f>
        <v>265900.9724952</v>
      </c>
      <c r="X28" s="91" ph="1">
        <f>X27*47.051*LOOKUP(X29,密度!$A$2:$A$61,密度!$I$2:$I$61)</f>
        <v>212800.55484870001</v>
      </c>
      <c r="Y28" s="91" ph="1">
        <f>Y27*47.051*LOOKUP(Y29,密度!$A$2:$A$50,密度!$L$2:$L$50)</f>
        <v>85484.279993000018</v>
      </c>
      <c r="Z28" s="231"/>
      <c r="AA28" s="232"/>
      <c r="AB28" s="232"/>
      <c r="AC28" s="232"/>
      <c r="AD28" s="232"/>
      <c r="AE28" s="233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37" ph="1"/>
      <c r="C29" s="159" t="s" ph="1">
        <v>179</v>
      </c>
      <c r="D29" s="74">
        <v>25</v>
      </c>
      <c r="E29" s="74">
        <v>25</v>
      </c>
      <c r="F29" s="74">
        <v>22</v>
      </c>
      <c r="G29" s="74">
        <v>23</v>
      </c>
      <c r="H29" s="74">
        <v>22</v>
      </c>
      <c r="I29" s="74">
        <v>22</v>
      </c>
      <c r="J29" s="74">
        <v>22</v>
      </c>
      <c r="K29" s="74">
        <v>19</v>
      </c>
      <c r="L29" s="74">
        <v>21</v>
      </c>
      <c r="M29" s="74">
        <v>21</v>
      </c>
      <c r="N29" s="74">
        <v>21</v>
      </c>
      <c r="O29" s="74">
        <v>21</v>
      </c>
      <c r="P29" s="74">
        <v>20</v>
      </c>
      <c r="Q29" s="93">
        <v>21</v>
      </c>
      <c r="R29" s="74">
        <v>21</v>
      </c>
      <c r="S29" s="74">
        <v>22</v>
      </c>
      <c r="T29" s="74">
        <v>20</v>
      </c>
      <c r="U29" s="74">
        <v>22</v>
      </c>
      <c r="V29" s="74">
        <v>20</v>
      </c>
      <c r="W29" s="74">
        <v>22</v>
      </c>
      <c r="X29" s="74">
        <v>50</v>
      </c>
      <c r="Y29" s="74">
        <v>25</v>
      </c>
      <c r="Z29" s="234"/>
      <c r="AA29" s="235"/>
      <c r="AB29" s="235"/>
      <c r="AC29" s="235"/>
      <c r="AD29" s="235"/>
      <c r="AE29" s="236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0" t="s" ph="1">
        <v>35</v>
      </c>
      <c r="C31" s="221" ph="1"/>
      <c r="D31" s="224" t="s" ph="1">
        <v>9</v>
      </c>
      <c r="E31" s="199" ph="1"/>
      <c r="F31" s="200" ph="1"/>
      <c r="G31" s="224" t="s" ph="1">
        <v>18</v>
      </c>
      <c r="H31" s="199" ph="1"/>
      <c r="I31" s="200" ph="1"/>
      <c r="J31" s="198" t="s" ph="1">
        <v>1</v>
      </c>
      <c r="K31" s="199" ph="1"/>
      <c r="L31" s="200" ph="1"/>
      <c r="M31" s="198" t="s" ph="1">
        <v>7</v>
      </c>
      <c r="N31" s="199" ph="1"/>
      <c r="O31" s="200" ph="1"/>
      <c r="P31" s="198" t="s" ph="1">
        <v>41</v>
      </c>
      <c r="Q31" s="199"/>
      <c r="R31" s="200"/>
      <c r="S31" s="198" t="s" ph="1">
        <v>2</v>
      </c>
      <c r="T31" s="199"/>
      <c r="U31" s="200"/>
      <c r="V31" s="198" t="s" ph="1">
        <v>71</v>
      </c>
      <c r="W31" s="199" ph="1"/>
      <c r="X31" s="200" ph="1"/>
      <c r="Y31" s="198" t="s" ph="1">
        <v>3</v>
      </c>
      <c r="Z31" s="199" ph="1"/>
      <c r="AA31" s="200" ph="1"/>
      <c r="AB31" s="201" t="s">
        <v>42</v>
      </c>
      <c r="AC31" s="202"/>
      <c r="AD31" s="202"/>
      <c r="AE31" s="203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2" ph="1"/>
      <c r="C32" s="223" ph="1"/>
      <c r="D32" s="96" t="s" ph="1">
        <v>4</v>
      </c>
      <c r="E32" s="159" t="s" ph="1">
        <v>5</v>
      </c>
      <c r="F32" s="160" t="s" ph="1">
        <v>43</v>
      </c>
      <c r="G32" s="97" t="s" ph="1">
        <v>4</v>
      </c>
      <c r="H32" s="159" t="s" ph="1">
        <v>5</v>
      </c>
      <c r="I32" s="160" t="s" ph="1">
        <v>43</v>
      </c>
      <c r="J32" s="97" t="s" ph="1">
        <v>4</v>
      </c>
      <c r="K32" s="159" t="s" ph="1">
        <v>5</v>
      </c>
      <c r="L32" s="160" t="s" ph="1">
        <v>43</v>
      </c>
      <c r="M32" s="97" t="s" ph="1">
        <v>4</v>
      </c>
      <c r="N32" s="159" t="s" ph="1">
        <v>5</v>
      </c>
      <c r="O32" s="160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9" t="s" ph="1">
        <v>5</v>
      </c>
      <c r="U32" s="99" t="s" ph="1">
        <v>43</v>
      </c>
      <c r="V32" s="97" t="s" ph="1">
        <v>4</v>
      </c>
      <c r="W32" s="159" t="s" ph="1">
        <v>5</v>
      </c>
      <c r="X32" s="99" t="s" ph="1">
        <v>43</v>
      </c>
      <c r="Y32" s="100" t="s" ph="1">
        <v>4</v>
      </c>
      <c r="Z32" s="159" t="s" ph="1">
        <v>5</v>
      </c>
      <c r="AA32" s="160" t="s" ph="1">
        <v>43</v>
      </c>
      <c r="AB32" s="97" t="s" ph="1">
        <v>85</v>
      </c>
      <c r="AC32" s="159" t="s" ph="1">
        <v>84</v>
      </c>
      <c r="AD32" s="204" t="s" ph="1">
        <v>83</v>
      </c>
      <c r="AE32" s="205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6" t="s" ph="1">
        <v>181</v>
      </c>
      <c r="C33" s="207" ph="1"/>
      <c r="D33" s="186" ph="1">
        <f>AA10+AB10+Z19</f>
        <v>106151.41943010001</v>
      </c>
      <c r="E33" s="186" ph="1">
        <f>M10+I10</f>
        <v>131099.7592423</v>
      </c>
      <c r="F33" s="210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[[#This Row],[F25]]</f>
        <v>3880</v>
      </c>
      <c r="G33" s="212" ph="1">
        <v>0</v>
      </c>
      <c r="H33" s="186" ph="1">
        <f>N19</f>
        <v>33512.924306200002</v>
      </c>
      <c r="I33" s="190" ph="1">
        <v>0</v>
      </c>
      <c r="J33" s="194" ph="1">
        <f>F10+O28</f>
        <v>285332.8646806</v>
      </c>
      <c r="K33" s="186" ph="1">
        <f>O10+K10+E28+R28</f>
        <v>272355.45958300005</v>
      </c>
      <c r="L33" s="196" ph="1">
        <f>BE27</f>
        <v>7100</v>
      </c>
      <c r="M33" s="194" ph="1">
        <f>G10+H10+W28+S28+V28+E10</f>
        <v>900594.27395860001</v>
      </c>
      <c r="N33" s="186" ph="1">
        <f>L10+P10++G28+H28</f>
        <v>85939.754755400005</v>
      </c>
      <c r="O33" s="190" ph="1">
        <f>BE17</f>
        <v>2270</v>
      </c>
      <c r="P33" s="194" ph="1">
        <f>L19</f>
        <v>12554.179143359999</v>
      </c>
      <c r="Q33" s="186" ph="1">
        <f>J10+N10</f>
        <v>20439.820646799999</v>
      </c>
      <c r="R33" s="190" ph="1">
        <f>BE23</f>
        <v>890</v>
      </c>
      <c r="S33" s="194" ph="1">
        <f>E10+X28</f>
        <v>266033.14727270004</v>
      </c>
      <c r="T33" s="186" ph="1">
        <f>X19</f>
        <v>12043.23480192</v>
      </c>
      <c r="U33" s="175" ph="1">
        <f>BE21</f>
        <v>730</v>
      </c>
      <c r="V33" s="188" ph="1">
        <f ca="1">P19+Q19+S19+M28+N28+J28</f>
        <v>333489.66099972796</v>
      </c>
      <c r="W33" s="188" ph="1">
        <f>D28+F28+V19+T28</f>
        <v>86891.616101319989</v>
      </c>
      <c r="X33" s="190" ph="1">
        <f>BE29+BE31</f>
        <v>10200</v>
      </c>
      <c r="Y33" s="192" ph="1">
        <f>+Q10+R10+S10+T10+U10+V10+W10+X10+Y10</f>
        <v>158252.8982958</v>
      </c>
      <c r="Z33" s="173" ph="1">
        <f>D10+T19+U19+Y28+Z10</f>
        <v>516622.97546708002</v>
      </c>
      <c r="AA33" s="175" ph="1">
        <f>BE19</f>
        <v>1440</v>
      </c>
      <c r="AB33" s="177" ph="1">
        <f>I19</f>
        <v>15019.188968</v>
      </c>
      <c r="AC33" s="179" ph="1">
        <f>AD10</f>
        <v>94130.589760000003</v>
      </c>
      <c r="AD33" s="181" ph="1">
        <v>0</v>
      </c>
      <c r="AE33" s="182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08" ph="1"/>
      <c r="C34" s="209" ph="1"/>
      <c r="D34" s="187" ph="1"/>
      <c r="E34" s="187" ph="1"/>
      <c r="F34" s="211" ph="1"/>
      <c r="G34" s="213" ph="1"/>
      <c r="H34" s="187" ph="1"/>
      <c r="I34" s="191" ph="1"/>
      <c r="J34" s="195" ph="1"/>
      <c r="K34" s="187" ph="1"/>
      <c r="L34" s="197" ph="1"/>
      <c r="M34" s="195" ph="1"/>
      <c r="N34" s="187" ph="1"/>
      <c r="O34" s="191" ph="1"/>
      <c r="P34" s="195" ph="1"/>
      <c r="Q34" s="187" ph="1"/>
      <c r="R34" s="191" ph="1"/>
      <c r="S34" s="195" ph="1"/>
      <c r="T34" s="187"/>
      <c r="U34" s="176"/>
      <c r="V34" s="189" ph="1"/>
      <c r="W34" s="189" ph="1"/>
      <c r="X34" s="191" ph="1"/>
      <c r="Y34" s="193" ph="1"/>
      <c r="Z34" s="174" ph="1"/>
      <c r="AA34" s="176" ph="1"/>
      <c r="AB34" s="178"/>
      <c r="AC34" s="180"/>
      <c r="AD34" s="183"/>
      <c r="AE34" s="184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5" t="s" ph="1">
        <v>633</v>
      </c>
      <c r="AD35" s="185"/>
      <c r="AE35" s="185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1" t="s" ph="1">
        <v>183</v>
      </c>
      <c r="J36" s="171" ph="1"/>
      <c r="K36" s="101" ph="1"/>
      <c r="P36" s="101" ph="1"/>
      <c r="R36" s="171" t="s" ph="1">
        <v>184</v>
      </c>
      <c r="S36" s="171" ph="1"/>
      <c r="Y36" s="102" ph="1"/>
      <c r="Z36" s="161" t="s" ph="1">
        <v>185</v>
      </c>
      <c r="AA36" s="161" ph="1"/>
      <c r="AB36" s="172" t="s" ph="1">
        <v>642</v>
      </c>
      <c r="AC36" s="172" ph="1"/>
      <c r="AD36" s="172" ph="1"/>
      <c r="AE36" s="172" ph="1"/>
      <c r="BA36" s="64" ph="1">
        <v>2270</v>
      </c>
    </row>
    <row r="37" spans="1:57" s="161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1" t="s" ph="1">
        <v>342</v>
      </c>
      <c r="AI37" s="161" t="s" ph="1">
        <v>209</v>
      </c>
      <c r="AJ37" s="161" t="s" ph="1">
        <v>210</v>
      </c>
      <c r="AK37" s="161" t="s" ph="1">
        <v>211</v>
      </c>
      <c r="AM37" s="161" t="s" ph="1">
        <v>210</v>
      </c>
      <c r="AN37" s="161" t="s" ph="1">
        <v>211</v>
      </c>
      <c r="AO37" s="161" t="s" ph="1">
        <v>212</v>
      </c>
      <c r="AP37" s="161" t="s" ph="1">
        <v>210</v>
      </c>
      <c r="AQ37" s="161" t="s" ph="1">
        <v>211</v>
      </c>
      <c r="AR37" s="161" t="s" ph="1">
        <v>212</v>
      </c>
      <c r="AS37" s="161" t="s" ph="1">
        <v>210</v>
      </c>
      <c r="AT37" s="161" t="s" ph="1">
        <v>211</v>
      </c>
      <c r="AU37" s="161" t="s" ph="1">
        <v>212</v>
      </c>
      <c r="AV37" s="161" t="s" ph="1">
        <v>210</v>
      </c>
      <c r="AW37" s="161" t="s" ph="1">
        <v>211</v>
      </c>
      <c r="AX37" s="161" t="s" ph="1">
        <v>212</v>
      </c>
      <c r="AY37" s="161" t="s" ph="1">
        <v>211</v>
      </c>
      <c r="AZ37" s="161" t="s" ph="1">
        <v>213</v>
      </c>
      <c r="BD37" s="161" t="s" ph="1">
        <v>305</v>
      </c>
      <c r="BE37" s="161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27" priority="98">
      <formula>ABS(D$7-D$10)&gt;=1000</formula>
    </cfRule>
  </conditionalFormatting>
  <conditionalFormatting sqref="E4 E6:E11">
    <cfRule type="expression" dxfId="126" priority="97">
      <formula>ABS(E$7-E$10)&gt;=1000</formula>
    </cfRule>
  </conditionalFormatting>
  <conditionalFormatting sqref="F4:F11">
    <cfRule type="expression" dxfId="125" priority="96">
      <formula>ABS(F$7-F$10)&gt;=1000</formula>
    </cfRule>
  </conditionalFormatting>
  <conditionalFormatting sqref="G4:G11">
    <cfRule type="expression" dxfId="124" priority="95">
      <formula>ABS(G$7-G$10)&gt;=1000</formula>
    </cfRule>
  </conditionalFormatting>
  <conditionalFormatting sqref="H4:H11">
    <cfRule type="expression" dxfId="123" priority="94">
      <formula>ABS(H$7-H$10)&gt;=1000</formula>
    </cfRule>
  </conditionalFormatting>
  <conditionalFormatting sqref="I4:I11">
    <cfRule type="expression" dxfId="122" priority="93">
      <formula>ABS(I$7-I$10)&gt;=1000</formula>
    </cfRule>
  </conditionalFormatting>
  <conditionalFormatting sqref="J4:J11">
    <cfRule type="expression" dxfId="121" priority="92">
      <formula>ABS(J$7-J$10)&gt;=1000</formula>
    </cfRule>
  </conditionalFormatting>
  <conditionalFormatting sqref="K4:K11">
    <cfRule type="expression" dxfId="120" priority="91">
      <formula>ABS(K$7-K$10)&gt;=1000</formula>
    </cfRule>
  </conditionalFormatting>
  <conditionalFormatting sqref="L4:L11">
    <cfRule type="expression" dxfId="119" priority="90">
      <formula>ABS(L$7-L$10)&gt;=1000</formula>
    </cfRule>
  </conditionalFormatting>
  <conditionalFormatting sqref="M4 M6:M11">
    <cfRule type="expression" dxfId="118" priority="89">
      <formula>ABS(M$7-M$10)&gt;=1000</formula>
    </cfRule>
  </conditionalFormatting>
  <conditionalFormatting sqref="N4 N6:N11">
    <cfRule type="expression" dxfId="117" priority="88">
      <formula>ABS(N$7-N$10)&gt;=1000</formula>
    </cfRule>
  </conditionalFormatting>
  <conditionalFormatting sqref="O4 O6:O11">
    <cfRule type="expression" dxfId="116" priority="87">
      <formula>ABS(O$7-O$10)&gt;=1000</formula>
    </cfRule>
  </conditionalFormatting>
  <conditionalFormatting sqref="P4 P6:P11">
    <cfRule type="expression" dxfId="115" priority="86">
      <formula>ABS(P$7-P$10)&gt;=1000</formula>
    </cfRule>
  </conditionalFormatting>
  <conditionalFormatting sqref="Q4:Q11">
    <cfRule type="expression" dxfId="114" priority="85">
      <formula>ABS(Q$7-Q$10)&gt;=1000</formula>
    </cfRule>
  </conditionalFormatting>
  <conditionalFormatting sqref="R4:R11">
    <cfRule type="expression" dxfId="113" priority="84">
      <formula>ABS(R$7-R$10)&gt;=1000</formula>
    </cfRule>
  </conditionalFormatting>
  <conditionalFormatting sqref="S4:S11">
    <cfRule type="expression" dxfId="112" priority="83">
      <formula>ABS(S$7-S$10)&gt;=1000</formula>
    </cfRule>
  </conditionalFormatting>
  <conditionalFormatting sqref="T4:T9 T11">
    <cfRule type="expression" dxfId="111" priority="82">
      <formula>ABS(T$7-T$10)&gt;=1000</formula>
    </cfRule>
  </conditionalFormatting>
  <conditionalFormatting sqref="U4:U9 U11">
    <cfRule type="expression" dxfId="110" priority="81">
      <formula>ABS(U$7-U$10)&gt;=1000</formula>
    </cfRule>
  </conditionalFormatting>
  <conditionalFormatting sqref="V4:V9 V11">
    <cfRule type="expression" dxfId="109" priority="80">
      <formula>ABS(V$7-V$10)&gt;=1000</formula>
    </cfRule>
  </conditionalFormatting>
  <conditionalFormatting sqref="W4:W9 W11">
    <cfRule type="expression" dxfId="108" priority="79">
      <formula>ABS(W$7-W$10)&gt;=1000</formula>
    </cfRule>
  </conditionalFormatting>
  <conditionalFormatting sqref="X4:X9 X11">
    <cfRule type="expression" dxfId="107" priority="78">
      <formula>ABS(X$7-X$10)&gt;=1000</formula>
    </cfRule>
  </conditionalFormatting>
  <conditionalFormatting sqref="Y4:Y9 Y11">
    <cfRule type="expression" dxfId="106" priority="77">
      <formula>ABS(Y$7-Y$10)&gt;=1000</formula>
    </cfRule>
  </conditionalFormatting>
  <conditionalFormatting sqref="Z4:Z11">
    <cfRule type="expression" dxfId="105" priority="76">
      <formula>ABS(Z$7-Z$10)&gt;=1000</formula>
    </cfRule>
  </conditionalFormatting>
  <conditionalFormatting sqref="AA4:AA11">
    <cfRule type="expression" dxfId="104" priority="75">
      <formula>ABS(AA$7-AA$10)&gt;=1000</formula>
    </cfRule>
  </conditionalFormatting>
  <conditionalFormatting sqref="AB4:AB11">
    <cfRule type="expression" dxfId="103" priority="74">
      <formula>ABS(AB$7-AB$10)&gt;=1000</formula>
    </cfRule>
  </conditionalFormatting>
  <conditionalFormatting sqref="AC4 AC6:AC11">
    <cfRule type="expression" dxfId="102" priority="73">
      <formula>ABS(AC$7-AC$10)&gt;=1000</formula>
    </cfRule>
  </conditionalFormatting>
  <conditionalFormatting sqref="AD4:AD11">
    <cfRule type="expression" dxfId="101" priority="72">
      <formula>ABS(AD$7-AD$10)&gt;=1000</formula>
    </cfRule>
  </conditionalFormatting>
  <conditionalFormatting sqref="AE4 AE6:AE11">
    <cfRule type="expression" dxfId="100" priority="71">
      <formula>ABS(AE$7-AE$10)&gt;=1000</formula>
    </cfRule>
  </conditionalFormatting>
  <conditionalFormatting sqref="D13:D20">
    <cfRule type="expression" dxfId="99" priority="70">
      <formula>ABS(D$16-D$19)&gt;=1000</formula>
    </cfRule>
  </conditionalFormatting>
  <conditionalFormatting sqref="E13:E20">
    <cfRule type="expression" dxfId="98" priority="69">
      <formula>ABS(E$16-E$19)&gt;=1000</formula>
    </cfRule>
  </conditionalFormatting>
  <conditionalFormatting sqref="F13 F15:F20">
    <cfRule type="expression" dxfId="97" priority="68">
      <formula>ABS(F$16-F$19)&gt;=1000</formula>
    </cfRule>
  </conditionalFormatting>
  <conditionalFormatting sqref="G13:G20">
    <cfRule type="expression" dxfId="96" priority="67">
      <formula>ABS(G$16-G$19)&gt;=1000</formula>
    </cfRule>
  </conditionalFormatting>
  <conditionalFormatting sqref="H13:H20">
    <cfRule type="expression" dxfId="95" priority="66">
      <formula>ABS(H$16-H$19)&gt;=1000</formula>
    </cfRule>
  </conditionalFormatting>
  <conditionalFormatting sqref="I13:I20">
    <cfRule type="expression" dxfId="94" priority="65">
      <formula>ABS(I$16-I$19)&gt;=1000</formula>
    </cfRule>
  </conditionalFormatting>
  <conditionalFormatting sqref="J13:J20">
    <cfRule type="expression" dxfId="93" priority="64">
      <formula>ABS(J$16-J$19)&gt;=1000</formula>
    </cfRule>
  </conditionalFormatting>
  <conditionalFormatting sqref="L13:L20">
    <cfRule type="expression" dxfId="92" priority="63">
      <formula>ABS(L$16-L$19)&gt;=1000</formula>
    </cfRule>
  </conditionalFormatting>
  <conditionalFormatting sqref="M13 M15 M17:M18 M20">
    <cfRule type="expression" dxfId="91" priority="62">
      <formula>ABS(M$16-M$19)&gt;=1000</formula>
    </cfRule>
  </conditionalFormatting>
  <conditionalFormatting sqref="N13:N20">
    <cfRule type="expression" dxfId="90" priority="61">
      <formula>ABS(N$16-N$19)&gt;=1000</formula>
    </cfRule>
  </conditionalFormatting>
  <conditionalFormatting sqref="O13:O20">
    <cfRule type="expression" dxfId="89" priority="60">
      <formula>ABS(O$16-O$19)&gt;=1000</formula>
    </cfRule>
  </conditionalFormatting>
  <conditionalFormatting sqref="P13:P20">
    <cfRule type="expression" dxfId="88" priority="59">
      <formula>ABS(P$16-P$19)&gt;=1000</formula>
    </cfRule>
  </conditionalFormatting>
  <conditionalFormatting sqref="Q13 Q15:Q20">
    <cfRule type="expression" dxfId="87" priority="58">
      <formula>ABS(Q$16-Q$19)&gt;=1000</formula>
    </cfRule>
  </conditionalFormatting>
  <conditionalFormatting sqref="R13:R20">
    <cfRule type="expression" dxfId="86" priority="57">
      <formula>ABS(R$16-R$19)&gt;=1000</formula>
    </cfRule>
  </conditionalFormatting>
  <conditionalFormatting sqref="S13:S20">
    <cfRule type="expression" dxfId="85" priority="56">
      <formula>ABS(S$16-S$19)&gt;=1000</formula>
    </cfRule>
  </conditionalFormatting>
  <conditionalFormatting sqref="T13:T20">
    <cfRule type="expression" dxfId="84" priority="55">
      <formula>ABS(T$16-T$19)&gt;=1000</formula>
    </cfRule>
  </conditionalFormatting>
  <conditionalFormatting sqref="U13:U20">
    <cfRule type="expression" dxfId="83" priority="54">
      <formula>ABS(U$16-U$19)&gt;=1000</formula>
    </cfRule>
  </conditionalFormatting>
  <conditionalFormatting sqref="V13:V20">
    <cfRule type="expression" dxfId="82" priority="53">
      <formula>ABS(V$16-V$19)&gt;=1000</formula>
    </cfRule>
  </conditionalFormatting>
  <conditionalFormatting sqref="W13 W20 W15:W18">
    <cfRule type="expression" dxfId="81" priority="52">
      <formula>ABS(W$16-W$19)&gt;=1000</formula>
    </cfRule>
  </conditionalFormatting>
  <conditionalFormatting sqref="X13 X15:X20 Y19">
    <cfRule type="expression" dxfId="80" priority="51">
      <formula>ABS(X$16-X$19)&gt;=1000</formula>
    </cfRule>
  </conditionalFormatting>
  <conditionalFormatting sqref="Y13 Y15:Y18 Y20">
    <cfRule type="expression" dxfId="79" priority="50">
      <formula>ABS(Y$16-Y$19)&gt;=1000</formula>
    </cfRule>
  </conditionalFormatting>
  <conditionalFormatting sqref="Z13:Z20">
    <cfRule type="expression" dxfId="78" priority="49">
      <formula>ABS(Z$16-Z$19)&gt;=1000</formula>
    </cfRule>
  </conditionalFormatting>
  <conditionalFormatting sqref="AA13:AA20">
    <cfRule type="expression" dxfId="77" priority="48">
      <formula>ABS(AA$16-AA$19)&gt;=1000</formula>
    </cfRule>
  </conditionalFormatting>
  <conditionalFormatting sqref="AB13 AB15:AB20">
    <cfRule type="expression" dxfId="76" priority="47">
      <formula>ABS(AB$16-AB$19)&gt;=1000</formula>
    </cfRule>
  </conditionalFormatting>
  <conditionalFormatting sqref="AC13 AC15:AC20">
    <cfRule type="expression" dxfId="75" priority="46">
      <formula>ABS(AC$16-AC$19)&gt;=1000</formula>
    </cfRule>
  </conditionalFormatting>
  <conditionalFormatting sqref="AD13:AD20">
    <cfRule type="expression" dxfId="74" priority="45">
      <formula>ABS(AD$16-AD$19)&gt;=1000</formula>
    </cfRule>
  </conditionalFormatting>
  <conditionalFormatting sqref="AE13:AE20">
    <cfRule type="expression" dxfId="73" priority="44">
      <formula>ABS(AE$16-AE$19)&gt;=1000</formula>
    </cfRule>
  </conditionalFormatting>
  <conditionalFormatting sqref="D22:D29">
    <cfRule type="expression" dxfId="72" priority="43">
      <formula>ABS(D$25-D$28)&gt;=1000</formula>
    </cfRule>
  </conditionalFormatting>
  <conditionalFormatting sqref="E22:E29">
    <cfRule type="expression" dxfId="71" priority="42">
      <formula>ABS(E$25-E$28)&gt;=1000</formula>
    </cfRule>
  </conditionalFormatting>
  <conditionalFormatting sqref="F22:F29">
    <cfRule type="expression" dxfId="70" priority="41">
      <formula>ABS(F$25-F$28)&gt;=1000</formula>
    </cfRule>
  </conditionalFormatting>
  <conditionalFormatting sqref="G22:G29">
    <cfRule type="expression" dxfId="69" priority="40">
      <formula>ABS(G$25-G$28)&gt;=1000</formula>
    </cfRule>
  </conditionalFormatting>
  <conditionalFormatting sqref="H22:H29">
    <cfRule type="expression" dxfId="68" priority="39">
      <formula>ABS(H$25-H$28)&gt;=1000</formula>
    </cfRule>
  </conditionalFormatting>
  <conditionalFormatting sqref="I22 I24:I29">
    <cfRule type="expression" dxfId="67" priority="38">
      <formula>ABS(I$25-I$28)&gt;=1000</formula>
    </cfRule>
  </conditionalFormatting>
  <conditionalFormatting sqref="J22:J29 K22">
    <cfRule type="expression" dxfId="66" priority="37">
      <formula>ABS(J$25-J$28)&gt;=1000</formula>
    </cfRule>
  </conditionalFormatting>
  <conditionalFormatting sqref="K23:K29 L25 L28">
    <cfRule type="expression" dxfId="65" priority="36">
      <formula>ABS(K$25-K$28)&gt;=1000</formula>
    </cfRule>
  </conditionalFormatting>
  <conditionalFormatting sqref="L22 L26:L27 L29 L24">
    <cfRule type="expression" dxfId="64" priority="35">
      <formula>ABS(L$25-L$28)&gt;=1000</formula>
    </cfRule>
  </conditionalFormatting>
  <conditionalFormatting sqref="M22:M29">
    <cfRule type="expression" dxfId="63" priority="34">
      <formula>ABS(M$25-M$28)&gt;=1000</formula>
    </cfRule>
  </conditionalFormatting>
  <conditionalFormatting sqref="N22:N29">
    <cfRule type="expression" dxfId="62" priority="33">
      <formula>ABS(N$25-N$28)&gt;=1000</formula>
    </cfRule>
  </conditionalFormatting>
  <conditionalFormatting sqref="O22:O29">
    <cfRule type="expression" dxfId="61" priority="32">
      <formula>ABS(O$25-O$28)&gt;=1000</formula>
    </cfRule>
  </conditionalFormatting>
  <conditionalFormatting sqref="P22:P29">
    <cfRule type="expression" dxfId="60" priority="31">
      <formula>ABS(P$25-P$28)&gt;=1000</formula>
    </cfRule>
  </conditionalFormatting>
  <conditionalFormatting sqref="Q22:Q29">
    <cfRule type="expression" dxfId="59" priority="30">
      <formula>ABS(Q$25-Q$28)&gt;=1000</formula>
    </cfRule>
  </conditionalFormatting>
  <conditionalFormatting sqref="R22:R29">
    <cfRule type="expression" dxfId="58" priority="29">
      <formula>ABS(R$25-R$28)&gt;=1000</formula>
    </cfRule>
  </conditionalFormatting>
  <conditionalFormatting sqref="S22:S29">
    <cfRule type="expression" dxfId="57" priority="28">
      <formula>ABS(S$25-S$28)&gt;=1000</formula>
    </cfRule>
  </conditionalFormatting>
  <conditionalFormatting sqref="T22:T29">
    <cfRule type="expression" dxfId="56" priority="27">
      <formula>ABS(T$25-T$28)&gt;=1000</formula>
    </cfRule>
  </conditionalFormatting>
  <conditionalFormatting sqref="U22:U29">
    <cfRule type="expression" dxfId="55" priority="26">
      <formula>ABS(U$25-U$28)&gt;=1000</formula>
    </cfRule>
  </conditionalFormatting>
  <conditionalFormatting sqref="V22:V29">
    <cfRule type="expression" dxfId="54" priority="25">
      <formula>ABS(V$25-V$28)&gt;=1000</formula>
    </cfRule>
  </conditionalFormatting>
  <conditionalFormatting sqref="W22:W29">
    <cfRule type="expression" dxfId="53" priority="24">
      <formula>ABS(W$25-W$28)&gt;=1000</formula>
    </cfRule>
  </conditionalFormatting>
  <conditionalFormatting sqref="X22:X29">
    <cfRule type="expression" dxfId="52" priority="23">
      <formula>ABS(X$25-X$28)&gt;=1000</formula>
    </cfRule>
  </conditionalFormatting>
  <conditionalFormatting sqref="Y22:Y29">
    <cfRule type="expression" dxfId="51" priority="22">
      <formula>ABS(Y$25-Y$28)&gt;=1000</formula>
    </cfRule>
  </conditionalFormatting>
  <conditionalFormatting sqref="I23">
    <cfRule type="expression" dxfId="50" priority="21">
      <formula>ABS(I$25-I$28)&gt;=1000</formula>
    </cfRule>
  </conditionalFormatting>
  <conditionalFormatting sqref="Q14">
    <cfRule type="expression" dxfId="49" priority="20">
      <formula>ABS(Q$16-Q$19)&gt;=1000</formula>
    </cfRule>
  </conditionalFormatting>
  <conditionalFormatting sqref="W14">
    <cfRule type="expression" dxfId="48" priority="19">
      <formula>ABS(W$16-W$19)&gt;=1000</formula>
    </cfRule>
  </conditionalFormatting>
  <conditionalFormatting sqref="Y14">
    <cfRule type="expression" dxfId="47" priority="18">
      <formula>ABS(Y$16-Y$19)&gt;=1000</formula>
    </cfRule>
  </conditionalFormatting>
  <conditionalFormatting sqref="X14">
    <cfRule type="expression" dxfId="46" priority="17">
      <formula>ABS(X$16-X$19)&gt;=1000</formula>
    </cfRule>
  </conditionalFormatting>
  <conditionalFormatting sqref="T10:Y10">
    <cfRule type="expression" dxfId="45" priority="16">
      <formula>ABS(T$7-T$10)&gt;=1000</formula>
    </cfRule>
  </conditionalFormatting>
  <conditionalFormatting sqref="W19">
    <cfRule type="expression" dxfId="44" priority="15">
      <formula>ABS(W$16-W$19)&gt;=1000</formula>
    </cfRule>
  </conditionalFormatting>
  <conditionalFormatting sqref="AC5">
    <cfRule type="expression" dxfId="43" priority="14">
      <formula>ABS(AC$7-AC$10)&gt;=1000</formula>
    </cfRule>
  </conditionalFormatting>
  <conditionalFormatting sqref="M14">
    <cfRule type="expression" dxfId="42" priority="13">
      <formula>ABS(M$16-M$19)&gt;=1000</formula>
    </cfRule>
  </conditionalFormatting>
  <conditionalFormatting sqref="M16">
    <cfRule type="expression" dxfId="41" priority="12">
      <formula>ABS(M$16-M$19)&gt;=1000</formula>
    </cfRule>
  </conditionalFormatting>
  <conditionalFormatting sqref="M19">
    <cfRule type="expression" dxfId="40" priority="11">
      <formula>ABS(M$16-M$19)&gt;=1000</formula>
    </cfRule>
  </conditionalFormatting>
  <conditionalFormatting sqref="K13:K20">
    <cfRule type="expression" dxfId="39" priority="10">
      <formula>ABS(K$16-K$19)&gt;=1000</formula>
    </cfRule>
  </conditionalFormatting>
  <conditionalFormatting sqref="E5">
    <cfRule type="expression" dxfId="38" priority="9">
      <formula>ABS(E$7-E$10)&gt;=1000</formula>
    </cfRule>
  </conditionalFormatting>
  <conditionalFormatting sqref="AB14:AC14">
    <cfRule type="expression" dxfId="37" priority="8">
      <formula>ABS(AB$16-AB$19)&gt;=1000</formula>
    </cfRule>
  </conditionalFormatting>
  <conditionalFormatting sqref="M5">
    <cfRule type="expression" dxfId="36" priority="7">
      <formula>ABS(M$7-M$10)&gt;=1000</formula>
    </cfRule>
  </conditionalFormatting>
  <conditionalFormatting sqref="N5">
    <cfRule type="expression" dxfId="35" priority="6">
      <formula>ABS(N$7-N$10)&gt;=1000</formula>
    </cfRule>
  </conditionalFormatting>
  <conditionalFormatting sqref="O5">
    <cfRule type="expression" dxfId="34" priority="5">
      <formula>ABS(O$7-O$10)&gt;=1000</formula>
    </cfRule>
  </conditionalFormatting>
  <conditionalFormatting sqref="P5">
    <cfRule type="expression" dxfId="33" priority="4">
      <formula>ABS(P$7-P$10)&gt;=1000</formula>
    </cfRule>
  </conditionalFormatting>
  <conditionalFormatting sqref="L23">
    <cfRule type="expression" dxfId="32" priority="3">
      <formula>ABS(L$25-L$28)&gt;=1000</formula>
    </cfRule>
  </conditionalFormatting>
  <conditionalFormatting sqref="F14">
    <cfRule type="expression" dxfId="31" priority="2">
      <formula>ABS(F$16-F$19)&gt;=1000</formula>
    </cfRule>
  </conditionalFormatting>
  <conditionalFormatting sqref="AE5">
    <cfRule type="expression" dxfId="30" priority="1">
      <formula>ABS(AE$25-AE$28)&gt;=1000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8595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23</vt:i4>
      </vt:variant>
      <vt:variant>
        <vt:lpstr>已命名的範圍</vt:lpstr>
      </vt:variant>
      <vt:variant>
        <vt:i4>23</vt:i4>
      </vt:variant>
    </vt:vector>
  </HeadingPairs>
  <TitlesOfParts>
    <vt:vector size="46" baseType="lpstr">
      <vt:lpstr>新增</vt:lpstr>
      <vt:lpstr>密度</vt:lpstr>
      <vt:lpstr>10.31</vt:lpstr>
      <vt:lpstr>11.1</vt:lpstr>
      <vt:lpstr>11.3</vt:lpstr>
      <vt:lpstr>11.4</vt:lpstr>
      <vt:lpstr>11.5</vt:lpstr>
      <vt:lpstr>11.6</vt:lpstr>
      <vt:lpstr>11.7</vt:lpstr>
      <vt:lpstr>11.10</vt:lpstr>
      <vt:lpstr>11.11</vt:lpstr>
      <vt:lpstr>11.13</vt:lpstr>
      <vt:lpstr>11.14</vt:lpstr>
      <vt:lpstr>11.17</vt:lpstr>
      <vt:lpstr>11.18</vt:lpstr>
      <vt:lpstr>11.19</vt:lpstr>
      <vt:lpstr>11.20</vt:lpstr>
      <vt:lpstr>11.21</vt:lpstr>
      <vt:lpstr>11.24</vt:lpstr>
      <vt:lpstr>11.25</vt:lpstr>
      <vt:lpstr>11.26</vt:lpstr>
      <vt:lpstr>11.27</vt:lpstr>
      <vt:lpstr>11.28</vt:lpstr>
      <vt:lpstr>'10.31'!Print_Area</vt:lpstr>
      <vt:lpstr>'11.1'!Print_Area</vt:lpstr>
      <vt:lpstr>'11.10'!Print_Area</vt:lpstr>
      <vt:lpstr>'11.11'!Print_Area</vt:lpstr>
      <vt:lpstr>'11.13'!Print_Area</vt:lpstr>
      <vt:lpstr>'11.14'!Print_Area</vt:lpstr>
      <vt:lpstr>'11.17'!Print_Area</vt:lpstr>
      <vt:lpstr>'11.18'!Print_Area</vt:lpstr>
      <vt:lpstr>'11.19'!Print_Area</vt:lpstr>
      <vt:lpstr>'11.20'!Print_Area</vt:lpstr>
      <vt:lpstr>'11.21'!Print_Area</vt:lpstr>
      <vt:lpstr>'11.24'!Print_Area</vt:lpstr>
      <vt:lpstr>'11.25'!Print_Area</vt:lpstr>
      <vt:lpstr>'11.26'!Print_Area</vt:lpstr>
      <vt:lpstr>'11.27'!Print_Area</vt:lpstr>
      <vt:lpstr>'11.28'!Print_Area</vt:lpstr>
      <vt:lpstr>'11.3'!Print_Area</vt:lpstr>
      <vt:lpstr>'11.4'!Print_Area</vt:lpstr>
      <vt:lpstr>'11.5'!Print_Area</vt:lpstr>
      <vt:lpstr>'11.6'!Print_Area</vt:lpstr>
      <vt:lpstr>'11.7'!Print_Area</vt:lpstr>
      <vt:lpstr>密度!Print_Area</vt:lpstr>
      <vt:lpstr>新增!Print_Area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C663</dc:creator>
  <cp:lastModifiedBy>C712-PC</cp:lastModifiedBy>
  <cp:lastPrinted>2025-11-28T07:41:29Z</cp:lastPrinted>
  <dcterms:created xsi:type="dcterms:W3CDTF">2006-09-16T00:00:00Z</dcterms:created>
  <dcterms:modified xsi:type="dcterms:W3CDTF">2025-11-28T07:51:09Z</dcterms:modified>
</cp:coreProperties>
</file>