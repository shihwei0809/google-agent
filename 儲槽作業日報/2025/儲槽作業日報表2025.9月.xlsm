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23.xml" ContentType="application/vnd.openxmlformats-officedocument.drawing+xml"/>
  <Override PartName="/xl/ctrlProps/ctrlProp22.xml" ContentType="application/vnd.ms-excel.controlproperties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!儲槽作業日報\儲槽作業日報\2025\"/>
    </mc:Choice>
  </mc:AlternateContent>
  <bookViews>
    <workbookView xWindow="0" yWindow="0" windowWidth="2160" windowHeight="1212" firstSheet="7" activeTab="23"/>
  </bookViews>
  <sheets>
    <sheet name="新增" sheetId="1727" r:id="rId1"/>
    <sheet name="密度" sheetId="13" r:id="rId2"/>
    <sheet name="8.29" sheetId="1967" r:id="rId3"/>
    <sheet name="9.1" sheetId="1968" r:id="rId4"/>
    <sheet name="9.2" sheetId="1969" r:id="rId5"/>
    <sheet name="9.3" sheetId="1970" r:id="rId6"/>
    <sheet name="9.4" sheetId="1971" r:id="rId7"/>
    <sheet name="9.5" sheetId="1972" r:id="rId8"/>
    <sheet name="9.8" sheetId="1973" r:id="rId9"/>
    <sheet name="9.9" sheetId="1974" r:id="rId10"/>
    <sheet name="9.10" sheetId="1975" r:id="rId11"/>
    <sheet name="9.11" sheetId="1976" r:id="rId12"/>
    <sheet name="9.12" sheetId="1977" r:id="rId13"/>
    <sheet name="9.15" sheetId="1978" r:id="rId14"/>
    <sheet name="9.16" sheetId="1979" r:id="rId15"/>
    <sheet name="9.17" sheetId="1981" r:id="rId16"/>
    <sheet name="9.18" sheetId="1982" r:id="rId17"/>
    <sheet name="9.19" sheetId="1984" r:id="rId18"/>
    <sheet name="9.22" sheetId="1985" r:id="rId19"/>
    <sheet name="9.23" sheetId="1986" r:id="rId20"/>
    <sheet name="9.24" sheetId="1987" r:id="rId21"/>
    <sheet name="9.25" sheetId="1988" r:id="rId22"/>
    <sheet name="9.26" sheetId="1989" r:id="rId23"/>
    <sheet name="9.30" sheetId="1990" r:id="rId24"/>
  </sheets>
  <definedNames>
    <definedName name="_xlnm.Print_Area" localSheetId="2">'8.29'!$B$1:$AE$36</definedName>
    <definedName name="_xlnm.Print_Area" localSheetId="3">'9.1'!$B$1:$AE$36</definedName>
    <definedName name="_xlnm.Print_Area" localSheetId="10">'9.10'!$B$1:$AE$36</definedName>
    <definedName name="_xlnm.Print_Area" localSheetId="11">'9.11'!$B$1:$AE$36</definedName>
    <definedName name="_xlnm.Print_Area" localSheetId="12">'9.12'!$B$1:$AE$36</definedName>
    <definedName name="_xlnm.Print_Area" localSheetId="13">'9.15'!$B$1:$AE$36</definedName>
    <definedName name="_xlnm.Print_Area" localSheetId="14">'9.16'!$B$1:$AE$36</definedName>
    <definedName name="_xlnm.Print_Area" localSheetId="15">'9.17'!$B$1:$AE$36</definedName>
    <definedName name="_xlnm.Print_Area" localSheetId="16">'9.18'!$B$1:$AE$36</definedName>
    <definedName name="_xlnm.Print_Area" localSheetId="17">'9.19'!$B$1:$AE$36</definedName>
    <definedName name="_xlnm.Print_Area" localSheetId="4">'9.2'!$B$1:$AE$36</definedName>
    <definedName name="_xlnm.Print_Area" localSheetId="18">'9.22'!$B$1:$AE$36</definedName>
    <definedName name="_xlnm.Print_Area" localSheetId="19">'9.23'!$B$1:$AE$36</definedName>
    <definedName name="_xlnm.Print_Area" localSheetId="20">'9.24'!$B$1:$AE$36</definedName>
    <definedName name="_xlnm.Print_Area" localSheetId="21">'9.25'!$B$1:$AE$36</definedName>
    <definedName name="_xlnm.Print_Area" localSheetId="22">'9.26'!$B$1:$AE$36</definedName>
    <definedName name="_xlnm.Print_Area" localSheetId="5">'9.3'!$B$1:$AE$36</definedName>
    <definedName name="_xlnm.Print_Area" localSheetId="23">'9.30'!$B$1:$AE$36</definedName>
    <definedName name="_xlnm.Print_Area" localSheetId="6">'9.4'!$B$1:$AE$36</definedName>
    <definedName name="_xlnm.Print_Area" localSheetId="7">'9.5'!$B$1:$AE$36</definedName>
    <definedName name="_xlnm.Print_Area" localSheetId="8">'9.8'!$B$1:$AE$36</definedName>
    <definedName name="_xlnm.Print_Area" localSheetId="9">'9.9'!$B$1:$AE$36</definedName>
    <definedName name="_xlnm.Print_Area" localSheetId="1">密度!$A$1:$W$51</definedName>
    <definedName name="_xlnm.Print_Area" localSheetId="0">新增!$A$1:$M$45</definedName>
    <definedName name="Z_512059F6_F0DC_4056_8FD0_37088AB81F9E_.wvu.PrintArea" localSheetId="2" hidden="1">'8.29'!$B$3:$AE$36</definedName>
    <definedName name="Z_512059F6_F0DC_4056_8FD0_37088AB81F9E_.wvu.PrintArea" localSheetId="3" hidden="1">'9.1'!$B$3:$AE$36</definedName>
    <definedName name="Z_512059F6_F0DC_4056_8FD0_37088AB81F9E_.wvu.PrintArea" localSheetId="10" hidden="1">'9.10'!$B$3:$AE$36</definedName>
    <definedName name="Z_512059F6_F0DC_4056_8FD0_37088AB81F9E_.wvu.PrintArea" localSheetId="11" hidden="1">'9.11'!$B$3:$AE$36</definedName>
    <definedName name="Z_512059F6_F0DC_4056_8FD0_37088AB81F9E_.wvu.PrintArea" localSheetId="12" hidden="1">'9.12'!$B$3:$AE$36</definedName>
    <definedName name="Z_512059F6_F0DC_4056_8FD0_37088AB81F9E_.wvu.PrintArea" localSheetId="13" hidden="1">'9.15'!$B$3:$AE$36</definedName>
    <definedName name="Z_512059F6_F0DC_4056_8FD0_37088AB81F9E_.wvu.PrintArea" localSheetId="14" hidden="1">'9.16'!$B$3:$AE$36</definedName>
    <definedName name="Z_512059F6_F0DC_4056_8FD0_37088AB81F9E_.wvu.PrintArea" localSheetId="15" hidden="1">'9.17'!$B$3:$AE$36</definedName>
    <definedName name="Z_512059F6_F0DC_4056_8FD0_37088AB81F9E_.wvu.PrintArea" localSheetId="16" hidden="1">'9.18'!$B$3:$AE$36</definedName>
    <definedName name="Z_512059F6_F0DC_4056_8FD0_37088AB81F9E_.wvu.PrintArea" localSheetId="17" hidden="1">'9.19'!$B$3:$AE$36</definedName>
    <definedName name="Z_512059F6_F0DC_4056_8FD0_37088AB81F9E_.wvu.PrintArea" localSheetId="4" hidden="1">'9.2'!$B$3:$AE$36</definedName>
    <definedName name="Z_512059F6_F0DC_4056_8FD0_37088AB81F9E_.wvu.PrintArea" localSheetId="18" hidden="1">'9.22'!$B$3:$AE$36</definedName>
    <definedName name="Z_512059F6_F0DC_4056_8FD0_37088AB81F9E_.wvu.PrintArea" localSheetId="19" hidden="1">'9.23'!$B$3:$AE$36</definedName>
    <definedName name="Z_512059F6_F0DC_4056_8FD0_37088AB81F9E_.wvu.PrintArea" localSheetId="20" hidden="1">'9.24'!$B$3:$AE$36</definedName>
    <definedName name="Z_512059F6_F0DC_4056_8FD0_37088AB81F9E_.wvu.PrintArea" localSheetId="21" hidden="1">'9.25'!$B$3:$AE$36</definedName>
    <definedName name="Z_512059F6_F0DC_4056_8FD0_37088AB81F9E_.wvu.PrintArea" localSheetId="22" hidden="1">'9.26'!$B$3:$AE$36</definedName>
    <definedName name="Z_512059F6_F0DC_4056_8FD0_37088AB81F9E_.wvu.PrintArea" localSheetId="5" hidden="1">'9.3'!$B$3:$AE$36</definedName>
    <definedName name="Z_512059F6_F0DC_4056_8FD0_37088AB81F9E_.wvu.PrintArea" localSheetId="23" hidden="1">'9.30'!$B$3:$AE$36</definedName>
    <definedName name="Z_512059F6_F0DC_4056_8FD0_37088AB81F9E_.wvu.PrintArea" localSheetId="6" hidden="1">'9.4'!$B$3:$AE$36</definedName>
    <definedName name="Z_512059F6_F0DC_4056_8FD0_37088AB81F9E_.wvu.PrintArea" localSheetId="7" hidden="1">'9.5'!$B$3:$AE$36</definedName>
    <definedName name="Z_512059F6_F0DC_4056_8FD0_37088AB81F9E_.wvu.PrintArea" localSheetId="8" hidden="1">'9.8'!$B$3:$AE$36</definedName>
    <definedName name="Z_512059F6_F0DC_4056_8FD0_37088AB81F9E_.wvu.PrintArea" localSheetId="9" hidden="1">'9.9'!$B$3:$AE$36</definedName>
    <definedName name="Z_68643476_8805_447E_8170_A582EA1D0343_.wvu.PrintArea" localSheetId="2" hidden="1">'8.29'!$B$3:$AE$36</definedName>
    <definedName name="Z_68643476_8805_447E_8170_A582EA1D0343_.wvu.PrintArea" localSheetId="3" hidden="1">'9.1'!$B$3:$AE$36</definedName>
    <definedName name="Z_68643476_8805_447E_8170_A582EA1D0343_.wvu.PrintArea" localSheetId="10" hidden="1">'9.10'!$B$3:$AE$36</definedName>
    <definedName name="Z_68643476_8805_447E_8170_A582EA1D0343_.wvu.PrintArea" localSheetId="11" hidden="1">'9.11'!$B$3:$AE$36</definedName>
    <definedName name="Z_68643476_8805_447E_8170_A582EA1D0343_.wvu.PrintArea" localSheetId="12" hidden="1">'9.12'!$B$3:$AE$36</definedName>
    <definedName name="Z_68643476_8805_447E_8170_A582EA1D0343_.wvu.PrintArea" localSheetId="13" hidden="1">'9.15'!$B$3:$AE$36</definedName>
    <definedName name="Z_68643476_8805_447E_8170_A582EA1D0343_.wvu.PrintArea" localSheetId="14" hidden="1">'9.16'!$B$3:$AE$36</definedName>
    <definedName name="Z_68643476_8805_447E_8170_A582EA1D0343_.wvu.PrintArea" localSheetId="15" hidden="1">'9.17'!$B$3:$AE$36</definedName>
    <definedName name="Z_68643476_8805_447E_8170_A582EA1D0343_.wvu.PrintArea" localSheetId="16" hidden="1">'9.18'!$B$3:$AE$36</definedName>
    <definedName name="Z_68643476_8805_447E_8170_A582EA1D0343_.wvu.PrintArea" localSheetId="17" hidden="1">'9.19'!$B$3:$AE$36</definedName>
    <definedName name="Z_68643476_8805_447E_8170_A582EA1D0343_.wvu.PrintArea" localSheetId="4" hidden="1">'9.2'!$B$3:$AE$36</definedName>
    <definedName name="Z_68643476_8805_447E_8170_A582EA1D0343_.wvu.PrintArea" localSheetId="18" hidden="1">'9.22'!$B$3:$AE$36</definedName>
    <definedName name="Z_68643476_8805_447E_8170_A582EA1D0343_.wvu.PrintArea" localSheetId="19" hidden="1">'9.23'!$B$3:$AE$36</definedName>
    <definedName name="Z_68643476_8805_447E_8170_A582EA1D0343_.wvu.PrintArea" localSheetId="20" hidden="1">'9.24'!$B$3:$AE$36</definedName>
    <definedName name="Z_68643476_8805_447E_8170_A582EA1D0343_.wvu.PrintArea" localSheetId="21" hidden="1">'9.25'!$B$3:$AE$36</definedName>
    <definedName name="Z_68643476_8805_447E_8170_A582EA1D0343_.wvu.PrintArea" localSheetId="22" hidden="1">'9.26'!$B$3:$AE$36</definedName>
    <definedName name="Z_68643476_8805_447E_8170_A582EA1D0343_.wvu.PrintArea" localSheetId="5" hidden="1">'9.3'!$B$3:$AE$36</definedName>
    <definedName name="Z_68643476_8805_447E_8170_A582EA1D0343_.wvu.PrintArea" localSheetId="23" hidden="1">'9.30'!$B$3:$AE$36</definedName>
    <definedName name="Z_68643476_8805_447E_8170_A582EA1D0343_.wvu.PrintArea" localSheetId="6" hidden="1">'9.4'!$B$3:$AE$36</definedName>
    <definedName name="Z_68643476_8805_447E_8170_A582EA1D0343_.wvu.PrintArea" localSheetId="7" hidden="1">'9.5'!$B$3:$AE$36</definedName>
    <definedName name="Z_68643476_8805_447E_8170_A582EA1D0343_.wvu.PrintArea" localSheetId="8" hidden="1">'9.8'!$B$3:$AE$36</definedName>
    <definedName name="Z_68643476_8805_447E_8170_A582EA1D0343_.wvu.PrintArea" localSheetId="9" hidden="1">'9.9'!$B$3:$AE$36</definedName>
    <definedName name="Z_8E5926ED_4EBD_4129_B8FF_799CC47580D7_.wvu.PrintArea" localSheetId="2" hidden="1">'8.29'!$B$3:$AE$36</definedName>
    <definedName name="Z_8E5926ED_4EBD_4129_B8FF_799CC47580D7_.wvu.PrintArea" localSheetId="3" hidden="1">'9.1'!$B$3:$AE$36</definedName>
    <definedName name="Z_8E5926ED_4EBD_4129_B8FF_799CC47580D7_.wvu.PrintArea" localSheetId="10" hidden="1">'9.10'!$B$3:$AE$36</definedName>
    <definedName name="Z_8E5926ED_4EBD_4129_B8FF_799CC47580D7_.wvu.PrintArea" localSheetId="11" hidden="1">'9.11'!$B$3:$AE$36</definedName>
    <definedName name="Z_8E5926ED_4EBD_4129_B8FF_799CC47580D7_.wvu.PrintArea" localSheetId="12" hidden="1">'9.12'!$B$3:$AE$36</definedName>
    <definedName name="Z_8E5926ED_4EBD_4129_B8FF_799CC47580D7_.wvu.PrintArea" localSheetId="13" hidden="1">'9.15'!$B$3:$AE$36</definedName>
    <definedName name="Z_8E5926ED_4EBD_4129_B8FF_799CC47580D7_.wvu.PrintArea" localSheetId="14" hidden="1">'9.16'!$B$3:$AE$36</definedName>
    <definedName name="Z_8E5926ED_4EBD_4129_B8FF_799CC47580D7_.wvu.PrintArea" localSheetId="15" hidden="1">'9.17'!$B$3:$AE$36</definedName>
    <definedName name="Z_8E5926ED_4EBD_4129_B8FF_799CC47580D7_.wvu.PrintArea" localSheetId="16" hidden="1">'9.18'!$B$3:$AE$36</definedName>
    <definedName name="Z_8E5926ED_4EBD_4129_B8FF_799CC47580D7_.wvu.PrintArea" localSheetId="17" hidden="1">'9.19'!$B$3:$AE$36</definedName>
    <definedName name="Z_8E5926ED_4EBD_4129_B8FF_799CC47580D7_.wvu.PrintArea" localSheetId="4" hidden="1">'9.2'!$B$3:$AE$36</definedName>
    <definedName name="Z_8E5926ED_4EBD_4129_B8FF_799CC47580D7_.wvu.PrintArea" localSheetId="18" hidden="1">'9.22'!$B$3:$AE$36</definedName>
    <definedName name="Z_8E5926ED_4EBD_4129_B8FF_799CC47580D7_.wvu.PrintArea" localSheetId="19" hidden="1">'9.23'!$B$3:$AE$36</definedName>
    <definedName name="Z_8E5926ED_4EBD_4129_B8FF_799CC47580D7_.wvu.PrintArea" localSheetId="20" hidden="1">'9.24'!$B$3:$AE$36</definedName>
    <definedName name="Z_8E5926ED_4EBD_4129_B8FF_799CC47580D7_.wvu.PrintArea" localSheetId="21" hidden="1">'9.25'!$B$3:$AE$36</definedName>
    <definedName name="Z_8E5926ED_4EBD_4129_B8FF_799CC47580D7_.wvu.PrintArea" localSheetId="22" hidden="1">'9.26'!$B$3:$AE$36</definedName>
    <definedName name="Z_8E5926ED_4EBD_4129_B8FF_799CC47580D7_.wvu.PrintArea" localSheetId="5" hidden="1">'9.3'!$B$3:$AE$36</definedName>
    <definedName name="Z_8E5926ED_4EBD_4129_B8FF_799CC47580D7_.wvu.PrintArea" localSheetId="23" hidden="1">'9.30'!$B$3:$AE$36</definedName>
    <definedName name="Z_8E5926ED_4EBD_4129_B8FF_799CC47580D7_.wvu.PrintArea" localSheetId="6" hidden="1">'9.4'!$B$3:$AE$36</definedName>
    <definedName name="Z_8E5926ED_4EBD_4129_B8FF_799CC47580D7_.wvu.PrintArea" localSheetId="7" hidden="1">'9.5'!$B$3:$AE$36</definedName>
    <definedName name="Z_8E5926ED_4EBD_4129_B8FF_799CC47580D7_.wvu.PrintArea" localSheetId="8" hidden="1">'9.8'!$B$3:$AE$36</definedName>
    <definedName name="Z_8E5926ED_4EBD_4129_B8FF_799CC47580D7_.wvu.PrintArea" localSheetId="9" hidden="1">'9.9'!$B$3:$AE$36</definedName>
    <definedName name="Z_8FA8B620_C56C_11DB_A857_00055D5FD5FF_.wvu.PrintArea" localSheetId="2" hidden="1">'8.29'!$B$3:$AE$36</definedName>
    <definedName name="Z_8FA8B620_C56C_11DB_A857_00055D5FD5FF_.wvu.PrintArea" localSheetId="3" hidden="1">'9.1'!$B$3:$AE$36</definedName>
    <definedName name="Z_8FA8B620_C56C_11DB_A857_00055D5FD5FF_.wvu.PrintArea" localSheetId="10" hidden="1">'9.10'!$B$3:$AE$36</definedName>
    <definedName name="Z_8FA8B620_C56C_11DB_A857_00055D5FD5FF_.wvu.PrintArea" localSheetId="11" hidden="1">'9.11'!$B$3:$AE$36</definedName>
    <definedName name="Z_8FA8B620_C56C_11DB_A857_00055D5FD5FF_.wvu.PrintArea" localSheetId="12" hidden="1">'9.12'!$B$3:$AE$36</definedName>
    <definedName name="Z_8FA8B620_C56C_11DB_A857_00055D5FD5FF_.wvu.PrintArea" localSheetId="13" hidden="1">'9.15'!$B$3:$AE$36</definedName>
    <definedName name="Z_8FA8B620_C56C_11DB_A857_00055D5FD5FF_.wvu.PrintArea" localSheetId="14" hidden="1">'9.16'!$B$3:$AE$36</definedName>
    <definedName name="Z_8FA8B620_C56C_11DB_A857_00055D5FD5FF_.wvu.PrintArea" localSheetId="15" hidden="1">'9.17'!$B$3:$AE$36</definedName>
    <definedName name="Z_8FA8B620_C56C_11DB_A857_00055D5FD5FF_.wvu.PrintArea" localSheetId="16" hidden="1">'9.18'!$B$3:$AE$36</definedName>
    <definedName name="Z_8FA8B620_C56C_11DB_A857_00055D5FD5FF_.wvu.PrintArea" localSheetId="17" hidden="1">'9.19'!$B$3:$AE$36</definedName>
    <definedName name="Z_8FA8B620_C56C_11DB_A857_00055D5FD5FF_.wvu.PrintArea" localSheetId="4" hidden="1">'9.2'!$B$3:$AE$36</definedName>
    <definedName name="Z_8FA8B620_C56C_11DB_A857_00055D5FD5FF_.wvu.PrintArea" localSheetId="18" hidden="1">'9.22'!$B$3:$AE$36</definedName>
    <definedName name="Z_8FA8B620_C56C_11DB_A857_00055D5FD5FF_.wvu.PrintArea" localSheetId="19" hidden="1">'9.23'!$B$3:$AE$36</definedName>
    <definedName name="Z_8FA8B620_C56C_11DB_A857_00055D5FD5FF_.wvu.PrintArea" localSheetId="20" hidden="1">'9.24'!$B$3:$AE$36</definedName>
    <definedName name="Z_8FA8B620_C56C_11DB_A857_00055D5FD5FF_.wvu.PrintArea" localSheetId="21" hidden="1">'9.25'!$B$3:$AE$36</definedName>
    <definedName name="Z_8FA8B620_C56C_11DB_A857_00055D5FD5FF_.wvu.PrintArea" localSheetId="22" hidden="1">'9.26'!$B$3:$AE$36</definedName>
    <definedName name="Z_8FA8B620_C56C_11DB_A857_00055D5FD5FF_.wvu.PrintArea" localSheetId="5" hidden="1">'9.3'!$B$3:$AE$36</definedName>
    <definedName name="Z_8FA8B620_C56C_11DB_A857_00055D5FD5FF_.wvu.PrintArea" localSheetId="23" hidden="1">'9.30'!$B$3:$AE$36</definedName>
    <definedName name="Z_8FA8B620_C56C_11DB_A857_00055D5FD5FF_.wvu.PrintArea" localSheetId="6" hidden="1">'9.4'!$B$3:$AE$36</definedName>
    <definedName name="Z_8FA8B620_C56C_11DB_A857_00055D5FD5FF_.wvu.PrintArea" localSheetId="7" hidden="1">'9.5'!$B$3:$AE$36</definedName>
    <definedName name="Z_8FA8B620_C56C_11DB_A857_00055D5FD5FF_.wvu.PrintArea" localSheetId="8" hidden="1">'9.8'!$B$3:$AE$36</definedName>
    <definedName name="Z_8FA8B620_C56C_11DB_A857_00055D5FD5FF_.wvu.PrintArea" localSheetId="9" hidden="1">'9.9'!$B$3:$AE$36</definedName>
    <definedName name="Z_A3DB5619_047E_4CE2_8C39_700CFD25F2CB_.wvu.PrintArea" localSheetId="2" hidden="1">'8.29'!$B$3:$AE$36</definedName>
    <definedName name="Z_A3DB5619_047E_4CE2_8C39_700CFD25F2CB_.wvu.PrintArea" localSheetId="3" hidden="1">'9.1'!$B$3:$AE$36</definedName>
    <definedName name="Z_A3DB5619_047E_4CE2_8C39_700CFD25F2CB_.wvu.PrintArea" localSheetId="10" hidden="1">'9.10'!$B$3:$AE$36</definedName>
    <definedName name="Z_A3DB5619_047E_4CE2_8C39_700CFD25F2CB_.wvu.PrintArea" localSheetId="11" hidden="1">'9.11'!$B$3:$AE$36</definedName>
    <definedName name="Z_A3DB5619_047E_4CE2_8C39_700CFD25F2CB_.wvu.PrintArea" localSheetId="12" hidden="1">'9.12'!$B$3:$AE$36</definedName>
    <definedName name="Z_A3DB5619_047E_4CE2_8C39_700CFD25F2CB_.wvu.PrintArea" localSheetId="13" hidden="1">'9.15'!$B$3:$AE$36</definedName>
    <definedName name="Z_A3DB5619_047E_4CE2_8C39_700CFD25F2CB_.wvu.PrintArea" localSheetId="14" hidden="1">'9.16'!$B$3:$AE$36</definedName>
    <definedName name="Z_A3DB5619_047E_4CE2_8C39_700CFD25F2CB_.wvu.PrintArea" localSheetId="15" hidden="1">'9.17'!$B$3:$AE$36</definedName>
    <definedName name="Z_A3DB5619_047E_4CE2_8C39_700CFD25F2CB_.wvu.PrintArea" localSheetId="16" hidden="1">'9.18'!$B$3:$AE$36</definedName>
    <definedName name="Z_A3DB5619_047E_4CE2_8C39_700CFD25F2CB_.wvu.PrintArea" localSheetId="17" hidden="1">'9.19'!$B$3:$AE$36</definedName>
    <definedName name="Z_A3DB5619_047E_4CE2_8C39_700CFD25F2CB_.wvu.PrintArea" localSheetId="4" hidden="1">'9.2'!$B$3:$AE$36</definedName>
    <definedName name="Z_A3DB5619_047E_4CE2_8C39_700CFD25F2CB_.wvu.PrintArea" localSheetId="18" hidden="1">'9.22'!$B$3:$AE$36</definedName>
    <definedName name="Z_A3DB5619_047E_4CE2_8C39_700CFD25F2CB_.wvu.PrintArea" localSheetId="19" hidden="1">'9.23'!$B$3:$AE$36</definedName>
    <definedName name="Z_A3DB5619_047E_4CE2_8C39_700CFD25F2CB_.wvu.PrintArea" localSheetId="20" hidden="1">'9.24'!$B$3:$AE$36</definedName>
    <definedName name="Z_A3DB5619_047E_4CE2_8C39_700CFD25F2CB_.wvu.PrintArea" localSheetId="21" hidden="1">'9.25'!$B$3:$AE$36</definedName>
    <definedName name="Z_A3DB5619_047E_4CE2_8C39_700CFD25F2CB_.wvu.PrintArea" localSheetId="22" hidden="1">'9.26'!$B$3:$AE$36</definedName>
    <definedName name="Z_A3DB5619_047E_4CE2_8C39_700CFD25F2CB_.wvu.PrintArea" localSheetId="5" hidden="1">'9.3'!$B$3:$AE$36</definedName>
    <definedName name="Z_A3DB5619_047E_4CE2_8C39_700CFD25F2CB_.wvu.PrintArea" localSheetId="23" hidden="1">'9.30'!$B$3:$AE$36</definedName>
    <definedName name="Z_A3DB5619_047E_4CE2_8C39_700CFD25F2CB_.wvu.PrintArea" localSheetId="6" hidden="1">'9.4'!$B$3:$AE$36</definedName>
    <definedName name="Z_A3DB5619_047E_4CE2_8C39_700CFD25F2CB_.wvu.PrintArea" localSheetId="7" hidden="1">'9.5'!$B$3:$AE$36</definedName>
    <definedName name="Z_A3DB5619_047E_4CE2_8C39_700CFD25F2CB_.wvu.PrintArea" localSheetId="8" hidden="1">'9.8'!$B$3:$AE$36</definedName>
    <definedName name="Z_A3DB5619_047E_4CE2_8C39_700CFD25F2CB_.wvu.PrintArea" localSheetId="9" hidden="1">'9.9'!$B$3:$AE$36</definedName>
    <definedName name="Z_D903F940_B812_11DB_B168_0010B575B8B2_.wvu.PrintArea" localSheetId="2" hidden="1">'8.29'!$B$3:$AE$36</definedName>
    <definedName name="Z_D903F940_B812_11DB_B168_0010B575B8B2_.wvu.PrintArea" localSheetId="3" hidden="1">'9.1'!$B$3:$AE$36</definedName>
    <definedName name="Z_D903F940_B812_11DB_B168_0010B575B8B2_.wvu.PrintArea" localSheetId="10" hidden="1">'9.10'!$B$3:$AE$36</definedName>
    <definedName name="Z_D903F940_B812_11DB_B168_0010B575B8B2_.wvu.PrintArea" localSheetId="11" hidden="1">'9.11'!$B$3:$AE$36</definedName>
    <definedName name="Z_D903F940_B812_11DB_B168_0010B575B8B2_.wvu.PrintArea" localSheetId="12" hidden="1">'9.12'!$B$3:$AE$36</definedName>
    <definedName name="Z_D903F940_B812_11DB_B168_0010B575B8B2_.wvu.PrintArea" localSheetId="13" hidden="1">'9.15'!$B$3:$AE$36</definedName>
    <definedName name="Z_D903F940_B812_11DB_B168_0010B575B8B2_.wvu.PrintArea" localSheetId="14" hidden="1">'9.16'!$B$3:$AE$36</definedName>
    <definedName name="Z_D903F940_B812_11DB_B168_0010B575B8B2_.wvu.PrintArea" localSheetId="15" hidden="1">'9.17'!$B$3:$AE$36</definedName>
    <definedName name="Z_D903F940_B812_11DB_B168_0010B575B8B2_.wvu.PrintArea" localSheetId="16" hidden="1">'9.18'!$B$3:$AE$36</definedName>
    <definedName name="Z_D903F940_B812_11DB_B168_0010B575B8B2_.wvu.PrintArea" localSheetId="17" hidden="1">'9.19'!$B$3:$AE$36</definedName>
    <definedName name="Z_D903F940_B812_11DB_B168_0010B575B8B2_.wvu.PrintArea" localSheetId="4" hidden="1">'9.2'!$B$3:$AE$36</definedName>
    <definedName name="Z_D903F940_B812_11DB_B168_0010B575B8B2_.wvu.PrintArea" localSheetId="18" hidden="1">'9.22'!$B$3:$AE$36</definedName>
    <definedName name="Z_D903F940_B812_11DB_B168_0010B575B8B2_.wvu.PrintArea" localSheetId="19" hidden="1">'9.23'!$B$3:$AE$36</definedName>
    <definedName name="Z_D903F940_B812_11DB_B168_0010B575B8B2_.wvu.PrintArea" localSheetId="20" hidden="1">'9.24'!$B$3:$AE$36</definedName>
    <definedName name="Z_D903F940_B812_11DB_B168_0010B575B8B2_.wvu.PrintArea" localSheetId="21" hidden="1">'9.25'!$B$3:$AE$36</definedName>
    <definedName name="Z_D903F940_B812_11DB_B168_0010B575B8B2_.wvu.PrintArea" localSheetId="22" hidden="1">'9.26'!$B$3:$AE$36</definedName>
    <definedName name="Z_D903F940_B812_11DB_B168_0010B575B8B2_.wvu.PrintArea" localSheetId="5" hidden="1">'9.3'!$B$3:$AE$36</definedName>
    <definedName name="Z_D903F940_B812_11DB_B168_0010B575B8B2_.wvu.PrintArea" localSheetId="23" hidden="1">'9.30'!$B$3:$AE$36</definedName>
    <definedName name="Z_D903F940_B812_11DB_B168_0010B575B8B2_.wvu.PrintArea" localSheetId="6" hidden="1">'9.4'!$B$3:$AE$36</definedName>
    <definedName name="Z_D903F940_B812_11DB_B168_0010B575B8B2_.wvu.PrintArea" localSheetId="7" hidden="1">'9.5'!$B$3:$AE$36</definedName>
    <definedName name="Z_D903F940_B812_11DB_B168_0010B575B8B2_.wvu.PrintArea" localSheetId="8" hidden="1">'9.8'!$B$3:$AE$36</definedName>
    <definedName name="Z_D903F940_B812_11DB_B168_0010B575B8B2_.wvu.PrintArea" localSheetId="9" hidden="1">'9.9'!$B$3:$AE$36</definedName>
    <definedName name="取樣回收每月庫存表" localSheetId="2" hidden="1">'8.29'!#REF!</definedName>
    <definedName name="取樣回收每月庫存表" localSheetId="3" hidden="1">'9.1'!#REF!</definedName>
    <definedName name="取樣回收每月庫存表" localSheetId="10" hidden="1">'9.10'!#REF!</definedName>
    <definedName name="取樣回收每月庫存表" localSheetId="11" hidden="1">'9.11'!#REF!</definedName>
    <definedName name="取樣回收每月庫存表" localSheetId="12" hidden="1">'9.12'!#REF!</definedName>
    <definedName name="取樣回收每月庫存表" localSheetId="13" hidden="1">'9.15'!#REF!</definedName>
    <definedName name="取樣回收每月庫存表" localSheetId="14" hidden="1">'9.16'!#REF!</definedName>
    <definedName name="取樣回收每月庫存表" localSheetId="15" hidden="1">'9.17'!#REF!</definedName>
    <definedName name="取樣回收每月庫存表" localSheetId="16" hidden="1">'9.18'!#REF!</definedName>
    <definedName name="取樣回收每月庫存表" localSheetId="17" hidden="1">'9.19'!#REF!</definedName>
    <definedName name="取樣回收每月庫存表" localSheetId="4" hidden="1">'9.2'!#REF!</definedName>
    <definedName name="取樣回收每月庫存表" localSheetId="18" hidden="1">'9.22'!#REF!</definedName>
    <definedName name="取樣回收每月庫存表" localSheetId="19" hidden="1">'9.23'!#REF!</definedName>
    <definedName name="取樣回收每月庫存表" localSheetId="20" hidden="1">'9.24'!#REF!</definedName>
    <definedName name="取樣回收每月庫存表" localSheetId="21" hidden="1">'9.25'!#REF!</definedName>
    <definedName name="取樣回收每月庫存表" localSheetId="22" hidden="1">'9.26'!#REF!</definedName>
    <definedName name="取樣回收每月庫存表" localSheetId="5" hidden="1">'9.3'!#REF!</definedName>
    <definedName name="取樣回收每月庫存表" localSheetId="23" hidden="1">'9.30'!#REF!</definedName>
    <definedName name="取樣回收每月庫存表" localSheetId="6" hidden="1">'9.4'!#REF!</definedName>
    <definedName name="取樣回收每月庫存表" localSheetId="7" hidden="1">'9.5'!#REF!</definedName>
    <definedName name="取樣回收每月庫存表" localSheetId="8" hidden="1">'9.8'!#REF!</definedName>
    <definedName name="取樣回收每月庫存表" localSheetId="9" hidden="1">'9.9'!#REF!</definedName>
    <definedName name="取樣回收每月庫存表_0620更新" localSheetId="2" hidden="1">'8.29'!$AG$13:$BH$189</definedName>
    <definedName name="取樣回收每月庫存表_0620更新" localSheetId="3" hidden="1">'9.1'!$AG$13:$BH$189</definedName>
    <definedName name="取樣回收每月庫存表_0620更新" localSheetId="10" hidden="1">'9.10'!$AG$13:$BH$189</definedName>
    <definedName name="取樣回收每月庫存表_0620更新" localSheetId="11" hidden="1">'9.11'!$AG$13:$BH$189</definedName>
    <definedName name="取樣回收每月庫存表_0620更新" localSheetId="12" hidden="1">'9.12'!$AG$13:$BH$189</definedName>
    <definedName name="取樣回收每月庫存表_0620更新" localSheetId="13" hidden="1">'9.15'!$AG$13:$BH$189</definedName>
    <definedName name="取樣回收每月庫存表_0620更新" localSheetId="14" hidden="1">'9.16'!$AG$13:$BH$189</definedName>
    <definedName name="取樣回收每月庫存表_0620更新" localSheetId="15" hidden="1">'9.17'!$AG$13:$BH$189</definedName>
    <definedName name="取樣回收每月庫存表_0620更新" localSheetId="16" hidden="1">'9.18'!$AG$13:$BH$189</definedName>
    <definedName name="取樣回收每月庫存表_0620更新" localSheetId="17" hidden="1">'9.19'!$AG$13:$BH$189</definedName>
    <definedName name="取樣回收每月庫存表_0620更新" localSheetId="4" hidden="1">'9.2'!$AG$13:$BH$189</definedName>
    <definedName name="取樣回收每月庫存表_0620更新" localSheetId="18" hidden="1">'9.22'!$AG$13:$BH$189</definedName>
    <definedName name="取樣回收每月庫存表_0620更新" localSheetId="19" hidden="1">'9.23'!$AG$13:$BH$189</definedName>
    <definedName name="取樣回收每月庫存表_0620更新" localSheetId="20" hidden="1">'9.24'!$AG$13:$BH$189</definedName>
    <definedName name="取樣回收每月庫存表_0620更新" localSheetId="21" hidden="1">'9.25'!$AG$13:$BH$189</definedName>
    <definedName name="取樣回收每月庫存表_0620更新" localSheetId="22" hidden="1">'9.26'!$AG$13:$BH$189</definedName>
    <definedName name="取樣回收每月庫存表_0620更新" localSheetId="5" hidden="1">'9.3'!$AG$13:$BH$189</definedName>
    <definedName name="取樣回收每月庫存表_0620更新" localSheetId="23" hidden="1">'9.30'!$AG$13:$BH$189</definedName>
    <definedName name="取樣回收每月庫存表_0620更新" localSheetId="6" hidden="1">'9.4'!$AG$13:$BH$189</definedName>
    <definedName name="取樣回收每月庫存表_0620更新" localSheetId="7" hidden="1">'9.5'!$AG$13:$BH$189</definedName>
    <definedName name="取樣回收每月庫存表_0620更新" localSheetId="8" hidden="1">'9.8'!$AG$13:$BH$189</definedName>
    <definedName name="取樣回收每月庫存表_0620更新" localSheetId="9" hidden="1">'9.9'!$AG$13:$BH$189</definedName>
    <definedName name="複本_14_取樣回收每月庫存表" localSheetId="2" hidden="1">'8.29'!#REF!</definedName>
    <definedName name="複本_14_取樣回收每月庫存表" localSheetId="3" hidden="1">'9.1'!#REF!</definedName>
    <definedName name="複本_14_取樣回收每月庫存表" localSheetId="10" hidden="1">'9.10'!#REF!</definedName>
    <definedName name="複本_14_取樣回收每月庫存表" localSheetId="11" hidden="1">'9.11'!#REF!</definedName>
    <definedName name="複本_14_取樣回收每月庫存表" localSheetId="12" hidden="1">'9.12'!#REF!</definedName>
    <definedName name="複本_14_取樣回收每月庫存表" localSheetId="13" hidden="1">'9.15'!#REF!</definedName>
    <definedName name="複本_14_取樣回收每月庫存表" localSheetId="14" hidden="1">'9.16'!#REF!</definedName>
    <definedName name="複本_14_取樣回收每月庫存表" localSheetId="15" hidden="1">'9.17'!#REF!</definedName>
    <definedName name="複本_14_取樣回收每月庫存表" localSheetId="16" hidden="1">'9.18'!#REF!</definedName>
    <definedName name="複本_14_取樣回收每月庫存表" localSheetId="17" hidden="1">'9.19'!#REF!</definedName>
    <definedName name="複本_14_取樣回收每月庫存表" localSheetId="4" hidden="1">'9.2'!#REF!</definedName>
    <definedName name="複本_14_取樣回收每月庫存表" localSheetId="18" hidden="1">'9.22'!#REF!</definedName>
    <definedName name="複本_14_取樣回收每月庫存表" localSheetId="19" hidden="1">'9.23'!#REF!</definedName>
    <definedName name="複本_14_取樣回收每月庫存表" localSheetId="20" hidden="1">'9.24'!#REF!</definedName>
    <definedName name="複本_14_取樣回收每月庫存表" localSheetId="21" hidden="1">'9.25'!#REF!</definedName>
    <definedName name="複本_14_取樣回收每月庫存表" localSheetId="22" hidden="1">'9.26'!#REF!</definedName>
    <definedName name="複本_14_取樣回收每月庫存表" localSheetId="5" hidden="1">'9.3'!#REF!</definedName>
    <definedName name="複本_14_取樣回收每月庫存表" localSheetId="23" hidden="1">'9.30'!#REF!</definedName>
    <definedName name="複本_14_取樣回收每月庫存表" localSheetId="6" hidden="1">'9.4'!#REF!</definedName>
    <definedName name="複本_14_取樣回收每月庫存表" localSheetId="7" hidden="1">'9.5'!#REF!</definedName>
    <definedName name="複本_14_取樣回收每月庫存表" localSheetId="8" hidden="1">'9.8'!#REF!</definedName>
    <definedName name="複本_14_取樣回收每月庫存表" localSheetId="9" hidden="1">'9.9'!#REF!</definedName>
  </definedNames>
  <calcPr calcId="162913"/>
</workbook>
</file>

<file path=xl/calcChain.xml><?xml version="1.0" encoding="utf-8"?>
<calcChain xmlns="http://schemas.openxmlformats.org/spreadsheetml/2006/main">
  <c r="AA33" i="1990" l="1"/>
  <c r="X33" i="1990"/>
  <c r="U33" i="1990"/>
  <c r="R33" i="1990"/>
  <c r="O33" i="1990"/>
  <c r="L33" i="1990"/>
  <c r="F33" i="1990"/>
  <c r="Y28" i="1990"/>
  <c r="X28" i="1990"/>
  <c r="W28" i="1990"/>
  <c r="V28" i="1990"/>
  <c r="U28" i="1990"/>
  <c r="T28" i="1990"/>
  <c r="S28" i="1990"/>
  <c r="R28" i="1990"/>
  <c r="Q28" i="1990"/>
  <c r="P28" i="1990"/>
  <c r="O28" i="1990"/>
  <c r="N28" i="1990"/>
  <c r="M28" i="1990"/>
  <c r="L28" i="1990"/>
  <c r="K28" i="1990"/>
  <c r="J28" i="1990"/>
  <c r="I28" i="1990"/>
  <c r="H28" i="1990"/>
  <c r="G28" i="1990"/>
  <c r="F28" i="1990"/>
  <c r="E28" i="1990"/>
  <c r="D28" i="1990"/>
  <c r="Y25" i="1990"/>
  <c r="X25" i="1990"/>
  <c r="W25" i="1990"/>
  <c r="V25" i="1990"/>
  <c r="U25" i="1990"/>
  <c r="T25" i="1990"/>
  <c r="S25" i="1990"/>
  <c r="R25" i="1990"/>
  <c r="Q25" i="1990"/>
  <c r="P25" i="1990"/>
  <c r="O25" i="1990"/>
  <c r="N25" i="1990"/>
  <c r="M25" i="1990"/>
  <c r="L25" i="1990"/>
  <c r="K25" i="1990"/>
  <c r="J25" i="1990"/>
  <c r="I25" i="1990"/>
  <c r="H25" i="1990"/>
  <c r="G25" i="1990"/>
  <c r="F25" i="1990"/>
  <c r="E25" i="1990"/>
  <c r="D25" i="1990"/>
  <c r="AE19" i="1990"/>
  <c r="AD19" i="1990"/>
  <c r="AC19" i="1990"/>
  <c r="AB19" i="1990"/>
  <c r="AA19" i="1990"/>
  <c r="Z19" i="1990"/>
  <c r="Y19" i="1990"/>
  <c r="X19" i="1990"/>
  <c r="T33" i="1990" s="1"/>
  <c r="W19" i="1990"/>
  <c r="V19" i="1990"/>
  <c r="U19" i="1990"/>
  <c r="T19" i="1990"/>
  <c r="S19" i="1990"/>
  <c r="R19" i="1990"/>
  <c r="Q19" i="1990"/>
  <c r="P19" i="1990"/>
  <c r="O19" i="1990"/>
  <c r="N19" i="1990"/>
  <c r="H33" i="1990" s="1"/>
  <c r="M19" i="1990"/>
  <c r="L19" i="1990"/>
  <c r="P33" i="1990" s="1"/>
  <c r="K19" i="1990"/>
  <c r="J19" i="1990"/>
  <c r="I19" i="1990"/>
  <c r="AB33" i="1990" s="1"/>
  <c r="H19" i="1990"/>
  <c r="G19" i="1990"/>
  <c r="F19" i="1990"/>
  <c r="E19" i="1990"/>
  <c r="D19" i="1990"/>
  <c r="AE16" i="1990"/>
  <c r="AD16" i="1990"/>
  <c r="AC16" i="1990"/>
  <c r="AB16" i="1990"/>
  <c r="AA16" i="1990"/>
  <c r="Z16" i="1990"/>
  <c r="X16" i="1990"/>
  <c r="W16" i="1990"/>
  <c r="V16" i="1990"/>
  <c r="U16" i="1990"/>
  <c r="T16" i="1990"/>
  <c r="S16" i="1990"/>
  <c r="R16" i="1990"/>
  <c r="Q16" i="1990"/>
  <c r="P16" i="1990"/>
  <c r="O16" i="1990"/>
  <c r="N16" i="1990"/>
  <c r="M16" i="1990"/>
  <c r="L16" i="1990"/>
  <c r="K16" i="1990"/>
  <c r="J16" i="1990"/>
  <c r="I16" i="1990"/>
  <c r="H16" i="1990"/>
  <c r="G16" i="1990"/>
  <c r="F16" i="1990"/>
  <c r="E16" i="1990"/>
  <c r="D16" i="1990"/>
  <c r="AE10" i="1990"/>
  <c r="AD10" i="1990"/>
  <c r="AC33" i="1990" s="1"/>
  <c r="AC10" i="1990"/>
  <c r="AB10" i="1990"/>
  <c r="AA10" i="1990"/>
  <c r="Z10" i="1990"/>
  <c r="Y10" i="1990"/>
  <c r="X10" i="1990"/>
  <c r="W10" i="1990"/>
  <c r="V10" i="1990"/>
  <c r="U10" i="1990"/>
  <c r="T10" i="1990"/>
  <c r="S10" i="1990"/>
  <c r="R10" i="1990"/>
  <c r="Q10" i="1990"/>
  <c r="P10" i="1990"/>
  <c r="O10" i="1990"/>
  <c r="N10" i="1990"/>
  <c r="M10" i="1990"/>
  <c r="L10" i="1990"/>
  <c r="K10" i="1990"/>
  <c r="J10" i="1990"/>
  <c r="I10" i="1990"/>
  <c r="H10" i="1990"/>
  <c r="G10" i="1990"/>
  <c r="F10" i="1990"/>
  <c r="E10" i="1990"/>
  <c r="D10" i="1990"/>
  <c r="AE7" i="1990"/>
  <c r="AD7" i="1990"/>
  <c r="AC7" i="1990"/>
  <c r="AB7" i="1990"/>
  <c r="AA7" i="1990"/>
  <c r="Z7" i="1990"/>
  <c r="Y7" i="1990"/>
  <c r="X7" i="1990"/>
  <c r="W7" i="1990"/>
  <c r="V7" i="1990"/>
  <c r="U7" i="1990"/>
  <c r="T7" i="1990"/>
  <c r="S7" i="1990"/>
  <c r="R7" i="1990"/>
  <c r="Q7" i="1990"/>
  <c r="P7" i="1990"/>
  <c r="O7" i="1990"/>
  <c r="N7" i="1990"/>
  <c r="M7" i="1990"/>
  <c r="L7" i="1990"/>
  <c r="K7" i="1990"/>
  <c r="J7" i="1990"/>
  <c r="I7" i="1990"/>
  <c r="H7" i="1990"/>
  <c r="G7" i="1990"/>
  <c r="F7" i="1990"/>
  <c r="E7" i="1990"/>
  <c r="D7" i="1990"/>
  <c r="S33" i="1990" l="1"/>
  <c r="J33" i="1990"/>
  <c r="K33" i="1990"/>
  <c r="W33" i="1990"/>
  <c r="D33" i="1990"/>
  <c r="Z33" i="1990"/>
  <c r="Y33" i="1990"/>
  <c r="N33" i="1990"/>
  <c r="Q33" i="1990"/>
  <c r="E33" i="1990"/>
  <c r="M33" i="1990"/>
  <c r="V33" i="1990"/>
  <c r="AA33" i="1989"/>
  <c r="X33" i="1989"/>
  <c r="U33" i="1989"/>
  <c r="R33" i="1989"/>
  <c r="O33" i="1989"/>
  <c r="L33" i="1989"/>
  <c r="F33" i="1989"/>
  <c r="Y28" i="1989"/>
  <c r="X28" i="1989"/>
  <c r="W28" i="1989"/>
  <c r="V28" i="1989"/>
  <c r="U28" i="1989"/>
  <c r="T28" i="1989"/>
  <c r="S28" i="1989"/>
  <c r="R28" i="1989"/>
  <c r="Q28" i="1989"/>
  <c r="P28" i="1989"/>
  <c r="O28" i="1989"/>
  <c r="N28" i="1989"/>
  <c r="M28" i="1989"/>
  <c r="L28" i="1989"/>
  <c r="K28" i="1989"/>
  <c r="J28" i="1989"/>
  <c r="I28" i="1989"/>
  <c r="H28" i="1989"/>
  <c r="G28" i="1989"/>
  <c r="F28" i="1989"/>
  <c r="E28" i="1989"/>
  <c r="D28" i="1989"/>
  <c r="Y25" i="1989"/>
  <c r="X25" i="1989"/>
  <c r="W25" i="1989"/>
  <c r="V25" i="1989"/>
  <c r="U25" i="1989"/>
  <c r="T25" i="1989"/>
  <c r="S25" i="1989"/>
  <c r="R25" i="1989"/>
  <c r="Q25" i="1989"/>
  <c r="P25" i="1989"/>
  <c r="O25" i="1989"/>
  <c r="N25" i="1989"/>
  <c r="M25" i="1989"/>
  <c r="L25" i="1989"/>
  <c r="K25" i="1989"/>
  <c r="J25" i="1989"/>
  <c r="I25" i="1989"/>
  <c r="H25" i="1989"/>
  <c r="G25" i="1989"/>
  <c r="F25" i="1989"/>
  <c r="E25" i="1989"/>
  <c r="D25" i="1989"/>
  <c r="AE19" i="1989"/>
  <c r="AD19" i="1989"/>
  <c r="AC19" i="1989"/>
  <c r="AB19" i="1989"/>
  <c r="AA19" i="1989"/>
  <c r="Z19" i="1989"/>
  <c r="Y19" i="1989"/>
  <c r="X19" i="1989"/>
  <c r="T33" i="1989" s="1"/>
  <c r="W19" i="1989"/>
  <c r="V19" i="1989"/>
  <c r="U19" i="1989"/>
  <c r="T19" i="1989"/>
  <c r="S19" i="1989"/>
  <c r="R19" i="1989"/>
  <c r="Q19" i="1989"/>
  <c r="P19" i="1989"/>
  <c r="O19" i="1989"/>
  <c r="N19" i="1989"/>
  <c r="H33" i="1989" s="1"/>
  <c r="M19" i="1989"/>
  <c r="L19" i="1989"/>
  <c r="P33" i="1989" s="1"/>
  <c r="K19" i="1989"/>
  <c r="J19" i="1989"/>
  <c r="I19" i="1989"/>
  <c r="AB33" i="1989" s="1"/>
  <c r="H19" i="1989"/>
  <c r="G19" i="1989"/>
  <c r="F19" i="1989"/>
  <c r="E19" i="1989"/>
  <c r="D19" i="1989"/>
  <c r="AE16" i="1989"/>
  <c r="AD16" i="1989"/>
  <c r="AC16" i="1989"/>
  <c r="AB16" i="1989"/>
  <c r="AA16" i="1989"/>
  <c r="Z16" i="1989"/>
  <c r="X16" i="1989"/>
  <c r="W16" i="1989"/>
  <c r="V16" i="1989"/>
  <c r="U16" i="1989"/>
  <c r="T16" i="1989"/>
  <c r="S16" i="1989"/>
  <c r="R16" i="1989"/>
  <c r="Q16" i="1989"/>
  <c r="P16" i="1989"/>
  <c r="O16" i="1989"/>
  <c r="N16" i="1989"/>
  <c r="M16" i="1989"/>
  <c r="L16" i="1989"/>
  <c r="K16" i="1989"/>
  <c r="J16" i="1989"/>
  <c r="I16" i="1989"/>
  <c r="H16" i="1989"/>
  <c r="G16" i="1989"/>
  <c r="F16" i="1989"/>
  <c r="E16" i="1989"/>
  <c r="D16" i="1989"/>
  <c r="AE10" i="1989"/>
  <c r="AD10" i="1989"/>
  <c r="AC33" i="1989" s="1"/>
  <c r="AC10" i="1989"/>
  <c r="AB10" i="1989"/>
  <c r="AA10" i="1989"/>
  <c r="Z10" i="1989"/>
  <c r="Y10" i="1989"/>
  <c r="X10" i="1989"/>
  <c r="W10" i="1989"/>
  <c r="V10" i="1989"/>
  <c r="U10" i="1989"/>
  <c r="T10" i="1989"/>
  <c r="S10" i="1989"/>
  <c r="R10" i="1989"/>
  <c r="Q10" i="1989"/>
  <c r="P10" i="1989"/>
  <c r="O10" i="1989"/>
  <c r="N10" i="1989"/>
  <c r="M10" i="1989"/>
  <c r="L10" i="1989"/>
  <c r="N33" i="1989" s="1"/>
  <c r="K10" i="1989"/>
  <c r="J10" i="1989"/>
  <c r="I10" i="1989"/>
  <c r="H10" i="1989"/>
  <c r="G10" i="1989"/>
  <c r="F10" i="1989"/>
  <c r="J33" i="1989" s="1"/>
  <c r="E10" i="1989"/>
  <c r="S33" i="1989" s="1"/>
  <c r="D10" i="1989"/>
  <c r="AE7" i="1989"/>
  <c r="AD7" i="1989"/>
  <c r="AC7" i="1989"/>
  <c r="AB7" i="1989"/>
  <c r="AA7" i="1989"/>
  <c r="Z7" i="1989"/>
  <c r="Y7" i="1989"/>
  <c r="X7" i="1989"/>
  <c r="W7" i="1989"/>
  <c r="V7" i="1989"/>
  <c r="U7" i="1989"/>
  <c r="T7" i="1989"/>
  <c r="S7" i="1989"/>
  <c r="R7" i="1989"/>
  <c r="Q7" i="1989"/>
  <c r="P7" i="1989"/>
  <c r="O7" i="1989"/>
  <c r="N7" i="1989"/>
  <c r="M7" i="1989"/>
  <c r="L7" i="1989"/>
  <c r="K7" i="1989"/>
  <c r="J7" i="1989"/>
  <c r="I7" i="1989"/>
  <c r="H7" i="1989"/>
  <c r="G7" i="1989"/>
  <c r="F7" i="1989"/>
  <c r="E7" i="1989"/>
  <c r="D7" i="1989"/>
  <c r="K33" i="1989" l="1"/>
  <c r="W33" i="1989"/>
  <c r="Z33" i="1989"/>
  <c r="D33" i="1989"/>
  <c r="Y33" i="1989"/>
  <c r="Q33" i="1989"/>
  <c r="E33" i="1989"/>
  <c r="M33" i="1989"/>
  <c r="V33" i="1989"/>
  <c r="S28" i="1988"/>
  <c r="AA33" i="1988" l="1"/>
  <c r="X33" i="1988"/>
  <c r="U33" i="1988"/>
  <c r="R33" i="1988"/>
  <c r="O33" i="1988"/>
  <c r="L33" i="1988"/>
  <c r="F33" i="1988"/>
  <c r="Y28" i="1988"/>
  <c r="X28" i="1988"/>
  <c r="W28" i="1988"/>
  <c r="V28" i="1988"/>
  <c r="U28" i="1988"/>
  <c r="T28" i="1988"/>
  <c r="R28" i="1988"/>
  <c r="Q28" i="1988"/>
  <c r="P28" i="1988"/>
  <c r="O28" i="1988"/>
  <c r="N28" i="1988"/>
  <c r="M28" i="1988"/>
  <c r="L28" i="1988"/>
  <c r="K28" i="1988"/>
  <c r="J28" i="1988"/>
  <c r="I28" i="1988"/>
  <c r="H28" i="1988"/>
  <c r="G28" i="1988"/>
  <c r="F28" i="1988"/>
  <c r="E28" i="1988"/>
  <c r="D28" i="1988"/>
  <c r="Y25" i="1988"/>
  <c r="X25" i="1988"/>
  <c r="W25" i="1988"/>
  <c r="V25" i="1988"/>
  <c r="U25" i="1988"/>
  <c r="T25" i="1988"/>
  <c r="S25" i="1988"/>
  <c r="R25" i="1988"/>
  <c r="Q25" i="1988"/>
  <c r="P25" i="1988"/>
  <c r="O25" i="1988"/>
  <c r="N25" i="1988"/>
  <c r="M25" i="1988"/>
  <c r="L25" i="1988"/>
  <c r="K25" i="1988"/>
  <c r="J25" i="1988"/>
  <c r="I25" i="1988"/>
  <c r="H25" i="1988"/>
  <c r="G25" i="1988"/>
  <c r="F25" i="1988"/>
  <c r="E25" i="1988"/>
  <c r="D25" i="1988"/>
  <c r="AE19" i="1988"/>
  <c r="AD19" i="1988"/>
  <c r="AC19" i="1988"/>
  <c r="AB19" i="1988"/>
  <c r="AA19" i="1988"/>
  <c r="Z19" i="1988"/>
  <c r="Y19" i="1988"/>
  <c r="X19" i="1988"/>
  <c r="T33" i="1988" s="1"/>
  <c r="W19" i="1988"/>
  <c r="V19" i="1988"/>
  <c r="U19" i="1988"/>
  <c r="T19" i="1988"/>
  <c r="S19" i="1988"/>
  <c r="R19" i="1988"/>
  <c r="Q19" i="1988"/>
  <c r="P19" i="1988"/>
  <c r="O19" i="1988"/>
  <c r="N19" i="1988"/>
  <c r="H33" i="1988" s="1"/>
  <c r="M19" i="1988"/>
  <c r="L19" i="1988"/>
  <c r="P33" i="1988" s="1"/>
  <c r="K19" i="1988"/>
  <c r="J19" i="1988"/>
  <c r="I19" i="1988"/>
  <c r="AB33" i="1988" s="1"/>
  <c r="H19" i="1988"/>
  <c r="G19" i="1988"/>
  <c r="F19" i="1988"/>
  <c r="E19" i="1988"/>
  <c r="D19" i="1988"/>
  <c r="AE16" i="1988"/>
  <c r="AD16" i="1988"/>
  <c r="AC16" i="1988"/>
  <c r="AB16" i="1988"/>
  <c r="AA16" i="1988"/>
  <c r="Z16" i="1988"/>
  <c r="X16" i="1988"/>
  <c r="W16" i="1988"/>
  <c r="V16" i="1988"/>
  <c r="U16" i="1988"/>
  <c r="T16" i="1988"/>
  <c r="S16" i="1988"/>
  <c r="R16" i="1988"/>
  <c r="Q16" i="1988"/>
  <c r="P16" i="1988"/>
  <c r="O16" i="1988"/>
  <c r="N16" i="1988"/>
  <c r="M16" i="1988"/>
  <c r="L16" i="1988"/>
  <c r="K16" i="1988"/>
  <c r="J16" i="1988"/>
  <c r="I16" i="1988"/>
  <c r="H16" i="1988"/>
  <c r="G16" i="1988"/>
  <c r="F16" i="1988"/>
  <c r="E16" i="1988"/>
  <c r="D16" i="1988"/>
  <c r="AE10" i="1988"/>
  <c r="AD10" i="1988"/>
  <c r="AC33" i="1988" s="1"/>
  <c r="AC10" i="1988"/>
  <c r="AB10" i="1988"/>
  <c r="AA10" i="1988"/>
  <c r="Z10" i="1988"/>
  <c r="Y10" i="1988"/>
  <c r="X10" i="1988"/>
  <c r="W10" i="1988"/>
  <c r="V10" i="1988"/>
  <c r="U10" i="1988"/>
  <c r="T10" i="1988"/>
  <c r="S10" i="1988"/>
  <c r="R10" i="1988"/>
  <c r="Q10" i="1988"/>
  <c r="P10" i="1988"/>
  <c r="O10" i="1988"/>
  <c r="N10" i="1988"/>
  <c r="M10" i="1988"/>
  <c r="E33" i="1988" s="1"/>
  <c r="L10" i="1988"/>
  <c r="N33" i="1988" s="1"/>
  <c r="K10" i="1988"/>
  <c r="J10" i="1988"/>
  <c r="I10" i="1988"/>
  <c r="H10" i="1988"/>
  <c r="G10" i="1988"/>
  <c r="F10" i="1988"/>
  <c r="E10" i="1988"/>
  <c r="D10" i="1988"/>
  <c r="AE7" i="1988"/>
  <c r="AD7" i="1988"/>
  <c r="AC7" i="1988"/>
  <c r="AB7" i="1988"/>
  <c r="AA7" i="1988"/>
  <c r="Z7" i="1988"/>
  <c r="Y7" i="1988"/>
  <c r="X7" i="1988"/>
  <c r="W7" i="1988"/>
  <c r="V7" i="1988"/>
  <c r="U7" i="1988"/>
  <c r="T7" i="1988"/>
  <c r="S7" i="1988"/>
  <c r="R7" i="1988"/>
  <c r="Q7" i="1988"/>
  <c r="P7" i="1988"/>
  <c r="O7" i="1988"/>
  <c r="N7" i="1988"/>
  <c r="M7" i="1988"/>
  <c r="L7" i="1988"/>
  <c r="K7" i="1988"/>
  <c r="J7" i="1988"/>
  <c r="I7" i="1988"/>
  <c r="H7" i="1988"/>
  <c r="G7" i="1988"/>
  <c r="F7" i="1988"/>
  <c r="E7" i="1988"/>
  <c r="D7" i="1988"/>
  <c r="S33" i="1988" l="1"/>
  <c r="J33" i="1988"/>
  <c r="W33" i="1988"/>
  <c r="Z33" i="1988"/>
  <c r="V33" i="1988"/>
  <c r="D33" i="1988"/>
  <c r="Y33" i="1988"/>
  <c r="Q33" i="1988"/>
  <c r="K33" i="1988"/>
  <c r="M33" i="1988"/>
  <c r="AA33" i="1987"/>
  <c r="X33" i="1987"/>
  <c r="U33" i="1987"/>
  <c r="R33" i="1987"/>
  <c r="O33" i="1987"/>
  <c r="L33" i="1987"/>
  <c r="F33" i="1987"/>
  <c r="Y28" i="1987"/>
  <c r="X28" i="1987"/>
  <c r="W28" i="1987"/>
  <c r="V28" i="1987"/>
  <c r="U28" i="1987"/>
  <c r="T28" i="1987"/>
  <c r="S28" i="1987"/>
  <c r="R28" i="1987"/>
  <c r="Q28" i="1987"/>
  <c r="P28" i="1987"/>
  <c r="O28" i="1987"/>
  <c r="N28" i="1987"/>
  <c r="M28" i="1987"/>
  <c r="L28" i="1987"/>
  <c r="K28" i="1987"/>
  <c r="J28" i="1987"/>
  <c r="I28" i="1987"/>
  <c r="H28" i="1987"/>
  <c r="G28" i="1987"/>
  <c r="F28" i="1987"/>
  <c r="E28" i="1987"/>
  <c r="D28" i="1987"/>
  <c r="Y25" i="1987"/>
  <c r="X25" i="1987"/>
  <c r="W25" i="1987"/>
  <c r="V25" i="1987"/>
  <c r="U25" i="1987"/>
  <c r="T25" i="1987"/>
  <c r="S25" i="1987"/>
  <c r="R25" i="1987"/>
  <c r="Q25" i="1987"/>
  <c r="P25" i="1987"/>
  <c r="O25" i="1987"/>
  <c r="N25" i="1987"/>
  <c r="M25" i="1987"/>
  <c r="L25" i="1987"/>
  <c r="K25" i="1987"/>
  <c r="J25" i="1987"/>
  <c r="I25" i="1987"/>
  <c r="H25" i="1987"/>
  <c r="G25" i="1987"/>
  <c r="F25" i="1987"/>
  <c r="E25" i="1987"/>
  <c r="D25" i="1987"/>
  <c r="AE19" i="1987"/>
  <c r="AD19" i="1987"/>
  <c r="AC19" i="1987"/>
  <c r="AB19" i="1987"/>
  <c r="AA19" i="1987"/>
  <c r="Z19" i="1987"/>
  <c r="Y19" i="1987"/>
  <c r="X19" i="1987"/>
  <c r="T33" i="1987" s="1"/>
  <c r="W19" i="1987"/>
  <c r="V19" i="1987"/>
  <c r="U19" i="1987"/>
  <c r="T19" i="1987"/>
  <c r="S19" i="1987"/>
  <c r="R19" i="1987"/>
  <c r="Q19" i="1987"/>
  <c r="P19" i="1987"/>
  <c r="O19" i="1987"/>
  <c r="N19" i="1987"/>
  <c r="H33" i="1987" s="1"/>
  <c r="M19" i="1987"/>
  <c r="L19" i="1987"/>
  <c r="P33" i="1987" s="1"/>
  <c r="K19" i="1987"/>
  <c r="J19" i="1987"/>
  <c r="I19" i="1987"/>
  <c r="AB33" i="1987" s="1"/>
  <c r="H19" i="1987"/>
  <c r="G19" i="1987"/>
  <c r="F19" i="1987"/>
  <c r="E19" i="1987"/>
  <c r="D19" i="1987"/>
  <c r="AE16" i="1987"/>
  <c r="AD16" i="1987"/>
  <c r="AC16" i="1987"/>
  <c r="AB16" i="1987"/>
  <c r="AA16" i="1987"/>
  <c r="Z16" i="1987"/>
  <c r="X16" i="1987"/>
  <c r="W16" i="1987"/>
  <c r="V16" i="1987"/>
  <c r="U16" i="1987"/>
  <c r="T16" i="1987"/>
  <c r="S16" i="1987"/>
  <c r="R16" i="1987"/>
  <c r="Q16" i="1987"/>
  <c r="P16" i="1987"/>
  <c r="O16" i="1987"/>
  <c r="N16" i="1987"/>
  <c r="M16" i="1987"/>
  <c r="L16" i="1987"/>
  <c r="K16" i="1987"/>
  <c r="J16" i="1987"/>
  <c r="I16" i="1987"/>
  <c r="H16" i="1987"/>
  <c r="G16" i="1987"/>
  <c r="F16" i="1987"/>
  <c r="E16" i="1987"/>
  <c r="D16" i="1987"/>
  <c r="AE10" i="1987"/>
  <c r="AD10" i="1987"/>
  <c r="AC33" i="1987" s="1"/>
  <c r="AC10" i="1987"/>
  <c r="AB10" i="1987"/>
  <c r="AA10" i="1987"/>
  <c r="Z10" i="1987"/>
  <c r="Y10" i="1987"/>
  <c r="X10" i="1987"/>
  <c r="W10" i="1987"/>
  <c r="V10" i="1987"/>
  <c r="U10" i="1987"/>
  <c r="T10" i="1987"/>
  <c r="S10" i="1987"/>
  <c r="R10" i="1987"/>
  <c r="Q10" i="1987"/>
  <c r="P10" i="1987"/>
  <c r="O10" i="1987"/>
  <c r="N10" i="1987"/>
  <c r="M10" i="1987"/>
  <c r="L10" i="1987"/>
  <c r="N33" i="1987" s="1"/>
  <c r="K10" i="1987"/>
  <c r="J10" i="1987"/>
  <c r="I10" i="1987"/>
  <c r="H10" i="1987"/>
  <c r="G10" i="1987"/>
  <c r="F10" i="1987"/>
  <c r="J33" i="1987" s="1"/>
  <c r="E10" i="1987"/>
  <c r="S33" i="1987" s="1"/>
  <c r="D10" i="1987"/>
  <c r="AE7" i="1987"/>
  <c r="AD7" i="1987"/>
  <c r="AC7" i="1987"/>
  <c r="AB7" i="1987"/>
  <c r="AA7" i="1987"/>
  <c r="Z7" i="1987"/>
  <c r="Y7" i="1987"/>
  <c r="X7" i="1987"/>
  <c r="W7" i="1987"/>
  <c r="V7" i="1987"/>
  <c r="U7" i="1987"/>
  <c r="T7" i="1987"/>
  <c r="S7" i="1987"/>
  <c r="R7" i="1987"/>
  <c r="Q7" i="1987"/>
  <c r="P7" i="1987"/>
  <c r="O7" i="1987"/>
  <c r="N7" i="1987"/>
  <c r="M7" i="1987"/>
  <c r="L7" i="1987"/>
  <c r="K7" i="1987"/>
  <c r="J7" i="1987"/>
  <c r="I7" i="1987"/>
  <c r="H7" i="1987"/>
  <c r="G7" i="1987"/>
  <c r="F7" i="1987"/>
  <c r="E7" i="1987"/>
  <c r="D7" i="1987"/>
  <c r="K33" i="1987" l="1"/>
  <c r="W33" i="1987"/>
  <c r="Z33" i="1987"/>
  <c r="D33" i="1987"/>
  <c r="Y33" i="1987"/>
  <c r="Q33" i="1987"/>
  <c r="E33" i="1987"/>
  <c r="M33" i="1987"/>
  <c r="V33" i="1987"/>
  <c r="AA33" i="1986"/>
  <c r="X33" i="1986"/>
  <c r="U33" i="1986"/>
  <c r="R33" i="1986"/>
  <c r="O33" i="1986"/>
  <c r="L33" i="1986"/>
  <c r="F33" i="1986"/>
  <c r="Y28" i="1986"/>
  <c r="X28" i="1986"/>
  <c r="W28" i="1986"/>
  <c r="V28" i="1986"/>
  <c r="U28" i="1986"/>
  <c r="T28" i="1986"/>
  <c r="S28" i="1986"/>
  <c r="R28" i="1986"/>
  <c r="Q28" i="1986"/>
  <c r="P28" i="1986"/>
  <c r="O28" i="1986"/>
  <c r="N28" i="1986"/>
  <c r="M28" i="1986"/>
  <c r="L28" i="1986"/>
  <c r="K28" i="1986"/>
  <c r="J28" i="1986"/>
  <c r="I28" i="1986"/>
  <c r="H28" i="1986"/>
  <c r="G28" i="1986"/>
  <c r="F28" i="1986"/>
  <c r="E28" i="1986"/>
  <c r="D28" i="1986"/>
  <c r="Y25" i="1986"/>
  <c r="X25" i="1986"/>
  <c r="W25" i="1986"/>
  <c r="V25" i="1986"/>
  <c r="U25" i="1986"/>
  <c r="T25" i="1986"/>
  <c r="S25" i="1986"/>
  <c r="R25" i="1986"/>
  <c r="Q25" i="1986"/>
  <c r="P25" i="1986"/>
  <c r="O25" i="1986"/>
  <c r="N25" i="1986"/>
  <c r="M25" i="1986"/>
  <c r="L25" i="1986"/>
  <c r="K25" i="1986"/>
  <c r="J25" i="1986"/>
  <c r="I25" i="1986"/>
  <c r="H25" i="1986"/>
  <c r="G25" i="1986"/>
  <c r="F25" i="1986"/>
  <c r="E25" i="1986"/>
  <c r="D25" i="1986"/>
  <c r="AE19" i="1986"/>
  <c r="AD19" i="1986"/>
  <c r="AC19" i="1986"/>
  <c r="AB19" i="1986"/>
  <c r="AA19" i="1986"/>
  <c r="Z19" i="1986"/>
  <c r="Y19" i="1986"/>
  <c r="X19" i="1986"/>
  <c r="T33" i="1986" s="1"/>
  <c r="W19" i="1986"/>
  <c r="V19" i="1986"/>
  <c r="U19" i="1986"/>
  <c r="T19" i="1986"/>
  <c r="S19" i="1986"/>
  <c r="R19" i="1986"/>
  <c r="Q19" i="1986"/>
  <c r="P19" i="1986"/>
  <c r="O19" i="1986"/>
  <c r="N19" i="1986"/>
  <c r="H33" i="1986" s="1"/>
  <c r="M19" i="1986"/>
  <c r="L19" i="1986"/>
  <c r="P33" i="1986" s="1"/>
  <c r="K19" i="1986"/>
  <c r="J19" i="1986"/>
  <c r="I19" i="1986"/>
  <c r="AB33" i="1986" s="1"/>
  <c r="H19" i="1986"/>
  <c r="G19" i="1986"/>
  <c r="F19" i="1986"/>
  <c r="E19" i="1986"/>
  <c r="D19" i="1986"/>
  <c r="AE16" i="1986"/>
  <c r="AD16" i="1986"/>
  <c r="AC16" i="1986"/>
  <c r="AB16" i="1986"/>
  <c r="AA16" i="1986"/>
  <c r="Z16" i="1986"/>
  <c r="X16" i="1986"/>
  <c r="W16" i="1986"/>
  <c r="V16" i="1986"/>
  <c r="U16" i="1986"/>
  <c r="T16" i="1986"/>
  <c r="S16" i="1986"/>
  <c r="R16" i="1986"/>
  <c r="Q16" i="1986"/>
  <c r="P16" i="1986"/>
  <c r="O16" i="1986"/>
  <c r="N16" i="1986"/>
  <c r="M16" i="1986"/>
  <c r="L16" i="1986"/>
  <c r="K16" i="1986"/>
  <c r="J16" i="1986"/>
  <c r="I16" i="1986"/>
  <c r="H16" i="1986"/>
  <c r="G16" i="1986"/>
  <c r="F16" i="1986"/>
  <c r="E16" i="1986"/>
  <c r="D16" i="1986"/>
  <c r="AE10" i="1986"/>
  <c r="AD10" i="1986"/>
  <c r="AC33" i="1986" s="1"/>
  <c r="AC10" i="1986"/>
  <c r="AB10" i="1986"/>
  <c r="AA10" i="1986"/>
  <c r="Z10" i="1986"/>
  <c r="Y10" i="1986"/>
  <c r="X10" i="1986"/>
  <c r="W10" i="1986"/>
  <c r="V10" i="1986"/>
  <c r="U10" i="1986"/>
  <c r="T10" i="1986"/>
  <c r="S10" i="1986"/>
  <c r="R10" i="1986"/>
  <c r="Q10" i="1986"/>
  <c r="P10" i="1986"/>
  <c r="O10" i="1986"/>
  <c r="N10" i="1986"/>
  <c r="M10" i="1986"/>
  <c r="L10" i="1986"/>
  <c r="N33" i="1986" s="1"/>
  <c r="K10" i="1986"/>
  <c r="J10" i="1986"/>
  <c r="I10" i="1986"/>
  <c r="H10" i="1986"/>
  <c r="G10" i="1986"/>
  <c r="F10" i="1986"/>
  <c r="J33" i="1986" s="1"/>
  <c r="E10" i="1986"/>
  <c r="S33" i="1986" s="1"/>
  <c r="D10" i="1986"/>
  <c r="AE7" i="1986"/>
  <c r="AD7" i="1986"/>
  <c r="AC7" i="1986"/>
  <c r="AB7" i="1986"/>
  <c r="AA7" i="1986"/>
  <c r="Z7" i="1986"/>
  <c r="Y7" i="1986"/>
  <c r="X7" i="1986"/>
  <c r="W7" i="1986"/>
  <c r="V7" i="1986"/>
  <c r="U7" i="1986"/>
  <c r="T7" i="1986"/>
  <c r="S7" i="1986"/>
  <c r="R7" i="1986"/>
  <c r="Q7" i="1986"/>
  <c r="P7" i="1986"/>
  <c r="O7" i="1986"/>
  <c r="N7" i="1986"/>
  <c r="M7" i="1986"/>
  <c r="L7" i="1986"/>
  <c r="K7" i="1986"/>
  <c r="J7" i="1986"/>
  <c r="I7" i="1986"/>
  <c r="H7" i="1986"/>
  <c r="G7" i="1986"/>
  <c r="F7" i="1986"/>
  <c r="E7" i="1986"/>
  <c r="D7" i="1986"/>
  <c r="M33" i="1986" l="1"/>
  <c r="W33" i="1986"/>
  <c r="Z33" i="1986"/>
  <c r="D33" i="1986"/>
  <c r="Y33" i="1986"/>
  <c r="Q33" i="1986"/>
  <c r="E33" i="1986"/>
  <c r="K33" i="1986"/>
  <c r="V33" i="1986"/>
  <c r="AA33" i="1985"/>
  <c r="X33" i="1985"/>
  <c r="U33" i="1985"/>
  <c r="R33" i="1985"/>
  <c r="O33" i="1985"/>
  <c r="N33" i="1985"/>
  <c r="L33" i="1985"/>
  <c r="F33" i="1985"/>
  <c r="Y28" i="1985"/>
  <c r="X28" i="1985"/>
  <c r="W28" i="1985"/>
  <c r="V28" i="1985"/>
  <c r="U28" i="1985"/>
  <c r="T28" i="1985"/>
  <c r="S28" i="1985"/>
  <c r="R28" i="1985"/>
  <c r="Q28" i="1985"/>
  <c r="P28" i="1985"/>
  <c r="O28" i="1985"/>
  <c r="N28" i="1985"/>
  <c r="M28" i="1985"/>
  <c r="L28" i="1985"/>
  <c r="K28" i="1985"/>
  <c r="J28" i="1985"/>
  <c r="I28" i="1985"/>
  <c r="H28" i="1985"/>
  <c r="G28" i="1985"/>
  <c r="F28" i="1985"/>
  <c r="E28" i="1985"/>
  <c r="D28" i="1985"/>
  <c r="Y25" i="1985"/>
  <c r="X25" i="1985"/>
  <c r="W25" i="1985"/>
  <c r="V25" i="1985"/>
  <c r="U25" i="1985"/>
  <c r="T25" i="1985"/>
  <c r="S25" i="1985"/>
  <c r="R25" i="1985"/>
  <c r="Q25" i="1985"/>
  <c r="P25" i="1985"/>
  <c r="O25" i="1985"/>
  <c r="N25" i="1985"/>
  <c r="M25" i="1985"/>
  <c r="L25" i="1985"/>
  <c r="K25" i="1985"/>
  <c r="J25" i="1985"/>
  <c r="I25" i="1985"/>
  <c r="H25" i="1985"/>
  <c r="G25" i="1985"/>
  <c r="F25" i="1985"/>
  <c r="E25" i="1985"/>
  <c r="D25" i="1985"/>
  <c r="AE19" i="1985"/>
  <c r="AD19" i="1985"/>
  <c r="AC19" i="1985"/>
  <c r="AB19" i="1985"/>
  <c r="AA19" i="1985"/>
  <c r="Z19" i="1985"/>
  <c r="Y19" i="1985"/>
  <c r="X19" i="1985"/>
  <c r="T33" i="1985" s="1"/>
  <c r="W19" i="1985"/>
  <c r="V19" i="1985"/>
  <c r="U19" i="1985"/>
  <c r="T19" i="1985"/>
  <c r="S19" i="1985"/>
  <c r="R19" i="1985"/>
  <c r="Q19" i="1985"/>
  <c r="P19" i="1985"/>
  <c r="O19" i="1985"/>
  <c r="N19" i="1985"/>
  <c r="H33" i="1985" s="1"/>
  <c r="M19" i="1985"/>
  <c r="L19" i="1985"/>
  <c r="P33" i="1985" s="1"/>
  <c r="K19" i="1985"/>
  <c r="J19" i="1985"/>
  <c r="I19" i="1985"/>
  <c r="AB33" i="1985" s="1"/>
  <c r="H19" i="1985"/>
  <c r="G19" i="1985"/>
  <c r="F19" i="1985"/>
  <c r="E19" i="1985"/>
  <c r="D19" i="1985"/>
  <c r="AE16" i="1985"/>
  <c r="AD16" i="1985"/>
  <c r="AC16" i="1985"/>
  <c r="AB16" i="1985"/>
  <c r="AA16" i="1985"/>
  <c r="Z16" i="1985"/>
  <c r="X16" i="1985"/>
  <c r="W16" i="1985"/>
  <c r="V16" i="1985"/>
  <c r="U16" i="1985"/>
  <c r="T16" i="1985"/>
  <c r="S16" i="1985"/>
  <c r="R16" i="1985"/>
  <c r="Q16" i="1985"/>
  <c r="P16" i="1985"/>
  <c r="O16" i="1985"/>
  <c r="N16" i="1985"/>
  <c r="M16" i="1985"/>
  <c r="L16" i="1985"/>
  <c r="K16" i="1985"/>
  <c r="J16" i="1985"/>
  <c r="I16" i="1985"/>
  <c r="H16" i="1985"/>
  <c r="G16" i="1985"/>
  <c r="F16" i="1985"/>
  <c r="E16" i="1985"/>
  <c r="D16" i="1985"/>
  <c r="AE10" i="1985"/>
  <c r="AD10" i="1985"/>
  <c r="AC33" i="1985" s="1"/>
  <c r="AC10" i="1985"/>
  <c r="AB10" i="1985"/>
  <c r="AA10" i="1985"/>
  <c r="Z10" i="1985"/>
  <c r="Y10" i="1985"/>
  <c r="X10" i="1985"/>
  <c r="W10" i="1985"/>
  <c r="V10" i="1985"/>
  <c r="U10" i="1985"/>
  <c r="T10" i="1985"/>
  <c r="S10" i="1985"/>
  <c r="R10" i="1985"/>
  <c r="Q10" i="1985"/>
  <c r="P10" i="1985"/>
  <c r="O10" i="1985"/>
  <c r="N10" i="1985"/>
  <c r="Q33" i="1985" s="1"/>
  <c r="M10" i="1985"/>
  <c r="L10" i="1985"/>
  <c r="K10" i="1985"/>
  <c r="J10" i="1985"/>
  <c r="I10" i="1985"/>
  <c r="H10" i="1985"/>
  <c r="G10" i="1985"/>
  <c r="F10" i="1985"/>
  <c r="J33" i="1985" s="1"/>
  <c r="E10" i="1985"/>
  <c r="S33" i="1985" s="1"/>
  <c r="D10" i="1985"/>
  <c r="AE7" i="1985"/>
  <c r="AD7" i="1985"/>
  <c r="AC7" i="1985"/>
  <c r="AB7" i="1985"/>
  <c r="AA7" i="1985"/>
  <c r="Z7" i="1985"/>
  <c r="Y7" i="1985"/>
  <c r="X7" i="1985"/>
  <c r="W7" i="1985"/>
  <c r="V7" i="1985"/>
  <c r="U7" i="1985"/>
  <c r="T7" i="1985"/>
  <c r="S7" i="1985"/>
  <c r="R7" i="1985"/>
  <c r="Q7" i="1985"/>
  <c r="P7" i="1985"/>
  <c r="O7" i="1985"/>
  <c r="N7" i="1985"/>
  <c r="M7" i="1985"/>
  <c r="L7" i="1985"/>
  <c r="K7" i="1985"/>
  <c r="J7" i="1985"/>
  <c r="I7" i="1985"/>
  <c r="H7" i="1985"/>
  <c r="G7" i="1985"/>
  <c r="F7" i="1985"/>
  <c r="E7" i="1985"/>
  <c r="D7" i="1985"/>
  <c r="K33" i="1985" l="1"/>
  <c r="W33" i="1985"/>
  <c r="D33" i="1985"/>
  <c r="Z33" i="1985"/>
  <c r="Y33" i="1985"/>
  <c r="E33" i="1985"/>
  <c r="M33" i="1985"/>
  <c r="V33" i="1985"/>
  <c r="AA33" i="1984"/>
  <c r="X33" i="1984"/>
  <c r="U33" i="1984"/>
  <c r="R33" i="1984"/>
  <c r="O33" i="1984"/>
  <c r="L33" i="1984"/>
  <c r="F33" i="1984"/>
  <c r="Y28" i="1984"/>
  <c r="X28" i="1984"/>
  <c r="W28" i="1984"/>
  <c r="V28" i="1984"/>
  <c r="U28" i="1984"/>
  <c r="T28" i="1984"/>
  <c r="S28" i="1984"/>
  <c r="R28" i="1984"/>
  <c r="Q28" i="1984"/>
  <c r="P28" i="1984"/>
  <c r="O28" i="1984"/>
  <c r="N28" i="1984"/>
  <c r="M28" i="1984"/>
  <c r="L28" i="1984"/>
  <c r="K28" i="1984"/>
  <c r="J28" i="1984"/>
  <c r="I28" i="1984"/>
  <c r="H28" i="1984"/>
  <c r="G28" i="1984"/>
  <c r="F28" i="1984"/>
  <c r="E28" i="1984"/>
  <c r="D28" i="1984"/>
  <c r="Y25" i="1984"/>
  <c r="X25" i="1984"/>
  <c r="W25" i="1984"/>
  <c r="V25" i="1984"/>
  <c r="U25" i="1984"/>
  <c r="T25" i="1984"/>
  <c r="S25" i="1984"/>
  <c r="R25" i="1984"/>
  <c r="Q25" i="1984"/>
  <c r="P25" i="1984"/>
  <c r="O25" i="1984"/>
  <c r="N25" i="1984"/>
  <c r="M25" i="1984"/>
  <c r="L25" i="1984"/>
  <c r="K25" i="1984"/>
  <c r="J25" i="1984"/>
  <c r="I25" i="1984"/>
  <c r="H25" i="1984"/>
  <c r="G25" i="1984"/>
  <c r="F25" i="1984"/>
  <c r="E25" i="1984"/>
  <c r="D25" i="1984"/>
  <c r="AE19" i="1984"/>
  <c r="AD19" i="1984"/>
  <c r="AC19" i="1984"/>
  <c r="AB19" i="1984"/>
  <c r="AA19" i="1984"/>
  <c r="Z19" i="1984"/>
  <c r="Y19" i="1984"/>
  <c r="X19" i="1984"/>
  <c r="T33" i="1984" s="1"/>
  <c r="W19" i="1984"/>
  <c r="V19" i="1984"/>
  <c r="U19" i="1984"/>
  <c r="T19" i="1984"/>
  <c r="S19" i="1984"/>
  <c r="R19" i="1984"/>
  <c r="Q19" i="1984"/>
  <c r="P19" i="1984"/>
  <c r="O19" i="1984"/>
  <c r="N19" i="1984"/>
  <c r="H33" i="1984" s="1"/>
  <c r="M19" i="1984"/>
  <c r="L19" i="1984"/>
  <c r="P33" i="1984" s="1"/>
  <c r="K19" i="1984"/>
  <c r="J19" i="1984"/>
  <c r="I19" i="1984"/>
  <c r="AB33" i="1984" s="1"/>
  <c r="H19" i="1984"/>
  <c r="G19" i="1984"/>
  <c r="F19" i="1984"/>
  <c r="E19" i="1984"/>
  <c r="D19" i="1984"/>
  <c r="AE16" i="1984"/>
  <c r="AD16" i="1984"/>
  <c r="AC16" i="1984"/>
  <c r="AB16" i="1984"/>
  <c r="AA16" i="1984"/>
  <c r="Z16" i="1984"/>
  <c r="X16" i="1984"/>
  <c r="W16" i="1984"/>
  <c r="V16" i="1984"/>
  <c r="U16" i="1984"/>
  <c r="T16" i="1984"/>
  <c r="S16" i="1984"/>
  <c r="R16" i="1984"/>
  <c r="Q16" i="1984"/>
  <c r="P16" i="1984"/>
  <c r="O16" i="1984"/>
  <c r="N16" i="1984"/>
  <c r="M16" i="1984"/>
  <c r="L16" i="1984"/>
  <c r="K16" i="1984"/>
  <c r="J16" i="1984"/>
  <c r="I16" i="1984"/>
  <c r="H16" i="1984"/>
  <c r="G16" i="1984"/>
  <c r="F16" i="1984"/>
  <c r="E16" i="1984"/>
  <c r="D16" i="1984"/>
  <c r="AE10" i="1984"/>
  <c r="AD10" i="1984"/>
  <c r="AC33" i="1984" s="1"/>
  <c r="AC10" i="1984"/>
  <c r="AB10" i="1984"/>
  <c r="AA10" i="1984"/>
  <c r="Z10" i="1984"/>
  <c r="Y10" i="1984"/>
  <c r="X10" i="1984"/>
  <c r="W10" i="1984"/>
  <c r="V10" i="1984"/>
  <c r="U10" i="1984"/>
  <c r="T10" i="1984"/>
  <c r="S10" i="1984"/>
  <c r="Y33" i="1984" s="1"/>
  <c r="R10" i="1984"/>
  <c r="Q10" i="1984"/>
  <c r="P10" i="1984"/>
  <c r="O10" i="1984"/>
  <c r="N10" i="1984"/>
  <c r="Q33" i="1984" s="1"/>
  <c r="M10" i="1984"/>
  <c r="L10" i="1984"/>
  <c r="N33" i="1984" s="1"/>
  <c r="K10" i="1984"/>
  <c r="J10" i="1984"/>
  <c r="I10" i="1984"/>
  <c r="H10" i="1984"/>
  <c r="G10" i="1984"/>
  <c r="F10" i="1984"/>
  <c r="J33" i="1984" s="1"/>
  <c r="E10" i="1984"/>
  <c r="S33" i="1984" s="1"/>
  <c r="D10" i="1984"/>
  <c r="AE7" i="1984"/>
  <c r="AD7" i="1984"/>
  <c r="AC7" i="1984"/>
  <c r="AB7" i="1984"/>
  <c r="AA7" i="1984"/>
  <c r="Z7" i="1984"/>
  <c r="Y7" i="1984"/>
  <c r="X7" i="1984"/>
  <c r="W7" i="1984"/>
  <c r="V7" i="1984"/>
  <c r="U7" i="1984"/>
  <c r="T7" i="1984"/>
  <c r="S7" i="1984"/>
  <c r="R7" i="1984"/>
  <c r="Q7" i="1984"/>
  <c r="P7" i="1984"/>
  <c r="O7" i="1984"/>
  <c r="N7" i="1984"/>
  <c r="M7" i="1984"/>
  <c r="L7" i="1984"/>
  <c r="K7" i="1984"/>
  <c r="J7" i="1984"/>
  <c r="I7" i="1984"/>
  <c r="H7" i="1984"/>
  <c r="G7" i="1984"/>
  <c r="F7" i="1984"/>
  <c r="E7" i="1984"/>
  <c r="D7" i="1984"/>
  <c r="K33" i="1984" l="1"/>
  <c r="W33" i="1984"/>
  <c r="Z33" i="1984"/>
  <c r="D33" i="1984"/>
  <c r="E33" i="1984"/>
  <c r="M33" i="1984"/>
  <c r="V33" i="1984"/>
  <c r="AA33" i="1982"/>
  <c r="X33" i="1982"/>
  <c r="U33" i="1982"/>
  <c r="R33" i="1982"/>
  <c r="O33" i="1982"/>
  <c r="L33" i="1982"/>
  <c r="F33" i="1982"/>
  <c r="Y28" i="1982"/>
  <c r="X28" i="1982"/>
  <c r="W28" i="1982"/>
  <c r="V28" i="1982"/>
  <c r="U28" i="1982"/>
  <c r="T28" i="1982"/>
  <c r="S28" i="1982"/>
  <c r="R28" i="1982"/>
  <c r="Q28" i="1982"/>
  <c r="P28" i="1982"/>
  <c r="O28" i="1982"/>
  <c r="N28" i="1982"/>
  <c r="M28" i="1982"/>
  <c r="L28" i="1982"/>
  <c r="K28" i="1982"/>
  <c r="J28" i="1982"/>
  <c r="I28" i="1982"/>
  <c r="H28" i="1982"/>
  <c r="G28" i="1982"/>
  <c r="F28" i="1982"/>
  <c r="E28" i="1982"/>
  <c r="D28" i="1982"/>
  <c r="Y25" i="1982"/>
  <c r="X25" i="1982"/>
  <c r="W25" i="1982"/>
  <c r="V25" i="1982"/>
  <c r="U25" i="1982"/>
  <c r="T25" i="1982"/>
  <c r="S25" i="1982"/>
  <c r="R25" i="1982"/>
  <c r="Q25" i="1982"/>
  <c r="P25" i="1982"/>
  <c r="O25" i="1982"/>
  <c r="N25" i="1982"/>
  <c r="M25" i="1982"/>
  <c r="L25" i="1982"/>
  <c r="K25" i="1982"/>
  <c r="J25" i="1982"/>
  <c r="I25" i="1982"/>
  <c r="H25" i="1982"/>
  <c r="G25" i="1982"/>
  <c r="F25" i="1982"/>
  <c r="E25" i="1982"/>
  <c r="D25" i="1982"/>
  <c r="AE19" i="1982"/>
  <c r="AD19" i="1982"/>
  <c r="AC19" i="1982"/>
  <c r="AB19" i="1982"/>
  <c r="AA19" i="1982"/>
  <c r="Z19" i="1982"/>
  <c r="Y19" i="1982"/>
  <c r="X19" i="1982"/>
  <c r="T33" i="1982" s="1"/>
  <c r="W19" i="1982"/>
  <c r="V19" i="1982"/>
  <c r="U19" i="1982"/>
  <c r="T19" i="1982"/>
  <c r="S19" i="1982"/>
  <c r="R19" i="1982"/>
  <c r="Q19" i="1982"/>
  <c r="P19" i="1982"/>
  <c r="O19" i="1982"/>
  <c r="N19" i="1982"/>
  <c r="H33" i="1982" s="1"/>
  <c r="M19" i="1982"/>
  <c r="L19" i="1982"/>
  <c r="P33" i="1982" s="1"/>
  <c r="K19" i="1982"/>
  <c r="J19" i="1982"/>
  <c r="I19" i="1982"/>
  <c r="AB33" i="1982" s="1"/>
  <c r="H19" i="1982"/>
  <c r="G19" i="1982"/>
  <c r="F19" i="1982"/>
  <c r="E19" i="1982"/>
  <c r="D19" i="1982"/>
  <c r="AE16" i="1982"/>
  <c r="AD16" i="1982"/>
  <c r="AC16" i="1982"/>
  <c r="AB16" i="1982"/>
  <c r="AA16" i="1982"/>
  <c r="Z16" i="1982"/>
  <c r="X16" i="1982"/>
  <c r="W16" i="1982"/>
  <c r="V16" i="1982"/>
  <c r="U16" i="1982"/>
  <c r="T16" i="1982"/>
  <c r="S16" i="1982"/>
  <c r="R16" i="1982"/>
  <c r="Q16" i="1982"/>
  <c r="P16" i="1982"/>
  <c r="O16" i="1982"/>
  <c r="N16" i="1982"/>
  <c r="M16" i="1982"/>
  <c r="L16" i="1982"/>
  <c r="K16" i="1982"/>
  <c r="J16" i="1982"/>
  <c r="I16" i="1982"/>
  <c r="H16" i="1982"/>
  <c r="G16" i="1982"/>
  <c r="F16" i="1982"/>
  <c r="E16" i="1982"/>
  <c r="D16" i="1982"/>
  <c r="AE10" i="1982"/>
  <c r="AD10" i="1982"/>
  <c r="AC33" i="1982" s="1"/>
  <c r="AC10" i="1982"/>
  <c r="AB10" i="1982"/>
  <c r="AA10" i="1982"/>
  <c r="D33" i="1982" s="1"/>
  <c r="Z10" i="1982"/>
  <c r="Y10" i="1982"/>
  <c r="X10" i="1982"/>
  <c r="W10" i="1982"/>
  <c r="V10" i="1982"/>
  <c r="U10" i="1982"/>
  <c r="T10" i="1982"/>
  <c r="S10" i="1982"/>
  <c r="R10" i="1982"/>
  <c r="Q10" i="1982"/>
  <c r="P10" i="1982"/>
  <c r="O10" i="1982"/>
  <c r="N10" i="1982"/>
  <c r="M10" i="1982"/>
  <c r="E33" i="1982" s="1"/>
  <c r="L10" i="1982"/>
  <c r="N33" i="1982" s="1"/>
  <c r="K10" i="1982"/>
  <c r="J10" i="1982"/>
  <c r="Q33" i="1982" s="1"/>
  <c r="I10" i="1982"/>
  <c r="H10" i="1982"/>
  <c r="G10" i="1982"/>
  <c r="F10" i="1982"/>
  <c r="J33" i="1982" s="1"/>
  <c r="E10" i="1982"/>
  <c r="S33" i="1982" s="1"/>
  <c r="D10" i="1982"/>
  <c r="AE7" i="1982"/>
  <c r="AD7" i="1982"/>
  <c r="AC7" i="1982"/>
  <c r="AB7" i="1982"/>
  <c r="AA7" i="1982"/>
  <c r="Z7" i="1982"/>
  <c r="Y7" i="1982"/>
  <c r="X7" i="1982"/>
  <c r="W7" i="1982"/>
  <c r="V7" i="1982"/>
  <c r="U7" i="1982"/>
  <c r="T7" i="1982"/>
  <c r="S7" i="1982"/>
  <c r="R7" i="1982"/>
  <c r="Q7" i="1982"/>
  <c r="P7" i="1982"/>
  <c r="O7" i="1982"/>
  <c r="N7" i="1982"/>
  <c r="M7" i="1982"/>
  <c r="L7" i="1982"/>
  <c r="K7" i="1982"/>
  <c r="J7" i="1982"/>
  <c r="I7" i="1982"/>
  <c r="H7" i="1982"/>
  <c r="G7" i="1982"/>
  <c r="F7" i="1982"/>
  <c r="E7" i="1982"/>
  <c r="D7" i="1982"/>
  <c r="W33" i="1982" l="1"/>
  <c r="Z33" i="1982"/>
  <c r="Y33" i="1982"/>
  <c r="K33" i="1982"/>
  <c r="M33" i="1982"/>
  <c r="V33" i="1982"/>
  <c r="AA33" i="1981"/>
  <c r="X33" i="1981"/>
  <c r="U33" i="1981"/>
  <c r="R33" i="1981"/>
  <c r="O33" i="1981"/>
  <c r="L33" i="1981"/>
  <c r="F33" i="1981"/>
  <c r="Y28" i="1981"/>
  <c r="X28" i="1981"/>
  <c r="W28" i="1981"/>
  <c r="V28" i="1981"/>
  <c r="U28" i="1981"/>
  <c r="T28" i="1981"/>
  <c r="S28" i="1981"/>
  <c r="R28" i="1981"/>
  <c r="Q28" i="1981"/>
  <c r="P28" i="1981"/>
  <c r="O28" i="1981"/>
  <c r="N28" i="1981"/>
  <c r="M28" i="1981"/>
  <c r="L28" i="1981"/>
  <c r="K28" i="1981"/>
  <c r="J28" i="1981"/>
  <c r="I28" i="1981"/>
  <c r="H28" i="1981"/>
  <c r="G28" i="1981"/>
  <c r="F28" i="1981"/>
  <c r="E28" i="1981"/>
  <c r="D28" i="1981"/>
  <c r="Y25" i="1981"/>
  <c r="X25" i="1981"/>
  <c r="W25" i="1981"/>
  <c r="V25" i="1981"/>
  <c r="U25" i="1981"/>
  <c r="T25" i="1981"/>
  <c r="S25" i="1981"/>
  <c r="R25" i="1981"/>
  <c r="Q25" i="1981"/>
  <c r="P25" i="1981"/>
  <c r="O25" i="1981"/>
  <c r="N25" i="1981"/>
  <c r="M25" i="1981"/>
  <c r="L25" i="1981"/>
  <c r="K25" i="1981"/>
  <c r="J25" i="1981"/>
  <c r="I25" i="1981"/>
  <c r="H25" i="1981"/>
  <c r="G25" i="1981"/>
  <c r="F25" i="1981"/>
  <c r="E25" i="1981"/>
  <c r="D25" i="1981"/>
  <c r="AE19" i="1981"/>
  <c r="AD19" i="1981"/>
  <c r="AC19" i="1981"/>
  <c r="AB19" i="1981"/>
  <c r="AA19" i="1981"/>
  <c r="Z19" i="1981"/>
  <c r="Y19" i="1981"/>
  <c r="X19" i="1981"/>
  <c r="T33" i="1981" s="1"/>
  <c r="W19" i="1981"/>
  <c r="V19" i="1981"/>
  <c r="U19" i="1981"/>
  <c r="T19" i="1981"/>
  <c r="S19" i="1981"/>
  <c r="R19" i="1981"/>
  <c r="Q19" i="1981"/>
  <c r="P19" i="1981"/>
  <c r="O19" i="1981"/>
  <c r="N19" i="1981"/>
  <c r="H33" i="1981" s="1"/>
  <c r="M19" i="1981"/>
  <c r="L19" i="1981"/>
  <c r="P33" i="1981" s="1"/>
  <c r="K19" i="1981"/>
  <c r="J19" i="1981"/>
  <c r="I19" i="1981"/>
  <c r="AB33" i="1981" s="1"/>
  <c r="H19" i="1981"/>
  <c r="G19" i="1981"/>
  <c r="F19" i="1981"/>
  <c r="E19" i="1981"/>
  <c r="D19" i="1981"/>
  <c r="AE16" i="1981"/>
  <c r="AD16" i="1981"/>
  <c r="AC16" i="1981"/>
  <c r="AB16" i="1981"/>
  <c r="AA16" i="1981"/>
  <c r="Z16" i="1981"/>
  <c r="X16" i="1981"/>
  <c r="W16" i="1981"/>
  <c r="V16" i="1981"/>
  <c r="U16" i="1981"/>
  <c r="T16" i="1981"/>
  <c r="S16" i="1981"/>
  <c r="R16" i="1981"/>
  <c r="Q16" i="1981"/>
  <c r="P16" i="1981"/>
  <c r="O16" i="1981"/>
  <c r="N16" i="1981"/>
  <c r="M16" i="1981"/>
  <c r="L16" i="1981"/>
  <c r="K16" i="1981"/>
  <c r="J16" i="1981"/>
  <c r="I16" i="1981"/>
  <c r="H16" i="1981"/>
  <c r="G16" i="1981"/>
  <c r="F16" i="1981"/>
  <c r="E16" i="1981"/>
  <c r="D16" i="1981"/>
  <c r="AE10" i="1981"/>
  <c r="AD10" i="1981"/>
  <c r="AC33" i="1981" s="1"/>
  <c r="AC10" i="1981"/>
  <c r="AB10" i="1981"/>
  <c r="AA10" i="1981"/>
  <c r="Z10" i="1981"/>
  <c r="Y10" i="1981"/>
  <c r="X10" i="1981"/>
  <c r="W10" i="1981"/>
  <c r="V10" i="1981"/>
  <c r="U10" i="1981"/>
  <c r="T10" i="1981"/>
  <c r="S10" i="1981"/>
  <c r="R10" i="1981"/>
  <c r="Q10" i="1981"/>
  <c r="P10" i="1981"/>
  <c r="O10" i="1981"/>
  <c r="N10" i="1981"/>
  <c r="M10" i="1981"/>
  <c r="L10" i="1981"/>
  <c r="K10" i="1981"/>
  <c r="J10" i="1981"/>
  <c r="I10" i="1981"/>
  <c r="H10" i="1981"/>
  <c r="G10" i="1981"/>
  <c r="F10" i="1981"/>
  <c r="E10" i="1981"/>
  <c r="S33" i="1981" s="1"/>
  <c r="D10" i="1981"/>
  <c r="AE7" i="1981"/>
  <c r="AD7" i="1981"/>
  <c r="AC7" i="1981"/>
  <c r="AB7" i="1981"/>
  <c r="AA7" i="1981"/>
  <c r="Z7" i="1981"/>
  <c r="Y7" i="1981"/>
  <c r="X7" i="1981"/>
  <c r="W7" i="1981"/>
  <c r="V7" i="1981"/>
  <c r="U7" i="1981"/>
  <c r="T7" i="1981"/>
  <c r="S7" i="1981"/>
  <c r="R7" i="1981"/>
  <c r="Q7" i="1981"/>
  <c r="P7" i="1981"/>
  <c r="O7" i="1981"/>
  <c r="N7" i="1981"/>
  <c r="M7" i="1981"/>
  <c r="L7" i="1981"/>
  <c r="K7" i="1981"/>
  <c r="J7" i="1981"/>
  <c r="I7" i="1981"/>
  <c r="H7" i="1981"/>
  <c r="G7" i="1981"/>
  <c r="F7" i="1981"/>
  <c r="E7" i="1981"/>
  <c r="D7" i="1981"/>
  <c r="J33" i="1981" l="1"/>
  <c r="N33" i="1981"/>
  <c r="K33" i="1981"/>
  <c r="W33" i="1981"/>
  <c r="D33" i="1981"/>
  <c r="Z33" i="1981"/>
  <c r="Y33" i="1981"/>
  <c r="Q33" i="1981"/>
  <c r="E33" i="1981"/>
  <c r="M33" i="1981"/>
  <c r="V33" i="1981"/>
  <c r="AA33" i="1979"/>
  <c r="X33" i="1979"/>
  <c r="U33" i="1979"/>
  <c r="R33" i="1979"/>
  <c r="O33" i="1979"/>
  <c r="L33" i="1979"/>
  <c r="F33" i="1979"/>
  <c r="Y28" i="1979"/>
  <c r="X28" i="1979"/>
  <c r="W28" i="1979"/>
  <c r="V28" i="1979"/>
  <c r="U28" i="1979"/>
  <c r="T28" i="1979"/>
  <c r="S28" i="1979"/>
  <c r="R28" i="1979"/>
  <c r="Q28" i="1979"/>
  <c r="P28" i="1979"/>
  <c r="O28" i="1979"/>
  <c r="N28" i="1979"/>
  <c r="M28" i="1979"/>
  <c r="L28" i="1979"/>
  <c r="K28" i="1979"/>
  <c r="J28" i="1979"/>
  <c r="I28" i="1979"/>
  <c r="H28" i="1979"/>
  <c r="G28" i="1979"/>
  <c r="F28" i="1979"/>
  <c r="E28" i="1979"/>
  <c r="D28" i="1979"/>
  <c r="Y25" i="1979"/>
  <c r="X25" i="1979"/>
  <c r="W25" i="1979"/>
  <c r="V25" i="1979"/>
  <c r="U25" i="1979"/>
  <c r="T25" i="1979"/>
  <c r="S25" i="1979"/>
  <c r="R25" i="1979"/>
  <c r="Q25" i="1979"/>
  <c r="P25" i="1979"/>
  <c r="O25" i="1979"/>
  <c r="N25" i="1979"/>
  <c r="M25" i="1979"/>
  <c r="L25" i="1979"/>
  <c r="K25" i="1979"/>
  <c r="J25" i="1979"/>
  <c r="I25" i="1979"/>
  <c r="H25" i="1979"/>
  <c r="G25" i="1979"/>
  <c r="F25" i="1979"/>
  <c r="E25" i="1979"/>
  <c r="D25" i="1979"/>
  <c r="AE19" i="1979"/>
  <c r="AD19" i="1979"/>
  <c r="AC19" i="1979"/>
  <c r="AB19" i="1979"/>
  <c r="AA19" i="1979"/>
  <c r="Z19" i="1979"/>
  <c r="Y19" i="1979"/>
  <c r="X19" i="1979"/>
  <c r="T33" i="1979" s="1"/>
  <c r="W19" i="1979"/>
  <c r="V19" i="1979"/>
  <c r="U19" i="1979"/>
  <c r="T19" i="1979"/>
  <c r="S19" i="1979"/>
  <c r="R19" i="1979"/>
  <c r="Q19" i="1979"/>
  <c r="P19" i="1979"/>
  <c r="O19" i="1979"/>
  <c r="N19" i="1979"/>
  <c r="H33" i="1979" s="1"/>
  <c r="M19" i="1979"/>
  <c r="L19" i="1979"/>
  <c r="P33" i="1979" s="1"/>
  <c r="K19" i="1979"/>
  <c r="J19" i="1979"/>
  <c r="I19" i="1979"/>
  <c r="AB33" i="1979" s="1"/>
  <c r="H19" i="1979"/>
  <c r="G19" i="1979"/>
  <c r="F19" i="1979"/>
  <c r="E19" i="1979"/>
  <c r="D19" i="1979"/>
  <c r="AE16" i="1979"/>
  <c r="AD16" i="1979"/>
  <c r="AC16" i="1979"/>
  <c r="AB16" i="1979"/>
  <c r="AA16" i="1979"/>
  <c r="Z16" i="1979"/>
  <c r="X16" i="1979"/>
  <c r="W16" i="1979"/>
  <c r="V16" i="1979"/>
  <c r="U16" i="1979"/>
  <c r="T16" i="1979"/>
  <c r="S16" i="1979"/>
  <c r="R16" i="1979"/>
  <c r="Q16" i="1979"/>
  <c r="P16" i="1979"/>
  <c r="O16" i="1979"/>
  <c r="N16" i="1979"/>
  <c r="M16" i="1979"/>
  <c r="L16" i="1979"/>
  <c r="K16" i="1979"/>
  <c r="J16" i="1979"/>
  <c r="I16" i="1979"/>
  <c r="H16" i="1979"/>
  <c r="G16" i="1979"/>
  <c r="F16" i="1979"/>
  <c r="E16" i="1979"/>
  <c r="D16" i="1979"/>
  <c r="AE10" i="1979"/>
  <c r="AD10" i="1979"/>
  <c r="AC33" i="1979" s="1"/>
  <c r="AC10" i="1979"/>
  <c r="AB10" i="1979"/>
  <c r="AA10" i="1979"/>
  <c r="Z10" i="1979"/>
  <c r="Y10" i="1979"/>
  <c r="X10" i="1979"/>
  <c r="W10" i="1979"/>
  <c r="V10" i="1979"/>
  <c r="U10" i="1979"/>
  <c r="T10" i="1979"/>
  <c r="S10" i="1979"/>
  <c r="R10" i="1979"/>
  <c r="Q10" i="1979"/>
  <c r="P10" i="1979"/>
  <c r="O10" i="1979"/>
  <c r="N10" i="1979"/>
  <c r="M10" i="1979"/>
  <c r="L10" i="1979"/>
  <c r="K10" i="1979"/>
  <c r="J10" i="1979"/>
  <c r="I10" i="1979"/>
  <c r="H10" i="1979"/>
  <c r="G10" i="1979"/>
  <c r="F10" i="1979"/>
  <c r="J33" i="1979" s="1"/>
  <c r="E10" i="1979"/>
  <c r="S33" i="1979" s="1"/>
  <c r="D10" i="1979"/>
  <c r="AE7" i="1979"/>
  <c r="AD7" i="1979"/>
  <c r="AC7" i="1979"/>
  <c r="AB7" i="1979"/>
  <c r="AA7" i="1979"/>
  <c r="Z7" i="1979"/>
  <c r="Y7" i="1979"/>
  <c r="X7" i="1979"/>
  <c r="W7" i="1979"/>
  <c r="V7" i="1979"/>
  <c r="U7" i="1979"/>
  <c r="T7" i="1979"/>
  <c r="S7" i="1979"/>
  <c r="R7" i="1979"/>
  <c r="Q7" i="1979"/>
  <c r="P7" i="1979"/>
  <c r="O7" i="1979"/>
  <c r="N7" i="1979"/>
  <c r="M7" i="1979"/>
  <c r="L7" i="1979"/>
  <c r="K7" i="1979"/>
  <c r="J7" i="1979"/>
  <c r="I7" i="1979"/>
  <c r="H7" i="1979"/>
  <c r="G7" i="1979"/>
  <c r="F7" i="1979"/>
  <c r="E7" i="1979"/>
  <c r="D7" i="1979"/>
  <c r="W33" i="1979" l="1"/>
  <c r="V33" i="1979"/>
  <c r="D33" i="1979"/>
  <c r="Z33" i="1979"/>
  <c r="Y33" i="1979"/>
  <c r="N33" i="1979"/>
  <c r="Q33" i="1979"/>
  <c r="E33" i="1979"/>
  <c r="K33" i="1979"/>
  <c r="M33" i="1979"/>
  <c r="AA33" i="1978"/>
  <c r="X33" i="1978"/>
  <c r="U33" i="1978"/>
  <c r="R33" i="1978"/>
  <c r="O33" i="1978"/>
  <c r="L33" i="1978"/>
  <c r="F33" i="1978"/>
  <c r="Y28" i="1978"/>
  <c r="X28" i="1978"/>
  <c r="W28" i="1978"/>
  <c r="V28" i="1978"/>
  <c r="U28" i="1978"/>
  <c r="T28" i="1978"/>
  <c r="S28" i="1978"/>
  <c r="R28" i="1978"/>
  <c r="Q28" i="1978"/>
  <c r="P28" i="1978"/>
  <c r="O28" i="1978"/>
  <c r="N28" i="1978"/>
  <c r="M28" i="1978"/>
  <c r="L28" i="1978"/>
  <c r="K28" i="1978"/>
  <c r="J28" i="1978"/>
  <c r="I28" i="1978"/>
  <c r="H28" i="1978"/>
  <c r="G28" i="1978"/>
  <c r="F28" i="1978"/>
  <c r="E28" i="1978"/>
  <c r="D28" i="1978"/>
  <c r="Y25" i="1978"/>
  <c r="X25" i="1978"/>
  <c r="W25" i="1978"/>
  <c r="V25" i="1978"/>
  <c r="U25" i="1978"/>
  <c r="T25" i="1978"/>
  <c r="S25" i="1978"/>
  <c r="R25" i="1978"/>
  <c r="Q25" i="1978"/>
  <c r="P25" i="1978"/>
  <c r="O25" i="1978"/>
  <c r="N25" i="1978"/>
  <c r="M25" i="1978"/>
  <c r="L25" i="1978"/>
  <c r="K25" i="1978"/>
  <c r="J25" i="1978"/>
  <c r="I25" i="1978"/>
  <c r="H25" i="1978"/>
  <c r="G25" i="1978"/>
  <c r="F25" i="1978"/>
  <c r="E25" i="1978"/>
  <c r="D25" i="1978"/>
  <c r="AE19" i="1978"/>
  <c r="AD19" i="1978"/>
  <c r="AC19" i="1978"/>
  <c r="AB19" i="1978"/>
  <c r="AA19" i="1978"/>
  <c r="Z19" i="1978"/>
  <c r="Y19" i="1978"/>
  <c r="X19" i="1978"/>
  <c r="T33" i="1978" s="1"/>
  <c r="W19" i="1978"/>
  <c r="V19" i="1978"/>
  <c r="U19" i="1978"/>
  <c r="T19" i="1978"/>
  <c r="S19" i="1978"/>
  <c r="R19" i="1978"/>
  <c r="Q19" i="1978"/>
  <c r="P19" i="1978"/>
  <c r="O19" i="1978"/>
  <c r="N19" i="1978"/>
  <c r="H33" i="1978" s="1"/>
  <c r="M19" i="1978"/>
  <c r="L19" i="1978"/>
  <c r="P33" i="1978" s="1"/>
  <c r="K19" i="1978"/>
  <c r="J19" i="1978"/>
  <c r="I19" i="1978"/>
  <c r="AB33" i="1978" s="1"/>
  <c r="H19" i="1978"/>
  <c r="G19" i="1978"/>
  <c r="F19" i="1978"/>
  <c r="E19" i="1978"/>
  <c r="D19" i="1978"/>
  <c r="AE16" i="1978"/>
  <c r="AD16" i="1978"/>
  <c r="AC16" i="1978"/>
  <c r="AB16" i="1978"/>
  <c r="AA16" i="1978"/>
  <c r="Z16" i="1978"/>
  <c r="X16" i="1978"/>
  <c r="W16" i="1978"/>
  <c r="V16" i="1978"/>
  <c r="U16" i="1978"/>
  <c r="T16" i="1978"/>
  <c r="S16" i="1978"/>
  <c r="R16" i="1978"/>
  <c r="Q16" i="1978"/>
  <c r="P16" i="1978"/>
  <c r="O16" i="1978"/>
  <c r="N16" i="1978"/>
  <c r="M16" i="1978"/>
  <c r="L16" i="1978"/>
  <c r="K16" i="1978"/>
  <c r="J16" i="1978"/>
  <c r="I16" i="1978"/>
  <c r="H16" i="1978"/>
  <c r="G16" i="1978"/>
  <c r="F16" i="1978"/>
  <c r="E16" i="1978"/>
  <c r="D16" i="1978"/>
  <c r="AE10" i="1978"/>
  <c r="AD10" i="1978"/>
  <c r="AC33" i="1978" s="1"/>
  <c r="AC10" i="1978"/>
  <c r="AB10" i="1978"/>
  <c r="AA10" i="1978"/>
  <c r="Z10" i="1978"/>
  <c r="Y10" i="1978"/>
  <c r="X10" i="1978"/>
  <c r="W10" i="1978"/>
  <c r="V10" i="1978"/>
  <c r="U10" i="1978"/>
  <c r="T10" i="1978"/>
  <c r="S10" i="1978"/>
  <c r="R10" i="1978"/>
  <c r="Q10" i="1978"/>
  <c r="P10" i="1978"/>
  <c r="O10" i="1978"/>
  <c r="N10" i="1978"/>
  <c r="M10" i="1978"/>
  <c r="L10" i="1978"/>
  <c r="N33" i="1978" s="1"/>
  <c r="K10" i="1978"/>
  <c r="J10" i="1978"/>
  <c r="I10" i="1978"/>
  <c r="H10" i="1978"/>
  <c r="G10" i="1978"/>
  <c r="F10" i="1978"/>
  <c r="E10" i="1978"/>
  <c r="S33" i="1978" s="1"/>
  <c r="D10" i="1978"/>
  <c r="AE7" i="1978"/>
  <c r="AD7" i="1978"/>
  <c r="AC7" i="1978"/>
  <c r="AB7" i="1978"/>
  <c r="AA7" i="1978"/>
  <c r="Z7" i="1978"/>
  <c r="Y7" i="1978"/>
  <c r="X7" i="1978"/>
  <c r="W7" i="1978"/>
  <c r="V7" i="1978"/>
  <c r="U7" i="1978"/>
  <c r="T7" i="1978"/>
  <c r="S7" i="1978"/>
  <c r="R7" i="1978"/>
  <c r="Q7" i="1978"/>
  <c r="P7" i="1978"/>
  <c r="O7" i="1978"/>
  <c r="N7" i="1978"/>
  <c r="M7" i="1978"/>
  <c r="L7" i="1978"/>
  <c r="K7" i="1978"/>
  <c r="J7" i="1978"/>
  <c r="I7" i="1978"/>
  <c r="H7" i="1978"/>
  <c r="G7" i="1978"/>
  <c r="F7" i="1978"/>
  <c r="E7" i="1978"/>
  <c r="D7" i="1978"/>
  <c r="J33" i="1978" l="1"/>
  <c r="K33" i="1978"/>
  <c r="W33" i="1978"/>
  <c r="Z33" i="1978"/>
  <c r="D33" i="1978"/>
  <c r="Y33" i="1978"/>
  <c r="Q33" i="1978"/>
  <c r="E33" i="1978"/>
  <c r="M33" i="1978"/>
  <c r="V33" i="1978"/>
  <c r="AA33" i="1977"/>
  <c r="X33" i="1977"/>
  <c r="U33" i="1977"/>
  <c r="R33" i="1977"/>
  <c r="O33" i="1977"/>
  <c r="L33" i="1977"/>
  <c r="F33" i="1977"/>
  <c r="Y28" i="1977"/>
  <c r="X28" i="1977"/>
  <c r="W28" i="1977"/>
  <c r="V28" i="1977"/>
  <c r="U28" i="1977"/>
  <c r="T28" i="1977"/>
  <c r="S28" i="1977"/>
  <c r="R28" i="1977"/>
  <c r="Q28" i="1977"/>
  <c r="P28" i="1977"/>
  <c r="O28" i="1977"/>
  <c r="N28" i="1977"/>
  <c r="M28" i="1977"/>
  <c r="L28" i="1977"/>
  <c r="K28" i="1977"/>
  <c r="J28" i="1977"/>
  <c r="I28" i="1977"/>
  <c r="H28" i="1977"/>
  <c r="G28" i="1977"/>
  <c r="F28" i="1977"/>
  <c r="E28" i="1977"/>
  <c r="D28" i="1977"/>
  <c r="Y25" i="1977"/>
  <c r="X25" i="1977"/>
  <c r="W25" i="1977"/>
  <c r="V25" i="1977"/>
  <c r="U25" i="1977"/>
  <c r="T25" i="1977"/>
  <c r="S25" i="1977"/>
  <c r="R25" i="1977"/>
  <c r="Q25" i="1977"/>
  <c r="P25" i="1977"/>
  <c r="O25" i="1977"/>
  <c r="N25" i="1977"/>
  <c r="M25" i="1977"/>
  <c r="L25" i="1977"/>
  <c r="K25" i="1977"/>
  <c r="J25" i="1977"/>
  <c r="I25" i="1977"/>
  <c r="H25" i="1977"/>
  <c r="G25" i="1977"/>
  <c r="F25" i="1977"/>
  <c r="E25" i="1977"/>
  <c r="D25" i="1977"/>
  <c r="AE19" i="1977"/>
  <c r="AD19" i="1977"/>
  <c r="AC19" i="1977"/>
  <c r="AB19" i="1977"/>
  <c r="AA19" i="1977"/>
  <c r="Z19" i="1977"/>
  <c r="Y19" i="1977"/>
  <c r="X19" i="1977"/>
  <c r="T33" i="1977" s="1"/>
  <c r="W19" i="1977"/>
  <c r="V19" i="1977"/>
  <c r="U19" i="1977"/>
  <c r="T19" i="1977"/>
  <c r="S19" i="1977"/>
  <c r="R19" i="1977"/>
  <c r="Q19" i="1977"/>
  <c r="P19" i="1977"/>
  <c r="O19" i="1977"/>
  <c r="N19" i="1977"/>
  <c r="H33" i="1977" s="1"/>
  <c r="M19" i="1977"/>
  <c r="L19" i="1977"/>
  <c r="P33" i="1977" s="1"/>
  <c r="K19" i="1977"/>
  <c r="J19" i="1977"/>
  <c r="I19" i="1977"/>
  <c r="AB33" i="1977" s="1"/>
  <c r="H19" i="1977"/>
  <c r="G19" i="1977"/>
  <c r="F19" i="1977"/>
  <c r="E19" i="1977"/>
  <c r="D19" i="1977"/>
  <c r="AE16" i="1977"/>
  <c r="AD16" i="1977"/>
  <c r="AC16" i="1977"/>
  <c r="AB16" i="1977"/>
  <c r="AA16" i="1977"/>
  <c r="Z16" i="1977"/>
  <c r="X16" i="1977"/>
  <c r="W16" i="1977"/>
  <c r="V16" i="1977"/>
  <c r="U16" i="1977"/>
  <c r="T16" i="1977"/>
  <c r="S16" i="1977"/>
  <c r="R16" i="1977"/>
  <c r="Q16" i="1977"/>
  <c r="P16" i="1977"/>
  <c r="O16" i="1977"/>
  <c r="N16" i="1977"/>
  <c r="M16" i="1977"/>
  <c r="L16" i="1977"/>
  <c r="K16" i="1977"/>
  <c r="J16" i="1977"/>
  <c r="I16" i="1977"/>
  <c r="H16" i="1977"/>
  <c r="G16" i="1977"/>
  <c r="F16" i="1977"/>
  <c r="E16" i="1977"/>
  <c r="D16" i="1977"/>
  <c r="AE10" i="1977"/>
  <c r="AD10" i="1977"/>
  <c r="AC33" i="1977" s="1"/>
  <c r="AC10" i="1977"/>
  <c r="AB10" i="1977"/>
  <c r="AA10" i="1977"/>
  <c r="Z10" i="1977"/>
  <c r="Y10" i="1977"/>
  <c r="X10" i="1977"/>
  <c r="W10" i="1977"/>
  <c r="V10" i="1977"/>
  <c r="U10" i="1977"/>
  <c r="T10" i="1977"/>
  <c r="S10" i="1977"/>
  <c r="R10" i="1977"/>
  <c r="Q10" i="1977"/>
  <c r="P10" i="1977"/>
  <c r="O10" i="1977"/>
  <c r="N10" i="1977"/>
  <c r="M10" i="1977"/>
  <c r="L10" i="1977"/>
  <c r="N33" i="1977" s="1"/>
  <c r="K10" i="1977"/>
  <c r="J10" i="1977"/>
  <c r="I10" i="1977"/>
  <c r="H10" i="1977"/>
  <c r="G10" i="1977"/>
  <c r="F10" i="1977"/>
  <c r="J33" i="1977" s="1"/>
  <c r="E10" i="1977"/>
  <c r="S33" i="1977" s="1"/>
  <c r="D10" i="1977"/>
  <c r="AE7" i="1977"/>
  <c r="AD7" i="1977"/>
  <c r="AC7" i="1977"/>
  <c r="AB7" i="1977"/>
  <c r="AA7" i="1977"/>
  <c r="Z7" i="1977"/>
  <c r="Y7" i="1977"/>
  <c r="X7" i="1977"/>
  <c r="W7" i="1977"/>
  <c r="V7" i="1977"/>
  <c r="U7" i="1977"/>
  <c r="T7" i="1977"/>
  <c r="S7" i="1977"/>
  <c r="R7" i="1977"/>
  <c r="Q7" i="1977"/>
  <c r="P7" i="1977"/>
  <c r="O7" i="1977"/>
  <c r="N7" i="1977"/>
  <c r="M7" i="1977"/>
  <c r="L7" i="1977"/>
  <c r="K7" i="1977"/>
  <c r="J7" i="1977"/>
  <c r="I7" i="1977"/>
  <c r="H7" i="1977"/>
  <c r="G7" i="1977"/>
  <c r="F7" i="1977"/>
  <c r="E7" i="1977"/>
  <c r="D7" i="1977"/>
  <c r="K33" i="1977" l="1"/>
  <c r="W33" i="1977"/>
  <c r="Z33" i="1977"/>
  <c r="D33" i="1977"/>
  <c r="Y33" i="1977"/>
  <c r="Q33" i="1977"/>
  <c r="E33" i="1977"/>
  <c r="M33" i="1977"/>
  <c r="V33" i="1977"/>
  <c r="AA33" i="1976"/>
  <c r="X33" i="1976"/>
  <c r="U33" i="1976"/>
  <c r="R33" i="1976"/>
  <c r="O33" i="1976"/>
  <c r="L33" i="1976"/>
  <c r="J33" i="1976"/>
  <c r="F33" i="1976"/>
  <c r="Y28" i="1976"/>
  <c r="X28" i="1976"/>
  <c r="W28" i="1976"/>
  <c r="V28" i="1976"/>
  <c r="U28" i="1976"/>
  <c r="T28" i="1976"/>
  <c r="S28" i="1976"/>
  <c r="R28" i="1976"/>
  <c r="Q28" i="1976"/>
  <c r="P28" i="1976"/>
  <c r="O28" i="1976"/>
  <c r="N28" i="1976"/>
  <c r="M28" i="1976"/>
  <c r="L28" i="1976"/>
  <c r="K28" i="1976"/>
  <c r="J28" i="1976"/>
  <c r="I28" i="1976"/>
  <c r="H28" i="1976"/>
  <c r="G28" i="1976"/>
  <c r="F28" i="1976"/>
  <c r="E28" i="1976"/>
  <c r="D28" i="1976"/>
  <c r="Y25" i="1976"/>
  <c r="X25" i="1976"/>
  <c r="W25" i="1976"/>
  <c r="V25" i="1976"/>
  <c r="U25" i="1976"/>
  <c r="T25" i="1976"/>
  <c r="S25" i="1976"/>
  <c r="R25" i="1976"/>
  <c r="Q25" i="1976"/>
  <c r="P25" i="1976"/>
  <c r="O25" i="1976"/>
  <c r="N25" i="1976"/>
  <c r="M25" i="1976"/>
  <c r="L25" i="1976"/>
  <c r="K25" i="1976"/>
  <c r="J25" i="1976"/>
  <c r="I25" i="1976"/>
  <c r="H25" i="1976"/>
  <c r="G25" i="1976"/>
  <c r="F25" i="1976"/>
  <c r="E25" i="1976"/>
  <c r="D25" i="1976"/>
  <c r="AE19" i="1976"/>
  <c r="AD19" i="1976"/>
  <c r="AC19" i="1976"/>
  <c r="AB19" i="1976"/>
  <c r="AA19" i="1976"/>
  <c r="Z19" i="1976"/>
  <c r="Y19" i="1976"/>
  <c r="X19" i="1976"/>
  <c r="T33" i="1976" s="1"/>
  <c r="W19" i="1976"/>
  <c r="V19" i="1976"/>
  <c r="U19" i="1976"/>
  <c r="T19" i="1976"/>
  <c r="S19" i="1976"/>
  <c r="R19" i="1976"/>
  <c r="Q19" i="1976"/>
  <c r="P19" i="1976"/>
  <c r="O19" i="1976"/>
  <c r="N19" i="1976"/>
  <c r="H33" i="1976" s="1"/>
  <c r="M19" i="1976"/>
  <c r="L19" i="1976"/>
  <c r="P33" i="1976" s="1"/>
  <c r="K19" i="1976"/>
  <c r="J19" i="1976"/>
  <c r="I19" i="1976"/>
  <c r="AB33" i="1976" s="1"/>
  <c r="H19" i="1976"/>
  <c r="G19" i="1976"/>
  <c r="F19" i="1976"/>
  <c r="E19" i="1976"/>
  <c r="D19" i="1976"/>
  <c r="AE16" i="1976"/>
  <c r="AD16" i="1976"/>
  <c r="AC16" i="1976"/>
  <c r="AB16" i="1976"/>
  <c r="AA16" i="1976"/>
  <c r="Z16" i="1976"/>
  <c r="X16" i="1976"/>
  <c r="W16" i="1976"/>
  <c r="V16" i="1976"/>
  <c r="U16" i="1976"/>
  <c r="T16" i="1976"/>
  <c r="S16" i="1976"/>
  <c r="R16" i="1976"/>
  <c r="Q16" i="1976"/>
  <c r="P16" i="1976"/>
  <c r="O16" i="1976"/>
  <c r="N16" i="1976"/>
  <c r="M16" i="1976"/>
  <c r="L16" i="1976"/>
  <c r="K16" i="1976"/>
  <c r="J16" i="1976"/>
  <c r="I16" i="1976"/>
  <c r="H16" i="1976"/>
  <c r="G16" i="1976"/>
  <c r="F16" i="1976"/>
  <c r="E16" i="1976"/>
  <c r="D16" i="1976"/>
  <c r="AE10" i="1976"/>
  <c r="AD10" i="1976"/>
  <c r="AC33" i="1976" s="1"/>
  <c r="AC10" i="1976"/>
  <c r="AB10" i="1976"/>
  <c r="AA10" i="1976"/>
  <c r="Z10" i="1976"/>
  <c r="Y10" i="1976"/>
  <c r="X10" i="1976"/>
  <c r="W10" i="1976"/>
  <c r="V10" i="1976"/>
  <c r="U10" i="1976"/>
  <c r="T10" i="1976"/>
  <c r="S10" i="1976"/>
  <c r="R10" i="1976"/>
  <c r="Q10" i="1976"/>
  <c r="P10" i="1976"/>
  <c r="O10" i="1976"/>
  <c r="N10" i="1976"/>
  <c r="M10" i="1976"/>
  <c r="L10" i="1976"/>
  <c r="N33" i="1976" s="1"/>
  <c r="K10" i="1976"/>
  <c r="J10" i="1976"/>
  <c r="I10" i="1976"/>
  <c r="H10" i="1976"/>
  <c r="G10" i="1976"/>
  <c r="F10" i="1976"/>
  <c r="E10" i="1976"/>
  <c r="S33" i="1976" s="1"/>
  <c r="D10" i="1976"/>
  <c r="AE7" i="1976"/>
  <c r="AD7" i="1976"/>
  <c r="AC7" i="1976"/>
  <c r="AB7" i="1976"/>
  <c r="AA7" i="1976"/>
  <c r="Z7" i="1976"/>
  <c r="Y7" i="1976"/>
  <c r="X7" i="1976"/>
  <c r="W7" i="1976"/>
  <c r="V7" i="1976"/>
  <c r="U7" i="1976"/>
  <c r="T7" i="1976"/>
  <c r="S7" i="1976"/>
  <c r="R7" i="1976"/>
  <c r="Q7" i="1976"/>
  <c r="P7" i="1976"/>
  <c r="O7" i="1976"/>
  <c r="N7" i="1976"/>
  <c r="M7" i="1976"/>
  <c r="L7" i="1976"/>
  <c r="K7" i="1976"/>
  <c r="J7" i="1976"/>
  <c r="I7" i="1976"/>
  <c r="H7" i="1976"/>
  <c r="G7" i="1976"/>
  <c r="F7" i="1976"/>
  <c r="E7" i="1976"/>
  <c r="D7" i="1976"/>
  <c r="K33" i="1976" l="1"/>
  <c r="W33" i="1976"/>
  <c r="Z33" i="1976"/>
  <c r="D33" i="1976"/>
  <c r="Y33" i="1976"/>
  <c r="Q33" i="1976"/>
  <c r="E33" i="1976"/>
  <c r="M33" i="1976"/>
  <c r="V33" i="1976"/>
  <c r="AA33" i="1975"/>
  <c r="X33" i="1975"/>
  <c r="U33" i="1975"/>
  <c r="R33" i="1975"/>
  <c r="O33" i="1975"/>
  <c r="L33" i="1975"/>
  <c r="F33" i="1975"/>
  <c r="Y28" i="1975"/>
  <c r="X28" i="1975"/>
  <c r="W28" i="1975"/>
  <c r="V28" i="1975"/>
  <c r="U28" i="1975"/>
  <c r="T28" i="1975"/>
  <c r="S28" i="1975"/>
  <c r="R28" i="1975"/>
  <c r="Q28" i="1975"/>
  <c r="P28" i="1975"/>
  <c r="O28" i="1975"/>
  <c r="N28" i="1975"/>
  <c r="M28" i="1975"/>
  <c r="L28" i="1975"/>
  <c r="K28" i="1975"/>
  <c r="J28" i="1975"/>
  <c r="I28" i="1975"/>
  <c r="H28" i="1975"/>
  <c r="G28" i="1975"/>
  <c r="F28" i="1975"/>
  <c r="E28" i="1975"/>
  <c r="D28" i="1975"/>
  <c r="Y25" i="1975"/>
  <c r="X25" i="1975"/>
  <c r="W25" i="1975"/>
  <c r="V25" i="1975"/>
  <c r="U25" i="1975"/>
  <c r="T25" i="1975"/>
  <c r="S25" i="1975"/>
  <c r="R25" i="1975"/>
  <c r="Q25" i="1975"/>
  <c r="P25" i="1975"/>
  <c r="O25" i="1975"/>
  <c r="N25" i="1975"/>
  <c r="M25" i="1975"/>
  <c r="L25" i="1975"/>
  <c r="K25" i="1975"/>
  <c r="J25" i="1975"/>
  <c r="I25" i="1975"/>
  <c r="H25" i="1975"/>
  <c r="G25" i="1975"/>
  <c r="F25" i="1975"/>
  <c r="E25" i="1975"/>
  <c r="D25" i="1975"/>
  <c r="AE19" i="1975"/>
  <c r="AD19" i="1975"/>
  <c r="AC19" i="1975"/>
  <c r="AB19" i="1975"/>
  <c r="AA19" i="1975"/>
  <c r="Z19" i="1975"/>
  <c r="Y19" i="1975"/>
  <c r="X19" i="1975"/>
  <c r="T33" i="1975" s="1"/>
  <c r="W19" i="1975"/>
  <c r="V19" i="1975"/>
  <c r="U19" i="1975"/>
  <c r="T19" i="1975"/>
  <c r="S19" i="1975"/>
  <c r="R19" i="1975"/>
  <c r="Q19" i="1975"/>
  <c r="P19" i="1975"/>
  <c r="O19" i="1975"/>
  <c r="N19" i="1975"/>
  <c r="H33" i="1975" s="1"/>
  <c r="M19" i="1975"/>
  <c r="L19" i="1975"/>
  <c r="P33" i="1975" s="1"/>
  <c r="K19" i="1975"/>
  <c r="J19" i="1975"/>
  <c r="I19" i="1975"/>
  <c r="AB33" i="1975" s="1"/>
  <c r="H19" i="1975"/>
  <c r="G19" i="1975"/>
  <c r="F19" i="1975"/>
  <c r="E19" i="1975"/>
  <c r="D19" i="1975"/>
  <c r="AE16" i="1975"/>
  <c r="AD16" i="1975"/>
  <c r="AC16" i="1975"/>
  <c r="AB16" i="1975"/>
  <c r="AA16" i="1975"/>
  <c r="Z16" i="1975"/>
  <c r="X16" i="1975"/>
  <c r="W16" i="1975"/>
  <c r="V16" i="1975"/>
  <c r="U16" i="1975"/>
  <c r="T16" i="1975"/>
  <c r="S16" i="1975"/>
  <c r="R16" i="1975"/>
  <c r="Q16" i="1975"/>
  <c r="P16" i="1975"/>
  <c r="O16" i="1975"/>
  <c r="N16" i="1975"/>
  <c r="M16" i="1975"/>
  <c r="L16" i="1975"/>
  <c r="K16" i="1975"/>
  <c r="J16" i="1975"/>
  <c r="I16" i="1975"/>
  <c r="H16" i="1975"/>
  <c r="G16" i="1975"/>
  <c r="F16" i="1975"/>
  <c r="E16" i="1975"/>
  <c r="D16" i="1975"/>
  <c r="AE10" i="1975"/>
  <c r="AD10" i="1975"/>
  <c r="AC33" i="1975" s="1"/>
  <c r="AC10" i="1975"/>
  <c r="AB10" i="1975"/>
  <c r="AA10" i="1975"/>
  <c r="Z10" i="1975"/>
  <c r="Y10" i="1975"/>
  <c r="X10" i="1975"/>
  <c r="W10" i="1975"/>
  <c r="V10" i="1975"/>
  <c r="U10" i="1975"/>
  <c r="T10" i="1975"/>
  <c r="S10" i="1975"/>
  <c r="R10" i="1975"/>
  <c r="Q10" i="1975"/>
  <c r="P10" i="1975"/>
  <c r="O10" i="1975"/>
  <c r="N10" i="1975"/>
  <c r="Q33" i="1975" s="1"/>
  <c r="M10" i="1975"/>
  <c r="L10" i="1975"/>
  <c r="N33" i="1975" s="1"/>
  <c r="K10" i="1975"/>
  <c r="J10" i="1975"/>
  <c r="I10" i="1975"/>
  <c r="H10" i="1975"/>
  <c r="G10" i="1975"/>
  <c r="F10" i="1975"/>
  <c r="J33" i="1975" s="1"/>
  <c r="E10" i="1975"/>
  <c r="S33" i="1975" s="1"/>
  <c r="D10" i="1975"/>
  <c r="AE7" i="1975"/>
  <c r="AD7" i="1975"/>
  <c r="AC7" i="1975"/>
  <c r="AB7" i="1975"/>
  <c r="AA7" i="1975"/>
  <c r="Z7" i="1975"/>
  <c r="Y7" i="1975"/>
  <c r="X7" i="1975"/>
  <c r="W7" i="1975"/>
  <c r="V7" i="1975"/>
  <c r="U7" i="1975"/>
  <c r="T7" i="1975"/>
  <c r="S7" i="1975"/>
  <c r="R7" i="1975"/>
  <c r="Q7" i="1975"/>
  <c r="P7" i="1975"/>
  <c r="O7" i="1975"/>
  <c r="N7" i="1975"/>
  <c r="M7" i="1975"/>
  <c r="L7" i="1975"/>
  <c r="K7" i="1975"/>
  <c r="J7" i="1975"/>
  <c r="I7" i="1975"/>
  <c r="H7" i="1975"/>
  <c r="G7" i="1975"/>
  <c r="F7" i="1975"/>
  <c r="E7" i="1975"/>
  <c r="D7" i="1975"/>
  <c r="K33" i="1975" l="1"/>
  <c r="W33" i="1975"/>
  <c r="Z33" i="1975"/>
  <c r="D33" i="1975"/>
  <c r="Y33" i="1975"/>
  <c r="E33" i="1975"/>
  <c r="M33" i="1975"/>
  <c r="V33" i="1975"/>
  <c r="AA33" i="1974"/>
  <c r="X33" i="1974"/>
  <c r="U33" i="1974"/>
  <c r="R33" i="1974"/>
  <c r="O33" i="1974"/>
  <c r="L33" i="1974"/>
  <c r="F33" i="1974"/>
  <c r="Y28" i="1974"/>
  <c r="X28" i="1974"/>
  <c r="W28" i="1974"/>
  <c r="V28" i="1974"/>
  <c r="U28" i="1974"/>
  <c r="T28" i="1974"/>
  <c r="S28" i="1974"/>
  <c r="R28" i="1974"/>
  <c r="Q28" i="1974"/>
  <c r="P28" i="1974"/>
  <c r="O28" i="1974"/>
  <c r="N28" i="1974"/>
  <c r="M28" i="1974"/>
  <c r="L28" i="1974"/>
  <c r="K28" i="1974"/>
  <c r="J28" i="1974"/>
  <c r="I28" i="1974"/>
  <c r="H28" i="1974"/>
  <c r="G28" i="1974"/>
  <c r="F28" i="1974"/>
  <c r="E28" i="1974"/>
  <c r="D28" i="1974"/>
  <c r="Y25" i="1974"/>
  <c r="X25" i="1974"/>
  <c r="W25" i="1974"/>
  <c r="V25" i="1974"/>
  <c r="U25" i="1974"/>
  <c r="T25" i="1974"/>
  <c r="S25" i="1974"/>
  <c r="R25" i="1974"/>
  <c r="Q25" i="1974"/>
  <c r="P25" i="1974"/>
  <c r="O25" i="1974"/>
  <c r="N25" i="1974"/>
  <c r="M25" i="1974"/>
  <c r="L25" i="1974"/>
  <c r="K25" i="1974"/>
  <c r="J25" i="1974"/>
  <c r="I25" i="1974"/>
  <c r="H25" i="1974"/>
  <c r="G25" i="1974"/>
  <c r="F25" i="1974"/>
  <c r="E25" i="1974"/>
  <c r="D25" i="1974"/>
  <c r="AE19" i="1974"/>
  <c r="AD19" i="1974"/>
  <c r="AC19" i="1974"/>
  <c r="AB19" i="1974"/>
  <c r="AA19" i="1974"/>
  <c r="Z19" i="1974"/>
  <c r="Y19" i="1974"/>
  <c r="X19" i="1974"/>
  <c r="T33" i="1974" s="1"/>
  <c r="W19" i="1974"/>
  <c r="V19" i="1974"/>
  <c r="U19" i="1974"/>
  <c r="T19" i="1974"/>
  <c r="S19" i="1974"/>
  <c r="R19" i="1974"/>
  <c r="Q19" i="1974"/>
  <c r="P19" i="1974"/>
  <c r="O19" i="1974"/>
  <c r="N19" i="1974"/>
  <c r="H33" i="1974" s="1"/>
  <c r="M19" i="1974"/>
  <c r="L19" i="1974"/>
  <c r="P33" i="1974" s="1"/>
  <c r="K19" i="1974"/>
  <c r="J19" i="1974"/>
  <c r="I19" i="1974"/>
  <c r="AB33" i="1974" s="1"/>
  <c r="H19" i="1974"/>
  <c r="G19" i="1974"/>
  <c r="F19" i="1974"/>
  <c r="E19" i="1974"/>
  <c r="D19" i="1974"/>
  <c r="AE16" i="1974"/>
  <c r="AD16" i="1974"/>
  <c r="AC16" i="1974"/>
  <c r="AB16" i="1974"/>
  <c r="AA16" i="1974"/>
  <c r="Z16" i="1974"/>
  <c r="X16" i="1974"/>
  <c r="W16" i="1974"/>
  <c r="V16" i="1974"/>
  <c r="U16" i="1974"/>
  <c r="T16" i="1974"/>
  <c r="S16" i="1974"/>
  <c r="R16" i="1974"/>
  <c r="Q16" i="1974"/>
  <c r="P16" i="1974"/>
  <c r="O16" i="1974"/>
  <c r="N16" i="1974"/>
  <c r="M16" i="1974"/>
  <c r="L16" i="1974"/>
  <c r="K16" i="1974"/>
  <c r="J16" i="1974"/>
  <c r="I16" i="1974"/>
  <c r="H16" i="1974"/>
  <c r="G16" i="1974"/>
  <c r="F16" i="1974"/>
  <c r="E16" i="1974"/>
  <c r="D16" i="1974"/>
  <c r="AE10" i="1974"/>
  <c r="AD10" i="1974"/>
  <c r="AC33" i="1974" s="1"/>
  <c r="AC10" i="1974"/>
  <c r="AB10" i="1974"/>
  <c r="AA10" i="1974"/>
  <c r="Z10" i="1974"/>
  <c r="Y10" i="1974"/>
  <c r="X10" i="1974"/>
  <c r="W10" i="1974"/>
  <c r="V10" i="1974"/>
  <c r="U10" i="1974"/>
  <c r="T10" i="1974"/>
  <c r="S10" i="1974"/>
  <c r="R10" i="1974"/>
  <c r="Q10" i="1974"/>
  <c r="P10" i="1974"/>
  <c r="O10" i="1974"/>
  <c r="N10" i="1974"/>
  <c r="Q33" i="1974" s="1"/>
  <c r="M10" i="1974"/>
  <c r="L10" i="1974"/>
  <c r="K10" i="1974"/>
  <c r="J10" i="1974"/>
  <c r="I10" i="1974"/>
  <c r="H10" i="1974"/>
  <c r="G10" i="1974"/>
  <c r="F10" i="1974"/>
  <c r="J33" i="1974" s="1"/>
  <c r="E10" i="1974"/>
  <c r="D10" i="1974"/>
  <c r="AE7" i="1974"/>
  <c r="AD7" i="1974"/>
  <c r="AC7" i="1974"/>
  <c r="AB7" i="1974"/>
  <c r="AA7" i="1974"/>
  <c r="Z7" i="1974"/>
  <c r="Y7" i="1974"/>
  <c r="X7" i="1974"/>
  <c r="W7" i="1974"/>
  <c r="V7" i="1974"/>
  <c r="U7" i="1974"/>
  <c r="T7" i="1974"/>
  <c r="S7" i="1974"/>
  <c r="R7" i="1974"/>
  <c r="Q7" i="1974"/>
  <c r="P7" i="1974"/>
  <c r="O7" i="1974"/>
  <c r="N7" i="1974"/>
  <c r="M7" i="1974"/>
  <c r="L7" i="1974"/>
  <c r="K7" i="1974"/>
  <c r="J7" i="1974"/>
  <c r="I7" i="1974"/>
  <c r="H7" i="1974"/>
  <c r="G7" i="1974"/>
  <c r="F7" i="1974"/>
  <c r="E7" i="1974"/>
  <c r="D7" i="1974"/>
  <c r="S33" i="1974" l="1"/>
  <c r="N33" i="1974"/>
  <c r="K33" i="1974"/>
  <c r="W33" i="1974"/>
  <c r="D33" i="1974"/>
  <c r="Z33" i="1974"/>
  <c r="Y33" i="1974"/>
  <c r="E33" i="1974"/>
  <c r="M33" i="1974"/>
  <c r="V33" i="1974"/>
  <c r="AA33" i="1973"/>
  <c r="X33" i="1973"/>
  <c r="U33" i="1973"/>
  <c r="R33" i="1973"/>
  <c r="O33" i="1973"/>
  <c r="L33" i="1973"/>
  <c r="F33" i="1973"/>
  <c r="Y28" i="1973"/>
  <c r="X28" i="1973"/>
  <c r="W28" i="1973"/>
  <c r="V28" i="1973"/>
  <c r="U28" i="1973"/>
  <c r="T28" i="1973"/>
  <c r="S28" i="1973"/>
  <c r="R28" i="1973"/>
  <c r="Q28" i="1973"/>
  <c r="P28" i="1973"/>
  <c r="O28" i="1973"/>
  <c r="N28" i="1973"/>
  <c r="M28" i="1973"/>
  <c r="L28" i="1973"/>
  <c r="K28" i="1973"/>
  <c r="J28" i="1973"/>
  <c r="I28" i="1973"/>
  <c r="H28" i="1973"/>
  <c r="G28" i="1973"/>
  <c r="F28" i="1973"/>
  <c r="E28" i="1973"/>
  <c r="D28" i="1973"/>
  <c r="Y25" i="1973"/>
  <c r="X25" i="1973"/>
  <c r="W25" i="1973"/>
  <c r="V25" i="1973"/>
  <c r="U25" i="1973"/>
  <c r="T25" i="1973"/>
  <c r="S25" i="1973"/>
  <c r="R25" i="1973"/>
  <c r="Q25" i="1973"/>
  <c r="P25" i="1973"/>
  <c r="O25" i="1973"/>
  <c r="N25" i="1973"/>
  <c r="M25" i="1973"/>
  <c r="L25" i="1973"/>
  <c r="K25" i="1973"/>
  <c r="J25" i="1973"/>
  <c r="I25" i="1973"/>
  <c r="H25" i="1973"/>
  <c r="G25" i="1973"/>
  <c r="F25" i="1973"/>
  <c r="E25" i="1973"/>
  <c r="D25" i="1973"/>
  <c r="AE19" i="1973"/>
  <c r="AD19" i="1973"/>
  <c r="AC19" i="1973"/>
  <c r="AB19" i="1973"/>
  <c r="AA19" i="1973"/>
  <c r="Z19" i="1973"/>
  <c r="Y19" i="1973"/>
  <c r="X19" i="1973"/>
  <c r="T33" i="1973" s="1"/>
  <c r="W19" i="1973"/>
  <c r="V19" i="1973"/>
  <c r="U19" i="1973"/>
  <c r="T19" i="1973"/>
  <c r="S19" i="1973"/>
  <c r="R19" i="1973"/>
  <c r="Q19" i="1973"/>
  <c r="P19" i="1973"/>
  <c r="O19" i="1973"/>
  <c r="N19" i="1973"/>
  <c r="H33" i="1973" s="1"/>
  <c r="M19" i="1973"/>
  <c r="L19" i="1973"/>
  <c r="P33" i="1973" s="1"/>
  <c r="K19" i="1973"/>
  <c r="J19" i="1973"/>
  <c r="I19" i="1973"/>
  <c r="AB33" i="1973" s="1"/>
  <c r="H19" i="1973"/>
  <c r="G19" i="1973"/>
  <c r="F19" i="1973"/>
  <c r="E19" i="1973"/>
  <c r="D19" i="1973"/>
  <c r="AE16" i="1973"/>
  <c r="AD16" i="1973"/>
  <c r="AC16" i="1973"/>
  <c r="AB16" i="1973"/>
  <c r="AA16" i="1973"/>
  <c r="Z16" i="1973"/>
  <c r="X16" i="1973"/>
  <c r="W16" i="1973"/>
  <c r="V16" i="1973"/>
  <c r="U16" i="1973"/>
  <c r="T16" i="1973"/>
  <c r="S16" i="1973"/>
  <c r="R16" i="1973"/>
  <c r="Q16" i="1973"/>
  <c r="P16" i="1973"/>
  <c r="O16" i="1973"/>
  <c r="N16" i="1973"/>
  <c r="M16" i="1973"/>
  <c r="L16" i="1973"/>
  <c r="K16" i="1973"/>
  <c r="J16" i="1973"/>
  <c r="I16" i="1973"/>
  <c r="H16" i="1973"/>
  <c r="G16" i="1973"/>
  <c r="F16" i="1973"/>
  <c r="E16" i="1973"/>
  <c r="D16" i="1973"/>
  <c r="AE10" i="1973"/>
  <c r="AD10" i="1973"/>
  <c r="AC33" i="1973" s="1"/>
  <c r="AC10" i="1973"/>
  <c r="AB10" i="1973"/>
  <c r="AA10" i="1973"/>
  <c r="Z10" i="1973"/>
  <c r="Y10" i="1973"/>
  <c r="X10" i="1973"/>
  <c r="W10" i="1973"/>
  <c r="V10" i="1973"/>
  <c r="U10" i="1973"/>
  <c r="T10" i="1973"/>
  <c r="S10" i="1973"/>
  <c r="R10" i="1973"/>
  <c r="Q10" i="1973"/>
  <c r="P10" i="1973"/>
  <c r="O10" i="1973"/>
  <c r="N10" i="1973"/>
  <c r="M10" i="1973"/>
  <c r="L10" i="1973"/>
  <c r="N33" i="1973" s="1"/>
  <c r="K10" i="1973"/>
  <c r="J10" i="1973"/>
  <c r="I10" i="1973"/>
  <c r="H10" i="1973"/>
  <c r="G10" i="1973"/>
  <c r="F10" i="1973"/>
  <c r="J33" i="1973" s="1"/>
  <c r="E10" i="1973"/>
  <c r="S33" i="1973" s="1"/>
  <c r="D10" i="1973"/>
  <c r="AE7" i="1973"/>
  <c r="AD7" i="1973"/>
  <c r="AC7" i="1973"/>
  <c r="AB7" i="1973"/>
  <c r="AA7" i="1973"/>
  <c r="Z7" i="1973"/>
  <c r="Y7" i="1973"/>
  <c r="X7" i="1973"/>
  <c r="W7" i="1973"/>
  <c r="V7" i="1973"/>
  <c r="U7" i="1973"/>
  <c r="T7" i="1973"/>
  <c r="S7" i="1973"/>
  <c r="R7" i="1973"/>
  <c r="Q7" i="1973"/>
  <c r="P7" i="1973"/>
  <c r="O7" i="1973"/>
  <c r="N7" i="1973"/>
  <c r="M7" i="1973"/>
  <c r="L7" i="1973"/>
  <c r="K7" i="1973"/>
  <c r="J7" i="1973"/>
  <c r="I7" i="1973"/>
  <c r="H7" i="1973"/>
  <c r="G7" i="1973"/>
  <c r="F7" i="1973"/>
  <c r="E7" i="1973"/>
  <c r="D7" i="1973"/>
  <c r="K33" i="1973" l="1"/>
  <c r="W33" i="1973"/>
  <c r="Z33" i="1973"/>
  <c r="D33" i="1973"/>
  <c r="Y33" i="1973"/>
  <c r="Q33" i="1973"/>
  <c r="E33" i="1973"/>
  <c r="M33" i="1973"/>
  <c r="V33" i="1973"/>
  <c r="AA33" i="1972"/>
  <c r="X33" i="1972"/>
  <c r="U33" i="1972"/>
  <c r="R33" i="1972"/>
  <c r="O33" i="1972"/>
  <c r="L33" i="1972"/>
  <c r="F33" i="1972"/>
  <c r="Y28" i="1972"/>
  <c r="X28" i="1972"/>
  <c r="W28" i="1972"/>
  <c r="V28" i="1972"/>
  <c r="U28" i="1972"/>
  <c r="T28" i="1972"/>
  <c r="S28" i="1972"/>
  <c r="R28" i="1972"/>
  <c r="Q28" i="1972"/>
  <c r="P28" i="1972"/>
  <c r="O28" i="1972"/>
  <c r="N28" i="1972"/>
  <c r="M28" i="1972"/>
  <c r="L28" i="1972"/>
  <c r="K28" i="1972"/>
  <c r="J28" i="1972"/>
  <c r="I28" i="1972"/>
  <c r="H28" i="1972"/>
  <c r="G28" i="1972"/>
  <c r="F28" i="1972"/>
  <c r="E28" i="1972"/>
  <c r="D28" i="1972"/>
  <c r="Y25" i="1972"/>
  <c r="X25" i="1972"/>
  <c r="W25" i="1972"/>
  <c r="V25" i="1972"/>
  <c r="U25" i="1972"/>
  <c r="T25" i="1972"/>
  <c r="S25" i="1972"/>
  <c r="R25" i="1972"/>
  <c r="Q25" i="1972"/>
  <c r="P25" i="1972"/>
  <c r="O25" i="1972"/>
  <c r="N25" i="1972"/>
  <c r="M25" i="1972"/>
  <c r="L25" i="1972"/>
  <c r="K25" i="1972"/>
  <c r="J25" i="1972"/>
  <c r="I25" i="1972"/>
  <c r="H25" i="1972"/>
  <c r="G25" i="1972"/>
  <c r="F25" i="1972"/>
  <c r="E25" i="1972"/>
  <c r="D25" i="1972"/>
  <c r="AE19" i="1972"/>
  <c r="AD19" i="1972"/>
  <c r="AC19" i="1972"/>
  <c r="AB19" i="1972"/>
  <c r="AA19" i="1972"/>
  <c r="Z19" i="1972"/>
  <c r="Y19" i="1972"/>
  <c r="X19" i="1972"/>
  <c r="T33" i="1972" s="1"/>
  <c r="W19" i="1972"/>
  <c r="V19" i="1972"/>
  <c r="U19" i="1972"/>
  <c r="T19" i="1972"/>
  <c r="S19" i="1972"/>
  <c r="R19" i="1972"/>
  <c r="Q19" i="1972"/>
  <c r="P19" i="1972"/>
  <c r="O19" i="1972"/>
  <c r="N19" i="1972"/>
  <c r="H33" i="1972" s="1"/>
  <c r="M19" i="1972"/>
  <c r="L19" i="1972"/>
  <c r="P33" i="1972" s="1"/>
  <c r="K19" i="1972"/>
  <c r="J19" i="1972"/>
  <c r="I19" i="1972"/>
  <c r="AB33" i="1972" s="1"/>
  <c r="H19" i="1972"/>
  <c r="G19" i="1972"/>
  <c r="F19" i="1972"/>
  <c r="E19" i="1972"/>
  <c r="D19" i="1972"/>
  <c r="AE16" i="1972"/>
  <c r="AD16" i="1972"/>
  <c r="AC16" i="1972"/>
  <c r="AB16" i="1972"/>
  <c r="AA16" i="1972"/>
  <c r="Z16" i="1972"/>
  <c r="X16" i="1972"/>
  <c r="W16" i="1972"/>
  <c r="V16" i="1972"/>
  <c r="U16" i="1972"/>
  <c r="T16" i="1972"/>
  <c r="S16" i="1972"/>
  <c r="R16" i="1972"/>
  <c r="Q16" i="1972"/>
  <c r="P16" i="1972"/>
  <c r="O16" i="1972"/>
  <c r="N16" i="1972"/>
  <c r="M16" i="1972"/>
  <c r="L16" i="1972"/>
  <c r="K16" i="1972"/>
  <c r="J16" i="1972"/>
  <c r="I16" i="1972"/>
  <c r="H16" i="1972"/>
  <c r="G16" i="1972"/>
  <c r="F16" i="1972"/>
  <c r="E16" i="1972"/>
  <c r="D16" i="1972"/>
  <c r="AE10" i="1972"/>
  <c r="AD10" i="1972"/>
  <c r="AC33" i="1972" s="1"/>
  <c r="AC10" i="1972"/>
  <c r="AB10" i="1972"/>
  <c r="AA10" i="1972"/>
  <c r="Z10" i="1972"/>
  <c r="Y10" i="1972"/>
  <c r="X10" i="1972"/>
  <c r="W10" i="1972"/>
  <c r="V10" i="1972"/>
  <c r="U10" i="1972"/>
  <c r="T10" i="1972"/>
  <c r="S10" i="1972"/>
  <c r="R10" i="1972"/>
  <c r="Q10" i="1972"/>
  <c r="P10" i="1972"/>
  <c r="O10" i="1972"/>
  <c r="N10" i="1972"/>
  <c r="M10" i="1972"/>
  <c r="L10" i="1972"/>
  <c r="N33" i="1972" s="1"/>
  <c r="K10" i="1972"/>
  <c r="J10" i="1972"/>
  <c r="I10" i="1972"/>
  <c r="H10" i="1972"/>
  <c r="G10" i="1972"/>
  <c r="F10" i="1972"/>
  <c r="J33" i="1972" s="1"/>
  <c r="E10" i="1972"/>
  <c r="S33" i="1972" s="1"/>
  <c r="D10" i="1972"/>
  <c r="AE7" i="1972"/>
  <c r="AD7" i="1972"/>
  <c r="AC7" i="1972"/>
  <c r="AB7" i="1972"/>
  <c r="AA7" i="1972"/>
  <c r="Z7" i="1972"/>
  <c r="Y7" i="1972"/>
  <c r="X7" i="1972"/>
  <c r="W7" i="1972"/>
  <c r="V7" i="1972"/>
  <c r="U7" i="1972"/>
  <c r="T7" i="1972"/>
  <c r="S7" i="1972"/>
  <c r="R7" i="1972"/>
  <c r="Q7" i="1972"/>
  <c r="P7" i="1972"/>
  <c r="O7" i="1972"/>
  <c r="N7" i="1972"/>
  <c r="M7" i="1972"/>
  <c r="L7" i="1972"/>
  <c r="K7" i="1972"/>
  <c r="J7" i="1972"/>
  <c r="I7" i="1972"/>
  <c r="H7" i="1972"/>
  <c r="G7" i="1972"/>
  <c r="F7" i="1972"/>
  <c r="E7" i="1972"/>
  <c r="D7" i="1972"/>
  <c r="K33" i="1972" l="1"/>
  <c r="W33" i="1972"/>
  <c r="Z33" i="1972"/>
  <c r="D33" i="1972"/>
  <c r="Y33" i="1972"/>
  <c r="Q33" i="1972"/>
  <c r="E33" i="1972"/>
  <c r="M33" i="1972"/>
  <c r="V33" i="1972"/>
  <c r="AA33" i="1971"/>
  <c r="X33" i="1971"/>
  <c r="U33" i="1971"/>
  <c r="R33" i="1971"/>
  <c r="O33" i="1971"/>
  <c r="L33" i="1971"/>
  <c r="F33" i="1971"/>
  <c r="Y28" i="1971"/>
  <c r="X28" i="1971"/>
  <c r="W28" i="1971"/>
  <c r="V28" i="1971"/>
  <c r="U28" i="1971"/>
  <c r="T28" i="1971"/>
  <c r="S28" i="1971"/>
  <c r="R28" i="1971"/>
  <c r="Q28" i="1971"/>
  <c r="P28" i="1971"/>
  <c r="O28" i="1971"/>
  <c r="N28" i="1971"/>
  <c r="M28" i="1971"/>
  <c r="L28" i="1971"/>
  <c r="K28" i="1971"/>
  <c r="J28" i="1971"/>
  <c r="I28" i="1971"/>
  <c r="H28" i="1971"/>
  <c r="G28" i="1971"/>
  <c r="F28" i="1971"/>
  <c r="E28" i="1971"/>
  <c r="D28" i="1971"/>
  <c r="Y25" i="1971"/>
  <c r="X25" i="1971"/>
  <c r="W25" i="1971"/>
  <c r="V25" i="1971"/>
  <c r="U25" i="1971"/>
  <c r="T25" i="1971"/>
  <c r="S25" i="1971"/>
  <c r="R25" i="1971"/>
  <c r="Q25" i="1971"/>
  <c r="P25" i="1971"/>
  <c r="O25" i="1971"/>
  <c r="N25" i="1971"/>
  <c r="M25" i="1971"/>
  <c r="L25" i="1971"/>
  <c r="K25" i="1971"/>
  <c r="J25" i="1971"/>
  <c r="I25" i="1971"/>
  <c r="H25" i="1971"/>
  <c r="G25" i="1971"/>
  <c r="F25" i="1971"/>
  <c r="E25" i="1971"/>
  <c r="D25" i="1971"/>
  <c r="AE19" i="1971"/>
  <c r="AD19" i="1971"/>
  <c r="AC19" i="1971"/>
  <c r="AB19" i="1971"/>
  <c r="AA19" i="1971"/>
  <c r="Z19" i="1971"/>
  <c r="Y19" i="1971"/>
  <c r="X19" i="1971"/>
  <c r="T33" i="1971" s="1"/>
  <c r="W19" i="1971"/>
  <c r="V19" i="1971"/>
  <c r="U19" i="1971"/>
  <c r="T19" i="1971"/>
  <c r="S19" i="1971"/>
  <c r="R19" i="1971"/>
  <c r="Q19" i="1971"/>
  <c r="P19" i="1971"/>
  <c r="O19" i="1971"/>
  <c r="N19" i="1971"/>
  <c r="H33" i="1971" s="1"/>
  <c r="M19" i="1971"/>
  <c r="L19" i="1971"/>
  <c r="P33" i="1971" s="1"/>
  <c r="K19" i="1971"/>
  <c r="J19" i="1971"/>
  <c r="I19" i="1971"/>
  <c r="AB33" i="1971" s="1"/>
  <c r="H19" i="1971"/>
  <c r="G19" i="1971"/>
  <c r="F19" i="1971"/>
  <c r="E19" i="1971"/>
  <c r="D19" i="1971"/>
  <c r="AE16" i="1971"/>
  <c r="AD16" i="1971"/>
  <c r="AC16" i="1971"/>
  <c r="AB16" i="1971"/>
  <c r="AA16" i="1971"/>
  <c r="Z16" i="1971"/>
  <c r="X16" i="1971"/>
  <c r="W16" i="1971"/>
  <c r="V16" i="1971"/>
  <c r="U16" i="1971"/>
  <c r="T16" i="1971"/>
  <c r="S16" i="1971"/>
  <c r="R16" i="1971"/>
  <c r="Q16" i="1971"/>
  <c r="P16" i="1971"/>
  <c r="O16" i="1971"/>
  <c r="N16" i="1971"/>
  <c r="M16" i="1971"/>
  <c r="L16" i="1971"/>
  <c r="K16" i="1971"/>
  <c r="J16" i="1971"/>
  <c r="I16" i="1971"/>
  <c r="H16" i="1971"/>
  <c r="G16" i="1971"/>
  <c r="F16" i="1971"/>
  <c r="E16" i="1971"/>
  <c r="D16" i="1971"/>
  <c r="AE10" i="1971"/>
  <c r="AD10" i="1971"/>
  <c r="AC33" i="1971" s="1"/>
  <c r="AC10" i="1971"/>
  <c r="AB10" i="1971"/>
  <c r="AA10" i="1971"/>
  <c r="Z10" i="1971"/>
  <c r="Y10" i="1971"/>
  <c r="X10" i="1971"/>
  <c r="W10" i="1971"/>
  <c r="V10" i="1971"/>
  <c r="U10" i="1971"/>
  <c r="T10" i="1971"/>
  <c r="S10" i="1971"/>
  <c r="R10" i="1971"/>
  <c r="Q10" i="1971"/>
  <c r="P10" i="1971"/>
  <c r="O10" i="1971"/>
  <c r="N10" i="1971"/>
  <c r="M10" i="1971"/>
  <c r="L10" i="1971"/>
  <c r="N33" i="1971" s="1"/>
  <c r="K10" i="1971"/>
  <c r="J10" i="1971"/>
  <c r="I10" i="1971"/>
  <c r="H10" i="1971"/>
  <c r="G10" i="1971"/>
  <c r="F10" i="1971"/>
  <c r="E10" i="1971"/>
  <c r="S33" i="1971" s="1"/>
  <c r="D10" i="1971"/>
  <c r="AE7" i="1971"/>
  <c r="AD7" i="1971"/>
  <c r="AC7" i="1971"/>
  <c r="AB7" i="1971"/>
  <c r="AA7" i="1971"/>
  <c r="Z7" i="1971"/>
  <c r="Y7" i="1971"/>
  <c r="X7" i="1971"/>
  <c r="W7" i="1971"/>
  <c r="V7" i="1971"/>
  <c r="U7" i="1971"/>
  <c r="T7" i="1971"/>
  <c r="S7" i="1971"/>
  <c r="R7" i="1971"/>
  <c r="Q7" i="1971"/>
  <c r="P7" i="1971"/>
  <c r="O7" i="1971"/>
  <c r="N7" i="1971"/>
  <c r="M7" i="1971"/>
  <c r="L7" i="1971"/>
  <c r="K7" i="1971"/>
  <c r="J7" i="1971"/>
  <c r="I7" i="1971"/>
  <c r="H7" i="1971"/>
  <c r="G7" i="1971"/>
  <c r="F7" i="1971"/>
  <c r="E7" i="1971"/>
  <c r="D7" i="1971"/>
  <c r="J33" i="1971" l="1"/>
  <c r="K33" i="1971"/>
  <c r="W33" i="1971"/>
  <c r="Z33" i="1971"/>
  <c r="D33" i="1971"/>
  <c r="Y33" i="1971"/>
  <c r="Q33" i="1971"/>
  <c r="E33" i="1971"/>
  <c r="M33" i="1971"/>
  <c r="V33" i="1971"/>
  <c r="AA33" i="1970"/>
  <c r="X33" i="1970"/>
  <c r="U33" i="1970"/>
  <c r="R33" i="1970"/>
  <c r="O33" i="1970"/>
  <c r="L33" i="1970"/>
  <c r="F33" i="1970"/>
  <c r="Y28" i="1970"/>
  <c r="X28" i="1970"/>
  <c r="W28" i="1970"/>
  <c r="V28" i="1970"/>
  <c r="U28" i="1970"/>
  <c r="T28" i="1970"/>
  <c r="S28" i="1970"/>
  <c r="R28" i="1970"/>
  <c r="Q28" i="1970"/>
  <c r="P28" i="1970"/>
  <c r="O28" i="1970"/>
  <c r="N28" i="1970"/>
  <c r="M28" i="1970"/>
  <c r="L28" i="1970"/>
  <c r="K28" i="1970"/>
  <c r="J28" i="1970"/>
  <c r="I28" i="1970"/>
  <c r="H28" i="1970"/>
  <c r="G28" i="1970"/>
  <c r="F28" i="1970"/>
  <c r="E28" i="1970"/>
  <c r="D28" i="1970"/>
  <c r="Y25" i="1970"/>
  <c r="X25" i="1970"/>
  <c r="W25" i="1970"/>
  <c r="V25" i="1970"/>
  <c r="U25" i="1970"/>
  <c r="T25" i="1970"/>
  <c r="S25" i="1970"/>
  <c r="R25" i="1970"/>
  <c r="Q25" i="1970"/>
  <c r="P25" i="1970"/>
  <c r="O25" i="1970"/>
  <c r="N25" i="1970"/>
  <c r="M25" i="1970"/>
  <c r="L25" i="1970"/>
  <c r="K25" i="1970"/>
  <c r="J25" i="1970"/>
  <c r="I25" i="1970"/>
  <c r="H25" i="1970"/>
  <c r="G25" i="1970"/>
  <c r="F25" i="1970"/>
  <c r="E25" i="1970"/>
  <c r="D25" i="1970"/>
  <c r="AE19" i="1970"/>
  <c r="AD19" i="1970"/>
  <c r="AC19" i="1970"/>
  <c r="AB19" i="1970"/>
  <c r="AA19" i="1970"/>
  <c r="Z19" i="1970"/>
  <c r="Y19" i="1970"/>
  <c r="X19" i="1970"/>
  <c r="T33" i="1970" s="1"/>
  <c r="W19" i="1970"/>
  <c r="V19" i="1970"/>
  <c r="U19" i="1970"/>
  <c r="T19" i="1970"/>
  <c r="S19" i="1970"/>
  <c r="R19" i="1970"/>
  <c r="Q19" i="1970"/>
  <c r="P19" i="1970"/>
  <c r="O19" i="1970"/>
  <c r="N19" i="1970"/>
  <c r="H33" i="1970" s="1"/>
  <c r="M19" i="1970"/>
  <c r="L19" i="1970"/>
  <c r="P33" i="1970" s="1"/>
  <c r="K19" i="1970"/>
  <c r="J19" i="1970"/>
  <c r="I19" i="1970"/>
  <c r="AB33" i="1970" s="1"/>
  <c r="H19" i="1970"/>
  <c r="G19" i="1970"/>
  <c r="F19" i="1970"/>
  <c r="E19" i="1970"/>
  <c r="D19" i="1970"/>
  <c r="AE16" i="1970"/>
  <c r="AD16" i="1970"/>
  <c r="AC16" i="1970"/>
  <c r="AB16" i="1970"/>
  <c r="AA16" i="1970"/>
  <c r="Z16" i="1970"/>
  <c r="X16" i="1970"/>
  <c r="W16" i="1970"/>
  <c r="V16" i="1970"/>
  <c r="U16" i="1970"/>
  <c r="T16" i="1970"/>
  <c r="S16" i="1970"/>
  <c r="R16" i="1970"/>
  <c r="Q16" i="1970"/>
  <c r="P16" i="1970"/>
  <c r="O16" i="1970"/>
  <c r="N16" i="1970"/>
  <c r="M16" i="1970"/>
  <c r="L16" i="1970"/>
  <c r="K16" i="1970"/>
  <c r="J16" i="1970"/>
  <c r="I16" i="1970"/>
  <c r="H16" i="1970"/>
  <c r="G16" i="1970"/>
  <c r="F16" i="1970"/>
  <c r="E16" i="1970"/>
  <c r="D16" i="1970"/>
  <c r="AE10" i="1970"/>
  <c r="AD10" i="1970"/>
  <c r="AC33" i="1970" s="1"/>
  <c r="AC10" i="1970"/>
  <c r="AB10" i="1970"/>
  <c r="AA10" i="1970"/>
  <c r="Z10" i="1970"/>
  <c r="Y10" i="1970"/>
  <c r="X10" i="1970"/>
  <c r="W10" i="1970"/>
  <c r="V10" i="1970"/>
  <c r="U10" i="1970"/>
  <c r="T10" i="1970"/>
  <c r="S10" i="1970"/>
  <c r="R10" i="1970"/>
  <c r="Q10" i="1970"/>
  <c r="P10" i="1970"/>
  <c r="O10" i="1970"/>
  <c r="N10" i="1970"/>
  <c r="Q33" i="1970" s="1"/>
  <c r="M10" i="1970"/>
  <c r="L10" i="1970"/>
  <c r="N33" i="1970" s="1"/>
  <c r="K10" i="1970"/>
  <c r="J10" i="1970"/>
  <c r="I10" i="1970"/>
  <c r="H10" i="1970"/>
  <c r="G10" i="1970"/>
  <c r="F10" i="1970"/>
  <c r="J33" i="1970" s="1"/>
  <c r="E10" i="1970"/>
  <c r="S33" i="1970" s="1"/>
  <c r="D10" i="1970"/>
  <c r="AE7" i="1970"/>
  <c r="AD7" i="1970"/>
  <c r="AC7" i="1970"/>
  <c r="AB7" i="1970"/>
  <c r="AA7" i="1970"/>
  <c r="Z7" i="1970"/>
  <c r="Y7" i="1970"/>
  <c r="X7" i="1970"/>
  <c r="W7" i="1970"/>
  <c r="V7" i="1970"/>
  <c r="U7" i="1970"/>
  <c r="T7" i="1970"/>
  <c r="S7" i="1970"/>
  <c r="R7" i="1970"/>
  <c r="Q7" i="1970"/>
  <c r="P7" i="1970"/>
  <c r="O7" i="1970"/>
  <c r="N7" i="1970"/>
  <c r="M7" i="1970"/>
  <c r="L7" i="1970"/>
  <c r="K7" i="1970"/>
  <c r="J7" i="1970"/>
  <c r="I7" i="1970"/>
  <c r="H7" i="1970"/>
  <c r="G7" i="1970"/>
  <c r="F7" i="1970"/>
  <c r="E7" i="1970"/>
  <c r="D7" i="1970"/>
  <c r="K33" i="1970" l="1"/>
  <c r="W33" i="1970"/>
  <c r="Z33" i="1970"/>
  <c r="V33" i="1970"/>
  <c r="D33" i="1970"/>
  <c r="Y33" i="1970"/>
  <c r="E33" i="1970"/>
  <c r="M33" i="1970"/>
  <c r="AA33" i="1969"/>
  <c r="X33" i="1969"/>
  <c r="U33" i="1969"/>
  <c r="R33" i="1969"/>
  <c r="O33" i="1969"/>
  <c r="L33" i="1969"/>
  <c r="F33" i="1969"/>
  <c r="Y28" i="1969"/>
  <c r="X28" i="1969"/>
  <c r="W28" i="1969"/>
  <c r="V28" i="1969"/>
  <c r="U28" i="1969"/>
  <c r="T28" i="1969"/>
  <c r="S28" i="1969"/>
  <c r="R28" i="1969"/>
  <c r="Q28" i="1969"/>
  <c r="P28" i="1969"/>
  <c r="O28" i="1969"/>
  <c r="N28" i="1969"/>
  <c r="M28" i="1969"/>
  <c r="L28" i="1969"/>
  <c r="K28" i="1969"/>
  <c r="J28" i="1969"/>
  <c r="I28" i="1969"/>
  <c r="H28" i="1969"/>
  <c r="G28" i="1969"/>
  <c r="F28" i="1969"/>
  <c r="E28" i="1969"/>
  <c r="D28" i="1969"/>
  <c r="Y25" i="1969"/>
  <c r="X25" i="1969"/>
  <c r="W25" i="1969"/>
  <c r="V25" i="1969"/>
  <c r="U25" i="1969"/>
  <c r="T25" i="1969"/>
  <c r="S25" i="1969"/>
  <c r="R25" i="1969"/>
  <c r="Q25" i="1969"/>
  <c r="P25" i="1969"/>
  <c r="O25" i="1969"/>
  <c r="N25" i="1969"/>
  <c r="M25" i="1969"/>
  <c r="L25" i="1969"/>
  <c r="K25" i="1969"/>
  <c r="J25" i="1969"/>
  <c r="I25" i="1969"/>
  <c r="H25" i="1969"/>
  <c r="G25" i="1969"/>
  <c r="F25" i="1969"/>
  <c r="E25" i="1969"/>
  <c r="D25" i="1969"/>
  <c r="AE19" i="1969"/>
  <c r="AD19" i="1969"/>
  <c r="AC19" i="1969"/>
  <c r="AB19" i="1969"/>
  <c r="AA19" i="1969"/>
  <c r="Z19" i="1969"/>
  <c r="Y19" i="1969"/>
  <c r="X19" i="1969"/>
  <c r="T33" i="1969" s="1"/>
  <c r="W19" i="1969"/>
  <c r="V19" i="1969"/>
  <c r="U19" i="1969"/>
  <c r="T19" i="1969"/>
  <c r="S19" i="1969"/>
  <c r="R19" i="1969"/>
  <c r="Q19" i="1969"/>
  <c r="P19" i="1969"/>
  <c r="O19" i="1969"/>
  <c r="N19" i="1969"/>
  <c r="H33" i="1969" s="1"/>
  <c r="M19" i="1969"/>
  <c r="L19" i="1969"/>
  <c r="P33" i="1969" s="1"/>
  <c r="K19" i="1969"/>
  <c r="J19" i="1969"/>
  <c r="I19" i="1969"/>
  <c r="AB33" i="1969" s="1"/>
  <c r="H19" i="1969"/>
  <c r="G19" i="1969"/>
  <c r="F19" i="1969"/>
  <c r="E19" i="1969"/>
  <c r="D19" i="1969"/>
  <c r="AE16" i="1969"/>
  <c r="AD16" i="1969"/>
  <c r="AC16" i="1969"/>
  <c r="AB16" i="1969"/>
  <c r="AA16" i="1969"/>
  <c r="Z16" i="1969"/>
  <c r="X16" i="1969"/>
  <c r="W16" i="1969"/>
  <c r="V16" i="1969"/>
  <c r="U16" i="1969"/>
  <c r="T16" i="1969"/>
  <c r="S16" i="1969"/>
  <c r="R16" i="1969"/>
  <c r="Q16" i="1969"/>
  <c r="P16" i="1969"/>
  <c r="O16" i="1969"/>
  <c r="N16" i="1969"/>
  <c r="M16" i="1969"/>
  <c r="L16" i="1969"/>
  <c r="K16" i="1969"/>
  <c r="J16" i="1969"/>
  <c r="I16" i="1969"/>
  <c r="H16" i="1969"/>
  <c r="G16" i="1969"/>
  <c r="F16" i="1969"/>
  <c r="E16" i="1969"/>
  <c r="D16" i="1969"/>
  <c r="AE10" i="1969"/>
  <c r="AD10" i="1969"/>
  <c r="AC33" i="1969" s="1"/>
  <c r="AC10" i="1969"/>
  <c r="AB10" i="1969"/>
  <c r="AA10" i="1969"/>
  <c r="D33" i="1969" s="1"/>
  <c r="Z10" i="1969"/>
  <c r="Y10" i="1969"/>
  <c r="X10" i="1969"/>
  <c r="W10" i="1969"/>
  <c r="V10" i="1969"/>
  <c r="U10" i="1969"/>
  <c r="T10" i="1969"/>
  <c r="S10" i="1969"/>
  <c r="R10" i="1969"/>
  <c r="Q10" i="1969"/>
  <c r="P10" i="1969"/>
  <c r="O10" i="1969"/>
  <c r="N10" i="1969"/>
  <c r="M10" i="1969"/>
  <c r="L10" i="1969"/>
  <c r="N33" i="1969" s="1"/>
  <c r="K10" i="1969"/>
  <c r="J10" i="1969"/>
  <c r="I10" i="1969"/>
  <c r="H10" i="1969"/>
  <c r="G10" i="1969"/>
  <c r="F10" i="1969"/>
  <c r="J33" i="1969" s="1"/>
  <c r="E10" i="1969"/>
  <c r="S33" i="1969" s="1"/>
  <c r="D10" i="1969"/>
  <c r="AE7" i="1969"/>
  <c r="AD7" i="1969"/>
  <c r="AC7" i="1969"/>
  <c r="AB7" i="1969"/>
  <c r="AA7" i="1969"/>
  <c r="Z7" i="1969"/>
  <c r="Y7" i="1969"/>
  <c r="X7" i="1969"/>
  <c r="W7" i="1969"/>
  <c r="V7" i="1969"/>
  <c r="U7" i="1969"/>
  <c r="T7" i="1969"/>
  <c r="S7" i="1969"/>
  <c r="R7" i="1969"/>
  <c r="Q7" i="1969"/>
  <c r="P7" i="1969"/>
  <c r="O7" i="1969"/>
  <c r="N7" i="1969"/>
  <c r="M7" i="1969"/>
  <c r="L7" i="1969"/>
  <c r="K7" i="1969"/>
  <c r="J7" i="1969"/>
  <c r="I7" i="1969"/>
  <c r="H7" i="1969"/>
  <c r="G7" i="1969"/>
  <c r="F7" i="1969"/>
  <c r="E7" i="1969"/>
  <c r="D7" i="1969"/>
  <c r="K33" i="1969" l="1"/>
  <c r="W33" i="1969"/>
  <c r="Z33" i="1969"/>
  <c r="Y33" i="1969"/>
  <c r="Q33" i="1969"/>
  <c r="E33" i="1969"/>
  <c r="M33" i="1969"/>
  <c r="V33" i="1969"/>
  <c r="AA33" i="1968"/>
  <c r="X33" i="1968"/>
  <c r="U33" i="1968"/>
  <c r="R33" i="1968"/>
  <c r="O33" i="1968"/>
  <c r="L33" i="1968"/>
  <c r="F33" i="1968"/>
  <c r="Y28" i="1968"/>
  <c r="X28" i="1968"/>
  <c r="W28" i="1968"/>
  <c r="V28" i="1968"/>
  <c r="U28" i="1968"/>
  <c r="T28" i="1968"/>
  <c r="S28" i="1968"/>
  <c r="R28" i="1968"/>
  <c r="Q28" i="1968"/>
  <c r="P28" i="1968"/>
  <c r="O28" i="1968"/>
  <c r="N28" i="1968"/>
  <c r="M28" i="1968"/>
  <c r="L28" i="1968"/>
  <c r="K28" i="1968"/>
  <c r="J28" i="1968"/>
  <c r="I28" i="1968"/>
  <c r="H28" i="1968"/>
  <c r="G28" i="1968"/>
  <c r="F28" i="1968"/>
  <c r="E28" i="1968"/>
  <c r="D28" i="1968"/>
  <c r="Y25" i="1968"/>
  <c r="X25" i="1968"/>
  <c r="W25" i="1968"/>
  <c r="V25" i="1968"/>
  <c r="U25" i="1968"/>
  <c r="T25" i="1968"/>
  <c r="S25" i="1968"/>
  <c r="R25" i="1968"/>
  <c r="Q25" i="1968"/>
  <c r="P25" i="1968"/>
  <c r="O25" i="1968"/>
  <c r="N25" i="1968"/>
  <c r="M25" i="1968"/>
  <c r="L25" i="1968"/>
  <c r="K25" i="1968"/>
  <c r="J25" i="1968"/>
  <c r="I25" i="1968"/>
  <c r="H25" i="1968"/>
  <c r="G25" i="1968"/>
  <c r="F25" i="1968"/>
  <c r="E25" i="1968"/>
  <c r="D25" i="1968"/>
  <c r="AE19" i="1968"/>
  <c r="AD19" i="1968"/>
  <c r="AC19" i="1968"/>
  <c r="AB19" i="1968"/>
  <c r="AA19" i="1968"/>
  <c r="Z19" i="1968"/>
  <c r="Y19" i="1968"/>
  <c r="X19" i="1968"/>
  <c r="T33" i="1968" s="1"/>
  <c r="W19" i="1968"/>
  <c r="V19" i="1968"/>
  <c r="U19" i="1968"/>
  <c r="T19" i="1968"/>
  <c r="S19" i="1968"/>
  <c r="R19" i="1968"/>
  <c r="Q19" i="1968"/>
  <c r="P19" i="1968"/>
  <c r="O19" i="1968"/>
  <c r="N19" i="1968"/>
  <c r="H33" i="1968" s="1"/>
  <c r="M19" i="1968"/>
  <c r="L19" i="1968"/>
  <c r="P33" i="1968" s="1"/>
  <c r="K19" i="1968"/>
  <c r="J19" i="1968"/>
  <c r="I19" i="1968"/>
  <c r="AB33" i="1968" s="1"/>
  <c r="H19" i="1968"/>
  <c r="G19" i="1968"/>
  <c r="F19" i="1968"/>
  <c r="E19" i="1968"/>
  <c r="D19" i="1968"/>
  <c r="AE16" i="1968"/>
  <c r="AD16" i="1968"/>
  <c r="AC16" i="1968"/>
  <c r="AB16" i="1968"/>
  <c r="AA16" i="1968"/>
  <c r="Z16" i="1968"/>
  <c r="X16" i="1968"/>
  <c r="W16" i="1968"/>
  <c r="V16" i="1968"/>
  <c r="U16" i="1968"/>
  <c r="T16" i="1968"/>
  <c r="S16" i="1968"/>
  <c r="R16" i="1968"/>
  <c r="Q16" i="1968"/>
  <c r="P16" i="1968"/>
  <c r="O16" i="1968"/>
  <c r="N16" i="1968"/>
  <c r="M16" i="1968"/>
  <c r="L16" i="1968"/>
  <c r="K16" i="1968"/>
  <c r="J16" i="1968"/>
  <c r="I16" i="1968"/>
  <c r="H16" i="1968"/>
  <c r="G16" i="1968"/>
  <c r="F16" i="1968"/>
  <c r="E16" i="1968"/>
  <c r="D16" i="1968"/>
  <c r="AE10" i="1968"/>
  <c r="AD10" i="1968"/>
  <c r="AC33" i="1968" s="1"/>
  <c r="AC10" i="1968"/>
  <c r="AB10" i="1968"/>
  <c r="AA10" i="1968"/>
  <c r="D33" i="1968" s="1"/>
  <c r="Z10" i="1968"/>
  <c r="Y10" i="1968"/>
  <c r="X10" i="1968"/>
  <c r="W10" i="1968"/>
  <c r="V10" i="1968"/>
  <c r="U10" i="1968"/>
  <c r="T10" i="1968"/>
  <c r="S10" i="1968"/>
  <c r="R10" i="1968"/>
  <c r="Q10" i="1968"/>
  <c r="P10" i="1968"/>
  <c r="O10" i="1968"/>
  <c r="N10" i="1968"/>
  <c r="M10" i="1968"/>
  <c r="L10" i="1968"/>
  <c r="N33" i="1968" s="1"/>
  <c r="K10" i="1968"/>
  <c r="J10" i="1968"/>
  <c r="Q33" i="1968" s="1"/>
  <c r="I10" i="1968"/>
  <c r="H10" i="1968"/>
  <c r="G10" i="1968"/>
  <c r="F10" i="1968"/>
  <c r="E10" i="1968"/>
  <c r="S33" i="1968" s="1"/>
  <c r="D10" i="1968"/>
  <c r="AE7" i="1968"/>
  <c r="AD7" i="1968"/>
  <c r="AC7" i="1968"/>
  <c r="AB7" i="1968"/>
  <c r="AA7" i="1968"/>
  <c r="Z7" i="1968"/>
  <c r="Y7" i="1968"/>
  <c r="X7" i="1968"/>
  <c r="W7" i="1968"/>
  <c r="V7" i="1968"/>
  <c r="U7" i="1968"/>
  <c r="T7" i="1968"/>
  <c r="S7" i="1968"/>
  <c r="R7" i="1968"/>
  <c r="Q7" i="1968"/>
  <c r="P7" i="1968"/>
  <c r="O7" i="1968"/>
  <c r="N7" i="1968"/>
  <c r="M7" i="1968"/>
  <c r="L7" i="1968"/>
  <c r="K7" i="1968"/>
  <c r="J7" i="1968"/>
  <c r="I7" i="1968"/>
  <c r="H7" i="1968"/>
  <c r="G7" i="1968"/>
  <c r="F7" i="1968"/>
  <c r="E7" i="1968"/>
  <c r="D7" i="1968"/>
  <c r="J33" i="1968" l="1"/>
  <c r="W33" i="1968"/>
  <c r="Z33" i="1968"/>
  <c r="Y33" i="1968"/>
  <c r="E33" i="1968"/>
  <c r="K33" i="1968"/>
  <c r="M33" i="1968"/>
  <c r="V33" i="1968"/>
  <c r="AA33" i="1967"/>
  <c r="X33" i="1967"/>
  <c r="U33" i="1967"/>
  <c r="R33" i="1967"/>
  <c r="O33" i="1967"/>
  <c r="L33" i="1967"/>
  <c r="F33" i="1967"/>
  <c r="Y28" i="1967"/>
  <c r="X28" i="1967"/>
  <c r="W28" i="1967"/>
  <c r="V28" i="1967"/>
  <c r="U28" i="1967"/>
  <c r="T28" i="1967"/>
  <c r="S28" i="1967"/>
  <c r="R28" i="1967"/>
  <c r="Q28" i="1967"/>
  <c r="P28" i="1967"/>
  <c r="O28" i="1967"/>
  <c r="N28" i="1967"/>
  <c r="M28" i="1967"/>
  <c r="L28" i="1967"/>
  <c r="K28" i="1967"/>
  <c r="J28" i="1967"/>
  <c r="I28" i="1967"/>
  <c r="H28" i="1967"/>
  <c r="G28" i="1967"/>
  <c r="F28" i="1967"/>
  <c r="E28" i="1967"/>
  <c r="D28" i="1967"/>
  <c r="Y25" i="1967"/>
  <c r="X25" i="1967"/>
  <c r="W25" i="1967"/>
  <c r="V25" i="1967"/>
  <c r="U25" i="1967"/>
  <c r="T25" i="1967"/>
  <c r="S25" i="1967"/>
  <c r="R25" i="1967"/>
  <c r="Q25" i="1967"/>
  <c r="P25" i="1967"/>
  <c r="O25" i="1967"/>
  <c r="N25" i="1967"/>
  <c r="M25" i="1967"/>
  <c r="L25" i="1967"/>
  <c r="K25" i="1967"/>
  <c r="J25" i="1967"/>
  <c r="I25" i="1967"/>
  <c r="H25" i="1967"/>
  <c r="G25" i="1967"/>
  <c r="F25" i="1967"/>
  <c r="E25" i="1967"/>
  <c r="D25" i="1967"/>
  <c r="AE19" i="1967"/>
  <c r="AD19" i="1967"/>
  <c r="AC19" i="1967"/>
  <c r="AB19" i="1967"/>
  <c r="AA19" i="1967"/>
  <c r="Z19" i="1967"/>
  <c r="Y19" i="1967"/>
  <c r="X19" i="1967"/>
  <c r="T33" i="1967" s="1"/>
  <c r="W19" i="1967"/>
  <c r="V19" i="1967"/>
  <c r="U19" i="1967"/>
  <c r="T19" i="1967"/>
  <c r="S19" i="1967"/>
  <c r="R19" i="1967"/>
  <c r="Q19" i="1967"/>
  <c r="P19" i="1967"/>
  <c r="O19" i="1967"/>
  <c r="N19" i="1967"/>
  <c r="H33" i="1967" s="1"/>
  <c r="M19" i="1967"/>
  <c r="L19" i="1967"/>
  <c r="P33" i="1967" s="1"/>
  <c r="K19" i="1967"/>
  <c r="J19" i="1967"/>
  <c r="I19" i="1967"/>
  <c r="AB33" i="1967" s="1"/>
  <c r="H19" i="1967"/>
  <c r="G19" i="1967"/>
  <c r="F19" i="1967"/>
  <c r="E19" i="1967"/>
  <c r="D19" i="1967"/>
  <c r="AE16" i="1967"/>
  <c r="AD16" i="1967"/>
  <c r="AC16" i="1967"/>
  <c r="AB16" i="1967"/>
  <c r="AA16" i="1967"/>
  <c r="Z16" i="1967"/>
  <c r="X16" i="1967"/>
  <c r="W16" i="1967"/>
  <c r="V16" i="1967"/>
  <c r="U16" i="1967"/>
  <c r="T16" i="1967"/>
  <c r="S16" i="1967"/>
  <c r="R16" i="1967"/>
  <c r="Q16" i="1967"/>
  <c r="P16" i="1967"/>
  <c r="O16" i="1967"/>
  <c r="N16" i="1967"/>
  <c r="M16" i="1967"/>
  <c r="L16" i="1967"/>
  <c r="K16" i="1967"/>
  <c r="J16" i="1967"/>
  <c r="I16" i="1967"/>
  <c r="H16" i="1967"/>
  <c r="G16" i="1967"/>
  <c r="F16" i="1967"/>
  <c r="E16" i="1967"/>
  <c r="D16" i="1967"/>
  <c r="AE10" i="1967"/>
  <c r="AD10" i="1967"/>
  <c r="AC33" i="1967" s="1"/>
  <c r="AC10" i="1967"/>
  <c r="AB10" i="1967"/>
  <c r="AA10" i="1967"/>
  <c r="Z10" i="1967"/>
  <c r="Y10" i="1967"/>
  <c r="X10" i="1967"/>
  <c r="W10" i="1967"/>
  <c r="V10" i="1967"/>
  <c r="U10" i="1967"/>
  <c r="T10" i="1967"/>
  <c r="S10" i="1967"/>
  <c r="R10" i="1967"/>
  <c r="Q10" i="1967"/>
  <c r="P10" i="1967"/>
  <c r="O10" i="1967"/>
  <c r="N10" i="1967"/>
  <c r="Q33" i="1967" s="1"/>
  <c r="M10" i="1967"/>
  <c r="L10" i="1967"/>
  <c r="K10" i="1967"/>
  <c r="J10" i="1967"/>
  <c r="I10" i="1967"/>
  <c r="H10" i="1967"/>
  <c r="G10" i="1967"/>
  <c r="F10" i="1967"/>
  <c r="J33" i="1967" s="1"/>
  <c r="E10" i="1967"/>
  <c r="S33" i="1967" s="1"/>
  <c r="D10" i="1967"/>
  <c r="AE7" i="1967"/>
  <c r="AD7" i="1967"/>
  <c r="AC7" i="1967"/>
  <c r="AB7" i="1967"/>
  <c r="AA7" i="1967"/>
  <c r="Z7" i="1967"/>
  <c r="Y7" i="1967"/>
  <c r="X7" i="1967"/>
  <c r="W7" i="1967"/>
  <c r="V7" i="1967"/>
  <c r="U7" i="1967"/>
  <c r="T7" i="1967"/>
  <c r="S7" i="1967"/>
  <c r="R7" i="1967"/>
  <c r="Q7" i="1967"/>
  <c r="P7" i="1967"/>
  <c r="O7" i="1967"/>
  <c r="N7" i="1967"/>
  <c r="M7" i="1967"/>
  <c r="L7" i="1967"/>
  <c r="K7" i="1967"/>
  <c r="J7" i="1967"/>
  <c r="I7" i="1967"/>
  <c r="H7" i="1967"/>
  <c r="G7" i="1967"/>
  <c r="F7" i="1967"/>
  <c r="E7" i="1967"/>
  <c r="D7" i="1967"/>
  <c r="N33" i="1967" l="1"/>
  <c r="K33" i="1967"/>
  <c r="W33" i="1967"/>
  <c r="Z33" i="1967"/>
  <c r="D33" i="1967"/>
  <c r="Y33" i="1967"/>
  <c r="E33" i="1967"/>
  <c r="M33" i="1967"/>
  <c r="V33" i="1967"/>
  <c r="S36" i="13" l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  <c r="S35" i="13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<sst xmlns="http://schemas.openxmlformats.org/spreadsheetml/2006/main" count="30625" uniqueCount="644">
  <si>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</si>
  <si>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</si>
  <si>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</si>
  <si>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</si>
  <si>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</si>
  <si>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</si>
  <si>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</si>
  <si>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</si>
  <si>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</si>
  <si>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</si>
  <si>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</si>
  <si>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</si>
  <si>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</si>
  <si>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</si>
  <si>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</si>
  <si>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</si>
  <si>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</si>
  <si>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</si>
  <si>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</si>
  <si>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</si>
  <si>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</si>
  <si>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</si>
  <si>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</si>
  <si>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</si>
  <si>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</si>
  <si>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</si>
  <si>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</si>
  <si>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</si>
  <si>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</si>
  <si>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</si>
  <si>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</si>
  <si>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</si>
  <si>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</si>
  <si>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</si>
  <si>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</si>
  <si>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</si>
  <si>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</si>
  <si>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</si>
  <si>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</si>
  <si>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</si>
  <si>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</si>
  <si>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</si>
  <si>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</si>
  <si>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</si>
  <si>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</si>
  <si>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</si>
  <si>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</si>
  <si>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</si>
  <si>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</si>
  <si>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</si>
  <si>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</si>
  <si>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</si>
  <si>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</si>
  <si>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</si>
  <si>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</si>
  <si>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</si>
  <si>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</si>
  <si>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</si>
  <si>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</si>
  <si>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</si>
  <si>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</si>
  <si>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</si>
  <si>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</si>
  <si>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</si>
  <si>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</si>
  <si>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</si>
  <si>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</si>
  <si>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</si>
  <si>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</si>
  <si>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</si>
  <si>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</si>
  <si>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</si>
  <si>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</si>
  <si>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</si>
  <si>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</si>
  <si>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</si>
  <si>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</si>
  <si>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</si>
  <si>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</si>
  <si>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</si>
  <si>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</si>
  <si>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</si>
  <si>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</si>
  <si>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</si>
  <si>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</si>
  <si>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</si>
  <si>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</si>
  <si>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</si>
  <si>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</si>
  <si>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</si>
  <si>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</si>
  <si>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</si>
  <si>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</si>
  <si>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</si>
  <si>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</si>
  <si>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</si>
  <si>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</si>
  <si>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</si>
  <si>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</si>
  <si>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</si>
  <si>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</si>
  <si>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</si>
  <si>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</si>
  <si>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</si>
  <si>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</si>
  <si>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</si>
  <si>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</si>
  <si>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</si>
  <si>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</si>
  <si>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</si>
  <si>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</si>
  <si>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</si>
  <si>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</si>
  <si>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</si>
  <si>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</si>
  <si>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</si>
  <si>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</si>
  <si>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</si>
  <si>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</si>
  <si>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</si>
  <si>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</si>
  <si>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</si>
  <si>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</si>
  <si>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</si>
  <si>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</si>
  <si>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</si>
  <si>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</si>
  <si>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</si>
  <si>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</si>
  <si>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</si>
  <si>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</si>
  <si>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</si>
  <si>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</si>
  <si>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</si>
  <si>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</si>
  <si>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</si>
  <si>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</si>
  <si>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</si>
  <si>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</si>
  <si>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</si>
  <si>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</si>
  <si>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</si>
  <si>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</si>
  <si>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</si>
  <si>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</si>
  <si>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</si>
  <si>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</si>
  <si>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</si>
  <si>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</si>
  <si>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</si>
  <si>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</si>
  <si>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</si>
  <si>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</si>
  <si>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</si>
  <si>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</si>
  <si>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</si>
  <si>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</si>
  <si>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</si>
  <si>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</si>
  <si>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</si>
  <si>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</si>
  <si>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</si>
  <si>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</si>
  <si>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</si>
  <si>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</si>
  <si>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</si>
  <si>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</si>
  <si>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</si>
  <si>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</si>
  <si>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</si>
  <si>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</si>
  <si>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</si>
  <si>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</si>
  <si>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</si>
  <si>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</si>
  <si>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</si>
  <si>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</si>
  <si>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</si>
  <si>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</si>
  <si>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</si>
  <si>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</si>
  <si>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</si>
  <si>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</si>
  <si>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</si>
  <si>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</si>
  <si>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</si>
  <si>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</si>
  <si>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</si>
  <si>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</si>
  <si>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</si>
  <si>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</si>
  <si>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</si>
  <si>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</si>
  <si>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</si>
  <si>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</si>
  <si>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</si>
  <si>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</si>
  <si>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</si>
  <si>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</si>
  <si>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</si>
  <si>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</si>
  <si>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</si>
  <si>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</si>
  <si>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</si>
  <si>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</si>
  <si>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</si>
  <si>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</si>
  <si>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</si>
  <si>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</si>
  <si>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</si>
  <si>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</si>
  <si>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</si>
  <si>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</si>
  <si>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</si>
  <si>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</si>
  <si>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</si>
  <si>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</si>
  <si>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</si>
  <si>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</si>
  <si>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</si>
  <si>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</si>
  <si>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</si>
  <si>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</si>
  <si>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</si>
  <si>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</si>
  <si>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</si>
  <si>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</si>
  <si>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</si>
  <si>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</si>
  <si>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</si>
  <si>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</si>
  <si>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</si>
  <si>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</si>
  <si>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</si>
  <si>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</si>
  <si>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</si>
  <si>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</si>
  <si>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</si>
  <si>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</si>
  <si>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</si>
  <si>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</si>
  <si>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</si>
  <si>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</si>
  <si>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</si>
  <si>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</si>
  <si>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</si>
  <si>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</si>
  <si>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</si>
  <si>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</si>
  <si>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</si>
  <si>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</si>
  <si>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</si>
  <si>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</si>
  <si>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</si>
  <si>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</si>
  <si>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</si>
  <si>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</si>
  <si>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</si>
  <si>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</si>
  <si>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</si>
  <si>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</si>
  <si>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</si>
  <si>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</si>
  <si>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</si>
  <si>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</si>
  <si>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</si>
  <si>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</si>
  <si>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</si>
  <si>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</si>
  <si>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</si>
  <si>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</si>
  <si>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</si>
  <si>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</si>
  <si>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</si>
  <si>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</si>
  <si>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</si>
  <si>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</si>
  <si>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</si>
  <si>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</si>
  <si>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</si>
  <si>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</si>
  <si>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</si>
  <si>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</si>
  <si>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</si>
  <si>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</si>
  <si>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</si>
  <si>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</si>
  <si>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</si>
  <si>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</si>
  <si>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</si>
  <si>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</si>
  <si>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</si>
  <si>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</si>
  <si>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</si>
  <si>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</si>
  <si>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</si>
  <si>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</si>
  <si>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</si>
  <si>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</si>
  <si>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</si>
  <si>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</si>
  <si>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</si>
  <si>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</si>
  <si>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</si>
  <si>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</si>
  <si>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</si>
  <si>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</si>
  <si>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</si>
  <si>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</si>
  <si>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</si>
  <si>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</si>
  <si>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</si>
  <si>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</si>
  <si>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</si>
  <si>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</si>
  <si>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</si>
  <si>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</si>
  <si>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</si>
  <si>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</si>
  <si>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</si>
  <si>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</si>
  <si>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</si>
  <si>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</si>
  <si>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</si>
  <si>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</si>
  <si>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</si>
  <si>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</si>
  <si>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</si>
  <si>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</si>
  <si>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</si>
  <si>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</si>
  <si>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</si>
  <si>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</si>
  <si>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</si>
  <si>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</si>
  <si>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</si>
  <si>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</si>
  <si>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</si>
  <si>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</si>
  <si>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</si>
  <si>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</si>
  <si>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</si>
  <si>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</si>
  <si>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</si>
  <si>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</si>
  <si>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</si>
  <si>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</si>
  <si>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</si>
  <si>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</si>
  <si>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</si>
  <si>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</si>
  <si>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</si>
  <si>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</si>
  <si>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</si>
  <si>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</si>
  <si>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</si>
  <si>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</si>
  <si>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</si>
  <si>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</si>
  <si>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</si>
  <si>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</si>
  <si>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</si>
  <si>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</si>
  <si>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</si>
  <si>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</si>
  <si>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</si>
  <si>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</si>
  <si>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</si>
  <si>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</si>
  <si>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</si>
  <si>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</si>
  <si>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</si>
  <si>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</si>
  <si>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</si>
  <si>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</si>
  <si>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</si>
  <si>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</si>
  <si>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</si>
  <si>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</si>
  <si>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</si>
  <si>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</si>
  <si>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</si>
  <si>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</si>
  <si>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</si>
  <si>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</si>
  <si>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</si>
  <si>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</si>
  <si>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</si>
  <si>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</si>
  <si>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</si>
  <si>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</si>
  <si>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</si>
  <si>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</si>
  <si>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</si>
  <si>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</si>
  <si>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</si>
  <si>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</si>
  <si>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</si>
  <si>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</si>
  <si>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</si>
  <si>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</si>
  <si>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</si>
  <si>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</si>
  <si>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</si>
  <si>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</si>
  <si>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</si>
  <si>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</si>
  <si>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</si>
  <si>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</si>
  <si>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</si>
  <si>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</si>
  <si>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</si>
  <si>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</si>
  <si>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</si>
  <si>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</si>
  <si>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</si>
  <si>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</si>
  <si>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</si>
  <si>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</si>
  <si>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</si>
  <si>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</si>
  <si>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</si>
  <si>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</si>
  <si>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</si>
  <si>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</si>
  <si>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</si>
  <si>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</si>
  <si>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</si>
  <si>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</si>
  <si>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</si>
  <si>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</si>
  <si>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</si>
  <si>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</si>
  <si>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</si>
  <si>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</si>
  <si>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</si>
  <si>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</si>
  <si>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</si>
  <si>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</si>
  <si>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</si>
  <si>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</si>
  <si>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</si>
  <si>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</si>
  <si>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</si>
  <si>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</si>
  <si>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</si>
  <si>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</si>
  <si>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</si>
  <si>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</si>
  <si>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</si>
  <si>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</si>
  <si>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</si>
  <si>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</si>
  <si>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</si>
  <si>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</si>
  <si>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</si>
  <si>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</si>
  <si>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</si>
  <si>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</si>
  <si>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</si>
  <si>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</si>
  <si>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</si>
  <si>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</si>
  <si>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</si>
  <si>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</si>
  <si>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</si>
  <si>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</si>
  <si>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</si>
  <si>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</si>
  <si>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</si>
  <si>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</si>
  <si>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</si>
  <si>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</si>
  <si>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</si>
  <si>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</si>
  <si>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</si>
  <si>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</si>
  <si>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</si>
  <si>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</si>
  <si>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</si>
  <si>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</si>
  <si>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</si>
  <si>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</si>
  <si>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</si>
  <si>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</si>
  <si>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</si>
  <si>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</si>
  <si>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</si>
  <si>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</si>
  <si>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</si>
  <si>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</si>
  <si>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</si>
  <si>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</si>
  <si>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</si>
  <si>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</si>
  <si>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</si>
  <si>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</si>
  <si>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</si>
  <si>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</si>
  <si>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</si>
  <si>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</si>
  <si>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</si>
  <si>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</si>
  <si>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</si>
  <si>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</si>
  <si>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</si>
  <si>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</si>
  <si>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</si>
  <si>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</si>
  <si>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</si>
  <si>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</si>
  <si>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</si>
  <si>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</si>
  <si>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</si>
  <si>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</si>
  <si>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</si>
  <si>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</si>
  <si>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</si>
  <si>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</si>
  <si>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</si>
  <si>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</si>
  <si>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</si>
  <si>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</si>
  <si>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</si>
  <si>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</si>
  <si>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</si>
  <si>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</si>
  <si>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</si>
  <si>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</si>
  <si>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</si>
  <si>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</si>
  <si>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</si>
  <si>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</si>
  <si>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</si>
  <si>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</si>
  <si>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</si>
  <si>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</si>
  <si>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</si>
  <si>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</si>
  <si>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</si>
  <si>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</si>
  <si>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</si>
  <si>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</si>
  <si>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</si>
  <si>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</si>
  <si>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</si>
  <si>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</si>
  <si>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</si>
  <si>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</si>
  <si>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</si>
  <si>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</si>
  <si>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</si>
  <si>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</si>
  <si>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</si>
  <si>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</si>
  <si>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</si>
  <si>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</si>
  <si>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</si>
  <si>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</si>
  <si>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</si>
  <si>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</si>
  <si>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</si>
  <si>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</si>
  <si>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</si>
  <si>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</si>
  <si>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</si>
  <si>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</si>
  <si>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</si>
  <si>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</si>
  <si>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</si>
  <si>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</si>
  <si>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</si>
  <si>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</si>
  <si>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</si>
  <si>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</si>
  <si>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</si>
  <si>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</si>
  <si>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</si>
  <si>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</si>
  <si>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</si>
  <si>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</si>
  <si>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</si>
  <si>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</si>
  <si>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</si>
  <si>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</si>
  <si>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</si>
  <si>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</si>
  <si>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</si>
  <si>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</si>
  <si>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</si>
  <si>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</si>
  <si>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</si>
  <si>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</si>
  <si>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</si>
  <si>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</si>
  <si>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</si>
  <si>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</si>
  <si>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</si>
  <si>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</si>
  <si>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</si>
  <si>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</si>
  <si>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</si>
  <si>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</si>
  <si>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</si>
  <si>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</si>
  <si>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PMUPS</t>
    <phoneticPr fontId="3" type="noConversion"/>
  </si>
  <si>
    <t>待處理廢水</t>
    <phoneticPr fontId="2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</si>
  <si>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</si>
  <si>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</si>
  <si>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</si>
  <si>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</si>
  <si>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</si>
  <si>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</si>
  <si>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</si>
  <si>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</si>
  <si>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</si>
  <si>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</si>
  <si>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  <phoneticPr fontId="3" type="noConversion"/>
  </si>
  <si>
    <t>EBR95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</si>
  <si>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</si>
  <si>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</si>
  <si>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</si>
  <si>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</si>
  <si>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</si>
  <si>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</si>
  <si>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</si>
  <si>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</si>
  <si>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</si>
  <si>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</si>
  <si>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</si>
  <si>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IPA-1</t>
  </si>
  <si>
    <t>IPA</t>
    <phoneticPr fontId="2" type="noConversion"/>
  </si>
  <si>
    <t>EBR-P1</t>
    <phoneticPr fontId="2" type="noConversion"/>
  </si>
  <si>
    <t>C50110-INV-01(01)</t>
    <phoneticPr fontId="3" type="noConversion"/>
  </si>
  <si>
    <t>IPA-1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</si>
  <si>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27
蒸氣壓力 ______ (最低氣溫低於16度開啟)</t>
    <phoneticPr fontId="3" type="noConversion"/>
  </si>
  <si>
    <r>
      <t>EBR</t>
    </r>
    <r>
      <rPr>
        <sz val="7"/>
        <rFont val="微軟正黑體"/>
        <family val="2"/>
        <charset val="136"/>
      </rPr>
      <t>廢溶劑</t>
    </r>
    <phoneticPr fontId="3" type="noConversion"/>
  </si>
  <si>
    <t>DPM-1</t>
    <phoneticPr fontId="3" type="noConversion"/>
  </si>
  <si>
    <t>陳志修</t>
    <phoneticPr fontId="2" type="noConversion"/>
  </si>
  <si>
    <t>CPNE3</t>
    <phoneticPr fontId="2" type="noConversion"/>
  </si>
  <si>
    <t>EBR-P4</t>
    <phoneticPr fontId="3" type="noConversion"/>
  </si>
  <si>
    <t>張立杰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</si>
  <si>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28
蒸氣壓力 ______ (最低氣溫低於16度開啟)</t>
    <phoneticPr fontId="3" type="noConversion"/>
  </si>
  <si>
    <r>
      <t>EBR</t>
    </r>
    <r>
      <rPr>
        <sz val="7"/>
        <color rgb="FFFF0000"/>
        <rFont val="微軟正黑體"/>
        <family val="2"/>
        <charset val="136"/>
      </rPr>
      <t>廢溶劑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</si>
</sst>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4" formatCode="_-&quot;$&quot;* #,##0.00_-;\-&quot;$&quot;* #,##0.00_-;_-&quot;$&quot;* &quot;-&quot;??_-;_-@_-"/>
    <numFmt numFmtId="43" formatCode="_-* #,##0.00_-;\-* #,##0.00_-;_-* &quot;-&quot;??_-;_-@_-"/>
    <numFmt numFmtId="176" formatCode="0_);[Red]\(0\)"/>
    <numFmt numFmtId="177" formatCode="0_ "/>
    <numFmt numFmtId="178" formatCode="_(* #,##0.00_);_(* \(#,##0.00\);_(* &quot;-&quot;??_);_(@_)"/>
    <numFmt numFmtId="179" formatCode="_(&quot;$&quot;* #,##0.00_);_(&quot;$&quot;* \(#,##0.00\);_(&quot;$&quot;* &quot;-&quot;??_);_(@_)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6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sz val="10"/>
      <color theme="7" tint="-0.499984740745262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7"/>
      <color rgb="FFFF0000"/>
      <name val="微軟正黑體"/>
      <family val="2"/>
      <charset val="136"/>
    </font>
    <font>
      <sz val="8"/>
      <color rgb="FFFF000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8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40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7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6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6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6" fontId="20" fillId="2" borderId="11" xfId="1" applyNumberFormat="1" applyFont="1" applyFill="1" applyBorder="1" applyAlignment="1">
      <alignment horizontal="center" vertical="center" wrapText="1"/>
    </xf>
    <xf numFmtId="177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7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32" fillId="2" borderId="3" xfId="1" applyFont="1" applyFill="1" applyBorder="1" applyAlignment="1">
      <alignment horizontal="center" vertical="top"/>
    </xf>
    <xf numFmtId="0" fontId="15" fillId="2" borderId="3" xfId="1" applyFont="1" applyFill="1" applyBorder="1" applyAlignment="1">
      <alignment horizontal="center" vertical="top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0" borderId="0" xfId="1" applyFont="1" applyAlignment="1">
      <alignment horizontal="right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35" fillId="2" borderId="3" xfId="1" applyFont="1" applyFill="1" applyBorder="1" applyAlignment="1">
      <alignment horizontal="center" vertical="top"/>
    </xf>
    <xf numFmtId="0" fontId="34" fillId="2" borderId="3" xfId="1" applyFont="1" applyFill="1" applyBorder="1" applyAlignment="1">
      <alignment horizontal="center" vertical="top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  <xf numFmtId="0" fontId="20" fillId="2" borderId="3" xfId="1" applyFont="1" applyFill="1" applyBorder="1" applyAlignment="1">
      <alignment horizontal="center" vertical="center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7" fontId="20" fillId="2" borderId="2" xfId="1" applyNumberFormat="1" applyFont="1" applyFill="1" applyBorder="1" applyAlignment="1">
      <alignment horizontal="center" vertical="center" wrapText="1"/>
    </xf>
    <xf numFmtId="177" fontId="20" fillId="2" borderId="4" xfId="1" applyNumberFormat="1" applyFont="1" applyFill="1" applyBorder="1" applyAlignment="1">
      <alignment horizontal="center" vertical="center" wrapText="1"/>
    </xf>
    <xf numFmtId="176" fontId="20" fillId="2" borderId="13" xfId="3" applyNumberFormat="1" applyFont="1" applyFill="1" applyBorder="1" applyAlignment="1">
      <alignment horizontal="center" vertical="center"/>
    </xf>
    <xf numFmtId="176" fontId="20" fillId="2" borderId="15" xfId="3" applyNumberFormat="1" applyFont="1" applyFill="1" applyBorder="1" applyAlignment="1">
      <alignment horizontal="center" vertical="center"/>
    </xf>
    <xf numFmtId="176" fontId="20" fillId="2" borderId="14" xfId="3" applyNumberFormat="1" applyFont="1" applyFill="1" applyBorder="1" applyAlignment="1">
      <alignment horizontal="center" vertical="center"/>
    </xf>
    <xf numFmtId="176" fontId="20" fillId="2" borderId="16" xfId="3" applyNumberFormat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177" fontId="20" fillId="2" borderId="14" xfId="1" applyNumberFormat="1" applyFont="1" applyFill="1" applyBorder="1" applyAlignment="1">
      <alignment horizontal="center" vertical="center" wrapText="1"/>
    </xf>
    <xf numFmtId="177" fontId="20" fillId="2" borderId="16" xfId="1" applyNumberFormat="1" applyFont="1" applyFill="1" applyBorder="1" applyAlignment="1">
      <alignment horizontal="center" vertical="center" wrapText="1"/>
    </xf>
    <xf numFmtId="177" fontId="20" fillId="2" borderId="13" xfId="1" applyNumberFormat="1" applyFont="1" applyFill="1" applyBorder="1" applyAlignment="1">
      <alignment horizontal="center" vertical="center" wrapText="1"/>
    </xf>
    <xf numFmtId="177" fontId="20" fillId="2" borderId="15" xfId="1" applyNumberFormat="1" applyFont="1" applyFill="1" applyBorder="1" applyAlignment="1">
      <alignment horizontal="center" vertical="center" wrapText="1"/>
    </xf>
    <xf numFmtId="177" fontId="20" fillId="2" borderId="13" xfId="4" applyNumberFormat="1" applyFont="1" applyFill="1" applyBorder="1" applyAlignment="1">
      <alignment horizontal="center" vertical="center" wrapText="1"/>
    </xf>
    <xf numFmtId="177" fontId="20" fillId="2" borderId="15" xfId="4" applyNumberFormat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176" fontId="14" fillId="2" borderId="0" xfId="1" applyNumberFormat="1" applyFont="1" applyFill="1" applyAlignment="1">
      <alignment horizontal="center" vertical="center"/>
    </xf>
    <xf numFmtId="177" fontId="20" fillId="2" borderId="2" xfId="1" applyNumberFormat="1" applyFont="1" applyFill="1" applyBorder="1" applyAlignment="1">
      <alignment horizontal="center" vertical="center"/>
    </xf>
    <xf numFmtId="177" fontId="20" fillId="2" borderId="4" xfId="1" applyNumberFormat="1" applyFont="1" applyFill="1" applyBorder="1" applyAlignment="1">
      <alignment horizontal="center" vertical="center"/>
    </xf>
    <xf numFmtId="177" fontId="20" fillId="2" borderId="13" xfId="1" applyNumberFormat="1" applyFont="1" applyFill="1" applyBorder="1" applyAlignment="1">
      <alignment horizontal="center" vertical="center"/>
    </xf>
    <xf numFmtId="177" fontId="20" fillId="2" borderId="15" xfId="1" applyNumberFormat="1" applyFont="1" applyFill="1" applyBorder="1" applyAlignment="1">
      <alignment horizontal="center" vertical="center"/>
    </xf>
    <xf numFmtId="177" fontId="20" fillId="2" borderId="14" xfId="1" applyNumberFormat="1" applyFont="1" applyFill="1" applyBorder="1" applyAlignment="1">
      <alignment horizontal="center" vertical="center"/>
    </xf>
    <xf numFmtId="177" fontId="20" fillId="2" borderId="16" xfId="1" applyNumberFormat="1" applyFont="1" applyFill="1" applyBorder="1" applyAlignment="1">
      <alignment horizontal="center" vertical="center"/>
    </xf>
    <xf numFmtId="176" fontId="20" fillId="2" borderId="2" xfId="1" applyNumberFormat="1" applyFont="1" applyFill="1" applyBorder="1" applyAlignment="1">
      <alignment horizontal="center" vertical="center"/>
    </xf>
    <xf numFmtId="176" fontId="20" fillId="2" borderId="4" xfId="1" applyNumberFormat="1" applyFont="1" applyFill="1" applyBorder="1" applyAlignment="1">
      <alignment horizontal="center" vertical="center"/>
    </xf>
    <xf numFmtId="177" fontId="20" fillId="2" borderId="37" xfId="1" applyNumberFormat="1" applyFont="1" applyFill="1" applyBorder="1" applyAlignment="1">
      <alignment horizontal="center" vertical="center"/>
    </xf>
    <xf numFmtId="177" fontId="20" fillId="2" borderId="61" xfId="1" applyNumberFormat="1" applyFont="1" applyFill="1" applyBorder="1" applyAlignment="1">
      <alignment horizontal="center" vertical="center"/>
    </xf>
    <xf numFmtId="177" fontId="20" fillId="2" borderId="40" xfId="1" applyNumberFormat="1" applyFont="1" applyFill="1" applyBorder="1" applyAlignment="1">
      <alignment horizontal="center" vertical="center"/>
    </xf>
    <xf numFmtId="177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6" fontId="20" fillId="2" borderId="2" xfId="1" applyNumberFormat="1" applyFont="1" applyFill="1" applyBorder="1" applyAlignment="1">
      <alignment horizontal="center" vertical="center" wrapText="1"/>
    </xf>
    <xf numFmtId="176" fontId="20" fillId="2" borderId="4" xfId="1" applyNumberFormat="1" applyFont="1" applyFill="1" applyBorder="1" applyAlignment="1">
      <alignment horizontal="center" vertical="center" wrapText="1"/>
    </xf>
    <xf numFmtId="176" fontId="20" fillId="2" borderId="14" xfId="1" applyNumberFormat="1" applyFont="1" applyFill="1" applyBorder="1" applyAlignment="1">
      <alignment horizontal="center" vertical="center"/>
    </xf>
    <xf numFmtId="176" fontId="20" fillId="2" borderId="16" xfId="1" applyNumberFormat="1" applyFont="1" applyFill="1" applyBorder="1" applyAlignment="1">
      <alignment horizontal="center" vertical="center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28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</xdr:colOff>
          <xdr:row>15</xdr:row>
          <xdr:rowOff>198120</xdr:rowOff>
        </xdr:from>
        <xdr:to>
          <xdr:col>15</xdr:col>
          <xdr:colOff>525780</xdr:colOff>
          <xdr:row>22</xdr:row>
          <xdr:rowOff>388620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25</xdr:row>
          <xdr:rowOff>60960</xdr:rowOff>
        </xdr:from>
        <xdr:to>
          <xdr:col>15</xdr:col>
          <xdr:colOff>548640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98913" name="Button 1" hidden="1">
              <a:extLst>
                <a:ext uri="{63B3BB69-23CF-44E3-9099-C40C66FF867C}">
                  <a14:compatExt spid="_x0000_s259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00961" name="Button 1" hidden="1">
              <a:extLst>
                <a:ext uri="{63B3BB69-23CF-44E3-9099-C40C66FF867C}">
                  <a14:compatExt spid="_x0000_s260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01985" name="Button 1" hidden="1">
              <a:extLst>
                <a:ext uri="{63B3BB69-23CF-44E3-9099-C40C66FF867C}">
                  <a14:compatExt spid="_x0000_s260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03009" name="Button 1" hidden="1">
              <a:extLst>
                <a:ext uri="{63B3BB69-23CF-44E3-9099-C40C66FF867C}">
                  <a14:compatExt spid="_x0000_s260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04033" name="Button 1" hidden="1">
              <a:extLst>
                <a:ext uri="{63B3BB69-23CF-44E3-9099-C40C66FF867C}">
                  <a14:compatExt spid="_x0000_s260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06081" name="Button 1" hidden="1">
              <a:extLst>
                <a:ext uri="{63B3BB69-23CF-44E3-9099-C40C66FF867C}">
                  <a14:compatExt spid="_x0000_s260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07105" name="Button 1" hidden="1">
              <a:extLst>
                <a:ext uri="{63B3BB69-23CF-44E3-9099-C40C66FF867C}">
                  <a14:compatExt spid="_x0000_s260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08129" name="Button 1" hidden="1">
              <a:extLst>
                <a:ext uri="{63B3BB69-23CF-44E3-9099-C40C66FF867C}">
                  <a14:compatExt spid="_x0000_s260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09153" name="Button 1" hidden="1">
              <a:extLst>
                <a:ext uri="{63B3BB69-23CF-44E3-9099-C40C66FF867C}">
                  <a14:compatExt spid="_x0000_s260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10177" name="Button 1" hidden="1">
              <a:extLst>
                <a:ext uri="{63B3BB69-23CF-44E3-9099-C40C66FF867C}">
                  <a14:compatExt spid="_x0000_s261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11201" name="Button 1" hidden="1">
              <a:extLst>
                <a:ext uri="{63B3BB69-23CF-44E3-9099-C40C66FF867C}">
                  <a14:compatExt spid="_x0000_s261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12225" name="Button 1" hidden="1">
              <a:extLst>
                <a:ext uri="{63B3BB69-23CF-44E3-9099-C40C66FF867C}">
                  <a14:compatExt spid="_x0000_s261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13249" name="Button 1" hidden="1">
              <a:extLst>
                <a:ext uri="{63B3BB69-23CF-44E3-9099-C40C66FF867C}">
                  <a14:compatExt spid="_x0000_s261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15297" name="Button 1" hidden="1">
              <a:extLst>
                <a:ext uri="{63B3BB69-23CF-44E3-9099-C40C66FF867C}">
                  <a14:compatExt spid="_x0000_s261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16321" name="Button 1" hidden="1">
              <a:extLst>
                <a:ext uri="{63B3BB69-23CF-44E3-9099-C40C66FF867C}">
                  <a14:compatExt spid="_x0000_s261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19393" name="Button 1" hidden="1">
              <a:extLst>
                <a:ext uri="{63B3BB69-23CF-44E3-9099-C40C66FF867C}">
                  <a14:compatExt spid="_x0000_s261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20417" name="Button 1" hidden="1">
              <a:extLst>
                <a:ext uri="{63B3BB69-23CF-44E3-9099-C40C66FF867C}">
                  <a14:compatExt spid="_x0000_s262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21441" name="Button 1" hidden="1">
              <a:extLst>
                <a:ext uri="{63B3BB69-23CF-44E3-9099-C40C66FF867C}">
                  <a14:compatExt spid="_x0000_s262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22465" name="Button 1" hidden="1">
              <a:extLst>
                <a:ext uri="{63B3BB69-23CF-44E3-9099-C40C66FF867C}">
                  <a14:compatExt spid="_x0000_s262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24513" name="Button 1" hidden="1">
              <a:extLst>
                <a:ext uri="{63B3BB69-23CF-44E3-9099-C40C66FF867C}">
                  <a14:compatExt spid="_x0000_s262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26561" name="Button 1" hidden="1">
              <a:extLst>
                <a:ext uri="{63B3BB69-23CF-44E3-9099-C40C66FF867C}">
                  <a14:compatExt spid="_x0000_s2626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27585" name="Button 1" hidden="1">
              <a:extLst>
                <a:ext uri="{63B3BB69-23CF-44E3-9099-C40C66FF867C}">
                  <a14:compatExt spid="_x0000_s262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1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1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1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1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1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2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2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2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7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8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9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0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1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2.xml><?xml version="1.0" encoding="utf-8"?>
<queryTable xmlns="http://schemas.openxmlformats.org/spreadsheetml/2006/main" name="取樣回收每月庫存表 0620更新" connectionId="1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id="1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" ref="AG13:BH189" tableType="queryTable" totalsRowShown="0" headerRowDxfId="2717" dataDxfId="2716" headerRowCellStyle="一般 2" dataCellStyle="一般 2">
  <autoFilter ref="AG13:BH189"/>
  <tableColumns count="28">
    <tableColumn id="1" uniqueName="1" name="請直接以10進位，謝謝" queryTableFieldId="1" dataDxfId="2715" dataCellStyle="一般 2"/>
    <tableColumn id="2" uniqueName="2" name="F2" queryTableFieldId="2" dataDxfId="2714" dataCellStyle="一般 2"/>
    <tableColumn id="3" uniqueName="3" name="F3" queryTableFieldId="3" dataDxfId="2713" dataCellStyle="一般 2"/>
    <tableColumn id="4" uniqueName="4" name="F4" queryTableFieldId="4" dataDxfId="2712" dataCellStyle="一般 2"/>
    <tableColumn id="5" uniqueName="5" name="F5" queryTableFieldId="5" dataDxfId="2711" dataCellStyle="一般 2"/>
    <tableColumn id="6" uniqueName="6" name="F6" queryTableFieldId="6" dataDxfId="2710" dataCellStyle="一般 2"/>
    <tableColumn id="7" uniqueName="7" name="F7" queryTableFieldId="7" dataDxfId="2709" dataCellStyle="一般 2"/>
    <tableColumn id="8" uniqueName="8" name="F8" queryTableFieldId="8" dataDxfId="2708" dataCellStyle="一般 2"/>
    <tableColumn id="9" uniqueName="9" name="F9" queryTableFieldId="9" dataDxfId="2707" dataCellStyle="一般 2"/>
    <tableColumn id="10" uniqueName="10" name="F10" queryTableFieldId="10" dataDxfId="2706" dataCellStyle="一般 2"/>
    <tableColumn id="11" uniqueName="11" name="F11" queryTableFieldId="11" dataDxfId="2705" dataCellStyle="一般 2"/>
    <tableColumn id="12" uniqueName="12" name="F12" queryTableFieldId="12" dataDxfId="2704" dataCellStyle="一般 2"/>
    <tableColumn id="13" uniqueName="13" name="F13" queryTableFieldId="13" dataDxfId="2703" dataCellStyle="一般 2"/>
    <tableColumn id="14" uniqueName="14" name="F14" queryTableFieldId="14" dataDxfId="2702" dataCellStyle="一般 2"/>
    <tableColumn id="15" uniqueName="15" name="F15" queryTableFieldId="15" dataDxfId="2701" dataCellStyle="一般 2"/>
    <tableColumn id="16" uniqueName="16" name="F16" queryTableFieldId="16" dataDxfId="2700" dataCellStyle="一般 2"/>
    <tableColumn id="17" uniqueName="17" name="F17" queryTableFieldId="17" dataDxfId="2699" dataCellStyle="一般 2"/>
    <tableColumn id="18" uniqueName="18" name="F18" queryTableFieldId="18" dataDxfId="2698" dataCellStyle="一般 2"/>
    <tableColumn id="19" uniqueName="19" name="F19" queryTableFieldId="19" dataDxfId="2697" dataCellStyle="一般 2"/>
    <tableColumn id="20" uniqueName="20" name="F20" queryTableFieldId="20" dataDxfId="2696" dataCellStyle="一般 2"/>
    <tableColumn id="21" uniqueName="21" name="F21" queryTableFieldId="21" dataDxfId="2695" dataCellStyle="一般 2"/>
    <tableColumn id="22" uniqueName="22" name="2024/6/24 14:52" queryTableFieldId="22" dataDxfId="2694" dataCellStyle="一般 2"/>
    <tableColumn id="23" uniqueName="23" name="F23" queryTableFieldId="23" dataDxfId="2693" dataCellStyle="一般 2"/>
    <tableColumn id="24" uniqueName="24" name="F24" queryTableFieldId="24" dataDxfId="2692" dataCellStyle="一般 2"/>
    <tableColumn id="25" uniqueName="25" name="F25" queryTableFieldId="25" dataDxfId="2691" dataCellStyle="一般 2"/>
    <tableColumn id="26" uniqueName="26" name="F26" queryTableFieldId="26" dataDxfId="2690" dataCellStyle="一般 2"/>
    <tableColumn id="27" uniqueName="27" name="F27" queryTableFieldId="27" dataDxfId="2689" dataCellStyle="一般 2"/>
    <tableColumn id="28" uniqueName="28" name="F28" queryTableFieldId="28" dataDxfId="2688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ref="AG13:BH189" tableType="queryTable" totalsRowShown="0" headerRowDxfId="2589" dataDxfId="2588" headerRowCellStyle="一般 2" dataCellStyle="一般 2">
  <autoFilter ref="AG13:BH189"/>
  <tableColumns count="28">
    <tableColumn id="1" uniqueName="1" name="請直接以10進位，謝謝" queryTableFieldId="1" dataDxfId="2587" dataCellStyle="一般 2"/>
    <tableColumn id="2" uniqueName="2" name="F2" queryTableFieldId="2" dataDxfId="2586" dataCellStyle="一般 2"/>
    <tableColumn id="3" uniqueName="3" name="F3" queryTableFieldId="3" dataDxfId="2585" dataCellStyle="一般 2"/>
    <tableColumn id="4" uniqueName="4" name="F4" queryTableFieldId="4" dataDxfId="2584" dataCellStyle="一般 2"/>
    <tableColumn id="5" uniqueName="5" name="F5" queryTableFieldId="5" dataDxfId="2583" dataCellStyle="一般 2"/>
    <tableColumn id="6" uniqueName="6" name="F6" queryTableFieldId="6" dataDxfId="2582" dataCellStyle="一般 2"/>
    <tableColumn id="7" uniqueName="7" name="F7" queryTableFieldId="7" dataDxfId="2581" dataCellStyle="一般 2"/>
    <tableColumn id="8" uniqueName="8" name="F8" queryTableFieldId="8" dataDxfId="2580" dataCellStyle="一般 2"/>
    <tableColumn id="9" uniqueName="9" name="F9" queryTableFieldId="9" dataDxfId="2579" dataCellStyle="一般 2"/>
    <tableColumn id="10" uniqueName="10" name="F10" queryTableFieldId="10" dataDxfId="2578" dataCellStyle="一般 2"/>
    <tableColumn id="11" uniqueName="11" name="F11" queryTableFieldId="11" dataDxfId="2577" dataCellStyle="一般 2"/>
    <tableColumn id="12" uniqueName="12" name="F12" queryTableFieldId="12" dataDxfId="2576" dataCellStyle="一般 2"/>
    <tableColumn id="13" uniqueName="13" name="F13" queryTableFieldId="13" dataDxfId="2575" dataCellStyle="一般 2"/>
    <tableColumn id="14" uniqueName="14" name="F14" queryTableFieldId="14" dataDxfId="2574" dataCellStyle="一般 2"/>
    <tableColumn id="15" uniqueName="15" name="F15" queryTableFieldId="15" dataDxfId="2573" dataCellStyle="一般 2"/>
    <tableColumn id="16" uniqueName="16" name="F16" queryTableFieldId="16" dataDxfId="2572" dataCellStyle="一般 2"/>
    <tableColumn id="17" uniqueName="17" name="F17" queryTableFieldId="17" dataDxfId="2571" dataCellStyle="一般 2"/>
    <tableColumn id="18" uniqueName="18" name="F18" queryTableFieldId="18" dataDxfId="2570" dataCellStyle="一般 2"/>
    <tableColumn id="19" uniqueName="19" name="F19" queryTableFieldId="19" dataDxfId="2569" dataCellStyle="一般 2"/>
    <tableColumn id="20" uniqueName="20" name="F20" queryTableFieldId="20" dataDxfId="2568" dataCellStyle="一般 2"/>
    <tableColumn id="21" uniqueName="21" name="F21" queryTableFieldId="21" dataDxfId="2567" dataCellStyle="一般 2"/>
    <tableColumn id="22" uniqueName="22" name="2024/6/24 14:52" queryTableFieldId="22" dataDxfId="2566" dataCellStyle="一般 2"/>
    <tableColumn id="23" uniqueName="23" name="F23" queryTableFieldId="23" dataDxfId="2565" dataCellStyle="一般 2"/>
    <tableColumn id="24" uniqueName="24" name="F24" queryTableFieldId="24" dataDxfId="2564" dataCellStyle="一般 2"/>
    <tableColumn id="25" uniqueName="25" name="F25" queryTableFieldId="25" dataDxfId="2563" dataCellStyle="一般 2"/>
    <tableColumn id="26" uniqueName="26" name="F26" queryTableFieldId="26" dataDxfId="2562" dataCellStyle="一般 2"/>
    <tableColumn id="27" uniqueName="27" name="F27" queryTableFieldId="27" dataDxfId="2561" dataCellStyle="一般 2"/>
    <tableColumn id="28" uniqueName="28" name="F28" queryTableFieldId="28" dataDxfId="2560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ref="AG13:BH189" tableType="queryTable" totalsRowShown="0" headerRowDxfId="2461" dataDxfId="2460" headerRowCellStyle="一般 2" dataCellStyle="一般 2">
  <autoFilter ref="AG13:BH189"/>
  <tableColumns count="28">
    <tableColumn id="1" uniqueName="1" name="請直接以10進位，謝謝" queryTableFieldId="1" dataDxfId="2459" dataCellStyle="一般 2"/>
    <tableColumn id="2" uniqueName="2" name="F2" queryTableFieldId="2" dataDxfId="2458" dataCellStyle="一般 2"/>
    <tableColumn id="3" uniqueName="3" name="F3" queryTableFieldId="3" dataDxfId="2457" dataCellStyle="一般 2"/>
    <tableColumn id="4" uniqueName="4" name="F4" queryTableFieldId="4" dataDxfId="2456" dataCellStyle="一般 2"/>
    <tableColumn id="5" uniqueName="5" name="F5" queryTableFieldId="5" dataDxfId="2455" dataCellStyle="一般 2"/>
    <tableColumn id="6" uniqueName="6" name="F6" queryTableFieldId="6" dataDxfId="2454" dataCellStyle="一般 2"/>
    <tableColumn id="7" uniqueName="7" name="F7" queryTableFieldId="7" dataDxfId="2453" dataCellStyle="一般 2"/>
    <tableColumn id="8" uniqueName="8" name="F8" queryTableFieldId="8" dataDxfId="2452" dataCellStyle="一般 2"/>
    <tableColumn id="9" uniqueName="9" name="F9" queryTableFieldId="9" dataDxfId="2451" dataCellStyle="一般 2"/>
    <tableColumn id="10" uniqueName="10" name="F10" queryTableFieldId="10" dataDxfId="2450" dataCellStyle="一般 2"/>
    <tableColumn id="11" uniqueName="11" name="F11" queryTableFieldId="11" dataDxfId="2449" dataCellStyle="一般 2"/>
    <tableColumn id="12" uniqueName="12" name="F12" queryTableFieldId="12" dataDxfId="2448" dataCellStyle="一般 2"/>
    <tableColumn id="13" uniqueName="13" name="F13" queryTableFieldId="13" dataDxfId="2447" dataCellStyle="一般 2"/>
    <tableColumn id="14" uniqueName="14" name="F14" queryTableFieldId="14" dataDxfId="2446" dataCellStyle="一般 2"/>
    <tableColumn id="15" uniqueName="15" name="F15" queryTableFieldId="15" dataDxfId="2445" dataCellStyle="一般 2"/>
    <tableColumn id="16" uniqueName="16" name="F16" queryTableFieldId="16" dataDxfId="2444" dataCellStyle="一般 2"/>
    <tableColumn id="17" uniqueName="17" name="F17" queryTableFieldId="17" dataDxfId="2443" dataCellStyle="一般 2"/>
    <tableColumn id="18" uniqueName="18" name="F18" queryTableFieldId="18" dataDxfId="2442" dataCellStyle="一般 2"/>
    <tableColumn id="19" uniqueName="19" name="F19" queryTableFieldId="19" dataDxfId="2441" dataCellStyle="一般 2"/>
    <tableColumn id="20" uniqueName="20" name="F20" queryTableFieldId="20" dataDxfId="2440" dataCellStyle="一般 2"/>
    <tableColumn id="21" uniqueName="21" name="F21" queryTableFieldId="21" dataDxfId="2439" dataCellStyle="一般 2"/>
    <tableColumn id="22" uniqueName="22" name="2024/6/24 14:52" queryTableFieldId="22" dataDxfId="2438" dataCellStyle="一般 2"/>
    <tableColumn id="23" uniqueName="23" name="F23" queryTableFieldId="23" dataDxfId="2437" dataCellStyle="一般 2"/>
    <tableColumn id="24" uniqueName="24" name="F24" queryTableFieldId="24" dataDxfId="2436" dataCellStyle="一般 2"/>
    <tableColumn id="25" uniqueName="25" name="F25" queryTableFieldId="25" dataDxfId="2435" dataCellStyle="一般 2"/>
    <tableColumn id="26" uniqueName="26" name="F26" queryTableFieldId="26" dataDxfId="2434" dataCellStyle="一般 2"/>
    <tableColumn id="27" uniqueName="27" name="F27" queryTableFieldId="27" dataDxfId="2433" dataCellStyle="一般 2"/>
    <tableColumn id="28" uniqueName="28" name="F28" queryTableFieldId="28" dataDxfId="2432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" ref="AG13:BH189" tableType="queryTable" totalsRowShown="0" headerRowDxfId="2333" dataDxfId="2332" headerRowCellStyle="一般 2" dataCellStyle="一般 2">
  <autoFilter ref="AG13:BH189"/>
  <tableColumns count="28">
    <tableColumn id="1" uniqueName="1" name="請直接以10進位，謝謝" queryTableFieldId="1" dataDxfId="2331" dataCellStyle="一般 2"/>
    <tableColumn id="2" uniqueName="2" name="F2" queryTableFieldId="2" dataDxfId="2330" dataCellStyle="一般 2"/>
    <tableColumn id="3" uniqueName="3" name="F3" queryTableFieldId="3" dataDxfId="2329" dataCellStyle="一般 2"/>
    <tableColumn id="4" uniqueName="4" name="F4" queryTableFieldId="4" dataDxfId="2328" dataCellStyle="一般 2"/>
    <tableColumn id="5" uniqueName="5" name="F5" queryTableFieldId="5" dataDxfId="2327" dataCellStyle="一般 2"/>
    <tableColumn id="6" uniqueName="6" name="F6" queryTableFieldId="6" dataDxfId="2326" dataCellStyle="一般 2"/>
    <tableColumn id="7" uniqueName="7" name="F7" queryTableFieldId="7" dataDxfId="2325" dataCellStyle="一般 2"/>
    <tableColumn id="8" uniqueName="8" name="F8" queryTableFieldId="8" dataDxfId="2324" dataCellStyle="一般 2"/>
    <tableColumn id="9" uniqueName="9" name="F9" queryTableFieldId="9" dataDxfId="2323" dataCellStyle="一般 2"/>
    <tableColumn id="10" uniqueName="10" name="F10" queryTableFieldId="10" dataDxfId="2322" dataCellStyle="一般 2"/>
    <tableColumn id="11" uniqueName="11" name="F11" queryTableFieldId="11" dataDxfId="2321" dataCellStyle="一般 2"/>
    <tableColumn id="12" uniqueName="12" name="F12" queryTableFieldId="12" dataDxfId="2320" dataCellStyle="一般 2"/>
    <tableColumn id="13" uniqueName="13" name="F13" queryTableFieldId="13" dataDxfId="2319" dataCellStyle="一般 2"/>
    <tableColumn id="14" uniqueName="14" name="F14" queryTableFieldId="14" dataDxfId="2318" dataCellStyle="一般 2"/>
    <tableColumn id="15" uniqueName="15" name="F15" queryTableFieldId="15" dataDxfId="2317" dataCellStyle="一般 2"/>
    <tableColumn id="16" uniqueName="16" name="F16" queryTableFieldId="16" dataDxfId="2316" dataCellStyle="一般 2"/>
    <tableColumn id="17" uniqueName="17" name="F17" queryTableFieldId="17" dataDxfId="2315" dataCellStyle="一般 2"/>
    <tableColumn id="18" uniqueName="18" name="F18" queryTableFieldId="18" dataDxfId="2314" dataCellStyle="一般 2"/>
    <tableColumn id="19" uniqueName="19" name="F19" queryTableFieldId="19" dataDxfId="2313" dataCellStyle="一般 2"/>
    <tableColumn id="20" uniqueName="20" name="F20" queryTableFieldId="20" dataDxfId="2312" dataCellStyle="一般 2"/>
    <tableColumn id="21" uniqueName="21" name="F21" queryTableFieldId="21" dataDxfId="2311" dataCellStyle="一般 2"/>
    <tableColumn id="22" uniqueName="22" name="2024/6/24 14:52" queryTableFieldId="22" dataDxfId="2310" dataCellStyle="一般 2"/>
    <tableColumn id="23" uniqueName="23" name="F23" queryTableFieldId="23" dataDxfId="2309" dataCellStyle="一般 2"/>
    <tableColumn id="24" uniqueName="24" name="F24" queryTableFieldId="24" dataDxfId="2308" dataCellStyle="一般 2"/>
    <tableColumn id="25" uniqueName="25" name="F25" queryTableFieldId="25" dataDxfId="2307" dataCellStyle="一般 2"/>
    <tableColumn id="26" uniqueName="26" name="F26" queryTableFieldId="26" dataDxfId="2306" dataCellStyle="一般 2"/>
    <tableColumn id="27" uniqueName="27" name="F27" queryTableFieldId="27" dataDxfId="2305" dataCellStyle="一般 2"/>
    <tableColumn id="28" uniqueName="28" name="F28" queryTableFieldId="28" dataDxfId="2304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" ref="AG13:BH189" tableType="queryTable" totalsRowShown="0" headerRowDxfId="2205" dataDxfId="2204" headerRowCellStyle="一般 2" dataCellStyle="一般 2">
  <autoFilter ref="AG13:BH189"/>
  <tableColumns count="28">
    <tableColumn id="1" uniqueName="1" name="請直接以10進位，謝謝" queryTableFieldId="1" dataDxfId="2203" dataCellStyle="一般 2"/>
    <tableColumn id="2" uniqueName="2" name="F2" queryTableFieldId="2" dataDxfId="2202" dataCellStyle="一般 2"/>
    <tableColumn id="3" uniqueName="3" name="F3" queryTableFieldId="3" dataDxfId="2201" dataCellStyle="一般 2"/>
    <tableColumn id="4" uniqueName="4" name="F4" queryTableFieldId="4" dataDxfId="2200" dataCellStyle="一般 2"/>
    <tableColumn id="5" uniqueName="5" name="F5" queryTableFieldId="5" dataDxfId="2199" dataCellStyle="一般 2"/>
    <tableColumn id="6" uniqueName="6" name="F6" queryTableFieldId="6" dataDxfId="2198" dataCellStyle="一般 2"/>
    <tableColumn id="7" uniqueName="7" name="F7" queryTableFieldId="7" dataDxfId="2197" dataCellStyle="一般 2"/>
    <tableColumn id="8" uniqueName="8" name="F8" queryTableFieldId="8" dataDxfId="2196" dataCellStyle="一般 2"/>
    <tableColumn id="9" uniqueName="9" name="F9" queryTableFieldId="9" dataDxfId="2195" dataCellStyle="一般 2"/>
    <tableColumn id="10" uniqueName="10" name="F10" queryTableFieldId="10" dataDxfId="2194" dataCellStyle="一般 2"/>
    <tableColumn id="11" uniqueName="11" name="F11" queryTableFieldId="11" dataDxfId="2193" dataCellStyle="一般 2"/>
    <tableColumn id="12" uniqueName="12" name="F12" queryTableFieldId="12" dataDxfId="2192" dataCellStyle="一般 2"/>
    <tableColumn id="13" uniqueName="13" name="F13" queryTableFieldId="13" dataDxfId="2191" dataCellStyle="一般 2"/>
    <tableColumn id="14" uniqueName="14" name="F14" queryTableFieldId="14" dataDxfId="2190" dataCellStyle="一般 2"/>
    <tableColumn id="15" uniqueName="15" name="F15" queryTableFieldId="15" dataDxfId="2189" dataCellStyle="一般 2"/>
    <tableColumn id="16" uniqueName="16" name="F16" queryTableFieldId="16" dataDxfId="2188" dataCellStyle="一般 2"/>
    <tableColumn id="17" uniqueName="17" name="F17" queryTableFieldId="17" dataDxfId="2187" dataCellStyle="一般 2"/>
    <tableColumn id="18" uniqueName="18" name="F18" queryTableFieldId="18" dataDxfId="2186" dataCellStyle="一般 2"/>
    <tableColumn id="19" uniqueName="19" name="F19" queryTableFieldId="19" dataDxfId="2185" dataCellStyle="一般 2"/>
    <tableColumn id="20" uniqueName="20" name="F20" queryTableFieldId="20" dataDxfId="2184" dataCellStyle="一般 2"/>
    <tableColumn id="21" uniqueName="21" name="F21" queryTableFieldId="21" dataDxfId="2183" dataCellStyle="一般 2"/>
    <tableColumn id="22" uniqueName="22" name="2024/6/24 14:52" queryTableFieldId="22" dataDxfId="2182" dataCellStyle="一般 2"/>
    <tableColumn id="23" uniqueName="23" name="F23" queryTableFieldId="23" dataDxfId="2181" dataCellStyle="一般 2"/>
    <tableColumn id="24" uniqueName="24" name="F24" queryTableFieldId="24" dataDxfId="2180" dataCellStyle="一般 2"/>
    <tableColumn id="25" uniqueName="25" name="F25" queryTableFieldId="25" dataDxfId="2179" dataCellStyle="一般 2"/>
    <tableColumn id="26" uniqueName="26" name="F26" queryTableFieldId="26" dataDxfId="2178" dataCellStyle="一般 2"/>
    <tableColumn id="27" uniqueName="27" name="F27" queryTableFieldId="27" dataDxfId="2177" dataCellStyle="一般 2"/>
    <tableColumn id="28" uniqueName="28" name="F28" queryTableFieldId="28" dataDxfId="2176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" ref="AG13:BH189" tableType="queryTable" totalsRowShown="0" headerRowDxfId="2077" dataDxfId="2076" headerRowCellStyle="一般 2" dataCellStyle="一般 2">
  <autoFilter ref="AG13:BH189"/>
  <tableColumns count="28">
    <tableColumn id="1" uniqueName="1" name="請直接以10進位，謝謝" queryTableFieldId="1" dataDxfId="2075" dataCellStyle="一般 2"/>
    <tableColumn id="2" uniqueName="2" name="F2" queryTableFieldId="2" dataDxfId="2074" dataCellStyle="一般 2"/>
    <tableColumn id="3" uniqueName="3" name="F3" queryTableFieldId="3" dataDxfId="2073" dataCellStyle="一般 2"/>
    <tableColumn id="4" uniqueName="4" name="F4" queryTableFieldId="4" dataDxfId="2072" dataCellStyle="一般 2"/>
    <tableColumn id="5" uniqueName="5" name="F5" queryTableFieldId="5" dataDxfId="2071" dataCellStyle="一般 2"/>
    <tableColumn id="6" uniqueName="6" name="F6" queryTableFieldId="6" dataDxfId="2070" dataCellStyle="一般 2"/>
    <tableColumn id="7" uniqueName="7" name="F7" queryTableFieldId="7" dataDxfId="2069" dataCellStyle="一般 2"/>
    <tableColumn id="8" uniqueName="8" name="F8" queryTableFieldId="8" dataDxfId="2068" dataCellStyle="一般 2"/>
    <tableColumn id="9" uniqueName="9" name="F9" queryTableFieldId="9" dataDxfId="2067" dataCellStyle="一般 2"/>
    <tableColumn id="10" uniqueName="10" name="F10" queryTableFieldId="10" dataDxfId="2066" dataCellStyle="一般 2"/>
    <tableColumn id="11" uniqueName="11" name="F11" queryTableFieldId="11" dataDxfId="2065" dataCellStyle="一般 2"/>
    <tableColumn id="12" uniqueName="12" name="F12" queryTableFieldId="12" dataDxfId="2064" dataCellStyle="一般 2"/>
    <tableColumn id="13" uniqueName="13" name="F13" queryTableFieldId="13" dataDxfId="2063" dataCellStyle="一般 2"/>
    <tableColumn id="14" uniqueName="14" name="F14" queryTableFieldId="14" dataDxfId="2062" dataCellStyle="一般 2"/>
    <tableColumn id="15" uniqueName="15" name="F15" queryTableFieldId="15" dataDxfId="2061" dataCellStyle="一般 2"/>
    <tableColumn id="16" uniqueName="16" name="F16" queryTableFieldId="16" dataDxfId="2060" dataCellStyle="一般 2"/>
    <tableColumn id="17" uniqueName="17" name="F17" queryTableFieldId="17" dataDxfId="2059" dataCellStyle="一般 2"/>
    <tableColumn id="18" uniqueName="18" name="F18" queryTableFieldId="18" dataDxfId="2058" dataCellStyle="一般 2"/>
    <tableColumn id="19" uniqueName="19" name="F19" queryTableFieldId="19" dataDxfId="2057" dataCellStyle="一般 2"/>
    <tableColumn id="20" uniqueName="20" name="F20" queryTableFieldId="20" dataDxfId="2056" dataCellStyle="一般 2"/>
    <tableColumn id="21" uniqueName="21" name="F21" queryTableFieldId="21" dataDxfId="2055" dataCellStyle="一般 2"/>
    <tableColumn id="22" uniqueName="22" name="2024/6/24 14:52" queryTableFieldId="22" dataDxfId="2054" dataCellStyle="一般 2"/>
    <tableColumn id="23" uniqueName="23" name="F23" queryTableFieldId="23" dataDxfId="2053" dataCellStyle="一般 2"/>
    <tableColumn id="24" uniqueName="24" name="F24" queryTableFieldId="24" dataDxfId="2052" dataCellStyle="一般 2"/>
    <tableColumn id="25" uniqueName="25" name="F25" queryTableFieldId="25" dataDxfId="2051" dataCellStyle="一般 2"/>
    <tableColumn id="26" uniqueName="26" name="F26" queryTableFieldId="26" dataDxfId="2050" dataCellStyle="一般 2"/>
    <tableColumn id="27" uniqueName="27" name="F27" queryTableFieldId="27" dataDxfId="2049" dataCellStyle="一般 2"/>
    <tableColumn id="28" uniqueName="28" name="F28" queryTableFieldId="28" dataDxfId="2048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" ref="AG13:BH189" tableType="queryTable" totalsRowShown="0" headerRowDxfId="1949" dataDxfId="1948" headerRowCellStyle="一般 2" dataCellStyle="一般 2">
  <autoFilter ref="AG13:BH189"/>
  <tableColumns count="28">
    <tableColumn id="1" uniqueName="1" name="請直接以10進位，謝謝" queryTableFieldId="1" dataDxfId="1947" dataCellStyle="一般 2"/>
    <tableColumn id="2" uniqueName="2" name="F2" queryTableFieldId="2" dataDxfId="1946" dataCellStyle="一般 2"/>
    <tableColumn id="3" uniqueName="3" name="F3" queryTableFieldId="3" dataDxfId="1945" dataCellStyle="一般 2"/>
    <tableColumn id="4" uniqueName="4" name="F4" queryTableFieldId="4" dataDxfId="1944" dataCellStyle="一般 2"/>
    <tableColumn id="5" uniqueName="5" name="F5" queryTableFieldId="5" dataDxfId="1943" dataCellStyle="一般 2"/>
    <tableColumn id="6" uniqueName="6" name="F6" queryTableFieldId="6" dataDxfId="1942" dataCellStyle="一般 2"/>
    <tableColumn id="7" uniqueName="7" name="F7" queryTableFieldId="7" dataDxfId="1941" dataCellStyle="一般 2"/>
    <tableColumn id="8" uniqueName="8" name="F8" queryTableFieldId="8" dataDxfId="1940" dataCellStyle="一般 2"/>
    <tableColumn id="9" uniqueName="9" name="F9" queryTableFieldId="9" dataDxfId="1939" dataCellStyle="一般 2"/>
    <tableColumn id="10" uniqueName="10" name="F10" queryTableFieldId="10" dataDxfId="1938" dataCellStyle="一般 2"/>
    <tableColumn id="11" uniqueName="11" name="F11" queryTableFieldId="11" dataDxfId="1937" dataCellStyle="一般 2"/>
    <tableColumn id="12" uniqueName="12" name="F12" queryTableFieldId="12" dataDxfId="1936" dataCellStyle="一般 2"/>
    <tableColumn id="13" uniqueName="13" name="F13" queryTableFieldId="13" dataDxfId="1935" dataCellStyle="一般 2"/>
    <tableColumn id="14" uniqueName="14" name="F14" queryTableFieldId="14" dataDxfId="1934" dataCellStyle="一般 2"/>
    <tableColumn id="15" uniqueName="15" name="F15" queryTableFieldId="15" dataDxfId="1933" dataCellStyle="一般 2"/>
    <tableColumn id="16" uniqueName="16" name="F16" queryTableFieldId="16" dataDxfId="1932" dataCellStyle="一般 2"/>
    <tableColumn id="17" uniqueName="17" name="F17" queryTableFieldId="17" dataDxfId="1931" dataCellStyle="一般 2"/>
    <tableColumn id="18" uniqueName="18" name="F18" queryTableFieldId="18" dataDxfId="1930" dataCellStyle="一般 2"/>
    <tableColumn id="19" uniqueName="19" name="F19" queryTableFieldId="19" dataDxfId="1929" dataCellStyle="一般 2"/>
    <tableColumn id="20" uniqueName="20" name="F20" queryTableFieldId="20" dataDxfId="1928" dataCellStyle="一般 2"/>
    <tableColumn id="21" uniqueName="21" name="F21" queryTableFieldId="21" dataDxfId="1927" dataCellStyle="一般 2"/>
    <tableColumn id="22" uniqueName="22" name="2024/6/24 14:52" queryTableFieldId="22" dataDxfId="1926" dataCellStyle="一般 2"/>
    <tableColumn id="23" uniqueName="23" name="F23" queryTableFieldId="23" dataDxfId="1925" dataCellStyle="一般 2"/>
    <tableColumn id="24" uniqueName="24" name="F24" queryTableFieldId="24" dataDxfId="1924" dataCellStyle="一般 2"/>
    <tableColumn id="25" uniqueName="25" name="F25" queryTableFieldId="25" dataDxfId="1923" dataCellStyle="一般 2"/>
    <tableColumn id="26" uniqueName="26" name="F26" queryTableFieldId="26" dataDxfId="1922" dataCellStyle="一般 2"/>
    <tableColumn id="27" uniqueName="27" name="F27" queryTableFieldId="27" dataDxfId="1921" dataCellStyle="一般 2"/>
    <tableColumn id="28" uniqueName="28" name="F28" queryTableFieldId="28" dataDxfId="1920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" ref="AG13:BH189" tableType="queryTable" totalsRowShown="0" headerRowDxfId="1821" dataDxfId="1820" headerRowCellStyle="一般 2" dataCellStyle="一般 2">
  <autoFilter ref="AG13:BH189"/>
  <tableColumns count="28">
    <tableColumn id="1" uniqueName="1" name="請直接以10進位，謝謝" queryTableFieldId="1" dataDxfId="1819" dataCellStyle="一般 2"/>
    <tableColumn id="2" uniqueName="2" name="F2" queryTableFieldId="2" dataDxfId="1818" dataCellStyle="一般 2"/>
    <tableColumn id="3" uniqueName="3" name="F3" queryTableFieldId="3" dataDxfId="1817" dataCellStyle="一般 2"/>
    <tableColumn id="4" uniqueName="4" name="F4" queryTableFieldId="4" dataDxfId="1816" dataCellStyle="一般 2"/>
    <tableColumn id="5" uniqueName="5" name="F5" queryTableFieldId="5" dataDxfId="1815" dataCellStyle="一般 2"/>
    <tableColumn id="6" uniqueName="6" name="F6" queryTableFieldId="6" dataDxfId="1814" dataCellStyle="一般 2"/>
    <tableColumn id="7" uniqueName="7" name="F7" queryTableFieldId="7" dataDxfId="1813" dataCellStyle="一般 2"/>
    <tableColumn id="8" uniqueName="8" name="F8" queryTableFieldId="8" dataDxfId="1812" dataCellStyle="一般 2"/>
    <tableColumn id="9" uniqueName="9" name="F9" queryTableFieldId="9" dataDxfId="1811" dataCellStyle="一般 2"/>
    <tableColumn id="10" uniqueName="10" name="F10" queryTableFieldId="10" dataDxfId="1810" dataCellStyle="一般 2"/>
    <tableColumn id="11" uniqueName="11" name="F11" queryTableFieldId="11" dataDxfId="1809" dataCellStyle="一般 2"/>
    <tableColumn id="12" uniqueName="12" name="F12" queryTableFieldId="12" dataDxfId="1808" dataCellStyle="一般 2"/>
    <tableColumn id="13" uniqueName="13" name="F13" queryTableFieldId="13" dataDxfId="1807" dataCellStyle="一般 2"/>
    <tableColumn id="14" uniqueName="14" name="F14" queryTableFieldId="14" dataDxfId="1806" dataCellStyle="一般 2"/>
    <tableColumn id="15" uniqueName="15" name="F15" queryTableFieldId="15" dataDxfId="1805" dataCellStyle="一般 2"/>
    <tableColumn id="16" uniqueName="16" name="F16" queryTableFieldId="16" dataDxfId="1804" dataCellStyle="一般 2"/>
    <tableColumn id="17" uniqueName="17" name="F17" queryTableFieldId="17" dataDxfId="1803" dataCellStyle="一般 2"/>
    <tableColumn id="18" uniqueName="18" name="F18" queryTableFieldId="18" dataDxfId="1802" dataCellStyle="一般 2"/>
    <tableColumn id="19" uniqueName="19" name="F19" queryTableFieldId="19" dataDxfId="1801" dataCellStyle="一般 2"/>
    <tableColumn id="20" uniqueName="20" name="F20" queryTableFieldId="20" dataDxfId="1800" dataCellStyle="一般 2"/>
    <tableColumn id="21" uniqueName="21" name="F21" queryTableFieldId="21" dataDxfId="1799" dataCellStyle="一般 2"/>
    <tableColumn id="22" uniqueName="22" name="2024/6/24 14:52" queryTableFieldId="22" dataDxfId="1798" dataCellStyle="一般 2"/>
    <tableColumn id="23" uniqueName="23" name="F23" queryTableFieldId="23" dataDxfId="1797" dataCellStyle="一般 2"/>
    <tableColumn id="24" uniqueName="24" name="F24" queryTableFieldId="24" dataDxfId="1796" dataCellStyle="一般 2"/>
    <tableColumn id="25" uniqueName="25" name="F25" queryTableFieldId="25" dataDxfId="1795" dataCellStyle="一般 2"/>
    <tableColumn id="26" uniqueName="26" name="F26" queryTableFieldId="26" dataDxfId="1794" dataCellStyle="一般 2"/>
    <tableColumn id="27" uniqueName="27" name="F27" queryTableFieldId="27" dataDxfId="1793" dataCellStyle="一般 2"/>
    <tableColumn id="28" uniqueName="28" name="F28" queryTableFieldId="28" dataDxfId="1792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" ref="AG13:BH189" tableType="queryTable" totalsRowShown="0" headerRowDxfId="1693" dataDxfId="1692" headerRowCellStyle="一般 2" dataCellStyle="一般 2">
  <autoFilter ref="AG13:BH189"/>
  <tableColumns count="28">
    <tableColumn id="1" uniqueName="1" name="請直接以10進位，謝謝" queryTableFieldId="1" dataDxfId="1691" dataCellStyle="一般 2"/>
    <tableColumn id="2" uniqueName="2" name="F2" queryTableFieldId="2" dataDxfId="1690" dataCellStyle="一般 2"/>
    <tableColumn id="3" uniqueName="3" name="F3" queryTableFieldId="3" dataDxfId="1689" dataCellStyle="一般 2"/>
    <tableColumn id="4" uniqueName="4" name="F4" queryTableFieldId="4" dataDxfId="1688" dataCellStyle="一般 2"/>
    <tableColumn id="5" uniqueName="5" name="F5" queryTableFieldId="5" dataDxfId="1687" dataCellStyle="一般 2"/>
    <tableColumn id="6" uniqueName="6" name="F6" queryTableFieldId="6" dataDxfId="1686" dataCellStyle="一般 2"/>
    <tableColumn id="7" uniqueName="7" name="F7" queryTableFieldId="7" dataDxfId="1685" dataCellStyle="一般 2"/>
    <tableColumn id="8" uniqueName="8" name="F8" queryTableFieldId="8" dataDxfId="1684" dataCellStyle="一般 2"/>
    <tableColumn id="9" uniqueName="9" name="F9" queryTableFieldId="9" dataDxfId="1683" dataCellStyle="一般 2"/>
    <tableColumn id="10" uniqueName="10" name="F10" queryTableFieldId="10" dataDxfId="1682" dataCellStyle="一般 2"/>
    <tableColumn id="11" uniqueName="11" name="F11" queryTableFieldId="11" dataDxfId="1681" dataCellStyle="一般 2"/>
    <tableColumn id="12" uniqueName="12" name="F12" queryTableFieldId="12" dataDxfId="1680" dataCellStyle="一般 2"/>
    <tableColumn id="13" uniqueName="13" name="F13" queryTableFieldId="13" dataDxfId="1679" dataCellStyle="一般 2"/>
    <tableColumn id="14" uniqueName="14" name="F14" queryTableFieldId="14" dataDxfId="1678" dataCellStyle="一般 2"/>
    <tableColumn id="15" uniqueName="15" name="F15" queryTableFieldId="15" dataDxfId="1677" dataCellStyle="一般 2"/>
    <tableColumn id="16" uniqueName="16" name="F16" queryTableFieldId="16" dataDxfId="1676" dataCellStyle="一般 2"/>
    <tableColumn id="17" uniqueName="17" name="F17" queryTableFieldId="17" dataDxfId="1675" dataCellStyle="一般 2"/>
    <tableColumn id="18" uniqueName="18" name="F18" queryTableFieldId="18" dataDxfId="1674" dataCellStyle="一般 2"/>
    <tableColumn id="19" uniqueName="19" name="F19" queryTableFieldId="19" dataDxfId="1673" dataCellStyle="一般 2"/>
    <tableColumn id="20" uniqueName="20" name="F20" queryTableFieldId="20" dataDxfId="1672" dataCellStyle="一般 2"/>
    <tableColumn id="21" uniqueName="21" name="F21" queryTableFieldId="21" dataDxfId="1671" dataCellStyle="一般 2"/>
    <tableColumn id="22" uniqueName="22" name="2024/6/24 14:52" queryTableFieldId="22" dataDxfId="1670" dataCellStyle="一般 2"/>
    <tableColumn id="23" uniqueName="23" name="F23" queryTableFieldId="23" dataDxfId="1669" dataCellStyle="一般 2"/>
    <tableColumn id="24" uniqueName="24" name="F24" queryTableFieldId="24" dataDxfId="1668" dataCellStyle="一般 2"/>
    <tableColumn id="25" uniqueName="25" name="F25" queryTableFieldId="25" dataDxfId="1667" dataCellStyle="一般 2"/>
    <tableColumn id="26" uniqueName="26" name="F26" queryTableFieldId="26" dataDxfId="1666" dataCellStyle="一般 2"/>
    <tableColumn id="27" uniqueName="27" name="F27" queryTableFieldId="27" dataDxfId="1665" dataCellStyle="一般 2"/>
    <tableColumn id="28" uniqueName="28" name="F28" queryTableFieldId="28" dataDxfId="1664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1565" dataDxfId="1564" headerRowCellStyle="一般 2" dataCellStyle="一般 2">
  <autoFilter ref="AG13:BH189"/>
  <tableColumns count="28">
    <tableColumn id="1" uniqueName="1" name="請直接以10進位，謝謝" queryTableFieldId="1" dataDxfId="1563" dataCellStyle="一般 2"/>
    <tableColumn id="2" uniqueName="2" name="F2" queryTableFieldId="2" dataDxfId="1562" dataCellStyle="一般 2"/>
    <tableColumn id="3" uniqueName="3" name="F3" queryTableFieldId="3" dataDxfId="1561" dataCellStyle="一般 2"/>
    <tableColumn id="4" uniqueName="4" name="F4" queryTableFieldId="4" dataDxfId="1560" dataCellStyle="一般 2"/>
    <tableColumn id="5" uniqueName="5" name="F5" queryTableFieldId="5" dataDxfId="1559" dataCellStyle="一般 2"/>
    <tableColumn id="6" uniqueName="6" name="F6" queryTableFieldId="6" dataDxfId="1558" dataCellStyle="一般 2"/>
    <tableColumn id="7" uniqueName="7" name="F7" queryTableFieldId="7" dataDxfId="1557" dataCellStyle="一般 2"/>
    <tableColumn id="8" uniqueName="8" name="F8" queryTableFieldId="8" dataDxfId="1556" dataCellStyle="一般 2"/>
    <tableColumn id="9" uniqueName="9" name="F9" queryTableFieldId="9" dataDxfId="1555" dataCellStyle="一般 2"/>
    <tableColumn id="10" uniqueName="10" name="F10" queryTableFieldId="10" dataDxfId="1554" dataCellStyle="一般 2"/>
    <tableColumn id="11" uniqueName="11" name="F11" queryTableFieldId="11" dataDxfId="1553" dataCellStyle="一般 2"/>
    <tableColumn id="12" uniqueName="12" name="F12" queryTableFieldId="12" dataDxfId="1552" dataCellStyle="一般 2"/>
    <tableColumn id="13" uniqueName="13" name="F13" queryTableFieldId="13" dataDxfId="1551" dataCellStyle="一般 2"/>
    <tableColumn id="14" uniqueName="14" name="F14" queryTableFieldId="14" dataDxfId="1550" dataCellStyle="一般 2"/>
    <tableColumn id="15" uniqueName="15" name="F15" queryTableFieldId="15" dataDxfId="1549" dataCellStyle="一般 2"/>
    <tableColumn id="16" uniqueName="16" name="F16" queryTableFieldId="16" dataDxfId="1548" dataCellStyle="一般 2"/>
    <tableColumn id="17" uniqueName="17" name="F17" queryTableFieldId="17" dataDxfId="1547" dataCellStyle="一般 2"/>
    <tableColumn id="18" uniqueName="18" name="F18" queryTableFieldId="18" dataDxfId="1546" dataCellStyle="一般 2"/>
    <tableColumn id="19" uniqueName="19" name="F19" queryTableFieldId="19" dataDxfId="1545" dataCellStyle="一般 2"/>
    <tableColumn id="20" uniqueName="20" name="F20" queryTableFieldId="20" dataDxfId="1544" dataCellStyle="一般 2"/>
    <tableColumn id="21" uniqueName="21" name="F21" queryTableFieldId="21" dataDxfId="1543" dataCellStyle="一般 2"/>
    <tableColumn id="22" uniqueName="22" name="2024/6/24 14:52" queryTableFieldId="22" dataDxfId="1542" dataCellStyle="一般 2"/>
    <tableColumn id="23" uniqueName="23" name="F23" queryTableFieldId="23" dataDxfId="1541" dataCellStyle="一般 2"/>
    <tableColumn id="24" uniqueName="24" name="F24" queryTableFieldId="24" dataDxfId="1540" dataCellStyle="一般 2"/>
    <tableColumn id="25" uniqueName="25" name="F25" queryTableFieldId="25" dataDxfId="1539" dataCellStyle="一般 2"/>
    <tableColumn id="26" uniqueName="26" name="F26" queryTableFieldId="26" dataDxfId="1538" dataCellStyle="一般 2"/>
    <tableColumn id="27" uniqueName="27" name="F27" queryTableFieldId="27" dataDxfId="1537" dataCellStyle="一般 2"/>
    <tableColumn id="28" uniqueName="28" name="F28" queryTableFieldId="28" dataDxfId="1536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1437" dataDxfId="1436" headerRowCellStyle="一般 2" dataCellStyle="一般 2">
  <autoFilter ref="AG13:BH189"/>
  <tableColumns count="28">
    <tableColumn id="1" uniqueName="1" name="請直接以10進位，謝謝" queryTableFieldId="1" dataDxfId="1435" dataCellStyle="一般 2"/>
    <tableColumn id="2" uniqueName="2" name="F2" queryTableFieldId="2" dataDxfId="1434" dataCellStyle="一般 2"/>
    <tableColumn id="3" uniqueName="3" name="F3" queryTableFieldId="3" dataDxfId="1433" dataCellStyle="一般 2"/>
    <tableColumn id="4" uniqueName="4" name="F4" queryTableFieldId="4" dataDxfId="1432" dataCellStyle="一般 2"/>
    <tableColumn id="5" uniqueName="5" name="F5" queryTableFieldId="5" dataDxfId="1431" dataCellStyle="一般 2"/>
    <tableColumn id="6" uniqueName="6" name="F6" queryTableFieldId="6" dataDxfId="1430" dataCellStyle="一般 2"/>
    <tableColumn id="7" uniqueName="7" name="F7" queryTableFieldId="7" dataDxfId="1429" dataCellStyle="一般 2"/>
    <tableColumn id="8" uniqueName="8" name="F8" queryTableFieldId="8" dataDxfId="1428" dataCellStyle="一般 2"/>
    <tableColumn id="9" uniqueName="9" name="F9" queryTableFieldId="9" dataDxfId="1427" dataCellStyle="一般 2"/>
    <tableColumn id="10" uniqueName="10" name="F10" queryTableFieldId="10" dataDxfId="1426" dataCellStyle="一般 2"/>
    <tableColumn id="11" uniqueName="11" name="F11" queryTableFieldId="11" dataDxfId="1425" dataCellStyle="一般 2"/>
    <tableColumn id="12" uniqueName="12" name="F12" queryTableFieldId="12" dataDxfId="1424" dataCellStyle="一般 2"/>
    <tableColumn id="13" uniqueName="13" name="F13" queryTableFieldId="13" dataDxfId="1423" dataCellStyle="一般 2"/>
    <tableColumn id="14" uniqueName="14" name="F14" queryTableFieldId="14" dataDxfId="1422" dataCellStyle="一般 2"/>
    <tableColumn id="15" uniqueName="15" name="F15" queryTableFieldId="15" dataDxfId="1421" dataCellStyle="一般 2"/>
    <tableColumn id="16" uniqueName="16" name="F16" queryTableFieldId="16" dataDxfId="1420" dataCellStyle="一般 2"/>
    <tableColumn id="17" uniqueName="17" name="F17" queryTableFieldId="17" dataDxfId="1419" dataCellStyle="一般 2"/>
    <tableColumn id="18" uniqueName="18" name="F18" queryTableFieldId="18" dataDxfId="1418" dataCellStyle="一般 2"/>
    <tableColumn id="19" uniqueName="19" name="F19" queryTableFieldId="19" dataDxfId="1417" dataCellStyle="一般 2"/>
    <tableColumn id="20" uniqueName="20" name="F20" queryTableFieldId="20" dataDxfId="1416" dataCellStyle="一般 2"/>
    <tableColumn id="21" uniqueName="21" name="F21" queryTableFieldId="21" dataDxfId="1415" dataCellStyle="一般 2"/>
    <tableColumn id="22" uniqueName="22" name="2024/6/24 14:52" queryTableFieldId="22" dataDxfId="1414" dataCellStyle="一般 2"/>
    <tableColumn id="23" uniqueName="23" name="F23" queryTableFieldId="23" dataDxfId="1413" dataCellStyle="一般 2"/>
    <tableColumn id="24" uniqueName="24" name="F24" queryTableFieldId="24" dataDxfId="1412" dataCellStyle="一般 2"/>
    <tableColumn id="25" uniqueName="25" name="F25" queryTableFieldId="25" dataDxfId="1411" dataCellStyle="一般 2"/>
    <tableColumn id="26" uniqueName="26" name="F26" queryTableFieldId="26" dataDxfId="1410" dataCellStyle="一般 2"/>
    <tableColumn id="27" uniqueName="27" name="F27" queryTableFieldId="27" dataDxfId="1409" dataCellStyle="一般 2"/>
    <tableColumn id="28" uniqueName="28" name="F28" queryTableFieldId="28" dataDxfId="1408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1309" dataDxfId="1308" headerRowCellStyle="一般 2" dataCellStyle="一般 2">
  <autoFilter ref="AG13:BH189"/>
  <tableColumns count="28">
    <tableColumn id="1" uniqueName="1" name="請直接以10進位，謝謝" queryTableFieldId="1" dataDxfId="1307" dataCellStyle="一般 2"/>
    <tableColumn id="2" uniqueName="2" name="F2" queryTableFieldId="2" dataDxfId="1306" dataCellStyle="一般 2"/>
    <tableColumn id="3" uniqueName="3" name="F3" queryTableFieldId="3" dataDxfId="1305" dataCellStyle="一般 2"/>
    <tableColumn id="4" uniqueName="4" name="F4" queryTableFieldId="4" dataDxfId="1304" dataCellStyle="一般 2"/>
    <tableColumn id="5" uniqueName="5" name="F5" queryTableFieldId="5" dataDxfId="1303" dataCellStyle="一般 2"/>
    <tableColumn id="6" uniqueName="6" name="F6" queryTableFieldId="6" dataDxfId="1302" dataCellStyle="一般 2"/>
    <tableColumn id="7" uniqueName="7" name="F7" queryTableFieldId="7" dataDxfId="1301" dataCellStyle="一般 2"/>
    <tableColumn id="8" uniqueName="8" name="F8" queryTableFieldId="8" dataDxfId="1300" dataCellStyle="一般 2"/>
    <tableColumn id="9" uniqueName="9" name="F9" queryTableFieldId="9" dataDxfId="1299" dataCellStyle="一般 2"/>
    <tableColumn id="10" uniqueName="10" name="F10" queryTableFieldId="10" dataDxfId="1298" dataCellStyle="一般 2"/>
    <tableColumn id="11" uniqueName="11" name="F11" queryTableFieldId="11" dataDxfId="1297" dataCellStyle="一般 2"/>
    <tableColumn id="12" uniqueName="12" name="F12" queryTableFieldId="12" dataDxfId="1296" dataCellStyle="一般 2"/>
    <tableColumn id="13" uniqueName="13" name="F13" queryTableFieldId="13" dataDxfId="1295" dataCellStyle="一般 2"/>
    <tableColumn id="14" uniqueName="14" name="F14" queryTableFieldId="14" dataDxfId="1294" dataCellStyle="一般 2"/>
    <tableColumn id="15" uniqueName="15" name="F15" queryTableFieldId="15" dataDxfId="1293" dataCellStyle="一般 2"/>
    <tableColumn id="16" uniqueName="16" name="F16" queryTableFieldId="16" dataDxfId="1292" dataCellStyle="一般 2"/>
    <tableColumn id="17" uniqueName="17" name="F17" queryTableFieldId="17" dataDxfId="1291" dataCellStyle="一般 2"/>
    <tableColumn id="18" uniqueName="18" name="F18" queryTableFieldId="18" dataDxfId="1290" dataCellStyle="一般 2"/>
    <tableColumn id="19" uniqueName="19" name="F19" queryTableFieldId="19" dataDxfId="1289" dataCellStyle="一般 2"/>
    <tableColumn id="20" uniqueName="20" name="F20" queryTableFieldId="20" dataDxfId="1288" dataCellStyle="一般 2"/>
    <tableColumn id="21" uniqueName="21" name="F21" queryTableFieldId="21" dataDxfId="1287" dataCellStyle="一般 2"/>
    <tableColumn id="22" uniqueName="22" name="2024/6/24 14:52" queryTableFieldId="22" dataDxfId="1286" dataCellStyle="一般 2"/>
    <tableColumn id="23" uniqueName="23" name="F23" queryTableFieldId="23" dataDxfId="1285" dataCellStyle="一般 2"/>
    <tableColumn id="24" uniqueName="24" name="F24" queryTableFieldId="24" dataDxfId="1284" dataCellStyle="一般 2"/>
    <tableColumn id="25" uniqueName="25" name="F25" queryTableFieldId="25" dataDxfId="1283" dataCellStyle="一般 2"/>
    <tableColumn id="26" uniqueName="26" name="F26" queryTableFieldId="26" dataDxfId="1282" dataCellStyle="一般 2"/>
    <tableColumn id="27" uniqueName="27" name="F27" queryTableFieldId="27" dataDxfId="1281" dataCellStyle="一般 2"/>
    <tableColumn id="28" uniqueName="28" name="F28" queryTableFieldId="28" dataDxfId="1280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1181" dataDxfId="1180" headerRowCellStyle="一般 2" dataCellStyle="一般 2">
  <autoFilter ref="AG13:BH189"/>
  <tableColumns count="28">
    <tableColumn id="1" uniqueName="1" name="請直接以10進位，謝謝" queryTableFieldId="1" dataDxfId="1179" dataCellStyle="一般 2"/>
    <tableColumn id="2" uniqueName="2" name="F2" queryTableFieldId="2" dataDxfId="1178" dataCellStyle="一般 2"/>
    <tableColumn id="3" uniqueName="3" name="F3" queryTableFieldId="3" dataDxfId="1177" dataCellStyle="一般 2"/>
    <tableColumn id="4" uniqueName="4" name="F4" queryTableFieldId="4" dataDxfId="1176" dataCellStyle="一般 2"/>
    <tableColumn id="5" uniqueName="5" name="F5" queryTableFieldId="5" dataDxfId="1175" dataCellStyle="一般 2"/>
    <tableColumn id="6" uniqueName="6" name="F6" queryTableFieldId="6" dataDxfId="1174" dataCellStyle="一般 2"/>
    <tableColumn id="7" uniqueName="7" name="F7" queryTableFieldId="7" dataDxfId="1173" dataCellStyle="一般 2"/>
    <tableColumn id="8" uniqueName="8" name="F8" queryTableFieldId="8" dataDxfId="1172" dataCellStyle="一般 2"/>
    <tableColumn id="9" uniqueName="9" name="F9" queryTableFieldId="9" dataDxfId="1171" dataCellStyle="一般 2"/>
    <tableColumn id="10" uniqueName="10" name="F10" queryTableFieldId="10" dataDxfId="1170" dataCellStyle="一般 2"/>
    <tableColumn id="11" uniqueName="11" name="F11" queryTableFieldId="11" dataDxfId="1169" dataCellStyle="一般 2"/>
    <tableColumn id="12" uniqueName="12" name="F12" queryTableFieldId="12" dataDxfId="1168" dataCellStyle="一般 2"/>
    <tableColumn id="13" uniqueName="13" name="F13" queryTableFieldId="13" dataDxfId="1167" dataCellStyle="一般 2"/>
    <tableColumn id="14" uniqueName="14" name="F14" queryTableFieldId="14" dataDxfId="1166" dataCellStyle="一般 2"/>
    <tableColumn id="15" uniqueName="15" name="F15" queryTableFieldId="15" dataDxfId="1165" dataCellStyle="一般 2"/>
    <tableColumn id="16" uniqueName="16" name="F16" queryTableFieldId="16" dataDxfId="1164" dataCellStyle="一般 2"/>
    <tableColumn id="17" uniqueName="17" name="F17" queryTableFieldId="17" dataDxfId="1163" dataCellStyle="一般 2"/>
    <tableColumn id="18" uniqueName="18" name="F18" queryTableFieldId="18" dataDxfId="1162" dataCellStyle="一般 2"/>
    <tableColumn id="19" uniqueName="19" name="F19" queryTableFieldId="19" dataDxfId="1161" dataCellStyle="一般 2"/>
    <tableColumn id="20" uniqueName="20" name="F20" queryTableFieldId="20" dataDxfId="1160" dataCellStyle="一般 2"/>
    <tableColumn id="21" uniqueName="21" name="F21" queryTableFieldId="21" dataDxfId="1159" dataCellStyle="一般 2"/>
    <tableColumn id="22" uniqueName="22" name="2024/6/24 14:52" queryTableFieldId="22" dataDxfId="1158" dataCellStyle="一般 2"/>
    <tableColumn id="23" uniqueName="23" name="F23" queryTableFieldId="23" dataDxfId="1157" dataCellStyle="一般 2"/>
    <tableColumn id="24" uniqueName="24" name="F24" queryTableFieldId="24" dataDxfId="1156" dataCellStyle="一般 2"/>
    <tableColumn id="25" uniqueName="25" name="F25" queryTableFieldId="25" dataDxfId="1155" dataCellStyle="一般 2"/>
    <tableColumn id="26" uniqueName="26" name="F26" queryTableFieldId="26" dataDxfId="1154" dataCellStyle="一般 2"/>
    <tableColumn id="27" uniqueName="27" name="F27" queryTableFieldId="27" dataDxfId="1153" dataCellStyle="一般 2"/>
    <tableColumn id="28" uniqueName="28" name="F28" queryTableFieldId="28" dataDxfId="1152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1053" dataDxfId="1052" headerRowCellStyle="一般 2" dataCellStyle="一般 2">
  <autoFilter ref="AG13:BH189"/>
  <tableColumns count="28">
    <tableColumn id="1" uniqueName="1" name="請直接以10進位，謝謝" queryTableFieldId="1" dataDxfId="1051" dataCellStyle="一般 2"/>
    <tableColumn id="2" uniqueName="2" name="F2" queryTableFieldId="2" dataDxfId="1050" dataCellStyle="一般 2"/>
    <tableColumn id="3" uniqueName="3" name="F3" queryTableFieldId="3" dataDxfId="1049" dataCellStyle="一般 2"/>
    <tableColumn id="4" uniqueName="4" name="F4" queryTableFieldId="4" dataDxfId="1048" dataCellStyle="一般 2"/>
    <tableColumn id="5" uniqueName="5" name="F5" queryTableFieldId="5" dataDxfId="1047" dataCellStyle="一般 2"/>
    <tableColumn id="6" uniqueName="6" name="F6" queryTableFieldId="6" dataDxfId="1046" dataCellStyle="一般 2"/>
    <tableColumn id="7" uniqueName="7" name="F7" queryTableFieldId="7" dataDxfId="1045" dataCellStyle="一般 2"/>
    <tableColumn id="8" uniqueName="8" name="F8" queryTableFieldId="8" dataDxfId="1044" dataCellStyle="一般 2"/>
    <tableColumn id="9" uniqueName="9" name="F9" queryTableFieldId="9" dataDxfId="1043" dataCellStyle="一般 2"/>
    <tableColumn id="10" uniqueName="10" name="F10" queryTableFieldId="10" dataDxfId="1042" dataCellStyle="一般 2"/>
    <tableColumn id="11" uniqueName="11" name="F11" queryTableFieldId="11" dataDxfId="1041" dataCellStyle="一般 2"/>
    <tableColumn id="12" uniqueName="12" name="F12" queryTableFieldId="12" dataDxfId="1040" dataCellStyle="一般 2"/>
    <tableColumn id="13" uniqueName="13" name="F13" queryTableFieldId="13" dataDxfId="1039" dataCellStyle="一般 2"/>
    <tableColumn id="14" uniqueName="14" name="F14" queryTableFieldId="14" dataDxfId="1038" dataCellStyle="一般 2"/>
    <tableColumn id="15" uniqueName="15" name="F15" queryTableFieldId="15" dataDxfId="1037" dataCellStyle="一般 2"/>
    <tableColumn id="16" uniqueName="16" name="F16" queryTableFieldId="16" dataDxfId="1036" dataCellStyle="一般 2"/>
    <tableColumn id="17" uniqueName="17" name="F17" queryTableFieldId="17" dataDxfId="1035" dataCellStyle="一般 2"/>
    <tableColumn id="18" uniqueName="18" name="F18" queryTableFieldId="18" dataDxfId="1034" dataCellStyle="一般 2"/>
    <tableColumn id="19" uniqueName="19" name="F19" queryTableFieldId="19" dataDxfId="1033" dataCellStyle="一般 2"/>
    <tableColumn id="20" uniqueName="20" name="F20" queryTableFieldId="20" dataDxfId="1032" dataCellStyle="一般 2"/>
    <tableColumn id="21" uniqueName="21" name="F21" queryTableFieldId="21" dataDxfId="1031" dataCellStyle="一般 2"/>
    <tableColumn id="22" uniqueName="22" name="2024/6/24 14:52" queryTableFieldId="22" dataDxfId="1030" dataCellStyle="一般 2"/>
    <tableColumn id="23" uniqueName="23" name="F23" queryTableFieldId="23" dataDxfId="1029" dataCellStyle="一般 2"/>
    <tableColumn id="24" uniqueName="24" name="F24" queryTableFieldId="24" dataDxfId="1028" dataCellStyle="一般 2"/>
    <tableColumn id="25" uniqueName="25" name="F25" queryTableFieldId="25" dataDxfId="1027" dataCellStyle="一般 2"/>
    <tableColumn id="26" uniqueName="26" name="F26" queryTableFieldId="26" dataDxfId="1026" dataCellStyle="一般 2"/>
    <tableColumn id="27" uniqueName="27" name="F27" queryTableFieldId="27" dataDxfId="1025" dataCellStyle="一般 2"/>
    <tableColumn id="28" uniqueName="28" name="F28" queryTableFieldId="28" dataDxfId="1024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925" dataDxfId="924" headerRowCellStyle="一般 2" dataCellStyle="一般 2">
  <autoFilter ref="AG13:BH189"/>
  <tableColumns count="28">
    <tableColumn id="1" uniqueName="1" name="請直接以10進位，謝謝" queryTableFieldId="1" dataDxfId="923" dataCellStyle="一般 2"/>
    <tableColumn id="2" uniqueName="2" name="F2" queryTableFieldId="2" dataDxfId="922" dataCellStyle="一般 2"/>
    <tableColumn id="3" uniqueName="3" name="F3" queryTableFieldId="3" dataDxfId="921" dataCellStyle="一般 2"/>
    <tableColumn id="4" uniqueName="4" name="F4" queryTableFieldId="4" dataDxfId="920" dataCellStyle="一般 2"/>
    <tableColumn id="5" uniqueName="5" name="F5" queryTableFieldId="5" dataDxfId="919" dataCellStyle="一般 2"/>
    <tableColumn id="6" uniqueName="6" name="F6" queryTableFieldId="6" dataDxfId="918" dataCellStyle="一般 2"/>
    <tableColumn id="7" uniqueName="7" name="F7" queryTableFieldId="7" dataDxfId="917" dataCellStyle="一般 2"/>
    <tableColumn id="8" uniqueName="8" name="F8" queryTableFieldId="8" dataDxfId="916" dataCellStyle="一般 2"/>
    <tableColumn id="9" uniqueName="9" name="F9" queryTableFieldId="9" dataDxfId="915" dataCellStyle="一般 2"/>
    <tableColumn id="10" uniqueName="10" name="F10" queryTableFieldId="10" dataDxfId="914" dataCellStyle="一般 2"/>
    <tableColumn id="11" uniqueName="11" name="F11" queryTableFieldId="11" dataDxfId="913" dataCellStyle="一般 2"/>
    <tableColumn id="12" uniqueName="12" name="F12" queryTableFieldId="12" dataDxfId="912" dataCellStyle="一般 2"/>
    <tableColumn id="13" uniqueName="13" name="F13" queryTableFieldId="13" dataDxfId="911" dataCellStyle="一般 2"/>
    <tableColumn id="14" uniqueName="14" name="F14" queryTableFieldId="14" dataDxfId="910" dataCellStyle="一般 2"/>
    <tableColumn id="15" uniqueName="15" name="F15" queryTableFieldId="15" dataDxfId="909" dataCellStyle="一般 2"/>
    <tableColumn id="16" uniqueName="16" name="F16" queryTableFieldId="16" dataDxfId="908" dataCellStyle="一般 2"/>
    <tableColumn id="17" uniqueName="17" name="F17" queryTableFieldId="17" dataDxfId="907" dataCellStyle="一般 2"/>
    <tableColumn id="18" uniqueName="18" name="F18" queryTableFieldId="18" dataDxfId="906" dataCellStyle="一般 2"/>
    <tableColumn id="19" uniqueName="19" name="F19" queryTableFieldId="19" dataDxfId="905" dataCellStyle="一般 2"/>
    <tableColumn id="20" uniqueName="20" name="F20" queryTableFieldId="20" dataDxfId="904" dataCellStyle="一般 2"/>
    <tableColumn id="21" uniqueName="21" name="F21" queryTableFieldId="21" dataDxfId="903" dataCellStyle="一般 2"/>
    <tableColumn id="22" uniqueName="22" name="2024/6/24 14:52" queryTableFieldId="22" dataDxfId="902" dataCellStyle="一般 2"/>
    <tableColumn id="23" uniqueName="23" name="F23" queryTableFieldId="23" dataDxfId="901" dataCellStyle="一般 2"/>
    <tableColumn id="24" uniqueName="24" name="F24" queryTableFieldId="24" dataDxfId="900" dataCellStyle="一般 2"/>
    <tableColumn id="25" uniqueName="25" name="F25" queryTableFieldId="25" dataDxfId="899" dataCellStyle="一般 2"/>
    <tableColumn id="26" uniqueName="26" name="F26" queryTableFieldId="26" dataDxfId="898" dataCellStyle="一般 2"/>
    <tableColumn id="27" uniqueName="27" name="F27" queryTableFieldId="27" dataDxfId="897" dataCellStyle="一般 2"/>
    <tableColumn id="28" uniqueName="28" name="F28" queryTableFieldId="28" dataDxfId="896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797" dataDxfId="796" headerRowCellStyle="一般 2" dataCellStyle="一般 2">
  <autoFilter ref="AG13:BH189"/>
  <tableColumns count="28">
    <tableColumn id="1" uniqueName="1" name="請直接以10進位，謝謝" queryTableFieldId="1" dataDxfId="795" dataCellStyle="一般 2"/>
    <tableColumn id="2" uniqueName="2" name="F2" queryTableFieldId="2" dataDxfId="794" dataCellStyle="一般 2"/>
    <tableColumn id="3" uniqueName="3" name="F3" queryTableFieldId="3" dataDxfId="793" dataCellStyle="一般 2"/>
    <tableColumn id="4" uniqueName="4" name="F4" queryTableFieldId="4" dataDxfId="792" dataCellStyle="一般 2"/>
    <tableColumn id="5" uniqueName="5" name="F5" queryTableFieldId="5" dataDxfId="791" dataCellStyle="一般 2"/>
    <tableColumn id="6" uniqueName="6" name="F6" queryTableFieldId="6" dataDxfId="790" dataCellStyle="一般 2"/>
    <tableColumn id="7" uniqueName="7" name="F7" queryTableFieldId="7" dataDxfId="789" dataCellStyle="一般 2"/>
    <tableColumn id="8" uniqueName="8" name="F8" queryTableFieldId="8" dataDxfId="788" dataCellStyle="一般 2"/>
    <tableColumn id="9" uniqueName="9" name="F9" queryTableFieldId="9" dataDxfId="787" dataCellStyle="一般 2"/>
    <tableColumn id="10" uniqueName="10" name="F10" queryTableFieldId="10" dataDxfId="786" dataCellStyle="一般 2"/>
    <tableColumn id="11" uniqueName="11" name="F11" queryTableFieldId="11" dataDxfId="785" dataCellStyle="一般 2"/>
    <tableColumn id="12" uniqueName="12" name="F12" queryTableFieldId="12" dataDxfId="784" dataCellStyle="一般 2"/>
    <tableColumn id="13" uniqueName="13" name="F13" queryTableFieldId="13" dataDxfId="783" dataCellStyle="一般 2"/>
    <tableColumn id="14" uniqueName="14" name="F14" queryTableFieldId="14" dataDxfId="782" dataCellStyle="一般 2"/>
    <tableColumn id="15" uniqueName="15" name="F15" queryTableFieldId="15" dataDxfId="781" dataCellStyle="一般 2"/>
    <tableColumn id="16" uniqueName="16" name="F16" queryTableFieldId="16" dataDxfId="780" dataCellStyle="一般 2"/>
    <tableColumn id="17" uniqueName="17" name="F17" queryTableFieldId="17" dataDxfId="779" dataCellStyle="一般 2"/>
    <tableColumn id="18" uniqueName="18" name="F18" queryTableFieldId="18" dataDxfId="778" dataCellStyle="一般 2"/>
    <tableColumn id="19" uniqueName="19" name="F19" queryTableFieldId="19" dataDxfId="777" dataCellStyle="一般 2"/>
    <tableColumn id="20" uniqueName="20" name="F20" queryTableFieldId="20" dataDxfId="776" dataCellStyle="一般 2"/>
    <tableColumn id="21" uniqueName="21" name="F21" queryTableFieldId="21" dataDxfId="775" dataCellStyle="一般 2"/>
    <tableColumn id="22" uniqueName="22" name="2024/6/24 14:52" queryTableFieldId="22" dataDxfId="774" dataCellStyle="一般 2"/>
    <tableColumn id="23" uniqueName="23" name="F23" queryTableFieldId="23" dataDxfId="773" dataCellStyle="一般 2"/>
    <tableColumn id="24" uniqueName="24" name="F24" queryTableFieldId="24" dataDxfId="772" dataCellStyle="一般 2"/>
    <tableColumn id="25" uniqueName="25" name="F25" queryTableFieldId="25" dataDxfId="771" dataCellStyle="一般 2"/>
    <tableColumn id="26" uniqueName="26" name="F26" queryTableFieldId="26" dataDxfId="770" dataCellStyle="一般 2"/>
    <tableColumn id="27" uniqueName="27" name="F27" queryTableFieldId="27" dataDxfId="769" dataCellStyle="一般 2"/>
    <tableColumn id="28" uniqueName="28" name="F28" queryTableFieldId="28" dataDxfId="768" dataCellStyle="一般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669" dataDxfId="668" headerRowCellStyle="一般 2" dataCellStyle="一般 2">
  <autoFilter ref="AG13:BH189"/>
  <tableColumns count="28">
    <tableColumn id="1" uniqueName="1" name="請直接以10進位，謝謝" queryTableFieldId="1" dataDxfId="667" dataCellStyle="一般 2"/>
    <tableColumn id="2" uniqueName="2" name="F2" queryTableFieldId="2" dataDxfId="666" dataCellStyle="一般 2"/>
    <tableColumn id="3" uniqueName="3" name="F3" queryTableFieldId="3" dataDxfId="665" dataCellStyle="一般 2"/>
    <tableColumn id="4" uniqueName="4" name="F4" queryTableFieldId="4" dataDxfId="664" dataCellStyle="一般 2"/>
    <tableColumn id="5" uniqueName="5" name="F5" queryTableFieldId="5" dataDxfId="663" dataCellStyle="一般 2"/>
    <tableColumn id="6" uniqueName="6" name="F6" queryTableFieldId="6" dataDxfId="662" dataCellStyle="一般 2"/>
    <tableColumn id="7" uniqueName="7" name="F7" queryTableFieldId="7" dataDxfId="661" dataCellStyle="一般 2"/>
    <tableColumn id="8" uniqueName="8" name="F8" queryTableFieldId="8" dataDxfId="660" dataCellStyle="一般 2"/>
    <tableColumn id="9" uniqueName="9" name="F9" queryTableFieldId="9" dataDxfId="659" dataCellStyle="一般 2"/>
    <tableColumn id="10" uniqueName="10" name="F10" queryTableFieldId="10" dataDxfId="658" dataCellStyle="一般 2"/>
    <tableColumn id="11" uniqueName="11" name="F11" queryTableFieldId="11" dataDxfId="657" dataCellStyle="一般 2"/>
    <tableColumn id="12" uniqueName="12" name="F12" queryTableFieldId="12" dataDxfId="656" dataCellStyle="一般 2"/>
    <tableColumn id="13" uniqueName="13" name="F13" queryTableFieldId="13" dataDxfId="655" dataCellStyle="一般 2"/>
    <tableColumn id="14" uniqueName="14" name="F14" queryTableFieldId="14" dataDxfId="654" dataCellStyle="一般 2"/>
    <tableColumn id="15" uniqueName="15" name="F15" queryTableFieldId="15" dataDxfId="653" dataCellStyle="一般 2"/>
    <tableColumn id="16" uniqueName="16" name="F16" queryTableFieldId="16" dataDxfId="652" dataCellStyle="一般 2"/>
    <tableColumn id="17" uniqueName="17" name="F17" queryTableFieldId="17" dataDxfId="651" dataCellStyle="一般 2"/>
    <tableColumn id="18" uniqueName="18" name="F18" queryTableFieldId="18" dataDxfId="650" dataCellStyle="一般 2"/>
    <tableColumn id="19" uniqueName="19" name="F19" queryTableFieldId="19" dataDxfId="649" dataCellStyle="一般 2"/>
    <tableColumn id="20" uniqueName="20" name="F20" queryTableFieldId="20" dataDxfId="648" dataCellStyle="一般 2"/>
    <tableColumn id="21" uniqueName="21" name="F21" queryTableFieldId="21" dataDxfId="647" dataCellStyle="一般 2"/>
    <tableColumn id="22" uniqueName="22" name="2024/6/24 14:52" queryTableFieldId="22" dataDxfId="646" dataCellStyle="一般 2"/>
    <tableColumn id="23" uniqueName="23" name="F23" queryTableFieldId="23" dataDxfId="645" dataCellStyle="一般 2"/>
    <tableColumn id="24" uniqueName="24" name="F24" queryTableFieldId="24" dataDxfId="644" dataCellStyle="一般 2"/>
    <tableColumn id="25" uniqueName="25" name="F25" queryTableFieldId="25" dataDxfId="643" dataCellStyle="一般 2"/>
    <tableColumn id="26" uniqueName="26" name="F26" queryTableFieldId="26" dataDxfId="642" dataCellStyle="一般 2"/>
    <tableColumn id="27" uniqueName="27" name="F27" queryTableFieldId="27" dataDxfId="641" dataCellStyle="一般 2"/>
    <tableColumn id="28" uniqueName="28" name="F28" queryTableFieldId="28" dataDxfId="640" dataCellStyle="一般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ref="AG13:BH189" tableType="queryTable" totalsRowShown="0" headerRowDxfId="541" dataDxfId="540" headerRowCellStyle="一般 2" dataCellStyle="一般 2">
  <autoFilter ref="AG13:BH189"/>
  <tableColumns count="28">
    <tableColumn id="1" uniqueName="1" name="請直接以10進位，謝謝" queryTableFieldId="1" dataDxfId="539" dataCellStyle="一般 2"/>
    <tableColumn id="2" uniqueName="2" name="F2" queryTableFieldId="2" dataDxfId="538" dataCellStyle="一般 2"/>
    <tableColumn id="3" uniqueName="3" name="F3" queryTableFieldId="3" dataDxfId="537" dataCellStyle="一般 2"/>
    <tableColumn id="4" uniqueName="4" name="F4" queryTableFieldId="4" dataDxfId="536" dataCellStyle="一般 2"/>
    <tableColumn id="5" uniqueName="5" name="F5" queryTableFieldId="5" dataDxfId="535" dataCellStyle="一般 2"/>
    <tableColumn id="6" uniqueName="6" name="F6" queryTableFieldId="6" dataDxfId="534" dataCellStyle="一般 2"/>
    <tableColumn id="7" uniqueName="7" name="F7" queryTableFieldId="7" dataDxfId="533" dataCellStyle="一般 2"/>
    <tableColumn id="8" uniqueName="8" name="F8" queryTableFieldId="8" dataDxfId="532" dataCellStyle="一般 2"/>
    <tableColumn id="9" uniqueName="9" name="F9" queryTableFieldId="9" dataDxfId="531" dataCellStyle="一般 2"/>
    <tableColumn id="10" uniqueName="10" name="F10" queryTableFieldId="10" dataDxfId="530" dataCellStyle="一般 2"/>
    <tableColumn id="11" uniqueName="11" name="F11" queryTableFieldId="11" dataDxfId="529" dataCellStyle="一般 2"/>
    <tableColumn id="12" uniqueName="12" name="F12" queryTableFieldId="12" dataDxfId="528" dataCellStyle="一般 2"/>
    <tableColumn id="13" uniqueName="13" name="F13" queryTableFieldId="13" dataDxfId="527" dataCellStyle="一般 2"/>
    <tableColumn id="14" uniqueName="14" name="F14" queryTableFieldId="14" dataDxfId="526" dataCellStyle="一般 2"/>
    <tableColumn id="15" uniqueName="15" name="F15" queryTableFieldId="15" dataDxfId="525" dataCellStyle="一般 2"/>
    <tableColumn id="16" uniqueName="16" name="F16" queryTableFieldId="16" dataDxfId="524" dataCellStyle="一般 2"/>
    <tableColumn id="17" uniqueName="17" name="F17" queryTableFieldId="17" dataDxfId="523" dataCellStyle="一般 2"/>
    <tableColumn id="18" uniqueName="18" name="F18" queryTableFieldId="18" dataDxfId="522" dataCellStyle="一般 2"/>
    <tableColumn id="19" uniqueName="19" name="F19" queryTableFieldId="19" dataDxfId="521" dataCellStyle="一般 2"/>
    <tableColumn id="20" uniqueName="20" name="F20" queryTableFieldId="20" dataDxfId="520" dataCellStyle="一般 2"/>
    <tableColumn id="21" uniqueName="21" name="F21" queryTableFieldId="21" dataDxfId="519" dataCellStyle="一般 2"/>
    <tableColumn id="22" uniqueName="22" name="2024/6/24 14:52" queryTableFieldId="22" dataDxfId="518" dataCellStyle="一般 2"/>
    <tableColumn id="23" uniqueName="23" name="F23" queryTableFieldId="23" dataDxfId="517" dataCellStyle="一般 2"/>
    <tableColumn id="24" uniqueName="24" name="F24" queryTableFieldId="24" dataDxfId="516" dataCellStyle="一般 2"/>
    <tableColumn id="25" uniqueName="25" name="F25" queryTableFieldId="25" dataDxfId="515" dataCellStyle="一般 2"/>
    <tableColumn id="26" uniqueName="26" name="F26" queryTableFieldId="26" dataDxfId="514" dataCellStyle="一般 2"/>
    <tableColumn id="27" uniqueName="27" name="F27" queryTableFieldId="27" dataDxfId="513" dataCellStyle="一般 2"/>
    <tableColumn id="28" uniqueName="28" name="F28" queryTableFieldId="28" dataDxfId="512" dataCellStyle="一般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ref="AG13:BH189" tableType="queryTable" totalsRowShown="0" headerRowDxfId="413" dataDxfId="412" headerRowCellStyle="一般 2" dataCellStyle="一般 2">
  <autoFilter ref="AG13:BH189"/>
  <tableColumns count="28">
    <tableColumn id="1" uniqueName="1" name="請直接以10進位，謝謝" queryTableFieldId="1" dataDxfId="411" dataCellStyle="一般 2"/>
    <tableColumn id="2" uniqueName="2" name="F2" queryTableFieldId="2" dataDxfId="410" dataCellStyle="一般 2"/>
    <tableColumn id="3" uniqueName="3" name="F3" queryTableFieldId="3" dataDxfId="409" dataCellStyle="一般 2"/>
    <tableColumn id="4" uniqueName="4" name="F4" queryTableFieldId="4" dataDxfId="408" dataCellStyle="一般 2"/>
    <tableColumn id="5" uniqueName="5" name="F5" queryTableFieldId="5" dataDxfId="407" dataCellStyle="一般 2"/>
    <tableColumn id="6" uniqueName="6" name="F6" queryTableFieldId="6" dataDxfId="406" dataCellStyle="一般 2"/>
    <tableColumn id="7" uniqueName="7" name="F7" queryTableFieldId="7" dataDxfId="405" dataCellStyle="一般 2"/>
    <tableColumn id="8" uniqueName="8" name="F8" queryTableFieldId="8" dataDxfId="404" dataCellStyle="一般 2"/>
    <tableColumn id="9" uniqueName="9" name="F9" queryTableFieldId="9" dataDxfId="403" dataCellStyle="一般 2"/>
    <tableColumn id="10" uniqueName="10" name="F10" queryTableFieldId="10" dataDxfId="402" dataCellStyle="一般 2"/>
    <tableColumn id="11" uniqueName="11" name="F11" queryTableFieldId="11" dataDxfId="401" dataCellStyle="一般 2"/>
    <tableColumn id="12" uniqueName="12" name="F12" queryTableFieldId="12" dataDxfId="400" dataCellStyle="一般 2"/>
    <tableColumn id="13" uniqueName="13" name="F13" queryTableFieldId="13" dataDxfId="399" dataCellStyle="一般 2"/>
    <tableColumn id="14" uniqueName="14" name="F14" queryTableFieldId="14" dataDxfId="398" dataCellStyle="一般 2"/>
    <tableColumn id="15" uniqueName="15" name="F15" queryTableFieldId="15" dataDxfId="397" dataCellStyle="一般 2"/>
    <tableColumn id="16" uniqueName="16" name="F16" queryTableFieldId="16" dataDxfId="396" dataCellStyle="一般 2"/>
    <tableColumn id="17" uniqueName="17" name="F17" queryTableFieldId="17" dataDxfId="395" dataCellStyle="一般 2"/>
    <tableColumn id="18" uniqueName="18" name="F18" queryTableFieldId="18" dataDxfId="394" dataCellStyle="一般 2"/>
    <tableColumn id="19" uniqueName="19" name="F19" queryTableFieldId="19" dataDxfId="393" dataCellStyle="一般 2"/>
    <tableColumn id="20" uniqueName="20" name="F20" queryTableFieldId="20" dataDxfId="392" dataCellStyle="一般 2"/>
    <tableColumn id="21" uniqueName="21" name="F21" queryTableFieldId="21" dataDxfId="391" dataCellStyle="一般 2"/>
    <tableColumn id="22" uniqueName="22" name="2024/6/24 14:52" queryTableFieldId="22" dataDxfId="390" dataCellStyle="一般 2"/>
    <tableColumn id="23" uniqueName="23" name="F23" queryTableFieldId="23" dataDxfId="389" dataCellStyle="一般 2"/>
    <tableColumn id="24" uniqueName="24" name="F24" queryTableFieldId="24" dataDxfId="388" dataCellStyle="一般 2"/>
    <tableColumn id="25" uniqueName="25" name="F25" queryTableFieldId="25" dataDxfId="387" dataCellStyle="一般 2"/>
    <tableColumn id="26" uniqueName="26" name="F26" queryTableFieldId="26" dataDxfId="386" dataCellStyle="一般 2"/>
    <tableColumn id="27" uniqueName="27" name="F27" queryTableFieldId="27" dataDxfId="385" dataCellStyle="一般 2"/>
    <tableColumn id="28" uniqueName="28" name="F28" queryTableFieldId="28" dataDxfId="384" dataCellStyle="一般 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285" dataDxfId="284" headerRowCellStyle="一般 2" dataCellStyle="一般 2">
  <autoFilter ref="AG13:BH189"/>
  <tableColumns count="28">
    <tableColumn id="1" uniqueName="1" name="請直接以10進位，謝謝" queryTableFieldId="1" dataDxfId="283" dataCellStyle="一般 2"/>
    <tableColumn id="2" uniqueName="2" name="F2" queryTableFieldId="2" dataDxfId="282" dataCellStyle="一般 2"/>
    <tableColumn id="3" uniqueName="3" name="F3" queryTableFieldId="3" dataDxfId="281" dataCellStyle="一般 2"/>
    <tableColumn id="4" uniqueName="4" name="F4" queryTableFieldId="4" dataDxfId="280" dataCellStyle="一般 2"/>
    <tableColumn id="5" uniqueName="5" name="F5" queryTableFieldId="5" dataDxfId="279" dataCellStyle="一般 2"/>
    <tableColumn id="6" uniqueName="6" name="F6" queryTableFieldId="6" dataDxfId="278" dataCellStyle="一般 2"/>
    <tableColumn id="7" uniqueName="7" name="F7" queryTableFieldId="7" dataDxfId="277" dataCellStyle="一般 2"/>
    <tableColumn id="8" uniqueName="8" name="F8" queryTableFieldId="8" dataDxfId="276" dataCellStyle="一般 2"/>
    <tableColumn id="9" uniqueName="9" name="F9" queryTableFieldId="9" dataDxfId="275" dataCellStyle="一般 2"/>
    <tableColumn id="10" uniqueName="10" name="F10" queryTableFieldId="10" dataDxfId="274" dataCellStyle="一般 2"/>
    <tableColumn id="11" uniqueName="11" name="F11" queryTableFieldId="11" dataDxfId="273" dataCellStyle="一般 2"/>
    <tableColumn id="12" uniqueName="12" name="F12" queryTableFieldId="12" dataDxfId="272" dataCellStyle="一般 2"/>
    <tableColumn id="13" uniqueName="13" name="F13" queryTableFieldId="13" dataDxfId="271" dataCellStyle="一般 2"/>
    <tableColumn id="14" uniqueName="14" name="F14" queryTableFieldId="14" dataDxfId="270" dataCellStyle="一般 2"/>
    <tableColumn id="15" uniqueName="15" name="F15" queryTableFieldId="15" dataDxfId="269" dataCellStyle="一般 2"/>
    <tableColumn id="16" uniqueName="16" name="F16" queryTableFieldId="16" dataDxfId="268" dataCellStyle="一般 2"/>
    <tableColumn id="17" uniqueName="17" name="F17" queryTableFieldId="17" dataDxfId="267" dataCellStyle="一般 2"/>
    <tableColumn id="18" uniqueName="18" name="F18" queryTableFieldId="18" dataDxfId="266" dataCellStyle="一般 2"/>
    <tableColumn id="19" uniqueName="19" name="F19" queryTableFieldId="19" dataDxfId="265" dataCellStyle="一般 2"/>
    <tableColumn id="20" uniqueName="20" name="F20" queryTableFieldId="20" dataDxfId="264" dataCellStyle="一般 2"/>
    <tableColumn id="21" uniqueName="21" name="F21" queryTableFieldId="21" dataDxfId="263" dataCellStyle="一般 2"/>
    <tableColumn id="22" uniqueName="22" name="2024/6/24 14:52" queryTableFieldId="22" dataDxfId="262" dataCellStyle="一般 2"/>
    <tableColumn id="23" uniqueName="23" name="F23" queryTableFieldId="23" dataDxfId="261" dataCellStyle="一般 2"/>
    <tableColumn id="24" uniqueName="24" name="F24" queryTableFieldId="24" dataDxfId="260" dataCellStyle="一般 2"/>
    <tableColumn id="25" uniqueName="25" name="F25" queryTableFieldId="25" dataDxfId="259" dataCellStyle="一般 2"/>
    <tableColumn id="26" uniqueName="26" name="F26" queryTableFieldId="26" dataDxfId="258" dataCellStyle="一般 2"/>
    <tableColumn id="27" uniqueName="27" name="F27" queryTableFieldId="27" dataDxfId="257" dataCellStyle="一般 2"/>
    <tableColumn id="28" uniqueName="28" name="F28" queryTableFieldId="28" dataDxfId="256" dataCellStyle="一般 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ref="AG13:BH189" tableType="queryTable" totalsRowShown="0" headerRowDxfId="157" dataDxfId="156" headerRowCellStyle="一般 2" dataCellStyle="一般 2">
  <autoFilter ref="AG13:BH189"/>
  <tableColumns count="28">
    <tableColumn id="1" uniqueName="1" name="請直接以10進位，謝謝" queryTableFieldId="1" dataDxfId="155" dataCellStyle="一般 2"/>
    <tableColumn id="2" uniqueName="2" name="F2" queryTableFieldId="2" dataDxfId="154" dataCellStyle="一般 2"/>
    <tableColumn id="3" uniqueName="3" name="F3" queryTableFieldId="3" dataDxfId="153" dataCellStyle="一般 2"/>
    <tableColumn id="4" uniqueName="4" name="F4" queryTableFieldId="4" dataDxfId="152" dataCellStyle="一般 2"/>
    <tableColumn id="5" uniqueName="5" name="F5" queryTableFieldId="5" dataDxfId="151" dataCellStyle="一般 2"/>
    <tableColumn id="6" uniqueName="6" name="F6" queryTableFieldId="6" dataDxfId="150" dataCellStyle="一般 2"/>
    <tableColumn id="7" uniqueName="7" name="F7" queryTableFieldId="7" dataDxfId="149" dataCellStyle="一般 2"/>
    <tableColumn id="8" uniqueName="8" name="F8" queryTableFieldId="8" dataDxfId="148" dataCellStyle="一般 2"/>
    <tableColumn id="9" uniqueName="9" name="F9" queryTableFieldId="9" dataDxfId="147" dataCellStyle="一般 2"/>
    <tableColumn id="10" uniqueName="10" name="F10" queryTableFieldId="10" dataDxfId="146" dataCellStyle="一般 2"/>
    <tableColumn id="11" uniqueName="11" name="F11" queryTableFieldId="11" dataDxfId="145" dataCellStyle="一般 2"/>
    <tableColumn id="12" uniqueName="12" name="F12" queryTableFieldId="12" dataDxfId="144" dataCellStyle="一般 2"/>
    <tableColumn id="13" uniqueName="13" name="F13" queryTableFieldId="13" dataDxfId="143" dataCellStyle="一般 2"/>
    <tableColumn id="14" uniqueName="14" name="F14" queryTableFieldId="14" dataDxfId="142" dataCellStyle="一般 2"/>
    <tableColumn id="15" uniqueName="15" name="F15" queryTableFieldId="15" dataDxfId="141" dataCellStyle="一般 2"/>
    <tableColumn id="16" uniqueName="16" name="F16" queryTableFieldId="16" dataDxfId="140" dataCellStyle="一般 2"/>
    <tableColumn id="17" uniqueName="17" name="F17" queryTableFieldId="17" dataDxfId="139" dataCellStyle="一般 2"/>
    <tableColumn id="18" uniqueName="18" name="F18" queryTableFieldId="18" dataDxfId="138" dataCellStyle="一般 2"/>
    <tableColumn id="19" uniqueName="19" name="F19" queryTableFieldId="19" dataDxfId="137" dataCellStyle="一般 2"/>
    <tableColumn id="20" uniqueName="20" name="F20" queryTableFieldId="20" dataDxfId="136" dataCellStyle="一般 2"/>
    <tableColumn id="21" uniqueName="21" name="F21" queryTableFieldId="21" dataDxfId="135" dataCellStyle="一般 2"/>
    <tableColumn id="22" uniqueName="22" name="2024/6/24 14:52" queryTableFieldId="22" dataDxfId="134" dataCellStyle="一般 2"/>
    <tableColumn id="23" uniqueName="23" name="F23" queryTableFieldId="23" dataDxfId="133" dataCellStyle="一般 2"/>
    <tableColumn id="24" uniqueName="24" name="F24" queryTableFieldId="24" dataDxfId="132" dataCellStyle="一般 2"/>
    <tableColumn id="25" uniqueName="25" name="F25" queryTableFieldId="25" dataDxfId="131" dataCellStyle="一般 2"/>
    <tableColumn id="26" uniqueName="26" name="F26" queryTableFieldId="26" dataDxfId="130" dataCellStyle="一般 2"/>
    <tableColumn id="27" uniqueName="27" name="F27" queryTableFieldId="27" dataDxfId="129" dataCellStyle="一般 2"/>
    <tableColumn id="28" uniqueName="28" name="F28" queryTableFieldId="28" dataDxfId="128" dataCellStyle="一般 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9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5" Type="http://schemas.openxmlformats.org/officeDocument/2006/relationships/table" Target="../tables/table22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46"/>
  <sheetViews>
    <sheetView view="pageBreakPreview" topLeftCell="A24" zoomScale="80" zoomScaleNormal="100" zoomScaleSheetLayoutView="80" workbookViewId="0">
      <selection activeCell="B26" sqref="B26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7.44140625" style="63" customWidth="1"/>
    <col min="18" max="18" width="13.6640625" style="63" customWidth="1"/>
    <col min="19" max="19" width="14.33203125" style="63" customWidth="1"/>
    <col min="20" max="20" width="9" style="54"/>
    <col min="21" max="21" width="20.77734375" style="54" bestFit="1" customWidth="1"/>
    <col min="22" max="22" width="9" style="54"/>
    <col min="23" max="23" width="13.77734375" style="54" bestFit="1" customWidth="1"/>
    <col min="24" max="16384" width="9" style="54"/>
  </cols>
  <sheetData>
    <row r="1" spans="1:24" s="53" customFormat="1" ht="21" customHeight="1" thickBot="1">
      <c r="A1" s="163" t="s">
        <v>172</v>
      </c>
      <c r="B1" s="163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173</v>
      </c>
      <c r="Q1" s="55"/>
      <c r="R1" s="55"/>
      <c r="S1" s="55"/>
    </row>
    <row r="2" spans="1:24" s="59" customFormat="1" ht="25.65" customHeight="1" thickTop="1" thickBot="1">
      <c r="A2" s="114" t="s">
        <v>31</v>
      </c>
      <c r="B2" s="115" t="s">
        <v>159</v>
      </c>
      <c r="C2" s="116" t="s">
        <v>33</v>
      </c>
      <c r="D2" s="114" t="s">
        <v>31</v>
      </c>
      <c r="E2" s="115" t="s">
        <v>159</v>
      </c>
      <c r="F2" s="117" t="s">
        <v>33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32</v>
      </c>
      <c r="L2" s="117" t="s">
        <v>33</v>
      </c>
      <c r="M2" s="118" t="s">
        <v>174</v>
      </c>
      <c r="N2" s="56"/>
      <c r="O2" s="56"/>
      <c r="P2" s="57" t="s">
        <v>139</v>
      </c>
      <c r="Q2" s="58" t="s">
        <v>140</v>
      </c>
      <c r="S2" s="60" t="s">
        <v>141</v>
      </c>
      <c r="U2" s="137" t="s">
        <v>142</v>
      </c>
      <c r="V2" s="136">
        <v>0.01</v>
      </c>
      <c r="W2" s="137" t="s">
        <v>154</v>
      </c>
      <c r="X2" s="61" t="s">
        <v>145</v>
      </c>
    </row>
    <row r="3" spans="1:24" s="53" customFormat="1" ht="22.2" customHeight="1" thickTop="1">
      <c r="A3" s="119">
        <v>601</v>
      </c>
      <c r="B3" s="120">
        <v>5339</v>
      </c>
      <c r="C3" s="121">
        <v>29</v>
      </c>
      <c r="D3" s="122" t="s">
        <v>76</v>
      </c>
      <c r="E3" s="120">
        <v>5220</v>
      </c>
      <c r="F3" s="121">
        <v>20</v>
      </c>
      <c r="G3" s="119">
        <v>661</v>
      </c>
      <c r="H3" s="120">
        <v>6954</v>
      </c>
      <c r="I3" s="123">
        <v>30</v>
      </c>
      <c r="J3" s="119">
        <v>681</v>
      </c>
      <c r="K3" s="120">
        <v>2580</v>
      </c>
      <c r="L3" s="124">
        <v>30</v>
      </c>
      <c r="M3" s="164" t="s">
        <v>569</v>
      </c>
      <c r="N3" s="137" t="s">
        <v>142</v>
      </c>
      <c r="O3" s="137" t="s">
        <v>143</v>
      </c>
      <c r="P3" s="137" t="s">
        <v>144</v>
      </c>
      <c r="Q3" s="61" t="s">
        <v>145</v>
      </c>
      <c r="S3" s="53">
        <v>5900</v>
      </c>
      <c r="U3" s="137" t="s">
        <v>146</v>
      </c>
      <c r="V3" s="136">
        <v>0.01</v>
      </c>
      <c r="W3" s="137" t="s">
        <v>155</v>
      </c>
      <c r="X3" s="61" t="s">
        <v>148</v>
      </c>
    </row>
    <row r="4" spans="1:24" s="53" customFormat="1" ht="22.2" customHeight="1">
      <c r="A4" s="119">
        <v>602</v>
      </c>
      <c r="B4" s="120">
        <v>8635</v>
      </c>
      <c r="C4" s="121">
        <v>29</v>
      </c>
      <c r="D4" s="122" t="s">
        <v>77</v>
      </c>
      <c r="E4" s="120">
        <v>3035</v>
      </c>
      <c r="F4" s="121">
        <v>28</v>
      </c>
      <c r="G4" s="119">
        <v>662</v>
      </c>
      <c r="H4" s="120">
        <v>5205</v>
      </c>
      <c r="I4" s="123">
        <v>30</v>
      </c>
      <c r="J4" s="119">
        <v>682</v>
      </c>
      <c r="K4" s="120">
        <v>2586</v>
      </c>
      <c r="L4" s="133">
        <v>30</v>
      </c>
      <c r="M4" s="165"/>
      <c r="N4" s="137" t="s">
        <v>146</v>
      </c>
      <c r="O4" s="137" t="s">
        <v>143</v>
      </c>
      <c r="P4" s="137" t="s">
        <v>147</v>
      </c>
      <c r="Q4" s="61" t="s">
        <v>148</v>
      </c>
      <c r="S4" s="53">
        <v>5600</v>
      </c>
      <c r="U4" s="62">
        <v>680690</v>
      </c>
      <c r="V4" s="136">
        <v>0.01</v>
      </c>
      <c r="W4" s="137" t="s">
        <v>156</v>
      </c>
      <c r="X4" s="61" t="s">
        <v>148</v>
      </c>
    </row>
    <row r="5" spans="1:24" s="53" customFormat="1" ht="22.2" customHeight="1">
      <c r="A5" s="119">
        <v>603</v>
      </c>
      <c r="B5" s="120">
        <v>1318</v>
      </c>
      <c r="C5" s="121">
        <v>32</v>
      </c>
      <c r="D5" s="122">
        <v>631</v>
      </c>
      <c r="E5" s="120">
        <v>911</v>
      </c>
      <c r="F5" s="121">
        <v>23</v>
      </c>
      <c r="G5" s="119">
        <v>663</v>
      </c>
      <c r="H5" s="120">
        <v>1916</v>
      </c>
      <c r="I5" s="123">
        <v>32</v>
      </c>
      <c r="J5" s="119">
        <v>683</v>
      </c>
      <c r="K5" s="120">
        <v>2966</v>
      </c>
      <c r="L5" s="133">
        <v>31</v>
      </c>
      <c r="M5" s="165"/>
      <c r="N5" s="62">
        <v>680690</v>
      </c>
      <c r="O5" s="137" t="s">
        <v>143</v>
      </c>
      <c r="P5" s="137" t="s">
        <v>149</v>
      </c>
      <c r="Q5" s="61" t="s">
        <v>148</v>
      </c>
      <c r="S5" s="53">
        <v>4100</v>
      </c>
      <c r="U5" s="137" t="s">
        <v>150</v>
      </c>
      <c r="V5" s="136">
        <v>0.01</v>
      </c>
      <c r="W5" s="137" t="s">
        <v>157</v>
      </c>
      <c r="X5" s="61" t="s">
        <v>148</v>
      </c>
    </row>
    <row r="6" spans="1:24" s="53" customFormat="1" ht="22.2" customHeight="1">
      <c r="A6" s="119" t="s">
        <v>78</v>
      </c>
      <c r="B6" s="125">
        <v>6699</v>
      </c>
      <c r="C6" s="126">
        <v>29</v>
      </c>
      <c r="D6" s="127">
        <v>632</v>
      </c>
      <c r="E6" s="125">
        <v>576</v>
      </c>
      <c r="F6" s="126">
        <v>28</v>
      </c>
      <c r="G6" s="127">
        <v>664</v>
      </c>
      <c r="H6" s="120">
        <v>6231</v>
      </c>
      <c r="I6" s="124">
        <v>31</v>
      </c>
      <c r="J6" s="127">
        <v>684</v>
      </c>
      <c r="K6" s="125">
        <v>1300</v>
      </c>
      <c r="L6" s="133">
        <v>32</v>
      </c>
      <c r="M6" s="165"/>
      <c r="N6" s="137" t="s">
        <v>150</v>
      </c>
      <c r="O6" s="137" t="s">
        <v>143</v>
      </c>
      <c r="P6" s="137" t="s">
        <v>151</v>
      </c>
      <c r="Q6" s="61" t="s">
        <v>148</v>
      </c>
      <c r="S6" s="53">
        <v>7000</v>
      </c>
      <c r="U6" s="137" t="s">
        <v>152</v>
      </c>
      <c r="V6" s="136">
        <v>0.01</v>
      </c>
      <c r="W6" s="137" t="s">
        <v>158</v>
      </c>
      <c r="X6" s="61" t="s">
        <v>148</v>
      </c>
    </row>
    <row r="7" spans="1:24" s="53" customFormat="1" ht="22.2" customHeight="1">
      <c r="A7" s="119" t="s">
        <v>79</v>
      </c>
      <c r="B7" s="125">
        <v>7968</v>
      </c>
      <c r="C7" s="126">
        <v>25</v>
      </c>
      <c r="D7" s="127">
        <v>633</v>
      </c>
      <c r="E7" s="125">
        <v>1927</v>
      </c>
      <c r="F7" s="126">
        <v>25</v>
      </c>
      <c r="G7" s="127">
        <v>665</v>
      </c>
      <c r="H7" s="125">
        <v>3932</v>
      </c>
      <c r="I7" s="124">
        <v>30</v>
      </c>
      <c r="J7" s="127">
        <v>685</v>
      </c>
      <c r="K7" s="125">
        <v>5269</v>
      </c>
      <c r="L7" s="133">
        <v>31</v>
      </c>
      <c r="M7" s="165"/>
      <c r="N7" s="137" t="s">
        <v>152</v>
      </c>
      <c r="O7" s="137" t="s">
        <v>143</v>
      </c>
      <c r="P7" s="137" t="s">
        <v>153</v>
      </c>
      <c r="Q7" s="61" t="s">
        <v>148</v>
      </c>
      <c r="S7" s="53">
        <v>11590</v>
      </c>
      <c r="X7" s="55"/>
    </row>
    <row r="8" spans="1:24" s="53" customFormat="1" ht="22.2" customHeight="1">
      <c r="A8" s="119">
        <v>611</v>
      </c>
      <c r="B8" s="125">
        <v>18.04</v>
      </c>
      <c r="C8" s="134">
        <v>25</v>
      </c>
      <c r="D8" s="127">
        <v>634</v>
      </c>
      <c r="E8" s="125">
        <v>830</v>
      </c>
      <c r="F8" s="126">
        <v>25</v>
      </c>
      <c r="G8" s="127">
        <v>666</v>
      </c>
      <c r="H8" s="125">
        <v>6643</v>
      </c>
      <c r="I8" s="124">
        <v>28</v>
      </c>
      <c r="J8" s="127">
        <v>686</v>
      </c>
      <c r="K8" s="125">
        <v>5612</v>
      </c>
      <c r="L8" s="133">
        <v>31</v>
      </c>
      <c r="M8" s="165"/>
      <c r="N8" s="137" t="s">
        <v>163</v>
      </c>
      <c r="O8" s="137" t="s">
        <v>143</v>
      </c>
      <c r="P8" s="137" t="s">
        <v>164</v>
      </c>
      <c r="Q8" s="61" t="s">
        <v>148</v>
      </c>
      <c r="S8" s="53">
        <v>9200</v>
      </c>
    </row>
    <row r="9" spans="1:24" s="53" customFormat="1" ht="22.2" customHeight="1">
      <c r="A9" s="119">
        <v>612</v>
      </c>
      <c r="B9" s="125">
        <v>6.96</v>
      </c>
      <c r="C9" s="134">
        <v>25</v>
      </c>
      <c r="D9" s="127">
        <v>641</v>
      </c>
      <c r="E9" s="125">
        <v>4350</v>
      </c>
      <c r="F9" s="126">
        <v>27</v>
      </c>
      <c r="G9" s="127">
        <v>667</v>
      </c>
      <c r="H9" s="125">
        <v>850</v>
      </c>
      <c r="I9" s="124">
        <v>31</v>
      </c>
      <c r="J9" s="127">
        <v>687</v>
      </c>
      <c r="K9" s="125">
        <v>5408</v>
      </c>
      <c r="L9" s="133">
        <v>31</v>
      </c>
      <c r="M9" s="165"/>
      <c r="N9" s="137" t="s">
        <v>165</v>
      </c>
      <c r="O9" s="137" t="s">
        <v>143</v>
      </c>
      <c r="P9" s="137" t="s">
        <v>166</v>
      </c>
      <c r="Q9" s="61" t="s">
        <v>148</v>
      </c>
      <c r="S9" s="53">
        <v>6800</v>
      </c>
    </row>
    <row r="10" spans="1:24" s="53" customFormat="1" ht="22.2" customHeight="1">
      <c r="A10" s="119">
        <v>613</v>
      </c>
      <c r="B10" s="125">
        <v>85.49</v>
      </c>
      <c r="C10" s="134">
        <v>25</v>
      </c>
      <c r="D10" s="127">
        <v>642</v>
      </c>
      <c r="E10" s="125">
        <v>3349</v>
      </c>
      <c r="F10" s="126">
        <v>32</v>
      </c>
      <c r="G10" s="127">
        <v>668</v>
      </c>
      <c r="H10" s="125">
        <v>5214</v>
      </c>
      <c r="I10" s="124">
        <v>32</v>
      </c>
      <c r="J10" s="127">
        <v>688</v>
      </c>
      <c r="K10" s="125">
        <v>5532</v>
      </c>
      <c r="L10" s="133">
        <v>30</v>
      </c>
      <c r="M10" s="165"/>
      <c r="N10" s="137" t="s">
        <v>167</v>
      </c>
      <c r="O10" s="136" t="s">
        <v>143</v>
      </c>
      <c r="P10" s="137" t="s">
        <v>168</v>
      </c>
      <c r="Q10" s="61" t="s">
        <v>148</v>
      </c>
      <c r="S10" s="53">
        <v>5500</v>
      </c>
    </row>
    <row r="11" spans="1:24" s="53" customFormat="1" ht="22.2" customHeight="1">
      <c r="A11" s="119">
        <v>614</v>
      </c>
      <c r="B11" s="125">
        <v>26.49</v>
      </c>
      <c r="C11" s="134">
        <v>25</v>
      </c>
      <c r="D11" s="127">
        <v>643</v>
      </c>
      <c r="E11" s="125">
        <v>3989</v>
      </c>
      <c r="F11" s="126">
        <v>30</v>
      </c>
      <c r="G11" s="127">
        <v>669</v>
      </c>
      <c r="H11" s="125">
        <v>1109</v>
      </c>
      <c r="I11" s="124">
        <v>30</v>
      </c>
      <c r="J11" s="127">
        <v>689</v>
      </c>
      <c r="K11" s="125">
        <v>5597</v>
      </c>
      <c r="L11" s="133">
        <v>30</v>
      </c>
      <c r="M11" s="165"/>
      <c r="N11" s="137" t="s">
        <v>169</v>
      </c>
      <c r="O11" s="136" t="s">
        <v>143</v>
      </c>
      <c r="P11" s="137">
        <v>9.0746000000000002</v>
      </c>
      <c r="Q11" s="61" t="s">
        <v>148</v>
      </c>
      <c r="S11" s="53">
        <v>7100</v>
      </c>
    </row>
    <row r="12" spans="1:24" s="53" customFormat="1" ht="22.2" customHeight="1">
      <c r="A12" s="119">
        <v>621</v>
      </c>
      <c r="B12" s="125">
        <v>2013</v>
      </c>
      <c r="C12" s="126">
        <v>30</v>
      </c>
      <c r="D12" s="127">
        <v>645</v>
      </c>
      <c r="E12" s="125">
        <v>1815</v>
      </c>
      <c r="F12" s="126">
        <v>30</v>
      </c>
      <c r="G12" s="127">
        <v>670</v>
      </c>
      <c r="H12" s="125">
        <v>-2368</v>
      </c>
      <c r="I12" s="124">
        <v>30</v>
      </c>
      <c r="J12" s="127">
        <v>690</v>
      </c>
      <c r="K12" s="125">
        <v>356</v>
      </c>
      <c r="L12" s="124">
        <v>32</v>
      </c>
      <c r="M12" s="165"/>
      <c r="N12" s="62" t="s">
        <v>170</v>
      </c>
      <c r="O12" s="136" t="s">
        <v>143</v>
      </c>
      <c r="P12" s="137">
        <v>9.0746000000000002</v>
      </c>
      <c r="Q12" s="61" t="s">
        <v>148</v>
      </c>
      <c r="S12" s="53">
        <v>5500</v>
      </c>
    </row>
    <row r="13" spans="1:24" s="53" customFormat="1" ht="22.2" customHeight="1">
      <c r="A13" s="119">
        <v>622</v>
      </c>
      <c r="B13" s="125">
        <v>4775</v>
      </c>
      <c r="C13" s="126">
        <v>30</v>
      </c>
      <c r="D13" s="127">
        <v>651</v>
      </c>
      <c r="E13" s="125">
        <v>3445</v>
      </c>
      <c r="F13" s="126">
        <v>30</v>
      </c>
      <c r="G13" s="127">
        <v>671</v>
      </c>
      <c r="H13" s="125">
        <v>0</v>
      </c>
      <c r="I13" s="124">
        <v>28</v>
      </c>
      <c r="J13" s="127">
        <v>691</v>
      </c>
      <c r="K13" s="125">
        <v>3368</v>
      </c>
      <c r="L13" s="133">
        <v>30</v>
      </c>
      <c r="M13" s="165"/>
      <c r="N13" s="167" t="s">
        <v>171</v>
      </c>
      <c r="O13" s="168" t="s">
        <v>143</v>
      </c>
      <c r="P13" s="169">
        <v>7.0686</v>
      </c>
      <c r="Q13" s="161" t="s">
        <v>148</v>
      </c>
      <c r="S13" s="162">
        <v>7000</v>
      </c>
    </row>
    <row r="14" spans="1:24" s="53" customFormat="1" ht="22.2" customHeight="1">
      <c r="A14" s="119">
        <v>623</v>
      </c>
      <c r="B14" s="125">
        <v>5359</v>
      </c>
      <c r="C14" s="126">
        <v>33</v>
      </c>
      <c r="D14" s="127">
        <v>652</v>
      </c>
      <c r="E14" s="125">
        <v>4734</v>
      </c>
      <c r="F14" s="126">
        <v>28</v>
      </c>
      <c r="G14" s="127">
        <v>672</v>
      </c>
      <c r="H14" s="125">
        <v>7</v>
      </c>
      <c r="I14" s="124">
        <v>27</v>
      </c>
      <c r="J14" s="127">
        <v>692</v>
      </c>
      <c r="K14" s="125">
        <v>1342</v>
      </c>
      <c r="L14" s="133">
        <v>31</v>
      </c>
      <c r="M14" s="165"/>
      <c r="N14" s="167"/>
      <c r="O14" s="168"/>
      <c r="P14" s="169"/>
      <c r="Q14" s="161"/>
      <c r="S14" s="162"/>
    </row>
    <row r="15" spans="1:24" s="53" customFormat="1" ht="22.2" customHeight="1">
      <c r="A15" s="122">
        <v>624</v>
      </c>
      <c r="B15" s="125">
        <v>2560</v>
      </c>
      <c r="C15" s="126">
        <v>27</v>
      </c>
      <c r="D15" s="128">
        <v>653</v>
      </c>
      <c r="E15" s="125">
        <v>1968</v>
      </c>
      <c r="F15" s="126">
        <v>27</v>
      </c>
      <c r="G15" s="127">
        <v>673</v>
      </c>
      <c r="H15" s="125">
        <v>1099</v>
      </c>
      <c r="I15" s="124">
        <v>28</v>
      </c>
      <c r="J15" s="127">
        <v>693</v>
      </c>
      <c r="K15" s="125">
        <v>1650</v>
      </c>
      <c r="L15" s="133">
        <v>31</v>
      </c>
      <c r="M15" s="165"/>
      <c r="N15" s="167"/>
      <c r="O15" s="168"/>
      <c r="P15" s="169"/>
      <c r="Q15" s="161"/>
      <c r="R15" s="55"/>
      <c r="S15" s="146">
        <v>6000</v>
      </c>
    </row>
    <row r="16" spans="1:24" s="53" customFormat="1" ht="22.2" customHeight="1">
      <c r="A16" s="122" t="s">
        <v>80</v>
      </c>
      <c r="B16" s="125">
        <v>1811</v>
      </c>
      <c r="C16" s="126">
        <v>29</v>
      </c>
      <c r="D16" s="127">
        <v>654</v>
      </c>
      <c r="E16" s="125">
        <v>2671</v>
      </c>
      <c r="F16" s="126">
        <v>28</v>
      </c>
      <c r="G16" s="127">
        <v>674</v>
      </c>
      <c r="H16" s="125">
        <v>2157</v>
      </c>
      <c r="I16" s="124">
        <v>28</v>
      </c>
      <c r="J16" s="127">
        <v>694</v>
      </c>
      <c r="K16" s="125">
        <v>849</v>
      </c>
      <c r="L16" s="133">
        <v>30</v>
      </c>
      <c r="M16" s="165"/>
      <c r="Q16" s="55"/>
      <c r="R16" s="55"/>
      <c r="S16" s="55"/>
    </row>
    <row r="17" spans="1:19" s="53" customFormat="1" ht="22.2" customHeight="1">
      <c r="A17" s="122" t="s">
        <v>26</v>
      </c>
      <c r="B17" s="125">
        <v>0</v>
      </c>
      <c r="C17" s="126">
        <v>35</v>
      </c>
      <c r="D17" s="128">
        <v>655</v>
      </c>
      <c r="E17" s="125">
        <v>185</v>
      </c>
      <c r="F17" s="126">
        <v>28</v>
      </c>
      <c r="G17" s="127">
        <v>675</v>
      </c>
      <c r="H17" s="125">
        <v>5.4</v>
      </c>
      <c r="I17" s="133">
        <v>25</v>
      </c>
      <c r="J17" s="127">
        <v>695</v>
      </c>
      <c r="K17" s="125">
        <v>5126</v>
      </c>
      <c r="L17" s="133">
        <v>31</v>
      </c>
      <c r="M17" s="165"/>
      <c r="Q17" s="55"/>
      <c r="R17" s="55"/>
      <c r="S17" s="55"/>
    </row>
    <row r="18" spans="1:19" s="53" customFormat="1" ht="22.2" customHeight="1">
      <c r="A18" s="122" t="s">
        <v>27</v>
      </c>
      <c r="B18" s="125">
        <v>0</v>
      </c>
      <c r="C18" s="126">
        <v>24</v>
      </c>
      <c r="D18" s="127">
        <v>656</v>
      </c>
      <c r="E18" s="125">
        <v>4132</v>
      </c>
      <c r="F18" s="126">
        <v>30</v>
      </c>
      <c r="G18" s="127">
        <v>676</v>
      </c>
      <c r="H18" s="125">
        <v>57.09</v>
      </c>
      <c r="I18" s="133">
        <v>25</v>
      </c>
      <c r="J18" s="127">
        <v>696</v>
      </c>
      <c r="K18" s="125">
        <v>279</v>
      </c>
      <c r="L18" s="133">
        <v>30</v>
      </c>
      <c r="M18" s="165"/>
      <c r="Q18" s="55"/>
      <c r="R18" s="55"/>
      <c r="S18" s="55"/>
    </row>
    <row r="19" spans="1:19" s="53" customFormat="1" ht="22.2" customHeight="1">
      <c r="A19" s="122" t="s">
        <v>28</v>
      </c>
      <c r="B19" s="125">
        <v>5212</v>
      </c>
      <c r="C19" s="126">
        <v>25</v>
      </c>
      <c r="D19" s="127">
        <v>657</v>
      </c>
      <c r="E19" s="125">
        <v>5871</v>
      </c>
      <c r="F19" s="126">
        <v>30</v>
      </c>
      <c r="G19" s="127">
        <v>677</v>
      </c>
      <c r="H19" s="125">
        <v>59.65</v>
      </c>
      <c r="I19" s="133">
        <v>25</v>
      </c>
      <c r="J19" s="127">
        <v>697</v>
      </c>
      <c r="K19" s="125">
        <v>5095</v>
      </c>
      <c r="L19" s="133">
        <v>30</v>
      </c>
      <c r="M19" s="165"/>
      <c r="Q19" s="55"/>
      <c r="R19" s="55"/>
      <c r="S19" s="55"/>
    </row>
    <row r="20" spans="1:19" s="53" customFormat="1" ht="22.2" customHeight="1">
      <c r="A20" s="122" t="s">
        <v>29</v>
      </c>
      <c r="B20" s="125">
        <v>7047</v>
      </c>
      <c r="C20" s="126">
        <v>28</v>
      </c>
      <c r="D20" s="128">
        <v>658</v>
      </c>
      <c r="E20" s="125">
        <v>6596</v>
      </c>
      <c r="F20" s="126">
        <v>32</v>
      </c>
      <c r="G20" s="127">
        <v>678</v>
      </c>
      <c r="H20" s="125">
        <v>46.25</v>
      </c>
      <c r="I20" s="133">
        <v>25</v>
      </c>
      <c r="J20" s="127">
        <v>698</v>
      </c>
      <c r="K20" s="125">
        <v>1398</v>
      </c>
      <c r="L20" s="133">
        <v>32</v>
      </c>
      <c r="M20" s="165"/>
      <c r="Q20" s="55"/>
      <c r="R20" s="55"/>
      <c r="S20" s="55"/>
    </row>
    <row r="21" spans="1:19" s="53" customFormat="1" ht="22.2" customHeight="1">
      <c r="A21" s="122" t="s">
        <v>30</v>
      </c>
      <c r="B21" s="125">
        <v>6984</v>
      </c>
      <c r="C21" s="126">
        <v>28</v>
      </c>
      <c r="D21" s="127">
        <v>659</v>
      </c>
      <c r="E21" s="125">
        <v>4542</v>
      </c>
      <c r="F21" s="126">
        <v>30</v>
      </c>
      <c r="G21" s="127">
        <v>680</v>
      </c>
      <c r="H21" s="125">
        <v>1370</v>
      </c>
      <c r="I21" s="133">
        <v>30</v>
      </c>
      <c r="J21" s="127">
        <v>699</v>
      </c>
      <c r="K21" s="125">
        <v>6515</v>
      </c>
      <c r="L21" s="133">
        <v>32</v>
      </c>
      <c r="M21" s="165"/>
      <c r="Q21" s="55"/>
      <c r="R21" s="55"/>
      <c r="S21" s="55"/>
    </row>
    <row r="22" spans="1:19" s="53" customFormat="1" ht="22.2" customHeight="1" thickBot="1">
      <c r="A22" s="129" t="s">
        <v>81</v>
      </c>
      <c r="B22" s="130">
        <v>4026</v>
      </c>
      <c r="C22" s="130">
        <v>28</v>
      </c>
      <c r="D22" s="131">
        <v>660</v>
      </c>
      <c r="E22" s="130">
        <v>6484</v>
      </c>
      <c r="F22" s="132">
        <v>30</v>
      </c>
      <c r="G22" s="131"/>
      <c r="H22" s="130"/>
      <c r="I22" s="132"/>
      <c r="J22" s="131"/>
      <c r="K22" s="130"/>
      <c r="L22" s="132"/>
      <c r="M22" s="166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63"/>
      <c r="B24" s="163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175</v>
      </c>
    </row>
    <row r="25" spans="1:19" ht="20.100000000000001" customHeight="1" thickTop="1" thickBot="1">
      <c r="A25" s="114" t="s">
        <v>31</v>
      </c>
      <c r="B25" s="115" t="s">
        <v>159</v>
      </c>
      <c r="C25" s="116" t="s">
        <v>33</v>
      </c>
      <c r="D25" s="114" t="s">
        <v>31</v>
      </c>
      <c r="E25" s="115" t="s">
        <v>159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174</v>
      </c>
    </row>
    <row r="26" spans="1:19" ht="21.75" customHeight="1" thickTop="1">
      <c r="A26" s="119">
        <v>601</v>
      </c>
      <c r="B26" s="120">
        <v>5340</v>
      </c>
      <c r="C26" s="121">
        <v>30</v>
      </c>
      <c r="D26" s="122" t="s">
        <v>76</v>
      </c>
      <c r="E26" s="120">
        <v>7089</v>
      </c>
      <c r="F26" s="121">
        <v>20</v>
      </c>
      <c r="G26" s="119">
        <v>661</v>
      </c>
      <c r="H26" s="120">
        <v>6963</v>
      </c>
      <c r="I26" s="123">
        <v>32</v>
      </c>
      <c r="J26" s="119">
        <v>681</v>
      </c>
      <c r="K26" s="120">
        <v>1908</v>
      </c>
      <c r="L26" s="124">
        <v>31</v>
      </c>
      <c r="M26" s="164"/>
    </row>
    <row r="27" spans="1:19" ht="21.75" customHeight="1">
      <c r="A27" s="119">
        <v>602</v>
      </c>
      <c r="B27" s="120">
        <v>8639</v>
      </c>
      <c r="C27" s="121">
        <v>32</v>
      </c>
      <c r="D27" s="122" t="s">
        <v>77</v>
      </c>
      <c r="E27" s="120">
        <v>7150</v>
      </c>
      <c r="F27" s="121">
        <v>27</v>
      </c>
      <c r="G27" s="119">
        <v>662</v>
      </c>
      <c r="H27" s="120">
        <v>3347</v>
      </c>
      <c r="I27" s="123">
        <v>32</v>
      </c>
      <c r="J27" s="119">
        <v>682</v>
      </c>
      <c r="K27" s="120">
        <v>2575</v>
      </c>
      <c r="L27" s="133">
        <v>30</v>
      </c>
      <c r="M27" s="165"/>
    </row>
    <row r="28" spans="1:19" ht="21.75" customHeight="1">
      <c r="A28" s="119">
        <v>603</v>
      </c>
      <c r="B28" s="120">
        <v>4012</v>
      </c>
      <c r="C28" s="121">
        <v>29</v>
      </c>
      <c r="D28" s="122">
        <v>631</v>
      </c>
      <c r="E28" s="120">
        <v>1940</v>
      </c>
      <c r="F28" s="121">
        <v>28</v>
      </c>
      <c r="G28" s="119">
        <v>663</v>
      </c>
      <c r="H28" s="120">
        <v>1917</v>
      </c>
      <c r="I28" s="123">
        <v>35</v>
      </c>
      <c r="J28" s="119">
        <v>683</v>
      </c>
      <c r="K28" s="120">
        <v>2966</v>
      </c>
      <c r="L28" s="133">
        <v>35</v>
      </c>
      <c r="M28" s="165"/>
    </row>
    <row r="29" spans="1:19" ht="21.75" customHeight="1">
      <c r="A29" s="119" t="s">
        <v>78</v>
      </c>
      <c r="B29" s="125">
        <v>6702</v>
      </c>
      <c r="C29" s="126">
        <v>31</v>
      </c>
      <c r="D29" s="127">
        <v>632</v>
      </c>
      <c r="E29" s="125">
        <v>558</v>
      </c>
      <c r="F29" s="126">
        <v>32</v>
      </c>
      <c r="G29" s="127">
        <v>664</v>
      </c>
      <c r="H29" s="120">
        <v>6237</v>
      </c>
      <c r="I29" s="124">
        <v>32</v>
      </c>
      <c r="J29" s="127">
        <v>684</v>
      </c>
      <c r="K29" s="125">
        <v>664</v>
      </c>
      <c r="L29" s="133">
        <v>35</v>
      </c>
      <c r="M29" s="165"/>
    </row>
    <row r="30" spans="1:19" ht="21.75" customHeight="1">
      <c r="A30" s="119" t="s">
        <v>79</v>
      </c>
      <c r="B30" s="125">
        <v>7729</v>
      </c>
      <c r="C30" s="126">
        <v>29</v>
      </c>
      <c r="D30" s="127">
        <v>633</v>
      </c>
      <c r="E30" s="125">
        <v>1876</v>
      </c>
      <c r="F30" s="126">
        <v>27</v>
      </c>
      <c r="G30" s="127">
        <v>665</v>
      </c>
      <c r="H30" s="125">
        <v>3073</v>
      </c>
      <c r="I30" s="124">
        <v>35</v>
      </c>
      <c r="J30" s="127">
        <v>685</v>
      </c>
      <c r="K30" s="125">
        <v>5266</v>
      </c>
      <c r="L30" s="133">
        <v>31</v>
      </c>
      <c r="M30" s="165"/>
    </row>
    <row r="31" spans="1:19" ht="21.75" customHeight="1">
      <c r="A31" s="119">
        <v>611</v>
      </c>
      <c r="B31" s="125">
        <v>18.04</v>
      </c>
      <c r="C31" s="134">
        <v>25</v>
      </c>
      <c r="D31" s="127">
        <v>634</v>
      </c>
      <c r="E31" s="125">
        <v>841</v>
      </c>
      <c r="F31" s="126">
        <v>30</v>
      </c>
      <c r="G31" s="127">
        <v>666</v>
      </c>
      <c r="H31" s="125">
        <v>6647</v>
      </c>
      <c r="I31" s="124">
        <v>30</v>
      </c>
      <c r="J31" s="127">
        <v>686</v>
      </c>
      <c r="K31" s="125">
        <v>5608</v>
      </c>
      <c r="L31" s="133">
        <v>31</v>
      </c>
      <c r="M31" s="165"/>
    </row>
    <row r="32" spans="1:19" ht="21.75" customHeight="1">
      <c r="A32" s="119">
        <v>612</v>
      </c>
      <c r="B32" s="125">
        <v>7.03</v>
      </c>
      <c r="C32" s="134">
        <v>25</v>
      </c>
      <c r="D32" s="127">
        <v>641</v>
      </c>
      <c r="E32" s="125">
        <v>4350</v>
      </c>
      <c r="F32" s="126">
        <v>29</v>
      </c>
      <c r="G32" s="127">
        <v>667</v>
      </c>
      <c r="H32" s="125">
        <v>850</v>
      </c>
      <c r="I32" s="124">
        <v>32</v>
      </c>
      <c r="J32" s="127">
        <v>687</v>
      </c>
      <c r="K32" s="125">
        <v>5409</v>
      </c>
      <c r="L32" s="133">
        <v>30</v>
      </c>
      <c r="M32" s="165"/>
    </row>
    <row r="33" spans="1:13" ht="21.75" customHeight="1">
      <c r="A33" s="119">
        <v>613</v>
      </c>
      <c r="B33" s="125">
        <v>85.48</v>
      </c>
      <c r="C33" s="134">
        <v>25</v>
      </c>
      <c r="D33" s="127">
        <v>642</v>
      </c>
      <c r="E33" s="125">
        <v>3349</v>
      </c>
      <c r="F33" s="126">
        <v>34</v>
      </c>
      <c r="G33" s="127">
        <v>668</v>
      </c>
      <c r="H33" s="125">
        <v>5213</v>
      </c>
      <c r="I33" s="124">
        <v>34</v>
      </c>
      <c r="J33" s="127">
        <v>688</v>
      </c>
      <c r="K33" s="125">
        <v>5530</v>
      </c>
      <c r="L33" s="133">
        <v>35</v>
      </c>
      <c r="M33" s="165"/>
    </row>
    <row r="34" spans="1:13" ht="21.75" customHeight="1">
      <c r="A34" s="119">
        <v>614</v>
      </c>
      <c r="B34" s="125">
        <v>11.34</v>
      </c>
      <c r="C34" s="134">
        <v>25</v>
      </c>
      <c r="D34" s="127">
        <v>643</v>
      </c>
      <c r="E34" s="125">
        <v>5133</v>
      </c>
      <c r="F34" s="126">
        <v>32</v>
      </c>
      <c r="G34" s="127">
        <v>669</v>
      </c>
      <c r="H34" s="125">
        <v>1108</v>
      </c>
      <c r="I34" s="124">
        <v>32</v>
      </c>
      <c r="J34" s="127">
        <v>689</v>
      </c>
      <c r="K34" s="125">
        <v>5593</v>
      </c>
      <c r="L34" s="133">
        <v>35</v>
      </c>
      <c r="M34" s="165"/>
    </row>
    <row r="35" spans="1:13" ht="21.75" customHeight="1">
      <c r="A35" s="119">
        <v>621</v>
      </c>
      <c r="B35" s="125">
        <v>2012</v>
      </c>
      <c r="C35" s="126">
        <v>31</v>
      </c>
      <c r="D35" s="127">
        <v>645</v>
      </c>
      <c r="E35" s="125">
        <v>482</v>
      </c>
      <c r="F35" s="126">
        <v>32</v>
      </c>
      <c r="G35" s="127">
        <v>670</v>
      </c>
      <c r="H35" s="125">
        <v>-9909</v>
      </c>
      <c r="I35" s="124">
        <v>32</v>
      </c>
      <c r="J35" s="127">
        <v>690</v>
      </c>
      <c r="K35" s="125">
        <v>352</v>
      </c>
      <c r="L35" s="124">
        <v>31</v>
      </c>
      <c r="M35" s="165"/>
    </row>
    <row r="36" spans="1:13" ht="21.75" customHeight="1">
      <c r="A36" s="119">
        <v>622</v>
      </c>
      <c r="B36" s="125">
        <v>4510</v>
      </c>
      <c r="C36" s="126">
        <v>30</v>
      </c>
      <c r="D36" s="127">
        <v>651</v>
      </c>
      <c r="E36" s="125">
        <v>3620</v>
      </c>
      <c r="F36" s="126">
        <v>34</v>
      </c>
      <c r="G36" s="127">
        <v>671</v>
      </c>
      <c r="H36" s="125">
        <v>0</v>
      </c>
      <c r="I36" s="124">
        <v>40</v>
      </c>
      <c r="J36" s="127">
        <v>691</v>
      </c>
      <c r="K36" s="125">
        <v>529</v>
      </c>
      <c r="L36" s="133">
        <v>31</v>
      </c>
      <c r="M36" s="165"/>
    </row>
    <row r="37" spans="1:13" ht="21.75" customHeight="1">
      <c r="A37" s="119">
        <v>623</v>
      </c>
      <c r="B37" s="125">
        <v>5359</v>
      </c>
      <c r="C37" s="126">
        <v>36</v>
      </c>
      <c r="D37" s="127">
        <v>652</v>
      </c>
      <c r="E37" s="125">
        <v>4792</v>
      </c>
      <c r="F37" s="126">
        <v>28</v>
      </c>
      <c r="G37" s="127">
        <v>672</v>
      </c>
      <c r="H37" s="125">
        <v>6</v>
      </c>
      <c r="I37" s="124">
        <v>33</v>
      </c>
      <c r="J37" s="127">
        <v>692</v>
      </c>
      <c r="K37" s="125">
        <v>1340</v>
      </c>
      <c r="L37" s="133">
        <v>30</v>
      </c>
      <c r="M37" s="165"/>
    </row>
    <row r="38" spans="1:13" ht="21.75" customHeight="1">
      <c r="A38" s="122">
        <v>624</v>
      </c>
      <c r="B38" s="125">
        <v>2242</v>
      </c>
      <c r="C38" s="126">
        <v>31</v>
      </c>
      <c r="D38" s="128">
        <v>653</v>
      </c>
      <c r="E38" s="125">
        <v>1968</v>
      </c>
      <c r="F38" s="126">
        <v>28</v>
      </c>
      <c r="G38" s="127">
        <v>673</v>
      </c>
      <c r="H38" s="125">
        <v>1097</v>
      </c>
      <c r="I38" s="124">
        <v>39</v>
      </c>
      <c r="J38" s="127">
        <v>693</v>
      </c>
      <c r="K38" s="125">
        <v>3271</v>
      </c>
      <c r="L38" s="133">
        <v>31</v>
      </c>
      <c r="M38" s="165"/>
    </row>
    <row r="39" spans="1:13" ht="21.75" customHeight="1">
      <c r="A39" s="122" t="s">
        <v>80</v>
      </c>
      <c r="B39" s="125">
        <v>3992</v>
      </c>
      <c r="C39" s="126">
        <v>32</v>
      </c>
      <c r="D39" s="127">
        <v>654</v>
      </c>
      <c r="E39" s="125">
        <v>2673</v>
      </c>
      <c r="F39" s="126">
        <v>31</v>
      </c>
      <c r="G39" s="127">
        <v>674</v>
      </c>
      <c r="H39" s="125">
        <v>2157</v>
      </c>
      <c r="I39" s="124">
        <v>30</v>
      </c>
      <c r="J39" s="127">
        <v>694</v>
      </c>
      <c r="K39" s="125">
        <v>848</v>
      </c>
      <c r="L39" s="133">
        <v>35</v>
      </c>
      <c r="M39" s="165"/>
    </row>
    <row r="40" spans="1:13" ht="21.75" customHeight="1">
      <c r="A40" s="122" t="s">
        <v>26</v>
      </c>
      <c r="B40" s="125">
        <v>0</v>
      </c>
      <c r="C40" s="126">
        <v>36</v>
      </c>
      <c r="D40" s="128">
        <v>655</v>
      </c>
      <c r="E40" s="125">
        <v>219</v>
      </c>
      <c r="F40" s="126">
        <v>30</v>
      </c>
      <c r="G40" s="127">
        <v>675</v>
      </c>
      <c r="H40" s="125">
        <v>12.83</v>
      </c>
      <c r="I40" s="133">
        <v>25</v>
      </c>
      <c r="J40" s="127">
        <v>695</v>
      </c>
      <c r="K40" s="125">
        <v>4984</v>
      </c>
      <c r="L40" s="133">
        <v>30</v>
      </c>
      <c r="M40" s="165"/>
    </row>
    <row r="41" spans="1:13" ht="21.75" customHeight="1">
      <c r="A41" s="122" t="s">
        <v>27</v>
      </c>
      <c r="B41" s="125">
        <v>0</v>
      </c>
      <c r="C41" s="126">
        <v>27</v>
      </c>
      <c r="D41" s="127">
        <v>656</v>
      </c>
      <c r="E41" s="125">
        <v>3147</v>
      </c>
      <c r="F41" s="126">
        <v>30</v>
      </c>
      <c r="G41" s="127">
        <v>676</v>
      </c>
      <c r="H41" s="125">
        <v>83.92</v>
      </c>
      <c r="I41" s="133">
        <v>25</v>
      </c>
      <c r="J41" s="127">
        <v>696</v>
      </c>
      <c r="K41" s="125">
        <v>274</v>
      </c>
      <c r="L41" s="133">
        <v>30</v>
      </c>
      <c r="M41" s="165"/>
    </row>
    <row r="42" spans="1:13" ht="21.75" customHeight="1">
      <c r="A42" s="122" t="s">
        <v>28</v>
      </c>
      <c r="B42" s="125">
        <v>655</v>
      </c>
      <c r="C42" s="126">
        <v>30</v>
      </c>
      <c r="D42" s="127">
        <v>657</v>
      </c>
      <c r="E42" s="125">
        <v>5878</v>
      </c>
      <c r="F42" s="126">
        <v>30</v>
      </c>
      <c r="G42" s="127">
        <v>677</v>
      </c>
      <c r="H42" s="125">
        <v>22.83</v>
      </c>
      <c r="I42" s="133">
        <v>25</v>
      </c>
      <c r="J42" s="127">
        <v>697</v>
      </c>
      <c r="K42" s="125">
        <v>8075</v>
      </c>
      <c r="L42" s="133">
        <v>30</v>
      </c>
      <c r="M42" s="165"/>
    </row>
    <row r="43" spans="1:13" ht="21.75" customHeight="1">
      <c r="A43" s="122" t="s">
        <v>29</v>
      </c>
      <c r="B43" s="125">
        <v>7052</v>
      </c>
      <c r="C43" s="126">
        <v>29</v>
      </c>
      <c r="D43" s="128">
        <v>658</v>
      </c>
      <c r="E43" s="125">
        <v>5469</v>
      </c>
      <c r="F43" s="126">
        <v>33</v>
      </c>
      <c r="G43" s="127">
        <v>678</v>
      </c>
      <c r="H43" s="125">
        <v>46.18</v>
      </c>
      <c r="I43" s="133">
        <v>25</v>
      </c>
      <c r="J43" s="127">
        <v>698</v>
      </c>
      <c r="K43" s="125">
        <v>2012</v>
      </c>
      <c r="L43" s="133">
        <v>35</v>
      </c>
      <c r="M43" s="165"/>
    </row>
    <row r="44" spans="1:13" ht="21.75" customHeight="1">
      <c r="A44" s="122" t="s">
        <v>30</v>
      </c>
      <c r="B44" s="125">
        <v>6990</v>
      </c>
      <c r="C44" s="126">
        <v>28</v>
      </c>
      <c r="D44" s="127">
        <v>659</v>
      </c>
      <c r="E44" s="125">
        <v>3969</v>
      </c>
      <c r="F44" s="126">
        <v>29</v>
      </c>
      <c r="G44" s="127">
        <v>680</v>
      </c>
      <c r="H44" s="125">
        <v>1209</v>
      </c>
      <c r="I44" s="133">
        <v>31</v>
      </c>
      <c r="J44" s="127">
        <v>699</v>
      </c>
      <c r="K44" s="125">
        <v>5421</v>
      </c>
      <c r="L44" s="133">
        <v>31</v>
      </c>
      <c r="M44" s="165"/>
    </row>
    <row r="45" spans="1:13" ht="21.75" customHeight="1" thickBot="1">
      <c r="A45" s="129" t="s">
        <v>81</v>
      </c>
      <c r="B45" s="130">
        <v>7012</v>
      </c>
      <c r="C45" s="130">
        <v>28</v>
      </c>
      <c r="D45" s="131">
        <v>660</v>
      </c>
      <c r="E45" s="130">
        <v>6489</v>
      </c>
      <c r="F45" s="132">
        <v>30</v>
      </c>
      <c r="G45" s="131"/>
      <c r="H45" s="130"/>
      <c r="I45" s="132"/>
      <c r="J45" s="131"/>
      <c r="K45" s="130"/>
      <c r="L45" s="132"/>
      <c r="M45" s="166"/>
    </row>
    <row r="46" spans="1:13" ht="16.2" thickTop="1"/>
  </sheetData>
  <sheetProtection selectLockedCells="1"/>
  <mergeCells count="9">
    <mergeCell ref="Q13:Q15"/>
    <mergeCell ref="S13:S14"/>
    <mergeCell ref="A24:B24"/>
    <mergeCell ref="M26:M45"/>
    <mergeCell ref="A1:B1"/>
    <mergeCell ref="M3:M22"/>
    <mergeCell ref="N13:N15"/>
    <mergeCell ref="O13:O15"/>
    <mergeCell ref="P13:P15"/>
  </mergeCells>
  <phoneticPr fontId="2" type="noConversion"/>
  <dataValidations count="11">
    <dataValidation type="custom" errorStyle="warning" allowBlank="1" showInputMessage="1" showErrorMessage="1" error="***你在睡喔,醒醒好嗎" sqref="E31 B29:B30 B27 B38 E8 B6:B7 B4 B15">
      <formula1>B4&lt;=9100</formula1>
    </dataValidation>
    <dataValidation type="custom" errorStyle="warning" allowBlank="1" showInputMessage="1" showErrorMessage="1" error="***你在睡喔,醒醒好嗎" sqref="B31:B34 H40:H43 B8:B11 H17:H20">
      <formula1>B8&lt;=100</formula1>
    </dataValidation>
    <dataValidation type="custom" errorStyle="warning" allowBlank="1" showInputMessage="1" showErrorMessage="1" error="***你在睡喔,醒醒好嗎" sqref="E26:E27 B39:B45 E43:E45 H26:H39 E3:E4 B16:B22 E20:E22 H3:H16">
      <formula1>B3&lt;=7400</formula1>
    </dataValidation>
    <dataValidation type="custom" errorStyle="warning" allowBlank="1" showInputMessage="1" showErrorMessage="1" error="***你在睡喔,醒醒好嗎" sqref="E37:E42 E14:E19">
      <formula1>E14&lt;=5500</formula1>
    </dataValidation>
    <dataValidation type="custom" errorStyle="warning" allowBlank="1" showInputMessage="1" showErrorMessage="1" error="***你在睡喔,醒醒好嗎" sqref="H44 K35 H21 K12">
      <formula1>H12&lt;=4100</formula1>
    </dataValidation>
    <dataValidation type="custom" errorStyle="warning" allowBlank="1" showInputMessage="1" showErrorMessage="1" error="***你在睡喔,醒醒好嗎" sqref="E28:E29 B28 K37:K40 B35:B36 B26 E5:E6 B5 K14:K17 B12:B13 B3">
      <formula1>B3&lt;=7000</formula1>
    </dataValidation>
    <dataValidation type="custom" errorStyle="warning" allowBlank="1" showInputMessage="1" showErrorMessage="1" error="***你在睡喔,醒醒好嗎" sqref="K41:K44 K18:K21">
      <formula1>K18&lt;=12000</formula1>
    </dataValidation>
    <dataValidation type="custom" errorStyle="warning" allowBlank="1" showInputMessage="1" showErrorMessage="1" error="***你在睡喔,醒醒好嗎" sqref="B37 E30 E32:E33 E36 K26:K30 K32:K33 K36 B14 E7 E9:E10 E13 K3:K7 K9:K10 K13">
      <formula1>B3&lt;=5600</formula1>
    </dataValidation>
    <dataValidation type="custom" errorStyle="warning" allowBlank="1" showInputMessage="1" showErrorMessage="1" error="***你在睡喔,醒醒好嗎" sqref="K34 K31 K11 K8">
      <formula1>K8&lt;=5700</formula1>
    </dataValidation>
    <dataValidation type="custom" errorStyle="warning" allowBlank="1" showInputMessage="1" showErrorMessage="1" error="***你在睡喔,醒醒好嗎" sqref="E35 E12">
      <formula1>E12&lt;=6000</formula1>
    </dataValidation>
    <dataValidation type="custom" errorStyle="warning" allowBlank="1" showInputMessage="1" showErrorMessage="1" error="***你在睡喔,醒醒好嗎" sqref="E34 E11">
      <formula1>E11&lt;=6000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1" r:id="rId4" name="CommandButton1">
          <controlPr autoLine="0" r:id="rId5">
            <anchor moveWithCells="1">
              <from>
                <xdr:col>13</xdr:col>
                <xdr:colOff>60960</xdr:colOff>
                <xdr:row>15</xdr:row>
                <xdr:rowOff>198120</xdr:rowOff>
              </from>
              <to>
                <xdr:col>15</xdr:col>
                <xdr:colOff>525780</xdr:colOff>
                <xdr:row>22</xdr:row>
                <xdr:rowOff>388620</xdr:rowOff>
              </to>
            </anchor>
          </controlPr>
        </control>
      </mc:Choice>
      <mc:Fallback>
        <control shapeId="2247681" r:id="rId4" name="CommandButton1"/>
      </mc:Fallback>
    </mc:AlternateContent>
    <mc:AlternateContent xmlns:mc="http://schemas.openxmlformats.org/markup-compatibility/2006">
      <mc:Choice Requires="x14">
        <control shapeId="2247682" r:id="rId6" name="CommandButton2">
          <controlPr autoLine="0" r:id="rId7">
            <anchor moveWithCells="1">
              <from>
                <xdr:col>13</xdr:col>
                <xdr:colOff>22860</xdr:colOff>
                <xdr:row>25</xdr:row>
                <xdr:rowOff>60960</xdr:rowOff>
              </from>
              <to>
                <xdr:col>15</xdr:col>
                <xdr:colOff>548640</xdr:colOff>
                <xdr:row>32</xdr:row>
                <xdr:rowOff>0</xdr:rowOff>
              </to>
            </anchor>
          </controlPr>
        </control>
      </mc:Choice>
      <mc:Fallback>
        <control shapeId="224768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4"/>
  <sheetViews>
    <sheetView showRuler="0" view="pageBreakPreview" zoomScale="60" zoomScaleNormal="60" workbookViewId="0">
      <pane ySplit="1" topLeftCell="A2" activePane="bottomLeft" state="frozen"/>
      <selection activeCell="K12" sqref="K12"/>
      <selection pane="bottomLeft" activeCell="N9" sqref="N9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1.0659000000000001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1.0648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1.0637000000000001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1.0603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1.0528999999999999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1.0556000000000001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1.0516000000000001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1.0506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1.0494000000000001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1.0483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1.0469999999999999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1.0454000000000001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1.0448999999999999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1.0437000000000001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1.0409999999999999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1.0388999999999999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1.0377000000000001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1.0366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1.0355099999999999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1.0344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1.03329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1.0321800000000001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1.0310699999999999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1.02996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1.0287999999999999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1.0277000000000001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1.0265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1.0254000000000001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1.0265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1.0277000000000001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1.0287999999999999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1.0310999999999999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1.0322199999999999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1.0333600000000001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1.0345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1.0356399999999999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1.03678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6.8" thickTop="1">
      <c r="B52" s="49"/>
      <c r="C52" s="49"/>
      <c r="D52" s="49"/>
      <c r="E52" s="49"/>
      <c r="F52" s="49"/>
      <c r="G52" s="49"/>
      <c r="H52" s="49"/>
      <c r="I52" s="49"/>
      <c r="J52" s="49"/>
      <c r="U52" s="8"/>
    </row>
    <row r="53" spans="1:24">
      <c r="U53" s="8"/>
    </row>
    <row r="54" spans="1:24">
      <c r="U54" s="8"/>
    </row>
    <row r="55" spans="1:24">
      <c r="U55" s="8"/>
    </row>
    <row r="56" spans="1:24">
      <c r="U56" s="8"/>
    </row>
    <row r="57" spans="1:24">
      <c r="U57" s="8"/>
    </row>
    <row r="58" spans="1:24">
      <c r="U58" s="8"/>
    </row>
    <row r="59" spans="1:24">
      <c r="U59" s="8"/>
    </row>
    <row r="60" spans="1:24">
      <c r="U60" s="8"/>
    </row>
    <row r="61" spans="1:24">
      <c r="U61" s="8"/>
    </row>
    <row r="62" spans="1:24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  <row r="94" spans="21:21">
      <c r="U94" s="8"/>
    </row>
  </sheetData>
  <phoneticPr fontId="2" type="noConversion"/>
  <pageMargins left="0.42" right="0.2" top="0.36" bottom="0.43" header="0.5" footer="0.5"/>
  <pageSetup paperSize="9" scale="48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12">
    <pageSetUpPr fitToPage="1"/>
  </sheetPr>
  <dimension ref="A1:CU223"/>
  <sheetViews>
    <sheetView view="pageBreakPreview" zoomScale="80" zoomScaleNormal="100" zoomScaleSheetLayoutView="80" workbookViewId="0">
      <selection activeCell="AA10" sqref="AA10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45898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42" t="s" ph="1">
        <v>177</v>
      </c>
      <c r="D6" s="71">
        <v>6282</v>
      </c>
      <c r="E6" s="71">
        <v>8974</v>
      </c>
      <c r="F6" s="71">
        <v>6840</v>
      </c>
      <c r="G6" s="71">
        <v>8905</v>
      </c>
      <c r="H6" s="71">
        <v>8922</v>
      </c>
      <c r="I6" s="71">
        <v>29.11</v>
      </c>
      <c r="J6" s="71">
        <v>7.01</v>
      </c>
      <c r="K6" s="71">
        <v>85.21</v>
      </c>
      <c r="L6" s="71">
        <v>38.71</v>
      </c>
      <c r="M6" s="71">
        <v>2801</v>
      </c>
      <c r="N6" s="71">
        <v>6103</v>
      </c>
      <c r="O6" s="71">
        <v>4441</v>
      </c>
      <c r="P6" s="71">
        <v>2299</v>
      </c>
      <c r="Q6" s="71">
        <v>0</v>
      </c>
      <c r="R6" s="71">
        <v>0</v>
      </c>
      <c r="S6" s="71">
        <v>0</v>
      </c>
      <c r="T6" s="71">
        <v>0</v>
      </c>
      <c r="U6" s="71">
        <v>4929</v>
      </c>
      <c r="V6" s="71">
        <v>4961</v>
      </c>
      <c r="W6" s="71">
        <v>6195</v>
      </c>
      <c r="X6" s="71">
        <v>5081</v>
      </c>
      <c r="Y6" s="71">
        <v>2509</v>
      </c>
      <c r="Z6" s="71">
        <v>4949</v>
      </c>
      <c r="AA6" s="71">
        <v>287</v>
      </c>
      <c r="AB6" s="71">
        <v>152</v>
      </c>
      <c r="AC6" s="71">
        <v>392</v>
      </c>
      <c r="AD6" s="71">
        <v>3540</v>
      </c>
      <c r="AE6" s="71">
        <v>4645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196486.08510348</v>
      </c>
      <c r="E7" s="73" ph="1">
        <f>E6*51.53*LOOKUP(E8,密度!$A$2:$A$50,密度!$B$2:$B$50)</f>
        <v>358938.33676400001</v>
      </c>
      <c r="F7" s="73" ph="1">
        <f>F6*33.183*LOOKUP(F8,密度!$A$2:$A$50,密度!$C$2:$C$50)</f>
        <v>251166.905352</v>
      </c>
      <c r="G7" s="73" ph="1">
        <f xml:space="preserve"> (G6+2)*51.53*LOOKUP(G8,密度!$A$2:$A$50,密度!$B$2:$B$50)</f>
        <v>356258.498502</v>
      </c>
      <c r="H7" s="73" ph="1">
        <f>(H6)*51.53*LOOKUP(H8,密度!$A$2:$A$50,密度!$B$2:$B$50)</f>
        <v>358421.61453600001</v>
      </c>
      <c r="I7" s="73" ph="1">
        <f>I6*290.8*1.0267</f>
        <v>8691.2085195999989</v>
      </c>
      <c r="J7" s="73" ph="1">
        <f>J6*290.8*0.7892</f>
        <v>1608.7905136000002</v>
      </c>
      <c r="K7" s="73" ph="1">
        <f>K6*290.8*1.1126</f>
        <v>27569.191056799998</v>
      </c>
      <c r="L7" s="73" ph="1">
        <f>L6*290.8*0.777</f>
        <v>8746.5864360000014</v>
      </c>
      <c r="M7" s="73" ph="1">
        <f>M6*33.183*LOOKUP(M8,密度!$A$2:$A$50,密度!$D$2:$D$50)</f>
        <v>94906.734801299986</v>
      </c>
      <c r="N7" s="73" ph="1">
        <f>N6*33.183*LOOKUP(N8,密度!$A$2:$A$50,密度!$E$2:$E$50)</f>
        <v>157476.32418239999</v>
      </c>
      <c r="O7" s="73" ph="1">
        <f>O6*20.428*LOOKUP(O8,密度!$A$2:$A$50,密度!$C$2:$C$50)</f>
        <v>100064.985044</v>
      </c>
      <c r="P7" s="73" ph="1">
        <f>P6*51.53*LOOKUP(P8,密度!$A$2:$A$50,密度!$B$2:$B$50)</f>
        <v>92049.224190000008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32541.614859599998</v>
      </c>
      <c r="V7" s="73" ph="1">
        <f>V6*1.5*1.5*3.1416*LOOKUP(V8,密度!$A$2:$A$50,密度!$L$2:$L$50)</f>
        <v>32823.0158256</v>
      </c>
      <c r="W7" s="73" ph="1">
        <f>W6*1.5*1.5*3.1416*LOOKUP(W8,密度!$A$2:$A$50,密度!$L$2:$L$50)</f>
        <v>40899.838518000004</v>
      </c>
      <c r="X7" s="73" ph="1">
        <f>X6*1.5*1.5*3.1416*LOOKUP(X8,密度!$A$2:$A$50,密度!$L$2:$L$50)</f>
        <v>33868.369873799995</v>
      </c>
      <c r="Y7" s="73" ph="1">
        <f>Y6*1.5*1.5*3.1416*LOOKUP(Y8,密度!$A$2:$A$50,密度!$L$2:$L$50)</f>
        <v>16564.599651600001</v>
      </c>
      <c r="Z7" s="73" ph="1">
        <f>Z6*33.183*LOOKUP(Z8,密度!$A$2:$A$50,密度!$L$2:$L$50)</f>
        <v>153383.970978</v>
      </c>
      <c r="AA7" s="73" ph="1">
        <f>AA6*33.183*LOOKUP(AA8,密度!$A$2:$A$50,密度!$D$2:$D$50)</f>
        <v>9751.1331519000014</v>
      </c>
      <c r="AB7" s="73" ph="1">
        <f>AB6*20.428*LOOKUP(AB8,密度!$A$2:$A$50,密度!$D$2:$D$50)</f>
        <v>3199.7602080000001</v>
      </c>
      <c r="AC7" s="73" ph="1">
        <f>AC6*51.53*LOOKUP(AC8,密度!$A$2:$A$50,密度!$Q$2:$Q$50)</f>
        <v>19138.666607200004</v>
      </c>
      <c r="AD7" s="73" ph="1">
        <f>AD6*20.428*LOOKUP(AD8,密度!$A$2:$A$50,密度!$V$2:$V$50)</f>
        <v>69248.958912000016</v>
      </c>
      <c r="AE7" s="73" ph="1">
        <f>AE6*20.428</f>
        <v>94888.06</v>
      </c>
    </row>
    <row r="8" spans="1:99" ph="1">
      <c r="B8" s="182" ph="1"/>
      <c r="C8" s="68" t="s" ph="1">
        <v>179</v>
      </c>
      <c r="D8" s="74">
        <v>31</v>
      </c>
      <c r="E8" s="74">
        <v>29</v>
      </c>
      <c r="F8" s="74">
        <v>28</v>
      </c>
      <c r="G8" s="74">
        <v>29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31</v>
      </c>
      <c r="N8" s="74">
        <v>30</v>
      </c>
      <c r="O8" s="74">
        <v>32</v>
      </c>
      <c r="P8" s="74">
        <v>28</v>
      </c>
      <c r="Q8" s="74">
        <v>28</v>
      </c>
      <c r="R8" s="74">
        <v>32</v>
      </c>
      <c r="S8" s="74">
        <v>24</v>
      </c>
      <c r="T8" s="74">
        <v>24</v>
      </c>
      <c r="U8" s="74">
        <v>28</v>
      </c>
      <c r="V8" s="74">
        <v>26</v>
      </c>
      <c r="W8" s="74">
        <v>28</v>
      </c>
      <c r="X8" s="74">
        <v>19</v>
      </c>
      <c r="Y8" s="74">
        <v>28</v>
      </c>
      <c r="Z8" s="74">
        <v>28</v>
      </c>
      <c r="AA8" s="74">
        <v>28</v>
      </c>
      <c r="AB8" s="74">
        <v>21</v>
      </c>
      <c r="AC8" s="74">
        <v>24</v>
      </c>
      <c r="AD8" s="74">
        <v>26</v>
      </c>
      <c r="AE8" s="74">
        <v>28</v>
      </c>
    </row>
    <row r="9" spans="1:99" ht="26.4" ph="1">
      <c r="B9" s="182" ph="1">
        <v>0.66666666666666663</v>
      </c>
      <c r="C9" s="142" t="s" ph="1">
        <v>180</v>
      </c>
      <c r="D9" s="71">
        <v>6436</v>
      </c>
      <c r="E9" s="71">
        <v>8974</v>
      </c>
      <c r="F9" s="71">
        <v>6845</v>
      </c>
      <c r="G9" s="71">
        <v>8918</v>
      </c>
      <c r="H9" s="71">
        <v>8931</v>
      </c>
      <c r="I9" s="71">
        <v>29.12</v>
      </c>
      <c r="J9" s="71">
        <v>7.11</v>
      </c>
      <c r="K9" s="71">
        <v>85.21</v>
      </c>
      <c r="L9" s="71">
        <v>37.01</v>
      </c>
      <c r="M9" s="71">
        <v>2802</v>
      </c>
      <c r="N9" s="71">
        <v>6109</v>
      </c>
      <c r="O9" s="71">
        <v>3521</v>
      </c>
      <c r="P9" s="71">
        <v>2282</v>
      </c>
      <c r="Q9" s="71">
        <v>1107</v>
      </c>
      <c r="R9" s="71">
        <v>0</v>
      </c>
      <c r="S9" s="71">
        <v>0</v>
      </c>
      <c r="T9" s="71">
        <v>0</v>
      </c>
      <c r="U9" s="71">
        <v>842</v>
      </c>
      <c r="V9" s="71">
        <v>4968</v>
      </c>
      <c r="W9" s="71">
        <v>6204</v>
      </c>
      <c r="X9" s="71">
        <v>7029</v>
      </c>
      <c r="Y9" s="71">
        <v>4870</v>
      </c>
      <c r="Z9" s="71">
        <v>5826</v>
      </c>
      <c r="AA9" s="71">
        <v>286</v>
      </c>
      <c r="AB9" s="71">
        <v>151</v>
      </c>
      <c r="AC9" s="71">
        <v>608</v>
      </c>
      <c r="AD9" s="71">
        <v>4116</v>
      </c>
      <c r="AE9" s="71">
        <v>4384</v>
      </c>
    </row>
    <row r="10" spans="1:99" s="72" customFormat="1" ht="22.2" ph="1">
      <c r="B10" s="182" ph="1"/>
      <c r="C10" s="142" t="s" ph="1">
        <v>178</v>
      </c>
      <c r="D10" s="73" ph="1">
        <f>D9*33.183*LOOKUP(D11,密度!$A$2:$A$50,密度!$Q$2:$Q$50)</f>
        <v>201302.84045304</v>
      </c>
      <c r="E10" s="73" ph="1">
        <f>E9*51.53*LOOKUP(E11,密度!$A$2:$A$50,密度!$B$2:$B$50)</f>
        <v>356487.45659800002</v>
      </c>
      <c r="F10" s="73" ph="1">
        <f>F9*33.183*LOOKUP(F11,密度!$A$2:$A$50,密度!$C$2:$C$50)</f>
        <v>251009.80043850001</v>
      </c>
      <c r="G10" s="73" ph="1">
        <f xml:space="preserve"> (G9+2)*51.53*LOOKUP(G11,密度!$A$2:$A$50,密度!$B$2:$B$50)</f>
        <v>354342.33484000002</v>
      </c>
      <c r="H10" s="73" ph="1">
        <f>(H9)*51.53*LOOKUP(H11,密度!$A$2:$A$50,密度!$B$2:$B$50)</f>
        <v>353950.91811299999</v>
      </c>
      <c r="I10" s="73" ph="1">
        <f>I9*290.8*1.0267</f>
        <v>8694.1941632000016</v>
      </c>
      <c r="J10" s="73" ph="1">
        <f>J9*290.8*0.7892</f>
        <v>1631.7404496000001</v>
      </c>
      <c r="K10" s="73" ph="1">
        <f>K9*290.8*1.1126</f>
        <v>27569.191056799998</v>
      </c>
      <c r="L10" s="73" ph="1">
        <f>L9*290.8*0.777</f>
        <v>8362.4687159999994</v>
      </c>
      <c r="M10" s="73" ph="1">
        <f>M9*33.183*LOOKUP(M11,密度!$A$2:$A$50,密度!$D$2:$D$50)</f>
        <v>94856.93707320001</v>
      </c>
      <c r="N10" s="73" ph="1">
        <f>N9*33.183*LOOKUP(N11,密度!$A$2:$A$50,密度!$E$2:$E$50)</f>
        <v>157398.02059814997</v>
      </c>
      <c r="O10" s="73" ph="1">
        <f>O9*20.428*LOOKUP(O11,密度!$A$2:$A$50,密度!$C$2:$C$50)</f>
        <v>78961.447426400002</v>
      </c>
      <c r="P10" s="73" ph="1">
        <f>P9*51.53*LOOKUP(P11,密度!$A$2:$A$50,密度!$B$2:$B$50)</f>
        <v>90956.994309999995</v>
      </c>
      <c r="Q10" s="73" ph="1">
        <f>Q9*1.5*1.5*3.1416*LOOKUP(W11,密度!$A$2:$A$50,密度!$L$2:$L$50)</f>
        <v>7292.8442664000004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5529.1861548000006</v>
      </c>
      <c r="V10" s="73" ph="1">
        <f>V9*1.5*1.5*3.1416*LOOKUP(V11,密度!$A$2:$A$50,密度!$L$2:$L$50)</f>
        <v>32869.329292800001</v>
      </c>
      <c r="W10" s="73" ph="1">
        <f>W9*1.5*1.5*3.1416*LOOKUP(W11,密度!$A$2:$A$50,密度!$L$2:$L$50)</f>
        <v>40871.549980800002</v>
      </c>
      <c r="X10" s="73" ph="1">
        <f>X9*1.5*1.5*3.1416*LOOKUP(X11,密度!$A$2:$A$50,密度!$L$2:$L$50)</f>
        <v>46704.078035999992</v>
      </c>
      <c r="Y10" s="73" ph="1">
        <f>Y9*1.5*1.5*3.1416*LOOKUP(Y11,密度!$A$2:$A$50,密度!$L$2:$L$50)</f>
        <v>32083.244424000004</v>
      </c>
      <c r="Z10" s="73" ph="1">
        <f>Z9*33.183*LOOKUP(Z11,密度!$A$2:$A$50,密度!$L$2:$L$50)</f>
        <v>180178.11525600002</v>
      </c>
      <c r="AA10" s="73" ph="1">
        <f>AA9*33.183*LOOKUP(AA11,密度!$A$2:$A$50,密度!$D$2:$D$50)</f>
        <v>9657.3679487999998</v>
      </c>
      <c r="AB10" s="73" ph="1">
        <f>AB9*20.428*LOOKUP(AB11,密度!$A$2:$A$50,密度!$D$2:$D$50)</f>
        <v>3138.9174528000003</v>
      </c>
      <c r="AC10" s="73" ph="1">
        <f>AC9*51.53*LOOKUP(AC11,密度!$A$2:$A$50,密度!$Q$2:$Q$50)</f>
        <v>29554.755299200002</v>
      </c>
      <c r="AD10" s="73" ph="1">
        <f>AD9*20.428*LOOKUP(AD11,密度!$A$2:$A$50,密度!$V$2:$V$50)</f>
        <v>80516.5861248</v>
      </c>
      <c r="AE10" s="73" ph="1">
        <f>AE9*20.428</f>
        <v>89556.351999999999</v>
      </c>
    </row>
    <row r="11" spans="1:99" ph="1">
      <c r="A11" s="64" t="s" ph="1">
        <v>162</v>
      </c>
      <c r="B11" s="182" ph="1"/>
      <c r="C11" s="142" t="s" ph="1">
        <v>179</v>
      </c>
      <c r="D11" s="74">
        <v>31</v>
      </c>
      <c r="E11" s="74">
        <v>35</v>
      </c>
      <c r="F11" s="74">
        <v>30</v>
      </c>
      <c r="G11" s="74">
        <v>35</v>
      </c>
      <c r="H11" s="74">
        <v>37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31</v>
      </c>
      <c r="O11" s="74">
        <v>37</v>
      </c>
      <c r="P11" s="74">
        <v>32</v>
      </c>
      <c r="Q11" s="74">
        <v>32</v>
      </c>
      <c r="R11" s="74">
        <v>38</v>
      </c>
      <c r="S11" s="74">
        <v>27</v>
      </c>
      <c r="T11" s="74">
        <v>36</v>
      </c>
      <c r="U11" s="74">
        <v>33</v>
      </c>
      <c r="V11" s="74">
        <v>26</v>
      </c>
      <c r="W11" s="74">
        <v>30</v>
      </c>
      <c r="X11" s="74">
        <v>22</v>
      </c>
      <c r="Y11" s="74">
        <v>30</v>
      </c>
      <c r="Z11" s="74">
        <v>30</v>
      </c>
      <c r="AA11" s="74">
        <v>35</v>
      </c>
      <c r="AB11" s="74">
        <v>35</v>
      </c>
      <c r="AC11" s="74">
        <v>30</v>
      </c>
      <c r="AD11" s="74">
        <v>34</v>
      </c>
      <c r="AE11" s="74">
        <v>31</v>
      </c>
    </row>
    <row r="12" spans="1:99" ht="9.9" customHeight="1" ph="1"/>
    <row r="13" spans="1:99" s="72" customFormat="1" ht="29.25" customHeight="1" ph="1">
      <c r="B13" s="190" t="s" ph="1">
        <v>37</v>
      </c>
      <c r="C13" s="14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77" t="s" ph="1">
        <v>636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42" t="s" ph="1">
        <v>177</v>
      </c>
      <c r="D15" s="78">
        <v>2460</v>
      </c>
      <c r="E15" s="78">
        <v>4230</v>
      </c>
      <c r="F15" s="78">
        <v>2824</v>
      </c>
      <c r="G15" s="78">
        <v>4356</v>
      </c>
      <c r="H15" s="78">
        <v>0</v>
      </c>
      <c r="I15" s="78">
        <v>3929</v>
      </c>
      <c r="J15" s="78">
        <v>189</v>
      </c>
      <c r="K15" s="78">
        <v>3105</v>
      </c>
      <c r="L15" s="78">
        <v>7057</v>
      </c>
      <c r="M15" s="78">
        <v>6977</v>
      </c>
      <c r="N15" s="78">
        <v>2546</v>
      </c>
      <c r="O15" s="78">
        <v>6535</v>
      </c>
      <c r="P15" s="78">
        <v>5168</v>
      </c>
      <c r="Q15" s="78">
        <v>6951</v>
      </c>
      <c r="R15" s="78">
        <v>0</v>
      </c>
      <c r="S15" s="78">
        <v>1654</v>
      </c>
      <c r="T15" s="78">
        <v>2194</v>
      </c>
      <c r="U15" s="78">
        <v>6810</v>
      </c>
      <c r="V15" s="78">
        <v>1438</v>
      </c>
      <c r="W15" s="71">
        <v>5393</v>
      </c>
      <c r="X15" s="78">
        <v>1552</v>
      </c>
      <c r="Y15" s="106">
        <v>-9908</v>
      </c>
      <c r="Z15" s="78">
        <v>0</v>
      </c>
      <c r="AA15" s="78">
        <v>6127</v>
      </c>
      <c r="AB15" s="78" ph="1">
        <v>1097</v>
      </c>
      <c r="AC15" s="78" ph="1">
        <v>0</v>
      </c>
      <c r="AD15" s="78">
        <v>67.510000000000005</v>
      </c>
      <c r="AE15" s="78">
        <v>5.61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42" t="s" ph="1">
        <v>178</v>
      </c>
      <c r="D16" s="73" ph="1">
        <f>D15*7.0686*LOOKUP(D17,密度!$A$2:$A$50,密度!$L$2:$L$50)</f>
        <v>16206.320592000002</v>
      </c>
      <c r="E16" s="73" ph="1">
        <f>E15*7.0686*LOOKUP(E17,密度!$A$2:$A$50,密度!$L$2:$L$50)</f>
        <v>27866.965896000002</v>
      </c>
      <c r="F16" s="73" ph="1">
        <f>F15*9.0746*LOOKUP(F17,密度!$A$2:$A$50,密度!$L$2:$L$50)</f>
        <v>23909.683483200002</v>
      </c>
      <c r="G16" s="73" ph="1">
        <f>G15*9.0746*LOOKUP(G17,密度!$A$2:$A$50,密度!$B$2:$B$50)</f>
        <v>30714.000055200002</v>
      </c>
      <c r="H16" s="73" ph="1">
        <f>H15*9.0746*LOOKUP(H17,密度!$A$2:$A$50,密度!$L$2:$L$50)</f>
        <v>0</v>
      </c>
      <c r="I16" s="73" ph="1">
        <f>I15*9.0746*LOOKUP(I17,密度!$A$2:$A$50,密度!$U$2:$U$50)</f>
        <v>36509.801881600004</v>
      </c>
      <c r="J16" s="73" ph="1">
        <f>J15*9.0746*LOOKUP(J17,密度!$A$2:$A$50,密度!$L$2:$L$50)</f>
        <v>1600.1877402000002</v>
      </c>
      <c r="K16" s="73" ph="1">
        <f>K15*9.0746*LOOKUP(K17,密度!$A$2:$A$50,密度!$C$2:$C$50)</f>
        <v>31160.538434700004</v>
      </c>
      <c r="L16" s="73" ph="1">
        <f>L15*9.0746*LOOKUP(L17,密度!$A$2:$A$50,密度!$E$2:$E$50)</f>
        <v>49797.078030719997</v>
      </c>
      <c r="M16" s="73" ph="1">
        <f>M15*9.0746*LOOKUP(M17,密度!$A$2:$A$50,密度!$M$2:$M$50)</f>
        <v>55011.187016854004</v>
      </c>
      <c r="N16" s="73" ph="1">
        <f>N15*9.0746*LOOKUP(N17,密度!$A$2:$A$50,密度!$M$2:$M$50)</f>
        <v>20146.628355199999</v>
      </c>
      <c r="O16" s="73" ph="1">
        <f>O15*9.0746*LOOKUP(O17,密度!$A$2:$A$50,密度!$G$2:$G$50)</f>
        <v>56616.107251699999</v>
      </c>
      <c r="P16" s="73" ph="1">
        <f ca="1">P15*9.0746*LOOKUP(P17,密度!$A$2:$A$51,密度!$Q$2:$Q$50)</f>
        <v>44267.988135904001</v>
      </c>
      <c r="Q16" s="73" ph="1">
        <f>Q15*9.0746*LOOKUP(Q17,密度!$A$2:$A$50,密度!$Q$2:$Q$50)</f>
        <v>59502.940147517998</v>
      </c>
      <c r="R16" s="73" ph="1">
        <f>MAX(R15*9.0746*LOOKUP(R17,密度!$A$2:$A$50,密度!$B$2:$B$50),0)</f>
        <v>0</v>
      </c>
      <c r="S16" s="73" ph="1">
        <f>S15*9.0746*LOOKUP(S17,密度!$A$2:$A$50,密度!$Q$2:$Q$50)</f>
        <v>14158.806359372</v>
      </c>
      <c r="T16" s="73" ph="1">
        <f>T15*9.0746*LOOKUP(T17,密度!$A$2:$A$50,密度!$O$2:$O$50)</f>
        <v>18436.356642400002</v>
      </c>
      <c r="U16" s="73" ph="1">
        <f>U15*9.0746*LOOKUP(U17,密度!$A$2:$A$50,密度!$H$2:$H$50)</f>
        <v>56359.799712</v>
      </c>
      <c r="V16" s="73" ph="1">
        <f>MAX(5600*LOOKUP(V17,密度!$A$2:$A$50,密度!$Q$2:$Q$50)+V15*9.0476*LOOKUP(V17,密度!$A$2:$A$50,密度!$Q$2:$Q$50),0)</f>
        <v>17529.181724719998</v>
      </c>
      <c r="W16" s="73" ph="1">
        <f>MAX(5600*LOOKUP(W17,密度!$A$2:$A$50,密度!$Q$2:$Q$50)+W15*9.0476*LOOKUP(W17,密度!$A$2:$A$50,密度!$Q$2:$Q$50),0)</f>
        <v>51311.215435643993</v>
      </c>
      <c r="X16" s="73" ph="1">
        <f>MAX(5600*LOOKUP(X17,密度!$A$2:$A$50,密度!$I$2:$I$50)+X15*9.0476*LOOKUP(X17,密度!$A$2:$A$50,密度!$I$2:$I$50),0)</f>
        <v>20317.555706879997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43201.257653400004</v>
      </c>
      <c r="AB16" s="73" ph="1">
        <f>AB15*9.0746*LOOKUP(AB17,密度!$A$2:$A$50,密度!$L$2:$L$50)</f>
        <v>9297.8170107999995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15361.69586928</v>
      </c>
      <c r="AE16" s="73" ph="1">
        <f>AE15*268.68*LOOKUP(AE17,密度!$A$2:$A$50,密度!B2:B50)+IF(AE15&lt;=0,0,1566*LOOKUP(AE17,密度!$A$2:$A$50,密度!B2:B50))</f>
        <v>2395.9406260799997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30</v>
      </c>
      <c r="E17" s="74">
        <v>30</v>
      </c>
      <c r="F17" s="74">
        <v>29</v>
      </c>
      <c r="G17" s="74">
        <v>28</v>
      </c>
      <c r="H17" s="74">
        <v>24</v>
      </c>
      <c r="I17" s="74">
        <v>26</v>
      </c>
      <c r="J17" s="74">
        <v>29</v>
      </c>
      <c r="K17" s="74">
        <v>29</v>
      </c>
      <c r="L17" s="74">
        <v>30</v>
      </c>
      <c r="M17" s="74">
        <v>31</v>
      </c>
      <c r="N17" s="74">
        <v>28</v>
      </c>
      <c r="O17" s="74">
        <v>30</v>
      </c>
      <c r="P17" s="74">
        <v>29</v>
      </c>
      <c r="Q17" s="74">
        <v>30</v>
      </c>
      <c r="R17" s="74">
        <v>29</v>
      </c>
      <c r="S17" s="74">
        <v>30</v>
      </c>
      <c r="T17" s="74">
        <v>29</v>
      </c>
      <c r="U17" s="74">
        <v>28</v>
      </c>
      <c r="V17" s="74">
        <v>32</v>
      </c>
      <c r="W17" s="74">
        <v>30</v>
      </c>
      <c r="X17" s="74">
        <v>32</v>
      </c>
      <c r="Y17" s="108">
        <v>32</v>
      </c>
      <c r="Z17" s="74">
        <v>28</v>
      </c>
      <c r="AA17" s="74">
        <v>28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2163</v>
      </c>
      <c r="E18" s="71">
        <v>4829</v>
      </c>
      <c r="F18" s="71">
        <v>3007</v>
      </c>
      <c r="G18" s="71">
        <v>4399</v>
      </c>
      <c r="H18" s="71">
        <v>0</v>
      </c>
      <c r="I18" s="71">
        <v>3933</v>
      </c>
      <c r="J18" s="71">
        <v>191</v>
      </c>
      <c r="K18" s="71">
        <v>3107</v>
      </c>
      <c r="L18" s="71">
        <v>7076</v>
      </c>
      <c r="M18" s="71">
        <v>5805</v>
      </c>
      <c r="N18" s="71">
        <v>1830</v>
      </c>
      <c r="O18" s="71">
        <v>6868</v>
      </c>
      <c r="P18" s="71">
        <v>5176</v>
      </c>
      <c r="Q18" s="71">
        <v>5276</v>
      </c>
      <c r="R18" s="71">
        <v>0</v>
      </c>
      <c r="S18" s="71">
        <v>1658</v>
      </c>
      <c r="T18" s="71">
        <v>1389</v>
      </c>
      <c r="U18" s="71">
        <v>6816</v>
      </c>
      <c r="V18" s="71">
        <v>850</v>
      </c>
      <c r="W18" s="71">
        <v>5394</v>
      </c>
      <c r="X18" s="71">
        <v>1289</v>
      </c>
      <c r="Y18" s="109">
        <v>-9908</v>
      </c>
      <c r="Z18" s="71">
        <v>0</v>
      </c>
      <c r="AA18" s="71">
        <v>6135</v>
      </c>
      <c r="AB18" s="71">
        <v>1098</v>
      </c>
      <c r="AC18" s="71">
        <v>0</v>
      </c>
      <c r="AD18" s="71">
        <v>84.72</v>
      </c>
      <c r="AE18" s="71">
        <v>31.41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42" t="s" ph="1">
        <v>178</v>
      </c>
      <c r="D19" s="73" ph="1">
        <f>D18*7.0686*LOOKUP(D20,密度!$A$2:$A$50,密度!$L$2:$L$50)</f>
        <v>14234.414455800001</v>
      </c>
      <c r="E19" s="73" ph="1">
        <f>E18*7.0686*LOOKUP(E20,密度!$A$2:$A$50,密度!$L$2:$L$50)</f>
        <v>31779.004811399998</v>
      </c>
      <c r="F19" s="73" ph="1">
        <f>F18*9.0746*LOOKUP(F20,密度!$A$2:$A$50,密度!$L$2:$L$50)</f>
        <v>25431.784290400003</v>
      </c>
      <c r="G19" s="73" ph="1">
        <f>G18*9.0746*LOOKUP(G20,密度!$A$2:$A$50,密度!$B$2:$B$50)</f>
        <v>30949.328934619996</v>
      </c>
      <c r="H19" s="73" ph="1">
        <f>H18*9.0746*LOOKUP(H20,密度!$A$2:$A$50,密度!$L$2:$L$50)</f>
        <v>0</v>
      </c>
      <c r="I19" s="73" ph="1">
        <f>I18*9.0746*LOOKUP(I20,密度!$A$2:$A$50,密度!$U$2:$U$50)</f>
        <v>36404.209836000002</v>
      </c>
      <c r="J19" s="73" ph="1">
        <f>J18*9.0746*LOOKUP(J20,密度!$A$2:$A$50,密度!$L$2:$L$50)</f>
        <v>1611.9211980000002</v>
      </c>
      <c r="K19" s="73" ph="1">
        <f>K18*9.0746*LOOKUP(K20,密度!$A$2:$A$50,密度!$C$2:$C$50)</f>
        <v>31158.05380922</v>
      </c>
      <c r="L19" s="73" ph="1">
        <f>L18*9.0746*LOOKUP(L20,密度!$A$2:$A$50,密度!$E$2:$E$50)</f>
        <v>49931.149800959996</v>
      </c>
      <c r="M19" s="73" ph="1">
        <f>M18*9.0746*LOOKUP(M20,密度!$A$2:$A$50,密度!$M$2:$M$50)</f>
        <v>45659.755998810004</v>
      </c>
      <c r="N19" s="73" ph="1">
        <f>N18*9.0746*LOOKUP(N20,密度!$A$2:$A$50,密度!$M$2:$M$50)</f>
        <v>14464.277178</v>
      </c>
      <c r="O19" s="73" ph="1">
        <f>O18*9.0746*LOOKUP(O20,密度!$A$2:$A$50,密度!$G$2:$G$50)</f>
        <v>59439.358508887999</v>
      </c>
      <c r="P19" s="73" ph="1">
        <f ca="1">P18*9.0746*LOOKUP(P20,密度!$A$2:$A$51,密度!$Q$2:$Q$50)</f>
        <v>44308.332355568004</v>
      </c>
      <c r="Q19" s="73" ph="1">
        <f>Q18*9.0746*LOOKUP(Q20,密度!$A$2:$A$50,密度!$Q$2:$Q$50)</f>
        <v>45128.458405167999</v>
      </c>
      <c r="R19" s="73" ph="1">
        <f>MAX(R18*9.0746*LOOKUP(R20,密度!$A$2:$A$50,密度!$B$2:$B$50),0)</f>
        <v>0</v>
      </c>
      <c r="S19" s="73" ph="1">
        <f>S18*9.0746*LOOKUP(S20,密度!$A$2:$A$50,密度!$Q$2:$Q$50)</f>
        <v>14193.047729043999</v>
      </c>
      <c r="T19" s="73" ph="1">
        <f>T18*9.0746*LOOKUP(T20,密度!$A$2:$A$50,密度!$O$2:$O$50)</f>
        <v>11611.37539128</v>
      </c>
      <c r="U19" s="73" ph="1">
        <f>U18*9.0746*LOOKUP(U20,密度!$A$2:$A$50,密度!$H$2:$H$50)</f>
        <v>56285.750976000003</v>
      </c>
      <c r="V19" s="73" ph="1">
        <f>MAX(5600*LOOKUP(V20,密度!$A$2:$A$50,密度!$Q$2:$Q$50)+V18*9.0476*LOOKUP(V20,密度!$A$2:$A$50,密度!$Q$2:$Q$50),0)</f>
        <v>12466.717289199998</v>
      </c>
      <c r="W19" s="73" ph="1">
        <f>MAX(5600*LOOKUP(W20,密度!$A$2:$A$50,密度!$Q$2:$Q$50)+W18*9.0476*LOOKUP(W20,密度!$A$2:$A$50,密度!$Q$2:$Q$50),0)</f>
        <v>51241.954369359999</v>
      </c>
      <c r="X19" s="73" ph="1">
        <f>MAX(5600*LOOKUP(X20,密度!$A$2:$A$50,密度!$I$2:$I$50)+X18*9.0476*LOOKUP(X20,密度!$A$2:$A$50,密度!$I$2:$I$50),0)</f>
        <v>17837.020244555999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43163.021826299999</v>
      </c>
      <c r="AB19" s="73" ph="1">
        <f>AB18*9.0746*LOOKUP(AB20,密度!$A$2:$A$50,密度!$L$2:$L$50)</f>
        <v>9256.473133200001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18903.2985792</v>
      </c>
      <c r="AE19" s="73" ph="1">
        <f>AE18*268.68*LOOKUP(AE20,密度!$A$2:$A$50,密度!B5:B53)+IF(AE18&lt;=0,0,1566*LOOKUP(AE20,密度!$A$2:$A$50,密度!B5:B53))</f>
        <v>7774.0705476000012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31</v>
      </c>
      <c r="E20" s="81">
        <v>31</v>
      </c>
      <c r="F20" s="81">
        <v>30</v>
      </c>
      <c r="G20" s="81">
        <v>30</v>
      </c>
      <c r="H20" s="81">
        <v>30</v>
      </c>
      <c r="I20" s="81">
        <v>30</v>
      </c>
      <c r="J20" s="81">
        <v>32</v>
      </c>
      <c r="K20" s="81">
        <v>30</v>
      </c>
      <c r="L20" s="81">
        <v>30</v>
      </c>
      <c r="M20" s="81">
        <v>33</v>
      </c>
      <c r="N20" s="81">
        <v>29</v>
      </c>
      <c r="O20" s="81">
        <v>31</v>
      </c>
      <c r="P20" s="81">
        <v>30</v>
      </c>
      <c r="Q20" s="81">
        <v>31</v>
      </c>
      <c r="R20" s="81">
        <v>35</v>
      </c>
      <c r="S20" s="81">
        <v>30</v>
      </c>
      <c r="T20" s="81">
        <v>33</v>
      </c>
      <c r="U20" s="81">
        <v>30</v>
      </c>
      <c r="V20" s="81">
        <v>38</v>
      </c>
      <c r="W20" s="81">
        <v>32</v>
      </c>
      <c r="X20" s="81">
        <v>33</v>
      </c>
      <c r="Y20" s="110">
        <v>33</v>
      </c>
      <c r="Z20" s="81">
        <v>34</v>
      </c>
      <c r="AA20" s="81">
        <v>30</v>
      </c>
      <c r="AB20" s="81">
        <v>33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42" t="s" ph="1">
        <v>177</v>
      </c>
      <c r="D24" s="71">
        <v>85.31</v>
      </c>
      <c r="E24" s="71">
        <v>55.11</v>
      </c>
      <c r="F24" s="71">
        <v>3749</v>
      </c>
      <c r="G24" s="71">
        <v>2804</v>
      </c>
      <c r="H24" s="71">
        <v>1975</v>
      </c>
      <c r="I24" s="71">
        <v>2372</v>
      </c>
      <c r="J24" s="71">
        <v>1572</v>
      </c>
      <c r="K24" s="71">
        <v>4923</v>
      </c>
      <c r="L24" s="71">
        <v>5611</v>
      </c>
      <c r="M24" s="71">
        <v>4353</v>
      </c>
      <c r="N24" s="71">
        <v>548</v>
      </c>
      <c r="O24" s="71">
        <v>4320</v>
      </c>
      <c r="P24" s="71">
        <v>967</v>
      </c>
      <c r="Q24" s="90">
        <v>4221</v>
      </c>
      <c r="R24" s="71">
        <v>370</v>
      </c>
      <c r="S24" s="71">
        <v>4134</v>
      </c>
      <c r="T24" s="71">
        <v>1696</v>
      </c>
      <c r="U24" s="71">
        <v>6890</v>
      </c>
      <c r="V24" s="71">
        <v>6682</v>
      </c>
      <c r="W24" s="71">
        <v>10694</v>
      </c>
      <c r="X24" s="71">
        <v>4504</v>
      </c>
      <c r="Y24" s="71">
        <v>2336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23182.908343992003</v>
      </c>
      <c r="E25" s="91" ph="1">
        <f>E24*268.68*LOOKUP(E26,密度!$A$2:$A$50,密度!$C$2:$C$50)+IF(E24&lt;=0,0,1566*LOOKUP(E26,密度!$A$2:$A$50,密度!$C$2:$C$50))</f>
        <v>18155.96957772</v>
      </c>
      <c r="F25" s="91" ph="1">
        <f>F24*11.702*LOOKUP(F26,密度!$A$2:$A$50,密度!$Q$2:$Q$50)</f>
        <v>41441.23320676</v>
      </c>
      <c r="G25" s="91" ph="1">
        <f>G24*18.322*LOOKUP(G26,密度!$A$2:$A$50,密度!$B$2:$B$50)</f>
        <v>39918.287976</v>
      </c>
      <c r="H25" s="91" ph="1">
        <f>H24*18.322*LOOKUP(H26,密度!$A$2:$A$50,密度!$B$2:$B$50)</f>
        <v>28087.534389999997</v>
      </c>
      <c r="I25" s="91" ph="1">
        <f>I24*18.322*LOOKUP(I26,密度!$A$2:$A$50,密度!$Q$2:$Q$50)</f>
        <v>41022.99391112</v>
      </c>
      <c r="J25" s="91" ph="1">
        <f>J24*18.322*LOOKUP(J26,密度!$A$2:$A$50,密度!$Q$2:$Q$50)</f>
        <v>27227.28057888</v>
      </c>
      <c r="K25" s="91" ph="1">
        <f>K24*18.322*LOOKUP(K26,密度!$A$2:$A$50,密度!$Q$2:$Q$50)</f>
        <v>85331.15485218</v>
      </c>
      <c r="L25" s="91" ph="1">
        <f>L24*18.322*LOOKUP(L26,密度!$A$2:$A$50,密度!$Q$2:$Q$50)</f>
        <v>97111.415388039997</v>
      </c>
      <c r="M25" s="91" ph="1">
        <f>M24*18.322*LOOKUP(M26,密度!$A$2:$A$50,密度!$Q$2:$Q$50)</f>
        <v>75338.797216919993</v>
      </c>
      <c r="N25" s="91" ph="1">
        <f>N24*18.322*LOOKUP(N26,密度!$A$2:$A$50,密度!$Q$2:$Q$50)</f>
        <v>9491.4438659200005</v>
      </c>
      <c r="O25" s="91" ph="1">
        <f>O24*18.322*LOOKUP(O26,密度!$A$2:$A$50,密度!$C$2:$C$50)</f>
        <v>87588.540863999995</v>
      </c>
      <c r="P25" s="91" ph="1">
        <f>P24*11.702*LOOKUP(P26,密度!$A$2:$A$50,密度!$B$2:$B$50)</f>
        <v>8792.4030180000009</v>
      </c>
      <c r="Q25" s="92" ph="1">
        <f>Q24*18.322*LOOKUP(Q26,密度!$A$2:$A$50,密度!$B$2:$B$50)</f>
        <v>60160.578319799999</v>
      </c>
      <c r="R25" s="91" ph="1">
        <f>R24*35.891*LOOKUP(R26,密度!$A$2:$A$50,密度!$C$2:$C$50)</f>
        <v>14705.906557999999</v>
      </c>
      <c r="S25" s="91" ph="1">
        <f>S24*35.891*LOOKUP(S26,密度!$A$2:$A$50,密度!$B$2:$B$50)</f>
        <v>115033.8923682</v>
      </c>
      <c r="T25" s="91" ph="1">
        <f>T24*35.891*LOOKUP(T26,密度!$A$2:$A$50,密度!$Q$2:$Q$50)</f>
        <v>57458.091404480001</v>
      </c>
      <c r="U25" s="91" ph="1">
        <f>U24*35.891</f>
        <v>247288.99</v>
      </c>
      <c r="V25" s="91" ph="1">
        <f>V24*47.051*LOOKUP(V26,密度!$A$2:$A$50,密度!$B$2:$B$50)</f>
        <v>244033.2297884</v>
      </c>
      <c r="W25" s="91" ph="1">
        <f>W24*47.051*LOOKUP(W26,密度!$A$2:$A$50,密度!$B$2:$B$50)</f>
        <v>390555.4264228</v>
      </c>
      <c r="X25" s="91" ph="1">
        <f>X24*47.051*LOOKUP(X26,密度!$A$2:$A$50,密度!$I$2:$I$50)</f>
        <v>219673.8919664</v>
      </c>
      <c r="Y25" s="91" ph="1">
        <f>Y24*47.051*LOOKUP(Y26,密度!$A$2:$A$50,密度!$L$2:$L$50)</f>
        <v>102437.17875200001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28</v>
      </c>
      <c r="G26" s="74">
        <v>28</v>
      </c>
      <c r="H26" s="74">
        <v>29</v>
      </c>
      <c r="I26" s="74">
        <v>29</v>
      </c>
      <c r="J26" s="74">
        <v>27</v>
      </c>
      <c r="K26" s="74">
        <v>26</v>
      </c>
      <c r="L26" s="74">
        <v>28</v>
      </c>
      <c r="M26" s="74">
        <v>28</v>
      </c>
      <c r="N26" s="74">
        <v>27</v>
      </c>
      <c r="O26" s="74">
        <v>28</v>
      </c>
      <c r="P26" s="74">
        <v>28</v>
      </c>
      <c r="Q26" s="93">
        <v>27</v>
      </c>
      <c r="R26" s="74">
        <v>27</v>
      </c>
      <c r="S26" s="74">
        <v>30</v>
      </c>
      <c r="T26" s="74">
        <v>29</v>
      </c>
      <c r="U26" s="74">
        <v>28</v>
      </c>
      <c r="V26" s="74">
        <v>29</v>
      </c>
      <c r="W26" s="74">
        <v>29</v>
      </c>
      <c r="X26" s="74">
        <v>30</v>
      </c>
      <c r="Y26" s="74">
        <v>30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42" t="s" ph="1">
        <v>180</v>
      </c>
      <c r="D27" s="71">
        <v>85.42</v>
      </c>
      <c r="E27" s="71">
        <v>55.22</v>
      </c>
      <c r="F27" s="71">
        <v>3752</v>
      </c>
      <c r="G27" s="71">
        <v>2305</v>
      </c>
      <c r="H27" s="71">
        <v>1970</v>
      </c>
      <c r="I27" s="71">
        <v>1461</v>
      </c>
      <c r="J27" s="71">
        <v>1570</v>
      </c>
      <c r="K27" s="71">
        <v>4923</v>
      </c>
      <c r="L27" s="71">
        <v>5609</v>
      </c>
      <c r="M27" s="71">
        <v>4353</v>
      </c>
      <c r="N27" s="71">
        <v>544</v>
      </c>
      <c r="O27" s="71">
        <v>4317</v>
      </c>
      <c r="P27" s="71">
        <v>965</v>
      </c>
      <c r="Q27" s="90">
        <v>4030</v>
      </c>
      <c r="R27" s="71">
        <v>366</v>
      </c>
      <c r="S27" s="71">
        <v>3893</v>
      </c>
      <c r="T27" s="71">
        <v>1694</v>
      </c>
      <c r="U27" s="71">
        <v>6563</v>
      </c>
      <c r="V27" s="71">
        <v>6682</v>
      </c>
      <c r="W27" s="71">
        <v>10393</v>
      </c>
      <c r="X27" s="71">
        <v>4499</v>
      </c>
      <c r="Y27" s="71">
        <v>1274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42" t="s" ph="1">
        <v>178</v>
      </c>
      <c r="D28" s="91" ph="1">
        <f>D27*268.68*LOOKUP(D29,密度!$A$2:$A$50,密度!$Q$2:$Q$50)+IF(D27&lt;=0,0,1566*LOOKUP(D29,密度!$A$2:$A$50,密度!$Q$2:$Q$50))</f>
        <v>23210.889055344003</v>
      </c>
      <c r="E28" s="91" ph="1">
        <f>E27*268.68*LOOKUP(E29,密度!$A$2:$A$50,密度!$C$2:$C$50)+IF(E27&lt;=0,0,1566*LOOKUP(E29,密度!$A$2:$A$50,密度!$C$2:$C$50))</f>
        <v>18188.742895440002</v>
      </c>
      <c r="F28" s="91" ph="1">
        <f>F27*11.702*LOOKUP(F29,密度!$A$2:$A$50,密度!$Q$2:$Q$50)</f>
        <v>41354.970977600002</v>
      </c>
      <c r="G28" s="91" ph="1">
        <f>G27*18.322*LOOKUP(G29,密度!$A$2:$A$50,密度!$B$2:$B$50)</f>
        <v>32704.623423999998</v>
      </c>
      <c r="H28" s="91" ph="1">
        <f>H27*18.322*LOOKUP(H29,密度!$A$2:$A$50,密度!$B$2:$B$50)</f>
        <v>27890.096517999998</v>
      </c>
      <c r="I28" s="91" ph="1">
        <f>I27*18.322*LOOKUP(I29,密度!$A$2:$A$50,密度!$Q$2:$Q$50)</f>
        <v>25195.796032499999</v>
      </c>
      <c r="J28" s="91" ph="1">
        <f>J27*18.322*LOOKUP(J29,密度!$A$2:$A$50,密度!$Q$2:$Q$50)</f>
        <v>27152.656172199997</v>
      </c>
      <c r="K28" s="91" ph="1">
        <f>K27*18.322*LOOKUP(K29,密度!$A$2:$A$50,密度!$Q$2:$Q$50)</f>
        <v>85087.616995979988</v>
      </c>
      <c r="L28" s="91" ph="1">
        <f>L27*18.322*LOOKUP(L29,密度!$A$2:$A$50,密度!$Q$2:$Q$50)</f>
        <v>96797.271506199992</v>
      </c>
      <c r="M28" s="91" ph="1">
        <f>M27*18.322*LOOKUP(M29,密度!$A$2:$A$50,密度!$Q$2:$Q$50)</f>
        <v>75121.861805399996</v>
      </c>
      <c r="N28" s="91" ph="1">
        <f>N27*18.322*LOOKUP(N29,密度!$A$2:$A$50,密度!$Q$2:$Q$50)</f>
        <v>9394.8532134399993</v>
      </c>
      <c r="O28" s="91" ph="1">
        <f>O27*18.322*LOOKUP(O29,密度!$A$2:$A$50,密度!$C$2:$C$50)</f>
        <v>87409.071377399989</v>
      </c>
      <c r="P28" s="91" ph="1">
        <f>P27*11.702*LOOKUP(P29,密度!$A$2:$A$50,密度!$B$2:$B$50)</f>
        <v>8755.0209790000008</v>
      </c>
      <c r="Q28" s="92" ph="1">
        <f>Q27*18.322*LOOKUP(Q29,密度!$A$2:$A$50,密度!$B$2:$B$50)</f>
        <v>57179.883904000002</v>
      </c>
      <c r="R28" s="91" ph="1">
        <f>R27*35.891*LOOKUP(R29,密度!$A$2:$A$50,密度!$C$2:$C$50)</f>
        <v>14503.574634600001</v>
      </c>
      <c r="S28" s="91" ph="1">
        <f>S27*35.891*LOOKUP(S29,密度!$A$2:$A$50,密度!$B$2:$B$50)</f>
        <v>108202.0046272</v>
      </c>
      <c r="T28" s="91" ph="1">
        <f>T27*35.891*LOOKUP(T29,密度!$A$2:$A$50,密度!$Q$2:$Q$50)</f>
        <v>57266.911532599996</v>
      </c>
      <c r="U28" s="91" ph="1">
        <f>U27*35.891</f>
        <v>235552.633</v>
      </c>
      <c r="V28" s="91" ph="1">
        <f>V27*47.051*LOOKUP(V29,密度!$A$2:$A$50,密度!$B$2:$B$50)</f>
        <v>243184.363877</v>
      </c>
      <c r="W28" s="91" ph="1">
        <f>W27*47.051*LOOKUP(W29,密度!$A$2:$A$50,密度!$B$2:$B$50)</f>
        <v>378242.30676050001</v>
      </c>
      <c r="X28" s="91" ph="1">
        <f>X27*47.051*LOOKUP(X29,密度!$A$2:$A$50,密度!$I$2:$I$50)</f>
        <v>218494.39020882006</v>
      </c>
      <c r="Y28" s="91" ph="1">
        <f>Y27*47.051*LOOKUP(Y29,密度!$A$2:$A$50,密度!$L$2:$L$50)</f>
        <v>55687.022846000007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42" t="s" ph="1">
        <v>179</v>
      </c>
      <c r="D29" s="74">
        <v>25</v>
      </c>
      <c r="E29" s="74">
        <v>25</v>
      </c>
      <c r="F29" s="74">
        <v>32</v>
      </c>
      <c r="G29" s="74">
        <v>31</v>
      </c>
      <c r="H29" s="74">
        <v>33</v>
      </c>
      <c r="I29" s="74">
        <v>33</v>
      </c>
      <c r="J29" s="74">
        <v>29</v>
      </c>
      <c r="K29" s="74">
        <v>30</v>
      </c>
      <c r="L29" s="74">
        <v>32</v>
      </c>
      <c r="M29" s="74">
        <v>32</v>
      </c>
      <c r="N29" s="74">
        <v>31</v>
      </c>
      <c r="O29" s="74">
        <v>30</v>
      </c>
      <c r="P29" s="74">
        <v>30</v>
      </c>
      <c r="Q29" s="93">
        <v>31</v>
      </c>
      <c r="R29" s="74">
        <v>31</v>
      </c>
      <c r="S29" s="74">
        <v>31</v>
      </c>
      <c r="T29" s="74">
        <v>32</v>
      </c>
      <c r="U29" s="74">
        <v>31</v>
      </c>
      <c r="V29" s="74">
        <v>32</v>
      </c>
      <c r="W29" s="74">
        <v>32</v>
      </c>
      <c r="X29" s="74">
        <v>34</v>
      </c>
      <c r="Y29" s="74">
        <v>33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42" t="s" ph="1">
        <v>5</v>
      </c>
      <c r="F32" s="141" t="s" ph="1">
        <v>43</v>
      </c>
      <c r="G32" s="97" t="s" ph="1">
        <v>4</v>
      </c>
      <c r="H32" s="142" t="s" ph="1">
        <v>5</v>
      </c>
      <c r="I32" s="141" t="s" ph="1">
        <v>43</v>
      </c>
      <c r="J32" s="97" t="s" ph="1">
        <v>4</v>
      </c>
      <c r="K32" s="142" t="s" ph="1">
        <v>5</v>
      </c>
      <c r="L32" s="141" t="s" ph="1">
        <v>43</v>
      </c>
      <c r="M32" s="97" t="s" ph="1">
        <v>4</v>
      </c>
      <c r="N32" s="142" t="s" ph="1">
        <v>5</v>
      </c>
      <c r="O32" s="14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2" t="s" ph="1">
        <v>5</v>
      </c>
      <c r="U32" s="99" t="s" ph="1">
        <v>43</v>
      </c>
      <c r="V32" s="97" t="s" ph="1">
        <v>4</v>
      </c>
      <c r="W32" s="142" t="s" ph="1">
        <v>5</v>
      </c>
      <c r="X32" s="99" t="s" ph="1">
        <v>43</v>
      </c>
      <c r="Y32" s="100" t="s" ph="1">
        <v>4</v>
      </c>
      <c r="Z32" s="142" t="s" ph="1">
        <v>5</v>
      </c>
      <c r="AA32" s="141" t="s" ph="1">
        <v>43</v>
      </c>
      <c r="AB32" s="97" t="s" ph="1">
        <v>85</v>
      </c>
      <c r="AC32" s="142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12796.2854016</v>
      </c>
      <c r="E33" s="204" ph="1">
        <f>M10+I10</f>
        <v>103551.13123640002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[[#This Row],[F25]]</f>
        <v>3880</v>
      </c>
      <c r="G33" s="208" ph="1">
        <v>0</v>
      </c>
      <c r="H33" s="204" ph="1">
        <f>N19</f>
        <v>14464.277178</v>
      </c>
      <c r="I33" s="217" ph="1">
        <v>0</v>
      </c>
      <c r="J33" s="215" ph="1">
        <f>F10+O28</f>
        <v>338418.87181589997</v>
      </c>
      <c r="K33" s="204" ph="1">
        <f>O10+K10+E28+R28</f>
        <v>139222.95601324001</v>
      </c>
      <c r="L33" s="219" ph="1">
        <f>BE27</f>
        <v>7100</v>
      </c>
      <c r="M33" s="215" ph="1">
        <f>G10+H10+W28+S28+V28+E10</f>
        <v>1794409.3848157004</v>
      </c>
      <c r="N33" s="204" ph="1">
        <f>L10+P10++G28+H28</f>
        <v>159914.18296800001</v>
      </c>
      <c r="O33" s="217" ph="1">
        <f>BE17</f>
        <v>2270</v>
      </c>
      <c r="P33" s="215" ph="1">
        <f>L19</f>
        <v>49931.149800959996</v>
      </c>
      <c r="Q33" s="204" ph="1">
        <f>J10+N10</f>
        <v>159029.76104774998</v>
      </c>
      <c r="R33" s="217" ph="1">
        <f>BE23</f>
        <v>890</v>
      </c>
      <c r="S33" s="215" ph="1">
        <f>E10+X28</f>
        <v>574981.84680682002</v>
      </c>
      <c r="T33" s="204" ph="1">
        <f>X19</f>
        <v>17837.020244555999</v>
      </c>
      <c r="U33" s="225" ph="1">
        <f>BE21</f>
        <v>730</v>
      </c>
      <c r="V33" s="236" ph="1">
        <f ca="1">P19+Q19+S19+M28+N28+J28</f>
        <v>215299.20968082</v>
      </c>
      <c r="W33" s="236" ph="1">
        <f>D28+F28+V19+T28</f>
        <v>134299.48885474401</v>
      </c>
      <c r="X33" s="217" ph="1">
        <f>BE29+BE31</f>
        <v>10200</v>
      </c>
      <c r="Y33" s="238" ph="1">
        <f>+Q10+R10+S10+T10+U10+V10+W10+X10+Y10</f>
        <v>165350.2321548</v>
      </c>
      <c r="Z33" s="223" ph="1">
        <f>D10+T19+U19+Y28+Z10</f>
        <v>505065.10492232005</v>
      </c>
      <c r="AA33" s="225" ph="1">
        <f>BE19</f>
        <v>1440</v>
      </c>
      <c r="AB33" s="227" ph="1">
        <f>I19</f>
        <v>36404.209836000002</v>
      </c>
      <c r="AC33" s="229" ph="1">
        <f>AD10</f>
        <v>80516.5861248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40" t="s" ph="1">
        <v>185</v>
      </c>
      <c r="AA36" s="140" ph="1"/>
      <c r="AB36" s="222" t="s" ph="1">
        <v>638</v>
      </c>
      <c r="AC36" s="222" ph="1"/>
      <c r="AD36" s="222" ph="1"/>
      <c r="AE36" s="222" ph="1"/>
      <c r="BA36" s="64" ph="1">
        <v>2270</v>
      </c>
    </row>
    <row r="37" spans="1:57" s="14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0" t="s" ph="1">
        <v>342</v>
      </c>
      <c r="AI37" s="140" t="s" ph="1">
        <v>209</v>
      </c>
      <c r="AJ37" s="140" t="s" ph="1">
        <v>210</v>
      </c>
      <c r="AK37" s="140" t="s" ph="1">
        <v>211</v>
      </c>
      <c r="AM37" s="140" t="s" ph="1">
        <v>210</v>
      </c>
      <c r="AN37" s="140" t="s" ph="1">
        <v>211</v>
      </c>
      <c r="AO37" s="140" t="s" ph="1">
        <v>212</v>
      </c>
      <c r="AP37" s="140" t="s" ph="1">
        <v>210</v>
      </c>
      <c r="AQ37" s="140" t="s" ph="1">
        <v>211</v>
      </c>
      <c r="AR37" s="140" t="s" ph="1">
        <v>212</v>
      </c>
      <c r="AS37" s="140" t="s" ph="1">
        <v>210</v>
      </c>
      <c r="AT37" s="140" t="s" ph="1">
        <v>211</v>
      </c>
      <c r="AU37" s="140" t="s" ph="1">
        <v>212</v>
      </c>
      <c r="AV37" s="140" t="s" ph="1">
        <v>210</v>
      </c>
      <c r="AW37" s="140" t="s" ph="1">
        <v>211</v>
      </c>
      <c r="AX37" s="140" t="s" ph="1">
        <v>212</v>
      </c>
      <c r="AY37" s="140" t="s" ph="1">
        <v>211</v>
      </c>
      <c r="AZ37" s="140" t="s" ph="1">
        <v>213</v>
      </c>
      <c r="BD37" s="140" t="s" ph="1">
        <v>305</v>
      </c>
      <c r="BE37" s="14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815" priority="98">
      <formula>ABS(D$7-D$10)&gt;=1000</formula>
    </cfRule>
  </conditionalFormatting>
  <conditionalFormatting sqref="E4 E6:E11">
    <cfRule type="expression" dxfId="2814" priority="97">
      <formula>ABS(E$7-E$10)&gt;=1000</formula>
    </cfRule>
  </conditionalFormatting>
  <conditionalFormatting sqref="F4:F11">
    <cfRule type="expression" dxfId="2813" priority="96">
      <formula>ABS(F$7-F$10)&gt;=1000</formula>
    </cfRule>
  </conditionalFormatting>
  <conditionalFormatting sqref="G4:G11">
    <cfRule type="expression" dxfId="2812" priority="95">
      <formula>ABS(G$7-G$10)&gt;=1000</formula>
    </cfRule>
  </conditionalFormatting>
  <conditionalFormatting sqref="H4:H11">
    <cfRule type="expression" dxfId="2811" priority="94">
      <formula>ABS(H$7-H$10)&gt;=1000</formula>
    </cfRule>
  </conditionalFormatting>
  <conditionalFormatting sqref="I4:I11">
    <cfRule type="expression" dxfId="2810" priority="93">
      <formula>ABS(I$7-I$10)&gt;=1000</formula>
    </cfRule>
  </conditionalFormatting>
  <conditionalFormatting sqref="J4:J11">
    <cfRule type="expression" dxfId="2809" priority="92">
      <formula>ABS(J$7-J$10)&gt;=1000</formula>
    </cfRule>
  </conditionalFormatting>
  <conditionalFormatting sqref="K4:K11">
    <cfRule type="expression" dxfId="2808" priority="91">
      <formula>ABS(K$7-K$10)&gt;=1000</formula>
    </cfRule>
  </conditionalFormatting>
  <conditionalFormatting sqref="L4:L11">
    <cfRule type="expression" dxfId="2807" priority="90">
      <formula>ABS(L$7-L$10)&gt;=1000</formula>
    </cfRule>
  </conditionalFormatting>
  <conditionalFormatting sqref="M4 M6:M11">
    <cfRule type="expression" dxfId="2806" priority="89">
      <formula>ABS(M$7-M$10)&gt;=1000</formula>
    </cfRule>
  </conditionalFormatting>
  <conditionalFormatting sqref="N4 N6:N11">
    <cfRule type="expression" dxfId="2805" priority="88">
      <formula>ABS(N$7-N$10)&gt;=1000</formula>
    </cfRule>
  </conditionalFormatting>
  <conditionalFormatting sqref="O4 O6:O11">
    <cfRule type="expression" dxfId="2804" priority="87">
      <formula>ABS(O$7-O$10)&gt;=1000</formula>
    </cfRule>
  </conditionalFormatting>
  <conditionalFormatting sqref="P4 P6:P11">
    <cfRule type="expression" dxfId="2803" priority="86">
      <formula>ABS(P$7-P$10)&gt;=1000</formula>
    </cfRule>
  </conditionalFormatting>
  <conditionalFormatting sqref="Q4:Q11">
    <cfRule type="expression" dxfId="2802" priority="85">
      <formula>ABS(Q$7-Q$10)&gt;=1000</formula>
    </cfRule>
  </conditionalFormatting>
  <conditionalFormatting sqref="R4:R11">
    <cfRule type="expression" dxfId="2801" priority="84">
      <formula>ABS(R$7-R$10)&gt;=1000</formula>
    </cfRule>
  </conditionalFormatting>
  <conditionalFormatting sqref="S4:S11">
    <cfRule type="expression" dxfId="2800" priority="83">
      <formula>ABS(S$7-S$10)&gt;=1000</formula>
    </cfRule>
  </conditionalFormatting>
  <conditionalFormatting sqref="T4:T9 T11">
    <cfRule type="expression" dxfId="2799" priority="82">
      <formula>ABS(T$7-T$10)&gt;=1000</formula>
    </cfRule>
  </conditionalFormatting>
  <conditionalFormatting sqref="U4:U9 U11">
    <cfRule type="expression" dxfId="2798" priority="81">
      <formula>ABS(U$7-U$10)&gt;=1000</formula>
    </cfRule>
  </conditionalFormatting>
  <conditionalFormatting sqref="V4:V9 V11">
    <cfRule type="expression" dxfId="2797" priority="80">
      <formula>ABS(V$7-V$10)&gt;=1000</formula>
    </cfRule>
  </conditionalFormatting>
  <conditionalFormatting sqref="W4:W9 W11">
    <cfRule type="expression" dxfId="2796" priority="79">
      <formula>ABS(W$7-W$10)&gt;=1000</formula>
    </cfRule>
  </conditionalFormatting>
  <conditionalFormatting sqref="X4:X9 X11">
    <cfRule type="expression" dxfId="2795" priority="78">
      <formula>ABS(X$7-X$10)&gt;=1000</formula>
    </cfRule>
  </conditionalFormatting>
  <conditionalFormatting sqref="Y4:Y9 Y11">
    <cfRule type="expression" dxfId="2794" priority="77">
      <formula>ABS(Y$7-Y$10)&gt;=1000</formula>
    </cfRule>
  </conditionalFormatting>
  <conditionalFormatting sqref="Z4:Z11">
    <cfRule type="expression" dxfId="2793" priority="76">
      <formula>ABS(Z$7-Z$10)&gt;=1000</formula>
    </cfRule>
  </conditionalFormatting>
  <conditionalFormatting sqref="AA4:AA11">
    <cfRule type="expression" dxfId="2792" priority="75">
      <formula>ABS(AA$7-AA$10)&gt;=1000</formula>
    </cfRule>
  </conditionalFormatting>
  <conditionalFormatting sqref="AB4:AB11">
    <cfRule type="expression" dxfId="2791" priority="74">
      <formula>ABS(AB$7-AB$10)&gt;=1000</formula>
    </cfRule>
  </conditionalFormatting>
  <conditionalFormatting sqref="AC4 AC6:AC11">
    <cfRule type="expression" dxfId="2790" priority="73">
      <formula>ABS(AC$7-AC$10)&gt;=1000</formula>
    </cfRule>
  </conditionalFormatting>
  <conditionalFormatting sqref="AD4:AD11">
    <cfRule type="expression" dxfId="2789" priority="72">
      <formula>ABS(AD$7-AD$10)&gt;=1000</formula>
    </cfRule>
  </conditionalFormatting>
  <conditionalFormatting sqref="AE4 AE6:AE11">
    <cfRule type="expression" dxfId="2788" priority="71">
      <formula>ABS(AE$7-AE$10)&gt;=1000</formula>
    </cfRule>
  </conditionalFormatting>
  <conditionalFormatting sqref="D13:D20">
    <cfRule type="expression" dxfId="2787" priority="70">
      <formula>ABS(D$16-D$19)&gt;=1000</formula>
    </cfRule>
  </conditionalFormatting>
  <conditionalFormatting sqref="E13:E20">
    <cfRule type="expression" dxfId="2786" priority="69">
      <formula>ABS(E$16-E$19)&gt;=1000</formula>
    </cfRule>
  </conditionalFormatting>
  <conditionalFormatting sqref="F13 F15:F20">
    <cfRule type="expression" dxfId="2785" priority="68">
      <formula>ABS(F$16-F$19)&gt;=1000</formula>
    </cfRule>
  </conditionalFormatting>
  <conditionalFormatting sqref="G13:G20">
    <cfRule type="expression" dxfId="2784" priority="67">
      <formula>ABS(G$16-G$19)&gt;=1000</formula>
    </cfRule>
  </conditionalFormatting>
  <conditionalFormatting sqref="H13:H20">
    <cfRule type="expression" dxfId="2783" priority="66">
      <formula>ABS(H$16-H$19)&gt;=1000</formula>
    </cfRule>
  </conditionalFormatting>
  <conditionalFormatting sqref="I13:I20">
    <cfRule type="expression" dxfId="2782" priority="65">
      <formula>ABS(I$16-I$19)&gt;=1000</formula>
    </cfRule>
  </conditionalFormatting>
  <conditionalFormatting sqref="J13:J20">
    <cfRule type="expression" dxfId="2781" priority="64">
      <formula>ABS(J$16-J$19)&gt;=1000</formula>
    </cfRule>
  </conditionalFormatting>
  <conditionalFormatting sqref="L13:L20">
    <cfRule type="expression" dxfId="2780" priority="63">
      <formula>ABS(L$16-L$19)&gt;=1000</formula>
    </cfRule>
  </conditionalFormatting>
  <conditionalFormatting sqref="M13 M15 M17:M18 M20">
    <cfRule type="expression" dxfId="2779" priority="62">
      <formula>ABS(M$16-M$19)&gt;=1000</formula>
    </cfRule>
  </conditionalFormatting>
  <conditionalFormatting sqref="N13:N20">
    <cfRule type="expression" dxfId="2778" priority="61">
      <formula>ABS(N$16-N$19)&gt;=1000</formula>
    </cfRule>
  </conditionalFormatting>
  <conditionalFormatting sqref="O13:O20">
    <cfRule type="expression" dxfId="2777" priority="60">
      <formula>ABS(O$16-O$19)&gt;=1000</formula>
    </cfRule>
  </conditionalFormatting>
  <conditionalFormatting sqref="P13:P20">
    <cfRule type="expression" dxfId="2776" priority="59">
      <formula>ABS(P$16-P$19)&gt;=1000</formula>
    </cfRule>
  </conditionalFormatting>
  <conditionalFormatting sqref="Q13 Q15:Q20">
    <cfRule type="expression" dxfId="2775" priority="58">
      <formula>ABS(Q$16-Q$19)&gt;=1000</formula>
    </cfRule>
  </conditionalFormatting>
  <conditionalFormatting sqref="R13:R20">
    <cfRule type="expression" dxfId="2774" priority="57">
      <formula>ABS(R$16-R$19)&gt;=1000</formula>
    </cfRule>
  </conditionalFormatting>
  <conditionalFormatting sqref="S13:S20">
    <cfRule type="expression" dxfId="2773" priority="56">
      <formula>ABS(S$16-S$19)&gt;=1000</formula>
    </cfRule>
  </conditionalFormatting>
  <conditionalFormatting sqref="T13:T20">
    <cfRule type="expression" dxfId="2772" priority="55">
      <formula>ABS(T$16-T$19)&gt;=1000</formula>
    </cfRule>
  </conditionalFormatting>
  <conditionalFormatting sqref="U13:U20">
    <cfRule type="expression" dxfId="2771" priority="54">
      <formula>ABS(U$16-U$19)&gt;=1000</formula>
    </cfRule>
  </conditionalFormatting>
  <conditionalFormatting sqref="V13:V20">
    <cfRule type="expression" dxfId="2770" priority="53">
      <formula>ABS(V$16-V$19)&gt;=1000</formula>
    </cfRule>
  </conditionalFormatting>
  <conditionalFormatting sqref="W13 W20 W15:W18">
    <cfRule type="expression" dxfId="2769" priority="52">
      <formula>ABS(W$16-W$19)&gt;=1000</formula>
    </cfRule>
  </conditionalFormatting>
  <conditionalFormatting sqref="X13 X15:X20 Y19">
    <cfRule type="expression" dxfId="2768" priority="51">
      <formula>ABS(X$16-X$19)&gt;=1000</formula>
    </cfRule>
  </conditionalFormatting>
  <conditionalFormatting sqref="Y13 Y15:Y18 Y20">
    <cfRule type="expression" dxfId="2767" priority="50">
      <formula>ABS(Y$16-Y$19)&gt;=1000</formula>
    </cfRule>
  </conditionalFormatting>
  <conditionalFormatting sqref="Z13:Z20">
    <cfRule type="expression" dxfId="2766" priority="49">
      <formula>ABS(Z$16-Z$19)&gt;=1000</formula>
    </cfRule>
  </conditionalFormatting>
  <conditionalFormatting sqref="AA13:AA20">
    <cfRule type="expression" dxfId="2765" priority="48">
      <formula>ABS(AA$16-AA$19)&gt;=1000</formula>
    </cfRule>
  </conditionalFormatting>
  <conditionalFormatting sqref="AB13 AB15:AB20">
    <cfRule type="expression" dxfId="2764" priority="47">
      <formula>ABS(AB$16-AB$19)&gt;=1000</formula>
    </cfRule>
  </conditionalFormatting>
  <conditionalFormatting sqref="AC13 AC15:AC20">
    <cfRule type="expression" dxfId="2763" priority="46">
      <formula>ABS(AC$16-AC$19)&gt;=1000</formula>
    </cfRule>
  </conditionalFormatting>
  <conditionalFormatting sqref="AD13:AD20">
    <cfRule type="expression" dxfId="2762" priority="45">
      <formula>ABS(AD$16-AD$19)&gt;=1000</formula>
    </cfRule>
  </conditionalFormatting>
  <conditionalFormatting sqref="AE13:AE20">
    <cfRule type="expression" dxfId="2761" priority="44">
      <formula>ABS(AE$16-AE$19)&gt;=1000</formula>
    </cfRule>
  </conditionalFormatting>
  <conditionalFormatting sqref="D22:D29">
    <cfRule type="expression" dxfId="2760" priority="43">
      <formula>ABS(D$25-D$28)&gt;=1000</formula>
    </cfRule>
  </conditionalFormatting>
  <conditionalFormatting sqref="E22:E29">
    <cfRule type="expression" dxfId="2759" priority="42">
      <formula>ABS(E$25-E$28)&gt;=1000</formula>
    </cfRule>
  </conditionalFormatting>
  <conditionalFormatting sqref="F22:F29">
    <cfRule type="expression" dxfId="2758" priority="41">
      <formula>ABS(F$25-F$28)&gt;=1000</formula>
    </cfRule>
  </conditionalFormatting>
  <conditionalFormatting sqref="G22:G29">
    <cfRule type="expression" dxfId="2757" priority="40">
      <formula>ABS(G$25-G$28)&gt;=1000</formula>
    </cfRule>
  </conditionalFormatting>
  <conditionalFormatting sqref="H22:H29">
    <cfRule type="expression" dxfId="2756" priority="39">
      <formula>ABS(H$25-H$28)&gt;=1000</formula>
    </cfRule>
  </conditionalFormatting>
  <conditionalFormatting sqref="I22 I24:I29">
    <cfRule type="expression" dxfId="2755" priority="38">
      <formula>ABS(I$25-I$28)&gt;=1000</formula>
    </cfRule>
  </conditionalFormatting>
  <conditionalFormatting sqref="J22:J29 K22">
    <cfRule type="expression" dxfId="2754" priority="37">
      <formula>ABS(J$25-J$28)&gt;=1000</formula>
    </cfRule>
  </conditionalFormatting>
  <conditionalFormatting sqref="K23:K29 L25 L28">
    <cfRule type="expression" dxfId="2753" priority="36">
      <formula>ABS(K$25-K$28)&gt;=1000</formula>
    </cfRule>
  </conditionalFormatting>
  <conditionalFormatting sqref="L22 L26:L27 L29 L24">
    <cfRule type="expression" dxfId="2752" priority="35">
      <formula>ABS(L$25-L$28)&gt;=1000</formula>
    </cfRule>
  </conditionalFormatting>
  <conditionalFormatting sqref="M22:M29">
    <cfRule type="expression" dxfId="2751" priority="34">
      <formula>ABS(M$25-M$28)&gt;=1000</formula>
    </cfRule>
  </conditionalFormatting>
  <conditionalFormatting sqref="N22:N29">
    <cfRule type="expression" dxfId="2750" priority="33">
      <formula>ABS(N$25-N$28)&gt;=1000</formula>
    </cfRule>
  </conditionalFormatting>
  <conditionalFormatting sqref="O22:O29">
    <cfRule type="expression" dxfId="2749" priority="32">
      <formula>ABS(O$25-O$28)&gt;=1000</formula>
    </cfRule>
  </conditionalFormatting>
  <conditionalFormatting sqref="P22:P29">
    <cfRule type="expression" dxfId="2748" priority="31">
      <formula>ABS(P$25-P$28)&gt;=1000</formula>
    </cfRule>
  </conditionalFormatting>
  <conditionalFormatting sqref="Q22:Q29">
    <cfRule type="expression" dxfId="2747" priority="30">
      <formula>ABS(Q$25-Q$28)&gt;=1000</formula>
    </cfRule>
  </conditionalFormatting>
  <conditionalFormatting sqref="R22:R29">
    <cfRule type="expression" dxfId="2746" priority="29">
      <formula>ABS(R$25-R$28)&gt;=1000</formula>
    </cfRule>
  </conditionalFormatting>
  <conditionalFormatting sqref="S22:S29">
    <cfRule type="expression" dxfId="2745" priority="28">
      <formula>ABS(S$25-S$28)&gt;=1000</formula>
    </cfRule>
  </conditionalFormatting>
  <conditionalFormatting sqref="T22:T29">
    <cfRule type="expression" dxfId="2744" priority="27">
      <formula>ABS(T$25-T$28)&gt;=1000</formula>
    </cfRule>
  </conditionalFormatting>
  <conditionalFormatting sqref="U22:U29">
    <cfRule type="expression" dxfId="2743" priority="26">
      <formula>ABS(U$25-U$28)&gt;=1000</formula>
    </cfRule>
  </conditionalFormatting>
  <conditionalFormatting sqref="V22:V29">
    <cfRule type="expression" dxfId="2742" priority="25">
      <formula>ABS(V$25-V$28)&gt;=1000</formula>
    </cfRule>
  </conditionalFormatting>
  <conditionalFormatting sqref="W22:W29">
    <cfRule type="expression" dxfId="2741" priority="24">
      <formula>ABS(W$25-W$28)&gt;=1000</formula>
    </cfRule>
  </conditionalFormatting>
  <conditionalFormatting sqref="X22:X29">
    <cfRule type="expression" dxfId="2740" priority="23">
      <formula>ABS(X$25-X$28)&gt;=1000</formula>
    </cfRule>
  </conditionalFormatting>
  <conditionalFormatting sqref="Y22:Y29">
    <cfRule type="expression" dxfId="2739" priority="22">
      <formula>ABS(Y$25-Y$28)&gt;=1000</formula>
    </cfRule>
  </conditionalFormatting>
  <conditionalFormatting sqref="I23">
    <cfRule type="expression" dxfId="2738" priority="21">
      <formula>ABS(I$25-I$28)&gt;=1000</formula>
    </cfRule>
  </conditionalFormatting>
  <conditionalFormatting sqref="Q14">
    <cfRule type="expression" dxfId="2737" priority="20">
      <formula>ABS(Q$16-Q$19)&gt;=1000</formula>
    </cfRule>
  </conditionalFormatting>
  <conditionalFormatting sqref="W14">
    <cfRule type="expression" dxfId="2736" priority="19">
      <formula>ABS(W$16-W$19)&gt;=1000</formula>
    </cfRule>
  </conditionalFormatting>
  <conditionalFormatting sqref="Y14">
    <cfRule type="expression" dxfId="2735" priority="18">
      <formula>ABS(Y$16-Y$19)&gt;=1000</formula>
    </cfRule>
  </conditionalFormatting>
  <conditionalFormatting sqref="X14">
    <cfRule type="expression" dxfId="2734" priority="17">
      <formula>ABS(X$16-X$19)&gt;=1000</formula>
    </cfRule>
  </conditionalFormatting>
  <conditionalFormatting sqref="T10:Y10">
    <cfRule type="expression" dxfId="2733" priority="16">
      <formula>ABS(T$7-T$10)&gt;=1000</formula>
    </cfRule>
  </conditionalFormatting>
  <conditionalFormatting sqref="W19">
    <cfRule type="expression" dxfId="2732" priority="15">
      <formula>ABS(W$16-W$19)&gt;=1000</formula>
    </cfRule>
  </conditionalFormatting>
  <conditionalFormatting sqref="AC5">
    <cfRule type="expression" dxfId="2731" priority="14">
      <formula>ABS(AC$7-AC$10)&gt;=1000</formula>
    </cfRule>
  </conditionalFormatting>
  <conditionalFormatting sqref="M14">
    <cfRule type="expression" dxfId="2730" priority="13">
      <formula>ABS(M$16-M$19)&gt;=1000</formula>
    </cfRule>
  </conditionalFormatting>
  <conditionalFormatting sqref="M16">
    <cfRule type="expression" dxfId="2729" priority="12">
      <formula>ABS(M$16-M$19)&gt;=1000</formula>
    </cfRule>
  </conditionalFormatting>
  <conditionalFormatting sqref="M19">
    <cfRule type="expression" dxfId="2728" priority="11">
      <formula>ABS(M$16-M$19)&gt;=1000</formula>
    </cfRule>
  </conditionalFormatting>
  <conditionalFormatting sqref="K13:K20">
    <cfRule type="expression" dxfId="2727" priority="10">
      <formula>ABS(K$16-K$19)&gt;=1000</formula>
    </cfRule>
  </conditionalFormatting>
  <conditionalFormatting sqref="E5">
    <cfRule type="expression" dxfId="2726" priority="9">
      <formula>ABS(E$7-E$10)&gt;=1000</formula>
    </cfRule>
  </conditionalFormatting>
  <conditionalFormatting sqref="AB14:AC14">
    <cfRule type="expression" dxfId="2725" priority="8">
      <formula>ABS(AB$16-AB$19)&gt;=1000</formula>
    </cfRule>
  </conditionalFormatting>
  <conditionalFormatting sqref="M5">
    <cfRule type="expression" dxfId="2724" priority="7">
      <formula>ABS(M$7-M$10)&gt;=1000</formula>
    </cfRule>
  </conditionalFormatting>
  <conditionalFormatting sqref="N5">
    <cfRule type="expression" dxfId="2723" priority="6">
      <formula>ABS(N$7-N$10)&gt;=1000</formula>
    </cfRule>
  </conditionalFormatting>
  <conditionalFormatting sqref="O5">
    <cfRule type="expression" dxfId="2722" priority="5">
      <formula>ABS(O$7-O$10)&gt;=1000</formula>
    </cfRule>
  </conditionalFormatting>
  <conditionalFormatting sqref="P5">
    <cfRule type="expression" dxfId="2721" priority="4">
      <formula>ABS(P$7-P$10)&gt;=1000</formula>
    </cfRule>
  </conditionalFormatting>
  <conditionalFormatting sqref="L23">
    <cfRule type="expression" dxfId="2720" priority="3">
      <formula>ABS(L$25-L$28)&gt;=1000</formula>
    </cfRule>
  </conditionalFormatting>
  <conditionalFormatting sqref="F14">
    <cfRule type="expression" dxfId="2719" priority="2">
      <formula>ABS(F$16-F$19)&gt;=1000</formula>
    </cfRule>
  </conditionalFormatting>
  <conditionalFormatting sqref="AE5">
    <cfRule type="expression" dxfId="2718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89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13">
    <pageSetUpPr fitToPage="1"/>
  </sheetPr>
  <dimension ref="A1:CU223"/>
  <sheetViews>
    <sheetView view="pageBreakPreview" topLeftCell="A13" zoomScale="80" zoomScaleNormal="100" zoomScaleSheetLayoutView="80" workbookViewId="0">
      <selection activeCell="O22" sqref="O2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45901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45" t="s" ph="1">
        <v>177</v>
      </c>
      <c r="D6" s="71">
        <v>6432</v>
      </c>
      <c r="E6" s="71">
        <v>8978</v>
      </c>
      <c r="F6" s="71">
        <v>6843</v>
      </c>
      <c r="G6" s="71">
        <v>8914</v>
      </c>
      <c r="H6" s="71">
        <v>8933</v>
      </c>
      <c r="I6" s="71">
        <v>29.12</v>
      </c>
      <c r="J6" s="71">
        <v>6.98</v>
      </c>
      <c r="K6" s="71">
        <v>85.38</v>
      </c>
      <c r="L6" s="71">
        <v>38.26</v>
      </c>
      <c r="M6" s="71">
        <v>2804</v>
      </c>
      <c r="N6" s="71">
        <v>6109</v>
      </c>
      <c r="O6" s="71">
        <v>3520</v>
      </c>
      <c r="P6" s="71">
        <v>4623</v>
      </c>
      <c r="Q6" s="71">
        <v>6195</v>
      </c>
      <c r="R6" s="71">
        <v>4674</v>
      </c>
      <c r="S6" s="71">
        <v>2070</v>
      </c>
      <c r="T6" s="71">
        <v>0</v>
      </c>
      <c r="U6" s="71">
        <v>0</v>
      </c>
      <c r="V6" s="71">
        <v>0</v>
      </c>
      <c r="W6" s="71">
        <v>3766</v>
      </c>
      <c r="X6" s="71">
        <v>7042</v>
      </c>
      <c r="Y6" s="71">
        <v>4878</v>
      </c>
      <c r="Z6" s="71">
        <v>6133</v>
      </c>
      <c r="AA6" s="71">
        <v>287</v>
      </c>
      <c r="AB6" s="71">
        <v>152</v>
      </c>
      <c r="AC6" s="71">
        <v>935</v>
      </c>
      <c r="AD6" s="71">
        <v>3834</v>
      </c>
      <c r="AE6" s="71">
        <v>4510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201177.72992447999</v>
      </c>
      <c r="E7" s="73" ph="1">
        <f>E6*51.53*LOOKUP(E8,密度!$A$2:$A$50,密度!$B$2:$B$50)</f>
        <v>358681.954402</v>
      </c>
      <c r="F7" s="73" ph="1">
        <f>F6*33.183*LOOKUP(F8,密度!$A$2:$A$50,密度!$C$2:$C$50)</f>
        <v>251277.06627539999</v>
      </c>
      <c r="G7" s="73" ph="1">
        <f xml:space="preserve"> (G6+2)*51.53*LOOKUP(G8,密度!$A$2:$A$50,密度!$B$2:$B$50)</f>
        <v>356986.02996000001</v>
      </c>
      <c r="H7" s="73" ph="1">
        <f>(H6)*51.53*LOOKUP(H8,密度!$A$2:$A$50,密度!$B$2:$B$50)</f>
        <v>357666.68972999998</v>
      </c>
      <c r="I7" s="73" ph="1">
        <f>I6*290.8*1.0267</f>
        <v>8694.1941632000016</v>
      </c>
      <c r="J7" s="73" ph="1">
        <f>J6*290.8*0.7892</f>
        <v>1601.9055328000002</v>
      </c>
      <c r="K7" s="73" ph="1">
        <f>K6*290.8*1.1126</f>
        <v>27624.193550400003</v>
      </c>
      <c r="L7" s="73" ph="1">
        <f>L6*290.8*0.777</f>
        <v>8644.9082159999998</v>
      </c>
      <c r="M7" s="73" ph="1">
        <f>M6*33.183*LOOKUP(M8,密度!$A$2:$A$50,密度!$D$2:$D$50)</f>
        <v>95175.865522799984</v>
      </c>
      <c r="N7" s="73" ph="1">
        <f>N6*33.183*LOOKUP(N8,密度!$A$2:$A$50,密度!$E$2:$E$50)</f>
        <v>157631.14278719999</v>
      </c>
      <c r="O7" s="73" ph="1">
        <f>O6*20.428*LOOKUP(O8,密度!$A$2:$A$50,密度!$C$2:$C$50)</f>
        <v>79161.931903999997</v>
      </c>
      <c r="P7" s="73" ph="1">
        <f>P6*51.53*LOOKUP(P8,密度!$A$2:$A$50,密度!$B$2:$B$50)</f>
        <v>184908.84007800001</v>
      </c>
      <c r="Q7" s="73" ph="1">
        <f>Q6*1.5*1.5*3.1416*LOOKUP(W8,密度!$A$2:$A$50,密度!$L$2:$L$50)</f>
        <v>40812.258564000003</v>
      </c>
      <c r="R7" s="73" ph="1">
        <f>R6*1.5*1.5*3.1416*LOOKUP(R8,密度!$A$2:$A$50,密度!$L$2:$L$50)</f>
        <v>30692.893215600005</v>
      </c>
      <c r="S7" s="73" ph="1">
        <f>S6*1.5*1.5*3.1416*LOOKUP(S8,密度!$A$2:$A$50,密度!$L$2:$L$50)</f>
        <v>13739.449877999999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24810.163963200001</v>
      </c>
      <c r="X7" s="73" ph="1">
        <f>X6*1.5*1.5*3.1416*LOOKUP(X8,密度!$A$2:$A$50,密度!$L$2:$L$50)</f>
        <v>46890.010490399996</v>
      </c>
      <c r="Y7" s="73" ph="1">
        <f>Y6*1.5*1.5*3.1416*LOOKUP(Y8,密度!$A$2:$A$50,密度!$L$2:$L$50)</f>
        <v>32204.9091672</v>
      </c>
      <c r="Z7" s="73" ph="1">
        <f>Z6*33.183*LOOKUP(Z8,密度!$A$2:$A$50,密度!$L$2:$L$50)</f>
        <v>190283.10196500001</v>
      </c>
      <c r="AA7" s="73" ph="1">
        <f>AA6*33.183*LOOKUP(AA8,密度!$A$2:$A$50,密度!$D$2:$D$50)</f>
        <v>9751.1331519000014</v>
      </c>
      <c r="AB7" s="73" ph="1">
        <f>AB6*20.428*LOOKUP(AB8,密度!$A$2:$A$50,密度!$D$2:$D$50)</f>
        <v>3196.6551520000003</v>
      </c>
      <c r="AC7" s="73" ph="1">
        <f>AC6*51.53*LOOKUP(AC8,密度!$A$2:$A$50,密度!$Q$2:$Q$50)</f>
        <v>45580.245716500001</v>
      </c>
      <c r="AD7" s="73" ph="1">
        <f>AD6*20.428*LOOKUP(AD8,密度!$A$2:$A$50,密度!$V$2:$V$50)</f>
        <v>75000.143635200002</v>
      </c>
      <c r="AE7" s="73" ph="1">
        <f>AE6*20.428</f>
        <v>92130.28</v>
      </c>
    </row>
    <row r="8" spans="1:99" ph="1">
      <c r="B8" s="182" ph="1"/>
      <c r="C8" s="68" t="s" ph="1">
        <v>179</v>
      </c>
      <c r="D8" s="74">
        <v>31</v>
      </c>
      <c r="E8" s="74">
        <v>30</v>
      </c>
      <c r="F8" s="74">
        <v>28</v>
      </c>
      <c r="G8" s="74">
        <v>28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34</v>
      </c>
      <c r="P8" s="74">
        <v>29</v>
      </c>
      <c r="Q8" s="74">
        <v>29</v>
      </c>
      <c r="R8" s="74">
        <v>33</v>
      </c>
      <c r="S8" s="74">
        <v>23</v>
      </c>
      <c r="T8" s="74">
        <v>25</v>
      </c>
      <c r="U8" s="74">
        <v>28</v>
      </c>
      <c r="V8" s="74">
        <v>28</v>
      </c>
      <c r="W8" s="74">
        <v>30</v>
      </c>
      <c r="X8" s="74">
        <v>20</v>
      </c>
      <c r="Y8" s="74">
        <v>28</v>
      </c>
      <c r="Z8" s="74">
        <v>27</v>
      </c>
      <c r="AA8" s="74">
        <v>28</v>
      </c>
      <c r="AB8" s="74">
        <v>22</v>
      </c>
      <c r="AC8" s="74">
        <v>26</v>
      </c>
      <c r="AD8" s="74">
        <v>28</v>
      </c>
      <c r="AE8" s="74">
        <v>33</v>
      </c>
    </row>
    <row r="9" spans="1:99" ht="26.4" ph="1">
      <c r="B9" s="182" ph="1">
        <v>0.66666666666666663</v>
      </c>
      <c r="C9" s="145" t="s" ph="1">
        <v>180</v>
      </c>
      <c r="D9" s="71">
        <v>6433</v>
      </c>
      <c r="E9" s="71">
        <v>8978</v>
      </c>
      <c r="F9" s="71">
        <v>6844</v>
      </c>
      <c r="G9" s="71">
        <v>8812</v>
      </c>
      <c r="H9" s="71">
        <v>8936</v>
      </c>
      <c r="I9" s="71">
        <v>29.11</v>
      </c>
      <c r="J9" s="71">
        <v>7.01</v>
      </c>
      <c r="K9" s="71">
        <v>85.19</v>
      </c>
      <c r="L9" s="71">
        <v>36.369999999999997</v>
      </c>
      <c r="M9" s="71">
        <v>2801</v>
      </c>
      <c r="N9" s="71">
        <v>6111</v>
      </c>
      <c r="O9" s="71">
        <v>2653</v>
      </c>
      <c r="P9" s="71">
        <v>4505</v>
      </c>
      <c r="Q9" s="71">
        <v>6199</v>
      </c>
      <c r="R9" s="71">
        <v>4680</v>
      </c>
      <c r="S9" s="71">
        <v>2071</v>
      </c>
      <c r="T9" s="71">
        <v>2455</v>
      </c>
      <c r="U9" s="71">
        <v>0</v>
      </c>
      <c r="V9" s="71">
        <v>0</v>
      </c>
      <c r="W9" s="71">
        <v>0</v>
      </c>
      <c r="X9" s="71">
        <v>6541</v>
      </c>
      <c r="Y9" s="71">
        <v>4880</v>
      </c>
      <c r="Z9" s="71">
        <v>3856</v>
      </c>
      <c r="AA9" s="71">
        <v>229</v>
      </c>
      <c r="AB9" s="71">
        <v>151</v>
      </c>
      <c r="AC9" s="71">
        <v>1175</v>
      </c>
      <c r="AD9" s="71">
        <v>3856</v>
      </c>
      <c r="AE9" s="71">
        <v>4330</v>
      </c>
    </row>
    <row r="10" spans="1:99" s="72" customFormat="1" ht="22.2" ph="1">
      <c r="B10" s="182" ph="1"/>
      <c r="C10" s="145" t="s" ph="1">
        <v>178</v>
      </c>
      <c r="D10" s="73" ph="1">
        <f>D9*33.183*LOOKUP(D11,密度!$A$2:$A$50,密度!$Q$2:$Q$50)</f>
        <v>201209.00755662</v>
      </c>
      <c r="E10" s="73" ph="1">
        <f>E9*51.53*LOOKUP(E11,密度!$A$2:$A$50,密度!$B$2:$B$50)</f>
        <v>357479.09991800005</v>
      </c>
      <c r="F10" s="73" ph="1">
        <f>F9*33.183*LOOKUP(F11,密度!$A$2:$A$50,密度!$C$2:$C$50)</f>
        <v>250496.21055599998</v>
      </c>
      <c r="G10" s="73" ph="1">
        <f xml:space="preserve"> (G9+2)*51.53*LOOKUP(G11,密度!$A$2:$A$50,密度!$B$2:$B$50)</f>
        <v>351312.42236999999</v>
      </c>
      <c r="H10" s="73" ph="1">
        <f>(H9)*51.53*LOOKUP(H11,密度!$A$2:$A$50,密度!$B$2:$B$50)</f>
        <v>356175.15388</v>
      </c>
      <c r="I10" s="73" ph="1">
        <f>I9*290.8*1.0267</f>
        <v>8691.2085195999989</v>
      </c>
      <c r="J10" s="73" ph="1">
        <f>J9*290.8*0.7892</f>
        <v>1608.7905136000002</v>
      </c>
      <c r="K10" s="73" ph="1">
        <f>K9*290.8*1.1126</f>
        <v>27562.7201752</v>
      </c>
      <c r="L10" s="73" ph="1">
        <f>L9*290.8*0.777</f>
        <v>8217.859692</v>
      </c>
      <c r="M10" s="73" ph="1">
        <f>M9*33.183*LOOKUP(M11,密度!$A$2:$A$50,密度!$D$2:$D$50)</f>
        <v>94823.083776600004</v>
      </c>
      <c r="N10" s="73" ph="1">
        <f>N9*33.183*LOOKUP(N11,密度!$A$2:$A$50,密度!$E$2:$E$50)</f>
        <v>157220.40759516001</v>
      </c>
      <c r="O10" s="73" ph="1">
        <f>O9*20.428*LOOKUP(O11,密度!$A$2:$A$50,密度!$C$2:$C$50)</f>
        <v>59609.61285160001</v>
      </c>
      <c r="P10" s="73" ph="1">
        <f>P9*51.53*LOOKUP(P11,密度!$A$2:$A$50,密度!$B$2:$B$50)</f>
        <v>179376.62565500001</v>
      </c>
      <c r="Q10" s="73" ph="1">
        <f>Q9*1.5*1.5*3.1416*LOOKUP(W11,密度!$A$2:$A$50,密度!$L$2:$L$50)</f>
        <v>40619.5190478</v>
      </c>
      <c r="R10" s="73" ph="1">
        <f>R9*1.5*1.5*3.1416*LOOKUP(R11,密度!$A$2:$A$50,密度!$L$2:$L$50)</f>
        <v>30699.212544000005</v>
      </c>
      <c r="S10" s="73" ph="1">
        <f>S9*1.5*1.5*3.1416*LOOKUP(S11,密度!$A$2:$A$50,密度!$L$2:$L$50)</f>
        <v>13731.448222799998</v>
      </c>
      <c r="T10" s="73" ph="1">
        <f>T9*1.5*1.5*3.1416*LOOKUP(T11,密度!$A$2:$A$50,密度!$L$2:$L$50)</f>
        <v>16294.854807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43461.569843999998</v>
      </c>
      <c r="Y10" s="73" ph="1">
        <f>Y9*1.5*1.5*3.1416*LOOKUP(Y11,密度!$A$2:$A$50,密度!$L$2:$L$50)</f>
        <v>32183.618543999997</v>
      </c>
      <c r="Z10" s="73" ph="1">
        <f>Z9*33.183*LOOKUP(Z11,密度!$A$2:$A$50,密度!$L$2:$L$50)</f>
        <v>119380.75358400001</v>
      </c>
      <c r="AA10" s="73" ph="1">
        <f>AA9*33.183*LOOKUP(AA11,密度!$A$2:$A$50,密度!$D$2:$D$50)</f>
        <v>7739.4867795</v>
      </c>
      <c r="AB10" s="73" ph="1">
        <f>AB9*20.428*LOOKUP(AB11,密度!$A$2:$A$50,密度!$D$2:$D$50)</f>
        <v>3158.3506092000002</v>
      </c>
      <c r="AC10" s="73" ph="1">
        <f>AC9*51.53*LOOKUP(AC11,密度!$A$2:$A$50,密度!$Q$2:$Q$50)</f>
        <v>57029.925725000001</v>
      </c>
      <c r="AD10" s="73" ph="1">
        <f>AD9*20.428*LOOKUP(AD11,密度!$A$2:$A$50,密度!$V$2:$V$50)</f>
        <v>75430.504396799995</v>
      </c>
      <c r="AE10" s="73" ph="1">
        <f>AE9*20.428</f>
        <v>88453.24</v>
      </c>
    </row>
    <row r="11" spans="1:99" ph="1">
      <c r="A11" s="64" t="s" ph="1">
        <v>162</v>
      </c>
      <c r="B11" s="182" ph="1"/>
      <c r="C11" s="145" t="s" ph="1">
        <v>179</v>
      </c>
      <c r="D11" s="74">
        <v>31</v>
      </c>
      <c r="E11" s="74">
        <v>33</v>
      </c>
      <c r="F11" s="74">
        <v>32</v>
      </c>
      <c r="G11" s="74">
        <v>32</v>
      </c>
      <c r="H11" s="74">
        <v>32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32</v>
      </c>
      <c r="O11" s="74">
        <v>35</v>
      </c>
      <c r="P11" s="74">
        <v>33</v>
      </c>
      <c r="Q11" s="74">
        <v>31</v>
      </c>
      <c r="R11" s="74">
        <v>34</v>
      </c>
      <c r="S11" s="74">
        <v>24</v>
      </c>
      <c r="T11" s="74">
        <v>23</v>
      </c>
      <c r="U11" s="74">
        <v>31</v>
      </c>
      <c r="V11" s="74">
        <v>28</v>
      </c>
      <c r="W11" s="74">
        <v>35</v>
      </c>
      <c r="X11" s="74">
        <v>22</v>
      </c>
      <c r="Y11" s="74">
        <v>29</v>
      </c>
      <c r="Z11" s="74">
        <v>29</v>
      </c>
      <c r="AA11" s="74">
        <v>34</v>
      </c>
      <c r="AB11" s="74">
        <v>28</v>
      </c>
      <c r="AC11" s="74">
        <v>32</v>
      </c>
      <c r="AD11" s="74">
        <v>32</v>
      </c>
      <c r="AE11" s="74">
        <v>36</v>
      </c>
    </row>
    <row r="12" spans="1:99" ht="9.9" customHeight="1" ph="1"/>
    <row r="13" spans="1:99" s="72" customFormat="1" ht="29.25" customHeight="1" ph="1">
      <c r="B13" s="190" t="s" ph="1">
        <v>37</v>
      </c>
      <c r="C13" s="14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77" t="s" ph="1">
        <v>636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45" t="s" ph="1">
        <v>177</v>
      </c>
      <c r="D15" s="78">
        <v>1150</v>
      </c>
      <c r="E15" s="78">
        <v>4830</v>
      </c>
      <c r="F15" s="78">
        <v>3007</v>
      </c>
      <c r="G15" s="78">
        <v>4813</v>
      </c>
      <c r="H15" s="78">
        <v>0</v>
      </c>
      <c r="I15" s="78">
        <v>3932</v>
      </c>
      <c r="J15" s="78">
        <v>190</v>
      </c>
      <c r="K15" s="78">
        <v>3107</v>
      </c>
      <c r="L15" s="78">
        <v>7069</v>
      </c>
      <c r="M15" s="78">
        <v>6995</v>
      </c>
      <c r="N15" s="78">
        <v>4176</v>
      </c>
      <c r="O15" s="78">
        <v>6865</v>
      </c>
      <c r="P15" s="78">
        <v>5175</v>
      </c>
      <c r="Q15" s="78">
        <v>5273</v>
      </c>
      <c r="R15" s="78">
        <v>0</v>
      </c>
      <c r="S15" s="78">
        <v>1656</v>
      </c>
      <c r="T15" s="78">
        <v>702</v>
      </c>
      <c r="U15" s="78">
        <v>6816</v>
      </c>
      <c r="V15" s="78">
        <v>850</v>
      </c>
      <c r="W15" s="71">
        <v>5390</v>
      </c>
      <c r="X15" s="78">
        <v>1286</v>
      </c>
      <c r="Y15" s="106">
        <v>-9907</v>
      </c>
      <c r="Z15" s="78">
        <v>0</v>
      </c>
      <c r="AA15" s="78">
        <v>6131</v>
      </c>
      <c r="AB15" s="78" ph="1">
        <v>1099</v>
      </c>
      <c r="AC15" s="78" ph="1">
        <v>0</v>
      </c>
      <c r="AD15" s="78">
        <v>45.04</v>
      </c>
      <c r="AE15" s="78">
        <v>5.45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45" t="s" ph="1">
        <v>178</v>
      </c>
      <c r="D16" s="73" ph="1">
        <f>D15*7.0686*LOOKUP(D17,密度!$A$2:$A$50,密度!$L$2:$L$50)</f>
        <v>7576.1254800000006</v>
      </c>
      <c r="E16" s="73" ph="1">
        <f>E15*7.0686*LOOKUP(E17,密度!$A$2:$A$50,密度!$L$2:$L$50)</f>
        <v>31819.727016000004</v>
      </c>
      <c r="F16" s="73" ph="1">
        <f>F15*9.0746*LOOKUP(F17,密度!$A$2:$A$50,密度!$L$2:$L$50)</f>
        <v>25459.071612600004</v>
      </c>
      <c r="G16" s="73" ph="1">
        <f>G15*9.0746*LOOKUP(G17,密度!$A$2:$A$50,密度!$B$2:$B$50)</f>
        <v>33936.2906946</v>
      </c>
      <c r="H16" s="73" ph="1">
        <f>H15*9.0746*LOOKUP(H17,密度!$A$2:$A$50,密度!$L$2:$L$50)</f>
        <v>0</v>
      </c>
      <c r="I16" s="73" ph="1">
        <f>I15*9.0746*LOOKUP(I17,密度!$A$2:$A$50,密度!$U$2:$U$50)</f>
        <v>36466.316398399998</v>
      </c>
      <c r="J16" s="73" ph="1">
        <f>J15*9.0746*LOOKUP(J17,密度!$A$2:$A$50,密度!$L$2:$L$50)</f>
        <v>1610.378516</v>
      </c>
      <c r="K16" s="73" ph="1">
        <f>K15*9.0746*LOOKUP(K17,密度!$A$2:$A$50,密度!$C$2:$C$50)</f>
        <v>31200.345982520001</v>
      </c>
      <c r="L16" s="73" ph="1">
        <f>L15*9.0746*LOOKUP(L17,密度!$A$2:$A$50,密度!$E$2:$E$50)</f>
        <v>49952.318120379998</v>
      </c>
      <c r="M16" s="73" ph="1">
        <f>M15*9.0746*LOOKUP(M17,密度!$A$2:$A$50,密度!$M$2:$M$50)</f>
        <v>55288.316317000004</v>
      </c>
      <c r="N16" s="73" ph="1">
        <f>N15*9.0746*LOOKUP(N17,密度!$A$2:$A$50,密度!$M$2:$M$50)</f>
        <v>33124.482423360001</v>
      </c>
      <c r="O16" s="73" ph="1">
        <f>O15*9.0746*LOOKUP(O17,密度!$A$2:$A$50,密度!$G$2:$G$50)</f>
        <v>59549.825611100001</v>
      </c>
      <c r="P16" s="73" ph="1">
        <f ca="1">P15*9.0746*LOOKUP(P17,密度!$A$2:$A$51,密度!$Q$2:$Q$50)</f>
        <v>44327.948646150006</v>
      </c>
      <c r="Q16" s="73" ph="1">
        <f>Q15*9.0746*LOOKUP(Q17,密度!$A$2:$A$50,密度!$Q$2:$Q$50)</f>
        <v>45138.685570114001</v>
      </c>
      <c r="R16" s="73" ph="1">
        <f>MAX(R15*9.0746*LOOKUP(R17,密度!$A$2:$A$50,密度!$B$2:$B$50),0)</f>
        <v>0</v>
      </c>
      <c r="S16" s="73" ph="1">
        <f>S15*9.0746*LOOKUP(S17,密度!$A$2:$A$50,密度!$Q$2:$Q$50)</f>
        <v>14175.927044208</v>
      </c>
      <c r="T16" s="73" ph="1">
        <f>T15*9.0746*LOOKUP(T17,密度!$A$2:$A$50,密度!$O$2:$O$50)</f>
        <v>5898.9618792000001</v>
      </c>
      <c r="U16" s="73" ph="1">
        <f>U15*9.0746*LOOKUP(U17,密度!$A$2:$A$50,密度!$H$2:$H$50)</f>
        <v>56285.750976000003</v>
      </c>
      <c r="V16" s="73" ph="1">
        <f>MAX(5600*LOOKUP(V17,密度!$A$2:$A$50,密度!$Q$2:$Q$50)+V15*9.0476*LOOKUP(V17,密度!$A$2:$A$50,密度!$Q$2:$Q$50),0)</f>
        <v>12537.289631799998</v>
      </c>
      <c r="W16" s="73" ph="1">
        <f>MAX(5600*LOOKUP(W17,密度!$A$2:$A$50,密度!$Q$2:$Q$50)+W15*9.0476*LOOKUP(W17,密度!$A$2:$A$50,密度!$Q$2:$Q$50),0)</f>
        <v>51285.610818119996</v>
      </c>
      <c r="X16" s="73" ph="1">
        <f>MAX(5600*LOOKUP(X17,密度!$A$2:$A$50,密度!$I$2:$I$50)+X15*9.0476*LOOKUP(X17,密度!$A$2:$A$50,密度!$I$2:$I$50),0)</f>
        <v>17847.236034935999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43184.952412120001</v>
      </c>
      <c r="AB16" s="73" ph="1">
        <f>AB15*9.0746*LOOKUP(AB17,密度!$A$2:$A$50,密度!$L$2:$L$50)</f>
        <v>9314.7683636000002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10655.063877119999</v>
      </c>
      <c r="AE16" s="73" ph="1">
        <f>AE15*268.68*LOOKUP(AE17,密度!$A$2:$A$50,密度!B2:B50)+IF(AE15&lt;=0,0,1566*LOOKUP(AE17,密度!$A$2:$A$50,密度!B2:B50))</f>
        <v>2362.4265575999998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30</v>
      </c>
      <c r="E17" s="74">
        <v>30</v>
      </c>
      <c r="F17" s="74">
        <v>29</v>
      </c>
      <c r="G17" s="74">
        <v>28</v>
      </c>
      <c r="H17" s="74">
        <v>25</v>
      </c>
      <c r="I17" s="74">
        <v>28</v>
      </c>
      <c r="J17" s="74">
        <v>28</v>
      </c>
      <c r="K17" s="74">
        <v>28</v>
      </c>
      <c r="L17" s="74">
        <v>29</v>
      </c>
      <c r="M17" s="74">
        <v>29</v>
      </c>
      <c r="N17" s="74">
        <v>26</v>
      </c>
      <c r="O17" s="74">
        <v>29</v>
      </c>
      <c r="P17" s="74">
        <v>29</v>
      </c>
      <c r="Q17" s="74">
        <v>30</v>
      </c>
      <c r="R17" s="74">
        <v>29</v>
      </c>
      <c r="S17" s="74">
        <v>30</v>
      </c>
      <c r="T17" s="74">
        <v>29</v>
      </c>
      <c r="U17" s="74">
        <v>30</v>
      </c>
      <c r="V17" s="74">
        <v>30</v>
      </c>
      <c r="W17" s="74">
        <v>30</v>
      </c>
      <c r="X17" s="74">
        <v>31</v>
      </c>
      <c r="Y17" s="108">
        <v>31</v>
      </c>
      <c r="Z17" s="74">
        <v>28</v>
      </c>
      <c r="AA17" s="74">
        <v>29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2380</v>
      </c>
      <c r="E18" s="71">
        <v>3234</v>
      </c>
      <c r="F18" s="71">
        <v>3007</v>
      </c>
      <c r="G18" s="71">
        <v>2970</v>
      </c>
      <c r="H18" s="71">
        <v>0</v>
      </c>
      <c r="I18" s="71">
        <v>3933</v>
      </c>
      <c r="J18" s="71">
        <v>190</v>
      </c>
      <c r="K18" s="71">
        <v>3107</v>
      </c>
      <c r="L18" s="71">
        <v>7077</v>
      </c>
      <c r="M18" s="71">
        <v>5456</v>
      </c>
      <c r="N18" s="71">
        <v>3739</v>
      </c>
      <c r="O18" s="71">
        <v>6868</v>
      </c>
      <c r="P18" s="71">
        <v>3387</v>
      </c>
      <c r="Q18" s="71">
        <v>5276</v>
      </c>
      <c r="R18" s="71">
        <v>0</v>
      </c>
      <c r="S18" s="71">
        <v>1656</v>
      </c>
      <c r="T18" s="71">
        <v>6585</v>
      </c>
      <c r="U18" s="71">
        <v>2659</v>
      </c>
      <c r="V18" s="71">
        <v>850</v>
      </c>
      <c r="W18" s="71">
        <v>5389</v>
      </c>
      <c r="X18" s="71">
        <v>1286</v>
      </c>
      <c r="Y18" s="109">
        <v>-9907</v>
      </c>
      <c r="Z18" s="71">
        <v>0</v>
      </c>
      <c r="AA18" s="71">
        <v>6136</v>
      </c>
      <c r="AB18" s="71">
        <v>1098</v>
      </c>
      <c r="AC18" s="71">
        <v>0</v>
      </c>
      <c r="AD18" s="71">
        <v>83.06</v>
      </c>
      <c r="AE18" s="71">
        <v>5.42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45" t="s" ph="1">
        <v>178</v>
      </c>
      <c r="D19" s="73" ph="1">
        <f>D18*7.0686*LOOKUP(D20,密度!$A$2:$A$50,密度!$L$2:$L$50)</f>
        <v>15645.63924</v>
      </c>
      <c r="E19" s="73" ph="1">
        <f>E18*7.0686*LOOKUP(E20,密度!$A$2:$A$50,密度!$L$2:$L$50)</f>
        <v>21259.662732000001</v>
      </c>
      <c r="F19" s="73" ph="1">
        <f>F18*9.0746*LOOKUP(F20,密度!$A$2:$A$50,密度!$L$2:$L$50)</f>
        <v>25377.209646000003</v>
      </c>
      <c r="G19" s="73" ph="1">
        <f>G18*9.0746*LOOKUP(G20,密度!$A$2:$A$50,密度!$B$2:$B$50)</f>
        <v>20919.802424400001</v>
      </c>
      <c r="H19" s="73" ph="1">
        <f>H18*9.0746*LOOKUP(H20,密度!$A$2:$A$50,密度!$L$2:$L$50)</f>
        <v>0</v>
      </c>
      <c r="I19" s="73" ph="1">
        <f>I18*9.0746*LOOKUP(I20,密度!$A$2:$A$50,密度!$U$2:$U$50)</f>
        <v>36297.138630599999</v>
      </c>
      <c r="J19" s="73" ph="1">
        <f>J18*9.0746*LOOKUP(J20,密度!$A$2:$A$50,密度!$L$2:$L$50)</f>
        <v>1603.48182</v>
      </c>
      <c r="K19" s="73" ph="1">
        <f>K18*9.0746*LOOKUP(K20,密度!$A$2:$A$50,密度!$C$2:$C$50)</f>
        <v>31098.844766599999</v>
      </c>
      <c r="L19" s="73" ph="1">
        <f>L18*9.0746*LOOKUP(L20,密度!$A$2:$A$50,密度!$E$2:$E$50)</f>
        <v>49864.352124089994</v>
      </c>
      <c r="M19" s="73" ph="1">
        <f>M18*9.0746*LOOKUP(M20,密度!$A$2:$A$50,密度!$M$2:$M$50)</f>
        <v>43018.637862112002</v>
      </c>
      <c r="N19" s="73" ph="1">
        <f>N18*9.0746*LOOKUP(N20,密度!$A$2:$A$50,密度!$M$2:$M$50)</f>
        <v>29586.898436800002</v>
      </c>
      <c r="O19" s="73" ph="1">
        <f>O18*9.0746*LOOKUP(O20,密度!$A$2:$A$50,密度!$G$2:$G$50)</f>
        <v>59501.059618159998</v>
      </c>
      <c r="P19" s="73" ph="1">
        <f ca="1">P18*9.0746*LOOKUP(P20,密度!$A$2:$A$51,密度!$Q$2:$Q$50)</f>
        <v>28970.828017116</v>
      </c>
      <c r="Q19" s="73" ph="1">
        <f>Q18*9.0746*LOOKUP(Q20,密度!$A$2:$A$50,密度!$Q$2:$Q$50)</f>
        <v>45095.901644239995</v>
      </c>
      <c r="R19" s="73" ph="1">
        <f>MAX(R18*9.0746*LOOKUP(R20,密度!$A$2:$A$50,密度!$B$2:$B$50),0)</f>
        <v>0</v>
      </c>
      <c r="S19" s="73" ph="1">
        <f>S18*9.0746*LOOKUP(S20,密度!$A$2:$A$50,密度!$Q$2:$Q$50)</f>
        <v>14154.437665439998</v>
      </c>
      <c r="T19" s="73" ph="1">
        <f>T18*9.0746*LOOKUP(T20,密度!$A$2:$A$50,密度!$O$2:$O$50)</f>
        <v>55143.0591948</v>
      </c>
      <c r="U19" s="73" ph="1">
        <f>U18*9.0746*LOOKUP(U20,密度!$A$2:$A$50,密度!$H$2:$H$50)</f>
        <v>21911.390500112</v>
      </c>
      <c r="V19" s="73" ph="1">
        <f>MAX(5600*LOOKUP(V20,密度!$A$2:$A$50,密度!$Q$2:$Q$50)+V18*9.0476*LOOKUP(V20,密度!$A$2:$A$50,密度!$Q$2:$Q$50),0)</f>
        <v>12509.645474999999</v>
      </c>
      <c r="W19" s="73" ph="1">
        <f>MAX(5600*LOOKUP(W20,密度!$A$2:$A$50,密度!$Q$2:$Q$50)+W18*9.0476*LOOKUP(W20,密度!$A$2:$A$50,密度!$Q$2:$Q$50),0)</f>
        <v>51128.136350675995</v>
      </c>
      <c r="X19" s="73" ph="1">
        <f>MAX(5600*LOOKUP(X20,密度!$A$2:$A$50,密度!$I$2:$I$50)+X18*9.0476*LOOKUP(X20,密度!$A$2:$A$50,密度!$I$2:$I$50),0)</f>
        <v>17808.973860744001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43170.057363680004</v>
      </c>
      <c r="AB19" s="73" ph="1">
        <f>AB18*9.0746*LOOKUP(AB20,密度!$A$2:$A$50,密度!$L$2:$L$50)</f>
        <v>9256.473133200001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18556.749741600001</v>
      </c>
      <c r="AE19" s="73" ph="1">
        <f>AE18*268.68*LOOKUP(AE20,密度!$A$2:$A$50,密度!B5:B53)+IF(AE18&lt;=0,0,1566*LOOKUP(AE20,密度!$A$2:$A$50,密度!B5:B53))</f>
        <v>2348.2848311999996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32</v>
      </c>
      <c r="E20" s="81">
        <v>32</v>
      </c>
      <c r="F20" s="81">
        <v>32</v>
      </c>
      <c r="G20" s="81">
        <v>29</v>
      </c>
      <c r="H20" s="81">
        <v>30</v>
      </c>
      <c r="I20" s="81">
        <v>33</v>
      </c>
      <c r="J20" s="81">
        <v>32</v>
      </c>
      <c r="K20" s="81">
        <v>32</v>
      </c>
      <c r="L20" s="81">
        <v>31</v>
      </c>
      <c r="M20" s="81">
        <v>31</v>
      </c>
      <c r="N20" s="81">
        <v>28</v>
      </c>
      <c r="O20" s="81">
        <v>30</v>
      </c>
      <c r="P20" s="81">
        <v>31</v>
      </c>
      <c r="Q20" s="81">
        <v>32</v>
      </c>
      <c r="R20" s="81">
        <v>31</v>
      </c>
      <c r="S20" s="81">
        <v>32</v>
      </c>
      <c r="T20" s="81">
        <v>31</v>
      </c>
      <c r="U20" s="81">
        <v>32</v>
      </c>
      <c r="V20" s="81">
        <v>33</v>
      </c>
      <c r="W20" s="81">
        <v>34</v>
      </c>
      <c r="X20" s="81">
        <v>33</v>
      </c>
      <c r="Y20" s="110">
        <v>33</v>
      </c>
      <c r="Z20" s="81">
        <v>34</v>
      </c>
      <c r="AA20" s="81">
        <v>30</v>
      </c>
      <c r="AB20" s="81">
        <v>33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45" t="s" ph="1">
        <v>177</v>
      </c>
      <c r="D24" s="71">
        <v>85.35</v>
      </c>
      <c r="E24" s="71">
        <v>55.18</v>
      </c>
      <c r="F24" s="71">
        <v>3753</v>
      </c>
      <c r="G24" s="71">
        <v>3070</v>
      </c>
      <c r="H24" s="71">
        <v>2582</v>
      </c>
      <c r="I24" s="71">
        <v>1462</v>
      </c>
      <c r="J24" s="71">
        <v>1574</v>
      </c>
      <c r="K24" s="71">
        <v>4925</v>
      </c>
      <c r="L24" s="71">
        <v>5615</v>
      </c>
      <c r="M24" s="71">
        <v>4358</v>
      </c>
      <c r="N24" s="71">
        <v>1658</v>
      </c>
      <c r="O24" s="71">
        <v>4322</v>
      </c>
      <c r="P24" s="71">
        <v>968</v>
      </c>
      <c r="Q24" s="90">
        <v>2087</v>
      </c>
      <c r="R24" s="71">
        <v>370</v>
      </c>
      <c r="S24" s="71">
        <v>2414</v>
      </c>
      <c r="T24" s="71">
        <v>1697</v>
      </c>
      <c r="U24" s="71">
        <v>5459</v>
      </c>
      <c r="V24" s="71">
        <v>6685</v>
      </c>
      <c r="W24" s="71">
        <v>7991</v>
      </c>
      <c r="X24" s="71">
        <v>4502</v>
      </c>
      <c r="Y24" s="71">
        <v>2122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23193.08314812</v>
      </c>
      <c r="E25" s="91" ph="1">
        <f>E24*268.68*LOOKUP(E26,密度!$A$2:$A$50,密度!$C$2:$C$50)+IF(E24&lt;=0,0,1566*LOOKUP(E26,密度!$A$2:$A$50,密度!$C$2:$C$50))</f>
        <v>18176.825325360001</v>
      </c>
      <c r="F25" s="91" ph="1">
        <f>F24*11.702*LOOKUP(F26,密度!$A$2:$A$50,密度!$Q$2:$Q$50)</f>
        <v>41455.145831580005</v>
      </c>
      <c r="G25" s="91" ph="1">
        <f>G24*18.322*LOOKUP(G26,密度!$A$2:$A$50,密度!$B$2:$B$50)</f>
        <v>43609.493062000001</v>
      </c>
      <c r="H25" s="91" ph="1">
        <f>H24*18.322*LOOKUP(H26,密度!$A$2:$A$50,密度!$B$2:$B$50)</f>
        <v>36677.430321199994</v>
      </c>
      <c r="I25" s="91" ph="1">
        <f>I24*18.322*LOOKUP(I26,密度!$A$2:$A$50,密度!$Q$2:$Q$50)</f>
        <v>25284.830142520001</v>
      </c>
      <c r="J25" s="91" ph="1">
        <f>J24*18.322*LOOKUP(J26,密度!$A$2:$A$50,密度!$Q$2:$Q$50)</f>
        <v>27204.531617239998</v>
      </c>
      <c r="K25" s="91" ph="1">
        <f>K24*18.322*LOOKUP(K26,密度!$A$2:$A$50,密度!$Q$2:$Q$50)</f>
        <v>85176.325890499997</v>
      </c>
      <c r="L25" s="91" ph="1">
        <f>L24*18.322*LOOKUP(L26,密度!$A$2:$A$50,密度!$Q$2:$Q$50)</f>
        <v>97109.658857900009</v>
      </c>
      <c r="M25" s="91" ph="1">
        <f>M24*18.322*LOOKUP(M26,密度!$A$2:$A$50,密度!$Q$2:$Q$50)</f>
        <v>75322.330869080004</v>
      </c>
      <c r="N25" s="91" ph="1">
        <f>N24*18.322*LOOKUP(N26,密度!$A$2:$A$50,密度!$Q$2:$Q$50)</f>
        <v>28656.361767080001</v>
      </c>
      <c r="O25" s="91" ph="1">
        <f>O24*18.322*LOOKUP(O26,密度!$A$2:$A$50,密度!$C$2:$C$50)</f>
        <v>87510.309588399992</v>
      </c>
      <c r="P25" s="91" ph="1">
        <f>P24*11.702*LOOKUP(P26,密度!$A$2:$A$50,密度!$B$2:$B$50)</f>
        <v>8782.2386607999997</v>
      </c>
      <c r="Q25" s="92" ph="1">
        <f>Q24*18.322*LOOKUP(Q26,密度!$A$2:$A$50,密度!$B$2:$B$50)</f>
        <v>29680.346466799998</v>
      </c>
      <c r="R25" s="91" ph="1">
        <f>R24*35.891*LOOKUP(R26,密度!$A$2:$A$50,密度!$C$2:$C$50)</f>
        <v>14675.363316999999</v>
      </c>
      <c r="S25" s="91" ph="1">
        <f>S24*35.891*LOOKUP(S26,密度!$A$2:$A$50,密度!$B$2:$B$50)</f>
        <v>67172.669612199999</v>
      </c>
      <c r="T25" s="91" ph="1">
        <f>T24*35.891*LOOKUP(T26,密度!$A$2:$A$50,密度!$Q$2:$Q$50)</f>
        <v>57491.969996109998</v>
      </c>
      <c r="U25" s="91" ph="1">
        <f>U24*35.891</f>
        <v>195928.96899999998</v>
      </c>
      <c r="V25" s="91" ph="1">
        <f>V24*47.051*LOOKUP(V26,密度!$A$2:$A$50,密度!$B$2:$B$50)</f>
        <v>243859.71040549999</v>
      </c>
      <c r="W25" s="91" ph="1">
        <f>W24*47.051*LOOKUP(W26,密度!$A$2:$A$50,密度!$B$2:$B$50)</f>
        <v>291500.81463730003</v>
      </c>
      <c r="X25" s="91" ph="1">
        <f>X24*47.051*LOOKUP(X26,密度!$A$2:$A$50,密度!$I$2:$I$50)</f>
        <v>219576.3458332</v>
      </c>
      <c r="Y25" s="91" ph="1">
        <f>Y24*47.051*LOOKUP(Y26,密度!$A$2:$A$50,密度!$L$2:$L$50)</f>
        <v>93052.950904000012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29</v>
      </c>
      <c r="G26" s="74">
        <v>30</v>
      </c>
      <c r="H26" s="74">
        <v>30</v>
      </c>
      <c r="I26" s="74">
        <v>29</v>
      </c>
      <c r="J26" s="74">
        <v>30</v>
      </c>
      <c r="K26" s="74">
        <v>29</v>
      </c>
      <c r="L26" s="74">
        <v>29</v>
      </c>
      <c r="M26" s="74">
        <v>30</v>
      </c>
      <c r="N26" s="74">
        <v>30</v>
      </c>
      <c r="O26" s="74">
        <v>30</v>
      </c>
      <c r="P26" s="74">
        <v>30</v>
      </c>
      <c r="Q26" s="93">
        <v>29</v>
      </c>
      <c r="R26" s="74">
        <v>30</v>
      </c>
      <c r="S26" s="74">
        <v>30</v>
      </c>
      <c r="T26" s="74">
        <v>29</v>
      </c>
      <c r="U26" s="74">
        <v>29</v>
      </c>
      <c r="V26" s="74">
        <v>30</v>
      </c>
      <c r="W26" s="74">
        <v>30</v>
      </c>
      <c r="X26" s="74">
        <v>30</v>
      </c>
      <c r="Y26" s="74">
        <v>30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45" t="s" ph="1">
        <v>180</v>
      </c>
      <c r="D27" s="71">
        <v>85.41</v>
      </c>
      <c r="E27" s="71">
        <v>55.17</v>
      </c>
      <c r="F27" s="71">
        <v>3754</v>
      </c>
      <c r="G27" s="71">
        <v>2587</v>
      </c>
      <c r="H27" s="71">
        <v>2160</v>
      </c>
      <c r="I27" s="71">
        <v>1460</v>
      </c>
      <c r="J27" s="71">
        <v>1571</v>
      </c>
      <c r="K27" s="71">
        <v>4924</v>
      </c>
      <c r="L27" s="71">
        <v>5611</v>
      </c>
      <c r="M27" s="71">
        <v>4357</v>
      </c>
      <c r="N27" s="71">
        <v>1655</v>
      </c>
      <c r="O27" s="71">
        <v>4318</v>
      </c>
      <c r="P27" s="71">
        <v>965</v>
      </c>
      <c r="Q27" s="90">
        <v>2112</v>
      </c>
      <c r="R27" s="71">
        <v>366</v>
      </c>
      <c r="S27" s="71">
        <v>2234</v>
      </c>
      <c r="T27" s="71">
        <v>1695</v>
      </c>
      <c r="U27" s="71">
        <v>5425</v>
      </c>
      <c r="V27" s="71">
        <v>6684</v>
      </c>
      <c r="W27" s="71">
        <v>7809</v>
      </c>
      <c r="X27" s="71">
        <v>4504</v>
      </c>
      <c r="Y27" s="71">
        <v>2766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45" t="s" ph="1">
        <v>178</v>
      </c>
      <c r="D28" s="91" ph="1">
        <f>D27*268.68*LOOKUP(D29,密度!$A$2:$A$50,密度!$Q$2:$Q$50)+IF(D27&lt;=0,0,1566*LOOKUP(D29,密度!$A$2:$A$50,密度!$Q$2:$Q$50))</f>
        <v>23208.345354312001</v>
      </c>
      <c r="E28" s="91" ph="1">
        <f>E27*268.68*LOOKUP(E29,密度!$A$2:$A$50,密度!$C$2:$C$50)+IF(E27&lt;=0,0,1566*LOOKUP(E29,密度!$A$2:$A$50,密度!$C$2:$C$50))</f>
        <v>18173.845932840002</v>
      </c>
      <c r="F28" s="91" ph="1">
        <f>F27*11.702*LOOKUP(F29,密度!$A$2:$A$50,密度!$Q$2:$Q$50)</f>
        <v>41439.834115639998</v>
      </c>
      <c r="G28" s="91" ph="1">
        <f>G27*18.322*LOOKUP(G29,密度!$A$2:$A$50,密度!$B$2:$B$50)</f>
        <v>36705.796441599996</v>
      </c>
      <c r="H28" s="91" ph="1">
        <f>H27*18.322*LOOKUP(H29,密度!$A$2:$A$50,密度!$B$2:$B$50)</f>
        <v>30682.900655999998</v>
      </c>
      <c r="I28" s="91" ph="1">
        <f>I27*18.322*LOOKUP(I29,密度!$A$2:$A$50,密度!$Q$2:$Q$50)</f>
        <v>25214.128109599998</v>
      </c>
      <c r="J28" s="91" ph="1">
        <f>J27*18.322*LOOKUP(J29,密度!$A$2:$A$50,密度!$Q$2:$Q$50)</f>
        <v>27152.680540459998</v>
      </c>
      <c r="K28" s="91" ph="1">
        <f>K27*18.322*LOOKUP(K29,密度!$A$2:$A$50,密度!$Q$2:$Q$50)</f>
        <v>85037.237542239993</v>
      </c>
      <c r="L28" s="91" ph="1">
        <f>L27*18.322*LOOKUP(L29,密度!$A$2:$A$50,密度!$Q$2:$Q$50)</f>
        <v>96901.693714359993</v>
      </c>
      <c r="M28" s="91" ph="1">
        <f>M27*18.322*LOOKUP(M29,密度!$A$2:$A$50,密度!$Q$2:$Q$50)</f>
        <v>75245.175461320003</v>
      </c>
      <c r="N28" s="91" ph="1">
        <f>N27*18.322*LOOKUP(N29,密度!$A$2:$A$50,密度!$Q$2:$Q$50)</f>
        <v>28604.510690300001</v>
      </c>
      <c r="O28" s="91" ph="1">
        <f>O27*18.322*LOOKUP(O29,密度!$A$2:$A$50,密度!$C$2:$C$50)</f>
        <v>87350.204623600002</v>
      </c>
      <c r="P28" s="91" ph="1">
        <f>P27*11.702*LOOKUP(P29,密度!$A$2:$A$50,密度!$B$2:$B$50)</f>
        <v>8744.8577920000007</v>
      </c>
      <c r="Q28" s="92" ph="1">
        <f>Q27*18.322*LOOKUP(Q29,密度!$A$2:$A$50,密度!$B$2:$B$50)</f>
        <v>30001.058419199999</v>
      </c>
      <c r="R28" s="91" ph="1">
        <f>R27*35.891*LOOKUP(R29,密度!$A$2:$A$50,密度!$C$2:$C$50)</f>
        <v>14516.7107406</v>
      </c>
      <c r="S28" s="91" ph="1">
        <f>S27*35.891*LOOKUP(S29,密度!$A$2:$A$50,密度!$B$2:$B$50)</f>
        <v>62091.774553599993</v>
      </c>
      <c r="T28" s="91" ph="1">
        <f>T27*35.891*LOOKUP(T29,密度!$A$2:$A$50,密度!$Q$2:$Q$50)</f>
        <v>57342.085232099991</v>
      </c>
      <c r="U28" s="91" ph="1">
        <f>U27*35.891</f>
        <v>194708.67499999999</v>
      </c>
      <c r="V28" s="91" ph="1">
        <f>V27*47.051*LOOKUP(V29,密度!$A$2:$A$50,密度!$B$2:$B$50)</f>
        <v>243823.23176520001</v>
      </c>
      <c r="W28" s="91" ph="1">
        <f>W27*47.051*LOOKUP(W29,密度!$A$2:$A$50,密度!$B$2:$B$50)</f>
        <v>284861.70210270002</v>
      </c>
      <c r="X28" s="91" ph="1">
        <f>X27*47.051*LOOKUP(X29,密度!$A$2:$A$50,密度!$I$2:$I$50)</f>
        <v>219442.90166903997</v>
      </c>
      <c r="Y28" s="91" ph="1">
        <f>Y27*47.051*LOOKUP(Y29,密度!$A$2:$A$50,密度!$L$2:$L$50)</f>
        <v>121293.33751200001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45" t="s" ph="1">
        <v>179</v>
      </c>
      <c r="D29" s="74">
        <v>25</v>
      </c>
      <c r="E29" s="74">
        <v>25</v>
      </c>
      <c r="F29" s="74">
        <v>30</v>
      </c>
      <c r="G29" s="74">
        <v>31</v>
      </c>
      <c r="H29" s="74">
        <v>30</v>
      </c>
      <c r="I29" s="74">
        <v>31</v>
      </c>
      <c r="J29" s="74">
        <v>30</v>
      </c>
      <c r="K29" s="74">
        <v>31</v>
      </c>
      <c r="L29" s="74">
        <v>31</v>
      </c>
      <c r="M29" s="74">
        <v>31</v>
      </c>
      <c r="N29" s="74">
        <v>30</v>
      </c>
      <c r="O29" s="74">
        <v>31</v>
      </c>
      <c r="P29" s="74">
        <v>31</v>
      </c>
      <c r="Q29" s="93">
        <v>30</v>
      </c>
      <c r="R29" s="74">
        <v>30</v>
      </c>
      <c r="S29" s="74">
        <v>31</v>
      </c>
      <c r="T29" s="74">
        <v>31</v>
      </c>
      <c r="U29" s="74">
        <v>31</v>
      </c>
      <c r="V29" s="74">
        <v>30</v>
      </c>
      <c r="W29" s="74">
        <v>30</v>
      </c>
      <c r="X29" s="74">
        <v>31</v>
      </c>
      <c r="Y29" s="74">
        <v>30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45" t="s" ph="1">
        <v>5</v>
      </c>
      <c r="F32" s="144" t="s" ph="1">
        <v>43</v>
      </c>
      <c r="G32" s="97" t="s" ph="1">
        <v>4</v>
      </c>
      <c r="H32" s="145" t="s" ph="1">
        <v>5</v>
      </c>
      <c r="I32" s="144" t="s" ph="1">
        <v>43</v>
      </c>
      <c r="J32" s="97" t="s" ph="1">
        <v>4</v>
      </c>
      <c r="K32" s="145" t="s" ph="1">
        <v>5</v>
      </c>
      <c r="L32" s="144" t="s" ph="1">
        <v>43</v>
      </c>
      <c r="M32" s="97" t="s" ph="1">
        <v>4</v>
      </c>
      <c r="N32" s="145" t="s" ph="1">
        <v>5</v>
      </c>
      <c r="O32" s="14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5" t="s" ph="1">
        <v>5</v>
      </c>
      <c r="U32" s="99" t="s" ph="1">
        <v>43</v>
      </c>
      <c r="V32" s="97" t="s" ph="1">
        <v>4</v>
      </c>
      <c r="W32" s="145" t="s" ph="1">
        <v>5</v>
      </c>
      <c r="X32" s="99" t="s" ph="1">
        <v>43</v>
      </c>
      <c r="Y32" s="100" t="s" ph="1">
        <v>4</v>
      </c>
      <c r="Z32" s="145" t="s" ph="1">
        <v>5</v>
      </c>
      <c r="AA32" s="144" t="s" ph="1">
        <v>43</v>
      </c>
      <c r="AB32" s="97" t="s" ph="1">
        <v>85</v>
      </c>
      <c r="AC32" s="145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10897.8373887</v>
      </c>
      <c r="E33" s="204" ph="1">
        <f>M10+I10</f>
        <v>103514.2922962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[[#This Row],[F25]]</f>
        <v>3880</v>
      </c>
      <c r="G33" s="208" ph="1">
        <v>0</v>
      </c>
      <c r="H33" s="204" ph="1">
        <f>N19</f>
        <v>29586.898436800002</v>
      </c>
      <c r="I33" s="217" ph="1">
        <v>0</v>
      </c>
      <c r="J33" s="215" ph="1">
        <f>F10+O28</f>
        <v>337846.41517960001</v>
      </c>
      <c r="K33" s="204" ph="1">
        <f>O10+K10+E28+R28</f>
        <v>119862.88970024002</v>
      </c>
      <c r="L33" s="219" ph="1">
        <f>BE27</f>
        <v>7100</v>
      </c>
      <c r="M33" s="215" ph="1">
        <f>G10+H10+W28+S28+V28+E10</f>
        <v>1655743.3845894998</v>
      </c>
      <c r="N33" s="204" ph="1">
        <f>L10+P10++G28+H28</f>
        <v>254983.18244459998</v>
      </c>
      <c r="O33" s="217" ph="1">
        <f>BE17</f>
        <v>2270</v>
      </c>
      <c r="P33" s="215" ph="1">
        <f>L19</f>
        <v>49864.352124089994</v>
      </c>
      <c r="Q33" s="204" ph="1">
        <f>J10+N10</f>
        <v>158829.19810876</v>
      </c>
      <c r="R33" s="217" ph="1">
        <f>BE23</f>
        <v>890</v>
      </c>
      <c r="S33" s="215" ph="1">
        <f>E10+X28</f>
        <v>576922.00158704002</v>
      </c>
      <c r="T33" s="204" ph="1">
        <f>X19</f>
        <v>17808.973860744001</v>
      </c>
      <c r="U33" s="225" ph="1">
        <f>BE21</f>
        <v>730</v>
      </c>
      <c r="V33" s="236" ph="1">
        <f ca="1">P19+Q19+S19+M28+N28+J28</f>
        <v>219223.53401887597</v>
      </c>
      <c r="W33" s="236" ph="1">
        <f>D28+F28+V19+T28</f>
        <v>134499.91017705199</v>
      </c>
      <c r="X33" s="217" ph="1">
        <f>BE29+BE31</f>
        <v>10200</v>
      </c>
      <c r="Y33" s="238" ph="1">
        <f>+Q10+R10+S10+T10+U10+V10+W10+X10+Y10</f>
        <v>176990.22300959998</v>
      </c>
      <c r="Z33" s="223" ph="1">
        <f>D10+T19+U19+Y28+Z10</f>
        <v>518937.54834753199</v>
      </c>
      <c r="AA33" s="225" ph="1">
        <f>BE19</f>
        <v>1440</v>
      </c>
      <c r="AB33" s="227" ph="1">
        <f>I19</f>
        <v>36297.138630599999</v>
      </c>
      <c r="AC33" s="229" ph="1">
        <f>AD10</f>
        <v>75430.504396799995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43" t="s" ph="1">
        <v>185</v>
      </c>
      <c r="AA36" s="143" ph="1"/>
      <c r="AB36" s="222" t="s" ph="1">
        <v>641</v>
      </c>
      <c r="AC36" s="222" ph="1"/>
      <c r="AD36" s="222" ph="1"/>
      <c r="AE36" s="222" ph="1"/>
      <c r="BA36" s="64" ph="1">
        <v>2270</v>
      </c>
    </row>
    <row r="37" spans="1:57" s="14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3" t="s" ph="1">
        <v>342</v>
      </c>
      <c r="AI37" s="143" t="s" ph="1">
        <v>209</v>
      </c>
      <c r="AJ37" s="143" t="s" ph="1">
        <v>210</v>
      </c>
      <c r="AK37" s="143" t="s" ph="1">
        <v>211</v>
      </c>
      <c r="AM37" s="143" t="s" ph="1">
        <v>210</v>
      </c>
      <c r="AN37" s="143" t="s" ph="1">
        <v>211</v>
      </c>
      <c r="AO37" s="143" t="s" ph="1">
        <v>212</v>
      </c>
      <c r="AP37" s="143" t="s" ph="1">
        <v>210</v>
      </c>
      <c r="AQ37" s="143" t="s" ph="1">
        <v>211</v>
      </c>
      <c r="AR37" s="143" t="s" ph="1">
        <v>212</v>
      </c>
      <c r="AS37" s="143" t="s" ph="1">
        <v>210</v>
      </c>
      <c r="AT37" s="143" t="s" ph="1">
        <v>211</v>
      </c>
      <c r="AU37" s="143" t="s" ph="1">
        <v>212</v>
      </c>
      <c r="AV37" s="143" t="s" ph="1">
        <v>210</v>
      </c>
      <c r="AW37" s="143" t="s" ph="1">
        <v>211</v>
      </c>
      <c r="AX37" s="143" t="s" ph="1">
        <v>212</v>
      </c>
      <c r="AY37" s="143" t="s" ph="1">
        <v>211</v>
      </c>
      <c r="AZ37" s="143" t="s" ph="1">
        <v>213</v>
      </c>
      <c r="BD37" s="143" t="s" ph="1">
        <v>305</v>
      </c>
      <c r="BE37" s="14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687" priority="98">
      <formula>ABS(D$7-D$10)&gt;=1000</formula>
    </cfRule>
  </conditionalFormatting>
  <conditionalFormatting sqref="E4 E6:E11">
    <cfRule type="expression" dxfId="2686" priority="97">
      <formula>ABS(E$7-E$10)&gt;=1000</formula>
    </cfRule>
  </conditionalFormatting>
  <conditionalFormatting sqref="F4:F11">
    <cfRule type="expression" dxfId="2685" priority="96">
      <formula>ABS(F$7-F$10)&gt;=1000</formula>
    </cfRule>
  </conditionalFormatting>
  <conditionalFormatting sqref="G4:G11">
    <cfRule type="expression" dxfId="2684" priority="95">
      <formula>ABS(G$7-G$10)&gt;=1000</formula>
    </cfRule>
  </conditionalFormatting>
  <conditionalFormatting sqref="H4:H11">
    <cfRule type="expression" dxfId="2683" priority="94">
      <formula>ABS(H$7-H$10)&gt;=1000</formula>
    </cfRule>
  </conditionalFormatting>
  <conditionalFormatting sqref="I4:I11">
    <cfRule type="expression" dxfId="2682" priority="93">
      <formula>ABS(I$7-I$10)&gt;=1000</formula>
    </cfRule>
  </conditionalFormatting>
  <conditionalFormatting sqref="J4:J11">
    <cfRule type="expression" dxfId="2681" priority="92">
      <formula>ABS(J$7-J$10)&gt;=1000</formula>
    </cfRule>
  </conditionalFormatting>
  <conditionalFormatting sqref="K4:K11">
    <cfRule type="expression" dxfId="2680" priority="91">
      <formula>ABS(K$7-K$10)&gt;=1000</formula>
    </cfRule>
  </conditionalFormatting>
  <conditionalFormatting sqref="L4:L11">
    <cfRule type="expression" dxfId="2679" priority="90">
      <formula>ABS(L$7-L$10)&gt;=1000</formula>
    </cfRule>
  </conditionalFormatting>
  <conditionalFormatting sqref="M4 M6:M11">
    <cfRule type="expression" dxfId="2678" priority="89">
      <formula>ABS(M$7-M$10)&gt;=1000</formula>
    </cfRule>
  </conditionalFormatting>
  <conditionalFormatting sqref="N4 N6:N11">
    <cfRule type="expression" dxfId="2677" priority="88">
      <formula>ABS(N$7-N$10)&gt;=1000</formula>
    </cfRule>
  </conditionalFormatting>
  <conditionalFormatting sqref="O4 O6:O11">
    <cfRule type="expression" dxfId="2676" priority="87">
      <formula>ABS(O$7-O$10)&gt;=1000</formula>
    </cfRule>
  </conditionalFormatting>
  <conditionalFormatting sqref="P4 P6:P11">
    <cfRule type="expression" dxfId="2675" priority="86">
      <formula>ABS(P$7-P$10)&gt;=1000</formula>
    </cfRule>
  </conditionalFormatting>
  <conditionalFormatting sqref="Q4:Q11">
    <cfRule type="expression" dxfId="2674" priority="85">
      <formula>ABS(Q$7-Q$10)&gt;=1000</formula>
    </cfRule>
  </conditionalFormatting>
  <conditionalFormatting sqref="R4:R11">
    <cfRule type="expression" dxfId="2673" priority="84">
      <formula>ABS(R$7-R$10)&gt;=1000</formula>
    </cfRule>
  </conditionalFormatting>
  <conditionalFormatting sqref="S4:S11">
    <cfRule type="expression" dxfId="2672" priority="83">
      <formula>ABS(S$7-S$10)&gt;=1000</formula>
    </cfRule>
  </conditionalFormatting>
  <conditionalFormatting sqref="T4:T9 T11">
    <cfRule type="expression" dxfId="2671" priority="82">
      <formula>ABS(T$7-T$10)&gt;=1000</formula>
    </cfRule>
  </conditionalFormatting>
  <conditionalFormatting sqref="U4:U9 U11">
    <cfRule type="expression" dxfId="2670" priority="81">
      <formula>ABS(U$7-U$10)&gt;=1000</formula>
    </cfRule>
  </conditionalFormatting>
  <conditionalFormatting sqref="V4:V9 V11">
    <cfRule type="expression" dxfId="2669" priority="80">
      <formula>ABS(V$7-V$10)&gt;=1000</formula>
    </cfRule>
  </conditionalFormatting>
  <conditionalFormatting sqref="W4:W9 W11">
    <cfRule type="expression" dxfId="2668" priority="79">
      <formula>ABS(W$7-W$10)&gt;=1000</formula>
    </cfRule>
  </conditionalFormatting>
  <conditionalFormatting sqref="X4:X9 X11">
    <cfRule type="expression" dxfId="2667" priority="78">
      <formula>ABS(X$7-X$10)&gt;=1000</formula>
    </cfRule>
  </conditionalFormatting>
  <conditionalFormatting sqref="Y4:Y9 Y11">
    <cfRule type="expression" dxfId="2666" priority="77">
      <formula>ABS(Y$7-Y$10)&gt;=1000</formula>
    </cfRule>
  </conditionalFormatting>
  <conditionalFormatting sqref="Z4:Z11">
    <cfRule type="expression" dxfId="2665" priority="76">
      <formula>ABS(Z$7-Z$10)&gt;=1000</formula>
    </cfRule>
  </conditionalFormatting>
  <conditionalFormatting sqref="AA4:AA11">
    <cfRule type="expression" dxfId="2664" priority="75">
      <formula>ABS(AA$7-AA$10)&gt;=1000</formula>
    </cfRule>
  </conditionalFormatting>
  <conditionalFormatting sqref="AB4:AB11">
    <cfRule type="expression" dxfId="2663" priority="74">
      <formula>ABS(AB$7-AB$10)&gt;=1000</formula>
    </cfRule>
  </conditionalFormatting>
  <conditionalFormatting sqref="AC4 AC6:AC11">
    <cfRule type="expression" dxfId="2662" priority="73">
      <formula>ABS(AC$7-AC$10)&gt;=1000</formula>
    </cfRule>
  </conditionalFormatting>
  <conditionalFormatting sqref="AD4:AD11">
    <cfRule type="expression" dxfId="2661" priority="72">
      <formula>ABS(AD$7-AD$10)&gt;=1000</formula>
    </cfRule>
  </conditionalFormatting>
  <conditionalFormatting sqref="AE4 AE6:AE11">
    <cfRule type="expression" dxfId="2660" priority="71">
      <formula>ABS(AE$7-AE$10)&gt;=1000</formula>
    </cfRule>
  </conditionalFormatting>
  <conditionalFormatting sqref="D13:D20">
    <cfRule type="expression" dxfId="2659" priority="70">
      <formula>ABS(D$16-D$19)&gt;=1000</formula>
    </cfRule>
  </conditionalFormatting>
  <conditionalFormatting sqref="E13:E20">
    <cfRule type="expression" dxfId="2658" priority="69">
      <formula>ABS(E$16-E$19)&gt;=1000</formula>
    </cfRule>
  </conditionalFormatting>
  <conditionalFormatting sqref="F13 F15:F20">
    <cfRule type="expression" dxfId="2657" priority="68">
      <formula>ABS(F$16-F$19)&gt;=1000</formula>
    </cfRule>
  </conditionalFormatting>
  <conditionalFormatting sqref="G13:G20">
    <cfRule type="expression" dxfId="2656" priority="67">
      <formula>ABS(G$16-G$19)&gt;=1000</formula>
    </cfRule>
  </conditionalFormatting>
  <conditionalFormatting sqref="H13:H20">
    <cfRule type="expression" dxfId="2655" priority="66">
      <formula>ABS(H$16-H$19)&gt;=1000</formula>
    </cfRule>
  </conditionalFormatting>
  <conditionalFormatting sqref="I13:I20">
    <cfRule type="expression" dxfId="2654" priority="65">
      <formula>ABS(I$16-I$19)&gt;=1000</formula>
    </cfRule>
  </conditionalFormatting>
  <conditionalFormatting sqref="J13:J20">
    <cfRule type="expression" dxfId="2653" priority="64">
      <formula>ABS(J$16-J$19)&gt;=1000</formula>
    </cfRule>
  </conditionalFormatting>
  <conditionalFormatting sqref="L13:L20">
    <cfRule type="expression" dxfId="2652" priority="63">
      <formula>ABS(L$16-L$19)&gt;=1000</formula>
    </cfRule>
  </conditionalFormatting>
  <conditionalFormatting sqref="M13 M15 M17:M18 M20">
    <cfRule type="expression" dxfId="2651" priority="62">
      <formula>ABS(M$16-M$19)&gt;=1000</formula>
    </cfRule>
  </conditionalFormatting>
  <conditionalFormatting sqref="N13:N20">
    <cfRule type="expression" dxfId="2650" priority="61">
      <formula>ABS(N$16-N$19)&gt;=1000</formula>
    </cfRule>
  </conditionalFormatting>
  <conditionalFormatting sqref="O13:O20">
    <cfRule type="expression" dxfId="2649" priority="60">
      <formula>ABS(O$16-O$19)&gt;=1000</formula>
    </cfRule>
  </conditionalFormatting>
  <conditionalFormatting sqref="P13:P20">
    <cfRule type="expression" dxfId="2648" priority="59">
      <formula>ABS(P$16-P$19)&gt;=1000</formula>
    </cfRule>
  </conditionalFormatting>
  <conditionalFormatting sqref="Q13 Q15:Q20">
    <cfRule type="expression" dxfId="2647" priority="58">
      <formula>ABS(Q$16-Q$19)&gt;=1000</formula>
    </cfRule>
  </conditionalFormatting>
  <conditionalFormatting sqref="R13:R20">
    <cfRule type="expression" dxfId="2646" priority="57">
      <formula>ABS(R$16-R$19)&gt;=1000</formula>
    </cfRule>
  </conditionalFormatting>
  <conditionalFormatting sqref="S13:S20">
    <cfRule type="expression" dxfId="2645" priority="56">
      <formula>ABS(S$16-S$19)&gt;=1000</formula>
    </cfRule>
  </conditionalFormatting>
  <conditionalFormatting sqref="T13:T20">
    <cfRule type="expression" dxfId="2644" priority="55">
      <formula>ABS(T$16-T$19)&gt;=1000</formula>
    </cfRule>
  </conditionalFormatting>
  <conditionalFormatting sqref="U13:U20">
    <cfRule type="expression" dxfId="2643" priority="54">
      <formula>ABS(U$16-U$19)&gt;=1000</formula>
    </cfRule>
  </conditionalFormatting>
  <conditionalFormatting sqref="V13:V20">
    <cfRule type="expression" dxfId="2642" priority="53">
      <formula>ABS(V$16-V$19)&gt;=1000</formula>
    </cfRule>
  </conditionalFormatting>
  <conditionalFormatting sqref="W13 W20 W15:W18">
    <cfRule type="expression" dxfId="2641" priority="52">
      <formula>ABS(W$16-W$19)&gt;=1000</formula>
    </cfRule>
  </conditionalFormatting>
  <conditionalFormatting sqref="X13 X15:X20 Y19">
    <cfRule type="expression" dxfId="2640" priority="51">
      <formula>ABS(X$16-X$19)&gt;=1000</formula>
    </cfRule>
  </conditionalFormatting>
  <conditionalFormatting sqref="Y13 Y15:Y18 Y20">
    <cfRule type="expression" dxfId="2639" priority="50">
      <formula>ABS(Y$16-Y$19)&gt;=1000</formula>
    </cfRule>
  </conditionalFormatting>
  <conditionalFormatting sqref="Z13:Z20">
    <cfRule type="expression" dxfId="2638" priority="49">
      <formula>ABS(Z$16-Z$19)&gt;=1000</formula>
    </cfRule>
  </conditionalFormatting>
  <conditionalFormatting sqref="AA13:AA20">
    <cfRule type="expression" dxfId="2637" priority="48">
      <formula>ABS(AA$16-AA$19)&gt;=1000</formula>
    </cfRule>
  </conditionalFormatting>
  <conditionalFormatting sqref="AB13 AB15:AB20">
    <cfRule type="expression" dxfId="2636" priority="47">
      <formula>ABS(AB$16-AB$19)&gt;=1000</formula>
    </cfRule>
  </conditionalFormatting>
  <conditionalFormatting sqref="AC13 AC15:AC20">
    <cfRule type="expression" dxfId="2635" priority="46">
      <formula>ABS(AC$16-AC$19)&gt;=1000</formula>
    </cfRule>
  </conditionalFormatting>
  <conditionalFormatting sqref="AD13:AD20">
    <cfRule type="expression" dxfId="2634" priority="45">
      <formula>ABS(AD$16-AD$19)&gt;=1000</formula>
    </cfRule>
  </conditionalFormatting>
  <conditionalFormatting sqref="AE13:AE20">
    <cfRule type="expression" dxfId="2633" priority="44">
      <formula>ABS(AE$16-AE$19)&gt;=1000</formula>
    </cfRule>
  </conditionalFormatting>
  <conditionalFormatting sqref="D22:D29">
    <cfRule type="expression" dxfId="2632" priority="43">
      <formula>ABS(D$25-D$28)&gt;=1000</formula>
    </cfRule>
  </conditionalFormatting>
  <conditionalFormatting sqref="E22:E29">
    <cfRule type="expression" dxfId="2631" priority="42">
      <formula>ABS(E$25-E$28)&gt;=1000</formula>
    </cfRule>
  </conditionalFormatting>
  <conditionalFormatting sqref="F22:F29">
    <cfRule type="expression" dxfId="2630" priority="41">
      <formula>ABS(F$25-F$28)&gt;=1000</formula>
    </cfRule>
  </conditionalFormatting>
  <conditionalFormatting sqref="G22:G29">
    <cfRule type="expression" dxfId="2629" priority="40">
      <formula>ABS(G$25-G$28)&gt;=1000</formula>
    </cfRule>
  </conditionalFormatting>
  <conditionalFormatting sqref="H22:H29">
    <cfRule type="expression" dxfId="2628" priority="39">
      <formula>ABS(H$25-H$28)&gt;=1000</formula>
    </cfRule>
  </conditionalFormatting>
  <conditionalFormatting sqref="I22 I24:I29">
    <cfRule type="expression" dxfId="2627" priority="38">
      <formula>ABS(I$25-I$28)&gt;=1000</formula>
    </cfRule>
  </conditionalFormatting>
  <conditionalFormatting sqref="J22:J29 K22">
    <cfRule type="expression" dxfId="2626" priority="37">
      <formula>ABS(J$25-J$28)&gt;=1000</formula>
    </cfRule>
  </conditionalFormatting>
  <conditionalFormatting sqref="K23:K29 L25 L28">
    <cfRule type="expression" dxfId="2625" priority="36">
      <formula>ABS(K$25-K$28)&gt;=1000</formula>
    </cfRule>
  </conditionalFormatting>
  <conditionalFormatting sqref="L22 L26:L27 L29 L24">
    <cfRule type="expression" dxfId="2624" priority="35">
      <formula>ABS(L$25-L$28)&gt;=1000</formula>
    </cfRule>
  </conditionalFormatting>
  <conditionalFormatting sqref="M22:M29">
    <cfRule type="expression" dxfId="2623" priority="34">
      <formula>ABS(M$25-M$28)&gt;=1000</formula>
    </cfRule>
  </conditionalFormatting>
  <conditionalFormatting sqref="N22:N29">
    <cfRule type="expression" dxfId="2622" priority="33">
      <formula>ABS(N$25-N$28)&gt;=1000</formula>
    </cfRule>
  </conditionalFormatting>
  <conditionalFormatting sqref="O22:O29">
    <cfRule type="expression" dxfId="2621" priority="32">
      <formula>ABS(O$25-O$28)&gt;=1000</formula>
    </cfRule>
  </conditionalFormatting>
  <conditionalFormatting sqref="P22:P29">
    <cfRule type="expression" dxfId="2620" priority="31">
      <formula>ABS(P$25-P$28)&gt;=1000</formula>
    </cfRule>
  </conditionalFormatting>
  <conditionalFormatting sqref="Q22:Q29">
    <cfRule type="expression" dxfId="2619" priority="30">
      <formula>ABS(Q$25-Q$28)&gt;=1000</formula>
    </cfRule>
  </conditionalFormatting>
  <conditionalFormatting sqref="R22:R29">
    <cfRule type="expression" dxfId="2618" priority="29">
      <formula>ABS(R$25-R$28)&gt;=1000</formula>
    </cfRule>
  </conditionalFormatting>
  <conditionalFormatting sqref="S22:S29">
    <cfRule type="expression" dxfId="2617" priority="28">
      <formula>ABS(S$25-S$28)&gt;=1000</formula>
    </cfRule>
  </conditionalFormatting>
  <conditionalFormatting sqref="T22:T29">
    <cfRule type="expression" dxfId="2616" priority="27">
      <formula>ABS(T$25-T$28)&gt;=1000</formula>
    </cfRule>
  </conditionalFormatting>
  <conditionalFormatting sqref="U22:U29">
    <cfRule type="expression" dxfId="2615" priority="26">
      <formula>ABS(U$25-U$28)&gt;=1000</formula>
    </cfRule>
  </conditionalFormatting>
  <conditionalFormatting sqref="V22:V29">
    <cfRule type="expression" dxfId="2614" priority="25">
      <formula>ABS(V$25-V$28)&gt;=1000</formula>
    </cfRule>
  </conditionalFormatting>
  <conditionalFormatting sqref="W22:W29">
    <cfRule type="expression" dxfId="2613" priority="24">
      <formula>ABS(W$25-W$28)&gt;=1000</formula>
    </cfRule>
  </conditionalFormatting>
  <conditionalFormatting sqref="X22:X29">
    <cfRule type="expression" dxfId="2612" priority="23">
      <formula>ABS(X$25-X$28)&gt;=1000</formula>
    </cfRule>
  </conditionalFormatting>
  <conditionalFormatting sqref="Y22:Y29">
    <cfRule type="expression" dxfId="2611" priority="22">
      <formula>ABS(Y$25-Y$28)&gt;=1000</formula>
    </cfRule>
  </conditionalFormatting>
  <conditionalFormatting sqref="I23">
    <cfRule type="expression" dxfId="2610" priority="21">
      <formula>ABS(I$25-I$28)&gt;=1000</formula>
    </cfRule>
  </conditionalFormatting>
  <conditionalFormatting sqref="Q14">
    <cfRule type="expression" dxfId="2609" priority="20">
      <formula>ABS(Q$16-Q$19)&gt;=1000</formula>
    </cfRule>
  </conditionalFormatting>
  <conditionalFormatting sqref="W14">
    <cfRule type="expression" dxfId="2608" priority="19">
      <formula>ABS(W$16-W$19)&gt;=1000</formula>
    </cfRule>
  </conditionalFormatting>
  <conditionalFormatting sqref="Y14">
    <cfRule type="expression" dxfId="2607" priority="18">
      <formula>ABS(Y$16-Y$19)&gt;=1000</formula>
    </cfRule>
  </conditionalFormatting>
  <conditionalFormatting sqref="X14">
    <cfRule type="expression" dxfId="2606" priority="17">
      <formula>ABS(X$16-X$19)&gt;=1000</formula>
    </cfRule>
  </conditionalFormatting>
  <conditionalFormatting sqref="T10:Y10">
    <cfRule type="expression" dxfId="2605" priority="16">
      <formula>ABS(T$7-T$10)&gt;=1000</formula>
    </cfRule>
  </conditionalFormatting>
  <conditionalFormatting sqref="W19">
    <cfRule type="expression" dxfId="2604" priority="15">
      <formula>ABS(W$16-W$19)&gt;=1000</formula>
    </cfRule>
  </conditionalFormatting>
  <conditionalFormatting sqref="AC5">
    <cfRule type="expression" dxfId="2603" priority="14">
      <formula>ABS(AC$7-AC$10)&gt;=1000</formula>
    </cfRule>
  </conditionalFormatting>
  <conditionalFormatting sqref="M14">
    <cfRule type="expression" dxfId="2602" priority="13">
      <formula>ABS(M$16-M$19)&gt;=1000</formula>
    </cfRule>
  </conditionalFormatting>
  <conditionalFormatting sqref="M16">
    <cfRule type="expression" dxfId="2601" priority="12">
      <formula>ABS(M$16-M$19)&gt;=1000</formula>
    </cfRule>
  </conditionalFormatting>
  <conditionalFormatting sqref="M19">
    <cfRule type="expression" dxfId="2600" priority="11">
      <formula>ABS(M$16-M$19)&gt;=1000</formula>
    </cfRule>
  </conditionalFormatting>
  <conditionalFormatting sqref="K13:K20">
    <cfRule type="expression" dxfId="2599" priority="10">
      <formula>ABS(K$16-K$19)&gt;=1000</formula>
    </cfRule>
  </conditionalFormatting>
  <conditionalFormatting sqref="E5">
    <cfRule type="expression" dxfId="2598" priority="9">
      <formula>ABS(E$7-E$10)&gt;=1000</formula>
    </cfRule>
  </conditionalFormatting>
  <conditionalFormatting sqref="AB14:AC14">
    <cfRule type="expression" dxfId="2597" priority="8">
      <formula>ABS(AB$16-AB$19)&gt;=1000</formula>
    </cfRule>
  </conditionalFormatting>
  <conditionalFormatting sqref="M5">
    <cfRule type="expression" dxfId="2596" priority="7">
      <formula>ABS(M$7-M$10)&gt;=1000</formula>
    </cfRule>
  </conditionalFormatting>
  <conditionalFormatting sqref="N5">
    <cfRule type="expression" dxfId="2595" priority="6">
      <formula>ABS(N$7-N$10)&gt;=1000</formula>
    </cfRule>
  </conditionalFormatting>
  <conditionalFormatting sqref="O5">
    <cfRule type="expression" dxfId="2594" priority="5">
      <formula>ABS(O$7-O$10)&gt;=1000</formula>
    </cfRule>
  </conditionalFormatting>
  <conditionalFormatting sqref="P5">
    <cfRule type="expression" dxfId="2593" priority="4">
      <formula>ABS(P$7-P$10)&gt;=1000</formula>
    </cfRule>
  </conditionalFormatting>
  <conditionalFormatting sqref="L23">
    <cfRule type="expression" dxfId="2592" priority="3">
      <formula>ABS(L$25-L$28)&gt;=1000</formula>
    </cfRule>
  </conditionalFormatting>
  <conditionalFormatting sqref="F14">
    <cfRule type="expression" dxfId="2591" priority="2">
      <formula>ABS(F$16-F$19)&gt;=1000</formula>
    </cfRule>
  </conditionalFormatting>
  <conditionalFormatting sqref="AE5">
    <cfRule type="expression" dxfId="2590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14">
    <pageSetUpPr fitToPage="1"/>
  </sheetPr>
  <dimension ref="A1:CU223"/>
  <sheetViews>
    <sheetView view="pageBreakPreview" zoomScale="80" zoomScaleNormal="100" zoomScaleSheetLayoutView="8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45902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45" t="s" ph="1">
        <v>177</v>
      </c>
      <c r="D6" s="71">
        <v>6429</v>
      </c>
      <c r="E6" s="71">
        <v>8978</v>
      </c>
      <c r="F6" s="71">
        <v>6843</v>
      </c>
      <c r="G6" s="71">
        <v>8682</v>
      </c>
      <c r="H6" s="71">
        <v>8933</v>
      </c>
      <c r="I6" s="71">
        <v>29.12</v>
      </c>
      <c r="J6" s="71">
        <v>6.98</v>
      </c>
      <c r="K6" s="71">
        <v>85.38</v>
      </c>
      <c r="L6" s="71">
        <v>36.549999999999997</v>
      </c>
      <c r="M6" s="71">
        <v>2803</v>
      </c>
      <c r="N6" s="71">
        <v>6108</v>
      </c>
      <c r="O6" s="71">
        <v>2654</v>
      </c>
      <c r="P6" s="71">
        <v>4881</v>
      </c>
      <c r="Q6" s="71">
        <v>6196</v>
      </c>
      <c r="R6" s="71">
        <v>4677</v>
      </c>
      <c r="S6" s="71">
        <v>2072</v>
      </c>
      <c r="T6" s="71">
        <v>2458</v>
      </c>
      <c r="U6" s="71">
        <v>0</v>
      </c>
      <c r="V6" s="71">
        <v>0</v>
      </c>
      <c r="W6" s="71">
        <v>0</v>
      </c>
      <c r="X6" s="71">
        <v>5212</v>
      </c>
      <c r="Y6" s="71">
        <v>4878</v>
      </c>
      <c r="Z6" s="71">
        <v>3858</v>
      </c>
      <c r="AA6" s="71">
        <v>230</v>
      </c>
      <c r="AB6" s="71">
        <v>152</v>
      </c>
      <c r="AC6" s="71">
        <v>1175</v>
      </c>
      <c r="AD6" s="71">
        <v>3834</v>
      </c>
      <c r="AE6" s="71">
        <v>4325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201243.89715831002</v>
      </c>
      <c r="E7" s="73" ph="1">
        <f>E6*51.53*LOOKUP(E8,密度!$A$2:$A$50,密度!$B$2:$B$50)</f>
        <v>358681.954402</v>
      </c>
      <c r="F7" s="73" ph="1">
        <f>F6*33.183*LOOKUP(F8,密度!$A$2:$A$50,密度!$C$2:$C$50)</f>
        <v>251277.06627539999</v>
      </c>
      <c r="G7" s="73" ph="1">
        <f xml:space="preserve"> (G6+2)*51.53*LOOKUP(G8,密度!$A$2:$A$50,密度!$B$2:$B$50)</f>
        <v>347339.03682400001</v>
      </c>
      <c r="H7" s="73" ph="1">
        <f>(H6)*51.53*LOOKUP(H8,密度!$A$2:$A$50,密度!$B$2:$B$50)</f>
        <v>357298.43573799997</v>
      </c>
      <c r="I7" s="73" ph="1">
        <f>I6*290.8*1.0267</f>
        <v>8694.1941632000016</v>
      </c>
      <c r="J7" s="73" ph="1">
        <f>J6*290.8*0.7892</f>
        <v>1601.9055328000002</v>
      </c>
      <c r="K7" s="73" ph="1">
        <f>K6*290.8*1.1126</f>
        <v>27624.193550400003</v>
      </c>
      <c r="L7" s="73" ph="1">
        <f>L6*290.8*0.777</f>
        <v>8258.5309799999995</v>
      </c>
      <c r="M7" s="73" ph="1">
        <f>M6*33.183*LOOKUP(M8,密度!$A$2:$A$50,密度!$D$2:$D$50)</f>
        <v>95234.934581099995</v>
      </c>
      <c r="N7" s="73" ph="1">
        <f>N6*33.183*LOOKUP(N8,密度!$A$2:$A$50,密度!$E$2:$E$50)</f>
        <v>157605.3396864</v>
      </c>
      <c r="O7" s="73" ph="1">
        <f>O6*20.428*LOOKUP(O8,密度!$A$2:$A$50,密度!$C$2:$C$50)</f>
        <v>59686.297520800006</v>
      </c>
      <c r="P7" s="73" ph="1">
        <f>P6*51.53*LOOKUP(P8,密度!$A$2:$A$50,密度!$B$2:$B$50)</f>
        <v>195429.43161</v>
      </c>
      <c r="Q7" s="73" ph="1">
        <f>Q6*1.5*1.5*3.1416*LOOKUP(W8,密度!$A$2:$A$50,密度!$L$2:$L$50)</f>
        <v>40950.237635999998</v>
      </c>
      <c r="R7" s="73" ph="1">
        <f>R6*1.5*1.5*3.1416*LOOKUP(R8,密度!$A$2:$A$50,密度!$L$2:$L$50)</f>
        <v>30745.653246000002</v>
      </c>
      <c r="S7" s="73" ph="1">
        <f>S6*1.5*1.5*3.1416*LOOKUP(S8,密度!$A$2:$A$50,密度!$L$2:$L$50)</f>
        <v>13738.078569599998</v>
      </c>
      <c r="T7" s="73" ph="1">
        <f>T6*1.5*1.5*3.1416*LOOKUP(T8,密度!$A$2:$A$50,密度!$L$2:$L$50)</f>
        <v>16332.141672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34704.733694399998</v>
      </c>
      <c r="Y7" s="73" ph="1">
        <f>Y6*1.5*1.5*3.1416*LOOKUP(Y8,密度!$A$2:$A$50,密度!$L$2:$L$50)</f>
        <v>32204.9091672</v>
      </c>
      <c r="Z7" s="73" ph="1">
        <f>Z6*33.183*LOOKUP(Z8,密度!$A$2:$A$50,密度!$L$2:$L$50)</f>
        <v>119826.733104</v>
      </c>
      <c r="AA7" s="73" ph="1">
        <f>AA6*33.183*LOOKUP(AA8,密度!$A$2:$A$50,密度!$D$2:$D$50)</f>
        <v>7814.4969510000001</v>
      </c>
      <c r="AB7" s="73" ph="1">
        <f>AB6*20.428*LOOKUP(AB8,密度!$A$2:$A$50,密度!$D$2:$D$50)</f>
        <v>3196.6551520000003</v>
      </c>
      <c r="AC7" s="73" ph="1">
        <f>AC6*51.53*LOOKUP(AC8,密度!$A$2:$A$50,密度!$Q$2:$Q$50)</f>
        <v>57279.9879325</v>
      </c>
      <c r="AD7" s="73" ph="1">
        <f>AD6*20.428*LOOKUP(AD8,密度!$A$2:$A$50,密度!$V$2:$V$50)</f>
        <v>75000.143635200002</v>
      </c>
      <c r="AE7" s="73" ph="1">
        <f>AE6*20.428</f>
        <v>88351.1</v>
      </c>
    </row>
    <row r="8" spans="1:99" ph="1">
      <c r="B8" s="182" ph="1"/>
      <c r="C8" s="68" t="s" ph="1">
        <v>179</v>
      </c>
      <c r="D8" s="74">
        <v>30</v>
      </c>
      <c r="E8" s="74">
        <v>30</v>
      </c>
      <c r="F8" s="74">
        <v>28</v>
      </c>
      <c r="G8" s="74">
        <v>29</v>
      </c>
      <c r="H8" s="74">
        <v>29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30</v>
      </c>
      <c r="O8" s="74">
        <v>34</v>
      </c>
      <c r="P8" s="74">
        <v>28</v>
      </c>
      <c r="Q8" s="74">
        <v>28</v>
      </c>
      <c r="R8" s="74">
        <v>32</v>
      </c>
      <c r="S8" s="74">
        <v>24</v>
      </c>
      <c r="T8" s="74">
        <v>22</v>
      </c>
      <c r="U8" s="74">
        <v>27</v>
      </c>
      <c r="V8" s="74">
        <v>28</v>
      </c>
      <c r="W8" s="74">
        <v>27</v>
      </c>
      <c r="X8" s="74">
        <v>20</v>
      </c>
      <c r="Y8" s="74">
        <v>28</v>
      </c>
      <c r="Z8" s="74">
        <v>26</v>
      </c>
      <c r="AA8" s="74">
        <v>28</v>
      </c>
      <c r="AB8" s="74">
        <v>22</v>
      </c>
      <c r="AC8" s="74">
        <v>26</v>
      </c>
      <c r="AD8" s="74">
        <v>27</v>
      </c>
      <c r="AE8" s="74">
        <v>33</v>
      </c>
    </row>
    <row r="9" spans="1:99" ht="26.4" ph="1">
      <c r="B9" s="182" ph="1">
        <v>0.66666666666666663</v>
      </c>
      <c r="C9" s="145" t="s" ph="1">
        <v>180</v>
      </c>
      <c r="D9" s="71">
        <v>6429</v>
      </c>
      <c r="E9" s="71">
        <v>8978</v>
      </c>
      <c r="F9" s="71">
        <v>6843</v>
      </c>
      <c r="G9" s="71">
        <v>8682</v>
      </c>
      <c r="H9" s="71">
        <v>8935</v>
      </c>
      <c r="I9" s="71">
        <v>29.07</v>
      </c>
      <c r="J9" s="71">
        <v>7.01</v>
      </c>
      <c r="K9" s="71">
        <v>85.19</v>
      </c>
      <c r="L9" s="71">
        <v>35.130000000000003</v>
      </c>
      <c r="M9" s="71">
        <v>2800</v>
      </c>
      <c r="N9" s="71">
        <v>6107</v>
      </c>
      <c r="O9" s="71">
        <v>1716</v>
      </c>
      <c r="P9" s="71">
        <v>4865</v>
      </c>
      <c r="Q9" s="71">
        <v>6198</v>
      </c>
      <c r="R9" s="71">
        <v>4681</v>
      </c>
      <c r="S9" s="71">
        <v>2071</v>
      </c>
      <c r="T9" s="71">
        <v>4338</v>
      </c>
      <c r="U9" s="71">
        <v>0</v>
      </c>
      <c r="V9" s="71">
        <v>0</v>
      </c>
      <c r="W9" s="71">
        <v>0</v>
      </c>
      <c r="X9" s="71">
        <v>740</v>
      </c>
      <c r="Y9" s="71">
        <v>4877</v>
      </c>
      <c r="Z9" s="71">
        <v>1551</v>
      </c>
      <c r="AA9" s="71">
        <v>170</v>
      </c>
      <c r="AB9" s="71">
        <v>152</v>
      </c>
      <c r="AC9" s="71">
        <v>1174</v>
      </c>
      <c r="AD9" s="71">
        <v>3852</v>
      </c>
      <c r="AE9" s="71">
        <v>4175</v>
      </c>
    </row>
    <row r="10" spans="1:99" s="72" customFormat="1" ht="22.2" ph="1">
      <c r="B10" s="182" ph="1"/>
      <c r="C10" s="145" t="s" ph="1">
        <v>178</v>
      </c>
      <c r="D10" s="73" ph="1">
        <f>D9*33.183*LOOKUP(D11,密度!$A$2:$A$50,密度!$Q$2:$Q$50)</f>
        <v>201083.89702806002</v>
      </c>
      <c r="E10" s="73" ph="1">
        <f>E9*51.53*LOOKUP(E11,密度!$A$2:$A$50,密度!$B$2:$B$50)</f>
        <v>357849.20899000001</v>
      </c>
      <c r="F10" s="73" ph="1">
        <f>F9*33.183*LOOKUP(F11,密度!$A$2:$A$50,密度!$C$2:$C$50)</f>
        <v>251118.11638710002</v>
      </c>
      <c r="G10" s="73" ph="1">
        <f xml:space="preserve"> (G9+2)*51.53*LOOKUP(G11,密度!$A$2:$A$50,密度!$B$2:$B$50)</f>
        <v>346130.82322000002</v>
      </c>
      <c r="H10" s="73" ph="1">
        <f>(H9)*51.53*LOOKUP(H11,密度!$A$2:$A$50,密度!$B$2:$B$50)</f>
        <v>356135.29542499996</v>
      </c>
      <c r="I10" s="73" ph="1">
        <f>I9*290.8*1.0267</f>
        <v>8679.2659452000007</v>
      </c>
      <c r="J10" s="73" ph="1">
        <f>J9*290.8*0.7892</f>
        <v>1608.7905136000002</v>
      </c>
      <c r="K10" s="73" ph="1">
        <f>K9*290.8*1.1126</f>
        <v>27562.7201752</v>
      </c>
      <c r="L10" s="73" ph="1">
        <f>L9*290.8*0.777</f>
        <v>7937.6797080000015</v>
      </c>
      <c r="M10" s="73" ph="1">
        <f>M9*33.183*LOOKUP(M11,密度!$A$2:$A$50,密度!$D$2:$D$50)</f>
        <v>94789.230479999998</v>
      </c>
      <c r="N10" s="73" ph="1">
        <f>N9*33.183*LOOKUP(N11,密度!$A$2:$A$50,密度!$E$2:$E$50)</f>
        <v>157346.49071745001</v>
      </c>
      <c r="O10" s="73" ph="1">
        <f>O9*20.428*LOOKUP(O11,密度!$A$2:$A$50,密度!$C$2:$C$50)</f>
        <v>38591.441803200003</v>
      </c>
      <c r="P10" s="73" ph="1">
        <f>P9*51.53*LOOKUP(P11,密度!$A$2:$A$50,密度!$B$2:$B$50)</f>
        <v>193911.38357500001</v>
      </c>
      <c r="Q10" s="73" ph="1">
        <f>Q9*1.5*1.5*3.1416*LOOKUP(W11,密度!$A$2:$A$50,密度!$L$2:$L$50)</f>
        <v>40612.966455600006</v>
      </c>
      <c r="R10" s="73" ph="1">
        <f>R9*1.5*1.5*3.1416*LOOKUP(R11,密度!$A$2:$A$50,密度!$L$2:$L$50)</f>
        <v>30705.772204800003</v>
      </c>
      <c r="S10" s="73" ph="1">
        <f>S9*1.5*1.5*3.1416*LOOKUP(S11,密度!$A$2:$A$50,密度!$L$2:$L$50)</f>
        <v>13702.170081599999</v>
      </c>
      <c r="T10" s="73" ph="1">
        <f>T9*1.5*1.5*3.1416*LOOKUP(T11,密度!$A$2:$A$50,密度!$L$2:$L$50)</f>
        <v>28762.444418399999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4901.2258680000004</v>
      </c>
      <c r="Y10" s="73" ph="1">
        <f>Y9*1.5*1.5*3.1416*LOOKUP(Y11,密度!$A$2:$A$50,密度!$L$2:$L$50)</f>
        <v>32198.307094800002</v>
      </c>
      <c r="Z10" s="73" ph="1">
        <f>Z9*33.183*LOOKUP(Z11,密度!$A$2:$A$50,密度!$L$2:$L$50)</f>
        <v>48070.022022000005</v>
      </c>
      <c r="AA10" s="73" ph="1">
        <f>AA9*33.183*LOOKUP(AA11,密度!$A$2:$A$50,密度!$D$2:$D$50)</f>
        <v>5745.4705349999995</v>
      </c>
      <c r="AB10" s="73" ph="1">
        <f>AB9*20.428*LOOKUP(AB11,密度!$A$2:$A$50,密度!$D$2:$D$50)</f>
        <v>3182.0613887999998</v>
      </c>
      <c r="AC10" s="73" ph="1">
        <f>AC9*51.53*LOOKUP(AC11,密度!$A$2:$A$50,密度!$Q$2:$Q$50)</f>
        <v>56981.389618000001</v>
      </c>
      <c r="AD10" s="73" ph="1">
        <f>AD9*20.428*LOOKUP(AD11,密度!$A$2:$A$50,密度!$V$2:$V$50)</f>
        <v>75352.256985600005</v>
      </c>
      <c r="AE10" s="73" ph="1">
        <f>AE9*20.428</f>
        <v>85286.900000000009</v>
      </c>
    </row>
    <row r="11" spans="1:99" ph="1">
      <c r="A11" s="64" t="s" ph="1">
        <v>162</v>
      </c>
      <c r="B11" s="182" ph="1"/>
      <c r="C11" s="145" t="s" ph="1">
        <v>179</v>
      </c>
      <c r="D11" s="74">
        <v>31</v>
      </c>
      <c r="E11" s="74">
        <v>32</v>
      </c>
      <c r="F11" s="74">
        <v>29</v>
      </c>
      <c r="G11" s="74">
        <v>32</v>
      </c>
      <c r="H11" s="74">
        <v>32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31</v>
      </c>
      <c r="O11" s="74">
        <v>34</v>
      </c>
      <c r="P11" s="74">
        <v>32</v>
      </c>
      <c r="Q11" s="74">
        <v>30</v>
      </c>
      <c r="R11" s="74">
        <v>34</v>
      </c>
      <c r="S11" s="74">
        <v>26</v>
      </c>
      <c r="T11" s="74">
        <v>24</v>
      </c>
      <c r="U11" s="74">
        <v>30</v>
      </c>
      <c r="V11" s="74">
        <v>28</v>
      </c>
      <c r="W11" s="74">
        <v>35</v>
      </c>
      <c r="X11" s="74">
        <v>25</v>
      </c>
      <c r="Y11" s="74">
        <v>28</v>
      </c>
      <c r="Z11" s="74">
        <v>28</v>
      </c>
      <c r="AA11" s="74">
        <v>34</v>
      </c>
      <c r="AB11" s="74">
        <v>27</v>
      </c>
      <c r="AC11" s="74">
        <v>32</v>
      </c>
      <c r="AD11" s="74">
        <v>32</v>
      </c>
      <c r="AE11" s="74">
        <v>35</v>
      </c>
    </row>
    <row r="12" spans="1:99" ht="9.9" customHeight="1" ph="1"/>
    <row r="13" spans="1:99" s="72" customFormat="1" ht="29.25" customHeight="1" ph="1">
      <c r="B13" s="190" t="s" ph="1">
        <v>37</v>
      </c>
      <c r="C13" s="14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77" t="s" ph="1">
        <v>636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45" t="s" ph="1">
        <v>177</v>
      </c>
      <c r="D15" s="78">
        <v>2380</v>
      </c>
      <c r="E15" s="78">
        <v>3231</v>
      </c>
      <c r="F15" s="78">
        <v>3006</v>
      </c>
      <c r="G15" s="78">
        <v>3276</v>
      </c>
      <c r="H15" s="78">
        <v>0</v>
      </c>
      <c r="I15" s="78">
        <v>3932</v>
      </c>
      <c r="J15" s="78">
        <v>190</v>
      </c>
      <c r="K15" s="78">
        <v>3107</v>
      </c>
      <c r="L15" s="78">
        <v>7066</v>
      </c>
      <c r="M15" s="78">
        <v>6702</v>
      </c>
      <c r="N15" s="78">
        <v>2465</v>
      </c>
      <c r="O15" s="78">
        <v>6864</v>
      </c>
      <c r="P15" s="78">
        <v>3384</v>
      </c>
      <c r="Q15" s="78">
        <v>5272</v>
      </c>
      <c r="R15" s="78">
        <v>0</v>
      </c>
      <c r="S15" s="78">
        <v>1656</v>
      </c>
      <c r="T15" s="78">
        <v>6634</v>
      </c>
      <c r="U15" s="78">
        <v>2600</v>
      </c>
      <c r="V15" s="78">
        <v>850</v>
      </c>
      <c r="W15" s="71">
        <v>5388</v>
      </c>
      <c r="X15" s="78">
        <v>1285</v>
      </c>
      <c r="Y15" s="106">
        <v>-9907</v>
      </c>
      <c r="Z15" s="78">
        <v>0</v>
      </c>
      <c r="AA15" s="78">
        <v>6129</v>
      </c>
      <c r="AB15" s="78" ph="1">
        <v>1098</v>
      </c>
      <c r="AC15" s="78" ph="1">
        <v>0</v>
      </c>
      <c r="AD15" s="78">
        <v>5.64</v>
      </c>
      <c r="AE15" s="78">
        <v>84.21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45" t="s" ph="1">
        <v>178</v>
      </c>
      <c r="D16" s="73" ph="1">
        <f>D15*7.0686*LOOKUP(D17,密度!$A$2:$A$50,密度!$L$2:$L$50)</f>
        <v>15679.285776000001</v>
      </c>
      <c r="E16" s="73" ph="1">
        <f>E15*7.0686*LOOKUP(E17,密度!$A$2:$A$50,密度!$L$2:$L$50)</f>
        <v>21285.618631200003</v>
      </c>
      <c r="F16" s="73" ph="1">
        <f>F15*9.0746*LOOKUP(F17,密度!$A$2:$A$50,密度!$L$2:$L$50)</f>
        <v>25477.883258400005</v>
      </c>
      <c r="G16" s="73" ph="1">
        <f>G15*9.0746*LOOKUP(G17,密度!$A$2:$A$50,密度!$B$2:$B$50)</f>
        <v>23125.714269840002</v>
      </c>
      <c r="H16" s="73" ph="1">
        <f>H15*9.0746*LOOKUP(H17,密度!$A$2:$A$50,密度!$L$2:$L$50)</f>
        <v>0</v>
      </c>
      <c r="I16" s="73" ph="1">
        <f>I15*9.0746*LOOKUP(I17,密度!$A$2:$A$50,密度!$U$2:$U$50)</f>
        <v>36466.316398399998</v>
      </c>
      <c r="J16" s="73" ph="1">
        <f>J15*9.0746*LOOKUP(J17,密度!$A$2:$A$50,密度!$L$2:$L$50)</f>
        <v>1610.378516</v>
      </c>
      <c r="K16" s="73" ph="1">
        <f>K15*9.0746*LOOKUP(K17,密度!$A$2:$A$50,密度!$C$2:$C$50)</f>
        <v>31222.901808279999</v>
      </c>
      <c r="L16" s="73" ph="1">
        <f>L15*9.0746*LOOKUP(L17,密度!$A$2:$A$50,密度!$E$2:$E$50)</f>
        <v>50001.652183279999</v>
      </c>
      <c r="M16" s="73" ph="1">
        <f>M15*9.0746*LOOKUP(M17,密度!$A$2:$A$50,密度!$M$2:$M$50)</f>
        <v>53033.2691424</v>
      </c>
      <c r="N16" s="73" ph="1">
        <f>N15*9.0746*LOOKUP(N17,密度!$A$2:$A$50,密度!$M$2:$M$50)</f>
        <v>19530.2769859</v>
      </c>
      <c r="O16" s="73" ph="1">
        <f>O15*9.0746*LOOKUP(O17,密度!$A$2:$A$50,密度!$G$2:$G$50)</f>
        <v>59541.151200959997</v>
      </c>
      <c r="P16" s="73" ph="1">
        <f ca="1">P15*9.0746*LOOKUP(P17,密度!$A$2:$A$51,密度!$Q$2:$Q$50)</f>
        <v>28986.623810352001</v>
      </c>
      <c r="Q16" s="73" ph="1">
        <f>Q15*9.0746*LOOKUP(Q17,密度!$A$2:$A$50,密度!$Q$2:$Q$50)</f>
        <v>45130.125227696</v>
      </c>
      <c r="R16" s="73" ph="1">
        <f>MAX(R15*9.0746*LOOKUP(R17,密度!$A$2:$A$50,密度!$B$2:$B$50),0)</f>
        <v>0</v>
      </c>
      <c r="S16" s="73" ph="1">
        <f>S15*9.0746*LOOKUP(S17,密度!$A$2:$A$50,密度!$Q$2:$Q$50)</f>
        <v>14175.927044208</v>
      </c>
      <c r="T16" s="73" ph="1">
        <f>T15*9.0746*LOOKUP(T17,密度!$A$2:$A$50,密度!$O$2:$O$50)</f>
        <v>55746.03006640001</v>
      </c>
      <c r="U16" s="73" ph="1">
        <f>U15*9.0746*LOOKUP(U17,密度!$A$2:$A$50,密度!$H$2:$H$50)</f>
        <v>21470.5036</v>
      </c>
      <c r="V16" s="73" ph="1">
        <f>MAX(5600*LOOKUP(V17,密度!$A$2:$A$50,密度!$Q$2:$Q$50)+V15*9.0476*LOOKUP(V17,密度!$A$2:$A$50,密度!$Q$2:$Q$50),0)</f>
        <v>12545.263907799999</v>
      </c>
      <c r="W16" s="73" ph="1">
        <f>MAX(5600*LOOKUP(W17,密度!$A$2:$A$50,密度!$Q$2:$Q$50)+W15*9.0476*LOOKUP(W17,密度!$A$2:$A$50,密度!$Q$2:$Q$50),0)</f>
        <v>51268.541073103996</v>
      </c>
      <c r="X16" s="73" ph="1">
        <f>MAX(5600*LOOKUP(X17,密度!$A$2:$A$50,密度!$I$2:$I$50)+X15*9.0476*LOOKUP(X17,密度!$A$2:$A$50,密度!$I$2:$I$50),0)</f>
        <v>17837.867154659998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43215.359581800003</v>
      </c>
      <c r="AB16" s="73" ph="1">
        <f>AB15*9.0746*LOOKUP(AB17,密度!$A$2:$A$50,密度!$L$2:$L$50)</f>
        <v>9306.2926872000007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2402.2245139199999</v>
      </c>
      <c r="AE16" s="73" ph="1">
        <f>AE15*268.68*LOOKUP(AE17,密度!$A$2:$A$50,密度!B2:B50)+IF(AE15&lt;=0,0,1566*LOOKUP(AE17,密度!$A$2:$A$50,密度!B2:B50))</f>
        <v>18859.726766879998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30</v>
      </c>
      <c r="E17" s="74">
        <v>30</v>
      </c>
      <c r="F17" s="74">
        <v>28</v>
      </c>
      <c r="G17" s="74">
        <v>27</v>
      </c>
      <c r="H17" s="74">
        <v>25</v>
      </c>
      <c r="I17" s="74">
        <v>28</v>
      </c>
      <c r="J17" s="74">
        <v>28</v>
      </c>
      <c r="K17" s="74">
        <v>27</v>
      </c>
      <c r="L17" s="74">
        <v>28</v>
      </c>
      <c r="M17" s="74">
        <v>28</v>
      </c>
      <c r="N17" s="74">
        <v>27</v>
      </c>
      <c r="O17" s="74">
        <v>29</v>
      </c>
      <c r="P17" s="74">
        <v>29</v>
      </c>
      <c r="Q17" s="74">
        <v>30</v>
      </c>
      <c r="R17" s="74">
        <v>29</v>
      </c>
      <c r="S17" s="74">
        <v>30</v>
      </c>
      <c r="T17" s="74">
        <v>29</v>
      </c>
      <c r="U17" s="74">
        <v>30</v>
      </c>
      <c r="V17" s="74">
        <v>29</v>
      </c>
      <c r="W17" s="74">
        <v>30</v>
      </c>
      <c r="X17" s="74">
        <v>31</v>
      </c>
      <c r="Y17" s="108">
        <v>31</v>
      </c>
      <c r="Z17" s="74">
        <v>28</v>
      </c>
      <c r="AA17" s="74">
        <v>28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3556</v>
      </c>
      <c r="E18" s="71">
        <v>2262</v>
      </c>
      <c r="F18" s="71">
        <v>3006</v>
      </c>
      <c r="G18" s="71">
        <v>3311</v>
      </c>
      <c r="H18" s="71">
        <v>0</v>
      </c>
      <c r="I18" s="71">
        <v>3931</v>
      </c>
      <c r="J18" s="71">
        <v>197</v>
      </c>
      <c r="K18" s="71">
        <v>3106</v>
      </c>
      <c r="L18" s="71">
        <v>5366</v>
      </c>
      <c r="M18" s="71">
        <v>6704</v>
      </c>
      <c r="N18" s="71">
        <v>5062</v>
      </c>
      <c r="O18" s="71">
        <v>6864</v>
      </c>
      <c r="P18" s="71">
        <v>3383</v>
      </c>
      <c r="Q18" s="71">
        <v>5272</v>
      </c>
      <c r="R18" s="71">
        <v>2478</v>
      </c>
      <c r="S18" s="71">
        <v>1655</v>
      </c>
      <c r="T18" s="71">
        <v>5241</v>
      </c>
      <c r="U18" s="71">
        <v>2598</v>
      </c>
      <c r="V18" s="71">
        <v>850</v>
      </c>
      <c r="W18" s="71">
        <v>5387</v>
      </c>
      <c r="X18" s="71">
        <v>1285</v>
      </c>
      <c r="Y18" s="109">
        <v>-9907</v>
      </c>
      <c r="Z18" s="71">
        <v>0</v>
      </c>
      <c r="AA18" s="71">
        <v>6129</v>
      </c>
      <c r="AB18" s="71">
        <v>1097</v>
      </c>
      <c r="AC18" s="71">
        <v>0</v>
      </c>
      <c r="AD18" s="71">
        <v>44.74</v>
      </c>
      <c r="AE18" s="71">
        <v>83.42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45" t="s" ph="1">
        <v>178</v>
      </c>
      <c r="D19" s="73" ph="1">
        <f>D18*7.0686*LOOKUP(D20,密度!$A$2:$A$50,密度!$L$2:$L$50)</f>
        <v>23401.561629600001</v>
      </c>
      <c r="E19" s="73" ph="1">
        <f>E18*7.0686*LOOKUP(E20,密度!$A$2:$A$50,密度!$L$2:$L$50)</f>
        <v>14885.9202492</v>
      </c>
      <c r="F19" s="73" ph="1">
        <f>F18*9.0746*LOOKUP(F20,密度!$A$2:$A$50,密度!$L$2:$L$50)</f>
        <v>25368.770268000004</v>
      </c>
      <c r="G19" s="73" ph="1">
        <f>G18*9.0746*LOOKUP(G20,密度!$A$2:$A$50,密度!$B$2:$B$50)</f>
        <v>23294.664265179999</v>
      </c>
      <c r="H19" s="73" ph="1">
        <f>H18*9.0746*LOOKUP(H20,密度!$A$2:$A$50,密度!$L$2:$L$50)</f>
        <v>0</v>
      </c>
      <c r="I19" s="73" ph="1">
        <f>I18*9.0746*LOOKUP(I20,密度!$A$2:$A$50,密度!$U$2:$U$50)</f>
        <v>36278.680894199999</v>
      </c>
      <c r="J19" s="73" ph="1">
        <f>J18*9.0746*LOOKUP(J20,密度!$A$2:$A$50,密度!$L$2:$L$50)</f>
        <v>1660.7697698000002</v>
      </c>
      <c r="K19" s="73" ph="1">
        <f>K18*9.0746*LOOKUP(K20,密度!$A$2:$A$50,密度!$C$2:$C$50)</f>
        <v>31088.835482800001</v>
      </c>
      <c r="L19" s="73" ph="1">
        <f>L18*9.0746*LOOKUP(L20,密度!$A$2:$A$50,密度!$E$2:$E$50)</f>
        <v>37864.690479359997</v>
      </c>
      <c r="M19" s="73" ph="1">
        <f>M18*9.0746*LOOKUP(M20,密度!$A$2:$A$50,密度!$M$2:$M$50)</f>
        <v>52921.339396160001</v>
      </c>
      <c r="N19" s="73" ph="1">
        <f>N18*9.0746*LOOKUP(N20,密度!$A$2:$A$50,密度!$M$2:$M$50)</f>
        <v>40055.865174400002</v>
      </c>
      <c r="O19" s="73" ph="1">
        <f>O18*9.0746*LOOKUP(O20,密度!$A$2:$A$50,密度!$G$2:$G$50)</f>
        <v>59466.405535680002</v>
      </c>
      <c r="P19" s="73" ph="1">
        <f ca="1">P18*9.0746*LOOKUP(P20,密度!$A$2:$A$51,密度!$Q$2:$Q$50)</f>
        <v>28936.613871244001</v>
      </c>
      <c r="Q19" s="73" ph="1">
        <f>Q18*9.0746*LOOKUP(Q20,密度!$A$2:$A$50,密度!$Q$2:$Q$50)</f>
        <v>45094.244259296</v>
      </c>
      <c r="R19" s="73" ph="1">
        <f>MAX(R18*9.0746*LOOKUP(R20,密度!$A$2:$A$50,密度!$B$2:$B$50),0)</f>
        <v>17413.823454720001</v>
      </c>
      <c r="S19" s="73" ph="1">
        <f>S18*9.0746*LOOKUP(S20,密度!$A$2:$A$50,密度!$Q$2:$Q$50)</f>
        <v>14156.102854539999</v>
      </c>
      <c r="T19" s="73" ph="1">
        <f>T18*9.0746*LOOKUP(T20,密度!$A$2:$A$50,密度!$O$2:$O$50)</f>
        <v>43888.348252080003</v>
      </c>
      <c r="U19" s="73" ph="1">
        <f>U18*9.0746*LOOKUP(U20,密度!$A$2:$A$50,密度!$H$2:$H$50)</f>
        <v>21431.590807739998</v>
      </c>
      <c r="V19" s="73" ph="1">
        <f>MAX(5600*LOOKUP(V20,密度!$A$2:$A$50,密度!$Q$2:$Q$50)+V18*9.0476*LOOKUP(V20,密度!$A$2:$A$50,密度!$Q$2:$Q$50),0)</f>
        <v>12509.645474999999</v>
      </c>
      <c r="W19" s="73" ph="1">
        <f>MAX(5600*LOOKUP(W20,密度!$A$2:$A$50,密度!$Q$2:$Q$50)+W18*9.0476*LOOKUP(W20,密度!$A$2:$A$50,密度!$Q$2:$Q$50),0)</f>
        <v>51111.116186507992</v>
      </c>
      <c r="X19" s="73" ph="1">
        <f>MAX(5600*LOOKUP(X20,密度!$A$2:$A$50,密度!$I$2:$I$50)+X18*9.0476*LOOKUP(X20,密度!$A$2:$A$50,密度!$I$2:$I$50),0)</f>
        <v>17799.625066140001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43120.808602019999</v>
      </c>
      <c r="AB19" s="73" ph="1">
        <f>AB18*9.0746*LOOKUP(AB20,密度!$A$2:$A$50,密度!$L$2:$L$50)</f>
        <v>9238.0879936000001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10556.8994664</v>
      </c>
      <c r="AE19" s="73" ph="1">
        <f>AE18*268.68*LOOKUP(AE20,密度!$A$2:$A$50,密度!B5:B53)+IF(AE18&lt;=0,0,1566*LOOKUP(AE20,密度!$A$2:$A$50,密度!B5:B53))</f>
        <v>18631.904911199999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31</v>
      </c>
      <c r="E20" s="81">
        <v>31</v>
      </c>
      <c r="F20" s="81">
        <v>32</v>
      </c>
      <c r="G20" s="81">
        <v>30</v>
      </c>
      <c r="H20" s="81">
        <v>28</v>
      </c>
      <c r="I20" s="81">
        <v>33</v>
      </c>
      <c r="J20" s="81">
        <v>33</v>
      </c>
      <c r="K20" s="81">
        <v>32</v>
      </c>
      <c r="L20" s="81">
        <v>30</v>
      </c>
      <c r="M20" s="81">
        <v>30</v>
      </c>
      <c r="N20" s="81">
        <v>28</v>
      </c>
      <c r="O20" s="81">
        <v>30</v>
      </c>
      <c r="P20" s="81">
        <v>31</v>
      </c>
      <c r="Q20" s="81">
        <v>31</v>
      </c>
      <c r="R20" s="81">
        <v>31</v>
      </c>
      <c r="S20" s="81">
        <v>31</v>
      </c>
      <c r="T20" s="81">
        <v>31</v>
      </c>
      <c r="U20" s="81">
        <v>31</v>
      </c>
      <c r="V20" s="81">
        <v>33</v>
      </c>
      <c r="W20" s="81">
        <v>34</v>
      </c>
      <c r="X20" s="81">
        <v>33</v>
      </c>
      <c r="Y20" s="110">
        <v>33</v>
      </c>
      <c r="Z20" s="81">
        <v>34</v>
      </c>
      <c r="AA20" s="81">
        <v>30</v>
      </c>
      <c r="AB20" s="81">
        <v>34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45" t="s" ph="1">
        <v>177</v>
      </c>
      <c r="D24" s="71">
        <v>85.34</v>
      </c>
      <c r="E24" s="71">
        <v>55.18</v>
      </c>
      <c r="F24" s="71">
        <v>3754</v>
      </c>
      <c r="G24" s="71">
        <v>2112</v>
      </c>
      <c r="H24" s="71">
        <v>2903</v>
      </c>
      <c r="I24" s="71">
        <v>1461</v>
      </c>
      <c r="J24" s="71">
        <v>1125</v>
      </c>
      <c r="K24" s="71">
        <v>4925</v>
      </c>
      <c r="L24" s="71">
        <v>5614</v>
      </c>
      <c r="M24" s="71">
        <v>4357</v>
      </c>
      <c r="N24" s="71">
        <v>1657</v>
      </c>
      <c r="O24" s="71">
        <v>4321</v>
      </c>
      <c r="P24" s="71">
        <v>968</v>
      </c>
      <c r="Q24" s="90">
        <v>1426</v>
      </c>
      <c r="R24" s="71">
        <v>370</v>
      </c>
      <c r="S24" s="71">
        <v>1806</v>
      </c>
      <c r="T24" s="71">
        <v>1697</v>
      </c>
      <c r="U24" s="71">
        <v>5566</v>
      </c>
      <c r="V24" s="71">
        <v>6686</v>
      </c>
      <c r="W24" s="71">
        <v>7414</v>
      </c>
      <c r="X24" s="71">
        <v>4513</v>
      </c>
      <c r="Y24" s="71">
        <v>2979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23190.539447088002</v>
      </c>
      <c r="E25" s="91" ph="1">
        <f>E24*268.68*LOOKUP(E26,密度!$A$2:$A$50,密度!$C$2:$C$50)+IF(E24&lt;=0,0,1566*LOOKUP(E26,密度!$A$2:$A$50,密度!$C$2:$C$50))</f>
        <v>18176.825325360001</v>
      </c>
      <c r="F25" s="91" ph="1">
        <f>F24*11.702*LOOKUP(F26,密度!$A$2:$A$50,密度!$Q$2:$Q$50)</f>
        <v>41439.834115639998</v>
      </c>
      <c r="G25" s="91" ph="1">
        <f>G24*18.322*LOOKUP(G26,密度!$A$2:$A$50,密度!$B$2:$B$50)</f>
        <v>29966.231961599999</v>
      </c>
      <c r="H25" s="91" ph="1">
        <f>H24*18.322*LOOKUP(H26,密度!$A$2:$A$50,密度!$B$2:$B$50)</f>
        <v>41189.380390399994</v>
      </c>
      <c r="I25" s="91" ph="1">
        <f>I24*18.322*LOOKUP(I26,密度!$A$2:$A$50,密度!$Q$2:$Q$50)</f>
        <v>25251.47439186</v>
      </c>
      <c r="J25" s="91" ph="1">
        <f>J24*18.322*LOOKUP(J26,密度!$A$2:$A$50,密度!$Q$2:$Q$50)</f>
        <v>19444.153792500001</v>
      </c>
      <c r="K25" s="91" ph="1">
        <f>K24*18.322*LOOKUP(K26,密度!$A$2:$A$50,密度!$Q$2:$Q$50)</f>
        <v>85122.184380499995</v>
      </c>
      <c r="L25" s="91" ph="1">
        <f>L24*18.322*LOOKUP(L26,密度!$A$2:$A$50,密度!$Q$2:$Q$50)</f>
        <v>96953.503566639993</v>
      </c>
      <c r="M25" s="91" ph="1">
        <f>M24*18.322*LOOKUP(M26,密度!$A$2:$A$50,密度!$Q$2:$Q$50)</f>
        <v>75305.047176819993</v>
      </c>
      <c r="N25" s="91" ph="1">
        <f>N24*18.322*LOOKUP(N26,密度!$A$2:$A$50,密度!$Q$2:$Q$50)</f>
        <v>28616.308409319998</v>
      </c>
      <c r="O25" s="91" ph="1">
        <f>O24*18.322*LOOKUP(O26,密度!$A$2:$A$50,密度!$C$2:$C$50)</f>
        <v>87410.892584200003</v>
      </c>
      <c r="P25" s="91" ph="1">
        <f>P24*11.702*LOOKUP(P26,密度!$A$2:$A$50,密度!$B$2:$B$50)</f>
        <v>8772.0438783999998</v>
      </c>
      <c r="Q25" s="92" ph="1">
        <f>Q24*18.322*LOOKUP(Q26,密度!$A$2:$A$50,密度!$B$2:$B$50)</f>
        <v>20256.396451599998</v>
      </c>
      <c r="R25" s="91" ph="1">
        <f>R24*35.891*LOOKUP(R26,密度!$A$2:$A$50,密度!$C$2:$C$50)</f>
        <v>14675.363316999999</v>
      </c>
      <c r="S25" s="91" ph="1">
        <f>S24*35.891*LOOKUP(S26,密度!$A$2:$A$50,密度!$B$2:$B$50)</f>
        <v>50195.946662399991</v>
      </c>
      <c r="T25" s="91" ph="1">
        <f>T24*35.891*LOOKUP(T26,密度!$A$2:$A$50,密度!$Q$2:$Q$50)</f>
        <v>57455.425779909994</v>
      </c>
      <c r="U25" s="91" ph="1">
        <f>U24*35.891</f>
        <v>199769.30599999998</v>
      </c>
      <c r="V25" s="91" ph="1">
        <f>V24*47.051*LOOKUP(V26,密度!$A$2:$A$50,密度!$B$2:$B$50)</f>
        <v>243613.06435840001</v>
      </c>
      <c r="W25" s="91" ph="1">
        <f>W24*47.051*LOOKUP(W26,密度!$A$2:$A$50,密度!$B$2:$B$50)</f>
        <v>270452.63918419997</v>
      </c>
      <c r="X25" s="91" ph="1">
        <f>X24*47.051*LOOKUP(X26,密度!$A$2:$A$50,密度!$I$2:$I$50)</f>
        <v>219881.39769812999</v>
      </c>
      <c r="Y25" s="91" ph="1">
        <f>Y24*47.051*LOOKUP(Y26,密度!$A$2:$A$50,密度!$L$2:$L$50)</f>
        <v>130633.71382800001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30</v>
      </c>
      <c r="G26" s="74">
        <v>31</v>
      </c>
      <c r="H26" s="74">
        <v>31</v>
      </c>
      <c r="I26" s="74">
        <v>30</v>
      </c>
      <c r="J26" s="74">
        <v>30</v>
      </c>
      <c r="K26" s="74">
        <v>30</v>
      </c>
      <c r="L26" s="74">
        <v>31</v>
      </c>
      <c r="M26" s="74">
        <v>30</v>
      </c>
      <c r="N26" s="74">
        <v>31</v>
      </c>
      <c r="O26" s="74">
        <v>31</v>
      </c>
      <c r="P26" s="74">
        <v>31</v>
      </c>
      <c r="Q26" s="93">
        <v>30</v>
      </c>
      <c r="R26" s="74">
        <v>30</v>
      </c>
      <c r="S26" s="74">
        <v>31</v>
      </c>
      <c r="T26" s="74">
        <v>30</v>
      </c>
      <c r="U26" s="74">
        <v>31</v>
      </c>
      <c r="V26" s="74">
        <v>31</v>
      </c>
      <c r="W26" s="74">
        <v>30</v>
      </c>
      <c r="X26" s="74">
        <v>31</v>
      </c>
      <c r="Y26" s="74">
        <v>30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45" t="s" ph="1">
        <v>180</v>
      </c>
      <c r="D27" s="71">
        <v>85.33</v>
      </c>
      <c r="E27" s="71">
        <v>55.13</v>
      </c>
      <c r="F27" s="71">
        <v>3752</v>
      </c>
      <c r="G27" s="71">
        <v>1531</v>
      </c>
      <c r="H27" s="71">
        <v>2412</v>
      </c>
      <c r="I27" s="71">
        <v>1459</v>
      </c>
      <c r="J27" s="71">
        <v>1262</v>
      </c>
      <c r="K27" s="71">
        <v>4549</v>
      </c>
      <c r="L27" s="71">
        <v>5609</v>
      </c>
      <c r="M27" s="71">
        <v>4355</v>
      </c>
      <c r="N27" s="71">
        <v>2515</v>
      </c>
      <c r="O27" s="71">
        <v>4318</v>
      </c>
      <c r="P27" s="71">
        <v>963</v>
      </c>
      <c r="Q27" s="90">
        <v>3969</v>
      </c>
      <c r="R27" s="71">
        <v>367</v>
      </c>
      <c r="S27" s="71">
        <v>1380</v>
      </c>
      <c r="T27" s="71">
        <v>1694</v>
      </c>
      <c r="U27" s="71">
        <v>5631</v>
      </c>
      <c r="V27" s="71">
        <v>6682</v>
      </c>
      <c r="W27" s="71">
        <v>6954</v>
      </c>
      <c r="X27" s="71">
        <v>4040</v>
      </c>
      <c r="Y27" s="71">
        <v>3628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45" t="s" ph="1">
        <v>178</v>
      </c>
      <c r="D28" s="91" ph="1">
        <f>D27*268.68*LOOKUP(D29,密度!$A$2:$A$50,密度!$Q$2:$Q$50)+IF(D27&lt;=0,0,1566*LOOKUP(D29,密度!$A$2:$A$50,密度!$Q$2:$Q$50))</f>
        <v>23187.995746056004</v>
      </c>
      <c r="E28" s="91" ph="1">
        <f>E27*268.68*LOOKUP(E29,密度!$A$2:$A$50,密度!$C$2:$C$50)+IF(E27&lt;=0,0,1566*LOOKUP(E29,密度!$A$2:$A$50,密度!$C$2:$C$50))</f>
        <v>18161.928362760002</v>
      </c>
      <c r="F28" s="91" ph="1">
        <f>F27*11.702*LOOKUP(F29,密度!$A$2:$A$50,密度!$Q$2:$Q$50)</f>
        <v>41384.826992319999</v>
      </c>
      <c r="G28" s="91" ph="1">
        <f>G27*18.322*LOOKUP(G29,密度!$A$2:$A$50,密度!$B$2:$B$50)</f>
        <v>21697.434577</v>
      </c>
      <c r="H28" s="91" ph="1">
        <f>H27*18.322*LOOKUP(H29,密度!$A$2:$A$50,密度!$B$2:$B$50)</f>
        <v>34183.025603999995</v>
      </c>
      <c r="I28" s="91" ph="1">
        <f>I27*18.322*LOOKUP(I29,密度!$A$2:$A$50,密度!$Q$2:$Q$50)</f>
        <v>25196.858158839997</v>
      </c>
      <c r="J28" s="91" ph="1">
        <f>J27*18.322*LOOKUP(J29,密度!$A$2:$A$50,密度!$Q$2:$Q$50)</f>
        <v>21794.677859119998</v>
      </c>
      <c r="K28" s="91" ph="1">
        <f>K27*18.322*LOOKUP(K29,密度!$A$2:$A$50,密度!$Q$2:$Q$50)</f>
        <v>78504.330198199983</v>
      </c>
      <c r="L28" s="91" ph="1">
        <f>L27*18.322*LOOKUP(L29,密度!$A$2:$A$50,密度!$Q$2:$Q$50)</f>
        <v>96797.271506199992</v>
      </c>
      <c r="M28" s="91" ph="1">
        <f>M27*18.322*LOOKUP(M29,密度!$A$2:$A$50,密度!$Q$2:$Q$50)</f>
        <v>75210.635559799994</v>
      </c>
      <c r="N28" s="91" ph="1">
        <f>N27*18.322*LOOKUP(N29,密度!$A$2:$A$50,密度!$Q$2:$Q$50)</f>
        <v>43402.591876999992</v>
      </c>
      <c r="O28" s="91" ph="1">
        <f>O27*18.322*LOOKUP(O29,密度!$A$2:$A$50,密度!$C$2:$C$50)</f>
        <v>87350.204623600002</v>
      </c>
      <c r="P28" s="91" ph="1">
        <f>P27*11.702*LOOKUP(P29,密度!$A$2:$A$50,密度!$B$2:$B$50)</f>
        <v>8716.5916109999998</v>
      </c>
      <c r="Q28" s="92" ph="1">
        <f>Q27*18.322*LOOKUP(Q29,密度!$A$2:$A$50,密度!$B$2:$B$50)</f>
        <v>56248.933922999997</v>
      </c>
      <c r="R28" s="91" ph="1">
        <f>R27*35.891*LOOKUP(R29,密度!$A$2:$A$50,密度!$C$2:$C$50)</f>
        <v>14528.712690999999</v>
      </c>
      <c r="S28" s="91" ph="1">
        <f>S27*35.891*LOOKUP(S29,密度!$A$2:$A$50,密度!$B$2:$B$50)</f>
        <v>38355.706751999991</v>
      </c>
      <c r="T28" s="91" ph="1">
        <f>T27*35.891*LOOKUP(T29,密度!$A$2:$A$50,密度!$Q$2:$Q$50)</f>
        <v>57308.255093319996</v>
      </c>
      <c r="U28" s="91" ph="1">
        <f>U27*35.891</f>
        <v>202102.22099999999</v>
      </c>
      <c r="V28" s="91" ph="1">
        <f>V27*47.051*LOOKUP(V29,密度!$A$2:$A$50,密度!$B$2:$B$50)</f>
        <v>243467.3191808</v>
      </c>
      <c r="W28" s="91" ph="1">
        <f>W27*47.051*LOOKUP(W29,密度!$A$2:$A$50,密度!$B$2:$B$50)</f>
        <v>253083.51786900003</v>
      </c>
      <c r="X28" s="91" ph="1">
        <f>X27*47.051*LOOKUP(X29,密度!$A$2:$A$50,密度!$I$2:$I$50)</f>
        <v>196624.99977600001</v>
      </c>
      <c r="Y28" s="91" ph="1">
        <f>Y27*47.051*LOOKUP(Y29,密度!$A$2:$A$50,密度!$L$2:$L$50)</f>
        <v>158922.65706800003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45" t="s" ph="1">
        <v>179</v>
      </c>
      <c r="D29" s="74">
        <v>25</v>
      </c>
      <c r="E29" s="74">
        <v>25</v>
      </c>
      <c r="F29" s="74">
        <v>31</v>
      </c>
      <c r="G29" s="74">
        <v>32</v>
      </c>
      <c r="H29" s="74">
        <v>32</v>
      </c>
      <c r="I29" s="74">
        <v>31</v>
      </c>
      <c r="J29" s="74">
        <v>31</v>
      </c>
      <c r="K29" s="74">
        <v>32</v>
      </c>
      <c r="L29" s="74">
        <v>32</v>
      </c>
      <c r="M29" s="74">
        <v>31</v>
      </c>
      <c r="N29" s="74">
        <v>32</v>
      </c>
      <c r="O29" s="74">
        <v>31</v>
      </c>
      <c r="P29" s="74">
        <v>32</v>
      </c>
      <c r="Q29" s="93">
        <v>32</v>
      </c>
      <c r="R29" s="74">
        <v>32</v>
      </c>
      <c r="S29" s="74">
        <v>31</v>
      </c>
      <c r="T29" s="74">
        <v>31</v>
      </c>
      <c r="U29" s="74">
        <v>32</v>
      </c>
      <c r="V29" s="74">
        <v>31</v>
      </c>
      <c r="W29" s="74">
        <v>32</v>
      </c>
      <c r="X29" s="74">
        <v>32</v>
      </c>
      <c r="Y29" s="74">
        <v>31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45" t="s" ph="1">
        <v>5</v>
      </c>
      <c r="F32" s="144" t="s" ph="1">
        <v>43</v>
      </c>
      <c r="G32" s="97" t="s" ph="1">
        <v>4</v>
      </c>
      <c r="H32" s="145" t="s" ph="1">
        <v>5</v>
      </c>
      <c r="I32" s="144" t="s" ph="1">
        <v>43</v>
      </c>
      <c r="J32" s="97" t="s" ph="1">
        <v>4</v>
      </c>
      <c r="K32" s="145" t="s" ph="1">
        <v>5</v>
      </c>
      <c r="L32" s="144" t="s" ph="1">
        <v>43</v>
      </c>
      <c r="M32" s="97" t="s" ph="1">
        <v>4</v>
      </c>
      <c r="N32" s="145" t="s" ph="1">
        <v>5</v>
      </c>
      <c r="O32" s="14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5" t="s" ph="1">
        <v>5</v>
      </c>
      <c r="U32" s="99" t="s" ph="1">
        <v>43</v>
      </c>
      <c r="V32" s="97" t="s" ph="1">
        <v>4</v>
      </c>
      <c r="W32" s="145" t="s" ph="1">
        <v>5</v>
      </c>
      <c r="X32" s="99" t="s" ph="1">
        <v>43</v>
      </c>
      <c r="Y32" s="100" t="s" ph="1">
        <v>4</v>
      </c>
      <c r="Z32" s="145" t="s" ph="1">
        <v>5</v>
      </c>
      <c r="AA32" s="144" t="s" ph="1">
        <v>43</v>
      </c>
      <c r="AB32" s="97" t="s" ph="1">
        <v>85</v>
      </c>
      <c r="AC32" s="145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8927.5319237999993</v>
      </c>
      <c r="E33" s="204" ph="1">
        <f>M10+I10</f>
        <v>103468.49642519999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[[#This Row],[F25]]</f>
        <v>3880</v>
      </c>
      <c r="G33" s="208" ph="1">
        <v>0</v>
      </c>
      <c r="H33" s="204" ph="1">
        <f>N19</f>
        <v>40055.865174400002</v>
      </c>
      <c r="I33" s="217" ph="1">
        <v>0</v>
      </c>
      <c r="J33" s="215" ph="1">
        <f>F10+O28</f>
        <v>338468.32101070002</v>
      </c>
      <c r="K33" s="204" ph="1">
        <f>O10+K10+E28+R28</f>
        <v>98844.803032160009</v>
      </c>
      <c r="L33" s="219" ph="1">
        <f>BE27</f>
        <v>7100</v>
      </c>
      <c r="M33" s="215" ph="1">
        <f>G10+H10+W28+S28+V28+E10</f>
        <v>1595021.8714368001</v>
      </c>
      <c r="N33" s="204" ph="1">
        <f>L10+P10++G28+H28</f>
        <v>257729.52346400003</v>
      </c>
      <c r="O33" s="217" ph="1">
        <f>BE17</f>
        <v>2270</v>
      </c>
      <c r="P33" s="215" ph="1">
        <f>L19</f>
        <v>37864.690479359997</v>
      </c>
      <c r="Q33" s="204" ph="1">
        <f>J10+N10</f>
        <v>158955.28123105</v>
      </c>
      <c r="R33" s="217" ph="1">
        <f>BE23</f>
        <v>890</v>
      </c>
      <c r="S33" s="215" ph="1">
        <f>E10+X28</f>
        <v>554474.208766</v>
      </c>
      <c r="T33" s="204" ph="1">
        <f>X19</f>
        <v>17799.625066140001</v>
      </c>
      <c r="U33" s="225" ph="1">
        <f>BE21</f>
        <v>730</v>
      </c>
      <c r="V33" s="236" ph="1">
        <f ca="1">P19+Q19+S19+M28+N28+J28</f>
        <v>228594.86628100002</v>
      </c>
      <c r="W33" s="236" ph="1">
        <f>D28+F28+V19+T28</f>
        <v>134390.72330669599</v>
      </c>
      <c r="X33" s="217" ph="1">
        <f>BE29+BE31</f>
        <v>10200</v>
      </c>
      <c r="Y33" s="238" ph="1">
        <f>+Q10+R10+S10+T10+U10+V10+W10+X10+Y10</f>
        <v>150882.88612320001</v>
      </c>
      <c r="Z33" s="223" ph="1">
        <f>D10+T19+U19+Y28+Z10</f>
        <v>473396.51517788001</v>
      </c>
      <c r="AA33" s="225" ph="1">
        <f>BE19</f>
        <v>1440</v>
      </c>
      <c r="AB33" s="227" ph="1">
        <f>I19</f>
        <v>36278.680894199999</v>
      </c>
      <c r="AC33" s="229" ph="1">
        <f>AD10</f>
        <v>75352.256985600005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43" t="s" ph="1">
        <v>185</v>
      </c>
      <c r="AA36" s="143" ph="1"/>
      <c r="AB36" s="222" t="s" ph="1">
        <v>641</v>
      </c>
      <c r="AC36" s="222" ph="1"/>
      <c r="AD36" s="222" ph="1"/>
      <c r="AE36" s="222" ph="1"/>
      <c r="BA36" s="64" ph="1">
        <v>2270</v>
      </c>
    </row>
    <row r="37" spans="1:57" s="14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3" t="s" ph="1">
        <v>342</v>
      </c>
      <c r="AI37" s="143" t="s" ph="1">
        <v>209</v>
      </c>
      <c r="AJ37" s="143" t="s" ph="1">
        <v>210</v>
      </c>
      <c r="AK37" s="143" t="s" ph="1">
        <v>211</v>
      </c>
      <c r="AM37" s="143" t="s" ph="1">
        <v>210</v>
      </c>
      <c r="AN37" s="143" t="s" ph="1">
        <v>211</v>
      </c>
      <c r="AO37" s="143" t="s" ph="1">
        <v>212</v>
      </c>
      <c r="AP37" s="143" t="s" ph="1">
        <v>210</v>
      </c>
      <c r="AQ37" s="143" t="s" ph="1">
        <v>211</v>
      </c>
      <c r="AR37" s="143" t="s" ph="1">
        <v>212</v>
      </c>
      <c r="AS37" s="143" t="s" ph="1">
        <v>210</v>
      </c>
      <c r="AT37" s="143" t="s" ph="1">
        <v>211</v>
      </c>
      <c r="AU37" s="143" t="s" ph="1">
        <v>212</v>
      </c>
      <c r="AV37" s="143" t="s" ph="1">
        <v>210</v>
      </c>
      <c r="AW37" s="143" t="s" ph="1">
        <v>211</v>
      </c>
      <c r="AX37" s="143" t="s" ph="1">
        <v>212</v>
      </c>
      <c r="AY37" s="143" t="s" ph="1">
        <v>211</v>
      </c>
      <c r="AZ37" s="143" t="s" ph="1">
        <v>213</v>
      </c>
      <c r="BD37" s="143" t="s" ph="1">
        <v>305</v>
      </c>
      <c r="BE37" s="14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559" priority="98">
      <formula>ABS(D$7-D$10)&gt;=1000</formula>
    </cfRule>
  </conditionalFormatting>
  <conditionalFormatting sqref="E4 E6:E11">
    <cfRule type="expression" dxfId="2558" priority="97">
      <formula>ABS(E$7-E$10)&gt;=1000</formula>
    </cfRule>
  </conditionalFormatting>
  <conditionalFormatting sqref="F4:F11">
    <cfRule type="expression" dxfId="2557" priority="96">
      <formula>ABS(F$7-F$10)&gt;=1000</formula>
    </cfRule>
  </conditionalFormatting>
  <conditionalFormatting sqref="G4:G11">
    <cfRule type="expression" dxfId="2556" priority="95">
      <formula>ABS(G$7-G$10)&gt;=1000</formula>
    </cfRule>
  </conditionalFormatting>
  <conditionalFormatting sqref="H4:H11">
    <cfRule type="expression" dxfId="2555" priority="94">
      <formula>ABS(H$7-H$10)&gt;=1000</formula>
    </cfRule>
  </conditionalFormatting>
  <conditionalFormatting sqref="I4:I11">
    <cfRule type="expression" dxfId="2554" priority="93">
      <formula>ABS(I$7-I$10)&gt;=1000</formula>
    </cfRule>
  </conditionalFormatting>
  <conditionalFormatting sqref="J4:J11">
    <cfRule type="expression" dxfId="2553" priority="92">
      <formula>ABS(J$7-J$10)&gt;=1000</formula>
    </cfRule>
  </conditionalFormatting>
  <conditionalFormatting sqref="K4:K11">
    <cfRule type="expression" dxfId="2552" priority="91">
      <formula>ABS(K$7-K$10)&gt;=1000</formula>
    </cfRule>
  </conditionalFormatting>
  <conditionalFormatting sqref="L4:L11">
    <cfRule type="expression" dxfId="2551" priority="90">
      <formula>ABS(L$7-L$10)&gt;=1000</formula>
    </cfRule>
  </conditionalFormatting>
  <conditionalFormatting sqref="M4 M6:M11">
    <cfRule type="expression" dxfId="2550" priority="89">
      <formula>ABS(M$7-M$10)&gt;=1000</formula>
    </cfRule>
  </conditionalFormatting>
  <conditionalFormatting sqref="N4 N6:N11">
    <cfRule type="expression" dxfId="2549" priority="88">
      <formula>ABS(N$7-N$10)&gt;=1000</formula>
    </cfRule>
  </conditionalFormatting>
  <conditionalFormatting sqref="O4 O6:O11">
    <cfRule type="expression" dxfId="2548" priority="87">
      <formula>ABS(O$7-O$10)&gt;=1000</formula>
    </cfRule>
  </conditionalFormatting>
  <conditionalFormatting sqref="P4 P6:P11">
    <cfRule type="expression" dxfId="2547" priority="86">
      <formula>ABS(P$7-P$10)&gt;=1000</formula>
    </cfRule>
  </conditionalFormatting>
  <conditionalFormatting sqref="Q4:Q11">
    <cfRule type="expression" dxfId="2546" priority="85">
      <formula>ABS(Q$7-Q$10)&gt;=1000</formula>
    </cfRule>
  </conditionalFormatting>
  <conditionalFormatting sqref="R4:R11">
    <cfRule type="expression" dxfId="2545" priority="84">
      <formula>ABS(R$7-R$10)&gt;=1000</formula>
    </cfRule>
  </conditionalFormatting>
  <conditionalFormatting sqref="S4:S11">
    <cfRule type="expression" dxfId="2544" priority="83">
      <formula>ABS(S$7-S$10)&gt;=1000</formula>
    </cfRule>
  </conditionalFormatting>
  <conditionalFormatting sqref="T4:T9 T11">
    <cfRule type="expression" dxfId="2543" priority="82">
      <formula>ABS(T$7-T$10)&gt;=1000</formula>
    </cfRule>
  </conditionalFormatting>
  <conditionalFormatting sqref="U4:U9 U11">
    <cfRule type="expression" dxfId="2542" priority="81">
      <formula>ABS(U$7-U$10)&gt;=1000</formula>
    </cfRule>
  </conditionalFormatting>
  <conditionalFormatting sqref="V4:V9 V11">
    <cfRule type="expression" dxfId="2541" priority="80">
      <formula>ABS(V$7-V$10)&gt;=1000</formula>
    </cfRule>
  </conditionalFormatting>
  <conditionalFormatting sqref="W4:W9 W11">
    <cfRule type="expression" dxfId="2540" priority="79">
      <formula>ABS(W$7-W$10)&gt;=1000</formula>
    </cfRule>
  </conditionalFormatting>
  <conditionalFormatting sqref="X4:X9 X11">
    <cfRule type="expression" dxfId="2539" priority="78">
      <formula>ABS(X$7-X$10)&gt;=1000</formula>
    </cfRule>
  </conditionalFormatting>
  <conditionalFormatting sqref="Y4:Y9 Y11">
    <cfRule type="expression" dxfId="2538" priority="77">
      <formula>ABS(Y$7-Y$10)&gt;=1000</formula>
    </cfRule>
  </conditionalFormatting>
  <conditionalFormatting sqref="Z4:Z11">
    <cfRule type="expression" dxfId="2537" priority="76">
      <formula>ABS(Z$7-Z$10)&gt;=1000</formula>
    </cfRule>
  </conditionalFormatting>
  <conditionalFormatting sqref="AA4:AA11">
    <cfRule type="expression" dxfId="2536" priority="75">
      <formula>ABS(AA$7-AA$10)&gt;=1000</formula>
    </cfRule>
  </conditionalFormatting>
  <conditionalFormatting sqref="AB4:AB11">
    <cfRule type="expression" dxfId="2535" priority="74">
      <formula>ABS(AB$7-AB$10)&gt;=1000</formula>
    </cfRule>
  </conditionalFormatting>
  <conditionalFormatting sqref="AC4 AC6:AC11">
    <cfRule type="expression" dxfId="2534" priority="73">
      <formula>ABS(AC$7-AC$10)&gt;=1000</formula>
    </cfRule>
  </conditionalFormatting>
  <conditionalFormatting sqref="AD4:AD11">
    <cfRule type="expression" dxfId="2533" priority="72">
      <formula>ABS(AD$7-AD$10)&gt;=1000</formula>
    </cfRule>
  </conditionalFormatting>
  <conditionalFormatting sqref="AE4 AE6:AE11">
    <cfRule type="expression" dxfId="2532" priority="71">
      <formula>ABS(AE$7-AE$10)&gt;=1000</formula>
    </cfRule>
  </conditionalFormatting>
  <conditionalFormatting sqref="D13:D20">
    <cfRule type="expression" dxfId="2531" priority="70">
      <formula>ABS(D$16-D$19)&gt;=1000</formula>
    </cfRule>
  </conditionalFormatting>
  <conditionalFormatting sqref="E13:E20">
    <cfRule type="expression" dxfId="2530" priority="69">
      <formula>ABS(E$16-E$19)&gt;=1000</formula>
    </cfRule>
  </conditionalFormatting>
  <conditionalFormatting sqref="F13 F15:F20">
    <cfRule type="expression" dxfId="2529" priority="68">
      <formula>ABS(F$16-F$19)&gt;=1000</formula>
    </cfRule>
  </conditionalFormatting>
  <conditionalFormatting sqref="G13:G20">
    <cfRule type="expression" dxfId="2528" priority="67">
      <formula>ABS(G$16-G$19)&gt;=1000</formula>
    </cfRule>
  </conditionalFormatting>
  <conditionalFormatting sqref="H13:H20">
    <cfRule type="expression" dxfId="2527" priority="66">
      <formula>ABS(H$16-H$19)&gt;=1000</formula>
    </cfRule>
  </conditionalFormatting>
  <conditionalFormatting sqref="I13:I20">
    <cfRule type="expression" dxfId="2526" priority="65">
      <formula>ABS(I$16-I$19)&gt;=1000</formula>
    </cfRule>
  </conditionalFormatting>
  <conditionalFormatting sqref="J13:J20">
    <cfRule type="expression" dxfId="2525" priority="64">
      <formula>ABS(J$16-J$19)&gt;=1000</formula>
    </cfRule>
  </conditionalFormatting>
  <conditionalFormatting sqref="L13:L20">
    <cfRule type="expression" dxfId="2524" priority="63">
      <formula>ABS(L$16-L$19)&gt;=1000</formula>
    </cfRule>
  </conditionalFormatting>
  <conditionalFormatting sqref="M13 M15 M17:M18 M20">
    <cfRule type="expression" dxfId="2523" priority="62">
      <formula>ABS(M$16-M$19)&gt;=1000</formula>
    </cfRule>
  </conditionalFormatting>
  <conditionalFormatting sqref="N13:N20">
    <cfRule type="expression" dxfId="2522" priority="61">
      <formula>ABS(N$16-N$19)&gt;=1000</formula>
    </cfRule>
  </conditionalFormatting>
  <conditionalFormatting sqref="O13:O20">
    <cfRule type="expression" dxfId="2521" priority="60">
      <formula>ABS(O$16-O$19)&gt;=1000</formula>
    </cfRule>
  </conditionalFormatting>
  <conditionalFormatting sqref="P13:P20">
    <cfRule type="expression" dxfId="2520" priority="59">
      <formula>ABS(P$16-P$19)&gt;=1000</formula>
    </cfRule>
  </conditionalFormatting>
  <conditionalFormatting sqref="Q13 Q15:Q20">
    <cfRule type="expression" dxfId="2519" priority="58">
      <formula>ABS(Q$16-Q$19)&gt;=1000</formula>
    </cfRule>
  </conditionalFormatting>
  <conditionalFormatting sqref="R13:R20">
    <cfRule type="expression" dxfId="2518" priority="57">
      <formula>ABS(R$16-R$19)&gt;=1000</formula>
    </cfRule>
  </conditionalFormatting>
  <conditionalFormatting sqref="S13:S20">
    <cfRule type="expression" dxfId="2517" priority="56">
      <formula>ABS(S$16-S$19)&gt;=1000</formula>
    </cfRule>
  </conditionalFormatting>
  <conditionalFormatting sqref="T13:T20">
    <cfRule type="expression" dxfId="2516" priority="55">
      <formula>ABS(T$16-T$19)&gt;=1000</formula>
    </cfRule>
  </conditionalFormatting>
  <conditionalFormatting sqref="U13:U20">
    <cfRule type="expression" dxfId="2515" priority="54">
      <formula>ABS(U$16-U$19)&gt;=1000</formula>
    </cfRule>
  </conditionalFormatting>
  <conditionalFormatting sqref="V13:V20">
    <cfRule type="expression" dxfId="2514" priority="53">
      <formula>ABS(V$16-V$19)&gt;=1000</formula>
    </cfRule>
  </conditionalFormatting>
  <conditionalFormatting sqref="W13 W20 W15:W18">
    <cfRule type="expression" dxfId="2513" priority="52">
      <formula>ABS(W$16-W$19)&gt;=1000</formula>
    </cfRule>
  </conditionalFormatting>
  <conditionalFormatting sqref="X13 X15:X20 Y19">
    <cfRule type="expression" dxfId="2512" priority="51">
      <formula>ABS(X$16-X$19)&gt;=1000</formula>
    </cfRule>
  </conditionalFormatting>
  <conditionalFormatting sqref="Y13 Y15:Y18 Y20">
    <cfRule type="expression" dxfId="2511" priority="50">
      <formula>ABS(Y$16-Y$19)&gt;=1000</formula>
    </cfRule>
  </conditionalFormatting>
  <conditionalFormatting sqref="Z13:Z20">
    <cfRule type="expression" dxfId="2510" priority="49">
      <formula>ABS(Z$16-Z$19)&gt;=1000</formula>
    </cfRule>
  </conditionalFormatting>
  <conditionalFormatting sqref="AA13:AA20">
    <cfRule type="expression" dxfId="2509" priority="48">
      <formula>ABS(AA$16-AA$19)&gt;=1000</formula>
    </cfRule>
  </conditionalFormatting>
  <conditionalFormatting sqref="AB13 AB15:AB20">
    <cfRule type="expression" dxfId="2508" priority="47">
      <formula>ABS(AB$16-AB$19)&gt;=1000</formula>
    </cfRule>
  </conditionalFormatting>
  <conditionalFormatting sqref="AC13 AC15:AC20">
    <cfRule type="expression" dxfId="2507" priority="46">
      <formula>ABS(AC$16-AC$19)&gt;=1000</formula>
    </cfRule>
  </conditionalFormatting>
  <conditionalFormatting sqref="AD13:AD20">
    <cfRule type="expression" dxfId="2506" priority="45">
      <formula>ABS(AD$16-AD$19)&gt;=1000</formula>
    </cfRule>
  </conditionalFormatting>
  <conditionalFormatting sqref="AE13:AE20">
    <cfRule type="expression" dxfId="2505" priority="44">
      <formula>ABS(AE$16-AE$19)&gt;=1000</formula>
    </cfRule>
  </conditionalFormatting>
  <conditionalFormatting sqref="D22:D29">
    <cfRule type="expression" dxfId="2504" priority="43">
      <formula>ABS(D$25-D$28)&gt;=1000</formula>
    </cfRule>
  </conditionalFormatting>
  <conditionalFormatting sqref="E22:E29">
    <cfRule type="expression" dxfId="2503" priority="42">
      <formula>ABS(E$25-E$28)&gt;=1000</formula>
    </cfRule>
  </conditionalFormatting>
  <conditionalFormatting sqref="F22:F29">
    <cfRule type="expression" dxfId="2502" priority="41">
      <formula>ABS(F$25-F$28)&gt;=1000</formula>
    </cfRule>
  </conditionalFormatting>
  <conditionalFormatting sqref="G22:G29">
    <cfRule type="expression" dxfId="2501" priority="40">
      <formula>ABS(G$25-G$28)&gt;=1000</formula>
    </cfRule>
  </conditionalFormatting>
  <conditionalFormatting sqref="H22:H29">
    <cfRule type="expression" dxfId="2500" priority="39">
      <formula>ABS(H$25-H$28)&gt;=1000</formula>
    </cfRule>
  </conditionalFormatting>
  <conditionalFormatting sqref="I22 I24:I29">
    <cfRule type="expression" dxfId="2499" priority="38">
      <formula>ABS(I$25-I$28)&gt;=1000</formula>
    </cfRule>
  </conditionalFormatting>
  <conditionalFormatting sqref="J22:J29 K22">
    <cfRule type="expression" dxfId="2498" priority="37">
      <formula>ABS(J$25-J$28)&gt;=1000</formula>
    </cfRule>
  </conditionalFormatting>
  <conditionalFormatting sqref="K23:K29 L25 L28">
    <cfRule type="expression" dxfId="2497" priority="36">
      <formula>ABS(K$25-K$28)&gt;=1000</formula>
    </cfRule>
  </conditionalFormatting>
  <conditionalFormatting sqref="L22 L26:L27 L29 L24">
    <cfRule type="expression" dxfId="2496" priority="35">
      <formula>ABS(L$25-L$28)&gt;=1000</formula>
    </cfRule>
  </conditionalFormatting>
  <conditionalFormatting sqref="M22:M29">
    <cfRule type="expression" dxfId="2495" priority="34">
      <formula>ABS(M$25-M$28)&gt;=1000</formula>
    </cfRule>
  </conditionalFormatting>
  <conditionalFormatting sqref="N22:N29">
    <cfRule type="expression" dxfId="2494" priority="33">
      <formula>ABS(N$25-N$28)&gt;=1000</formula>
    </cfRule>
  </conditionalFormatting>
  <conditionalFormatting sqref="O22:O29">
    <cfRule type="expression" dxfId="2493" priority="32">
      <formula>ABS(O$25-O$28)&gt;=1000</formula>
    </cfRule>
  </conditionalFormatting>
  <conditionalFormatting sqref="P22:P29">
    <cfRule type="expression" dxfId="2492" priority="31">
      <formula>ABS(P$25-P$28)&gt;=1000</formula>
    </cfRule>
  </conditionalFormatting>
  <conditionalFormatting sqref="Q22:Q29">
    <cfRule type="expression" dxfId="2491" priority="30">
      <formula>ABS(Q$25-Q$28)&gt;=1000</formula>
    </cfRule>
  </conditionalFormatting>
  <conditionalFormatting sqref="R22:R29">
    <cfRule type="expression" dxfId="2490" priority="29">
      <formula>ABS(R$25-R$28)&gt;=1000</formula>
    </cfRule>
  </conditionalFormatting>
  <conditionalFormatting sqref="S22:S29">
    <cfRule type="expression" dxfId="2489" priority="28">
      <formula>ABS(S$25-S$28)&gt;=1000</formula>
    </cfRule>
  </conditionalFormatting>
  <conditionalFormatting sqref="T22:T29">
    <cfRule type="expression" dxfId="2488" priority="27">
      <formula>ABS(T$25-T$28)&gt;=1000</formula>
    </cfRule>
  </conditionalFormatting>
  <conditionalFormatting sqref="U22:U29">
    <cfRule type="expression" dxfId="2487" priority="26">
      <formula>ABS(U$25-U$28)&gt;=1000</formula>
    </cfRule>
  </conditionalFormatting>
  <conditionalFormatting sqref="V22:V29">
    <cfRule type="expression" dxfId="2486" priority="25">
      <formula>ABS(V$25-V$28)&gt;=1000</formula>
    </cfRule>
  </conditionalFormatting>
  <conditionalFormatting sqref="W22:W29">
    <cfRule type="expression" dxfId="2485" priority="24">
      <formula>ABS(W$25-W$28)&gt;=1000</formula>
    </cfRule>
  </conditionalFormatting>
  <conditionalFormatting sqref="X22:X29">
    <cfRule type="expression" dxfId="2484" priority="23">
      <formula>ABS(X$25-X$28)&gt;=1000</formula>
    </cfRule>
  </conditionalFormatting>
  <conditionalFormatting sqref="Y22:Y29">
    <cfRule type="expression" dxfId="2483" priority="22">
      <formula>ABS(Y$25-Y$28)&gt;=1000</formula>
    </cfRule>
  </conditionalFormatting>
  <conditionalFormatting sqref="I23">
    <cfRule type="expression" dxfId="2482" priority="21">
      <formula>ABS(I$25-I$28)&gt;=1000</formula>
    </cfRule>
  </conditionalFormatting>
  <conditionalFormatting sqref="Q14">
    <cfRule type="expression" dxfId="2481" priority="20">
      <formula>ABS(Q$16-Q$19)&gt;=1000</formula>
    </cfRule>
  </conditionalFormatting>
  <conditionalFormatting sqref="W14">
    <cfRule type="expression" dxfId="2480" priority="19">
      <formula>ABS(W$16-W$19)&gt;=1000</formula>
    </cfRule>
  </conditionalFormatting>
  <conditionalFormatting sqref="Y14">
    <cfRule type="expression" dxfId="2479" priority="18">
      <formula>ABS(Y$16-Y$19)&gt;=1000</formula>
    </cfRule>
  </conditionalFormatting>
  <conditionalFormatting sqref="X14">
    <cfRule type="expression" dxfId="2478" priority="17">
      <formula>ABS(X$16-X$19)&gt;=1000</formula>
    </cfRule>
  </conditionalFormatting>
  <conditionalFormatting sqref="T10:Y10">
    <cfRule type="expression" dxfId="2477" priority="16">
      <formula>ABS(T$7-T$10)&gt;=1000</formula>
    </cfRule>
  </conditionalFormatting>
  <conditionalFormatting sqref="W19">
    <cfRule type="expression" dxfId="2476" priority="15">
      <formula>ABS(W$16-W$19)&gt;=1000</formula>
    </cfRule>
  </conditionalFormatting>
  <conditionalFormatting sqref="AC5">
    <cfRule type="expression" dxfId="2475" priority="14">
      <formula>ABS(AC$7-AC$10)&gt;=1000</formula>
    </cfRule>
  </conditionalFormatting>
  <conditionalFormatting sqref="M14">
    <cfRule type="expression" dxfId="2474" priority="13">
      <formula>ABS(M$16-M$19)&gt;=1000</formula>
    </cfRule>
  </conditionalFormatting>
  <conditionalFormatting sqref="M16">
    <cfRule type="expression" dxfId="2473" priority="12">
      <formula>ABS(M$16-M$19)&gt;=1000</formula>
    </cfRule>
  </conditionalFormatting>
  <conditionalFormatting sqref="M19">
    <cfRule type="expression" dxfId="2472" priority="11">
      <formula>ABS(M$16-M$19)&gt;=1000</formula>
    </cfRule>
  </conditionalFormatting>
  <conditionalFormatting sqref="K13:K20">
    <cfRule type="expression" dxfId="2471" priority="10">
      <formula>ABS(K$16-K$19)&gt;=1000</formula>
    </cfRule>
  </conditionalFormatting>
  <conditionalFormatting sqref="E5">
    <cfRule type="expression" dxfId="2470" priority="9">
      <formula>ABS(E$7-E$10)&gt;=1000</formula>
    </cfRule>
  </conditionalFormatting>
  <conditionalFormatting sqref="AB14:AC14">
    <cfRule type="expression" dxfId="2469" priority="8">
      <formula>ABS(AB$16-AB$19)&gt;=1000</formula>
    </cfRule>
  </conditionalFormatting>
  <conditionalFormatting sqref="M5">
    <cfRule type="expression" dxfId="2468" priority="7">
      <formula>ABS(M$7-M$10)&gt;=1000</formula>
    </cfRule>
  </conditionalFormatting>
  <conditionalFormatting sqref="N5">
    <cfRule type="expression" dxfId="2467" priority="6">
      <formula>ABS(N$7-N$10)&gt;=1000</formula>
    </cfRule>
  </conditionalFormatting>
  <conditionalFormatting sqref="O5">
    <cfRule type="expression" dxfId="2466" priority="5">
      <formula>ABS(O$7-O$10)&gt;=1000</formula>
    </cfRule>
  </conditionalFormatting>
  <conditionalFormatting sqref="P5">
    <cfRule type="expression" dxfId="2465" priority="4">
      <formula>ABS(P$7-P$10)&gt;=1000</formula>
    </cfRule>
  </conditionalFormatting>
  <conditionalFormatting sqref="L23">
    <cfRule type="expression" dxfId="2464" priority="3">
      <formula>ABS(L$25-L$28)&gt;=1000</formula>
    </cfRule>
  </conditionalFormatting>
  <conditionalFormatting sqref="F14">
    <cfRule type="expression" dxfId="2463" priority="2">
      <formula>ABS(F$16-F$19)&gt;=1000</formula>
    </cfRule>
  </conditionalFormatting>
  <conditionalFormatting sqref="AE5">
    <cfRule type="expression" dxfId="2462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19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15">
    <pageSetUpPr fitToPage="1"/>
  </sheetPr>
  <dimension ref="A1:CU223"/>
  <sheetViews>
    <sheetView view="pageBreakPreview" zoomScale="80" zoomScaleNormal="100" zoomScaleSheetLayoutView="80" workbookViewId="0">
      <selection activeCell="D15" sqref="D1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45903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45" t="s" ph="1">
        <v>177</v>
      </c>
      <c r="D6" s="71">
        <v>6427</v>
      </c>
      <c r="E6" s="71">
        <v>8978</v>
      </c>
      <c r="F6" s="71">
        <v>6840</v>
      </c>
      <c r="G6" s="71">
        <v>8678</v>
      </c>
      <c r="H6" s="71">
        <v>8929</v>
      </c>
      <c r="I6" s="71">
        <v>29.11</v>
      </c>
      <c r="J6" s="71">
        <v>7.01</v>
      </c>
      <c r="K6" s="71">
        <v>85.27</v>
      </c>
      <c r="L6" s="71">
        <v>35.17</v>
      </c>
      <c r="M6" s="71">
        <v>2802</v>
      </c>
      <c r="N6" s="71">
        <v>6102</v>
      </c>
      <c r="O6" s="71">
        <v>1716</v>
      </c>
      <c r="P6" s="71">
        <v>5632</v>
      </c>
      <c r="Q6" s="71">
        <v>6195</v>
      </c>
      <c r="R6" s="71">
        <v>7116</v>
      </c>
      <c r="S6" s="71">
        <v>2978</v>
      </c>
      <c r="T6" s="71">
        <v>4340</v>
      </c>
      <c r="U6" s="71">
        <v>0</v>
      </c>
      <c r="V6" s="71">
        <v>0</v>
      </c>
      <c r="W6" s="71">
        <v>0</v>
      </c>
      <c r="X6" s="71">
        <v>0</v>
      </c>
      <c r="Y6" s="71">
        <v>1716</v>
      </c>
      <c r="Z6" s="71">
        <v>1969</v>
      </c>
      <c r="AA6" s="71">
        <v>170</v>
      </c>
      <c r="AB6" s="71">
        <v>1086</v>
      </c>
      <c r="AC6" s="71">
        <v>1174</v>
      </c>
      <c r="AD6" s="71">
        <v>3816</v>
      </c>
      <c r="AE6" s="71">
        <v>4170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201181.29211953</v>
      </c>
      <c r="E7" s="73" ph="1">
        <f>E6*51.53*LOOKUP(E8,密度!$A$2:$A$50,密度!$B$2:$B$50)</f>
        <v>358681.954402</v>
      </c>
      <c r="F7" s="73" ph="1">
        <f>F6*33.183*LOOKUP(F8,密度!$A$2:$A$50,密度!$C$2:$C$50)</f>
        <v>251348.48272799997</v>
      </c>
      <c r="G7" s="73" ph="1">
        <f xml:space="preserve"> (G6+2)*51.53*LOOKUP(G8,密度!$A$2:$A$50,密度!$B$2:$B$50)</f>
        <v>347536.87080000003</v>
      </c>
      <c r="H7" s="73" ph="1">
        <f>(H6)*51.53*LOOKUP(H8,密度!$A$2:$A$50,密度!$B$2:$B$50)</f>
        <v>357506.53448999999</v>
      </c>
      <c r="I7" s="73" ph="1">
        <f>I6*290.8*1.0267</f>
        <v>8691.2085195999989</v>
      </c>
      <c r="J7" s="73" ph="1">
        <f>J6*290.8*0.7892</f>
        <v>1608.7905136000002</v>
      </c>
      <c r="K7" s="73" ph="1">
        <f>K6*290.8*1.1126</f>
        <v>27588.603701600001</v>
      </c>
      <c r="L7" s="73" ph="1">
        <f>L6*290.8*0.777</f>
        <v>7946.7177720000018</v>
      </c>
      <c r="M7" s="73" ph="1">
        <f>M6*33.183*LOOKUP(M8,密度!$A$2:$A$50,密度!$D$2:$D$50)</f>
        <v>95107.979741399991</v>
      </c>
      <c r="N7" s="73" ph="1">
        <f>N6*33.183*LOOKUP(N8,密度!$A$2:$A$50,密度!$E$2:$E$50)</f>
        <v>157673.2520142</v>
      </c>
      <c r="O7" s="73" ph="1">
        <f>O6*20.428*LOOKUP(O8,密度!$A$2:$A$50,密度!$C$2:$C$50)</f>
        <v>38665.056144000002</v>
      </c>
      <c r="P7" s="73" ph="1">
        <f>P6*51.53*LOOKUP(P8,密度!$A$2:$A$50,密度!$B$2:$B$50)</f>
        <v>225498.57792000001</v>
      </c>
      <c r="Q7" s="73" ph="1">
        <f>Q6*1.5*1.5*3.1416*LOOKUP(W8,密度!$A$2:$A$50,密度!$L$2:$L$50)</f>
        <v>40943.628495000004</v>
      </c>
      <c r="R7" s="73" ph="1">
        <f>R6*1.5*1.5*3.1416*LOOKUP(R8,密度!$A$2:$A$50,密度!$L$2:$L$50)</f>
        <v>46779.146568000004</v>
      </c>
      <c r="S7" s="73" ph="1">
        <f>S6*1.5*1.5*3.1416*LOOKUP(S8,密度!$A$2:$A$50,密度!$L$2:$L$50)</f>
        <v>19766.223061199998</v>
      </c>
      <c r="T7" s="73" ph="1">
        <f>T6*1.5*1.5*3.1416*LOOKUP(T8,密度!$A$2:$A$50,密度!$L$2:$L$50)</f>
        <v>28806.382835999997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11329.156238400001</v>
      </c>
      <c r="Z7" s="73" ph="1">
        <f>Z6*33.183*LOOKUP(Z8,密度!$A$2:$A$50,密度!$L$2:$L$50)</f>
        <v>61155.738072</v>
      </c>
      <c r="AA7" s="73" ph="1">
        <f>AA6*33.183*LOOKUP(AA8,密度!$A$2:$A$50,密度!$D$2:$D$50)</f>
        <v>5781.0095279999996</v>
      </c>
      <c r="AB7" s="73" ph="1">
        <f>AB6*20.428*LOOKUP(AB8,密度!$A$2:$A$50,密度!$D$2:$D$50)</f>
        <v>22819.293508800001</v>
      </c>
      <c r="AC7" s="73" ph="1">
        <f>AC6*51.53*LOOKUP(AC8,密度!$A$2:$A$50,密度!$Q$2:$Q$50)</f>
        <v>57274.191322800005</v>
      </c>
      <c r="AD7" s="73" ph="1">
        <f>AD6*20.428*LOOKUP(AD8,密度!$A$2:$A$50,密度!$V$2:$V$50)</f>
        <v>74648.030284800014</v>
      </c>
      <c r="AE7" s="73" ph="1">
        <f>AE6*20.428</f>
        <v>85184.760000000009</v>
      </c>
    </row>
    <row r="8" spans="1:99" ph="1">
      <c r="B8" s="182" ph="1"/>
      <c r="C8" s="68" t="s" ph="1">
        <v>179</v>
      </c>
      <c r="D8" s="74">
        <v>30</v>
      </c>
      <c r="E8" s="74">
        <v>30</v>
      </c>
      <c r="F8" s="74">
        <v>27</v>
      </c>
      <c r="G8" s="74">
        <v>28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29</v>
      </c>
      <c r="O8" s="74">
        <v>32</v>
      </c>
      <c r="P8" s="74">
        <v>28</v>
      </c>
      <c r="Q8" s="74">
        <v>28</v>
      </c>
      <c r="R8" s="74">
        <v>32</v>
      </c>
      <c r="S8" s="74">
        <v>23</v>
      </c>
      <c r="T8" s="74">
        <v>23</v>
      </c>
      <c r="U8" s="74">
        <v>27</v>
      </c>
      <c r="V8" s="74">
        <v>28</v>
      </c>
      <c r="W8" s="74">
        <v>27</v>
      </c>
      <c r="X8" s="74">
        <v>19</v>
      </c>
      <c r="Y8" s="74">
        <v>28</v>
      </c>
      <c r="Z8" s="74">
        <v>26</v>
      </c>
      <c r="AA8" s="74">
        <v>27</v>
      </c>
      <c r="AB8" s="74">
        <v>23</v>
      </c>
      <c r="AC8" s="74">
        <v>25</v>
      </c>
      <c r="AD8" s="74">
        <v>27</v>
      </c>
      <c r="AE8" s="74">
        <v>32</v>
      </c>
    </row>
    <row r="9" spans="1:99" ht="26.4" ph="1">
      <c r="B9" s="182" ph="1">
        <v>0.66666666666666663</v>
      </c>
      <c r="C9" s="145" t="s" ph="1">
        <v>180</v>
      </c>
      <c r="D9" s="71">
        <v>6429</v>
      </c>
      <c r="E9" s="71">
        <v>8978</v>
      </c>
      <c r="F9" s="71">
        <v>6845</v>
      </c>
      <c r="G9" s="71">
        <v>8685</v>
      </c>
      <c r="H9" s="71">
        <v>8936</v>
      </c>
      <c r="I9" s="71">
        <v>29.08</v>
      </c>
      <c r="J9" s="71">
        <v>7.03</v>
      </c>
      <c r="K9" s="71">
        <v>85.16</v>
      </c>
      <c r="L9" s="71">
        <v>36.130000000000003</v>
      </c>
      <c r="M9" s="71">
        <v>2800</v>
      </c>
      <c r="N9" s="71">
        <v>6108</v>
      </c>
      <c r="O9" s="71">
        <v>833</v>
      </c>
      <c r="P9" s="71">
        <v>5465</v>
      </c>
      <c r="Q9" s="71">
        <v>4006</v>
      </c>
      <c r="R9" s="71">
        <v>7125</v>
      </c>
      <c r="S9" s="71">
        <v>5657</v>
      </c>
      <c r="T9" s="71">
        <v>6536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2762</v>
      </c>
      <c r="AA9" s="71">
        <v>703</v>
      </c>
      <c r="AB9" s="71">
        <v>1084</v>
      </c>
      <c r="AC9" s="71">
        <v>1494</v>
      </c>
      <c r="AD9" s="71">
        <v>4051</v>
      </c>
      <c r="AE9" s="71">
        <v>4060</v>
      </c>
    </row>
    <row r="10" spans="1:99" s="72" customFormat="1" ht="22.2" ph="1">
      <c r="B10" s="182" ph="1"/>
      <c r="C10" s="145" t="s" ph="1">
        <v>178</v>
      </c>
      <c r="D10" s="73" ph="1">
        <f>D9*33.183*LOOKUP(D11,密度!$A$2:$A$50,密度!$Q$2:$Q$50)</f>
        <v>201083.89702806002</v>
      </c>
      <c r="E10" s="73" ph="1">
        <f>E9*51.53*LOOKUP(E11,密度!$A$2:$A$50,密度!$B$2:$B$50)</f>
        <v>357479.09991800005</v>
      </c>
      <c r="F10" s="73" ph="1">
        <f>F9*33.183*LOOKUP(F11,密度!$A$2:$A$50,密度!$C$2:$C$50)</f>
        <v>251191.51054650004</v>
      </c>
      <c r="G10" s="73" ph="1">
        <f xml:space="preserve"> (G9+2)*51.53*LOOKUP(G11,密度!$A$2:$A$50,密度!$B$2:$B$50)</f>
        <v>345489.40869800001</v>
      </c>
      <c r="H10" s="73" ph="1">
        <f>(H9)*51.53*LOOKUP(H11,密度!$A$2:$A$50,密度!$B$2:$B$50)</f>
        <v>355392.35134400002</v>
      </c>
      <c r="I10" s="73" ph="1">
        <f>I9*290.8*1.0267</f>
        <v>8682.2515887999998</v>
      </c>
      <c r="J10" s="73" ph="1">
        <f>J9*290.8*0.7892</f>
        <v>1613.3805008000002</v>
      </c>
      <c r="K10" s="73" ph="1">
        <f>K9*290.8*1.1126</f>
        <v>27553.013852799999</v>
      </c>
      <c r="L10" s="73" ph="1">
        <f>L9*290.8*0.777</f>
        <v>8163.6313080000009</v>
      </c>
      <c r="M10" s="73" ph="1">
        <f>M9*33.183*LOOKUP(M11,密度!$A$2:$A$50,密度!$D$2:$D$50)</f>
        <v>94714.900559999995</v>
      </c>
      <c r="N10" s="73" ph="1">
        <f>N9*33.183*LOOKUP(N11,密度!$A$2:$A$50,密度!$E$2:$E$50)</f>
        <v>157372.25565779998</v>
      </c>
      <c r="O10" s="73" ph="1">
        <f>O9*20.428*LOOKUP(O11,密度!$A$2:$A$50,密度!$C$2:$C$50)</f>
        <v>18626.287170400003</v>
      </c>
      <c r="P10" s="73" ph="1">
        <f>P9*51.53*LOOKUP(P11,密度!$A$2:$A$50,密度!$B$2:$B$50)</f>
        <v>217826.45657499999</v>
      </c>
      <c r="Q10" s="73" ph="1">
        <f>Q9*1.5*1.5*3.1416*LOOKUP(W11,密度!$A$2:$A$50,密度!$L$2:$L$50)</f>
        <v>26164.733918400001</v>
      </c>
      <c r="R10" s="73" ph="1">
        <f>R9*1.5*1.5*3.1416*LOOKUP(R11,密度!$A$2:$A$50,密度!$L$2:$L$50)</f>
        <v>46687.219425000003</v>
      </c>
      <c r="S10" s="73" ph="1">
        <f>S9*1.5*1.5*3.1416*LOOKUP(S11,密度!$A$2:$A$50,密度!$L$2:$L$50)</f>
        <v>37467.884777400002</v>
      </c>
      <c r="T10" s="73" ph="1">
        <f>T9*1.5*1.5*3.1416*LOOKUP(T11,密度!$A$2:$A$50,密度!$L$2:$L$50)</f>
        <v>43289.746315199998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85602.450563999999</v>
      </c>
      <c r="AA10" s="73" ph="1">
        <f>AA9*33.183*LOOKUP(AA11,密度!$A$2:$A$50,密度!$D$2:$D$50)</f>
        <v>23780.205390600004</v>
      </c>
      <c r="AB10" s="73" ph="1">
        <f>AB9*20.428*LOOKUP(AB11,密度!$A$2:$A$50,密度!$D$2:$D$50)</f>
        <v>22715.265961600002</v>
      </c>
      <c r="AC10" s="73" ph="1">
        <f>AC9*51.53*LOOKUP(AC11,密度!$A$2:$A$50,密度!$Q$2:$Q$50)</f>
        <v>72623.033580600008</v>
      </c>
      <c r="AD10" s="73" ph="1">
        <f>AD9*20.428*LOOKUP(AD11,密度!$A$2:$A$50,密度!$V$2:$V$50)</f>
        <v>79245.06569280001</v>
      </c>
      <c r="AE10" s="73" ph="1">
        <f>AE9*20.428</f>
        <v>82937.680000000008</v>
      </c>
    </row>
    <row r="11" spans="1:99" ph="1">
      <c r="A11" s="64" t="s" ph="1">
        <v>162</v>
      </c>
      <c r="B11" s="182" ph="1"/>
      <c r="C11" s="145" t="s" ph="1">
        <v>179</v>
      </c>
      <c r="D11" s="74">
        <v>31</v>
      </c>
      <c r="E11" s="74">
        <v>33</v>
      </c>
      <c r="F11" s="74">
        <v>29</v>
      </c>
      <c r="G11" s="74">
        <v>34</v>
      </c>
      <c r="H11" s="74">
        <v>34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31</v>
      </c>
      <c r="O11" s="74">
        <v>40</v>
      </c>
      <c r="P11" s="74">
        <v>32</v>
      </c>
      <c r="Q11" s="74">
        <v>32</v>
      </c>
      <c r="R11" s="74">
        <v>35</v>
      </c>
      <c r="S11" s="74">
        <v>25</v>
      </c>
      <c r="T11" s="74">
        <v>25</v>
      </c>
      <c r="U11" s="74">
        <v>34</v>
      </c>
      <c r="V11" s="74">
        <v>28</v>
      </c>
      <c r="W11" s="74">
        <v>38</v>
      </c>
      <c r="X11" s="74">
        <v>27</v>
      </c>
      <c r="Y11" s="74">
        <v>30</v>
      </c>
      <c r="Z11" s="74">
        <v>28</v>
      </c>
      <c r="AA11" s="74">
        <v>33</v>
      </c>
      <c r="AB11" s="74">
        <v>26</v>
      </c>
      <c r="AC11" s="74">
        <v>30</v>
      </c>
      <c r="AD11" s="74">
        <v>34</v>
      </c>
      <c r="AE11" s="74">
        <v>34</v>
      </c>
    </row>
    <row r="12" spans="1:99" ht="9.9" customHeight="1" ph="1"/>
    <row r="13" spans="1:99" s="72" customFormat="1" ht="29.25" customHeight="1" ph="1">
      <c r="B13" s="190" t="s" ph="1">
        <v>37</v>
      </c>
      <c r="C13" s="14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77" t="s" ph="1">
        <v>636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45" t="s" ph="1">
        <v>177</v>
      </c>
      <c r="D15" s="78">
        <v>3556</v>
      </c>
      <c r="E15" s="78">
        <v>2260</v>
      </c>
      <c r="F15" s="78">
        <v>3008</v>
      </c>
      <c r="G15" s="78">
        <v>3436</v>
      </c>
      <c r="H15" s="78">
        <v>0</v>
      </c>
      <c r="I15" s="78">
        <v>3930</v>
      </c>
      <c r="J15" s="78">
        <v>197</v>
      </c>
      <c r="K15" s="78">
        <v>3106</v>
      </c>
      <c r="L15" s="78">
        <v>5356</v>
      </c>
      <c r="M15" s="78">
        <v>6696</v>
      </c>
      <c r="N15" s="78">
        <v>5065</v>
      </c>
      <c r="O15" s="78">
        <v>6860</v>
      </c>
      <c r="P15" s="78">
        <v>3382</v>
      </c>
      <c r="Q15" s="78">
        <v>5268</v>
      </c>
      <c r="R15" s="78">
        <v>2476</v>
      </c>
      <c r="S15" s="78">
        <v>1653</v>
      </c>
      <c r="T15" s="78">
        <v>5228</v>
      </c>
      <c r="U15" s="78">
        <v>2598</v>
      </c>
      <c r="V15" s="78">
        <v>850</v>
      </c>
      <c r="W15" s="71">
        <v>5386</v>
      </c>
      <c r="X15" s="78">
        <v>1285</v>
      </c>
      <c r="Y15" s="106">
        <v>-9906</v>
      </c>
      <c r="Z15" s="78">
        <v>0</v>
      </c>
      <c r="AA15" s="78">
        <v>6126</v>
      </c>
      <c r="AB15" s="78" ph="1">
        <v>1097</v>
      </c>
      <c r="AC15" s="78" ph="1">
        <v>0</v>
      </c>
      <c r="AD15" s="78">
        <v>84.45</v>
      </c>
      <c r="AE15" s="78">
        <v>51.98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45" t="s" ph="1">
        <v>178</v>
      </c>
      <c r="D16" s="73" ph="1">
        <f>D15*7.0686*LOOKUP(D17,密度!$A$2:$A$50,密度!$L$2:$L$50)</f>
        <v>23426.697571199998</v>
      </c>
      <c r="E16" s="73" ph="1">
        <f>E15*7.0686*LOOKUP(E17,密度!$A$2:$A$50,密度!$L$2:$L$50)</f>
        <v>14888.733552000002</v>
      </c>
      <c r="F16" s="73" ph="1">
        <f>F15*9.0746*LOOKUP(F17,密度!$A$2:$A$50,密度!$L$2:$L$50)</f>
        <v>25494.834611200004</v>
      </c>
      <c r="G16" s="73" ph="1">
        <f>G15*9.0746*LOOKUP(G17,密度!$A$2:$A$50,密度!$B$2:$B$50)</f>
        <v>24227.1129912</v>
      </c>
      <c r="H16" s="73" ph="1">
        <f>H15*9.0746*LOOKUP(H17,密度!$A$2:$A$50,密度!$L$2:$L$50)</f>
        <v>0</v>
      </c>
      <c r="I16" s="73" ph="1">
        <f>I15*9.0746*LOOKUP(I17,密度!$A$2:$A$50,密度!$U$2:$U$50)</f>
        <v>36483.431094</v>
      </c>
      <c r="J16" s="73" ph="1">
        <f>J15*9.0746*LOOKUP(J17,密度!$A$2:$A$50,密度!$L$2:$L$50)</f>
        <v>1669.7082508000001</v>
      </c>
      <c r="K16" s="73" ph="1">
        <f>K15*9.0746*LOOKUP(K17,密度!$A$2:$A$50,密度!$C$2:$C$50)</f>
        <v>31190.304030160001</v>
      </c>
      <c r="L16" s="73" ph="1">
        <f>L15*9.0746*LOOKUP(L17,密度!$A$2:$A$50,密度!$E$2:$E$50)</f>
        <v>37847.59030312</v>
      </c>
      <c r="M16" s="73" ph="1">
        <f>M15*9.0746*LOOKUP(M17,密度!$A$2:$A$50,密度!$M$2:$M$50)</f>
        <v>52925.027313600003</v>
      </c>
      <c r="N16" s="73" ph="1">
        <f>N15*9.0746*LOOKUP(N17,密度!$A$2:$A$50,密度!$M$2:$M$50)</f>
        <v>40130.163461900003</v>
      </c>
      <c r="O16" s="73" ph="1">
        <f>O15*9.0746*LOOKUP(O17,密度!$A$2:$A$50,密度!$G$2:$G$50)</f>
        <v>59506.453560399998</v>
      </c>
      <c r="P16" s="73" ph="1">
        <f ca="1">P15*9.0746*LOOKUP(P17,密度!$A$2:$A$51,密度!$Q$2:$Q$50)</f>
        <v>28969.492235996004</v>
      </c>
      <c r="Q16" s="73" ph="1">
        <f>Q15*9.0746*LOOKUP(Q17,密度!$A$2:$A$50,密度!$Q$2:$Q$50)</f>
        <v>45095.883858023997</v>
      </c>
      <c r="R16" s="73" ph="1">
        <f>MAX(R15*9.0746*LOOKUP(R17,密度!$A$2:$A$50,密度!$B$2:$B$50),0)</f>
        <v>17440.212391520003</v>
      </c>
      <c r="S16" s="73" ph="1">
        <f>S15*9.0746*LOOKUP(S17,密度!$A$2:$A$50,密度!$Q$2:$Q$50)</f>
        <v>14150.246016953999</v>
      </c>
      <c r="T16" s="73" ph="1">
        <f>T15*9.0746*LOOKUP(T17,密度!$A$2:$A$50,密度!$O$2:$O$50)</f>
        <v>43931.300148800008</v>
      </c>
      <c r="U16" s="73" ph="1">
        <f>U15*9.0746*LOOKUP(U17,密度!$A$2:$A$50,密度!$H$2:$H$50)</f>
        <v>21453.987828000001</v>
      </c>
      <c r="V16" s="73" ph="1">
        <f>MAX(5600*LOOKUP(V17,密度!$A$2:$A$50,密度!$Q$2:$Q$50)+V15*9.0476*LOOKUP(V17,密度!$A$2:$A$50,密度!$Q$2:$Q$50),0)</f>
        <v>12537.289631799998</v>
      </c>
      <c r="W16" s="73" ph="1">
        <f>MAX(5600*LOOKUP(W17,密度!$A$2:$A$50,密度!$Q$2:$Q$50)+W15*9.0476*LOOKUP(W17,密度!$A$2:$A$50,密度!$Q$2:$Q$50),0)</f>
        <v>51251.471328088002</v>
      </c>
      <c r="X16" s="73" ph="1">
        <f>MAX(5600*LOOKUP(X17,密度!$A$2:$A$50,密度!$I$2:$I$50)+X15*9.0476*LOOKUP(X17,密度!$A$2:$A$50,密度!$I$2:$I$50),0)</f>
        <v>17856.6436756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43194.2066892</v>
      </c>
      <c r="AB16" s="73" ph="1">
        <f>AB15*9.0746*LOOKUP(AB17,密度!$A$2:$A$50,密度!$L$2:$L$50)</f>
        <v>9297.8170107999995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18909.9978696</v>
      </c>
      <c r="AE16" s="73" ph="1">
        <f>AE15*268.68*LOOKUP(AE17,密度!$A$2:$A$50,密度!B2:B50)+IF(AE15&lt;=0,0,1566*LOOKUP(AE17,密度!$A$2:$A$50,密度!B2:B50))</f>
        <v>12108.73659744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30</v>
      </c>
      <c r="E17" s="74">
        <v>30</v>
      </c>
      <c r="F17" s="74">
        <v>28</v>
      </c>
      <c r="G17" s="74">
        <v>28</v>
      </c>
      <c r="H17" s="74">
        <v>23</v>
      </c>
      <c r="I17" s="74">
        <v>27</v>
      </c>
      <c r="J17" s="74">
        <v>28</v>
      </c>
      <c r="K17" s="74">
        <v>28</v>
      </c>
      <c r="L17" s="74">
        <v>29</v>
      </c>
      <c r="M17" s="74">
        <v>29</v>
      </c>
      <c r="N17" s="74">
        <v>27</v>
      </c>
      <c r="O17" s="74">
        <v>29</v>
      </c>
      <c r="P17" s="74">
        <v>29</v>
      </c>
      <c r="Q17" s="74">
        <v>30</v>
      </c>
      <c r="R17" s="74">
        <v>29</v>
      </c>
      <c r="S17" s="74">
        <v>30</v>
      </c>
      <c r="T17" s="74">
        <v>29</v>
      </c>
      <c r="U17" s="74">
        <v>30</v>
      </c>
      <c r="V17" s="74">
        <v>30</v>
      </c>
      <c r="W17" s="74">
        <v>30</v>
      </c>
      <c r="X17" s="74">
        <v>30</v>
      </c>
      <c r="Y17" s="108">
        <v>30</v>
      </c>
      <c r="Z17" s="74">
        <v>32</v>
      </c>
      <c r="AA17" s="74">
        <v>28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3696</v>
      </c>
      <c r="E18" s="71">
        <v>83</v>
      </c>
      <c r="F18" s="71">
        <v>3003</v>
      </c>
      <c r="G18" s="71">
        <v>3473</v>
      </c>
      <c r="H18" s="71">
        <v>0</v>
      </c>
      <c r="I18" s="71">
        <v>3933</v>
      </c>
      <c r="J18" s="71">
        <v>209</v>
      </c>
      <c r="K18" s="71">
        <v>3106</v>
      </c>
      <c r="L18" s="71">
        <v>5353</v>
      </c>
      <c r="M18" s="71">
        <v>5768</v>
      </c>
      <c r="N18" s="71">
        <v>3048</v>
      </c>
      <c r="O18" s="71">
        <v>6867</v>
      </c>
      <c r="P18" s="71">
        <v>3387</v>
      </c>
      <c r="Q18" s="71">
        <v>5275</v>
      </c>
      <c r="R18" s="71">
        <v>4861</v>
      </c>
      <c r="S18" s="71">
        <v>1657</v>
      </c>
      <c r="T18" s="71">
        <v>5233</v>
      </c>
      <c r="U18" s="71">
        <v>2599</v>
      </c>
      <c r="V18" s="71">
        <v>850</v>
      </c>
      <c r="W18" s="71">
        <v>5386</v>
      </c>
      <c r="X18" s="71">
        <v>1285</v>
      </c>
      <c r="Y18" s="109">
        <v>-9906</v>
      </c>
      <c r="Z18" s="71">
        <v>0</v>
      </c>
      <c r="AA18" s="71">
        <v>6133</v>
      </c>
      <c r="AB18" s="71">
        <v>1097</v>
      </c>
      <c r="AC18" s="71">
        <v>0</v>
      </c>
      <c r="AD18" s="71">
        <v>53.69</v>
      </c>
      <c r="AE18" s="71">
        <v>84.64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45" t="s" ph="1">
        <v>178</v>
      </c>
      <c r="D19" s="73" ph="1">
        <f>D18*7.0686*LOOKUP(D20,密度!$A$2:$A$50,密度!$L$2:$L$50)</f>
        <v>24296.757408000001</v>
      </c>
      <c r="E19" s="73" ph="1">
        <f>E18*7.0686*LOOKUP(E20,密度!$A$2:$A$50,密度!$L$2:$L$50)</f>
        <v>545.62523400000009</v>
      </c>
      <c r="F19" s="73" ph="1">
        <f>F18*9.0746*LOOKUP(F20,密度!$A$2:$A$50,密度!$L$2:$L$50)</f>
        <v>25370.703157799999</v>
      </c>
      <c r="G19" s="73" ph="1">
        <f>G18*9.0746*LOOKUP(G20,密度!$A$2:$A$50,密度!$B$2:$B$50)</f>
        <v>24434.421320739999</v>
      </c>
      <c r="H19" s="73" ph="1">
        <f>H18*9.0746*LOOKUP(H20,密度!$A$2:$A$50,密度!$L$2:$L$50)</f>
        <v>0</v>
      </c>
      <c r="I19" s="73" ph="1">
        <f>I18*9.0746*LOOKUP(I20,密度!$A$2:$A$50,密度!$U$2:$U$50)</f>
        <v>36368.519434199996</v>
      </c>
      <c r="J19" s="73" ph="1">
        <f>J18*9.0746*LOOKUP(J20,密度!$A$2:$A$50,密度!$L$2:$L$50)</f>
        <v>1765.7265934000002</v>
      </c>
      <c r="K19" s="73" ph="1">
        <f>K18*9.0746*LOOKUP(K20,密度!$A$2:$A$50,密度!$C$2:$C$50)</f>
        <v>31119.839761160005</v>
      </c>
      <c r="L19" s="73" ph="1">
        <f>L18*9.0746*LOOKUP(L20,密度!$A$2:$A$50,密度!$E$2:$E$50)</f>
        <v>37772.957162879997</v>
      </c>
      <c r="M19" s="73" ph="1">
        <f>M18*9.0746*LOOKUP(M20,密度!$A$2:$A$50,密度!$M$2:$M$50)</f>
        <v>45532.560506720001</v>
      </c>
      <c r="N19" s="73" ph="1">
        <f>N18*9.0746*LOOKUP(N20,密度!$A$2:$A$50,密度!$M$2:$M$50)</f>
        <v>24118.980057599998</v>
      </c>
      <c r="O19" s="73" ph="1">
        <f>O18*9.0746*LOOKUP(O20,密度!$A$2:$A$50,密度!$G$2:$G$50)</f>
        <v>59492.396097539997</v>
      </c>
      <c r="P19" s="73" ph="1">
        <f ca="1">P18*9.0746*LOOKUP(P20,密度!$A$2:$A$51,密度!$Q$2:$Q$50)</f>
        <v>28970.828017116</v>
      </c>
      <c r="Q19" s="73" ph="1">
        <f>Q18*9.0746*LOOKUP(Q20,密度!$A$2:$A$50,密度!$Q$2:$Q$50)</f>
        <v>45087.354278499995</v>
      </c>
      <c r="R19" s="73" ph="1">
        <f>MAX(R18*9.0746*LOOKUP(R20,密度!$A$2:$A$50,密度!$B$2:$B$50),0)</f>
        <v>34160.046736640004</v>
      </c>
      <c r="S19" s="73" ph="1">
        <f>S18*9.0746*LOOKUP(S20,密度!$A$2:$A$50,密度!$Q$2:$Q$50)</f>
        <v>14162.985031179998</v>
      </c>
      <c r="T19" s="73" ph="1">
        <f>T18*9.0746*LOOKUP(T20,密度!$A$2:$A$50,密度!$O$2:$O$50)</f>
        <v>43821.355925039999</v>
      </c>
      <c r="U19" s="73" ph="1">
        <f>U18*9.0746*LOOKUP(U20,密度!$A$2:$A$50,密度!$H$2:$H$50)</f>
        <v>21416.962734032</v>
      </c>
      <c r="V19" s="73" ph="1">
        <f>MAX(5600*LOOKUP(V20,密度!$A$2:$A$50,密度!$Q$2:$Q$50)+V18*9.0476*LOOKUP(V20,密度!$A$2:$A$50,密度!$Q$2:$Q$50),0)</f>
        <v>12509.645474999999</v>
      </c>
      <c r="W19" s="73" ph="1">
        <f>MAX(5600*LOOKUP(W20,密度!$A$2:$A$50,密度!$Q$2:$Q$50)+W18*9.0476*LOOKUP(W20,密度!$A$2:$A$50,密度!$Q$2:$Q$50),0)</f>
        <v>51102.606104424005</v>
      </c>
      <c r="X19" s="73" ph="1">
        <f>MAX(5600*LOOKUP(X20,密度!$A$2:$A$50,密度!$I$2:$I$50)+X18*9.0476*LOOKUP(X20,密度!$A$2:$A$50,密度!$I$2:$I$50),0)</f>
        <v>17818.746110399999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43148.950751540004</v>
      </c>
      <c r="AB19" s="73" ph="1">
        <f>AB18*9.0746*LOOKUP(AB20,密度!$A$2:$A$50,密度!$L$2:$L$50)</f>
        <v>9228.1331573999996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12425.340488399999</v>
      </c>
      <c r="AE19" s="73" ph="1">
        <f>AE18*268.68*LOOKUP(AE20,密度!$A$2:$A$50,密度!B5:B53)+IF(AE18&lt;=0,0,1566*LOOKUP(AE20,密度!$A$2:$A$50,密度!B5:B53))</f>
        <v>18886.597430400001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32</v>
      </c>
      <c r="E20" s="81">
        <v>32</v>
      </c>
      <c r="F20" s="81">
        <v>31</v>
      </c>
      <c r="G20" s="81">
        <v>30</v>
      </c>
      <c r="H20" s="81">
        <v>30</v>
      </c>
      <c r="I20" s="81">
        <v>31</v>
      </c>
      <c r="J20" s="81">
        <v>31</v>
      </c>
      <c r="K20" s="81">
        <v>31</v>
      </c>
      <c r="L20" s="81">
        <v>30</v>
      </c>
      <c r="M20" s="81">
        <v>30</v>
      </c>
      <c r="N20" s="81">
        <v>28</v>
      </c>
      <c r="O20" s="81">
        <v>30</v>
      </c>
      <c r="P20" s="81">
        <v>31</v>
      </c>
      <c r="Q20" s="81">
        <v>32</v>
      </c>
      <c r="R20" s="81">
        <v>31</v>
      </c>
      <c r="S20" s="81">
        <v>32</v>
      </c>
      <c r="T20" s="81">
        <v>31</v>
      </c>
      <c r="U20" s="81">
        <v>32</v>
      </c>
      <c r="V20" s="81">
        <v>33</v>
      </c>
      <c r="W20" s="81">
        <v>34</v>
      </c>
      <c r="X20" s="81">
        <v>32</v>
      </c>
      <c r="Y20" s="110">
        <v>32</v>
      </c>
      <c r="Z20" s="81">
        <v>34</v>
      </c>
      <c r="AA20" s="81">
        <v>30</v>
      </c>
      <c r="AB20" s="81">
        <v>35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45" t="s" ph="1">
        <v>177</v>
      </c>
      <c r="D24" s="71">
        <v>85.28</v>
      </c>
      <c r="E24" s="71">
        <v>55.16</v>
      </c>
      <c r="F24" s="71">
        <v>3752</v>
      </c>
      <c r="G24" s="71">
        <v>2277</v>
      </c>
      <c r="H24" s="71">
        <v>2335</v>
      </c>
      <c r="I24" s="71">
        <v>1461</v>
      </c>
      <c r="J24" s="71">
        <v>1321</v>
      </c>
      <c r="K24" s="71">
        <v>3313</v>
      </c>
      <c r="L24" s="71">
        <v>5613</v>
      </c>
      <c r="M24" s="71">
        <v>4355</v>
      </c>
      <c r="N24" s="71">
        <v>2518</v>
      </c>
      <c r="O24" s="71">
        <v>4321</v>
      </c>
      <c r="P24" s="71">
        <v>967</v>
      </c>
      <c r="Q24" s="90">
        <v>3499</v>
      </c>
      <c r="R24" s="71">
        <v>370</v>
      </c>
      <c r="S24" s="71">
        <v>1075</v>
      </c>
      <c r="T24" s="71">
        <v>1697</v>
      </c>
      <c r="U24" s="71">
        <v>5788</v>
      </c>
      <c r="V24" s="71">
        <v>6685</v>
      </c>
      <c r="W24" s="71">
        <v>6036</v>
      </c>
      <c r="X24" s="71">
        <v>4039</v>
      </c>
      <c r="Y24" s="71">
        <v>3933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23175.277240896001</v>
      </c>
      <c r="E25" s="91" ph="1">
        <f>E24*268.68*LOOKUP(E26,密度!$A$2:$A$50,密度!$C$2:$C$50)+IF(E24&lt;=0,0,1566*LOOKUP(E26,密度!$A$2:$A$50,密度!$C$2:$C$50))</f>
        <v>18170.866540319999</v>
      </c>
      <c r="F25" s="91" ph="1">
        <f>F24*11.702*LOOKUP(F26,密度!$A$2:$A$50,密度!$Q$2:$Q$50)</f>
        <v>41417.756420320002</v>
      </c>
      <c r="G25" s="91" ph="1">
        <f>G24*18.322*LOOKUP(G26,密度!$A$2:$A$50,密度!$B$2:$B$50)</f>
        <v>32307.343833599996</v>
      </c>
      <c r="H25" s="91" ph="1">
        <f>H24*18.322*LOOKUP(H26,密度!$A$2:$A$50,密度!$B$2:$B$50)</f>
        <v>33130.280127999999</v>
      </c>
      <c r="I25" s="91" ph="1">
        <f>I24*18.322*LOOKUP(I26,密度!$A$2:$A$50,密度!$Q$2:$Q$50)</f>
        <v>25251.47439186</v>
      </c>
      <c r="J25" s="91" ph="1">
        <f>J24*18.322*LOOKUP(J26,密度!$A$2:$A$50,密度!$Q$2:$Q$50)</f>
        <v>22831.757475459999</v>
      </c>
      <c r="K25" s="91" ph="1">
        <f>K24*18.322*LOOKUP(K26,密度!$A$2:$A$50,密度!$Q$2:$Q$50)</f>
        <v>57215.346867879998</v>
      </c>
      <c r="L25" s="91" ph="1">
        <f>L24*18.322*LOOKUP(L26,密度!$A$2:$A$50,密度!$Q$2:$Q$50)</f>
        <v>96936.233615880003</v>
      </c>
      <c r="M25" s="91" ph="1">
        <f>M24*18.322*LOOKUP(M26,密度!$A$2:$A$50,密度!$Q$2:$Q$50)</f>
        <v>75270.479792300001</v>
      </c>
      <c r="N25" s="91" ph="1">
        <f>N24*18.322*LOOKUP(N26,密度!$A$2:$A$50,密度!$Q$2:$Q$50)</f>
        <v>43520.337110679997</v>
      </c>
      <c r="O25" s="91" ph="1">
        <f>O24*18.322*LOOKUP(O26,密度!$A$2:$A$50,密度!$C$2:$C$50)</f>
        <v>87490.061946199989</v>
      </c>
      <c r="P25" s="91" ph="1">
        <f>P24*11.702*LOOKUP(P26,密度!$A$2:$A$50,密度!$B$2:$B$50)</f>
        <v>8773.1661002000001</v>
      </c>
      <c r="Q25" s="92" ph="1">
        <f>Q24*18.322*LOOKUP(Q26,密度!$A$2:$A$50,密度!$B$2:$B$50)</f>
        <v>49703.458053399998</v>
      </c>
      <c r="R25" s="91" ph="1">
        <f>R24*35.891*LOOKUP(R26,密度!$A$2:$A$50,密度!$C$2:$C$50)</f>
        <v>14662.083647000001</v>
      </c>
      <c r="S25" s="91" ph="1">
        <f>S24*35.891*LOOKUP(S26,密度!$A$2:$A$50,密度!$B$2:$B$50)</f>
        <v>29913.264222499998</v>
      </c>
      <c r="T25" s="91" ph="1">
        <f>T24*35.891*LOOKUP(T26,密度!$A$2:$A$50,密度!$Q$2:$Q$50)</f>
        <v>57455.425779909994</v>
      </c>
      <c r="U25" s="91" ph="1">
        <f>U24*35.891</f>
        <v>207737.10799999998</v>
      </c>
      <c r="V25" s="91" ph="1">
        <f>V24*47.051*LOOKUP(V26,密度!$A$2:$A$50,密度!$B$2:$B$50)</f>
        <v>243859.71040549999</v>
      </c>
      <c r="W25" s="91" ph="1">
        <f>W24*47.051*LOOKUP(W26,密度!$A$2:$A$50,密度!$B$2:$B$50)</f>
        <v>219929.47299840002</v>
      </c>
      <c r="X25" s="91" ph="1">
        <f>X24*47.051*LOOKUP(X26,密度!$A$2:$A$50,密度!$I$2:$I$50)</f>
        <v>196787.27349938999</v>
      </c>
      <c r="Y25" s="91" ph="1">
        <f>Y24*47.051*LOOKUP(Y26,密度!$A$2:$A$50,密度!$L$2:$L$50)</f>
        <v>172468.07535600002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30</v>
      </c>
      <c r="G26" s="74">
        <v>31</v>
      </c>
      <c r="H26" s="74">
        <v>31</v>
      </c>
      <c r="I26" s="74">
        <v>30</v>
      </c>
      <c r="J26" s="74">
        <v>30</v>
      </c>
      <c r="K26" s="74">
        <v>31</v>
      </c>
      <c r="L26" s="74">
        <v>31</v>
      </c>
      <c r="M26" s="74">
        <v>30</v>
      </c>
      <c r="N26" s="74">
        <v>30</v>
      </c>
      <c r="O26" s="74">
        <v>30</v>
      </c>
      <c r="P26" s="74">
        <v>30</v>
      </c>
      <c r="Q26" s="93">
        <v>30</v>
      </c>
      <c r="R26" s="74">
        <v>31</v>
      </c>
      <c r="S26" s="74">
        <v>30</v>
      </c>
      <c r="T26" s="74">
        <v>30</v>
      </c>
      <c r="U26" s="74">
        <v>31</v>
      </c>
      <c r="V26" s="74">
        <v>30</v>
      </c>
      <c r="W26" s="74">
        <v>31</v>
      </c>
      <c r="X26" s="74">
        <v>31</v>
      </c>
      <c r="Y26" s="74">
        <v>30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45" t="s" ph="1">
        <v>180</v>
      </c>
      <c r="D27" s="71">
        <v>85.38</v>
      </c>
      <c r="E27" s="71">
        <v>55.14</v>
      </c>
      <c r="F27" s="71">
        <v>3751</v>
      </c>
      <c r="G27" s="71">
        <v>2050</v>
      </c>
      <c r="H27" s="71">
        <v>1893</v>
      </c>
      <c r="I27" s="71">
        <v>1459</v>
      </c>
      <c r="J27" s="71">
        <v>1248</v>
      </c>
      <c r="K27" s="71">
        <v>3027</v>
      </c>
      <c r="L27" s="71">
        <v>5609</v>
      </c>
      <c r="M27" s="71">
        <v>4355</v>
      </c>
      <c r="N27" s="71">
        <v>4231</v>
      </c>
      <c r="O27" s="71">
        <v>4317</v>
      </c>
      <c r="P27" s="71">
        <v>1870</v>
      </c>
      <c r="Q27" s="90">
        <v>5102</v>
      </c>
      <c r="R27" s="71">
        <v>366</v>
      </c>
      <c r="S27" s="71">
        <v>723</v>
      </c>
      <c r="T27" s="71">
        <v>1695</v>
      </c>
      <c r="U27" s="71">
        <v>5837</v>
      </c>
      <c r="V27" s="71">
        <v>6682</v>
      </c>
      <c r="W27" s="71">
        <v>5726</v>
      </c>
      <c r="X27" s="71">
        <v>3274</v>
      </c>
      <c r="Y27" s="71">
        <v>2904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45" t="s" ph="1">
        <v>178</v>
      </c>
      <c r="D28" s="91" ph="1">
        <f>D27*268.68*LOOKUP(D29,密度!$A$2:$A$50,密度!$Q$2:$Q$50)+IF(D27&lt;=0,0,1566*LOOKUP(D29,密度!$A$2:$A$50,密度!$Q$2:$Q$50))</f>
        <v>23200.714251215999</v>
      </c>
      <c r="E28" s="91" ph="1">
        <f>E27*268.68*LOOKUP(E29,密度!$A$2:$A$50,密度!$C$2:$C$50)+IF(E27&lt;=0,0,1566*LOOKUP(E29,密度!$A$2:$A$50,密度!$C$2:$C$50))</f>
        <v>18164.907755280001</v>
      </c>
      <c r="F28" s="91" ph="1">
        <f>F27*11.702*LOOKUP(F29,密度!$A$2:$A$50,密度!$Q$2:$Q$50)</f>
        <v>41373.796921159999</v>
      </c>
      <c r="G28" s="91" ph="1">
        <f>G27*18.322*LOOKUP(G29,密度!$A$2:$A$50,密度!$B$2:$B$50)</f>
        <v>29086.541439999997</v>
      </c>
      <c r="H28" s="91" ph="1">
        <f>H27*18.322*LOOKUP(H29,密度!$A$2:$A$50,密度!$B$2:$B$50)</f>
        <v>26858.938022399994</v>
      </c>
      <c r="I28" s="91" ph="1">
        <f>I27*18.322*LOOKUP(I29,密度!$A$2:$A$50,密度!$Q$2:$Q$50)</f>
        <v>25178.680536199998</v>
      </c>
      <c r="J28" s="91" ph="1">
        <f>J27*18.322*LOOKUP(J29,密度!$A$2:$A$50,密度!$Q$2:$Q$50)</f>
        <v>21537.349766399999</v>
      </c>
      <c r="K28" s="91" ph="1">
        <f>K27*18.322*LOOKUP(K29,密度!$A$2:$A$50,密度!$Q$2:$Q$50)</f>
        <v>52276.140950519992</v>
      </c>
      <c r="L28" s="91" ph="1">
        <f>L27*18.322*LOOKUP(L29,密度!$A$2:$A$50,密度!$Q$2:$Q$50)</f>
        <v>96797.271506199992</v>
      </c>
      <c r="M28" s="91" ph="1">
        <f>M27*18.322*LOOKUP(M29,密度!$A$2:$A$50,密度!$Q$2:$Q$50)</f>
        <v>75210.635559799994</v>
      </c>
      <c r="N28" s="91" ph="1">
        <f>N27*18.322*LOOKUP(N29,密度!$A$2:$A$50,密度!$Q$2:$Q$50)</f>
        <v>73016.447805799995</v>
      </c>
      <c r="O28" s="91" ph="1">
        <f>O27*18.322*LOOKUP(O29,密度!$A$2:$A$50,密度!$C$2:$C$50)</f>
        <v>87329.975303400002</v>
      </c>
      <c r="P28" s="91" ph="1">
        <f>P27*11.702*LOOKUP(P29,密度!$A$2:$A$50,密度!$B$2:$B$50)</f>
        <v>16926.29939</v>
      </c>
      <c r="Q28" s="92" ph="1">
        <f>Q27*18.322*LOOKUP(Q29,密度!$A$2:$A$50,密度!$B$2:$B$50)</f>
        <v>72305.885834000001</v>
      </c>
      <c r="R28" s="91" ph="1">
        <f>R27*35.891*LOOKUP(R29,密度!$A$2:$A$50,密度!$C$2:$C$50)</f>
        <v>14503.574634600001</v>
      </c>
      <c r="S28" s="91" ph="1">
        <f>S27*35.891*LOOKUP(S29,密度!$A$2:$A$50,密度!$B$2:$B$50)</f>
        <v>20095.0550592</v>
      </c>
      <c r="T28" s="91" ph="1">
        <f>T27*35.891*LOOKUP(T29,密度!$A$2:$A$50,密度!$Q$2:$Q$50)</f>
        <v>57300.717265499996</v>
      </c>
      <c r="U28" s="91" ph="1">
        <f>U27*35.891</f>
        <v>209495.76699999999</v>
      </c>
      <c r="V28" s="91" ph="1">
        <f>V27*47.051*LOOKUP(V29,密度!$A$2:$A$50,密度!$B$2:$B$50)</f>
        <v>243467.3191808</v>
      </c>
      <c r="W28" s="91" ph="1">
        <f>W27*47.051*LOOKUP(W29,密度!$A$2:$A$50,密度!$B$2:$B$50)</f>
        <v>208391.74911100001</v>
      </c>
      <c r="X28" s="91" ph="1">
        <f>X27*47.051*LOOKUP(X29,密度!$A$2:$A$50,密度!$I$2:$I$50)</f>
        <v>159344.1211056</v>
      </c>
      <c r="Y28" s="91" ph="1">
        <f>Y27*47.051*LOOKUP(Y29,密度!$A$2:$A$50,密度!$L$2:$L$50)</f>
        <v>127208.212824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45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31</v>
      </c>
      <c r="I29" s="74">
        <v>32</v>
      </c>
      <c r="J29" s="74">
        <v>32</v>
      </c>
      <c r="K29" s="74">
        <v>31</v>
      </c>
      <c r="L29" s="74">
        <v>32</v>
      </c>
      <c r="M29" s="74">
        <v>31</v>
      </c>
      <c r="N29" s="74">
        <v>32</v>
      </c>
      <c r="O29" s="74">
        <v>31</v>
      </c>
      <c r="P29" s="74">
        <v>32</v>
      </c>
      <c r="Q29" s="93">
        <v>32</v>
      </c>
      <c r="R29" s="74">
        <v>31</v>
      </c>
      <c r="S29" s="74">
        <v>31</v>
      </c>
      <c r="T29" s="74">
        <v>32</v>
      </c>
      <c r="U29" s="74">
        <v>32</v>
      </c>
      <c r="V29" s="74">
        <v>31</v>
      </c>
      <c r="W29" s="74">
        <v>32</v>
      </c>
      <c r="X29" s="74">
        <v>32</v>
      </c>
      <c r="Y29" s="74">
        <v>31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45" t="s" ph="1">
        <v>5</v>
      </c>
      <c r="F32" s="144" t="s" ph="1">
        <v>43</v>
      </c>
      <c r="G32" s="97" t="s" ph="1">
        <v>4</v>
      </c>
      <c r="H32" s="145" t="s" ph="1">
        <v>5</v>
      </c>
      <c r="I32" s="144" t="s" ph="1">
        <v>43</v>
      </c>
      <c r="J32" s="97" t="s" ph="1">
        <v>4</v>
      </c>
      <c r="K32" s="145" t="s" ph="1">
        <v>5</v>
      </c>
      <c r="L32" s="144" t="s" ph="1">
        <v>43</v>
      </c>
      <c r="M32" s="97" t="s" ph="1">
        <v>4</v>
      </c>
      <c r="N32" s="145" t="s" ph="1">
        <v>5</v>
      </c>
      <c r="O32" s="14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5" t="s" ph="1">
        <v>5</v>
      </c>
      <c r="U32" s="99" t="s" ph="1">
        <v>43</v>
      </c>
      <c r="V32" s="97" t="s" ph="1">
        <v>4</v>
      </c>
      <c r="W32" s="145" t="s" ph="1">
        <v>5</v>
      </c>
      <c r="X32" s="99" t="s" ph="1">
        <v>43</v>
      </c>
      <c r="Y32" s="100" t="s" ph="1">
        <v>4</v>
      </c>
      <c r="Z32" s="145" t="s" ph="1">
        <v>5</v>
      </c>
      <c r="AA32" s="144" t="s" ph="1">
        <v>43</v>
      </c>
      <c r="AB32" s="97" t="s" ph="1">
        <v>85</v>
      </c>
      <c r="AC32" s="145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46495.471352200009</v>
      </c>
      <c r="E33" s="204" ph="1">
        <f>M10+I10</f>
        <v>103397.1521488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[[#This Row],[F25]]</f>
        <v>3880</v>
      </c>
      <c r="G33" s="208" ph="1">
        <v>0</v>
      </c>
      <c r="H33" s="204" ph="1">
        <f>N19</f>
        <v>24118.980057599998</v>
      </c>
      <c r="I33" s="217" ph="1">
        <v>0</v>
      </c>
      <c r="J33" s="215" ph="1">
        <f>F10+O28</f>
        <v>338521.48584990005</v>
      </c>
      <c r="K33" s="204" ph="1">
        <f>O10+K10+E28+R28</f>
        <v>78847.783413080004</v>
      </c>
      <c r="L33" s="219" ph="1">
        <f>BE27</f>
        <v>7100</v>
      </c>
      <c r="M33" s="215" ph="1">
        <f>G10+H10+W28+S28+V28+E10</f>
        <v>1530314.9833110003</v>
      </c>
      <c r="N33" s="204" ph="1">
        <f>L10+P10++G28+H28</f>
        <v>281935.56734539999</v>
      </c>
      <c r="O33" s="217" ph="1">
        <f>BE17</f>
        <v>2270</v>
      </c>
      <c r="P33" s="215" ph="1">
        <f>L19</f>
        <v>37772.957162879997</v>
      </c>
      <c r="Q33" s="204" ph="1">
        <f>J10+N10</f>
        <v>158985.63615859998</v>
      </c>
      <c r="R33" s="217" ph="1">
        <f>BE23</f>
        <v>890</v>
      </c>
      <c r="S33" s="215" ph="1">
        <f>E10+X28</f>
        <v>516823.22102360008</v>
      </c>
      <c r="T33" s="204" ph="1">
        <f>X19</f>
        <v>17818.746110399999</v>
      </c>
      <c r="U33" s="225" ph="1">
        <f>BE21</f>
        <v>730</v>
      </c>
      <c r="V33" s="236" ph="1">
        <f ca="1">P19+Q19+S19+M28+N28+J28</f>
        <v>257985.60045879596</v>
      </c>
      <c r="W33" s="236" ph="1">
        <f>D28+F28+V19+T28</f>
        <v>134384.87391287601</v>
      </c>
      <c r="X33" s="217" ph="1">
        <f>BE29+BE31</f>
        <v>10200</v>
      </c>
      <c r="Y33" s="238" ph="1">
        <f>+Q10+R10+S10+T10+U10+V10+W10+X10+Y10</f>
        <v>153609.584436</v>
      </c>
      <c r="Z33" s="223" ph="1">
        <f>D10+T19+U19+Y28+Z10</f>
        <v>479132.87907513202</v>
      </c>
      <c r="AA33" s="225" ph="1">
        <f>BE19</f>
        <v>1440</v>
      </c>
      <c r="AB33" s="227" ph="1">
        <f>I19</f>
        <v>36368.519434199996</v>
      </c>
      <c r="AC33" s="229" ph="1">
        <f>AD10</f>
        <v>79245.06569280001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43" t="s" ph="1">
        <v>185</v>
      </c>
      <c r="AA36" s="143" ph="1"/>
      <c r="AB36" s="222" t="s" ph="1">
        <v>641</v>
      </c>
      <c r="AC36" s="222" ph="1"/>
      <c r="AD36" s="222" ph="1"/>
      <c r="AE36" s="222" ph="1"/>
      <c r="BA36" s="64" ph="1">
        <v>2270</v>
      </c>
    </row>
    <row r="37" spans="1:57" s="14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3" t="s" ph="1">
        <v>342</v>
      </c>
      <c r="AI37" s="143" t="s" ph="1">
        <v>209</v>
      </c>
      <c r="AJ37" s="143" t="s" ph="1">
        <v>210</v>
      </c>
      <c r="AK37" s="143" t="s" ph="1">
        <v>211</v>
      </c>
      <c r="AM37" s="143" t="s" ph="1">
        <v>210</v>
      </c>
      <c r="AN37" s="143" t="s" ph="1">
        <v>211</v>
      </c>
      <c r="AO37" s="143" t="s" ph="1">
        <v>212</v>
      </c>
      <c r="AP37" s="143" t="s" ph="1">
        <v>210</v>
      </c>
      <c r="AQ37" s="143" t="s" ph="1">
        <v>211</v>
      </c>
      <c r="AR37" s="143" t="s" ph="1">
        <v>212</v>
      </c>
      <c r="AS37" s="143" t="s" ph="1">
        <v>210</v>
      </c>
      <c r="AT37" s="143" t="s" ph="1">
        <v>211</v>
      </c>
      <c r="AU37" s="143" t="s" ph="1">
        <v>212</v>
      </c>
      <c r="AV37" s="143" t="s" ph="1">
        <v>210</v>
      </c>
      <c r="AW37" s="143" t="s" ph="1">
        <v>211</v>
      </c>
      <c r="AX37" s="143" t="s" ph="1">
        <v>212</v>
      </c>
      <c r="AY37" s="143" t="s" ph="1">
        <v>211</v>
      </c>
      <c r="AZ37" s="143" t="s" ph="1">
        <v>213</v>
      </c>
      <c r="BD37" s="143" t="s" ph="1">
        <v>305</v>
      </c>
      <c r="BE37" s="14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431" priority="98">
      <formula>ABS(D$7-D$10)&gt;=1000</formula>
    </cfRule>
  </conditionalFormatting>
  <conditionalFormatting sqref="E4 E6:E11">
    <cfRule type="expression" dxfId="2430" priority="97">
      <formula>ABS(E$7-E$10)&gt;=1000</formula>
    </cfRule>
  </conditionalFormatting>
  <conditionalFormatting sqref="F4:F11">
    <cfRule type="expression" dxfId="2429" priority="96">
      <formula>ABS(F$7-F$10)&gt;=1000</formula>
    </cfRule>
  </conditionalFormatting>
  <conditionalFormatting sqref="G4:G11">
    <cfRule type="expression" dxfId="2428" priority="95">
      <formula>ABS(G$7-G$10)&gt;=1000</formula>
    </cfRule>
  </conditionalFormatting>
  <conditionalFormatting sqref="H4:H11">
    <cfRule type="expression" dxfId="2427" priority="94">
      <formula>ABS(H$7-H$10)&gt;=1000</formula>
    </cfRule>
  </conditionalFormatting>
  <conditionalFormatting sqref="I4:I11">
    <cfRule type="expression" dxfId="2426" priority="93">
      <formula>ABS(I$7-I$10)&gt;=1000</formula>
    </cfRule>
  </conditionalFormatting>
  <conditionalFormatting sqref="J4:J11">
    <cfRule type="expression" dxfId="2425" priority="92">
      <formula>ABS(J$7-J$10)&gt;=1000</formula>
    </cfRule>
  </conditionalFormatting>
  <conditionalFormatting sqref="K4:K11">
    <cfRule type="expression" dxfId="2424" priority="91">
      <formula>ABS(K$7-K$10)&gt;=1000</formula>
    </cfRule>
  </conditionalFormatting>
  <conditionalFormatting sqref="L4:L11">
    <cfRule type="expression" dxfId="2423" priority="90">
      <formula>ABS(L$7-L$10)&gt;=1000</formula>
    </cfRule>
  </conditionalFormatting>
  <conditionalFormatting sqref="M4 M6:M11">
    <cfRule type="expression" dxfId="2422" priority="89">
      <formula>ABS(M$7-M$10)&gt;=1000</formula>
    </cfRule>
  </conditionalFormatting>
  <conditionalFormatting sqref="N4 N6:N11">
    <cfRule type="expression" dxfId="2421" priority="88">
      <formula>ABS(N$7-N$10)&gt;=1000</formula>
    </cfRule>
  </conditionalFormatting>
  <conditionalFormatting sqref="O4 O6:O11">
    <cfRule type="expression" dxfId="2420" priority="87">
      <formula>ABS(O$7-O$10)&gt;=1000</formula>
    </cfRule>
  </conditionalFormatting>
  <conditionalFormatting sqref="P4 P6:P11">
    <cfRule type="expression" dxfId="2419" priority="86">
      <formula>ABS(P$7-P$10)&gt;=1000</formula>
    </cfRule>
  </conditionalFormatting>
  <conditionalFormatting sqref="Q4:Q11">
    <cfRule type="expression" dxfId="2418" priority="85">
      <formula>ABS(Q$7-Q$10)&gt;=1000</formula>
    </cfRule>
  </conditionalFormatting>
  <conditionalFormatting sqref="R4:R11">
    <cfRule type="expression" dxfId="2417" priority="84">
      <formula>ABS(R$7-R$10)&gt;=1000</formula>
    </cfRule>
  </conditionalFormatting>
  <conditionalFormatting sqref="S4:S11">
    <cfRule type="expression" dxfId="2416" priority="83">
      <formula>ABS(S$7-S$10)&gt;=1000</formula>
    </cfRule>
  </conditionalFormatting>
  <conditionalFormatting sqref="T4:T9 T11">
    <cfRule type="expression" dxfId="2415" priority="82">
      <formula>ABS(T$7-T$10)&gt;=1000</formula>
    </cfRule>
  </conditionalFormatting>
  <conditionalFormatting sqref="U4:U9 U11">
    <cfRule type="expression" dxfId="2414" priority="81">
      <formula>ABS(U$7-U$10)&gt;=1000</formula>
    </cfRule>
  </conditionalFormatting>
  <conditionalFormatting sqref="V4:V9 V11">
    <cfRule type="expression" dxfId="2413" priority="80">
      <formula>ABS(V$7-V$10)&gt;=1000</formula>
    </cfRule>
  </conditionalFormatting>
  <conditionalFormatting sqref="W4:W9 W11">
    <cfRule type="expression" dxfId="2412" priority="79">
      <formula>ABS(W$7-W$10)&gt;=1000</formula>
    </cfRule>
  </conditionalFormatting>
  <conditionalFormatting sqref="X4:X9 X11">
    <cfRule type="expression" dxfId="2411" priority="78">
      <formula>ABS(X$7-X$10)&gt;=1000</formula>
    </cfRule>
  </conditionalFormatting>
  <conditionalFormatting sqref="Y4:Y9 Y11">
    <cfRule type="expression" dxfId="2410" priority="77">
      <formula>ABS(Y$7-Y$10)&gt;=1000</formula>
    </cfRule>
  </conditionalFormatting>
  <conditionalFormatting sqref="Z4:Z11">
    <cfRule type="expression" dxfId="2409" priority="76">
      <formula>ABS(Z$7-Z$10)&gt;=1000</formula>
    </cfRule>
  </conditionalFormatting>
  <conditionalFormatting sqref="AA4:AA11">
    <cfRule type="expression" dxfId="2408" priority="75">
      <formula>ABS(AA$7-AA$10)&gt;=1000</formula>
    </cfRule>
  </conditionalFormatting>
  <conditionalFormatting sqref="AB4:AB11">
    <cfRule type="expression" dxfId="2407" priority="74">
      <formula>ABS(AB$7-AB$10)&gt;=1000</formula>
    </cfRule>
  </conditionalFormatting>
  <conditionalFormatting sqref="AC4 AC6:AC11">
    <cfRule type="expression" dxfId="2406" priority="73">
      <formula>ABS(AC$7-AC$10)&gt;=1000</formula>
    </cfRule>
  </conditionalFormatting>
  <conditionalFormatting sqref="AD4:AD11">
    <cfRule type="expression" dxfId="2405" priority="72">
      <formula>ABS(AD$7-AD$10)&gt;=1000</formula>
    </cfRule>
  </conditionalFormatting>
  <conditionalFormatting sqref="AE4 AE6:AE11">
    <cfRule type="expression" dxfId="2404" priority="71">
      <formula>ABS(AE$7-AE$10)&gt;=1000</formula>
    </cfRule>
  </conditionalFormatting>
  <conditionalFormatting sqref="D13:D20">
    <cfRule type="expression" dxfId="2403" priority="70">
      <formula>ABS(D$16-D$19)&gt;=1000</formula>
    </cfRule>
  </conditionalFormatting>
  <conditionalFormatting sqref="E13:E20">
    <cfRule type="expression" dxfId="2402" priority="69">
      <formula>ABS(E$16-E$19)&gt;=1000</formula>
    </cfRule>
  </conditionalFormatting>
  <conditionalFormatting sqref="F13 F15:F20">
    <cfRule type="expression" dxfId="2401" priority="68">
      <formula>ABS(F$16-F$19)&gt;=1000</formula>
    </cfRule>
  </conditionalFormatting>
  <conditionalFormatting sqref="G13:G20">
    <cfRule type="expression" dxfId="2400" priority="67">
      <formula>ABS(G$16-G$19)&gt;=1000</formula>
    </cfRule>
  </conditionalFormatting>
  <conditionalFormatting sqref="H13:H20">
    <cfRule type="expression" dxfId="2399" priority="66">
      <formula>ABS(H$16-H$19)&gt;=1000</formula>
    </cfRule>
  </conditionalFormatting>
  <conditionalFormatting sqref="I13:I20">
    <cfRule type="expression" dxfId="2398" priority="65">
      <formula>ABS(I$16-I$19)&gt;=1000</formula>
    </cfRule>
  </conditionalFormatting>
  <conditionalFormatting sqref="J13:J20">
    <cfRule type="expression" dxfId="2397" priority="64">
      <formula>ABS(J$16-J$19)&gt;=1000</formula>
    </cfRule>
  </conditionalFormatting>
  <conditionalFormatting sqref="L13:L20">
    <cfRule type="expression" dxfId="2396" priority="63">
      <formula>ABS(L$16-L$19)&gt;=1000</formula>
    </cfRule>
  </conditionalFormatting>
  <conditionalFormatting sqref="M13 M15 M17:M18 M20">
    <cfRule type="expression" dxfId="2395" priority="62">
      <formula>ABS(M$16-M$19)&gt;=1000</formula>
    </cfRule>
  </conditionalFormatting>
  <conditionalFormatting sqref="N13:N20">
    <cfRule type="expression" dxfId="2394" priority="61">
      <formula>ABS(N$16-N$19)&gt;=1000</formula>
    </cfRule>
  </conditionalFormatting>
  <conditionalFormatting sqref="O13:O20">
    <cfRule type="expression" dxfId="2393" priority="60">
      <formula>ABS(O$16-O$19)&gt;=1000</formula>
    </cfRule>
  </conditionalFormatting>
  <conditionalFormatting sqref="P13:P20">
    <cfRule type="expression" dxfId="2392" priority="59">
      <formula>ABS(P$16-P$19)&gt;=1000</formula>
    </cfRule>
  </conditionalFormatting>
  <conditionalFormatting sqref="Q13 Q15:Q20">
    <cfRule type="expression" dxfId="2391" priority="58">
      <formula>ABS(Q$16-Q$19)&gt;=1000</formula>
    </cfRule>
  </conditionalFormatting>
  <conditionalFormatting sqref="R13:R20">
    <cfRule type="expression" dxfId="2390" priority="57">
      <formula>ABS(R$16-R$19)&gt;=1000</formula>
    </cfRule>
  </conditionalFormatting>
  <conditionalFormatting sqref="S13:S20">
    <cfRule type="expression" dxfId="2389" priority="56">
      <formula>ABS(S$16-S$19)&gt;=1000</formula>
    </cfRule>
  </conditionalFormatting>
  <conditionalFormatting sqref="T13:T20">
    <cfRule type="expression" dxfId="2388" priority="55">
      <formula>ABS(T$16-T$19)&gt;=1000</formula>
    </cfRule>
  </conditionalFormatting>
  <conditionalFormatting sqref="U13:U20">
    <cfRule type="expression" dxfId="2387" priority="54">
      <formula>ABS(U$16-U$19)&gt;=1000</formula>
    </cfRule>
  </conditionalFormatting>
  <conditionalFormatting sqref="V13:V20">
    <cfRule type="expression" dxfId="2386" priority="53">
      <formula>ABS(V$16-V$19)&gt;=1000</formula>
    </cfRule>
  </conditionalFormatting>
  <conditionalFormatting sqref="W13 W20 W15:W18">
    <cfRule type="expression" dxfId="2385" priority="52">
      <formula>ABS(W$16-W$19)&gt;=1000</formula>
    </cfRule>
  </conditionalFormatting>
  <conditionalFormatting sqref="X13 X15:X20 Y19">
    <cfRule type="expression" dxfId="2384" priority="51">
      <formula>ABS(X$16-X$19)&gt;=1000</formula>
    </cfRule>
  </conditionalFormatting>
  <conditionalFormatting sqref="Y13 Y15:Y18 Y20">
    <cfRule type="expression" dxfId="2383" priority="50">
      <formula>ABS(Y$16-Y$19)&gt;=1000</formula>
    </cfRule>
  </conditionalFormatting>
  <conditionalFormatting sqref="Z13:Z20">
    <cfRule type="expression" dxfId="2382" priority="49">
      <formula>ABS(Z$16-Z$19)&gt;=1000</formula>
    </cfRule>
  </conditionalFormatting>
  <conditionalFormatting sqref="AA13:AA20">
    <cfRule type="expression" dxfId="2381" priority="48">
      <formula>ABS(AA$16-AA$19)&gt;=1000</formula>
    </cfRule>
  </conditionalFormatting>
  <conditionalFormatting sqref="AB13 AB15:AB20">
    <cfRule type="expression" dxfId="2380" priority="47">
      <formula>ABS(AB$16-AB$19)&gt;=1000</formula>
    </cfRule>
  </conditionalFormatting>
  <conditionalFormatting sqref="AC13 AC15:AC20">
    <cfRule type="expression" dxfId="2379" priority="46">
      <formula>ABS(AC$16-AC$19)&gt;=1000</formula>
    </cfRule>
  </conditionalFormatting>
  <conditionalFormatting sqref="AD13:AD20">
    <cfRule type="expression" dxfId="2378" priority="45">
      <formula>ABS(AD$16-AD$19)&gt;=1000</formula>
    </cfRule>
  </conditionalFormatting>
  <conditionalFormatting sqref="AE13:AE20">
    <cfRule type="expression" dxfId="2377" priority="44">
      <formula>ABS(AE$16-AE$19)&gt;=1000</formula>
    </cfRule>
  </conditionalFormatting>
  <conditionalFormatting sqref="D22:D29">
    <cfRule type="expression" dxfId="2376" priority="43">
      <formula>ABS(D$25-D$28)&gt;=1000</formula>
    </cfRule>
  </conditionalFormatting>
  <conditionalFormatting sqref="E22:E29">
    <cfRule type="expression" dxfId="2375" priority="42">
      <formula>ABS(E$25-E$28)&gt;=1000</formula>
    </cfRule>
  </conditionalFormatting>
  <conditionalFormatting sqref="F22:F29">
    <cfRule type="expression" dxfId="2374" priority="41">
      <formula>ABS(F$25-F$28)&gt;=1000</formula>
    </cfRule>
  </conditionalFormatting>
  <conditionalFormatting sqref="G22:G29">
    <cfRule type="expression" dxfId="2373" priority="40">
      <formula>ABS(G$25-G$28)&gt;=1000</formula>
    </cfRule>
  </conditionalFormatting>
  <conditionalFormatting sqref="H22:H29">
    <cfRule type="expression" dxfId="2372" priority="39">
      <formula>ABS(H$25-H$28)&gt;=1000</formula>
    </cfRule>
  </conditionalFormatting>
  <conditionalFormatting sqref="I22 I24:I29">
    <cfRule type="expression" dxfId="2371" priority="38">
      <formula>ABS(I$25-I$28)&gt;=1000</formula>
    </cfRule>
  </conditionalFormatting>
  <conditionalFormatting sqref="J22:J29 K22">
    <cfRule type="expression" dxfId="2370" priority="37">
      <formula>ABS(J$25-J$28)&gt;=1000</formula>
    </cfRule>
  </conditionalFormatting>
  <conditionalFormatting sqref="K23:K29 L25 L28">
    <cfRule type="expression" dxfId="2369" priority="36">
      <formula>ABS(K$25-K$28)&gt;=1000</formula>
    </cfRule>
  </conditionalFormatting>
  <conditionalFormatting sqref="L22 L26:L27 L29 L24">
    <cfRule type="expression" dxfId="2368" priority="35">
      <formula>ABS(L$25-L$28)&gt;=1000</formula>
    </cfRule>
  </conditionalFormatting>
  <conditionalFormatting sqref="M22:M29">
    <cfRule type="expression" dxfId="2367" priority="34">
      <formula>ABS(M$25-M$28)&gt;=1000</formula>
    </cfRule>
  </conditionalFormatting>
  <conditionalFormatting sqref="N22:N29">
    <cfRule type="expression" dxfId="2366" priority="33">
      <formula>ABS(N$25-N$28)&gt;=1000</formula>
    </cfRule>
  </conditionalFormatting>
  <conditionalFormatting sqref="O22:O29">
    <cfRule type="expression" dxfId="2365" priority="32">
      <formula>ABS(O$25-O$28)&gt;=1000</formula>
    </cfRule>
  </conditionalFormatting>
  <conditionalFormatting sqref="P22:P29">
    <cfRule type="expression" dxfId="2364" priority="31">
      <formula>ABS(P$25-P$28)&gt;=1000</formula>
    </cfRule>
  </conditionalFormatting>
  <conditionalFormatting sqref="Q22:Q29">
    <cfRule type="expression" dxfId="2363" priority="30">
      <formula>ABS(Q$25-Q$28)&gt;=1000</formula>
    </cfRule>
  </conditionalFormatting>
  <conditionalFormatting sqref="R22:R29">
    <cfRule type="expression" dxfId="2362" priority="29">
      <formula>ABS(R$25-R$28)&gt;=1000</formula>
    </cfRule>
  </conditionalFormatting>
  <conditionalFormatting sqref="S22:S29">
    <cfRule type="expression" dxfId="2361" priority="28">
      <formula>ABS(S$25-S$28)&gt;=1000</formula>
    </cfRule>
  </conditionalFormatting>
  <conditionalFormatting sqref="T22:T29">
    <cfRule type="expression" dxfId="2360" priority="27">
      <formula>ABS(T$25-T$28)&gt;=1000</formula>
    </cfRule>
  </conditionalFormatting>
  <conditionalFormatting sqref="U22:U29">
    <cfRule type="expression" dxfId="2359" priority="26">
      <formula>ABS(U$25-U$28)&gt;=1000</formula>
    </cfRule>
  </conditionalFormatting>
  <conditionalFormatting sqref="V22:V29">
    <cfRule type="expression" dxfId="2358" priority="25">
      <formula>ABS(V$25-V$28)&gt;=1000</formula>
    </cfRule>
  </conditionalFormatting>
  <conditionalFormatting sqref="W22:W29">
    <cfRule type="expression" dxfId="2357" priority="24">
      <formula>ABS(W$25-W$28)&gt;=1000</formula>
    </cfRule>
  </conditionalFormatting>
  <conditionalFormatting sqref="X22:X29">
    <cfRule type="expression" dxfId="2356" priority="23">
      <formula>ABS(X$25-X$28)&gt;=1000</formula>
    </cfRule>
  </conditionalFormatting>
  <conditionalFormatting sqref="Y22:Y29">
    <cfRule type="expression" dxfId="2355" priority="22">
      <formula>ABS(Y$25-Y$28)&gt;=1000</formula>
    </cfRule>
  </conditionalFormatting>
  <conditionalFormatting sqref="I23">
    <cfRule type="expression" dxfId="2354" priority="21">
      <formula>ABS(I$25-I$28)&gt;=1000</formula>
    </cfRule>
  </conditionalFormatting>
  <conditionalFormatting sqref="Q14">
    <cfRule type="expression" dxfId="2353" priority="20">
      <formula>ABS(Q$16-Q$19)&gt;=1000</formula>
    </cfRule>
  </conditionalFormatting>
  <conditionalFormatting sqref="W14">
    <cfRule type="expression" dxfId="2352" priority="19">
      <formula>ABS(W$16-W$19)&gt;=1000</formula>
    </cfRule>
  </conditionalFormatting>
  <conditionalFormatting sqref="Y14">
    <cfRule type="expression" dxfId="2351" priority="18">
      <formula>ABS(Y$16-Y$19)&gt;=1000</formula>
    </cfRule>
  </conditionalFormatting>
  <conditionalFormatting sqref="X14">
    <cfRule type="expression" dxfId="2350" priority="17">
      <formula>ABS(X$16-X$19)&gt;=1000</formula>
    </cfRule>
  </conditionalFormatting>
  <conditionalFormatting sqref="T10:Y10">
    <cfRule type="expression" dxfId="2349" priority="16">
      <formula>ABS(T$7-T$10)&gt;=1000</formula>
    </cfRule>
  </conditionalFormatting>
  <conditionalFormatting sqref="W19">
    <cfRule type="expression" dxfId="2348" priority="15">
      <formula>ABS(W$16-W$19)&gt;=1000</formula>
    </cfRule>
  </conditionalFormatting>
  <conditionalFormatting sqref="AC5">
    <cfRule type="expression" dxfId="2347" priority="14">
      <formula>ABS(AC$7-AC$10)&gt;=1000</formula>
    </cfRule>
  </conditionalFormatting>
  <conditionalFormatting sqref="M14">
    <cfRule type="expression" dxfId="2346" priority="13">
      <formula>ABS(M$16-M$19)&gt;=1000</formula>
    </cfRule>
  </conditionalFormatting>
  <conditionalFormatting sqref="M16">
    <cfRule type="expression" dxfId="2345" priority="12">
      <formula>ABS(M$16-M$19)&gt;=1000</formula>
    </cfRule>
  </conditionalFormatting>
  <conditionalFormatting sqref="M19">
    <cfRule type="expression" dxfId="2344" priority="11">
      <formula>ABS(M$16-M$19)&gt;=1000</formula>
    </cfRule>
  </conditionalFormatting>
  <conditionalFormatting sqref="K13:K20">
    <cfRule type="expression" dxfId="2343" priority="10">
      <formula>ABS(K$16-K$19)&gt;=1000</formula>
    </cfRule>
  </conditionalFormatting>
  <conditionalFormatting sqref="E5">
    <cfRule type="expression" dxfId="2342" priority="9">
      <formula>ABS(E$7-E$10)&gt;=1000</formula>
    </cfRule>
  </conditionalFormatting>
  <conditionalFormatting sqref="AB14:AC14">
    <cfRule type="expression" dxfId="2341" priority="8">
      <formula>ABS(AB$16-AB$19)&gt;=1000</formula>
    </cfRule>
  </conditionalFormatting>
  <conditionalFormatting sqref="M5">
    <cfRule type="expression" dxfId="2340" priority="7">
      <formula>ABS(M$7-M$10)&gt;=1000</formula>
    </cfRule>
  </conditionalFormatting>
  <conditionalFormatting sqref="N5">
    <cfRule type="expression" dxfId="2339" priority="6">
      <formula>ABS(N$7-N$10)&gt;=1000</formula>
    </cfRule>
  </conditionalFormatting>
  <conditionalFormatting sqref="O5">
    <cfRule type="expression" dxfId="2338" priority="5">
      <formula>ABS(O$7-O$10)&gt;=1000</formula>
    </cfRule>
  </conditionalFormatting>
  <conditionalFormatting sqref="P5">
    <cfRule type="expression" dxfId="2337" priority="4">
      <formula>ABS(P$7-P$10)&gt;=1000</formula>
    </cfRule>
  </conditionalFormatting>
  <conditionalFormatting sqref="L23">
    <cfRule type="expression" dxfId="2336" priority="3">
      <formula>ABS(L$25-L$28)&gt;=1000</formula>
    </cfRule>
  </conditionalFormatting>
  <conditionalFormatting sqref="F14">
    <cfRule type="expression" dxfId="2335" priority="2">
      <formula>ABS(F$16-F$19)&gt;=1000</formula>
    </cfRule>
  </conditionalFormatting>
  <conditionalFormatting sqref="AE5">
    <cfRule type="expression" dxfId="2334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30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16">
    <pageSetUpPr fitToPage="1"/>
  </sheetPr>
  <dimension ref="A1:CU223"/>
  <sheetViews>
    <sheetView view="pageBreakPreview" zoomScale="80" zoomScaleNormal="100" zoomScaleSheetLayoutView="80" workbookViewId="0">
      <selection activeCell="D15" sqref="D1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45904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45" t="s" ph="1">
        <v>177</v>
      </c>
      <c r="D6" s="71">
        <v>6428</v>
      </c>
      <c r="E6" s="71">
        <v>8978</v>
      </c>
      <c r="F6" s="71">
        <v>6841</v>
      </c>
      <c r="G6" s="71">
        <v>8682</v>
      </c>
      <c r="H6" s="71">
        <v>8929</v>
      </c>
      <c r="I6" s="71">
        <v>29.12</v>
      </c>
      <c r="J6" s="71">
        <v>7.01</v>
      </c>
      <c r="K6" s="71">
        <v>85.3</v>
      </c>
      <c r="L6" s="71">
        <v>37.04</v>
      </c>
      <c r="M6" s="71">
        <v>2802</v>
      </c>
      <c r="N6" s="71">
        <v>6105</v>
      </c>
      <c r="O6" s="71">
        <v>833</v>
      </c>
      <c r="P6" s="71">
        <v>6174</v>
      </c>
      <c r="Q6" s="71">
        <v>1351</v>
      </c>
      <c r="R6" s="71">
        <v>7124</v>
      </c>
      <c r="S6" s="71">
        <v>5657</v>
      </c>
      <c r="T6" s="71">
        <v>6537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3213</v>
      </c>
      <c r="AA6" s="71">
        <v>703</v>
      </c>
      <c r="AB6" s="71">
        <v>1085</v>
      </c>
      <c r="AC6" s="71">
        <v>1498</v>
      </c>
      <c r="AD6" s="71">
        <v>3902</v>
      </c>
      <c r="AE6" s="71">
        <v>4055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201212.59463891998</v>
      </c>
      <c r="E7" s="73" ph="1">
        <f>E6*51.53*LOOKUP(E8,密度!$A$2:$A$50,密度!$B$2:$B$50)</f>
        <v>358681.954402</v>
      </c>
      <c r="F7" s="73" ph="1">
        <f>F6*33.183*LOOKUP(F8,密度!$A$2:$A$50,密度!$C$2:$C$50)</f>
        <v>251203.62565979999</v>
      </c>
      <c r="G7" s="73" ph="1">
        <f xml:space="preserve"> (G6+2)*51.53*LOOKUP(G8,密度!$A$2:$A$50,密度!$B$2:$B$50)</f>
        <v>347339.03682400001</v>
      </c>
      <c r="H7" s="73" ph="1">
        <f>(H6)*51.53*LOOKUP(H8,密度!$A$2:$A$50,密度!$B$2:$B$50)</f>
        <v>357138.44539399998</v>
      </c>
      <c r="I7" s="73" ph="1">
        <f>I6*290.8*1.0267</f>
        <v>8694.1941632000016</v>
      </c>
      <c r="J7" s="73" ph="1">
        <f>J6*290.8*0.7892</f>
        <v>1608.7905136000002</v>
      </c>
      <c r="K7" s="73" ph="1">
        <f>K6*290.8*1.1126</f>
        <v>27598.310024000002</v>
      </c>
      <c r="L7" s="73" ph="1">
        <f>L6*290.8*0.777</f>
        <v>8369.2472639999996</v>
      </c>
      <c r="M7" s="73" ph="1">
        <f>M6*33.183*LOOKUP(M8,密度!$A$2:$A$50,密度!$D$2:$D$50)</f>
        <v>95107.979741399991</v>
      </c>
      <c r="N7" s="73" ph="1">
        <f>N6*33.183*LOOKUP(N8,密度!$A$2:$A$50,密度!$E$2:$E$50)</f>
        <v>157527.93038399998</v>
      </c>
      <c r="O7" s="73" ph="1">
        <f>O6*20.428*LOOKUP(O8,密度!$A$2:$A$50,密度!$C$2:$C$50)</f>
        <v>18804.9606724</v>
      </c>
      <c r="P7" s="73" ph="1">
        <f>P6*51.53*LOOKUP(P8,密度!$A$2:$A$50,密度!$B$2:$B$50)</f>
        <v>247199.61294000002</v>
      </c>
      <c r="Q7" s="73" ph="1">
        <f>Q6*1.5*1.5*3.1416*LOOKUP(W8,密度!$A$2:$A$50,密度!$L$2:$L$50)</f>
        <v>8938.4991695999997</v>
      </c>
      <c r="R7" s="73" ph="1">
        <f>R6*1.5*1.5*3.1416*LOOKUP(R8,密度!$A$2:$A$50,密度!$L$2:$L$50)</f>
        <v>46831.736952000007</v>
      </c>
      <c r="S7" s="73" ph="1">
        <f>S6*1.5*1.5*3.1416*LOOKUP(S8,密度!$A$2:$A$50,密度!$L$2:$L$50)</f>
        <v>37547.858917799997</v>
      </c>
      <c r="T7" s="73" ph="1">
        <f>T6*1.5*1.5*3.1416*LOOKUP(T8,密度!$A$2:$A$50,密度!$L$2:$L$50)</f>
        <v>43388.784469799997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99686.875365000014</v>
      </c>
      <c r="AA7" s="73" ph="1">
        <f>AA6*33.183*LOOKUP(AA8,密度!$A$2:$A$50,密度!$D$2:$D$50)</f>
        <v>23885.179811100003</v>
      </c>
      <c r="AB7" s="73" ph="1">
        <f>AB6*20.428*LOOKUP(AB8,密度!$A$2:$A$50,密度!$D$2:$D$50)</f>
        <v>22798.281267999999</v>
      </c>
      <c r="AC7" s="73" ph="1">
        <f>AC6*51.53*LOOKUP(AC8,密度!$A$2:$A$50,密度!$Q$2:$Q$50)</f>
        <v>73080.697275600003</v>
      </c>
      <c r="AD7" s="73" ph="1">
        <f>AD6*20.428*LOOKUP(AD8,密度!$A$2:$A$50,密度!$V$2:$V$50)</f>
        <v>76330.349625599993</v>
      </c>
      <c r="AE7" s="73" ph="1">
        <f>AE6*20.428</f>
        <v>82835.540000000008</v>
      </c>
    </row>
    <row r="8" spans="1:99" ph="1">
      <c r="B8" s="182" ph="1"/>
      <c r="C8" s="68" t="s" ph="1">
        <v>179</v>
      </c>
      <c r="D8" s="74">
        <v>30</v>
      </c>
      <c r="E8" s="74">
        <v>30</v>
      </c>
      <c r="F8" s="74">
        <v>28</v>
      </c>
      <c r="G8" s="74">
        <v>29</v>
      </c>
      <c r="H8" s="74">
        <v>29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30</v>
      </c>
      <c r="P8" s="74">
        <v>28</v>
      </c>
      <c r="Q8" s="74">
        <v>28</v>
      </c>
      <c r="R8" s="74">
        <v>32</v>
      </c>
      <c r="S8" s="74">
        <v>23</v>
      </c>
      <c r="T8" s="74">
        <v>23</v>
      </c>
      <c r="U8" s="74">
        <v>27</v>
      </c>
      <c r="V8" s="74">
        <v>28</v>
      </c>
      <c r="W8" s="74">
        <v>26</v>
      </c>
      <c r="X8" s="74">
        <v>19</v>
      </c>
      <c r="Y8" s="74">
        <v>27</v>
      </c>
      <c r="Z8" s="74">
        <v>27</v>
      </c>
      <c r="AA8" s="74">
        <v>28</v>
      </c>
      <c r="AB8" s="74">
        <v>23</v>
      </c>
      <c r="AC8" s="74">
        <v>25</v>
      </c>
      <c r="AD8" s="74">
        <v>27</v>
      </c>
      <c r="AE8" s="74">
        <v>32</v>
      </c>
    </row>
    <row r="9" spans="1:99" ht="26.4" ph="1">
      <c r="B9" s="182" ph="1">
        <v>0.66666666666666663</v>
      </c>
      <c r="C9" s="145" t="s" ph="1">
        <v>180</v>
      </c>
      <c r="D9" s="71">
        <v>6430</v>
      </c>
      <c r="E9" s="71">
        <v>8978</v>
      </c>
      <c r="F9" s="71">
        <v>6846</v>
      </c>
      <c r="G9" s="71">
        <v>8685</v>
      </c>
      <c r="H9" s="71">
        <v>8936</v>
      </c>
      <c r="I9" s="71">
        <v>29.11</v>
      </c>
      <c r="J9" s="71">
        <v>7.02</v>
      </c>
      <c r="K9" s="71">
        <v>7.14</v>
      </c>
      <c r="L9" s="71">
        <v>36.79</v>
      </c>
      <c r="M9" s="71">
        <v>2802</v>
      </c>
      <c r="N9" s="71">
        <v>6110</v>
      </c>
      <c r="O9" s="71">
        <v>1045</v>
      </c>
      <c r="P9" s="71">
        <v>6421</v>
      </c>
      <c r="Q9" s="71">
        <v>0</v>
      </c>
      <c r="R9" s="71">
        <v>4381</v>
      </c>
      <c r="S9" s="71">
        <v>5664</v>
      </c>
      <c r="T9" s="71">
        <v>6545</v>
      </c>
      <c r="U9" s="71">
        <v>2560</v>
      </c>
      <c r="V9" s="71">
        <v>2585</v>
      </c>
      <c r="W9" s="71">
        <v>0</v>
      </c>
      <c r="X9" s="71">
        <v>0</v>
      </c>
      <c r="Y9" s="71">
        <v>0</v>
      </c>
      <c r="Z9" s="71">
        <v>4081</v>
      </c>
      <c r="AA9" s="71">
        <v>646</v>
      </c>
      <c r="AB9" s="71">
        <v>2980</v>
      </c>
      <c r="AC9" s="71">
        <v>1824</v>
      </c>
      <c r="AD9" s="71">
        <v>3254</v>
      </c>
      <c r="AE9" s="71">
        <v>3850</v>
      </c>
    </row>
    <row r="10" spans="1:99" s="72" customFormat="1" ht="22.2" ph="1">
      <c r="B10" s="182" ph="1"/>
      <c r="C10" s="145" t="s" ph="1">
        <v>178</v>
      </c>
      <c r="D10" s="73" ph="1">
        <f>D9*33.183*LOOKUP(D11,密度!$A$2:$A$50,密度!$Q$2:$Q$50)</f>
        <v>201115.17466019999</v>
      </c>
      <c r="E10" s="73" ph="1">
        <f>E9*51.53*LOOKUP(E11,密度!$A$2:$A$50,密度!$B$2:$B$50)</f>
        <v>357479.09991800005</v>
      </c>
      <c r="F10" s="73" ph="1">
        <f>F9*33.183*LOOKUP(F11,密度!$A$2:$A$50,密度!$C$2:$C$50)</f>
        <v>251228.20762620002</v>
      </c>
      <c r="G10" s="73" ph="1">
        <f xml:space="preserve"> (G9+2)*51.53*LOOKUP(G11,密度!$A$2:$A$50,密度!$B$2:$B$50)</f>
        <v>345086.53169899998</v>
      </c>
      <c r="H10" s="73" ph="1">
        <f>(H9)*51.53*LOOKUP(H11,密度!$A$2:$A$50,密度!$B$2:$B$50)</f>
        <v>354977.92647200002</v>
      </c>
      <c r="I10" s="73" ph="1">
        <f>I9*290.8*1.0267</f>
        <v>8691.2085195999989</v>
      </c>
      <c r="J10" s="73" ph="1">
        <f>J9*290.8*0.7892</f>
        <v>1611.0855071999999</v>
      </c>
      <c r="K10" s="73" ph="1">
        <f>K9*290.8*1.1126</f>
        <v>2310.1047312000001</v>
      </c>
      <c r="L10" s="73" ph="1">
        <f>L9*290.8*0.777</f>
        <v>8312.7593640000014</v>
      </c>
      <c r="M10" s="73" ph="1">
        <f>M9*33.183*LOOKUP(M11,密度!$A$2:$A$50,密度!$D$2:$D$50)</f>
        <v>94782.554060400013</v>
      </c>
      <c r="N10" s="73" ph="1">
        <f>N9*33.183*LOOKUP(N11,密度!$A$2:$A$50,密度!$E$2:$E$50)</f>
        <v>157423.7855385</v>
      </c>
      <c r="O10" s="73" ph="1">
        <f>O9*20.428*LOOKUP(O11,密度!$A$2:$A$50,密度!$C$2:$C$50)</f>
        <v>23366.710796000003</v>
      </c>
      <c r="P10" s="73" ph="1">
        <f>P9*51.53*LOOKUP(P11,密度!$A$2:$A$50,密度!$B$2:$B$50)</f>
        <v>255666.44025100002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28675.938891600003</v>
      </c>
      <c r="S10" s="73" ph="1">
        <f>S9*1.5*1.5*3.1416*LOOKUP(S11,密度!$A$2:$A$50,密度!$L$2:$L$50)</f>
        <v>37474.211174399999</v>
      </c>
      <c r="T10" s="73" ph="1">
        <f>T9*1.5*1.5*3.1416*LOOKUP(T11,密度!$A$2:$A$50,密度!$L$2:$L$50)</f>
        <v>43256.827845</v>
      </c>
      <c r="U10" s="73" ph="1">
        <f>U9*1.5*1.5*3.1416*LOOKUP(U11,密度!$A$2:$A$50,密度!$L$2:$L$50)</f>
        <v>16937.496575999998</v>
      </c>
      <c r="V10" s="73" ph="1">
        <f>V9*1.5*1.5*3.1416*LOOKUP(V11,密度!$A$2:$A$50,密度!$L$2:$L$50)</f>
        <v>17066.357154000001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126346.69485900001</v>
      </c>
      <c r="AA10" s="73" ph="1">
        <f>AA9*33.183*LOOKUP(AA11,密度!$A$2:$A$50,密度!$D$2:$D$50)</f>
        <v>21852.080629200002</v>
      </c>
      <c r="AB10" s="73" ph="1">
        <f>AB9*20.428*LOOKUP(AB11,密度!$A$2:$A$50,密度!$D$2:$D$50)</f>
        <v>62385.150911999997</v>
      </c>
      <c r="AC10" s="73" ph="1">
        <f>AC9*51.53*LOOKUP(AC11,密度!$A$2:$A$50,密度!$Q$2:$Q$50)</f>
        <v>88593.772857599994</v>
      </c>
      <c r="AD10" s="73" ph="1">
        <f>AD9*20.428*LOOKUP(AD11,密度!$A$2:$A$50,密度!$V$2:$V$50)</f>
        <v>63654.269011199998</v>
      </c>
      <c r="AE10" s="73" ph="1">
        <f>AE9*20.428</f>
        <v>78647.8</v>
      </c>
    </row>
    <row r="11" spans="1:99" ph="1">
      <c r="A11" s="64" t="s" ph="1">
        <v>162</v>
      </c>
      <c r="B11" s="182" ph="1"/>
      <c r="C11" s="145" t="s" ph="1">
        <v>179</v>
      </c>
      <c r="D11" s="74">
        <v>31</v>
      </c>
      <c r="E11" s="74">
        <v>33</v>
      </c>
      <c r="F11" s="74">
        <v>29</v>
      </c>
      <c r="G11" s="74">
        <v>35</v>
      </c>
      <c r="H11" s="74">
        <v>35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31</v>
      </c>
      <c r="O11" s="74">
        <v>40</v>
      </c>
      <c r="P11" s="74">
        <v>33</v>
      </c>
      <c r="Q11" s="74">
        <v>35</v>
      </c>
      <c r="R11" s="74">
        <v>36</v>
      </c>
      <c r="S11" s="74">
        <v>26</v>
      </c>
      <c r="T11" s="74">
        <v>27</v>
      </c>
      <c r="U11" s="74">
        <v>26</v>
      </c>
      <c r="V11" s="74">
        <v>28</v>
      </c>
      <c r="W11" s="74">
        <v>38</v>
      </c>
      <c r="X11" s="74">
        <v>28</v>
      </c>
      <c r="Y11" s="74">
        <v>32</v>
      </c>
      <c r="Z11" s="74">
        <v>29</v>
      </c>
      <c r="AA11" s="74">
        <v>33</v>
      </c>
      <c r="AB11" s="74">
        <v>27</v>
      </c>
      <c r="AC11" s="74">
        <v>31</v>
      </c>
      <c r="AD11" s="74">
        <v>34</v>
      </c>
      <c r="AE11" s="74">
        <v>34</v>
      </c>
    </row>
    <row r="12" spans="1:99" ht="9.9" customHeight="1" ph="1"/>
    <row r="13" spans="1:99" s="72" customFormat="1" ht="29.25" customHeight="1" ph="1">
      <c r="B13" s="190" t="s" ph="1">
        <v>37</v>
      </c>
      <c r="C13" s="14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77" t="s" ph="1">
        <v>636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45" t="s" ph="1">
        <v>177</v>
      </c>
      <c r="D15" s="78">
        <v>3694</v>
      </c>
      <c r="E15" s="78">
        <v>53</v>
      </c>
      <c r="F15" s="78">
        <v>3008</v>
      </c>
      <c r="G15" s="78">
        <v>3539</v>
      </c>
      <c r="H15" s="78">
        <v>0</v>
      </c>
      <c r="I15" s="78">
        <v>3931</v>
      </c>
      <c r="J15" s="78">
        <v>209</v>
      </c>
      <c r="K15" s="78">
        <v>3106</v>
      </c>
      <c r="L15" s="78">
        <v>5346</v>
      </c>
      <c r="M15" s="78">
        <v>6699</v>
      </c>
      <c r="N15" s="78">
        <v>2095</v>
      </c>
      <c r="O15" s="78">
        <v>6862</v>
      </c>
      <c r="P15" s="78">
        <v>3384</v>
      </c>
      <c r="Q15" s="78">
        <v>5271</v>
      </c>
      <c r="R15" s="78">
        <v>4857</v>
      </c>
      <c r="S15" s="78">
        <v>1655</v>
      </c>
      <c r="T15" s="78">
        <v>5232</v>
      </c>
      <c r="U15" s="78">
        <v>2599</v>
      </c>
      <c r="V15" s="78">
        <v>850</v>
      </c>
      <c r="W15" s="71">
        <v>5385</v>
      </c>
      <c r="X15" s="78">
        <v>1285</v>
      </c>
      <c r="Y15" s="106">
        <v>-9906</v>
      </c>
      <c r="Z15" s="78">
        <v>0</v>
      </c>
      <c r="AA15" s="78">
        <v>6126</v>
      </c>
      <c r="AB15" s="78" ph="1">
        <v>1097</v>
      </c>
      <c r="AC15" s="78" ph="1">
        <v>0</v>
      </c>
      <c r="AD15" s="78">
        <v>41.94</v>
      </c>
      <c r="AE15" s="78">
        <v>5.27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45" t="s" ph="1">
        <v>178</v>
      </c>
      <c r="D16" s="73" ph="1">
        <f>D15*7.0686*LOOKUP(D17,密度!$A$2:$A$50,密度!$L$2:$L$50)</f>
        <v>24335.832628800003</v>
      </c>
      <c r="E16" s="73" ph="1">
        <f>E15*7.0686*LOOKUP(E17,密度!$A$2:$A$50,密度!$L$2:$L$50)</f>
        <v>349.16056560000004</v>
      </c>
      <c r="F16" s="73" ph="1">
        <f>F15*9.0746*LOOKUP(F17,密度!$A$2:$A$50,密度!$L$2:$L$50)</f>
        <v>25494.834611200004</v>
      </c>
      <c r="G16" s="73" ph="1">
        <f>G15*9.0746*LOOKUP(G17,密度!$A$2:$A$50,密度!$B$2:$B$50)</f>
        <v>24982.265812260001</v>
      </c>
      <c r="H16" s="73" ph="1">
        <f>H15*9.0746*LOOKUP(H17,密度!$A$2:$A$50,密度!$L$2:$L$50)</f>
        <v>0</v>
      </c>
      <c r="I16" s="73" ph="1">
        <f>I15*9.0746*LOOKUP(I17,密度!$A$2:$A$50,密度!$U$2:$U$50)</f>
        <v>36492.714409799999</v>
      </c>
      <c r="J16" s="73" ph="1">
        <f>J15*9.0746*LOOKUP(J17,密度!$A$2:$A$50,密度!$L$2:$L$50)</f>
        <v>1773.3129590000001</v>
      </c>
      <c r="K16" s="73" ph="1">
        <f>K15*9.0746*LOOKUP(K17,密度!$A$2:$A$50,密度!$C$2:$C$50)</f>
        <v>31190.304030160001</v>
      </c>
      <c r="L16" s="73" ph="1">
        <f>L15*9.0746*LOOKUP(L17,密度!$A$2:$A$50,密度!$E$2:$E$50)</f>
        <v>37776.926392919995</v>
      </c>
      <c r="M16" s="73" ph="1">
        <f>M15*9.0746*LOOKUP(M17,密度!$A$2:$A$50,密度!$M$2:$M$50)</f>
        <v>52948.739243399999</v>
      </c>
      <c r="N16" s="73" ph="1">
        <f>N15*9.0746*LOOKUP(N17,密度!$A$2:$A$50,密度!$M$2:$M$50)</f>
        <v>16598.7546797</v>
      </c>
      <c r="O16" s="73" ph="1">
        <f>O15*9.0746*LOOKUP(O17,密度!$A$2:$A$50,密度!$G$2:$G$50)</f>
        <v>59523.802380679997</v>
      </c>
      <c r="P16" s="73" ph="1">
        <f ca="1">P15*9.0746*LOOKUP(P17,密度!$A$2:$A$51,密度!$Q$2:$Q$50)</f>
        <v>28986.623810352001</v>
      </c>
      <c r="Q16" s="73" ph="1">
        <f>Q15*9.0746*LOOKUP(Q17,密度!$A$2:$A$50,密度!$Q$2:$Q$50)</f>
        <v>45121.564885278</v>
      </c>
      <c r="R16" s="73" ph="1">
        <f>MAX(R15*9.0746*LOOKUP(R17,密度!$A$2:$A$50,密度!$B$2:$B$50),0)</f>
        <v>34211.272853640003</v>
      </c>
      <c r="S16" s="73" ph="1">
        <f>S15*9.0746*LOOKUP(S17,密度!$A$2:$A$50,密度!$Q$2:$Q$50)</f>
        <v>14167.366701790001</v>
      </c>
      <c r="T16" s="73" ph="1">
        <f>T15*9.0746*LOOKUP(T17,密度!$A$2:$A$50,密度!$O$2:$O$50)</f>
        <v>43964.912467200003</v>
      </c>
      <c r="U16" s="73" ph="1">
        <f>U15*9.0746*LOOKUP(U17,密度!$A$2:$A$50,密度!$H$2:$H$50)</f>
        <v>21462.245714000001</v>
      </c>
      <c r="V16" s="73" ph="1">
        <f>MAX(5600*LOOKUP(V17,密度!$A$2:$A$50,密度!$Q$2:$Q$50)+V15*9.0476*LOOKUP(V17,密度!$A$2:$A$50,密度!$Q$2:$Q$50),0)</f>
        <v>12537.289631799998</v>
      </c>
      <c r="W16" s="73" ph="1">
        <f>MAX(5600*LOOKUP(W17,密度!$A$2:$A$50,密度!$Q$2:$Q$50)+W15*9.0476*LOOKUP(W17,密度!$A$2:$A$50,密度!$Q$2:$Q$50),0)</f>
        <v>51242.936455579998</v>
      </c>
      <c r="X16" s="73" ph="1">
        <f>MAX(5600*LOOKUP(X17,密度!$A$2:$A$50,密度!$I$2:$I$50)+X15*9.0476*LOOKUP(X17,密度!$A$2:$A$50,密度!$I$2:$I$50),0)</f>
        <v>17837.867154659998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43288.711388520001</v>
      </c>
      <c r="AB16" s="73" ph="1">
        <f>AB15*9.0746*LOOKUP(AB17,密度!$A$2:$A$50,密度!$L$2:$L$50)</f>
        <v>9307.771847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10005.728800319999</v>
      </c>
      <c r="AE16" s="73" ph="1">
        <f>AE15*268.68*LOOKUP(AE17,密度!$A$2:$A$50,密度!B2:B50)+IF(AE15&lt;=0,0,1566*LOOKUP(AE17,密度!$A$2:$A$50,密度!B2:B50))</f>
        <v>2324.72323056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30</v>
      </c>
      <c r="E17" s="74">
        <v>30</v>
      </c>
      <c r="F17" s="74">
        <v>28</v>
      </c>
      <c r="G17" s="74">
        <v>27</v>
      </c>
      <c r="H17" s="74">
        <v>25</v>
      </c>
      <c r="I17" s="74">
        <v>27</v>
      </c>
      <c r="J17" s="74">
        <v>27</v>
      </c>
      <c r="K17" s="74">
        <v>28</v>
      </c>
      <c r="L17" s="74">
        <v>29</v>
      </c>
      <c r="M17" s="74">
        <v>29</v>
      </c>
      <c r="N17" s="74">
        <v>27</v>
      </c>
      <c r="O17" s="74">
        <v>29</v>
      </c>
      <c r="P17" s="74">
        <v>29</v>
      </c>
      <c r="Q17" s="74">
        <v>30</v>
      </c>
      <c r="R17" s="74">
        <v>29</v>
      </c>
      <c r="S17" s="74">
        <v>30</v>
      </c>
      <c r="T17" s="74">
        <v>29</v>
      </c>
      <c r="U17" s="74">
        <v>30</v>
      </c>
      <c r="V17" s="74">
        <v>30</v>
      </c>
      <c r="W17" s="74">
        <v>30</v>
      </c>
      <c r="X17" s="74">
        <v>31</v>
      </c>
      <c r="Y17" s="108">
        <v>31</v>
      </c>
      <c r="Z17" s="74">
        <v>28</v>
      </c>
      <c r="AA17" s="74">
        <v>26</v>
      </c>
      <c r="AB17" s="74">
        <v>27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1113</v>
      </c>
      <c r="E18" s="71">
        <v>3032</v>
      </c>
      <c r="F18" s="71">
        <v>3010</v>
      </c>
      <c r="G18" s="71">
        <v>193</v>
      </c>
      <c r="H18" s="71">
        <v>0</v>
      </c>
      <c r="I18" s="71">
        <v>3933</v>
      </c>
      <c r="J18" s="71">
        <v>225</v>
      </c>
      <c r="K18" s="71">
        <v>3107</v>
      </c>
      <c r="L18" s="71">
        <v>5356</v>
      </c>
      <c r="M18" s="71">
        <v>5635</v>
      </c>
      <c r="N18" s="71">
        <v>1235</v>
      </c>
      <c r="O18" s="71">
        <v>6870</v>
      </c>
      <c r="P18" s="71">
        <v>3387</v>
      </c>
      <c r="Q18" s="71">
        <v>3488</v>
      </c>
      <c r="R18" s="71">
        <v>4861</v>
      </c>
      <c r="S18" s="71">
        <v>1655</v>
      </c>
      <c r="T18" s="71">
        <v>5164</v>
      </c>
      <c r="U18" s="71">
        <v>2600</v>
      </c>
      <c r="V18" s="71">
        <v>850</v>
      </c>
      <c r="W18" s="71">
        <v>5385</v>
      </c>
      <c r="X18" s="71">
        <v>1285</v>
      </c>
      <c r="Y18" s="109">
        <v>-9906</v>
      </c>
      <c r="Z18" s="71">
        <v>0</v>
      </c>
      <c r="AA18" s="71">
        <v>6134</v>
      </c>
      <c r="AB18" s="71">
        <v>1096</v>
      </c>
      <c r="AC18" s="71">
        <v>0</v>
      </c>
      <c r="AD18" s="71">
        <v>59.29</v>
      </c>
      <c r="AE18" s="71">
        <v>31.51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45" t="s" ph="1">
        <v>178</v>
      </c>
      <c r="D19" s="73" ph="1">
        <f>D18*7.0686*LOOKUP(D20,密度!$A$2:$A$50,密度!$L$2:$L$50)</f>
        <v>7308.7698222000008</v>
      </c>
      <c r="E19" s="73" ph="1">
        <f>E18*7.0686*LOOKUP(E20,密度!$A$2:$A$50,密度!$L$2:$L$50)</f>
        <v>19910.323540800004</v>
      </c>
      <c r="F19" s="73" ph="1">
        <f>F18*9.0746*LOOKUP(F20,密度!$A$2:$A$50,密度!$L$2:$L$50)</f>
        <v>25402.527780000004</v>
      </c>
      <c r="G19" s="73" ph="1">
        <f>G18*9.0746*LOOKUP(G20,密度!$A$2:$A$50,密度!$B$2:$B$50)</f>
        <v>1356.2824563199999</v>
      </c>
      <c r="H19" s="73" ph="1">
        <f>H18*9.0746*LOOKUP(H20,密度!$A$2:$A$50,密度!$L$2:$L$50)</f>
        <v>0</v>
      </c>
      <c r="I19" s="73" ph="1">
        <f>I18*9.0746*LOOKUP(I20,密度!$A$2:$A$50,密度!$U$2:$U$50)</f>
        <v>36332.829032399997</v>
      </c>
      <c r="J19" s="73" ph="1">
        <f>J18*9.0746*LOOKUP(J20,密度!$A$2:$A$50,密度!$L$2:$L$50)</f>
        <v>1898.8600500000002</v>
      </c>
      <c r="K19" s="73" ph="1">
        <f>K18*9.0746*LOOKUP(K20,密度!$A$2:$A$50,密度!$C$2:$C$50)</f>
        <v>31129.859027020004</v>
      </c>
      <c r="L19" s="73" ph="1">
        <f>L18*9.0746*LOOKUP(L20,密度!$A$2:$A$50,密度!$E$2:$E$50)</f>
        <v>37738.232298520001</v>
      </c>
      <c r="M19" s="73" ph="1">
        <f>M18*9.0746*LOOKUP(M20,密度!$A$2:$A$50,密度!$M$2:$M$50)</f>
        <v>44429.989800770003</v>
      </c>
      <c r="N19" s="73" ph="1">
        <f>N18*9.0746*LOOKUP(N20,密度!$A$2:$A$50,密度!$M$2:$M$50)</f>
        <v>9737.5399119699996</v>
      </c>
      <c r="O19" s="73" ph="1">
        <f>O18*9.0746*LOOKUP(O20,密度!$A$2:$A$50,密度!$G$2:$G$50)</f>
        <v>59456.667582419999</v>
      </c>
      <c r="P19" s="73" ph="1">
        <f ca="1">P18*9.0746*LOOKUP(P20,密度!$A$2:$A$51,密度!$Q$2:$Q$50)</f>
        <v>28949.92776138</v>
      </c>
      <c r="Q19" s="73" ph="1">
        <f>Q18*9.0746*LOOKUP(Q20,密度!$A$2:$A$50,密度!$Q$2:$Q$50)</f>
        <v>29792.637768000001</v>
      </c>
      <c r="R19" s="73" ph="1">
        <f>MAX(R18*9.0746*LOOKUP(R20,密度!$A$2:$A$50,密度!$B$2:$B$50),0)</f>
        <v>34120.346269100002</v>
      </c>
      <c r="S19" s="73" ph="1">
        <f>S18*9.0746*LOOKUP(S20,密度!$A$2:$A$50,密度!$Q$2:$Q$50)</f>
        <v>14136.12829875</v>
      </c>
      <c r="T19" s="73" ph="1">
        <f>T18*9.0746*LOOKUP(T20,密度!$A$2:$A$50,密度!$O$2:$O$50)</f>
        <v>43206.058116800006</v>
      </c>
      <c r="U19" s="73" ph="1">
        <f>U18*9.0746*LOOKUP(U20,密度!$A$2:$A$50,密度!$H$2:$H$50)</f>
        <v>21402.317055599997</v>
      </c>
      <c r="V19" s="73" ph="1">
        <f>MAX(5600*LOOKUP(V20,密度!$A$2:$A$50,密度!$Q$2:$Q$50)+V18*9.0476*LOOKUP(V20,密度!$A$2:$A$50,密度!$Q$2:$Q$50),0)</f>
        <v>12509.645474999999</v>
      </c>
      <c r="W19" s="73" ph="1">
        <f>MAX(5600*LOOKUP(W20,密度!$A$2:$A$50,密度!$Q$2:$Q$50)+W18*9.0476*LOOKUP(W20,密度!$A$2:$A$50,密度!$Q$2:$Q$50),0)</f>
        <v>51058.787160439992</v>
      </c>
      <c r="X19" s="73" ph="1">
        <f>MAX(5600*LOOKUP(X20,密度!$A$2:$A$50,密度!$I$2:$I$50)+X18*9.0476*LOOKUP(X20,密度!$A$2:$A$50,密度!$I$2:$I$50),0)</f>
        <v>17799.625066140001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43155.986288920001</v>
      </c>
      <c r="AB19" s="73" ph="1">
        <f>AB18*9.0746*LOOKUP(AB20,密度!$A$2:$A$50,密度!$L$2:$L$50)</f>
        <v>9219.7210032000003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13594.4209044</v>
      </c>
      <c r="AE19" s="73" ph="1">
        <f>AE18*268.68*LOOKUP(AE20,密度!$A$2:$A$50,密度!B5:B53)+IF(AE18&lt;=0,0,1566*LOOKUP(AE20,密度!$A$2:$A$50,密度!B5:B53))</f>
        <v>7794.9469836000017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33</v>
      </c>
      <c r="E20" s="81">
        <v>33</v>
      </c>
      <c r="F20" s="81">
        <v>32</v>
      </c>
      <c r="G20" s="81">
        <v>31</v>
      </c>
      <c r="H20" s="81">
        <v>30</v>
      </c>
      <c r="I20" s="81">
        <v>32</v>
      </c>
      <c r="J20" s="81">
        <v>32</v>
      </c>
      <c r="K20" s="81">
        <v>31</v>
      </c>
      <c r="L20" s="81">
        <v>31</v>
      </c>
      <c r="M20" s="81">
        <v>31</v>
      </c>
      <c r="N20" s="81">
        <v>31</v>
      </c>
      <c r="O20" s="81">
        <v>31</v>
      </c>
      <c r="P20" s="81">
        <v>32</v>
      </c>
      <c r="Q20" s="81">
        <v>33</v>
      </c>
      <c r="R20" s="81">
        <v>32</v>
      </c>
      <c r="S20" s="81">
        <v>33</v>
      </c>
      <c r="T20" s="81">
        <v>32</v>
      </c>
      <c r="U20" s="81">
        <v>33</v>
      </c>
      <c r="V20" s="81">
        <v>33</v>
      </c>
      <c r="W20" s="81">
        <v>35</v>
      </c>
      <c r="X20" s="81">
        <v>33</v>
      </c>
      <c r="Y20" s="110">
        <v>33</v>
      </c>
      <c r="Z20" s="81">
        <v>35</v>
      </c>
      <c r="AA20" s="81">
        <v>30</v>
      </c>
      <c r="AB20" s="81">
        <v>35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45" t="s" ph="1">
        <v>177</v>
      </c>
      <c r="D24" s="71">
        <v>85.31</v>
      </c>
      <c r="E24" s="71">
        <v>55.17</v>
      </c>
      <c r="F24" s="71">
        <v>3751</v>
      </c>
      <c r="G24" s="71">
        <v>1308</v>
      </c>
      <c r="H24" s="71">
        <v>2597</v>
      </c>
      <c r="I24" s="71">
        <v>1461</v>
      </c>
      <c r="J24" s="71">
        <v>713</v>
      </c>
      <c r="K24" s="71">
        <v>2327</v>
      </c>
      <c r="L24" s="71">
        <v>5615</v>
      </c>
      <c r="M24" s="71">
        <v>4358</v>
      </c>
      <c r="N24" s="71">
        <v>4748</v>
      </c>
      <c r="O24" s="71">
        <v>4322</v>
      </c>
      <c r="P24" s="71">
        <v>681</v>
      </c>
      <c r="Q24" s="90">
        <v>4799</v>
      </c>
      <c r="R24" s="71">
        <v>370</v>
      </c>
      <c r="S24" s="71">
        <v>1182</v>
      </c>
      <c r="T24" s="71">
        <v>1697</v>
      </c>
      <c r="U24" s="71">
        <v>5980</v>
      </c>
      <c r="V24" s="71">
        <v>6685</v>
      </c>
      <c r="W24" s="71">
        <v>5136</v>
      </c>
      <c r="X24" s="71">
        <v>3188</v>
      </c>
      <c r="Y24" s="71">
        <v>2903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23182.908343992003</v>
      </c>
      <c r="E25" s="91" ph="1">
        <f>E24*268.68*LOOKUP(E26,密度!$A$2:$A$50,密度!$C$2:$C$50)+IF(E24&lt;=0,0,1566*LOOKUP(E26,密度!$A$2:$A$50,密度!$C$2:$C$50))</f>
        <v>18173.845932840002</v>
      </c>
      <c r="F25" s="91" ph="1">
        <f>F24*11.702*LOOKUP(F26,密度!$A$2:$A$50,密度!$Q$2:$Q$50)</f>
        <v>41406.717572659996</v>
      </c>
      <c r="G25" s="91" ph="1">
        <f>G24*18.322*LOOKUP(G26,密度!$A$2:$A$50,密度!$B$2:$B$50)</f>
        <v>18580.200952799998</v>
      </c>
      <c r="H25" s="91" ph="1">
        <f>H24*18.322*LOOKUP(H26,密度!$A$2:$A$50,密度!$B$2:$B$50)</f>
        <v>36847.682009599994</v>
      </c>
      <c r="I25" s="91" ph="1">
        <f>I24*18.322*LOOKUP(I26,密度!$A$2:$A$50,密度!$Q$2:$Q$50)</f>
        <v>25231.398060359999</v>
      </c>
      <c r="J25" s="91" ph="1">
        <f>J24*18.322*LOOKUP(J26,密度!$A$2:$A$50,密度!$Q$2:$Q$50)</f>
        <v>12313.47489188</v>
      </c>
      <c r="K25" s="91" ph="1">
        <f>K24*18.322*LOOKUP(K26,密度!$A$2:$A$50,密度!$Q$2:$Q$50)</f>
        <v>40219.151889020002</v>
      </c>
      <c r="L25" s="91" ph="1">
        <f>L24*18.322*LOOKUP(L26,密度!$A$2:$A$50,密度!$Q$2:$Q$50)</f>
        <v>97047.932039899999</v>
      </c>
      <c r="M25" s="91" ph="1">
        <f>M24*18.322*LOOKUP(M26,密度!$A$2:$A$50,密度!$Q$2:$Q$50)</f>
        <v>75262.445412079993</v>
      </c>
      <c r="N25" s="91" ph="1">
        <f>N24*18.322*LOOKUP(N26,密度!$A$2:$A$50,密度!$Q$2:$Q$50)</f>
        <v>82062.970850479993</v>
      </c>
      <c r="O25" s="91" ph="1">
        <f>O24*18.322*LOOKUP(O26,密度!$A$2:$A$50,密度!$C$2:$C$50)</f>
        <v>87431.121904400003</v>
      </c>
      <c r="P25" s="91" ph="1">
        <f>P24*11.702*LOOKUP(P26,密度!$A$2:$A$50,密度!$B$2:$B$50)</f>
        <v>6178.4137685999995</v>
      </c>
      <c r="Q25" s="92" ph="1">
        <f>Q24*18.322*LOOKUP(Q26,密度!$A$2:$A$50,密度!$B$2:$B$50)</f>
        <v>68090.884083199984</v>
      </c>
      <c r="R25" s="91" ph="1">
        <f>R24*35.891*LOOKUP(R26,密度!$A$2:$A$50,密度!$C$2:$C$50)</f>
        <v>14675.363316999999</v>
      </c>
      <c r="S25" s="91" ph="1">
        <f>S24*35.891*LOOKUP(S26,密度!$A$2:$A$50,密度!$B$2:$B$50)</f>
        <v>32890.677498599995</v>
      </c>
      <c r="T25" s="91" ph="1">
        <f>T24*35.891*LOOKUP(T26,密度!$A$2:$A$50,密度!$Q$2:$Q$50)</f>
        <v>57455.425779909994</v>
      </c>
      <c r="U25" s="91" ph="1">
        <f>U24*35.891</f>
        <v>214628.18</v>
      </c>
      <c r="V25" s="91" ph="1">
        <f>V24*47.051*LOOKUP(V26,密度!$A$2:$A$50,密度!$B$2:$B$50)</f>
        <v>243859.71040549999</v>
      </c>
      <c r="W25" s="91" ph="1">
        <f>W24*47.051*LOOKUP(W26,密度!$A$2:$A$50,密度!$B$2:$B$50)</f>
        <v>187354.2965808</v>
      </c>
      <c r="X25" s="91" ph="1">
        <f>X24*47.051*LOOKUP(X26,密度!$A$2:$A$50,密度!$I$2:$I$50)</f>
        <v>155325.03785988002</v>
      </c>
      <c r="Y25" s="91" ph="1">
        <f>Y24*47.051*LOOKUP(Y26,密度!$A$2:$A$50,密度!$L$2:$L$50)</f>
        <v>127300.99739600002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30</v>
      </c>
      <c r="G26" s="74">
        <v>30</v>
      </c>
      <c r="H26" s="74">
        <v>31</v>
      </c>
      <c r="I26" s="74">
        <v>31</v>
      </c>
      <c r="J26" s="74">
        <v>31</v>
      </c>
      <c r="K26" s="74">
        <v>30</v>
      </c>
      <c r="L26" s="74">
        <v>30</v>
      </c>
      <c r="M26" s="74">
        <v>31</v>
      </c>
      <c r="N26" s="74">
        <v>30</v>
      </c>
      <c r="O26" s="74">
        <v>31</v>
      </c>
      <c r="P26" s="74">
        <v>30</v>
      </c>
      <c r="Q26" s="93">
        <v>31</v>
      </c>
      <c r="R26" s="74">
        <v>30</v>
      </c>
      <c r="S26" s="74">
        <v>30</v>
      </c>
      <c r="T26" s="74">
        <v>30</v>
      </c>
      <c r="U26" s="74">
        <v>31</v>
      </c>
      <c r="V26" s="74">
        <v>30</v>
      </c>
      <c r="W26" s="74">
        <v>30</v>
      </c>
      <c r="X26" s="74">
        <v>31</v>
      </c>
      <c r="Y26" s="74">
        <v>30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45" t="s" ph="1">
        <v>180</v>
      </c>
      <c r="D27" s="71">
        <v>85.32</v>
      </c>
      <c r="E27" s="71">
        <v>55.11</v>
      </c>
      <c r="F27" s="71">
        <v>2916</v>
      </c>
      <c r="G27" s="71">
        <v>220</v>
      </c>
      <c r="H27" s="71">
        <v>2105</v>
      </c>
      <c r="I27" s="71">
        <v>1459</v>
      </c>
      <c r="J27" s="71">
        <v>950</v>
      </c>
      <c r="K27" s="71">
        <v>2252</v>
      </c>
      <c r="L27" s="71">
        <v>5611</v>
      </c>
      <c r="M27" s="71">
        <v>4888</v>
      </c>
      <c r="N27" s="71">
        <v>4060</v>
      </c>
      <c r="O27" s="71">
        <v>4317</v>
      </c>
      <c r="P27" s="71">
        <v>678</v>
      </c>
      <c r="Q27" s="90">
        <v>4529</v>
      </c>
      <c r="R27" s="71">
        <v>366</v>
      </c>
      <c r="S27" s="71">
        <v>941</v>
      </c>
      <c r="T27" s="71">
        <v>1695</v>
      </c>
      <c r="U27" s="71">
        <v>6008</v>
      </c>
      <c r="V27" s="71">
        <v>6684</v>
      </c>
      <c r="W27" s="71">
        <v>4824</v>
      </c>
      <c r="X27" s="71">
        <v>2817</v>
      </c>
      <c r="Y27" s="71">
        <v>1479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45" t="s" ph="1">
        <v>178</v>
      </c>
      <c r="D28" s="91" ph="1">
        <f>D27*268.68*LOOKUP(D29,密度!$A$2:$A$50,密度!$Q$2:$Q$50)+IF(D27&lt;=0,0,1566*LOOKUP(D29,密度!$A$2:$A$50,密度!$Q$2:$Q$50))</f>
        <v>23185.452045024002</v>
      </c>
      <c r="E28" s="91" ph="1">
        <f>E27*268.68*LOOKUP(E29,密度!$A$2:$A$50,密度!$C$2:$C$50)+IF(E27&lt;=0,0,1566*LOOKUP(E29,密度!$A$2:$A$50,密度!$C$2:$C$50))</f>
        <v>18155.96957772</v>
      </c>
      <c r="F28" s="91" ph="1">
        <f>F27*11.702*LOOKUP(F29,密度!$A$2:$A$50,密度!$Q$2:$Q$50)</f>
        <v>32163.687502559998</v>
      </c>
      <c r="G28" s="91" ph="1">
        <f>G27*18.322*LOOKUP(G29,密度!$A$2:$A$50,密度!$B$2:$B$50)</f>
        <v>3121.4824959999996</v>
      </c>
      <c r="H28" s="91" ph="1">
        <f>H27*18.322*LOOKUP(H29,密度!$A$2:$A$50,密度!$B$2:$B$50)</f>
        <v>29832.201034999998</v>
      </c>
      <c r="I28" s="91" ph="1">
        <f>I27*18.322*LOOKUP(I29,密度!$A$2:$A$50,密度!$Q$2:$Q$50)</f>
        <v>25178.680536199998</v>
      </c>
      <c r="J28" s="91" ph="1">
        <f>J27*18.322*LOOKUP(J29,密度!$A$2:$A$50,密度!$Q$2:$Q$50)</f>
        <v>16406.453221999996</v>
      </c>
      <c r="K28" s="91" ph="1">
        <f>K27*18.322*LOOKUP(K29,密度!$A$2:$A$50,密度!$Q$2:$Q$50)</f>
        <v>38863.871533599995</v>
      </c>
      <c r="L28" s="91" ph="1">
        <f>L27*18.322*LOOKUP(L29,密度!$A$2:$A$50,密度!$Q$2:$Q$50)</f>
        <v>96831.786489799997</v>
      </c>
      <c r="M28" s="91" ph="1">
        <f>M27*18.322*LOOKUP(M29,密度!$A$2:$A$50,密度!$Q$2:$Q$50)</f>
        <v>84354.6199184</v>
      </c>
      <c r="N28" s="91" ph="1">
        <f>N27*18.322*LOOKUP(N29,密度!$A$2:$A$50,密度!$Q$2:$Q$50)</f>
        <v>70116.000085599997</v>
      </c>
      <c r="O28" s="91" ph="1">
        <f>O27*18.322*LOOKUP(O29,密度!$A$2:$A$50,密度!$C$2:$C$50)</f>
        <v>87329.975303400002</v>
      </c>
      <c r="P28" s="91" ph="1">
        <f>P27*11.702*LOOKUP(P29,密度!$A$2:$A$50,密度!$B$2:$B$50)</f>
        <v>6136.9149660000003</v>
      </c>
      <c r="Q28" s="92" ph="1">
        <f>Q27*18.322*LOOKUP(Q29,密度!$A$2:$A$50,密度!$B$2:$B$50)</f>
        <v>64185.291443000002</v>
      </c>
      <c r="R28" s="91" ph="1">
        <f>R27*35.891*LOOKUP(R29,密度!$A$2:$A$50,密度!$C$2:$C$50)</f>
        <v>14503.574634600001</v>
      </c>
      <c r="S28" s="91" ph="1">
        <f>S27*35.891*LOOKUP(S29,密度!$A$2:$A$50,密度!$B$2:$B$50)</f>
        <v>26123.748878499995</v>
      </c>
      <c r="T28" s="91" ph="1">
        <f>T27*35.891*LOOKUP(T29,密度!$A$2:$A$50,密度!$Q$2:$Q$50)</f>
        <v>57300.717265499996</v>
      </c>
      <c r="U28" s="91" ph="1">
        <f>U27*35.891</f>
        <v>215633.128</v>
      </c>
      <c r="V28" s="91" ph="1">
        <f>V27*47.051*LOOKUP(V29,密度!$A$2:$A$50,密度!$B$2:$B$50)</f>
        <v>243540.1917696</v>
      </c>
      <c r="W28" s="91" ph="1">
        <f>W27*47.051*LOOKUP(W29,密度!$A$2:$A$50,密度!$B$2:$B$50)</f>
        <v>175564.40756399999</v>
      </c>
      <c r="X28" s="91" ph="1">
        <f>X27*47.051*LOOKUP(X29,密度!$A$2:$A$50,密度!$I$2:$I$50)</f>
        <v>137102.13474480002</v>
      </c>
      <c r="Y28" s="91" ph="1">
        <f>Y27*47.051*LOOKUP(Y29,密度!$A$2:$A$50,密度!$L$2:$L$50)</f>
        <v>64786.827399000009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45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32</v>
      </c>
      <c r="I29" s="74">
        <v>32</v>
      </c>
      <c r="J29" s="74">
        <v>31</v>
      </c>
      <c r="K29" s="74">
        <v>32</v>
      </c>
      <c r="L29" s="74">
        <v>32</v>
      </c>
      <c r="M29" s="74">
        <v>32</v>
      </c>
      <c r="N29" s="74">
        <v>31</v>
      </c>
      <c r="O29" s="74">
        <v>31</v>
      </c>
      <c r="P29" s="74">
        <v>32</v>
      </c>
      <c r="Q29" s="93">
        <v>32</v>
      </c>
      <c r="R29" s="74">
        <v>31</v>
      </c>
      <c r="S29" s="74">
        <v>32</v>
      </c>
      <c r="T29" s="74">
        <v>32</v>
      </c>
      <c r="U29" s="74">
        <v>31</v>
      </c>
      <c r="V29" s="74">
        <v>31</v>
      </c>
      <c r="W29" s="74">
        <v>32</v>
      </c>
      <c r="X29" s="74">
        <v>32</v>
      </c>
      <c r="Y29" s="74">
        <v>31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45" t="s" ph="1">
        <v>5</v>
      </c>
      <c r="F32" s="144" t="s" ph="1">
        <v>43</v>
      </c>
      <c r="G32" s="97" t="s" ph="1">
        <v>4</v>
      </c>
      <c r="H32" s="145" t="s" ph="1">
        <v>5</v>
      </c>
      <c r="I32" s="144" t="s" ph="1">
        <v>43</v>
      </c>
      <c r="J32" s="97" t="s" ph="1">
        <v>4</v>
      </c>
      <c r="K32" s="145" t="s" ph="1">
        <v>5</v>
      </c>
      <c r="L32" s="144" t="s" ph="1">
        <v>43</v>
      </c>
      <c r="M32" s="97" t="s" ph="1">
        <v>4</v>
      </c>
      <c r="N32" s="145" t="s" ph="1">
        <v>5</v>
      </c>
      <c r="O32" s="14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5" t="s" ph="1">
        <v>5</v>
      </c>
      <c r="U32" s="99" t="s" ph="1">
        <v>43</v>
      </c>
      <c r="V32" s="97" t="s" ph="1">
        <v>4</v>
      </c>
      <c r="W32" s="145" t="s" ph="1">
        <v>5</v>
      </c>
      <c r="X32" s="99" t="s" ph="1">
        <v>43</v>
      </c>
      <c r="Y32" s="100" t="s" ph="1">
        <v>4</v>
      </c>
      <c r="Z32" s="145" t="s" ph="1">
        <v>5</v>
      </c>
      <c r="AA32" s="144" t="s" ph="1">
        <v>43</v>
      </c>
      <c r="AB32" s="97" t="s" ph="1">
        <v>85</v>
      </c>
      <c r="AC32" s="145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84237.231541200003</v>
      </c>
      <c r="E33" s="204" ph="1">
        <f>M10+I10</f>
        <v>103473.76258000001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[[#This Row],[F25]]</f>
        <v>3880</v>
      </c>
      <c r="G33" s="208" ph="1">
        <v>0</v>
      </c>
      <c r="H33" s="204" ph="1">
        <f>N19</f>
        <v>9737.5399119699996</v>
      </c>
      <c r="I33" s="217" ph="1">
        <v>0</v>
      </c>
      <c r="J33" s="215" ph="1">
        <f>F10+O28</f>
        <v>338558.18292960001</v>
      </c>
      <c r="K33" s="204" ph="1">
        <f>O10+K10+E28+R28</f>
        <v>58336.359739520005</v>
      </c>
      <c r="L33" s="219" ph="1">
        <f>BE27</f>
        <v>7100</v>
      </c>
      <c r="M33" s="215" ph="1">
        <f>G10+H10+W28+S28+V28+E10</f>
        <v>1502771.9063010998</v>
      </c>
      <c r="N33" s="204" ph="1">
        <f>L10+P10++G28+H28</f>
        <v>296932.88314600004</v>
      </c>
      <c r="O33" s="217" ph="1">
        <f>BE17</f>
        <v>2270</v>
      </c>
      <c r="P33" s="215" ph="1">
        <f>L19</f>
        <v>37738.232298520001</v>
      </c>
      <c r="Q33" s="204" ph="1">
        <f>J10+N10</f>
        <v>159034.87104570001</v>
      </c>
      <c r="R33" s="217" ph="1">
        <f>BE23</f>
        <v>890</v>
      </c>
      <c r="S33" s="215" ph="1">
        <f>E10+X28</f>
        <v>494581.2346628001</v>
      </c>
      <c r="T33" s="204" ph="1">
        <f>X19</f>
        <v>17799.625066140001</v>
      </c>
      <c r="U33" s="225" ph="1">
        <f>BE21</f>
        <v>730</v>
      </c>
      <c r="V33" s="236" ph="1">
        <f ca="1">P19+Q19+S19+M28+N28+J28</f>
        <v>243755.76705412997</v>
      </c>
      <c r="W33" s="236" ph="1">
        <f>D28+F28+V19+T28</f>
        <v>125159.50228808398</v>
      </c>
      <c r="X33" s="217" ph="1">
        <f>BE29+BE31</f>
        <v>10200</v>
      </c>
      <c r="Y33" s="238" ph="1">
        <f>+Q10+R10+S10+T10+U10+V10+W10+X10+Y10</f>
        <v>143410.831641</v>
      </c>
      <c r="Z33" s="223" ph="1">
        <f>D10+T19+U19+Y28+Z10</f>
        <v>456857.07209060004</v>
      </c>
      <c r="AA33" s="225" ph="1">
        <f>BE19</f>
        <v>1440</v>
      </c>
      <c r="AB33" s="227" ph="1">
        <f>I19</f>
        <v>36332.829032399997</v>
      </c>
      <c r="AC33" s="229" ph="1">
        <f>AD10</f>
        <v>63654.269011199998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43" t="s" ph="1">
        <v>185</v>
      </c>
      <c r="AA36" s="143" ph="1"/>
      <c r="AB36" s="222" t="s" ph="1">
        <v>641</v>
      </c>
      <c r="AC36" s="222" ph="1"/>
      <c r="AD36" s="222" ph="1"/>
      <c r="AE36" s="222" ph="1"/>
      <c r="BA36" s="64" ph="1">
        <v>2270</v>
      </c>
    </row>
    <row r="37" spans="1:57" s="14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3" t="s" ph="1">
        <v>342</v>
      </c>
      <c r="AI37" s="143" t="s" ph="1">
        <v>209</v>
      </c>
      <c r="AJ37" s="143" t="s" ph="1">
        <v>210</v>
      </c>
      <c r="AK37" s="143" t="s" ph="1">
        <v>211</v>
      </c>
      <c r="AM37" s="143" t="s" ph="1">
        <v>210</v>
      </c>
      <c r="AN37" s="143" t="s" ph="1">
        <v>211</v>
      </c>
      <c r="AO37" s="143" t="s" ph="1">
        <v>212</v>
      </c>
      <c r="AP37" s="143" t="s" ph="1">
        <v>210</v>
      </c>
      <c r="AQ37" s="143" t="s" ph="1">
        <v>211</v>
      </c>
      <c r="AR37" s="143" t="s" ph="1">
        <v>212</v>
      </c>
      <c r="AS37" s="143" t="s" ph="1">
        <v>210</v>
      </c>
      <c r="AT37" s="143" t="s" ph="1">
        <v>211</v>
      </c>
      <c r="AU37" s="143" t="s" ph="1">
        <v>212</v>
      </c>
      <c r="AV37" s="143" t="s" ph="1">
        <v>210</v>
      </c>
      <c r="AW37" s="143" t="s" ph="1">
        <v>211</v>
      </c>
      <c r="AX37" s="143" t="s" ph="1">
        <v>212</v>
      </c>
      <c r="AY37" s="143" t="s" ph="1">
        <v>211</v>
      </c>
      <c r="AZ37" s="143" t="s" ph="1">
        <v>213</v>
      </c>
      <c r="BD37" s="143" t="s" ph="1">
        <v>305</v>
      </c>
      <c r="BE37" s="14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303" priority="98">
      <formula>ABS(D$7-D$10)&gt;=1000</formula>
    </cfRule>
  </conditionalFormatting>
  <conditionalFormatting sqref="E4 E6:E11">
    <cfRule type="expression" dxfId="2302" priority="97">
      <formula>ABS(E$7-E$10)&gt;=1000</formula>
    </cfRule>
  </conditionalFormatting>
  <conditionalFormatting sqref="F4:F11">
    <cfRule type="expression" dxfId="2301" priority="96">
      <formula>ABS(F$7-F$10)&gt;=1000</formula>
    </cfRule>
  </conditionalFormatting>
  <conditionalFormatting sqref="G4:G11">
    <cfRule type="expression" dxfId="2300" priority="95">
      <formula>ABS(G$7-G$10)&gt;=1000</formula>
    </cfRule>
  </conditionalFormatting>
  <conditionalFormatting sqref="H4:H11">
    <cfRule type="expression" dxfId="2299" priority="94">
      <formula>ABS(H$7-H$10)&gt;=1000</formula>
    </cfRule>
  </conditionalFormatting>
  <conditionalFormatting sqref="I4:I11">
    <cfRule type="expression" dxfId="2298" priority="93">
      <formula>ABS(I$7-I$10)&gt;=1000</formula>
    </cfRule>
  </conditionalFormatting>
  <conditionalFormatting sqref="J4:J11">
    <cfRule type="expression" dxfId="2297" priority="92">
      <formula>ABS(J$7-J$10)&gt;=1000</formula>
    </cfRule>
  </conditionalFormatting>
  <conditionalFormatting sqref="K4:K11">
    <cfRule type="expression" dxfId="2296" priority="91">
      <formula>ABS(K$7-K$10)&gt;=1000</formula>
    </cfRule>
  </conditionalFormatting>
  <conditionalFormatting sqref="L4:L11">
    <cfRule type="expression" dxfId="2295" priority="90">
      <formula>ABS(L$7-L$10)&gt;=1000</formula>
    </cfRule>
  </conditionalFormatting>
  <conditionalFormatting sqref="M4 M6:M11">
    <cfRule type="expression" dxfId="2294" priority="89">
      <formula>ABS(M$7-M$10)&gt;=1000</formula>
    </cfRule>
  </conditionalFormatting>
  <conditionalFormatting sqref="N4 N6:N11">
    <cfRule type="expression" dxfId="2293" priority="88">
      <formula>ABS(N$7-N$10)&gt;=1000</formula>
    </cfRule>
  </conditionalFormatting>
  <conditionalFormatting sqref="O4 O6:O11">
    <cfRule type="expression" dxfId="2292" priority="87">
      <formula>ABS(O$7-O$10)&gt;=1000</formula>
    </cfRule>
  </conditionalFormatting>
  <conditionalFormatting sqref="P4 P6:P11">
    <cfRule type="expression" dxfId="2291" priority="86">
      <formula>ABS(P$7-P$10)&gt;=1000</formula>
    </cfRule>
  </conditionalFormatting>
  <conditionalFormatting sqref="Q4:Q11">
    <cfRule type="expression" dxfId="2290" priority="85">
      <formula>ABS(Q$7-Q$10)&gt;=1000</formula>
    </cfRule>
  </conditionalFormatting>
  <conditionalFormatting sqref="R4:R11">
    <cfRule type="expression" dxfId="2289" priority="84">
      <formula>ABS(R$7-R$10)&gt;=1000</formula>
    </cfRule>
  </conditionalFormatting>
  <conditionalFormatting sqref="S4:S11">
    <cfRule type="expression" dxfId="2288" priority="83">
      <formula>ABS(S$7-S$10)&gt;=1000</formula>
    </cfRule>
  </conditionalFormatting>
  <conditionalFormatting sqref="T4:T9 T11">
    <cfRule type="expression" dxfId="2287" priority="82">
      <formula>ABS(T$7-T$10)&gt;=1000</formula>
    </cfRule>
  </conditionalFormatting>
  <conditionalFormatting sqref="U4:U9 U11">
    <cfRule type="expression" dxfId="2286" priority="81">
      <formula>ABS(U$7-U$10)&gt;=1000</formula>
    </cfRule>
  </conditionalFormatting>
  <conditionalFormatting sqref="V4:V9 V11">
    <cfRule type="expression" dxfId="2285" priority="80">
      <formula>ABS(V$7-V$10)&gt;=1000</formula>
    </cfRule>
  </conditionalFormatting>
  <conditionalFormatting sqref="W4:W9 W11">
    <cfRule type="expression" dxfId="2284" priority="79">
      <formula>ABS(W$7-W$10)&gt;=1000</formula>
    </cfRule>
  </conditionalFormatting>
  <conditionalFormatting sqref="X4:X9 X11">
    <cfRule type="expression" dxfId="2283" priority="78">
      <formula>ABS(X$7-X$10)&gt;=1000</formula>
    </cfRule>
  </conditionalFormatting>
  <conditionalFormatting sqref="Y4:Y9 Y11">
    <cfRule type="expression" dxfId="2282" priority="77">
      <formula>ABS(Y$7-Y$10)&gt;=1000</formula>
    </cfRule>
  </conditionalFormatting>
  <conditionalFormatting sqref="Z4:Z11">
    <cfRule type="expression" dxfId="2281" priority="76">
      <formula>ABS(Z$7-Z$10)&gt;=1000</formula>
    </cfRule>
  </conditionalFormatting>
  <conditionalFormatting sqref="AA4:AA11">
    <cfRule type="expression" dxfId="2280" priority="75">
      <formula>ABS(AA$7-AA$10)&gt;=1000</formula>
    </cfRule>
  </conditionalFormatting>
  <conditionalFormatting sqref="AB4:AB11">
    <cfRule type="expression" dxfId="2279" priority="74">
      <formula>ABS(AB$7-AB$10)&gt;=1000</formula>
    </cfRule>
  </conditionalFormatting>
  <conditionalFormatting sqref="AC4 AC6:AC11">
    <cfRule type="expression" dxfId="2278" priority="73">
      <formula>ABS(AC$7-AC$10)&gt;=1000</formula>
    </cfRule>
  </conditionalFormatting>
  <conditionalFormatting sqref="AD4:AD11">
    <cfRule type="expression" dxfId="2277" priority="72">
      <formula>ABS(AD$7-AD$10)&gt;=1000</formula>
    </cfRule>
  </conditionalFormatting>
  <conditionalFormatting sqref="AE4 AE6:AE11">
    <cfRule type="expression" dxfId="2276" priority="71">
      <formula>ABS(AE$7-AE$10)&gt;=1000</formula>
    </cfRule>
  </conditionalFormatting>
  <conditionalFormatting sqref="D13:D20">
    <cfRule type="expression" dxfId="2275" priority="70">
      <formula>ABS(D$16-D$19)&gt;=1000</formula>
    </cfRule>
  </conditionalFormatting>
  <conditionalFormatting sqref="E13:E20">
    <cfRule type="expression" dxfId="2274" priority="69">
      <formula>ABS(E$16-E$19)&gt;=1000</formula>
    </cfRule>
  </conditionalFormatting>
  <conditionalFormatting sqref="F13 F15:F20">
    <cfRule type="expression" dxfId="2273" priority="68">
      <formula>ABS(F$16-F$19)&gt;=1000</formula>
    </cfRule>
  </conditionalFormatting>
  <conditionalFormatting sqref="G13:G20">
    <cfRule type="expression" dxfId="2272" priority="67">
      <formula>ABS(G$16-G$19)&gt;=1000</formula>
    </cfRule>
  </conditionalFormatting>
  <conditionalFormatting sqref="H13:H20">
    <cfRule type="expression" dxfId="2271" priority="66">
      <formula>ABS(H$16-H$19)&gt;=1000</formula>
    </cfRule>
  </conditionalFormatting>
  <conditionalFormatting sqref="I13:I20">
    <cfRule type="expression" dxfId="2270" priority="65">
      <formula>ABS(I$16-I$19)&gt;=1000</formula>
    </cfRule>
  </conditionalFormatting>
  <conditionalFormatting sqref="J13:J20">
    <cfRule type="expression" dxfId="2269" priority="64">
      <formula>ABS(J$16-J$19)&gt;=1000</formula>
    </cfRule>
  </conditionalFormatting>
  <conditionalFormatting sqref="L13:L20">
    <cfRule type="expression" dxfId="2268" priority="63">
      <formula>ABS(L$16-L$19)&gt;=1000</formula>
    </cfRule>
  </conditionalFormatting>
  <conditionalFormatting sqref="M13 M15 M17:M18 M20">
    <cfRule type="expression" dxfId="2267" priority="62">
      <formula>ABS(M$16-M$19)&gt;=1000</formula>
    </cfRule>
  </conditionalFormatting>
  <conditionalFormatting sqref="N13:N20">
    <cfRule type="expression" dxfId="2266" priority="61">
      <formula>ABS(N$16-N$19)&gt;=1000</formula>
    </cfRule>
  </conditionalFormatting>
  <conditionalFormatting sqref="O13:O20">
    <cfRule type="expression" dxfId="2265" priority="60">
      <formula>ABS(O$16-O$19)&gt;=1000</formula>
    </cfRule>
  </conditionalFormatting>
  <conditionalFormatting sqref="P13:P20">
    <cfRule type="expression" dxfId="2264" priority="59">
      <formula>ABS(P$16-P$19)&gt;=1000</formula>
    </cfRule>
  </conditionalFormatting>
  <conditionalFormatting sqref="Q13 Q15:Q20">
    <cfRule type="expression" dxfId="2263" priority="58">
      <formula>ABS(Q$16-Q$19)&gt;=1000</formula>
    </cfRule>
  </conditionalFormatting>
  <conditionalFormatting sqref="R13:R20">
    <cfRule type="expression" dxfId="2262" priority="57">
      <formula>ABS(R$16-R$19)&gt;=1000</formula>
    </cfRule>
  </conditionalFormatting>
  <conditionalFormatting sqref="S13:S20">
    <cfRule type="expression" dxfId="2261" priority="56">
      <formula>ABS(S$16-S$19)&gt;=1000</formula>
    </cfRule>
  </conditionalFormatting>
  <conditionalFormatting sqref="T13:T20">
    <cfRule type="expression" dxfId="2260" priority="55">
      <formula>ABS(T$16-T$19)&gt;=1000</formula>
    </cfRule>
  </conditionalFormatting>
  <conditionalFormatting sqref="U13:U20">
    <cfRule type="expression" dxfId="2259" priority="54">
      <formula>ABS(U$16-U$19)&gt;=1000</formula>
    </cfRule>
  </conditionalFormatting>
  <conditionalFormatting sqref="V13:V20">
    <cfRule type="expression" dxfId="2258" priority="53">
      <formula>ABS(V$16-V$19)&gt;=1000</formula>
    </cfRule>
  </conditionalFormatting>
  <conditionalFormatting sqref="W13 W20 W15:W18">
    <cfRule type="expression" dxfId="2257" priority="52">
      <formula>ABS(W$16-W$19)&gt;=1000</formula>
    </cfRule>
  </conditionalFormatting>
  <conditionalFormatting sqref="X13 X15:X20 Y19">
    <cfRule type="expression" dxfId="2256" priority="51">
      <formula>ABS(X$16-X$19)&gt;=1000</formula>
    </cfRule>
  </conditionalFormatting>
  <conditionalFormatting sqref="Y13 Y15:Y18 Y20">
    <cfRule type="expression" dxfId="2255" priority="50">
      <formula>ABS(Y$16-Y$19)&gt;=1000</formula>
    </cfRule>
  </conditionalFormatting>
  <conditionalFormatting sqref="Z13:Z20">
    <cfRule type="expression" dxfId="2254" priority="49">
      <formula>ABS(Z$16-Z$19)&gt;=1000</formula>
    </cfRule>
  </conditionalFormatting>
  <conditionalFormatting sqref="AA13:AA20">
    <cfRule type="expression" dxfId="2253" priority="48">
      <formula>ABS(AA$16-AA$19)&gt;=1000</formula>
    </cfRule>
  </conditionalFormatting>
  <conditionalFormatting sqref="AB13 AB15:AB20">
    <cfRule type="expression" dxfId="2252" priority="47">
      <formula>ABS(AB$16-AB$19)&gt;=1000</formula>
    </cfRule>
  </conditionalFormatting>
  <conditionalFormatting sqref="AC13 AC15:AC20">
    <cfRule type="expression" dxfId="2251" priority="46">
      <formula>ABS(AC$16-AC$19)&gt;=1000</formula>
    </cfRule>
  </conditionalFormatting>
  <conditionalFormatting sqref="AD13:AD20">
    <cfRule type="expression" dxfId="2250" priority="45">
      <formula>ABS(AD$16-AD$19)&gt;=1000</formula>
    </cfRule>
  </conditionalFormatting>
  <conditionalFormatting sqref="AE13:AE20">
    <cfRule type="expression" dxfId="2249" priority="44">
      <formula>ABS(AE$16-AE$19)&gt;=1000</formula>
    </cfRule>
  </conditionalFormatting>
  <conditionalFormatting sqref="D22:D29">
    <cfRule type="expression" dxfId="2248" priority="43">
      <formula>ABS(D$25-D$28)&gt;=1000</formula>
    </cfRule>
  </conditionalFormatting>
  <conditionalFormatting sqref="E22:E29">
    <cfRule type="expression" dxfId="2247" priority="42">
      <formula>ABS(E$25-E$28)&gt;=1000</formula>
    </cfRule>
  </conditionalFormatting>
  <conditionalFormatting sqref="F22:F29">
    <cfRule type="expression" dxfId="2246" priority="41">
      <formula>ABS(F$25-F$28)&gt;=1000</formula>
    </cfRule>
  </conditionalFormatting>
  <conditionalFormatting sqref="G22:G29">
    <cfRule type="expression" dxfId="2245" priority="40">
      <formula>ABS(G$25-G$28)&gt;=1000</formula>
    </cfRule>
  </conditionalFormatting>
  <conditionalFormatting sqref="H22:H29">
    <cfRule type="expression" dxfId="2244" priority="39">
      <formula>ABS(H$25-H$28)&gt;=1000</formula>
    </cfRule>
  </conditionalFormatting>
  <conditionalFormatting sqref="I22 I24:I29">
    <cfRule type="expression" dxfId="2243" priority="38">
      <formula>ABS(I$25-I$28)&gt;=1000</formula>
    </cfRule>
  </conditionalFormatting>
  <conditionalFormatting sqref="J22:J29 K22">
    <cfRule type="expression" dxfId="2242" priority="37">
      <formula>ABS(J$25-J$28)&gt;=1000</formula>
    </cfRule>
  </conditionalFormatting>
  <conditionalFormatting sqref="K23:K29 L25 L28">
    <cfRule type="expression" dxfId="2241" priority="36">
      <formula>ABS(K$25-K$28)&gt;=1000</formula>
    </cfRule>
  </conditionalFormatting>
  <conditionalFormatting sqref="L22 L26:L27 L29 L24">
    <cfRule type="expression" dxfId="2240" priority="35">
      <formula>ABS(L$25-L$28)&gt;=1000</formula>
    </cfRule>
  </conditionalFormatting>
  <conditionalFormatting sqref="M22:M29">
    <cfRule type="expression" dxfId="2239" priority="34">
      <formula>ABS(M$25-M$28)&gt;=1000</formula>
    </cfRule>
  </conditionalFormatting>
  <conditionalFormatting sqref="N22:N29">
    <cfRule type="expression" dxfId="2238" priority="33">
      <formula>ABS(N$25-N$28)&gt;=1000</formula>
    </cfRule>
  </conditionalFormatting>
  <conditionalFormatting sqref="O22:O29">
    <cfRule type="expression" dxfId="2237" priority="32">
      <formula>ABS(O$25-O$28)&gt;=1000</formula>
    </cfRule>
  </conditionalFormatting>
  <conditionalFormatting sqref="P22:P29">
    <cfRule type="expression" dxfId="2236" priority="31">
      <formula>ABS(P$25-P$28)&gt;=1000</formula>
    </cfRule>
  </conditionalFormatting>
  <conditionalFormatting sqref="Q22:Q29">
    <cfRule type="expression" dxfId="2235" priority="30">
      <formula>ABS(Q$25-Q$28)&gt;=1000</formula>
    </cfRule>
  </conditionalFormatting>
  <conditionalFormatting sqref="R22:R29">
    <cfRule type="expression" dxfId="2234" priority="29">
      <formula>ABS(R$25-R$28)&gt;=1000</formula>
    </cfRule>
  </conditionalFormatting>
  <conditionalFormatting sqref="S22:S29">
    <cfRule type="expression" dxfId="2233" priority="28">
      <formula>ABS(S$25-S$28)&gt;=1000</formula>
    </cfRule>
  </conditionalFormatting>
  <conditionalFormatting sqref="T22:T29">
    <cfRule type="expression" dxfId="2232" priority="27">
      <formula>ABS(T$25-T$28)&gt;=1000</formula>
    </cfRule>
  </conditionalFormatting>
  <conditionalFormatting sqref="U22:U29">
    <cfRule type="expression" dxfId="2231" priority="26">
      <formula>ABS(U$25-U$28)&gt;=1000</formula>
    </cfRule>
  </conditionalFormatting>
  <conditionalFormatting sqref="V22:V29">
    <cfRule type="expression" dxfId="2230" priority="25">
      <formula>ABS(V$25-V$28)&gt;=1000</formula>
    </cfRule>
  </conditionalFormatting>
  <conditionalFormatting sqref="W22:W29">
    <cfRule type="expression" dxfId="2229" priority="24">
      <formula>ABS(W$25-W$28)&gt;=1000</formula>
    </cfRule>
  </conditionalFormatting>
  <conditionalFormatting sqref="X22:X29">
    <cfRule type="expression" dxfId="2228" priority="23">
      <formula>ABS(X$25-X$28)&gt;=1000</formula>
    </cfRule>
  </conditionalFormatting>
  <conditionalFormatting sqref="Y22:Y29">
    <cfRule type="expression" dxfId="2227" priority="22">
      <formula>ABS(Y$25-Y$28)&gt;=1000</formula>
    </cfRule>
  </conditionalFormatting>
  <conditionalFormatting sqref="I23">
    <cfRule type="expression" dxfId="2226" priority="21">
      <formula>ABS(I$25-I$28)&gt;=1000</formula>
    </cfRule>
  </conditionalFormatting>
  <conditionalFormatting sqref="Q14">
    <cfRule type="expression" dxfId="2225" priority="20">
      <formula>ABS(Q$16-Q$19)&gt;=1000</formula>
    </cfRule>
  </conditionalFormatting>
  <conditionalFormatting sqref="W14">
    <cfRule type="expression" dxfId="2224" priority="19">
      <formula>ABS(W$16-W$19)&gt;=1000</formula>
    </cfRule>
  </conditionalFormatting>
  <conditionalFormatting sqref="Y14">
    <cfRule type="expression" dxfId="2223" priority="18">
      <formula>ABS(Y$16-Y$19)&gt;=1000</formula>
    </cfRule>
  </conditionalFormatting>
  <conditionalFormatting sqref="X14">
    <cfRule type="expression" dxfId="2222" priority="17">
      <formula>ABS(X$16-X$19)&gt;=1000</formula>
    </cfRule>
  </conditionalFormatting>
  <conditionalFormatting sqref="T10:Y10">
    <cfRule type="expression" dxfId="2221" priority="16">
      <formula>ABS(T$7-T$10)&gt;=1000</formula>
    </cfRule>
  </conditionalFormatting>
  <conditionalFormatting sqref="W19">
    <cfRule type="expression" dxfId="2220" priority="15">
      <formula>ABS(W$16-W$19)&gt;=1000</formula>
    </cfRule>
  </conditionalFormatting>
  <conditionalFormatting sqref="AC5">
    <cfRule type="expression" dxfId="2219" priority="14">
      <formula>ABS(AC$7-AC$10)&gt;=1000</formula>
    </cfRule>
  </conditionalFormatting>
  <conditionalFormatting sqref="M14">
    <cfRule type="expression" dxfId="2218" priority="13">
      <formula>ABS(M$16-M$19)&gt;=1000</formula>
    </cfRule>
  </conditionalFormatting>
  <conditionalFormatting sqref="M16">
    <cfRule type="expression" dxfId="2217" priority="12">
      <formula>ABS(M$16-M$19)&gt;=1000</formula>
    </cfRule>
  </conditionalFormatting>
  <conditionalFormatting sqref="M19">
    <cfRule type="expression" dxfId="2216" priority="11">
      <formula>ABS(M$16-M$19)&gt;=1000</formula>
    </cfRule>
  </conditionalFormatting>
  <conditionalFormatting sqref="K13:K20">
    <cfRule type="expression" dxfId="2215" priority="10">
      <formula>ABS(K$16-K$19)&gt;=1000</formula>
    </cfRule>
  </conditionalFormatting>
  <conditionalFormatting sqref="E5">
    <cfRule type="expression" dxfId="2214" priority="9">
      <formula>ABS(E$7-E$10)&gt;=1000</formula>
    </cfRule>
  </conditionalFormatting>
  <conditionalFormatting sqref="AB14:AC14">
    <cfRule type="expression" dxfId="2213" priority="8">
      <formula>ABS(AB$16-AB$19)&gt;=1000</formula>
    </cfRule>
  </conditionalFormatting>
  <conditionalFormatting sqref="M5">
    <cfRule type="expression" dxfId="2212" priority="7">
      <formula>ABS(M$7-M$10)&gt;=1000</formula>
    </cfRule>
  </conditionalFormatting>
  <conditionalFormatting sqref="N5">
    <cfRule type="expression" dxfId="2211" priority="6">
      <formula>ABS(N$7-N$10)&gt;=1000</formula>
    </cfRule>
  </conditionalFormatting>
  <conditionalFormatting sqref="O5">
    <cfRule type="expression" dxfId="2210" priority="5">
      <formula>ABS(O$7-O$10)&gt;=1000</formula>
    </cfRule>
  </conditionalFormatting>
  <conditionalFormatting sqref="P5">
    <cfRule type="expression" dxfId="2209" priority="4">
      <formula>ABS(P$7-P$10)&gt;=1000</formula>
    </cfRule>
  </conditionalFormatting>
  <conditionalFormatting sqref="L23">
    <cfRule type="expression" dxfId="2208" priority="3">
      <formula>ABS(L$25-L$28)&gt;=1000</formula>
    </cfRule>
  </conditionalFormatting>
  <conditionalFormatting sqref="F14">
    <cfRule type="expression" dxfId="2207" priority="2">
      <formula>ABS(F$16-F$19)&gt;=1000</formula>
    </cfRule>
  </conditionalFormatting>
  <conditionalFormatting sqref="AE5">
    <cfRule type="expression" dxfId="2206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403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17">
    <pageSetUpPr fitToPage="1"/>
  </sheetPr>
  <dimension ref="A1:CU223"/>
  <sheetViews>
    <sheetView view="pageBreakPreview" zoomScale="80" zoomScaleNormal="100" zoomScaleSheetLayoutView="80" workbookViewId="0">
      <selection activeCell="D15" sqref="D1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45905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47" t="s" ph="1">
        <v>177</v>
      </c>
      <c r="D6" s="71">
        <v>6429</v>
      </c>
      <c r="E6" s="71">
        <v>8978</v>
      </c>
      <c r="F6" s="71">
        <v>6841</v>
      </c>
      <c r="G6" s="71">
        <v>8682</v>
      </c>
      <c r="H6" s="71">
        <v>8929</v>
      </c>
      <c r="I6" s="71">
        <v>29.13</v>
      </c>
      <c r="J6" s="71">
        <v>7.02</v>
      </c>
      <c r="K6" s="71">
        <v>7.08</v>
      </c>
      <c r="L6" s="71">
        <v>34.97</v>
      </c>
      <c r="M6" s="71">
        <v>2803</v>
      </c>
      <c r="N6" s="71">
        <v>6108</v>
      </c>
      <c r="O6" s="71">
        <v>1046</v>
      </c>
      <c r="P6" s="71">
        <v>7010</v>
      </c>
      <c r="Q6" s="71">
        <v>0</v>
      </c>
      <c r="R6" s="71">
        <v>926</v>
      </c>
      <c r="S6" s="71">
        <v>5662</v>
      </c>
      <c r="T6" s="71">
        <v>6544</v>
      </c>
      <c r="U6" s="71">
        <v>2563</v>
      </c>
      <c r="V6" s="71">
        <v>2587</v>
      </c>
      <c r="W6" s="71">
        <v>0</v>
      </c>
      <c r="X6" s="71">
        <v>0</v>
      </c>
      <c r="Y6" s="71">
        <v>0</v>
      </c>
      <c r="Z6" s="71">
        <v>4795</v>
      </c>
      <c r="AA6" s="71">
        <v>646</v>
      </c>
      <c r="AB6" s="71">
        <v>2980</v>
      </c>
      <c r="AC6" s="71">
        <v>1835</v>
      </c>
      <c r="AD6" s="71">
        <v>4066</v>
      </c>
      <c r="AE6" s="71">
        <v>3850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201243.89715831002</v>
      </c>
      <c r="E7" s="73" ph="1">
        <f>E6*51.53*LOOKUP(E8,密度!$A$2:$A$50,密度!$B$2:$B$50)</f>
        <v>358681.954402</v>
      </c>
      <c r="F7" s="73" ph="1">
        <f>F6*33.183*LOOKUP(F8,密度!$A$2:$A$50,密度!$C$2:$C$50)</f>
        <v>251203.62565979999</v>
      </c>
      <c r="G7" s="73" ph="1">
        <f xml:space="preserve"> (G6+2)*51.53*LOOKUP(G8,密度!$A$2:$A$50,密度!$B$2:$B$50)</f>
        <v>347697.02604000003</v>
      </c>
      <c r="H7" s="73" ph="1">
        <f>(H6)*51.53*LOOKUP(H8,密度!$A$2:$A$50,密度!$B$2:$B$50)</f>
        <v>357506.53448999999</v>
      </c>
      <c r="I7" s="73" ph="1">
        <f>I6*290.8*1.0267</f>
        <v>8697.1798068000007</v>
      </c>
      <c r="J7" s="73" ph="1">
        <f>J6*290.8*0.7892</f>
        <v>1611.0855071999999</v>
      </c>
      <c r="K7" s="73" ph="1">
        <f>K6*290.8*1.1126</f>
        <v>2290.6920863999999</v>
      </c>
      <c r="L7" s="73" ph="1">
        <f>L6*290.8*0.777</f>
        <v>7901.5274520000003</v>
      </c>
      <c r="M7" s="73" ph="1">
        <f>M6*33.183*LOOKUP(M8,密度!$A$2:$A$50,密度!$D$2:$D$50)</f>
        <v>95234.934581099995</v>
      </c>
      <c r="N7" s="73" ph="1">
        <f>N6*33.183*LOOKUP(N8,密度!$A$2:$A$50,密度!$E$2:$E$50)</f>
        <v>157828.28962679999</v>
      </c>
      <c r="O7" s="73" ph="1">
        <f>O6*20.428*LOOKUP(O8,密度!$A$2:$A$50,密度!$C$2:$C$50)</f>
        <v>23592.064320800004</v>
      </c>
      <c r="P7" s="73" ph="1">
        <f>P6*51.53*LOOKUP(P8,密度!$A$2:$A$50,密度!$B$2:$B$50)</f>
        <v>280672.05810000002</v>
      </c>
      <c r="Q7" s="73" ph="1">
        <f>Q6*1.5*1.5*3.1416*LOOKUP(W8,密度!$A$2:$A$50,密度!$L$2:$L$50)</f>
        <v>0</v>
      </c>
      <c r="R7" s="73" ph="1">
        <f>R6*1.5*1.5*3.1416*LOOKUP(R8,密度!$A$2:$A$50,密度!$L$2:$L$50)</f>
        <v>6080.7914244000003</v>
      </c>
      <c r="S7" s="73" ph="1">
        <f>S6*1.5*1.5*3.1416*LOOKUP(S8,密度!$A$2:$A$50,密度!$L$2:$L$50)</f>
        <v>37581.045994799999</v>
      </c>
      <c r="T7" s="73" ph="1">
        <f>T6*1.5*1.5*3.1416*LOOKUP(T8,密度!$A$2:$A$50,密度!$L$2:$L$50)</f>
        <v>43435.2463776</v>
      </c>
      <c r="U7" s="73" ph="1">
        <f>U6*1.5*1.5*3.1416*LOOKUP(U8,密度!$A$2:$A$50,密度!$L$2:$L$50)</f>
        <v>16957.3452048</v>
      </c>
      <c r="V7" s="73" ph="1">
        <f>V6*1.5*1.5*3.1416*LOOKUP(V8,密度!$A$2:$A$50,密度!$L$2:$L$50)</f>
        <v>17079.561298799999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149088.398445</v>
      </c>
      <c r="AA7" s="73" ph="1">
        <f>AA6*33.183*LOOKUP(AA8,密度!$A$2:$A$50,密度!$D$2:$D$50)</f>
        <v>21967.836206399999</v>
      </c>
      <c r="AB7" s="73" ph="1">
        <f>AB6*20.428*LOOKUP(AB8,密度!$A$2:$A$50,密度!$D$2:$D$50)</f>
        <v>62555.602144000004</v>
      </c>
      <c r="AC7" s="73" ph="1">
        <f>AC6*51.53*LOOKUP(AC8,密度!$A$2:$A$50,密度!$Q$2:$Q$50)</f>
        <v>89521.414887000006</v>
      </c>
      <c r="AD7" s="73" ph="1">
        <f>AD6*20.428*LOOKUP(AD8,密度!$A$2:$A$50,密度!$V$2:$V$50)</f>
        <v>79538.493484800012</v>
      </c>
      <c r="AE7" s="73" ph="1">
        <f>AE6*20.428</f>
        <v>78647.8</v>
      </c>
    </row>
    <row r="8" spans="1:99" ph="1">
      <c r="B8" s="182" ph="1"/>
      <c r="C8" s="68" t="s" ph="1">
        <v>179</v>
      </c>
      <c r="D8" s="74">
        <v>30</v>
      </c>
      <c r="E8" s="74">
        <v>30</v>
      </c>
      <c r="F8" s="74">
        <v>28</v>
      </c>
      <c r="G8" s="74">
        <v>28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29</v>
      </c>
      <c r="O8" s="74">
        <v>31</v>
      </c>
      <c r="P8" s="74">
        <v>28</v>
      </c>
      <c r="Q8" s="74">
        <v>27</v>
      </c>
      <c r="R8" s="74">
        <v>33</v>
      </c>
      <c r="S8" s="74">
        <v>23</v>
      </c>
      <c r="T8" s="74">
        <v>23</v>
      </c>
      <c r="U8" s="74">
        <v>26</v>
      </c>
      <c r="V8" s="74">
        <v>28</v>
      </c>
      <c r="W8" s="74">
        <v>26</v>
      </c>
      <c r="X8" s="74">
        <v>19</v>
      </c>
      <c r="Y8" s="74">
        <v>26</v>
      </c>
      <c r="Z8" s="74">
        <v>25</v>
      </c>
      <c r="AA8" s="74">
        <v>27</v>
      </c>
      <c r="AB8" s="74">
        <v>24</v>
      </c>
      <c r="AC8" s="74">
        <v>25</v>
      </c>
      <c r="AD8" s="74">
        <v>28</v>
      </c>
      <c r="AE8" s="74">
        <v>31</v>
      </c>
    </row>
    <row r="9" spans="1:99" ht="26.4" ph="1">
      <c r="B9" s="182" ph="1">
        <v>0.66666666666666663</v>
      </c>
      <c r="C9" s="147" t="s" ph="1">
        <v>180</v>
      </c>
      <c r="D9" s="71">
        <v>6432</v>
      </c>
      <c r="E9" s="71">
        <v>9064</v>
      </c>
      <c r="F9" s="71">
        <v>6846</v>
      </c>
      <c r="G9" s="71">
        <v>8687</v>
      </c>
      <c r="H9" s="71">
        <v>8938</v>
      </c>
      <c r="I9" s="71">
        <v>29.11</v>
      </c>
      <c r="J9" s="71">
        <v>7.02</v>
      </c>
      <c r="K9" s="71">
        <v>7.14</v>
      </c>
      <c r="L9" s="71">
        <v>33.81</v>
      </c>
      <c r="M9" s="71">
        <v>2802</v>
      </c>
      <c r="N9" s="71">
        <v>6112</v>
      </c>
      <c r="O9" s="71">
        <v>193</v>
      </c>
      <c r="P9" s="71">
        <v>6971</v>
      </c>
      <c r="Q9" s="71">
        <v>0</v>
      </c>
      <c r="R9" s="71">
        <v>0</v>
      </c>
      <c r="S9" s="71">
        <v>3077</v>
      </c>
      <c r="T9" s="71">
        <v>6551</v>
      </c>
      <c r="U9" s="71">
        <v>4668</v>
      </c>
      <c r="V9" s="71">
        <v>2590</v>
      </c>
      <c r="W9" s="71">
        <v>0</v>
      </c>
      <c r="X9" s="71">
        <v>0</v>
      </c>
      <c r="Y9" s="71">
        <v>0</v>
      </c>
      <c r="Z9" s="71">
        <v>4823</v>
      </c>
      <c r="AA9" s="71">
        <v>1235</v>
      </c>
      <c r="AB9" s="71">
        <v>2980</v>
      </c>
      <c r="AC9" s="71">
        <v>2167</v>
      </c>
      <c r="AD9" s="71">
        <v>4115</v>
      </c>
      <c r="AE9" s="71">
        <v>3805</v>
      </c>
    </row>
    <row r="10" spans="1:99" s="72" customFormat="1" ht="22.2" ph="1">
      <c r="B10" s="182" ph="1"/>
      <c r="C10" s="147" t="s" ph="1">
        <v>178</v>
      </c>
      <c r="D10" s="73" ph="1">
        <f>D9*33.183*LOOKUP(D11,密度!$A$2:$A$50,密度!$Q$2:$Q$50)</f>
        <v>201177.72992447999</v>
      </c>
      <c r="E10" s="73" ph="1">
        <f>E9*51.53*LOOKUP(E11,密度!$A$2:$A$50,密度!$B$2:$B$50)</f>
        <v>360483.02065600001</v>
      </c>
      <c r="F10" s="73" ph="1">
        <f>F9*33.183*LOOKUP(F11,密度!$A$2:$A$50,密度!$C$2:$C$50)</f>
        <v>251228.20762620002</v>
      </c>
      <c r="G10" s="73" ph="1">
        <f xml:space="preserve"> (G9+2)*51.53*LOOKUP(G11,密度!$A$2:$A$50,密度!$B$2:$B$50)</f>
        <v>345165.98065300001</v>
      </c>
      <c r="H10" s="73" ph="1">
        <f>(H9)*51.53*LOOKUP(H11,密度!$A$2:$A$50,密度!$B$2:$B$50)</f>
        <v>355057.37542600004</v>
      </c>
      <c r="I10" s="73" ph="1">
        <f>I9*290.8*1.0267</f>
        <v>8691.2085195999989</v>
      </c>
      <c r="J10" s="73" ph="1">
        <f>J9*290.8*0.7892</f>
        <v>1611.0855071999999</v>
      </c>
      <c r="K10" s="73" ph="1">
        <f>K9*290.8*1.1126</f>
        <v>2310.1047312000001</v>
      </c>
      <c r="L10" s="73" ph="1">
        <f>L9*290.8*0.777</f>
        <v>7639.4235960000005</v>
      </c>
      <c r="M10" s="73" ph="1">
        <f>M9*33.183*LOOKUP(M11,密度!$A$2:$A$50,密度!$D$2:$D$50)</f>
        <v>94782.554060400013</v>
      </c>
      <c r="N10" s="73" ph="1">
        <f>N9*33.183*LOOKUP(N11,密度!$A$2:$A$50,密度!$E$2:$E$50)</f>
        <v>157246.13503871998</v>
      </c>
      <c r="O10" s="73" ph="1">
        <f>O9*20.428*LOOKUP(O11,密度!$A$2:$A$50,密度!$C$2:$C$50)</f>
        <v>4307.2948700000006</v>
      </c>
      <c r="P10" s="73" ph="1">
        <f>P9*51.53*LOOKUP(P11,密度!$A$2:$A$50,密度!$B$2:$B$50)</f>
        <v>277853.28980500001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20358.0769392</v>
      </c>
      <c r="T10" s="73" ph="1">
        <f>T9*1.5*1.5*3.1416*LOOKUP(T11,密度!$A$2:$A$50,密度!$L$2:$L$50)</f>
        <v>43342.789089600003</v>
      </c>
      <c r="U10" s="73" ph="1">
        <f>U9*1.5*1.5*3.1416*LOOKUP(U11,密度!$A$2:$A$50,密度!$L$2:$L$50)</f>
        <v>30851.470187999999</v>
      </c>
      <c r="V10" s="73" ph="1">
        <f>V9*1.5*1.5*3.1416*LOOKUP(V11,密度!$A$2:$A$50,密度!$L$2:$L$50)</f>
        <v>17099.367515999998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149318.82119700001</v>
      </c>
      <c r="AA10" s="73" ph="1">
        <f>AA9*33.183*LOOKUP(AA11,密度!$A$2:$A$50,密度!$D$2:$D$50)</f>
        <v>41808.821300999996</v>
      </c>
      <c r="AB10" s="73" ph="1">
        <f>AB9*20.428*LOOKUP(AB11,密度!$A$2:$A$50,密度!$D$2:$D$50)</f>
        <v>62385.150911999997</v>
      </c>
      <c r="AC10" s="73" ph="1">
        <f>AC9*51.53*LOOKUP(AC11,密度!$A$2:$A$50,密度!$Q$2:$Q$50)</f>
        <v>105337.42554830002</v>
      </c>
      <c r="AD10" s="73" ph="1">
        <f>AD9*20.428*LOOKUP(AD11,密度!$A$2:$A$50,密度!$V$2:$V$50)</f>
        <v>80497.024271999995</v>
      </c>
      <c r="AE10" s="73" ph="1">
        <f>AE9*20.428</f>
        <v>77728.540000000008</v>
      </c>
    </row>
    <row r="11" spans="1:99" ph="1">
      <c r="A11" s="64" t="s" ph="1">
        <v>162</v>
      </c>
      <c r="B11" s="182" ph="1"/>
      <c r="C11" s="147" t="s" ph="1">
        <v>179</v>
      </c>
      <c r="D11" s="74">
        <v>31</v>
      </c>
      <c r="E11" s="74">
        <v>34</v>
      </c>
      <c r="F11" s="74">
        <v>29</v>
      </c>
      <c r="G11" s="74">
        <v>35</v>
      </c>
      <c r="H11" s="74">
        <v>35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32</v>
      </c>
      <c r="O11" s="74">
        <v>42</v>
      </c>
      <c r="P11" s="74">
        <v>32</v>
      </c>
      <c r="Q11" s="74">
        <v>37</v>
      </c>
      <c r="R11" s="74">
        <v>37</v>
      </c>
      <c r="S11" s="74">
        <v>26</v>
      </c>
      <c r="T11" s="74">
        <v>26</v>
      </c>
      <c r="U11" s="74">
        <v>27</v>
      </c>
      <c r="V11" s="74">
        <v>28</v>
      </c>
      <c r="W11" s="74">
        <v>39</v>
      </c>
      <c r="X11" s="74">
        <v>27</v>
      </c>
      <c r="Y11" s="74">
        <v>32</v>
      </c>
      <c r="Z11" s="74">
        <v>29</v>
      </c>
      <c r="AA11" s="74">
        <v>32</v>
      </c>
      <c r="AB11" s="74">
        <v>27</v>
      </c>
      <c r="AC11" s="74">
        <v>30</v>
      </c>
      <c r="AD11" s="74">
        <v>34</v>
      </c>
      <c r="AE11" s="74">
        <v>34</v>
      </c>
    </row>
    <row r="12" spans="1:99" ht="9.9" customHeight="1" ph="1"/>
    <row r="13" spans="1:99" s="72" customFormat="1" ht="29.25" customHeight="1" ph="1">
      <c r="B13" s="190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77" t="s" ph="1">
        <v>636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47" t="s" ph="1">
        <v>177</v>
      </c>
      <c r="D15" s="78">
        <v>1074</v>
      </c>
      <c r="E15" s="78">
        <v>3036</v>
      </c>
      <c r="F15" s="78">
        <v>3008</v>
      </c>
      <c r="G15" s="78">
        <v>306</v>
      </c>
      <c r="H15" s="78">
        <v>0</v>
      </c>
      <c r="I15" s="78">
        <v>3931</v>
      </c>
      <c r="J15" s="78">
        <v>225</v>
      </c>
      <c r="K15" s="78">
        <v>3107</v>
      </c>
      <c r="L15" s="78">
        <v>5347</v>
      </c>
      <c r="M15" s="78">
        <v>6795</v>
      </c>
      <c r="N15" s="78">
        <v>58</v>
      </c>
      <c r="O15" s="78">
        <v>6864</v>
      </c>
      <c r="P15" s="78">
        <v>3384</v>
      </c>
      <c r="Q15" s="78">
        <v>3492</v>
      </c>
      <c r="R15" s="78">
        <v>4859</v>
      </c>
      <c r="S15" s="78">
        <v>1653</v>
      </c>
      <c r="T15" s="78">
        <v>4709</v>
      </c>
      <c r="U15" s="78">
        <v>2599</v>
      </c>
      <c r="V15" s="78">
        <v>850</v>
      </c>
      <c r="W15" s="71">
        <v>5384</v>
      </c>
      <c r="X15" s="78">
        <v>1285</v>
      </c>
      <c r="Y15" s="106">
        <v>-9906</v>
      </c>
      <c r="Z15" s="78">
        <v>0</v>
      </c>
      <c r="AA15" s="78">
        <v>6127</v>
      </c>
      <c r="AB15" s="78" ph="1">
        <v>1098</v>
      </c>
      <c r="AC15" s="78" ph="1">
        <v>0</v>
      </c>
      <c r="AD15" s="78">
        <v>58.41</v>
      </c>
      <c r="AE15" s="78">
        <v>37.25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47" t="s" ph="1">
        <v>178</v>
      </c>
      <c r="D16" s="73" ph="1">
        <f>D15*7.0686*LOOKUP(D17,密度!$A$2:$A$50,密度!$L$2:$L$50)</f>
        <v>7075.442404800001</v>
      </c>
      <c r="E16" s="73" ph="1">
        <f>E15*7.0686*LOOKUP(E17,密度!$A$2:$A$50,密度!$L$2:$L$50)</f>
        <v>20000.971267200002</v>
      </c>
      <c r="F16" s="73" ph="1">
        <f>F15*9.0746*LOOKUP(F17,密度!$A$2:$A$50,密度!$L$2:$L$50)</f>
        <v>25522.131008000004</v>
      </c>
      <c r="G16" s="73" ph="1">
        <f>G15*9.0746*LOOKUP(G17,密度!$A$2:$A$50,密度!$B$2:$B$50)</f>
        <v>2164.81479696</v>
      </c>
      <c r="H16" s="73" ph="1">
        <f>H15*9.0746*LOOKUP(H17,密度!$A$2:$A$50,密度!$L$2:$L$50)</f>
        <v>0</v>
      </c>
      <c r="I16" s="73" ph="1">
        <f>I15*9.0746*LOOKUP(I17,密度!$A$2:$A$50,密度!$U$2:$U$50)</f>
        <v>36528.3866624</v>
      </c>
      <c r="J16" s="73" ph="1">
        <f>J15*9.0746*LOOKUP(J17,密度!$A$2:$A$50,密度!$L$2:$L$50)</f>
        <v>1911.1107600000003</v>
      </c>
      <c r="K16" s="73" ph="1">
        <f>K15*9.0746*LOOKUP(K17,密度!$A$2:$A$50,密度!$C$2:$C$50)</f>
        <v>31222.901808279999</v>
      </c>
      <c r="L16" s="73" ph="1">
        <f>L15*9.0746*LOOKUP(L17,密度!$A$2:$A$50,密度!$E$2:$E$50)</f>
        <v>37837.366858760004</v>
      </c>
      <c r="M16" s="73" ph="1">
        <f>M15*9.0746*LOOKUP(M17,密度!$A$2:$A$50,密度!$M$2:$M$50)</f>
        <v>53769.182904000001</v>
      </c>
      <c r="N16" s="73" ph="1">
        <f>N15*9.0746*LOOKUP(N17,密度!$A$2:$A$50,密度!$M$2:$M$50)</f>
        <v>461.58860360000006</v>
      </c>
      <c r="O16" s="73" ph="1">
        <f>O15*9.0746*LOOKUP(O17,密度!$A$2:$A$50,密度!$G$2:$G$50)</f>
        <v>59541.151200959997</v>
      </c>
      <c r="P16" s="73" ph="1">
        <f ca="1">P15*9.0746*LOOKUP(P17,密度!$A$2:$A$51,密度!$Q$2:$Q$50)</f>
        <v>28986.623810352001</v>
      </c>
      <c r="Q16" s="73" ph="1">
        <f>Q15*9.0746*LOOKUP(Q17,密度!$A$2:$A$50,密度!$Q$2:$Q$50)</f>
        <v>29892.715723655998</v>
      </c>
      <c r="R16" s="73" ph="1">
        <f>MAX(R15*9.0746*LOOKUP(R17,密度!$A$2:$A$50,密度!$B$2:$B$50),0)</f>
        <v>34225.360262680006</v>
      </c>
      <c r="S16" s="73" ph="1">
        <f>S15*9.0746*LOOKUP(S17,密度!$A$2:$A$50,密度!$Q$2:$Q$50)</f>
        <v>14150.246016953999</v>
      </c>
      <c r="T16" s="73" ph="1">
        <f>T15*9.0746*LOOKUP(T17,密度!$A$2:$A$50,密度!$O$2:$O$50)</f>
        <v>39570.101836400005</v>
      </c>
      <c r="U16" s="73" ph="1">
        <f>U15*9.0746*LOOKUP(U17,密度!$A$2:$A$50,密度!$H$2:$H$50)</f>
        <v>21462.245714000001</v>
      </c>
      <c r="V16" s="73" ph="1">
        <f>MAX(5600*LOOKUP(V17,密度!$A$2:$A$50,密度!$Q$2:$Q$50)+V15*9.0476*LOOKUP(V17,密度!$A$2:$A$50,密度!$Q$2:$Q$50),0)</f>
        <v>12545.263907799999</v>
      </c>
      <c r="W16" s="73" ph="1">
        <f>MAX(5600*LOOKUP(W17,密度!$A$2:$A$50,密度!$Q$2:$Q$50)+W15*9.0476*LOOKUP(W17,密度!$A$2:$A$50,密度!$Q$2:$Q$50),0)</f>
        <v>51234.401583071995</v>
      </c>
      <c r="X16" s="73" ph="1">
        <f>MAX(5600*LOOKUP(X17,密度!$A$2:$A$50,密度!$I$2:$I$50)+X15*9.0476*LOOKUP(X17,密度!$A$2:$A$50,密度!$I$2:$I$50),0)</f>
        <v>17837.867154659998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43201.257653400004</v>
      </c>
      <c r="AB16" s="73" ph="1">
        <f>AB15*9.0746*LOOKUP(AB17,密度!$A$2:$A$50,密度!$L$2:$L$50)</f>
        <v>9316.2565979999999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13455.58322448</v>
      </c>
      <c r="AE16" s="73" ph="1">
        <f>AE15*268.68*LOOKUP(AE17,密度!$A$2:$A$50,密度!B2:B50)+IF(AE15&lt;=0,0,1566*LOOKUP(AE17,密度!$A$2:$A$50,密度!B2:B50))</f>
        <v>9023.3476680000003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30</v>
      </c>
      <c r="E17" s="74">
        <v>30</v>
      </c>
      <c r="F17" s="74">
        <v>27</v>
      </c>
      <c r="G17" s="74">
        <v>25</v>
      </c>
      <c r="H17" s="74">
        <v>23</v>
      </c>
      <c r="I17" s="74">
        <v>26</v>
      </c>
      <c r="J17" s="74">
        <v>26</v>
      </c>
      <c r="K17" s="74">
        <v>27</v>
      </c>
      <c r="L17" s="74">
        <v>28</v>
      </c>
      <c r="M17" s="74">
        <v>28</v>
      </c>
      <c r="N17" s="74">
        <v>23</v>
      </c>
      <c r="O17" s="74">
        <v>29</v>
      </c>
      <c r="P17" s="74">
        <v>29</v>
      </c>
      <c r="Q17" s="74">
        <v>30</v>
      </c>
      <c r="R17" s="74">
        <v>29</v>
      </c>
      <c r="S17" s="74">
        <v>30</v>
      </c>
      <c r="T17" s="74">
        <v>29</v>
      </c>
      <c r="U17" s="74">
        <v>30</v>
      </c>
      <c r="V17" s="74">
        <v>29</v>
      </c>
      <c r="W17" s="74">
        <v>30</v>
      </c>
      <c r="X17" s="74">
        <v>31</v>
      </c>
      <c r="Y17" s="108">
        <v>31</v>
      </c>
      <c r="Z17" s="74">
        <v>28</v>
      </c>
      <c r="AA17" s="74">
        <v>28</v>
      </c>
      <c r="AB17" s="74">
        <v>27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0</v>
      </c>
      <c r="E18" s="71">
        <v>1400</v>
      </c>
      <c r="F18" s="71">
        <v>3010</v>
      </c>
      <c r="G18" s="71">
        <v>363</v>
      </c>
      <c r="H18" s="71">
        <v>0</v>
      </c>
      <c r="I18" s="71">
        <v>3934</v>
      </c>
      <c r="J18" s="71">
        <v>225</v>
      </c>
      <c r="K18" s="71">
        <v>3107</v>
      </c>
      <c r="L18" s="71">
        <v>5357</v>
      </c>
      <c r="M18" s="71">
        <v>3853</v>
      </c>
      <c r="N18" s="71">
        <v>2180</v>
      </c>
      <c r="O18" s="71">
        <v>6872</v>
      </c>
      <c r="P18" s="71">
        <v>3387</v>
      </c>
      <c r="Q18" s="71">
        <v>3485</v>
      </c>
      <c r="R18" s="71">
        <v>4863</v>
      </c>
      <c r="S18" s="71">
        <v>1656</v>
      </c>
      <c r="T18" s="71">
        <v>3776</v>
      </c>
      <c r="U18" s="71">
        <v>4374</v>
      </c>
      <c r="V18" s="71">
        <v>850</v>
      </c>
      <c r="W18" s="71">
        <v>5384</v>
      </c>
      <c r="X18" s="71">
        <v>1285</v>
      </c>
      <c r="Y18" s="109">
        <v>-9906</v>
      </c>
      <c r="Z18" s="71">
        <v>0</v>
      </c>
      <c r="AA18" s="71">
        <v>6134</v>
      </c>
      <c r="AB18" s="71">
        <v>1096</v>
      </c>
      <c r="AC18" s="71">
        <v>0</v>
      </c>
      <c r="AD18" s="71">
        <v>5.64</v>
      </c>
      <c r="AE18" s="71">
        <v>82.08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47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9193.4211600000017</v>
      </c>
      <c r="F19" s="73" ph="1">
        <f>F18*9.0746*LOOKUP(F20,密度!$A$2:$A$50,密度!$L$2:$L$50)</f>
        <v>25402.527780000004</v>
      </c>
      <c r="G19" s="73" ph="1">
        <f>G18*9.0746*LOOKUP(G20,密度!$A$2:$A$50,密度!$B$2:$B$50)</f>
        <v>2550.9353971199998</v>
      </c>
      <c r="H19" s="73" ph="1">
        <f>H18*9.0746*LOOKUP(H20,密度!$A$2:$A$50,密度!$L$2:$L$50)</f>
        <v>0</v>
      </c>
      <c r="I19" s="73" ph="1">
        <f>I18*9.0746*LOOKUP(I20,密度!$A$2:$A$50,密度!$U$2:$U$50)</f>
        <v>36342.066975200003</v>
      </c>
      <c r="J19" s="73" ph="1">
        <f>J18*9.0746*LOOKUP(J20,密度!$A$2:$A$50,密度!$L$2:$L$50)</f>
        <v>1898.8600500000002</v>
      </c>
      <c r="K19" s="73" ph="1">
        <f>K18*9.0746*LOOKUP(K20,密度!$A$2:$A$50,密度!$C$2:$C$50)</f>
        <v>31098.844766599999</v>
      </c>
      <c r="L19" s="73" ph="1">
        <f>L18*9.0746*LOOKUP(L20,密度!$A$2:$A$50,密度!$E$2:$E$50)</f>
        <v>37745.278271689996</v>
      </c>
      <c r="M19" s="73" ph="1">
        <f>M18*9.0746*LOOKUP(M20,密度!$A$2:$A$50,密度!$M$2:$M$50)</f>
        <v>30379.547595806001</v>
      </c>
      <c r="N19" s="73" ph="1">
        <f>N18*9.0746*LOOKUP(N20,密度!$A$2:$A$50,密度!$M$2:$M$50)</f>
        <v>17250.451616000002</v>
      </c>
      <c r="O19" s="73" ph="1">
        <f>O18*9.0746*LOOKUP(O20,密度!$A$2:$A$50,密度!$G$2:$G$50)</f>
        <v>59535.713700640001</v>
      </c>
      <c r="P19" s="73" ph="1">
        <f ca="1">P18*9.0746*LOOKUP(P20,密度!$A$2:$A$51,密度!$Q$2:$Q$50)</f>
        <v>28949.92776138</v>
      </c>
      <c r="Q19" s="73" ph="1">
        <f>Q18*9.0746*LOOKUP(Q20,密度!$A$2:$A$50,密度!$Q$2:$Q$50)</f>
        <v>29767.013366250001</v>
      </c>
      <c r="R19" s="73" ph="1">
        <f>MAX(R18*9.0746*LOOKUP(R20,密度!$A$2:$A$50,密度!$B$2:$B$50),0)</f>
        <v>34134.384675300003</v>
      </c>
      <c r="S19" s="73" ph="1">
        <f>S18*9.0746*LOOKUP(S20,密度!$A$2:$A$50,密度!$Q$2:$Q$50)</f>
        <v>14144.669766000001</v>
      </c>
      <c r="T19" s="73" ph="1">
        <f>T18*9.0746*LOOKUP(T20,密度!$A$2:$A$50,密度!$O$2:$O$50)</f>
        <v>31592.9658112</v>
      </c>
      <c r="U19" s="73" ph="1">
        <f>U18*9.0746*LOOKUP(U20,密度!$A$2:$A$50,密度!$H$2:$H$50)</f>
        <v>36005.282615844</v>
      </c>
      <c r="V19" s="73" ph="1">
        <f>MAX(5600*LOOKUP(V20,密度!$A$2:$A$50,密度!$Q$2:$Q$50)+V18*9.0476*LOOKUP(V20,密度!$A$2:$A$50,密度!$Q$2:$Q$50),0)</f>
        <v>12509.645474999999</v>
      </c>
      <c r="W19" s="73" ph="1">
        <f>MAX(5600*LOOKUP(W20,密度!$A$2:$A$50,密度!$Q$2:$Q$50)+W18*9.0476*LOOKUP(W20,密度!$A$2:$A$50,密度!$Q$2:$Q$50),0)</f>
        <v>51050.28295929599</v>
      </c>
      <c r="X19" s="73" ph="1">
        <f>MAX(5600*LOOKUP(X20,密度!$A$2:$A$50,密度!$I$2:$I$50)+X18*9.0476*LOOKUP(X20,密度!$A$2:$A$50,密度!$I$2:$I$50),0)</f>
        <v>17799.625066140001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43105.889052159997</v>
      </c>
      <c r="AB19" s="73" ph="1">
        <f>AB18*9.0746*LOOKUP(AB20,密度!$A$2:$A$50,密度!$L$2:$L$50)</f>
        <v>9209.7752416000003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2394.2129903999999</v>
      </c>
      <c r="AE19" s="73" ph="1">
        <f>AE18*268.68*LOOKUP(AE20,密度!$A$2:$A$50,密度!B5:B53)+IF(AE18&lt;=0,0,1566*LOOKUP(AE20,密度!$A$2:$A$50,密度!B5:B53))</f>
        <v>18352.160668799999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33</v>
      </c>
      <c r="E20" s="81">
        <v>33</v>
      </c>
      <c r="F20" s="81">
        <v>32</v>
      </c>
      <c r="G20" s="81">
        <v>31</v>
      </c>
      <c r="H20" s="81">
        <v>30</v>
      </c>
      <c r="I20" s="81">
        <v>32</v>
      </c>
      <c r="J20" s="81">
        <v>32</v>
      </c>
      <c r="K20" s="81">
        <v>32</v>
      </c>
      <c r="L20" s="81">
        <v>31</v>
      </c>
      <c r="M20" s="81">
        <v>31</v>
      </c>
      <c r="N20" s="81">
        <v>28</v>
      </c>
      <c r="O20" s="81">
        <v>30</v>
      </c>
      <c r="P20" s="81">
        <v>32</v>
      </c>
      <c r="Q20" s="81">
        <v>33</v>
      </c>
      <c r="R20" s="81">
        <v>32</v>
      </c>
      <c r="S20" s="81">
        <v>33</v>
      </c>
      <c r="T20" s="81">
        <v>32</v>
      </c>
      <c r="U20" s="81">
        <v>33</v>
      </c>
      <c r="V20" s="81">
        <v>33</v>
      </c>
      <c r="W20" s="81">
        <v>35</v>
      </c>
      <c r="X20" s="81">
        <v>33</v>
      </c>
      <c r="Y20" s="110">
        <v>33</v>
      </c>
      <c r="Z20" s="81">
        <v>35</v>
      </c>
      <c r="AA20" s="81">
        <v>31</v>
      </c>
      <c r="AB20" s="81">
        <v>36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47" t="s" ph="1">
        <v>177</v>
      </c>
      <c r="D24" s="71">
        <v>85.24</v>
      </c>
      <c r="E24" s="71">
        <v>5.43</v>
      </c>
      <c r="F24" s="71">
        <v>1937</v>
      </c>
      <c r="G24" s="71">
        <v>0</v>
      </c>
      <c r="H24" s="71">
        <v>2544</v>
      </c>
      <c r="I24" s="71">
        <v>1462</v>
      </c>
      <c r="J24" s="71">
        <v>945</v>
      </c>
      <c r="K24" s="71">
        <v>2254</v>
      </c>
      <c r="L24" s="71">
        <v>5616</v>
      </c>
      <c r="M24" s="71">
        <v>5514</v>
      </c>
      <c r="N24" s="71">
        <v>2805</v>
      </c>
      <c r="O24" s="71">
        <v>4321</v>
      </c>
      <c r="P24" s="71">
        <v>681</v>
      </c>
      <c r="Q24" s="90">
        <v>4522</v>
      </c>
      <c r="R24" s="71">
        <v>735</v>
      </c>
      <c r="S24" s="71">
        <v>239</v>
      </c>
      <c r="T24" s="71">
        <v>1698</v>
      </c>
      <c r="U24" s="71">
        <v>6149</v>
      </c>
      <c r="V24" s="71">
        <v>6687</v>
      </c>
      <c r="W24" s="71">
        <v>4217</v>
      </c>
      <c r="X24" s="71">
        <v>2816</v>
      </c>
      <c r="Y24" s="71">
        <v>1289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23165.102436768</v>
      </c>
      <c r="E25" s="91" ph="1">
        <f>E24*268.68*LOOKUP(E26,密度!$A$2:$A$50,密度!$C$2:$C$50)+IF(E24&lt;=0,0,1566*LOOKUP(E26,密度!$A$2:$A$50,密度!$C$2:$C$50))</f>
        <v>3354.3475383599998</v>
      </c>
      <c r="F25" s="91" ph="1">
        <f>F24*11.702*LOOKUP(F26,密度!$A$2:$A$50,密度!$Q$2:$Q$50)</f>
        <v>21395.847981820003</v>
      </c>
      <c r="G25" s="91" ph="1">
        <f>G24*18.322*LOOKUP(G26,密度!$A$2:$A$50,密度!$B$2:$B$50)</f>
        <v>0</v>
      </c>
      <c r="H25" s="91" ph="1">
        <f>H24*18.322*LOOKUP(H26,密度!$A$2:$A$50,密度!$B$2:$B$50)</f>
        <v>36216.877536</v>
      </c>
      <c r="I25" s="91" ph="1">
        <f>I24*18.322*LOOKUP(I26,密度!$A$2:$A$50,密度!$Q$2:$Q$50)</f>
        <v>25284.830142520001</v>
      </c>
      <c r="J25" s="91" ph="1">
        <f>J24*18.322*LOOKUP(J26,密度!$A$2:$A$50,密度!$Q$2:$Q$50)</f>
        <v>16333.089185700001</v>
      </c>
      <c r="K25" s="91" ph="1">
        <f>K24*18.322*LOOKUP(K26,密度!$A$2:$A$50,密度!$Q$2:$Q$50)</f>
        <v>38957.442354040002</v>
      </c>
      <c r="L25" s="91" ph="1">
        <f>L24*18.322*LOOKUP(L26,密度!$A$2:$A$50,密度!$Q$2:$Q$50)</f>
        <v>97126.95354336001</v>
      </c>
      <c r="M25" s="91" ph="1">
        <f>M24*18.322*LOOKUP(M26,密度!$A$2:$A$50,密度!$Q$2:$Q$50)</f>
        <v>95302.279121640007</v>
      </c>
      <c r="N25" s="91" ph="1">
        <f>N24*18.322*LOOKUP(N26,密度!$A$2:$A$50,密度!$Q$2:$Q$50)</f>
        <v>48511.592715300001</v>
      </c>
      <c r="O25" s="91" ph="1">
        <f>O24*18.322*LOOKUP(O26,密度!$A$2:$A$50,密度!$C$2:$C$50)</f>
        <v>87490.061946199989</v>
      </c>
      <c r="P25" s="91" ph="1">
        <f>P24*11.702*LOOKUP(P26,密度!$A$2:$A$50,密度!$B$2:$B$50)</f>
        <v>6178.4137685999995</v>
      </c>
      <c r="Q25" s="92" ph="1">
        <f>Q24*18.322*LOOKUP(Q26,密度!$A$2:$A$50,密度!$B$2:$B$50)</f>
        <v>64309.787600800002</v>
      </c>
      <c r="R25" s="91" ph="1">
        <f>R24*35.891*LOOKUP(R26,密度!$A$2:$A$50,密度!$C$2:$C$50)</f>
        <v>29173.514821500001</v>
      </c>
      <c r="S25" s="91" ph="1">
        <f>S24*35.891*LOOKUP(S26,密度!$A$2:$A$50,密度!$B$2:$B$50)</f>
        <v>6658.2040137999993</v>
      </c>
      <c r="T25" s="91" ph="1">
        <f>T24*35.891*LOOKUP(T26,密度!$A$2:$A$50,密度!$Q$2:$Q$50)</f>
        <v>57489.282836940001</v>
      </c>
      <c r="U25" s="91" ph="1">
        <f>U24*35.891</f>
        <v>220693.75899999999</v>
      </c>
      <c r="V25" s="91" ph="1">
        <f>V24*47.051*LOOKUP(V26,密度!$A$2:$A$50,密度!$B$2:$B$50)</f>
        <v>243932.6676861</v>
      </c>
      <c r="W25" s="91" ph="1">
        <f>W24*47.051*LOOKUP(W26,密度!$A$2:$A$50,密度!$B$2:$B$50)</f>
        <v>153830.42614510001</v>
      </c>
      <c r="X25" s="91" ph="1">
        <f>X24*47.051*LOOKUP(X26,密度!$A$2:$A$50,密度!$I$2:$I$50)</f>
        <v>137344.95554560001</v>
      </c>
      <c r="Y25" s="91" ph="1">
        <f>Y24*47.051*LOOKUP(Y26,密度!$A$2:$A$50,密度!$L$2:$L$50)</f>
        <v>56585.273487000006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29</v>
      </c>
      <c r="G26" s="74">
        <v>28</v>
      </c>
      <c r="H26" s="74">
        <v>28</v>
      </c>
      <c r="I26" s="74">
        <v>29</v>
      </c>
      <c r="J26" s="74">
        <v>30</v>
      </c>
      <c r="K26" s="74">
        <v>30</v>
      </c>
      <c r="L26" s="74">
        <v>29</v>
      </c>
      <c r="M26" s="74">
        <v>30</v>
      </c>
      <c r="N26" s="74">
        <v>29</v>
      </c>
      <c r="O26" s="74">
        <v>30</v>
      </c>
      <c r="P26" s="74">
        <v>30</v>
      </c>
      <c r="Q26" s="93">
        <v>29</v>
      </c>
      <c r="R26" s="74">
        <v>29</v>
      </c>
      <c r="S26" s="74">
        <v>29</v>
      </c>
      <c r="T26" s="74">
        <v>30</v>
      </c>
      <c r="U26" s="74">
        <v>29</v>
      </c>
      <c r="V26" s="74">
        <v>30</v>
      </c>
      <c r="W26" s="74">
        <v>30</v>
      </c>
      <c r="X26" s="74">
        <v>30</v>
      </c>
      <c r="Y26" s="74">
        <v>29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47" t="s" ph="1">
        <v>180</v>
      </c>
      <c r="D27" s="71">
        <v>85.33</v>
      </c>
      <c r="E27" s="71">
        <v>5.41</v>
      </c>
      <c r="F27" s="71">
        <v>1937</v>
      </c>
      <c r="G27" s="71">
        <v>751</v>
      </c>
      <c r="H27" s="71">
        <v>2066</v>
      </c>
      <c r="I27" s="71">
        <v>1460</v>
      </c>
      <c r="J27" s="71">
        <v>764</v>
      </c>
      <c r="K27" s="71">
        <v>2252</v>
      </c>
      <c r="L27" s="71">
        <v>5613</v>
      </c>
      <c r="M27" s="71">
        <v>5513</v>
      </c>
      <c r="N27" s="71">
        <v>2430</v>
      </c>
      <c r="O27" s="71">
        <v>4318</v>
      </c>
      <c r="P27" s="71">
        <v>677</v>
      </c>
      <c r="Q27" s="90">
        <v>4136</v>
      </c>
      <c r="R27" s="71">
        <v>732</v>
      </c>
      <c r="S27" s="71">
        <v>41</v>
      </c>
      <c r="T27" s="71">
        <v>1694</v>
      </c>
      <c r="U27" s="71">
        <v>6034</v>
      </c>
      <c r="V27" s="71">
        <v>6686</v>
      </c>
      <c r="W27" s="71">
        <v>3910</v>
      </c>
      <c r="X27" s="71">
        <v>2817</v>
      </c>
      <c r="Y27" s="71">
        <v>1285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47" t="s" ph="1">
        <v>178</v>
      </c>
      <c r="D28" s="91" ph="1">
        <f>D27*268.68*LOOKUP(D29,密度!$A$2:$A$50,密度!$Q$2:$Q$50)+IF(D27&lt;=0,0,1566*LOOKUP(D29,密度!$A$2:$A$50,密度!$Q$2:$Q$50))</f>
        <v>23187.995746056004</v>
      </c>
      <c r="E28" s="91" ph="1">
        <f>E27*268.68*LOOKUP(E29,密度!$A$2:$A$50,密度!$C$2:$C$50)+IF(E27&lt;=0,0,1566*LOOKUP(E29,密度!$A$2:$A$50,密度!$C$2:$C$50))</f>
        <v>3348.38875332</v>
      </c>
      <c r="F28" s="91" ph="1">
        <f>F27*11.702*LOOKUP(F29,密度!$A$2:$A$50,密度!$Q$2:$Q$50)</f>
        <v>21365.24783692</v>
      </c>
      <c r="G28" s="91" ph="1">
        <f>G27*18.322*LOOKUP(G29,密度!$A$2:$A$50,密度!$B$2:$B$50)</f>
        <v>10655.6061568</v>
      </c>
      <c r="H28" s="91" ph="1">
        <f>H27*18.322*LOOKUP(H29,密度!$A$2:$A$50,密度!$B$2:$B$50)</f>
        <v>29313.558348800001</v>
      </c>
      <c r="I28" s="91" ph="1">
        <f>I27*18.322*LOOKUP(I29,密度!$A$2:$A$50,密度!$Q$2:$Q$50)</f>
        <v>25214.128109599998</v>
      </c>
      <c r="J28" s="91" ph="1">
        <f>J27*18.322*LOOKUP(J29,密度!$A$2:$A$50,密度!$Q$2:$Q$50)</f>
        <v>13184.723735199999</v>
      </c>
      <c r="K28" s="91" ph="1">
        <f>K27*18.322*LOOKUP(K29,密度!$A$2:$A$50,密度!$Q$2:$Q$50)</f>
        <v>38863.871533599995</v>
      </c>
      <c r="L28" s="91" ph="1">
        <f>L27*18.322*LOOKUP(L29,密度!$A$2:$A$50,密度!$Q$2:$Q$50)</f>
        <v>96936.233615880003</v>
      </c>
      <c r="M28" s="91" ph="1">
        <f>M27*18.322*LOOKUP(M29,密度!$A$2:$A$50,密度!$Q$2:$Q$50)</f>
        <v>95140.552293400004</v>
      </c>
      <c r="N28" s="91" ph="1">
        <f>N27*18.322*LOOKUP(N29,密度!$A$2:$A$50,密度!$Q$2:$Q$50)</f>
        <v>41935.705073999998</v>
      </c>
      <c r="O28" s="91" ph="1">
        <f>O27*18.322*LOOKUP(O29,密度!$A$2:$A$50,密度!$C$2:$C$50)</f>
        <v>87263.17878799999</v>
      </c>
      <c r="P28" s="91" ph="1">
        <f>P27*11.702*LOOKUP(P29,密度!$A$2:$A$50,密度!$B$2:$B$50)</f>
        <v>6134.9934975999995</v>
      </c>
      <c r="Q28" s="92" ph="1">
        <f>Q27*18.322*LOOKUP(Q29,密度!$A$2:$A$50,密度!$B$2:$B$50)</f>
        <v>58615.669111999996</v>
      </c>
      <c r="R28" s="91" ph="1">
        <f>R27*35.891*LOOKUP(R29,密度!$A$2:$A$50,密度!$C$2:$C$50)</f>
        <v>28978.249835999999</v>
      </c>
      <c r="S28" s="91" ph="1">
        <f>S27*35.891*LOOKUP(S29,密度!$A$2:$A$50,密度!$B$2:$B$50)</f>
        <v>1139.5536064</v>
      </c>
      <c r="T28" s="91" ph="1">
        <f>T27*35.891*LOOKUP(T29,密度!$A$2:$A$50,密度!$Q$2:$Q$50)</f>
        <v>57266.911532599996</v>
      </c>
      <c r="U28" s="91" ph="1">
        <f>U27*35.891</f>
        <v>216566.29399999999</v>
      </c>
      <c r="V28" s="91" ph="1">
        <f>V27*47.051*LOOKUP(V29,密度!$A$2:$A$50,密度!$B$2:$B$50)</f>
        <v>243329.93967100003</v>
      </c>
      <c r="W28" s="91" ph="1">
        <f>W27*47.051*LOOKUP(W29,密度!$A$2:$A$50,密度!$B$2:$B$50)</f>
        <v>142465.911104</v>
      </c>
      <c r="X28" s="91" ph="1">
        <f>X27*47.051*LOOKUP(X29,密度!$A$2:$A$50,密度!$I$2:$I$50)</f>
        <v>137102.13474480002</v>
      </c>
      <c r="Y28" s="91" ph="1">
        <f>Y27*47.051*LOOKUP(Y29,密度!$A$2:$A$50,密度!$L$2:$L$50)</f>
        <v>56288.758085000009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47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31</v>
      </c>
      <c r="I29" s="74">
        <v>31</v>
      </c>
      <c r="J29" s="74">
        <v>32</v>
      </c>
      <c r="K29" s="74">
        <v>32</v>
      </c>
      <c r="L29" s="74">
        <v>31</v>
      </c>
      <c r="M29" s="74">
        <v>32</v>
      </c>
      <c r="N29" s="74">
        <v>32</v>
      </c>
      <c r="O29" s="74">
        <v>32</v>
      </c>
      <c r="P29" s="74">
        <v>31</v>
      </c>
      <c r="Q29" s="93">
        <v>32</v>
      </c>
      <c r="R29" s="74">
        <v>32</v>
      </c>
      <c r="S29" s="74">
        <v>31</v>
      </c>
      <c r="T29" s="74">
        <v>32</v>
      </c>
      <c r="U29" s="74">
        <v>32</v>
      </c>
      <c r="V29" s="74">
        <v>32</v>
      </c>
      <c r="W29" s="74">
        <v>31</v>
      </c>
      <c r="X29" s="74">
        <v>32</v>
      </c>
      <c r="Y29" s="74">
        <v>31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104193.972213</v>
      </c>
      <c r="E33" s="204" ph="1">
        <f>M10+I10</f>
        <v>103473.76258000001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[[#This Row],[F25]]</f>
        <v>3880</v>
      </c>
      <c r="G33" s="208" ph="1">
        <v>0</v>
      </c>
      <c r="H33" s="204" ph="1">
        <f>N19</f>
        <v>17250.451616000002</v>
      </c>
      <c r="I33" s="217" ph="1">
        <v>0</v>
      </c>
      <c r="J33" s="215" ph="1">
        <f>F10+O28</f>
        <v>338491.38641420001</v>
      </c>
      <c r="K33" s="204" ph="1">
        <f>O10+K10+E28+R28</f>
        <v>38944.038190519997</v>
      </c>
      <c r="L33" s="219" ph="1">
        <f>BE27</f>
        <v>7100</v>
      </c>
      <c r="M33" s="215" ph="1">
        <f>G10+H10+W28+S28+V28+E10</f>
        <v>1447641.7811163999</v>
      </c>
      <c r="N33" s="204" ph="1">
        <f>L10+P10++G28+H28</f>
        <v>325461.87790660001</v>
      </c>
      <c r="O33" s="217" ph="1">
        <f>BE17</f>
        <v>2270</v>
      </c>
      <c r="P33" s="215" ph="1">
        <f>L19</f>
        <v>37745.278271689996</v>
      </c>
      <c r="Q33" s="204" ph="1">
        <f>J10+N10</f>
        <v>158857.22054591999</v>
      </c>
      <c r="R33" s="217" ph="1">
        <f>BE23</f>
        <v>890</v>
      </c>
      <c r="S33" s="215" ph="1">
        <f>E10+X28</f>
        <v>497585.15540080005</v>
      </c>
      <c r="T33" s="204" ph="1">
        <f>X19</f>
        <v>17799.625066140001</v>
      </c>
      <c r="U33" s="225" ph="1">
        <f>BE21</f>
        <v>730</v>
      </c>
      <c r="V33" s="236" ph="1">
        <f ca="1">P19+Q19+S19+M28+N28+J28</f>
        <v>223122.59199623001</v>
      </c>
      <c r="W33" s="236" ph="1">
        <f>D28+F28+V19+T28</f>
        <v>114329.80059057599</v>
      </c>
      <c r="X33" s="217" ph="1">
        <f>BE29+BE31</f>
        <v>10200</v>
      </c>
      <c r="Y33" s="238" ph="1">
        <f>+Q10+R10+S10+T10+U10+V10+W10+X10+Y10</f>
        <v>111651.7037328</v>
      </c>
      <c r="Z33" s="223" ph="1">
        <f>D10+T19+U19+Y28+Z10</f>
        <v>474383.55763352395</v>
      </c>
      <c r="AA33" s="225" ph="1">
        <f>BE19</f>
        <v>1440</v>
      </c>
      <c r="AB33" s="227" ph="1">
        <f>I19</f>
        <v>36342.066975200003</v>
      </c>
      <c r="AC33" s="229" ph="1">
        <f>AD10</f>
        <v>80497.024271999995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49" t="s" ph="1">
        <v>185</v>
      </c>
      <c r="AA36" s="149" ph="1"/>
      <c r="AB36" s="222" t="s" ph="1">
        <v>641</v>
      </c>
      <c r="AC36" s="222" ph="1"/>
      <c r="AD36" s="222" ph="1"/>
      <c r="AE36" s="22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342</v>
      </c>
      <c r="AI37" s="149" t="s" ph="1">
        <v>209</v>
      </c>
      <c r="AJ37" s="149" t="s" ph="1">
        <v>210</v>
      </c>
      <c r="AK37" s="149" t="s" ph="1">
        <v>211</v>
      </c>
      <c r="AM37" s="149" t="s" ph="1">
        <v>210</v>
      </c>
      <c r="AN37" s="149" t="s" ph="1">
        <v>211</v>
      </c>
      <c r="AO37" s="149" t="s" ph="1">
        <v>212</v>
      </c>
      <c r="AP37" s="149" t="s" ph="1">
        <v>210</v>
      </c>
      <c r="AQ37" s="149" t="s" ph="1">
        <v>211</v>
      </c>
      <c r="AR37" s="149" t="s" ph="1">
        <v>212</v>
      </c>
      <c r="AS37" s="149" t="s" ph="1">
        <v>210</v>
      </c>
      <c r="AT37" s="149" t="s" ph="1">
        <v>211</v>
      </c>
      <c r="AU37" s="149" t="s" ph="1">
        <v>212</v>
      </c>
      <c r="AV37" s="149" t="s" ph="1">
        <v>210</v>
      </c>
      <c r="AW37" s="149" t="s" ph="1">
        <v>211</v>
      </c>
      <c r="AX37" s="149" t="s" ph="1">
        <v>212</v>
      </c>
      <c r="AY37" s="149" t="s" ph="1">
        <v>211</v>
      </c>
      <c r="AZ37" s="149" t="s" ph="1">
        <v>213</v>
      </c>
      <c r="BD37" s="149" t="s" ph="1">
        <v>305</v>
      </c>
      <c r="BE37" s="14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175" priority="98">
      <formula>ABS(D$7-D$10)&gt;=1000</formula>
    </cfRule>
  </conditionalFormatting>
  <conditionalFormatting sqref="E4 E6:E11">
    <cfRule type="expression" dxfId="2174" priority="97">
      <formula>ABS(E$7-E$10)&gt;=1000</formula>
    </cfRule>
  </conditionalFormatting>
  <conditionalFormatting sqref="F4:F11">
    <cfRule type="expression" dxfId="2173" priority="96">
      <formula>ABS(F$7-F$10)&gt;=1000</formula>
    </cfRule>
  </conditionalFormatting>
  <conditionalFormatting sqref="G4:G11">
    <cfRule type="expression" dxfId="2172" priority="95">
      <formula>ABS(G$7-G$10)&gt;=1000</formula>
    </cfRule>
  </conditionalFormatting>
  <conditionalFormatting sqref="H4:H11">
    <cfRule type="expression" dxfId="2171" priority="94">
      <formula>ABS(H$7-H$10)&gt;=1000</formula>
    </cfRule>
  </conditionalFormatting>
  <conditionalFormatting sqref="I4:I11">
    <cfRule type="expression" dxfId="2170" priority="93">
      <formula>ABS(I$7-I$10)&gt;=1000</formula>
    </cfRule>
  </conditionalFormatting>
  <conditionalFormatting sqref="J4:J11">
    <cfRule type="expression" dxfId="2169" priority="92">
      <formula>ABS(J$7-J$10)&gt;=1000</formula>
    </cfRule>
  </conditionalFormatting>
  <conditionalFormatting sqref="K4:K11">
    <cfRule type="expression" dxfId="2168" priority="91">
      <formula>ABS(K$7-K$10)&gt;=1000</formula>
    </cfRule>
  </conditionalFormatting>
  <conditionalFormatting sqref="L4:L11">
    <cfRule type="expression" dxfId="2167" priority="90">
      <formula>ABS(L$7-L$10)&gt;=1000</formula>
    </cfRule>
  </conditionalFormatting>
  <conditionalFormatting sqref="M4 M6:M11">
    <cfRule type="expression" dxfId="2166" priority="89">
      <formula>ABS(M$7-M$10)&gt;=1000</formula>
    </cfRule>
  </conditionalFormatting>
  <conditionalFormatting sqref="N4 N6:N11">
    <cfRule type="expression" dxfId="2165" priority="88">
      <formula>ABS(N$7-N$10)&gt;=1000</formula>
    </cfRule>
  </conditionalFormatting>
  <conditionalFormatting sqref="O4 O6:O11">
    <cfRule type="expression" dxfId="2164" priority="87">
      <formula>ABS(O$7-O$10)&gt;=1000</formula>
    </cfRule>
  </conditionalFormatting>
  <conditionalFormatting sqref="P4 P6:P11">
    <cfRule type="expression" dxfId="2163" priority="86">
      <formula>ABS(P$7-P$10)&gt;=1000</formula>
    </cfRule>
  </conditionalFormatting>
  <conditionalFormatting sqref="Q4:Q11">
    <cfRule type="expression" dxfId="2162" priority="85">
      <formula>ABS(Q$7-Q$10)&gt;=1000</formula>
    </cfRule>
  </conditionalFormatting>
  <conditionalFormatting sqref="R4:R11">
    <cfRule type="expression" dxfId="2161" priority="84">
      <formula>ABS(R$7-R$10)&gt;=1000</formula>
    </cfRule>
  </conditionalFormatting>
  <conditionalFormatting sqref="S4:S11">
    <cfRule type="expression" dxfId="2160" priority="83">
      <formula>ABS(S$7-S$10)&gt;=1000</formula>
    </cfRule>
  </conditionalFormatting>
  <conditionalFormatting sqref="T4:T9 T11">
    <cfRule type="expression" dxfId="2159" priority="82">
      <formula>ABS(T$7-T$10)&gt;=1000</formula>
    </cfRule>
  </conditionalFormatting>
  <conditionalFormatting sqref="U4:U9 U11">
    <cfRule type="expression" dxfId="2158" priority="81">
      <formula>ABS(U$7-U$10)&gt;=1000</formula>
    </cfRule>
  </conditionalFormatting>
  <conditionalFormatting sqref="V4:V9 V11">
    <cfRule type="expression" dxfId="2157" priority="80">
      <formula>ABS(V$7-V$10)&gt;=1000</formula>
    </cfRule>
  </conditionalFormatting>
  <conditionalFormatting sqref="W4:W9 W11">
    <cfRule type="expression" dxfId="2156" priority="79">
      <formula>ABS(W$7-W$10)&gt;=1000</formula>
    </cfRule>
  </conditionalFormatting>
  <conditionalFormatting sqref="X4:X9 X11">
    <cfRule type="expression" dxfId="2155" priority="78">
      <formula>ABS(X$7-X$10)&gt;=1000</formula>
    </cfRule>
  </conditionalFormatting>
  <conditionalFormatting sqref="Y4:Y9 Y11">
    <cfRule type="expression" dxfId="2154" priority="77">
      <formula>ABS(Y$7-Y$10)&gt;=1000</formula>
    </cfRule>
  </conditionalFormatting>
  <conditionalFormatting sqref="Z4:Z11">
    <cfRule type="expression" dxfId="2153" priority="76">
      <formula>ABS(Z$7-Z$10)&gt;=1000</formula>
    </cfRule>
  </conditionalFormatting>
  <conditionalFormatting sqref="AA4:AA11">
    <cfRule type="expression" dxfId="2152" priority="75">
      <formula>ABS(AA$7-AA$10)&gt;=1000</formula>
    </cfRule>
  </conditionalFormatting>
  <conditionalFormatting sqref="AB4:AB11">
    <cfRule type="expression" dxfId="2151" priority="74">
      <formula>ABS(AB$7-AB$10)&gt;=1000</formula>
    </cfRule>
  </conditionalFormatting>
  <conditionalFormatting sqref="AC4 AC6:AC11">
    <cfRule type="expression" dxfId="2150" priority="73">
      <formula>ABS(AC$7-AC$10)&gt;=1000</formula>
    </cfRule>
  </conditionalFormatting>
  <conditionalFormatting sqref="AD4:AD11">
    <cfRule type="expression" dxfId="2149" priority="72">
      <formula>ABS(AD$7-AD$10)&gt;=1000</formula>
    </cfRule>
  </conditionalFormatting>
  <conditionalFormatting sqref="AE4 AE6:AE11">
    <cfRule type="expression" dxfId="2148" priority="71">
      <formula>ABS(AE$7-AE$10)&gt;=1000</formula>
    </cfRule>
  </conditionalFormatting>
  <conditionalFormatting sqref="D13:D20">
    <cfRule type="expression" dxfId="2147" priority="70">
      <formula>ABS(D$16-D$19)&gt;=1000</formula>
    </cfRule>
  </conditionalFormatting>
  <conditionalFormatting sqref="E13:E20">
    <cfRule type="expression" dxfId="2146" priority="69">
      <formula>ABS(E$16-E$19)&gt;=1000</formula>
    </cfRule>
  </conditionalFormatting>
  <conditionalFormatting sqref="F13 F15:F20">
    <cfRule type="expression" dxfId="2145" priority="68">
      <formula>ABS(F$16-F$19)&gt;=1000</formula>
    </cfRule>
  </conditionalFormatting>
  <conditionalFormatting sqref="G13:G20">
    <cfRule type="expression" dxfId="2144" priority="67">
      <formula>ABS(G$16-G$19)&gt;=1000</formula>
    </cfRule>
  </conditionalFormatting>
  <conditionalFormatting sqref="H13:H20">
    <cfRule type="expression" dxfId="2143" priority="66">
      <formula>ABS(H$16-H$19)&gt;=1000</formula>
    </cfRule>
  </conditionalFormatting>
  <conditionalFormatting sqref="I13:I20">
    <cfRule type="expression" dxfId="2142" priority="65">
      <formula>ABS(I$16-I$19)&gt;=1000</formula>
    </cfRule>
  </conditionalFormatting>
  <conditionalFormatting sqref="J13:J20">
    <cfRule type="expression" dxfId="2141" priority="64">
      <formula>ABS(J$16-J$19)&gt;=1000</formula>
    </cfRule>
  </conditionalFormatting>
  <conditionalFormatting sqref="L13:L20">
    <cfRule type="expression" dxfId="2140" priority="63">
      <formula>ABS(L$16-L$19)&gt;=1000</formula>
    </cfRule>
  </conditionalFormatting>
  <conditionalFormatting sqref="M13 M15 M17:M18 M20">
    <cfRule type="expression" dxfId="2139" priority="62">
      <formula>ABS(M$16-M$19)&gt;=1000</formula>
    </cfRule>
  </conditionalFormatting>
  <conditionalFormatting sqref="N13:N20">
    <cfRule type="expression" dxfId="2138" priority="61">
      <formula>ABS(N$16-N$19)&gt;=1000</formula>
    </cfRule>
  </conditionalFormatting>
  <conditionalFormatting sqref="O13:O20">
    <cfRule type="expression" dxfId="2137" priority="60">
      <formula>ABS(O$16-O$19)&gt;=1000</formula>
    </cfRule>
  </conditionalFormatting>
  <conditionalFormatting sqref="P13:P20">
    <cfRule type="expression" dxfId="2136" priority="59">
      <formula>ABS(P$16-P$19)&gt;=1000</formula>
    </cfRule>
  </conditionalFormatting>
  <conditionalFormatting sqref="Q13 Q15:Q20">
    <cfRule type="expression" dxfId="2135" priority="58">
      <formula>ABS(Q$16-Q$19)&gt;=1000</formula>
    </cfRule>
  </conditionalFormatting>
  <conditionalFormatting sqref="R13:R20">
    <cfRule type="expression" dxfId="2134" priority="57">
      <formula>ABS(R$16-R$19)&gt;=1000</formula>
    </cfRule>
  </conditionalFormatting>
  <conditionalFormatting sqref="S13:S20">
    <cfRule type="expression" dxfId="2133" priority="56">
      <formula>ABS(S$16-S$19)&gt;=1000</formula>
    </cfRule>
  </conditionalFormatting>
  <conditionalFormatting sqref="T13:T20">
    <cfRule type="expression" dxfId="2132" priority="55">
      <formula>ABS(T$16-T$19)&gt;=1000</formula>
    </cfRule>
  </conditionalFormatting>
  <conditionalFormatting sqref="U13:U20">
    <cfRule type="expression" dxfId="2131" priority="54">
      <formula>ABS(U$16-U$19)&gt;=1000</formula>
    </cfRule>
  </conditionalFormatting>
  <conditionalFormatting sqref="V13:V20">
    <cfRule type="expression" dxfId="2130" priority="53">
      <formula>ABS(V$16-V$19)&gt;=1000</formula>
    </cfRule>
  </conditionalFormatting>
  <conditionalFormatting sqref="W13 W20 W15:W18">
    <cfRule type="expression" dxfId="2129" priority="52">
      <formula>ABS(W$16-W$19)&gt;=1000</formula>
    </cfRule>
  </conditionalFormatting>
  <conditionalFormatting sqref="X13 X15:X20 Y19">
    <cfRule type="expression" dxfId="2128" priority="51">
      <formula>ABS(X$16-X$19)&gt;=1000</formula>
    </cfRule>
  </conditionalFormatting>
  <conditionalFormatting sqref="Y13 Y15:Y18 Y20">
    <cfRule type="expression" dxfId="2127" priority="50">
      <formula>ABS(Y$16-Y$19)&gt;=1000</formula>
    </cfRule>
  </conditionalFormatting>
  <conditionalFormatting sqref="Z13:Z20">
    <cfRule type="expression" dxfId="2126" priority="49">
      <formula>ABS(Z$16-Z$19)&gt;=1000</formula>
    </cfRule>
  </conditionalFormatting>
  <conditionalFormatting sqref="AA13:AA20">
    <cfRule type="expression" dxfId="2125" priority="48">
      <formula>ABS(AA$16-AA$19)&gt;=1000</formula>
    </cfRule>
  </conditionalFormatting>
  <conditionalFormatting sqref="AB13 AB15:AB20">
    <cfRule type="expression" dxfId="2124" priority="47">
      <formula>ABS(AB$16-AB$19)&gt;=1000</formula>
    </cfRule>
  </conditionalFormatting>
  <conditionalFormatting sqref="AC13 AC15:AC20">
    <cfRule type="expression" dxfId="2123" priority="46">
      <formula>ABS(AC$16-AC$19)&gt;=1000</formula>
    </cfRule>
  </conditionalFormatting>
  <conditionalFormatting sqref="AD13:AD20">
    <cfRule type="expression" dxfId="2122" priority="45">
      <formula>ABS(AD$16-AD$19)&gt;=1000</formula>
    </cfRule>
  </conditionalFormatting>
  <conditionalFormatting sqref="AE13:AE20">
    <cfRule type="expression" dxfId="2121" priority="44">
      <formula>ABS(AE$16-AE$19)&gt;=1000</formula>
    </cfRule>
  </conditionalFormatting>
  <conditionalFormatting sqref="D22:D29">
    <cfRule type="expression" dxfId="2120" priority="43">
      <formula>ABS(D$25-D$28)&gt;=1000</formula>
    </cfRule>
  </conditionalFormatting>
  <conditionalFormatting sqref="E22:E29">
    <cfRule type="expression" dxfId="2119" priority="42">
      <formula>ABS(E$25-E$28)&gt;=1000</formula>
    </cfRule>
  </conditionalFormatting>
  <conditionalFormatting sqref="F22:F29">
    <cfRule type="expression" dxfId="2118" priority="41">
      <formula>ABS(F$25-F$28)&gt;=1000</formula>
    </cfRule>
  </conditionalFormatting>
  <conditionalFormatting sqref="G22:G29">
    <cfRule type="expression" dxfId="2117" priority="40">
      <formula>ABS(G$25-G$28)&gt;=1000</formula>
    </cfRule>
  </conditionalFormatting>
  <conditionalFormatting sqref="H22:H29">
    <cfRule type="expression" dxfId="2116" priority="39">
      <formula>ABS(H$25-H$28)&gt;=1000</formula>
    </cfRule>
  </conditionalFormatting>
  <conditionalFormatting sqref="I22 I24:I29">
    <cfRule type="expression" dxfId="2115" priority="38">
      <formula>ABS(I$25-I$28)&gt;=1000</formula>
    </cfRule>
  </conditionalFormatting>
  <conditionalFormatting sqref="J22:J29 K22">
    <cfRule type="expression" dxfId="2114" priority="37">
      <formula>ABS(J$25-J$28)&gt;=1000</formula>
    </cfRule>
  </conditionalFormatting>
  <conditionalFormatting sqref="K23:K29 L25 L28">
    <cfRule type="expression" dxfId="2113" priority="36">
      <formula>ABS(K$25-K$28)&gt;=1000</formula>
    </cfRule>
  </conditionalFormatting>
  <conditionalFormatting sqref="L22 L26:L27 L29 L24">
    <cfRule type="expression" dxfId="2112" priority="35">
      <formula>ABS(L$25-L$28)&gt;=1000</formula>
    </cfRule>
  </conditionalFormatting>
  <conditionalFormatting sqref="M22:M29">
    <cfRule type="expression" dxfId="2111" priority="34">
      <formula>ABS(M$25-M$28)&gt;=1000</formula>
    </cfRule>
  </conditionalFormatting>
  <conditionalFormatting sqref="N22:N29">
    <cfRule type="expression" dxfId="2110" priority="33">
      <formula>ABS(N$25-N$28)&gt;=1000</formula>
    </cfRule>
  </conditionalFormatting>
  <conditionalFormatting sqref="O22:O29">
    <cfRule type="expression" dxfId="2109" priority="32">
      <formula>ABS(O$25-O$28)&gt;=1000</formula>
    </cfRule>
  </conditionalFormatting>
  <conditionalFormatting sqref="P22:P29">
    <cfRule type="expression" dxfId="2108" priority="31">
      <formula>ABS(P$25-P$28)&gt;=1000</formula>
    </cfRule>
  </conditionalFormatting>
  <conditionalFormatting sqref="Q22:Q29">
    <cfRule type="expression" dxfId="2107" priority="30">
      <formula>ABS(Q$25-Q$28)&gt;=1000</formula>
    </cfRule>
  </conditionalFormatting>
  <conditionalFormatting sqref="R22:R29">
    <cfRule type="expression" dxfId="2106" priority="29">
      <formula>ABS(R$25-R$28)&gt;=1000</formula>
    </cfRule>
  </conditionalFormatting>
  <conditionalFormatting sqref="S22:S29">
    <cfRule type="expression" dxfId="2105" priority="28">
      <formula>ABS(S$25-S$28)&gt;=1000</formula>
    </cfRule>
  </conditionalFormatting>
  <conditionalFormatting sqref="T22:T29">
    <cfRule type="expression" dxfId="2104" priority="27">
      <formula>ABS(T$25-T$28)&gt;=1000</formula>
    </cfRule>
  </conditionalFormatting>
  <conditionalFormatting sqref="U22:U29">
    <cfRule type="expression" dxfId="2103" priority="26">
      <formula>ABS(U$25-U$28)&gt;=1000</formula>
    </cfRule>
  </conditionalFormatting>
  <conditionalFormatting sqref="V22:V29">
    <cfRule type="expression" dxfId="2102" priority="25">
      <formula>ABS(V$25-V$28)&gt;=1000</formula>
    </cfRule>
  </conditionalFormatting>
  <conditionalFormatting sqref="W22:W29">
    <cfRule type="expression" dxfId="2101" priority="24">
      <formula>ABS(W$25-W$28)&gt;=1000</formula>
    </cfRule>
  </conditionalFormatting>
  <conditionalFormatting sqref="X22:X29">
    <cfRule type="expression" dxfId="2100" priority="23">
      <formula>ABS(X$25-X$28)&gt;=1000</formula>
    </cfRule>
  </conditionalFormatting>
  <conditionalFormatting sqref="Y22:Y29">
    <cfRule type="expression" dxfId="2099" priority="22">
      <formula>ABS(Y$25-Y$28)&gt;=1000</formula>
    </cfRule>
  </conditionalFormatting>
  <conditionalFormatting sqref="I23">
    <cfRule type="expression" dxfId="2098" priority="21">
      <formula>ABS(I$25-I$28)&gt;=1000</formula>
    </cfRule>
  </conditionalFormatting>
  <conditionalFormatting sqref="Q14">
    <cfRule type="expression" dxfId="2097" priority="20">
      <formula>ABS(Q$16-Q$19)&gt;=1000</formula>
    </cfRule>
  </conditionalFormatting>
  <conditionalFormatting sqref="W14">
    <cfRule type="expression" dxfId="2096" priority="19">
      <formula>ABS(W$16-W$19)&gt;=1000</formula>
    </cfRule>
  </conditionalFormatting>
  <conditionalFormatting sqref="Y14">
    <cfRule type="expression" dxfId="2095" priority="18">
      <formula>ABS(Y$16-Y$19)&gt;=1000</formula>
    </cfRule>
  </conditionalFormatting>
  <conditionalFormatting sqref="X14">
    <cfRule type="expression" dxfId="2094" priority="17">
      <formula>ABS(X$16-X$19)&gt;=1000</formula>
    </cfRule>
  </conditionalFormatting>
  <conditionalFormatting sqref="T10:Y10">
    <cfRule type="expression" dxfId="2093" priority="16">
      <formula>ABS(T$7-T$10)&gt;=1000</formula>
    </cfRule>
  </conditionalFormatting>
  <conditionalFormatting sqref="W19">
    <cfRule type="expression" dxfId="2092" priority="15">
      <formula>ABS(W$16-W$19)&gt;=1000</formula>
    </cfRule>
  </conditionalFormatting>
  <conditionalFormatting sqref="AC5">
    <cfRule type="expression" dxfId="2091" priority="14">
      <formula>ABS(AC$7-AC$10)&gt;=1000</formula>
    </cfRule>
  </conditionalFormatting>
  <conditionalFormatting sqref="M14">
    <cfRule type="expression" dxfId="2090" priority="13">
      <formula>ABS(M$16-M$19)&gt;=1000</formula>
    </cfRule>
  </conditionalFormatting>
  <conditionalFormatting sqref="M16">
    <cfRule type="expression" dxfId="2089" priority="12">
      <formula>ABS(M$16-M$19)&gt;=1000</formula>
    </cfRule>
  </conditionalFormatting>
  <conditionalFormatting sqref="M19">
    <cfRule type="expression" dxfId="2088" priority="11">
      <formula>ABS(M$16-M$19)&gt;=1000</formula>
    </cfRule>
  </conditionalFormatting>
  <conditionalFormatting sqref="K13:K20">
    <cfRule type="expression" dxfId="2087" priority="10">
      <formula>ABS(K$16-K$19)&gt;=1000</formula>
    </cfRule>
  </conditionalFormatting>
  <conditionalFormatting sqref="E5">
    <cfRule type="expression" dxfId="2086" priority="9">
      <formula>ABS(E$7-E$10)&gt;=1000</formula>
    </cfRule>
  </conditionalFormatting>
  <conditionalFormatting sqref="AB14:AC14">
    <cfRule type="expression" dxfId="2085" priority="8">
      <formula>ABS(AB$16-AB$19)&gt;=1000</formula>
    </cfRule>
  </conditionalFormatting>
  <conditionalFormatting sqref="M5">
    <cfRule type="expression" dxfId="2084" priority="7">
      <formula>ABS(M$7-M$10)&gt;=1000</formula>
    </cfRule>
  </conditionalFormatting>
  <conditionalFormatting sqref="N5">
    <cfRule type="expression" dxfId="2083" priority="6">
      <formula>ABS(N$7-N$10)&gt;=1000</formula>
    </cfRule>
  </conditionalFormatting>
  <conditionalFormatting sqref="O5">
    <cfRule type="expression" dxfId="2082" priority="5">
      <formula>ABS(O$7-O$10)&gt;=1000</formula>
    </cfRule>
  </conditionalFormatting>
  <conditionalFormatting sqref="P5">
    <cfRule type="expression" dxfId="2081" priority="4">
      <formula>ABS(P$7-P$10)&gt;=1000</formula>
    </cfRule>
  </conditionalFormatting>
  <conditionalFormatting sqref="L23">
    <cfRule type="expression" dxfId="2080" priority="3">
      <formula>ABS(L$25-L$28)&gt;=1000</formula>
    </cfRule>
  </conditionalFormatting>
  <conditionalFormatting sqref="F14">
    <cfRule type="expression" dxfId="2079" priority="2">
      <formula>ABS(F$16-F$19)&gt;=1000</formula>
    </cfRule>
  </conditionalFormatting>
  <conditionalFormatting sqref="AE5">
    <cfRule type="expression" dxfId="2078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60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18">
    <pageSetUpPr fitToPage="1"/>
  </sheetPr>
  <dimension ref="A1:CU223"/>
  <sheetViews>
    <sheetView view="pageBreakPreview" zoomScale="80" zoomScaleNormal="100" zoomScaleSheetLayoutView="80" workbookViewId="0">
      <selection activeCell="B2" sqref="B2:AE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45908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47" t="s" ph="1">
        <v>177</v>
      </c>
      <c r="D6" s="71">
        <v>6424</v>
      </c>
      <c r="E6" s="71">
        <v>9062</v>
      </c>
      <c r="F6" s="71">
        <v>6841</v>
      </c>
      <c r="G6" s="71">
        <v>8680</v>
      </c>
      <c r="H6" s="71">
        <v>8931</v>
      </c>
      <c r="I6" s="71">
        <v>29.11</v>
      </c>
      <c r="J6" s="71">
        <v>7.02</v>
      </c>
      <c r="K6" s="71">
        <v>7.1</v>
      </c>
      <c r="L6" s="71">
        <v>38.909999999999997</v>
      </c>
      <c r="M6" s="71">
        <v>2802</v>
      </c>
      <c r="N6" s="71">
        <v>6104</v>
      </c>
      <c r="O6" s="71">
        <v>195</v>
      </c>
      <c r="P6" s="71">
        <v>8234</v>
      </c>
      <c r="Q6" s="71">
        <v>0</v>
      </c>
      <c r="R6" s="71">
        <v>0</v>
      </c>
      <c r="S6" s="71">
        <v>0</v>
      </c>
      <c r="T6" s="71">
        <v>6549</v>
      </c>
      <c r="U6" s="71">
        <v>5208</v>
      </c>
      <c r="V6" s="71">
        <v>5988</v>
      </c>
      <c r="W6" s="71">
        <v>5472</v>
      </c>
      <c r="X6" s="71">
        <v>0</v>
      </c>
      <c r="Y6" s="71">
        <v>0</v>
      </c>
      <c r="Z6" s="71">
        <v>5509</v>
      </c>
      <c r="AA6" s="71">
        <v>1232</v>
      </c>
      <c r="AB6" s="71">
        <v>2978</v>
      </c>
      <c r="AC6" s="71">
        <v>2358</v>
      </c>
      <c r="AD6" s="71">
        <v>4058</v>
      </c>
      <c r="AE6" s="71">
        <v>3710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201215.28511656</v>
      </c>
      <c r="E7" s="73" ph="1">
        <f>E6*51.53*LOOKUP(E8,密度!$A$2:$A$50,密度!$B$2:$B$50)</f>
        <v>362458.12433199998</v>
      </c>
      <c r="F7" s="73" ph="1">
        <f>F6*33.183*LOOKUP(F8,密度!$A$2:$A$50,密度!$C$2:$C$50)</f>
        <v>251203.62565979999</v>
      </c>
      <c r="G7" s="73" ph="1">
        <f xml:space="preserve"> (G6+2)*51.53*LOOKUP(G8,密度!$A$2:$A$50,密度!$B$2:$B$50)</f>
        <v>347616.94842000003</v>
      </c>
      <c r="H7" s="73" ph="1">
        <f>(H6)*51.53*LOOKUP(H8,密度!$A$2:$A$50,密度!$B$2:$B$50)</f>
        <v>357586.61210999999</v>
      </c>
      <c r="I7" s="73" ph="1">
        <f>I6*290.8*1.0267</f>
        <v>8691.2085195999989</v>
      </c>
      <c r="J7" s="73" ph="1">
        <f>J6*290.8*0.7892</f>
        <v>1611.0855071999999</v>
      </c>
      <c r="K7" s="73" ph="1">
        <f>K6*290.8*1.1126</f>
        <v>2297.1629680000001</v>
      </c>
      <c r="L7" s="73" ph="1">
        <f>L6*290.8*0.777</f>
        <v>8791.7767560000011</v>
      </c>
      <c r="M7" s="73" ph="1">
        <f>M6*33.183*LOOKUP(M8,密度!$A$2:$A$50,密度!$D$2:$D$50)</f>
        <v>95200.958507400006</v>
      </c>
      <c r="N7" s="73" ph="1">
        <f>N6*33.183*LOOKUP(N8,密度!$A$2:$A$50,密度!$E$2:$E$50)</f>
        <v>157502.12728320001</v>
      </c>
      <c r="O7" s="73" ph="1">
        <f>O6*20.428*LOOKUP(O8,密度!$A$2:$A$50,密度!$C$2:$C$50)</f>
        <v>4408.0968359999997</v>
      </c>
      <c r="P7" s="73" ph="1">
        <f>P6*51.53*LOOKUP(P8,密度!$A$2:$A$50,密度!$B$2:$B$50)</f>
        <v>329679.56154000002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43422.14119319999</v>
      </c>
      <c r="U7" s="73" ph="1">
        <f>U6*1.5*1.5*3.1416*LOOKUP(U8,密度!$A$2:$A$50,密度!$L$2:$L$50)</f>
        <v>34383.5930592</v>
      </c>
      <c r="V7" s="73" ph="1">
        <f>V6*1.5*1.5*3.1416*LOOKUP(V8,密度!$A$2:$A$50,密度!$L$2:$L$50)</f>
        <v>39533.209531200002</v>
      </c>
      <c r="W7" s="73" ph="1">
        <f>W6*1.5*1.5*3.1416*LOOKUP(W8,密度!$A$2:$A$50,密度!$L$2:$L$50)</f>
        <v>36203.898931199998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171288.422739</v>
      </c>
      <c r="AA7" s="73" ph="1">
        <f>AA6*33.183*LOOKUP(AA8,密度!$A$2:$A$50,密度!$D$2:$D$50)</f>
        <v>41858.522798400001</v>
      </c>
      <c r="AB7" s="73" ph="1">
        <f>AB6*20.428*LOOKUP(AB8,密度!$A$2:$A$50,密度!$D$2:$D$50)</f>
        <v>62574.453102400003</v>
      </c>
      <c r="AC7" s="73" ph="1">
        <f>AC6*51.53*LOOKUP(AC8,密度!$A$2:$A$50,密度!$Q$2:$Q$50)</f>
        <v>114949.96727220001</v>
      </c>
      <c r="AD7" s="73" ph="1">
        <f>AD6*20.428*LOOKUP(AD8,密度!$A$2:$A$50,密度!$V$2:$V$50)</f>
        <v>79381.998662400001</v>
      </c>
      <c r="AE7" s="73" ph="1">
        <f>AE6*20.428</f>
        <v>75787.88</v>
      </c>
    </row>
    <row r="8" spans="1:99" ph="1">
      <c r="B8" s="182" ph="1"/>
      <c r="C8" s="68" t="s" ph="1">
        <v>179</v>
      </c>
      <c r="D8" s="74">
        <v>29</v>
      </c>
      <c r="E8" s="74">
        <v>29</v>
      </c>
      <c r="F8" s="74">
        <v>28</v>
      </c>
      <c r="G8" s="74">
        <v>28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30</v>
      </c>
      <c r="O8" s="74">
        <v>28</v>
      </c>
      <c r="P8" s="74">
        <v>28</v>
      </c>
      <c r="Q8" s="74">
        <v>26</v>
      </c>
      <c r="R8" s="74">
        <v>31</v>
      </c>
      <c r="S8" s="74">
        <v>22</v>
      </c>
      <c r="T8" s="74">
        <v>24</v>
      </c>
      <c r="U8" s="74">
        <v>28</v>
      </c>
      <c r="V8" s="74">
        <v>28</v>
      </c>
      <c r="W8" s="74">
        <v>26</v>
      </c>
      <c r="X8" s="74">
        <v>17</v>
      </c>
      <c r="Y8" s="74">
        <v>26</v>
      </c>
      <c r="Z8" s="74">
        <v>25</v>
      </c>
      <c r="AA8" s="74">
        <v>28</v>
      </c>
      <c r="AB8" s="74">
        <v>23</v>
      </c>
      <c r="AC8" s="74">
        <v>26</v>
      </c>
      <c r="AD8" s="74">
        <v>26</v>
      </c>
      <c r="AE8" s="74">
        <v>30</v>
      </c>
    </row>
    <row r="9" spans="1:99" ht="26.4" ph="1">
      <c r="B9" s="182" ph="1">
        <v>0.66666666666666663</v>
      </c>
      <c r="C9" s="147" t="s" ph="1">
        <v>180</v>
      </c>
      <c r="D9" s="71">
        <v>6429</v>
      </c>
      <c r="E9" s="71">
        <v>9062</v>
      </c>
      <c r="F9" s="71">
        <v>6846</v>
      </c>
      <c r="G9" s="71">
        <v>8621</v>
      </c>
      <c r="H9" s="71">
        <v>8938</v>
      </c>
      <c r="I9" s="71">
        <v>29.05</v>
      </c>
      <c r="J9" s="71">
        <v>7.02</v>
      </c>
      <c r="K9" s="71">
        <v>7.2</v>
      </c>
      <c r="L9" s="71">
        <v>31.76</v>
      </c>
      <c r="M9" s="71">
        <v>2801</v>
      </c>
      <c r="N9" s="71">
        <v>5887</v>
      </c>
      <c r="O9" s="71">
        <v>193</v>
      </c>
      <c r="P9" s="71">
        <v>8624</v>
      </c>
      <c r="Q9" s="71">
        <v>0</v>
      </c>
      <c r="R9" s="71">
        <v>0</v>
      </c>
      <c r="S9" s="71">
        <v>0</v>
      </c>
      <c r="T9" s="71">
        <v>5960</v>
      </c>
      <c r="U9" s="71">
        <v>5213</v>
      </c>
      <c r="V9" s="71">
        <v>7001</v>
      </c>
      <c r="W9" s="71">
        <v>7040</v>
      </c>
      <c r="X9" s="71">
        <v>3646</v>
      </c>
      <c r="Y9" s="71">
        <v>0</v>
      </c>
      <c r="Z9" s="71">
        <v>3230</v>
      </c>
      <c r="AA9" s="71">
        <v>1040</v>
      </c>
      <c r="AB9" s="71">
        <v>2978</v>
      </c>
      <c r="AC9" s="71">
        <v>2354</v>
      </c>
      <c r="AD9" s="71">
        <v>4060</v>
      </c>
      <c r="AE9" s="71">
        <v>3680</v>
      </c>
    </row>
    <row r="10" spans="1:99" s="72" customFormat="1" ht="22.2" ph="1">
      <c r="B10" s="182" ph="1"/>
      <c r="C10" s="147" t="s" ph="1">
        <v>178</v>
      </c>
      <c r="D10" s="73" ph="1">
        <f>D9*33.183*LOOKUP(D11,密度!$A$2:$A$50,密度!$Q$2:$Q$50)</f>
        <v>201083.89702806002</v>
      </c>
      <c r="E10" s="73" ph="1">
        <f>E9*51.53*LOOKUP(E11,密度!$A$2:$A$50,密度!$B$2:$B$50)</f>
        <v>360403.478948</v>
      </c>
      <c r="F10" s="73" ph="1">
        <f>F9*33.183*LOOKUP(F11,密度!$A$2:$A$50,密度!$C$2:$C$50)</f>
        <v>251228.20762620002</v>
      </c>
      <c r="G10" s="73" ph="1">
        <f xml:space="preserve"> (G9+2)*51.53*LOOKUP(G11,密度!$A$2:$A$50,密度!$B$2:$B$50)</f>
        <v>342944.07404199999</v>
      </c>
      <c r="H10" s="73" ph="1">
        <f>(H9)*51.53*LOOKUP(H11,密度!$A$2:$A$50,密度!$B$2:$B$50)</f>
        <v>355471.89305200003</v>
      </c>
      <c r="I10" s="73" ph="1">
        <f>I9*290.8*1.0267</f>
        <v>8673.2946579999989</v>
      </c>
      <c r="J10" s="73" ph="1">
        <f>J9*290.8*0.7892</f>
        <v>1611.0855071999999</v>
      </c>
      <c r="K10" s="73" ph="1">
        <f>K9*290.8*1.1126</f>
        <v>2329.5173760000002</v>
      </c>
      <c r="L10" s="73" ph="1">
        <f>L9*290.8*0.777</f>
        <v>7176.2228160000013</v>
      </c>
      <c r="M10" s="73" ph="1">
        <f>M9*33.183*LOOKUP(M11,密度!$A$2:$A$50,密度!$D$2:$D$50)</f>
        <v>94748.727310200004</v>
      </c>
      <c r="N10" s="73" ph="1">
        <f>N9*33.183*LOOKUP(N11,密度!$A$2:$A$50,密度!$E$2:$E$50)</f>
        <v>151457.46023771999</v>
      </c>
      <c r="O10" s="73" ph="1">
        <f>O9*20.428*LOOKUP(O11,密度!$A$2:$A$50,密度!$C$2:$C$50)</f>
        <v>4311.6317343999999</v>
      </c>
      <c r="P10" s="73" ph="1">
        <f>P9*51.53*LOOKUP(P11,密度!$A$2:$A$50,密度!$B$2:$B$50)</f>
        <v>343383.80014400004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39432.609216000004</v>
      </c>
      <c r="U10" s="73" ph="1">
        <f>U9*1.5*1.5*3.1416*LOOKUP(U11,密度!$A$2:$A$50,密度!$L$2:$L$50)</f>
        <v>34416.603421200001</v>
      </c>
      <c r="V10" s="73" ph="1">
        <f>V9*1.5*1.5*3.1416*LOOKUP(V11,密度!$A$2:$A$50,密度!$L$2:$L$50)</f>
        <v>46221.1088724</v>
      </c>
      <c r="W10" s="73" ph="1">
        <f>W9*1.5*1.5*3.1416*LOOKUP(W11,密度!$A$2:$A$50,密度!$L$2:$L$50)</f>
        <v>46478.589695999995</v>
      </c>
      <c r="X10" s="73" ph="1">
        <f>X9*1.5*1.5*3.1416*LOOKUP(X11,密度!$A$2:$A$50,密度!$L$2:$L$50)</f>
        <v>24277.332895200001</v>
      </c>
      <c r="Y10" s="73" ph="1">
        <f>Y9*1.5*1.5*3.1416*LOOKUP(Y11,密度!$A$2:$A$50,密度!$L$2:$L$50)</f>
        <v>0</v>
      </c>
      <c r="Z10" s="73" ph="1">
        <f>Z9*33.183*LOOKUP(Z11,密度!$A$2:$A$50,密度!$L$2:$L$50)</f>
        <v>99999.956969999999</v>
      </c>
      <c r="AA10" s="73" ph="1">
        <f>AA9*33.183*LOOKUP(AA11,密度!$A$2:$A$50,密度!$D$2:$D$50)</f>
        <v>35086.642344</v>
      </c>
      <c r="AB10" s="73" ph="1">
        <f>AB9*20.428*LOOKUP(AB11,密度!$A$2:$A$50,密度!$D$2:$D$50)</f>
        <v>62343.281683199995</v>
      </c>
      <c r="AC10" s="73" ph="1">
        <f>AC9*51.53*LOOKUP(AC11,密度!$A$2:$A$50,密度!$Q$2:$Q$50)</f>
        <v>114095.09075580002</v>
      </c>
      <c r="AD10" s="73" ph="1">
        <f>AD9*20.428*LOOKUP(AD11,密度!$A$2:$A$50,密度!$V$2:$V$50)</f>
        <v>79421.122368000011</v>
      </c>
      <c r="AE10" s="73" ph="1">
        <f>AE9*20.428</f>
        <v>75175.040000000008</v>
      </c>
    </row>
    <row r="11" spans="1:99" ph="1">
      <c r="A11" s="64" t="s" ph="1">
        <v>162</v>
      </c>
      <c r="B11" s="182" ph="1"/>
      <c r="C11" s="147" t="s" ph="1">
        <v>179</v>
      </c>
      <c r="D11" s="74">
        <v>31</v>
      </c>
      <c r="E11" s="74">
        <v>34</v>
      </c>
      <c r="F11" s="74">
        <v>29</v>
      </c>
      <c r="G11" s="74">
        <v>34</v>
      </c>
      <c r="H11" s="74">
        <v>34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32</v>
      </c>
      <c r="O11" s="74">
        <v>41</v>
      </c>
      <c r="P11" s="74">
        <v>33</v>
      </c>
      <c r="Q11" s="74">
        <v>37</v>
      </c>
      <c r="R11" s="74">
        <v>38</v>
      </c>
      <c r="S11" s="74">
        <v>29</v>
      </c>
      <c r="T11" s="74">
        <v>26</v>
      </c>
      <c r="U11" s="74">
        <v>28</v>
      </c>
      <c r="V11" s="74">
        <v>28</v>
      </c>
      <c r="W11" s="74">
        <v>28</v>
      </c>
      <c r="X11" s="74">
        <v>20</v>
      </c>
      <c r="Y11" s="74">
        <v>33</v>
      </c>
      <c r="Z11" s="74">
        <v>29</v>
      </c>
      <c r="AA11" s="74">
        <v>36</v>
      </c>
      <c r="AB11" s="74">
        <v>27</v>
      </c>
      <c r="AC11" s="74">
        <v>34</v>
      </c>
      <c r="AD11" s="74">
        <v>34</v>
      </c>
      <c r="AE11" s="74">
        <v>37</v>
      </c>
    </row>
    <row r="12" spans="1:99" ht="9.9" customHeight="1" ph="1"/>
    <row r="13" spans="1:99" s="72" customFormat="1" ht="29.25" customHeight="1" ph="1">
      <c r="B13" s="190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77" t="s" ph="1">
        <v>636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47" t="s" ph="1">
        <v>177</v>
      </c>
      <c r="D15" s="78">
        <v>0</v>
      </c>
      <c r="E15" s="78">
        <v>3935</v>
      </c>
      <c r="F15" s="78">
        <v>3034</v>
      </c>
      <c r="G15" s="78">
        <v>902</v>
      </c>
      <c r="H15" s="78">
        <v>0</v>
      </c>
      <c r="I15" s="78">
        <v>3931</v>
      </c>
      <c r="J15" s="78">
        <v>244</v>
      </c>
      <c r="K15" s="78">
        <v>3106</v>
      </c>
      <c r="L15" s="78">
        <v>5338</v>
      </c>
      <c r="M15" s="78">
        <v>6396</v>
      </c>
      <c r="N15" s="78">
        <v>2830</v>
      </c>
      <c r="O15" s="78">
        <v>6860</v>
      </c>
      <c r="P15" s="78">
        <v>3380</v>
      </c>
      <c r="Q15" s="78">
        <v>3487</v>
      </c>
      <c r="R15" s="78">
        <v>4854</v>
      </c>
      <c r="S15" s="78">
        <v>1652</v>
      </c>
      <c r="T15" s="78">
        <v>3415</v>
      </c>
      <c r="U15" s="78">
        <v>6183</v>
      </c>
      <c r="V15" s="78">
        <v>850</v>
      </c>
      <c r="W15" s="71">
        <v>5381</v>
      </c>
      <c r="X15" s="78">
        <v>1285</v>
      </c>
      <c r="Y15" s="106">
        <v>-9906</v>
      </c>
      <c r="Z15" s="78">
        <v>0</v>
      </c>
      <c r="AA15" s="78">
        <v>1486</v>
      </c>
      <c r="AB15" s="78" ph="1">
        <v>1097</v>
      </c>
      <c r="AC15" s="78" ph="1">
        <v>0</v>
      </c>
      <c r="AD15" s="78">
        <v>25.55</v>
      </c>
      <c r="AE15" s="78">
        <v>84.6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47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25951.339952999999</v>
      </c>
      <c r="F16" s="73" ph="1">
        <f>F15*9.0746*LOOKUP(F17,密度!$A$2:$A$50,密度!$L$2:$L$50)</f>
        <v>25742.734534000003</v>
      </c>
      <c r="G16" s="73" ph="1">
        <f>G15*9.0746*LOOKUP(G17,密度!$A$2:$A$50,密度!$B$2:$B$50)</f>
        <v>6381.2514603199998</v>
      </c>
      <c r="H16" s="73" ph="1">
        <f>H15*9.0746*LOOKUP(H17,密度!$A$2:$A$50,密度!$L$2:$L$50)</f>
        <v>0</v>
      </c>
      <c r="I16" s="73" ph="1">
        <f>I15*9.0746*LOOKUP(I17,密度!$A$2:$A$50,密度!$U$2:$U$50)</f>
        <v>36564.058914999994</v>
      </c>
      <c r="J16" s="73" ph="1">
        <f>J15*9.0746*LOOKUP(J17,密度!$A$2:$A$50,密度!$L$2:$L$50)</f>
        <v>2072.4934464000003</v>
      </c>
      <c r="K16" s="73" ph="1">
        <f>K15*9.0746*LOOKUP(K17,密度!$A$2:$A$50,密度!$C$2:$C$50)</f>
        <v>31212.852596240002</v>
      </c>
      <c r="L16" s="73" ph="1">
        <f>L15*9.0746*LOOKUP(L17,密度!$A$2:$A$50,密度!$E$2:$E$50)</f>
        <v>37831.807758800001</v>
      </c>
      <c r="M16" s="73" ph="1">
        <f>M15*9.0746*LOOKUP(M17,密度!$A$2:$A$50,密度!$M$2:$M$50)</f>
        <v>50675.720730959998</v>
      </c>
      <c r="N16" s="73" ph="1">
        <f>N15*9.0746*LOOKUP(N17,密度!$A$2:$A$50,密度!$M$2:$M$50)</f>
        <v>22447.865243800003</v>
      </c>
      <c r="O16" s="73" ph="1">
        <f>O15*9.0746*LOOKUP(O17,密度!$A$2:$A$50,密度!$G$2:$G$50)</f>
        <v>59506.453560399998</v>
      </c>
      <c r="P16" s="73" ph="1">
        <f ca="1">P15*9.0746*LOOKUP(P17,密度!$A$2:$A$51,密度!$Q$2:$Q$50)</f>
        <v>28973.524443760001</v>
      </c>
      <c r="Q16" s="73" ph="1">
        <f>Q15*9.0746*LOOKUP(Q17,密度!$A$2:$A$50,密度!$Q$2:$Q$50)</f>
        <v>29868.899889685999</v>
      </c>
      <c r="R16" s="73" ph="1">
        <f>MAX(R15*9.0746*LOOKUP(R17,密度!$A$2:$A$50,密度!$B$2:$B$50),0)</f>
        <v>34225.380226800007</v>
      </c>
      <c r="S16" s="73" ph="1">
        <f>S15*9.0746*LOOKUP(S17,密度!$A$2:$A$50,密度!$Q$2:$Q$50)</f>
        <v>14150.680418056001</v>
      </c>
      <c r="T16" s="73" ph="1">
        <f>T15*9.0746*LOOKUP(T17,密度!$A$2:$A$50,密度!$O$2:$O$50)</f>
        <v>28696.516834000002</v>
      </c>
      <c r="U16" s="73" ph="1">
        <f>U15*9.0746*LOOKUP(U17,密度!$A$2:$A$50,密度!$H$2:$H$50)</f>
        <v>51114.617389799998</v>
      </c>
      <c r="V16" s="73" ph="1">
        <f>MAX(5600*LOOKUP(V17,密度!$A$2:$A$50,密度!$Q$2:$Q$50)+V15*9.0476*LOOKUP(V17,密度!$A$2:$A$50,密度!$Q$2:$Q$50),0)</f>
        <v>12545.263907799999</v>
      </c>
      <c r="W16" s="73" ph="1">
        <f>MAX(5600*LOOKUP(W17,密度!$A$2:$A$50,密度!$Q$2:$Q$50)+W15*9.0476*LOOKUP(W17,密度!$A$2:$A$50,密度!$Q$2:$Q$50),0)</f>
        <v>51241.368046907999</v>
      </c>
      <c r="X16" s="73" ph="1">
        <f>MAX(5600*LOOKUP(X17,密度!$A$2:$A$50,密度!$I$2:$I$50)+X15*9.0476*LOOKUP(X17,密度!$A$2:$A$50,密度!$I$2:$I$50),0)</f>
        <v>17856.6436756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10477.732801200002</v>
      </c>
      <c r="AB16" s="73" ph="1">
        <f>AB15*9.0746*LOOKUP(AB17,密度!$A$2:$A$50,密度!$L$2:$L$50)</f>
        <v>9317.7266832000005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6572.6314103999994</v>
      </c>
      <c r="AE16" s="73" ph="1">
        <f>AE15*268.68*LOOKUP(AE17,密度!$A$2:$A$50,密度!B2:B50)+IF(AE15&lt;=0,0,1566*LOOKUP(AE17,密度!$A$2:$A$50,密度!B2:B50))</f>
        <v>18941.417308799995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29</v>
      </c>
      <c r="E17" s="74">
        <v>29</v>
      </c>
      <c r="F17" s="74">
        <v>27</v>
      </c>
      <c r="G17" s="74">
        <v>25</v>
      </c>
      <c r="H17" s="74">
        <v>25</v>
      </c>
      <c r="I17" s="74">
        <v>25</v>
      </c>
      <c r="J17" s="74">
        <v>26</v>
      </c>
      <c r="K17" s="74">
        <v>27</v>
      </c>
      <c r="L17" s="74">
        <v>27</v>
      </c>
      <c r="M17" s="74">
        <v>27</v>
      </c>
      <c r="N17" s="74">
        <v>26</v>
      </c>
      <c r="O17" s="74">
        <v>29</v>
      </c>
      <c r="P17" s="74">
        <v>28</v>
      </c>
      <c r="Q17" s="74">
        <v>29</v>
      </c>
      <c r="R17" s="74">
        <v>28</v>
      </c>
      <c r="S17" s="74">
        <v>29</v>
      </c>
      <c r="T17" s="74">
        <v>28</v>
      </c>
      <c r="U17" s="74">
        <v>29</v>
      </c>
      <c r="V17" s="74">
        <v>29</v>
      </c>
      <c r="W17" s="74">
        <v>29</v>
      </c>
      <c r="X17" s="74">
        <v>30</v>
      </c>
      <c r="Y17" s="108">
        <v>30</v>
      </c>
      <c r="Z17" s="74">
        <v>26</v>
      </c>
      <c r="AA17" s="74">
        <v>28</v>
      </c>
      <c r="AB17" s="74">
        <v>26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0</v>
      </c>
      <c r="E18" s="71">
        <v>5159</v>
      </c>
      <c r="F18" s="71">
        <v>3036</v>
      </c>
      <c r="G18" s="71">
        <v>955</v>
      </c>
      <c r="H18" s="71">
        <v>0</v>
      </c>
      <c r="I18" s="71">
        <v>3934</v>
      </c>
      <c r="J18" s="71">
        <v>255</v>
      </c>
      <c r="K18" s="71">
        <v>3108</v>
      </c>
      <c r="L18" s="71">
        <v>5354</v>
      </c>
      <c r="M18" s="71">
        <v>6924</v>
      </c>
      <c r="N18" s="71">
        <v>4741</v>
      </c>
      <c r="O18" s="71">
        <v>6869</v>
      </c>
      <c r="P18" s="71">
        <v>3386</v>
      </c>
      <c r="Q18" s="71">
        <v>3480</v>
      </c>
      <c r="R18" s="71">
        <v>4859</v>
      </c>
      <c r="S18" s="71">
        <v>1654</v>
      </c>
      <c r="T18" s="71">
        <v>2556</v>
      </c>
      <c r="U18" s="71">
        <v>6186</v>
      </c>
      <c r="V18" s="71">
        <v>850</v>
      </c>
      <c r="W18" s="71">
        <v>5382</v>
      </c>
      <c r="X18" s="71">
        <v>1285</v>
      </c>
      <c r="Y18" s="109">
        <v>-9906</v>
      </c>
      <c r="Z18" s="71">
        <v>0</v>
      </c>
      <c r="AA18" s="71">
        <v>349</v>
      </c>
      <c r="AB18" s="71">
        <v>1096</v>
      </c>
      <c r="AC18" s="71">
        <v>0</v>
      </c>
      <c r="AD18" s="71">
        <v>69.069999999999993</v>
      </c>
      <c r="AE18" s="71">
        <v>4.34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47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33914.223881999998</v>
      </c>
      <c r="F19" s="73" ph="1">
        <f>F18*9.0746*LOOKUP(F20,密度!$A$2:$A$50,密度!$L$2:$L$50)</f>
        <v>25621.951608000003</v>
      </c>
      <c r="G19" s="73" ph="1">
        <f>G18*9.0746*LOOKUP(G20,密度!$A$2:$A$50,密度!$B$2:$B$50)</f>
        <v>6711.1385792000001</v>
      </c>
      <c r="H19" s="73" ph="1">
        <f>H18*9.0746*LOOKUP(H20,密度!$A$2:$A$50,密度!$L$2:$L$50)</f>
        <v>0</v>
      </c>
      <c r="I19" s="73" ph="1">
        <f>I18*9.0746*LOOKUP(I20,密度!$A$2:$A$50,密度!$U$2:$U$50)</f>
        <v>36306.367498799998</v>
      </c>
      <c r="J19" s="73" ph="1">
        <f>J18*9.0746*LOOKUP(J20,密度!$A$2:$A$50,密度!$L$2:$L$50)</f>
        <v>2158.983459</v>
      </c>
      <c r="K19" s="73" ph="1">
        <f>K18*9.0746*LOOKUP(K20,密度!$A$2:$A$50,密度!$C$2:$C$50)</f>
        <v>31168.082149680002</v>
      </c>
      <c r="L19" s="73" ph="1">
        <f>L18*9.0746*LOOKUP(L20,密度!$A$2:$A$50,密度!$E$2:$E$50)</f>
        <v>37724.140352180002</v>
      </c>
      <c r="M19" s="73" ph="1">
        <f>M18*9.0746*LOOKUP(M20,密度!$A$2:$A$50,密度!$M$2:$M$50)</f>
        <v>54593.300688648007</v>
      </c>
      <c r="N19" s="73" ph="1">
        <f>N18*9.0746*LOOKUP(N20,密度!$A$2:$A$50,密度!$M$2:$M$50)</f>
        <v>37515.775739199998</v>
      </c>
      <c r="O19" s="73" ph="1">
        <f>O18*9.0746*LOOKUP(O20,密度!$A$2:$A$50,密度!$G$2:$G$50)</f>
        <v>59448.013045653999</v>
      </c>
      <c r="P19" s="73" ph="1">
        <f ca="1">P18*9.0746*LOOKUP(P20,密度!$A$2:$A$51,密度!$Q$2:$Q$50)</f>
        <v>28962.274480648</v>
      </c>
      <c r="Q19" s="73" ph="1">
        <f>Q18*9.0746*LOOKUP(Q20,密度!$A$2:$A$50,密度!$Q$2:$Q$50)</f>
        <v>29744.8327752</v>
      </c>
      <c r="R19" s="73" ph="1">
        <f>MAX(R18*9.0746*LOOKUP(R20,密度!$A$2:$A$50,密度!$B$2:$B$50),0)</f>
        <v>34145.991996160003</v>
      </c>
      <c r="S19" s="73" ph="1">
        <f>S18*9.0746*LOOKUP(S20,密度!$A$2:$A$50,密度!$Q$2:$Q$50)</f>
        <v>14137.342933959999</v>
      </c>
      <c r="T19" s="73" ph="1">
        <f>T18*9.0746*LOOKUP(T20,密度!$A$2:$A$50,密度!$O$2:$O$50)</f>
        <v>21404.048489279998</v>
      </c>
      <c r="U19" s="73" ph="1">
        <f>U18*9.0746*LOOKUP(U20,密度!$A$2:$A$50,密度!$H$2:$H$50)</f>
        <v>50975.502682847997</v>
      </c>
      <c r="V19" s="73" ph="1">
        <f>MAX(5600*LOOKUP(V20,密度!$A$2:$A$50,密度!$Q$2:$Q$50)+V18*9.0476*LOOKUP(V20,密度!$A$2:$A$50,密度!$Q$2:$Q$50),0)</f>
        <v>12509.645474999999</v>
      </c>
      <c r="W19" s="73" ph="1">
        <f>MAX(5600*LOOKUP(W20,密度!$A$2:$A$50,密度!$Q$2:$Q$50)+W18*9.0476*LOOKUP(W20,密度!$A$2:$A$50,密度!$Q$2:$Q$50),0)</f>
        <v>51033.274557007986</v>
      </c>
      <c r="X19" s="73" ph="1">
        <f>MAX(5600*LOOKUP(X20,密度!$A$2:$A$50,密度!$I$2:$I$50)+X18*9.0476*LOOKUP(X20,密度!$A$2:$A$50,密度!$I$2:$I$50),0)</f>
        <v>17818.746110399999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2438.6172580000002</v>
      </c>
      <c r="AB19" s="73" ph="1">
        <f>AB18*9.0746*LOOKUP(AB20,密度!$A$2:$A$50,密度!$L$2:$L$50)</f>
        <v>9199.8294800000003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15636.136345199999</v>
      </c>
      <c r="AE19" s="73" ph="1">
        <f>AE18*268.68*LOOKUP(AE20,密度!$A$2:$A$50,密度!B5:B53)+IF(AE18&lt;=0,0,1566*LOOKUP(AE20,密度!$A$2:$A$50,密度!B5:B53))</f>
        <v>2122.8193224000001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32</v>
      </c>
      <c r="E20" s="81">
        <v>32</v>
      </c>
      <c r="F20" s="81">
        <v>32</v>
      </c>
      <c r="G20" s="81">
        <v>31</v>
      </c>
      <c r="H20" s="81">
        <v>28</v>
      </c>
      <c r="I20" s="81">
        <v>33</v>
      </c>
      <c r="J20" s="81">
        <v>29</v>
      </c>
      <c r="K20" s="81">
        <v>30</v>
      </c>
      <c r="L20" s="81">
        <v>31</v>
      </c>
      <c r="M20" s="81">
        <v>31</v>
      </c>
      <c r="N20" s="81">
        <v>28</v>
      </c>
      <c r="O20" s="81">
        <v>31</v>
      </c>
      <c r="P20" s="81">
        <v>31</v>
      </c>
      <c r="Q20" s="81">
        <v>32</v>
      </c>
      <c r="R20" s="81">
        <v>31</v>
      </c>
      <c r="S20" s="81">
        <v>32</v>
      </c>
      <c r="T20" s="81">
        <v>31</v>
      </c>
      <c r="U20" s="81">
        <v>32</v>
      </c>
      <c r="V20" s="81">
        <v>33</v>
      </c>
      <c r="W20" s="81">
        <v>35</v>
      </c>
      <c r="X20" s="81">
        <v>32</v>
      </c>
      <c r="Y20" s="110">
        <v>32</v>
      </c>
      <c r="Z20" s="81">
        <v>37</v>
      </c>
      <c r="AA20" s="81">
        <v>36</v>
      </c>
      <c r="AB20" s="81">
        <v>37</v>
      </c>
      <c r="AC20" s="81">
        <v>36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642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47" t="s" ph="1">
        <v>177</v>
      </c>
      <c r="D24" s="71">
        <v>85.15</v>
      </c>
      <c r="E24" s="71">
        <v>5.43</v>
      </c>
      <c r="F24" s="71">
        <v>1934</v>
      </c>
      <c r="G24" s="71">
        <v>1136</v>
      </c>
      <c r="H24" s="71">
        <v>2668</v>
      </c>
      <c r="I24" s="71">
        <v>561</v>
      </c>
      <c r="J24" s="71">
        <v>692</v>
      </c>
      <c r="K24" s="71">
        <v>2167</v>
      </c>
      <c r="L24" s="71">
        <v>5613</v>
      </c>
      <c r="M24" s="71">
        <v>2521</v>
      </c>
      <c r="N24" s="71">
        <v>912</v>
      </c>
      <c r="O24" s="71">
        <v>4320</v>
      </c>
      <c r="P24" s="71">
        <v>679</v>
      </c>
      <c r="Q24" s="90">
        <v>754</v>
      </c>
      <c r="R24" s="71">
        <v>736</v>
      </c>
      <c r="S24" s="71">
        <v>45</v>
      </c>
      <c r="T24" s="71">
        <v>1697</v>
      </c>
      <c r="U24" s="71">
        <v>6026</v>
      </c>
      <c r="V24" s="71">
        <v>6684</v>
      </c>
      <c r="W24" s="71">
        <v>1477</v>
      </c>
      <c r="X24" s="71">
        <v>2816</v>
      </c>
      <c r="Y24" s="71">
        <v>1292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23142.209127480004</v>
      </c>
      <c r="E25" s="91" ph="1">
        <f>E24*268.68*LOOKUP(E26,密度!$A$2:$A$50,密度!$C$2:$C$50)+IF(E24&lt;=0,0,1566*LOOKUP(E26,密度!$A$2:$A$50,密度!$C$2:$C$50))</f>
        <v>3354.3475383599998</v>
      </c>
      <c r="F25" s="91" ph="1">
        <f>F24*11.702*LOOKUP(F26,密度!$A$2:$A$50,密度!$Q$2:$Q$50)</f>
        <v>21378.326226160003</v>
      </c>
      <c r="G25" s="91" ph="1">
        <f>G24*18.322*LOOKUP(G26,密度!$A$2:$A$50,密度!$B$2:$B$50)</f>
        <v>16172.316383999998</v>
      </c>
      <c r="H25" s="91" ph="1">
        <f>H24*18.322*LOOKUP(H26,密度!$A$2:$A$50,密度!$B$2:$B$50)</f>
        <v>37982.165591999998</v>
      </c>
      <c r="I25" s="91" ph="1">
        <f>I24*18.322*LOOKUP(I26,密度!$A$2:$A$50,密度!$Q$2:$Q$50)</f>
        <v>9702.3185430600006</v>
      </c>
      <c r="J25" s="91" ph="1">
        <f>J24*18.322*LOOKUP(J26,密度!$A$2:$A$50,密度!$Q$2:$Q$50)</f>
        <v>11976.670726879998</v>
      </c>
      <c r="K25" s="91" ph="1">
        <f>K24*18.322*LOOKUP(K26,密度!$A$2:$A$50,密度!$Q$2:$Q$50)</f>
        <v>37477.583391820001</v>
      </c>
      <c r="L25" s="91" ph="1">
        <f>L24*18.322*LOOKUP(L26,密度!$A$2:$A$50,密度!$Q$2:$Q$50)</f>
        <v>97013.364655379992</v>
      </c>
      <c r="M25" s="91" ph="1">
        <f>M24*18.322*LOOKUP(M26,密度!$A$2:$A$50,密度!$Q$2:$Q$50)</f>
        <v>43572.188187459993</v>
      </c>
      <c r="N25" s="91" ph="1">
        <f>N24*18.322*LOOKUP(N26,密度!$A$2:$A$50,密度!$Q$2:$Q$50)</f>
        <v>15772.753139520002</v>
      </c>
      <c r="O25" s="91" ph="1">
        <f>O24*18.322*LOOKUP(O26,密度!$A$2:$A$50,密度!$C$2:$C$50)</f>
        <v>87469.814303999985</v>
      </c>
      <c r="P25" s="91" ph="1">
        <f>P24*11.702*LOOKUP(P26,密度!$A$2:$A$50,密度!$B$2:$B$50)</f>
        <v>6167.4197396</v>
      </c>
      <c r="Q25" s="92" ph="1">
        <f>Q24*18.322*LOOKUP(Q26,密度!$A$2:$A$50,密度!$B$2:$B$50)</f>
        <v>10710.6051364</v>
      </c>
      <c r="R25" s="91" ph="1">
        <f>R24*35.891*LOOKUP(R26,密度!$A$2:$A$50,密度!$C$2:$C$50)</f>
        <v>29192.074057599995</v>
      </c>
      <c r="S25" s="91" ph="1">
        <f>S24*35.891*LOOKUP(S26,密度!$A$2:$A$50,密度!$B$2:$B$50)</f>
        <v>1252.1831535000001</v>
      </c>
      <c r="T25" s="91" ph="1">
        <f>T24*35.891*LOOKUP(T26,密度!$A$2:$A$50,密度!$Q$2:$Q$50)</f>
        <v>57491.969996109998</v>
      </c>
      <c r="U25" s="91" ph="1">
        <f>U24*35.891</f>
        <v>216279.166</v>
      </c>
      <c r="V25" s="91" ph="1">
        <f>V24*47.051*LOOKUP(V26,密度!$A$2:$A$50,密度!$B$2:$B$50)</f>
        <v>244106.27176080001</v>
      </c>
      <c r="W25" s="91" ph="1">
        <f>W24*47.051*LOOKUP(W26,密度!$A$2:$A$50,密度!$B$2:$B$50)</f>
        <v>53941.496617400007</v>
      </c>
      <c r="X25" s="91" ph="1">
        <f>X24*47.051*LOOKUP(X26,密度!$A$2:$A$50,密度!$I$2:$I$50)</f>
        <v>137344.95554560001</v>
      </c>
      <c r="Y25" s="91" ph="1">
        <f>Y24*47.051*LOOKUP(Y26,密度!$A$2:$A$50,密度!$L$2:$L$50)</f>
        <v>56656.179344000004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28</v>
      </c>
      <c r="G26" s="74">
        <v>28</v>
      </c>
      <c r="H26" s="74">
        <v>28</v>
      </c>
      <c r="I26" s="74">
        <v>29</v>
      </c>
      <c r="J26" s="74">
        <v>28</v>
      </c>
      <c r="K26" s="74">
        <v>29</v>
      </c>
      <c r="L26" s="74">
        <v>30</v>
      </c>
      <c r="M26" s="74">
        <v>30</v>
      </c>
      <c r="N26" s="74">
        <v>29</v>
      </c>
      <c r="O26" s="74">
        <v>30</v>
      </c>
      <c r="P26" s="74">
        <v>29</v>
      </c>
      <c r="Q26" s="93">
        <v>30</v>
      </c>
      <c r="R26" s="74">
        <v>30</v>
      </c>
      <c r="S26" s="74">
        <v>30</v>
      </c>
      <c r="T26" s="74">
        <v>29</v>
      </c>
      <c r="U26" s="74">
        <v>29</v>
      </c>
      <c r="V26" s="74">
        <v>29</v>
      </c>
      <c r="W26" s="74">
        <v>29</v>
      </c>
      <c r="X26" s="74">
        <v>30</v>
      </c>
      <c r="Y26" s="74">
        <v>30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47" t="s" ph="1">
        <v>180</v>
      </c>
      <c r="D27" s="71">
        <v>85.3</v>
      </c>
      <c r="E27" s="71">
        <v>5.39</v>
      </c>
      <c r="F27" s="71">
        <v>1903</v>
      </c>
      <c r="G27" s="71">
        <v>1096</v>
      </c>
      <c r="H27" s="71">
        <v>2162</v>
      </c>
      <c r="I27" s="71">
        <v>557</v>
      </c>
      <c r="J27" s="71">
        <v>687</v>
      </c>
      <c r="K27" s="71">
        <v>1969</v>
      </c>
      <c r="L27" s="71">
        <v>5610</v>
      </c>
      <c r="M27" s="71">
        <v>2154</v>
      </c>
      <c r="N27" s="71">
        <v>907</v>
      </c>
      <c r="O27" s="71">
        <v>4316</v>
      </c>
      <c r="P27" s="71">
        <v>675</v>
      </c>
      <c r="Q27" s="90">
        <v>1024</v>
      </c>
      <c r="R27" s="71">
        <v>732</v>
      </c>
      <c r="S27" s="71">
        <v>39</v>
      </c>
      <c r="T27" s="71">
        <v>1695</v>
      </c>
      <c r="U27" s="71">
        <v>5990</v>
      </c>
      <c r="V27" s="71">
        <v>6681</v>
      </c>
      <c r="W27" s="71">
        <v>1159</v>
      </c>
      <c r="X27" s="71">
        <v>2341</v>
      </c>
      <c r="Y27" s="71">
        <v>1287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47" t="s" ph="1">
        <v>178</v>
      </c>
      <c r="D28" s="91" ph="1">
        <f>D27*268.68*LOOKUP(D29,密度!$A$2:$A$50,密度!$Q$2:$Q$50)+IF(D27&lt;=0,0,1566*LOOKUP(D29,密度!$A$2:$A$50,密度!$Q$2:$Q$50))</f>
        <v>23180.364642960001</v>
      </c>
      <c r="E28" s="91" ph="1">
        <f>E27*268.68*LOOKUP(E29,密度!$A$2:$A$50,密度!$C$2:$C$50)+IF(E27&lt;=0,0,1566*LOOKUP(E29,密度!$A$2:$A$50,密度!$C$2:$C$50))</f>
        <v>3342.4299682800001</v>
      </c>
      <c r="F28" s="91" ph="1">
        <f>F27*11.702*LOOKUP(F29,密度!$A$2:$A$50,密度!$Q$2:$Q$50)</f>
        <v>21006.927096979998</v>
      </c>
      <c r="G28" s="91" ph="1">
        <f>G27*18.322*LOOKUP(G29,密度!$A$2:$A$50,密度!$B$2:$B$50)</f>
        <v>15568.7310736</v>
      </c>
      <c r="H28" s="91" ph="1">
        <f>H27*18.322*LOOKUP(H29,密度!$A$2:$A$50,密度!$B$2:$B$50)</f>
        <v>30675.659801599995</v>
      </c>
      <c r="I28" s="91" ph="1">
        <f>I27*18.322*LOOKUP(I29,密度!$A$2:$A$50,密度!$Q$2:$Q$50)</f>
        <v>9627.016588819999</v>
      </c>
      <c r="J28" s="91" ph="1">
        <f>J27*18.322*LOOKUP(J29,密度!$A$2:$A$50,密度!$Q$2:$Q$50)</f>
        <v>11864.456172119999</v>
      </c>
      <c r="K28" s="91" ph="1">
        <f>K27*18.322*LOOKUP(K29,密度!$A$2:$A$50,密度!$Q$2:$Q$50)</f>
        <v>34004.533046439996</v>
      </c>
      <c r="L28" s="91" ph="1">
        <f>L27*18.322*LOOKUP(L29,密度!$A$2:$A$50,密度!$Q$2:$Q$50)</f>
        <v>96961.513578600003</v>
      </c>
      <c r="M28" s="91" ph="1">
        <f>M27*18.322*LOOKUP(M29,密度!$A$2:$A$50,密度!$Q$2:$Q$50)</f>
        <v>37199.473937039998</v>
      </c>
      <c r="N28" s="91" ph="1">
        <f>N27*18.322*LOOKUP(N29,密度!$A$2:$A$50,密度!$Q$2:$Q$50)</f>
        <v>15676.308879820001</v>
      </c>
      <c r="O28" s="91" ph="1">
        <f>O27*18.322*LOOKUP(O29,密度!$A$2:$A$50,密度!$C$2:$C$50)</f>
        <v>87309.745983200002</v>
      </c>
      <c r="P28" s="91" ph="1">
        <f>P27*11.702*LOOKUP(P29,密度!$A$2:$A$50,密度!$B$2:$B$50)</f>
        <v>6116.8694400000004</v>
      </c>
      <c r="Q28" s="92" ph="1">
        <f>Q27*18.322*LOOKUP(Q29,密度!$A$2:$A$50,密度!$B$2:$B$50)</f>
        <v>14545.967718399999</v>
      </c>
      <c r="R28" s="91" ph="1">
        <f>R27*35.891*LOOKUP(R29,密度!$A$2:$A$50,密度!$C$2:$C$50)</f>
        <v>29007.149269200003</v>
      </c>
      <c r="S28" s="91" ph="1">
        <f>S27*35.891*LOOKUP(S29,密度!$A$2:$A$50,密度!$B$2:$B$50)</f>
        <v>1085.2253997</v>
      </c>
      <c r="T28" s="91" ph="1">
        <f>T27*35.891*LOOKUP(T29,密度!$A$2:$A$50,密度!$Q$2:$Q$50)</f>
        <v>57387.711665849994</v>
      </c>
      <c r="U28" s="91" ph="1">
        <f>U27*35.891</f>
        <v>214987.09</v>
      </c>
      <c r="V28" s="91" ph="1">
        <f>V27*47.051*LOOKUP(V29,密度!$A$2:$A$50,密度!$B$2:$B$50)</f>
        <v>243430.88288640001</v>
      </c>
      <c r="W28" s="91" ph="1">
        <f>W27*47.051*LOOKUP(W29,密度!$A$2:$A$50,密度!$B$2:$B$50)</f>
        <v>42278.744107700004</v>
      </c>
      <c r="X28" s="91" ph="1">
        <f>X27*47.051*LOOKUP(X29,密度!$A$2:$A$50,密度!$I$2:$I$50)</f>
        <v>114057.68934441</v>
      </c>
      <c r="Y28" s="91" ph="1">
        <f>Y27*47.051*LOOKUP(Y29,密度!$A$2:$A$50,密度!$L$2:$L$50)</f>
        <v>56436.921684000008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47" t="s" ph="1">
        <v>179</v>
      </c>
      <c r="D29" s="74">
        <v>25</v>
      </c>
      <c r="E29" s="74">
        <v>25</v>
      </c>
      <c r="F29" s="74">
        <v>30</v>
      </c>
      <c r="G29" s="74">
        <v>30</v>
      </c>
      <c r="H29" s="74">
        <v>31</v>
      </c>
      <c r="I29" s="74">
        <v>30</v>
      </c>
      <c r="J29" s="74">
        <v>31</v>
      </c>
      <c r="K29" s="74">
        <v>31</v>
      </c>
      <c r="L29" s="74">
        <v>30</v>
      </c>
      <c r="M29" s="74">
        <v>31</v>
      </c>
      <c r="N29" s="74">
        <v>30</v>
      </c>
      <c r="O29" s="74">
        <v>31</v>
      </c>
      <c r="P29" s="74">
        <v>31</v>
      </c>
      <c r="Q29" s="93">
        <v>30</v>
      </c>
      <c r="R29" s="74">
        <v>31</v>
      </c>
      <c r="S29" s="74">
        <v>30</v>
      </c>
      <c r="T29" s="74">
        <v>30</v>
      </c>
      <c r="U29" s="74">
        <v>31</v>
      </c>
      <c r="V29" s="74">
        <v>31</v>
      </c>
      <c r="W29" s="74">
        <v>30</v>
      </c>
      <c r="X29" s="74">
        <v>31</v>
      </c>
      <c r="Y29" s="74">
        <v>30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97429.924027200002</v>
      </c>
      <c r="E33" s="204" ph="1">
        <f>M10+I10</f>
        <v>103422.0219682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[[#This Row],[F25]]</f>
        <v>3880</v>
      </c>
      <c r="G33" s="208" ph="1">
        <v>0</v>
      </c>
      <c r="H33" s="204" ph="1">
        <f>N19</f>
        <v>37515.775739199998</v>
      </c>
      <c r="I33" s="217" ph="1">
        <v>0</v>
      </c>
      <c r="J33" s="215" ph="1">
        <f>F10+O28</f>
        <v>338537.95360940002</v>
      </c>
      <c r="K33" s="204" ph="1">
        <f>O10+K10+E28+R28</f>
        <v>38990.728347880002</v>
      </c>
      <c r="L33" s="219" ph="1">
        <f>BE27</f>
        <v>7100</v>
      </c>
      <c r="M33" s="215" ph="1">
        <f>G10+H10+W28+S28+V28+E10</f>
        <v>1345614.2984357998</v>
      </c>
      <c r="N33" s="204" ph="1">
        <f>L10+P10++G28+H28</f>
        <v>396804.41383520002</v>
      </c>
      <c r="O33" s="217" ph="1">
        <f>BE17</f>
        <v>2270</v>
      </c>
      <c r="P33" s="215" ph="1">
        <f>L19</f>
        <v>37724.140352180002</v>
      </c>
      <c r="Q33" s="204" ph="1">
        <f>J10+N10</f>
        <v>153068.54574492</v>
      </c>
      <c r="R33" s="217" ph="1">
        <f>BE23</f>
        <v>890</v>
      </c>
      <c r="S33" s="215" ph="1">
        <f>E10+X28</f>
        <v>474461.16829240997</v>
      </c>
      <c r="T33" s="204" ph="1">
        <f>X19</f>
        <v>17818.746110399999</v>
      </c>
      <c r="U33" s="225" ph="1">
        <f>BE21</f>
        <v>730</v>
      </c>
      <c r="V33" s="236" ph="1">
        <f ca="1">P19+Q19+S19+M28+N28+J28</f>
        <v>137584.68917878799</v>
      </c>
      <c r="W33" s="236" ph="1">
        <f>D28+F28+V19+T28</f>
        <v>114084.64888078999</v>
      </c>
      <c r="X33" s="217" ph="1">
        <f>BE29+BE31</f>
        <v>10200</v>
      </c>
      <c r="Y33" s="238" ph="1">
        <f>+Q10+R10+S10+T10+U10+V10+W10+X10+Y10</f>
        <v>190826.24410080002</v>
      </c>
      <c r="Z33" s="223" ph="1">
        <f>D10+T19+U19+Y28+Z10</f>
        <v>429900.326854188</v>
      </c>
      <c r="AA33" s="225" ph="1">
        <f>BE19</f>
        <v>1440</v>
      </c>
      <c r="AB33" s="227" ph="1">
        <f>I19</f>
        <v>36306.367498799998</v>
      </c>
      <c r="AC33" s="229" ph="1">
        <f>AD10</f>
        <v>79421.122368000011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49" t="s" ph="1">
        <v>185</v>
      </c>
      <c r="AA36" s="149" ph="1"/>
      <c r="AB36" s="222" t="s" ph="1">
        <v>641</v>
      </c>
      <c r="AC36" s="222" ph="1"/>
      <c r="AD36" s="222" ph="1"/>
      <c r="AE36" s="22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342</v>
      </c>
      <c r="AI37" s="149" t="s" ph="1">
        <v>209</v>
      </c>
      <c r="AJ37" s="149" t="s" ph="1">
        <v>210</v>
      </c>
      <c r="AK37" s="149" t="s" ph="1">
        <v>211</v>
      </c>
      <c r="AM37" s="149" t="s" ph="1">
        <v>210</v>
      </c>
      <c r="AN37" s="149" t="s" ph="1">
        <v>211</v>
      </c>
      <c r="AO37" s="149" t="s" ph="1">
        <v>212</v>
      </c>
      <c r="AP37" s="149" t="s" ph="1">
        <v>210</v>
      </c>
      <c r="AQ37" s="149" t="s" ph="1">
        <v>211</v>
      </c>
      <c r="AR37" s="149" t="s" ph="1">
        <v>212</v>
      </c>
      <c r="AS37" s="149" t="s" ph="1">
        <v>210</v>
      </c>
      <c r="AT37" s="149" t="s" ph="1">
        <v>211</v>
      </c>
      <c r="AU37" s="149" t="s" ph="1">
        <v>212</v>
      </c>
      <c r="AV37" s="149" t="s" ph="1">
        <v>210</v>
      </c>
      <c r="AW37" s="149" t="s" ph="1">
        <v>211</v>
      </c>
      <c r="AX37" s="149" t="s" ph="1">
        <v>212</v>
      </c>
      <c r="AY37" s="149" t="s" ph="1">
        <v>211</v>
      </c>
      <c r="AZ37" s="149" t="s" ph="1">
        <v>213</v>
      </c>
      <c r="BD37" s="149" t="s" ph="1">
        <v>305</v>
      </c>
      <c r="BE37" s="14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047" priority="98">
      <formula>ABS(D$7-D$10)&gt;=1000</formula>
    </cfRule>
  </conditionalFormatting>
  <conditionalFormatting sqref="E4 E6:E11">
    <cfRule type="expression" dxfId="2046" priority="97">
      <formula>ABS(E$7-E$10)&gt;=1000</formula>
    </cfRule>
  </conditionalFormatting>
  <conditionalFormatting sqref="F4:F11">
    <cfRule type="expression" dxfId="2045" priority="96">
      <formula>ABS(F$7-F$10)&gt;=1000</formula>
    </cfRule>
  </conditionalFormatting>
  <conditionalFormatting sqref="G4:G11">
    <cfRule type="expression" dxfId="2044" priority="95">
      <formula>ABS(G$7-G$10)&gt;=1000</formula>
    </cfRule>
  </conditionalFormatting>
  <conditionalFormatting sqref="H4:H11">
    <cfRule type="expression" dxfId="2043" priority="94">
      <formula>ABS(H$7-H$10)&gt;=1000</formula>
    </cfRule>
  </conditionalFormatting>
  <conditionalFormatting sqref="I4:I11">
    <cfRule type="expression" dxfId="2042" priority="93">
      <formula>ABS(I$7-I$10)&gt;=1000</formula>
    </cfRule>
  </conditionalFormatting>
  <conditionalFormatting sqref="J4:J11">
    <cfRule type="expression" dxfId="2041" priority="92">
      <formula>ABS(J$7-J$10)&gt;=1000</formula>
    </cfRule>
  </conditionalFormatting>
  <conditionalFormatting sqref="K4:K11">
    <cfRule type="expression" dxfId="2040" priority="91">
      <formula>ABS(K$7-K$10)&gt;=1000</formula>
    </cfRule>
  </conditionalFormatting>
  <conditionalFormatting sqref="L4:L11">
    <cfRule type="expression" dxfId="2039" priority="90">
      <formula>ABS(L$7-L$10)&gt;=1000</formula>
    </cfRule>
  </conditionalFormatting>
  <conditionalFormatting sqref="M4 M6:M11">
    <cfRule type="expression" dxfId="2038" priority="89">
      <formula>ABS(M$7-M$10)&gt;=1000</formula>
    </cfRule>
  </conditionalFormatting>
  <conditionalFormatting sqref="N4 N6:N11">
    <cfRule type="expression" dxfId="2037" priority="88">
      <formula>ABS(N$7-N$10)&gt;=1000</formula>
    </cfRule>
  </conditionalFormatting>
  <conditionalFormatting sqref="O4 O6:O11">
    <cfRule type="expression" dxfId="2036" priority="87">
      <formula>ABS(O$7-O$10)&gt;=1000</formula>
    </cfRule>
  </conditionalFormatting>
  <conditionalFormatting sqref="P4 P6:P11">
    <cfRule type="expression" dxfId="2035" priority="86">
      <formula>ABS(P$7-P$10)&gt;=1000</formula>
    </cfRule>
  </conditionalFormatting>
  <conditionalFormatting sqref="Q4:Q11">
    <cfRule type="expression" dxfId="2034" priority="85">
      <formula>ABS(Q$7-Q$10)&gt;=1000</formula>
    </cfRule>
  </conditionalFormatting>
  <conditionalFormatting sqref="R4:R11">
    <cfRule type="expression" dxfId="2033" priority="84">
      <formula>ABS(R$7-R$10)&gt;=1000</formula>
    </cfRule>
  </conditionalFormatting>
  <conditionalFormatting sqref="S4:S11">
    <cfRule type="expression" dxfId="2032" priority="83">
      <formula>ABS(S$7-S$10)&gt;=1000</formula>
    </cfRule>
  </conditionalFormatting>
  <conditionalFormatting sqref="T4:T9 T11">
    <cfRule type="expression" dxfId="2031" priority="82">
      <formula>ABS(T$7-T$10)&gt;=1000</formula>
    </cfRule>
  </conditionalFormatting>
  <conditionalFormatting sqref="U4:U9 U11">
    <cfRule type="expression" dxfId="2030" priority="81">
      <formula>ABS(U$7-U$10)&gt;=1000</formula>
    </cfRule>
  </conditionalFormatting>
  <conditionalFormatting sqref="V4:V9 V11">
    <cfRule type="expression" dxfId="2029" priority="80">
      <formula>ABS(V$7-V$10)&gt;=1000</formula>
    </cfRule>
  </conditionalFormatting>
  <conditionalFormatting sqref="W4:W9 W11">
    <cfRule type="expression" dxfId="2028" priority="79">
      <formula>ABS(W$7-W$10)&gt;=1000</formula>
    </cfRule>
  </conditionalFormatting>
  <conditionalFormatting sqref="X4:X9 X11">
    <cfRule type="expression" dxfId="2027" priority="78">
      <formula>ABS(X$7-X$10)&gt;=1000</formula>
    </cfRule>
  </conditionalFormatting>
  <conditionalFormatting sqref="Y4:Y9 Y11">
    <cfRule type="expression" dxfId="2026" priority="77">
      <formula>ABS(Y$7-Y$10)&gt;=1000</formula>
    </cfRule>
  </conditionalFormatting>
  <conditionalFormatting sqref="Z4:Z11">
    <cfRule type="expression" dxfId="2025" priority="76">
      <formula>ABS(Z$7-Z$10)&gt;=1000</formula>
    </cfRule>
  </conditionalFormatting>
  <conditionalFormatting sqref="AA4:AA11">
    <cfRule type="expression" dxfId="2024" priority="75">
      <formula>ABS(AA$7-AA$10)&gt;=1000</formula>
    </cfRule>
  </conditionalFormatting>
  <conditionalFormatting sqref="AB4:AB11">
    <cfRule type="expression" dxfId="2023" priority="74">
      <formula>ABS(AB$7-AB$10)&gt;=1000</formula>
    </cfRule>
  </conditionalFormatting>
  <conditionalFormatting sqref="AC4 AC6:AC11">
    <cfRule type="expression" dxfId="2022" priority="73">
      <formula>ABS(AC$7-AC$10)&gt;=1000</formula>
    </cfRule>
  </conditionalFormatting>
  <conditionalFormatting sqref="AD4:AD11">
    <cfRule type="expression" dxfId="2021" priority="72">
      <formula>ABS(AD$7-AD$10)&gt;=1000</formula>
    </cfRule>
  </conditionalFormatting>
  <conditionalFormatting sqref="AE4 AE6:AE11">
    <cfRule type="expression" dxfId="2020" priority="71">
      <formula>ABS(AE$7-AE$10)&gt;=1000</formula>
    </cfRule>
  </conditionalFormatting>
  <conditionalFormatting sqref="D13:D20">
    <cfRule type="expression" dxfId="2019" priority="70">
      <formula>ABS(D$16-D$19)&gt;=1000</formula>
    </cfRule>
  </conditionalFormatting>
  <conditionalFormatting sqref="E13:E20">
    <cfRule type="expression" dxfId="2018" priority="69">
      <formula>ABS(E$16-E$19)&gt;=1000</formula>
    </cfRule>
  </conditionalFormatting>
  <conditionalFormatting sqref="F13 F15:F20">
    <cfRule type="expression" dxfId="2017" priority="68">
      <formula>ABS(F$16-F$19)&gt;=1000</formula>
    </cfRule>
  </conditionalFormatting>
  <conditionalFormatting sqref="G13:G20">
    <cfRule type="expression" dxfId="2016" priority="67">
      <formula>ABS(G$16-G$19)&gt;=1000</formula>
    </cfRule>
  </conditionalFormatting>
  <conditionalFormatting sqref="H13:H20">
    <cfRule type="expression" dxfId="2015" priority="66">
      <formula>ABS(H$16-H$19)&gt;=1000</formula>
    </cfRule>
  </conditionalFormatting>
  <conditionalFormatting sqref="I13:I20">
    <cfRule type="expression" dxfId="2014" priority="65">
      <formula>ABS(I$16-I$19)&gt;=1000</formula>
    </cfRule>
  </conditionalFormatting>
  <conditionalFormatting sqref="J13:J20">
    <cfRule type="expression" dxfId="2013" priority="64">
      <formula>ABS(J$16-J$19)&gt;=1000</formula>
    </cfRule>
  </conditionalFormatting>
  <conditionalFormatting sqref="L13:L20">
    <cfRule type="expression" dxfId="2012" priority="63">
      <formula>ABS(L$16-L$19)&gt;=1000</formula>
    </cfRule>
  </conditionalFormatting>
  <conditionalFormatting sqref="M13 M15 M17:M18 M20">
    <cfRule type="expression" dxfId="2011" priority="62">
      <formula>ABS(M$16-M$19)&gt;=1000</formula>
    </cfRule>
  </conditionalFormatting>
  <conditionalFormatting sqref="N13:N20">
    <cfRule type="expression" dxfId="2010" priority="61">
      <formula>ABS(N$16-N$19)&gt;=1000</formula>
    </cfRule>
  </conditionalFormatting>
  <conditionalFormatting sqref="O13:O20">
    <cfRule type="expression" dxfId="2009" priority="60">
      <formula>ABS(O$16-O$19)&gt;=1000</formula>
    </cfRule>
  </conditionalFormatting>
  <conditionalFormatting sqref="P13:P20">
    <cfRule type="expression" dxfId="2008" priority="59">
      <formula>ABS(P$16-P$19)&gt;=1000</formula>
    </cfRule>
  </conditionalFormatting>
  <conditionalFormatting sqref="Q13 Q15:Q20">
    <cfRule type="expression" dxfId="2007" priority="58">
      <formula>ABS(Q$16-Q$19)&gt;=1000</formula>
    </cfRule>
  </conditionalFormatting>
  <conditionalFormatting sqref="R13:R20">
    <cfRule type="expression" dxfId="2006" priority="57">
      <formula>ABS(R$16-R$19)&gt;=1000</formula>
    </cfRule>
  </conditionalFormatting>
  <conditionalFormatting sqref="S13:S20">
    <cfRule type="expression" dxfId="2005" priority="56">
      <formula>ABS(S$16-S$19)&gt;=1000</formula>
    </cfRule>
  </conditionalFormatting>
  <conditionalFormatting sqref="T13:T20">
    <cfRule type="expression" dxfId="2004" priority="55">
      <formula>ABS(T$16-T$19)&gt;=1000</formula>
    </cfRule>
  </conditionalFormatting>
  <conditionalFormatting sqref="U13:U20">
    <cfRule type="expression" dxfId="2003" priority="54">
      <formula>ABS(U$16-U$19)&gt;=1000</formula>
    </cfRule>
  </conditionalFormatting>
  <conditionalFormatting sqref="V13:V20">
    <cfRule type="expression" dxfId="2002" priority="53">
      <formula>ABS(V$16-V$19)&gt;=1000</formula>
    </cfRule>
  </conditionalFormatting>
  <conditionalFormatting sqref="W13 W20 W15:W18">
    <cfRule type="expression" dxfId="2001" priority="52">
      <formula>ABS(W$16-W$19)&gt;=1000</formula>
    </cfRule>
  </conditionalFormatting>
  <conditionalFormatting sqref="X13 X15:X20 Y19">
    <cfRule type="expression" dxfId="2000" priority="51">
      <formula>ABS(X$16-X$19)&gt;=1000</formula>
    </cfRule>
  </conditionalFormatting>
  <conditionalFormatting sqref="Y13 Y15:Y18 Y20">
    <cfRule type="expression" dxfId="1999" priority="50">
      <formula>ABS(Y$16-Y$19)&gt;=1000</formula>
    </cfRule>
  </conditionalFormatting>
  <conditionalFormatting sqref="Z13:Z20">
    <cfRule type="expression" dxfId="1998" priority="49">
      <formula>ABS(Z$16-Z$19)&gt;=1000</formula>
    </cfRule>
  </conditionalFormatting>
  <conditionalFormatting sqref="AA13:AA20">
    <cfRule type="expression" dxfId="1997" priority="48">
      <formula>ABS(AA$16-AA$19)&gt;=1000</formula>
    </cfRule>
  </conditionalFormatting>
  <conditionalFormatting sqref="AB13 AB15:AB20">
    <cfRule type="expression" dxfId="1996" priority="47">
      <formula>ABS(AB$16-AB$19)&gt;=1000</formula>
    </cfRule>
  </conditionalFormatting>
  <conditionalFormatting sqref="AC13 AC15:AC20">
    <cfRule type="expression" dxfId="1995" priority="46">
      <formula>ABS(AC$16-AC$19)&gt;=1000</formula>
    </cfRule>
  </conditionalFormatting>
  <conditionalFormatting sqref="AD13:AD20">
    <cfRule type="expression" dxfId="1994" priority="45">
      <formula>ABS(AD$16-AD$19)&gt;=1000</formula>
    </cfRule>
  </conditionalFormatting>
  <conditionalFormatting sqref="AE13:AE20">
    <cfRule type="expression" dxfId="1993" priority="44">
      <formula>ABS(AE$16-AE$19)&gt;=1000</formula>
    </cfRule>
  </conditionalFormatting>
  <conditionalFormatting sqref="D22:D29">
    <cfRule type="expression" dxfId="1992" priority="43">
      <formula>ABS(D$25-D$28)&gt;=1000</formula>
    </cfRule>
  </conditionalFormatting>
  <conditionalFormatting sqref="E22:E29">
    <cfRule type="expression" dxfId="1991" priority="42">
      <formula>ABS(E$25-E$28)&gt;=1000</formula>
    </cfRule>
  </conditionalFormatting>
  <conditionalFormatting sqref="F22:F29">
    <cfRule type="expression" dxfId="1990" priority="41">
      <formula>ABS(F$25-F$28)&gt;=1000</formula>
    </cfRule>
  </conditionalFormatting>
  <conditionalFormatting sqref="G22:G29">
    <cfRule type="expression" dxfId="1989" priority="40">
      <formula>ABS(G$25-G$28)&gt;=1000</formula>
    </cfRule>
  </conditionalFormatting>
  <conditionalFormatting sqref="H22:H29">
    <cfRule type="expression" dxfId="1988" priority="39">
      <formula>ABS(H$25-H$28)&gt;=1000</formula>
    </cfRule>
  </conditionalFormatting>
  <conditionalFormatting sqref="I22 I24:I29">
    <cfRule type="expression" dxfId="1987" priority="38">
      <formula>ABS(I$25-I$28)&gt;=1000</formula>
    </cfRule>
  </conditionalFormatting>
  <conditionalFormatting sqref="J22:J29 K22">
    <cfRule type="expression" dxfId="1986" priority="37">
      <formula>ABS(J$25-J$28)&gt;=1000</formula>
    </cfRule>
  </conditionalFormatting>
  <conditionalFormatting sqref="K23:K29 L25 L28">
    <cfRule type="expression" dxfId="1985" priority="36">
      <formula>ABS(K$25-K$28)&gt;=1000</formula>
    </cfRule>
  </conditionalFormatting>
  <conditionalFormatting sqref="L22 L26:L27 L29 L24">
    <cfRule type="expression" dxfId="1984" priority="35">
      <formula>ABS(L$25-L$28)&gt;=1000</formula>
    </cfRule>
  </conditionalFormatting>
  <conditionalFormatting sqref="M22:M29">
    <cfRule type="expression" dxfId="1983" priority="34">
      <formula>ABS(M$25-M$28)&gt;=1000</formula>
    </cfRule>
  </conditionalFormatting>
  <conditionalFormatting sqref="N22:N29">
    <cfRule type="expression" dxfId="1982" priority="33">
      <formula>ABS(N$25-N$28)&gt;=1000</formula>
    </cfRule>
  </conditionalFormatting>
  <conditionalFormatting sqref="O22:O29">
    <cfRule type="expression" dxfId="1981" priority="32">
      <formula>ABS(O$25-O$28)&gt;=1000</formula>
    </cfRule>
  </conditionalFormatting>
  <conditionalFormatting sqref="P22:P29">
    <cfRule type="expression" dxfId="1980" priority="31">
      <formula>ABS(P$25-P$28)&gt;=1000</formula>
    </cfRule>
  </conditionalFormatting>
  <conditionalFormatting sqref="Q22:Q29">
    <cfRule type="expression" dxfId="1979" priority="30">
      <formula>ABS(Q$25-Q$28)&gt;=1000</formula>
    </cfRule>
  </conditionalFormatting>
  <conditionalFormatting sqref="R22:R29">
    <cfRule type="expression" dxfId="1978" priority="29">
      <formula>ABS(R$25-R$28)&gt;=1000</formula>
    </cfRule>
  </conditionalFormatting>
  <conditionalFormatting sqref="S22:S29">
    <cfRule type="expression" dxfId="1977" priority="28">
      <formula>ABS(S$25-S$28)&gt;=1000</formula>
    </cfRule>
  </conditionalFormatting>
  <conditionalFormatting sqref="T22:T29">
    <cfRule type="expression" dxfId="1976" priority="27">
      <formula>ABS(T$25-T$28)&gt;=1000</formula>
    </cfRule>
  </conditionalFormatting>
  <conditionalFormatting sqref="U22:U29">
    <cfRule type="expression" dxfId="1975" priority="26">
      <formula>ABS(U$25-U$28)&gt;=1000</formula>
    </cfRule>
  </conditionalFormatting>
  <conditionalFormatting sqref="V22:V29">
    <cfRule type="expression" dxfId="1974" priority="25">
      <formula>ABS(V$25-V$28)&gt;=1000</formula>
    </cfRule>
  </conditionalFormatting>
  <conditionalFormatting sqref="W22:W29">
    <cfRule type="expression" dxfId="1973" priority="24">
      <formula>ABS(W$25-W$28)&gt;=1000</formula>
    </cfRule>
  </conditionalFormatting>
  <conditionalFormatting sqref="X22:X29">
    <cfRule type="expression" dxfId="1972" priority="23">
      <formula>ABS(X$25-X$28)&gt;=1000</formula>
    </cfRule>
  </conditionalFormatting>
  <conditionalFormatting sqref="Y22:Y29">
    <cfRule type="expression" dxfId="1971" priority="22">
      <formula>ABS(Y$25-Y$28)&gt;=1000</formula>
    </cfRule>
  </conditionalFormatting>
  <conditionalFormatting sqref="I23">
    <cfRule type="expression" dxfId="1970" priority="21">
      <formula>ABS(I$25-I$28)&gt;=1000</formula>
    </cfRule>
  </conditionalFormatting>
  <conditionalFormatting sqref="Q14">
    <cfRule type="expression" dxfId="1969" priority="20">
      <formula>ABS(Q$16-Q$19)&gt;=1000</formula>
    </cfRule>
  </conditionalFormatting>
  <conditionalFormatting sqref="W14">
    <cfRule type="expression" dxfId="1968" priority="19">
      <formula>ABS(W$16-W$19)&gt;=1000</formula>
    </cfRule>
  </conditionalFormatting>
  <conditionalFormatting sqref="Y14">
    <cfRule type="expression" dxfId="1967" priority="18">
      <formula>ABS(Y$16-Y$19)&gt;=1000</formula>
    </cfRule>
  </conditionalFormatting>
  <conditionalFormatting sqref="X14">
    <cfRule type="expression" dxfId="1966" priority="17">
      <formula>ABS(X$16-X$19)&gt;=1000</formula>
    </cfRule>
  </conditionalFormatting>
  <conditionalFormatting sqref="T10:Y10">
    <cfRule type="expression" dxfId="1965" priority="16">
      <formula>ABS(T$7-T$10)&gt;=1000</formula>
    </cfRule>
  </conditionalFormatting>
  <conditionalFormatting sqref="W19">
    <cfRule type="expression" dxfId="1964" priority="15">
      <formula>ABS(W$16-W$19)&gt;=1000</formula>
    </cfRule>
  </conditionalFormatting>
  <conditionalFormatting sqref="AC5">
    <cfRule type="expression" dxfId="1963" priority="14">
      <formula>ABS(AC$7-AC$10)&gt;=1000</formula>
    </cfRule>
  </conditionalFormatting>
  <conditionalFormatting sqref="M14">
    <cfRule type="expression" dxfId="1962" priority="13">
      <formula>ABS(M$16-M$19)&gt;=1000</formula>
    </cfRule>
  </conditionalFormatting>
  <conditionalFormatting sqref="M16">
    <cfRule type="expression" dxfId="1961" priority="12">
      <formula>ABS(M$16-M$19)&gt;=1000</formula>
    </cfRule>
  </conditionalFormatting>
  <conditionalFormatting sqref="M19">
    <cfRule type="expression" dxfId="1960" priority="11">
      <formula>ABS(M$16-M$19)&gt;=1000</formula>
    </cfRule>
  </conditionalFormatting>
  <conditionalFormatting sqref="K13:K20">
    <cfRule type="expression" dxfId="1959" priority="10">
      <formula>ABS(K$16-K$19)&gt;=1000</formula>
    </cfRule>
  </conditionalFormatting>
  <conditionalFormatting sqref="E5">
    <cfRule type="expression" dxfId="1958" priority="9">
      <formula>ABS(E$7-E$10)&gt;=1000</formula>
    </cfRule>
  </conditionalFormatting>
  <conditionalFormatting sqref="AB14:AC14">
    <cfRule type="expression" dxfId="1957" priority="8">
      <formula>ABS(AB$16-AB$19)&gt;=1000</formula>
    </cfRule>
  </conditionalFormatting>
  <conditionalFormatting sqref="M5">
    <cfRule type="expression" dxfId="1956" priority="7">
      <formula>ABS(M$7-M$10)&gt;=1000</formula>
    </cfRule>
  </conditionalFormatting>
  <conditionalFormatting sqref="N5">
    <cfRule type="expression" dxfId="1955" priority="6">
      <formula>ABS(N$7-N$10)&gt;=1000</formula>
    </cfRule>
  </conditionalFormatting>
  <conditionalFormatting sqref="O5">
    <cfRule type="expression" dxfId="1954" priority="5">
      <formula>ABS(O$7-O$10)&gt;=1000</formula>
    </cfRule>
  </conditionalFormatting>
  <conditionalFormatting sqref="P5">
    <cfRule type="expression" dxfId="1953" priority="4">
      <formula>ABS(P$7-P$10)&gt;=1000</formula>
    </cfRule>
  </conditionalFormatting>
  <conditionalFormatting sqref="L23">
    <cfRule type="expression" dxfId="1952" priority="3">
      <formula>ABS(L$25-L$28)&gt;=1000</formula>
    </cfRule>
  </conditionalFormatting>
  <conditionalFormatting sqref="F14">
    <cfRule type="expression" dxfId="1951" priority="2">
      <formula>ABS(F$16-F$19)&gt;=1000</formula>
    </cfRule>
  </conditionalFormatting>
  <conditionalFormatting sqref="AE5">
    <cfRule type="expression" dxfId="1950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71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19">
    <pageSetUpPr fitToPage="1"/>
  </sheetPr>
  <dimension ref="A1:CU223"/>
  <sheetViews>
    <sheetView view="pageBreakPreview" zoomScale="80" zoomScaleNormal="100" zoomScaleSheetLayoutView="80" workbookViewId="0">
      <selection activeCell="C4" sqref="C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45909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47" t="s" ph="1">
        <v>177</v>
      </c>
      <c r="D6" s="71">
        <v>6427</v>
      </c>
      <c r="E6" s="71">
        <v>9064</v>
      </c>
      <c r="F6" s="71">
        <v>6843</v>
      </c>
      <c r="G6" s="71">
        <v>7849</v>
      </c>
      <c r="H6" s="71">
        <v>8933</v>
      </c>
      <c r="I6" s="71">
        <v>29.12</v>
      </c>
      <c r="J6" s="71">
        <v>7.01</v>
      </c>
      <c r="K6" s="71">
        <v>7.05</v>
      </c>
      <c r="L6" s="71">
        <v>49.24</v>
      </c>
      <c r="M6" s="71">
        <v>2804</v>
      </c>
      <c r="N6" s="71">
        <v>5883</v>
      </c>
      <c r="O6" s="71">
        <v>194</v>
      </c>
      <c r="P6" s="71">
        <v>8622</v>
      </c>
      <c r="Q6" s="71">
        <v>0</v>
      </c>
      <c r="R6" s="71">
        <v>0</v>
      </c>
      <c r="S6" s="71">
        <v>0</v>
      </c>
      <c r="T6" s="71">
        <v>3310</v>
      </c>
      <c r="U6" s="71">
        <v>5212</v>
      </c>
      <c r="V6" s="71">
        <v>6998</v>
      </c>
      <c r="W6" s="71">
        <v>7040</v>
      </c>
      <c r="X6" s="71">
        <v>3649</v>
      </c>
      <c r="Y6" s="71">
        <v>0</v>
      </c>
      <c r="Z6" s="71">
        <v>3220</v>
      </c>
      <c r="AA6" s="71">
        <v>1041</v>
      </c>
      <c r="AB6" s="71">
        <v>2979</v>
      </c>
      <c r="AC6" s="71">
        <v>2359</v>
      </c>
      <c r="AD6" s="71">
        <v>4052</v>
      </c>
      <c r="AE6" s="71">
        <v>3780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201181.29211953</v>
      </c>
      <c r="E7" s="73" ph="1">
        <f>E6*51.53*LOOKUP(E8,密度!$A$2:$A$50,密度!$B$2:$B$50)</f>
        <v>362117.75837599998</v>
      </c>
      <c r="F7" s="73" ph="1">
        <f>F6*33.183*LOOKUP(F8,密度!$A$2:$A$50,密度!$C$2:$C$50)</f>
        <v>251118.11638710002</v>
      </c>
      <c r="G7" s="73" ph="1">
        <f xml:space="preserve"> (G6+2)*51.53*LOOKUP(G8,密度!$A$2:$A$50,密度!$B$2:$B$50)</f>
        <v>314021.04768600001</v>
      </c>
      <c r="H7" s="73" ph="1">
        <f>(H6)*51.53*LOOKUP(H8,密度!$A$2:$A$50,密度!$B$2:$B$50)</f>
        <v>357298.43573799997</v>
      </c>
      <c r="I7" s="73" ph="1">
        <f>I6*290.8*1.0267</f>
        <v>8694.1941632000016</v>
      </c>
      <c r="J7" s="73" ph="1">
        <f>J6*290.8*0.7892</f>
        <v>1608.7905136000002</v>
      </c>
      <c r="K7" s="73" ph="1">
        <f>K6*290.8*1.1126</f>
        <v>2280.985764</v>
      </c>
      <c r="L7" s="73" ph="1">
        <f>L6*290.8*0.777</f>
        <v>11125.856784000001</v>
      </c>
      <c r="M7" s="73" ph="1">
        <f>M6*33.183*LOOKUP(M8,密度!$A$2:$A$50,密度!$D$2:$D$50)</f>
        <v>95092.124903999997</v>
      </c>
      <c r="N7" s="73" ph="1">
        <f>N6*33.183*LOOKUP(N8,密度!$A$2:$A$50,密度!$E$2:$E$50)</f>
        <v>151575.14407904999</v>
      </c>
      <c r="O7" s="73" ph="1">
        <f>O6*20.428*LOOKUP(O8,密度!$A$2:$A$50,密度!$C$2:$C$50)</f>
        <v>4379.5466631999998</v>
      </c>
      <c r="P7" s="73" ph="1">
        <f>P6*51.53*LOOKUP(P8,密度!$A$2:$A$50,密度!$B$2:$B$50)</f>
        <v>345214.61982000002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21923.050842000001</v>
      </c>
      <c r="U7" s="73" ph="1">
        <f>U6*1.5*1.5*3.1416*LOOKUP(U8,密度!$A$2:$A$50,密度!$L$2:$L$50)</f>
        <v>34410.001348800004</v>
      </c>
      <c r="V7" s="73" ph="1">
        <f>V6*1.5*1.5*3.1416*LOOKUP(V8,密度!$A$2:$A$50,密度!$L$2:$L$50)</f>
        <v>46201.302655200001</v>
      </c>
      <c r="W7" s="73" ph="1">
        <f>W6*1.5*1.5*3.1416*LOOKUP(W8,密度!$A$2:$A$50,密度!$L$2:$L$50)</f>
        <v>46528.352639999997</v>
      </c>
      <c r="X7" s="73" ph="1">
        <f>X6*1.5*1.5*3.1416*LOOKUP(X8,密度!$A$2:$A$50,密度!$L$2:$L$50)</f>
        <v>24323.102080199998</v>
      </c>
      <c r="Y7" s="73" ph="1">
        <f>Y6*1.5*1.5*3.1416*LOOKUP(Y8,密度!$A$2:$A$50,密度!$L$2:$L$50)</f>
        <v>0</v>
      </c>
      <c r="Z7" s="73" ph="1">
        <f>Z6*33.183*LOOKUP(Z8,密度!$A$2:$A$50,密度!$L$2:$L$50)</f>
        <v>99904.058099999995</v>
      </c>
      <c r="AA7" s="73" ph="1">
        <f>AA6*33.183*LOOKUP(AA8,密度!$A$2:$A$50,密度!$D$2:$D$50)</f>
        <v>35369.092721699999</v>
      </c>
      <c r="AB7" s="73" ph="1">
        <f>AB6*20.428*LOOKUP(AB8,密度!$A$2:$A$50,密度!$D$2:$D$50)</f>
        <v>62479.840820400001</v>
      </c>
      <c r="AC7" s="73" ph="1">
        <f>AC6*51.53*LOOKUP(AC8,密度!$A$2:$A$50,密度!$Q$2:$Q$50)</f>
        <v>114998.71619810001</v>
      </c>
      <c r="AD7" s="73" ph="1">
        <f>AD6*20.428*LOOKUP(AD8,密度!$A$2:$A$50,密度!$V$2:$V$50)</f>
        <v>79264.627545600015</v>
      </c>
      <c r="AE7" s="73" ph="1">
        <f>AE6*20.428</f>
        <v>77217.84</v>
      </c>
    </row>
    <row r="8" spans="1:99" ph="1">
      <c r="B8" s="182" ph="1"/>
      <c r="C8" s="68" t="s" ph="1">
        <v>179</v>
      </c>
      <c r="D8" s="74">
        <v>30</v>
      </c>
      <c r="E8" s="74">
        <v>30</v>
      </c>
      <c r="F8" s="74">
        <v>29</v>
      </c>
      <c r="G8" s="74">
        <v>29</v>
      </c>
      <c r="H8" s="74">
        <v>29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31</v>
      </c>
      <c r="O8" s="74">
        <v>30</v>
      </c>
      <c r="P8" s="74">
        <v>28</v>
      </c>
      <c r="Q8" s="74">
        <v>26</v>
      </c>
      <c r="R8" s="74">
        <v>32</v>
      </c>
      <c r="S8" s="74">
        <v>23</v>
      </c>
      <c r="T8" s="74">
        <v>25</v>
      </c>
      <c r="U8" s="74">
        <v>28</v>
      </c>
      <c r="V8" s="74">
        <v>28</v>
      </c>
      <c r="W8" s="74">
        <v>27</v>
      </c>
      <c r="X8" s="74">
        <v>19</v>
      </c>
      <c r="Y8" s="74">
        <v>28</v>
      </c>
      <c r="Z8" s="74">
        <v>27</v>
      </c>
      <c r="AA8" s="74">
        <v>28</v>
      </c>
      <c r="AB8" s="74">
        <v>25</v>
      </c>
      <c r="AC8" s="74">
        <v>26</v>
      </c>
      <c r="AD8" s="74">
        <v>28</v>
      </c>
      <c r="AE8" s="74">
        <v>33</v>
      </c>
    </row>
    <row r="9" spans="1:99" ht="26.4" ph="1">
      <c r="B9" s="182" ph="1">
        <v>0.66666666666666663</v>
      </c>
      <c r="C9" s="147" t="s" ph="1">
        <v>180</v>
      </c>
      <c r="D9" s="71">
        <v>6432</v>
      </c>
      <c r="E9" s="71">
        <v>9064</v>
      </c>
      <c r="F9" s="71">
        <v>6847</v>
      </c>
      <c r="G9" s="71">
        <v>7905</v>
      </c>
      <c r="H9" s="71">
        <v>8939</v>
      </c>
      <c r="I9" s="71">
        <v>18.02</v>
      </c>
      <c r="J9" s="71">
        <v>7.02</v>
      </c>
      <c r="K9" s="71">
        <v>7.12</v>
      </c>
      <c r="L9" s="71">
        <v>10.130000000000001</v>
      </c>
      <c r="M9" s="71">
        <v>2803</v>
      </c>
      <c r="N9" s="71">
        <v>5703</v>
      </c>
      <c r="O9" s="71">
        <v>193</v>
      </c>
      <c r="P9" s="71">
        <v>8750</v>
      </c>
      <c r="Q9" s="71">
        <v>0</v>
      </c>
      <c r="R9" s="71">
        <v>0</v>
      </c>
      <c r="S9" s="71">
        <v>0</v>
      </c>
      <c r="T9" s="71">
        <v>700</v>
      </c>
      <c r="U9" s="71">
        <v>5216</v>
      </c>
      <c r="V9" s="71">
        <v>7007</v>
      </c>
      <c r="W9" s="71">
        <v>7051</v>
      </c>
      <c r="X9" s="71">
        <v>7080</v>
      </c>
      <c r="Y9" s="71">
        <v>1594</v>
      </c>
      <c r="Z9" s="71">
        <v>928</v>
      </c>
      <c r="AA9" s="71">
        <v>1040</v>
      </c>
      <c r="AB9" s="71">
        <v>2979</v>
      </c>
      <c r="AC9" s="71">
        <v>2356</v>
      </c>
      <c r="AD9" s="71">
        <v>4046</v>
      </c>
      <c r="AE9" s="71">
        <v>3720</v>
      </c>
    </row>
    <row r="10" spans="1:99" s="72" customFormat="1" ht="22.2" ph="1">
      <c r="B10" s="182" ph="1"/>
      <c r="C10" s="147" t="s" ph="1">
        <v>178</v>
      </c>
      <c r="D10" s="73" ph="1">
        <f>D9*33.183*LOOKUP(D11,密度!$A$2:$A$50,密度!$Q$2:$Q$50)</f>
        <v>201032.5954464</v>
      </c>
      <c r="E10" s="73" ph="1">
        <f>E9*51.53*LOOKUP(E11,密度!$A$2:$A$50,密度!$B$2:$B$50)</f>
        <v>360483.02065600001</v>
      </c>
      <c r="F10" s="73" ph="1">
        <f>F9*33.183*LOOKUP(F11,密度!$A$2:$A$50,密度!$C$2:$C$50)</f>
        <v>251264.9047059</v>
      </c>
      <c r="G10" s="73" ph="1">
        <f xml:space="preserve"> (G9+2)*51.53*LOOKUP(G11,密度!$A$2:$A$50,密度!$B$2:$B$50)</f>
        <v>314834.84551700007</v>
      </c>
      <c r="H10" s="73" ph="1">
        <f>(H9)*51.53*LOOKUP(H11,密度!$A$2:$A$50,密度!$B$2:$B$50)</f>
        <v>355926.22790900001</v>
      </c>
      <c r="I10" s="73" ph="1">
        <f>I9*290.8*1.0267</f>
        <v>5380.1297672000001</v>
      </c>
      <c r="J10" s="73" ph="1">
        <f>J9*290.8*0.7892</f>
        <v>1611.0855071999999</v>
      </c>
      <c r="K10" s="73" ph="1">
        <f>K9*290.8*1.1126</f>
        <v>2303.6338496000003</v>
      </c>
      <c r="L10" s="73" ph="1">
        <f>L9*290.8*0.777</f>
        <v>2288.8897080000006</v>
      </c>
      <c r="M10" s="73" ph="1">
        <f>M9*33.183*LOOKUP(M11,密度!$A$2:$A$50,密度!$D$2:$D$50)</f>
        <v>94732.670056499992</v>
      </c>
      <c r="N10" s="73" ph="1">
        <f>N9*33.183*LOOKUP(N11,密度!$A$2:$A$50,密度!$E$2:$E$50)</f>
        <v>146509.76642931002</v>
      </c>
      <c r="O10" s="73" ph="1">
        <f>O9*20.428*LOOKUP(O11,密度!$A$2:$A$50,密度!$C$2:$C$50)</f>
        <v>4315.5743384000007</v>
      </c>
      <c r="P10" s="73" ph="1">
        <f>P9*51.53*LOOKUP(P11,密度!$A$2:$A$50,密度!$B$2:$B$50)</f>
        <v>347994.97250000003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4601.6585999999998</v>
      </c>
      <c r="U10" s="73" ph="1">
        <f>U9*1.5*1.5*3.1416*LOOKUP(U11,密度!$A$2:$A$50,密度!$L$2:$L$50)</f>
        <v>34473.279456000004</v>
      </c>
      <c r="V10" s="73" ph="1">
        <f>V9*1.5*1.5*3.1416*LOOKUP(V11,密度!$A$2:$A$50,密度!$L$2:$L$50)</f>
        <v>46260.721306800006</v>
      </c>
      <c r="W10" s="73" ph="1">
        <f>W9*1.5*1.5*3.1416*LOOKUP(W11,密度!$A$2:$A$50,密度!$L$2:$L$50)</f>
        <v>46501.371793799997</v>
      </c>
      <c r="X10" s="73" ph="1">
        <f>X9*1.5*1.5*3.1416*LOOKUP(X11,密度!$A$2:$A$50,密度!$L$2:$L$50)</f>
        <v>46992.901032000002</v>
      </c>
      <c r="Y10" s="73" ph="1">
        <f>Y9*1.5*1.5*3.1416*LOOKUP(Y11,密度!$A$2:$A$50,密度!$L$2:$L$50)</f>
        <v>10534.970754</v>
      </c>
      <c r="Z10" s="73" ph="1">
        <f>Z9*33.183*LOOKUP(Z11,密度!$A$2:$A$50,密度!$L$2:$L$50)</f>
        <v>28699.843968000001</v>
      </c>
      <c r="AA10" s="73" ph="1">
        <f>AA9*33.183*LOOKUP(AA11,密度!$A$2:$A$50,密度!$D$2:$D$50)</f>
        <v>35117.701632000004</v>
      </c>
      <c r="AB10" s="73" ph="1">
        <f>AB9*20.428*LOOKUP(AB11,密度!$A$2:$A$50,密度!$D$2:$D$50)</f>
        <v>62364.216297599996</v>
      </c>
      <c r="AC10" s="73" ph="1">
        <f>AC9*51.53*LOOKUP(AC11,密度!$A$2:$A$50,密度!$Q$2:$Q$50)</f>
        <v>114272.15505000002</v>
      </c>
      <c r="AD10" s="73" ph="1">
        <f>AD9*20.428*LOOKUP(AD11,密度!$A$2:$A$50,密度!$V$2:$V$50)</f>
        <v>79147.256428800014</v>
      </c>
      <c r="AE10" s="73" ph="1">
        <f>AE9*20.428</f>
        <v>75992.160000000003</v>
      </c>
    </row>
    <row r="11" spans="1:99" ph="1">
      <c r="A11" s="64" t="s" ph="1">
        <v>162</v>
      </c>
      <c r="B11" s="182" ph="1"/>
      <c r="C11" s="147" t="s" ph="1">
        <v>179</v>
      </c>
      <c r="D11" s="74">
        <v>32</v>
      </c>
      <c r="E11" s="74">
        <v>34</v>
      </c>
      <c r="F11" s="74">
        <v>29</v>
      </c>
      <c r="G11" s="74">
        <v>33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34</v>
      </c>
      <c r="N11" s="74">
        <v>33</v>
      </c>
      <c r="O11" s="74">
        <v>40</v>
      </c>
      <c r="P11" s="74">
        <v>34</v>
      </c>
      <c r="Q11" s="74">
        <v>36</v>
      </c>
      <c r="R11" s="74">
        <v>38</v>
      </c>
      <c r="S11" s="74">
        <v>28</v>
      </c>
      <c r="T11" s="74">
        <v>32</v>
      </c>
      <c r="U11" s="74">
        <v>27</v>
      </c>
      <c r="V11" s="74">
        <v>28</v>
      </c>
      <c r="W11" s="74">
        <v>29</v>
      </c>
      <c r="X11" s="74">
        <v>23</v>
      </c>
      <c r="Y11" s="74">
        <v>27</v>
      </c>
      <c r="Z11" s="74">
        <v>30</v>
      </c>
      <c r="AA11" s="74">
        <v>35</v>
      </c>
      <c r="AB11" s="74">
        <v>27</v>
      </c>
      <c r="AC11" s="74">
        <v>33</v>
      </c>
      <c r="AD11" s="74">
        <v>34</v>
      </c>
      <c r="AE11" s="74">
        <v>35</v>
      </c>
    </row>
    <row r="12" spans="1:99" ht="9.9" customHeight="1" ph="1"/>
    <row r="13" spans="1:99" s="72" customFormat="1" ht="29.25" customHeight="1" ph="1">
      <c r="B13" s="190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77" t="s" ph="1">
        <v>636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47" t="s" ph="1">
        <v>177</v>
      </c>
      <c r="D15" s="78">
        <v>0</v>
      </c>
      <c r="E15" s="78">
        <v>5157</v>
      </c>
      <c r="F15" s="78">
        <v>3035</v>
      </c>
      <c r="G15" s="78">
        <v>1024</v>
      </c>
      <c r="H15" s="78">
        <v>0</v>
      </c>
      <c r="I15" s="78">
        <v>3933</v>
      </c>
      <c r="J15" s="78">
        <v>255</v>
      </c>
      <c r="K15" s="78">
        <v>3107</v>
      </c>
      <c r="L15" s="78">
        <v>5345</v>
      </c>
      <c r="M15" s="78">
        <v>6915</v>
      </c>
      <c r="N15" s="78">
        <v>4743</v>
      </c>
      <c r="O15" s="78">
        <v>6864</v>
      </c>
      <c r="P15" s="78">
        <v>3384</v>
      </c>
      <c r="Q15" s="78">
        <v>3491</v>
      </c>
      <c r="R15" s="78">
        <v>4856</v>
      </c>
      <c r="S15" s="78">
        <v>1652</v>
      </c>
      <c r="T15" s="78">
        <v>2554</v>
      </c>
      <c r="U15" s="78">
        <v>6184</v>
      </c>
      <c r="V15" s="78">
        <v>850</v>
      </c>
      <c r="W15" s="71">
        <v>5381</v>
      </c>
      <c r="X15" s="78">
        <v>1285</v>
      </c>
      <c r="Y15" s="106">
        <v>-9906</v>
      </c>
      <c r="Z15" s="78">
        <v>0</v>
      </c>
      <c r="AA15" s="78">
        <v>4578</v>
      </c>
      <c r="AB15" s="78" ph="1">
        <v>1098</v>
      </c>
      <c r="AC15" s="78" ph="1">
        <v>481</v>
      </c>
      <c r="AD15" s="78">
        <v>5.52</v>
      </c>
      <c r="AE15" s="78">
        <v>72.37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47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33937.529056200001</v>
      </c>
      <c r="F16" s="73" ph="1">
        <f>F15*9.0746*LOOKUP(F17,密度!$A$2:$A$50,密度!$L$2:$L$50)</f>
        <v>25723.677874000001</v>
      </c>
      <c r="G16" s="73" ph="1">
        <f>G15*9.0746*LOOKUP(G17,密度!$A$2:$A$50,密度!$B$2:$B$50)</f>
        <v>7235.9844044799993</v>
      </c>
      <c r="H16" s="73" ph="1">
        <f>H15*9.0746*LOOKUP(H17,密度!$A$2:$A$50,密度!$L$2:$L$50)</f>
        <v>0</v>
      </c>
      <c r="I16" s="73" ph="1">
        <f>I15*9.0746*LOOKUP(I17,密度!$A$2:$A$50,密度!$U$2:$U$50)</f>
        <v>36511.281041399998</v>
      </c>
      <c r="J16" s="73" ph="1">
        <f>J15*9.0746*LOOKUP(J17,密度!$A$2:$A$50,密度!$L$2:$L$50)</f>
        <v>2161.2974820000004</v>
      </c>
      <c r="K16" s="73" ph="1">
        <f>K15*9.0746*LOOKUP(K17,密度!$A$2:$A$50,密度!$C$2:$C$50)</f>
        <v>31200.345982520001</v>
      </c>
      <c r="L16" s="73" ph="1">
        <f>L15*9.0746*LOOKUP(L17,密度!$A$2:$A$50,密度!$E$2:$E$50)</f>
        <v>37769.8600019</v>
      </c>
      <c r="M16" s="73" ph="1">
        <f>M15*9.0746*LOOKUP(M17,密度!$A$2:$A$50,密度!$M$2:$M$50)</f>
        <v>54655.998189000005</v>
      </c>
      <c r="N16" s="73" ph="1">
        <f>N15*9.0746*LOOKUP(N17,密度!$A$2:$A$50,密度!$M$2:$M$50)</f>
        <v>37621.987579979999</v>
      </c>
      <c r="O16" s="73" ph="1">
        <f>O15*9.0746*LOOKUP(O17,密度!$A$2:$A$50,密度!$G$2:$G$50)</f>
        <v>59609.668060799995</v>
      </c>
      <c r="P16" s="73" ph="1">
        <f ca="1">P15*9.0746*LOOKUP(P17,密度!$A$2:$A$51,密度!$Q$2:$Q$50)</f>
        <v>28968.198742512002</v>
      </c>
      <c r="Q16" s="73" ph="1">
        <f>Q15*9.0746*LOOKUP(Q17,密度!$A$2:$A$50,密度!$Q$2:$Q$50)</f>
        <v>29860.395809787999</v>
      </c>
      <c r="R16" s="73" ph="1">
        <f>MAX(R15*9.0746*LOOKUP(R17,密度!$A$2:$A$50,密度!$B$2:$B$50),0)</f>
        <v>34164.569517280004</v>
      </c>
      <c r="S16" s="73" ph="1">
        <f>S15*9.0746*LOOKUP(S17,密度!$A$2:$A$50,密度!$Q$2:$Q$50)</f>
        <v>14130.442245135999</v>
      </c>
      <c r="T16" s="73" ph="1">
        <f>T15*9.0746*LOOKUP(T17,密度!$A$2:$A$50,密度!$O$2:$O$50)</f>
        <v>21368.759184800001</v>
      </c>
      <c r="U16" s="73" ph="1">
        <f>U15*9.0746*LOOKUP(U17,密度!$A$2:$A$50,密度!$H$2:$H$50)</f>
        <v>51013.455563919997</v>
      </c>
      <c r="V16" s="73" ph="1">
        <f>MAX(5600*LOOKUP(V17,密度!$A$2:$A$50,密度!$Q$2:$Q$50)+V15*9.0476*LOOKUP(V17,密度!$A$2:$A$50,密度!$Q$2:$Q$50),0)</f>
        <v>12545.263907799999</v>
      </c>
      <c r="W16" s="73" ph="1">
        <f>MAX(5600*LOOKUP(W17,密度!$A$2:$A$50,密度!$Q$2:$Q$50)+W15*9.0476*LOOKUP(W17,密度!$A$2:$A$50,密度!$Q$2:$Q$50),0)</f>
        <v>51208.796965547997</v>
      </c>
      <c r="X16" s="73" ph="1">
        <f>MAX(5600*LOOKUP(X17,密度!$A$2:$A$50,密度!$I$2:$I$50)+X15*9.0476*LOOKUP(X17,密度!$A$2:$A$50,密度!$I$2:$I$50),0)</f>
        <v>17837.867154659998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32100.676976760002</v>
      </c>
      <c r="AB16" s="73" ph="1">
        <f>AB15*9.0746*LOOKUP(AB17,密度!$A$2:$A$50,密度!$L$2:$L$50)</f>
        <v>9316.2565979999999</v>
      </c>
      <c r="AC16" s="73" ph="1">
        <f>AC15*9.0746*LOOKUP(AC17,密度!$A$2:$A$50,密度!$L$2:$L$50)</f>
        <v>4081.1652309999999</v>
      </c>
      <c r="AD16" s="73" ph="1">
        <f>AD15*268.68*LOOKUP(AD17,密度!$A$2:$A$50,密度!B2:B50)+IF(AD15&lt;=0,0,1566*LOOKUP(AD17,密度!$A$2:$A$50,密度!B2:B50))</f>
        <v>2377.0889625599998</v>
      </c>
      <c r="AE16" s="73" ph="1">
        <f>AE15*268.68*LOOKUP(AE17,密度!$A$2:$A$50,密度!B2:B50)+IF(AE15&lt;=0,0,1566*LOOKUP(AE17,密度!$A$2:$A$50,密度!B2:B50))</f>
        <v>16379.685699360001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31</v>
      </c>
      <c r="E17" s="74">
        <v>31</v>
      </c>
      <c r="F17" s="74">
        <v>28</v>
      </c>
      <c r="G17" s="74">
        <v>26</v>
      </c>
      <c r="H17" s="74">
        <v>25</v>
      </c>
      <c r="I17" s="74">
        <v>27</v>
      </c>
      <c r="J17" s="74">
        <v>28</v>
      </c>
      <c r="K17" s="74">
        <v>28</v>
      </c>
      <c r="L17" s="74">
        <v>29</v>
      </c>
      <c r="M17" s="74">
        <v>29</v>
      </c>
      <c r="N17" s="74">
        <v>26</v>
      </c>
      <c r="O17" s="74">
        <v>28</v>
      </c>
      <c r="P17" s="74">
        <v>30</v>
      </c>
      <c r="Q17" s="74">
        <v>31</v>
      </c>
      <c r="R17" s="74">
        <v>30</v>
      </c>
      <c r="S17" s="74">
        <v>31</v>
      </c>
      <c r="T17" s="74">
        <v>30</v>
      </c>
      <c r="U17" s="74">
        <v>31</v>
      </c>
      <c r="V17" s="74">
        <v>29</v>
      </c>
      <c r="W17" s="74">
        <v>30</v>
      </c>
      <c r="X17" s="74">
        <v>31</v>
      </c>
      <c r="Y17" s="108">
        <v>31</v>
      </c>
      <c r="Z17" s="74">
        <v>27</v>
      </c>
      <c r="AA17" s="74">
        <v>33</v>
      </c>
      <c r="AB17" s="74">
        <v>27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0</v>
      </c>
      <c r="E18" s="71">
        <v>5165</v>
      </c>
      <c r="F18" s="71">
        <v>3036</v>
      </c>
      <c r="G18" s="71">
        <v>1068</v>
      </c>
      <c r="H18" s="71">
        <v>1991</v>
      </c>
      <c r="I18" s="71">
        <v>3935</v>
      </c>
      <c r="J18" s="71">
        <v>270</v>
      </c>
      <c r="K18" s="71">
        <v>3108</v>
      </c>
      <c r="L18" s="71">
        <v>5356</v>
      </c>
      <c r="M18" s="71">
        <v>5075</v>
      </c>
      <c r="N18" s="71">
        <v>5962</v>
      </c>
      <c r="O18" s="71">
        <v>6871</v>
      </c>
      <c r="P18" s="71">
        <v>1837</v>
      </c>
      <c r="Q18" s="71">
        <v>3482</v>
      </c>
      <c r="R18" s="71">
        <v>4862</v>
      </c>
      <c r="S18" s="71">
        <v>1655</v>
      </c>
      <c r="T18" s="71">
        <v>2554</v>
      </c>
      <c r="U18" s="71">
        <v>6188</v>
      </c>
      <c r="V18" s="71">
        <v>850</v>
      </c>
      <c r="W18" s="71">
        <v>5382</v>
      </c>
      <c r="X18" s="71">
        <v>1285</v>
      </c>
      <c r="Y18" s="109">
        <v>-9906</v>
      </c>
      <c r="Z18" s="71">
        <v>0</v>
      </c>
      <c r="AA18" s="71">
        <v>6963</v>
      </c>
      <c r="AB18" s="71">
        <v>1096</v>
      </c>
      <c r="AC18" s="71">
        <v>1479</v>
      </c>
      <c r="AD18" s="71">
        <v>34.54</v>
      </c>
      <c r="AE18" s="71">
        <v>84.72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47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33917.157351000002</v>
      </c>
      <c r="F19" s="73" ph="1">
        <f>F18*9.0746*LOOKUP(F20,密度!$A$2:$A$50,密度!$L$2:$L$50)</f>
        <v>25566.850636800002</v>
      </c>
      <c r="G19" s="73" ph="1">
        <f>G18*9.0746*LOOKUP(G20,密度!$A$2:$A$50,密度!$B$2:$B$50)</f>
        <v>7488.7555725600005</v>
      </c>
      <c r="H19" s="73" ph="1">
        <f>H18*9.0746*LOOKUP(H20,密度!$A$2:$A$50,密度!$L$2:$L$50)</f>
        <v>16784.734069400001</v>
      </c>
      <c r="I19" s="73" ph="1">
        <f>I18*9.0746*LOOKUP(I20,密度!$A$2:$A$50,密度!$U$2:$U$50)</f>
        <v>36244.179264999999</v>
      </c>
      <c r="J19" s="73" ph="1">
        <f>J18*9.0746*LOOKUP(J20,密度!$A$2:$A$50,密度!$L$2:$L$50)</f>
        <v>2271.2816340000004</v>
      </c>
      <c r="K19" s="73" ph="1">
        <f>K18*9.0746*LOOKUP(K20,密度!$A$2:$A$50,密度!$C$2:$C$50)</f>
        <v>31080.650193600006</v>
      </c>
      <c r="L19" s="73" ph="1">
        <f>L18*9.0746*LOOKUP(L20,密度!$A$2:$A$50,密度!$E$2:$E$50)</f>
        <v>37683.310278432</v>
      </c>
      <c r="M19" s="73" ph="1">
        <f>M18*9.0746*LOOKUP(M20,密度!$A$2:$A$50,密度!$M$2:$M$50)</f>
        <v>39966.230812900001</v>
      </c>
      <c r="N19" s="73" ph="1">
        <f>N18*9.0746*LOOKUP(N20,密度!$A$2:$A$50,密度!$M$2:$M$50)</f>
        <v>47177.611254399999</v>
      </c>
      <c r="O19" s="73" ph="1">
        <f>O18*9.0746*LOOKUP(O20,密度!$A$2:$A$50,密度!$G$2:$G$50)</f>
        <v>59465.322119185999</v>
      </c>
      <c r="P19" s="73" ph="1">
        <f ca="1">P18*9.0746*LOOKUP(P20,密度!$A$2:$A$51,密度!$Q$2:$Q$50)</f>
        <v>15701.510864379999</v>
      </c>
      <c r="Q19" s="73" ph="1">
        <f>Q18*9.0746*LOOKUP(Q20,密度!$A$2:$A$50,密度!$Q$2:$Q$50)</f>
        <v>29741.388964500002</v>
      </c>
      <c r="R19" s="73" ph="1">
        <f>MAX(R18*9.0746*LOOKUP(R20,密度!$A$2:$A$50,密度!$B$2:$B$50),0)</f>
        <v>34127.365472199999</v>
      </c>
      <c r="S19" s="73" ph="1">
        <f>S18*9.0746*LOOKUP(S20,密度!$A$2:$A$50,密度!$Q$2:$Q$50)</f>
        <v>14136.12829875</v>
      </c>
      <c r="T19" s="73" ph="1">
        <f>T18*9.0746*LOOKUP(T20,密度!$A$2:$A$50,密度!$O$2:$O$50)</f>
        <v>21368.759184800001</v>
      </c>
      <c r="U19" s="73" ph="1">
        <f>U18*9.0746*LOOKUP(U20,密度!$A$2:$A$50,密度!$H$2:$H$50)</f>
        <v>50937.514592328</v>
      </c>
      <c r="V19" s="73" ph="1">
        <f>MAX(5600*LOOKUP(V20,密度!$A$2:$A$50,密度!$Q$2:$Q$50)+V18*9.0476*LOOKUP(V20,密度!$A$2:$A$50,密度!$Q$2:$Q$50),0)</f>
        <v>12509.645474999999</v>
      </c>
      <c r="W19" s="73" ph="1">
        <f>MAX(5600*LOOKUP(W20,密度!$A$2:$A$50,密度!$Q$2:$Q$50)+W18*9.0476*LOOKUP(W20,密度!$A$2:$A$50,密度!$Q$2:$Q$50),0)</f>
        <v>51033.274557007986</v>
      </c>
      <c r="X19" s="73" ph="1">
        <f>MAX(5600*LOOKUP(X20,密度!$A$2:$A$50,密度!$I$2:$I$50)+X18*9.0476*LOOKUP(X20,密度!$A$2:$A$50,密度!$I$2:$I$50),0)</f>
        <v>17799.625066140001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48767.294237640002</v>
      </c>
      <c r="AB19" s="73" ph="1">
        <f>AB18*9.0746*LOOKUP(AB20,密度!$A$2:$A$50,密度!$L$2:$L$50)</f>
        <v>9219.7210032000003</v>
      </c>
      <c r="AC19" s="73" ph="1">
        <f>AC18*9.0746*LOOKUP(AC20,密度!$A$2:$A$50,密度!$L$2:$L$50)</f>
        <v>12428.154728400001</v>
      </c>
      <c r="AD19" s="73" ph="1">
        <f>AD18*268.68*LOOKUP(AD20,密度!$A$2:$A$50,密度!B5:B53)+IF(AD18&lt;=0,0,1566*LOOKUP(AD20,密度!$A$2:$A$50,密度!B5:B53))</f>
        <v>8427.5029943999998</v>
      </c>
      <c r="AE19" s="73" ph="1">
        <f>AE18*268.68*LOOKUP(AE20,密度!$A$2:$A$50,密度!B5:B53)+IF(AE18&lt;=0,0,1566*LOOKUP(AE20,密度!$A$2:$A$50,密度!B5:B53))</f>
        <v>18903.2985792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33</v>
      </c>
      <c r="E20" s="81">
        <v>33</v>
      </c>
      <c r="F20" s="81">
        <v>34</v>
      </c>
      <c r="G20" s="81">
        <v>33</v>
      </c>
      <c r="H20" s="81">
        <v>33</v>
      </c>
      <c r="I20" s="81">
        <v>35</v>
      </c>
      <c r="J20" s="81">
        <v>35</v>
      </c>
      <c r="K20" s="81">
        <v>33</v>
      </c>
      <c r="L20" s="81">
        <v>32</v>
      </c>
      <c r="M20" s="81">
        <v>32</v>
      </c>
      <c r="N20" s="81">
        <v>28</v>
      </c>
      <c r="O20" s="81">
        <v>31</v>
      </c>
      <c r="P20" s="81">
        <v>32</v>
      </c>
      <c r="Q20" s="81">
        <v>33</v>
      </c>
      <c r="R20" s="81">
        <v>32</v>
      </c>
      <c r="S20" s="81">
        <v>33</v>
      </c>
      <c r="T20" s="81">
        <v>32</v>
      </c>
      <c r="U20" s="81">
        <v>33</v>
      </c>
      <c r="V20" s="81">
        <v>33</v>
      </c>
      <c r="W20" s="81">
        <v>35</v>
      </c>
      <c r="X20" s="81">
        <v>33</v>
      </c>
      <c r="Y20" s="110">
        <v>33</v>
      </c>
      <c r="Z20" s="81">
        <v>36</v>
      </c>
      <c r="AA20" s="81">
        <v>34</v>
      </c>
      <c r="AB20" s="81">
        <v>35</v>
      </c>
      <c r="AC20" s="81">
        <v>36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47" t="s" ph="1">
        <v>177</v>
      </c>
      <c r="D24" s="71">
        <v>85.24</v>
      </c>
      <c r="E24" s="71">
        <v>5.44</v>
      </c>
      <c r="F24" s="71">
        <v>1886</v>
      </c>
      <c r="G24" s="71">
        <v>1105</v>
      </c>
      <c r="H24" s="71">
        <v>3003</v>
      </c>
      <c r="I24" s="71">
        <v>561</v>
      </c>
      <c r="J24" s="71">
        <v>691</v>
      </c>
      <c r="K24" s="71">
        <v>1430</v>
      </c>
      <c r="L24" s="71">
        <v>5616</v>
      </c>
      <c r="M24" s="71">
        <v>1485</v>
      </c>
      <c r="N24" s="71">
        <v>912</v>
      </c>
      <c r="O24" s="71">
        <v>4320</v>
      </c>
      <c r="P24" s="71">
        <v>679</v>
      </c>
      <c r="Q24" s="90">
        <v>1048</v>
      </c>
      <c r="R24" s="71">
        <v>736</v>
      </c>
      <c r="S24" s="71">
        <v>44</v>
      </c>
      <c r="T24" s="71">
        <v>1697</v>
      </c>
      <c r="U24" s="71">
        <v>5710</v>
      </c>
      <c r="V24" s="71">
        <v>6685</v>
      </c>
      <c r="W24" s="71">
        <v>576</v>
      </c>
      <c r="X24" s="71">
        <v>2341</v>
      </c>
      <c r="Y24" s="71">
        <v>1533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23165.102436768</v>
      </c>
      <c r="E25" s="91" ph="1">
        <f>E24*268.68*LOOKUP(E26,密度!$A$2:$A$50,密度!$C$2:$C$50)+IF(E24&lt;=0,0,1566*LOOKUP(E26,密度!$A$2:$A$50,密度!$C$2:$C$50))</f>
        <v>3357.32693088</v>
      </c>
      <c r="F25" s="91" ph="1">
        <f>F24*11.702*LOOKUP(F26,密度!$A$2:$A$50,密度!$Q$2:$Q$50)</f>
        <v>20832.508669960003</v>
      </c>
      <c r="G25" s="91" ph="1">
        <f>G24*18.322*LOOKUP(G26,密度!$A$2:$A$50,密度!$B$2:$B$50)</f>
        <v>15714.797721999998</v>
      </c>
      <c r="H25" s="91" ph="1">
        <f>H24*18.322*LOOKUP(H26,密度!$A$2:$A$50,密度!$B$2:$B$50)</f>
        <v>42707.2738092</v>
      </c>
      <c r="I25" s="91" ph="1">
        <f>I24*18.322*LOOKUP(I26,密度!$A$2:$A$50,密度!$Q$2:$Q$50)</f>
        <v>9696.1513578600006</v>
      </c>
      <c r="J25" s="91" ph="1">
        <f>J24*18.322*LOOKUP(J26,密度!$A$2:$A$50,密度!$Q$2:$Q$50)</f>
        <v>11943.031351659998</v>
      </c>
      <c r="K25" s="91" ph="1">
        <f>K24*18.322*LOOKUP(K26,密度!$A$2:$A$50,密度!$Q$2:$Q$50)</f>
        <v>24715.679931799998</v>
      </c>
      <c r="L25" s="91" ph="1">
        <f>L24*18.322*LOOKUP(L26,密度!$A$2:$A$50,密度!$Q$2:$Q$50)</f>
        <v>97126.95354336001</v>
      </c>
      <c r="M25" s="91" ph="1">
        <f>M24*18.322*LOOKUP(M26,密度!$A$2:$A$50,密度!$Q$2:$Q$50)</f>
        <v>25666.283006099999</v>
      </c>
      <c r="N25" s="91" ph="1">
        <f>N24*18.322*LOOKUP(N26,密度!$A$2:$A$50,密度!$Q$2:$Q$50)</f>
        <v>15762.72734112</v>
      </c>
      <c r="O25" s="91" ph="1">
        <f>O24*18.322*LOOKUP(O26,密度!$A$2:$A$50,密度!$C$2:$C$50)</f>
        <v>87469.814303999985</v>
      </c>
      <c r="P25" s="91" ph="1">
        <f>P24*11.702*LOOKUP(P26,密度!$A$2:$A$50,密度!$B$2:$B$50)</f>
        <v>6160.2686474000002</v>
      </c>
      <c r="Q25" s="92" ph="1">
        <f>Q24*18.322*LOOKUP(Q26,密度!$A$2:$A$50,密度!$B$2:$B$50)</f>
        <v>14886.888836799999</v>
      </c>
      <c r="R25" s="91" ph="1">
        <f>R24*35.891*LOOKUP(R26,密度!$A$2:$A$50,密度!$C$2:$C$50)</f>
        <v>29213.206678400002</v>
      </c>
      <c r="S25" s="91" ph="1">
        <f>S24*35.891*LOOKUP(S26,密度!$A$2:$A$50,密度!$B$2:$B$50)</f>
        <v>1225.7781448000001</v>
      </c>
      <c r="T25" s="91" ph="1">
        <f>T24*35.891*LOOKUP(T26,密度!$A$2:$A$50,密度!$Q$2:$Q$50)</f>
        <v>57455.425779909994</v>
      </c>
      <c r="U25" s="91" ph="1">
        <f>U24*35.891</f>
        <v>204937.61</v>
      </c>
      <c r="V25" s="91" ph="1">
        <f>V24*47.051*LOOKUP(V26,密度!$A$2:$A$50,密度!$B$2:$B$50)</f>
        <v>243859.71040549999</v>
      </c>
      <c r="W25" s="91" ph="1">
        <f>W24*47.051*LOOKUP(W26,密度!$A$2:$A$50,密度!$B$2:$B$50)</f>
        <v>21036.0880512</v>
      </c>
      <c r="X25" s="91" ph="1">
        <f>X24*47.051*LOOKUP(X26,密度!$A$2:$A$50,密度!$I$2:$I$50)</f>
        <v>114177.7489106</v>
      </c>
      <c r="Y25" s="91" ph="1">
        <f>Y24*47.051*LOOKUP(Y26,密度!$A$2:$A$50,密度!$L$2:$L$50)</f>
        <v>67224.398556000015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29</v>
      </c>
      <c r="G26" s="74">
        <v>29</v>
      </c>
      <c r="H26" s="74">
        <v>29</v>
      </c>
      <c r="I26" s="74">
        <v>30</v>
      </c>
      <c r="J26" s="74">
        <v>30</v>
      </c>
      <c r="K26" s="74">
        <v>30</v>
      </c>
      <c r="L26" s="74">
        <v>29</v>
      </c>
      <c r="M26" s="74">
        <v>30</v>
      </c>
      <c r="N26" s="74">
        <v>30</v>
      </c>
      <c r="O26" s="74">
        <v>30</v>
      </c>
      <c r="P26" s="74">
        <v>30</v>
      </c>
      <c r="Q26" s="93">
        <v>30</v>
      </c>
      <c r="R26" s="74">
        <v>29</v>
      </c>
      <c r="S26" s="74">
        <v>29</v>
      </c>
      <c r="T26" s="74">
        <v>30</v>
      </c>
      <c r="U26" s="74">
        <v>29</v>
      </c>
      <c r="V26" s="74">
        <v>30</v>
      </c>
      <c r="W26" s="74">
        <v>29</v>
      </c>
      <c r="X26" s="74">
        <v>30</v>
      </c>
      <c r="Y26" s="74">
        <v>30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47" t="s" ph="1">
        <v>180</v>
      </c>
      <c r="D27" s="71">
        <v>21.41</v>
      </c>
      <c r="E27" s="71">
        <v>5.39</v>
      </c>
      <c r="F27" s="71">
        <v>3699</v>
      </c>
      <c r="G27" s="71">
        <v>744</v>
      </c>
      <c r="H27" s="71">
        <v>2455</v>
      </c>
      <c r="I27" s="71">
        <v>557</v>
      </c>
      <c r="J27" s="71">
        <v>686</v>
      </c>
      <c r="K27" s="71">
        <v>1119</v>
      </c>
      <c r="L27" s="71">
        <v>5611</v>
      </c>
      <c r="M27" s="71">
        <v>1152</v>
      </c>
      <c r="N27" s="71">
        <v>908</v>
      </c>
      <c r="O27" s="71">
        <v>4316</v>
      </c>
      <c r="P27" s="71">
        <v>674</v>
      </c>
      <c r="Q27" s="90">
        <v>1461</v>
      </c>
      <c r="R27" s="71">
        <v>220</v>
      </c>
      <c r="S27" s="71">
        <v>40</v>
      </c>
      <c r="T27" s="71">
        <v>1694</v>
      </c>
      <c r="U27" s="71">
        <v>5562</v>
      </c>
      <c r="V27" s="71">
        <v>6683</v>
      </c>
      <c r="W27" s="71">
        <v>265</v>
      </c>
      <c r="X27" s="71">
        <v>2341</v>
      </c>
      <c r="Y27" s="71">
        <v>1715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47" t="s" ph="1">
        <v>178</v>
      </c>
      <c r="D28" s="91" ph="1">
        <f>D27*268.68*LOOKUP(D29,密度!$A$2:$A$50,密度!$Q$2:$Q$50)+IF(D27&lt;=0,0,1566*LOOKUP(D29,密度!$A$2:$A$50,密度!$Q$2:$Q$50))</f>
        <v>6928.6587495120002</v>
      </c>
      <c r="E28" s="91" ph="1">
        <f>E27*268.68*LOOKUP(E29,密度!$A$2:$A$50,密度!$C$2:$C$50)+IF(E27&lt;=0,0,1566*LOOKUP(E29,密度!$A$2:$A$50,密度!$C$2:$C$50))</f>
        <v>3342.4299682800001</v>
      </c>
      <c r="F28" s="91" ph="1">
        <f>F27*11.702*LOOKUP(F29,密度!$A$2:$A$50,密度!$Q$2:$Q$50)</f>
        <v>40800.233220839997</v>
      </c>
      <c r="G28" s="91" ph="1">
        <f>G27*18.322*LOOKUP(G29,密度!$A$2:$A$50,密度!$B$2:$B$50)</f>
        <v>10556.286259199998</v>
      </c>
      <c r="H28" s="91" ph="1">
        <f>H27*18.322*LOOKUP(H29,密度!$A$2:$A$50,密度!$B$2:$B$50)</f>
        <v>34792.424484999996</v>
      </c>
      <c r="I28" s="91" ph="1">
        <f>I27*18.322*LOOKUP(I29,密度!$A$2:$A$50,密度!$Q$2:$Q$50)</f>
        <v>9612.4229325999986</v>
      </c>
      <c r="J28" s="91" ph="1">
        <f>J27*18.322*LOOKUP(J29,密度!$A$2:$A$50,密度!$Q$2:$Q$50)</f>
        <v>11847.18622136</v>
      </c>
      <c r="K28" s="91" ph="1">
        <f>K27*18.322*LOOKUP(K29,密度!$A$2:$A$50,密度!$Q$2:$Q$50)</f>
        <v>19325.074900439999</v>
      </c>
      <c r="L28" s="91" ph="1">
        <f>L27*18.322*LOOKUP(L29,密度!$A$2:$A$50,密度!$Q$2:$Q$50)</f>
        <v>96901.693714359993</v>
      </c>
      <c r="M28" s="91" ph="1">
        <f>M27*18.322*LOOKUP(M29,密度!$A$2:$A$50,密度!$Q$2:$Q$50)</f>
        <v>19880.6305536</v>
      </c>
      <c r="N28" s="91" ph="1">
        <f>N27*18.322*LOOKUP(N29,密度!$A$2:$A$50,密度!$Q$2:$Q$50)</f>
        <v>15681.115290079999</v>
      </c>
      <c r="O28" s="91" ph="1">
        <f>O27*18.322*LOOKUP(O29,密度!$A$2:$A$50,密度!$C$2:$C$50)</f>
        <v>87222.760455999989</v>
      </c>
      <c r="P28" s="91" ph="1">
        <f>P27*11.702*LOOKUP(P29,密度!$A$2:$A$50,密度!$B$2:$B$50)</f>
        <v>6100.7089779999997</v>
      </c>
      <c r="Q28" s="92" ph="1">
        <f>Q27*18.322*LOOKUP(Q29,密度!$A$2:$A$50,密度!$B$2:$B$50)</f>
        <v>20705.389886999998</v>
      </c>
      <c r="R28" s="91" ph="1">
        <f>R27*35.891*LOOKUP(R29,密度!$A$2:$A$50,密度!$C$2:$C$50)</f>
        <v>8717.9956820000007</v>
      </c>
      <c r="S28" s="91" ph="1">
        <f>S27*35.891*LOOKUP(S29,密度!$A$2:$A$50,密度!$B$2:$B$50)</f>
        <v>1111.7596159999998</v>
      </c>
      <c r="T28" s="91" ph="1">
        <f>T27*35.891*LOOKUP(T29,密度!$A$2:$A$50,密度!$Q$2:$Q$50)</f>
        <v>57266.911532599996</v>
      </c>
      <c r="U28" s="91" ph="1">
        <f>U27*35.891</f>
        <v>199625.742</v>
      </c>
      <c r="V28" s="91" ph="1">
        <f>V27*47.051*LOOKUP(V29,密度!$A$2:$A$50,密度!$B$2:$B$50)</f>
        <v>243503.75547519999</v>
      </c>
      <c r="W28" s="91" ph="1">
        <f>W27*47.051*LOOKUP(W29,密度!$A$2:$A$50,密度!$B$2:$B$50)</f>
        <v>9655.6180160000004</v>
      </c>
      <c r="X28" s="91" ph="1">
        <f>X27*47.051*LOOKUP(X29,密度!$A$2:$A$50,密度!$I$2:$I$50)</f>
        <v>113935.42685040001</v>
      </c>
      <c r="Y28" s="91" ph="1">
        <f>Y27*47.051*LOOKUP(Y29,密度!$A$2:$A$50,密度!$L$2:$L$50)</f>
        <v>75124.684915000005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47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32</v>
      </c>
      <c r="I29" s="74">
        <v>32</v>
      </c>
      <c r="J29" s="74">
        <v>31</v>
      </c>
      <c r="K29" s="74">
        <v>31</v>
      </c>
      <c r="L29" s="74">
        <v>31</v>
      </c>
      <c r="M29" s="74">
        <v>32</v>
      </c>
      <c r="N29" s="74">
        <v>31</v>
      </c>
      <c r="O29" s="74">
        <v>32</v>
      </c>
      <c r="P29" s="74">
        <v>32</v>
      </c>
      <c r="Q29" s="93">
        <v>32</v>
      </c>
      <c r="R29" s="74">
        <v>31</v>
      </c>
      <c r="S29" s="74">
        <v>31</v>
      </c>
      <c r="T29" s="74">
        <v>32</v>
      </c>
      <c r="U29" s="74">
        <v>32</v>
      </c>
      <c r="V29" s="74">
        <v>31</v>
      </c>
      <c r="W29" s="74">
        <v>31</v>
      </c>
      <c r="X29" s="74">
        <v>32</v>
      </c>
      <c r="Y29" s="74">
        <v>31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97481.917929599993</v>
      </c>
      <c r="E33" s="204" ph="1">
        <f>M10+I10</f>
        <v>100112.79982369998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[[#This Row],[F25]]</f>
        <v>3880</v>
      </c>
      <c r="G33" s="208" ph="1">
        <v>0</v>
      </c>
      <c r="H33" s="204" ph="1">
        <f>N19</f>
        <v>47177.611254399999</v>
      </c>
      <c r="I33" s="217" ph="1">
        <v>0</v>
      </c>
      <c r="J33" s="215" ph="1">
        <f>F10+O28</f>
        <v>338487.66516189999</v>
      </c>
      <c r="K33" s="204" ph="1">
        <f>O10+K10+E28+R28</f>
        <v>18679.633838280002</v>
      </c>
      <c r="L33" s="219" ph="1">
        <f>BE27</f>
        <v>7100</v>
      </c>
      <c r="M33" s="215" ph="1">
        <f>G10+H10+W28+S28+V28+E10</f>
        <v>1285515.2271892</v>
      </c>
      <c r="N33" s="204" ph="1">
        <f>L10+P10++G28+H28</f>
        <v>395632.57295220008</v>
      </c>
      <c r="O33" s="217" ph="1">
        <f>BE17</f>
        <v>2270</v>
      </c>
      <c r="P33" s="215" ph="1">
        <f>L19</f>
        <v>37683.310278432</v>
      </c>
      <c r="Q33" s="204" ph="1">
        <f>J10+N10</f>
        <v>148120.85193651004</v>
      </c>
      <c r="R33" s="217" ph="1">
        <f>BE23</f>
        <v>890</v>
      </c>
      <c r="S33" s="215" ph="1">
        <f>E10+X28</f>
        <v>474418.4475064</v>
      </c>
      <c r="T33" s="204" ph="1">
        <f>X19</f>
        <v>17799.625066140001</v>
      </c>
      <c r="U33" s="225" ph="1">
        <f>BE21</f>
        <v>730</v>
      </c>
      <c r="V33" s="236" ph="1">
        <f ca="1">P19+Q19+S19+M28+N28+J28</f>
        <v>106987.96019267</v>
      </c>
      <c r="W33" s="236" ph="1">
        <f>D28+F28+V19+T28</f>
        <v>117505.44897795198</v>
      </c>
      <c r="X33" s="217" ph="1">
        <f>BE29+BE31</f>
        <v>10200</v>
      </c>
      <c r="Y33" s="238" ph="1">
        <f>+Q10+R10+S10+T10+U10+V10+W10+X10+Y10</f>
        <v>189364.90294260002</v>
      </c>
      <c r="Z33" s="223" ph="1">
        <f>D10+T19+U19+Y28+Z10</f>
        <v>377163.39810652798</v>
      </c>
      <c r="AA33" s="225" ph="1">
        <f>BE19</f>
        <v>1440</v>
      </c>
      <c r="AB33" s="227" ph="1">
        <f>I19</f>
        <v>36244.179264999999</v>
      </c>
      <c r="AC33" s="229" ph="1">
        <f>AD10</f>
        <v>79147.256428800014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49" t="s" ph="1">
        <v>185</v>
      </c>
      <c r="AA36" s="149" ph="1"/>
      <c r="AB36" s="222" t="s" ph="1">
        <v>641</v>
      </c>
      <c r="AC36" s="222" ph="1"/>
      <c r="AD36" s="222" ph="1"/>
      <c r="AE36" s="22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342</v>
      </c>
      <c r="AI37" s="149" t="s" ph="1">
        <v>209</v>
      </c>
      <c r="AJ37" s="149" t="s" ph="1">
        <v>210</v>
      </c>
      <c r="AK37" s="149" t="s" ph="1">
        <v>211</v>
      </c>
      <c r="AM37" s="149" t="s" ph="1">
        <v>210</v>
      </c>
      <c r="AN37" s="149" t="s" ph="1">
        <v>211</v>
      </c>
      <c r="AO37" s="149" t="s" ph="1">
        <v>212</v>
      </c>
      <c r="AP37" s="149" t="s" ph="1">
        <v>210</v>
      </c>
      <c r="AQ37" s="149" t="s" ph="1">
        <v>211</v>
      </c>
      <c r="AR37" s="149" t="s" ph="1">
        <v>212</v>
      </c>
      <c r="AS37" s="149" t="s" ph="1">
        <v>210</v>
      </c>
      <c r="AT37" s="149" t="s" ph="1">
        <v>211</v>
      </c>
      <c r="AU37" s="149" t="s" ph="1">
        <v>212</v>
      </c>
      <c r="AV37" s="149" t="s" ph="1">
        <v>210</v>
      </c>
      <c r="AW37" s="149" t="s" ph="1">
        <v>211</v>
      </c>
      <c r="AX37" s="149" t="s" ph="1">
        <v>212</v>
      </c>
      <c r="AY37" s="149" t="s" ph="1">
        <v>211</v>
      </c>
      <c r="AZ37" s="149" t="s" ph="1">
        <v>213</v>
      </c>
      <c r="BD37" s="149" t="s" ph="1">
        <v>305</v>
      </c>
      <c r="BE37" s="14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919" priority="98">
      <formula>ABS(D$7-D$10)&gt;=1000</formula>
    </cfRule>
  </conditionalFormatting>
  <conditionalFormatting sqref="E4 E6:E11">
    <cfRule type="expression" dxfId="1918" priority="97">
      <formula>ABS(E$7-E$10)&gt;=1000</formula>
    </cfRule>
  </conditionalFormatting>
  <conditionalFormatting sqref="F4:F11">
    <cfRule type="expression" dxfId="1917" priority="96">
      <formula>ABS(F$7-F$10)&gt;=1000</formula>
    </cfRule>
  </conditionalFormatting>
  <conditionalFormatting sqref="G4:G11">
    <cfRule type="expression" dxfId="1916" priority="95">
      <formula>ABS(G$7-G$10)&gt;=1000</formula>
    </cfRule>
  </conditionalFormatting>
  <conditionalFormatting sqref="H4:H11">
    <cfRule type="expression" dxfId="1915" priority="94">
      <formula>ABS(H$7-H$10)&gt;=1000</formula>
    </cfRule>
  </conditionalFormatting>
  <conditionalFormatting sqref="I4:I11">
    <cfRule type="expression" dxfId="1914" priority="93">
      <formula>ABS(I$7-I$10)&gt;=1000</formula>
    </cfRule>
  </conditionalFormatting>
  <conditionalFormatting sqref="J4:J11">
    <cfRule type="expression" dxfId="1913" priority="92">
      <formula>ABS(J$7-J$10)&gt;=1000</formula>
    </cfRule>
  </conditionalFormatting>
  <conditionalFormatting sqref="K4:K11">
    <cfRule type="expression" dxfId="1912" priority="91">
      <formula>ABS(K$7-K$10)&gt;=1000</formula>
    </cfRule>
  </conditionalFormatting>
  <conditionalFormatting sqref="L4:L11">
    <cfRule type="expression" dxfId="1911" priority="90">
      <formula>ABS(L$7-L$10)&gt;=1000</formula>
    </cfRule>
  </conditionalFormatting>
  <conditionalFormatting sqref="M4 M6:M11">
    <cfRule type="expression" dxfId="1910" priority="89">
      <formula>ABS(M$7-M$10)&gt;=1000</formula>
    </cfRule>
  </conditionalFormatting>
  <conditionalFormatting sqref="N4 N6:N11">
    <cfRule type="expression" dxfId="1909" priority="88">
      <formula>ABS(N$7-N$10)&gt;=1000</formula>
    </cfRule>
  </conditionalFormatting>
  <conditionalFormatting sqref="O4 O6:O11">
    <cfRule type="expression" dxfId="1908" priority="87">
      <formula>ABS(O$7-O$10)&gt;=1000</formula>
    </cfRule>
  </conditionalFormatting>
  <conditionalFormatting sqref="P4 P6:P11">
    <cfRule type="expression" dxfId="1907" priority="86">
      <formula>ABS(P$7-P$10)&gt;=1000</formula>
    </cfRule>
  </conditionalFormatting>
  <conditionalFormatting sqref="Q4:Q11">
    <cfRule type="expression" dxfId="1906" priority="85">
      <formula>ABS(Q$7-Q$10)&gt;=1000</formula>
    </cfRule>
  </conditionalFormatting>
  <conditionalFormatting sqref="R4:R11">
    <cfRule type="expression" dxfId="1905" priority="84">
      <formula>ABS(R$7-R$10)&gt;=1000</formula>
    </cfRule>
  </conditionalFormatting>
  <conditionalFormatting sqref="S4:S11">
    <cfRule type="expression" dxfId="1904" priority="83">
      <formula>ABS(S$7-S$10)&gt;=1000</formula>
    </cfRule>
  </conditionalFormatting>
  <conditionalFormatting sqref="T4:T9 T11">
    <cfRule type="expression" dxfId="1903" priority="82">
      <formula>ABS(T$7-T$10)&gt;=1000</formula>
    </cfRule>
  </conditionalFormatting>
  <conditionalFormatting sqref="U4:U9 U11">
    <cfRule type="expression" dxfId="1902" priority="81">
      <formula>ABS(U$7-U$10)&gt;=1000</formula>
    </cfRule>
  </conditionalFormatting>
  <conditionalFormatting sqref="V4:V9 V11">
    <cfRule type="expression" dxfId="1901" priority="80">
      <formula>ABS(V$7-V$10)&gt;=1000</formula>
    </cfRule>
  </conditionalFormatting>
  <conditionalFormatting sqref="W4:W9 W11">
    <cfRule type="expression" dxfId="1900" priority="79">
      <formula>ABS(W$7-W$10)&gt;=1000</formula>
    </cfRule>
  </conditionalFormatting>
  <conditionalFormatting sqref="X4:X9 X11">
    <cfRule type="expression" dxfId="1899" priority="78">
      <formula>ABS(X$7-X$10)&gt;=1000</formula>
    </cfRule>
  </conditionalFormatting>
  <conditionalFormatting sqref="Y4:Y9 Y11">
    <cfRule type="expression" dxfId="1898" priority="77">
      <formula>ABS(Y$7-Y$10)&gt;=1000</formula>
    </cfRule>
  </conditionalFormatting>
  <conditionalFormatting sqref="Z4:Z11">
    <cfRule type="expression" dxfId="1897" priority="76">
      <formula>ABS(Z$7-Z$10)&gt;=1000</formula>
    </cfRule>
  </conditionalFormatting>
  <conditionalFormatting sqref="AA4:AA11">
    <cfRule type="expression" dxfId="1896" priority="75">
      <formula>ABS(AA$7-AA$10)&gt;=1000</formula>
    </cfRule>
  </conditionalFormatting>
  <conditionalFormatting sqref="AB4:AB11">
    <cfRule type="expression" dxfId="1895" priority="74">
      <formula>ABS(AB$7-AB$10)&gt;=1000</formula>
    </cfRule>
  </conditionalFormatting>
  <conditionalFormatting sqref="AC4 AC6:AC11">
    <cfRule type="expression" dxfId="1894" priority="73">
      <formula>ABS(AC$7-AC$10)&gt;=1000</formula>
    </cfRule>
  </conditionalFormatting>
  <conditionalFormatting sqref="AD4:AD11">
    <cfRule type="expression" dxfId="1893" priority="72">
      <formula>ABS(AD$7-AD$10)&gt;=1000</formula>
    </cfRule>
  </conditionalFormatting>
  <conditionalFormatting sqref="AE4 AE6:AE11">
    <cfRule type="expression" dxfId="1892" priority="71">
      <formula>ABS(AE$7-AE$10)&gt;=1000</formula>
    </cfRule>
  </conditionalFormatting>
  <conditionalFormatting sqref="D13:D20">
    <cfRule type="expression" dxfId="1891" priority="70">
      <formula>ABS(D$16-D$19)&gt;=1000</formula>
    </cfRule>
  </conditionalFormatting>
  <conditionalFormatting sqref="E13:E20">
    <cfRule type="expression" dxfId="1890" priority="69">
      <formula>ABS(E$16-E$19)&gt;=1000</formula>
    </cfRule>
  </conditionalFormatting>
  <conditionalFormatting sqref="F13 F15:F20">
    <cfRule type="expression" dxfId="1889" priority="68">
      <formula>ABS(F$16-F$19)&gt;=1000</formula>
    </cfRule>
  </conditionalFormatting>
  <conditionalFormatting sqref="G13:G20">
    <cfRule type="expression" dxfId="1888" priority="67">
      <formula>ABS(G$16-G$19)&gt;=1000</formula>
    </cfRule>
  </conditionalFormatting>
  <conditionalFormatting sqref="H13:H20">
    <cfRule type="expression" dxfId="1887" priority="66">
      <formula>ABS(H$16-H$19)&gt;=1000</formula>
    </cfRule>
  </conditionalFormatting>
  <conditionalFormatting sqref="I13:I20">
    <cfRule type="expression" dxfId="1886" priority="65">
      <formula>ABS(I$16-I$19)&gt;=1000</formula>
    </cfRule>
  </conditionalFormatting>
  <conditionalFormatting sqref="J13:J20">
    <cfRule type="expression" dxfId="1885" priority="64">
      <formula>ABS(J$16-J$19)&gt;=1000</formula>
    </cfRule>
  </conditionalFormatting>
  <conditionalFormatting sqref="L13:L20">
    <cfRule type="expression" dxfId="1884" priority="63">
      <formula>ABS(L$16-L$19)&gt;=1000</formula>
    </cfRule>
  </conditionalFormatting>
  <conditionalFormatting sqref="M13 M15 M17:M18 M20">
    <cfRule type="expression" dxfId="1883" priority="62">
      <formula>ABS(M$16-M$19)&gt;=1000</formula>
    </cfRule>
  </conditionalFormatting>
  <conditionalFormatting sqref="N13:N20">
    <cfRule type="expression" dxfId="1882" priority="61">
      <formula>ABS(N$16-N$19)&gt;=1000</formula>
    </cfRule>
  </conditionalFormatting>
  <conditionalFormatting sqref="O13:O20">
    <cfRule type="expression" dxfId="1881" priority="60">
      <formula>ABS(O$16-O$19)&gt;=1000</formula>
    </cfRule>
  </conditionalFormatting>
  <conditionalFormatting sqref="P13:P20">
    <cfRule type="expression" dxfId="1880" priority="59">
      <formula>ABS(P$16-P$19)&gt;=1000</formula>
    </cfRule>
  </conditionalFormatting>
  <conditionalFormatting sqref="Q13 Q15:Q20">
    <cfRule type="expression" dxfId="1879" priority="58">
      <formula>ABS(Q$16-Q$19)&gt;=1000</formula>
    </cfRule>
  </conditionalFormatting>
  <conditionalFormatting sqref="R13:R20">
    <cfRule type="expression" dxfId="1878" priority="57">
      <formula>ABS(R$16-R$19)&gt;=1000</formula>
    </cfRule>
  </conditionalFormatting>
  <conditionalFormatting sqref="S13:S20">
    <cfRule type="expression" dxfId="1877" priority="56">
      <formula>ABS(S$16-S$19)&gt;=1000</formula>
    </cfRule>
  </conditionalFormatting>
  <conditionalFormatting sqref="T13:T20">
    <cfRule type="expression" dxfId="1876" priority="55">
      <formula>ABS(T$16-T$19)&gt;=1000</formula>
    </cfRule>
  </conditionalFormatting>
  <conditionalFormatting sqref="U13:U20">
    <cfRule type="expression" dxfId="1875" priority="54">
      <formula>ABS(U$16-U$19)&gt;=1000</formula>
    </cfRule>
  </conditionalFormatting>
  <conditionalFormatting sqref="V13:V20">
    <cfRule type="expression" dxfId="1874" priority="53">
      <formula>ABS(V$16-V$19)&gt;=1000</formula>
    </cfRule>
  </conditionalFormatting>
  <conditionalFormatting sqref="W13 W20 W15:W18">
    <cfRule type="expression" dxfId="1873" priority="52">
      <formula>ABS(W$16-W$19)&gt;=1000</formula>
    </cfRule>
  </conditionalFormatting>
  <conditionalFormatting sqref="X13 X15:X20 Y19">
    <cfRule type="expression" dxfId="1872" priority="51">
      <formula>ABS(X$16-X$19)&gt;=1000</formula>
    </cfRule>
  </conditionalFormatting>
  <conditionalFormatting sqref="Y13 Y15:Y18 Y20">
    <cfRule type="expression" dxfId="1871" priority="50">
      <formula>ABS(Y$16-Y$19)&gt;=1000</formula>
    </cfRule>
  </conditionalFormatting>
  <conditionalFormatting sqref="Z13:Z20">
    <cfRule type="expression" dxfId="1870" priority="49">
      <formula>ABS(Z$16-Z$19)&gt;=1000</formula>
    </cfRule>
  </conditionalFormatting>
  <conditionalFormatting sqref="AA13:AA20">
    <cfRule type="expression" dxfId="1869" priority="48">
      <formula>ABS(AA$16-AA$19)&gt;=1000</formula>
    </cfRule>
  </conditionalFormatting>
  <conditionalFormatting sqref="AB13 AB15:AB20">
    <cfRule type="expression" dxfId="1868" priority="47">
      <formula>ABS(AB$16-AB$19)&gt;=1000</formula>
    </cfRule>
  </conditionalFormatting>
  <conditionalFormatting sqref="AC13 AC15:AC20">
    <cfRule type="expression" dxfId="1867" priority="46">
      <formula>ABS(AC$16-AC$19)&gt;=1000</formula>
    </cfRule>
  </conditionalFormatting>
  <conditionalFormatting sqref="AD13:AD20">
    <cfRule type="expression" dxfId="1866" priority="45">
      <formula>ABS(AD$16-AD$19)&gt;=1000</formula>
    </cfRule>
  </conditionalFormatting>
  <conditionalFormatting sqref="AE13:AE20">
    <cfRule type="expression" dxfId="1865" priority="44">
      <formula>ABS(AE$16-AE$19)&gt;=1000</formula>
    </cfRule>
  </conditionalFormatting>
  <conditionalFormatting sqref="D22:D29">
    <cfRule type="expression" dxfId="1864" priority="43">
      <formula>ABS(D$25-D$28)&gt;=1000</formula>
    </cfRule>
  </conditionalFormatting>
  <conditionalFormatting sqref="E22:E29">
    <cfRule type="expression" dxfId="1863" priority="42">
      <formula>ABS(E$25-E$28)&gt;=1000</formula>
    </cfRule>
  </conditionalFormatting>
  <conditionalFormatting sqref="F22:F29">
    <cfRule type="expression" dxfId="1862" priority="41">
      <formula>ABS(F$25-F$28)&gt;=1000</formula>
    </cfRule>
  </conditionalFormatting>
  <conditionalFormatting sqref="G22:G29">
    <cfRule type="expression" dxfId="1861" priority="40">
      <formula>ABS(G$25-G$28)&gt;=1000</formula>
    </cfRule>
  </conditionalFormatting>
  <conditionalFormatting sqref="H22:H29">
    <cfRule type="expression" dxfId="1860" priority="39">
      <formula>ABS(H$25-H$28)&gt;=1000</formula>
    </cfRule>
  </conditionalFormatting>
  <conditionalFormatting sqref="I22 I24:I29">
    <cfRule type="expression" dxfId="1859" priority="38">
      <formula>ABS(I$25-I$28)&gt;=1000</formula>
    </cfRule>
  </conditionalFormatting>
  <conditionalFormatting sqref="J22:J29 K22">
    <cfRule type="expression" dxfId="1858" priority="37">
      <formula>ABS(J$25-J$28)&gt;=1000</formula>
    </cfRule>
  </conditionalFormatting>
  <conditionalFormatting sqref="K23:K29 L25 L28">
    <cfRule type="expression" dxfId="1857" priority="36">
      <formula>ABS(K$25-K$28)&gt;=1000</formula>
    </cfRule>
  </conditionalFormatting>
  <conditionalFormatting sqref="L22 L26:L27 L29 L24">
    <cfRule type="expression" dxfId="1856" priority="35">
      <formula>ABS(L$25-L$28)&gt;=1000</formula>
    </cfRule>
  </conditionalFormatting>
  <conditionalFormatting sqref="M22:M29">
    <cfRule type="expression" dxfId="1855" priority="34">
      <formula>ABS(M$25-M$28)&gt;=1000</formula>
    </cfRule>
  </conditionalFormatting>
  <conditionalFormatting sqref="N22:N29">
    <cfRule type="expression" dxfId="1854" priority="33">
      <formula>ABS(N$25-N$28)&gt;=1000</formula>
    </cfRule>
  </conditionalFormatting>
  <conditionalFormatting sqref="O22:O29">
    <cfRule type="expression" dxfId="1853" priority="32">
      <formula>ABS(O$25-O$28)&gt;=1000</formula>
    </cfRule>
  </conditionalFormatting>
  <conditionalFormatting sqref="P22:P29">
    <cfRule type="expression" dxfId="1852" priority="31">
      <formula>ABS(P$25-P$28)&gt;=1000</formula>
    </cfRule>
  </conditionalFormatting>
  <conditionalFormatting sqref="Q22:Q29">
    <cfRule type="expression" dxfId="1851" priority="30">
      <formula>ABS(Q$25-Q$28)&gt;=1000</formula>
    </cfRule>
  </conditionalFormatting>
  <conditionalFormatting sqref="R22:R29">
    <cfRule type="expression" dxfId="1850" priority="29">
      <formula>ABS(R$25-R$28)&gt;=1000</formula>
    </cfRule>
  </conditionalFormatting>
  <conditionalFormatting sqref="S22:S29">
    <cfRule type="expression" dxfId="1849" priority="28">
      <formula>ABS(S$25-S$28)&gt;=1000</formula>
    </cfRule>
  </conditionalFormatting>
  <conditionalFormatting sqref="T22:T29">
    <cfRule type="expression" dxfId="1848" priority="27">
      <formula>ABS(T$25-T$28)&gt;=1000</formula>
    </cfRule>
  </conditionalFormatting>
  <conditionalFormatting sqref="U22:U29">
    <cfRule type="expression" dxfId="1847" priority="26">
      <formula>ABS(U$25-U$28)&gt;=1000</formula>
    </cfRule>
  </conditionalFormatting>
  <conditionalFormatting sqref="V22:V29">
    <cfRule type="expression" dxfId="1846" priority="25">
      <formula>ABS(V$25-V$28)&gt;=1000</formula>
    </cfRule>
  </conditionalFormatting>
  <conditionalFormatting sqref="W22:W29">
    <cfRule type="expression" dxfId="1845" priority="24">
      <formula>ABS(W$25-W$28)&gt;=1000</formula>
    </cfRule>
  </conditionalFormatting>
  <conditionalFormatting sqref="X22:X29">
    <cfRule type="expression" dxfId="1844" priority="23">
      <formula>ABS(X$25-X$28)&gt;=1000</formula>
    </cfRule>
  </conditionalFormatting>
  <conditionalFormatting sqref="Y22:Y29">
    <cfRule type="expression" dxfId="1843" priority="22">
      <formula>ABS(Y$25-Y$28)&gt;=1000</formula>
    </cfRule>
  </conditionalFormatting>
  <conditionalFormatting sqref="I23">
    <cfRule type="expression" dxfId="1842" priority="21">
      <formula>ABS(I$25-I$28)&gt;=1000</formula>
    </cfRule>
  </conditionalFormatting>
  <conditionalFormatting sqref="Q14">
    <cfRule type="expression" dxfId="1841" priority="20">
      <formula>ABS(Q$16-Q$19)&gt;=1000</formula>
    </cfRule>
  </conditionalFormatting>
  <conditionalFormatting sqref="W14">
    <cfRule type="expression" dxfId="1840" priority="19">
      <formula>ABS(W$16-W$19)&gt;=1000</formula>
    </cfRule>
  </conditionalFormatting>
  <conditionalFormatting sqref="Y14">
    <cfRule type="expression" dxfId="1839" priority="18">
      <formula>ABS(Y$16-Y$19)&gt;=1000</formula>
    </cfRule>
  </conditionalFormatting>
  <conditionalFormatting sqref="X14">
    <cfRule type="expression" dxfId="1838" priority="17">
      <formula>ABS(X$16-X$19)&gt;=1000</formula>
    </cfRule>
  </conditionalFormatting>
  <conditionalFormatting sqref="T10:Y10">
    <cfRule type="expression" dxfId="1837" priority="16">
      <formula>ABS(T$7-T$10)&gt;=1000</formula>
    </cfRule>
  </conditionalFormatting>
  <conditionalFormatting sqref="W19">
    <cfRule type="expression" dxfId="1836" priority="15">
      <formula>ABS(W$16-W$19)&gt;=1000</formula>
    </cfRule>
  </conditionalFormatting>
  <conditionalFormatting sqref="AC5">
    <cfRule type="expression" dxfId="1835" priority="14">
      <formula>ABS(AC$7-AC$10)&gt;=1000</formula>
    </cfRule>
  </conditionalFormatting>
  <conditionalFormatting sqref="M14">
    <cfRule type="expression" dxfId="1834" priority="13">
      <formula>ABS(M$16-M$19)&gt;=1000</formula>
    </cfRule>
  </conditionalFormatting>
  <conditionalFormatting sqref="M16">
    <cfRule type="expression" dxfId="1833" priority="12">
      <formula>ABS(M$16-M$19)&gt;=1000</formula>
    </cfRule>
  </conditionalFormatting>
  <conditionalFormatting sqref="M19">
    <cfRule type="expression" dxfId="1832" priority="11">
      <formula>ABS(M$16-M$19)&gt;=1000</formula>
    </cfRule>
  </conditionalFormatting>
  <conditionalFormatting sqref="K13:K20">
    <cfRule type="expression" dxfId="1831" priority="10">
      <formula>ABS(K$16-K$19)&gt;=1000</formula>
    </cfRule>
  </conditionalFormatting>
  <conditionalFormatting sqref="E5">
    <cfRule type="expression" dxfId="1830" priority="9">
      <formula>ABS(E$7-E$10)&gt;=1000</formula>
    </cfRule>
  </conditionalFormatting>
  <conditionalFormatting sqref="AB14:AC14">
    <cfRule type="expression" dxfId="1829" priority="8">
      <formula>ABS(AB$16-AB$19)&gt;=1000</formula>
    </cfRule>
  </conditionalFormatting>
  <conditionalFormatting sqref="M5">
    <cfRule type="expression" dxfId="1828" priority="7">
      <formula>ABS(M$7-M$10)&gt;=1000</formula>
    </cfRule>
  </conditionalFormatting>
  <conditionalFormatting sqref="N5">
    <cfRule type="expression" dxfId="1827" priority="6">
      <formula>ABS(N$7-N$10)&gt;=1000</formula>
    </cfRule>
  </conditionalFormatting>
  <conditionalFormatting sqref="O5">
    <cfRule type="expression" dxfId="1826" priority="5">
      <formula>ABS(O$7-O$10)&gt;=1000</formula>
    </cfRule>
  </conditionalFormatting>
  <conditionalFormatting sqref="P5">
    <cfRule type="expression" dxfId="1825" priority="4">
      <formula>ABS(P$7-P$10)&gt;=1000</formula>
    </cfRule>
  </conditionalFormatting>
  <conditionalFormatting sqref="L23">
    <cfRule type="expression" dxfId="1824" priority="3">
      <formula>ABS(L$25-L$28)&gt;=1000</formula>
    </cfRule>
  </conditionalFormatting>
  <conditionalFormatting sqref="F14">
    <cfRule type="expression" dxfId="1823" priority="2">
      <formula>ABS(F$16-F$19)&gt;=1000</formula>
    </cfRule>
  </conditionalFormatting>
  <conditionalFormatting sqref="AE5">
    <cfRule type="expression" dxfId="1822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81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20">
    <pageSetUpPr fitToPage="1"/>
  </sheetPr>
  <dimension ref="A1:CU223"/>
  <sheetViews>
    <sheetView view="pageBreakPreview" zoomScale="80" zoomScaleNormal="100" zoomScaleSheetLayoutView="80" workbookViewId="0">
      <selection activeCell="T23" sqref="T23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45910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47" t="s" ph="1">
        <v>177</v>
      </c>
      <c r="D6" s="71">
        <v>6429</v>
      </c>
      <c r="E6" s="71">
        <v>9064</v>
      </c>
      <c r="F6" s="71">
        <v>6844</v>
      </c>
      <c r="G6" s="71">
        <v>8017</v>
      </c>
      <c r="H6" s="71">
        <v>8936</v>
      </c>
      <c r="I6" s="71">
        <v>18.09</v>
      </c>
      <c r="J6" s="71">
        <v>7.01</v>
      </c>
      <c r="K6" s="71">
        <v>7.08</v>
      </c>
      <c r="L6" s="71">
        <v>29.49</v>
      </c>
      <c r="M6" s="71">
        <v>2804</v>
      </c>
      <c r="N6" s="71">
        <v>5698</v>
      </c>
      <c r="O6" s="71">
        <v>195</v>
      </c>
      <c r="P6" s="71">
        <v>8628</v>
      </c>
      <c r="Q6" s="71">
        <v>0</v>
      </c>
      <c r="R6" s="71">
        <v>0</v>
      </c>
      <c r="S6" s="71">
        <v>0</v>
      </c>
      <c r="T6" s="71">
        <v>0</v>
      </c>
      <c r="U6" s="71">
        <v>3519</v>
      </c>
      <c r="V6" s="71">
        <v>7003</v>
      </c>
      <c r="W6" s="71">
        <v>7049</v>
      </c>
      <c r="X6" s="71">
        <v>7082</v>
      </c>
      <c r="Y6" s="71">
        <v>1597</v>
      </c>
      <c r="Z6" s="71">
        <v>930</v>
      </c>
      <c r="AA6" s="71">
        <v>1041</v>
      </c>
      <c r="AB6" s="71">
        <v>2980</v>
      </c>
      <c r="AC6" s="71">
        <v>2359</v>
      </c>
      <c r="AD6" s="71">
        <v>4020</v>
      </c>
      <c r="AE6" s="71">
        <v>3730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201243.89715831002</v>
      </c>
      <c r="E7" s="73" ph="1">
        <f>E6*51.53*LOOKUP(E8,密度!$A$2:$A$50,密度!$B$2:$B$50)</f>
        <v>362117.75837599998</v>
      </c>
      <c r="F7" s="73" ph="1">
        <f>F6*33.183*LOOKUP(F8,密度!$A$2:$A$50,密度!$C$2:$C$50)</f>
        <v>251654.44326120001</v>
      </c>
      <c r="G7" s="73" ph="1">
        <f xml:space="preserve"> (G6+2)*51.53*LOOKUP(G8,密度!$A$2:$A$50,密度!$B$2:$B$50)</f>
        <v>320740.64213400002</v>
      </c>
      <c r="H7" s="73" ph="1">
        <f>(H6)*51.53*LOOKUP(H8,密度!$A$2:$A$50,密度!$B$2:$B$50)</f>
        <v>357418.42849600001</v>
      </c>
      <c r="I7" s="73" ph="1">
        <f>I6*290.8*1.0267</f>
        <v>5401.0292724000001</v>
      </c>
      <c r="J7" s="73" ph="1">
        <f>J6*290.8*0.7892</f>
        <v>1608.7905136000002</v>
      </c>
      <c r="K7" s="73" ph="1">
        <f>K6*290.8*1.1126</f>
        <v>2290.6920863999999</v>
      </c>
      <c r="L7" s="73" ph="1">
        <f>L6*290.8*0.777</f>
        <v>6663.3126839999995</v>
      </c>
      <c r="M7" s="73" ph="1">
        <f>M6*33.183*LOOKUP(M8,密度!$A$2:$A$50,密度!$D$2:$D$50)</f>
        <v>95175.865522799984</v>
      </c>
      <c r="N7" s="73" ph="1">
        <f>N6*33.183*LOOKUP(N8,密度!$A$2:$A$50,密度!$E$2:$E$50)</f>
        <v>147026.06835839999</v>
      </c>
      <c r="O7" s="73" ph="1">
        <f>O6*20.428*LOOKUP(O8,密度!$A$2:$A$50,密度!$C$2:$C$50)</f>
        <v>4402.1216459999996</v>
      </c>
      <c r="P7" s="73" ph="1">
        <f>P6*51.53*LOOKUP(P8,密度!$A$2:$A$50,密度!$B$2:$B$50)</f>
        <v>345454.85268000001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23257.567179000001</v>
      </c>
      <c r="V7" s="73" ph="1">
        <f>V6*1.5*1.5*3.1416*LOOKUP(V8,密度!$A$2:$A$50,密度!$L$2:$L$50)</f>
        <v>46234.313017200002</v>
      </c>
      <c r="W7" s="73" ph="1">
        <f>W6*1.5*1.5*3.1416*LOOKUP(W8,密度!$A$2:$A$50,密度!$L$2:$L$50)</f>
        <v>46538.0083476</v>
      </c>
      <c r="X7" s="73" ph="1">
        <f>X6*1.5*1.5*3.1416*LOOKUP(X8,密度!$A$2:$A$50,密度!$L$2:$L$50)</f>
        <v>47156.355338399997</v>
      </c>
      <c r="Y7" s="73" ph="1">
        <f>Y6*1.5*1.5*3.1416*LOOKUP(Y8,密度!$A$2:$A$50,密度!$L$2:$L$50)</f>
        <v>10554.798177000001</v>
      </c>
      <c r="Z7" s="73" ph="1">
        <f>Z6*33.183*LOOKUP(Z8,密度!$A$2:$A$50,密度!$L$2:$L$50)</f>
        <v>28915.998029999999</v>
      </c>
      <c r="AA7" s="73" ph="1">
        <f>AA6*33.183*LOOKUP(AA8,密度!$A$2:$A$50,密度!$D$2:$D$50)</f>
        <v>35369.092721699999</v>
      </c>
      <c r="AB7" s="73" ph="1">
        <f>AB6*20.428*LOOKUP(AB8,密度!$A$2:$A$50,密度!$D$2:$D$50)</f>
        <v>62555.602144000004</v>
      </c>
      <c r="AC7" s="73" ph="1">
        <f>AC6*51.53*LOOKUP(AC8,密度!$A$2:$A$50,密度!$Q$2:$Q$50)</f>
        <v>114998.71619810001</v>
      </c>
      <c r="AD7" s="73" ph="1">
        <f>AD6*20.428*LOOKUP(AD8,密度!$A$2:$A$50,密度!$V$2:$V$50)</f>
        <v>78638.648256</v>
      </c>
      <c r="AE7" s="73" ph="1">
        <f>AE6*20.428</f>
        <v>76196.44</v>
      </c>
    </row>
    <row r="8" spans="1:99" ph="1">
      <c r="B8" s="182" ph="1"/>
      <c r="C8" s="68" t="s" ph="1">
        <v>179</v>
      </c>
      <c r="D8" s="74">
        <v>30</v>
      </c>
      <c r="E8" s="74">
        <v>30</v>
      </c>
      <c r="F8" s="74">
        <v>26</v>
      </c>
      <c r="G8" s="74">
        <v>29</v>
      </c>
      <c r="H8" s="74">
        <v>29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30</v>
      </c>
      <c r="P8" s="74">
        <v>28</v>
      </c>
      <c r="Q8" s="74">
        <v>27</v>
      </c>
      <c r="R8" s="74">
        <v>32</v>
      </c>
      <c r="S8" s="74">
        <v>23</v>
      </c>
      <c r="T8" s="74">
        <v>24</v>
      </c>
      <c r="U8" s="74">
        <v>27</v>
      </c>
      <c r="V8" s="74">
        <v>28</v>
      </c>
      <c r="W8" s="74">
        <v>28</v>
      </c>
      <c r="X8" s="74">
        <v>20</v>
      </c>
      <c r="Y8" s="74">
        <v>27</v>
      </c>
      <c r="Z8" s="74">
        <v>25</v>
      </c>
      <c r="AA8" s="74">
        <v>28</v>
      </c>
      <c r="AB8" s="74">
        <v>24</v>
      </c>
      <c r="AC8" s="74">
        <v>26</v>
      </c>
      <c r="AD8" s="74">
        <v>27</v>
      </c>
      <c r="AE8" s="74">
        <v>32</v>
      </c>
    </row>
    <row r="9" spans="1:99" ht="26.4" ph="1">
      <c r="B9" s="182" ph="1">
        <v>0.66666666666666663</v>
      </c>
      <c r="C9" s="147" t="s" ph="1">
        <v>180</v>
      </c>
      <c r="D9" s="71">
        <v>6429</v>
      </c>
      <c r="E9" s="71">
        <v>9064</v>
      </c>
      <c r="F9" s="71">
        <v>6849</v>
      </c>
      <c r="G9" s="71">
        <v>9009</v>
      </c>
      <c r="H9" s="71">
        <v>8941</v>
      </c>
      <c r="I9" s="71">
        <v>18.03</v>
      </c>
      <c r="J9" s="71">
        <v>7.03</v>
      </c>
      <c r="K9" s="71">
        <v>7.17</v>
      </c>
      <c r="L9" s="71">
        <v>9.65</v>
      </c>
      <c r="M9" s="71">
        <v>2803</v>
      </c>
      <c r="N9" s="71">
        <v>5666</v>
      </c>
      <c r="O9" s="71">
        <v>193</v>
      </c>
      <c r="P9" s="71">
        <v>8792</v>
      </c>
      <c r="Q9" s="71">
        <v>0</v>
      </c>
      <c r="R9" s="71">
        <v>1903</v>
      </c>
      <c r="S9" s="71">
        <v>0</v>
      </c>
      <c r="T9" s="71">
        <v>0</v>
      </c>
      <c r="U9" s="71">
        <v>1435</v>
      </c>
      <c r="V9" s="71">
        <v>7011</v>
      </c>
      <c r="W9" s="71">
        <v>7057</v>
      </c>
      <c r="X9" s="71">
        <v>7090</v>
      </c>
      <c r="Y9" s="71">
        <v>4082</v>
      </c>
      <c r="Z9" s="71">
        <v>1165</v>
      </c>
      <c r="AA9" s="71">
        <v>1041</v>
      </c>
      <c r="AB9" s="71">
        <v>2643</v>
      </c>
      <c r="AC9" s="71">
        <v>2356</v>
      </c>
      <c r="AD9" s="71">
        <v>4020</v>
      </c>
      <c r="AE9" s="71">
        <v>3565</v>
      </c>
    </row>
    <row r="10" spans="1:99" s="72" customFormat="1" ht="22.2" ph="1">
      <c r="B10" s="182" ph="1"/>
      <c r="C10" s="147" t="s" ph="1">
        <v>178</v>
      </c>
      <c r="D10" s="73" ph="1">
        <f>D9*33.183*LOOKUP(D11,密度!$A$2:$A$50,密度!$Q$2:$Q$50)</f>
        <v>201083.89702806002</v>
      </c>
      <c r="E10" s="73" ph="1">
        <f>E9*51.53*LOOKUP(E11,密度!$A$2:$A$50,密度!$B$2:$B$50)</f>
        <v>360483.02065600001</v>
      </c>
      <c r="F10" s="73" ph="1">
        <f>F9*33.183*LOOKUP(F11,密度!$A$2:$A$50,密度!$C$2:$C$50)</f>
        <v>251338.29886530002</v>
      </c>
      <c r="G10" s="73" ph="1">
        <f xml:space="preserve"> (G9+2)*51.53*LOOKUP(G11,密度!$A$2:$A$50,密度!$B$2:$B$50)</f>
        <v>357957.26224700001</v>
      </c>
      <c r="H10" s="73" ph="1">
        <f>(H9)*51.53*LOOKUP(H11,密度!$A$2:$A$50,密度!$B$2:$B$50)</f>
        <v>355176.54885700002</v>
      </c>
      <c r="I10" s="73" ph="1">
        <f>I9*290.8*1.0267</f>
        <v>5383.1154108000001</v>
      </c>
      <c r="J10" s="73" ph="1">
        <f>J9*290.8*0.7892</f>
        <v>1613.3805008000002</v>
      </c>
      <c r="K10" s="73" ph="1">
        <f>K9*290.8*1.1126</f>
        <v>2319.8110535999999</v>
      </c>
      <c r="L10" s="73" ph="1">
        <f>L9*290.8*0.777</f>
        <v>2180.4329400000001</v>
      </c>
      <c r="M10" s="73" ph="1">
        <f>M9*33.183*LOOKUP(M11,密度!$A$2:$A$50,密度!$D$2:$D$50)</f>
        <v>94890.790369799986</v>
      </c>
      <c r="N10" s="73" ph="1">
        <f>N9*33.183*LOOKUP(N11,密度!$A$2:$A$50,密度!$E$2:$E$50)</f>
        <v>145771.69521096</v>
      </c>
      <c r="O10" s="73" ph="1">
        <f>O9*20.428*LOOKUP(O11,密度!$A$2:$A$50,密度!$C$2:$C$50)</f>
        <v>4311.6317343999999</v>
      </c>
      <c r="P10" s="73" ph="1">
        <f>P9*51.53*LOOKUP(P11,密度!$A$2:$A$50,密度!$B$2:$B$50)</f>
        <v>350435.53635999997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12442.679865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9443.543571000002</v>
      </c>
      <c r="V10" s="73" ph="1">
        <f>V9*1.5*1.5*3.1416*LOOKUP(V11,密度!$A$2:$A$50,密度!$L$2:$L$50)</f>
        <v>46287.129596400002</v>
      </c>
      <c r="W10" s="73" ph="1">
        <f>W9*1.5*1.5*3.1416*LOOKUP(W11,密度!$A$2:$A$50,密度!$L$2:$L$50)</f>
        <v>46491.058706400006</v>
      </c>
      <c r="X10" s="73" ph="1">
        <f>X9*1.5*1.5*3.1416*LOOKUP(X11,密度!$A$2:$A$50,密度!$L$2:$L$50)</f>
        <v>46959.042437999997</v>
      </c>
      <c r="Y10" s="73" ph="1">
        <f>Y9*1.5*1.5*3.1416*LOOKUP(Y11,密度!$A$2:$A$50,密度!$L$2:$L$50)</f>
        <v>26978.513562</v>
      </c>
      <c r="Z10" s="73" ph="1">
        <f>Z9*33.183*LOOKUP(Z11,密度!$A$2:$A$50,密度!$L$2:$L$50)</f>
        <v>36106.754130000001</v>
      </c>
      <c r="AA10" s="73" ph="1">
        <f>AA9*33.183*LOOKUP(AA11,密度!$A$2:$A$50,密度!$D$2:$D$50)</f>
        <v>35213.646958199999</v>
      </c>
      <c r="AB10" s="73" ph="1">
        <f>AB9*20.428*LOOKUP(AB11,密度!$A$2:$A$50,密度!$D$2:$D$50)</f>
        <v>55281.593775600006</v>
      </c>
      <c r="AC10" s="73" ph="1">
        <f>AC9*51.53*LOOKUP(AC11,密度!$A$2:$A$50,密度!$Q$2:$Q$50)</f>
        <v>114433.6232744</v>
      </c>
      <c r="AD10" s="73" ph="1">
        <f>AD9*20.428*LOOKUP(AD11,密度!$A$2:$A$50,密度!$V$2:$V$50)</f>
        <v>78638.648256</v>
      </c>
      <c r="AE10" s="73" ph="1">
        <f>AE9*20.428</f>
        <v>72825.820000000007</v>
      </c>
    </row>
    <row r="11" spans="1:99" ph="1">
      <c r="A11" s="64" t="s" ph="1">
        <v>162</v>
      </c>
      <c r="B11" s="182" ph="1"/>
      <c r="C11" s="147" t="s" ph="1">
        <v>179</v>
      </c>
      <c r="D11" s="74">
        <v>31</v>
      </c>
      <c r="E11" s="74">
        <v>34</v>
      </c>
      <c r="F11" s="74">
        <v>29</v>
      </c>
      <c r="G11" s="74">
        <v>35</v>
      </c>
      <c r="H11" s="74">
        <v>35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32</v>
      </c>
      <c r="O11" s="74">
        <v>41</v>
      </c>
      <c r="P11" s="74">
        <v>32</v>
      </c>
      <c r="Q11" s="74">
        <v>39</v>
      </c>
      <c r="R11" s="74">
        <v>37</v>
      </c>
      <c r="S11" s="74">
        <v>28</v>
      </c>
      <c r="T11" s="74">
        <v>39</v>
      </c>
      <c r="U11" s="74">
        <v>31</v>
      </c>
      <c r="V11" s="74">
        <v>28</v>
      </c>
      <c r="W11" s="74">
        <v>30</v>
      </c>
      <c r="X11" s="74">
        <v>25</v>
      </c>
      <c r="Y11" s="74">
        <v>27</v>
      </c>
      <c r="Z11" s="74">
        <v>28</v>
      </c>
      <c r="AA11" s="74">
        <v>33</v>
      </c>
      <c r="AB11" s="74">
        <v>28</v>
      </c>
      <c r="AC11" s="74">
        <v>31</v>
      </c>
      <c r="AD11" s="74">
        <v>35</v>
      </c>
      <c r="AE11" s="74">
        <v>35</v>
      </c>
    </row>
    <row r="12" spans="1:99" ht="9.9" customHeight="1" ph="1"/>
    <row r="13" spans="1:99" s="72" customFormat="1" ht="29.25" customHeight="1" ph="1">
      <c r="B13" s="190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77" t="s" ph="1">
        <v>636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47" t="s" ph="1">
        <v>177</v>
      </c>
      <c r="D15" s="78">
        <v>0</v>
      </c>
      <c r="E15" s="78">
        <v>5161</v>
      </c>
      <c r="F15" s="78">
        <v>3036</v>
      </c>
      <c r="G15" s="78">
        <v>1182</v>
      </c>
      <c r="H15" s="78">
        <v>2153</v>
      </c>
      <c r="I15" s="78">
        <v>3933</v>
      </c>
      <c r="J15" s="78">
        <v>285</v>
      </c>
      <c r="K15" s="78">
        <v>3108</v>
      </c>
      <c r="L15" s="78">
        <v>5347</v>
      </c>
      <c r="M15" s="78">
        <v>6757</v>
      </c>
      <c r="N15" s="78">
        <v>3171</v>
      </c>
      <c r="O15" s="78">
        <v>6866</v>
      </c>
      <c r="P15" s="78">
        <v>1837</v>
      </c>
      <c r="Q15" s="78">
        <v>3490</v>
      </c>
      <c r="R15" s="78">
        <v>4858</v>
      </c>
      <c r="S15" s="78">
        <v>1653</v>
      </c>
      <c r="T15" s="78">
        <v>2554</v>
      </c>
      <c r="U15" s="78">
        <v>6184</v>
      </c>
      <c r="V15" s="78">
        <v>850</v>
      </c>
      <c r="W15" s="71">
        <v>4916</v>
      </c>
      <c r="X15" s="78">
        <v>1285</v>
      </c>
      <c r="Y15" s="106">
        <v>-9906</v>
      </c>
      <c r="Z15" s="78">
        <v>0</v>
      </c>
      <c r="AA15" s="78">
        <v>6949</v>
      </c>
      <c r="AB15" s="78" ph="1">
        <v>1098</v>
      </c>
      <c r="AC15" s="78" ph="1">
        <v>2020</v>
      </c>
      <c r="AD15" s="78">
        <v>0</v>
      </c>
      <c r="AE15" s="78">
        <v>38.590000000000003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47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33963.852522600006</v>
      </c>
      <c r="F16" s="73" ph="1">
        <f>F15*9.0746*LOOKUP(F17,密度!$A$2:$A$50,密度!$L$2:$L$50)</f>
        <v>25677.052579200001</v>
      </c>
      <c r="G16" s="73" ph="1">
        <f>G15*9.0746*LOOKUP(G17,密度!$A$2:$A$50,密度!$B$2:$B$50)</f>
        <v>8343.8932438800002</v>
      </c>
      <c r="H16" s="73" ph="1">
        <f>H15*9.0746*LOOKUP(H17,密度!$A$2:$A$50,密度!$L$2:$L$50)</f>
        <v>18209.0560616</v>
      </c>
      <c r="I16" s="73" ph="1">
        <f>I15*9.0746*LOOKUP(I17,密度!$A$2:$A$50,密度!$U$2:$U$50)</f>
        <v>36475.590639599999</v>
      </c>
      <c r="J16" s="73" ph="1">
        <f>J15*9.0746*LOOKUP(J17,密度!$A$2:$A$50,密度!$L$2:$L$50)</f>
        <v>2415.5677740000001</v>
      </c>
      <c r="K16" s="73" ph="1">
        <f>K15*9.0746*LOOKUP(K17,密度!$A$2:$A$50,密度!$C$2:$C$50)</f>
        <v>31190.645235120006</v>
      </c>
      <c r="L16" s="73" ph="1">
        <f>L15*9.0746*LOOKUP(L17,密度!$A$2:$A$50,密度!$E$2:$E$50)</f>
        <v>37783.992783939997</v>
      </c>
      <c r="M16" s="73" ph="1">
        <f>M15*9.0746*LOOKUP(M17,密度!$A$2:$A$50,密度!$M$2:$M$50)</f>
        <v>53407.169886200005</v>
      </c>
      <c r="N16" s="73" ph="1">
        <f>N15*9.0746*LOOKUP(N17,密度!$A$2:$A$50,密度!$M$2:$M$50)</f>
        <v>25123.938467460001</v>
      </c>
      <c r="O16" s="73" ph="1">
        <f>O15*9.0746*LOOKUP(O17,密度!$A$2:$A$50,密度!$G$2:$G$50)</f>
        <v>59558.500021239997</v>
      </c>
      <c r="P16" s="73" ph="1">
        <f ca="1">P15*9.0746*LOOKUP(P17,密度!$A$2:$A$51,密度!$Q$2:$Q$50)</f>
        <v>15725.349021865999</v>
      </c>
      <c r="Q16" s="73" ph="1">
        <f>Q15*9.0746*LOOKUP(Q17,密度!$A$2:$A$50,密度!$Q$2:$Q$50)</f>
        <v>29851.842273319999</v>
      </c>
      <c r="R16" s="73" ph="1">
        <f>MAX(R15*9.0746*LOOKUP(R17,密度!$A$2:$A$50,密度!$B$2:$B$50),0)</f>
        <v>34178.640592039999</v>
      </c>
      <c r="S16" s="73" ph="1">
        <f>S15*9.0746*LOOKUP(S17,密度!$A$2:$A$50,密度!$Q$2:$Q$50)</f>
        <v>14138.995781603999</v>
      </c>
      <c r="T16" s="73" ph="1">
        <f>T15*9.0746*LOOKUP(T17,密度!$A$2:$A$50,密度!$O$2:$O$50)</f>
        <v>21368.759184800001</v>
      </c>
      <c r="U16" s="73" ph="1">
        <f>U15*9.0746*LOOKUP(U17,密度!$A$2:$A$50,密度!$H$2:$H$50)</f>
        <v>51013.455563919997</v>
      </c>
      <c r="V16" s="73" ph="1">
        <f>MAX(5600*LOOKUP(V17,密度!$A$2:$A$50,密度!$Q$2:$Q$50)+V15*9.0476*LOOKUP(V17,密度!$A$2:$A$50,密度!$Q$2:$Q$50),0)</f>
        <v>12537.289631799998</v>
      </c>
      <c r="W16" s="73" ph="1">
        <f>MAX(5600*LOOKUP(W17,密度!$A$2:$A$50,密度!$Q$2:$Q$50)+W15*9.0476*LOOKUP(W17,密度!$A$2:$A$50,密度!$Q$2:$Q$50),0)</f>
        <v>47202.522748127994</v>
      </c>
      <c r="X16" s="73" ph="1">
        <f>MAX(5600*LOOKUP(X17,密度!$A$2:$A$50,密度!$I$2:$I$50)+X15*9.0476*LOOKUP(X17,密度!$A$2:$A$50,密度!$I$2:$I$50),0)</f>
        <v>17837.867154659998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48725.994825580005</v>
      </c>
      <c r="AB16" s="73" ph="1">
        <f>AB15*9.0746*LOOKUP(AB17,密度!$A$2:$A$50,密度!$L$2:$L$50)</f>
        <v>9316.2565979999999</v>
      </c>
      <c r="AC16" s="73" ph="1">
        <f>AC15*9.0746*LOOKUP(AC17,密度!$A$2:$A$50,密度!$L$2:$L$50)</f>
        <v>17029.212867999999</v>
      </c>
      <c r="AD16" s="73" ph="1">
        <f>AD15*268.68*LOOKUP(AD17,密度!$A$2:$A$50,密度!B2:B50)+IF(AD15&lt;=0,0,1566*LOOKUP(AD17,密度!$A$2:$A$50,密度!B2:B50))</f>
        <v>0</v>
      </c>
      <c r="AE16" s="73" ph="1">
        <f>AE15*268.68*LOOKUP(AE17,密度!$A$2:$A$50,密度!B2:B50)+IF(AE15&lt;=0,0,1566*LOOKUP(AE17,密度!$A$2:$A$50,密度!B2:B50))</f>
        <v>9304.0279915200008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31</v>
      </c>
      <c r="E17" s="74">
        <v>31</v>
      </c>
      <c r="F17" s="74">
        <v>30</v>
      </c>
      <c r="G17" s="74">
        <v>27</v>
      </c>
      <c r="H17" s="74">
        <v>30</v>
      </c>
      <c r="I17" s="74">
        <v>28</v>
      </c>
      <c r="J17" s="74">
        <v>28</v>
      </c>
      <c r="K17" s="74">
        <v>29</v>
      </c>
      <c r="L17" s="74">
        <v>29</v>
      </c>
      <c r="M17" s="74">
        <v>29</v>
      </c>
      <c r="N17" s="74">
        <v>27</v>
      </c>
      <c r="O17" s="74">
        <v>29</v>
      </c>
      <c r="P17" s="74">
        <v>30</v>
      </c>
      <c r="Q17" s="74">
        <v>31</v>
      </c>
      <c r="R17" s="74">
        <v>30</v>
      </c>
      <c r="S17" s="74">
        <v>31</v>
      </c>
      <c r="T17" s="74">
        <v>30</v>
      </c>
      <c r="U17" s="74">
        <v>31</v>
      </c>
      <c r="V17" s="74">
        <v>30</v>
      </c>
      <c r="W17" s="74">
        <v>31</v>
      </c>
      <c r="X17" s="74">
        <v>31</v>
      </c>
      <c r="Y17" s="108">
        <v>31</v>
      </c>
      <c r="Z17" s="74">
        <v>28</v>
      </c>
      <c r="AA17" s="74">
        <v>33</v>
      </c>
      <c r="AB17" s="74">
        <v>27</v>
      </c>
      <c r="AC17" s="74">
        <v>33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1258</v>
      </c>
      <c r="E18" s="71">
        <v>5168</v>
      </c>
      <c r="F18" s="71">
        <v>3040</v>
      </c>
      <c r="G18" s="71">
        <v>2380</v>
      </c>
      <c r="H18" s="71">
        <v>2219</v>
      </c>
      <c r="I18" s="71">
        <v>3936</v>
      </c>
      <c r="J18" s="71">
        <v>285</v>
      </c>
      <c r="K18" s="71">
        <v>3109</v>
      </c>
      <c r="L18" s="71">
        <v>5358</v>
      </c>
      <c r="M18" s="71">
        <v>4028</v>
      </c>
      <c r="N18" s="71">
        <v>3931</v>
      </c>
      <c r="O18" s="71">
        <v>6874</v>
      </c>
      <c r="P18" s="71">
        <v>1837</v>
      </c>
      <c r="Q18" s="71">
        <v>3484</v>
      </c>
      <c r="R18" s="71">
        <v>4862</v>
      </c>
      <c r="S18" s="71">
        <v>1654</v>
      </c>
      <c r="T18" s="71">
        <v>2553</v>
      </c>
      <c r="U18" s="71">
        <v>6188</v>
      </c>
      <c r="V18" s="71">
        <v>850</v>
      </c>
      <c r="W18" s="71">
        <v>3801</v>
      </c>
      <c r="X18" s="71">
        <v>1285</v>
      </c>
      <c r="Y18" s="109">
        <v>-9906</v>
      </c>
      <c r="Z18" s="71">
        <v>0</v>
      </c>
      <c r="AA18" s="71">
        <v>6953</v>
      </c>
      <c r="AB18" s="71">
        <v>1097</v>
      </c>
      <c r="AC18" s="71">
        <v>2911</v>
      </c>
      <c r="AD18" s="71">
        <v>0</v>
      </c>
      <c r="AE18" s="71">
        <v>79.84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47" t="s" ph="1">
        <v>178</v>
      </c>
      <c r="D19" s="73" ph="1">
        <f>D18*7.0686*LOOKUP(D20,密度!$A$2:$A$50,密度!$L$2:$L$50)</f>
        <v>8269.8378840000005</v>
      </c>
      <c r="E19" s="73" ph="1">
        <f>E18*7.0686*LOOKUP(E20,密度!$A$2:$A$50,密度!$L$2:$L$50)</f>
        <v>33973.388063999999</v>
      </c>
      <c r="F19" s="73" ph="1">
        <f>F18*9.0746*LOOKUP(F20,密度!$A$2:$A$50,密度!$L$2:$L$50)</f>
        <v>25683.295904000002</v>
      </c>
      <c r="G19" s="73" ph="1">
        <f>G18*9.0746*LOOKUP(G20,密度!$A$2:$A$50,密度!$B$2:$B$50)</f>
        <v>16744.5789644</v>
      </c>
      <c r="H19" s="73" ph="1">
        <f>H18*9.0746*LOOKUP(H20,密度!$A$2:$A$50,密度!$L$2:$L$50)</f>
        <v>18747.116319400004</v>
      </c>
      <c r="I19" s="73" ph="1">
        <f>I18*9.0746*LOOKUP(I20,密度!$A$2:$A$50,密度!$U$2:$U$50)</f>
        <v>36396.260486399995</v>
      </c>
      <c r="J19" s="73" ph="1">
        <f>J18*9.0746*LOOKUP(J20,密度!$A$2:$A$50,密度!$L$2:$L$50)</f>
        <v>2407.8089909999999</v>
      </c>
      <c r="K19" s="73" ph="1">
        <f>K18*9.0746*LOOKUP(K20,密度!$A$2:$A$50,密度!$C$2:$C$50)</f>
        <v>31178.110490139999</v>
      </c>
      <c r="L19" s="73" ph="1">
        <f>L18*9.0746*LOOKUP(L20,密度!$A$2:$A$50,密度!$E$2:$E$50)</f>
        <v>37752.324244859999</v>
      </c>
      <c r="M19" s="73" ph="1">
        <f>M18*9.0746*LOOKUP(M20,密度!$A$2:$A$50,密度!$M$2:$M$50)</f>
        <v>31759.360943656</v>
      </c>
      <c r="N19" s="73" ph="1">
        <f>N18*9.0746*LOOKUP(N20,密度!$A$2:$A$50,密度!$M$2:$M$50)</f>
        <v>31070.532014600001</v>
      </c>
      <c r="O19" s="73" ph="1">
        <f>O18*9.0746*LOOKUP(O20,密度!$A$2:$A$50,密度!$G$2:$G$50)</f>
        <v>59491.285729484</v>
      </c>
      <c r="P19" s="73" ph="1">
        <f ca="1">P18*9.0746*LOOKUP(P20,密度!$A$2:$A$51,密度!$Q$2:$Q$50)</f>
        <v>15690.675338249999</v>
      </c>
      <c r="Q19" s="73" ph="1">
        <f>Q18*9.0746*LOOKUP(Q20,密度!$A$2:$A$50,密度!$Q$2:$Q$50)</f>
        <v>29779.02223816</v>
      </c>
      <c r="R19" s="73" ph="1">
        <f>MAX(R18*9.0746*LOOKUP(R20,密度!$A$2:$A$50,密度!$B$2:$B$50),0)</f>
        <v>34092.068908040004</v>
      </c>
      <c r="S19" s="73" ph="1">
        <f>S18*9.0746*LOOKUP(S20,密度!$A$2:$A$50,密度!$Q$2:$Q$50)</f>
        <v>14137.342933959999</v>
      </c>
      <c r="T19" s="73" ph="1">
        <f>T18*9.0746*LOOKUP(T20,密度!$A$2:$A$50,密度!$O$2:$O$50)</f>
        <v>21341.858440560001</v>
      </c>
      <c r="U19" s="73" ph="1">
        <f>U18*9.0746*LOOKUP(U20,密度!$A$2:$A$50,密度!$H$2:$H$50)</f>
        <v>50991.983608383998</v>
      </c>
      <c r="V19" s="73" ph="1">
        <f>MAX(5600*LOOKUP(V20,密度!$A$2:$A$50,密度!$Q$2:$Q$50)+V18*9.0476*LOOKUP(V20,密度!$A$2:$A$50,密度!$Q$2:$Q$50),0)</f>
        <v>12518.284273999998</v>
      </c>
      <c r="W19" s="73" ph="1">
        <f>MAX(5600*LOOKUP(W20,密度!$A$2:$A$50,密度!$Q$2:$Q$50)+W18*9.0476*LOOKUP(W20,密度!$A$2:$A$50,密度!$Q$2:$Q$50),0)</f>
        <v>37614.126001283992</v>
      </c>
      <c r="X19" s="73" ph="1">
        <f>MAX(5600*LOOKUP(X20,密度!$A$2:$A$50,密度!$I$2:$I$50)+X18*9.0476*LOOKUP(X20,密度!$A$2:$A$50,密度!$I$2:$I$50),0)</f>
        <v>17818.746110399999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48697.256474840004</v>
      </c>
      <c r="AB19" s="73" ph="1">
        <f>AB18*9.0746*LOOKUP(AB20,密度!$A$2:$A$50,密度!$L$2:$L$50)</f>
        <v>9228.1331573999996</v>
      </c>
      <c r="AC19" s="73" ph="1">
        <f>AC18*9.0746*LOOKUP(AC20,密度!$A$2:$A$50,密度!$L$2:$L$50)</f>
        <v>24540.613197400002</v>
      </c>
      <c r="AD19" s="73" ph="1">
        <f>AD18*268.68*LOOKUP(AD20,密度!$A$2:$A$50,密度!B5:B53)+IF(AD18&lt;=0,0,1566*LOOKUP(AD20,密度!$A$2:$A$50,密度!B5:B53))</f>
        <v>0</v>
      </c>
      <c r="AE19" s="73" ph="1">
        <f>AE18*268.68*LOOKUP(AE20,密度!$A$2:$A$50,密度!B5:B53)+IF(AE18&lt;=0,0,1566*LOOKUP(AE20,密度!$A$2:$A$50,密度!B5:B53))</f>
        <v>17884.5285024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32</v>
      </c>
      <c r="E20" s="81">
        <v>32</v>
      </c>
      <c r="F20" s="81">
        <v>31</v>
      </c>
      <c r="G20" s="81">
        <v>30</v>
      </c>
      <c r="H20" s="81">
        <v>31</v>
      </c>
      <c r="I20" s="81">
        <v>31</v>
      </c>
      <c r="J20" s="81">
        <v>31</v>
      </c>
      <c r="K20" s="81">
        <v>30</v>
      </c>
      <c r="L20" s="81">
        <v>31</v>
      </c>
      <c r="M20" s="81">
        <v>31</v>
      </c>
      <c r="N20" s="81">
        <v>29</v>
      </c>
      <c r="O20" s="81">
        <v>31</v>
      </c>
      <c r="P20" s="81">
        <v>33</v>
      </c>
      <c r="Q20" s="81">
        <v>32</v>
      </c>
      <c r="R20" s="81">
        <v>33</v>
      </c>
      <c r="S20" s="81">
        <v>32</v>
      </c>
      <c r="T20" s="81">
        <v>33</v>
      </c>
      <c r="U20" s="81">
        <v>32</v>
      </c>
      <c r="V20" s="81">
        <v>32</v>
      </c>
      <c r="W20" s="81">
        <v>34</v>
      </c>
      <c r="X20" s="81">
        <v>32</v>
      </c>
      <c r="Y20" s="110">
        <v>32</v>
      </c>
      <c r="Z20" s="81">
        <v>36</v>
      </c>
      <c r="AA20" s="81">
        <v>34</v>
      </c>
      <c r="AB20" s="81">
        <v>35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47" t="s" ph="1">
        <v>177</v>
      </c>
      <c r="D24" s="71">
        <v>86.68</v>
      </c>
      <c r="E24" s="71">
        <v>5.43</v>
      </c>
      <c r="F24" s="71">
        <v>3761</v>
      </c>
      <c r="G24" s="71">
        <v>1138</v>
      </c>
      <c r="H24" s="71">
        <v>2900</v>
      </c>
      <c r="I24" s="71">
        <v>756</v>
      </c>
      <c r="J24" s="71">
        <v>689</v>
      </c>
      <c r="K24" s="71">
        <v>648</v>
      </c>
      <c r="L24" s="71">
        <v>5616</v>
      </c>
      <c r="M24" s="71">
        <v>657</v>
      </c>
      <c r="N24" s="71">
        <v>913</v>
      </c>
      <c r="O24" s="71">
        <v>4320</v>
      </c>
      <c r="P24" s="71">
        <v>2130</v>
      </c>
      <c r="Q24" s="90">
        <v>1749</v>
      </c>
      <c r="R24" s="71">
        <v>206</v>
      </c>
      <c r="S24" s="71">
        <v>1041</v>
      </c>
      <c r="T24" s="71">
        <v>1697</v>
      </c>
      <c r="U24" s="71">
        <v>5655</v>
      </c>
      <c r="V24" s="71">
        <v>6371</v>
      </c>
      <c r="W24" s="71">
        <v>0</v>
      </c>
      <c r="X24" s="71">
        <v>2340</v>
      </c>
      <c r="Y24" s="71">
        <v>1980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23531.395385376003</v>
      </c>
      <c r="E25" s="91" ph="1">
        <f>E24*268.68*LOOKUP(E26,密度!$A$2:$A$50,密度!$C$2:$C$50)+IF(E24&lt;=0,0,1566*LOOKUP(E26,密度!$A$2:$A$50,密度!$C$2:$C$50))</f>
        <v>3354.3475383599998</v>
      </c>
      <c r="F25" s="91" ph="1">
        <f>F24*11.702*LOOKUP(F26,密度!$A$2:$A$50,密度!$Q$2:$Q$50)</f>
        <v>41517.106049260001</v>
      </c>
      <c r="G25" s="91" ph="1">
        <f>G24*18.322*LOOKUP(G26,密度!$A$2:$A$50,密度!$B$2:$B$50)</f>
        <v>16165.343030799999</v>
      </c>
      <c r="H25" s="91" ph="1">
        <f>H24*18.322*LOOKUP(H26,密度!$A$2:$A$50,密度!$B$2:$B$50)</f>
        <v>41194.635139999999</v>
      </c>
      <c r="I25" s="91" ph="1">
        <f>I24*18.322*LOOKUP(I26,密度!$A$2:$A$50,密度!$Q$2:$Q$50)</f>
        <v>13056.082774559998</v>
      </c>
      <c r="J25" s="91" ph="1">
        <f>J24*18.322*LOOKUP(J26,密度!$A$2:$A$50,密度!$Q$2:$Q$50)</f>
        <v>11898.996073639999</v>
      </c>
      <c r="K25" s="91" ph="1">
        <f>K24*18.322*LOOKUP(K26,密度!$A$2:$A$50,密度!$Q$2:$Q$50)</f>
        <v>11199.832584479998</v>
      </c>
      <c r="L25" s="91" ph="1">
        <f>L24*18.322*LOOKUP(L26,密度!$A$2:$A$50,密度!$Q$2:$Q$50)</f>
        <v>96988.043468160002</v>
      </c>
      <c r="M25" s="91" ph="1">
        <f>M24*18.322*LOOKUP(M26,密度!$A$2:$A$50,密度!$Q$2:$Q$50)</f>
        <v>11346.35764932</v>
      </c>
      <c r="N25" s="91" ph="1">
        <f>N24*18.322*LOOKUP(N26,密度!$A$2:$A$50,密度!$Q$2:$Q$50)</f>
        <v>15767.46504388</v>
      </c>
      <c r="O25" s="91" ph="1">
        <f>O24*18.322*LOOKUP(O26,密度!$A$2:$A$50,密度!$C$2:$C$50)</f>
        <v>87469.814303999985</v>
      </c>
      <c r="P25" s="91" ph="1">
        <f>P24*11.702*LOOKUP(P26,密度!$A$2:$A$50,密度!$B$2:$B$50)</f>
        <v>19324.554077999997</v>
      </c>
      <c r="Q25" s="92" ph="1">
        <f>Q24*18.322*LOOKUP(Q26,密度!$A$2:$A$50,密度!$B$2:$B$50)</f>
        <v>24844.626503399999</v>
      </c>
      <c r="R25" s="91" ph="1">
        <f>R24*35.891*LOOKUP(R26,密度!$A$2:$A$50,密度!$C$2:$C$50)</f>
        <v>8163.2141386000003</v>
      </c>
      <c r="S25" s="91" ph="1">
        <f>S24*35.891*LOOKUP(S26,密度!$A$2:$A$50,密度!$B$2:$B$50)</f>
        <v>28933.544006399996</v>
      </c>
      <c r="T25" s="91" ph="1">
        <f>T24*35.891*LOOKUP(T26,密度!$A$2:$A$50,密度!$Q$2:$Q$50)</f>
        <v>57455.425779909994</v>
      </c>
      <c r="U25" s="91" ph="1">
        <f>U24*35.891</f>
        <v>202963.60499999998</v>
      </c>
      <c r="V25" s="91" ph="1">
        <f>V24*47.051*LOOKUP(V26,密度!$A$2:$A$50,密度!$B$2:$B$50)</f>
        <v>232405.41735130001</v>
      </c>
      <c r="W25" s="91" ph="1">
        <f>W24*47.051*LOOKUP(W26,密度!$A$2:$A$50,密度!$B$2:$B$50)</f>
        <v>0</v>
      </c>
      <c r="X25" s="91" ph="1">
        <f>X24*47.051*LOOKUP(X26,密度!$A$2:$A$50,密度!$I$2:$I$50)</f>
        <v>114008.9675634</v>
      </c>
      <c r="Y25" s="91" ph="1">
        <f>Y24*47.051*LOOKUP(Y26,密度!$A$2:$A$50,密度!$L$2:$L$50)</f>
        <v>86732.872380000015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30</v>
      </c>
      <c r="G26" s="74">
        <v>30</v>
      </c>
      <c r="H26" s="74">
        <v>30</v>
      </c>
      <c r="I26" s="74">
        <v>31</v>
      </c>
      <c r="J26" s="74">
        <v>31</v>
      </c>
      <c r="K26" s="74">
        <v>30</v>
      </c>
      <c r="L26" s="74">
        <v>31</v>
      </c>
      <c r="M26" s="74">
        <v>31</v>
      </c>
      <c r="N26" s="74">
        <v>31</v>
      </c>
      <c r="O26" s="74">
        <v>30</v>
      </c>
      <c r="P26" s="74">
        <v>30</v>
      </c>
      <c r="Q26" s="93">
        <v>30</v>
      </c>
      <c r="R26" s="74">
        <v>31</v>
      </c>
      <c r="S26" s="74">
        <v>31</v>
      </c>
      <c r="T26" s="74">
        <v>30</v>
      </c>
      <c r="U26" s="74">
        <v>31</v>
      </c>
      <c r="V26" s="74">
        <v>30</v>
      </c>
      <c r="W26" s="74">
        <v>30</v>
      </c>
      <c r="X26" s="74">
        <v>31</v>
      </c>
      <c r="Y26" s="74">
        <v>31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47" t="s" ph="1">
        <v>180</v>
      </c>
      <c r="D27" s="71">
        <v>86.66</v>
      </c>
      <c r="E27" s="71">
        <v>5.41</v>
      </c>
      <c r="F27" s="71">
        <v>2342</v>
      </c>
      <c r="G27" s="71">
        <v>0</v>
      </c>
      <c r="H27" s="71">
        <v>2337</v>
      </c>
      <c r="I27" s="71">
        <v>1306</v>
      </c>
      <c r="J27" s="71">
        <v>685</v>
      </c>
      <c r="K27" s="71">
        <v>644</v>
      </c>
      <c r="L27" s="71">
        <v>5613</v>
      </c>
      <c r="M27" s="71">
        <v>652</v>
      </c>
      <c r="N27" s="71">
        <v>2748</v>
      </c>
      <c r="O27" s="71">
        <v>4316</v>
      </c>
      <c r="P27" s="71">
        <v>2128</v>
      </c>
      <c r="Q27" s="90">
        <v>2039</v>
      </c>
      <c r="R27" s="71">
        <v>202</v>
      </c>
      <c r="S27" s="71">
        <v>1540</v>
      </c>
      <c r="T27" s="71">
        <v>1695</v>
      </c>
      <c r="U27" s="71">
        <v>5387</v>
      </c>
      <c r="V27" s="71">
        <v>6066</v>
      </c>
      <c r="W27" s="71">
        <v>0</v>
      </c>
      <c r="X27" s="71">
        <v>1867</v>
      </c>
      <c r="Y27" s="71">
        <v>923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47" t="s" ph="1">
        <v>178</v>
      </c>
      <c r="D28" s="91" ph="1">
        <f>D27*268.68*LOOKUP(D29,密度!$A$2:$A$50,密度!$Q$2:$Q$50)+IF(D27&lt;=0,0,1566*LOOKUP(D29,密度!$A$2:$A$50,密度!$Q$2:$Q$50))</f>
        <v>23526.307983312003</v>
      </c>
      <c r="E28" s="91" ph="1">
        <f>E27*268.68*LOOKUP(E29,密度!$A$2:$A$50,密度!$C$2:$C$50)+IF(E27&lt;=0,0,1566*LOOKUP(E29,密度!$A$2:$A$50,密度!$C$2:$C$50))</f>
        <v>3348.38875332</v>
      </c>
      <c r="F28" s="91" ph="1">
        <f>F27*11.702*LOOKUP(F29,密度!$A$2:$A$50,密度!$Q$2:$Q$50)</f>
        <v>25795.976565000001</v>
      </c>
      <c r="G28" s="91" ph="1">
        <f>G27*18.322*LOOKUP(G29,密度!$A$2:$A$50,密度!$B$2:$B$50)</f>
        <v>0</v>
      </c>
      <c r="H28" s="91" ph="1">
        <f>H27*18.322*LOOKUP(H29,密度!$A$2:$A$50,密度!$B$2:$B$50)</f>
        <v>33085.865767800002</v>
      </c>
      <c r="I28" s="91" ph="1">
        <f>I27*18.322*LOOKUP(I29,密度!$A$2:$A$50,密度!$Q$2:$Q$50)</f>
        <v>22522.730745000001</v>
      </c>
      <c r="J28" s="91" ph="1">
        <f>J27*18.322*LOOKUP(J29,密度!$A$2:$A$50,密度!$Q$2:$Q$50)</f>
        <v>11813.224012500001</v>
      </c>
      <c r="K28" s="91" ph="1">
        <f>K27*18.322*LOOKUP(K29,密度!$A$2:$A$50,密度!$Q$2:$Q$50)</f>
        <v>11098.367547119999</v>
      </c>
      <c r="L28" s="91" ph="1">
        <f>L27*18.322*LOOKUP(L29,密度!$A$2:$A$50,密度!$Q$2:$Q$50)</f>
        <v>96731.579257739999</v>
      </c>
      <c r="M28" s="91" ph="1">
        <f>M27*18.322*LOOKUP(M29,密度!$A$2:$A$50,密度!$Q$2:$Q$50)</f>
        <v>11244.119790000001</v>
      </c>
      <c r="N28" s="91" ph="1">
        <f>N27*18.322*LOOKUP(N29,密度!$A$2:$A$50,密度!$Q$2:$Q$50)</f>
        <v>47390.860710000001</v>
      </c>
      <c r="O28" s="91" ph="1">
        <f>O27*18.322*LOOKUP(O29,密度!$A$2:$A$50,密度!$C$2:$C$50)</f>
        <v>87056.697176799993</v>
      </c>
      <c r="P28" s="91" ph="1">
        <f>P27*11.702*LOOKUP(P29,密度!$A$2:$A$50,密度!$B$2:$B$50)</f>
        <v>19241.664131200003</v>
      </c>
      <c r="Q28" s="92" ph="1">
        <f>Q27*18.322*LOOKUP(Q29,密度!$A$2:$A$50,密度!$B$2:$B$50)</f>
        <v>28833.335064399998</v>
      </c>
      <c r="R28" s="91" ph="1">
        <f>R27*35.891*LOOKUP(R29,密度!$A$2:$A$50,密度!$C$2:$C$50)</f>
        <v>7981.5051837999999</v>
      </c>
      <c r="S28" s="91" ph="1">
        <f>S27*35.891*LOOKUP(S29,密度!$A$2:$A$50,密度!$B$2:$B$50)</f>
        <v>42708.782578000006</v>
      </c>
      <c r="T28" s="91" ph="1">
        <f>T27*35.891*LOOKUP(T29,密度!$A$2:$A$50,密度!$Q$2:$Q$50)</f>
        <v>57221.023094550001</v>
      </c>
      <c r="U28" s="91" ph="1">
        <f>U27*35.891</f>
        <v>193344.81699999998</v>
      </c>
      <c r="V28" s="91" ph="1">
        <f>V27*47.051*LOOKUP(V29,密度!$A$2:$A$50,密度!$B$2:$B$50)</f>
        <v>220537.36250820005</v>
      </c>
      <c r="W28" s="91" ph="1">
        <f>W27*47.051*LOOKUP(W29,密度!$A$2:$A$50,密度!$B$2:$B$50)</f>
        <v>0</v>
      </c>
      <c r="X28" s="91" ph="1">
        <f>X27*47.051*LOOKUP(X29,密度!$A$2:$A$50,密度!$I$2:$I$50)</f>
        <v>90671.04390306001</v>
      </c>
      <c r="Y28" s="91" ph="1">
        <f>Y27*47.051*LOOKUP(Y29,密度!$A$2:$A$50,密度!$L$2:$L$50)</f>
        <v>40344.679817000004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47" t="s" ph="1">
        <v>179</v>
      </c>
      <c r="D29" s="74">
        <v>25</v>
      </c>
      <c r="E29" s="74">
        <v>25</v>
      </c>
      <c r="F29" s="74">
        <v>33</v>
      </c>
      <c r="G29" s="74">
        <v>34</v>
      </c>
      <c r="H29" s="74">
        <v>33</v>
      </c>
      <c r="I29" s="74">
        <v>33</v>
      </c>
      <c r="J29" s="74">
        <v>33</v>
      </c>
      <c r="K29" s="74">
        <v>34</v>
      </c>
      <c r="L29" s="74">
        <v>34</v>
      </c>
      <c r="M29" s="74">
        <v>33</v>
      </c>
      <c r="N29" s="74">
        <v>33</v>
      </c>
      <c r="O29" s="74">
        <v>34</v>
      </c>
      <c r="P29" s="74">
        <v>33</v>
      </c>
      <c r="Q29" s="93">
        <v>34</v>
      </c>
      <c r="R29" s="74">
        <v>34</v>
      </c>
      <c r="S29" s="74">
        <v>33</v>
      </c>
      <c r="T29" s="74">
        <v>34</v>
      </c>
      <c r="U29" s="74">
        <v>33</v>
      </c>
      <c r="V29" s="74">
        <v>33</v>
      </c>
      <c r="W29" s="74">
        <v>34</v>
      </c>
      <c r="X29" s="74">
        <v>34</v>
      </c>
      <c r="Y29" s="74">
        <v>33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90495.240733800005</v>
      </c>
      <c r="E33" s="204" ph="1">
        <f>M10+I10</f>
        <v>100273.90578059999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[[#This Row],[F25]]</f>
        <v>3880</v>
      </c>
      <c r="G33" s="208" ph="1">
        <v>0</v>
      </c>
      <c r="H33" s="204" ph="1">
        <f>N19</f>
        <v>31070.532014600001</v>
      </c>
      <c r="I33" s="217" ph="1">
        <v>0</v>
      </c>
      <c r="J33" s="215" ph="1">
        <f>F10+O28</f>
        <v>338394.99604210001</v>
      </c>
      <c r="K33" s="204" ph="1">
        <f>O10+K10+E28+R28</f>
        <v>17961.33672512</v>
      </c>
      <c r="L33" s="219" ph="1">
        <f>BE27</f>
        <v>7100</v>
      </c>
      <c r="M33" s="215" ph="1">
        <f>G10+H10+W28+S28+V28+E10</f>
        <v>1336862.9768461999</v>
      </c>
      <c r="N33" s="204" ph="1">
        <f>L10+P10++G28+H28</f>
        <v>385701.83506780001</v>
      </c>
      <c r="O33" s="217" ph="1">
        <f>BE17</f>
        <v>2270</v>
      </c>
      <c r="P33" s="215" ph="1">
        <f>L19</f>
        <v>37752.324244859999</v>
      </c>
      <c r="Q33" s="204" ph="1">
        <f>J10+N10</f>
        <v>147385.07571176</v>
      </c>
      <c r="R33" s="217" ph="1">
        <f>BE23</f>
        <v>890</v>
      </c>
      <c r="S33" s="215" ph="1">
        <f>E10+X28</f>
        <v>451154.06455906003</v>
      </c>
      <c r="T33" s="204" ph="1">
        <f>X19</f>
        <v>17818.746110399999</v>
      </c>
      <c r="U33" s="225" ph="1">
        <f>BE21</f>
        <v>730</v>
      </c>
      <c r="V33" s="236" ph="1">
        <f ca="1">P19+Q19+S19+M28+N28+J28</f>
        <v>130055.24502286999</v>
      </c>
      <c r="W33" s="236" ph="1">
        <f>D28+F28+V19+T28</f>
        <v>119061.591916862</v>
      </c>
      <c r="X33" s="217" ph="1">
        <f>BE29+BE31</f>
        <v>10200</v>
      </c>
      <c r="Y33" s="238" ph="1">
        <f>+Q10+R10+S10+T10+U10+V10+W10+X10+Y10</f>
        <v>188601.96773880001</v>
      </c>
      <c r="Z33" s="223" ph="1">
        <f>D10+T19+U19+Y28+Z10</f>
        <v>349869.17302400403</v>
      </c>
      <c r="AA33" s="225" ph="1">
        <f>BE19</f>
        <v>1440</v>
      </c>
      <c r="AB33" s="227" ph="1">
        <f>I19</f>
        <v>36396.260486399995</v>
      </c>
      <c r="AC33" s="229" ph="1">
        <f>AD10</f>
        <v>78638.648256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49" t="s" ph="1">
        <v>185</v>
      </c>
      <c r="AA36" s="149" ph="1"/>
      <c r="AB36" s="222" t="s" ph="1">
        <v>641</v>
      </c>
      <c r="AC36" s="222" ph="1"/>
      <c r="AD36" s="222" ph="1"/>
      <c r="AE36" s="22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342</v>
      </c>
      <c r="AI37" s="149" t="s" ph="1">
        <v>209</v>
      </c>
      <c r="AJ37" s="149" t="s" ph="1">
        <v>210</v>
      </c>
      <c r="AK37" s="149" t="s" ph="1">
        <v>211</v>
      </c>
      <c r="AM37" s="149" t="s" ph="1">
        <v>210</v>
      </c>
      <c r="AN37" s="149" t="s" ph="1">
        <v>211</v>
      </c>
      <c r="AO37" s="149" t="s" ph="1">
        <v>212</v>
      </c>
      <c r="AP37" s="149" t="s" ph="1">
        <v>210</v>
      </c>
      <c r="AQ37" s="149" t="s" ph="1">
        <v>211</v>
      </c>
      <c r="AR37" s="149" t="s" ph="1">
        <v>212</v>
      </c>
      <c r="AS37" s="149" t="s" ph="1">
        <v>210</v>
      </c>
      <c r="AT37" s="149" t="s" ph="1">
        <v>211</v>
      </c>
      <c r="AU37" s="149" t="s" ph="1">
        <v>212</v>
      </c>
      <c r="AV37" s="149" t="s" ph="1">
        <v>210</v>
      </c>
      <c r="AW37" s="149" t="s" ph="1">
        <v>211</v>
      </c>
      <c r="AX37" s="149" t="s" ph="1">
        <v>212</v>
      </c>
      <c r="AY37" s="149" t="s" ph="1">
        <v>211</v>
      </c>
      <c r="AZ37" s="149" t="s" ph="1">
        <v>213</v>
      </c>
      <c r="BD37" s="149" t="s" ph="1">
        <v>305</v>
      </c>
      <c r="BE37" s="14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791" priority="98">
      <formula>ABS(D$7-D$10)&gt;=1000</formula>
    </cfRule>
  </conditionalFormatting>
  <conditionalFormatting sqref="E4 E6:E11">
    <cfRule type="expression" dxfId="1790" priority="97">
      <formula>ABS(E$7-E$10)&gt;=1000</formula>
    </cfRule>
  </conditionalFormatting>
  <conditionalFormatting sqref="F4:F11">
    <cfRule type="expression" dxfId="1789" priority="96">
      <formula>ABS(F$7-F$10)&gt;=1000</formula>
    </cfRule>
  </conditionalFormatting>
  <conditionalFormatting sqref="G4:G11">
    <cfRule type="expression" dxfId="1788" priority="95">
      <formula>ABS(G$7-G$10)&gt;=1000</formula>
    </cfRule>
  </conditionalFormatting>
  <conditionalFormatting sqref="H4:H11">
    <cfRule type="expression" dxfId="1787" priority="94">
      <formula>ABS(H$7-H$10)&gt;=1000</formula>
    </cfRule>
  </conditionalFormatting>
  <conditionalFormatting sqref="I4:I11">
    <cfRule type="expression" dxfId="1786" priority="93">
      <formula>ABS(I$7-I$10)&gt;=1000</formula>
    </cfRule>
  </conditionalFormatting>
  <conditionalFormatting sqref="J4:J11">
    <cfRule type="expression" dxfId="1785" priority="92">
      <formula>ABS(J$7-J$10)&gt;=1000</formula>
    </cfRule>
  </conditionalFormatting>
  <conditionalFormatting sqref="K4:K11">
    <cfRule type="expression" dxfId="1784" priority="91">
      <formula>ABS(K$7-K$10)&gt;=1000</formula>
    </cfRule>
  </conditionalFormatting>
  <conditionalFormatting sqref="L4:L11">
    <cfRule type="expression" dxfId="1783" priority="90">
      <formula>ABS(L$7-L$10)&gt;=1000</formula>
    </cfRule>
  </conditionalFormatting>
  <conditionalFormatting sqref="M4 M6:M11">
    <cfRule type="expression" dxfId="1782" priority="89">
      <formula>ABS(M$7-M$10)&gt;=1000</formula>
    </cfRule>
  </conditionalFormatting>
  <conditionalFormatting sqref="N4 N6:N11">
    <cfRule type="expression" dxfId="1781" priority="88">
      <formula>ABS(N$7-N$10)&gt;=1000</formula>
    </cfRule>
  </conditionalFormatting>
  <conditionalFormatting sqref="O4 O6:O11">
    <cfRule type="expression" dxfId="1780" priority="87">
      <formula>ABS(O$7-O$10)&gt;=1000</formula>
    </cfRule>
  </conditionalFormatting>
  <conditionalFormatting sqref="P4 P6:P11">
    <cfRule type="expression" dxfId="1779" priority="86">
      <formula>ABS(P$7-P$10)&gt;=1000</formula>
    </cfRule>
  </conditionalFormatting>
  <conditionalFormatting sqref="Q4:Q11">
    <cfRule type="expression" dxfId="1778" priority="85">
      <formula>ABS(Q$7-Q$10)&gt;=1000</formula>
    </cfRule>
  </conditionalFormatting>
  <conditionalFormatting sqref="R4:R11">
    <cfRule type="expression" dxfId="1777" priority="84">
      <formula>ABS(R$7-R$10)&gt;=1000</formula>
    </cfRule>
  </conditionalFormatting>
  <conditionalFormatting sqref="S4:S11">
    <cfRule type="expression" dxfId="1776" priority="83">
      <formula>ABS(S$7-S$10)&gt;=1000</formula>
    </cfRule>
  </conditionalFormatting>
  <conditionalFormatting sqref="T4:T9 T11">
    <cfRule type="expression" dxfId="1775" priority="82">
      <formula>ABS(T$7-T$10)&gt;=1000</formula>
    </cfRule>
  </conditionalFormatting>
  <conditionalFormatting sqref="U4:U9 U11">
    <cfRule type="expression" dxfId="1774" priority="81">
      <formula>ABS(U$7-U$10)&gt;=1000</formula>
    </cfRule>
  </conditionalFormatting>
  <conditionalFormatting sqref="V4:V9 V11">
    <cfRule type="expression" dxfId="1773" priority="80">
      <formula>ABS(V$7-V$10)&gt;=1000</formula>
    </cfRule>
  </conditionalFormatting>
  <conditionalFormatting sqref="W4:W9 W11">
    <cfRule type="expression" dxfId="1772" priority="79">
      <formula>ABS(W$7-W$10)&gt;=1000</formula>
    </cfRule>
  </conditionalFormatting>
  <conditionalFormatting sqref="X4:X9 X11">
    <cfRule type="expression" dxfId="1771" priority="78">
      <formula>ABS(X$7-X$10)&gt;=1000</formula>
    </cfRule>
  </conditionalFormatting>
  <conditionalFormatting sqref="Y4:Y9 Y11">
    <cfRule type="expression" dxfId="1770" priority="77">
      <formula>ABS(Y$7-Y$10)&gt;=1000</formula>
    </cfRule>
  </conditionalFormatting>
  <conditionalFormatting sqref="Z4:Z11">
    <cfRule type="expression" dxfId="1769" priority="76">
      <formula>ABS(Z$7-Z$10)&gt;=1000</formula>
    </cfRule>
  </conditionalFormatting>
  <conditionalFormatting sqref="AA4:AA11">
    <cfRule type="expression" dxfId="1768" priority="75">
      <formula>ABS(AA$7-AA$10)&gt;=1000</formula>
    </cfRule>
  </conditionalFormatting>
  <conditionalFormatting sqref="AB4:AB11">
    <cfRule type="expression" dxfId="1767" priority="74">
      <formula>ABS(AB$7-AB$10)&gt;=1000</formula>
    </cfRule>
  </conditionalFormatting>
  <conditionalFormatting sqref="AC4 AC6:AC11">
    <cfRule type="expression" dxfId="1766" priority="73">
      <formula>ABS(AC$7-AC$10)&gt;=1000</formula>
    </cfRule>
  </conditionalFormatting>
  <conditionalFormatting sqref="AD4:AD11">
    <cfRule type="expression" dxfId="1765" priority="72">
      <formula>ABS(AD$7-AD$10)&gt;=1000</formula>
    </cfRule>
  </conditionalFormatting>
  <conditionalFormatting sqref="AE4 AE6:AE11">
    <cfRule type="expression" dxfId="1764" priority="71">
      <formula>ABS(AE$7-AE$10)&gt;=1000</formula>
    </cfRule>
  </conditionalFormatting>
  <conditionalFormatting sqref="D13:D20">
    <cfRule type="expression" dxfId="1763" priority="70">
      <formula>ABS(D$16-D$19)&gt;=1000</formula>
    </cfRule>
  </conditionalFormatting>
  <conditionalFormatting sqref="E13:E20">
    <cfRule type="expression" dxfId="1762" priority="69">
      <formula>ABS(E$16-E$19)&gt;=1000</formula>
    </cfRule>
  </conditionalFormatting>
  <conditionalFormatting sqref="F13 F15:F20">
    <cfRule type="expression" dxfId="1761" priority="68">
      <formula>ABS(F$16-F$19)&gt;=1000</formula>
    </cfRule>
  </conditionalFormatting>
  <conditionalFormatting sqref="G13:G20">
    <cfRule type="expression" dxfId="1760" priority="67">
      <formula>ABS(G$16-G$19)&gt;=1000</formula>
    </cfRule>
  </conditionalFormatting>
  <conditionalFormatting sqref="H13:H20">
    <cfRule type="expression" dxfId="1759" priority="66">
      <formula>ABS(H$16-H$19)&gt;=1000</formula>
    </cfRule>
  </conditionalFormatting>
  <conditionalFormatting sqref="I13:I20">
    <cfRule type="expression" dxfId="1758" priority="65">
      <formula>ABS(I$16-I$19)&gt;=1000</formula>
    </cfRule>
  </conditionalFormatting>
  <conditionalFormatting sqref="J13:J20">
    <cfRule type="expression" dxfId="1757" priority="64">
      <formula>ABS(J$16-J$19)&gt;=1000</formula>
    </cfRule>
  </conditionalFormatting>
  <conditionalFormatting sqref="L13:L20">
    <cfRule type="expression" dxfId="1756" priority="63">
      <formula>ABS(L$16-L$19)&gt;=1000</formula>
    </cfRule>
  </conditionalFormatting>
  <conditionalFormatting sqref="M13 M15 M17:M18 M20">
    <cfRule type="expression" dxfId="1755" priority="62">
      <formula>ABS(M$16-M$19)&gt;=1000</formula>
    </cfRule>
  </conditionalFormatting>
  <conditionalFormatting sqref="N13:N20">
    <cfRule type="expression" dxfId="1754" priority="61">
      <formula>ABS(N$16-N$19)&gt;=1000</formula>
    </cfRule>
  </conditionalFormatting>
  <conditionalFormatting sqref="O13:O20">
    <cfRule type="expression" dxfId="1753" priority="60">
      <formula>ABS(O$16-O$19)&gt;=1000</formula>
    </cfRule>
  </conditionalFormatting>
  <conditionalFormatting sqref="P13:P20">
    <cfRule type="expression" dxfId="1752" priority="59">
      <formula>ABS(P$16-P$19)&gt;=1000</formula>
    </cfRule>
  </conditionalFormatting>
  <conditionalFormatting sqref="Q13 Q15:Q20">
    <cfRule type="expression" dxfId="1751" priority="58">
      <formula>ABS(Q$16-Q$19)&gt;=1000</formula>
    </cfRule>
  </conditionalFormatting>
  <conditionalFormatting sqref="R13:R20">
    <cfRule type="expression" dxfId="1750" priority="57">
      <formula>ABS(R$16-R$19)&gt;=1000</formula>
    </cfRule>
  </conditionalFormatting>
  <conditionalFormatting sqref="S13:S20">
    <cfRule type="expression" dxfId="1749" priority="56">
      <formula>ABS(S$16-S$19)&gt;=1000</formula>
    </cfRule>
  </conditionalFormatting>
  <conditionalFormatting sqref="T13:T20">
    <cfRule type="expression" dxfId="1748" priority="55">
      <formula>ABS(T$16-T$19)&gt;=1000</formula>
    </cfRule>
  </conditionalFormatting>
  <conditionalFormatting sqref="U13:U20">
    <cfRule type="expression" dxfId="1747" priority="54">
      <formula>ABS(U$16-U$19)&gt;=1000</formula>
    </cfRule>
  </conditionalFormatting>
  <conditionalFormatting sqref="V13:V20">
    <cfRule type="expression" dxfId="1746" priority="53">
      <formula>ABS(V$16-V$19)&gt;=1000</formula>
    </cfRule>
  </conditionalFormatting>
  <conditionalFormatting sqref="W13 W20 W15:W18">
    <cfRule type="expression" dxfId="1745" priority="52">
      <formula>ABS(W$16-W$19)&gt;=1000</formula>
    </cfRule>
  </conditionalFormatting>
  <conditionalFormatting sqref="X13 X15:X20 Y19">
    <cfRule type="expression" dxfId="1744" priority="51">
      <formula>ABS(X$16-X$19)&gt;=1000</formula>
    </cfRule>
  </conditionalFormatting>
  <conditionalFormatting sqref="Y13 Y15:Y18 Y20">
    <cfRule type="expression" dxfId="1743" priority="50">
      <formula>ABS(Y$16-Y$19)&gt;=1000</formula>
    </cfRule>
  </conditionalFormatting>
  <conditionalFormatting sqref="Z13:Z20">
    <cfRule type="expression" dxfId="1742" priority="49">
      <formula>ABS(Z$16-Z$19)&gt;=1000</formula>
    </cfRule>
  </conditionalFormatting>
  <conditionalFormatting sqref="AA13:AA20">
    <cfRule type="expression" dxfId="1741" priority="48">
      <formula>ABS(AA$16-AA$19)&gt;=1000</formula>
    </cfRule>
  </conditionalFormatting>
  <conditionalFormatting sqref="AB13 AB15:AB20">
    <cfRule type="expression" dxfId="1740" priority="47">
      <formula>ABS(AB$16-AB$19)&gt;=1000</formula>
    </cfRule>
  </conditionalFormatting>
  <conditionalFormatting sqref="AC13 AC15:AC20">
    <cfRule type="expression" dxfId="1739" priority="46">
      <formula>ABS(AC$16-AC$19)&gt;=1000</formula>
    </cfRule>
  </conditionalFormatting>
  <conditionalFormatting sqref="AD13:AD20">
    <cfRule type="expression" dxfId="1738" priority="45">
      <formula>ABS(AD$16-AD$19)&gt;=1000</formula>
    </cfRule>
  </conditionalFormatting>
  <conditionalFormatting sqref="AE13:AE20">
    <cfRule type="expression" dxfId="1737" priority="44">
      <formula>ABS(AE$16-AE$19)&gt;=1000</formula>
    </cfRule>
  </conditionalFormatting>
  <conditionalFormatting sqref="D22:D29">
    <cfRule type="expression" dxfId="1736" priority="43">
      <formula>ABS(D$25-D$28)&gt;=1000</formula>
    </cfRule>
  </conditionalFormatting>
  <conditionalFormatting sqref="E22:E29">
    <cfRule type="expression" dxfId="1735" priority="42">
      <formula>ABS(E$25-E$28)&gt;=1000</formula>
    </cfRule>
  </conditionalFormatting>
  <conditionalFormatting sqref="F22:F29">
    <cfRule type="expression" dxfId="1734" priority="41">
      <formula>ABS(F$25-F$28)&gt;=1000</formula>
    </cfRule>
  </conditionalFormatting>
  <conditionalFormatting sqref="G22:G29">
    <cfRule type="expression" dxfId="1733" priority="40">
      <formula>ABS(G$25-G$28)&gt;=1000</formula>
    </cfRule>
  </conditionalFormatting>
  <conditionalFormatting sqref="H22:H29">
    <cfRule type="expression" dxfId="1732" priority="39">
      <formula>ABS(H$25-H$28)&gt;=1000</formula>
    </cfRule>
  </conditionalFormatting>
  <conditionalFormatting sqref="I22 I24:I29">
    <cfRule type="expression" dxfId="1731" priority="38">
      <formula>ABS(I$25-I$28)&gt;=1000</formula>
    </cfRule>
  </conditionalFormatting>
  <conditionalFormatting sqref="J22:J29 K22">
    <cfRule type="expression" dxfId="1730" priority="37">
      <formula>ABS(J$25-J$28)&gt;=1000</formula>
    </cfRule>
  </conditionalFormatting>
  <conditionalFormatting sqref="K23:K29 L25 L28">
    <cfRule type="expression" dxfId="1729" priority="36">
      <formula>ABS(K$25-K$28)&gt;=1000</formula>
    </cfRule>
  </conditionalFormatting>
  <conditionalFormatting sqref="L22 L26:L27 L29 L24">
    <cfRule type="expression" dxfId="1728" priority="35">
      <formula>ABS(L$25-L$28)&gt;=1000</formula>
    </cfRule>
  </conditionalFormatting>
  <conditionalFormatting sqref="M22:M29">
    <cfRule type="expression" dxfId="1727" priority="34">
      <formula>ABS(M$25-M$28)&gt;=1000</formula>
    </cfRule>
  </conditionalFormatting>
  <conditionalFormatting sqref="N22:N29">
    <cfRule type="expression" dxfId="1726" priority="33">
      <formula>ABS(N$25-N$28)&gt;=1000</formula>
    </cfRule>
  </conditionalFormatting>
  <conditionalFormatting sqref="O22:O29">
    <cfRule type="expression" dxfId="1725" priority="32">
      <formula>ABS(O$25-O$28)&gt;=1000</formula>
    </cfRule>
  </conditionalFormatting>
  <conditionalFormatting sqref="P22:P29">
    <cfRule type="expression" dxfId="1724" priority="31">
      <formula>ABS(P$25-P$28)&gt;=1000</formula>
    </cfRule>
  </conditionalFormatting>
  <conditionalFormatting sqref="Q22:Q29">
    <cfRule type="expression" dxfId="1723" priority="30">
      <formula>ABS(Q$25-Q$28)&gt;=1000</formula>
    </cfRule>
  </conditionalFormatting>
  <conditionalFormatting sqref="R22:R29">
    <cfRule type="expression" dxfId="1722" priority="29">
      <formula>ABS(R$25-R$28)&gt;=1000</formula>
    </cfRule>
  </conditionalFormatting>
  <conditionalFormatting sqref="S22:S29">
    <cfRule type="expression" dxfId="1721" priority="28">
      <formula>ABS(S$25-S$28)&gt;=1000</formula>
    </cfRule>
  </conditionalFormatting>
  <conditionalFormatting sqref="T22:T29">
    <cfRule type="expression" dxfId="1720" priority="27">
      <formula>ABS(T$25-T$28)&gt;=1000</formula>
    </cfRule>
  </conditionalFormatting>
  <conditionalFormatting sqref="U22:U29">
    <cfRule type="expression" dxfId="1719" priority="26">
      <formula>ABS(U$25-U$28)&gt;=1000</formula>
    </cfRule>
  </conditionalFormatting>
  <conditionalFormatting sqref="V22:V29">
    <cfRule type="expression" dxfId="1718" priority="25">
      <formula>ABS(V$25-V$28)&gt;=1000</formula>
    </cfRule>
  </conditionalFormatting>
  <conditionalFormatting sqref="W22:W29">
    <cfRule type="expression" dxfId="1717" priority="24">
      <formula>ABS(W$25-W$28)&gt;=1000</formula>
    </cfRule>
  </conditionalFormatting>
  <conditionalFormatting sqref="X22:X29">
    <cfRule type="expression" dxfId="1716" priority="23">
      <formula>ABS(X$25-X$28)&gt;=1000</formula>
    </cfRule>
  </conditionalFormatting>
  <conditionalFormatting sqref="Y22:Y29">
    <cfRule type="expression" dxfId="1715" priority="22">
      <formula>ABS(Y$25-Y$28)&gt;=1000</formula>
    </cfRule>
  </conditionalFormatting>
  <conditionalFormatting sqref="I23">
    <cfRule type="expression" dxfId="1714" priority="21">
      <formula>ABS(I$25-I$28)&gt;=1000</formula>
    </cfRule>
  </conditionalFormatting>
  <conditionalFormatting sqref="Q14">
    <cfRule type="expression" dxfId="1713" priority="20">
      <formula>ABS(Q$16-Q$19)&gt;=1000</formula>
    </cfRule>
  </conditionalFormatting>
  <conditionalFormatting sqref="W14">
    <cfRule type="expression" dxfId="1712" priority="19">
      <formula>ABS(W$16-W$19)&gt;=1000</formula>
    </cfRule>
  </conditionalFormatting>
  <conditionalFormatting sqref="Y14">
    <cfRule type="expression" dxfId="1711" priority="18">
      <formula>ABS(Y$16-Y$19)&gt;=1000</formula>
    </cfRule>
  </conditionalFormatting>
  <conditionalFormatting sqref="X14">
    <cfRule type="expression" dxfId="1710" priority="17">
      <formula>ABS(X$16-X$19)&gt;=1000</formula>
    </cfRule>
  </conditionalFormatting>
  <conditionalFormatting sqref="T10:Y10">
    <cfRule type="expression" dxfId="1709" priority="16">
      <formula>ABS(T$7-T$10)&gt;=1000</formula>
    </cfRule>
  </conditionalFormatting>
  <conditionalFormatting sqref="W19">
    <cfRule type="expression" dxfId="1708" priority="15">
      <formula>ABS(W$16-W$19)&gt;=1000</formula>
    </cfRule>
  </conditionalFormatting>
  <conditionalFormatting sqref="AC5">
    <cfRule type="expression" dxfId="1707" priority="14">
      <formula>ABS(AC$7-AC$10)&gt;=1000</formula>
    </cfRule>
  </conditionalFormatting>
  <conditionalFormatting sqref="M14">
    <cfRule type="expression" dxfId="1706" priority="13">
      <formula>ABS(M$16-M$19)&gt;=1000</formula>
    </cfRule>
  </conditionalFormatting>
  <conditionalFormatting sqref="M16">
    <cfRule type="expression" dxfId="1705" priority="12">
      <formula>ABS(M$16-M$19)&gt;=1000</formula>
    </cfRule>
  </conditionalFormatting>
  <conditionalFormatting sqref="M19">
    <cfRule type="expression" dxfId="1704" priority="11">
      <formula>ABS(M$16-M$19)&gt;=1000</formula>
    </cfRule>
  </conditionalFormatting>
  <conditionalFormatting sqref="K13:K20">
    <cfRule type="expression" dxfId="1703" priority="10">
      <formula>ABS(K$16-K$19)&gt;=1000</formula>
    </cfRule>
  </conditionalFormatting>
  <conditionalFormatting sqref="E5">
    <cfRule type="expression" dxfId="1702" priority="9">
      <formula>ABS(E$7-E$10)&gt;=1000</formula>
    </cfRule>
  </conditionalFormatting>
  <conditionalFormatting sqref="AB14:AC14">
    <cfRule type="expression" dxfId="1701" priority="8">
      <formula>ABS(AB$16-AB$19)&gt;=1000</formula>
    </cfRule>
  </conditionalFormatting>
  <conditionalFormatting sqref="M5">
    <cfRule type="expression" dxfId="1700" priority="7">
      <formula>ABS(M$7-M$10)&gt;=1000</formula>
    </cfRule>
  </conditionalFormatting>
  <conditionalFormatting sqref="N5">
    <cfRule type="expression" dxfId="1699" priority="6">
      <formula>ABS(N$7-N$10)&gt;=1000</formula>
    </cfRule>
  </conditionalFormatting>
  <conditionalFormatting sqref="O5">
    <cfRule type="expression" dxfId="1698" priority="5">
      <formula>ABS(O$7-O$10)&gt;=1000</formula>
    </cfRule>
  </conditionalFormatting>
  <conditionalFormatting sqref="P5">
    <cfRule type="expression" dxfId="1697" priority="4">
      <formula>ABS(P$7-P$10)&gt;=1000</formula>
    </cfRule>
  </conditionalFormatting>
  <conditionalFormatting sqref="L23">
    <cfRule type="expression" dxfId="1696" priority="3">
      <formula>ABS(L$25-L$28)&gt;=1000</formula>
    </cfRule>
  </conditionalFormatting>
  <conditionalFormatting sqref="F14">
    <cfRule type="expression" dxfId="1695" priority="2">
      <formula>ABS(F$16-F$19)&gt;=1000</formula>
    </cfRule>
  </conditionalFormatting>
  <conditionalFormatting sqref="AE5">
    <cfRule type="expression" dxfId="1694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91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21">
    <pageSetUpPr fitToPage="1"/>
  </sheetPr>
  <dimension ref="A1:CU223"/>
  <sheetViews>
    <sheetView view="pageBreakPreview" zoomScale="80" zoomScaleNormal="100" zoomScaleSheetLayoutView="80" workbookViewId="0">
      <selection activeCell="AC15" sqref="AC14:AC20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45911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47" t="s" ph="1">
        <v>177</v>
      </c>
      <c r="D6" s="71">
        <v>6429</v>
      </c>
      <c r="E6" s="71">
        <v>9064</v>
      </c>
      <c r="F6" s="71">
        <v>6843</v>
      </c>
      <c r="G6" s="71">
        <v>8604</v>
      </c>
      <c r="H6" s="71">
        <v>8935</v>
      </c>
      <c r="I6" s="71">
        <v>18.059999999999999</v>
      </c>
      <c r="J6" s="71">
        <v>7.01</v>
      </c>
      <c r="K6" s="71">
        <v>7.09</v>
      </c>
      <c r="L6" s="71">
        <v>31.98</v>
      </c>
      <c r="M6" s="71">
        <v>2804</v>
      </c>
      <c r="N6" s="71">
        <v>5661</v>
      </c>
      <c r="O6" s="71">
        <v>195</v>
      </c>
      <c r="P6" s="71">
        <v>8788</v>
      </c>
      <c r="Q6" s="71">
        <v>3098</v>
      </c>
      <c r="R6" s="71">
        <v>1902</v>
      </c>
      <c r="S6" s="71">
        <v>0</v>
      </c>
      <c r="T6" s="71">
        <v>0</v>
      </c>
      <c r="U6" s="71">
        <v>0</v>
      </c>
      <c r="V6" s="71">
        <v>3449</v>
      </c>
      <c r="W6" s="71">
        <v>7051</v>
      </c>
      <c r="X6" s="71">
        <v>7087</v>
      </c>
      <c r="Y6" s="71">
        <v>4084</v>
      </c>
      <c r="Z6" s="71">
        <v>1934</v>
      </c>
      <c r="AA6" s="71">
        <v>1041</v>
      </c>
      <c r="AB6" s="71">
        <v>2643</v>
      </c>
      <c r="AC6" s="71">
        <v>2358</v>
      </c>
      <c r="AD6" s="71">
        <v>4009</v>
      </c>
      <c r="AE6" s="71">
        <v>3570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201243.89715831002</v>
      </c>
      <c r="E7" s="73" ph="1">
        <f>E6*51.53*LOOKUP(E8,密度!$A$2:$A$50,密度!$B$2:$B$50)</f>
        <v>362117.75837599998</v>
      </c>
      <c r="F7" s="73" ph="1">
        <f>F6*33.183*LOOKUP(F8,密度!$A$2:$A$50,密度!$C$2:$C$50)</f>
        <v>251277.06627539999</v>
      </c>
      <c r="G7" s="73" ph="1">
        <f xml:space="preserve"> (G6+2)*51.53*LOOKUP(G8,密度!$A$2:$A$50,密度!$B$2:$B$50)</f>
        <v>343820.10465399997</v>
      </c>
      <c r="H7" s="73" ph="1">
        <f>(H6)*51.53*LOOKUP(H8,密度!$A$2:$A$50,密度!$B$2:$B$50)</f>
        <v>356964.05241499998</v>
      </c>
      <c r="I7" s="73" ph="1">
        <f>I6*290.8*1.0267</f>
        <v>5392.0723416000001</v>
      </c>
      <c r="J7" s="73" ph="1">
        <f>J6*290.8*0.7892</f>
        <v>1608.7905136000002</v>
      </c>
      <c r="K7" s="73" ph="1">
        <f>K6*290.8*1.1126</f>
        <v>2293.9275272</v>
      </c>
      <c r="L7" s="73" ph="1">
        <f>L6*290.8*0.777</f>
        <v>7225.9321680000003</v>
      </c>
      <c r="M7" s="73" ph="1">
        <f>M6*33.183*LOOKUP(M8,密度!$A$2:$A$50,密度!$D$2:$D$50)</f>
        <v>95175.865522799984</v>
      </c>
      <c r="N7" s="73" ph="1">
        <f>N6*33.183*LOOKUP(N8,密度!$A$2:$A$50,密度!$E$2:$E$50)</f>
        <v>146484.62134740001</v>
      </c>
      <c r="O7" s="73" ph="1">
        <f>O6*20.428*LOOKUP(O8,密度!$A$2:$A$50,密度!$C$2:$C$50)</f>
        <v>4405.3084140000001</v>
      </c>
      <c r="P7" s="73" ph="1">
        <f>P6*51.53*LOOKUP(P8,密度!$A$2:$A$50,密度!$B$2:$B$50)</f>
        <v>351091.22469200002</v>
      </c>
      <c r="Q7" s="73" ph="1">
        <f>Q6*1.5*1.5*3.1416*LOOKUP(W8,密度!$A$2:$A$50,密度!$L$2:$L$50)</f>
        <v>20475.118817999999</v>
      </c>
      <c r="R7" s="73" ph="1">
        <f>R6*1.5*1.5*3.1416*LOOKUP(R8,密度!$A$2:$A$50,密度!$L$2:$L$50)</f>
        <v>12489.919318800001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22770.547707600002</v>
      </c>
      <c r="W7" s="73" ph="1">
        <f>W6*1.5*1.5*3.1416*LOOKUP(W8,密度!$A$2:$A$50,密度!$L$2:$L$50)</f>
        <v>46601.053190999999</v>
      </c>
      <c r="X7" s="73" ph="1">
        <f>X6*1.5*1.5*3.1416*LOOKUP(X8,密度!$A$2:$A$50,密度!$L$2:$L$50)</f>
        <v>47189.648444399994</v>
      </c>
      <c r="Y7" s="73" ph="1">
        <f>Y6*1.5*1.5*3.1416*LOOKUP(Y8,密度!$A$2:$A$50,密度!$L$2:$L$50)</f>
        <v>27020.600006400004</v>
      </c>
      <c r="Z7" s="73" ph="1">
        <f>Z6*33.183*LOOKUP(Z8,密度!$A$2:$A$50,密度!$L$2:$L$50)</f>
        <v>60068.662992000005</v>
      </c>
      <c r="AA7" s="73" ph="1">
        <f>AA6*33.183*LOOKUP(AA8,密度!$A$2:$A$50,密度!$D$2:$D$50)</f>
        <v>35369.092721699999</v>
      </c>
      <c r="AB7" s="73" ph="1">
        <f>AB6*20.428*LOOKUP(AB8,密度!$A$2:$A$50,密度!$D$2:$D$50)</f>
        <v>55481.361230400013</v>
      </c>
      <c r="AC7" s="73" ph="1">
        <f>AC6*51.53*LOOKUP(AC8,密度!$A$2:$A$50,密度!$Q$2:$Q$50)</f>
        <v>114949.96727220001</v>
      </c>
      <c r="AD7" s="73" ph="1">
        <f>AD6*20.428*LOOKUP(AD8,密度!$A$2:$A$50,密度!$V$2:$V$50)</f>
        <v>78423.467875200004</v>
      </c>
      <c r="AE7" s="73" ph="1">
        <f>AE6*20.428</f>
        <v>72927.960000000006</v>
      </c>
    </row>
    <row r="8" spans="1:99" ph="1">
      <c r="B8" s="182" ph="1"/>
      <c r="C8" s="68" t="s" ph="1">
        <v>179</v>
      </c>
      <c r="D8" s="74">
        <v>30</v>
      </c>
      <c r="E8" s="74">
        <v>30</v>
      </c>
      <c r="F8" s="74">
        <v>28</v>
      </c>
      <c r="G8" s="74">
        <v>30</v>
      </c>
      <c r="H8" s="74">
        <v>30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28</v>
      </c>
      <c r="O8" s="74">
        <v>29</v>
      </c>
      <c r="P8" s="74">
        <v>30</v>
      </c>
      <c r="Q8" s="74">
        <v>26</v>
      </c>
      <c r="R8" s="74">
        <v>33</v>
      </c>
      <c r="S8" s="74">
        <v>22</v>
      </c>
      <c r="T8" s="74">
        <v>23</v>
      </c>
      <c r="U8" s="74">
        <v>26</v>
      </c>
      <c r="V8" s="74">
        <v>28</v>
      </c>
      <c r="W8" s="74">
        <v>27</v>
      </c>
      <c r="X8" s="74">
        <v>20</v>
      </c>
      <c r="Y8" s="74">
        <v>26</v>
      </c>
      <c r="Z8" s="74">
        <v>26</v>
      </c>
      <c r="AA8" s="74">
        <v>28</v>
      </c>
      <c r="AB8" s="74">
        <v>24</v>
      </c>
      <c r="AC8" s="74">
        <v>26</v>
      </c>
      <c r="AD8" s="74">
        <v>27</v>
      </c>
      <c r="AE8" s="74">
        <v>33</v>
      </c>
    </row>
    <row r="9" spans="1:99" ht="26.4" ph="1">
      <c r="B9" s="182" ph="1">
        <v>0.66666666666666663</v>
      </c>
      <c r="C9" s="147" t="s" ph="1">
        <v>180</v>
      </c>
      <c r="D9" s="71">
        <v>6432</v>
      </c>
      <c r="E9" s="71">
        <v>9064</v>
      </c>
      <c r="F9" s="71">
        <v>6849</v>
      </c>
      <c r="G9" s="71">
        <v>8609</v>
      </c>
      <c r="H9" s="71">
        <v>8939</v>
      </c>
      <c r="I9" s="71">
        <v>18.02</v>
      </c>
      <c r="J9" s="71">
        <v>7.03</v>
      </c>
      <c r="K9" s="71">
        <v>7.07</v>
      </c>
      <c r="L9" s="71">
        <v>16.66</v>
      </c>
      <c r="M9" s="71">
        <v>2803</v>
      </c>
      <c r="N9" s="71">
        <v>5665</v>
      </c>
      <c r="O9" s="71">
        <v>193</v>
      </c>
      <c r="P9" s="71">
        <v>8851</v>
      </c>
      <c r="Q9" s="71">
        <v>3101</v>
      </c>
      <c r="R9" s="71">
        <v>1902</v>
      </c>
      <c r="S9" s="71">
        <v>0</v>
      </c>
      <c r="T9" s="71">
        <v>0</v>
      </c>
      <c r="U9" s="71">
        <v>0</v>
      </c>
      <c r="V9" s="71">
        <v>0</v>
      </c>
      <c r="W9" s="71">
        <v>7059</v>
      </c>
      <c r="X9" s="71">
        <v>7095</v>
      </c>
      <c r="Y9" s="71">
        <v>6263</v>
      </c>
      <c r="Z9" s="71">
        <v>2495</v>
      </c>
      <c r="AA9" s="71">
        <v>1041</v>
      </c>
      <c r="AB9" s="71">
        <v>2624</v>
      </c>
      <c r="AC9" s="71">
        <v>2356</v>
      </c>
      <c r="AD9" s="71">
        <v>4017</v>
      </c>
      <c r="AE9" s="71">
        <v>3635</v>
      </c>
    </row>
    <row r="10" spans="1:99" s="72" customFormat="1" ht="22.2" ph="1">
      <c r="B10" s="182" ph="1"/>
      <c r="C10" s="147" t="s" ph="1">
        <v>178</v>
      </c>
      <c r="D10" s="73" ph="1">
        <f>D9*33.183*LOOKUP(D11,密度!$A$2:$A$50,密度!$Q$2:$Q$50)</f>
        <v>201177.72992447999</v>
      </c>
      <c r="E10" s="73" ph="1">
        <f>E9*51.53*LOOKUP(E11,密度!$A$2:$A$50,密度!$B$2:$B$50)</f>
        <v>360062.65952799999</v>
      </c>
      <c r="F10" s="73" ph="1">
        <f>F9*33.183*LOOKUP(F11,密度!$A$2:$A$50,密度!$C$2:$C$50)</f>
        <v>251338.29886530002</v>
      </c>
      <c r="G10" s="73" ph="1">
        <f xml:space="preserve"> (G9+2)*51.53*LOOKUP(G11,密度!$A$2:$A$50,密度!$B$2:$B$50)</f>
        <v>342067.47144700005</v>
      </c>
      <c r="H10" s="73" ph="1">
        <f>(H9)*51.53*LOOKUP(H11,密度!$A$2:$A$50,密度!$B$2:$B$50)</f>
        <v>355097.09990299999</v>
      </c>
      <c r="I10" s="73" ph="1">
        <f>I9*290.8*1.0267</f>
        <v>5380.1297672000001</v>
      </c>
      <c r="J10" s="73" ph="1">
        <f>J9*290.8*0.7892</f>
        <v>1613.3805008000002</v>
      </c>
      <c r="K10" s="73" ph="1">
        <f>K9*290.8*1.1126</f>
        <v>2287.4566456000002</v>
      </c>
      <c r="L10" s="73" ph="1">
        <f>L9*290.8*0.777</f>
        <v>3764.3536560000002</v>
      </c>
      <c r="M10" s="73" ph="1">
        <f>M9*33.183*LOOKUP(M11,密度!$A$2:$A$50,密度!$D$2:$D$50)</f>
        <v>94890.790369799986</v>
      </c>
      <c r="N10" s="73" ph="1">
        <f>N9*33.183*LOOKUP(N11,密度!$A$2:$A$50,密度!$E$2:$E$50)</f>
        <v>145745.9677674</v>
      </c>
      <c r="O10" s="73" ph="1">
        <f>O9*20.428*LOOKUP(O11,密度!$A$2:$A$50,密度!$C$2:$C$50)</f>
        <v>4311.6317343999999</v>
      </c>
      <c r="P10" s="73" ph="1">
        <f>P9*51.53*LOOKUP(P11,密度!$A$2:$A$50,密度!$B$2:$B$50)</f>
        <v>352787.18520499999</v>
      </c>
      <c r="Q10" s="73" ph="1">
        <f>Q9*1.5*1.5*3.1416*LOOKUP(W11,密度!$A$2:$A$50,密度!$L$2:$L$50)</f>
        <v>20385.347598</v>
      </c>
      <c r="R10" s="73" ph="1">
        <f>R9*1.5*1.5*3.1416*LOOKUP(R11,密度!$A$2:$A$50,密度!$L$2:$L$50)</f>
        <v>12463.0303644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46404.440082000001</v>
      </c>
      <c r="X10" s="73" ph="1">
        <f>X9*1.5*1.5*3.1416*LOOKUP(X11,密度!$A$2:$A$50,密度!$L$2:$L$50)</f>
        <v>47042.310545999993</v>
      </c>
      <c r="Y10" s="73" ph="1">
        <f>Y9*1.5*1.5*3.1416*LOOKUP(Y11,密度!$A$2:$A$50,密度!$L$2:$L$50)</f>
        <v>41348.7794412</v>
      </c>
      <c r="Z10" s="73" ph="1">
        <f>Z9*33.183*LOOKUP(Z11,密度!$A$2:$A$50,密度!$L$2:$L$50)</f>
        <v>77244.548805000013</v>
      </c>
      <c r="AA10" s="73" ph="1">
        <f>AA9*33.183*LOOKUP(AA11,密度!$A$2:$A$50,密度!$D$2:$D$50)</f>
        <v>35213.646958199999</v>
      </c>
      <c r="AB10" s="73" ph="1">
        <f>AB9*20.428*LOOKUP(AB11,密度!$A$2:$A$50,密度!$D$2:$D$50)</f>
        <v>54932.428185599994</v>
      </c>
      <c r="AC10" s="73" ph="1">
        <f>AC9*51.53*LOOKUP(AC11,密度!$A$2:$A$50,密度!$Q$2:$Q$50)</f>
        <v>114524.67678440001</v>
      </c>
      <c r="AD10" s="73" ph="1">
        <f>AD9*20.428*LOOKUP(AD11,密度!$A$2:$A$50,密度!$V$2:$V$50)</f>
        <v>78579.9626976</v>
      </c>
      <c r="AE10" s="73" ph="1">
        <f>AE9*20.428</f>
        <v>74255.78</v>
      </c>
    </row>
    <row r="11" spans="1:99" ph="1">
      <c r="A11" s="64" t="s" ph="1">
        <v>162</v>
      </c>
      <c r="B11" s="182" ph="1"/>
      <c r="C11" s="147" t="s" ph="1">
        <v>179</v>
      </c>
      <c r="D11" s="74">
        <v>31</v>
      </c>
      <c r="E11" s="74">
        <v>35</v>
      </c>
      <c r="F11" s="74">
        <v>29</v>
      </c>
      <c r="G11" s="74">
        <v>35</v>
      </c>
      <c r="H11" s="74">
        <v>35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32</v>
      </c>
      <c r="O11" s="74">
        <v>41</v>
      </c>
      <c r="P11" s="74">
        <v>32</v>
      </c>
      <c r="Q11" s="74">
        <v>30</v>
      </c>
      <c r="R11" s="74">
        <v>35</v>
      </c>
      <c r="S11" s="74">
        <v>26</v>
      </c>
      <c r="T11" s="74">
        <v>31</v>
      </c>
      <c r="U11" s="74">
        <v>32</v>
      </c>
      <c r="V11" s="74">
        <v>28</v>
      </c>
      <c r="W11" s="74">
        <v>32</v>
      </c>
      <c r="X11" s="74">
        <v>24</v>
      </c>
      <c r="Y11" s="74">
        <v>28</v>
      </c>
      <c r="Z11" s="74">
        <v>29</v>
      </c>
      <c r="AA11" s="74">
        <v>33</v>
      </c>
      <c r="AB11" s="74">
        <v>27</v>
      </c>
      <c r="AC11" s="74">
        <v>30</v>
      </c>
      <c r="AD11" s="74">
        <v>34</v>
      </c>
      <c r="AE11" s="74">
        <v>33</v>
      </c>
    </row>
    <row r="12" spans="1:99" ht="9.9" customHeight="1" ph="1"/>
    <row r="13" spans="1:99" s="72" customFormat="1" ht="29.25" customHeight="1" ph="1">
      <c r="B13" s="190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77" t="s" ph="1">
        <v>636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47" t="s" ph="1">
        <v>177</v>
      </c>
      <c r="D15" s="78">
        <v>2794</v>
      </c>
      <c r="E15" s="78">
        <v>5163</v>
      </c>
      <c r="F15" s="78">
        <v>3036</v>
      </c>
      <c r="G15" s="78">
        <v>2827</v>
      </c>
      <c r="H15" s="78">
        <v>3248</v>
      </c>
      <c r="I15" s="78">
        <v>3933</v>
      </c>
      <c r="J15" s="78">
        <v>306</v>
      </c>
      <c r="K15" s="78">
        <v>3107</v>
      </c>
      <c r="L15" s="78">
        <v>5345</v>
      </c>
      <c r="M15" s="78">
        <v>6924</v>
      </c>
      <c r="N15" s="78">
        <v>1881</v>
      </c>
      <c r="O15" s="78">
        <v>6866</v>
      </c>
      <c r="P15" s="78">
        <v>1836</v>
      </c>
      <c r="Q15" s="78">
        <v>3492</v>
      </c>
      <c r="R15" s="78">
        <v>4859</v>
      </c>
      <c r="S15" s="78">
        <v>1652</v>
      </c>
      <c r="T15" s="78">
        <v>2553</v>
      </c>
      <c r="U15" s="78">
        <v>6183</v>
      </c>
      <c r="V15" s="78">
        <v>850</v>
      </c>
      <c r="W15" s="71">
        <v>1469</v>
      </c>
      <c r="X15" s="78">
        <v>1285</v>
      </c>
      <c r="Y15" s="106">
        <v>-9906</v>
      </c>
      <c r="Z15" s="78">
        <v>0</v>
      </c>
      <c r="AA15" s="78">
        <v>6936</v>
      </c>
      <c r="AB15" s="78" ph="1">
        <v>1098</v>
      </c>
      <c r="AC15" s="78" ph="1">
        <v>3299</v>
      </c>
      <c r="AD15" s="78">
        <v>69.16</v>
      </c>
      <c r="AE15" s="78">
        <v>5.54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47" t="s" ph="1">
        <v>178</v>
      </c>
      <c r="D16" s="73" ph="1">
        <f>D15*7.0686*LOOKUP(D17,密度!$A$2:$A$50,密度!$L$2:$L$50)</f>
        <v>18386.941280399999</v>
      </c>
      <c r="E16" s="73" ph="1">
        <f>E15*7.0686*LOOKUP(E17,密度!$A$2:$A$50,密度!$L$2:$L$50)</f>
        <v>33977.014255800001</v>
      </c>
      <c r="F16" s="73" ph="1">
        <f>F15*9.0746*LOOKUP(F17,密度!$A$2:$A$50,密度!$L$2:$L$50)</f>
        <v>25704.603064800001</v>
      </c>
      <c r="G16" s="73" ph="1">
        <f>G15*9.0746*LOOKUP(G17,密度!$A$2:$A$50,密度!$B$2:$B$50)</f>
        <v>19933.075793399999</v>
      </c>
      <c r="H16" s="73" ph="1">
        <f>H15*9.0746*LOOKUP(H17,密度!$A$2:$A$50,密度!$L$2:$L$50)</f>
        <v>27499.522646400001</v>
      </c>
      <c r="I16" s="73" ph="1">
        <f>I15*9.0746*LOOKUP(I17,密度!$A$2:$A$50,密度!$U$2:$U$50)</f>
        <v>36546.971443200004</v>
      </c>
      <c r="J16" s="73" ph="1">
        <f>J15*9.0746*LOOKUP(J17,密度!$A$2:$A$50,密度!$L$2:$L$50)</f>
        <v>2599.1106336000003</v>
      </c>
      <c r="K16" s="73" ph="1">
        <f>K15*9.0746*LOOKUP(K17,密度!$A$2:$A$50,密度!$C$2:$C$50)</f>
        <v>31200.345982520001</v>
      </c>
      <c r="L16" s="73" ph="1">
        <f>L15*9.0746*LOOKUP(L17,密度!$A$2:$A$50,密度!$E$2:$E$50)</f>
        <v>37769.8600019</v>
      </c>
      <c r="M16" s="73" ph="1">
        <f>M15*9.0746*LOOKUP(M17,密度!$A$2:$A$50,密度!$M$2:$M$50)</f>
        <v>54727.133978400001</v>
      </c>
      <c r="N16" s="73" ph="1">
        <f>N15*9.0746*LOOKUP(N17,密度!$A$2:$A$50,密度!$M$2:$M$50)</f>
        <v>14884.449307199999</v>
      </c>
      <c r="O16" s="73" ph="1">
        <f>O15*9.0746*LOOKUP(O17,密度!$A$2:$A$50,密度!$G$2:$G$50)</f>
        <v>59558.500021239997</v>
      </c>
      <c r="P16" s="73" ph="1">
        <f ca="1">P15*9.0746*LOOKUP(P17,密度!$A$2:$A$51,密度!$Q$2:$Q$50)</f>
        <v>15716.788679448</v>
      </c>
      <c r="Q16" s="73" ph="1">
        <f>Q15*9.0746*LOOKUP(Q17,密度!$A$2:$A$50,密度!$Q$2:$Q$50)</f>
        <v>29868.949346255999</v>
      </c>
      <c r="R16" s="73" ph="1">
        <f>MAX(R15*9.0746*LOOKUP(R17,密度!$A$2:$A$50,密度!$B$2:$B$50),0)</f>
        <v>34185.676129420004</v>
      </c>
      <c r="S16" s="73" ph="1">
        <f>S15*9.0746*LOOKUP(S17,密度!$A$2:$A$50,密度!$Q$2:$Q$50)</f>
        <v>14130.442245135999</v>
      </c>
      <c r="T16" s="73" ph="1">
        <f>T15*9.0746*LOOKUP(T17,密度!$A$2:$A$50,密度!$O$2:$O$50)</f>
        <v>21360.392403599999</v>
      </c>
      <c r="U16" s="73" ph="1">
        <f>U15*9.0746*LOOKUP(U17,密度!$A$2:$A$50,密度!$H$2:$H$50)</f>
        <v>51005.206298789999</v>
      </c>
      <c r="V16" s="73" ph="1">
        <f>MAX(5600*LOOKUP(V17,密度!$A$2:$A$50,密度!$Q$2:$Q$50)+V15*9.0476*LOOKUP(V17,密度!$A$2:$A$50,密度!$Q$2:$Q$50),0)</f>
        <v>12545.263907799999</v>
      </c>
      <c r="W16" s="73" ph="1">
        <f>MAX(5600*LOOKUP(W17,密度!$A$2:$A$50,密度!$Q$2:$Q$50)+W15*9.0476*LOOKUP(W17,密度!$A$2:$A$50,密度!$Q$2:$Q$50),0)</f>
        <v>17820.375714251997</v>
      </c>
      <c r="X16" s="73" ph="1">
        <f>MAX(5600*LOOKUP(X17,密度!$A$2:$A$50,密度!$I$2:$I$50)+X15*9.0476*LOOKUP(X17,密度!$A$2:$A$50,密度!$I$2:$I$50),0)</f>
        <v>17837.867154659998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48798.487267680001</v>
      </c>
      <c r="AB16" s="73" ph="1">
        <f>AB15*9.0746*LOOKUP(AB17,密度!$A$2:$A$50,密度!$L$2:$L$50)</f>
        <v>9316.2565979999999</v>
      </c>
      <c r="AC16" s="73" ph="1">
        <f>AC15*9.0746*LOOKUP(AC17,密度!$A$2:$A$50,密度!$L$2:$L$50)</f>
        <v>27871.445127400002</v>
      </c>
      <c r="AD16" s="73" ph="1">
        <f>AD15*268.68*LOOKUP(AD17,密度!$A$2:$A$50,密度!B2:B50)+IF(AD15&lt;=0,0,1566*LOOKUP(AD17,密度!$A$2:$A$50,密度!B2:B50))</f>
        <v>15707.30970048</v>
      </c>
      <c r="AE16" s="73" ph="1">
        <f>AE15*268.68*LOOKUP(AE17,密度!$A$2:$A$50,密度!B2:B50)+IF(AE15&lt;=0,0,1566*LOOKUP(AE17,密度!$A$2:$A$50,密度!B2:B50))</f>
        <v>2381.2782211200001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31</v>
      </c>
      <c r="E17" s="74">
        <v>31</v>
      </c>
      <c r="F17" s="74">
        <v>29</v>
      </c>
      <c r="G17" s="74">
        <v>28</v>
      </c>
      <c r="H17" s="74">
        <v>29</v>
      </c>
      <c r="I17" s="74">
        <v>26</v>
      </c>
      <c r="J17" s="74">
        <v>26</v>
      </c>
      <c r="K17" s="74">
        <v>28</v>
      </c>
      <c r="L17" s="74">
        <v>29</v>
      </c>
      <c r="M17" s="74">
        <v>29</v>
      </c>
      <c r="N17" s="74">
        <v>28</v>
      </c>
      <c r="O17" s="74">
        <v>29</v>
      </c>
      <c r="P17" s="74">
        <v>30</v>
      </c>
      <c r="Q17" s="74">
        <v>31</v>
      </c>
      <c r="R17" s="74">
        <v>30</v>
      </c>
      <c r="S17" s="74">
        <v>31</v>
      </c>
      <c r="T17" s="74">
        <v>30</v>
      </c>
      <c r="U17" s="74">
        <v>31</v>
      </c>
      <c r="V17" s="74">
        <v>29</v>
      </c>
      <c r="W17" s="74">
        <v>30</v>
      </c>
      <c r="X17" s="74">
        <v>31</v>
      </c>
      <c r="Y17" s="108">
        <v>31</v>
      </c>
      <c r="Z17" s="74">
        <v>27</v>
      </c>
      <c r="AA17" s="74">
        <v>30</v>
      </c>
      <c r="AB17" s="74">
        <v>27</v>
      </c>
      <c r="AC17" s="74">
        <v>31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2799</v>
      </c>
      <c r="E18" s="71">
        <v>5171</v>
      </c>
      <c r="F18" s="71">
        <v>1152</v>
      </c>
      <c r="G18" s="71">
        <v>2941</v>
      </c>
      <c r="H18" s="71">
        <v>4104</v>
      </c>
      <c r="I18" s="71">
        <v>3552</v>
      </c>
      <c r="J18" s="71">
        <v>422</v>
      </c>
      <c r="K18" s="71">
        <v>3106</v>
      </c>
      <c r="L18" s="71">
        <v>5356</v>
      </c>
      <c r="M18" s="71">
        <v>3973</v>
      </c>
      <c r="N18" s="71">
        <v>3110</v>
      </c>
      <c r="O18" s="71">
        <v>6873</v>
      </c>
      <c r="P18" s="71">
        <v>105</v>
      </c>
      <c r="Q18" s="71">
        <v>3484</v>
      </c>
      <c r="R18" s="71">
        <v>4632</v>
      </c>
      <c r="S18" s="71">
        <v>3989</v>
      </c>
      <c r="T18" s="71">
        <v>1835</v>
      </c>
      <c r="U18" s="71">
        <v>6187</v>
      </c>
      <c r="V18" s="71">
        <v>850</v>
      </c>
      <c r="W18" s="71">
        <v>1393</v>
      </c>
      <c r="X18" s="71">
        <v>1285</v>
      </c>
      <c r="Y18" s="109">
        <v>-9906</v>
      </c>
      <c r="Z18" s="71">
        <v>0</v>
      </c>
      <c r="AA18" s="71">
        <v>6941</v>
      </c>
      <c r="AB18" s="71">
        <v>1098</v>
      </c>
      <c r="AC18" s="71">
        <v>3448</v>
      </c>
      <c r="AD18" s="71">
        <v>84.23</v>
      </c>
      <c r="AE18" s="71">
        <v>31.1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47" t="s" ph="1">
        <v>178</v>
      </c>
      <c r="D19" s="73" ph="1">
        <f>D18*7.0686*LOOKUP(D20,密度!$A$2:$A$50,密度!$L$2:$L$50)</f>
        <v>18400.060602000001</v>
      </c>
      <c r="E19" s="73" ph="1">
        <f>E18*7.0686*LOOKUP(E20,密度!$A$2:$A$50,密度!$L$2:$L$50)</f>
        <v>33993.109458000006</v>
      </c>
      <c r="F19" s="73" ph="1">
        <f>F18*9.0746*LOOKUP(F20,密度!$A$2:$A$50,密度!$L$2:$L$50)</f>
        <v>9722.163456000002</v>
      </c>
      <c r="G19" s="73" ph="1">
        <f>G18*9.0746*LOOKUP(G20,密度!$A$2:$A$50,密度!$B$2:$B$50)</f>
        <v>20691.51543458</v>
      </c>
      <c r="H19" s="73" ph="1">
        <f>H18*9.0746*LOOKUP(H20,密度!$A$2:$A$50,密度!$L$2:$L$50)</f>
        <v>34709.691628799999</v>
      </c>
      <c r="I19" s="73" ph="1">
        <f>I18*9.0746*LOOKUP(I20,密度!$A$2:$A$50,密度!$U$2:$U$50)</f>
        <v>32845.405804800001</v>
      </c>
      <c r="J19" s="73" ph="1">
        <f>J18*9.0746*LOOKUP(J20,密度!$A$2:$A$50,密度!$L$2:$L$50)</f>
        <v>3565.2469972000004</v>
      </c>
      <c r="K19" s="73" ph="1">
        <f>K18*9.0746*LOOKUP(K20,密度!$A$2:$A$50,密度!$C$2:$C$50)</f>
        <v>31148.025468760003</v>
      </c>
      <c r="L19" s="73" ph="1">
        <f>L18*9.0746*LOOKUP(L20,密度!$A$2:$A$50,密度!$E$2:$E$50)</f>
        <v>37738.232298520001</v>
      </c>
      <c r="M19" s="73" ph="1">
        <f>M18*9.0746*LOOKUP(M20,密度!$A$2:$A$50,密度!$M$2:$M$50)</f>
        <v>31325.705320046003</v>
      </c>
      <c r="N19" s="73" ph="1">
        <f>N18*9.0746*LOOKUP(N20,密度!$A$2:$A$50,密度!$M$2:$M$50)</f>
        <v>24609.589232000002</v>
      </c>
      <c r="O19" s="73" ph="1">
        <f>O18*9.0746*LOOKUP(O20,密度!$A$2:$A$50,密度!$G$2:$G$50)</f>
        <v>59544.377221260002</v>
      </c>
      <c r="P19" s="73" ph="1">
        <f ca="1">P18*9.0746*LOOKUP(P20,密度!$A$2:$A$51,密度!$Q$2:$Q$50)</f>
        <v>896.85406124999997</v>
      </c>
      <c r="Q19" s="73" ph="1">
        <f>Q18*9.0746*LOOKUP(Q20,密度!$A$2:$A$50,密度!$Q$2:$Q$50)</f>
        <v>29779.02223816</v>
      </c>
      <c r="R19" s="73" ph="1">
        <f>MAX(R18*9.0746*LOOKUP(R20,密度!$A$2:$A$50,密度!$B$2:$B$50),0)</f>
        <v>32479.321921440001</v>
      </c>
      <c r="S19" s="73" ph="1">
        <f>S18*9.0746*LOOKUP(S20,密度!$A$2:$A$50,密度!$Q$2:$Q$50)</f>
        <v>34095.441936859999</v>
      </c>
      <c r="T19" s="73" ph="1">
        <f>T18*9.0746*LOOKUP(T20,密度!$A$2:$A$50,密度!$O$2:$O$50)</f>
        <v>15339.721989199999</v>
      </c>
      <c r="U19" s="73" ph="1">
        <f>U18*9.0746*LOOKUP(U20,密度!$A$2:$A$50,密度!$H$2:$H$50)</f>
        <v>50983.743145615997</v>
      </c>
      <c r="V19" s="73" ph="1">
        <f>MAX(5600*LOOKUP(V20,密度!$A$2:$A$50,密度!$Q$2:$Q$50)+V18*9.0476*LOOKUP(V20,密度!$A$2:$A$50,密度!$Q$2:$Q$50),0)</f>
        <v>12518.284273999998</v>
      </c>
      <c r="W19" s="73" ph="1">
        <f>MAX(5600*LOOKUP(W20,密度!$A$2:$A$50,密度!$Q$2:$Q$50)+W18*9.0476*LOOKUP(W20,密度!$A$2:$A$50,密度!$Q$2:$Q$50),0)</f>
        <v>17110.016193591997</v>
      </c>
      <c r="X19" s="73" ph="1">
        <f>MAX(5600*LOOKUP(X20,密度!$A$2:$A$50,密度!$I$2:$I$50)+X18*9.0476*LOOKUP(X20,密度!$A$2:$A$50,密度!$I$2:$I$50),0)</f>
        <v>17818.746110399999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48720.288717099997</v>
      </c>
      <c r="AB19" s="73" ph="1">
        <f>AB18*9.0746*LOOKUP(AB20,密度!$A$2:$A$50,密度!$L$2:$L$50)</f>
        <v>9246.5092224</v>
      </c>
      <c r="AC19" s="73" ph="1">
        <f>AC18*9.0746*LOOKUP(AC20,密度!$A$2:$A$50,密度!$L$2:$L$50)</f>
        <v>29098.975344000002</v>
      </c>
      <c r="AD19" s="73" ph="1">
        <f>AD18*268.68*LOOKUP(AD20,密度!$A$2:$A$50,密度!B5:B53)+IF(AD18&lt;=0,0,1566*LOOKUP(AD20,密度!$A$2:$A$50,密度!B5:B53))</f>
        <v>18801.004042800003</v>
      </c>
      <c r="AE19" s="73" ph="1">
        <f>AE18*268.68*LOOKUP(AE20,密度!$A$2:$A$50,密度!B5:B53)+IF(AE18&lt;=0,0,1566*LOOKUP(AE20,密度!$A$2:$A$50,密度!B5:B53))</f>
        <v>7709.3535960000008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32</v>
      </c>
      <c r="E20" s="81">
        <v>32</v>
      </c>
      <c r="F20" s="81">
        <v>32</v>
      </c>
      <c r="G20" s="81">
        <v>30</v>
      </c>
      <c r="H20" s="81">
        <v>30</v>
      </c>
      <c r="I20" s="81">
        <v>31</v>
      </c>
      <c r="J20" s="81">
        <v>31</v>
      </c>
      <c r="K20" s="81">
        <v>30</v>
      </c>
      <c r="L20" s="81">
        <v>31</v>
      </c>
      <c r="M20" s="81">
        <v>31</v>
      </c>
      <c r="N20" s="81">
        <v>28</v>
      </c>
      <c r="O20" s="81">
        <v>30</v>
      </c>
      <c r="P20" s="81">
        <v>33</v>
      </c>
      <c r="Q20" s="81">
        <v>32</v>
      </c>
      <c r="R20" s="81">
        <v>33</v>
      </c>
      <c r="S20" s="81">
        <v>32</v>
      </c>
      <c r="T20" s="81">
        <v>33</v>
      </c>
      <c r="U20" s="81">
        <v>32</v>
      </c>
      <c r="V20" s="81">
        <v>32</v>
      </c>
      <c r="W20" s="81">
        <v>35</v>
      </c>
      <c r="X20" s="81">
        <v>32</v>
      </c>
      <c r="Y20" s="110">
        <v>32</v>
      </c>
      <c r="Z20" s="81">
        <v>35</v>
      </c>
      <c r="AA20" s="81">
        <v>32</v>
      </c>
      <c r="AB20" s="81">
        <v>34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47" t="s" ph="1">
        <v>177</v>
      </c>
      <c r="D24" s="71">
        <v>86.48</v>
      </c>
      <c r="E24" s="71">
        <v>5.44</v>
      </c>
      <c r="F24" s="71">
        <v>2342</v>
      </c>
      <c r="G24" s="71">
        <v>12</v>
      </c>
      <c r="H24" s="71">
        <v>3152</v>
      </c>
      <c r="I24" s="71">
        <v>2469</v>
      </c>
      <c r="J24" s="71">
        <v>689</v>
      </c>
      <c r="K24" s="71">
        <v>649</v>
      </c>
      <c r="L24" s="71">
        <v>5617</v>
      </c>
      <c r="M24" s="71">
        <v>657</v>
      </c>
      <c r="N24" s="71">
        <v>4373</v>
      </c>
      <c r="O24" s="71">
        <v>4321</v>
      </c>
      <c r="P24" s="71">
        <v>2130</v>
      </c>
      <c r="Q24" s="90">
        <v>2082</v>
      </c>
      <c r="R24" s="71">
        <v>206</v>
      </c>
      <c r="S24" s="71">
        <v>2234</v>
      </c>
      <c r="T24" s="71">
        <v>1697</v>
      </c>
      <c r="U24" s="71">
        <v>5401</v>
      </c>
      <c r="V24" s="71">
        <v>5457</v>
      </c>
      <c r="W24" s="71">
        <v>0</v>
      </c>
      <c r="X24" s="71">
        <v>1868</v>
      </c>
      <c r="Y24" s="71">
        <v>948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23480.521364736003</v>
      </c>
      <c r="E25" s="91" ph="1">
        <f>E24*268.68*LOOKUP(E26,密度!$A$2:$A$50,密度!$C$2:$C$50)+IF(E24&lt;=0,0,1566*LOOKUP(E26,密度!$A$2:$A$50,密度!$C$2:$C$50))</f>
        <v>3357.32693088</v>
      </c>
      <c r="F25" s="91" ph="1">
        <f>F24*11.702*LOOKUP(F26,密度!$A$2:$A$50,密度!$Q$2:$Q$50)</f>
        <v>25869.424870120001</v>
      </c>
      <c r="G25" s="91" ph="1">
        <f>G24*18.322*LOOKUP(G26,密度!$A$2:$A$50,密度!$B$2:$B$50)</f>
        <v>170.65843679999998</v>
      </c>
      <c r="H25" s="91" ph="1">
        <f>H24*18.322*LOOKUP(H26,密度!$A$2:$A$50,密度!$B$2:$B$50)</f>
        <v>44774.306883199999</v>
      </c>
      <c r="I25" s="91" ph="1">
        <f>I24*18.322*LOOKUP(I26,密度!$A$2:$A$50,密度!$Q$2:$Q$50)</f>
        <v>42673.436189939996</v>
      </c>
      <c r="J25" s="91" ph="1">
        <f>J24*18.322*LOOKUP(J26,密度!$A$2:$A$50,密度!$Q$2:$Q$50)</f>
        <v>11916.03828194</v>
      </c>
      <c r="K25" s="91" ph="1">
        <f>K24*18.322*LOOKUP(K26,密度!$A$2:$A$50,密度!$Q$2:$Q$50)</f>
        <v>11224.250863539999</v>
      </c>
      <c r="L25" s="91" ph="1">
        <f>L24*18.322*LOOKUP(L26,密度!$A$2:$A$50,密度!$Q$2:$Q$50)</f>
        <v>97144.248228819997</v>
      </c>
      <c r="M25" s="91" ph="1">
        <f>M24*18.322*LOOKUP(M26,密度!$A$2:$A$50,密度!$Q$2:$Q$50)</f>
        <v>11355.38581482</v>
      </c>
      <c r="N25" s="91" ph="1">
        <f>N24*18.322*LOOKUP(N26,密度!$A$2:$A$50,密度!$Q$2:$Q$50)</f>
        <v>75629.65951658001</v>
      </c>
      <c r="O25" s="91" ph="1">
        <f>O24*18.322*LOOKUP(O26,密度!$A$2:$A$50,密度!$C$2:$C$50)</f>
        <v>87490.061946199989</v>
      </c>
      <c r="P25" s="91" ph="1">
        <f>P24*11.702*LOOKUP(P26,密度!$A$2:$A$50,密度!$B$2:$B$50)</f>
        <v>19346.986811999999</v>
      </c>
      <c r="Q25" s="92" ph="1">
        <f>Q24*18.322*LOOKUP(Q26,密度!$A$2:$A$50,密度!$B$2:$B$50)</f>
        <v>29609.238784799996</v>
      </c>
      <c r="R25" s="91" ph="1">
        <f>R24*35.891*LOOKUP(R26,密度!$A$2:$A$50,密度!$C$2:$C$50)</f>
        <v>8176.5225214000002</v>
      </c>
      <c r="S25" s="91" ph="1">
        <f>S24*35.891*LOOKUP(S26,密度!$A$2:$A$50,密度!$B$2:$B$50)</f>
        <v>62163.936998199992</v>
      </c>
      <c r="T25" s="91" ph="1">
        <f>T24*35.891*LOOKUP(T26,密度!$A$2:$A$50,密度!$Q$2:$Q$50)</f>
        <v>57455.425779909994</v>
      </c>
      <c r="U25" s="91" ph="1">
        <f>U24*35.891</f>
        <v>193847.291</v>
      </c>
      <c r="V25" s="91" ph="1">
        <f>V24*47.051*LOOKUP(V26,密度!$A$2:$A$50,密度!$B$2:$B$50)</f>
        <v>199063.94011709999</v>
      </c>
      <c r="W25" s="91" ph="1">
        <f>W24*47.051*LOOKUP(W26,密度!$A$2:$A$50,密度!$B$2:$B$50)</f>
        <v>0</v>
      </c>
      <c r="X25" s="91" ph="1">
        <f>X24*47.051*LOOKUP(X26,密度!$A$2:$A$50,密度!$I$2:$I$50)</f>
        <v>91108.088408799988</v>
      </c>
      <c r="Y25" s="91" ph="1">
        <f>Y24*47.051*LOOKUP(Y26,密度!$A$2:$A$50,密度!$L$2:$L$50)</f>
        <v>41615.856684000006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29</v>
      </c>
      <c r="G26" s="74">
        <v>29</v>
      </c>
      <c r="H26" s="74">
        <v>30</v>
      </c>
      <c r="I26" s="74">
        <v>30</v>
      </c>
      <c r="J26" s="74">
        <v>29</v>
      </c>
      <c r="K26" s="74">
        <v>29</v>
      </c>
      <c r="L26" s="74">
        <v>29</v>
      </c>
      <c r="M26" s="74">
        <v>30</v>
      </c>
      <c r="N26" s="74">
        <v>29</v>
      </c>
      <c r="O26" s="74">
        <v>30</v>
      </c>
      <c r="P26" s="74">
        <v>29</v>
      </c>
      <c r="Q26" s="93">
        <v>29</v>
      </c>
      <c r="R26" s="74">
        <v>29</v>
      </c>
      <c r="S26" s="74">
        <v>30</v>
      </c>
      <c r="T26" s="74">
        <v>30</v>
      </c>
      <c r="U26" s="74">
        <v>29</v>
      </c>
      <c r="V26" s="74">
        <v>30</v>
      </c>
      <c r="W26" s="74">
        <v>30</v>
      </c>
      <c r="X26" s="74">
        <v>30</v>
      </c>
      <c r="Y26" s="74">
        <v>29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47" t="s" ph="1">
        <v>180</v>
      </c>
      <c r="D27" s="71">
        <v>86.52</v>
      </c>
      <c r="E27" s="71">
        <v>5.42</v>
      </c>
      <c r="F27" s="71">
        <v>2342</v>
      </c>
      <c r="G27" s="71">
        <v>0</v>
      </c>
      <c r="H27" s="71">
        <v>2606</v>
      </c>
      <c r="I27" s="71">
        <v>3047</v>
      </c>
      <c r="J27" s="71">
        <v>684</v>
      </c>
      <c r="K27" s="71">
        <v>644</v>
      </c>
      <c r="L27" s="71">
        <v>5613</v>
      </c>
      <c r="M27" s="71">
        <v>652</v>
      </c>
      <c r="N27" s="71">
        <v>5531</v>
      </c>
      <c r="O27" s="71">
        <v>4317</v>
      </c>
      <c r="P27" s="71">
        <v>2128</v>
      </c>
      <c r="Q27" s="90">
        <v>2338</v>
      </c>
      <c r="R27" s="71">
        <v>202</v>
      </c>
      <c r="S27" s="71">
        <v>2230</v>
      </c>
      <c r="T27" s="71">
        <v>1402</v>
      </c>
      <c r="U27" s="71">
        <v>5279</v>
      </c>
      <c r="V27" s="71">
        <v>5188</v>
      </c>
      <c r="W27" s="71">
        <v>0</v>
      </c>
      <c r="X27" s="71">
        <v>1866</v>
      </c>
      <c r="Y27" s="71">
        <v>616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47" t="s" ph="1">
        <v>178</v>
      </c>
      <c r="D28" s="91" ph="1">
        <f>D27*268.68*LOOKUP(D29,密度!$A$2:$A$50,密度!$Q$2:$Q$50)+IF(D27&lt;=0,0,1566*LOOKUP(D29,密度!$A$2:$A$50,密度!$Q$2:$Q$50))</f>
        <v>23490.696168864</v>
      </c>
      <c r="E28" s="91" ph="1">
        <f>E27*268.68*LOOKUP(E29,密度!$A$2:$A$50,密度!$C$2:$C$50)+IF(E27&lt;=0,0,1566*LOOKUP(E29,密度!$A$2:$A$50,密度!$C$2:$C$50))</f>
        <v>3351.3681458399997</v>
      </c>
      <c r="F28" s="91" ph="1">
        <f>F27*11.702*LOOKUP(F29,密度!$A$2:$A$50,密度!$Q$2:$Q$50)</f>
        <v>25813.790519599999</v>
      </c>
      <c r="G28" s="91" ph="1">
        <f>G27*18.322*LOOKUP(G29,密度!$A$2:$A$50,密度!$B$2:$B$50)</f>
        <v>0</v>
      </c>
      <c r="H28" s="91" ph="1">
        <f>H27*18.322*LOOKUP(H29,密度!$A$2:$A$50,密度!$B$2:$B$50)</f>
        <v>36932.406601999995</v>
      </c>
      <c r="I28" s="91" ph="1">
        <f>I27*18.322*LOOKUP(I29,密度!$A$2:$A$50,密度!$Q$2:$Q$50)</f>
        <v>52583.577514599994</v>
      </c>
      <c r="J28" s="91" ph="1">
        <f>J27*18.322*LOOKUP(J29,密度!$A$2:$A$50,密度!$Q$2:$Q$50)</f>
        <v>11804.124391199999</v>
      </c>
      <c r="K28" s="91" ph="1">
        <f>K27*18.322*LOOKUP(K29,密度!$A$2:$A$50,密度!$Q$2:$Q$50)</f>
        <v>11106.155129999999</v>
      </c>
      <c r="L28" s="91" ph="1">
        <f>L27*18.322*LOOKUP(L29,密度!$A$2:$A$50,密度!$Q$2:$Q$50)</f>
        <v>96866.301473399988</v>
      </c>
      <c r="M28" s="91" ph="1">
        <f>M27*18.322*LOOKUP(M29,密度!$A$2:$A$50,密度!$Q$2:$Q$50)</f>
        <v>11251.884653599998</v>
      </c>
      <c r="N28" s="91" ph="1">
        <f>N27*18.322*LOOKUP(N29,密度!$A$2:$A$50,密度!$Q$2:$Q$50)</f>
        <v>95385.316807499999</v>
      </c>
      <c r="O28" s="91" ph="1">
        <f>O27*18.322*LOOKUP(O29,密度!$A$2:$A$50,密度!$C$2:$C$50)</f>
        <v>87242.96962199999</v>
      </c>
      <c r="P28" s="91" ph="1">
        <f>P27*11.702*LOOKUP(P29,密度!$A$2:$A$50,密度!$B$2:$B$50)</f>
        <v>19241.664131200003</v>
      </c>
      <c r="Q28" s="92" ph="1">
        <f>Q27*18.322*LOOKUP(Q29,密度!$A$2:$A$50,密度!$B$2:$B$50)</f>
        <v>33100.023177199997</v>
      </c>
      <c r="R28" s="91" ph="1">
        <f>R27*35.891*LOOKUP(R29,密度!$A$2:$A$50,密度!$C$2:$C$50)</f>
        <v>7996.7301459999999</v>
      </c>
      <c r="S28" s="91" ph="1">
        <f>S27*35.891*LOOKUP(S29,密度!$A$2:$A$50,密度!$B$2:$B$50)</f>
        <v>61844.535811000002</v>
      </c>
      <c r="T28" s="91" ph="1">
        <f>T27*35.891*LOOKUP(T29,密度!$A$2:$A$50,密度!$Q$2:$Q$50)</f>
        <v>47395.637525799997</v>
      </c>
      <c r="U28" s="91" ph="1">
        <f>U27*35.891</f>
        <v>189468.58899999998</v>
      </c>
      <c r="V28" s="91" ph="1">
        <f>V27*47.051*LOOKUP(V29,密度!$A$2:$A$50,密度!$B$2:$B$50)</f>
        <v>188811.804818</v>
      </c>
      <c r="W28" s="91" ph="1">
        <f>W27*47.051*LOOKUP(W29,密度!$A$2:$A$50,密度!$B$2:$B$50)</f>
        <v>0</v>
      </c>
      <c r="X28" s="91" ph="1">
        <f>X27*47.051*LOOKUP(X29,密度!$A$2:$A$50,密度!$I$2:$I$50)</f>
        <v>90719.933656139998</v>
      </c>
      <c r="Y28" s="91" ph="1">
        <f>Y27*47.051*LOOKUP(Y29,密度!$A$2:$A$50,密度!$L$2:$L$50)</f>
        <v>26954.576880000004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47" t="s" ph="1">
        <v>179</v>
      </c>
      <c r="D29" s="74">
        <v>25</v>
      </c>
      <c r="E29" s="74">
        <v>25</v>
      </c>
      <c r="F29" s="74">
        <v>32</v>
      </c>
      <c r="G29" s="74">
        <v>33</v>
      </c>
      <c r="H29" s="74">
        <v>32</v>
      </c>
      <c r="I29" s="74">
        <v>32</v>
      </c>
      <c r="J29" s="74">
        <v>32</v>
      </c>
      <c r="K29" s="74">
        <v>33</v>
      </c>
      <c r="L29" s="74">
        <v>32</v>
      </c>
      <c r="M29" s="74">
        <v>32</v>
      </c>
      <c r="N29" s="74">
        <v>33</v>
      </c>
      <c r="O29" s="74">
        <v>32</v>
      </c>
      <c r="P29" s="74">
        <v>33</v>
      </c>
      <c r="Q29" s="93">
        <v>33</v>
      </c>
      <c r="R29" s="74">
        <v>32</v>
      </c>
      <c r="S29" s="74">
        <v>33</v>
      </c>
      <c r="T29" s="74">
        <v>32</v>
      </c>
      <c r="U29" s="74">
        <v>32</v>
      </c>
      <c r="V29" s="74">
        <v>32</v>
      </c>
      <c r="W29" s="74">
        <v>33</v>
      </c>
      <c r="X29" s="74">
        <v>33</v>
      </c>
      <c r="Y29" s="74">
        <v>32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90146.075143800001</v>
      </c>
      <c r="E33" s="204" ph="1">
        <f>M10+I10</f>
        <v>100270.92013699998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08" ph="1">
        <v>0</v>
      </c>
      <c r="H33" s="204" ph="1">
        <f>N19</f>
        <v>24609.589232000002</v>
      </c>
      <c r="I33" s="217" ph="1">
        <v>0</v>
      </c>
      <c r="J33" s="215" ph="1">
        <f>F10+O28</f>
        <v>338581.26848730003</v>
      </c>
      <c r="K33" s="204" ph="1">
        <f>O10+K10+E28+R28</f>
        <v>17947.186671839998</v>
      </c>
      <c r="L33" s="219" ph="1">
        <f>BE27</f>
        <v>7100</v>
      </c>
      <c r="M33" s="215" ph="1">
        <f>G10+H10+W28+S28+V28+E10</f>
        <v>1307883.5715070001</v>
      </c>
      <c r="N33" s="204" ph="1">
        <f>L10+P10++G28+H28</f>
        <v>393483.94546299998</v>
      </c>
      <c r="O33" s="217" ph="1">
        <f>BE17</f>
        <v>2270</v>
      </c>
      <c r="P33" s="215" ph="1">
        <f>L19</f>
        <v>37738.232298520001</v>
      </c>
      <c r="Q33" s="204" ph="1">
        <f>J10+N10</f>
        <v>147359.3482682</v>
      </c>
      <c r="R33" s="217" ph="1">
        <f>BE23</f>
        <v>890</v>
      </c>
      <c r="S33" s="215" ph="1">
        <f>E10+X28</f>
        <v>450782.59318413999</v>
      </c>
      <c r="T33" s="204" ph="1">
        <f>X19</f>
        <v>17818.746110399999</v>
      </c>
      <c r="U33" s="225" ph="1">
        <f>BE21</f>
        <v>730</v>
      </c>
      <c r="V33" s="236" ph="1">
        <f ca="1">P19+Q19+S19+M28+N28+J28</f>
        <v>183212.64408857</v>
      </c>
      <c r="W33" s="236" ph="1">
        <f>D28+F28+V19+T28</f>
        <v>109218.40848826399</v>
      </c>
      <c r="X33" s="217" ph="1">
        <f>BE29+BE31</f>
        <v>10200</v>
      </c>
      <c r="Y33" s="238" ph="1">
        <f>+Q10+R10+S10+T10+U10+V10+W10+X10+Y10</f>
        <v>167643.9080316</v>
      </c>
      <c r="Z33" s="223" ph="1">
        <f>D10+T19+U19+Y28+Z10</f>
        <v>371700.32074429601</v>
      </c>
      <c r="AA33" s="225" ph="1">
        <f>BE19</f>
        <v>1440</v>
      </c>
      <c r="AB33" s="227" ph="1">
        <f>I19</f>
        <v>32845.405804800001</v>
      </c>
      <c r="AC33" s="229" ph="1">
        <f>AD10</f>
        <v>78579.9626976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49" t="s" ph="1">
        <v>185</v>
      </c>
      <c r="AA36" s="149" ph="1"/>
      <c r="AB36" s="222" t="s" ph="1">
        <v>641</v>
      </c>
      <c r="AC36" s="222" ph="1"/>
      <c r="AD36" s="222" ph="1"/>
      <c r="AE36" s="22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342</v>
      </c>
      <c r="AI37" s="149" t="s" ph="1">
        <v>209</v>
      </c>
      <c r="AJ37" s="149" t="s" ph="1">
        <v>210</v>
      </c>
      <c r="AK37" s="149" t="s" ph="1">
        <v>211</v>
      </c>
      <c r="AM37" s="149" t="s" ph="1">
        <v>210</v>
      </c>
      <c r="AN37" s="149" t="s" ph="1">
        <v>211</v>
      </c>
      <c r="AO37" s="149" t="s" ph="1">
        <v>212</v>
      </c>
      <c r="AP37" s="149" t="s" ph="1">
        <v>210</v>
      </c>
      <c r="AQ37" s="149" t="s" ph="1">
        <v>211</v>
      </c>
      <c r="AR37" s="149" t="s" ph="1">
        <v>212</v>
      </c>
      <c r="AS37" s="149" t="s" ph="1">
        <v>210</v>
      </c>
      <c r="AT37" s="149" t="s" ph="1">
        <v>211</v>
      </c>
      <c r="AU37" s="149" t="s" ph="1">
        <v>212</v>
      </c>
      <c r="AV37" s="149" t="s" ph="1">
        <v>210</v>
      </c>
      <c r="AW37" s="149" t="s" ph="1">
        <v>211</v>
      </c>
      <c r="AX37" s="149" t="s" ph="1">
        <v>212</v>
      </c>
      <c r="AY37" s="149" t="s" ph="1">
        <v>211</v>
      </c>
      <c r="AZ37" s="149" t="s" ph="1">
        <v>213</v>
      </c>
      <c r="BD37" s="149" t="s" ph="1">
        <v>305</v>
      </c>
      <c r="BE37" s="14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663" priority="98">
      <formula>ABS(D$7-D$10)&gt;=1000</formula>
    </cfRule>
  </conditionalFormatting>
  <conditionalFormatting sqref="E4 E6:E11">
    <cfRule type="expression" dxfId="1662" priority="97">
      <formula>ABS(E$7-E$10)&gt;=1000</formula>
    </cfRule>
  </conditionalFormatting>
  <conditionalFormatting sqref="F4:F11">
    <cfRule type="expression" dxfId="1661" priority="96">
      <formula>ABS(F$7-F$10)&gt;=1000</formula>
    </cfRule>
  </conditionalFormatting>
  <conditionalFormatting sqref="G4:G11">
    <cfRule type="expression" dxfId="1660" priority="95">
      <formula>ABS(G$7-G$10)&gt;=1000</formula>
    </cfRule>
  </conditionalFormatting>
  <conditionalFormatting sqref="H4:H11">
    <cfRule type="expression" dxfId="1659" priority="94">
      <formula>ABS(H$7-H$10)&gt;=1000</formula>
    </cfRule>
  </conditionalFormatting>
  <conditionalFormatting sqref="I4:I11">
    <cfRule type="expression" dxfId="1658" priority="93">
      <formula>ABS(I$7-I$10)&gt;=1000</formula>
    </cfRule>
  </conditionalFormatting>
  <conditionalFormatting sqref="J4:J11">
    <cfRule type="expression" dxfId="1657" priority="92">
      <formula>ABS(J$7-J$10)&gt;=1000</formula>
    </cfRule>
  </conditionalFormatting>
  <conditionalFormatting sqref="K4:K11">
    <cfRule type="expression" dxfId="1656" priority="91">
      <formula>ABS(K$7-K$10)&gt;=1000</formula>
    </cfRule>
  </conditionalFormatting>
  <conditionalFormatting sqref="L4:L11">
    <cfRule type="expression" dxfId="1655" priority="90">
      <formula>ABS(L$7-L$10)&gt;=1000</formula>
    </cfRule>
  </conditionalFormatting>
  <conditionalFormatting sqref="M4 M6:M11">
    <cfRule type="expression" dxfId="1654" priority="89">
      <formula>ABS(M$7-M$10)&gt;=1000</formula>
    </cfRule>
  </conditionalFormatting>
  <conditionalFormatting sqref="N4 N6:N11">
    <cfRule type="expression" dxfId="1653" priority="88">
      <formula>ABS(N$7-N$10)&gt;=1000</formula>
    </cfRule>
  </conditionalFormatting>
  <conditionalFormatting sqref="O4 O6:O11">
    <cfRule type="expression" dxfId="1652" priority="87">
      <formula>ABS(O$7-O$10)&gt;=1000</formula>
    </cfRule>
  </conditionalFormatting>
  <conditionalFormatting sqref="P4 P6:P11">
    <cfRule type="expression" dxfId="1651" priority="86">
      <formula>ABS(P$7-P$10)&gt;=1000</formula>
    </cfRule>
  </conditionalFormatting>
  <conditionalFormatting sqref="Q4:Q11">
    <cfRule type="expression" dxfId="1650" priority="85">
      <formula>ABS(Q$7-Q$10)&gt;=1000</formula>
    </cfRule>
  </conditionalFormatting>
  <conditionalFormatting sqref="R4:R11">
    <cfRule type="expression" dxfId="1649" priority="84">
      <formula>ABS(R$7-R$10)&gt;=1000</formula>
    </cfRule>
  </conditionalFormatting>
  <conditionalFormatting sqref="S4:S11">
    <cfRule type="expression" dxfId="1648" priority="83">
      <formula>ABS(S$7-S$10)&gt;=1000</formula>
    </cfRule>
  </conditionalFormatting>
  <conditionalFormatting sqref="T4:T9 T11">
    <cfRule type="expression" dxfId="1647" priority="82">
      <formula>ABS(T$7-T$10)&gt;=1000</formula>
    </cfRule>
  </conditionalFormatting>
  <conditionalFormatting sqref="U4:U9 U11">
    <cfRule type="expression" dxfId="1646" priority="81">
      <formula>ABS(U$7-U$10)&gt;=1000</formula>
    </cfRule>
  </conditionalFormatting>
  <conditionalFormatting sqref="V4:V9 V11">
    <cfRule type="expression" dxfId="1645" priority="80">
      <formula>ABS(V$7-V$10)&gt;=1000</formula>
    </cfRule>
  </conditionalFormatting>
  <conditionalFormatting sqref="W4:W9 W11">
    <cfRule type="expression" dxfId="1644" priority="79">
      <formula>ABS(W$7-W$10)&gt;=1000</formula>
    </cfRule>
  </conditionalFormatting>
  <conditionalFormatting sqref="X4:X9 X11">
    <cfRule type="expression" dxfId="1643" priority="78">
      <formula>ABS(X$7-X$10)&gt;=1000</formula>
    </cfRule>
  </conditionalFormatting>
  <conditionalFormatting sqref="Y4:Y9 Y11">
    <cfRule type="expression" dxfId="1642" priority="77">
      <formula>ABS(Y$7-Y$10)&gt;=1000</formula>
    </cfRule>
  </conditionalFormatting>
  <conditionalFormatting sqref="Z4:Z11">
    <cfRule type="expression" dxfId="1641" priority="76">
      <formula>ABS(Z$7-Z$10)&gt;=1000</formula>
    </cfRule>
  </conditionalFormatting>
  <conditionalFormatting sqref="AA4:AA11">
    <cfRule type="expression" dxfId="1640" priority="75">
      <formula>ABS(AA$7-AA$10)&gt;=1000</formula>
    </cfRule>
  </conditionalFormatting>
  <conditionalFormatting sqref="AB4:AB11">
    <cfRule type="expression" dxfId="1639" priority="74">
      <formula>ABS(AB$7-AB$10)&gt;=1000</formula>
    </cfRule>
  </conditionalFormatting>
  <conditionalFormatting sqref="AC4 AC6:AC11">
    <cfRule type="expression" dxfId="1638" priority="73">
      <formula>ABS(AC$7-AC$10)&gt;=1000</formula>
    </cfRule>
  </conditionalFormatting>
  <conditionalFormatting sqref="AD4:AD11">
    <cfRule type="expression" dxfId="1637" priority="72">
      <formula>ABS(AD$7-AD$10)&gt;=1000</formula>
    </cfRule>
  </conditionalFormatting>
  <conditionalFormatting sqref="AE4 AE6:AE11">
    <cfRule type="expression" dxfId="1636" priority="71">
      <formula>ABS(AE$7-AE$10)&gt;=1000</formula>
    </cfRule>
  </conditionalFormatting>
  <conditionalFormatting sqref="D13:D20">
    <cfRule type="expression" dxfId="1635" priority="70">
      <formula>ABS(D$16-D$19)&gt;=1000</formula>
    </cfRule>
  </conditionalFormatting>
  <conditionalFormatting sqref="E13:E20">
    <cfRule type="expression" dxfId="1634" priority="69">
      <formula>ABS(E$16-E$19)&gt;=1000</formula>
    </cfRule>
  </conditionalFormatting>
  <conditionalFormatting sqref="F13 F15:F20">
    <cfRule type="expression" dxfId="1633" priority="68">
      <formula>ABS(F$16-F$19)&gt;=1000</formula>
    </cfRule>
  </conditionalFormatting>
  <conditionalFormatting sqref="G13:G20">
    <cfRule type="expression" dxfId="1632" priority="67">
      <formula>ABS(G$16-G$19)&gt;=1000</formula>
    </cfRule>
  </conditionalFormatting>
  <conditionalFormatting sqref="H13:H20">
    <cfRule type="expression" dxfId="1631" priority="66">
      <formula>ABS(H$16-H$19)&gt;=1000</formula>
    </cfRule>
  </conditionalFormatting>
  <conditionalFormatting sqref="I13:I20">
    <cfRule type="expression" dxfId="1630" priority="65">
      <formula>ABS(I$16-I$19)&gt;=1000</formula>
    </cfRule>
  </conditionalFormatting>
  <conditionalFormatting sqref="J13:J20">
    <cfRule type="expression" dxfId="1629" priority="64">
      <formula>ABS(J$16-J$19)&gt;=1000</formula>
    </cfRule>
  </conditionalFormatting>
  <conditionalFormatting sqref="L13:L20">
    <cfRule type="expression" dxfId="1628" priority="63">
      <formula>ABS(L$16-L$19)&gt;=1000</formula>
    </cfRule>
  </conditionalFormatting>
  <conditionalFormatting sqref="M13 M15 M17:M18 M20">
    <cfRule type="expression" dxfId="1627" priority="62">
      <formula>ABS(M$16-M$19)&gt;=1000</formula>
    </cfRule>
  </conditionalFormatting>
  <conditionalFormatting sqref="N13:N20">
    <cfRule type="expression" dxfId="1626" priority="61">
      <formula>ABS(N$16-N$19)&gt;=1000</formula>
    </cfRule>
  </conditionalFormatting>
  <conditionalFormatting sqref="O13:O20">
    <cfRule type="expression" dxfId="1625" priority="60">
      <formula>ABS(O$16-O$19)&gt;=1000</formula>
    </cfRule>
  </conditionalFormatting>
  <conditionalFormatting sqref="P13:P20">
    <cfRule type="expression" dxfId="1624" priority="59">
      <formula>ABS(P$16-P$19)&gt;=1000</formula>
    </cfRule>
  </conditionalFormatting>
  <conditionalFormatting sqref="Q13 Q15:Q20">
    <cfRule type="expression" dxfId="1623" priority="58">
      <formula>ABS(Q$16-Q$19)&gt;=1000</formula>
    </cfRule>
  </conditionalFormatting>
  <conditionalFormatting sqref="R13:R20">
    <cfRule type="expression" dxfId="1622" priority="57">
      <formula>ABS(R$16-R$19)&gt;=1000</formula>
    </cfRule>
  </conditionalFormatting>
  <conditionalFormatting sqref="S13:S20">
    <cfRule type="expression" dxfId="1621" priority="56">
      <formula>ABS(S$16-S$19)&gt;=1000</formula>
    </cfRule>
  </conditionalFormatting>
  <conditionalFormatting sqref="T13:T20">
    <cfRule type="expression" dxfId="1620" priority="55">
      <formula>ABS(T$16-T$19)&gt;=1000</formula>
    </cfRule>
  </conditionalFormatting>
  <conditionalFormatting sqref="U13:U20">
    <cfRule type="expression" dxfId="1619" priority="54">
      <formula>ABS(U$16-U$19)&gt;=1000</formula>
    </cfRule>
  </conditionalFormatting>
  <conditionalFormatting sqref="V13:V20">
    <cfRule type="expression" dxfId="1618" priority="53">
      <formula>ABS(V$16-V$19)&gt;=1000</formula>
    </cfRule>
  </conditionalFormatting>
  <conditionalFormatting sqref="W13 W20 W15:W18">
    <cfRule type="expression" dxfId="1617" priority="52">
      <formula>ABS(W$16-W$19)&gt;=1000</formula>
    </cfRule>
  </conditionalFormatting>
  <conditionalFormatting sqref="X13 X15:X20 Y19">
    <cfRule type="expression" dxfId="1616" priority="51">
      <formula>ABS(X$16-X$19)&gt;=1000</formula>
    </cfRule>
  </conditionalFormatting>
  <conditionalFormatting sqref="Y13 Y15:Y18 Y20">
    <cfRule type="expression" dxfId="1615" priority="50">
      <formula>ABS(Y$16-Y$19)&gt;=1000</formula>
    </cfRule>
  </conditionalFormatting>
  <conditionalFormatting sqref="Z13:Z20">
    <cfRule type="expression" dxfId="1614" priority="49">
      <formula>ABS(Z$16-Z$19)&gt;=1000</formula>
    </cfRule>
  </conditionalFormatting>
  <conditionalFormatting sqref="AA13:AA20">
    <cfRule type="expression" dxfId="1613" priority="48">
      <formula>ABS(AA$16-AA$19)&gt;=1000</formula>
    </cfRule>
  </conditionalFormatting>
  <conditionalFormatting sqref="AB13 AB15:AB20">
    <cfRule type="expression" dxfId="1612" priority="47">
      <formula>ABS(AB$16-AB$19)&gt;=1000</formula>
    </cfRule>
  </conditionalFormatting>
  <conditionalFormatting sqref="AC13 AC15:AC20">
    <cfRule type="expression" dxfId="1611" priority="46">
      <formula>ABS(AC$16-AC$19)&gt;=1000</formula>
    </cfRule>
  </conditionalFormatting>
  <conditionalFormatting sqref="AD13:AD20">
    <cfRule type="expression" dxfId="1610" priority="45">
      <formula>ABS(AD$16-AD$19)&gt;=1000</formula>
    </cfRule>
  </conditionalFormatting>
  <conditionalFormatting sqref="AE13:AE20">
    <cfRule type="expression" dxfId="1609" priority="44">
      <formula>ABS(AE$16-AE$19)&gt;=1000</formula>
    </cfRule>
  </conditionalFormatting>
  <conditionalFormatting sqref="D22:D29">
    <cfRule type="expression" dxfId="1608" priority="43">
      <formula>ABS(D$25-D$28)&gt;=1000</formula>
    </cfRule>
  </conditionalFormatting>
  <conditionalFormatting sqref="E22:E29">
    <cfRule type="expression" dxfId="1607" priority="42">
      <formula>ABS(E$25-E$28)&gt;=1000</formula>
    </cfRule>
  </conditionalFormatting>
  <conditionalFormatting sqref="F22:F29">
    <cfRule type="expression" dxfId="1606" priority="41">
      <formula>ABS(F$25-F$28)&gt;=1000</formula>
    </cfRule>
  </conditionalFormatting>
  <conditionalFormatting sqref="G22:G29">
    <cfRule type="expression" dxfId="1605" priority="40">
      <formula>ABS(G$25-G$28)&gt;=1000</formula>
    </cfRule>
  </conditionalFormatting>
  <conditionalFormatting sqref="H22:H29">
    <cfRule type="expression" dxfId="1604" priority="39">
      <formula>ABS(H$25-H$28)&gt;=1000</formula>
    </cfRule>
  </conditionalFormatting>
  <conditionalFormatting sqref="I22 I24:I29">
    <cfRule type="expression" dxfId="1603" priority="38">
      <formula>ABS(I$25-I$28)&gt;=1000</formula>
    </cfRule>
  </conditionalFormatting>
  <conditionalFormatting sqref="J22:J29 K22">
    <cfRule type="expression" dxfId="1602" priority="37">
      <formula>ABS(J$25-J$28)&gt;=1000</formula>
    </cfRule>
  </conditionalFormatting>
  <conditionalFormatting sqref="K23:K29 L25 L28">
    <cfRule type="expression" dxfId="1601" priority="36">
      <formula>ABS(K$25-K$28)&gt;=1000</formula>
    </cfRule>
  </conditionalFormatting>
  <conditionalFormatting sqref="L22 L26:L27 L29 L24">
    <cfRule type="expression" dxfId="1600" priority="35">
      <formula>ABS(L$25-L$28)&gt;=1000</formula>
    </cfRule>
  </conditionalFormatting>
  <conditionalFormatting sqref="M22:M29">
    <cfRule type="expression" dxfId="1599" priority="34">
      <formula>ABS(M$25-M$28)&gt;=1000</formula>
    </cfRule>
  </conditionalFormatting>
  <conditionalFormatting sqref="N22:N29">
    <cfRule type="expression" dxfId="1598" priority="33">
      <formula>ABS(N$25-N$28)&gt;=1000</formula>
    </cfRule>
  </conditionalFormatting>
  <conditionalFormatting sqref="O22:O29">
    <cfRule type="expression" dxfId="1597" priority="32">
      <formula>ABS(O$25-O$28)&gt;=1000</formula>
    </cfRule>
  </conditionalFormatting>
  <conditionalFormatting sqref="P22:P29">
    <cfRule type="expression" dxfId="1596" priority="31">
      <formula>ABS(P$25-P$28)&gt;=1000</formula>
    </cfRule>
  </conditionalFormatting>
  <conditionalFormatting sqref="Q22:Q29">
    <cfRule type="expression" dxfId="1595" priority="30">
      <formula>ABS(Q$25-Q$28)&gt;=1000</formula>
    </cfRule>
  </conditionalFormatting>
  <conditionalFormatting sqref="R22:R29">
    <cfRule type="expression" dxfId="1594" priority="29">
      <formula>ABS(R$25-R$28)&gt;=1000</formula>
    </cfRule>
  </conditionalFormatting>
  <conditionalFormatting sqref="S22:S29">
    <cfRule type="expression" dxfId="1593" priority="28">
      <formula>ABS(S$25-S$28)&gt;=1000</formula>
    </cfRule>
  </conditionalFormatting>
  <conditionalFormatting sqref="T22:T29">
    <cfRule type="expression" dxfId="1592" priority="27">
      <formula>ABS(T$25-T$28)&gt;=1000</formula>
    </cfRule>
  </conditionalFormatting>
  <conditionalFormatting sqref="U22:U29">
    <cfRule type="expression" dxfId="1591" priority="26">
      <formula>ABS(U$25-U$28)&gt;=1000</formula>
    </cfRule>
  </conditionalFormatting>
  <conditionalFormatting sqref="V22:V29">
    <cfRule type="expression" dxfId="1590" priority="25">
      <formula>ABS(V$25-V$28)&gt;=1000</formula>
    </cfRule>
  </conditionalFormatting>
  <conditionalFormatting sqref="W22:W29">
    <cfRule type="expression" dxfId="1589" priority="24">
      <formula>ABS(W$25-W$28)&gt;=1000</formula>
    </cfRule>
  </conditionalFormatting>
  <conditionalFormatting sqref="X22:X29">
    <cfRule type="expression" dxfId="1588" priority="23">
      <formula>ABS(X$25-X$28)&gt;=1000</formula>
    </cfRule>
  </conditionalFormatting>
  <conditionalFormatting sqref="Y22:Y29">
    <cfRule type="expression" dxfId="1587" priority="22">
      <formula>ABS(Y$25-Y$28)&gt;=1000</formula>
    </cfRule>
  </conditionalFormatting>
  <conditionalFormatting sqref="I23">
    <cfRule type="expression" dxfId="1586" priority="21">
      <formula>ABS(I$25-I$28)&gt;=1000</formula>
    </cfRule>
  </conditionalFormatting>
  <conditionalFormatting sqref="Q14">
    <cfRule type="expression" dxfId="1585" priority="20">
      <formula>ABS(Q$16-Q$19)&gt;=1000</formula>
    </cfRule>
  </conditionalFormatting>
  <conditionalFormatting sqref="W14">
    <cfRule type="expression" dxfId="1584" priority="19">
      <formula>ABS(W$16-W$19)&gt;=1000</formula>
    </cfRule>
  </conditionalFormatting>
  <conditionalFormatting sqref="Y14">
    <cfRule type="expression" dxfId="1583" priority="18">
      <formula>ABS(Y$16-Y$19)&gt;=1000</formula>
    </cfRule>
  </conditionalFormatting>
  <conditionalFormatting sqref="X14">
    <cfRule type="expression" dxfId="1582" priority="17">
      <formula>ABS(X$16-X$19)&gt;=1000</formula>
    </cfRule>
  </conditionalFormatting>
  <conditionalFormatting sqref="T10:Y10">
    <cfRule type="expression" dxfId="1581" priority="16">
      <formula>ABS(T$7-T$10)&gt;=1000</formula>
    </cfRule>
  </conditionalFormatting>
  <conditionalFormatting sqref="W19">
    <cfRule type="expression" dxfId="1580" priority="15">
      <formula>ABS(W$16-W$19)&gt;=1000</formula>
    </cfRule>
  </conditionalFormatting>
  <conditionalFormatting sqref="AC5">
    <cfRule type="expression" dxfId="1579" priority="14">
      <formula>ABS(AC$7-AC$10)&gt;=1000</formula>
    </cfRule>
  </conditionalFormatting>
  <conditionalFormatting sqref="M14">
    <cfRule type="expression" dxfId="1578" priority="13">
      <formula>ABS(M$16-M$19)&gt;=1000</formula>
    </cfRule>
  </conditionalFormatting>
  <conditionalFormatting sqref="M16">
    <cfRule type="expression" dxfId="1577" priority="12">
      <formula>ABS(M$16-M$19)&gt;=1000</formula>
    </cfRule>
  </conditionalFormatting>
  <conditionalFormatting sqref="M19">
    <cfRule type="expression" dxfId="1576" priority="11">
      <formula>ABS(M$16-M$19)&gt;=1000</formula>
    </cfRule>
  </conditionalFormatting>
  <conditionalFormatting sqref="K13:K20">
    <cfRule type="expression" dxfId="1575" priority="10">
      <formula>ABS(K$16-K$19)&gt;=1000</formula>
    </cfRule>
  </conditionalFormatting>
  <conditionalFormatting sqref="E5">
    <cfRule type="expression" dxfId="1574" priority="9">
      <formula>ABS(E$7-E$10)&gt;=1000</formula>
    </cfRule>
  </conditionalFormatting>
  <conditionalFormatting sqref="AB14:AC14">
    <cfRule type="expression" dxfId="1573" priority="8">
      <formula>ABS(AB$16-AB$19)&gt;=1000</formula>
    </cfRule>
  </conditionalFormatting>
  <conditionalFormatting sqref="M5">
    <cfRule type="expression" dxfId="1572" priority="7">
      <formula>ABS(M$7-M$10)&gt;=1000</formula>
    </cfRule>
  </conditionalFormatting>
  <conditionalFormatting sqref="N5">
    <cfRule type="expression" dxfId="1571" priority="6">
      <formula>ABS(N$7-N$10)&gt;=1000</formula>
    </cfRule>
  </conditionalFormatting>
  <conditionalFormatting sqref="O5">
    <cfRule type="expression" dxfId="1570" priority="5">
      <formula>ABS(O$7-O$10)&gt;=1000</formula>
    </cfRule>
  </conditionalFormatting>
  <conditionalFormatting sqref="P5">
    <cfRule type="expression" dxfId="1569" priority="4">
      <formula>ABS(P$7-P$10)&gt;=1000</formula>
    </cfRule>
  </conditionalFormatting>
  <conditionalFormatting sqref="L23">
    <cfRule type="expression" dxfId="1568" priority="3">
      <formula>ABS(L$25-L$28)&gt;=1000</formula>
    </cfRule>
  </conditionalFormatting>
  <conditionalFormatting sqref="F14">
    <cfRule type="expression" dxfId="1567" priority="2">
      <formula>ABS(F$16-F$19)&gt;=1000</formula>
    </cfRule>
  </conditionalFormatting>
  <conditionalFormatting sqref="AE5">
    <cfRule type="expression" dxfId="1566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101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22">
    <pageSetUpPr fitToPage="1"/>
  </sheetPr>
  <dimension ref="A1:CU223"/>
  <sheetViews>
    <sheetView view="pageBreakPreview" zoomScale="80" zoomScaleNormal="100" zoomScaleSheetLayoutView="80" workbookViewId="0">
      <selection activeCell="AD6" sqref="AD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45912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47" t="s" ph="1">
        <v>177</v>
      </c>
      <c r="D6" s="71">
        <v>6429</v>
      </c>
      <c r="E6" s="71">
        <v>9064</v>
      </c>
      <c r="F6" s="71">
        <v>6841</v>
      </c>
      <c r="G6" s="71">
        <v>8605</v>
      </c>
      <c r="H6" s="71">
        <v>8935</v>
      </c>
      <c r="I6" s="71">
        <v>18.04</v>
      </c>
      <c r="J6" s="71">
        <v>7.01</v>
      </c>
      <c r="K6" s="71">
        <v>7.12</v>
      </c>
      <c r="L6" s="71">
        <v>35.51</v>
      </c>
      <c r="M6" s="71">
        <v>2804</v>
      </c>
      <c r="N6" s="71">
        <v>5660</v>
      </c>
      <c r="O6" s="71">
        <v>195</v>
      </c>
      <c r="P6" s="71">
        <v>8815</v>
      </c>
      <c r="Q6" s="71">
        <v>3102</v>
      </c>
      <c r="R6" s="71">
        <v>1901</v>
      </c>
      <c r="S6" s="71">
        <v>0</v>
      </c>
      <c r="T6" s="71">
        <v>0</v>
      </c>
      <c r="U6" s="71">
        <v>0</v>
      </c>
      <c r="V6" s="71">
        <v>0</v>
      </c>
      <c r="W6" s="71">
        <v>3605</v>
      </c>
      <c r="X6" s="71">
        <v>7092</v>
      </c>
      <c r="Y6" s="71">
        <v>6264</v>
      </c>
      <c r="Z6" s="71">
        <v>2490</v>
      </c>
      <c r="AA6" s="71">
        <v>1041</v>
      </c>
      <c r="AB6" s="71">
        <v>2624</v>
      </c>
      <c r="AC6" s="71">
        <v>2358</v>
      </c>
      <c r="AD6" s="71">
        <v>4010</v>
      </c>
      <c r="AE6" s="71">
        <v>3635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201243.89715831002</v>
      </c>
      <c r="E7" s="73" ph="1">
        <f>E6*51.53*LOOKUP(E8,密度!$A$2:$A$50,密度!$B$2:$B$50)</f>
        <v>362117.75837599998</v>
      </c>
      <c r="F7" s="73" ph="1">
        <f>F6*33.183*LOOKUP(F8,密度!$A$2:$A$50,密度!$C$2:$C$50)</f>
        <v>251203.62565979999</v>
      </c>
      <c r="G7" s="73" ph="1">
        <f xml:space="preserve"> (G6+2)*51.53*LOOKUP(G8,密度!$A$2:$A$50,密度!$B$2:$B$50)</f>
        <v>343860.05586299999</v>
      </c>
      <c r="H7" s="73" ph="1">
        <f>(H6)*51.53*LOOKUP(H8,密度!$A$2:$A$50,密度!$B$2:$B$50)</f>
        <v>356964.05241499998</v>
      </c>
      <c r="I7" s="73" ph="1">
        <f>I6*290.8*1.0267</f>
        <v>5386.1010544000001</v>
      </c>
      <c r="J7" s="73" ph="1">
        <f>J6*290.8*0.7892</f>
        <v>1608.7905136000002</v>
      </c>
      <c r="K7" s="73" ph="1">
        <f>K6*290.8*1.1126</f>
        <v>2303.6338496000003</v>
      </c>
      <c r="L7" s="73" ph="1">
        <f>L6*290.8*0.777</f>
        <v>8023.5413159999998</v>
      </c>
      <c r="M7" s="73" ph="1">
        <f>M6*33.183*LOOKUP(M8,密度!$A$2:$A$50,密度!$D$2:$D$50)</f>
        <v>95175.865522799984</v>
      </c>
      <c r="N7" s="73" ph="1">
        <f>N6*33.183*LOOKUP(N8,密度!$A$2:$A$50,密度!$E$2:$E$50)</f>
        <v>146458.74524400002</v>
      </c>
      <c r="O7" s="73" ph="1">
        <f>O6*20.428*LOOKUP(O8,密度!$A$2:$A$50,密度!$C$2:$C$50)</f>
        <v>4402.1216459999996</v>
      </c>
      <c r="P7" s="73" ph="1">
        <f>P6*51.53*LOOKUP(P8,密度!$A$2:$A$50,密度!$B$2:$B$50)</f>
        <v>352578.72058999998</v>
      </c>
      <c r="Q7" s="73" ph="1">
        <f>Q6*1.5*1.5*3.1416*LOOKUP(W8,密度!$A$2:$A$50,密度!$L$2:$L$50)</f>
        <v>20435.774990400001</v>
      </c>
      <c r="R7" s="73" ph="1">
        <f>R6*1.5*1.5*3.1416*LOOKUP(R8,密度!$A$2:$A$50,密度!$L$2:$L$50)</f>
        <v>12483.352589400001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23749.506396000001</v>
      </c>
      <c r="X7" s="73" ph="1">
        <f>X6*1.5*1.5*3.1416*LOOKUP(X8,密度!$A$2:$A$50,密度!$L$2:$L$50)</f>
        <v>47222.941550399999</v>
      </c>
      <c r="Y7" s="73" ph="1">
        <f>Y6*1.5*1.5*3.1416*LOOKUP(Y8,密度!$A$2:$A$50,密度!$L$2:$L$50)</f>
        <v>41355.381513599998</v>
      </c>
      <c r="Z7" s="73" ph="1">
        <f>Z6*33.183*LOOKUP(Z8,密度!$A$2:$A$50,密度!$L$2:$L$50)</f>
        <v>77337.627120000005</v>
      </c>
      <c r="AA7" s="73" ph="1">
        <f>AA6*33.183*LOOKUP(AA8,密度!$A$2:$A$50,密度!$D$2:$D$50)</f>
        <v>35334.549218699991</v>
      </c>
      <c r="AB7" s="73" ph="1">
        <f>AB6*20.428*LOOKUP(AB8,密度!$A$2:$A$50,密度!$D$2:$D$50)</f>
        <v>55082.516787200002</v>
      </c>
      <c r="AC7" s="73" ph="1">
        <f>AC6*51.53*LOOKUP(AC8,密度!$A$2:$A$50,密度!$Q$2:$Q$50)</f>
        <v>114863.69677680002</v>
      </c>
      <c r="AD7" s="73" ph="1">
        <f>AD6*20.428*LOOKUP(AD8,密度!$A$2:$A$50,密度!$V$2:$V$50)</f>
        <v>78443.029727999994</v>
      </c>
      <c r="AE7" s="73" ph="1">
        <f>AE6*20.428</f>
        <v>74255.78</v>
      </c>
    </row>
    <row r="8" spans="1:99" ph="1">
      <c r="B8" s="182" ph="1"/>
      <c r="C8" s="68" t="s" ph="1">
        <v>179</v>
      </c>
      <c r="D8" s="74">
        <v>30</v>
      </c>
      <c r="E8" s="74">
        <v>30</v>
      </c>
      <c r="F8" s="74">
        <v>28</v>
      </c>
      <c r="G8" s="74">
        <v>30</v>
      </c>
      <c r="H8" s="74">
        <v>30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28</v>
      </c>
      <c r="O8" s="74">
        <v>30</v>
      </c>
      <c r="P8" s="74">
        <v>29</v>
      </c>
      <c r="Q8" s="74">
        <v>27</v>
      </c>
      <c r="R8" s="74">
        <v>33</v>
      </c>
      <c r="S8" s="74">
        <v>23</v>
      </c>
      <c r="T8" s="74">
        <v>24</v>
      </c>
      <c r="U8" s="74">
        <v>28</v>
      </c>
      <c r="V8" s="74">
        <v>27</v>
      </c>
      <c r="W8" s="74">
        <v>30</v>
      </c>
      <c r="X8" s="74">
        <v>20</v>
      </c>
      <c r="Y8" s="74">
        <v>28</v>
      </c>
      <c r="Z8" s="74">
        <v>26</v>
      </c>
      <c r="AA8" s="74">
        <v>29</v>
      </c>
      <c r="AB8" s="74">
        <v>24</v>
      </c>
      <c r="AC8" s="74">
        <v>27</v>
      </c>
      <c r="AD8" s="74">
        <v>27</v>
      </c>
      <c r="AE8" s="74">
        <v>32</v>
      </c>
    </row>
    <row r="9" spans="1:99" ht="26.4" ph="1">
      <c r="B9" s="182" ph="1">
        <v>0.66666666666666663</v>
      </c>
      <c r="C9" s="147" t="s" ph="1">
        <v>180</v>
      </c>
      <c r="D9" s="71">
        <v>6432</v>
      </c>
      <c r="E9" s="71">
        <v>9067</v>
      </c>
      <c r="F9" s="71">
        <v>6678</v>
      </c>
      <c r="G9" s="71">
        <v>9052</v>
      </c>
      <c r="H9" s="71">
        <v>8939</v>
      </c>
      <c r="I9" s="71">
        <v>18.03</v>
      </c>
      <c r="J9" s="71">
        <v>7.01</v>
      </c>
      <c r="K9" s="71">
        <v>7.23</v>
      </c>
      <c r="L9" s="71">
        <v>44.71</v>
      </c>
      <c r="M9" s="71">
        <v>2804</v>
      </c>
      <c r="N9" s="71">
        <v>5665</v>
      </c>
      <c r="O9" s="71">
        <v>193</v>
      </c>
      <c r="P9" s="71">
        <v>8717</v>
      </c>
      <c r="Q9" s="71">
        <v>6218</v>
      </c>
      <c r="R9" s="71">
        <v>6848</v>
      </c>
      <c r="S9" s="71">
        <v>0</v>
      </c>
      <c r="T9" s="71">
        <v>0</v>
      </c>
      <c r="U9" s="71">
        <v>0</v>
      </c>
      <c r="V9" s="71">
        <v>0</v>
      </c>
      <c r="W9" s="71">
        <v>1429</v>
      </c>
      <c r="X9" s="71">
        <v>7099</v>
      </c>
      <c r="Y9" s="71">
        <v>6274</v>
      </c>
      <c r="Z9" s="71">
        <v>944</v>
      </c>
      <c r="AA9" s="71">
        <v>1040</v>
      </c>
      <c r="AB9" s="71">
        <v>2624</v>
      </c>
      <c r="AC9" s="71">
        <v>2356</v>
      </c>
      <c r="AD9" s="71">
        <v>4424</v>
      </c>
      <c r="AE9" s="71">
        <v>3498</v>
      </c>
    </row>
    <row r="10" spans="1:99" s="72" customFormat="1" ht="22.2" ph="1">
      <c r="B10" s="182" ph="1"/>
      <c r="C10" s="147" t="s" ph="1">
        <v>178</v>
      </c>
      <c r="D10" s="73" ph="1">
        <f>D9*33.183*LOOKUP(D11,密度!$A$2:$A$50,密度!$Q$2:$Q$50)</f>
        <v>201177.72992447999</v>
      </c>
      <c r="E10" s="73" ph="1">
        <f>E9*51.53*LOOKUP(E11,密度!$A$2:$A$50,密度!$B$2:$B$50)</f>
        <v>359761.33270000003</v>
      </c>
      <c r="F10" s="73" ph="1">
        <f>F9*33.183*LOOKUP(F11,密度!$A$2:$A$50,密度!$C$2:$C$50)</f>
        <v>245218.21548839999</v>
      </c>
      <c r="G10" s="73" ph="1">
        <f xml:space="preserve"> (G9+2)*51.53*LOOKUP(G11,密度!$A$2:$A$50,密度!$B$2:$B$50)</f>
        <v>359245.51740000001</v>
      </c>
      <c r="H10" s="73" ph="1">
        <f>(H9)*51.53*LOOKUP(H11,密度!$A$2:$A$50,密度!$B$2:$B$50)</f>
        <v>355511.66390600003</v>
      </c>
      <c r="I10" s="73" ph="1">
        <f>I9*290.8*1.0267</f>
        <v>5383.1154108000001</v>
      </c>
      <c r="J10" s="73" ph="1">
        <f>J9*290.8*0.7892</f>
        <v>1608.7905136000002</v>
      </c>
      <c r="K10" s="73" ph="1">
        <f>K9*290.8*1.1126</f>
        <v>2339.2236984000006</v>
      </c>
      <c r="L10" s="73" ph="1">
        <f>L9*290.8*0.777</f>
        <v>10102.296036000002</v>
      </c>
      <c r="M10" s="73" ph="1">
        <f>M9*33.183*LOOKUP(M11,密度!$A$2:$A$50,密度!$D$2:$D$50)</f>
        <v>95008.384285199994</v>
      </c>
      <c r="N10" s="73" ph="1">
        <f>N9*33.183*LOOKUP(N11,密度!$A$2:$A$50,密度!$E$2:$E$50)</f>
        <v>145958.38708275001</v>
      </c>
      <c r="O10" s="73" ph="1">
        <f>O9*20.428*LOOKUP(O11,密度!$A$2:$A$50,密度!$C$2:$C$50)</f>
        <v>4295.0727975999998</v>
      </c>
      <c r="P10" s="73" ph="1">
        <f>P9*51.53*LOOKUP(P11,密度!$A$2:$A$50,密度!$B$2:$B$50)</f>
        <v>347446.15223499999</v>
      </c>
      <c r="Q10" s="73" ph="1">
        <f>Q9*1.5*1.5*3.1416*LOOKUP(W11,密度!$A$2:$A$50,密度!$L$2:$L$50)</f>
        <v>40831.923409199997</v>
      </c>
      <c r="R10" s="73" ph="1">
        <f>R9*1.5*1.5*3.1416*LOOKUP(R11,密度!$A$2:$A$50,密度!$L$2:$L$50)</f>
        <v>44872.151385600002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9383.8563126000008</v>
      </c>
      <c r="X10" s="73" ph="1">
        <f>X9*1.5*1.5*3.1416*LOOKUP(X11,密度!$A$2:$A$50,密度!$L$2:$L$50)</f>
        <v>47119.011924599996</v>
      </c>
      <c r="Y10" s="73" ph="1">
        <f>Y9*1.5*1.5*3.1416*LOOKUP(Y11,密度!$A$2:$A$50,密度!$L$2:$L$50)</f>
        <v>41377.053841200002</v>
      </c>
      <c r="Z10" s="73" ph="1">
        <f>Z9*33.183*LOOKUP(Z11,密度!$A$2:$A$50,密度!$L$2:$L$50)</f>
        <v>29257.318368000004</v>
      </c>
      <c r="AA10" s="73" ph="1">
        <f>AA9*33.183*LOOKUP(AA11,密度!$A$2:$A$50,密度!$D$2:$D$50)</f>
        <v>35148.760920000001</v>
      </c>
      <c r="AB10" s="73" ph="1">
        <f>AB9*20.428*LOOKUP(AB11,密度!$A$2:$A$50,密度!$D$2:$D$50)</f>
        <v>54932.428185599994</v>
      </c>
      <c r="AC10" s="73" ph="1">
        <f>AC9*51.53*LOOKUP(AC11,密度!$A$2:$A$50,密度!$Q$2:$Q$50)</f>
        <v>114524.67678440001</v>
      </c>
      <c r="AD10" s="73" ph="1">
        <f>AD9*20.428*LOOKUP(AD11,密度!$A$2:$A$50,密度!$V$2:$V$50)</f>
        <v>86541.636787200012</v>
      </c>
      <c r="AE10" s="73" ph="1">
        <f>AE9*20.428</f>
        <v>71457.144</v>
      </c>
    </row>
    <row r="11" spans="1:99" ph="1">
      <c r="A11" s="64" t="s" ph="1">
        <v>162</v>
      </c>
      <c r="B11" s="182" ph="1"/>
      <c r="C11" s="147" t="s" ph="1">
        <v>179</v>
      </c>
      <c r="D11" s="74">
        <v>31</v>
      </c>
      <c r="E11" s="74">
        <v>36</v>
      </c>
      <c r="F11" s="74">
        <v>28</v>
      </c>
      <c r="G11" s="74">
        <v>36</v>
      </c>
      <c r="H11" s="74">
        <v>34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31</v>
      </c>
      <c r="O11" s="74">
        <v>45</v>
      </c>
      <c r="P11" s="74">
        <v>32</v>
      </c>
      <c r="Q11" s="74">
        <v>29</v>
      </c>
      <c r="R11" s="74">
        <v>35</v>
      </c>
      <c r="S11" s="74">
        <v>29</v>
      </c>
      <c r="T11" s="74">
        <v>35</v>
      </c>
      <c r="U11" s="74">
        <v>34</v>
      </c>
      <c r="V11" s="74">
        <v>28</v>
      </c>
      <c r="W11" s="74">
        <v>33</v>
      </c>
      <c r="X11" s="74">
        <v>23</v>
      </c>
      <c r="Y11" s="74">
        <v>29</v>
      </c>
      <c r="Z11" s="74">
        <v>28</v>
      </c>
      <c r="AA11" s="74">
        <v>34</v>
      </c>
      <c r="AB11" s="74">
        <v>27</v>
      </c>
      <c r="AC11" s="74">
        <v>30</v>
      </c>
      <c r="AD11" s="74">
        <v>31</v>
      </c>
      <c r="AE11" s="74">
        <v>34</v>
      </c>
    </row>
    <row r="12" spans="1:99" ht="9.9" customHeight="1" ph="1"/>
    <row r="13" spans="1:99" s="72" customFormat="1" ht="29.25" customHeight="1" ph="1">
      <c r="B13" s="190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150" t="s" ph="1">
        <v>643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47" t="s" ph="1">
        <v>177</v>
      </c>
      <c r="D15" s="78">
        <v>2798</v>
      </c>
      <c r="E15" s="78">
        <v>5165</v>
      </c>
      <c r="F15" s="78">
        <v>1276</v>
      </c>
      <c r="G15" s="78">
        <v>3050</v>
      </c>
      <c r="H15" s="78">
        <v>4096</v>
      </c>
      <c r="I15" s="78">
        <v>2569</v>
      </c>
      <c r="J15" s="78">
        <v>645</v>
      </c>
      <c r="K15" s="78">
        <v>3107</v>
      </c>
      <c r="L15" s="78">
        <v>5345</v>
      </c>
      <c r="M15" s="78">
        <v>3965</v>
      </c>
      <c r="N15" s="78">
        <v>3111</v>
      </c>
      <c r="O15" s="78">
        <v>6866</v>
      </c>
      <c r="P15" s="78">
        <v>106</v>
      </c>
      <c r="Q15" s="78">
        <v>3491</v>
      </c>
      <c r="R15" s="78">
        <v>1461</v>
      </c>
      <c r="S15" s="78">
        <v>3986</v>
      </c>
      <c r="T15" s="78">
        <v>1692</v>
      </c>
      <c r="U15" s="78">
        <v>6183</v>
      </c>
      <c r="V15" s="78">
        <v>850</v>
      </c>
      <c r="W15" s="71">
        <v>1393</v>
      </c>
      <c r="X15" s="78">
        <v>1285</v>
      </c>
      <c r="Y15" s="106">
        <v>-9906</v>
      </c>
      <c r="Z15" s="78">
        <v>0</v>
      </c>
      <c r="AA15" s="78">
        <v>6929</v>
      </c>
      <c r="AB15" s="78" ph="1">
        <v>1099</v>
      </c>
      <c r="AC15" s="78" ph="1">
        <v>3900</v>
      </c>
      <c r="AD15" s="78">
        <v>5.47</v>
      </c>
      <c r="AE15" s="78">
        <v>35.14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47" t="s" ph="1">
        <v>178</v>
      </c>
      <c r="D16" s="73" ph="1">
        <f>D15*7.0686*LOOKUP(D17,密度!$A$2:$A$50,密度!$L$2:$L$50)</f>
        <v>18452.820632400002</v>
      </c>
      <c r="E16" s="73" ph="1">
        <f>E15*7.0686*LOOKUP(E17,密度!$A$2:$A$50,密度!$L$2:$L$50)</f>
        <v>34063.194627000004</v>
      </c>
      <c r="F16" s="73" ph="1">
        <f>F15*9.0746*LOOKUP(F17,密度!$A$2:$A$50,密度!$L$2:$L$50)</f>
        <v>10791.804707200001</v>
      </c>
      <c r="G16" s="73" ph="1">
        <f>G15*9.0746*LOOKUP(G17,密度!$A$2:$A$50,密度!$B$2:$B$50)</f>
        <v>21483.298786000003</v>
      </c>
      <c r="H16" s="73" ph="1">
        <f>H15*9.0746*LOOKUP(H17,密度!$A$2:$A$50,密度!$L$2:$L$50)</f>
        <v>34716.370534400005</v>
      </c>
      <c r="I16" s="73" ph="1">
        <f>I15*9.0746*LOOKUP(I17,密度!$A$2:$A$50,密度!$U$2:$U$50)</f>
        <v>23848.838290200001</v>
      </c>
      <c r="J16" s="73" ph="1">
        <f>J15*9.0746*LOOKUP(J17,密度!$A$2:$A$50,密度!$L$2:$L$50)</f>
        <v>5472.6643950000007</v>
      </c>
      <c r="K16" s="73" ph="1">
        <f>K15*9.0746*LOOKUP(K17,密度!$A$2:$A$50,密度!$C$2:$C$50)</f>
        <v>31180.609634980006</v>
      </c>
      <c r="L16" s="73" ph="1">
        <f>L15*9.0746*LOOKUP(L17,密度!$A$2:$A$50,密度!$E$2:$E$50)</f>
        <v>37769.8600019</v>
      </c>
      <c r="M16" s="73" ph="1">
        <f>M15*9.0746*LOOKUP(M17,密度!$A$2:$A$50,密度!$M$2:$M$50)</f>
        <v>31339.267219000005</v>
      </c>
      <c r="N16" s="73" ph="1">
        <f>N15*9.0746*LOOKUP(N17,密度!$A$2:$A$50,密度!$M$2:$M$50)</f>
        <v>24617.5022832</v>
      </c>
      <c r="O16" s="73" ph="1">
        <f>O15*9.0746*LOOKUP(O17,密度!$A$2:$A$50,密度!$G$2:$G$50)</f>
        <v>59558.500021239997</v>
      </c>
      <c r="P16" s="73" ph="1">
        <f ca="1">P15*9.0746*LOOKUP(P17,密度!$A$2:$A$51,密度!$Q$2:$Q$50)</f>
        <v>908.63715711200007</v>
      </c>
      <c r="Q16" s="73" ph="1">
        <f>Q15*9.0746*LOOKUP(Q17,密度!$A$2:$A$50,密度!$Q$2:$Q$50)</f>
        <v>29903.163038398001</v>
      </c>
      <c r="R16" s="73" ph="1">
        <f>MAX(R15*9.0746*LOOKUP(R17,密度!$A$2:$A$50,密度!$B$2:$B$50),0)</f>
        <v>10301.458696200001</v>
      </c>
      <c r="S16" s="73" ph="1">
        <f>S15*9.0746*LOOKUP(S17,密度!$A$2:$A$50,密度!$Q$2:$Q$50)</f>
        <v>34143.227691508007</v>
      </c>
      <c r="T16" s="73" ph="1">
        <f>T15*9.0746*LOOKUP(T17,密度!$A$2:$A$50,密度!$O$2:$O$50)</f>
        <v>14218.0106832</v>
      </c>
      <c r="U16" s="73" ph="1">
        <f>U15*9.0746*LOOKUP(U17,密度!$A$2:$A$50,密度!$H$2:$H$50)</f>
        <v>51114.617389799998</v>
      </c>
      <c r="V16" s="73" ph="1">
        <f>MAX(5600*LOOKUP(V17,密度!$A$2:$A$50,密度!$Q$2:$Q$50)+V15*9.0476*LOOKUP(V17,密度!$A$2:$A$50,密度!$Q$2:$Q$50),0)</f>
        <v>12537.289631799998</v>
      </c>
      <c r="W16" s="73" ph="1">
        <f>MAX(5600*LOOKUP(W17,密度!$A$2:$A$50,密度!$Q$2:$Q$50)+W15*9.0476*LOOKUP(W17,密度!$A$2:$A$50,密度!$Q$2:$Q$50),0)</f>
        <v>17158.072923543998</v>
      </c>
      <c r="X16" s="73" ph="1">
        <f>MAX(5600*LOOKUP(X17,密度!$A$2:$A$50,密度!$I$2:$I$50)+X15*9.0476*LOOKUP(X17,密度!$A$2:$A$50,密度!$I$2:$I$50),0)</f>
        <v>17837.867154659998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48749.238506020003</v>
      </c>
      <c r="AB16" s="73" ph="1">
        <f>AB15*9.0746*LOOKUP(AB17,密度!$A$2:$A$50,密度!$L$2:$L$50)</f>
        <v>9324.7413489999999</v>
      </c>
      <c r="AC16" s="73" ph="1">
        <f>AC15*9.0746*LOOKUP(AC17,密度!$A$2:$A$50,密度!$L$2:$L$50)</f>
        <v>32948.965140000008</v>
      </c>
      <c r="AD16" s="73" ph="1">
        <f>AD15*268.68*LOOKUP(AD17,密度!$A$2:$A$50,密度!B2:B50)+IF(AD15&lt;=0,0,1566*LOOKUP(AD17,密度!$A$2:$A$50,密度!B2:B50))</f>
        <v>2366.6158161599997</v>
      </c>
      <c r="AE16" s="73" ph="1">
        <f>AE15*268.68*LOOKUP(AE17,密度!$A$2:$A$50,密度!B2:B50)+IF(AE15&lt;=0,0,1566*LOOKUP(AE17,密度!$A$2:$A$50,密度!B2:B50))</f>
        <v>8581.3808899200012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29</v>
      </c>
      <c r="E17" s="74">
        <v>29</v>
      </c>
      <c r="F17" s="74">
        <v>30</v>
      </c>
      <c r="G17" s="74">
        <v>29</v>
      </c>
      <c r="H17" s="74">
        <v>28</v>
      </c>
      <c r="I17" s="74">
        <v>27</v>
      </c>
      <c r="J17" s="74">
        <v>27</v>
      </c>
      <c r="K17" s="74">
        <v>29</v>
      </c>
      <c r="L17" s="74">
        <v>29</v>
      </c>
      <c r="M17" s="74">
        <v>29</v>
      </c>
      <c r="N17" s="74">
        <v>28</v>
      </c>
      <c r="O17" s="74">
        <v>29</v>
      </c>
      <c r="P17" s="74">
        <v>28</v>
      </c>
      <c r="Q17" s="74">
        <v>29</v>
      </c>
      <c r="R17" s="74">
        <v>28</v>
      </c>
      <c r="S17" s="74">
        <v>29</v>
      </c>
      <c r="T17" s="74">
        <v>28</v>
      </c>
      <c r="U17" s="74">
        <v>29</v>
      </c>
      <c r="V17" s="74">
        <v>30</v>
      </c>
      <c r="W17" s="74">
        <v>31</v>
      </c>
      <c r="X17" s="74">
        <v>31</v>
      </c>
      <c r="Y17" s="108">
        <v>31</v>
      </c>
      <c r="Z17" s="74">
        <v>28</v>
      </c>
      <c r="AA17" s="74">
        <v>30</v>
      </c>
      <c r="AB17" s="74">
        <v>27</v>
      </c>
      <c r="AC17" s="74">
        <v>31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3796</v>
      </c>
      <c r="E18" s="71">
        <v>5172</v>
      </c>
      <c r="F18" s="71">
        <v>1644</v>
      </c>
      <c r="G18" s="71">
        <v>3135</v>
      </c>
      <c r="H18" s="71">
        <v>4097</v>
      </c>
      <c r="I18" s="71">
        <v>2571</v>
      </c>
      <c r="J18" s="71">
        <v>780</v>
      </c>
      <c r="K18" s="71">
        <v>3109</v>
      </c>
      <c r="L18" s="71">
        <v>5356</v>
      </c>
      <c r="M18" s="71">
        <v>1002</v>
      </c>
      <c r="N18" s="71">
        <v>3115</v>
      </c>
      <c r="O18" s="71">
        <v>6874</v>
      </c>
      <c r="P18" s="71">
        <v>103</v>
      </c>
      <c r="Q18" s="71">
        <v>3484</v>
      </c>
      <c r="R18" s="71">
        <v>1054</v>
      </c>
      <c r="S18" s="71">
        <v>3991</v>
      </c>
      <c r="T18" s="71">
        <v>1690</v>
      </c>
      <c r="U18" s="71">
        <v>6187</v>
      </c>
      <c r="V18" s="71">
        <v>850</v>
      </c>
      <c r="W18" s="71">
        <v>1392</v>
      </c>
      <c r="X18" s="71">
        <v>1278</v>
      </c>
      <c r="Y18" s="109">
        <v>-9908</v>
      </c>
      <c r="Z18" s="71">
        <v>0</v>
      </c>
      <c r="AA18" s="71">
        <v>5667</v>
      </c>
      <c r="AB18" s="71">
        <v>1098</v>
      </c>
      <c r="AC18" s="71">
        <v>4949</v>
      </c>
      <c r="AD18" s="71">
        <v>5.01</v>
      </c>
      <c r="AE18" s="71">
        <v>77.05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47" t="s" ph="1">
        <v>178</v>
      </c>
      <c r="D19" s="73" ph="1">
        <f>D18*7.0686*LOOKUP(D20,密度!$A$2:$A$50,密度!$L$2:$L$50)</f>
        <v>24954.137208</v>
      </c>
      <c r="E19" s="73" ph="1">
        <f>E18*7.0686*LOOKUP(E20,密度!$A$2:$A$50,密度!$L$2:$L$50)</f>
        <v>33999.683256000004</v>
      </c>
      <c r="F19" s="73" ph="1">
        <f>F18*9.0746*LOOKUP(F20,密度!$A$2:$A$50,密度!$L$2:$L$50)</f>
        <v>13680.395080800001</v>
      </c>
      <c r="G19" s="73" ph="1">
        <f>G18*9.0746*LOOKUP(G20,密度!$A$2:$A$50,密度!$B$2:$B$50)</f>
        <v>22030.805702399997</v>
      </c>
      <c r="H19" s="73" ph="1">
        <f>H18*9.0746*LOOKUP(H20,密度!$A$2:$A$50,密度!$L$2:$L$50)</f>
        <v>34650.488938400005</v>
      </c>
      <c r="I19" s="73" ph="1">
        <f>I18*9.0746*LOOKUP(I20,密度!$A$2:$A$50,密度!$U$2:$U$50)</f>
        <v>23774.081735399999</v>
      </c>
      <c r="J19" s="73" ph="1">
        <f>J18*9.0746*LOOKUP(J20,密度!$A$2:$A$50,密度!$L$2:$L$50)</f>
        <v>6589.793028</v>
      </c>
      <c r="K19" s="73" ph="1">
        <f>K18*9.0746*LOOKUP(K20,密度!$A$2:$A$50,密度!$C$2:$C$50)</f>
        <v>31178.110490139999</v>
      </c>
      <c r="L19" s="73" ph="1">
        <f>L18*9.0746*LOOKUP(L20,密度!$A$2:$A$50,密度!$E$2:$E$50)</f>
        <v>37738.232298520001</v>
      </c>
      <c r="M19" s="73" ph="1">
        <f>M18*9.0746*LOOKUP(M20,密度!$A$2:$A$50,密度!$M$2:$M$50)</f>
        <v>7862.2274507640004</v>
      </c>
      <c r="N19" s="73" ph="1">
        <f>N18*9.0746*LOOKUP(N20,密度!$A$2:$A$50,密度!$M$2:$M$50)</f>
        <v>24620.887108999999</v>
      </c>
      <c r="O19" s="73" ph="1">
        <f>O18*9.0746*LOOKUP(O20,密度!$A$2:$A$50,密度!$G$2:$G$50)</f>
        <v>59553.040741880002</v>
      </c>
      <c r="P19" s="73" ph="1">
        <f ca="1">P18*9.0746*LOOKUP(P20,密度!$A$2:$A$51,密度!$Q$2:$Q$50)</f>
        <v>875.63047751600004</v>
      </c>
      <c r="Q19" s="73" ph="1">
        <f>Q18*9.0746*LOOKUP(Q20,密度!$A$2:$A$50,密度!$Q$2:$Q$50)</f>
        <v>29779.02223816</v>
      </c>
      <c r="R19" s="73" ph="1">
        <f>MAX(R18*9.0746*LOOKUP(R20,密度!$A$2:$A$50,密度!$B$2:$B$50),0)</f>
        <v>7331.2876685999991</v>
      </c>
      <c r="S19" s="73" ph="1">
        <f>S18*9.0746*LOOKUP(S20,密度!$A$2:$A$50,密度!$Q$2:$Q$50)</f>
        <v>34164.326590238001</v>
      </c>
      <c r="T19" s="73" ph="1">
        <f>T18*9.0746*LOOKUP(T20,密度!$A$2:$A$50,密度!$O$2:$O$50)</f>
        <v>14115.322509600001</v>
      </c>
      <c r="U19" s="73" ph="1">
        <f>U18*9.0746*LOOKUP(U20,密度!$A$2:$A$50,密度!$H$2:$H$50)</f>
        <v>51091.540681999999</v>
      </c>
      <c r="V19" s="73" ph="1">
        <f>MAX(5600*LOOKUP(V20,密度!$A$2:$A$50,密度!$Q$2:$Q$50)+V18*9.0476*LOOKUP(V20,密度!$A$2:$A$50,密度!$Q$2:$Q$50),0)</f>
        <v>12500.8737714</v>
      </c>
      <c r="W19" s="73" ph="1">
        <f>MAX(5600*LOOKUP(W20,密度!$A$2:$A$50,密度!$Q$2:$Q$50)+W18*9.0476*LOOKUP(W20,密度!$A$2:$A$50,密度!$Q$2:$Q$50),0)</f>
        <v>17149.544836735997</v>
      </c>
      <c r="X19" s="73" ph="1">
        <f>MAX(5600*LOOKUP(X20,密度!$A$2:$A$50,密度!$I$2:$I$50)+X18*9.0476*LOOKUP(X20,密度!$A$2:$A$50,密度!$I$2:$I$50),0)</f>
        <v>17772.284992727997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39736.683361140007</v>
      </c>
      <c r="AB19" s="73" ph="1">
        <f>AB18*9.0746*LOOKUP(AB20,密度!$A$2:$A$50,密度!$L$2:$L$50)</f>
        <v>9226.5814007999998</v>
      </c>
      <c r="AC19" s="73" ph="1">
        <f>AC18*9.0746*LOOKUP(AC20,密度!$A$2:$A$50,密度!$L$2:$L$50)</f>
        <v>41721.571526600004</v>
      </c>
      <c r="AD19" s="73" ph="1">
        <f>AD18*268.68*LOOKUP(AD20,密度!$A$2:$A$50,密度!B5:B53)+IF(AD18&lt;=0,0,1566*LOOKUP(AD20,密度!$A$2:$A$50,密度!B5:B53))</f>
        <v>2262.6914435999997</v>
      </c>
      <c r="AE19" s="73" ph="1">
        <f>AE18*268.68*LOOKUP(AE20,密度!$A$2:$A$50,密度!B5:B53)+IF(AE18&lt;=0,0,1566*LOOKUP(AE20,密度!$A$2:$A$50,密度!B5:B53))</f>
        <v>17302.075937999998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32</v>
      </c>
      <c r="E20" s="81">
        <v>32</v>
      </c>
      <c r="F20" s="81">
        <v>45</v>
      </c>
      <c r="G20" s="81">
        <v>31</v>
      </c>
      <c r="H20" s="81">
        <v>30</v>
      </c>
      <c r="I20" s="81">
        <v>31</v>
      </c>
      <c r="J20" s="81">
        <v>31</v>
      </c>
      <c r="K20" s="81">
        <v>30</v>
      </c>
      <c r="L20" s="81">
        <v>31</v>
      </c>
      <c r="M20" s="81">
        <v>35</v>
      </c>
      <c r="N20" s="81">
        <v>29</v>
      </c>
      <c r="O20" s="81">
        <v>30</v>
      </c>
      <c r="P20" s="81">
        <v>41</v>
      </c>
      <c r="Q20" s="81">
        <v>32</v>
      </c>
      <c r="R20" s="81">
        <v>40</v>
      </c>
      <c r="S20" s="81">
        <v>30</v>
      </c>
      <c r="T20" s="81">
        <v>34</v>
      </c>
      <c r="U20" s="81">
        <v>30</v>
      </c>
      <c r="V20" s="81">
        <v>34</v>
      </c>
      <c r="W20" s="81">
        <v>31</v>
      </c>
      <c r="X20" s="81">
        <v>31</v>
      </c>
      <c r="Y20" s="110">
        <v>31</v>
      </c>
      <c r="Z20" s="81">
        <v>37</v>
      </c>
      <c r="AA20" s="81">
        <v>33</v>
      </c>
      <c r="AB20" s="81">
        <v>36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47" t="s" ph="1">
        <v>177</v>
      </c>
      <c r="D24" s="71">
        <v>86.42</v>
      </c>
      <c r="E24" s="71">
        <v>5.44</v>
      </c>
      <c r="F24" s="71">
        <v>2341</v>
      </c>
      <c r="G24" s="71">
        <v>1172</v>
      </c>
      <c r="H24" s="71">
        <v>2971</v>
      </c>
      <c r="I24" s="71">
        <v>4196</v>
      </c>
      <c r="J24" s="71">
        <v>690</v>
      </c>
      <c r="K24" s="71">
        <v>648</v>
      </c>
      <c r="L24" s="71">
        <v>5617</v>
      </c>
      <c r="M24" s="71">
        <v>1874</v>
      </c>
      <c r="N24" s="71">
        <v>5531</v>
      </c>
      <c r="O24" s="71">
        <v>4320</v>
      </c>
      <c r="P24" s="71">
        <v>2133</v>
      </c>
      <c r="Q24" s="90">
        <v>3109</v>
      </c>
      <c r="R24" s="71">
        <v>206</v>
      </c>
      <c r="S24" s="71">
        <v>2235</v>
      </c>
      <c r="T24" s="71">
        <v>732</v>
      </c>
      <c r="U24" s="71">
        <v>5419</v>
      </c>
      <c r="V24" s="71">
        <v>5190</v>
      </c>
      <c r="W24" s="71">
        <v>0</v>
      </c>
      <c r="X24" s="71">
        <v>1866</v>
      </c>
      <c r="Y24" s="71">
        <v>823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23465.259158544002</v>
      </c>
      <c r="E25" s="91" ph="1">
        <f>E24*268.68*LOOKUP(E26,密度!$A$2:$A$50,密度!$C$2:$C$50)+IF(E24&lt;=0,0,1566*LOOKUP(E26,密度!$A$2:$A$50,密度!$C$2:$C$50))</f>
        <v>3357.32693088</v>
      </c>
      <c r="F25" s="91" ph="1">
        <f>F24*11.702*LOOKUP(F26,密度!$A$2:$A$50,密度!$Q$2:$Q$50)</f>
        <v>25841.942372060003</v>
      </c>
      <c r="G25" s="91" ph="1">
        <f>G24*18.322*LOOKUP(G26,密度!$A$2:$A$50,密度!$B$2:$B$50)</f>
        <v>16648.314615199997</v>
      </c>
      <c r="H25" s="91" ph="1">
        <f>H24*18.322*LOOKUP(H26,密度!$A$2:$A$50,密度!$B$2:$B$50)</f>
        <v>42154.202252799994</v>
      </c>
      <c r="I25" s="91" ph="1">
        <f>I24*18.322*LOOKUP(I26,密度!$A$2:$A$50,密度!$Q$2:$Q$50)</f>
        <v>72464.713388959994</v>
      </c>
      <c r="J25" s="91" ph="1">
        <f>J24*18.322*LOOKUP(J26,密度!$A$2:$A$50,密度!$Q$2:$Q$50)</f>
        <v>11925.7476594</v>
      </c>
      <c r="K25" s="91" ph="1">
        <f>K24*18.322*LOOKUP(K26,密度!$A$2:$A$50,密度!$Q$2:$Q$50)</f>
        <v>11190.928092479999</v>
      </c>
      <c r="L25" s="91" ph="1">
        <f>L24*18.322*LOOKUP(L26,密度!$A$2:$A$50,密度!$Q$2:$Q$50)</f>
        <v>97082.499424420006</v>
      </c>
      <c r="M25" s="91" ph="1">
        <f>M24*18.322*LOOKUP(M26,密度!$A$2:$A$50,密度!$Q$2:$Q$50)</f>
        <v>32389.639295239998</v>
      </c>
      <c r="N25" s="91" ph="1">
        <f>N24*18.322*LOOKUP(N26,密度!$A$2:$A$50,密度!$Q$2:$Q$50)</f>
        <v>95520.097653559991</v>
      </c>
      <c r="O25" s="91" ph="1">
        <f>O24*18.322*LOOKUP(O26,密度!$A$2:$A$50,密度!$C$2:$C$50)</f>
        <v>87390.663264000003</v>
      </c>
      <c r="P25" s="91" ph="1">
        <f>P24*11.702*LOOKUP(P26,密度!$A$2:$A$50,密度!$B$2:$B$50)</f>
        <v>19351.771759799998</v>
      </c>
      <c r="Q25" s="92" ph="1">
        <f>Q24*18.322*LOOKUP(Q26,密度!$A$2:$A$50,密度!$B$2:$B$50)</f>
        <v>44163.489879399996</v>
      </c>
      <c r="R25" s="91" ph="1">
        <f>R24*35.891*LOOKUP(R26,密度!$A$2:$A$50,密度!$C$2:$C$50)</f>
        <v>8163.2141386000003</v>
      </c>
      <c r="S25" s="91" ph="1">
        <f>S24*35.891*LOOKUP(S26,密度!$A$2:$A$50,密度!$B$2:$B$50)</f>
        <v>62119.568543999994</v>
      </c>
      <c r="T25" s="91" ph="1">
        <f>T24*35.891*LOOKUP(T26,密度!$A$2:$A$50,密度!$Q$2:$Q$50)</f>
        <v>24763.661586959999</v>
      </c>
      <c r="U25" s="91" ph="1">
        <f>U24*35.891</f>
        <v>194493.329</v>
      </c>
      <c r="V25" s="91" ph="1">
        <f>V24*47.051*LOOKUP(V26,密度!$A$2:$A$50,密度!$B$2:$B$50)</f>
        <v>189104.367936</v>
      </c>
      <c r="W25" s="91" ph="1">
        <f>W24*47.051*LOOKUP(W26,密度!$A$2:$A$50,密度!$B$2:$B$50)</f>
        <v>0</v>
      </c>
      <c r="X25" s="91" ph="1">
        <f>X24*47.051*LOOKUP(X26,密度!$A$2:$A$50,密度!$I$2:$I$50)</f>
        <v>90914.843364659988</v>
      </c>
      <c r="Y25" s="91" ph="1">
        <f>Y24*47.051*LOOKUP(Y26,密度!$A$2:$A$50,密度!$L$2:$L$50)</f>
        <v>36051.087863000001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30</v>
      </c>
      <c r="G26" s="74">
        <v>30</v>
      </c>
      <c r="H26" s="74">
        <v>31</v>
      </c>
      <c r="I26" s="74">
        <v>31</v>
      </c>
      <c r="J26" s="74">
        <v>30</v>
      </c>
      <c r="K26" s="74">
        <v>31</v>
      </c>
      <c r="L26" s="74">
        <v>30</v>
      </c>
      <c r="M26" s="74">
        <v>30</v>
      </c>
      <c r="N26" s="74">
        <v>31</v>
      </c>
      <c r="O26" s="74">
        <v>31</v>
      </c>
      <c r="P26" s="74">
        <v>30</v>
      </c>
      <c r="Q26" s="93">
        <v>30</v>
      </c>
      <c r="R26" s="74">
        <v>31</v>
      </c>
      <c r="S26" s="74">
        <v>31</v>
      </c>
      <c r="T26" s="74">
        <v>31</v>
      </c>
      <c r="U26" s="74">
        <v>30</v>
      </c>
      <c r="V26" s="74">
        <v>31</v>
      </c>
      <c r="W26" s="74">
        <v>30</v>
      </c>
      <c r="X26" s="74">
        <v>31</v>
      </c>
      <c r="Y26" s="74">
        <v>31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47" t="s" ph="1">
        <v>180</v>
      </c>
      <c r="D27" s="71">
        <v>86.53</v>
      </c>
      <c r="E27" s="71">
        <v>5.41</v>
      </c>
      <c r="F27" s="71">
        <v>2343</v>
      </c>
      <c r="G27" s="71">
        <v>60</v>
      </c>
      <c r="H27" s="71">
        <v>2489</v>
      </c>
      <c r="I27" s="71">
        <v>3457</v>
      </c>
      <c r="J27" s="71">
        <v>686</v>
      </c>
      <c r="K27" s="71">
        <v>644</v>
      </c>
      <c r="L27" s="71">
        <v>5612</v>
      </c>
      <c r="M27" s="71">
        <v>4244</v>
      </c>
      <c r="N27" s="71">
        <v>5529</v>
      </c>
      <c r="O27" s="71">
        <v>4316</v>
      </c>
      <c r="P27" s="71">
        <v>2131</v>
      </c>
      <c r="Q27" s="90">
        <v>3287</v>
      </c>
      <c r="R27" s="71">
        <v>202</v>
      </c>
      <c r="S27" s="71">
        <v>2228</v>
      </c>
      <c r="T27" s="71">
        <v>416</v>
      </c>
      <c r="U27" s="71">
        <v>5354</v>
      </c>
      <c r="V27" s="71">
        <v>5173</v>
      </c>
      <c r="W27" s="71">
        <v>1447</v>
      </c>
      <c r="X27" s="71">
        <v>1866</v>
      </c>
      <c r="Y27" s="71">
        <v>1067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47" t="s" ph="1">
        <v>178</v>
      </c>
      <c r="D28" s="91" ph="1">
        <f>D27*268.68*LOOKUP(D29,密度!$A$2:$A$50,密度!$Q$2:$Q$50)+IF(D27&lt;=0,0,1566*LOOKUP(D29,密度!$A$2:$A$50,密度!$Q$2:$Q$50))</f>
        <v>23493.239869896002</v>
      </c>
      <c r="E28" s="91" ph="1">
        <f>E27*268.68*LOOKUP(E29,密度!$A$2:$A$50,密度!$C$2:$C$50)+IF(E27&lt;=0,0,1566*LOOKUP(E29,密度!$A$2:$A$50,密度!$C$2:$C$50))</f>
        <v>3348.38875332</v>
      </c>
      <c r="F28" s="91" ph="1">
        <f>F27*11.702*LOOKUP(F29,密度!$A$2:$A$50,密度!$Q$2:$Q$50)</f>
        <v>25824.812633399997</v>
      </c>
      <c r="G28" s="91" ph="1">
        <f>G27*18.322*LOOKUP(G29,密度!$A$2:$A$50,密度!$B$2:$B$50)</f>
        <v>850.3240199999999</v>
      </c>
      <c r="H28" s="91" ph="1">
        <f>H27*18.322*LOOKUP(H29,密度!$A$2:$A$50,密度!$B$2:$B$50)</f>
        <v>35237.791996600004</v>
      </c>
      <c r="I28" s="91" ph="1">
        <f>I27*18.322*LOOKUP(I29,密度!$A$2:$A$50,密度!$Q$2:$Q$50)</f>
        <v>59659.149152599995</v>
      </c>
      <c r="J28" s="91" ph="1">
        <f>J27*18.322*LOOKUP(J29,密度!$A$2:$A$50,密度!$Q$2:$Q$50)</f>
        <v>11838.639374799999</v>
      </c>
      <c r="K28" s="91" ph="1">
        <f>K27*18.322*LOOKUP(K29,密度!$A$2:$A$50,密度!$Q$2:$Q$50)</f>
        <v>11098.367547119999</v>
      </c>
      <c r="L28" s="91" ph="1">
        <f>L27*18.322*LOOKUP(L29,密度!$A$2:$A$50,密度!$Q$2:$Q$50)</f>
        <v>96782.208989999999</v>
      </c>
      <c r="M28" s="91" ph="1">
        <f>M27*18.322*LOOKUP(M29,密度!$A$2:$A$50,密度!$Q$2:$Q$50)</f>
        <v>73190.252130000008</v>
      </c>
      <c r="N28" s="91" ph="1">
        <f>N27*18.322*LOOKUP(N29,密度!$A$2:$A$50,密度!$Q$2:$Q$50)</f>
        <v>95485.557752039982</v>
      </c>
      <c r="O28" s="91" ph="1">
        <f>O27*18.322*LOOKUP(O29,密度!$A$2:$A$50,密度!$C$2:$C$50)</f>
        <v>87309.745983200002</v>
      </c>
      <c r="P28" s="91" ph="1">
        <f>P27*11.702*LOOKUP(P29,密度!$A$2:$A$50,密度!$B$2:$B$50)</f>
        <v>19288.740106999998</v>
      </c>
      <c r="Q28" s="92" ph="1">
        <f>Q27*18.322*LOOKUP(Q29,密度!$A$2:$A$50,密度!$B$2:$B$50)</f>
        <v>46583.584228999993</v>
      </c>
      <c r="R28" s="91" ph="1">
        <f>R27*35.891*LOOKUP(R29,密度!$A$2:$A$50,密度!$C$2:$C$50)</f>
        <v>8004.7051262000004</v>
      </c>
      <c r="S28" s="91" ph="1">
        <f>S27*35.891*LOOKUP(S29,密度!$A$2:$A$50,密度!$B$2:$B$50)</f>
        <v>61925.010611199999</v>
      </c>
      <c r="T28" s="91" ph="1">
        <f>T27*35.891*LOOKUP(T29,密度!$A$2:$A$50,密度!$Q$2:$Q$50)</f>
        <v>14053.479959999999</v>
      </c>
      <c r="U28" s="91" ph="1">
        <f>U27*35.891</f>
        <v>192160.41399999999</v>
      </c>
      <c r="V28" s="91" ph="1">
        <f>V27*47.051*LOOKUP(V29,密度!$A$2:$A$50,密度!$B$2:$B$50)</f>
        <v>188265.8955905</v>
      </c>
      <c r="W28" s="91" ph="1">
        <f>W27*47.051*LOOKUP(W29,密度!$A$2:$A$50,密度!$B$2:$B$50)</f>
        <v>52662.043479500004</v>
      </c>
      <c r="X28" s="91" ph="1">
        <f>X27*47.051*LOOKUP(X29,密度!$A$2:$A$50,密度!$I$2:$I$50)</f>
        <v>90525.023947619993</v>
      </c>
      <c r="Y28" s="91" ph="1">
        <f>Y27*47.051*LOOKUP(Y29,密度!$A$2:$A$50,密度!$L$2:$L$50)</f>
        <v>46588.770976000007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47" t="s" ph="1">
        <v>179</v>
      </c>
      <c r="D29" s="74">
        <v>25</v>
      </c>
      <c r="E29" s="74">
        <v>25</v>
      </c>
      <c r="F29" s="74">
        <v>32</v>
      </c>
      <c r="G29" s="74">
        <v>32</v>
      </c>
      <c r="H29" s="74">
        <v>33</v>
      </c>
      <c r="I29" s="74">
        <v>32</v>
      </c>
      <c r="J29" s="74">
        <v>32</v>
      </c>
      <c r="K29" s="74">
        <v>34</v>
      </c>
      <c r="L29" s="74">
        <v>33</v>
      </c>
      <c r="M29" s="74">
        <v>33</v>
      </c>
      <c r="N29" s="74">
        <v>31</v>
      </c>
      <c r="O29" s="74">
        <v>31</v>
      </c>
      <c r="P29" s="74">
        <v>32</v>
      </c>
      <c r="Q29" s="93">
        <v>32</v>
      </c>
      <c r="R29" s="74">
        <v>31</v>
      </c>
      <c r="S29" s="74">
        <v>31</v>
      </c>
      <c r="T29" s="74">
        <v>33</v>
      </c>
      <c r="U29" s="74">
        <v>33</v>
      </c>
      <c r="V29" s="74">
        <v>32</v>
      </c>
      <c r="W29" s="74">
        <v>32</v>
      </c>
      <c r="X29" s="74">
        <v>35</v>
      </c>
      <c r="Y29" s="74">
        <v>34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90081.189105600002</v>
      </c>
      <c r="E33" s="204" ph="1">
        <f>M10+I10</f>
        <v>100391.499696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08" ph="1">
        <v>0</v>
      </c>
      <c r="H33" s="204" ph="1">
        <f>N19</f>
        <v>24620.887108999999</v>
      </c>
      <c r="I33" s="217" ph="1">
        <v>0</v>
      </c>
      <c r="J33" s="215" ph="1">
        <f>F10+O28</f>
        <v>332527.96147159999</v>
      </c>
      <c r="K33" s="204" ph="1">
        <f>O10+K10+E28+R28</f>
        <v>17987.390375520001</v>
      </c>
      <c r="L33" s="219" ph="1">
        <f>BE27</f>
        <v>7100</v>
      </c>
      <c r="M33" s="215" ph="1">
        <f>G10+H10+W28+S28+V28+E10</f>
        <v>1377371.4636872001</v>
      </c>
      <c r="N33" s="204" ph="1">
        <f>L10+P10++G28+H28</f>
        <v>393636.56428759999</v>
      </c>
      <c r="O33" s="217" ph="1">
        <f>BE17</f>
        <v>2270</v>
      </c>
      <c r="P33" s="215" ph="1">
        <f>L19</f>
        <v>37738.232298520001</v>
      </c>
      <c r="Q33" s="204" ph="1">
        <f>J10+N10</f>
        <v>147567.17759635</v>
      </c>
      <c r="R33" s="217" ph="1">
        <f>BE23</f>
        <v>890</v>
      </c>
      <c r="S33" s="215" ph="1">
        <f>E10+X28</f>
        <v>450286.35664762004</v>
      </c>
      <c r="T33" s="204" ph="1">
        <f>X19</f>
        <v>17772.284992727997</v>
      </c>
      <c r="U33" s="225" ph="1">
        <f>BE21</f>
        <v>730</v>
      </c>
      <c r="V33" s="236" ph="1">
        <f ca="1">P19+Q19+S19+M28+N28+J28</f>
        <v>245333.42856275398</v>
      </c>
      <c r="W33" s="236" ph="1">
        <f>D28+F28+V19+T28</f>
        <v>75872.406234695998</v>
      </c>
      <c r="X33" s="217" ph="1">
        <f>BE29+BE31</f>
        <v>10200</v>
      </c>
      <c r="Y33" s="238" ph="1">
        <f>+Q10+R10+S10+T10+U10+V10+W10+X10+Y10</f>
        <v>183583.9968732</v>
      </c>
      <c r="Z33" s="223" ph="1">
        <f>D10+T19+U19+Y28+Z10</f>
        <v>342230.68246007996</v>
      </c>
      <c r="AA33" s="225" ph="1">
        <f>BE19</f>
        <v>1440</v>
      </c>
      <c r="AB33" s="227" ph="1">
        <f>I19</f>
        <v>23774.081735399999</v>
      </c>
      <c r="AC33" s="229" ph="1">
        <f>AD10</f>
        <v>86541.636787200012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49" t="s" ph="1">
        <v>185</v>
      </c>
      <c r="AA36" s="149" ph="1"/>
      <c r="AB36" s="222" t="s" ph="1">
        <v>638</v>
      </c>
      <c r="AC36" s="222" ph="1"/>
      <c r="AD36" s="222" ph="1"/>
      <c r="AE36" s="22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342</v>
      </c>
      <c r="AI37" s="149" t="s" ph="1">
        <v>209</v>
      </c>
      <c r="AJ37" s="149" t="s" ph="1">
        <v>210</v>
      </c>
      <c r="AK37" s="149" t="s" ph="1">
        <v>211</v>
      </c>
      <c r="AM37" s="149" t="s" ph="1">
        <v>210</v>
      </c>
      <c r="AN37" s="149" t="s" ph="1">
        <v>211</v>
      </c>
      <c r="AO37" s="149" t="s" ph="1">
        <v>212</v>
      </c>
      <c r="AP37" s="149" t="s" ph="1">
        <v>210</v>
      </c>
      <c r="AQ37" s="149" t="s" ph="1">
        <v>211</v>
      </c>
      <c r="AR37" s="149" t="s" ph="1">
        <v>212</v>
      </c>
      <c r="AS37" s="149" t="s" ph="1">
        <v>210</v>
      </c>
      <c r="AT37" s="149" t="s" ph="1">
        <v>211</v>
      </c>
      <c r="AU37" s="149" t="s" ph="1">
        <v>212</v>
      </c>
      <c r="AV37" s="149" t="s" ph="1">
        <v>210</v>
      </c>
      <c r="AW37" s="149" t="s" ph="1">
        <v>211</v>
      </c>
      <c r="AX37" s="149" t="s" ph="1">
        <v>212</v>
      </c>
      <c r="AY37" s="149" t="s" ph="1">
        <v>211</v>
      </c>
      <c r="AZ37" s="149" t="s" ph="1">
        <v>213</v>
      </c>
      <c r="BD37" s="149" t="s" ph="1">
        <v>305</v>
      </c>
      <c r="BE37" s="14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535" priority="98">
      <formula>ABS(D$7-D$10)&gt;=1000</formula>
    </cfRule>
  </conditionalFormatting>
  <conditionalFormatting sqref="E4 E6:E11">
    <cfRule type="expression" dxfId="1534" priority="97">
      <formula>ABS(E$7-E$10)&gt;=1000</formula>
    </cfRule>
  </conditionalFormatting>
  <conditionalFormatting sqref="F4:F11">
    <cfRule type="expression" dxfId="1533" priority="96">
      <formula>ABS(F$7-F$10)&gt;=1000</formula>
    </cfRule>
  </conditionalFormatting>
  <conditionalFormatting sqref="G4:G11">
    <cfRule type="expression" dxfId="1532" priority="95">
      <formula>ABS(G$7-G$10)&gt;=1000</formula>
    </cfRule>
  </conditionalFormatting>
  <conditionalFormatting sqref="H4:H11">
    <cfRule type="expression" dxfId="1531" priority="94">
      <formula>ABS(H$7-H$10)&gt;=1000</formula>
    </cfRule>
  </conditionalFormatting>
  <conditionalFormatting sqref="I4:I11">
    <cfRule type="expression" dxfId="1530" priority="93">
      <formula>ABS(I$7-I$10)&gt;=1000</formula>
    </cfRule>
  </conditionalFormatting>
  <conditionalFormatting sqref="J4:J11">
    <cfRule type="expression" dxfId="1529" priority="92">
      <formula>ABS(J$7-J$10)&gt;=1000</formula>
    </cfRule>
  </conditionalFormatting>
  <conditionalFormatting sqref="K4:K11">
    <cfRule type="expression" dxfId="1528" priority="91">
      <formula>ABS(K$7-K$10)&gt;=1000</formula>
    </cfRule>
  </conditionalFormatting>
  <conditionalFormatting sqref="L4:L11">
    <cfRule type="expression" dxfId="1527" priority="90">
      <formula>ABS(L$7-L$10)&gt;=1000</formula>
    </cfRule>
  </conditionalFormatting>
  <conditionalFormatting sqref="M4 M6:M11">
    <cfRule type="expression" dxfId="1526" priority="89">
      <formula>ABS(M$7-M$10)&gt;=1000</formula>
    </cfRule>
  </conditionalFormatting>
  <conditionalFormatting sqref="N4 N6:N11">
    <cfRule type="expression" dxfId="1525" priority="88">
      <formula>ABS(N$7-N$10)&gt;=1000</formula>
    </cfRule>
  </conditionalFormatting>
  <conditionalFormatting sqref="O4 O6:O11">
    <cfRule type="expression" dxfId="1524" priority="87">
      <formula>ABS(O$7-O$10)&gt;=1000</formula>
    </cfRule>
  </conditionalFormatting>
  <conditionalFormatting sqref="P4 P6:P11">
    <cfRule type="expression" dxfId="1523" priority="86">
      <formula>ABS(P$7-P$10)&gt;=1000</formula>
    </cfRule>
  </conditionalFormatting>
  <conditionalFormatting sqref="Q4:Q11">
    <cfRule type="expression" dxfId="1522" priority="85">
      <formula>ABS(Q$7-Q$10)&gt;=1000</formula>
    </cfRule>
  </conditionalFormatting>
  <conditionalFormatting sqref="R4:R11">
    <cfRule type="expression" dxfId="1521" priority="84">
      <formula>ABS(R$7-R$10)&gt;=1000</formula>
    </cfRule>
  </conditionalFormatting>
  <conditionalFormatting sqref="S4:S11">
    <cfRule type="expression" dxfId="1520" priority="83">
      <formula>ABS(S$7-S$10)&gt;=1000</formula>
    </cfRule>
  </conditionalFormatting>
  <conditionalFormatting sqref="T4:T9 T11">
    <cfRule type="expression" dxfId="1519" priority="82">
      <formula>ABS(T$7-T$10)&gt;=1000</formula>
    </cfRule>
  </conditionalFormatting>
  <conditionalFormatting sqref="U4:U9 U11">
    <cfRule type="expression" dxfId="1518" priority="81">
      <formula>ABS(U$7-U$10)&gt;=1000</formula>
    </cfRule>
  </conditionalFormatting>
  <conditionalFormatting sqref="V4:V9 V11">
    <cfRule type="expression" dxfId="1517" priority="80">
      <formula>ABS(V$7-V$10)&gt;=1000</formula>
    </cfRule>
  </conditionalFormatting>
  <conditionalFormatting sqref="W4:W9 W11">
    <cfRule type="expression" dxfId="1516" priority="79">
      <formula>ABS(W$7-W$10)&gt;=1000</formula>
    </cfRule>
  </conditionalFormatting>
  <conditionalFormatting sqref="X4:X9 X11">
    <cfRule type="expression" dxfId="1515" priority="78">
      <formula>ABS(X$7-X$10)&gt;=1000</formula>
    </cfRule>
  </conditionalFormatting>
  <conditionalFormatting sqref="Y4:Y9 Y11">
    <cfRule type="expression" dxfId="1514" priority="77">
      <formula>ABS(Y$7-Y$10)&gt;=1000</formula>
    </cfRule>
  </conditionalFormatting>
  <conditionalFormatting sqref="Z4:Z11">
    <cfRule type="expression" dxfId="1513" priority="76">
      <formula>ABS(Z$7-Z$10)&gt;=1000</formula>
    </cfRule>
  </conditionalFormatting>
  <conditionalFormatting sqref="AA4:AA11">
    <cfRule type="expression" dxfId="1512" priority="75">
      <formula>ABS(AA$7-AA$10)&gt;=1000</formula>
    </cfRule>
  </conditionalFormatting>
  <conditionalFormatting sqref="AB4:AB11">
    <cfRule type="expression" dxfId="1511" priority="74">
      <formula>ABS(AB$7-AB$10)&gt;=1000</formula>
    </cfRule>
  </conditionalFormatting>
  <conditionalFormatting sqref="AC4 AC6:AC11">
    <cfRule type="expression" dxfId="1510" priority="73">
      <formula>ABS(AC$7-AC$10)&gt;=1000</formula>
    </cfRule>
  </conditionalFormatting>
  <conditionalFormatting sqref="AD4:AD11">
    <cfRule type="expression" dxfId="1509" priority="72">
      <formula>ABS(AD$7-AD$10)&gt;=1000</formula>
    </cfRule>
  </conditionalFormatting>
  <conditionalFormatting sqref="AE4 AE6:AE11">
    <cfRule type="expression" dxfId="1508" priority="71">
      <formula>ABS(AE$7-AE$10)&gt;=1000</formula>
    </cfRule>
  </conditionalFormatting>
  <conditionalFormatting sqref="D13:D20">
    <cfRule type="expression" dxfId="1507" priority="70">
      <formula>ABS(D$16-D$19)&gt;=1000</formula>
    </cfRule>
  </conditionalFormatting>
  <conditionalFormatting sqref="E13:E20">
    <cfRule type="expression" dxfId="1506" priority="69">
      <formula>ABS(E$16-E$19)&gt;=1000</formula>
    </cfRule>
  </conditionalFormatting>
  <conditionalFormatting sqref="F13 F15:F20">
    <cfRule type="expression" dxfId="1505" priority="68">
      <formula>ABS(F$16-F$19)&gt;=1000</formula>
    </cfRule>
  </conditionalFormatting>
  <conditionalFormatting sqref="G13:G20">
    <cfRule type="expression" dxfId="1504" priority="67">
      <formula>ABS(G$16-G$19)&gt;=1000</formula>
    </cfRule>
  </conditionalFormatting>
  <conditionalFormatting sqref="H13:H20">
    <cfRule type="expression" dxfId="1503" priority="66">
      <formula>ABS(H$16-H$19)&gt;=1000</formula>
    </cfRule>
  </conditionalFormatting>
  <conditionalFormatting sqref="I13:I20">
    <cfRule type="expression" dxfId="1502" priority="65">
      <formula>ABS(I$16-I$19)&gt;=1000</formula>
    </cfRule>
  </conditionalFormatting>
  <conditionalFormatting sqref="J13:J20">
    <cfRule type="expression" dxfId="1501" priority="64">
      <formula>ABS(J$16-J$19)&gt;=1000</formula>
    </cfRule>
  </conditionalFormatting>
  <conditionalFormatting sqref="L13:L20">
    <cfRule type="expression" dxfId="1500" priority="63">
      <formula>ABS(L$16-L$19)&gt;=1000</formula>
    </cfRule>
  </conditionalFormatting>
  <conditionalFormatting sqref="M13 M15 M17:M18 M20">
    <cfRule type="expression" dxfId="1499" priority="62">
      <formula>ABS(M$16-M$19)&gt;=1000</formula>
    </cfRule>
  </conditionalFormatting>
  <conditionalFormatting sqref="N13:N20">
    <cfRule type="expression" dxfId="1498" priority="61">
      <formula>ABS(N$16-N$19)&gt;=1000</formula>
    </cfRule>
  </conditionalFormatting>
  <conditionalFormatting sqref="O13:O20">
    <cfRule type="expression" dxfId="1497" priority="60">
      <formula>ABS(O$16-O$19)&gt;=1000</formula>
    </cfRule>
  </conditionalFormatting>
  <conditionalFormatting sqref="P13:P20">
    <cfRule type="expression" dxfId="1496" priority="59">
      <formula>ABS(P$16-P$19)&gt;=1000</formula>
    </cfRule>
  </conditionalFormatting>
  <conditionalFormatting sqref="Q13 Q15:Q20">
    <cfRule type="expression" dxfId="1495" priority="58">
      <formula>ABS(Q$16-Q$19)&gt;=1000</formula>
    </cfRule>
  </conditionalFormatting>
  <conditionalFormatting sqref="R13:R20">
    <cfRule type="expression" dxfId="1494" priority="57">
      <formula>ABS(R$16-R$19)&gt;=1000</formula>
    </cfRule>
  </conditionalFormatting>
  <conditionalFormatting sqref="S13:S20">
    <cfRule type="expression" dxfId="1493" priority="56">
      <formula>ABS(S$16-S$19)&gt;=1000</formula>
    </cfRule>
  </conditionalFormatting>
  <conditionalFormatting sqref="T13:T20">
    <cfRule type="expression" dxfId="1492" priority="55">
      <formula>ABS(T$16-T$19)&gt;=1000</formula>
    </cfRule>
  </conditionalFormatting>
  <conditionalFormatting sqref="U13:U20">
    <cfRule type="expression" dxfId="1491" priority="54">
      <formula>ABS(U$16-U$19)&gt;=1000</formula>
    </cfRule>
  </conditionalFormatting>
  <conditionalFormatting sqref="V13:V20">
    <cfRule type="expression" dxfId="1490" priority="53">
      <formula>ABS(V$16-V$19)&gt;=1000</formula>
    </cfRule>
  </conditionalFormatting>
  <conditionalFormatting sqref="W13 W20 W15:W18">
    <cfRule type="expression" dxfId="1489" priority="52">
      <formula>ABS(W$16-W$19)&gt;=1000</formula>
    </cfRule>
  </conditionalFormatting>
  <conditionalFormatting sqref="X13 X15:X20 Y19">
    <cfRule type="expression" dxfId="1488" priority="51">
      <formula>ABS(X$16-X$19)&gt;=1000</formula>
    </cfRule>
  </conditionalFormatting>
  <conditionalFormatting sqref="Y13 Y15:Y18 Y20">
    <cfRule type="expression" dxfId="1487" priority="50">
      <formula>ABS(Y$16-Y$19)&gt;=1000</formula>
    </cfRule>
  </conditionalFormatting>
  <conditionalFormatting sqref="Z13:Z20">
    <cfRule type="expression" dxfId="1486" priority="49">
      <formula>ABS(Z$16-Z$19)&gt;=1000</formula>
    </cfRule>
  </conditionalFormatting>
  <conditionalFormatting sqref="AA13:AA20">
    <cfRule type="expression" dxfId="1485" priority="48">
      <formula>ABS(AA$16-AA$19)&gt;=1000</formula>
    </cfRule>
  </conditionalFormatting>
  <conditionalFormatting sqref="AB13 AB15:AB20">
    <cfRule type="expression" dxfId="1484" priority="47">
      <formula>ABS(AB$16-AB$19)&gt;=1000</formula>
    </cfRule>
  </conditionalFormatting>
  <conditionalFormatting sqref="AC13 AC15:AC20">
    <cfRule type="expression" dxfId="1483" priority="46">
      <formula>ABS(AC$16-AC$19)&gt;=1000</formula>
    </cfRule>
  </conditionalFormatting>
  <conditionalFormatting sqref="AD13:AD20">
    <cfRule type="expression" dxfId="1482" priority="45">
      <formula>ABS(AD$16-AD$19)&gt;=1000</formula>
    </cfRule>
  </conditionalFormatting>
  <conditionalFormatting sqref="AE13:AE20">
    <cfRule type="expression" dxfId="1481" priority="44">
      <formula>ABS(AE$16-AE$19)&gt;=1000</formula>
    </cfRule>
  </conditionalFormatting>
  <conditionalFormatting sqref="D22:D29">
    <cfRule type="expression" dxfId="1480" priority="43">
      <formula>ABS(D$25-D$28)&gt;=1000</formula>
    </cfRule>
  </conditionalFormatting>
  <conditionalFormatting sqref="E22:E29">
    <cfRule type="expression" dxfId="1479" priority="42">
      <formula>ABS(E$25-E$28)&gt;=1000</formula>
    </cfRule>
  </conditionalFormatting>
  <conditionalFormatting sqref="F22:F29">
    <cfRule type="expression" dxfId="1478" priority="41">
      <formula>ABS(F$25-F$28)&gt;=1000</formula>
    </cfRule>
  </conditionalFormatting>
  <conditionalFormatting sqref="G22:G29">
    <cfRule type="expression" dxfId="1477" priority="40">
      <formula>ABS(G$25-G$28)&gt;=1000</formula>
    </cfRule>
  </conditionalFormatting>
  <conditionalFormatting sqref="H22:H29">
    <cfRule type="expression" dxfId="1476" priority="39">
      <formula>ABS(H$25-H$28)&gt;=1000</formula>
    </cfRule>
  </conditionalFormatting>
  <conditionalFormatting sqref="I22 I24:I29">
    <cfRule type="expression" dxfId="1475" priority="38">
      <formula>ABS(I$25-I$28)&gt;=1000</formula>
    </cfRule>
  </conditionalFormatting>
  <conditionalFormatting sqref="J22:J29 K22">
    <cfRule type="expression" dxfId="1474" priority="37">
      <formula>ABS(J$25-J$28)&gt;=1000</formula>
    </cfRule>
  </conditionalFormatting>
  <conditionalFormatting sqref="K23:K29 L25 L28">
    <cfRule type="expression" dxfId="1473" priority="36">
      <formula>ABS(K$25-K$28)&gt;=1000</formula>
    </cfRule>
  </conditionalFormatting>
  <conditionalFormatting sqref="L22 L26:L27 L29 L24">
    <cfRule type="expression" dxfId="1472" priority="35">
      <formula>ABS(L$25-L$28)&gt;=1000</formula>
    </cfRule>
  </conditionalFormatting>
  <conditionalFormatting sqref="M22:M29">
    <cfRule type="expression" dxfId="1471" priority="34">
      <formula>ABS(M$25-M$28)&gt;=1000</formula>
    </cfRule>
  </conditionalFormatting>
  <conditionalFormatting sqref="N22:N29">
    <cfRule type="expression" dxfId="1470" priority="33">
      <formula>ABS(N$25-N$28)&gt;=1000</formula>
    </cfRule>
  </conditionalFormatting>
  <conditionalFormatting sqref="O22:O29">
    <cfRule type="expression" dxfId="1469" priority="32">
      <formula>ABS(O$25-O$28)&gt;=1000</formula>
    </cfRule>
  </conditionalFormatting>
  <conditionalFormatting sqref="P22:P29">
    <cfRule type="expression" dxfId="1468" priority="31">
      <formula>ABS(P$25-P$28)&gt;=1000</formula>
    </cfRule>
  </conditionalFormatting>
  <conditionalFormatting sqref="Q22:Q29">
    <cfRule type="expression" dxfId="1467" priority="30">
      <formula>ABS(Q$25-Q$28)&gt;=1000</formula>
    </cfRule>
  </conditionalFormatting>
  <conditionalFormatting sqref="R22:R29">
    <cfRule type="expression" dxfId="1466" priority="29">
      <formula>ABS(R$25-R$28)&gt;=1000</formula>
    </cfRule>
  </conditionalFormatting>
  <conditionalFormatting sqref="S22:S29">
    <cfRule type="expression" dxfId="1465" priority="28">
      <formula>ABS(S$25-S$28)&gt;=1000</formula>
    </cfRule>
  </conditionalFormatting>
  <conditionalFormatting sqref="T22:T29">
    <cfRule type="expression" dxfId="1464" priority="27">
      <formula>ABS(T$25-T$28)&gt;=1000</formula>
    </cfRule>
  </conditionalFormatting>
  <conditionalFormatting sqref="U22:U29">
    <cfRule type="expression" dxfId="1463" priority="26">
      <formula>ABS(U$25-U$28)&gt;=1000</formula>
    </cfRule>
  </conditionalFormatting>
  <conditionalFormatting sqref="V22:V29">
    <cfRule type="expression" dxfId="1462" priority="25">
      <formula>ABS(V$25-V$28)&gt;=1000</formula>
    </cfRule>
  </conditionalFormatting>
  <conditionalFormatting sqref="W22:W29">
    <cfRule type="expression" dxfId="1461" priority="24">
      <formula>ABS(W$25-W$28)&gt;=1000</formula>
    </cfRule>
  </conditionalFormatting>
  <conditionalFormatting sqref="X22:X29">
    <cfRule type="expression" dxfId="1460" priority="23">
      <formula>ABS(X$25-X$28)&gt;=1000</formula>
    </cfRule>
  </conditionalFormatting>
  <conditionalFormatting sqref="Y22:Y29">
    <cfRule type="expression" dxfId="1459" priority="22">
      <formula>ABS(Y$25-Y$28)&gt;=1000</formula>
    </cfRule>
  </conditionalFormatting>
  <conditionalFormatting sqref="I23">
    <cfRule type="expression" dxfId="1458" priority="21">
      <formula>ABS(I$25-I$28)&gt;=1000</formula>
    </cfRule>
  </conditionalFormatting>
  <conditionalFormatting sqref="Q14">
    <cfRule type="expression" dxfId="1457" priority="20">
      <formula>ABS(Q$16-Q$19)&gt;=1000</formula>
    </cfRule>
  </conditionalFormatting>
  <conditionalFormatting sqref="W14">
    <cfRule type="expression" dxfId="1456" priority="19">
      <formula>ABS(W$16-W$19)&gt;=1000</formula>
    </cfRule>
  </conditionalFormatting>
  <conditionalFormatting sqref="Y14">
    <cfRule type="expression" dxfId="1455" priority="18">
      <formula>ABS(Y$16-Y$19)&gt;=1000</formula>
    </cfRule>
  </conditionalFormatting>
  <conditionalFormatting sqref="X14">
    <cfRule type="expression" dxfId="1454" priority="17">
      <formula>ABS(X$16-X$19)&gt;=1000</formula>
    </cfRule>
  </conditionalFormatting>
  <conditionalFormatting sqref="T10:Y10">
    <cfRule type="expression" dxfId="1453" priority="16">
      <formula>ABS(T$7-T$10)&gt;=1000</formula>
    </cfRule>
  </conditionalFormatting>
  <conditionalFormatting sqref="W19">
    <cfRule type="expression" dxfId="1452" priority="15">
      <formula>ABS(W$16-W$19)&gt;=1000</formula>
    </cfRule>
  </conditionalFormatting>
  <conditionalFormatting sqref="AC5">
    <cfRule type="expression" dxfId="1451" priority="14">
      <formula>ABS(AC$7-AC$10)&gt;=1000</formula>
    </cfRule>
  </conditionalFormatting>
  <conditionalFormatting sqref="M14">
    <cfRule type="expression" dxfId="1450" priority="13">
      <formula>ABS(M$16-M$19)&gt;=1000</formula>
    </cfRule>
  </conditionalFormatting>
  <conditionalFormatting sqref="M16">
    <cfRule type="expression" dxfId="1449" priority="12">
      <formula>ABS(M$16-M$19)&gt;=1000</formula>
    </cfRule>
  </conditionalFormatting>
  <conditionalFormatting sqref="M19">
    <cfRule type="expression" dxfId="1448" priority="11">
      <formula>ABS(M$16-M$19)&gt;=1000</formula>
    </cfRule>
  </conditionalFormatting>
  <conditionalFormatting sqref="K13:K20">
    <cfRule type="expression" dxfId="1447" priority="10">
      <formula>ABS(K$16-K$19)&gt;=1000</formula>
    </cfRule>
  </conditionalFormatting>
  <conditionalFormatting sqref="E5">
    <cfRule type="expression" dxfId="1446" priority="9">
      <formula>ABS(E$7-E$10)&gt;=1000</formula>
    </cfRule>
  </conditionalFormatting>
  <conditionalFormatting sqref="AB14:AC14">
    <cfRule type="expression" dxfId="1445" priority="8">
      <formula>ABS(AB$16-AB$19)&gt;=1000</formula>
    </cfRule>
  </conditionalFormatting>
  <conditionalFormatting sqref="M5">
    <cfRule type="expression" dxfId="1444" priority="7">
      <formula>ABS(M$7-M$10)&gt;=1000</formula>
    </cfRule>
  </conditionalFormatting>
  <conditionalFormatting sqref="N5">
    <cfRule type="expression" dxfId="1443" priority="6">
      <formula>ABS(N$7-N$10)&gt;=1000</formula>
    </cfRule>
  </conditionalFormatting>
  <conditionalFormatting sqref="O5">
    <cfRule type="expression" dxfId="1442" priority="5">
      <formula>ABS(O$7-O$10)&gt;=1000</formula>
    </cfRule>
  </conditionalFormatting>
  <conditionalFormatting sqref="P5">
    <cfRule type="expression" dxfId="1441" priority="4">
      <formula>ABS(P$7-P$10)&gt;=1000</formula>
    </cfRule>
  </conditionalFormatting>
  <conditionalFormatting sqref="L23">
    <cfRule type="expression" dxfId="1440" priority="3">
      <formula>ABS(L$25-L$28)&gt;=1000</formula>
    </cfRule>
  </conditionalFormatting>
  <conditionalFormatting sqref="F14">
    <cfRule type="expression" dxfId="1439" priority="2">
      <formula>ABS(F$16-F$19)&gt;=1000</formula>
    </cfRule>
  </conditionalFormatting>
  <conditionalFormatting sqref="AE5">
    <cfRule type="expression" dxfId="1438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112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23">
    <pageSetUpPr fitToPage="1"/>
  </sheetPr>
  <dimension ref="A1:CU223"/>
  <sheetViews>
    <sheetView view="pageBreakPreview" zoomScale="80" zoomScaleNormal="100" zoomScaleSheetLayoutView="80" workbookViewId="0">
      <selection activeCell="U30" sqref="U30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45915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51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47" t="s" ph="1">
        <v>177</v>
      </c>
      <c r="D6" s="71">
        <v>3051</v>
      </c>
      <c r="E6" s="71">
        <v>9069</v>
      </c>
      <c r="F6" s="71">
        <v>6607</v>
      </c>
      <c r="G6" s="71">
        <v>9050</v>
      </c>
      <c r="H6" s="71">
        <v>8936</v>
      </c>
      <c r="I6" s="71">
        <v>18.059999999999999</v>
      </c>
      <c r="J6" s="71">
        <v>7.02</v>
      </c>
      <c r="K6" s="71">
        <v>7.06</v>
      </c>
      <c r="L6" s="71">
        <v>29.66</v>
      </c>
      <c r="M6" s="71">
        <v>2804</v>
      </c>
      <c r="N6" s="71">
        <v>5426</v>
      </c>
      <c r="O6" s="71">
        <v>195</v>
      </c>
      <c r="P6" s="71">
        <v>7886</v>
      </c>
      <c r="Q6" s="71">
        <v>6232</v>
      </c>
      <c r="R6" s="71">
        <v>7137</v>
      </c>
      <c r="S6" s="71">
        <v>4772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4547</v>
      </c>
      <c r="Z6" s="71">
        <v>944</v>
      </c>
      <c r="AA6" s="71">
        <v>1041</v>
      </c>
      <c r="AB6" s="71">
        <v>2626</v>
      </c>
      <c r="AC6" s="71">
        <v>2358</v>
      </c>
      <c r="AD6" s="71">
        <v>4703</v>
      </c>
      <c r="AE6" s="71">
        <v>3785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95428.055659139995</v>
      </c>
      <c r="E7" s="73" ph="1">
        <f>E6*51.53*LOOKUP(E8,密度!$A$2:$A$50,密度!$B$2:$B$50)</f>
        <v>361896.92140799999</v>
      </c>
      <c r="F7" s="73" ph="1">
        <f>F6*33.183*LOOKUP(F8,密度!$A$2:$A$50,密度!$C$2:$C$50)</f>
        <v>242611.0736346</v>
      </c>
      <c r="G7" s="73" ph="1">
        <f xml:space="preserve"> (G6+2)*51.53*LOOKUP(G8,密度!$A$2:$A$50,密度!$B$2:$B$50)</f>
        <v>361638.34386799997</v>
      </c>
      <c r="H7" s="73" ph="1">
        <f>(H6)*51.53*LOOKUP(H8,密度!$A$2:$A$50,密度!$B$2:$B$50)</f>
        <v>357004.003624</v>
      </c>
      <c r="I7" s="73" ph="1">
        <f>I6*290.8*1.0267</f>
        <v>5392.0723416000001</v>
      </c>
      <c r="J7" s="73" ph="1">
        <f>J6*290.8*0.7892</f>
        <v>1611.0855071999999</v>
      </c>
      <c r="K7" s="73" ph="1">
        <f>K6*290.8*1.1126</f>
        <v>2284.2212047999997</v>
      </c>
      <c r="L7" s="73" ph="1">
        <f>L6*290.8*0.777</f>
        <v>6701.7244560000008</v>
      </c>
      <c r="M7" s="73" ph="1">
        <f>M6*33.183*LOOKUP(M8,密度!$A$2:$A$50,密度!$D$2:$D$50)</f>
        <v>95175.865522799984</v>
      </c>
      <c r="N7" s="73" ph="1">
        <f>N6*33.183*LOOKUP(N8,密度!$A$2:$A$50,密度!$E$2:$E$50)</f>
        <v>139800.56633910001</v>
      </c>
      <c r="O7" s="73" ph="1">
        <f>O6*20.428*LOOKUP(O8,密度!$A$2:$A$50,密度!$C$2:$C$50)</f>
        <v>4402.1216459999996</v>
      </c>
      <c r="P7" s="73" ph="1">
        <f>P6*51.53*LOOKUP(P8,密度!$A$2:$A$50,密度!$B$2:$B$50)</f>
        <v>315746.05566000001</v>
      </c>
      <c r="Q7" s="73" ph="1">
        <f>Q6*1.5*1.5*3.1416*LOOKUP(W8,密度!$A$2:$A$50,密度!$L$2:$L$50)</f>
        <v>41188.166712000006</v>
      </c>
      <c r="R7" s="73" ph="1">
        <f>R6*1.5*1.5*3.1416*LOOKUP(R8,密度!$A$2:$A$50,密度!$L$2:$L$50)</f>
        <v>46967.644924200002</v>
      </c>
      <c r="S7" s="73" ph="1">
        <f>S6*1.5*1.5*3.1416*LOOKUP(S8,密度!$A$2:$A$50,密度!$L$2:$L$50)</f>
        <v>31673.746288799997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30019.623202800001</v>
      </c>
      <c r="Z7" s="73" ph="1">
        <f>Z6*33.183*LOOKUP(Z8,密度!$A$2:$A$50,密度!$L$2:$L$50)</f>
        <v>29413.942127999999</v>
      </c>
      <c r="AA7" s="73" ph="1">
        <f>AA6*33.183*LOOKUP(AA8,密度!$A$2:$A$50,密度!$D$2:$D$50)</f>
        <v>35369.092721699999</v>
      </c>
      <c r="AB7" s="73" ph="1">
        <f>AB6*20.428*LOOKUP(AB8,密度!$A$2:$A$50,密度!$D$2:$D$50)</f>
        <v>55124.5004128</v>
      </c>
      <c r="AC7" s="73" ph="1">
        <f>AC6*51.53*LOOKUP(AC8,密度!$A$2:$A$50,密度!$Q$2:$Q$50)</f>
        <v>114949.96727220001</v>
      </c>
      <c r="AD7" s="73" ph="1">
        <f>AD6*20.428*LOOKUP(AD8,密度!$A$2:$A$50,密度!$V$2:$V$50)</f>
        <v>91999.39371840001</v>
      </c>
      <c r="AE7" s="73" ph="1">
        <f>AE6*20.428</f>
        <v>77319.98</v>
      </c>
    </row>
    <row r="8" spans="1:99" ph="1">
      <c r="B8" s="182" ph="1"/>
      <c r="C8" s="68" t="s" ph="1">
        <v>179</v>
      </c>
      <c r="D8" s="74">
        <v>31</v>
      </c>
      <c r="E8" s="74">
        <v>31</v>
      </c>
      <c r="F8" s="74">
        <v>28</v>
      </c>
      <c r="G8" s="74">
        <v>30</v>
      </c>
      <c r="H8" s="74">
        <v>30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31</v>
      </c>
      <c r="O8" s="74">
        <v>30</v>
      </c>
      <c r="P8" s="74">
        <v>28</v>
      </c>
      <c r="Q8" s="74">
        <v>28</v>
      </c>
      <c r="R8" s="74">
        <v>31</v>
      </c>
      <c r="S8" s="74">
        <v>23</v>
      </c>
      <c r="T8" s="74">
        <v>23</v>
      </c>
      <c r="U8" s="74">
        <v>27</v>
      </c>
      <c r="V8" s="74">
        <v>28</v>
      </c>
      <c r="W8" s="74">
        <v>27</v>
      </c>
      <c r="X8" s="74">
        <v>20</v>
      </c>
      <c r="Y8" s="74">
        <v>28</v>
      </c>
      <c r="Z8" s="74">
        <v>23</v>
      </c>
      <c r="AA8" s="74">
        <v>28</v>
      </c>
      <c r="AB8" s="74">
        <v>24</v>
      </c>
      <c r="AC8" s="74">
        <v>26</v>
      </c>
      <c r="AD8" s="74">
        <v>30</v>
      </c>
      <c r="AE8" s="74">
        <v>32</v>
      </c>
    </row>
    <row r="9" spans="1:99" ht="26.4" ph="1">
      <c r="B9" s="182" ph="1">
        <v>0.66666666666666663</v>
      </c>
      <c r="C9" s="147" t="s" ph="1">
        <v>180</v>
      </c>
      <c r="D9" s="71">
        <v>2284</v>
      </c>
      <c r="E9" s="71">
        <v>9072</v>
      </c>
      <c r="F9" s="71">
        <v>6721</v>
      </c>
      <c r="G9" s="71">
        <v>8799</v>
      </c>
      <c r="H9" s="71">
        <v>8941</v>
      </c>
      <c r="I9" s="71">
        <v>18.02</v>
      </c>
      <c r="J9" s="71">
        <v>7.04</v>
      </c>
      <c r="K9" s="71">
        <v>7.09</v>
      </c>
      <c r="L9" s="71">
        <v>9.5399999999999991</v>
      </c>
      <c r="M9" s="71">
        <v>2804</v>
      </c>
      <c r="N9" s="71">
        <v>5202</v>
      </c>
      <c r="O9" s="71">
        <v>193</v>
      </c>
      <c r="P9" s="71">
        <v>7912</v>
      </c>
      <c r="Q9" s="71">
        <v>7326</v>
      </c>
      <c r="R9" s="71">
        <v>7143</v>
      </c>
      <c r="S9" s="71">
        <v>7005</v>
      </c>
      <c r="T9" s="71">
        <v>2429</v>
      </c>
      <c r="U9" s="71">
        <v>2622</v>
      </c>
      <c r="V9" s="71">
        <v>0</v>
      </c>
      <c r="W9" s="71">
        <v>0</v>
      </c>
      <c r="X9" s="71">
        <v>0</v>
      </c>
      <c r="Y9" s="71">
        <v>0</v>
      </c>
      <c r="Z9" s="71">
        <v>941</v>
      </c>
      <c r="AA9" s="71">
        <v>994</v>
      </c>
      <c r="AB9" s="71">
        <v>2626</v>
      </c>
      <c r="AC9" s="71">
        <v>2368</v>
      </c>
      <c r="AD9" s="71">
        <v>4725</v>
      </c>
      <c r="AE9" s="71">
        <v>3870</v>
      </c>
    </row>
    <row r="10" spans="1:99" s="72" customFormat="1" ht="22.2" ph="1">
      <c r="B10" s="182" ph="1"/>
      <c r="C10" s="147" t="s" ph="1">
        <v>178</v>
      </c>
      <c r="D10" s="73" ph="1">
        <f>D9*33.183*LOOKUP(D11,密度!$A$2:$A$50,密度!$Q$2:$Q$50)</f>
        <v>71438.111807759997</v>
      </c>
      <c r="E10" s="73" ph="1">
        <f>E9*51.53*LOOKUP(E11,密度!$A$2:$A$50,密度!$B$2:$B$50)</f>
        <v>360380.45534400002</v>
      </c>
      <c r="F10" s="73" ph="1">
        <f>F9*33.183*LOOKUP(F11,密度!$A$2:$A$50,密度!$C$2:$C$50)</f>
        <v>246641.07266370003</v>
      </c>
      <c r="G10" s="73" ph="1">
        <f xml:space="preserve"> (G9+2)*51.53*LOOKUP(G11,密度!$A$2:$A$50,密度!$B$2:$B$50)</f>
        <v>350023.28605400003</v>
      </c>
      <c r="H10" s="73" ph="1">
        <f>(H9)*51.53*LOOKUP(H11,密度!$A$2:$A$50,密度!$B$2:$B$50)</f>
        <v>356005.862371</v>
      </c>
      <c r="I10" s="73" ph="1">
        <f>I9*290.8*1.0267</f>
        <v>5380.1297672000001</v>
      </c>
      <c r="J10" s="73" ph="1">
        <f>J9*290.8*0.7892</f>
        <v>1615.6754944000002</v>
      </c>
      <c r="K10" s="73" ph="1">
        <f>K9*290.8*1.1126</f>
        <v>2293.9275272</v>
      </c>
      <c r="L10" s="73" ph="1">
        <f>L9*290.8*0.777</f>
        <v>2155.5782640000002</v>
      </c>
      <c r="M10" s="73" ph="1">
        <f>M9*33.183*LOOKUP(M11,密度!$A$2:$A$50,密度!$D$2:$D$50)</f>
        <v>94850.207560800001</v>
      </c>
      <c r="N10" s="73" ph="1">
        <f>N9*33.183*LOOKUP(N11,密度!$A$2:$A$50,密度!$E$2:$E$50)</f>
        <v>133834.16139912</v>
      </c>
      <c r="O10" s="73" ph="1">
        <f>O9*20.428*LOOKUP(O11,密度!$A$2:$A$50,密度!$C$2:$C$50)</f>
        <v>4307.2948700000006</v>
      </c>
      <c r="P10" s="73" ph="1">
        <f>P9*51.53*LOOKUP(P11,密度!$A$2:$A$50,密度!$B$2:$B$50)</f>
        <v>315727.030784</v>
      </c>
      <c r="Q10" s="73" ph="1">
        <f>Q9*1.5*1.5*3.1416*LOOKUP(W11,密度!$A$2:$A$50,密度!$L$2:$L$50)</f>
        <v>47641.798512000001</v>
      </c>
      <c r="R10" s="73" ph="1">
        <f>R9*1.5*1.5*3.1416*LOOKUP(R11,密度!$A$2:$A$50,密度!$L$2:$L$50)</f>
        <v>46805.166084600001</v>
      </c>
      <c r="S10" s="73" ph="1">
        <f>S9*1.5*1.5*3.1416*LOOKUP(S11,密度!$A$2:$A$50,密度!$L$2:$L$50)</f>
        <v>46396.063791</v>
      </c>
      <c r="T10" s="73" ph="1">
        <f>T9*1.5*1.5*3.1416*LOOKUP(T11,密度!$A$2:$A$50,密度!$L$2:$L$50)</f>
        <v>16105.112377199997</v>
      </c>
      <c r="U10" s="73" ph="1">
        <f>U9*1.5*1.5*3.1416*LOOKUP(U11,密度!$A$2:$A$50,密度!$L$2:$L$50)</f>
        <v>17329.167702000002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29195.564805000002</v>
      </c>
      <c r="AA10" s="73" ph="1">
        <f>AA9*33.183*LOOKUP(AA11,密度!$A$2:$A$50,密度!$D$2:$D$50)</f>
        <v>33594.104186999997</v>
      </c>
      <c r="AB10" s="73" ph="1">
        <f>AB9*20.428*LOOKUP(AB11,密度!$A$2:$A$50,密度!$D$2:$D$50)</f>
        <v>54974.297414399996</v>
      </c>
      <c r="AC10" s="73" ph="1">
        <f>AC9*51.53*LOOKUP(AC11,密度!$A$2:$A$50,密度!$Q$2:$Q$50)</f>
        <v>115181.20814720001</v>
      </c>
      <c r="AD10" s="73" ph="1">
        <f>AD9*20.428*LOOKUP(AD11,密度!$A$2:$A$50,密度!$V$2:$V$50)</f>
        <v>92429.754480000003</v>
      </c>
      <c r="AE10" s="73" ph="1">
        <f>AE9*20.428</f>
        <v>79056.36</v>
      </c>
    </row>
    <row r="11" spans="1:99" ph="1">
      <c r="A11" s="64" t="s" ph="1">
        <v>162</v>
      </c>
      <c r="B11" s="182" ph="1"/>
      <c r="C11" s="147" t="s" ph="1">
        <v>179</v>
      </c>
      <c r="D11" s="74">
        <v>31</v>
      </c>
      <c r="E11" s="74">
        <v>35</v>
      </c>
      <c r="F11" s="74">
        <v>29</v>
      </c>
      <c r="G11" s="74">
        <v>34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32</v>
      </c>
      <c r="O11" s="74">
        <v>42</v>
      </c>
      <c r="P11" s="74">
        <v>31</v>
      </c>
      <c r="Q11" s="74">
        <v>31</v>
      </c>
      <c r="R11" s="74">
        <v>35</v>
      </c>
      <c r="S11" s="74">
        <v>25</v>
      </c>
      <c r="T11" s="74">
        <v>24</v>
      </c>
      <c r="U11" s="74">
        <v>27</v>
      </c>
      <c r="V11" s="74">
        <v>28</v>
      </c>
      <c r="W11" s="74">
        <v>42</v>
      </c>
      <c r="X11" s="74">
        <v>29</v>
      </c>
      <c r="Y11" s="74">
        <v>32</v>
      </c>
      <c r="Z11" s="74">
        <v>27</v>
      </c>
      <c r="AA11" s="74">
        <v>34</v>
      </c>
      <c r="AB11" s="74">
        <v>27</v>
      </c>
      <c r="AC11" s="74">
        <v>29</v>
      </c>
      <c r="AD11" s="74">
        <v>36</v>
      </c>
      <c r="AE11" s="74">
        <v>36</v>
      </c>
    </row>
    <row r="12" spans="1:99" ht="9.9" customHeight="1" ph="1"/>
    <row r="13" spans="1:99" s="72" customFormat="1" ht="29.25" customHeight="1" ph="1">
      <c r="B13" s="190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150" t="s" ph="1">
        <v>643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47" t="s" ph="1">
        <v>177</v>
      </c>
      <c r="D15" s="78">
        <v>5115</v>
      </c>
      <c r="E15" s="78">
        <v>5167</v>
      </c>
      <c r="F15" s="78">
        <v>1627</v>
      </c>
      <c r="G15" s="78">
        <v>3604</v>
      </c>
      <c r="H15" s="78">
        <v>4087</v>
      </c>
      <c r="I15" s="78">
        <v>2569</v>
      </c>
      <c r="J15" s="78">
        <v>2014</v>
      </c>
      <c r="K15" s="78">
        <v>3880</v>
      </c>
      <c r="L15" s="78">
        <v>5349</v>
      </c>
      <c r="M15" s="78">
        <v>6067</v>
      </c>
      <c r="N15" s="78">
        <v>1468</v>
      </c>
      <c r="O15" s="78">
        <v>6869</v>
      </c>
      <c r="P15" s="78">
        <v>6976</v>
      </c>
      <c r="Q15" s="78">
        <v>6046</v>
      </c>
      <c r="R15" s="78">
        <v>1052</v>
      </c>
      <c r="S15" s="78">
        <v>3992</v>
      </c>
      <c r="T15" s="78">
        <v>1690</v>
      </c>
      <c r="U15" s="78">
        <v>6185</v>
      </c>
      <c r="V15" s="78">
        <v>850</v>
      </c>
      <c r="W15" s="71">
        <v>1540</v>
      </c>
      <c r="X15" s="78">
        <v>1278</v>
      </c>
      <c r="Y15" s="106">
        <v>-2366</v>
      </c>
      <c r="Z15" s="78">
        <v>0</v>
      </c>
      <c r="AA15" s="78">
        <v>5</v>
      </c>
      <c r="AB15" s="78" ph="1">
        <v>1098</v>
      </c>
      <c r="AC15" s="78" ph="1">
        <v>4936</v>
      </c>
      <c r="AD15" s="78">
        <v>7.45</v>
      </c>
      <c r="AE15" s="78">
        <v>84.65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47" t="s" ph="1">
        <v>178</v>
      </c>
      <c r="D16" s="73" ph="1">
        <f>D15*7.0686*LOOKUP(D17,密度!$A$2:$A$50,密度!$L$2:$L$50)</f>
        <v>33697.288548000004</v>
      </c>
      <c r="E16" s="73" ph="1">
        <f>E15*7.0686*LOOKUP(E17,密度!$A$2:$A$50,密度!$L$2:$L$50)</f>
        <v>34039.861178400002</v>
      </c>
      <c r="F16" s="73" ph="1">
        <f>F15*9.0746*LOOKUP(F17,密度!$A$2:$A$50,密度!$L$2:$L$50)</f>
        <v>13760.396754400001</v>
      </c>
      <c r="G16" s="73" ph="1">
        <f>G15*9.0746*LOOKUP(G17,密度!$A$2:$A$50,密度!$B$2:$B$50)</f>
        <v>25411.674976800001</v>
      </c>
      <c r="H16" s="73" ph="1">
        <f>H15*9.0746*LOOKUP(H17,密度!$A$2:$A$50,密度!$L$2:$L$50)</f>
        <v>34677.177337000001</v>
      </c>
      <c r="I16" s="73" ph="1">
        <f>I15*9.0746*LOOKUP(I17,密度!$A$2:$A$50,密度!$U$2:$U$50)</f>
        <v>23848.838290200001</v>
      </c>
      <c r="J16" s="73" ph="1">
        <f>J15*9.0746*LOOKUP(J17,密度!$A$2:$A$50,密度!$L$2:$L$50)</f>
        <v>17070.0122696</v>
      </c>
      <c r="K16" s="73" ph="1">
        <f>K15*9.0746*LOOKUP(K17,密度!$A$2:$A$50,密度!$C$2:$C$50)</f>
        <v>38962.775156800002</v>
      </c>
      <c r="L16" s="73" ph="1">
        <f>L15*9.0746*LOOKUP(L17,密度!$A$2:$A$50,密度!$E$2:$E$50)</f>
        <v>37798.125565980001</v>
      </c>
      <c r="M16" s="73" ph="1">
        <f>M15*9.0746*LOOKUP(M17,密度!$A$2:$A$50,密度!$M$2:$M$50)</f>
        <v>47953.426032199997</v>
      </c>
      <c r="N16" s="73" ph="1">
        <f>N15*9.0746*LOOKUP(N17,密度!$A$2:$A$50,密度!$M$2:$M$50)</f>
        <v>11644.334338480001</v>
      </c>
      <c r="O16" s="73" ph="1">
        <f>O15*9.0746*LOOKUP(O17,密度!$A$2:$A$50,密度!$G$2:$G$50)</f>
        <v>59509.723138779998</v>
      </c>
      <c r="P16" s="73" ph="1">
        <f ca="1">P15*9.0746*LOOKUP(P17,密度!$A$2:$A$51,密度!$Q$2:$Q$50)</f>
        <v>59669.470400767997</v>
      </c>
      <c r="Q16" s="73" ph="1">
        <f>Q15*9.0746*LOOKUP(Q17,密度!$A$2:$A$50,密度!$Q$2:$Q$50)</f>
        <v>51755.830259228002</v>
      </c>
      <c r="R16" s="73" ph="1">
        <f>MAX(R15*9.0746*LOOKUP(R17,密度!$A$2:$A$50,密度!$B$2:$B$50),0)</f>
        <v>7392.7934924799993</v>
      </c>
      <c r="S16" s="73" ph="1">
        <f>S15*9.0746*LOOKUP(S17,密度!$A$2:$A$50,密度!$Q$2:$Q$50)</f>
        <v>34172.886932656002</v>
      </c>
      <c r="T16" s="73" ph="1">
        <f>T15*9.0746*LOOKUP(T17,密度!$A$2:$A$50,密度!$O$2:$O$50)</f>
        <v>14152.129087199999</v>
      </c>
      <c r="U16" s="73" ph="1">
        <f>U15*9.0746*LOOKUP(U17,密度!$A$2:$A$50,密度!$H$2:$H$50)</f>
        <v>51075.02491</v>
      </c>
      <c r="V16" s="73" ph="1">
        <f>MAX(5600*LOOKUP(V17,密度!$A$2:$A$50,密度!$Q$2:$Q$50)+V15*9.0476*LOOKUP(V17,密度!$A$2:$A$50,密度!$Q$2:$Q$50),0)</f>
        <v>12545.263907799999</v>
      </c>
      <c r="W16" s="73" ph="1">
        <f>MAX(5600*LOOKUP(W17,密度!$A$2:$A$50,密度!$Q$2:$Q$50)+W15*9.0476*LOOKUP(W17,密度!$A$2:$A$50,密度!$Q$2:$Q$50),0)</f>
        <v>18426.351662319998</v>
      </c>
      <c r="X16" s="73" ph="1">
        <f>MAX(5600*LOOKUP(X17,密度!$A$2:$A$50,密度!$I$2:$I$50)+X15*9.0476*LOOKUP(X17,密度!$A$2:$A$50,密度!$I$2:$I$50),0)</f>
        <v>17772.284992727997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35.331955100000002</v>
      </c>
      <c r="AB16" s="73" ph="1">
        <f>AB15*9.0746*LOOKUP(AB17,密度!$A$2:$A$50,密度!$L$2:$L$50)</f>
        <v>9306.2926872000007</v>
      </c>
      <c r="AC16" s="73" ph="1">
        <f>AC15*9.0746*LOOKUP(AC17,密度!$A$2:$A$50,密度!$L$2:$L$50)</f>
        <v>41791.146484800003</v>
      </c>
      <c r="AD16" s="73" ph="1">
        <f>AD15*268.68*LOOKUP(AD17,密度!$A$2:$A$50,密度!B2:B50)+IF(AD15&lt;=0,0,1566*LOOKUP(AD17,密度!$A$2:$A$50,密度!B2:B50))</f>
        <v>2781.3524135999996</v>
      </c>
      <c r="AE16" s="73" ph="1">
        <f>AE15*268.68*LOOKUP(AE17,密度!$A$2:$A$50,密度!B2:B50)+IF(AE15&lt;=0,0,1566*LOOKUP(AE17,密度!$A$2:$A$50,密度!B2:B50))</f>
        <v>18951.890455199999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30</v>
      </c>
      <c r="E17" s="74">
        <v>30</v>
      </c>
      <c r="F17" s="74">
        <v>30</v>
      </c>
      <c r="G17" s="74">
        <v>28</v>
      </c>
      <c r="H17" s="74">
        <v>27</v>
      </c>
      <c r="I17" s="74">
        <v>27</v>
      </c>
      <c r="J17" s="74">
        <v>28</v>
      </c>
      <c r="K17" s="74">
        <v>28</v>
      </c>
      <c r="L17" s="74">
        <v>29</v>
      </c>
      <c r="M17" s="74">
        <v>29</v>
      </c>
      <c r="N17" s="74">
        <v>26</v>
      </c>
      <c r="O17" s="74">
        <v>30</v>
      </c>
      <c r="P17" s="74">
        <v>31</v>
      </c>
      <c r="Q17" s="74">
        <v>30</v>
      </c>
      <c r="R17" s="74">
        <v>31</v>
      </c>
      <c r="S17" s="74">
        <v>30</v>
      </c>
      <c r="T17" s="74">
        <v>31</v>
      </c>
      <c r="U17" s="74">
        <v>30</v>
      </c>
      <c r="V17" s="74">
        <v>29</v>
      </c>
      <c r="W17" s="74">
        <v>30</v>
      </c>
      <c r="X17" s="74">
        <v>31</v>
      </c>
      <c r="Y17" s="108">
        <v>31</v>
      </c>
      <c r="Z17" s="74">
        <v>28</v>
      </c>
      <c r="AA17" s="74">
        <v>26</v>
      </c>
      <c r="AB17" s="74">
        <v>28</v>
      </c>
      <c r="AC17" s="74">
        <v>29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3730</v>
      </c>
      <c r="E18" s="71">
        <v>5987</v>
      </c>
      <c r="F18" s="71">
        <v>1626</v>
      </c>
      <c r="G18" s="71">
        <v>3648</v>
      </c>
      <c r="H18" s="71">
        <v>1975</v>
      </c>
      <c r="I18" s="71">
        <v>2571</v>
      </c>
      <c r="J18" s="71">
        <v>2217</v>
      </c>
      <c r="K18" s="71">
        <v>3881</v>
      </c>
      <c r="L18" s="71">
        <v>3469</v>
      </c>
      <c r="M18" s="71">
        <v>2990</v>
      </c>
      <c r="N18" s="71">
        <v>2513</v>
      </c>
      <c r="O18" s="71">
        <v>6876</v>
      </c>
      <c r="P18" s="71">
        <v>6980</v>
      </c>
      <c r="Q18" s="71">
        <v>6946</v>
      </c>
      <c r="R18" s="71">
        <v>1287</v>
      </c>
      <c r="S18" s="71">
        <v>3996</v>
      </c>
      <c r="T18" s="71">
        <v>1072</v>
      </c>
      <c r="U18" s="71">
        <v>6188</v>
      </c>
      <c r="V18" s="71">
        <v>850</v>
      </c>
      <c r="W18" s="71">
        <v>1995</v>
      </c>
      <c r="X18" s="71">
        <v>1276</v>
      </c>
      <c r="Y18" s="109">
        <v>-9908</v>
      </c>
      <c r="Z18" s="71">
        <v>0</v>
      </c>
      <c r="AA18" s="71">
        <v>0</v>
      </c>
      <c r="AB18" s="71">
        <v>1099</v>
      </c>
      <c r="AC18" s="71">
        <v>2164</v>
      </c>
      <c r="AD18" s="71">
        <v>47.12</v>
      </c>
      <c r="AE18" s="71">
        <v>83.99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47" t="s" ph="1">
        <v>178</v>
      </c>
      <c r="D19" s="73" ph="1">
        <f>D18*7.0686*LOOKUP(D20,密度!$A$2:$A$50,密度!$L$2:$L$50)</f>
        <v>24441.168906000003</v>
      </c>
      <c r="E19" s="73" ph="1">
        <f>E18*7.0686*LOOKUP(E20,密度!$A$2:$A$50,密度!$L$2:$L$50)</f>
        <v>39230.369501400004</v>
      </c>
      <c r="F19" s="73" ph="1">
        <f>F18*9.0746*LOOKUP(F20,密度!$A$2:$A$50,密度!$L$2:$L$50)</f>
        <v>13678.162729200001</v>
      </c>
      <c r="G19" s="73" ph="1">
        <f>G18*9.0746*LOOKUP(G20,密度!$A$2:$A$50,密度!$B$2:$B$50)</f>
        <v>25665.640362239999</v>
      </c>
      <c r="H19" s="73" ph="1">
        <f>H18*9.0746*LOOKUP(H20,密度!$A$2:$A$50,密度!$L$2:$L$50)</f>
        <v>16757.383225000001</v>
      </c>
      <c r="I19" s="73" ph="1">
        <f>I18*9.0746*LOOKUP(I20,密度!$A$2:$A$50,密度!$U$2:$U$50)</f>
        <v>23797.412532000002</v>
      </c>
      <c r="J19" s="73" ph="1">
        <f>J18*9.0746*LOOKUP(J20,密度!$A$2:$A$50,密度!$L$2:$L$50)</f>
        <v>18710.101026000004</v>
      </c>
      <c r="K19" s="73" ph="1">
        <f>K18*9.0746*LOOKUP(K20,密度!$A$2:$A$50,密度!$C$2:$C$50)</f>
        <v>38810.811905200011</v>
      </c>
      <c r="L19" s="73" ph="1">
        <f>L18*9.0746*LOOKUP(L20,密度!$A$2:$A$50,密度!$E$2:$E$50)</f>
        <v>24406.908766968001</v>
      </c>
      <c r="M19" s="73" ph="1">
        <f>M18*9.0746*LOOKUP(M20,密度!$A$2:$A$50,密度!$M$2:$M$50)</f>
        <v>23461.137802180001</v>
      </c>
      <c r="N19" s="73" ph="1">
        <f>N18*9.0746*LOOKUP(N20,密度!$A$2:$A$50,密度!$M$2:$M$50)</f>
        <v>19885.4976656</v>
      </c>
      <c r="O19" s="73" ph="1">
        <f>O18*9.0746*LOOKUP(O20,密度!$A$2:$A$50,密度!$G$2:$G$50)</f>
        <v>59441.830066944</v>
      </c>
      <c r="P19" s="73" ph="1">
        <f ca="1">P18*9.0746*LOOKUP(P20,密度!$A$2:$A$51,密度!$Q$2:$Q$50)</f>
        <v>59536.465077519999</v>
      </c>
      <c r="Q19" s="73" ph="1">
        <f>Q18*9.0746*LOOKUP(Q20,密度!$A$2:$A$50,密度!$Q$2:$Q$50)</f>
        <v>59246.459373703998</v>
      </c>
      <c r="R19" s="73" ph="1">
        <f>MAX(R18*9.0746*LOOKUP(R20,密度!$A$2:$A$50,密度!$B$2:$B$50),0)</f>
        <v>8930.9390999400002</v>
      </c>
      <c r="S19" s="73" ph="1">
        <f>S18*9.0746*LOOKUP(S20,密度!$A$2:$A$50,密度!$Q$2:$Q$50)</f>
        <v>34107.770143944006</v>
      </c>
      <c r="T19" s="73" ph="1">
        <f>T18*9.0746*LOOKUP(T20,密度!$A$2:$A$50,密度!$O$2:$O$50)</f>
        <v>8969.1894463999997</v>
      </c>
      <c r="U19" s="73" ph="1">
        <f>U18*9.0746*LOOKUP(U20,密度!$A$2:$A$50,密度!$H$2:$H$50)</f>
        <v>51099.798567999998</v>
      </c>
      <c r="V19" s="73" ph="1">
        <f>MAX(5600*LOOKUP(V20,密度!$A$2:$A$50,密度!$Q$2:$Q$50)+V18*9.0476*LOOKUP(V20,密度!$A$2:$A$50,密度!$Q$2:$Q$50),0)</f>
        <v>12492.234972399998</v>
      </c>
      <c r="W19" s="73" ph="1">
        <f>MAX(5600*LOOKUP(W20,密度!$A$2:$A$50,密度!$Q$2:$Q$50)+W18*9.0476*LOOKUP(W20,密度!$A$2:$A$50,密度!$Q$2:$Q$50),0)</f>
        <v>22199.036831299996</v>
      </c>
      <c r="X19" s="73" ph="1">
        <f>MAX(5600*LOOKUP(X20,密度!$A$2:$A$50,密度!$I$2:$I$50)+X18*9.0476*LOOKUP(X20,密度!$A$2:$A$50,密度!$I$2:$I$50),0)</f>
        <v>17734.51657344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9234.9844804000004</v>
      </c>
      <c r="AC19" s="73" ph="1">
        <f>AC18*9.0746*LOOKUP(AC20,密度!$A$2:$A$50,密度!$L$2:$L$50)</f>
        <v>18282.451426400003</v>
      </c>
      <c r="AD19" s="73" ph="1">
        <f>AD18*268.68*LOOKUP(AD20,密度!$A$2:$A$50,密度!B5:B53)+IF(AD18&lt;=0,0,1566*LOOKUP(AD20,密度!$A$2:$A$50,密度!B5:B53))</f>
        <v>11053.758643199999</v>
      </c>
      <c r="AE19" s="73" ph="1">
        <f>AE18*268.68*LOOKUP(AE20,密度!$A$2:$A$50,密度!B5:B53)+IF(AE18&lt;=0,0,1566*LOOKUP(AE20,密度!$A$2:$A$50,密度!B5:B53))</f>
        <v>18750.900596399999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35</v>
      </c>
      <c r="E20" s="81">
        <v>35</v>
      </c>
      <c r="F20" s="81">
        <v>35</v>
      </c>
      <c r="G20" s="81">
        <v>30</v>
      </c>
      <c r="H20" s="81">
        <v>27</v>
      </c>
      <c r="I20" s="81">
        <v>30</v>
      </c>
      <c r="J20" s="81">
        <v>32</v>
      </c>
      <c r="K20" s="81">
        <v>33</v>
      </c>
      <c r="L20" s="81">
        <v>32</v>
      </c>
      <c r="M20" s="81">
        <v>35</v>
      </c>
      <c r="N20" s="81">
        <v>28</v>
      </c>
      <c r="O20" s="81">
        <v>32</v>
      </c>
      <c r="P20" s="81">
        <v>35</v>
      </c>
      <c r="Q20" s="81">
        <v>35</v>
      </c>
      <c r="R20" s="81">
        <v>42</v>
      </c>
      <c r="S20" s="81">
        <v>34</v>
      </c>
      <c r="T20" s="81">
        <v>40</v>
      </c>
      <c r="U20" s="81">
        <v>30</v>
      </c>
      <c r="V20" s="81">
        <v>35</v>
      </c>
      <c r="W20" s="81">
        <v>37</v>
      </c>
      <c r="X20" s="81">
        <v>32</v>
      </c>
      <c r="Y20" s="110">
        <v>32</v>
      </c>
      <c r="Z20" s="81">
        <v>38</v>
      </c>
      <c r="AA20" s="81">
        <v>32</v>
      </c>
      <c r="AB20" s="81">
        <v>36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47" t="s" ph="1">
        <v>177</v>
      </c>
      <c r="D24" s="71">
        <v>86.42</v>
      </c>
      <c r="E24" s="71">
        <v>5.46</v>
      </c>
      <c r="F24" s="71">
        <v>2342</v>
      </c>
      <c r="G24" s="71">
        <v>1008</v>
      </c>
      <c r="H24" s="71">
        <v>3091</v>
      </c>
      <c r="I24" s="71">
        <v>4759</v>
      </c>
      <c r="J24" s="71">
        <v>692</v>
      </c>
      <c r="K24" s="71">
        <v>648</v>
      </c>
      <c r="L24" s="71">
        <v>5617</v>
      </c>
      <c r="M24" s="71">
        <v>5410</v>
      </c>
      <c r="N24" s="71">
        <v>5537</v>
      </c>
      <c r="O24" s="71">
        <v>4321</v>
      </c>
      <c r="P24" s="71">
        <v>2153</v>
      </c>
      <c r="Q24" s="90">
        <v>4971</v>
      </c>
      <c r="R24" s="71">
        <v>207</v>
      </c>
      <c r="S24" s="71">
        <v>1229</v>
      </c>
      <c r="T24" s="71">
        <v>851</v>
      </c>
      <c r="U24" s="71">
        <v>5270</v>
      </c>
      <c r="V24" s="71">
        <v>4597</v>
      </c>
      <c r="W24" s="71">
        <v>1451</v>
      </c>
      <c r="X24" s="71">
        <v>1388</v>
      </c>
      <c r="Y24" s="71">
        <v>2524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23465.259158544002</v>
      </c>
      <c r="E25" s="91" ph="1">
        <f>E24*268.68*LOOKUP(E26,密度!$A$2:$A$50,密度!$C$2:$C$50)+IF(E24&lt;=0,0,1566*LOOKUP(E26,密度!$A$2:$A$50,密度!$C$2:$C$50))</f>
        <v>3363.2857159200003</v>
      </c>
      <c r="F25" s="91" ph="1">
        <f>F24*11.702*LOOKUP(F26,密度!$A$2:$A$50,密度!$Q$2:$Q$50)</f>
        <v>25869.424870120001</v>
      </c>
      <c r="G25" s="91" ph="1">
        <f>G24*18.322*LOOKUP(G26,密度!$A$2:$A$50,密度!$B$2:$B$50)</f>
        <v>14335.3086912</v>
      </c>
      <c r="H25" s="91" ph="1">
        <f>H24*18.322*LOOKUP(H26,密度!$A$2:$A$50,密度!$B$2:$B$50)</f>
        <v>43907.799040599995</v>
      </c>
      <c r="I25" s="91" ph="1">
        <f>I24*18.322*LOOKUP(I26,密度!$A$2:$A$50,密度!$Q$2:$Q$50)</f>
        <v>82253.091465339996</v>
      </c>
      <c r="J25" s="91" ph="1">
        <f>J24*18.322*LOOKUP(J26,密度!$A$2:$A$50,密度!$Q$2:$Q$50)</f>
        <v>11967.922338319999</v>
      </c>
      <c r="K25" s="91" ph="1">
        <f>K24*18.322*LOOKUP(K26,密度!$A$2:$A$50,密度!$Q$2:$Q$50)</f>
        <v>11199.832584479998</v>
      </c>
      <c r="L25" s="91" ph="1">
        <f>L24*18.322*LOOKUP(L26,密度!$A$2:$A$50,密度!$Q$2:$Q$50)</f>
        <v>97082.499424420006</v>
      </c>
      <c r="M25" s="91" ph="1">
        <f>M24*18.322*LOOKUP(M26,密度!$A$2:$A$50,密度!$Q$2:$Q$50)</f>
        <v>93504.775126599983</v>
      </c>
      <c r="N25" s="91" ph="1">
        <f>N24*18.322*LOOKUP(N26,密度!$A$2:$A$50,密度!$Q$2:$Q$50)</f>
        <v>95760.673392019991</v>
      </c>
      <c r="O25" s="91" ph="1">
        <f>O24*18.322*LOOKUP(O26,密度!$A$2:$A$50,密度!$C$2:$C$50)</f>
        <v>87490.061946199989</v>
      </c>
      <c r="P25" s="91" ph="1">
        <f>P24*11.702*LOOKUP(P26,密度!$A$2:$A$50,密度!$B$2:$B$50)</f>
        <v>19533.222971799998</v>
      </c>
      <c r="Q25" s="92" ph="1">
        <f>Q24*18.322*LOOKUP(Q26,密度!$A$2:$A$50,密度!$B$2:$B$50)</f>
        <v>70695.257444399991</v>
      </c>
      <c r="R25" s="91" ph="1">
        <f>R24*35.891*LOOKUP(R26,密度!$A$2:$A$50,密度!$C$2:$C$50)</f>
        <v>8216.214378300001</v>
      </c>
      <c r="S25" s="91" ph="1">
        <f>S24*35.891*LOOKUP(S26,密度!$A$2:$A$50,密度!$B$2:$B$50)</f>
        <v>34198.513236699997</v>
      </c>
      <c r="T25" s="91" ph="1">
        <f>T24*35.891*LOOKUP(T26,密度!$A$2:$A$50,密度!$Q$2:$Q$50)</f>
        <v>28830.681477130001</v>
      </c>
      <c r="U25" s="91" ph="1">
        <f>U24*35.891</f>
        <v>189145.56999999998</v>
      </c>
      <c r="V25" s="91" ph="1">
        <f>V24*47.051*LOOKUP(V26,密度!$A$2:$A$50,密度!$B$2:$B$50)</f>
        <v>167692.30945910001</v>
      </c>
      <c r="W25" s="91" ph="1">
        <f>W24*47.051*LOOKUP(W26,密度!$A$2:$A$50,密度!$B$2:$B$50)</f>
        <v>52991.950976200002</v>
      </c>
      <c r="X25" s="91" ph="1">
        <f>X24*47.051*LOOKUP(X26,密度!$A$2:$A$50,密度!$I$2:$I$50)</f>
        <v>67697.016440799998</v>
      </c>
      <c r="Y25" s="91" ph="1">
        <f>Y24*47.051*LOOKUP(Y26,密度!$A$2:$A$50,密度!$L$2:$L$50)</f>
        <v>110681.266768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29</v>
      </c>
      <c r="G26" s="74">
        <v>29</v>
      </c>
      <c r="H26" s="74">
        <v>30</v>
      </c>
      <c r="I26" s="74">
        <v>30</v>
      </c>
      <c r="J26" s="74">
        <v>29</v>
      </c>
      <c r="K26" s="74">
        <v>30</v>
      </c>
      <c r="L26" s="74">
        <v>30</v>
      </c>
      <c r="M26" s="74">
        <v>30</v>
      </c>
      <c r="N26" s="74">
        <v>29</v>
      </c>
      <c r="O26" s="74">
        <v>30</v>
      </c>
      <c r="P26" s="74">
        <v>30</v>
      </c>
      <c r="Q26" s="93">
        <v>29</v>
      </c>
      <c r="R26" s="74">
        <v>29</v>
      </c>
      <c r="S26" s="74">
        <v>30</v>
      </c>
      <c r="T26" s="74">
        <v>29</v>
      </c>
      <c r="U26" s="74">
        <v>30</v>
      </c>
      <c r="V26" s="74">
        <v>30</v>
      </c>
      <c r="W26" s="74">
        <v>29</v>
      </c>
      <c r="X26" s="74">
        <v>30</v>
      </c>
      <c r="Y26" s="74">
        <v>30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47" t="s" ph="1">
        <v>180</v>
      </c>
      <c r="D27" s="71">
        <v>86.51</v>
      </c>
      <c r="E27" s="71">
        <v>5.43</v>
      </c>
      <c r="F27" s="71">
        <v>2343</v>
      </c>
      <c r="G27" s="71">
        <v>895</v>
      </c>
      <c r="H27" s="71">
        <v>2474</v>
      </c>
      <c r="I27" s="71">
        <v>4760</v>
      </c>
      <c r="J27" s="71">
        <v>2912</v>
      </c>
      <c r="K27" s="71">
        <v>644</v>
      </c>
      <c r="L27" s="71">
        <v>5615</v>
      </c>
      <c r="M27" s="71">
        <v>5411</v>
      </c>
      <c r="N27" s="71">
        <v>5535</v>
      </c>
      <c r="O27" s="71">
        <v>5598</v>
      </c>
      <c r="P27" s="71">
        <v>2152</v>
      </c>
      <c r="Q27" s="90">
        <v>5387</v>
      </c>
      <c r="R27" s="71">
        <v>204</v>
      </c>
      <c r="S27" s="71">
        <v>1226</v>
      </c>
      <c r="T27" s="71">
        <v>848</v>
      </c>
      <c r="U27" s="71">
        <v>5195</v>
      </c>
      <c r="V27" s="71">
        <v>4281</v>
      </c>
      <c r="W27" s="71">
        <v>1446</v>
      </c>
      <c r="X27" s="71">
        <v>1388</v>
      </c>
      <c r="Y27" s="71">
        <v>3259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47" t="s" ph="1">
        <v>178</v>
      </c>
      <c r="D28" s="91" ph="1">
        <f>D27*268.68*LOOKUP(D29,密度!$A$2:$A$50,密度!$Q$2:$Q$50)+IF(D27&lt;=0,0,1566*LOOKUP(D29,密度!$A$2:$A$50,密度!$Q$2:$Q$50))</f>
        <v>23488.152467832006</v>
      </c>
      <c r="E28" s="91" ph="1">
        <f>E27*268.68*LOOKUP(E29,密度!$A$2:$A$50,密度!$C$2:$C$50)+IF(E27&lt;=0,0,1566*LOOKUP(E29,密度!$A$2:$A$50,密度!$C$2:$C$50))</f>
        <v>3354.3475383599998</v>
      </c>
      <c r="F28" s="91" ph="1">
        <f>F27*11.702*LOOKUP(F29,密度!$A$2:$A$50,密度!$Q$2:$Q$50)</f>
        <v>25864.020067379999</v>
      </c>
      <c r="G28" s="91" ph="1">
        <f>G27*18.322*LOOKUP(G29,密度!$A$2:$A$50,密度!$B$2:$B$50)</f>
        <v>12728.275077999999</v>
      </c>
      <c r="H28" s="91" ph="1">
        <f>H27*18.322*LOOKUP(H29,密度!$A$2:$A$50,密度!$B$2:$B$50)</f>
        <v>35143.285288399995</v>
      </c>
      <c r="I28" s="91" ph="1">
        <f>I27*18.322*LOOKUP(I29,密度!$A$2:$A$50,密度!$Q$2:$Q$50)</f>
        <v>82204.965617599999</v>
      </c>
      <c r="J28" s="91" ph="1">
        <f>J27*18.322*LOOKUP(J29,密度!$A$2:$A$50,密度!$Q$2:$Q$50)</f>
        <v>50253.816121599993</v>
      </c>
      <c r="K28" s="91" ph="1">
        <f>K27*18.322*LOOKUP(K29,密度!$A$2:$A$50,密度!$Q$2:$Q$50)</f>
        <v>11130.697815439999</v>
      </c>
      <c r="L28" s="91" ph="1">
        <f>L27*18.322*LOOKUP(L29,密度!$A$2:$A$50,密度!$Q$2:$Q$50)</f>
        <v>97109.658857900009</v>
      </c>
      <c r="M28" s="91" ph="1">
        <f>M27*18.322*LOOKUP(M29,密度!$A$2:$A$50,密度!$Q$2:$Q$50)</f>
        <v>93447.70356235998</v>
      </c>
      <c r="N28" s="91" ph="1">
        <f>N27*18.322*LOOKUP(N29,密度!$A$2:$A$50,密度!$Q$2:$Q$50)</f>
        <v>95665.236659099988</v>
      </c>
      <c r="O28" s="91" ph="1">
        <f>O27*18.322*LOOKUP(O29,密度!$A$2:$A$50,密度!$C$2:$C$50)</f>
        <v>113243.73447960001</v>
      </c>
      <c r="P28" s="91" ph="1">
        <f>P27*11.702*LOOKUP(P29,密度!$A$2:$A$50,密度!$B$2:$B$50)</f>
        <v>19524.1504112</v>
      </c>
      <c r="Q28" s="92" ph="1">
        <f>Q27*18.322*LOOKUP(Q29,密度!$A$2:$A$50,密度!$B$2:$B$50)</f>
        <v>76344.924929000001</v>
      </c>
      <c r="R28" s="91" ph="1">
        <f>R27*35.891*LOOKUP(R29,密度!$A$2:$A$50,密度!$C$2:$C$50)</f>
        <v>8075.9056919999994</v>
      </c>
      <c r="S28" s="91" ph="1">
        <f>S27*35.891*LOOKUP(S29,密度!$A$2:$A$50,密度!$B$2:$B$50)</f>
        <v>34075.432230399994</v>
      </c>
      <c r="T28" s="91" ph="1">
        <f>T27*35.891*LOOKUP(T29,密度!$A$2:$A$50,密度!$Q$2:$Q$50)</f>
        <v>28710.784361440001</v>
      </c>
      <c r="U28" s="91" ph="1">
        <f>U27*35.891</f>
        <v>186453.745</v>
      </c>
      <c r="V28" s="91" ph="1">
        <f>V27*47.051*LOOKUP(V29,密度!$A$2:$A$50,密度!$B$2:$B$50)</f>
        <v>155983.7763264</v>
      </c>
      <c r="W28" s="91" ph="1">
        <f>W27*47.051*LOOKUP(W29,密度!$A$2:$A$50,密度!$B$2:$B$50)</f>
        <v>52748.113873800001</v>
      </c>
      <c r="X28" s="91" ph="1">
        <f>X27*47.051*LOOKUP(X29,密度!$A$2:$A$50,密度!$I$2:$I$50)</f>
        <v>67553.341507200006</v>
      </c>
      <c r="Y28" s="91" ph="1">
        <f>Y27*47.051*LOOKUP(Y29,密度!$A$2:$A$50,密度!$L$2:$L$50)</f>
        <v>142912.142788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47" t="s" ph="1">
        <v>179</v>
      </c>
      <c r="D29" s="74">
        <v>25</v>
      </c>
      <c r="E29" s="74">
        <v>25</v>
      </c>
      <c r="F29" s="74">
        <v>30</v>
      </c>
      <c r="G29" s="74">
        <v>29</v>
      </c>
      <c r="H29" s="74">
        <v>30</v>
      </c>
      <c r="I29" s="74">
        <v>31</v>
      </c>
      <c r="J29" s="74">
        <v>32</v>
      </c>
      <c r="K29" s="74">
        <v>30</v>
      </c>
      <c r="L29" s="74">
        <v>29</v>
      </c>
      <c r="M29" s="74">
        <v>31</v>
      </c>
      <c r="N29" s="74">
        <v>30</v>
      </c>
      <c r="O29" s="74">
        <v>31</v>
      </c>
      <c r="P29" s="74">
        <v>30</v>
      </c>
      <c r="Q29" s="93">
        <v>32</v>
      </c>
      <c r="R29" s="74">
        <v>32</v>
      </c>
      <c r="S29" s="74">
        <v>31</v>
      </c>
      <c r="T29" s="74">
        <v>30</v>
      </c>
      <c r="U29" s="74">
        <v>31</v>
      </c>
      <c r="V29" s="74">
        <v>31</v>
      </c>
      <c r="W29" s="74">
        <v>30</v>
      </c>
      <c r="X29" s="74">
        <v>32</v>
      </c>
      <c r="Y29" s="74">
        <v>30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88568.401601399994</v>
      </c>
      <c r="E33" s="204" ph="1">
        <f>M10+I10</f>
        <v>100230.33732799999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08" ph="1">
        <v>0</v>
      </c>
      <c r="H33" s="204" ph="1">
        <f>N19</f>
        <v>19885.4976656</v>
      </c>
      <c r="I33" s="217" ph="1">
        <v>0</v>
      </c>
      <c r="J33" s="215" ph="1">
        <f>F10+O28</f>
        <v>359884.80714330007</v>
      </c>
      <c r="K33" s="204" ph="1">
        <f>O10+K10+E28+R28</f>
        <v>18031.475627560001</v>
      </c>
      <c r="L33" s="219" ph="1">
        <f>BE27</f>
        <v>7100</v>
      </c>
      <c r="M33" s="215" ph="1">
        <f>G10+H10+W28+S28+V28+E10</f>
        <v>1309216.9261996001</v>
      </c>
      <c r="N33" s="204" ph="1">
        <f>L10+P10++G28+H28</f>
        <v>365754.16941440001</v>
      </c>
      <c r="O33" s="217" ph="1">
        <f>BE17</f>
        <v>2270</v>
      </c>
      <c r="P33" s="215" ph="1">
        <f>L19</f>
        <v>24406.908766968001</v>
      </c>
      <c r="Q33" s="204" ph="1">
        <f>J10+N10</f>
        <v>135449.83689352</v>
      </c>
      <c r="R33" s="217" ph="1">
        <f>BE23</f>
        <v>890</v>
      </c>
      <c r="S33" s="215" ph="1">
        <f>E10+X28</f>
        <v>427933.79685120005</v>
      </c>
      <c r="T33" s="204" ph="1">
        <f>X19</f>
        <v>17734.51657344</v>
      </c>
      <c r="U33" s="225" ph="1">
        <f>BE21</f>
        <v>730</v>
      </c>
      <c r="V33" s="236" ph="1">
        <f ca="1">P19+Q19+S19+M28+N28+J28</f>
        <v>392257.45093822794</v>
      </c>
      <c r="W33" s="236" ph="1">
        <f>D28+F28+V19+T28</f>
        <v>90555.191869052011</v>
      </c>
      <c r="X33" s="217" ph="1">
        <f>BE29+BE31</f>
        <v>10200</v>
      </c>
      <c r="Y33" s="238" ph="1">
        <f>+Q10+R10+S10+T10+U10+V10+W10+X10+Y10</f>
        <v>174277.30846679999</v>
      </c>
      <c r="Z33" s="223" ph="1">
        <f>D10+T19+U19+Y28+Z10</f>
        <v>303614.80741516</v>
      </c>
      <c r="AA33" s="225" ph="1">
        <f>BE19</f>
        <v>1440</v>
      </c>
      <c r="AB33" s="227" ph="1">
        <f>I19</f>
        <v>23797.412532000002</v>
      </c>
      <c r="AC33" s="229" ph="1">
        <f>AD10</f>
        <v>92429.754480000003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49" t="s" ph="1">
        <v>185</v>
      </c>
      <c r="AA36" s="149" ph="1"/>
      <c r="AB36" s="222" t="s" ph="1">
        <v>641</v>
      </c>
      <c r="AC36" s="222" ph="1"/>
      <c r="AD36" s="222" ph="1"/>
      <c r="AE36" s="22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342</v>
      </c>
      <c r="AI37" s="149" t="s" ph="1">
        <v>209</v>
      </c>
      <c r="AJ37" s="149" t="s" ph="1">
        <v>210</v>
      </c>
      <c r="AK37" s="149" t="s" ph="1">
        <v>211</v>
      </c>
      <c r="AM37" s="149" t="s" ph="1">
        <v>210</v>
      </c>
      <c r="AN37" s="149" t="s" ph="1">
        <v>211</v>
      </c>
      <c r="AO37" s="149" t="s" ph="1">
        <v>212</v>
      </c>
      <c r="AP37" s="149" t="s" ph="1">
        <v>210</v>
      </c>
      <c r="AQ37" s="149" t="s" ph="1">
        <v>211</v>
      </c>
      <c r="AR37" s="149" t="s" ph="1">
        <v>212</v>
      </c>
      <c r="AS37" s="149" t="s" ph="1">
        <v>210</v>
      </c>
      <c r="AT37" s="149" t="s" ph="1">
        <v>211</v>
      </c>
      <c r="AU37" s="149" t="s" ph="1">
        <v>212</v>
      </c>
      <c r="AV37" s="149" t="s" ph="1">
        <v>210</v>
      </c>
      <c r="AW37" s="149" t="s" ph="1">
        <v>211</v>
      </c>
      <c r="AX37" s="149" t="s" ph="1">
        <v>212</v>
      </c>
      <c r="AY37" s="149" t="s" ph="1">
        <v>211</v>
      </c>
      <c r="AZ37" s="149" t="s" ph="1">
        <v>213</v>
      </c>
      <c r="BD37" s="149" t="s" ph="1">
        <v>305</v>
      </c>
      <c r="BE37" s="14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407" priority="98">
      <formula>ABS(D$7-D$10)&gt;=1000</formula>
    </cfRule>
  </conditionalFormatting>
  <conditionalFormatting sqref="E4 E6:E11">
    <cfRule type="expression" dxfId="1406" priority="97">
      <formula>ABS(E$7-E$10)&gt;=1000</formula>
    </cfRule>
  </conditionalFormatting>
  <conditionalFormatting sqref="F4:F11">
    <cfRule type="expression" dxfId="1405" priority="96">
      <formula>ABS(F$7-F$10)&gt;=1000</formula>
    </cfRule>
  </conditionalFormatting>
  <conditionalFormatting sqref="G4:G11">
    <cfRule type="expression" dxfId="1404" priority="95">
      <formula>ABS(G$7-G$10)&gt;=1000</formula>
    </cfRule>
  </conditionalFormatting>
  <conditionalFormatting sqref="H4:H11">
    <cfRule type="expression" dxfId="1403" priority="94">
      <formula>ABS(H$7-H$10)&gt;=1000</formula>
    </cfRule>
  </conditionalFormatting>
  <conditionalFormatting sqref="I4:I11">
    <cfRule type="expression" dxfId="1402" priority="93">
      <formula>ABS(I$7-I$10)&gt;=1000</formula>
    </cfRule>
  </conditionalFormatting>
  <conditionalFormatting sqref="J4:J11">
    <cfRule type="expression" dxfId="1401" priority="92">
      <formula>ABS(J$7-J$10)&gt;=1000</formula>
    </cfRule>
  </conditionalFormatting>
  <conditionalFormatting sqref="K4:K11">
    <cfRule type="expression" dxfId="1400" priority="91">
      <formula>ABS(K$7-K$10)&gt;=1000</formula>
    </cfRule>
  </conditionalFormatting>
  <conditionalFormatting sqref="L4:L11">
    <cfRule type="expression" dxfId="1399" priority="90">
      <formula>ABS(L$7-L$10)&gt;=1000</formula>
    </cfRule>
  </conditionalFormatting>
  <conditionalFormatting sqref="M4 M6:M11">
    <cfRule type="expression" dxfId="1398" priority="89">
      <formula>ABS(M$7-M$10)&gt;=1000</formula>
    </cfRule>
  </conditionalFormatting>
  <conditionalFormatting sqref="N4 N6:N11">
    <cfRule type="expression" dxfId="1397" priority="88">
      <formula>ABS(N$7-N$10)&gt;=1000</formula>
    </cfRule>
  </conditionalFormatting>
  <conditionalFormatting sqref="O4 O6:O11">
    <cfRule type="expression" dxfId="1396" priority="87">
      <formula>ABS(O$7-O$10)&gt;=1000</formula>
    </cfRule>
  </conditionalFormatting>
  <conditionalFormatting sqref="P4 P6:P11">
    <cfRule type="expression" dxfId="1395" priority="86">
      <formula>ABS(P$7-P$10)&gt;=1000</formula>
    </cfRule>
  </conditionalFormatting>
  <conditionalFormatting sqref="Q4:Q11">
    <cfRule type="expression" dxfId="1394" priority="85">
      <formula>ABS(Q$7-Q$10)&gt;=1000</formula>
    </cfRule>
  </conditionalFormatting>
  <conditionalFormatting sqref="R4:R11">
    <cfRule type="expression" dxfId="1393" priority="84">
      <formula>ABS(R$7-R$10)&gt;=1000</formula>
    </cfRule>
  </conditionalFormatting>
  <conditionalFormatting sqref="S4:S11">
    <cfRule type="expression" dxfId="1392" priority="83">
      <formula>ABS(S$7-S$10)&gt;=1000</formula>
    </cfRule>
  </conditionalFormatting>
  <conditionalFormatting sqref="T4:T9 T11">
    <cfRule type="expression" dxfId="1391" priority="82">
      <formula>ABS(T$7-T$10)&gt;=1000</formula>
    </cfRule>
  </conditionalFormatting>
  <conditionalFormatting sqref="U4:U9 U11">
    <cfRule type="expression" dxfId="1390" priority="81">
      <formula>ABS(U$7-U$10)&gt;=1000</formula>
    </cfRule>
  </conditionalFormatting>
  <conditionalFormatting sqref="V4:V9 V11">
    <cfRule type="expression" dxfId="1389" priority="80">
      <formula>ABS(V$7-V$10)&gt;=1000</formula>
    </cfRule>
  </conditionalFormatting>
  <conditionalFormatting sqref="W4:W9 W11">
    <cfRule type="expression" dxfId="1388" priority="79">
      <formula>ABS(W$7-W$10)&gt;=1000</formula>
    </cfRule>
  </conditionalFormatting>
  <conditionalFormatting sqref="X4:X9 X11">
    <cfRule type="expression" dxfId="1387" priority="78">
      <formula>ABS(X$7-X$10)&gt;=1000</formula>
    </cfRule>
  </conditionalFormatting>
  <conditionalFormatting sqref="Y4:Y9 Y11">
    <cfRule type="expression" dxfId="1386" priority="77">
      <formula>ABS(Y$7-Y$10)&gt;=1000</formula>
    </cfRule>
  </conditionalFormatting>
  <conditionalFormatting sqref="Z4:Z11">
    <cfRule type="expression" dxfId="1385" priority="76">
      <formula>ABS(Z$7-Z$10)&gt;=1000</formula>
    </cfRule>
  </conditionalFormatting>
  <conditionalFormatting sqref="AA4:AA11">
    <cfRule type="expression" dxfId="1384" priority="75">
      <formula>ABS(AA$7-AA$10)&gt;=1000</formula>
    </cfRule>
  </conditionalFormatting>
  <conditionalFormatting sqref="AB4:AB11">
    <cfRule type="expression" dxfId="1383" priority="74">
      <formula>ABS(AB$7-AB$10)&gt;=1000</formula>
    </cfRule>
  </conditionalFormatting>
  <conditionalFormatting sqref="AC4 AC6:AC11">
    <cfRule type="expression" dxfId="1382" priority="73">
      <formula>ABS(AC$7-AC$10)&gt;=1000</formula>
    </cfRule>
  </conditionalFormatting>
  <conditionalFormatting sqref="AD4:AD11">
    <cfRule type="expression" dxfId="1381" priority="72">
      <formula>ABS(AD$7-AD$10)&gt;=1000</formula>
    </cfRule>
  </conditionalFormatting>
  <conditionalFormatting sqref="AE4 AE6:AE11">
    <cfRule type="expression" dxfId="1380" priority="71">
      <formula>ABS(AE$7-AE$10)&gt;=1000</formula>
    </cfRule>
  </conditionalFormatting>
  <conditionalFormatting sqref="D13:D20">
    <cfRule type="expression" dxfId="1379" priority="70">
      <formula>ABS(D$16-D$19)&gt;=1000</formula>
    </cfRule>
  </conditionalFormatting>
  <conditionalFormatting sqref="E13:E20">
    <cfRule type="expression" dxfId="1378" priority="69">
      <formula>ABS(E$16-E$19)&gt;=1000</formula>
    </cfRule>
  </conditionalFormatting>
  <conditionalFormatting sqref="F13 F15:F20">
    <cfRule type="expression" dxfId="1377" priority="68">
      <formula>ABS(F$16-F$19)&gt;=1000</formula>
    </cfRule>
  </conditionalFormatting>
  <conditionalFormatting sqref="G13:G20">
    <cfRule type="expression" dxfId="1376" priority="67">
      <formula>ABS(G$16-G$19)&gt;=1000</formula>
    </cfRule>
  </conditionalFormatting>
  <conditionalFormatting sqref="H13:H20">
    <cfRule type="expression" dxfId="1375" priority="66">
      <formula>ABS(H$16-H$19)&gt;=1000</formula>
    </cfRule>
  </conditionalFormatting>
  <conditionalFormatting sqref="I13:I20">
    <cfRule type="expression" dxfId="1374" priority="65">
      <formula>ABS(I$16-I$19)&gt;=1000</formula>
    </cfRule>
  </conditionalFormatting>
  <conditionalFormatting sqref="J13:J20">
    <cfRule type="expression" dxfId="1373" priority="64">
      <formula>ABS(J$16-J$19)&gt;=1000</formula>
    </cfRule>
  </conditionalFormatting>
  <conditionalFormatting sqref="L13:L20">
    <cfRule type="expression" dxfId="1372" priority="63">
      <formula>ABS(L$16-L$19)&gt;=1000</formula>
    </cfRule>
  </conditionalFormatting>
  <conditionalFormatting sqref="M13 M15 M17:M18 M20">
    <cfRule type="expression" dxfId="1371" priority="62">
      <formula>ABS(M$16-M$19)&gt;=1000</formula>
    </cfRule>
  </conditionalFormatting>
  <conditionalFormatting sqref="N13:N20">
    <cfRule type="expression" dxfId="1370" priority="61">
      <formula>ABS(N$16-N$19)&gt;=1000</formula>
    </cfRule>
  </conditionalFormatting>
  <conditionalFormatting sqref="O13:O20">
    <cfRule type="expression" dxfId="1369" priority="60">
      <formula>ABS(O$16-O$19)&gt;=1000</formula>
    </cfRule>
  </conditionalFormatting>
  <conditionalFormatting sqref="P13:P20">
    <cfRule type="expression" dxfId="1368" priority="59">
      <formula>ABS(P$16-P$19)&gt;=1000</formula>
    </cfRule>
  </conditionalFormatting>
  <conditionalFormatting sqref="Q13 Q15:Q20">
    <cfRule type="expression" dxfId="1367" priority="58">
      <formula>ABS(Q$16-Q$19)&gt;=1000</formula>
    </cfRule>
  </conditionalFormatting>
  <conditionalFormatting sqref="R13:R20">
    <cfRule type="expression" dxfId="1366" priority="57">
      <formula>ABS(R$16-R$19)&gt;=1000</formula>
    </cfRule>
  </conditionalFormatting>
  <conditionalFormatting sqref="S13:S20">
    <cfRule type="expression" dxfId="1365" priority="56">
      <formula>ABS(S$16-S$19)&gt;=1000</formula>
    </cfRule>
  </conditionalFormatting>
  <conditionalFormatting sqref="T13:T20">
    <cfRule type="expression" dxfId="1364" priority="55">
      <formula>ABS(T$16-T$19)&gt;=1000</formula>
    </cfRule>
  </conditionalFormatting>
  <conditionalFormatting sqref="U13:U20">
    <cfRule type="expression" dxfId="1363" priority="54">
      <formula>ABS(U$16-U$19)&gt;=1000</formula>
    </cfRule>
  </conditionalFormatting>
  <conditionalFormatting sqref="V13:V20">
    <cfRule type="expression" dxfId="1362" priority="53">
      <formula>ABS(V$16-V$19)&gt;=1000</formula>
    </cfRule>
  </conditionalFormatting>
  <conditionalFormatting sqref="W13 W20 W15:W18">
    <cfRule type="expression" dxfId="1361" priority="52">
      <formula>ABS(W$16-W$19)&gt;=1000</formula>
    </cfRule>
  </conditionalFormatting>
  <conditionalFormatting sqref="X13 X15:X20 Y19">
    <cfRule type="expression" dxfId="1360" priority="51">
      <formula>ABS(X$16-X$19)&gt;=1000</formula>
    </cfRule>
  </conditionalFormatting>
  <conditionalFormatting sqref="Y13 Y15:Y18 Y20">
    <cfRule type="expression" dxfId="1359" priority="50">
      <formula>ABS(Y$16-Y$19)&gt;=1000</formula>
    </cfRule>
  </conditionalFormatting>
  <conditionalFormatting sqref="Z13:Z20">
    <cfRule type="expression" dxfId="1358" priority="49">
      <formula>ABS(Z$16-Z$19)&gt;=1000</formula>
    </cfRule>
  </conditionalFormatting>
  <conditionalFormatting sqref="AA13:AA20">
    <cfRule type="expression" dxfId="1357" priority="48">
      <formula>ABS(AA$16-AA$19)&gt;=1000</formula>
    </cfRule>
  </conditionalFormatting>
  <conditionalFormatting sqref="AB13 AB15:AB20">
    <cfRule type="expression" dxfId="1356" priority="47">
      <formula>ABS(AB$16-AB$19)&gt;=1000</formula>
    </cfRule>
  </conditionalFormatting>
  <conditionalFormatting sqref="AC13 AC15:AC20">
    <cfRule type="expression" dxfId="1355" priority="46">
      <formula>ABS(AC$16-AC$19)&gt;=1000</formula>
    </cfRule>
  </conditionalFormatting>
  <conditionalFormatting sqref="AD13:AD20">
    <cfRule type="expression" dxfId="1354" priority="45">
      <formula>ABS(AD$16-AD$19)&gt;=1000</formula>
    </cfRule>
  </conditionalFormatting>
  <conditionalFormatting sqref="AE13:AE20">
    <cfRule type="expression" dxfId="1353" priority="44">
      <formula>ABS(AE$16-AE$19)&gt;=1000</formula>
    </cfRule>
  </conditionalFormatting>
  <conditionalFormatting sqref="D22:D29">
    <cfRule type="expression" dxfId="1352" priority="43">
      <formula>ABS(D$25-D$28)&gt;=1000</formula>
    </cfRule>
  </conditionalFormatting>
  <conditionalFormatting sqref="E22:E29">
    <cfRule type="expression" dxfId="1351" priority="42">
      <formula>ABS(E$25-E$28)&gt;=1000</formula>
    </cfRule>
  </conditionalFormatting>
  <conditionalFormatting sqref="F22:F29">
    <cfRule type="expression" dxfId="1350" priority="41">
      <formula>ABS(F$25-F$28)&gt;=1000</formula>
    </cfRule>
  </conditionalFormatting>
  <conditionalFormatting sqref="G22:G29">
    <cfRule type="expression" dxfId="1349" priority="40">
      <formula>ABS(G$25-G$28)&gt;=1000</formula>
    </cfRule>
  </conditionalFormatting>
  <conditionalFormatting sqref="H22:H29">
    <cfRule type="expression" dxfId="1348" priority="39">
      <formula>ABS(H$25-H$28)&gt;=1000</formula>
    </cfRule>
  </conditionalFormatting>
  <conditionalFormatting sqref="I22 I24:I29">
    <cfRule type="expression" dxfId="1347" priority="38">
      <formula>ABS(I$25-I$28)&gt;=1000</formula>
    </cfRule>
  </conditionalFormatting>
  <conditionalFormatting sqref="J22:J29 K22">
    <cfRule type="expression" dxfId="1346" priority="37">
      <formula>ABS(J$25-J$28)&gt;=1000</formula>
    </cfRule>
  </conditionalFormatting>
  <conditionalFormatting sqref="K23:K29 L25 L28">
    <cfRule type="expression" dxfId="1345" priority="36">
      <formula>ABS(K$25-K$28)&gt;=1000</formula>
    </cfRule>
  </conditionalFormatting>
  <conditionalFormatting sqref="L22 L26:L27 L29 L24">
    <cfRule type="expression" dxfId="1344" priority="35">
      <formula>ABS(L$25-L$28)&gt;=1000</formula>
    </cfRule>
  </conditionalFormatting>
  <conditionalFormatting sqref="M22:M29">
    <cfRule type="expression" dxfId="1343" priority="34">
      <formula>ABS(M$25-M$28)&gt;=1000</formula>
    </cfRule>
  </conditionalFormatting>
  <conditionalFormatting sqref="N22:N29">
    <cfRule type="expression" dxfId="1342" priority="33">
      <formula>ABS(N$25-N$28)&gt;=1000</formula>
    </cfRule>
  </conditionalFormatting>
  <conditionalFormatting sqref="O22:O29">
    <cfRule type="expression" dxfId="1341" priority="32">
      <formula>ABS(O$25-O$28)&gt;=1000</formula>
    </cfRule>
  </conditionalFormatting>
  <conditionalFormatting sqref="P22:P29">
    <cfRule type="expression" dxfId="1340" priority="31">
      <formula>ABS(P$25-P$28)&gt;=1000</formula>
    </cfRule>
  </conditionalFormatting>
  <conditionalFormatting sqref="Q22:Q29">
    <cfRule type="expression" dxfId="1339" priority="30">
      <formula>ABS(Q$25-Q$28)&gt;=1000</formula>
    </cfRule>
  </conditionalFormatting>
  <conditionalFormatting sqref="R22:R29">
    <cfRule type="expression" dxfId="1338" priority="29">
      <formula>ABS(R$25-R$28)&gt;=1000</formula>
    </cfRule>
  </conditionalFormatting>
  <conditionalFormatting sqref="S22:S29">
    <cfRule type="expression" dxfId="1337" priority="28">
      <formula>ABS(S$25-S$28)&gt;=1000</formula>
    </cfRule>
  </conditionalFormatting>
  <conditionalFormatting sqref="T22:T29">
    <cfRule type="expression" dxfId="1336" priority="27">
      <formula>ABS(T$25-T$28)&gt;=1000</formula>
    </cfRule>
  </conditionalFormatting>
  <conditionalFormatting sqref="U22:U29">
    <cfRule type="expression" dxfId="1335" priority="26">
      <formula>ABS(U$25-U$28)&gt;=1000</formula>
    </cfRule>
  </conditionalFormatting>
  <conditionalFormatting sqref="V22:V29">
    <cfRule type="expression" dxfId="1334" priority="25">
      <formula>ABS(V$25-V$28)&gt;=1000</formula>
    </cfRule>
  </conditionalFormatting>
  <conditionalFormatting sqref="W22:W29">
    <cfRule type="expression" dxfId="1333" priority="24">
      <formula>ABS(W$25-W$28)&gt;=1000</formula>
    </cfRule>
  </conditionalFormatting>
  <conditionalFormatting sqref="X22:X29">
    <cfRule type="expression" dxfId="1332" priority="23">
      <formula>ABS(X$25-X$28)&gt;=1000</formula>
    </cfRule>
  </conditionalFormatting>
  <conditionalFormatting sqref="Y22:Y29">
    <cfRule type="expression" dxfId="1331" priority="22">
      <formula>ABS(Y$25-Y$28)&gt;=1000</formula>
    </cfRule>
  </conditionalFormatting>
  <conditionalFormatting sqref="I23">
    <cfRule type="expression" dxfId="1330" priority="21">
      <formula>ABS(I$25-I$28)&gt;=1000</formula>
    </cfRule>
  </conditionalFormatting>
  <conditionalFormatting sqref="Q14">
    <cfRule type="expression" dxfId="1329" priority="20">
      <formula>ABS(Q$16-Q$19)&gt;=1000</formula>
    </cfRule>
  </conditionalFormatting>
  <conditionalFormatting sqref="W14">
    <cfRule type="expression" dxfId="1328" priority="19">
      <formula>ABS(W$16-W$19)&gt;=1000</formula>
    </cfRule>
  </conditionalFormatting>
  <conditionalFormatting sqref="Y14">
    <cfRule type="expression" dxfId="1327" priority="18">
      <formula>ABS(Y$16-Y$19)&gt;=1000</formula>
    </cfRule>
  </conditionalFormatting>
  <conditionalFormatting sqref="X14">
    <cfRule type="expression" dxfId="1326" priority="17">
      <formula>ABS(X$16-X$19)&gt;=1000</formula>
    </cfRule>
  </conditionalFormatting>
  <conditionalFormatting sqref="T10:Y10">
    <cfRule type="expression" dxfId="1325" priority="16">
      <formula>ABS(T$7-T$10)&gt;=1000</formula>
    </cfRule>
  </conditionalFormatting>
  <conditionalFormatting sqref="W19">
    <cfRule type="expression" dxfId="1324" priority="15">
      <formula>ABS(W$16-W$19)&gt;=1000</formula>
    </cfRule>
  </conditionalFormatting>
  <conditionalFormatting sqref="AC5">
    <cfRule type="expression" dxfId="1323" priority="14">
      <formula>ABS(AC$7-AC$10)&gt;=1000</formula>
    </cfRule>
  </conditionalFormatting>
  <conditionalFormatting sqref="M14">
    <cfRule type="expression" dxfId="1322" priority="13">
      <formula>ABS(M$16-M$19)&gt;=1000</formula>
    </cfRule>
  </conditionalFormatting>
  <conditionalFormatting sqref="M16">
    <cfRule type="expression" dxfId="1321" priority="12">
      <formula>ABS(M$16-M$19)&gt;=1000</formula>
    </cfRule>
  </conditionalFormatting>
  <conditionalFormatting sqref="M19">
    <cfRule type="expression" dxfId="1320" priority="11">
      <formula>ABS(M$16-M$19)&gt;=1000</formula>
    </cfRule>
  </conditionalFormatting>
  <conditionalFormatting sqref="K13:K20">
    <cfRule type="expression" dxfId="1319" priority="10">
      <formula>ABS(K$16-K$19)&gt;=1000</formula>
    </cfRule>
  </conditionalFormatting>
  <conditionalFormatting sqref="E5">
    <cfRule type="expression" dxfId="1318" priority="9">
      <formula>ABS(E$7-E$10)&gt;=1000</formula>
    </cfRule>
  </conditionalFormatting>
  <conditionalFormatting sqref="AB14:AC14">
    <cfRule type="expression" dxfId="1317" priority="8">
      <formula>ABS(AB$16-AB$19)&gt;=1000</formula>
    </cfRule>
  </conditionalFormatting>
  <conditionalFormatting sqref="M5">
    <cfRule type="expression" dxfId="1316" priority="7">
      <formula>ABS(M$7-M$10)&gt;=1000</formula>
    </cfRule>
  </conditionalFormatting>
  <conditionalFormatting sqref="N5">
    <cfRule type="expression" dxfId="1315" priority="6">
      <formula>ABS(N$7-N$10)&gt;=1000</formula>
    </cfRule>
  </conditionalFormatting>
  <conditionalFormatting sqref="O5">
    <cfRule type="expression" dxfId="1314" priority="5">
      <formula>ABS(O$7-O$10)&gt;=1000</formula>
    </cfRule>
  </conditionalFormatting>
  <conditionalFormatting sqref="P5">
    <cfRule type="expression" dxfId="1313" priority="4">
      <formula>ABS(P$7-P$10)&gt;=1000</formula>
    </cfRule>
  </conditionalFormatting>
  <conditionalFormatting sqref="L23">
    <cfRule type="expression" dxfId="1312" priority="3">
      <formula>ABS(L$25-L$28)&gt;=1000</formula>
    </cfRule>
  </conditionalFormatting>
  <conditionalFormatting sqref="F14">
    <cfRule type="expression" dxfId="1311" priority="2">
      <formula>ABS(F$16-F$19)&gt;=1000</formula>
    </cfRule>
  </conditionalFormatting>
  <conditionalFormatting sqref="AE5">
    <cfRule type="expression" dxfId="1310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1222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24">
    <pageSetUpPr fitToPage="1"/>
  </sheetPr>
  <dimension ref="A1:CU223"/>
  <sheetViews>
    <sheetView view="pageBreakPreview" zoomScale="80" zoomScaleNormal="100" zoomScaleSheetLayoutView="80" workbookViewId="0">
      <selection activeCell="D4" sqref="D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45916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47" t="s" ph="1">
        <v>177</v>
      </c>
      <c r="D6" s="71">
        <v>2574</v>
      </c>
      <c r="E6" s="71">
        <v>9074</v>
      </c>
      <c r="F6" s="71">
        <v>6535</v>
      </c>
      <c r="G6" s="71">
        <v>8796</v>
      </c>
      <c r="H6" s="71">
        <v>8936</v>
      </c>
      <c r="I6" s="71">
        <v>18.07</v>
      </c>
      <c r="J6" s="71">
        <v>7.01</v>
      </c>
      <c r="K6" s="71">
        <v>7.08</v>
      </c>
      <c r="L6" s="71">
        <v>30.16</v>
      </c>
      <c r="M6" s="71">
        <v>2804</v>
      </c>
      <c r="N6" s="71">
        <v>5197</v>
      </c>
      <c r="O6" s="71">
        <v>195</v>
      </c>
      <c r="P6" s="71">
        <v>7724</v>
      </c>
      <c r="Q6" s="71">
        <v>3205</v>
      </c>
      <c r="R6" s="71">
        <v>7140</v>
      </c>
      <c r="S6" s="71">
        <v>7004</v>
      </c>
      <c r="T6" s="71">
        <v>2429</v>
      </c>
      <c r="U6" s="71">
        <v>2623</v>
      </c>
      <c r="V6" s="71">
        <v>0</v>
      </c>
      <c r="W6" s="71">
        <v>0</v>
      </c>
      <c r="X6" s="71">
        <v>0</v>
      </c>
      <c r="Y6" s="71">
        <v>0</v>
      </c>
      <c r="Z6" s="71">
        <v>1557</v>
      </c>
      <c r="AA6" s="71">
        <v>993</v>
      </c>
      <c r="AB6" s="71">
        <v>2626</v>
      </c>
      <c r="AC6" s="71">
        <v>2369</v>
      </c>
      <c r="AD6" s="71">
        <v>4719</v>
      </c>
      <c r="AE6" s="71">
        <v>3865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80450.544259799994</v>
      </c>
      <c r="E7" s="73" ph="1">
        <f>E6*51.53*LOOKUP(E8,密度!$A$2:$A$50,密度!$B$2:$B$50)</f>
        <v>362096.44556800002</v>
      </c>
      <c r="F7" s="73" ph="1">
        <f>F6*33.183*LOOKUP(F8,密度!$A$2:$A$50,密度!$C$2:$C$50)</f>
        <v>239967.211473</v>
      </c>
      <c r="G7" s="73" ph="1">
        <f xml:space="preserve"> (G6+2)*51.53*LOOKUP(G8,密度!$A$2:$A$50,密度!$B$2:$B$50)</f>
        <v>351898.76162800001</v>
      </c>
      <c r="H7" s="73" ph="1">
        <f>(H6)*51.53*LOOKUP(H8,密度!$A$2:$A$50,密度!$B$2:$B$50)</f>
        <v>357418.42849600001</v>
      </c>
      <c r="I7" s="73" ph="1">
        <f>I6*290.8*1.0267</f>
        <v>5395.0579852000001</v>
      </c>
      <c r="J7" s="73" ph="1">
        <f>J6*290.8*0.7892</f>
        <v>1608.7905136000002</v>
      </c>
      <c r="K7" s="73" ph="1">
        <f>K6*290.8*1.1126</f>
        <v>2290.6920863999999</v>
      </c>
      <c r="L7" s="73" ph="1">
        <f>L6*290.8*0.777</f>
        <v>6814.7002560000001</v>
      </c>
      <c r="M7" s="73" ph="1">
        <f>M6*33.183*LOOKUP(M8,密度!$A$2:$A$50,密度!$D$2:$D$50)</f>
        <v>95175.865522799984</v>
      </c>
      <c r="N7" s="73" ph="1">
        <f>N6*33.183*LOOKUP(N8,密度!$A$2:$A$50,密度!$E$2:$E$50)</f>
        <v>134098.71485759999</v>
      </c>
      <c r="O7" s="73" ph="1">
        <f>O6*20.428*LOOKUP(O8,密度!$A$2:$A$50,密度!$C$2:$C$50)</f>
        <v>4398.1381860000001</v>
      </c>
      <c r="P7" s="73" ph="1">
        <f>P6*51.53*LOOKUP(P8,密度!$A$2:$A$50,密度!$B$2:$B$50)</f>
        <v>309259.76844000001</v>
      </c>
      <c r="Q7" s="73" ph="1">
        <f>Q6*1.5*1.5*3.1416*LOOKUP(W8,密度!$A$2:$A$50,密度!$L$2:$L$50)</f>
        <v>21159.642042000003</v>
      </c>
      <c r="R7" s="73" ph="1">
        <f>R6*1.5*1.5*3.1416*LOOKUP(R8,密度!$A$2:$A$50,密度!$L$2:$L$50)</f>
        <v>46886.447915999997</v>
      </c>
      <c r="S7" s="73" ph="1">
        <f>S6*1.5*1.5*3.1416*LOOKUP(S8,密度!$A$2:$A$50,密度!$L$2:$L$50)</f>
        <v>46438.948987199998</v>
      </c>
      <c r="T7" s="73" ph="1">
        <f>T6*1.5*1.5*3.1416*LOOKUP(T8,密度!$A$2:$A$50,密度!$L$2:$L$50)</f>
        <v>16105.112377199997</v>
      </c>
      <c r="U7" s="73" ph="1">
        <f>U6*1.5*1.5*3.1416*LOOKUP(U8,密度!$A$2:$A$50,密度!$L$2:$L$50)</f>
        <v>17317.235905199999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48359.311415999997</v>
      </c>
      <c r="AA7" s="73" ph="1">
        <f>AA6*33.183*LOOKUP(AA8,密度!$A$2:$A$50,密度!$D$2:$D$50)</f>
        <v>33738.241184099999</v>
      </c>
      <c r="AB7" s="73" ph="1">
        <f>AB6*20.428*LOOKUP(AB8,密度!$A$2:$A$50,密度!$D$2:$D$50)</f>
        <v>55124.5004128</v>
      </c>
      <c r="AC7" s="73" ph="1">
        <f>AC6*51.53*LOOKUP(AC8,密度!$A$2:$A$50,密度!$Q$2:$Q$50)</f>
        <v>115486.2054571</v>
      </c>
      <c r="AD7" s="73" ph="1">
        <f>AD6*20.428*LOOKUP(AD8,密度!$A$2:$A$50,密度!$V$2:$V$50)</f>
        <v>92312.383363200002</v>
      </c>
      <c r="AE7" s="73" ph="1">
        <f>AE6*20.428</f>
        <v>78954.22</v>
      </c>
    </row>
    <row r="8" spans="1:99" ph="1">
      <c r="B8" s="182" ph="1"/>
      <c r="C8" s="68" t="s" ph="1">
        <v>179</v>
      </c>
      <c r="D8" s="74">
        <v>32</v>
      </c>
      <c r="E8" s="74">
        <v>31</v>
      </c>
      <c r="F8" s="74">
        <v>28</v>
      </c>
      <c r="G8" s="74">
        <v>29</v>
      </c>
      <c r="H8" s="74">
        <v>29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31</v>
      </c>
      <c r="P8" s="74">
        <v>28</v>
      </c>
      <c r="Q8" s="74">
        <v>29</v>
      </c>
      <c r="R8" s="74">
        <v>33</v>
      </c>
      <c r="S8" s="74">
        <v>24</v>
      </c>
      <c r="T8" s="74">
        <v>24</v>
      </c>
      <c r="U8" s="74">
        <v>28</v>
      </c>
      <c r="V8" s="74">
        <v>27</v>
      </c>
      <c r="W8" s="74">
        <v>28</v>
      </c>
      <c r="X8" s="74">
        <v>20</v>
      </c>
      <c r="Y8" s="74">
        <v>27</v>
      </c>
      <c r="Z8" s="74">
        <v>26</v>
      </c>
      <c r="AA8" s="74">
        <v>28</v>
      </c>
      <c r="AB8" s="74">
        <v>24</v>
      </c>
      <c r="AC8" s="74">
        <v>26</v>
      </c>
      <c r="AD8" s="74">
        <v>29</v>
      </c>
      <c r="AE8" s="74">
        <v>32</v>
      </c>
    </row>
    <row r="9" spans="1:99" ht="26.4" ph="1">
      <c r="B9" s="182" ph="1">
        <v>0.66666666666666663</v>
      </c>
      <c r="C9" s="147" t="s" ph="1">
        <v>180</v>
      </c>
      <c r="D9" s="71">
        <v>2874</v>
      </c>
      <c r="E9" s="71">
        <v>9070</v>
      </c>
      <c r="F9" s="71">
        <v>6490</v>
      </c>
      <c r="G9" s="71">
        <v>8799</v>
      </c>
      <c r="H9" s="71">
        <v>8941</v>
      </c>
      <c r="I9" s="71">
        <v>18.03</v>
      </c>
      <c r="J9" s="71">
        <v>7.02</v>
      </c>
      <c r="K9" s="71">
        <v>7.13</v>
      </c>
      <c r="L9" s="71">
        <v>8.69</v>
      </c>
      <c r="M9" s="71">
        <v>2803</v>
      </c>
      <c r="N9" s="71">
        <v>5199</v>
      </c>
      <c r="O9" s="71">
        <v>195</v>
      </c>
      <c r="P9" s="71">
        <v>7352</v>
      </c>
      <c r="Q9" s="71">
        <v>0</v>
      </c>
      <c r="R9" s="71">
        <v>6040</v>
      </c>
      <c r="S9" s="71">
        <v>7012</v>
      </c>
      <c r="T9" s="71">
        <v>4916</v>
      </c>
      <c r="U9" s="71">
        <v>5386</v>
      </c>
      <c r="V9" s="71">
        <v>0</v>
      </c>
      <c r="W9" s="71">
        <v>0</v>
      </c>
      <c r="X9" s="71">
        <v>0</v>
      </c>
      <c r="Y9" s="71">
        <v>0</v>
      </c>
      <c r="Z9" s="71">
        <v>2475</v>
      </c>
      <c r="AA9" s="71">
        <v>970</v>
      </c>
      <c r="AB9" s="71">
        <v>2626</v>
      </c>
      <c r="AC9" s="71">
        <v>2206</v>
      </c>
      <c r="AD9" s="71">
        <v>4705</v>
      </c>
      <c r="AE9" s="71">
        <v>3780</v>
      </c>
    </row>
    <row r="10" spans="1:99" s="72" customFormat="1" ht="22.2" ph="1">
      <c r="B10" s="182" ph="1"/>
      <c r="C10" s="147" t="s" ph="1">
        <v>178</v>
      </c>
      <c r="D10" s="73" ph="1">
        <f>D9*33.183*LOOKUP(D11,密度!$A$2:$A$50,密度!$Q$2:$Q$50)</f>
        <v>89765.0754075</v>
      </c>
      <c r="E10" s="73" ph="1">
        <f>E9*51.53*LOOKUP(E11,密度!$A$2:$A$50,密度!$B$2:$B$50)</f>
        <v>361142.28517000005</v>
      </c>
      <c r="F10" s="73" ph="1">
        <f>F9*33.183*LOOKUP(F11,密度!$A$2:$A$50,密度!$C$2:$C$50)</f>
        <v>238164.04725300003</v>
      </c>
      <c r="G10" s="73" ph="1">
        <f xml:space="preserve"> (G9+2)*51.53*LOOKUP(G11,密度!$A$2:$A$50,密度!$B$2:$B$50)</f>
        <v>350794.26245500002</v>
      </c>
      <c r="H10" s="73" ph="1">
        <f>(H9)*51.53*LOOKUP(H11,密度!$A$2:$A$50,密度!$B$2:$B$50)</f>
        <v>356374.44615499995</v>
      </c>
      <c r="I10" s="73" ph="1">
        <f>I9*290.8*1.0267</f>
        <v>5383.1154108000001</v>
      </c>
      <c r="J10" s="73" ph="1">
        <f>J9*290.8*0.7892</f>
        <v>1611.0855071999999</v>
      </c>
      <c r="K10" s="73" ph="1">
        <f>K9*290.8*1.1126</f>
        <v>2306.8692904</v>
      </c>
      <c r="L10" s="73" ph="1">
        <f>L9*290.8*0.777</f>
        <v>1963.5194040000001</v>
      </c>
      <c r="M10" s="73" ph="1">
        <f>M9*33.183*LOOKUP(M11,密度!$A$2:$A$50,密度!$D$2:$D$50)</f>
        <v>94890.790369799986</v>
      </c>
      <c r="N10" s="73" ph="1">
        <f>N9*33.183*LOOKUP(N11,密度!$A$2:$A$50,密度!$E$2:$E$50)</f>
        <v>133951.92487964997</v>
      </c>
      <c r="O10" s="73" ph="1">
        <f>O9*20.428*LOOKUP(O11,密度!$A$2:$A$50,密度!$C$2:$C$50)</f>
        <v>4368.6605820000004</v>
      </c>
      <c r="P10" s="73" ph="1">
        <f>P9*51.53*LOOKUP(P11,密度!$A$2:$A$50,密度!$B$2:$B$50)</f>
        <v>292736.282312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39534.962544000002</v>
      </c>
      <c r="S10" s="73" ph="1">
        <f>S9*1.5*1.5*3.1416*LOOKUP(S11,密度!$A$2:$A$50,密度!$L$2:$L$50)</f>
        <v>46442.426738399998</v>
      </c>
      <c r="T10" s="73" ph="1">
        <f>T9*1.5*1.5*3.1416*LOOKUP(T11,密度!$A$2:$A$50,密度!$L$2:$L$50)</f>
        <v>32594.784868799998</v>
      </c>
      <c r="U10" s="73" ph="1">
        <f>U9*1.5*1.5*3.1416*LOOKUP(U11,密度!$A$2:$A$50,密度!$L$2:$L$50)</f>
        <v>35558.761946400002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76625.354025000008</v>
      </c>
      <c r="AA10" s="73" ph="1">
        <f>AA9*33.183*LOOKUP(AA11,密度!$A$2:$A$50,密度!$D$2:$D$50)</f>
        <v>32811.947694000002</v>
      </c>
      <c r="AB10" s="73" ph="1">
        <f>AB9*20.428*LOOKUP(AB11,密度!$A$2:$A$50,密度!$D$2:$D$50)</f>
        <v>55027.941342400001</v>
      </c>
      <c r="AC10" s="73" ph="1">
        <f>AC9*51.53*LOOKUP(AC11,密度!$A$2:$A$50,密度!$Q$2:$Q$50)</f>
        <v>107147.9511644</v>
      </c>
      <c r="AD10" s="73" ph="1">
        <f>AD9*20.428*LOOKUP(AD11,密度!$A$2:$A$50,密度!$V$2:$V$50)</f>
        <v>92038.517424000005</v>
      </c>
      <c r="AE10" s="73" ph="1">
        <f>AE9*20.428</f>
        <v>77217.84</v>
      </c>
    </row>
    <row r="11" spans="1:99" ph="1">
      <c r="A11" s="64" t="s" ph="1">
        <v>162</v>
      </c>
      <c r="B11" s="182" ph="1"/>
      <c r="C11" s="147" t="s" ph="1">
        <v>179</v>
      </c>
      <c r="D11" s="74">
        <v>33</v>
      </c>
      <c r="E11" s="74">
        <v>33</v>
      </c>
      <c r="F11" s="74">
        <v>29</v>
      </c>
      <c r="G11" s="74">
        <v>32</v>
      </c>
      <c r="H11" s="74">
        <v>32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31</v>
      </c>
      <c r="O11" s="74">
        <v>38</v>
      </c>
      <c r="P11" s="74">
        <v>33</v>
      </c>
      <c r="Q11" s="74">
        <v>35</v>
      </c>
      <c r="R11" s="74">
        <v>36</v>
      </c>
      <c r="S11" s="74">
        <v>25</v>
      </c>
      <c r="T11" s="74">
        <v>24</v>
      </c>
      <c r="U11" s="74">
        <v>28</v>
      </c>
      <c r="V11" s="74">
        <v>28</v>
      </c>
      <c r="W11" s="74">
        <v>35</v>
      </c>
      <c r="X11" s="74">
        <v>27</v>
      </c>
      <c r="Y11" s="74">
        <v>30</v>
      </c>
      <c r="Z11" s="74">
        <v>29</v>
      </c>
      <c r="AA11" s="74">
        <v>33</v>
      </c>
      <c r="AB11" s="74">
        <v>26</v>
      </c>
      <c r="AC11" s="74">
        <v>31</v>
      </c>
      <c r="AD11" s="74">
        <v>33</v>
      </c>
      <c r="AE11" s="74">
        <v>35</v>
      </c>
    </row>
    <row r="12" spans="1:99" ht="9.9" customHeight="1" ph="1"/>
    <row r="13" spans="1:99" s="72" customFormat="1" ht="29.25" customHeight="1" ph="1">
      <c r="B13" s="190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150" t="s" ph="1">
        <v>643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47" t="s" ph="1">
        <v>177</v>
      </c>
      <c r="D15" s="78">
        <v>3727</v>
      </c>
      <c r="E15" s="78">
        <v>5739</v>
      </c>
      <c r="F15" s="78">
        <v>1624</v>
      </c>
      <c r="G15" s="78">
        <v>3745</v>
      </c>
      <c r="H15" s="78">
        <v>1973</v>
      </c>
      <c r="I15" s="78">
        <v>2569</v>
      </c>
      <c r="J15" s="78">
        <v>384</v>
      </c>
      <c r="K15" s="78">
        <v>3964</v>
      </c>
      <c r="L15" s="78">
        <v>3454</v>
      </c>
      <c r="M15" s="78">
        <v>2984</v>
      </c>
      <c r="N15" s="78">
        <v>2513</v>
      </c>
      <c r="O15" s="78">
        <v>6870</v>
      </c>
      <c r="P15" s="78">
        <v>6968</v>
      </c>
      <c r="Q15" s="78">
        <v>6933</v>
      </c>
      <c r="R15" s="78">
        <v>0</v>
      </c>
      <c r="S15" s="78">
        <v>3992</v>
      </c>
      <c r="T15" s="78">
        <v>1064</v>
      </c>
      <c r="U15" s="78">
        <v>6185</v>
      </c>
      <c r="V15" s="78">
        <v>850</v>
      </c>
      <c r="W15" s="71">
        <v>2246</v>
      </c>
      <c r="X15" s="78">
        <v>1277</v>
      </c>
      <c r="Y15" s="106">
        <v>-9906</v>
      </c>
      <c r="Z15" s="78">
        <v>0</v>
      </c>
      <c r="AA15" s="78">
        <v>6</v>
      </c>
      <c r="AB15" s="78" ph="1">
        <v>1099</v>
      </c>
      <c r="AC15" s="78" ph="1">
        <v>2162</v>
      </c>
      <c r="AD15" s="78">
        <v>5.62</v>
      </c>
      <c r="AE15" s="78">
        <v>49.46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47" t="s" ph="1">
        <v>178</v>
      </c>
      <c r="D16" s="73" ph="1">
        <f>D15*7.0686*LOOKUP(D17,密度!$A$2:$A$50,密度!$L$2:$L$50)</f>
        <v>24526.889818200001</v>
      </c>
      <c r="E16" s="73" ph="1">
        <f>E15*7.0686*LOOKUP(E17,密度!$A$2:$A$50,密度!$L$2:$L$50)</f>
        <v>37767.593417399999</v>
      </c>
      <c r="F16" s="73" ph="1">
        <f>F15*9.0746*LOOKUP(F17,密度!$A$2:$A$50,密度!$L$2:$L$50)</f>
        <v>13735.024172800002</v>
      </c>
      <c r="G16" s="73" ph="1">
        <f>G15*9.0746*LOOKUP(G17,密度!$A$2:$A$50,密度!$B$2:$B$50)</f>
        <v>26405.860929000002</v>
      </c>
      <c r="H16" s="73" ph="1">
        <f>H15*9.0746*LOOKUP(H17,密度!$A$2:$A$50,密度!$L$2:$L$50)</f>
        <v>16722.5095372</v>
      </c>
      <c r="I16" s="73" ph="1">
        <f>I15*9.0746*LOOKUP(I17,密度!$A$2:$A$50,密度!$U$2:$U$50)</f>
        <v>23848.838290200001</v>
      </c>
      <c r="J16" s="73" ph="1">
        <f>J15*9.0746*LOOKUP(J17,密度!$A$2:$A$50,密度!$L$2:$L$50)</f>
        <v>3254.6597376000004</v>
      </c>
      <c r="K16" s="73" ph="1">
        <f>K15*9.0746*LOOKUP(K17,密度!$A$2:$A$50,密度!$C$2:$C$50)</f>
        <v>39806.299155040004</v>
      </c>
      <c r="L16" s="73" ph="1">
        <f>L15*9.0746*LOOKUP(L17,密度!$A$2:$A$50,密度!$E$2:$E$50)</f>
        <v>24407.314583079999</v>
      </c>
      <c r="M16" s="73" ph="1">
        <f>M15*9.0746*LOOKUP(M17,密度!$A$2:$A$50,密度!$M$2:$M$50)</f>
        <v>23585.4661744</v>
      </c>
      <c r="N16" s="73" ph="1">
        <f>N15*9.0746*LOOKUP(N17,密度!$A$2:$A$50,密度!$M$2:$M$50)</f>
        <v>19910.582582380001</v>
      </c>
      <c r="O16" s="73" ph="1">
        <f>O15*9.0746*LOOKUP(O17,密度!$A$2:$A$50,密度!$G$2:$G$50)</f>
        <v>59593.197661799997</v>
      </c>
      <c r="P16" s="73" ph="1">
        <f ca="1">P15*9.0746*LOOKUP(P17,密度!$A$2:$A$51,密度!$Q$2:$Q$50)</f>
        <v>59648.465968623997</v>
      </c>
      <c r="Q16" s="73" ph="1">
        <f>Q15*9.0746*LOOKUP(Q17,密度!$A$2:$A$50,密度!$Q$2:$Q$50)</f>
        <v>59301.668332644003</v>
      </c>
      <c r="R16" s="73" ph="1">
        <f>MAX(R15*9.0746*LOOKUP(R17,密度!$A$2:$A$50,密度!$B$2:$B$50),0)</f>
        <v>0</v>
      </c>
      <c r="S16" s="73" ph="1">
        <f>S15*9.0746*LOOKUP(S17,密度!$A$2:$A$50,密度!$Q$2:$Q$50)</f>
        <v>34145.717580256001</v>
      </c>
      <c r="T16" s="73" ph="1">
        <f>T15*9.0746*LOOKUP(T17,密度!$A$2:$A$50,密度!$O$2:$O$50)</f>
        <v>8902.2551968000007</v>
      </c>
      <c r="U16" s="73" ph="1">
        <f>U15*9.0746*LOOKUP(U17,密度!$A$2:$A$50,密度!$H$2:$H$50)</f>
        <v>51021.704829050002</v>
      </c>
      <c r="V16" s="73" ph="1">
        <f>MAX(5600*LOOKUP(V17,密度!$A$2:$A$50,密度!$Q$2:$Q$50)+V15*9.0476*LOOKUP(V17,密度!$A$2:$A$50,密度!$Q$2:$Q$50),0)</f>
        <v>12527.321786799999</v>
      </c>
      <c r="W16" s="73" ph="1">
        <f>MAX(5600*LOOKUP(W17,密度!$A$2:$A$50,密度!$Q$2:$Q$50)+W15*9.0476*LOOKUP(W17,密度!$A$2:$A$50,密度!$Q$2:$Q$50),0)</f>
        <v>24432.530970767999</v>
      </c>
      <c r="X16" s="73" ph="1">
        <f>MAX(5600*LOOKUP(X17,密度!$A$2:$A$50,密度!$I$2:$I$50)+X15*9.0476*LOOKUP(X17,密度!$A$2:$A$50,密度!$I$2:$I$50),0)</f>
        <v>17762.916112451996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42.398346119999999</v>
      </c>
      <c r="AB16" s="73" ph="1">
        <f>AB15*9.0746*LOOKUP(AB17,密度!$A$2:$A$50,密度!$L$2:$L$50)</f>
        <v>9314.7683636000002</v>
      </c>
      <c r="AC16" s="73" ph="1">
        <f>AC15*9.0746*LOOKUP(AC17,密度!$A$2:$A$50,密度!$L$2:$L$50)</f>
        <v>18344.031662000001</v>
      </c>
      <c r="AD16" s="73" ph="1">
        <f>AD15*268.68*LOOKUP(AD17,密度!$A$2:$A$50,密度!B2:B50)+IF(AD15&lt;=0,0,1566*LOOKUP(AD17,密度!$A$2:$A$50,密度!B2:B50))</f>
        <v>2398.0352553599996</v>
      </c>
      <c r="AE16" s="73" ph="1">
        <f>AE15*268.68*LOOKUP(AE17,密度!$A$2:$A$50,密度!B2:B50)+IF(AE15&lt;=0,0,1566*LOOKUP(AE17,密度!$A$2:$A$50,密度!B2:B50))</f>
        <v>11580.89001888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31</v>
      </c>
      <c r="E17" s="74">
        <v>31</v>
      </c>
      <c r="F17" s="74">
        <v>30</v>
      </c>
      <c r="G17" s="74">
        <v>28</v>
      </c>
      <c r="H17" s="74">
        <v>28</v>
      </c>
      <c r="I17" s="74">
        <v>27</v>
      </c>
      <c r="J17" s="74">
        <v>28</v>
      </c>
      <c r="K17" s="74">
        <v>28</v>
      </c>
      <c r="L17" s="74">
        <v>29</v>
      </c>
      <c r="M17" s="74">
        <v>29</v>
      </c>
      <c r="N17" s="74">
        <v>27</v>
      </c>
      <c r="O17" s="74">
        <v>29</v>
      </c>
      <c r="P17" s="74">
        <v>30</v>
      </c>
      <c r="Q17" s="74">
        <v>31</v>
      </c>
      <c r="R17" s="74">
        <v>30</v>
      </c>
      <c r="S17" s="74">
        <v>31</v>
      </c>
      <c r="T17" s="74">
        <v>30</v>
      </c>
      <c r="U17" s="74">
        <v>31</v>
      </c>
      <c r="V17" s="74">
        <v>31</v>
      </c>
      <c r="W17" s="74">
        <v>31</v>
      </c>
      <c r="X17" s="74">
        <v>31</v>
      </c>
      <c r="Y17" s="108">
        <v>31</v>
      </c>
      <c r="Z17" s="74">
        <v>28</v>
      </c>
      <c r="AA17" s="74">
        <v>26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4737</v>
      </c>
      <c r="E18" s="71">
        <v>6211</v>
      </c>
      <c r="F18" s="71">
        <v>1706</v>
      </c>
      <c r="G18" s="71">
        <v>3790</v>
      </c>
      <c r="H18" s="71">
        <v>1973</v>
      </c>
      <c r="I18" s="71">
        <v>2570</v>
      </c>
      <c r="J18" s="71">
        <v>2795</v>
      </c>
      <c r="K18" s="71">
        <v>3964</v>
      </c>
      <c r="L18" s="71">
        <v>3458</v>
      </c>
      <c r="M18" s="71">
        <v>5101</v>
      </c>
      <c r="N18" s="71">
        <v>1677</v>
      </c>
      <c r="O18" s="71">
        <v>4106</v>
      </c>
      <c r="P18" s="71">
        <v>6793</v>
      </c>
      <c r="Q18" s="71">
        <v>6936</v>
      </c>
      <c r="R18" s="71">
        <v>0</v>
      </c>
      <c r="S18" s="71">
        <v>3995</v>
      </c>
      <c r="T18" s="71">
        <v>6630</v>
      </c>
      <c r="U18" s="71">
        <v>2263</v>
      </c>
      <c r="V18" s="71">
        <v>850</v>
      </c>
      <c r="W18" s="71">
        <v>2244</v>
      </c>
      <c r="X18" s="71">
        <v>1277</v>
      </c>
      <c r="Y18" s="109">
        <v>-9906</v>
      </c>
      <c r="Z18" s="71">
        <v>0</v>
      </c>
      <c r="AA18" s="71">
        <v>5</v>
      </c>
      <c r="AB18" s="71">
        <v>1099</v>
      </c>
      <c r="AC18" s="71">
        <v>2162</v>
      </c>
      <c r="AD18" s="71">
        <v>11.68</v>
      </c>
      <c r="AE18" s="71">
        <v>84.56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47" t="s" ph="1">
        <v>178</v>
      </c>
      <c r="D19" s="73" ph="1">
        <f>D18*7.0686*LOOKUP(D20,密度!$A$2:$A$50,密度!$L$2:$L$50)</f>
        <v>31106.597167800002</v>
      </c>
      <c r="E19" s="73" ph="1">
        <f>E18*7.0686*LOOKUP(E20,密度!$A$2:$A$50,密度!$L$2:$L$50)</f>
        <v>40785.956303400002</v>
      </c>
      <c r="F19" s="73" ph="1">
        <f>F18*9.0746*LOOKUP(F20,密度!$A$2:$A$50,密度!$L$2:$L$50)</f>
        <v>14397.578868000002</v>
      </c>
      <c r="G19" s="73" ph="1">
        <f>G18*9.0746*LOOKUP(G20,密度!$A$2:$A$50,密度!$B$2:$B$50)</f>
        <v>26664.686670200004</v>
      </c>
      <c r="H19" s="73" ph="1">
        <f>H18*9.0746*LOOKUP(H20,密度!$A$2:$A$50,密度!$L$2:$L$50)</f>
        <v>16722.5095372</v>
      </c>
      <c r="I19" s="73" ph="1">
        <f>I18*9.0746*LOOKUP(I20,密度!$A$2:$A$50,密度!$U$2:$U$50)</f>
        <v>23741.512996000001</v>
      </c>
      <c r="J19" s="73" ph="1">
        <f>J18*9.0746*LOOKUP(J20,密度!$A$2:$A$50,密度!$L$2:$L$50)</f>
        <v>23613.425017000001</v>
      </c>
      <c r="K19" s="73" ph="1">
        <f>K18*9.0746*LOOKUP(K20,密度!$A$2:$A$50,密度!$C$2:$C$50)</f>
        <v>39676.800983200003</v>
      </c>
      <c r="L19" s="73" ph="1">
        <f>L18*9.0746*LOOKUP(L20,密度!$A$2:$A$50,密度!$E$2:$E$50)</f>
        <v>24329.515859376002</v>
      </c>
      <c r="M19" s="73" ph="1">
        <f>M18*9.0746*LOOKUP(M20,密度!$A$2:$A$50,密度!$M$2:$M$50)</f>
        <v>40170.983916572004</v>
      </c>
      <c r="N19" s="73" ph="1">
        <f>N18*9.0746*LOOKUP(N20,密度!$A$2:$A$50,密度!$M$2:$M$50)</f>
        <v>13270.1868624</v>
      </c>
      <c r="O19" s="73" ph="1">
        <f>O18*9.0746*LOOKUP(O20,密度!$A$2:$A$50,密度!$G$2:$G$50)</f>
        <v>35535.527961196</v>
      </c>
      <c r="P19" s="73" ph="1">
        <f ca="1">P18*9.0746*LOOKUP(P20,密度!$A$2:$A$51,密度!$Q$2:$Q$50)</f>
        <v>58062.255471819997</v>
      </c>
      <c r="Q19" s="73" ph="1">
        <f>Q18*9.0746*LOOKUP(Q20,密度!$A$2:$A$50,密度!$Q$2:$Q$50)</f>
        <v>59243.616846000004</v>
      </c>
      <c r="R19" s="73" ph="1">
        <f>MAX(R18*9.0746*LOOKUP(R20,密度!$A$2:$A$50,密度!$B$2:$B$50),0)</f>
        <v>0</v>
      </c>
      <c r="S19" s="73" ph="1">
        <f>S18*9.0746*LOOKUP(S20,密度!$A$2:$A$50,密度!$Q$2:$Q$50)</f>
        <v>34123.161663750005</v>
      </c>
      <c r="T19" s="73" ph="1">
        <f>T18*9.0746*LOOKUP(T20,密度!$A$2:$A$50,密度!$O$2:$O$50)</f>
        <v>55471.759356000002</v>
      </c>
      <c r="U19" s="73" ph="1">
        <f>U18*9.0746*LOOKUP(U20,密度!$A$2:$A$50,密度!$H$2:$H$50)</f>
        <v>18628.247498778001</v>
      </c>
      <c r="V19" s="73" ph="1">
        <f>MAX(5600*LOOKUP(V20,密度!$A$2:$A$50,密度!$Q$2:$Q$50)+V18*9.0476*LOOKUP(V20,密度!$A$2:$A$50,密度!$Q$2:$Q$50),0)</f>
        <v>12500.8737714</v>
      </c>
      <c r="W19" s="73" ph="1">
        <f>MAX(5600*LOOKUP(W20,密度!$A$2:$A$50,密度!$Q$2:$Q$50)+W18*9.0476*LOOKUP(W20,密度!$A$2:$A$50,密度!$Q$2:$Q$50),0)</f>
        <v>24363.928196495999</v>
      </c>
      <c r="X19" s="73" ph="1">
        <f>MAX(5600*LOOKUP(X20,密度!$A$2:$A$50,密度!$I$2:$I$50)+X18*9.0476*LOOKUP(X20,密度!$A$2:$A$50,密度!$I$2:$I$50),0)</f>
        <v>17743.875410879999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35.018881400000005</v>
      </c>
      <c r="AB19" s="73" ph="1">
        <f>AB18*9.0746*LOOKUP(AB20,密度!$A$2:$A$50,密度!$L$2:$L$50)</f>
        <v>9244.9574658000001</v>
      </c>
      <c r="AC19" s="73" ph="1">
        <f>AC18*9.0746*LOOKUP(AC20,密度!$A$2:$A$50,密度!$L$2:$L$50)</f>
        <v>18245.935236000001</v>
      </c>
      <c r="AD19" s="73" ph="1">
        <f>AD18*268.68*LOOKUP(AD20,密度!$A$2:$A$50,密度!B5:B53)+IF(AD18&lt;=0,0,1566*LOOKUP(AD20,密度!$A$2:$A$50,密度!B5:B53))</f>
        <v>3655.1497248000005</v>
      </c>
      <c r="AE19" s="73" ph="1">
        <f>AE18*268.68*LOOKUP(AE20,密度!$A$2:$A$50,密度!B5:B53)+IF(AE18&lt;=0,0,1566*LOOKUP(AE20,密度!$A$2:$A$50,密度!B5:B53))</f>
        <v>18869.896281599998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33</v>
      </c>
      <c r="E20" s="81">
        <v>33</v>
      </c>
      <c r="F20" s="81">
        <v>32</v>
      </c>
      <c r="G20" s="81">
        <v>30</v>
      </c>
      <c r="H20" s="81">
        <v>28</v>
      </c>
      <c r="I20" s="81">
        <v>32</v>
      </c>
      <c r="J20" s="81">
        <v>31</v>
      </c>
      <c r="K20" s="81">
        <v>32</v>
      </c>
      <c r="L20" s="81">
        <v>32</v>
      </c>
      <c r="M20" s="81">
        <v>32</v>
      </c>
      <c r="N20" s="81">
        <v>28</v>
      </c>
      <c r="O20" s="81">
        <v>31</v>
      </c>
      <c r="P20" s="81">
        <v>32</v>
      </c>
      <c r="Q20" s="81">
        <v>33</v>
      </c>
      <c r="R20" s="81">
        <v>32</v>
      </c>
      <c r="S20" s="81">
        <v>33</v>
      </c>
      <c r="T20" s="81">
        <v>32</v>
      </c>
      <c r="U20" s="81">
        <v>33</v>
      </c>
      <c r="V20" s="81">
        <v>34</v>
      </c>
      <c r="W20" s="81">
        <v>34</v>
      </c>
      <c r="X20" s="81">
        <v>32</v>
      </c>
      <c r="Y20" s="110">
        <v>32</v>
      </c>
      <c r="Z20" s="81">
        <v>36</v>
      </c>
      <c r="AA20" s="81">
        <v>34</v>
      </c>
      <c r="AB20" s="81">
        <v>35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47" t="s" ph="1">
        <v>177</v>
      </c>
      <c r="D24" s="71">
        <v>86.42</v>
      </c>
      <c r="E24" s="71">
        <v>5.45</v>
      </c>
      <c r="F24" s="71">
        <v>2343</v>
      </c>
      <c r="G24" s="71">
        <v>2042</v>
      </c>
      <c r="H24" s="71">
        <v>2895</v>
      </c>
      <c r="I24" s="71">
        <v>4759</v>
      </c>
      <c r="J24" s="71">
        <v>4025</v>
      </c>
      <c r="K24" s="71">
        <v>648</v>
      </c>
      <c r="L24" s="71">
        <v>5619</v>
      </c>
      <c r="M24" s="71">
        <v>5413</v>
      </c>
      <c r="N24" s="71">
        <v>5538</v>
      </c>
      <c r="O24" s="71">
        <v>5602</v>
      </c>
      <c r="P24" s="71">
        <v>2157</v>
      </c>
      <c r="Q24" s="90">
        <v>5497</v>
      </c>
      <c r="R24" s="71">
        <v>206</v>
      </c>
      <c r="S24" s="71">
        <v>1230</v>
      </c>
      <c r="T24" s="71">
        <v>851</v>
      </c>
      <c r="U24" s="71">
        <v>5363</v>
      </c>
      <c r="V24" s="71">
        <v>4168</v>
      </c>
      <c r="W24" s="71">
        <v>1451</v>
      </c>
      <c r="X24" s="71">
        <v>1389</v>
      </c>
      <c r="Y24" s="71">
        <v>3240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23465.259158544002</v>
      </c>
      <c r="E25" s="91" ph="1">
        <f>E24*268.68*LOOKUP(E26,密度!$A$2:$A$50,密度!$C$2:$C$50)+IF(E24&lt;=0,0,1566*LOOKUP(E26,密度!$A$2:$A$50,密度!$C$2:$C$50))</f>
        <v>3360.3063234000001</v>
      </c>
      <c r="F25" s="91" ph="1">
        <f>F24*11.702*LOOKUP(F26,密度!$A$2:$A$50,密度!$Q$2:$Q$50)</f>
        <v>25864.020067379999</v>
      </c>
      <c r="G25" s="91" ph="1">
        <f>G24*18.322*LOOKUP(G26,密度!$A$2:$A$50,密度!$B$2:$B$50)</f>
        <v>29040.377328799997</v>
      </c>
      <c r="H25" s="91" ph="1">
        <f>H24*18.322*LOOKUP(H26,密度!$A$2:$A$50,密度!$B$2:$B$50)</f>
        <v>41171.347877999993</v>
      </c>
      <c r="I25" s="91" ph="1">
        <f>I24*18.322*LOOKUP(I26,密度!$A$2:$A$50,密度!$Q$2:$Q$50)</f>
        <v>82253.091465339996</v>
      </c>
      <c r="J25" s="91" ph="1">
        <f>J24*18.322*LOOKUP(J26,密度!$A$2:$A$50,密度!$Q$2:$Q$50)</f>
        <v>69511.551808999997</v>
      </c>
      <c r="K25" s="91" ph="1">
        <f>K24*18.322*LOOKUP(K26,密度!$A$2:$A$50,密度!$Q$2:$Q$50)</f>
        <v>11199.832584479998</v>
      </c>
      <c r="L25" s="91" ph="1">
        <f>L24*18.322*LOOKUP(L26,密度!$A$2:$A$50,密度!$Q$2:$Q$50)</f>
        <v>97117.066808939999</v>
      </c>
      <c r="M25" s="91" ph="1">
        <f>M24*18.322*LOOKUP(M26,密度!$A$2:$A$50,密度!$Q$2:$Q$50)</f>
        <v>93482.24346387999</v>
      </c>
      <c r="N25" s="91" ph="1">
        <f>N24*18.322*LOOKUP(N26,密度!$A$2:$A$50,密度!$Q$2:$Q$50)</f>
        <v>95640.987308879994</v>
      </c>
      <c r="O25" s="91" ph="1">
        <f>O24*18.322*LOOKUP(O26,密度!$A$2:$A$50,密度!$C$2:$C$50)</f>
        <v>113427.2916044</v>
      </c>
      <c r="P25" s="91" ph="1">
        <f>P24*11.702*LOOKUP(P26,密度!$A$2:$A$50,密度!$B$2:$B$50)</f>
        <v>19546.7961216</v>
      </c>
      <c r="Q25" s="92" ph="1">
        <f>Q24*18.322*LOOKUP(Q26,密度!$A$2:$A$50,密度!$B$2:$B$50)</f>
        <v>78175.785590800006</v>
      </c>
      <c r="R25" s="91" ph="1">
        <f>R24*35.891*LOOKUP(R26,密度!$A$2:$A$50,密度!$C$2:$C$50)</f>
        <v>8170.6076845999987</v>
      </c>
      <c r="S25" s="91" ph="1">
        <f>S24*35.891*LOOKUP(S26,密度!$A$2:$A$50,密度!$B$2:$B$50)</f>
        <v>34266.070866000002</v>
      </c>
      <c r="T25" s="91" ph="1">
        <f>T24*35.891*LOOKUP(T26,密度!$A$2:$A$50,密度!$Q$2:$Q$50)</f>
        <v>28830.681477130001</v>
      </c>
      <c r="U25" s="91" ph="1">
        <f>U24*35.891</f>
        <v>192483.43299999999</v>
      </c>
      <c r="V25" s="91" ph="1">
        <f>V24*47.051*LOOKUP(V26,密度!$A$2:$A$50,密度!$B$2:$B$50)</f>
        <v>152042.9727704</v>
      </c>
      <c r="W25" s="91" ph="1">
        <f>W24*47.051*LOOKUP(W26,密度!$A$2:$A$50,密度!$B$2:$B$50)</f>
        <v>52869.063174399998</v>
      </c>
      <c r="X25" s="91" ph="1">
        <f>X24*47.051*LOOKUP(X26,密度!$A$2:$A$50,密度!$I$2:$I$50)</f>
        <v>67674.553822889997</v>
      </c>
      <c r="Y25" s="91" ph="1">
        <f>Y24*47.051*LOOKUP(Y26,密度!$A$2:$A$50,密度!$L$2:$L$50)</f>
        <v>142078.96368000002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30</v>
      </c>
      <c r="G26" s="74">
        <v>29</v>
      </c>
      <c r="H26" s="74">
        <v>29</v>
      </c>
      <c r="I26" s="74">
        <v>30</v>
      </c>
      <c r="J26" s="74">
        <v>31</v>
      </c>
      <c r="K26" s="74">
        <v>30</v>
      </c>
      <c r="L26" s="74">
        <v>30</v>
      </c>
      <c r="M26" s="74">
        <v>31</v>
      </c>
      <c r="N26" s="74">
        <v>31</v>
      </c>
      <c r="O26" s="74">
        <v>30</v>
      </c>
      <c r="P26" s="74">
        <v>31</v>
      </c>
      <c r="Q26" s="93">
        <v>29</v>
      </c>
      <c r="R26" s="74">
        <v>30</v>
      </c>
      <c r="S26" s="74">
        <v>29</v>
      </c>
      <c r="T26" s="74">
        <v>29</v>
      </c>
      <c r="U26" s="74">
        <v>31</v>
      </c>
      <c r="V26" s="74">
        <v>30</v>
      </c>
      <c r="W26" s="74">
        <v>31</v>
      </c>
      <c r="X26" s="74">
        <v>31</v>
      </c>
      <c r="Y26" s="74">
        <v>30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47" t="s" ph="1">
        <v>180</v>
      </c>
      <c r="D27" s="71">
        <v>86.5</v>
      </c>
      <c r="E27" s="71">
        <v>5.42</v>
      </c>
      <c r="F27" s="71">
        <v>2343</v>
      </c>
      <c r="G27" s="71">
        <v>2029</v>
      </c>
      <c r="H27" s="71">
        <v>2685</v>
      </c>
      <c r="I27" s="71">
        <v>4759</v>
      </c>
      <c r="J27" s="71">
        <v>5233</v>
      </c>
      <c r="K27" s="71">
        <v>645</v>
      </c>
      <c r="L27" s="71">
        <v>5615</v>
      </c>
      <c r="M27" s="71">
        <v>5413</v>
      </c>
      <c r="N27" s="71">
        <v>5536</v>
      </c>
      <c r="O27" s="71">
        <v>5598</v>
      </c>
      <c r="P27" s="71">
        <v>2155</v>
      </c>
      <c r="Q27" s="90">
        <v>4547</v>
      </c>
      <c r="R27" s="71">
        <v>203</v>
      </c>
      <c r="S27" s="71">
        <v>1225</v>
      </c>
      <c r="T27" s="71">
        <v>848</v>
      </c>
      <c r="U27" s="71">
        <v>5220</v>
      </c>
      <c r="V27" s="71">
        <v>3865</v>
      </c>
      <c r="W27" s="71">
        <v>1445</v>
      </c>
      <c r="X27" s="71">
        <v>1389</v>
      </c>
      <c r="Y27" s="71">
        <v>2169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47" t="s" ph="1">
        <v>178</v>
      </c>
      <c r="D28" s="91" ph="1">
        <f>D27*268.68*LOOKUP(D29,密度!$A$2:$A$50,密度!$Q$2:$Q$50)+IF(D27&lt;=0,0,1566*LOOKUP(D29,密度!$A$2:$A$50,密度!$Q$2:$Q$50))</f>
        <v>23485.608766800004</v>
      </c>
      <c r="E28" s="91" ph="1">
        <f>E27*268.68*LOOKUP(E29,密度!$A$2:$A$50,密度!$C$2:$C$50)+IF(E27&lt;=0,0,1566*LOOKUP(E29,密度!$A$2:$A$50,密度!$C$2:$C$50))</f>
        <v>3351.3681458399997</v>
      </c>
      <c r="F28" s="91" ph="1">
        <f>F27*11.702*LOOKUP(F29,密度!$A$2:$A$50,密度!$Q$2:$Q$50)</f>
        <v>25864.020067379999</v>
      </c>
      <c r="G28" s="91" ph="1">
        <f>G27*18.322*LOOKUP(G29,密度!$A$2:$A$50,密度!$B$2:$B$50)</f>
        <v>28822.039551399997</v>
      </c>
      <c r="H28" s="91" ph="1">
        <f>H27*18.322*LOOKUP(H29,密度!$A$2:$A$50,密度!$B$2:$B$50)</f>
        <v>38140.550121</v>
      </c>
      <c r="I28" s="91" ph="1">
        <f>I27*18.322*LOOKUP(I29,密度!$A$2:$A$50,密度!$Q$2:$Q$50)</f>
        <v>82187.695666839994</v>
      </c>
      <c r="J28" s="91" ph="1">
        <f>J27*18.322*LOOKUP(J29,密度!$A$2:$A$50,密度!$Q$2:$Q$50)</f>
        <v>90373.652327079995</v>
      </c>
      <c r="K28" s="91" ph="1">
        <f>K27*18.322*LOOKUP(K29,密度!$A$2:$A$50,密度!$Q$2:$Q$50)</f>
        <v>11147.981507699998</v>
      </c>
      <c r="L28" s="91" ph="1">
        <f>L27*18.322*LOOKUP(L29,密度!$A$2:$A$50,密度!$Q$2:$Q$50)</f>
        <v>96970.773517399997</v>
      </c>
      <c r="M28" s="91" ph="1">
        <f>M27*18.322*LOOKUP(M29,密度!$A$2:$A$50,密度!$Q$2:$Q$50)</f>
        <v>93482.24346387999</v>
      </c>
      <c r="N28" s="91" ph="1">
        <f>N27*18.322*LOOKUP(N29,密度!$A$2:$A$50,密度!$Q$2:$Q$50)</f>
        <v>95606.447407359985</v>
      </c>
      <c r="O28" s="91" ph="1">
        <f>O27*18.322*LOOKUP(O29,密度!$A$2:$A$50,密度!$C$2:$C$50)</f>
        <v>113346.30103559999</v>
      </c>
      <c r="P28" s="91" ph="1">
        <f>P27*11.702*LOOKUP(P29,密度!$A$2:$A$50,密度!$B$2:$B$50)</f>
        <v>19528.672064000002</v>
      </c>
      <c r="Q28" s="92" ph="1">
        <f>Q27*18.322*LOOKUP(Q29,密度!$A$2:$A$50,密度!$B$2:$B$50)</f>
        <v>64590.346890199995</v>
      </c>
      <c r="R28" s="91" ph="1">
        <f>R27*35.891*LOOKUP(R29,密度!$A$2:$A$50,密度!$C$2:$C$50)</f>
        <v>8051.6182522999998</v>
      </c>
      <c r="S28" s="91" ph="1">
        <f>S27*35.891*LOOKUP(S29,密度!$A$2:$A$50,密度!$B$2:$B$50)</f>
        <v>34047.63824</v>
      </c>
      <c r="T28" s="91" ph="1">
        <f>T27*35.891*LOOKUP(T29,密度!$A$2:$A$50,密度!$Q$2:$Q$50)</f>
        <v>28687.95768544</v>
      </c>
      <c r="U28" s="91" ph="1">
        <f>U27*35.891</f>
        <v>187351.02</v>
      </c>
      <c r="V28" s="91" ph="1">
        <f>V27*47.051*LOOKUP(V29,密度!$A$2:$A$50,密度!$B$2:$B$50)</f>
        <v>140826.277856</v>
      </c>
      <c r="W28" s="91" ph="1">
        <f>W27*47.051*LOOKUP(W29,密度!$A$2:$A$50,密度!$B$2:$B$50)</f>
        <v>52711.635233500005</v>
      </c>
      <c r="X28" s="91" ph="1">
        <f>X27*47.051*LOOKUP(X29,密度!$A$2:$A$50,密度!$I$2:$I$50)</f>
        <v>67674.553822889997</v>
      </c>
      <c r="Y28" s="91" ph="1">
        <f>Y27*47.051*LOOKUP(Y29,密度!$A$2:$A$50,密度!$L$2:$L$50)</f>
        <v>95113.972908000011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47" t="s" ph="1">
        <v>179</v>
      </c>
      <c r="D29" s="74">
        <v>25</v>
      </c>
      <c r="E29" s="74">
        <v>25</v>
      </c>
      <c r="F29" s="74">
        <v>30</v>
      </c>
      <c r="G29" s="74">
        <v>30</v>
      </c>
      <c r="H29" s="74">
        <v>30</v>
      </c>
      <c r="I29" s="74">
        <v>31</v>
      </c>
      <c r="J29" s="74">
        <v>31</v>
      </c>
      <c r="K29" s="74">
        <v>30</v>
      </c>
      <c r="L29" s="74">
        <v>31</v>
      </c>
      <c r="M29" s="74">
        <v>31</v>
      </c>
      <c r="N29" s="74">
        <v>31</v>
      </c>
      <c r="O29" s="74">
        <v>30</v>
      </c>
      <c r="P29" s="74">
        <v>31</v>
      </c>
      <c r="Q29" s="93">
        <v>30</v>
      </c>
      <c r="R29" s="74">
        <v>30</v>
      </c>
      <c r="S29" s="74">
        <v>31</v>
      </c>
      <c r="T29" s="74">
        <v>31</v>
      </c>
      <c r="U29" s="74">
        <v>30</v>
      </c>
      <c r="V29" s="74">
        <v>31</v>
      </c>
      <c r="W29" s="74">
        <v>30</v>
      </c>
      <c r="X29" s="74">
        <v>31</v>
      </c>
      <c r="Y29" s="74">
        <v>30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87839.889036400011</v>
      </c>
      <c r="E33" s="204" ph="1">
        <f>M10+I10</f>
        <v>100273.90578059999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08" ph="1">
        <v>0</v>
      </c>
      <c r="H33" s="204" ph="1">
        <f>N19</f>
        <v>13270.1868624</v>
      </c>
      <c r="I33" s="217" ph="1">
        <v>0</v>
      </c>
      <c r="J33" s="215" ph="1">
        <f>F10+O28</f>
        <v>351510.34828859998</v>
      </c>
      <c r="K33" s="204" ph="1">
        <f>O10+K10+E28+R28</f>
        <v>18078.51627054</v>
      </c>
      <c r="L33" s="219" ph="1">
        <f>BE27</f>
        <v>7100</v>
      </c>
      <c r="M33" s="215" ph="1">
        <f>G10+H10+W28+S28+V28+E10</f>
        <v>1295896.5451095002</v>
      </c>
      <c r="N33" s="204" ph="1">
        <f>L10+P10++G28+H28</f>
        <v>361662.39138839999</v>
      </c>
      <c r="O33" s="217" ph="1">
        <f>BE17</f>
        <v>2270</v>
      </c>
      <c r="P33" s="215" ph="1">
        <f>L19</f>
        <v>24329.515859376002</v>
      </c>
      <c r="Q33" s="204" ph="1">
        <f>J10+N10</f>
        <v>135563.01038684999</v>
      </c>
      <c r="R33" s="217" ph="1">
        <f>BE23</f>
        <v>890</v>
      </c>
      <c r="S33" s="215" ph="1">
        <f>E10+X28</f>
        <v>428816.83899289003</v>
      </c>
      <c r="T33" s="204" ph="1">
        <f>X19</f>
        <v>17743.875410879999</v>
      </c>
      <c r="U33" s="225" ph="1">
        <f>BE21</f>
        <v>730</v>
      </c>
      <c r="V33" s="236" ph="1">
        <f ca="1">P19+Q19+S19+M28+N28+J28</f>
        <v>430891.37717989006</v>
      </c>
      <c r="W33" s="236" ph="1">
        <f>D28+F28+V19+T28</f>
        <v>90538.460291020005</v>
      </c>
      <c r="X33" s="217" ph="1">
        <f>BE29+BE31</f>
        <v>10200</v>
      </c>
      <c r="Y33" s="238" ph="1">
        <f>+Q10+R10+S10+T10+U10+V10+W10+X10+Y10</f>
        <v>154130.93609759997</v>
      </c>
      <c r="Z33" s="223" ph="1">
        <f>D10+T19+U19+Y28+Z10</f>
        <v>335604.40919527801</v>
      </c>
      <c r="AA33" s="225" ph="1">
        <f>BE19</f>
        <v>1440</v>
      </c>
      <c r="AB33" s="227" ph="1">
        <f>I19</f>
        <v>23741.512996000001</v>
      </c>
      <c r="AC33" s="229" ph="1">
        <f>AD10</f>
        <v>92038.517424000005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49" t="s" ph="1">
        <v>185</v>
      </c>
      <c r="AA36" s="149" ph="1"/>
      <c r="AB36" s="222" t="s" ph="1">
        <v>641</v>
      </c>
      <c r="AC36" s="222" ph="1"/>
      <c r="AD36" s="222" ph="1"/>
      <c r="AE36" s="22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342</v>
      </c>
      <c r="AI37" s="149" t="s" ph="1">
        <v>209</v>
      </c>
      <c r="AJ37" s="149" t="s" ph="1">
        <v>210</v>
      </c>
      <c r="AK37" s="149" t="s" ph="1">
        <v>211</v>
      </c>
      <c r="AM37" s="149" t="s" ph="1">
        <v>210</v>
      </c>
      <c r="AN37" s="149" t="s" ph="1">
        <v>211</v>
      </c>
      <c r="AO37" s="149" t="s" ph="1">
        <v>212</v>
      </c>
      <c r="AP37" s="149" t="s" ph="1">
        <v>210</v>
      </c>
      <c r="AQ37" s="149" t="s" ph="1">
        <v>211</v>
      </c>
      <c r="AR37" s="149" t="s" ph="1">
        <v>212</v>
      </c>
      <c r="AS37" s="149" t="s" ph="1">
        <v>210</v>
      </c>
      <c r="AT37" s="149" t="s" ph="1">
        <v>211</v>
      </c>
      <c r="AU37" s="149" t="s" ph="1">
        <v>212</v>
      </c>
      <c r="AV37" s="149" t="s" ph="1">
        <v>210</v>
      </c>
      <c r="AW37" s="149" t="s" ph="1">
        <v>211</v>
      </c>
      <c r="AX37" s="149" t="s" ph="1">
        <v>212</v>
      </c>
      <c r="AY37" s="149" t="s" ph="1">
        <v>211</v>
      </c>
      <c r="AZ37" s="149" t="s" ph="1">
        <v>213</v>
      </c>
      <c r="BD37" s="149" t="s" ph="1">
        <v>305</v>
      </c>
      <c r="BE37" s="14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79" priority="98">
      <formula>ABS(D$7-D$10)&gt;=1000</formula>
    </cfRule>
  </conditionalFormatting>
  <conditionalFormatting sqref="E4 E6:E11">
    <cfRule type="expression" dxfId="1278" priority="97">
      <formula>ABS(E$7-E$10)&gt;=1000</formula>
    </cfRule>
  </conditionalFormatting>
  <conditionalFormatting sqref="F4:F11">
    <cfRule type="expression" dxfId="1277" priority="96">
      <formula>ABS(F$7-F$10)&gt;=1000</formula>
    </cfRule>
  </conditionalFormatting>
  <conditionalFormatting sqref="G4:G11">
    <cfRule type="expression" dxfId="1276" priority="95">
      <formula>ABS(G$7-G$10)&gt;=1000</formula>
    </cfRule>
  </conditionalFormatting>
  <conditionalFormatting sqref="H4:H11">
    <cfRule type="expression" dxfId="1275" priority="94">
      <formula>ABS(H$7-H$10)&gt;=1000</formula>
    </cfRule>
  </conditionalFormatting>
  <conditionalFormatting sqref="I4:I11">
    <cfRule type="expression" dxfId="1274" priority="93">
      <formula>ABS(I$7-I$10)&gt;=1000</formula>
    </cfRule>
  </conditionalFormatting>
  <conditionalFormatting sqref="J4:J11">
    <cfRule type="expression" dxfId="1273" priority="92">
      <formula>ABS(J$7-J$10)&gt;=1000</formula>
    </cfRule>
  </conditionalFormatting>
  <conditionalFormatting sqref="K4:K11">
    <cfRule type="expression" dxfId="1272" priority="91">
      <formula>ABS(K$7-K$10)&gt;=1000</formula>
    </cfRule>
  </conditionalFormatting>
  <conditionalFormatting sqref="L4:L11">
    <cfRule type="expression" dxfId="1271" priority="90">
      <formula>ABS(L$7-L$10)&gt;=1000</formula>
    </cfRule>
  </conditionalFormatting>
  <conditionalFormatting sqref="M4 M6:M11">
    <cfRule type="expression" dxfId="1270" priority="89">
      <formula>ABS(M$7-M$10)&gt;=1000</formula>
    </cfRule>
  </conditionalFormatting>
  <conditionalFormatting sqref="N4 N6:N11">
    <cfRule type="expression" dxfId="1269" priority="88">
      <formula>ABS(N$7-N$10)&gt;=1000</formula>
    </cfRule>
  </conditionalFormatting>
  <conditionalFormatting sqref="O4 O6:O11">
    <cfRule type="expression" dxfId="1268" priority="87">
      <formula>ABS(O$7-O$10)&gt;=1000</formula>
    </cfRule>
  </conditionalFormatting>
  <conditionalFormatting sqref="P4 P6:P11">
    <cfRule type="expression" dxfId="1267" priority="86">
      <formula>ABS(P$7-P$10)&gt;=1000</formula>
    </cfRule>
  </conditionalFormatting>
  <conditionalFormatting sqref="Q4:Q11">
    <cfRule type="expression" dxfId="1266" priority="85">
      <formula>ABS(Q$7-Q$10)&gt;=1000</formula>
    </cfRule>
  </conditionalFormatting>
  <conditionalFormatting sqref="R4:R11">
    <cfRule type="expression" dxfId="1265" priority="84">
      <formula>ABS(R$7-R$10)&gt;=1000</formula>
    </cfRule>
  </conditionalFormatting>
  <conditionalFormatting sqref="S4:S11">
    <cfRule type="expression" dxfId="1264" priority="83">
      <formula>ABS(S$7-S$10)&gt;=1000</formula>
    </cfRule>
  </conditionalFormatting>
  <conditionalFormatting sqref="T4:T9 T11">
    <cfRule type="expression" dxfId="1263" priority="82">
      <formula>ABS(T$7-T$10)&gt;=1000</formula>
    </cfRule>
  </conditionalFormatting>
  <conditionalFormatting sqref="U4:U9 U11">
    <cfRule type="expression" dxfId="1262" priority="81">
      <formula>ABS(U$7-U$10)&gt;=1000</formula>
    </cfRule>
  </conditionalFormatting>
  <conditionalFormatting sqref="V4:V9 V11">
    <cfRule type="expression" dxfId="1261" priority="80">
      <formula>ABS(V$7-V$10)&gt;=1000</formula>
    </cfRule>
  </conditionalFormatting>
  <conditionalFormatting sqref="W4:W9 W11">
    <cfRule type="expression" dxfId="1260" priority="79">
      <formula>ABS(W$7-W$10)&gt;=1000</formula>
    </cfRule>
  </conditionalFormatting>
  <conditionalFormatting sqref="X4:X9 X11">
    <cfRule type="expression" dxfId="1259" priority="78">
      <formula>ABS(X$7-X$10)&gt;=1000</formula>
    </cfRule>
  </conditionalFormatting>
  <conditionalFormatting sqref="Y4:Y9 Y11">
    <cfRule type="expression" dxfId="1258" priority="77">
      <formula>ABS(Y$7-Y$10)&gt;=1000</formula>
    </cfRule>
  </conditionalFormatting>
  <conditionalFormatting sqref="Z4:Z11">
    <cfRule type="expression" dxfId="1257" priority="76">
      <formula>ABS(Z$7-Z$10)&gt;=1000</formula>
    </cfRule>
  </conditionalFormatting>
  <conditionalFormatting sqref="AA4:AA11">
    <cfRule type="expression" dxfId="1256" priority="75">
      <formula>ABS(AA$7-AA$10)&gt;=1000</formula>
    </cfRule>
  </conditionalFormatting>
  <conditionalFormatting sqref="AB4:AB11">
    <cfRule type="expression" dxfId="1255" priority="74">
      <formula>ABS(AB$7-AB$10)&gt;=1000</formula>
    </cfRule>
  </conditionalFormatting>
  <conditionalFormatting sqref="AC4 AC6:AC11">
    <cfRule type="expression" dxfId="1254" priority="73">
      <formula>ABS(AC$7-AC$10)&gt;=1000</formula>
    </cfRule>
  </conditionalFormatting>
  <conditionalFormatting sqref="AD4:AD11">
    <cfRule type="expression" dxfId="1253" priority="72">
      <formula>ABS(AD$7-AD$10)&gt;=1000</formula>
    </cfRule>
  </conditionalFormatting>
  <conditionalFormatting sqref="AE4 AE6:AE11">
    <cfRule type="expression" dxfId="1252" priority="71">
      <formula>ABS(AE$7-AE$10)&gt;=1000</formula>
    </cfRule>
  </conditionalFormatting>
  <conditionalFormatting sqref="D13:D20">
    <cfRule type="expression" dxfId="1251" priority="70">
      <formula>ABS(D$16-D$19)&gt;=1000</formula>
    </cfRule>
  </conditionalFormatting>
  <conditionalFormatting sqref="E13:E20">
    <cfRule type="expression" dxfId="1250" priority="69">
      <formula>ABS(E$16-E$19)&gt;=1000</formula>
    </cfRule>
  </conditionalFormatting>
  <conditionalFormatting sqref="F13 F15:F20">
    <cfRule type="expression" dxfId="1249" priority="68">
      <formula>ABS(F$16-F$19)&gt;=1000</formula>
    </cfRule>
  </conditionalFormatting>
  <conditionalFormatting sqref="G13:G20">
    <cfRule type="expression" dxfId="1248" priority="67">
      <formula>ABS(G$16-G$19)&gt;=1000</formula>
    </cfRule>
  </conditionalFormatting>
  <conditionalFormatting sqref="H13:H20">
    <cfRule type="expression" dxfId="1247" priority="66">
      <formula>ABS(H$16-H$19)&gt;=1000</formula>
    </cfRule>
  </conditionalFormatting>
  <conditionalFormatting sqref="I13:I20">
    <cfRule type="expression" dxfId="1246" priority="65">
      <formula>ABS(I$16-I$19)&gt;=1000</formula>
    </cfRule>
  </conditionalFormatting>
  <conditionalFormatting sqref="J13:J20">
    <cfRule type="expression" dxfId="1245" priority="64">
      <formula>ABS(J$16-J$19)&gt;=1000</formula>
    </cfRule>
  </conditionalFormatting>
  <conditionalFormatting sqref="L13:L20">
    <cfRule type="expression" dxfId="1244" priority="63">
      <formula>ABS(L$16-L$19)&gt;=1000</formula>
    </cfRule>
  </conditionalFormatting>
  <conditionalFormatting sqref="M13 M15 M17:M18 M20">
    <cfRule type="expression" dxfId="1243" priority="62">
      <formula>ABS(M$16-M$19)&gt;=1000</formula>
    </cfRule>
  </conditionalFormatting>
  <conditionalFormatting sqref="N13:N20">
    <cfRule type="expression" dxfId="1242" priority="61">
      <formula>ABS(N$16-N$19)&gt;=1000</formula>
    </cfRule>
  </conditionalFormatting>
  <conditionalFormatting sqref="O13:O20">
    <cfRule type="expression" dxfId="1241" priority="60">
      <formula>ABS(O$16-O$19)&gt;=1000</formula>
    </cfRule>
  </conditionalFormatting>
  <conditionalFormatting sqref="P13:P20">
    <cfRule type="expression" dxfId="1240" priority="59">
      <formula>ABS(P$16-P$19)&gt;=1000</formula>
    </cfRule>
  </conditionalFormatting>
  <conditionalFormatting sqref="Q13 Q15:Q20">
    <cfRule type="expression" dxfId="1239" priority="58">
      <formula>ABS(Q$16-Q$19)&gt;=1000</formula>
    </cfRule>
  </conditionalFormatting>
  <conditionalFormatting sqref="R13:R20">
    <cfRule type="expression" dxfId="1238" priority="57">
      <formula>ABS(R$16-R$19)&gt;=1000</formula>
    </cfRule>
  </conditionalFormatting>
  <conditionalFormatting sqref="S13:S20">
    <cfRule type="expression" dxfId="1237" priority="56">
      <formula>ABS(S$16-S$19)&gt;=1000</formula>
    </cfRule>
  </conditionalFormatting>
  <conditionalFormatting sqref="T13:T20">
    <cfRule type="expression" dxfId="1236" priority="55">
      <formula>ABS(T$16-T$19)&gt;=1000</formula>
    </cfRule>
  </conditionalFormatting>
  <conditionalFormatting sqref="U13:U20">
    <cfRule type="expression" dxfId="1235" priority="54">
      <formula>ABS(U$16-U$19)&gt;=1000</formula>
    </cfRule>
  </conditionalFormatting>
  <conditionalFormatting sqref="V13:V20">
    <cfRule type="expression" dxfId="1234" priority="53">
      <formula>ABS(V$16-V$19)&gt;=1000</formula>
    </cfRule>
  </conditionalFormatting>
  <conditionalFormatting sqref="W13 W20 W15:W18">
    <cfRule type="expression" dxfId="1233" priority="52">
      <formula>ABS(W$16-W$19)&gt;=1000</formula>
    </cfRule>
  </conditionalFormatting>
  <conditionalFormatting sqref="X13 X15:X20 Y19">
    <cfRule type="expression" dxfId="1232" priority="51">
      <formula>ABS(X$16-X$19)&gt;=1000</formula>
    </cfRule>
  </conditionalFormatting>
  <conditionalFormatting sqref="Y13 Y15:Y18 Y20">
    <cfRule type="expression" dxfId="1231" priority="50">
      <formula>ABS(Y$16-Y$19)&gt;=1000</formula>
    </cfRule>
  </conditionalFormatting>
  <conditionalFormatting sqref="Z13:Z20">
    <cfRule type="expression" dxfId="1230" priority="49">
      <formula>ABS(Z$16-Z$19)&gt;=1000</formula>
    </cfRule>
  </conditionalFormatting>
  <conditionalFormatting sqref="AA13:AA20">
    <cfRule type="expression" dxfId="1229" priority="48">
      <formula>ABS(AA$16-AA$19)&gt;=1000</formula>
    </cfRule>
  </conditionalFormatting>
  <conditionalFormatting sqref="AB13 AB15:AB20">
    <cfRule type="expression" dxfId="1228" priority="47">
      <formula>ABS(AB$16-AB$19)&gt;=1000</formula>
    </cfRule>
  </conditionalFormatting>
  <conditionalFormatting sqref="AC13 AC15:AC20">
    <cfRule type="expression" dxfId="1227" priority="46">
      <formula>ABS(AC$16-AC$19)&gt;=1000</formula>
    </cfRule>
  </conditionalFormatting>
  <conditionalFormatting sqref="AD13:AD20">
    <cfRule type="expression" dxfId="1226" priority="45">
      <formula>ABS(AD$16-AD$19)&gt;=1000</formula>
    </cfRule>
  </conditionalFormatting>
  <conditionalFormatting sqref="AE13:AE20">
    <cfRule type="expression" dxfId="1225" priority="44">
      <formula>ABS(AE$16-AE$19)&gt;=1000</formula>
    </cfRule>
  </conditionalFormatting>
  <conditionalFormatting sqref="D22:D29">
    <cfRule type="expression" dxfId="1224" priority="43">
      <formula>ABS(D$25-D$28)&gt;=1000</formula>
    </cfRule>
  </conditionalFormatting>
  <conditionalFormatting sqref="E22:E29">
    <cfRule type="expression" dxfId="1223" priority="42">
      <formula>ABS(E$25-E$28)&gt;=1000</formula>
    </cfRule>
  </conditionalFormatting>
  <conditionalFormatting sqref="F22:F29">
    <cfRule type="expression" dxfId="1222" priority="41">
      <formula>ABS(F$25-F$28)&gt;=1000</formula>
    </cfRule>
  </conditionalFormatting>
  <conditionalFormatting sqref="G22:G29">
    <cfRule type="expression" dxfId="1221" priority="40">
      <formula>ABS(G$25-G$28)&gt;=1000</formula>
    </cfRule>
  </conditionalFormatting>
  <conditionalFormatting sqref="H22:H29">
    <cfRule type="expression" dxfId="1220" priority="39">
      <formula>ABS(H$25-H$28)&gt;=1000</formula>
    </cfRule>
  </conditionalFormatting>
  <conditionalFormatting sqref="I22 I24:I29">
    <cfRule type="expression" dxfId="1219" priority="38">
      <formula>ABS(I$25-I$28)&gt;=1000</formula>
    </cfRule>
  </conditionalFormatting>
  <conditionalFormatting sqref="J22:J29 K22">
    <cfRule type="expression" dxfId="1218" priority="37">
      <formula>ABS(J$25-J$28)&gt;=1000</formula>
    </cfRule>
  </conditionalFormatting>
  <conditionalFormatting sqref="K23:K29 L25 L28">
    <cfRule type="expression" dxfId="1217" priority="36">
      <formula>ABS(K$25-K$28)&gt;=1000</formula>
    </cfRule>
  </conditionalFormatting>
  <conditionalFormatting sqref="L22 L26:L27 L29 L24">
    <cfRule type="expression" dxfId="1216" priority="35">
      <formula>ABS(L$25-L$28)&gt;=1000</formula>
    </cfRule>
  </conditionalFormatting>
  <conditionalFormatting sqref="M22:M29">
    <cfRule type="expression" dxfId="1215" priority="34">
      <formula>ABS(M$25-M$28)&gt;=1000</formula>
    </cfRule>
  </conditionalFormatting>
  <conditionalFormatting sqref="N22:N29">
    <cfRule type="expression" dxfId="1214" priority="33">
      <formula>ABS(N$25-N$28)&gt;=1000</formula>
    </cfRule>
  </conditionalFormatting>
  <conditionalFormatting sqref="O22:O29">
    <cfRule type="expression" dxfId="1213" priority="32">
      <formula>ABS(O$25-O$28)&gt;=1000</formula>
    </cfRule>
  </conditionalFormatting>
  <conditionalFormatting sqref="P22:P29">
    <cfRule type="expression" dxfId="1212" priority="31">
      <formula>ABS(P$25-P$28)&gt;=1000</formula>
    </cfRule>
  </conditionalFormatting>
  <conditionalFormatting sqref="Q22:Q29">
    <cfRule type="expression" dxfId="1211" priority="30">
      <formula>ABS(Q$25-Q$28)&gt;=1000</formula>
    </cfRule>
  </conditionalFormatting>
  <conditionalFormatting sqref="R22:R29">
    <cfRule type="expression" dxfId="1210" priority="29">
      <formula>ABS(R$25-R$28)&gt;=1000</formula>
    </cfRule>
  </conditionalFormatting>
  <conditionalFormatting sqref="S22:S29">
    <cfRule type="expression" dxfId="1209" priority="28">
      <formula>ABS(S$25-S$28)&gt;=1000</formula>
    </cfRule>
  </conditionalFormatting>
  <conditionalFormatting sqref="T22:T29">
    <cfRule type="expression" dxfId="1208" priority="27">
      <formula>ABS(T$25-T$28)&gt;=1000</formula>
    </cfRule>
  </conditionalFormatting>
  <conditionalFormatting sqref="U22:U29">
    <cfRule type="expression" dxfId="1207" priority="26">
      <formula>ABS(U$25-U$28)&gt;=1000</formula>
    </cfRule>
  </conditionalFormatting>
  <conditionalFormatting sqref="V22:V29">
    <cfRule type="expression" dxfId="1206" priority="25">
      <formula>ABS(V$25-V$28)&gt;=1000</formula>
    </cfRule>
  </conditionalFormatting>
  <conditionalFormatting sqref="W22:W29">
    <cfRule type="expression" dxfId="1205" priority="24">
      <formula>ABS(W$25-W$28)&gt;=1000</formula>
    </cfRule>
  </conditionalFormatting>
  <conditionalFormatting sqref="X22:X29">
    <cfRule type="expression" dxfId="1204" priority="23">
      <formula>ABS(X$25-X$28)&gt;=1000</formula>
    </cfRule>
  </conditionalFormatting>
  <conditionalFormatting sqref="Y22:Y29">
    <cfRule type="expression" dxfId="1203" priority="22">
      <formula>ABS(Y$25-Y$28)&gt;=1000</formula>
    </cfRule>
  </conditionalFormatting>
  <conditionalFormatting sqref="I23">
    <cfRule type="expression" dxfId="1202" priority="21">
      <formula>ABS(I$25-I$28)&gt;=1000</formula>
    </cfRule>
  </conditionalFormatting>
  <conditionalFormatting sqref="Q14">
    <cfRule type="expression" dxfId="1201" priority="20">
      <formula>ABS(Q$16-Q$19)&gt;=1000</formula>
    </cfRule>
  </conditionalFormatting>
  <conditionalFormatting sqref="W14">
    <cfRule type="expression" dxfId="1200" priority="19">
      <formula>ABS(W$16-W$19)&gt;=1000</formula>
    </cfRule>
  </conditionalFormatting>
  <conditionalFormatting sqref="Y14">
    <cfRule type="expression" dxfId="1199" priority="18">
      <formula>ABS(Y$16-Y$19)&gt;=1000</formula>
    </cfRule>
  </conditionalFormatting>
  <conditionalFormatting sqref="X14">
    <cfRule type="expression" dxfId="1198" priority="17">
      <formula>ABS(X$16-X$19)&gt;=1000</formula>
    </cfRule>
  </conditionalFormatting>
  <conditionalFormatting sqref="T10:Y10">
    <cfRule type="expression" dxfId="1197" priority="16">
      <formula>ABS(T$7-T$10)&gt;=1000</formula>
    </cfRule>
  </conditionalFormatting>
  <conditionalFormatting sqref="W19">
    <cfRule type="expression" dxfId="1196" priority="15">
      <formula>ABS(W$16-W$19)&gt;=1000</formula>
    </cfRule>
  </conditionalFormatting>
  <conditionalFormatting sqref="AC5">
    <cfRule type="expression" dxfId="1195" priority="14">
      <formula>ABS(AC$7-AC$10)&gt;=1000</formula>
    </cfRule>
  </conditionalFormatting>
  <conditionalFormatting sqref="M14">
    <cfRule type="expression" dxfId="1194" priority="13">
      <formula>ABS(M$16-M$19)&gt;=1000</formula>
    </cfRule>
  </conditionalFormatting>
  <conditionalFormatting sqref="M16">
    <cfRule type="expression" dxfId="1193" priority="12">
      <formula>ABS(M$16-M$19)&gt;=1000</formula>
    </cfRule>
  </conditionalFormatting>
  <conditionalFormatting sqref="M19">
    <cfRule type="expression" dxfId="1192" priority="11">
      <formula>ABS(M$16-M$19)&gt;=1000</formula>
    </cfRule>
  </conditionalFormatting>
  <conditionalFormatting sqref="K13:K20">
    <cfRule type="expression" dxfId="1191" priority="10">
      <formula>ABS(K$16-K$19)&gt;=1000</formula>
    </cfRule>
  </conditionalFormatting>
  <conditionalFormatting sqref="E5">
    <cfRule type="expression" dxfId="1190" priority="9">
      <formula>ABS(E$7-E$10)&gt;=1000</formula>
    </cfRule>
  </conditionalFormatting>
  <conditionalFormatting sqref="AB14:AC14">
    <cfRule type="expression" dxfId="1189" priority="8">
      <formula>ABS(AB$16-AB$19)&gt;=1000</formula>
    </cfRule>
  </conditionalFormatting>
  <conditionalFormatting sqref="M5">
    <cfRule type="expression" dxfId="1188" priority="7">
      <formula>ABS(M$7-M$10)&gt;=1000</formula>
    </cfRule>
  </conditionalFormatting>
  <conditionalFormatting sqref="N5">
    <cfRule type="expression" dxfId="1187" priority="6">
      <formula>ABS(N$7-N$10)&gt;=1000</formula>
    </cfRule>
  </conditionalFormatting>
  <conditionalFormatting sqref="O5">
    <cfRule type="expression" dxfId="1186" priority="5">
      <formula>ABS(O$7-O$10)&gt;=1000</formula>
    </cfRule>
  </conditionalFormatting>
  <conditionalFormatting sqref="P5">
    <cfRule type="expression" dxfId="1185" priority="4">
      <formula>ABS(P$7-P$10)&gt;=1000</formula>
    </cfRule>
  </conditionalFormatting>
  <conditionalFormatting sqref="L23">
    <cfRule type="expression" dxfId="1184" priority="3">
      <formula>ABS(L$25-L$28)&gt;=1000</formula>
    </cfRule>
  </conditionalFormatting>
  <conditionalFormatting sqref="F14">
    <cfRule type="expression" dxfId="1183" priority="2">
      <formula>ABS(F$16-F$19)&gt;=1000</formula>
    </cfRule>
  </conditionalFormatting>
  <conditionalFormatting sqref="AE5">
    <cfRule type="expression" dxfId="1182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1324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25">
    <pageSetUpPr fitToPage="1"/>
  </sheetPr>
  <dimension ref="A1:CU223"/>
  <sheetViews>
    <sheetView view="pageBreakPreview" topLeftCell="A4" zoomScale="80" zoomScaleNormal="100" zoomScaleSheetLayoutView="80" workbookViewId="0">
      <selection activeCell="D4" sqref="D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45917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47" t="s" ph="1">
        <v>177</v>
      </c>
      <c r="D6" s="71">
        <v>3491</v>
      </c>
      <c r="E6" s="71">
        <v>9070</v>
      </c>
      <c r="F6" s="71">
        <v>6486</v>
      </c>
      <c r="G6" s="71">
        <v>8796</v>
      </c>
      <c r="H6" s="71">
        <v>8936</v>
      </c>
      <c r="I6" s="71">
        <v>18.05</v>
      </c>
      <c r="J6" s="71">
        <v>6.99</v>
      </c>
      <c r="K6" s="71">
        <v>7.08</v>
      </c>
      <c r="L6" s="71">
        <v>29.9</v>
      </c>
      <c r="M6" s="71">
        <v>2804</v>
      </c>
      <c r="N6" s="71">
        <v>5195</v>
      </c>
      <c r="O6" s="71">
        <v>195</v>
      </c>
      <c r="P6" s="71">
        <v>6865</v>
      </c>
      <c r="Q6" s="71">
        <v>0</v>
      </c>
      <c r="R6" s="71">
        <v>1337</v>
      </c>
      <c r="S6" s="71">
        <v>7009</v>
      </c>
      <c r="T6" s="71">
        <v>4918</v>
      </c>
      <c r="U6" s="71">
        <v>5387</v>
      </c>
      <c r="V6" s="71">
        <v>0</v>
      </c>
      <c r="W6" s="71">
        <v>0</v>
      </c>
      <c r="X6" s="71">
        <v>0</v>
      </c>
      <c r="Y6" s="71">
        <v>0</v>
      </c>
      <c r="Z6" s="71">
        <v>3431</v>
      </c>
      <c r="AA6" s="71">
        <v>970</v>
      </c>
      <c r="AB6" s="71">
        <v>2624</v>
      </c>
      <c r="AC6" s="71">
        <v>1665</v>
      </c>
      <c r="AD6" s="71">
        <v>4653</v>
      </c>
      <c r="AE6" s="71">
        <v>3775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109111.4413407</v>
      </c>
      <c r="E7" s="73" ph="1">
        <f>E6*51.53*LOOKUP(E8,密度!$A$2:$A$50,密度!$B$2:$B$50)</f>
        <v>361936.82624000002</v>
      </c>
      <c r="F7" s="73" ph="1">
        <f>F6*33.183*LOOKUP(F8,密度!$A$2:$A$50,密度!$C$2:$C$50)</f>
        <v>238167.9163908</v>
      </c>
      <c r="G7" s="73" ph="1">
        <f xml:space="preserve"> (G6+2)*51.53*LOOKUP(G8,密度!$A$2:$A$50,密度!$B$2:$B$50)</f>
        <v>351490.73678199999</v>
      </c>
      <c r="H7" s="73" ph="1">
        <f>(H6)*51.53*LOOKUP(H8,密度!$A$2:$A$50,密度!$B$2:$B$50)</f>
        <v>357004.003624</v>
      </c>
      <c r="I7" s="73" ph="1">
        <f>I6*290.8*1.0267</f>
        <v>5389.0866980000001</v>
      </c>
      <c r="J7" s="73" ph="1">
        <f>J6*290.8*0.7892</f>
        <v>1604.2005264000002</v>
      </c>
      <c r="K7" s="73" ph="1">
        <f>K6*290.8*1.1126</f>
        <v>2290.6920863999999</v>
      </c>
      <c r="L7" s="73" ph="1">
        <f>L6*290.8*0.777</f>
        <v>6755.9528399999999</v>
      </c>
      <c r="M7" s="73" ph="1">
        <f>M6*33.183*LOOKUP(M8,密度!$A$2:$A$50,密度!$D$2:$D$50)</f>
        <v>95008.384285199994</v>
      </c>
      <c r="N7" s="73" ph="1">
        <f>N6*33.183*LOOKUP(N8,密度!$A$2:$A$50,密度!$E$2:$E$50)</f>
        <v>133848.86511824999</v>
      </c>
      <c r="O7" s="73" ph="1">
        <f>O6*20.428*LOOKUP(O8,密度!$A$2:$A$50,密度!$C$2:$C$50)</f>
        <v>4402.1216459999996</v>
      </c>
      <c r="P7" s="73" ph="1">
        <f>P6*51.53*LOOKUP(P8,密度!$A$2:$A$50,密度!$B$2:$B$50)</f>
        <v>274583.42788999999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8779.7172078000003</v>
      </c>
      <c r="S7" s="73" ph="1">
        <f>S6*1.5*1.5*3.1416*LOOKUP(S8,密度!$A$2:$A$50,密度!$L$2:$L$50)</f>
        <v>46472.100721199997</v>
      </c>
      <c r="T7" s="73" ph="1">
        <f>T6*1.5*1.5*3.1416*LOOKUP(T8,密度!$A$2:$A$50,密度!$L$2:$L$50)</f>
        <v>32642.808937199996</v>
      </c>
      <c r="U7" s="73" ph="1">
        <f>U6*1.5*1.5*3.1416*LOOKUP(U8,密度!$A$2:$A$50,密度!$L$2:$L$50)</f>
        <v>35603.442566999998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106450.566255</v>
      </c>
      <c r="AA7" s="73" ph="1">
        <f>AA6*33.183*LOOKUP(AA8,密度!$A$2:$A$50,密度!$D$2:$D$50)</f>
        <v>32956.791489000003</v>
      </c>
      <c r="AB7" s="73" ph="1">
        <f>AB6*20.428*LOOKUP(AB8,密度!$A$2:$A$50,密度!$D$2:$D$50)</f>
        <v>55034.274022400001</v>
      </c>
      <c r="AC7" s="73" ph="1">
        <f>AC6*51.53*LOOKUP(AC8,密度!$A$2:$A$50,密度!$Q$2:$Q$50)</f>
        <v>81166.961623499999</v>
      </c>
      <c r="AD7" s="73" ph="1">
        <f>AD6*20.428*LOOKUP(AD8,密度!$A$2:$A$50,密度!$V$2:$V$50)</f>
        <v>91021.301078399993</v>
      </c>
      <c r="AE7" s="73" ph="1">
        <f>AE6*20.428</f>
        <v>77115.7</v>
      </c>
    </row>
    <row r="8" spans="1:99" ph="1">
      <c r="B8" s="182" ph="1"/>
      <c r="C8" s="68" t="s" ph="1">
        <v>179</v>
      </c>
      <c r="D8" s="74">
        <v>32</v>
      </c>
      <c r="E8" s="74">
        <v>31</v>
      </c>
      <c r="F8" s="74">
        <v>28</v>
      </c>
      <c r="G8" s="74">
        <v>30</v>
      </c>
      <c r="H8" s="74">
        <v>30</v>
      </c>
      <c r="I8" s="74">
        <v>25</v>
      </c>
      <c r="J8" s="74">
        <v>25</v>
      </c>
      <c r="K8" s="74">
        <v>25</v>
      </c>
      <c r="L8" s="74">
        <v>25</v>
      </c>
      <c r="M8" s="74">
        <v>31</v>
      </c>
      <c r="N8" s="74">
        <v>31</v>
      </c>
      <c r="O8" s="74">
        <v>30</v>
      </c>
      <c r="P8" s="74">
        <v>29</v>
      </c>
      <c r="Q8" s="74">
        <v>28</v>
      </c>
      <c r="R8" s="74">
        <v>33</v>
      </c>
      <c r="S8" s="74">
        <v>24</v>
      </c>
      <c r="T8" s="74">
        <v>23</v>
      </c>
      <c r="U8" s="74">
        <v>27</v>
      </c>
      <c r="V8" s="74">
        <v>28</v>
      </c>
      <c r="W8" s="74">
        <v>28</v>
      </c>
      <c r="X8" s="74">
        <v>19</v>
      </c>
      <c r="Y8" s="74">
        <v>28</v>
      </c>
      <c r="Z8" s="74">
        <v>27</v>
      </c>
      <c r="AA8" s="74">
        <v>28</v>
      </c>
      <c r="AB8" s="74">
        <v>25</v>
      </c>
      <c r="AC8" s="74">
        <v>26</v>
      </c>
      <c r="AD8" s="74">
        <v>29</v>
      </c>
      <c r="AE8" s="74">
        <v>32</v>
      </c>
    </row>
    <row r="9" spans="1:99" ht="26.4" ph="1">
      <c r="B9" s="182" ph="1">
        <v>0.66666666666666663</v>
      </c>
      <c r="C9" s="147" t="s" ph="1">
        <v>180</v>
      </c>
      <c r="D9" s="71">
        <v>3786</v>
      </c>
      <c r="E9" s="71">
        <v>9070</v>
      </c>
      <c r="F9" s="71">
        <v>6275</v>
      </c>
      <c r="G9" s="71">
        <v>8427</v>
      </c>
      <c r="H9" s="71">
        <v>8943</v>
      </c>
      <c r="I9" s="71">
        <v>18.02</v>
      </c>
      <c r="J9" s="71">
        <v>7.02</v>
      </c>
      <c r="K9" s="71">
        <v>31.37</v>
      </c>
      <c r="L9" s="71">
        <v>8.39</v>
      </c>
      <c r="M9" s="71">
        <v>2302</v>
      </c>
      <c r="N9" s="71">
        <v>5200</v>
      </c>
      <c r="O9" s="71">
        <v>195</v>
      </c>
      <c r="P9" s="71">
        <v>6576</v>
      </c>
      <c r="Q9" s="71">
        <v>0</v>
      </c>
      <c r="R9" s="71">
        <v>0</v>
      </c>
      <c r="S9" s="71">
        <v>3851</v>
      </c>
      <c r="T9" s="71">
        <v>7163</v>
      </c>
      <c r="U9" s="71">
        <v>5489</v>
      </c>
      <c r="V9" s="71">
        <v>0</v>
      </c>
      <c r="W9" s="71">
        <v>0</v>
      </c>
      <c r="X9" s="71">
        <v>0</v>
      </c>
      <c r="Y9" s="71">
        <v>0</v>
      </c>
      <c r="Z9" s="71">
        <v>4421</v>
      </c>
      <c r="AA9" s="71">
        <v>875</v>
      </c>
      <c r="AB9" s="71">
        <v>2609</v>
      </c>
      <c r="AC9" s="71">
        <v>1396</v>
      </c>
      <c r="AD9" s="71">
        <v>4685</v>
      </c>
      <c r="AE9" s="71">
        <v>3640</v>
      </c>
    </row>
    <row r="10" spans="1:99" s="72" customFormat="1" ht="22.2" ph="1">
      <c r="B10" s="182" ph="1"/>
      <c r="C10" s="147" t="s" ph="1">
        <v>178</v>
      </c>
      <c r="D10" s="73" ph="1">
        <f>D9*33.183*LOOKUP(D11,密度!$A$2:$A$50,密度!$Q$2:$Q$50)</f>
        <v>118250.02626750001</v>
      </c>
      <c r="E10" s="73" ph="1">
        <f>E9*51.53*LOOKUP(E11,密度!$A$2:$A$50,密度!$B$2:$B$50)</f>
        <v>360721.64578000002</v>
      </c>
      <c r="F10" s="73" ph="1">
        <f>F9*33.183*LOOKUP(F11,密度!$A$2:$A$50,密度!$C$2:$C$50)</f>
        <v>230274.17511750004</v>
      </c>
      <c r="G10" s="73" ph="1">
        <f xml:space="preserve"> (G9+2)*51.53*LOOKUP(G11,密度!$A$2:$A$50,密度!$B$2:$B$50)</f>
        <v>335619.440099</v>
      </c>
      <c r="H10" s="73" ph="1">
        <f>(H9)*51.53*LOOKUP(H11,密度!$A$2:$A$50,密度!$B$2:$B$50)</f>
        <v>356085.49683300004</v>
      </c>
      <c r="I10" s="73" ph="1">
        <f>I9*290.8*1.0267</f>
        <v>5380.1297672000001</v>
      </c>
      <c r="J10" s="73" ph="1">
        <f>J9*290.8*0.7892</f>
        <v>1611.0855071999999</v>
      </c>
      <c r="K10" s="73" ph="1">
        <f>K9*290.8*1.1126</f>
        <v>10149.577789600002</v>
      </c>
      <c r="L10" s="73" ph="1">
        <f>L9*290.8*0.777</f>
        <v>1895.7339240000003</v>
      </c>
      <c r="M10" s="73" ph="1">
        <f>M9*33.183*LOOKUP(M11,密度!$A$2:$A$50,密度!$D$2:$D$50)</f>
        <v>77930.288773200009</v>
      </c>
      <c r="N10" s="73" ph="1">
        <f>N9*33.183*LOOKUP(N11,密度!$A$2:$A$50,密度!$E$2:$E$50)</f>
        <v>133782.706512</v>
      </c>
      <c r="O10" s="73" ph="1">
        <f>O9*20.428*LOOKUP(O11,密度!$A$2:$A$50,密度!$C$2:$C$50)</f>
        <v>4364.6771220000001</v>
      </c>
      <c r="P10" s="73" ph="1">
        <f>P9*51.53*LOOKUP(P11,密度!$A$2:$A$50,密度!$B$2:$B$50)</f>
        <v>261838.11105600005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25479.023169600001</v>
      </c>
      <c r="T10" s="73" ph="1">
        <f>T9*1.5*1.5*3.1416*LOOKUP(T11,密度!$A$2:$A$50,密度!$L$2:$L$50)</f>
        <v>47493.174128399995</v>
      </c>
      <c r="U10" s="73" ph="1">
        <f>U9*1.5*1.5*3.1416*LOOKUP(U11,密度!$A$2:$A$50,密度!$L$2:$L$50)</f>
        <v>36238.775403600004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136579.602033</v>
      </c>
      <c r="AA10" s="73" ph="1">
        <f>AA9*33.183*LOOKUP(AA11,密度!$A$2:$A$50,密度!$D$2:$D$50)</f>
        <v>29598.406425000001</v>
      </c>
      <c r="AB10" s="73" ph="1">
        <f>AB9*20.428*LOOKUP(AB11,密度!$A$2:$A$50,密度!$D$2:$D$50)</f>
        <v>54618.408969600001</v>
      </c>
      <c r="AC10" s="73" ph="1">
        <f>AC9*51.53*LOOKUP(AC11,密度!$A$2:$A$50,密度!$Q$2:$Q$50)</f>
        <v>67805.321770399998</v>
      </c>
      <c r="AD10" s="73" ph="1">
        <f>AD9*20.428*LOOKUP(AD11,密度!$A$2:$A$50,密度!$V$2:$V$50)</f>
        <v>91647.280368000007</v>
      </c>
      <c r="AE10" s="73" ph="1">
        <f>AE9*20.428</f>
        <v>74357.919999999998</v>
      </c>
    </row>
    <row r="11" spans="1:99" ph="1">
      <c r="A11" s="64" t="s" ph="1">
        <v>162</v>
      </c>
      <c r="B11" s="182" ph="1"/>
      <c r="C11" s="147" t="s" ph="1">
        <v>179</v>
      </c>
      <c r="D11" s="74">
        <v>33</v>
      </c>
      <c r="E11" s="74">
        <v>34</v>
      </c>
      <c r="F11" s="74">
        <v>29</v>
      </c>
      <c r="G11" s="74">
        <v>33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32</v>
      </c>
      <c r="O11" s="74">
        <v>39</v>
      </c>
      <c r="P11" s="74">
        <v>33</v>
      </c>
      <c r="Q11" s="74">
        <v>35</v>
      </c>
      <c r="R11" s="74">
        <v>37</v>
      </c>
      <c r="S11" s="74">
        <v>26</v>
      </c>
      <c r="T11" s="74">
        <v>24</v>
      </c>
      <c r="U11" s="74">
        <v>28</v>
      </c>
      <c r="V11" s="74">
        <v>28</v>
      </c>
      <c r="W11" s="74">
        <v>37</v>
      </c>
      <c r="X11" s="74">
        <v>29</v>
      </c>
      <c r="Y11" s="74">
        <v>30</v>
      </c>
      <c r="Z11" s="74">
        <v>31</v>
      </c>
      <c r="AA11" s="74">
        <v>33</v>
      </c>
      <c r="AB11" s="74">
        <v>27</v>
      </c>
      <c r="AC11" s="74">
        <v>31</v>
      </c>
      <c r="AD11" s="74">
        <v>33</v>
      </c>
      <c r="AE11" s="74">
        <v>35</v>
      </c>
    </row>
    <row r="12" spans="1:99" ht="9.9" customHeight="1" ph="1"/>
    <row r="13" spans="1:99" s="72" customFormat="1" ht="29.25" customHeight="1" ph="1">
      <c r="B13" s="190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150" t="s" ph="1">
        <v>643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47" t="s" ph="1">
        <v>177</v>
      </c>
      <c r="D15" s="78">
        <v>4732</v>
      </c>
      <c r="E15" s="78">
        <v>5718</v>
      </c>
      <c r="F15" s="78">
        <v>1910</v>
      </c>
      <c r="G15" s="78">
        <v>3879</v>
      </c>
      <c r="H15" s="78">
        <v>1972</v>
      </c>
      <c r="I15" s="78">
        <v>2569</v>
      </c>
      <c r="J15" s="78">
        <v>2797</v>
      </c>
      <c r="K15" s="78">
        <v>3978</v>
      </c>
      <c r="L15" s="78">
        <v>3451</v>
      </c>
      <c r="M15" s="78">
        <v>5094</v>
      </c>
      <c r="N15" s="78">
        <v>1691</v>
      </c>
      <c r="O15" s="78">
        <v>4715</v>
      </c>
      <c r="P15" s="78">
        <v>6961</v>
      </c>
      <c r="Q15" s="78">
        <v>6926</v>
      </c>
      <c r="R15" s="78">
        <v>0</v>
      </c>
      <c r="S15" s="78">
        <v>3991</v>
      </c>
      <c r="T15" s="78">
        <v>6643</v>
      </c>
      <c r="U15" s="78">
        <v>2221</v>
      </c>
      <c r="V15" s="78">
        <v>850</v>
      </c>
      <c r="W15" s="71">
        <v>2243</v>
      </c>
      <c r="X15" s="78">
        <v>1277</v>
      </c>
      <c r="Y15" s="106">
        <v>-9906</v>
      </c>
      <c r="Z15" s="78">
        <v>0</v>
      </c>
      <c r="AA15" s="78">
        <v>6</v>
      </c>
      <c r="AB15" s="78" ph="1">
        <v>1098</v>
      </c>
      <c r="AC15" s="78" ph="1">
        <v>2160</v>
      </c>
      <c r="AD15" s="78">
        <v>84.57</v>
      </c>
      <c r="AE15" s="78">
        <v>10.49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47" t="s" ph="1">
        <v>178</v>
      </c>
      <c r="D16" s="73" ph="1">
        <f>D15*7.0686*LOOKUP(D17,密度!$A$2:$A$50,密度!$L$2:$L$50)</f>
        <v>31140.660751200001</v>
      </c>
      <c r="E16" s="73" ph="1">
        <f>E15*7.0686*LOOKUP(E17,密度!$A$2:$A$50,密度!$L$2:$L$50)</f>
        <v>37629.395218800004</v>
      </c>
      <c r="F16" s="73" ph="1">
        <f>F15*9.0746*LOOKUP(F17,密度!$A$2:$A$50,密度!$L$2:$L$50)</f>
        <v>16153.876952000002</v>
      </c>
      <c r="G16" s="73" ph="1">
        <f>G15*9.0746*LOOKUP(G17,密度!$A$2:$A$50,密度!$B$2:$B$50)</f>
        <v>27350.690131800005</v>
      </c>
      <c r="H16" s="73" ph="1">
        <f>H15*9.0746*LOOKUP(H17,密度!$A$2:$A$50,密度!$L$2:$L$50)</f>
        <v>16731.928972000002</v>
      </c>
      <c r="I16" s="73" ph="1">
        <f>I15*9.0746*LOOKUP(I17,密度!$A$2:$A$50,密度!$U$2:$U$50)</f>
        <v>23848.838290200001</v>
      </c>
      <c r="J16" s="73" ph="1">
        <f>J15*9.0746*LOOKUP(J17,密度!$A$2:$A$50,密度!$L$2:$L$50)</f>
        <v>23706.466890800002</v>
      </c>
      <c r="K16" s="73" ph="1">
        <f>K15*9.0746*LOOKUP(K17,密度!$A$2:$A$50,密度!$C$2:$C$50)</f>
        <v>39921.617356920011</v>
      </c>
      <c r="L16" s="73" ph="1">
        <f>L15*9.0746*LOOKUP(L17,密度!$A$2:$A$50,密度!$E$2:$E$50)</f>
        <v>24351.667320960001</v>
      </c>
      <c r="M16" s="73" ph="1">
        <f>M15*9.0746*LOOKUP(M17,密度!$A$2:$A$50,密度!$M$2:$M$50)</f>
        <v>40212.008186760002</v>
      </c>
      <c r="N16" s="73" ph="1">
        <f>N15*9.0746*LOOKUP(N17,密度!$A$2:$A$50,密度!$M$2:$M$50)</f>
        <v>13413.19439126</v>
      </c>
      <c r="O16" s="73" ph="1">
        <f>O15*9.0746*LOOKUP(O17,密度!$A$2:$A$50,密度!$G$2:$G$50)</f>
        <v>40899.843810099999</v>
      </c>
      <c r="P16" s="73" ph="1">
        <f ca="1">P15*9.0746*LOOKUP(P17,密度!$A$2:$A$51,密度!$Q$2:$Q$50)</f>
        <v>59588.543571697999</v>
      </c>
      <c r="Q16" s="73" ph="1">
        <f>Q15*9.0746*LOOKUP(Q17,密度!$A$2:$A$50,密度!$Q$2:$Q$50)</f>
        <v>59241.793577368</v>
      </c>
      <c r="R16" s="73" ph="1">
        <f>MAX(R15*9.0746*LOOKUP(R17,密度!$A$2:$A$50,密度!$B$2:$B$50),0)</f>
        <v>0</v>
      </c>
      <c r="S16" s="73" ph="1">
        <f>S15*9.0746*LOOKUP(S17,密度!$A$2:$A$50,密度!$Q$2:$Q$50)</f>
        <v>34137.164043787998</v>
      </c>
      <c r="T16" s="73" ph="1">
        <f>T15*9.0746*LOOKUP(T17,密度!$A$2:$A$50,密度!$O$2:$O$50)</f>
        <v>55580.527511600005</v>
      </c>
      <c r="U16" s="73" ph="1">
        <f>U15*9.0746*LOOKUP(U17,密度!$A$2:$A$50,密度!$H$2:$H$50)</f>
        <v>18321.61785373</v>
      </c>
      <c r="V16" s="73" ph="1">
        <f>MAX(5600*LOOKUP(V17,密度!$A$2:$A$50,密度!$Q$2:$Q$50)+V15*9.0476*LOOKUP(V17,密度!$A$2:$A$50,密度!$Q$2:$Q$50),0)</f>
        <v>12527.321786799999</v>
      </c>
      <c r="W16" s="73" ph="1">
        <f>MAX(5600*LOOKUP(W17,密度!$A$2:$A$50,密度!$Q$2:$Q$50)+W15*9.0476*LOOKUP(W17,密度!$A$2:$A$50,密度!$Q$2:$Q$50),0)</f>
        <v>24389.338948919998</v>
      </c>
      <c r="X16" s="73" ph="1">
        <f>MAX(5600*LOOKUP(X17,密度!$A$2:$A$50,密度!$I$2:$I$50)+X15*9.0476*LOOKUP(X17,密度!$A$2:$A$50,密度!$I$2:$I$50),0)</f>
        <v>17762.916112451996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42.398346119999999</v>
      </c>
      <c r="AB16" s="73" ph="1">
        <f>AB15*9.0746*LOOKUP(AB17,密度!$A$2:$A$50,密度!$L$2:$L$50)</f>
        <v>9306.2926872000007</v>
      </c>
      <c r="AC16" s="73" ph="1">
        <f>AC15*9.0746*LOOKUP(AC17,密度!$A$2:$A$50,密度!$L$2:$L$50)</f>
        <v>18287.859888000003</v>
      </c>
      <c r="AD16" s="73" ph="1">
        <f>AD15*268.68*LOOKUP(AD17,密度!$A$2:$A$50,密度!B2:B50)+IF(AD15&lt;=0,0,1566*LOOKUP(AD17,密度!$A$2:$A$50,密度!B2:B50))</f>
        <v>18935.133420959995</v>
      </c>
      <c r="AE16" s="73" ph="1">
        <f>AE15*268.68*LOOKUP(AE17,密度!$A$2:$A$50,密度!B2:B50)+IF(AE15&lt;=0,0,1566*LOOKUP(AE17,密度!$A$2:$A$50,密度!B2:B50))</f>
        <v>3418.1197147199996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31</v>
      </c>
      <c r="E17" s="74">
        <v>31</v>
      </c>
      <c r="F17" s="74">
        <v>30</v>
      </c>
      <c r="G17" s="74">
        <v>28</v>
      </c>
      <c r="H17" s="74">
        <v>27</v>
      </c>
      <c r="I17" s="74">
        <v>27</v>
      </c>
      <c r="J17" s="74">
        <v>28</v>
      </c>
      <c r="K17" s="74">
        <v>29</v>
      </c>
      <c r="L17" s="74">
        <v>30</v>
      </c>
      <c r="M17" s="74">
        <v>30</v>
      </c>
      <c r="N17" s="74">
        <v>26</v>
      </c>
      <c r="O17" s="74">
        <v>29</v>
      </c>
      <c r="P17" s="74">
        <v>30</v>
      </c>
      <c r="Q17" s="74">
        <v>31</v>
      </c>
      <c r="R17" s="74">
        <v>30</v>
      </c>
      <c r="S17" s="74">
        <v>31</v>
      </c>
      <c r="T17" s="74">
        <v>30</v>
      </c>
      <c r="U17" s="74">
        <v>31</v>
      </c>
      <c r="V17" s="74">
        <v>31</v>
      </c>
      <c r="W17" s="74">
        <v>32</v>
      </c>
      <c r="X17" s="74">
        <v>31</v>
      </c>
      <c r="Y17" s="108">
        <v>31</v>
      </c>
      <c r="Z17" s="74">
        <v>28</v>
      </c>
      <c r="AA17" s="74">
        <v>26</v>
      </c>
      <c r="AB17" s="74">
        <v>28</v>
      </c>
      <c r="AC17" s="74">
        <v>29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4693</v>
      </c>
      <c r="E18" s="71">
        <v>5734</v>
      </c>
      <c r="F18" s="71">
        <v>2003</v>
      </c>
      <c r="G18" s="71">
        <v>3999</v>
      </c>
      <c r="H18" s="71">
        <v>1972</v>
      </c>
      <c r="I18" s="71">
        <v>2675</v>
      </c>
      <c r="J18" s="71">
        <v>2801</v>
      </c>
      <c r="K18" s="71">
        <v>3979</v>
      </c>
      <c r="L18" s="71">
        <v>3457</v>
      </c>
      <c r="M18" s="71">
        <v>6713</v>
      </c>
      <c r="N18" s="71">
        <v>1105</v>
      </c>
      <c r="O18" s="71">
        <v>2284</v>
      </c>
      <c r="P18" s="71">
        <v>6970</v>
      </c>
      <c r="Q18" s="71">
        <v>5113</v>
      </c>
      <c r="R18" s="71">
        <v>2085</v>
      </c>
      <c r="S18" s="71">
        <v>3996</v>
      </c>
      <c r="T18" s="71">
        <v>5249</v>
      </c>
      <c r="U18" s="71">
        <v>2222</v>
      </c>
      <c r="V18" s="71">
        <v>850</v>
      </c>
      <c r="W18" s="71">
        <v>2242</v>
      </c>
      <c r="X18" s="71">
        <v>1277</v>
      </c>
      <c r="Y18" s="109">
        <v>-9906</v>
      </c>
      <c r="Z18" s="71">
        <v>0</v>
      </c>
      <c r="AA18" s="71">
        <v>6</v>
      </c>
      <c r="AB18" s="71">
        <v>1099</v>
      </c>
      <c r="AC18" s="71">
        <v>2162</v>
      </c>
      <c r="AD18" s="71">
        <v>83.65</v>
      </c>
      <c r="AE18" s="71">
        <v>51.26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47" t="s" ph="1">
        <v>178</v>
      </c>
      <c r="D19" s="73" ph="1">
        <f>D18*7.0686*LOOKUP(D20,密度!$A$2:$A$50,密度!$L$2:$L$50)</f>
        <v>30817.661074200001</v>
      </c>
      <c r="E19" s="73" ph="1">
        <f>E18*7.0686*LOOKUP(E20,密度!$A$2:$A$50,密度!$L$2:$L$50)</f>
        <v>37653.626379600006</v>
      </c>
      <c r="F19" s="73" ph="1">
        <f>F18*9.0746*LOOKUP(F20,密度!$A$2:$A$50,密度!$L$2:$L$50)</f>
        <v>16904.074134000002</v>
      </c>
      <c r="G19" s="73" ph="1">
        <f>G18*9.0746*LOOKUP(G20,密度!$A$2:$A$50,密度!$B$2:$B$50)</f>
        <v>28135.113982620001</v>
      </c>
      <c r="H19" s="73" ph="1">
        <f>H18*9.0746*LOOKUP(H20,密度!$A$2:$A$50,密度!$L$2:$L$50)</f>
        <v>16696.138749599999</v>
      </c>
      <c r="I19" s="73" ph="1">
        <f>I18*9.0746*LOOKUP(I20,密度!$A$2:$A$50,密度!$U$2:$U$50)</f>
        <v>24687.222435</v>
      </c>
      <c r="J19" s="73" ph="1">
        <f>J18*9.0746*LOOKUP(J20,密度!$A$2:$A$50,密度!$L$2:$L$50)</f>
        <v>23638.697778000002</v>
      </c>
      <c r="K19" s="73" ph="1">
        <f>K18*9.0746*LOOKUP(K20,密度!$A$2:$A$50,密度!$C$2:$C$50)</f>
        <v>39790.832406800007</v>
      </c>
      <c r="L19" s="73" ph="1">
        <f>L18*9.0746*LOOKUP(L20,密度!$A$2:$A$50,密度!$E$2:$E$50)</f>
        <v>24322.480140504002</v>
      </c>
      <c r="M19" s="73" ph="1">
        <f>M18*9.0746*LOOKUP(M20,密度!$A$2:$A$50,密度!$M$2:$M$50)</f>
        <v>52865.676344236002</v>
      </c>
      <c r="N19" s="73" ph="1">
        <f>N18*9.0746*LOOKUP(N20,密度!$A$2:$A$50,密度!$M$2:$M$50)</f>
        <v>8702.0069060600017</v>
      </c>
      <c r="O19" s="73" ph="1">
        <f>O18*9.0746*LOOKUP(O20,密度!$A$2:$A$50,密度!$G$2:$G$50)</f>
        <v>19744.784740096002</v>
      </c>
      <c r="P19" s="73" ph="1">
        <f ca="1">P18*9.0746*LOOKUP(P20,密度!$A$2:$A$51,密度!$Q$2:$Q$50)</f>
        <v>59534.026732500002</v>
      </c>
      <c r="Q19" s="73" ph="1">
        <f>Q18*9.0746*LOOKUP(Q20,密度!$A$2:$A$50,密度!$Q$2:$Q$50)</f>
        <v>43672.522049250001</v>
      </c>
      <c r="R19" s="73" ph="1">
        <f>MAX(R18*9.0746*LOOKUP(R20,密度!$A$2:$A$50,密度!$B$2:$B$50),0)</f>
        <v>14619.902030700001</v>
      </c>
      <c r="S19" s="73" ph="1">
        <f>S18*9.0746*LOOKUP(S20,密度!$A$2:$A$50,密度!$Q$2:$Q$50)</f>
        <v>34131.703131000002</v>
      </c>
      <c r="T19" s="73" ph="1">
        <f>T18*9.0746*LOOKUP(T20,密度!$A$2:$A$50,密度!$O$2:$O$50)</f>
        <v>43879.128458480001</v>
      </c>
      <c r="U19" s="73" ph="1">
        <f>U18*9.0746*LOOKUP(U20,密度!$A$2:$A$50,密度!$H$2:$H$50)</f>
        <v>18290.749422132001</v>
      </c>
      <c r="V19" s="73" ph="1">
        <f>MAX(5600*LOOKUP(V20,密度!$A$2:$A$50,密度!$Q$2:$Q$50)+V18*9.0476*LOOKUP(V20,密度!$A$2:$A$50,密度!$Q$2:$Q$50),0)</f>
        <v>12500.8737714</v>
      </c>
      <c r="W19" s="73" ph="1">
        <f>MAX(5600*LOOKUP(W20,密度!$A$2:$A$50,密度!$Q$2:$Q$50)+W18*9.0476*LOOKUP(W20,密度!$A$2:$A$50,密度!$Q$2:$Q$50),0)</f>
        <v>24313.516744560002</v>
      </c>
      <c r="X19" s="73" ph="1">
        <f>MAX(5600*LOOKUP(X20,密度!$A$2:$A$50,密度!$I$2:$I$50)+X18*9.0476*LOOKUP(X20,密度!$A$2:$A$50,密度!$I$2:$I$50),0)</f>
        <v>17743.875410879999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42.022657680000002</v>
      </c>
      <c r="AB19" s="73" ph="1">
        <f>AB18*9.0746*LOOKUP(AB20,密度!$A$2:$A$50,密度!$L$2:$L$50)</f>
        <v>9234.9844804000004</v>
      </c>
      <c r="AC19" s="73" ph="1">
        <f>AC18*9.0746*LOOKUP(AC20,密度!$A$2:$A$50,密度!$L$2:$L$50)</f>
        <v>18245.935236000001</v>
      </c>
      <c r="AD19" s="73" ph="1">
        <f>AD18*268.68*LOOKUP(AD20,密度!$A$2:$A$50,密度!B5:B53)+IF(AD18&lt;=0,0,1566*LOOKUP(AD20,密度!$A$2:$A$50,密度!B5:B53))</f>
        <v>18679.920714</v>
      </c>
      <c r="AE19" s="73" ph="1">
        <f>AE18*268.68*LOOKUP(AE20,密度!$A$2:$A$50,密度!B5:B53)+IF(AE18&lt;=0,0,1566*LOOKUP(AE20,密度!$A$2:$A$50,密度!B5:B53))</f>
        <v>11918.043093599999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33</v>
      </c>
      <c r="E20" s="81">
        <v>33</v>
      </c>
      <c r="F20" s="81">
        <v>32</v>
      </c>
      <c r="G20" s="81">
        <v>30</v>
      </c>
      <c r="H20" s="81">
        <v>29</v>
      </c>
      <c r="I20" s="81">
        <v>33</v>
      </c>
      <c r="J20" s="81">
        <v>32</v>
      </c>
      <c r="K20" s="81">
        <v>33</v>
      </c>
      <c r="L20" s="81">
        <v>32</v>
      </c>
      <c r="M20" s="81">
        <v>32</v>
      </c>
      <c r="N20" s="81">
        <v>32</v>
      </c>
      <c r="O20" s="81">
        <v>32</v>
      </c>
      <c r="P20" s="81">
        <v>33</v>
      </c>
      <c r="Q20" s="81">
        <v>33</v>
      </c>
      <c r="R20" s="81">
        <v>33</v>
      </c>
      <c r="S20" s="81">
        <v>33</v>
      </c>
      <c r="T20" s="81">
        <v>33</v>
      </c>
      <c r="U20" s="81">
        <v>33</v>
      </c>
      <c r="V20" s="81">
        <v>34</v>
      </c>
      <c r="W20" s="81">
        <v>36</v>
      </c>
      <c r="X20" s="81">
        <v>32</v>
      </c>
      <c r="Y20" s="110">
        <v>32</v>
      </c>
      <c r="Z20" s="81">
        <v>36</v>
      </c>
      <c r="AA20" s="81">
        <v>34</v>
      </c>
      <c r="AB20" s="81">
        <v>36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47" t="s" ph="1">
        <v>177</v>
      </c>
      <c r="D24" s="71">
        <v>86.41</v>
      </c>
      <c r="E24" s="71">
        <v>5.45</v>
      </c>
      <c r="F24" s="71">
        <v>2342</v>
      </c>
      <c r="G24" s="71">
        <v>2648</v>
      </c>
      <c r="H24" s="71">
        <v>1986</v>
      </c>
      <c r="I24" s="71">
        <v>4758</v>
      </c>
      <c r="J24" s="71">
        <v>5240</v>
      </c>
      <c r="K24" s="71">
        <v>1858</v>
      </c>
      <c r="L24" s="71">
        <v>5618</v>
      </c>
      <c r="M24" s="71">
        <v>5412</v>
      </c>
      <c r="N24" s="71">
        <v>5538</v>
      </c>
      <c r="O24" s="71">
        <v>5601</v>
      </c>
      <c r="P24" s="71">
        <v>2156</v>
      </c>
      <c r="Q24" s="90">
        <v>4887</v>
      </c>
      <c r="R24" s="71">
        <v>207</v>
      </c>
      <c r="S24" s="71">
        <v>1229</v>
      </c>
      <c r="T24" s="71">
        <v>851</v>
      </c>
      <c r="U24" s="71">
        <v>5273</v>
      </c>
      <c r="V24" s="71">
        <v>3269</v>
      </c>
      <c r="W24" s="71">
        <v>1450</v>
      </c>
      <c r="X24" s="71">
        <v>1389</v>
      </c>
      <c r="Y24" s="71">
        <v>2163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23462.715457512004</v>
      </c>
      <c r="E25" s="91" ph="1">
        <f>E24*268.68*LOOKUP(E26,密度!$A$2:$A$50,密度!$C$2:$C$50)+IF(E24&lt;=0,0,1566*LOOKUP(E26,密度!$A$2:$A$50,密度!$C$2:$C$50))</f>
        <v>3360.3063234000001</v>
      </c>
      <c r="F25" s="91" ph="1">
        <f>F24*11.702*LOOKUP(F26,密度!$A$2:$A$50,密度!$Q$2:$Q$50)</f>
        <v>25852.981219720001</v>
      </c>
      <c r="G25" s="91" ph="1">
        <f>G24*18.322*LOOKUP(G26,密度!$A$2:$A$50,密度!$B$2:$B$50)</f>
        <v>37614.963396799998</v>
      </c>
      <c r="H25" s="91" ph="1">
        <f>H24*18.322*LOOKUP(H26,密度!$A$2:$A$50,密度!$B$2:$B$50)</f>
        <v>28178.473804799996</v>
      </c>
      <c r="I25" s="91" ph="1">
        <f>I24*18.322*LOOKUP(I26,密度!$A$2:$A$50,密度!$Q$2:$Q$50)</f>
        <v>82235.80777308</v>
      </c>
      <c r="J25" s="91" ph="1">
        <f>J24*18.322*LOOKUP(J26,密度!$A$2:$A$50,密度!$Q$2:$Q$50)</f>
        <v>90566.547442399999</v>
      </c>
      <c r="K25" s="91" ph="1">
        <f>K24*18.322*LOOKUP(K26,密度!$A$2:$A$50,密度!$Q$2:$Q$50)</f>
        <v>32113.100219079999</v>
      </c>
      <c r="L25" s="91" ph="1">
        <f>L24*18.322*LOOKUP(L26,密度!$A$2:$A$50,密度!$Q$2:$Q$50)</f>
        <v>97022.583369679996</v>
      </c>
      <c r="M25" s="91" ph="1">
        <f>M24*18.322*LOOKUP(M26,密度!$A$2:$A$50,密度!$Q$2:$Q$50)</f>
        <v>93464.973513119985</v>
      </c>
      <c r="N25" s="91" ph="1">
        <f>N24*18.322*LOOKUP(N26,密度!$A$2:$A$50,密度!$Q$2:$Q$50)</f>
        <v>95717.087735879992</v>
      </c>
      <c r="O25" s="91" ph="1">
        <f>O24*18.322*LOOKUP(O26,密度!$A$2:$A$50,密度!$C$2:$C$50)</f>
        <v>113407.0439622</v>
      </c>
      <c r="P25" s="91" ph="1">
        <f>P24*11.702*LOOKUP(P26,密度!$A$2:$A$50,密度!$B$2:$B$50)</f>
        <v>19537.734092799998</v>
      </c>
      <c r="Q25" s="92" ph="1">
        <f>Q24*18.322*LOOKUP(Q26,密度!$A$2:$A$50,密度!$B$2:$B$50)</f>
        <v>69339.477081599995</v>
      </c>
      <c r="R25" s="91" ph="1">
        <f>R24*35.891*LOOKUP(R26,密度!$A$2:$A$50,密度!$C$2:$C$50)</f>
        <v>8210.2708287000005</v>
      </c>
      <c r="S25" s="91" ph="1">
        <f>S24*35.891*LOOKUP(S26,密度!$A$2:$A$50,密度!$B$2:$B$50)</f>
        <v>34158.814201599998</v>
      </c>
      <c r="T25" s="91" ph="1">
        <f>T24*35.891*LOOKUP(T26,密度!$A$2:$A$50,密度!$Q$2:$Q$50)</f>
        <v>28812.355532529997</v>
      </c>
      <c r="U25" s="91" ph="1">
        <f>U24*35.891</f>
        <v>189253.24299999999</v>
      </c>
      <c r="V25" s="91" ph="1">
        <f>V24*47.051*LOOKUP(V26,密度!$A$2:$A$50,密度!$B$2:$B$50)</f>
        <v>119248.67514070001</v>
      </c>
      <c r="W25" s="91" ph="1">
        <f>W24*47.051*LOOKUP(W26,密度!$A$2:$A$50,密度!$B$2:$B$50)</f>
        <v>52894.028435</v>
      </c>
      <c r="X25" s="91" ph="1">
        <f>X24*47.051*LOOKUP(X26,密度!$A$2:$A$50,密度!$I$2:$I$50)</f>
        <v>67674.553822889997</v>
      </c>
      <c r="Y25" s="91" ph="1">
        <f>Y24*47.051*LOOKUP(Y26,密度!$A$2:$A$50,密度!$L$2:$L$50)</f>
        <v>94850.863716000007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30</v>
      </c>
      <c r="G26" s="74">
        <v>30</v>
      </c>
      <c r="H26" s="74">
        <v>31</v>
      </c>
      <c r="I26" s="74">
        <v>30</v>
      </c>
      <c r="J26" s="74">
        <v>30</v>
      </c>
      <c r="K26" s="74">
        <v>30</v>
      </c>
      <c r="L26" s="74">
        <v>31</v>
      </c>
      <c r="M26" s="74">
        <v>31</v>
      </c>
      <c r="N26" s="74">
        <v>30</v>
      </c>
      <c r="O26" s="74">
        <v>30</v>
      </c>
      <c r="P26" s="74">
        <v>31</v>
      </c>
      <c r="Q26" s="93">
        <v>31</v>
      </c>
      <c r="R26" s="74">
        <v>30</v>
      </c>
      <c r="S26" s="74">
        <v>31</v>
      </c>
      <c r="T26" s="74">
        <v>30</v>
      </c>
      <c r="U26" s="74">
        <v>31</v>
      </c>
      <c r="V26" s="74">
        <v>30</v>
      </c>
      <c r="W26" s="74">
        <v>30</v>
      </c>
      <c r="X26" s="74">
        <v>31</v>
      </c>
      <c r="Y26" s="74">
        <v>30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47" t="s" ph="1">
        <v>180</v>
      </c>
      <c r="D27" s="71">
        <v>86.51</v>
      </c>
      <c r="E27" s="71">
        <v>5.43</v>
      </c>
      <c r="F27" s="71">
        <v>918</v>
      </c>
      <c r="G27" s="71">
        <v>2102</v>
      </c>
      <c r="H27" s="71">
        <v>1983</v>
      </c>
      <c r="I27" s="71">
        <v>3877</v>
      </c>
      <c r="J27" s="71">
        <v>5241</v>
      </c>
      <c r="K27" s="71">
        <v>4155</v>
      </c>
      <c r="L27" s="71">
        <v>5615</v>
      </c>
      <c r="M27" s="71">
        <v>5414</v>
      </c>
      <c r="N27" s="71">
        <v>5537</v>
      </c>
      <c r="O27" s="71">
        <v>5598</v>
      </c>
      <c r="P27" s="71">
        <v>2161</v>
      </c>
      <c r="Q27" s="90">
        <v>5120</v>
      </c>
      <c r="R27" s="71">
        <v>204</v>
      </c>
      <c r="S27" s="71">
        <v>1166</v>
      </c>
      <c r="T27" s="71">
        <v>848</v>
      </c>
      <c r="U27" s="71">
        <v>5166</v>
      </c>
      <c r="V27" s="71">
        <v>3028</v>
      </c>
      <c r="W27" s="71">
        <v>1928</v>
      </c>
      <c r="X27" s="71">
        <v>1388</v>
      </c>
      <c r="Y27" s="71">
        <v>1082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47" t="s" ph="1">
        <v>178</v>
      </c>
      <c r="D28" s="91" ph="1">
        <f>D27*268.68*LOOKUP(D29,密度!$A$2:$A$50,密度!$Q$2:$Q$50)+IF(D27&lt;=0,0,1566*LOOKUP(D29,密度!$A$2:$A$50,密度!$Q$2:$Q$50))</f>
        <v>23488.152467832006</v>
      </c>
      <c r="E28" s="91" ph="1">
        <f>E27*268.68*LOOKUP(E29,密度!$A$2:$A$50,密度!$C$2:$C$50)+IF(E27&lt;=0,0,1566*LOOKUP(E29,密度!$A$2:$A$50,密度!$C$2:$C$50))</f>
        <v>3354.3475383599998</v>
      </c>
      <c r="F28" s="91" ph="1">
        <f>F27*11.702*LOOKUP(F29,密度!$A$2:$A$50,密度!$Q$2:$Q$50)</f>
        <v>10125.60532488</v>
      </c>
      <c r="G28" s="91" ph="1">
        <f>G27*18.322*LOOKUP(G29,密度!$A$2:$A$50,密度!$B$2:$B$50)</f>
        <v>29824.346393599997</v>
      </c>
      <c r="H28" s="91" ph="1">
        <f>H27*18.322*LOOKUP(H29,密度!$A$2:$A$50,密度!$B$2:$B$50)</f>
        <v>28103.208860999996</v>
      </c>
      <c r="I28" s="91" ph="1">
        <f>I27*18.322*LOOKUP(I29,密度!$A$2:$A$50,密度!$Q$2:$Q$50)</f>
        <v>66907.295708599995</v>
      </c>
      <c r="J28" s="91" ph="1">
        <f>J27*18.322*LOOKUP(J29,密度!$A$2:$A$50,密度!$Q$2:$Q$50)</f>
        <v>90511.811933160003</v>
      </c>
      <c r="K28" s="91" ph="1">
        <f>K27*18.322*LOOKUP(K29,密度!$A$2:$A$50,密度!$Q$2:$Q$50)</f>
        <v>71756.645407799995</v>
      </c>
      <c r="L28" s="91" ph="1">
        <f>L27*18.322*LOOKUP(L29,密度!$A$2:$A$50,密度!$Q$2:$Q$50)</f>
        <v>96970.773517399997</v>
      </c>
      <c r="M28" s="91" ph="1">
        <f>M27*18.322*LOOKUP(M29,密度!$A$2:$A$50,密度!$Q$2:$Q$50)</f>
        <v>93432.060605199993</v>
      </c>
      <c r="N28" s="91" ph="1">
        <f>N27*18.322*LOOKUP(N29,密度!$A$2:$A$50,密度!$Q$2:$Q$50)</f>
        <v>95623.71735811999</v>
      </c>
      <c r="O28" s="91" ph="1">
        <f>O27*18.322*LOOKUP(O29,密度!$A$2:$A$50,密度!$C$2:$C$50)</f>
        <v>113130.911268</v>
      </c>
      <c r="P28" s="91" ph="1">
        <f>P27*11.702*LOOKUP(P29,密度!$A$2:$A$50,密度!$B$2:$B$50)</f>
        <v>19583.0442368</v>
      </c>
      <c r="Q28" s="92" ph="1">
        <f>Q27*18.322*LOOKUP(Q29,密度!$A$2:$A$50,密度!$B$2:$B$50)</f>
        <v>72560.983039999992</v>
      </c>
      <c r="R28" s="91" ph="1">
        <f>R27*35.891*LOOKUP(R29,密度!$A$2:$A$50,密度!$C$2:$C$50)</f>
        <v>8083.9596323999995</v>
      </c>
      <c r="S28" s="91" ph="1">
        <f>S27*35.891*LOOKUP(S29,密度!$A$2:$A$50,密度!$B$2:$B$50)</f>
        <v>32407.792806399997</v>
      </c>
      <c r="T28" s="91" ph="1">
        <f>T27*35.891*LOOKUP(T29,密度!$A$2:$A$50,密度!$Q$2:$Q$50)</f>
        <v>28667.261499199998</v>
      </c>
      <c r="U28" s="91" ph="1">
        <f>U27*35.891</f>
        <v>185412.90599999999</v>
      </c>
      <c r="V28" s="91" ph="1">
        <f>V27*47.051*LOOKUP(V29,密度!$A$2:$A$50,密度!$B$2:$B$50)</f>
        <v>110329.0994432</v>
      </c>
      <c r="W28" s="91" ph="1">
        <f>W27*47.051*LOOKUP(W29,密度!$A$2:$A$50,密度!$B$2:$B$50)</f>
        <v>70249.175603199998</v>
      </c>
      <c r="X28" s="91" ph="1">
        <f>X27*47.051*LOOKUP(X29,密度!$A$2:$A$50,密度!$I$2:$I$50)</f>
        <v>67553.341507200006</v>
      </c>
      <c r="Y28" s="91" ph="1">
        <f>Y27*47.051*LOOKUP(Y29,密度!$A$2:$A$50,密度!$L$2:$L$50)</f>
        <v>47396.448442000001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47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32</v>
      </c>
      <c r="I29" s="74">
        <v>32</v>
      </c>
      <c r="J29" s="74">
        <v>31</v>
      </c>
      <c r="K29" s="74">
        <v>31</v>
      </c>
      <c r="L29" s="74">
        <v>31</v>
      </c>
      <c r="M29" s="74">
        <v>32</v>
      </c>
      <c r="N29" s="74">
        <v>31</v>
      </c>
      <c r="O29" s="74">
        <v>32</v>
      </c>
      <c r="P29" s="74">
        <v>31</v>
      </c>
      <c r="Q29" s="93">
        <v>32</v>
      </c>
      <c r="R29" s="74">
        <v>31</v>
      </c>
      <c r="S29" s="74">
        <v>31</v>
      </c>
      <c r="T29" s="74">
        <v>32</v>
      </c>
      <c r="U29" s="74">
        <v>32</v>
      </c>
      <c r="V29" s="74">
        <v>31</v>
      </c>
      <c r="W29" s="74">
        <v>31</v>
      </c>
      <c r="X29" s="74">
        <v>32</v>
      </c>
      <c r="Y29" s="74">
        <v>31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84216.815394600009</v>
      </c>
      <c r="E33" s="204" ph="1">
        <f>M10+I10</f>
        <v>83310.418540400016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08" ph="1">
        <v>0</v>
      </c>
      <c r="H33" s="204" ph="1">
        <f>N19</f>
        <v>8702.0069060600017</v>
      </c>
      <c r="I33" s="217" ph="1">
        <v>0</v>
      </c>
      <c r="J33" s="215" ph="1">
        <f>F10+O28</f>
        <v>343405.08638550004</v>
      </c>
      <c r="K33" s="204" ph="1">
        <f>O10+K10+E28+R28</f>
        <v>25952.562082360004</v>
      </c>
      <c r="L33" s="219" ph="1">
        <f>BE27</f>
        <v>7100</v>
      </c>
      <c r="M33" s="215" ph="1">
        <f>G10+H10+W28+S28+V28+E10</f>
        <v>1265412.6505648</v>
      </c>
      <c r="N33" s="204" ph="1">
        <f>L10+P10++G28+H28</f>
        <v>321661.40023460006</v>
      </c>
      <c r="O33" s="217" ph="1">
        <f>BE17</f>
        <v>2270</v>
      </c>
      <c r="P33" s="215" ph="1">
        <f>L19</f>
        <v>24322.480140504002</v>
      </c>
      <c r="Q33" s="204" ph="1">
        <f>J10+N10</f>
        <v>135393.79201920002</v>
      </c>
      <c r="R33" s="217" ph="1">
        <f>BE23</f>
        <v>890</v>
      </c>
      <c r="S33" s="215" ph="1">
        <f>E10+X28</f>
        <v>428274.98728720006</v>
      </c>
      <c r="T33" s="204" ph="1">
        <f>X19</f>
        <v>17743.875410879999</v>
      </c>
      <c r="U33" s="225" ph="1">
        <f>BE21</f>
        <v>730</v>
      </c>
      <c r="V33" s="236" ph="1">
        <f ca="1">P19+Q19+S19+M28+N28+J28</f>
        <v>416905.84180922998</v>
      </c>
      <c r="W33" s="236" ph="1">
        <f>D28+F28+V19+T28</f>
        <v>74781.893063312004</v>
      </c>
      <c r="X33" s="217" ph="1">
        <f>BE29+BE31</f>
        <v>10200</v>
      </c>
      <c r="Y33" s="238" ph="1">
        <f>+Q10+R10+S10+T10+U10+V10+W10+X10+Y10</f>
        <v>109210.9727016</v>
      </c>
      <c r="Z33" s="223" ph="1">
        <f>D10+T19+U19+Y28+Z10</f>
        <v>364395.95462311199</v>
      </c>
      <c r="AA33" s="225" ph="1">
        <f>BE19</f>
        <v>1440</v>
      </c>
      <c r="AB33" s="227" ph="1">
        <f>I19</f>
        <v>24687.222435</v>
      </c>
      <c r="AC33" s="229" ph="1">
        <f>AD10</f>
        <v>91647.280368000007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49" t="s" ph="1">
        <v>185</v>
      </c>
      <c r="AA36" s="149" ph="1"/>
      <c r="AB36" s="222" t="s" ph="1">
        <v>641</v>
      </c>
      <c r="AC36" s="222" ph="1"/>
      <c r="AD36" s="222" ph="1"/>
      <c r="AE36" s="22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342</v>
      </c>
      <c r="AI37" s="149" t="s" ph="1">
        <v>209</v>
      </c>
      <c r="AJ37" s="149" t="s" ph="1">
        <v>210</v>
      </c>
      <c r="AK37" s="149" t="s" ph="1">
        <v>211</v>
      </c>
      <c r="AM37" s="149" t="s" ph="1">
        <v>210</v>
      </c>
      <c r="AN37" s="149" t="s" ph="1">
        <v>211</v>
      </c>
      <c r="AO37" s="149" t="s" ph="1">
        <v>212</v>
      </c>
      <c r="AP37" s="149" t="s" ph="1">
        <v>210</v>
      </c>
      <c r="AQ37" s="149" t="s" ph="1">
        <v>211</v>
      </c>
      <c r="AR37" s="149" t="s" ph="1">
        <v>212</v>
      </c>
      <c r="AS37" s="149" t="s" ph="1">
        <v>210</v>
      </c>
      <c r="AT37" s="149" t="s" ph="1">
        <v>211</v>
      </c>
      <c r="AU37" s="149" t="s" ph="1">
        <v>212</v>
      </c>
      <c r="AV37" s="149" t="s" ph="1">
        <v>210</v>
      </c>
      <c r="AW37" s="149" t="s" ph="1">
        <v>211</v>
      </c>
      <c r="AX37" s="149" t="s" ph="1">
        <v>212</v>
      </c>
      <c r="AY37" s="149" t="s" ph="1">
        <v>211</v>
      </c>
      <c r="AZ37" s="149" t="s" ph="1">
        <v>213</v>
      </c>
      <c r="BD37" s="149" t="s" ph="1">
        <v>305</v>
      </c>
      <c r="BE37" s="14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151" priority="98">
      <formula>ABS(D$7-D$10)&gt;=1000</formula>
    </cfRule>
  </conditionalFormatting>
  <conditionalFormatting sqref="E4 E6:E11">
    <cfRule type="expression" dxfId="1150" priority="97">
      <formula>ABS(E$7-E$10)&gt;=1000</formula>
    </cfRule>
  </conditionalFormatting>
  <conditionalFormatting sqref="F4:F11">
    <cfRule type="expression" dxfId="1149" priority="96">
      <formula>ABS(F$7-F$10)&gt;=1000</formula>
    </cfRule>
  </conditionalFormatting>
  <conditionalFormatting sqref="G4:G11">
    <cfRule type="expression" dxfId="1148" priority="95">
      <formula>ABS(G$7-G$10)&gt;=1000</formula>
    </cfRule>
  </conditionalFormatting>
  <conditionalFormatting sqref="H4:H11">
    <cfRule type="expression" dxfId="1147" priority="94">
      <formula>ABS(H$7-H$10)&gt;=1000</formula>
    </cfRule>
  </conditionalFormatting>
  <conditionalFormatting sqref="I4:I11">
    <cfRule type="expression" dxfId="1146" priority="93">
      <formula>ABS(I$7-I$10)&gt;=1000</formula>
    </cfRule>
  </conditionalFormatting>
  <conditionalFormatting sqref="J4:J11">
    <cfRule type="expression" dxfId="1145" priority="92">
      <formula>ABS(J$7-J$10)&gt;=1000</formula>
    </cfRule>
  </conditionalFormatting>
  <conditionalFormatting sqref="K4:K11">
    <cfRule type="expression" dxfId="1144" priority="91">
      <formula>ABS(K$7-K$10)&gt;=1000</formula>
    </cfRule>
  </conditionalFormatting>
  <conditionalFormatting sqref="L4:L11">
    <cfRule type="expression" dxfId="1143" priority="90">
      <formula>ABS(L$7-L$10)&gt;=1000</formula>
    </cfRule>
  </conditionalFormatting>
  <conditionalFormatting sqref="M4 M6:M11">
    <cfRule type="expression" dxfId="1142" priority="89">
      <formula>ABS(M$7-M$10)&gt;=1000</formula>
    </cfRule>
  </conditionalFormatting>
  <conditionalFormatting sqref="N4 N6:N11">
    <cfRule type="expression" dxfId="1141" priority="88">
      <formula>ABS(N$7-N$10)&gt;=1000</formula>
    </cfRule>
  </conditionalFormatting>
  <conditionalFormatting sqref="O4 O6:O11">
    <cfRule type="expression" dxfId="1140" priority="87">
      <formula>ABS(O$7-O$10)&gt;=1000</formula>
    </cfRule>
  </conditionalFormatting>
  <conditionalFormatting sqref="P4 P6:P11">
    <cfRule type="expression" dxfId="1139" priority="86">
      <formula>ABS(P$7-P$10)&gt;=1000</formula>
    </cfRule>
  </conditionalFormatting>
  <conditionalFormatting sqref="Q4:Q11">
    <cfRule type="expression" dxfId="1138" priority="85">
      <formula>ABS(Q$7-Q$10)&gt;=1000</formula>
    </cfRule>
  </conditionalFormatting>
  <conditionalFormatting sqref="R4:R11">
    <cfRule type="expression" dxfId="1137" priority="84">
      <formula>ABS(R$7-R$10)&gt;=1000</formula>
    </cfRule>
  </conditionalFormatting>
  <conditionalFormatting sqref="S4:S11">
    <cfRule type="expression" dxfId="1136" priority="83">
      <formula>ABS(S$7-S$10)&gt;=1000</formula>
    </cfRule>
  </conditionalFormatting>
  <conditionalFormatting sqref="T4:T9 T11">
    <cfRule type="expression" dxfId="1135" priority="82">
      <formula>ABS(T$7-T$10)&gt;=1000</formula>
    </cfRule>
  </conditionalFormatting>
  <conditionalFormatting sqref="U4:U9 U11">
    <cfRule type="expression" dxfId="1134" priority="81">
      <formula>ABS(U$7-U$10)&gt;=1000</formula>
    </cfRule>
  </conditionalFormatting>
  <conditionalFormatting sqref="V4:V9 V11">
    <cfRule type="expression" dxfId="1133" priority="80">
      <formula>ABS(V$7-V$10)&gt;=1000</formula>
    </cfRule>
  </conditionalFormatting>
  <conditionalFormatting sqref="W4:W9 W11">
    <cfRule type="expression" dxfId="1132" priority="79">
      <formula>ABS(W$7-W$10)&gt;=1000</formula>
    </cfRule>
  </conditionalFormatting>
  <conditionalFormatting sqref="X4:X9 X11">
    <cfRule type="expression" dxfId="1131" priority="78">
      <formula>ABS(X$7-X$10)&gt;=1000</formula>
    </cfRule>
  </conditionalFormatting>
  <conditionalFormatting sqref="Y4:Y9 Y11">
    <cfRule type="expression" dxfId="1130" priority="77">
      <formula>ABS(Y$7-Y$10)&gt;=1000</formula>
    </cfRule>
  </conditionalFormatting>
  <conditionalFormatting sqref="Z4:Z11">
    <cfRule type="expression" dxfId="1129" priority="76">
      <formula>ABS(Z$7-Z$10)&gt;=1000</formula>
    </cfRule>
  </conditionalFormatting>
  <conditionalFormatting sqref="AA4:AA11">
    <cfRule type="expression" dxfId="1128" priority="75">
      <formula>ABS(AA$7-AA$10)&gt;=1000</formula>
    </cfRule>
  </conditionalFormatting>
  <conditionalFormatting sqref="AB4:AB11">
    <cfRule type="expression" dxfId="1127" priority="74">
      <formula>ABS(AB$7-AB$10)&gt;=1000</formula>
    </cfRule>
  </conditionalFormatting>
  <conditionalFormatting sqref="AC4 AC6:AC11">
    <cfRule type="expression" dxfId="1126" priority="73">
      <formula>ABS(AC$7-AC$10)&gt;=1000</formula>
    </cfRule>
  </conditionalFormatting>
  <conditionalFormatting sqref="AD4:AD11">
    <cfRule type="expression" dxfId="1125" priority="72">
      <formula>ABS(AD$7-AD$10)&gt;=1000</formula>
    </cfRule>
  </conditionalFormatting>
  <conditionalFormatting sqref="AE4 AE6:AE11">
    <cfRule type="expression" dxfId="1124" priority="71">
      <formula>ABS(AE$7-AE$10)&gt;=1000</formula>
    </cfRule>
  </conditionalFormatting>
  <conditionalFormatting sqref="D13:D20">
    <cfRule type="expression" dxfId="1123" priority="70">
      <formula>ABS(D$16-D$19)&gt;=1000</formula>
    </cfRule>
  </conditionalFormatting>
  <conditionalFormatting sqref="E13:E20">
    <cfRule type="expression" dxfId="1122" priority="69">
      <formula>ABS(E$16-E$19)&gt;=1000</formula>
    </cfRule>
  </conditionalFormatting>
  <conditionalFormatting sqref="F13 F15:F20">
    <cfRule type="expression" dxfId="1121" priority="68">
      <formula>ABS(F$16-F$19)&gt;=1000</formula>
    </cfRule>
  </conditionalFormatting>
  <conditionalFormatting sqref="G13:G20">
    <cfRule type="expression" dxfId="1120" priority="67">
      <formula>ABS(G$16-G$19)&gt;=1000</formula>
    </cfRule>
  </conditionalFormatting>
  <conditionalFormatting sqref="H13:H20">
    <cfRule type="expression" dxfId="1119" priority="66">
      <formula>ABS(H$16-H$19)&gt;=1000</formula>
    </cfRule>
  </conditionalFormatting>
  <conditionalFormatting sqref="I13:I20">
    <cfRule type="expression" dxfId="1118" priority="65">
      <formula>ABS(I$16-I$19)&gt;=1000</formula>
    </cfRule>
  </conditionalFormatting>
  <conditionalFormatting sqref="J13:J20">
    <cfRule type="expression" dxfId="1117" priority="64">
      <formula>ABS(J$16-J$19)&gt;=1000</formula>
    </cfRule>
  </conditionalFormatting>
  <conditionalFormatting sqref="L13:L20">
    <cfRule type="expression" dxfId="1116" priority="63">
      <formula>ABS(L$16-L$19)&gt;=1000</formula>
    </cfRule>
  </conditionalFormatting>
  <conditionalFormatting sqref="M13 M15 M17:M18 M20">
    <cfRule type="expression" dxfId="1115" priority="62">
      <formula>ABS(M$16-M$19)&gt;=1000</formula>
    </cfRule>
  </conditionalFormatting>
  <conditionalFormatting sqref="N13:N20">
    <cfRule type="expression" dxfId="1114" priority="61">
      <formula>ABS(N$16-N$19)&gt;=1000</formula>
    </cfRule>
  </conditionalFormatting>
  <conditionalFormatting sqref="O13:O20">
    <cfRule type="expression" dxfId="1113" priority="60">
      <formula>ABS(O$16-O$19)&gt;=1000</formula>
    </cfRule>
  </conditionalFormatting>
  <conditionalFormatting sqref="P13:P20">
    <cfRule type="expression" dxfId="1112" priority="59">
      <formula>ABS(P$16-P$19)&gt;=1000</formula>
    </cfRule>
  </conditionalFormatting>
  <conditionalFormatting sqref="Q13 Q15:Q20">
    <cfRule type="expression" dxfId="1111" priority="58">
      <formula>ABS(Q$16-Q$19)&gt;=1000</formula>
    </cfRule>
  </conditionalFormatting>
  <conditionalFormatting sqref="R13:R20">
    <cfRule type="expression" dxfId="1110" priority="57">
      <formula>ABS(R$16-R$19)&gt;=1000</formula>
    </cfRule>
  </conditionalFormatting>
  <conditionalFormatting sqref="S13:S20">
    <cfRule type="expression" dxfId="1109" priority="56">
      <formula>ABS(S$16-S$19)&gt;=1000</formula>
    </cfRule>
  </conditionalFormatting>
  <conditionalFormatting sqref="T13:T20">
    <cfRule type="expression" dxfId="1108" priority="55">
      <formula>ABS(T$16-T$19)&gt;=1000</formula>
    </cfRule>
  </conditionalFormatting>
  <conditionalFormatting sqref="U13:U20">
    <cfRule type="expression" dxfId="1107" priority="54">
      <formula>ABS(U$16-U$19)&gt;=1000</formula>
    </cfRule>
  </conditionalFormatting>
  <conditionalFormatting sqref="V13:V20">
    <cfRule type="expression" dxfId="1106" priority="53">
      <formula>ABS(V$16-V$19)&gt;=1000</formula>
    </cfRule>
  </conditionalFormatting>
  <conditionalFormatting sqref="W13 W20 W15:W18">
    <cfRule type="expression" dxfId="1105" priority="52">
      <formula>ABS(W$16-W$19)&gt;=1000</formula>
    </cfRule>
  </conditionalFormatting>
  <conditionalFormatting sqref="X13 X15:X20 Y19">
    <cfRule type="expression" dxfId="1104" priority="51">
      <formula>ABS(X$16-X$19)&gt;=1000</formula>
    </cfRule>
  </conditionalFormatting>
  <conditionalFormatting sqref="Y13 Y15:Y18 Y20">
    <cfRule type="expression" dxfId="1103" priority="50">
      <formula>ABS(Y$16-Y$19)&gt;=1000</formula>
    </cfRule>
  </conditionalFormatting>
  <conditionalFormatting sqref="Z13:Z20">
    <cfRule type="expression" dxfId="1102" priority="49">
      <formula>ABS(Z$16-Z$19)&gt;=1000</formula>
    </cfRule>
  </conditionalFormatting>
  <conditionalFormatting sqref="AA13:AA20">
    <cfRule type="expression" dxfId="1101" priority="48">
      <formula>ABS(AA$16-AA$19)&gt;=1000</formula>
    </cfRule>
  </conditionalFormatting>
  <conditionalFormatting sqref="AB13 AB15:AB20">
    <cfRule type="expression" dxfId="1100" priority="47">
      <formula>ABS(AB$16-AB$19)&gt;=1000</formula>
    </cfRule>
  </conditionalFormatting>
  <conditionalFormatting sqref="AC13 AC15:AC20">
    <cfRule type="expression" dxfId="1099" priority="46">
      <formula>ABS(AC$16-AC$19)&gt;=1000</formula>
    </cfRule>
  </conditionalFormatting>
  <conditionalFormatting sqref="AD13:AD20">
    <cfRule type="expression" dxfId="1098" priority="45">
      <formula>ABS(AD$16-AD$19)&gt;=1000</formula>
    </cfRule>
  </conditionalFormatting>
  <conditionalFormatting sqref="AE13:AE20">
    <cfRule type="expression" dxfId="1097" priority="44">
      <formula>ABS(AE$16-AE$19)&gt;=1000</formula>
    </cfRule>
  </conditionalFormatting>
  <conditionalFormatting sqref="D22:D29">
    <cfRule type="expression" dxfId="1096" priority="43">
      <formula>ABS(D$25-D$28)&gt;=1000</formula>
    </cfRule>
  </conditionalFormatting>
  <conditionalFormatting sqref="E22:E29">
    <cfRule type="expression" dxfId="1095" priority="42">
      <formula>ABS(E$25-E$28)&gt;=1000</formula>
    </cfRule>
  </conditionalFormatting>
  <conditionalFormatting sqref="F22:F29">
    <cfRule type="expression" dxfId="1094" priority="41">
      <formula>ABS(F$25-F$28)&gt;=1000</formula>
    </cfRule>
  </conditionalFormatting>
  <conditionalFormatting sqref="G22:G29">
    <cfRule type="expression" dxfId="1093" priority="40">
      <formula>ABS(G$25-G$28)&gt;=1000</formula>
    </cfRule>
  </conditionalFormatting>
  <conditionalFormatting sqref="H22:H29">
    <cfRule type="expression" dxfId="1092" priority="39">
      <formula>ABS(H$25-H$28)&gt;=1000</formula>
    </cfRule>
  </conditionalFormatting>
  <conditionalFormatting sqref="I22 I24:I29">
    <cfRule type="expression" dxfId="1091" priority="38">
      <formula>ABS(I$25-I$28)&gt;=1000</formula>
    </cfRule>
  </conditionalFormatting>
  <conditionalFormatting sqref="J22:J29 K22">
    <cfRule type="expression" dxfId="1090" priority="37">
      <formula>ABS(J$25-J$28)&gt;=1000</formula>
    </cfRule>
  </conditionalFormatting>
  <conditionalFormatting sqref="K23:K29 L25 L28">
    <cfRule type="expression" dxfId="1089" priority="36">
      <formula>ABS(K$25-K$28)&gt;=1000</formula>
    </cfRule>
  </conditionalFormatting>
  <conditionalFormatting sqref="L22 L26:L27 L29 L24">
    <cfRule type="expression" dxfId="1088" priority="35">
      <formula>ABS(L$25-L$28)&gt;=1000</formula>
    </cfRule>
  </conditionalFormatting>
  <conditionalFormatting sqref="M22:M29">
    <cfRule type="expression" dxfId="1087" priority="34">
      <formula>ABS(M$25-M$28)&gt;=1000</formula>
    </cfRule>
  </conditionalFormatting>
  <conditionalFormatting sqref="N22:N29">
    <cfRule type="expression" dxfId="1086" priority="33">
      <formula>ABS(N$25-N$28)&gt;=1000</formula>
    </cfRule>
  </conditionalFormatting>
  <conditionalFormatting sqref="O22:O29">
    <cfRule type="expression" dxfId="1085" priority="32">
      <formula>ABS(O$25-O$28)&gt;=1000</formula>
    </cfRule>
  </conditionalFormatting>
  <conditionalFormatting sqref="P22:P29">
    <cfRule type="expression" dxfId="1084" priority="31">
      <formula>ABS(P$25-P$28)&gt;=1000</formula>
    </cfRule>
  </conditionalFormatting>
  <conditionalFormatting sqref="Q22:Q29">
    <cfRule type="expression" dxfId="1083" priority="30">
      <formula>ABS(Q$25-Q$28)&gt;=1000</formula>
    </cfRule>
  </conditionalFormatting>
  <conditionalFormatting sqref="R22:R29">
    <cfRule type="expression" dxfId="1082" priority="29">
      <formula>ABS(R$25-R$28)&gt;=1000</formula>
    </cfRule>
  </conditionalFormatting>
  <conditionalFormatting sqref="S22:S29">
    <cfRule type="expression" dxfId="1081" priority="28">
      <formula>ABS(S$25-S$28)&gt;=1000</formula>
    </cfRule>
  </conditionalFormatting>
  <conditionalFormatting sqref="T22:T29">
    <cfRule type="expression" dxfId="1080" priority="27">
      <formula>ABS(T$25-T$28)&gt;=1000</formula>
    </cfRule>
  </conditionalFormatting>
  <conditionalFormatting sqref="U22:U29">
    <cfRule type="expression" dxfId="1079" priority="26">
      <formula>ABS(U$25-U$28)&gt;=1000</formula>
    </cfRule>
  </conditionalFormatting>
  <conditionalFormatting sqref="V22:V29">
    <cfRule type="expression" dxfId="1078" priority="25">
      <formula>ABS(V$25-V$28)&gt;=1000</formula>
    </cfRule>
  </conditionalFormatting>
  <conditionalFormatting sqref="W22:W29">
    <cfRule type="expression" dxfId="1077" priority="24">
      <formula>ABS(W$25-W$28)&gt;=1000</formula>
    </cfRule>
  </conditionalFormatting>
  <conditionalFormatting sqref="X22:X29">
    <cfRule type="expression" dxfId="1076" priority="23">
      <formula>ABS(X$25-X$28)&gt;=1000</formula>
    </cfRule>
  </conditionalFormatting>
  <conditionalFormatting sqref="Y22:Y29">
    <cfRule type="expression" dxfId="1075" priority="22">
      <formula>ABS(Y$25-Y$28)&gt;=1000</formula>
    </cfRule>
  </conditionalFormatting>
  <conditionalFormatting sqref="I23">
    <cfRule type="expression" dxfId="1074" priority="21">
      <formula>ABS(I$25-I$28)&gt;=1000</formula>
    </cfRule>
  </conditionalFormatting>
  <conditionalFormatting sqref="Q14">
    <cfRule type="expression" dxfId="1073" priority="20">
      <formula>ABS(Q$16-Q$19)&gt;=1000</formula>
    </cfRule>
  </conditionalFormatting>
  <conditionalFormatting sqref="W14">
    <cfRule type="expression" dxfId="1072" priority="19">
      <formula>ABS(W$16-W$19)&gt;=1000</formula>
    </cfRule>
  </conditionalFormatting>
  <conditionalFormatting sqref="Y14">
    <cfRule type="expression" dxfId="1071" priority="18">
      <formula>ABS(Y$16-Y$19)&gt;=1000</formula>
    </cfRule>
  </conditionalFormatting>
  <conditionalFormatting sqref="X14">
    <cfRule type="expression" dxfId="1070" priority="17">
      <formula>ABS(X$16-X$19)&gt;=1000</formula>
    </cfRule>
  </conditionalFormatting>
  <conditionalFormatting sqref="T10:Y10">
    <cfRule type="expression" dxfId="1069" priority="16">
      <formula>ABS(T$7-T$10)&gt;=1000</formula>
    </cfRule>
  </conditionalFormatting>
  <conditionalFormatting sqref="W19">
    <cfRule type="expression" dxfId="1068" priority="15">
      <formula>ABS(W$16-W$19)&gt;=1000</formula>
    </cfRule>
  </conditionalFormatting>
  <conditionalFormatting sqref="AC5">
    <cfRule type="expression" dxfId="1067" priority="14">
      <formula>ABS(AC$7-AC$10)&gt;=1000</formula>
    </cfRule>
  </conditionalFormatting>
  <conditionalFormatting sqref="M14">
    <cfRule type="expression" dxfId="1066" priority="13">
      <formula>ABS(M$16-M$19)&gt;=1000</formula>
    </cfRule>
  </conditionalFormatting>
  <conditionalFormatting sqref="M16">
    <cfRule type="expression" dxfId="1065" priority="12">
      <formula>ABS(M$16-M$19)&gt;=1000</formula>
    </cfRule>
  </conditionalFormatting>
  <conditionalFormatting sqref="M19">
    <cfRule type="expression" dxfId="1064" priority="11">
      <formula>ABS(M$16-M$19)&gt;=1000</formula>
    </cfRule>
  </conditionalFormatting>
  <conditionalFormatting sqref="K13:K20">
    <cfRule type="expression" dxfId="1063" priority="10">
      <formula>ABS(K$16-K$19)&gt;=1000</formula>
    </cfRule>
  </conditionalFormatting>
  <conditionalFormatting sqref="E5">
    <cfRule type="expression" dxfId="1062" priority="9">
      <formula>ABS(E$7-E$10)&gt;=1000</formula>
    </cfRule>
  </conditionalFormatting>
  <conditionalFormatting sqref="AB14:AC14">
    <cfRule type="expression" dxfId="1061" priority="8">
      <formula>ABS(AB$16-AB$19)&gt;=1000</formula>
    </cfRule>
  </conditionalFormatting>
  <conditionalFormatting sqref="M5">
    <cfRule type="expression" dxfId="1060" priority="7">
      <formula>ABS(M$7-M$10)&gt;=1000</formula>
    </cfRule>
  </conditionalFormatting>
  <conditionalFormatting sqref="N5">
    <cfRule type="expression" dxfId="1059" priority="6">
      <formula>ABS(N$7-N$10)&gt;=1000</formula>
    </cfRule>
  </conditionalFormatting>
  <conditionalFormatting sqref="O5">
    <cfRule type="expression" dxfId="1058" priority="5">
      <formula>ABS(O$7-O$10)&gt;=1000</formula>
    </cfRule>
  </conditionalFormatting>
  <conditionalFormatting sqref="P5">
    <cfRule type="expression" dxfId="1057" priority="4">
      <formula>ABS(P$7-P$10)&gt;=1000</formula>
    </cfRule>
  </conditionalFormatting>
  <conditionalFormatting sqref="L23">
    <cfRule type="expression" dxfId="1056" priority="3">
      <formula>ABS(L$25-L$28)&gt;=1000</formula>
    </cfRule>
  </conditionalFormatting>
  <conditionalFormatting sqref="F14">
    <cfRule type="expression" dxfId="1055" priority="2">
      <formula>ABS(F$16-F$19)&gt;=1000</formula>
    </cfRule>
  </conditionalFormatting>
  <conditionalFormatting sqref="AE5">
    <cfRule type="expression" dxfId="1054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1529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26">
    <pageSetUpPr fitToPage="1"/>
  </sheetPr>
  <dimension ref="A1:CU223"/>
  <sheetViews>
    <sheetView view="pageBreakPreview" zoomScale="80" zoomScaleNormal="100" zoomScaleSheetLayoutView="80" workbookViewId="0">
      <selection activeCell="AF5" sqref="AF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45918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47" t="s" ph="1">
        <v>177</v>
      </c>
      <c r="D6" s="71">
        <v>4358</v>
      </c>
      <c r="E6" s="71">
        <v>9070</v>
      </c>
      <c r="F6" s="71">
        <v>5782</v>
      </c>
      <c r="G6" s="71">
        <v>8422</v>
      </c>
      <c r="H6" s="71">
        <v>8938</v>
      </c>
      <c r="I6" s="71">
        <v>18.05</v>
      </c>
      <c r="J6" s="71">
        <v>6.98</v>
      </c>
      <c r="K6" s="71">
        <v>46.25</v>
      </c>
      <c r="L6" s="71">
        <v>12.26</v>
      </c>
      <c r="M6" s="71">
        <v>2229</v>
      </c>
      <c r="N6" s="71">
        <v>5196</v>
      </c>
      <c r="O6" s="71">
        <v>738</v>
      </c>
      <c r="P6" s="71">
        <v>6410</v>
      </c>
      <c r="Q6" s="71">
        <v>0</v>
      </c>
      <c r="R6" s="71">
        <v>0</v>
      </c>
      <c r="S6" s="71">
        <v>0</v>
      </c>
      <c r="T6" s="71">
        <v>7155</v>
      </c>
      <c r="U6" s="71">
        <v>5489</v>
      </c>
      <c r="V6" s="71">
        <v>0</v>
      </c>
      <c r="W6" s="71">
        <v>0</v>
      </c>
      <c r="X6" s="71">
        <v>0</v>
      </c>
      <c r="Y6" s="71">
        <v>0</v>
      </c>
      <c r="Z6" s="71">
        <v>4436</v>
      </c>
      <c r="AA6" s="71">
        <v>875</v>
      </c>
      <c r="AB6" s="71">
        <v>2608</v>
      </c>
      <c r="AC6" s="71">
        <v>899</v>
      </c>
      <c r="AD6" s="71">
        <v>4010</v>
      </c>
      <c r="AE6" s="71">
        <v>3650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136115.58755249999</v>
      </c>
      <c r="E7" s="73" ph="1">
        <f>E6*51.53*LOOKUP(E8,密度!$A$2:$A$50,密度!$B$2:$B$50)</f>
        <v>361936.82624000002</v>
      </c>
      <c r="F7" s="73" ph="1">
        <f>F6*33.183*LOOKUP(F8,密度!$A$2:$A$50,密度!$C$2:$C$50)</f>
        <v>212316.81969960002</v>
      </c>
      <c r="G7" s="73" ph="1">
        <f xml:space="preserve"> (G6+2)*51.53*LOOKUP(G8,密度!$A$2:$A$50,密度!$B$2:$B$50)</f>
        <v>336548.98461600003</v>
      </c>
      <c r="H7" s="73" ph="1">
        <f>(H6)*51.53*LOOKUP(H8,密度!$A$2:$A$50,密度!$B$2:$B$50)</f>
        <v>357083.90604199999</v>
      </c>
      <c r="I7" s="73" ph="1">
        <f>I6*290.8*1.0267</f>
        <v>5389.0866980000001</v>
      </c>
      <c r="J7" s="73" ph="1">
        <f>J6*290.8*0.7892</f>
        <v>1601.9055328000002</v>
      </c>
      <c r="K7" s="73" ph="1">
        <f>K6*290.8*1.1126</f>
        <v>14963.913700000001</v>
      </c>
      <c r="L7" s="73" ph="1">
        <f>L6*290.8*0.777</f>
        <v>2770.166616</v>
      </c>
      <c r="M7" s="73" ph="1">
        <f>M6*33.183*LOOKUP(M8,密度!$A$2:$A$50,密度!$D$2:$D$50)</f>
        <v>75525.566537699997</v>
      </c>
      <c r="N7" s="73" ph="1">
        <f>N6*33.183*LOOKUP(N8,密度!$A$2:$A$50,密度!$E$2:$E$50)</f>
        <v>133874.63005859999</v>
      </c>
      <c r="O7" s="73" ph="1">
        <f>O6*20.428*LOOKUP(O8,密度!$A$2:$A$50,密度!$C$2:$C$50)</f>
        <v>16645.261442400002</v>
      </c>
      <c r="P7" s="73" ph="1">
        <f>P6*51.53*LOOKUP(P8,密度!$A$2:$A$50,密度!$B$2:$B$50)</f>
        <v>256384.52625999998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47440.131353999997</v>
      </c>
      <c r="U7" s="73" ph="1">
        <f>U6*1.5*1.5*3.1416*LOOKUP(U8,密度!$A$2:$A$50,密度!$L$2:$L$50)</f>
        <v>36238.775403600004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137337.40220400001</v>
      </c>
      <c r="AA7" s="73" ph="1">
        <f>AA6*33.183*LOOKUP(AA8,密度!$A$2:$A$50,密度!$D$2:$D$50)</f>
        <v>29700.029362499998</v>
      </c>
      <c r="AB7" s="73" ph="1">
        <f>AB6*20.428*LOOKUP(AB8,密度!$A$2:$A$50,密度!$D$2:$D$50)</f>
        <v>54746.647782400003</v>
      </c>
      <c r="AC7" s="73" ph="1">
        <f>AC6*51.53*LOOKUP(AC8,密度!$A$2:$A$50,密度!$Q$2:$Q$50)</f>
        <v>43792.393300400006</v>
      </c>
      <c r="AD7" s="73" ph="1">
        <f>AD6*20.428*LOOKUP(AD8,密度!$A$2:$A$50,密度!$V$2:$V$50)</f>
        <v>78443.029727999994</v>
      </c>
      <c r="AE7" s="73" ph="1">
        <f>AE6*20.428</f>
        <v>74562.2</v>
      </c>
    </row>
    <row r="8" spans="1:99" ph="1">
      <c r="B8" s="182" ph="1"/>
      <c r="C8" s="68" t="s" ph="1">
        <v>179</v>
      </c>
      <c r="D8" s="74">
        <v>33</v>
      </c>
      <c r="E8" s="74">
        <v>31</v>
      </c>
      <c r="F8" s="74">
        <v>28</v>
      </c>
      <c r="G8" s="74">
        <v>30</v>
      </c>
      <c r="H8" s="74">
        <v>30</v>
      </c>
      <c r="I8" s="74">
        <v>25</v>
      </c>
      <c r="J8" s="74">
        <v>25</v>
      </c>
      <c r="K8" s="74">
        <v>25</v>
      </c>
      <c r="L8" s="74">
        <v>25</v>
      </c>
      <c r="M8" s="74">
        <v>31</v>
      </c>
      <c r="N8" s="74">
        <v>31</v>
      </c>
      <c r="O8" s="74">
        <v>31</v>
      </c>
      <c r="P8" s="74">
        <v>29</v>
      </c>
      <c r="Q8" s="74">
        <v>28</v>
      </c>
      <c r="R8" s="74">
        <v>32</v>
      </c>
      <c r="S8" s="74">
        <v>23</v>
      </c>
      <c r="T8" s="74">
        <v>24</v>
      </c>
      <c r="U8" s="74">
        <v>28</v>
      </c>
      <c r="V8" s="74">
        <v>27</v>
      </c>
      <c r="W8" s="74">
        <v>27</v>
      </c>
      <c r="X8" s="74">
        <v>19</v>
      </c>
      <c r="Y8" s="74">
        <v>27</v>
      </c>
      <c r="Z8" s="74">
        <v>29</v>
      </c>
      <c r="AA8" s="74">
        <v>29</v>
      </c>
      <c r="AB8" s="74">
        <v>24</v>
      </c>
      <c r="AC8" s="74">
        <v>27</v>
      </c>
      <c r="AD8" s="74">
        <v>28</v>
      </c>
      <c r="AE8" s="74">
        <v>32</v>
      </c>
    </row>
    <row r="9" spans="1:99" ht="26.4" ph="1">
      <c r="B9" s="182" ph="1">
        <v>0.66666666666666663</v>
      </c>
      <c r="C9" s="147" t="s" ph="1">
        <v>180</v>
      </c>
      <c r="D9" s="71">
        <v>4646</v>
      </c>
      <c r="E9" s="71">
        <v>9070</v>
      </c>
      <c r="F9" s="71">
        <v>5530</v>
      </c>
      <c r="G9" s="71">
        <v>7551</v>
      </c>
      <c r="H9" s="71">
        <v>8941</v>
      </c>
      <c r="I9" s="71">
        <v>18.07</v>
      </c>
      <c r="J9" s="71">
        <v>6.98</v>
      </c>
      <c r="K9" s="71">
        <v>10.7</v>
      </c>
      <c r="L9" s="71">
        <v>9.5299999999999994</v>
      </c>
      <c r="M9" s="71">
        <v>2014</v>
      </c>
      <c r="N9" s="71">
        <v>5198</v>
      </c>
      <c r="O9" s="71">
        <v>1456</v>
      </c>
      <c r="P9" s="71">
        <v>6025</v>
      </c>
      <c r="Q9" s="71">
        <v>0</v>
      </c>
      <c r="R9" s="71">
        <v>0</v>
      </c>
      <c r="S9" s="71">
        <v>0</v>
      </c>
      <c r="T9" s="71">
        <v>3580</v>
      </c>
      <c r="U9" s="71">
        <v>7015</v>
      </c>
      <c r="V9" s="71">
        <v>3246</v>
      </c>
      <c r="W9" s="71">
        <v>0</v>
      </c>
      <c r="X9" s="71">
        <v>0</v>
      </c>
      <c r="Y9" s="71">
        <v>0</v>
      </c>
      <c r="Z9" s="71">
        <v>2942</v>
      </c>
      <c r="AA9" s="71">
        <v>781</v>
      </c>
      <c r="AB9" s="71">
        <v>2609</v>
      </c>
      <c r="AC9" s="71">
        <v>939</v>
      </c>
      <c r="AD9" s="71">
        <v>4010</v>
      </c>
      <c r="AE9" s="71">
        <v>3510</v>
      </c>
    </row>
    <row r="10" spans="1:99" s="72" customFormat="1" ht="22.2" ph="1">
      <c r="B10" s="182" ph="1"/>
      <c r="C10" s="147" t="s" ph="1">
        <v>178</v>
      </c>
      <c r="D10" s="73" ph="1">
        <f>D9*33.183*LOOKUP(D11,密度!$A$2:$A$50,密度!$Q$2:$Q$50)</f>
        <v>145211.04453419999</v>
      </c>
      <c r="E10" s="73" ph="1">
        <f>E9*51.53*LOOKUP(E11,密度!$A$2:$A$50,密度!$B$2:$B$50)</f>
        <v>362357.46563000005</v>
      </c>
      <c r="F10" s="73" ph="1">
        <f>F9*33.183*LOOKUP(F11,密度!$A$2:$A$50,密度!$C$2:$C$50)</f>
        <v>203063.302134</v>
      </c>
      <c r="G10" s="73" ph="1">
        <f xml:space="preserve"> (G9+2)*51.53*LOOKUP(G11,密度!$A$2:$A$50,密度!$B$2:$B$50)</f>
        <v>301401.19609600003</v>
      </c>
      <c r="H10" s="73" ph="1">
        <f>(H9)*51.53*LOOKUP(H11,密度!$A$2:$A$50,密度!$B$2:$B$50)</f>
        <v>357987.00020999997</v>
      </c>
      <c r="I10" s="73" ph="1">
        <f>I9*290.8*1.0267</f>
        <v>5395.0579852000001</v>
      </c>
      <c r="J10" s="73" ph="1">
        <f>J9*290.8*0.7892</f>
        <v>1601.9055328000002</v>
      </c>
      <c r="K10" s="73" ph="1">
        <f>K9*290.8*1.1126</f>
        <v>3461.921656</v>
      </c>
      <c r="L10" s="73" ph="1">
        <f>L9*290.8*0.777</f>
        <v>2153.3187480000001</v>
      </c>
      <c r="M10" s="73" ph="1">
        <f>M9*33.183*LOOKUP(M11,密度!$A$2:$A$50,密度!$D$2:$D$50)</f>
        <v>68240.686858200002</v>
      </c>
      <c r="N10" s="73" ph="1">
        <f>N9*33.183*LOOKUP(N11,密度!$A$2:$A$50,密度!$E$2:$E$50)</f>
        <v>133731.25162488001</v>
      </c>
      <c r="O10" s="73" ph="1">
        <f>O9*20.428*LOOKUP(O11,密度!$A$2:$A$50,密度!$C$2:$C$50)</f>
        <v>32714.510483200003</v>
      </c>
      <c r="P10" s="73" ph="1">
        <f>P9*51.53*LOOKUP(P11,密度!$A$2:$A$50,密度!$B$2:$B$50)</f>
        <v>240706.03422500001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23711.335956000003</v>
      </c>
      <c r="U10" s="73" ph="1">
        <f>U9*1.5*1.5*3.1416*LOOKUP(U11,密度!$A$2:$A$50,密度!$L$2:$L$50)</f>
        <v>46263.951657000005</v>
      </c>
      <c r="V10" s="73" ph="1">
        <f>V9*1.5*1.5*3.1416*LOOKUP(V11,密度!$A$2:$A$50,密度!$L$2:$L$50)</f>
        <v>21430.3270104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91376.425296000001</v>
      </c>
      <c r="AA10" s="73" ph="1">
        <f>AA9*33.183*LOOKUP(AA11,密度!$A$2:$A$50,密度!$D$2:$D$50)</f>
        <v>26462.748975299997</v>
      </c>
      <c r="AB10" s="73" ph="1">
        <f>AB9*20.428*LOOKUP(AB11,密度!$A$2:$A$50,密度!$D$2:$D$50)</f>
        <v>54671.705621600006</v>
      </c>
      <c r="AC10" s="73" ph="1">
        <f>AC9*51.53*LOOKUP(AC11,密度!$A$2:$A$50,密度!$Q$2:$Q$50)</f>
        <v>45644.597411099996</v>
      </c>
      <c r="AD10" s="73" ph="1">
        <f>AD9*20.428*LOOKUP(AD11,密度!$A$2:$A$50,密度!$V$2:$V$50)</f>
        <v>78443.029727999994</v>
      </c>
      <c r="AE10" s="73" ph="1">
        <f>AE9*20.428</f>
        <v>71702.28</v>
      </c>
    </row>
    <row r="11" spans="1:99" ph="1">
      <c r="A11" s="64" t="s" ph="1">
        <v>162</v>
      </c>
      <c r="B11" s="182" ph="1"/>
      <c r="C11" s="147" t="s" ph="1">
        <v>179</v>
      </c>
      <c r="D11" s="74">
        <v>32</v>
      </c>
      <c r="E11" s="74">
        <v>30</v>
      </c>
      <c r="F11" s="74">
        <v>28</v>
      </c>
      <c r="G11" s="74">
        <v>31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32</v>
      </c>
      <c r="O11" s="74">
        <v>35</v>
      </c>
      <c r="P11" s="74">
        <v>30</v>
      </c>
      <c r="Q11" s="74">
        <v>31</v>
      </c>
      <c r="R11" s="74">
        <v>36</v>
      </c>
      <c r="S11" s="74">
        <v>26</v>
      </c>
      <c r="T11" s="74">
        <v>25</v>
      </c>
      <c r="U11" s="74">
        <v>29</v>
      </c>
      <c r="V11" s="74">
        <v>28</v>
      </c>
      <c r="W11" s="74">
        <v>31</v>
      </c>
      <c r="X11" s="74">
        <v>23</v>
      </c>
      <c r="Y11" s="74">
        <v>31</v>
      </c>
      <c r="Z11" s="74">
        <v>26</v>
      </c>
      <c r="AA11" s="74">
        <v>31</v>
      </c>
      <c r="AB11" s="74">
        <v>26</v>
      </c>
      <c r="AC11" s="74">
        <v>30</v>
      </c>
      <c r="AD11" s="74">
        <v>30</v>
      </c>
      <c r="AE11" s="74">
        <v>33</v>
      </c>
    </row>
    <row r="12" spans="1:99" ht="9.9" customHeight="1" ph="1"/>
    <row r="13" spans="1:99" s="72" customFormat="1" ht="29.25" customHeight="1" ph="1">
      <c r="B13" s="190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150" t="s" ph="1">
        <v>643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47" t="s" ph="1">
        <v>177</v>
      </c>
      <c r="D15" s="78">
        <v>3254</v>
      </c>
      <c r="E15" s="78">
        <v>6064</v>
      </c>
      <c r="F15" s="78">
        <v>2208</v>
      </c>
      <c r="G15" s="78">
        <v>4112</v>
      </c>
      <c r="H15" s="78">
        <v>1971</v>
      </c>
      <c r="I15" s="78">
        <v>2674</v>
      </c>
      <c r="J15" s="78">
        <v>2788</v>
      </c>
      <c r="K15" s="78">
        <v>4066</v>
      </c>
      <c r="L15" s="78">
        <v>3450</v>
      </c>
      <c r="M15" s="78">
        <v>6704</v>
      </c>
      <c r="N15" s="78">
        <v>1106</v>
      </c>
      <c r="O15" s="78">
        <v>2906</v>
      </c>
      <c r="P15" s="78">
        <v>6961</v>
      </c>
      <c r="Q15" s="78">
        <v>5108</v>
      </c>
      <c r="R15" s="78">
        <v>4385</v>
      </c>
      <c r="S15" s="78">
        <v>3992</v>
      </c>
      <c r="T15" s="78">
        <v>5245</v>
      </c>
      <c r="U15" s="78">
        <v>2222</v>
      </c>
      <c r="V15" s="78">
        <v>850</v>
      </c>
      <c r="W15" s="71">
        <v>2242</v>
      </c>
      <c r="X15" s="78">
        <v>1277</v>
      </c>
      <c r="Y15" s="106">
        <v>-9906</v>
      </c>
      <c r="Z15" s="78">
        <v>0</v>
      </c>
      <c r="AA15" s="78">
        <v>6</v>
      </c>
      <c r="AB15" s="78" ph="1">
        <v>1099</v>
      </c>
      <c r="AC15" s="78" ph="1">
        <v>2161</v>
      </c>
      <c r="AD15" s="78">
        <v>35.19</v>
      </c>
      <c r="AE15" s="78">
        <v>5.92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47" t="s" ph="1">
        <v>178</v>
      </c>
      <c r="D16" s="73" ph="1">
        <f>D15*7.0686*LOOKUP(D17,密度!$A$2:$A$50,密度!$L$2:$L$50)</f>
        <v>21437.141140800002</v>
      </c>
      <c r="E16" s="73" ph="1">
        <f>E15*7.0686*LOOKUP(E17,密度!$A$2:$A$50,密度!$L$2:$L$50)</f>
        <v>39949.239052800003</v>
      </c>
      <c r="F16" s="73" ph="1">
        <f>F15*9.0746*LOOKUP(F17,密度!$A$2:$A$50,密度!$L$2:$L$50)</f>
        <v>18674.220057600003</v>
      </c>
      <c r="G16" s="73" ph="1">
        <f>G15*9.0746*LOOKUP(G17,密度!$A$2:$A$50,密度!$B$2:$B$50)</f>
        <v>28993.5647904</v>
      </c>
      <c r="H16" s="73" ph="1">
        <f>H15*9.0746*LOOKUP(H17,密度!$A$2:$A$50,密度!$L$2:$L$50)</f>
        <v>16705.558184400001</v>
      </c>
      <c r="I16" s="73" ph="1">
        <f>I15*9.0746*LOOKUP(I17,密度!$A$2:$A$50,密度!$U$2:$U$50)</f>
        <v>24799.320968800002</v>
      </c>
      <c r="J16" s="73" ph="1">
        <f>J15*9.0746*LOOKUP(J17,密度!$A$2:$A$50,密度!$L$2:$L$50)</f>
        <v>23604.885818400002</v>
      </c>
      <c r="K16" s="73" ph="1">
        <f>K15*9.0746*LOOKUP(K17,密度!$A$2:$A$50,密度!$C$2:$C$50)</f>
        <v>40775.232310359999</v>
      </c>
      <c r="L16" s="73" ph="1">
        <f>L15*9.0746*LOOKUP(L17,密度!$A$2:$A$50,密度!$E$2:$E$50)</f>
        <v>24344.610911999996</v>
      </c>
      <c r="M16" s="73" ph="1">
        <f>M15*9.0746*LOOKUP(M17,密度!$A$2:$A$50,密度!$M$2:$M$50)</f>
        <v>52921.339396160001</v>
      </c>
      <c r="N16" s="73" ph="1">
        <f>N15*9.0746*LOOKUP(N17,密度!$A$2:$A$50,密度!$M$2:$M$50)</f>
        <v>8772.9112931600012</v>
      </c>
      <c r="O16" s="73" ph="1">
        <f>O15*9.0746*LOOKUP(O17,密度!$A$2:$A$50,密度!$G$2:$G$50)</f>
        <v>25207.83586684</v>
      </c>
      <c r="P16" s="73" ph="1">
        <f ca="1">P15*9.0746*LOOKUP(P17,密度!$A$2:$A$51,密度!$Q$2:$Q$50)</f>
        <v>59541.167353748002</v>
      </c>
      <c r="Q16" s="73" ph="1">
        <f>Q15*9.0746*LOOKUP(Q17,密度!$A$2:$A$50,密度!$Q$2:$Q$50)</f>
        <v>43726.229071144</v>
      </c>
      <c r="R16" s="73" ph="1">
        <f>MAX(R15*9.0746*LOOKUP(R17,密度!$A$2:$A$50,密度!$B$2:$B$50),0)</f>
        <v>30815.018502399998</v>
      </c>
      <c r="S16" s="73" ph="1">
        <f>S15*9.0746*LOOKUP(S17,密度!$A$2:$A$50,密度!$Q$2:$Q$50)</f>
        <v>34172.886932656002</v>
      </c>
      <c r="T16" s="73" ph="1">
        <f>T15*9.0746*LOOKUP(T17,密度!$A$2:$A$50,密度!$O$2:$O$50)</f>
        <v>43921.844415599997</v>
      </c>
      <c r="U16" s="73" ph="1">
        <f>U15*9.0746*LOOKUP(U17,密度!$A$2:$A$50,密度!$H$2:$H$50)</f>
        <v>18349.022692000002</v>
      </c>
      <c r="V16" s="73" ph="1">
        <f>MAX(5600*LOOKUP(V17,密度!$A$2:$A$50,密度!$Q$2:$Q$50)+V15*9.0476*LOOKUP(V17,密度!$A$2:$A$50,密度!$Q$2:$Q$50),0)</f>
        <v>12527.321786799999</v>
      </c>
      <c r="W16" s="73" ph="1">
        <f>MAX(5600*LOOKUP(W17,密度!$A$2:$A$50,密度!$Q$2:$Q$50)+W15*9.0476*LOOKUP(W17,密度!$A$2:$A$50,密度!$Q$2:$Q$50),0)</f>
        <v>24380.817014479999</v>
      </c>
      <c r="X16" s="73" ph="1">
        <f>MAX(5600*LOOKUP(X17,密度!$A$2:$A$50,密度!$I$2:$I$50)+X15*9.0476*LOOKUP(X17,密度!$A$2:$A$50,密度!$I$2:$I$50),0)</f>
        <v>17762.916112451996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42.354788040000003</v>
      </c>
      <c r="AB16" s="73" ph="1">
        <f>AB15*9.0746*LOOKUP(AB17,密度!$A$2:$A$50,密度!$L$2:$L$50)</f>
        <v>9314.7683636000002</v>
      </c>
      <c r="AC16" s="73" ph="1">
        <f>AC15*9.0746*LOOKUP(AC17,密度!$A$2:$A$50,密度!$L$2:$L$50)</f>
        <v>18296.326489800002</v>
      </c>
      <c r="AD16" s="73" ph="1">
        <f>AD15*268.68*LOOKUP(AD17,密度!$A$2:$A$50,密度!B2:B50)+IF(AD15&lt;=0,0,1566*LOOKUP(AD17,密度!$A$2:$A$50,密度!B2:B50))</f>
        <v>8591.8540363199991</v>
      </c>
      <c r="AE16" s="73" ph="1">
        <f>AE15*268.68*LOOKUP(AE17,密度!$A$2:$A$50,密度!B2:B50)+IF(AE15&lt;=0,0,1566*LOOKUP(AE17,密度!$A$2:$A$50,密度!B2:B50))</f>
        <v>2460.8741337599999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30</v>
      </c>
      <c r="E17" s="74">
        <v>30</v>
      </c>
      <c r="F17" s="74">
        <v>30</v>
      </c>
      <c r="G17" s="74">
        <v>28</v>
      </c>
      <c r="H17" s="74">
        <v>28</v>
      </c>
      <c r="I17" s="74">
        <v>28</v>
      </c>
      <c r="J17" s="74">
        <v>29</v>
      </c>
      <c r="K17" s="74">
        <v>30</v>
      </c>
      <c r="L17" s="74">
        <v>30</v>
      </c>
      <c r="M17" s="74">
        <v>30</v>
      </c>
      <c r="N17" s="74">
        <v>26</v>
      </c>
      <c r="O17" s="74">
        <v>29</v>
      </c>
      <c r="P17" s="74">
        <v>31</v>
      </c>
      <c r="Q17" s="74">
        <v>30</v>
      </c>
      <c r="R17" s="74">
        <v>31</v>
      </c>
      <c r="S17" s="74">
        <v>30</v>
      </c>
      <c r="T17" s="74">
        <v>31</v>
      </c>
      <c r="U17" s="74">
        <v>30</v>
      </c>
      <c r="V17" s="74">
        <v>31</v>
      </c>
      <c r="W17" s="74">
        <v>32</v>
      </c>
      <c r="X17" s="74">
        <v>31</v>
      </c>
      <c r="Y17" s="108">
        <v>31</v>
      </c>
      <c r="Z17" s="74">
        <v>28</v>
      </c>
      <c r="AA17" s="74">
        <v>27</v>
      </c>
      <c r="AB17" s="74">
        <v>28</v>
      </c>
      <c r="AC17" s="74">
        <v>29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4456</v>
      </c>
      <c r="E18" s="71">
        <v>5990</v>
      </c>
      <c r="F18" s="71">
        <v>2285</v>
      </c>
      <c r="G18" s="71">
        <v>4160</v>
      </c>
      <c r="H18" s="71">
        <v>1972</v>
      </c>
      <c r="I18" s="71">
        <v>2675</v>
      </c>
      <c r="J18" s="71">
        <v>1403</v>
      </c>
      <c r="K18" s="71">
        <v>4067</v>
      </c>
      <c r="L18" s="71">
        <v>3455</v>
      </c>
      <c r="M18" s="71">
        <v>5694</v>
      </c>
      <c r="N18" s="71">
        <v>348</v>
      </c>
      <c r="O18" s="71">
        <v>3262</v>
      </c>
      <c r="P18" s="71">
        <v>6965</v>
      </c>
      <c r="Q18" s="71">
        <v>5110</v>
      </c>
      <c r="R18" s="71">
        <v>3230</v>
      </c>
      <c r="S18" s="71">
        <v>6241</v>
      </c>
      <c r="T18" s="71">
        <v>4586</v>
      </c>
      <c r="U18" s="71">
        <v>2222</v>
      </c>
      <c r="V18" s="71">
        <v>850</v>
      </c>
      <c r="W18" s="71">
        <v>2241</v>
      </c>
      <c r="X18" s="71">
        <v>1276</v>
      </c>
      <c r="Y18" s="109">
        <v>-9908</v>
      </c>
      <c r="Z18" s="71">
        <v>0</v>
      </c>
      <c r="AA18" s="71">
        <v>8</v>
      </c>
      <c r="AB18" s="71">
        <v>1099</v>
      </c>
      <c r="AC18" s="71">
        <v>2162</v>
      </c>
      <c r="AD18" s="71">
        <v>72.930000000000007</v>
      </c>
      <c r="AE18" s="71">
        <v>5.87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47" t="s" ph="1">
        <v>178</v>
      </c>
      <c r="D19" s="73" ph="1">
        <f>D18*7.0686*LOOKUP(D20,密度!$A$2:$A$50,密度!$L$2:$L$50)</f>
        <v>29324.341569600001</v>
      </c>
      <c r="E19" s="73" ph="1">
        <f>E18*7.0686*LOOKUP(E20,密度!$A$2:$A$50,密度!$L$2:$L$50)</f>
        <v>39419.390934000003</v>
      </c>
      <c r="F19" s="73" ph="1">
        <f>F18*9.0746*LOOKUP(F20,密度!$A$2:$A$50,密度!$L$2:$L$50)</f>
        <v>19283.978729999999</v>
      </c>
      <c r="G19" s="73" ph="1">
        <f>G18*9.0746*LOOKUP(G20,密度!$A$2:$A$50,密度!$B$2:$B$50)</f>
        <v>29267.835500800004</v>
      </c>
      <c r="H19" s="73" ph="1">
        <f>H18*9.0746*LOOKUP(H20,密度!$A$2:$A$50,密度!$L$2:$L$50)</f>
        <v>16731.928972000002</v>
      </c>
      <c r="I19" s="73" ph="1">
        <f>I18*9.0746*LOOKUP(I20,密度!$A$2:$A$50,密度!$U$2:$U$50)</f>
        <v>24735.771545</v>
      </c>
      <c r="J19" s="73" ph="1">
        <f>J18*9.0746*LOOKUP(J20,密度!$A$2:$A$50,密度!$L$2:$L$50)</f>
        <v>11853.178997800002</v>
      </c>
      <c r="K19" s="73" ph="1">
        <f>K18*9.0746*LOOKUP(K20,密度!$A$2:$A$50,密度!$C$2:$C$50)</f>
        <v>40748.354252620004</v>
      </c>
      <c r="L19" s="73" ph="1">
        <f>L18*9.0746*LOOKUP(L20,密度!$A$2:$A$50,密度!$E$2:$E$50)</f>
        <v>24343.837302350003</v>
      </c>
      <c r="M19" s="73" ph="1">
        <f>M18*9.0746*LOOKUP(M20,密度!$A$2:$A$50,密度!$M$2:$M$50)</f>
        <v>44840.929704168004</v>
      </c>
      <c r="N19" s="73" ph="1">
        <f>N18*9.0746*LOOKUP(N20,密度!$A$2:$A$50,密度!$M$2:$M$50)</f>
        <v>2747.1100999200003</v>
      </c>
      <c r="O19" s="73" ph="1">
        <f>O18*9.0746*LOOKUP(O20,密度!$A$2:$A$50,密度!$G$2:$G$50)</f>
        <v>28231.098930691998</v>
      </c>
      <c r="P19" s="73" ph="1">
        <f ca="1">P18*9.0746*LOOKUP(P20,密度!$A$2:$A$51,密度!$Q$2:$Q$50)</f>
        <v>59532.4023791</v>
      </c>
      <c r="Q19" s="73" ph="1">
        <f>Q18*9.0746*LOOKUP(Q20,密度!$A$2:$A$50,密度!$Q$2:$Q$50)</f>
        <v>43646.897647500002</v>
      </c>
      <c r="R19" s="73" ph="1">
        <f>MAX(R18*9.0746*LOOKUP(R20,密度!$A$2:$A$50,密度!$B$2:$B$50),0)</f>
        <v>22672.026013000002</v>
      </c>
      <c r="S19" s="73" ph="1">
        <f>S18*9.0746*LOOKUP(S20,密度!$A$2:$A$50,密度!$Q$2:$Q$50)</f>
        <v>53344.109583339996</v>
      </c>
      <c r="T19" s="73" ph="1">
        <f>T18*9.0746*LOOKUP(T20,密度!$A$2:$A$50,密度!$O$2:$O$50)</f>
        <v>38403.35147568</v>
      </c>
      <c r="U19" s="73" ph="1">
        <f>U18*9.0746*LOOKUP(U20,密度!$A$2:$A$50,密度!$H$2:$H$50)</f>
        <v>18329.867118860002</v>
      </c>
      <c r="V19" s="73" ph="1">
        <f>MAX(5600*LOOKUP(V20,密度!$A$2:$A$50,密度!$Q$2:$Q$50)+V18*9.0476*LOOKUP(V20,密度!$A$2:$A$50,密度!$Q$2:$Q$50),0)</f>
        <v>12509.645474999999</v>
      </c>
      <c r="W19" s="73" ph="1">
        <f>MAX(5600*LOOKUP(W20,密度!$A$2:$A$50,密度!$Q$2:$Q$50)+W18*9.0476*LOOKUP(W20,密度!$A$2:$A$50,密度!$Q$2:$Q$50),0)</f>
        <v>24321.578763703998</v>
      </c>
      <c r="X19" s="73" ph="1">
        <f>MAX(5600*LOOKUP(X20,密度!$A$2:$A$50,密度!$I$2:$I$50)+X18*9.0476*LOOKUP(X20,密度!$A$2:$A$50,密度!$I$2:$I$50),0)</f>
        <v>17753.547232175995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56.218961919999998</v>
      </c>
      <c r="AB19" s="73" ph="1">
        <f>AB18*9.0746*LOOKUP(AB20,密度!$A$2:$A$50,密度!$L$2:$L$50)</f>
        <v>9274.8764219999994</v>
      </c>
      <c r="AC19" s="73" ph="1">
        <f>AC18*9.0746*LOOKUP(AC20,密度!$A$2:$A$50,密度!$L$2:$L$50)</f>
        <v>18285.173806400002</v>
      </c>
      <c r="AD19" s="73" ph="1">
        <f>AD18*268.68*LOOKUP(AD20,密度!$A$2:$A$50,密度!B5:B53)+IF(AD18&lt;=0,0,1566*LOOKUP(AD20,密度!$A$2:$A$50,密度!B5:B53))</f>
        <v>16441.966774800003</v>
      </c>
      <c r="AE19" s="73" ph="1">
        <f>AE18*268.68*LOOKUP(AE20,密度!$A$2:$A$50,密度!B5:B53)+IF(AE18&lt;=0,0,1566*LOOKUP(AE20,密度!$A$2:$A$50,密度!B5:B53))</f>
        <v>2442.2287931999999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31</v>
      </c>
      <c r="E20" s="81">
        <v>31</v>
      </c>
      <c r="F20" s="81">
        <v>32</v>
      </c>
      <c r="G20" s="81">
        <v>30</v>
      </c>
      <c r="H20" s="81">
        <v>27</v>
      </c>
      <c r="I20" s="81">
        <v>31</v>
      </c>
      <c r="J20" s="81">
        <v>31</v>
      </c>
      <c r="K20" s="81">
        <v>31</v>
      </c>
      <c r="L20" s="81">
        <v>31</v>
      </c>
      <c r="M20" s="81">
        <v>32</v>
      </c>
      <c r="N20" s="81">
        <v>30</v>
      </c>
      <c r="O20" s="81">
        <v>31</v>
      </c>
      <c r="P20" s="81">
        <v>32</v>
      </c>
      <c r="Q20" s="81">
        <v>33</v>
      </c>
      <c r="R20" s="81">
        <v>32</v>
      </c>
      <c r="S20" s="81">
        <v>32</v>
      </c>
      <c r="T20" s="81">
        <v>31</v>
      </c>
      <c r="U20" s="81">
        <v>31</v>
      </c>
      <c r="V20" s="81">
        <v>33</v>
      </c>
      <c r="W20" s="81">
        <v>35</v>
      </c>
      <c r="X20" s="81">
        <v>31</v>
      </c>
      <c r="Y20" s="110">
        <v>31</v>
      </c>
      <c r="Z20" s="81">
        <v>32</v>
      </c>
      <c r="AA20" s="81">
        <v>31</v>
      </c>
      <c r="AB20" s="81">
        <v>32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47" t="s" ph="1">
        <v>177</v>
      </c>
      <c r="D24" s="71">
        <v>3.21</v>
      </c>
      <c r="E24" s="71">
        <v>5.45</v>
      </c>
      <c r="F24" s="71">
        <v>2813</v>
      </c>
      <c r="G24" s="71">
        <v>2486</v>
      </c>
      <c r="H24" s="71">
        <v>3152</v>
      </c>
      <c r="I24" s="71">
        <v>3876</v>
      </c>
      <c r="J24" s="71">
        <v>5241</v>
      </c>
      <c r="K24" s="71">
        <v>4160</v>
      </c>
      <c r="L24" s="71">
        <v>5618</v>
      </c>
      <c r="M24" s="71">
        <v>5413</v>
      </c>
      <c r="N24" s="71">
        <v>5538</v>
      </c>
      <c r="O24" s="71">
        <v>5601</v>
      </c>
      <c r="P24" s="71">
        <v>2164</v>
      </c>
      <c r="Q24" s="90">
        <v>5209</v>
      </c>
      <c r="R24" s="71">
        <v>208</v>
      </c>
      <c r="S24" s="71">
        <v>608</v>
      </c>
      <c r="T24" s="71">
        <v>849</v>
      </c>
      <c r="U24" s="71">
        <v>5069</v>
      </c>
      <c r="V24" s="71">
        <v>3031</v>
      </c>
      <c r="W24" s="71">
        <v>1930</v>
      </c>
      <c r="X24" s="71">
        <v>1390</v>
      </c>
      <c r="Y24" s="71">
        <v>1679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2299.1228712719999</v>
      </c>
      <c r="E25" s="91" ph="1">
        <f>E24*268.68*LOOKUP(E26,密度!$A$2:$A$50,密度!$C$2:$C$50)+IF(E24&lt;=0,0,1566*LOOKUP(E26,密度!$A$2:$A$50,密度!$C$2:$C$50))</f>
        <v>3360.3063234000001</v>
      </c>
      <c r="F25" s="91" ph="1">
        <f>F24*11.702*LOOKUP(F26,密度!$A$2:$A$50,密度!$Q$2:$Q$50)</f>
        <v>31052.278467580003</v>
      </c>
      <c r="G25" s="91" ph="1">
        <f>G24*18.322*LOOKUP(G26,密度!$A$2:$A$50,密度!$B$2:$B$50)</f>
        <v>35313.745847599996</v>
      </c>
      <c r="H25" s="91" ph="1">
        <f>H24*18.322*LOOKUP(H26,密度!$A$2:$A$50,密度!$B$2:$B$50)</f>
        <v>44722.331033599992</v>
      </c>
      <c r="I25" s="91" ph="1">
        <f>I24*18.322*LOOKUP(I26,密度!$A$2:$A$50,密度!$Q$2:$Q$50)</f>
        <v>66938.329145759999</v>
      </c>
      <c r="J25" s="91" ph="1">
        <f>J24*18.322*LOOKUP(J26,密度!$A$2:$A$50,密度!$Q$2:$Q$50)</f>
        <v>90583.831134659995</v>
      </c>
      <c r="K25" s="91" ph="1">
        <f>K24*18.322*LOOKUP(K26,密度!$A$2:$A$50,密度!$Q$2:$Q$50)</f>
        <v>71900.159801599992</v>
      </c>
      <c r="L25" s="91" ph="1">
        <f>L24*18.322*LOOKUP(L26,密度!$A$2:$A$50,密度!$Q$2:$Q$50)</f>
        <v>97022.583369679996</v>
      </c>
      <c r="M25" s="91" ph="1">
        <f>M24*18.322*LOOKUP(M26,密度!$A$2:$A$50,密度!$Q$2:$Q$50)</f>
        <v>93482.24346387999</v>
      </c>
      <c r="N25" s="91" ph="1">
        <f>N24*18.322*LOOKUP(N26,密度!$A$2:$A$50,密度!$Q$2:$Q$50)</f>
        <v>95717.087735879992</v>
      </c>
      <c r="O25" s="91" ph="1">
        <f>O24*18.322*LOOKUP(O26,密度!$A$2:$A$50,密度!$C$2:$C$50)</f>
        <v>113304.42244020001</v>
      </c>
      <c r="P25" s="91" ph="1">
        <f>P24*11.702*LOOKUP(P26,密度!$A$2:$A$50,密度!$B$2:$B$50)</f>
        <v>19610.230323200001</v>
      </c>
      <c r="Q25" s="92" ph="1">
        <f>Q24*18.322*LOOKUP(Q26,密度!$A$2:$A$50,密度!$B$2:$B$50)</f>
        <v>73994.087739399998</v>
      </c>
      <c r="R25" s="91" ph="1">
        <f>R24*35.891*LOOKUP(R26,密度!$A$2:$A$50,密度!$C$2:$C$50)</f>
        <v>8249.9339727999995</v>
      </c>
      <c r="S25" s="91" ph="1">
        <f>S24*35.891*LOOKUP(S26,密度!$A$2:$A$50,密度!$B$2:$B$50)</f>
        <v>16898.746163199998</v>
      </c>
      <c r="T25" s="91" ph="1">
        <f>T24*35.891*LOOKUP(T26,密度!$A$2:$A$50,密度!$Q$2:$Q$50)</f>
        <v>28721.787824219999</v>
      </c>
      <c r="U25" s="91" ph="1">
        <f>U24*35.891</f>
        <v>181931.47899999999</v>
      </c>
      <c r="V25" s="91" ph="1">
        <f>V24*47.051*LOOKUP(V26,密度!$A$2:$A$50,密度!$B$2:$B$50)</f>
        <v>110566.7587493</v>
      </c>
      <c r="W25" s="91" ph="1">
        <f>W24*47.051*LOOKUP(W26,密度!$A$2:$A$50,密度!$B$2:$B$50)</f>
        <v>70322.048192000002</v>
      </c>
      <c r="X25" s="91" ph="1">
        <f>X24*47.051*LOOKUP(X26,密度!$A$2:$A$50,密度!$I$2:$I$50)</f>
        <v>67723.275603899994</v>
      </c>
      <c r="Y25" s="91" ph="1">
        <f>Y24*47.051*LOOKUP(Y26,密度!$A$2:$A$50,密度!$L$2:$L$50)</f>
        <v>73626.722227999999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30</v>
      </c>
      <c r="G26" s="74">
        <v>30</v>
      </c>
      <c r="H26" s="74">
        <v>31</v>
      </c>
      <c r="I26" s="74">
        <v>31</v>
      </c>
      <c r="J26" s="74">
        <v>30</v>
      </c>
      <c r="K26" s="74">
        <v>30</v>
      </c>
      <c r="L26" s="74">
        <v>31</v>
      </c>
      <c r="M26" s="74">
        <v>31</v>
      </c>
      <c r="N26" s="74">
        <v>30</v>
      </c>
      <c r="O26" s="74">
        <v>31</v>
      </c>
      <c r="P26" s="74">
        <v>31</v>
      </c>
      <c r="Q26" s="93">
        <v>30</v>
      </c>
      <c r="R26" s="74">
        <v>30</v>
      </c>
      <c r="S26" s="74">
        <v>31</v>
      </c>
      <c r="T26" s="74">
        <v>31</v>
      </c>
      <c r="U26" s="74">
        <v>30</v>
      </c>
      <c r="V26" s="74">
        <v>30</v>
      </c>
      <c r="W26" s="74">
        <v>31</v>
      </c>
      <c r="X26" s="74">
        <v>31</v>
      </c>
      <c r="Y26" s="74">
        <v>30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47" t="s" ph="1">
        <v>180</v>
      </c>
      <c r="D27" s="71">
        <v>3.08</v>
      </c>
      <c r="E27" s="71">
        <v>5.43</v>
      </c>
      <c r="F27" s="71">
        <v>1379</v>
      </c>
      <c r="G27" s="71">
        <v>2477</v>
      </c>
      <c r="H27" s="71">
        <v>2627</v>
      </c>
      <c r="I27" s="71">
        <v>3873</v>
      </c>
      <c r="J27" s="71">
        <v>5243</v>
      </c>
      <c r="K27" s="71">
        <v>5263</v>
      </c>
      <c r="L27" s="71">
        <v>5618</v>
      </c>
      <c r="M27" s="71">
        <v>5413</v>
      </c>
      <c r="N27" s="71">
        <v>5539</v>
      </c>
      <c r="O27" s="71">
        <v>5600</v>
      </c>
      <c r="P27" s="71">
        <v>2166</v>
      </c>
      <c r="Q27" s="90">
        <v>443</v>
      </c>
      <c r="R27" s="71">
        <v>206</v>
      </c>
      <c r="S27" s="71">
        <v>3074</v>
      </c>
      <c r="T27" s="71">
        <v>850</v>
      </c>
      <c r="U27" s="71">
        <v>4947</v>
      </c>
      <c r="V27" s="71">
        <v>3028</v>
      </c>
      <c r="W27" s="71">
        <v>1929</v>
      </c>
      <c r="X27" s="71">
        <v>1388</v>
      </c>
      <c r="Y27" s="71">
        <v>2012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47" t="s" ph="1">
        <v>178</v>
      </c>
      <c r="D28" s="91" ph="1">
        <f>D27*268.68*LOOKUP(D29,密度!$A$2:$A$50,密度!$Q$2:$Q$50)+IF(D27&lt;=0,0,1566*LOOKUP(D29,密度!$A$2:$A$50,密度!$Q$2:$Q$50))</f>
        <v>2266.0547578559999</v>
      </c>
      <c r="E28" s="91" ph="1">
        <f>E27*268.68*LOOKUP(E29,密度!$A$2:$A$50,密度!$C$2:$C$50)+IF(E27&lt;=0,0,1566*LOOKUP(E29,密度!$A$2:$A$50,密度!$C$2:$C$50))</f>
        <v>3354.3475383599998</v>
      </c>
      <c r="F28" s="91" ph="1">
        <f>F27*11.702*LOOKUP(F29,密度!$A$2:$A$50,密度!$Q$2:$Q$50)</f>
        <v>15210.468129639999</v>
      </c>
      <c r="G28" s="91" ph="1">
        <f>G27*18.322*LOOKUP(G29,密度!$A$2:$A$50,密度!$B$2:$B$50)</f>
        <v>35185.900428199995</v>
      </c>
      <c r="H28" s="91" ph="1">
        <f>H27*18.322*LOOKUP(H29,密度!$A$2:$A$50,密度!$B$2:$B$50)</f>
        <v>37316.657418199997</v>
      </c>
      <c r="I28" s="91" ph="1">
        <f>I27*18.322*LOOKUP(I29,密度!$A$2:$A$50,密度!$Q$2:$Q$50)</f>
        <v>66939.740122980002</v>
      </c>
      <c r="J28" s="91" ph="1">
        <f>J27*18.322*LOOKUP(J29,密度!$A$2:$A$50,密度!$Q$2:$Q$50)</f>
        <v>90546.351834679997</v>
      </c>
      <c r="K28" s="91" ph="1">
        <f>K27*18.322*LOOKUP(K29,密度!$A$2:$A$50,密度!$Q$2:$Q$50)</f>
        <v>90964.072364380001</v>
      </c>
      <c r="L28" s="91" ph="1">
        <f>L27*18.322*LOOKUP(L29,密度!$A$2:$A$50,密度!$Q$2:$Q$50)</f>
        <v>97022.583369679996</v>
      </c>
      <c r="M28" s="91" ph="1">
        <f>M27*18.322*LOOKUP(M29,密度!$A$2:$A$50,密度!$Q$2:$Q$50)</f>
        <v>93556.626203379987</v>
      </c>
      <c r="N28" s="91" ph="1">
        <f>N27*18.322*LOOKUP(N29,密度!$A$2:$A$50,密度!$Q$2:$Q$50)</f>
        <v>95658.257259639984</v>
      </c>
      <c r="O28" s="91" ph="1">
        <f>O27*18.322*LOOKUP(O29,密度!$A$2:$A$50,密度!$C$2:$C$50)</f>
        <v>113284.19312000001</v>
      </c>
      <c r="P28" s="91" ph="1">
        <f>P27*11.702*LOOKUP(P29,密度!$A$2:$A$50,密度!$B$2:$B$50)</f>
        <v>19651.166259599999</v>
      </c>
      <c r="Q28" s="92" ph="1">
        <f>Q27*18.322*LOOKUP(Q29,密度!$A$2:$A$50,密度!$B$2:$B$50)</f>
        <v>6292.8356438000001</v>
      </c>
      <c r="R28" s="91" ph="1">
        <f>R27*35.891*LOOKUP(R29,密度!$A$2:$A$50,密度!$C$2:$C$50)</f>
        <v>8163.2141386000003</v>
      </c>
      <c r="S28" s="91" ph="1">
        <f>S27*35.891*LOOKUP(S29,密度!$A$2:$A$50,密度!$B$2:$B$50)</f>
        <v>85438.726489599998</v>
      </c>
      <c r="T28" s="91" ph="1">
        <f>T27*35.891*LOOKUP(T29,密度!$A$2:$A$50,密度!$Q$2:$Q$50)</f>
        <v>28778.4984755</v>
      </c>
      <c r="U28" s="91" ph="1">
        <f>U27*35.891</f>
        <v>177552.777</v>
      </c>
      <c r="V28" s="91" ph="1">
        <f>V27*47.051*LOOKUP(V29,密度!$A$2:$A$50,密度!$B$2:$B$50)</f>
        <v>110329.0994432</v>
      </c>
      <c r="W28" s="91" ph="1">
        <f>W27*47.051*LOOKUP(W29,密度!$A$2:$A$50,密度!$B$2:$B$50)</f>
        <v>70285.6118976</v>
      </c>
      <c r="X28" s="91" ph="1">
        <f>X27*47.051*LOOKUP(X29,密度!$A$2:$A$50,密度!$I$2:$I$50)</f>
        <v>67625.832041879999</v>
      </c>
      <c r="Y28" s="91" ph="1">
        <f>Y27*47.051*LOOKUP(Y29,密度!$A$2:$A$50,密度!$L$2:$L$50)</f>
        <v>88229.282384000006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47" t="s" ph="1">
        <v>179</v>
      </c>
      <c r="D29" s="74">
        <v>25</v>
      </c>
      <c r="E29" s="74">
        <v>25</v>
      </c>
      <c r="F29" s="74">
        <v>31</v>
      </c>
      <c r="G29" s="74">
        <v>30</v>
      </c>
      <c r="H29" s="74">
        <v>30</v>
      </c>
      <c r="I29" s="74">
        <v>30</v>
      </c>
      <c r="J29" s="74">
        <v>31</v>
      </c>
      <c r="K29" s="74">
        <v>30</v>
      </c>
      <c r="L29" s="74">
        <v>31</v>
      </c>
      <c r="M29" s="74">
        <v>30</v>
      </c>
      <c r="N29" s="74">
        <v>31</v>
      </c>
      <c r="O29" s="74">
        <v>31</v>
      </c>
      <c r="P29" s="74">
        <v>30</v>
      </c>
      <c r="Q29" s="93">
        <v>30</v>
      </c>
      <c r="R29" s="74">
        <v>31</v>
      </c>
      <c r="S29" s="74">
        <v>31</v>
      </c>
      <c r="T29" s="74">
        <v>30</v>
      </c>
      <c r="U29" s="74">
        <v>30</v>
      </c>
      <c r="V29" s="74">
        <v>31</v>
      </c>
      <c r="W29" s="74">
        <v>31</v>
      </c>
      <c r="X29" s="74">
        <v>31</v>
      </c>
      <c r="Y29" s="74">
        <v>30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81134.454596900003</v>
      </c>
      <c r="E33" s="204" ph="1">
        <f>M10+I10</f>
        <v>73635.744843399996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08" ph="1">
        <v>0</v>
      </c>
      <c r="H33" s="204" ph="1">
        <f>N19</f>
        <v>2747.1100999200003</v>
      </c>
      <c r="I33" s="217" ph="1">
        <v>0</v>
      </c>
      <c r="J33" s="215" ph="1">
        <f>F10+O28</f>
        <v>316347.49525400001</v>
      </c>
      <c r="K33" s="204" ph="1">
        <f>O10+K10+E28+R28</f>
        <v>47693.993816160008</v>
      </c>
      <c r="L33" s="219" ph="1">
        <f>BE27</f>
        <v>7100</v>
      </c>
      <c r="M33" s="215" ph="1">
        <f>G10+H10+W28+S28+V28+E10</f>
        <v>1287799.0997664002</v>
      </c>
      <c r="N33" s="204" ph="1">
        <f>L10+P10++G28+H28</f>
        <v>315361.91081939999</v>
      </c>
      <c r="O33" s="217" ph="1">
        <f>BE17</f>
        <v>2270</v>
      </c>
      <c r="P33" s="215" ph="1">
        <f>L19</f>
        <v>24343.837302350003</v>
      </c>
      <c r="Q33" s="204" ph="1">
        <f>J10+N10</f>
        <v>135333.15715768002</v>
      </c>
      <c r="R33" s="217" ph="1">
        <f>BE23</f>
        <v>890</v>
      </c>
      <c r="S33" s="215" ph="1">
        <f>E10+X28</f>
        <v>429983.29767188005</v>
      </c>
      <c r="T33" s="204" ph="1">
        <f>X19</f>
        <v>17753.547232175995</v>
      </c>
      <c r="U33" s="225" ph="1">
        <f>BE21</f>
        <v>730</v>
      </c>
      <c r="V33" s="236" ph="1">
        <f ca="1">P19+Q19+S19+M28+N28+J28</f>
        <v>436284.64490763994</v>
      </c>
      <c r="W33" s="236" ph="1">
        <f>D28+F28+V19+T28</f>
        <v>58764.666837996003</v>
      </c>
      <c r="X33" s="217" ph="1">
        <f>BE29+BE31</f>
        <v>10200</v>
      </c>
      <c r="Y33" s="238" ph="1">
        <f>+Q10+R10+S10+T10+U10+V10+W10+X10+Y10</f>
        <v>91405.614623400004</v>
      </c>
      <c r="Z33" s="223" ph="1">
        <f>D10+T19+U19+Y28+Z10</f>
        <v>381549.97080874001</v>
      </c>
      <c r="AA33" s="225" ph="1">
        <f>BE19</f>
        <v>1440</v>
      </c>
      <c r="AB33" s="227" ph="1">
        <f>I19</f>
        <v>24735.771545</v>
      </c>
      <c r="AC33" s="229" ph="1">
        <f>AD10</f>
        <v>78443.029727999994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49" t="s" ph="1">
        <v>185</v>
      </c>
      <c r="AA36" s="149" ph="1"/>
      <c r="AB36" s="222" t="s" ph="1">
        <v>641</v>
      </c>
      <c r="AC36" s="222" ph="1"/>
      <c r="AD36" s="222" ph="1"/>
      <c r="AE36" s="22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342</v>
      </c>
      <c r="AI37" s="149" t="s" ph="1">
        <v>209</v>
      </c>
      <c r="AJ37" s="149" t="s" ph="1">
        <v>210</v>
      </c>
      <c r="AK37" s="149" t="s" ph="1">
        <v>211</v>
      </c>
      <c r="AM37" s="149" t="s" ph="1">
        <v>210</v>
      </c>
      <c r="AN37" s="149" t="s" ph="1">
        <v>211</v>
      </c>
      <c r="AO37" s="149" t="s" ph="1">
        <v>212</v>
      </c>
      <c r="AP37" s="149" t="s" ph="1">
        <v>210</v>
      </c>
      <c r="AQ37" s="149" t="s" ph="1">
        <v>211</v>
      </c>
      <c r="AR37" s="149" t="s" ph="1">
        <v>212</v>
      </c>
      <c r="AS37" s="149" t="s" ph="1">
        <v>210</v>
      </c>
      <c r="AT37" s="149" t="s" ph="1">
        <v>211</v>
      </c>
      <c r="AU37" s="149" t="s" ph="1">
        <v>212</v>
      </c>
      <c r="AV37" s="149" t="s" ph="1">
        <v>210</v>
      </c>
      <c r="AW37" s="149" t="s" ph="1">
        <v>211</v>
      </c>
      <c r="AX37" s="149" t="s" ph="1">
        <v>212</v>
      </c>
      <c r="AY37" s="149" t="s" ph="1">
        <v>211</v>
      </c>
      <c r="AZ37" s="149" t="s" ph="1">
        <v>213</v>
      </c>
      <c r="BD37" s="149" t="s" ph="1">
        <v>305</v>
      </c>
      <c r="BE37" s="14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023" priority="98">
      <formula>ABS(D$7-D$10)&gt;=1000</formula>
    </cfRule>
  </conditionalFormatting>
  <conditionalFormatting sqref="E4 E6:E11">
    <cfRule type="expression" dxfId="1022" priority="97">
      <formula>ABS(E$7-E$10)&gt;=1000</formula>
    </cfRule>
  </conditionalFormatting>
  <conditionalFormatting sqref="F4:F11">
    <cfRule type="expression" dxfId="1021" priority="96">
      <formula>ABS(F$7-F$10)&gt;=1000</formula>
    </cfRule>
  </conditionalFormatting>
  <conditionalFormatting sqref="G4:G11">
    <cfRule type="expression" dxfId="1020" priority="95">
      <formula>ABS(G$7-G$10)&gt;=1000</formula>
    </cfRule>
  </conditionalFormatting>
  <conditionalFormatting sqref="H4:H11">
    <cfRule type="expression" dxfId="1019" priority="94">
      <formula>ABS(H$7-H$10)&gt;=1000</formula>
    </cfRule>
  </conditionalFormatting>
  <conditionalFormatting sqref="I4:I11">
    <cfRule type="expression" dxfId="1018" priority="93">
      <formula>ABS(I$7-I$10)&gt;=1000</formula>
    </cfRule>
  </conditionalFormatting>
  <conditionalFormatting sqref="J4:J11">
    <cfRule type="expression" dxfId="1017" priority="92">
      <formula>ABS(J$7-J$10)&gt;=1000</formula>
    </cfRule>
  </conditionalFormatting>
  <conditionalFormatting sqref="K4:K11">
    <cfRule type="expression" dxfId="1016" priority="91">
      <formula>ABS(K$7-K$10)&gt;=1000</formula>
    </cfRule>
  </conditionalFormatting>
  <conditionalFormatting sqref="L4:L11">
    <cfRule type="expression" dxfId="1015" priority="90">
      <formula>ABS(L$7-L$10)&gt;=1000</formula>
    </cfRule>
  </conditionalFormatting>
  <conditionalFormatting sqref="M4 M6:M11">
    <cfRule type="expression" dxfId="1014" priority="89">
      <formula>ABS(M$7-M$10)&gt;=1000</formula>
    </cfRule>
  </conditionalFormatting>
  <conditionalFormatting sqref="N4 N6:N11">
    <cfRule type="expression" dxfId="1013" priority="88">
      <formula>ABS(N$7-N$10)&gt;=1000</formula>
    </cfRule>
  </conditionalFormatting>
  <conditionalFormatting sqref="O4 O6:O11">
    <cfRule type="expression" dxfId="1012" priority="87">
      <formula>ABS(O$7-O$10)&gt;=1000</formula>
    </cfRule>
  </conditionalFormatting>
  <conditionalFormatting sqref="P4 P6:P11">
    <cfRule type="expression" dxfId="1011" priority="86">
      <formula>ABS(P$7-P$10)&gt;=1000</formula>
    </cfRule>
  </conditionalFormatting>
  <conditionalFormatting sqref="Q4:Q11">
    <cfRule type="expression" dxfId="1010" priority="85">
      <formula>ABS(Q$7-Q$10)&gt;=1000</formula>
    </cfRule>
  </conditionalFormatting>
  <conditionalFormatting sqref="R4:R11">
    <cfRule type="expression" dxfId="1009" priority="84">
      <formula>ABS(R$7-R$10)&gt;=1000</formula>
    </cfRule>
  </conditionalFormatting>
  <conditionalFormatting sqref="S4:S11">
    <cfRule type="expression" dxfId="1008" priority="83">
      <formula>ABS(S$7-S$10)&gt;=1000</formula>
    </cfRule>
  </conditionalFormatting>
  <conditionalFormatting sqref="T4:T9 T11">
    <cfRule type="expression" dxfId="1007" priority="82">
      <formula>ABS(T$7-T$10)&gt;=1000</formula>
    </cfRule>
  </conditionalFormatting>
  <conditionalFormatting sqref="U4:U9 U11">
    <cfRule type="expression" dxfId="1006" priority="81">
      <formula>ABS(U$7-U$10)&gt;=1000</formula>
    </cfRule>
  </conditionalFormatting>
  <conditionalFormatting sqref="V4:V9 V11">
    <cfRule type="expression" dxfId="1005" priority="80">
      <formula>ABS(V$7-V$10)&gt;=1000</formula>
    </cfRule>
  </conditionalFormatting>
  <conditionalFormatting sqref="W4:W9 W11">
    <cfRule type="expression" dxfId="1004" priority="79">
      <formula>ABS(W$7-W$10)&gt;=1000</formula>
    </cfRule>
  </conditionalFormatting>
  <conditionalFormatting sqref="X4:X9 X11">
    <cfRule type="expression" dxfId="1003" priority="78">
      <formula>ABS(X$7-X$10)&gt;=1000</formula>
    </cfRule>
  </conditionalFormatting>
  <conditionalFormatting sqref="Y4:Y9 Y11">
    <cfRule type="expression" dxfId="1002" priority="77">
      <formula>ABS(Y$7-Y$10)&gt;=1000</formula>
    </cfRule>
  </conditionalFormatting>
  <conditionalFormatting sqref="Z4:Z11">
    <cfRule type="expression" dxfId="1001" priority="76">
      <formula>ABS(Z$7-Z$10)&gt;=1000</formula>
    </cfRule>
  </conditionalFormatting>
  <conditionalFormatting sqref="AA4:AA11">
    <cfRule type="expression" dxfId="1000" priority="75">
      <formula>ABS(AA$7-AA$10)&gt;=1000</formula>
    </cfRule>
  </conditionalFormatting>
  <conditionalFormatting sqref="AB4:AB11">
    <cfRule type="expression" dxfId="999" priority="74">
      <formula>ABS(AB$7-AB$10)&gt;=1000</formula>
    </cfRule>
  </conditionalFormatting>
  <conditionalFormatting sqref="AC4 AC6:AC11">
    <cfRule type="expression" dxfId="998" priority="73">
      <formula>ABS(AC$7-AC$10)&gt;=1000</formula>
    </cfRule>
  </conditionalFormatting>
  <conditionalFormatting sqref="AD4:AD11">
    <cfRule type="expression" dxfId="997" priority="72">
      <formula>ABS(AD$7-AD$10)&gt;=1000</formula>
    </cfRule>
  </conditionalFormatting>
  <conditionalFormatting sqref="AE4 AE6:AE11">
    <cfRule type="expression" dxfId="996" priority="71">
      <formula>ABS(AE$7-AE$10)&gt;=1000</formula>
    </cfRule>
  </conditionalFormatting>
  <conditionalFormatting sqref="D13:D20">
    <cfRule type="expression" dxfId="995" priority="70">
      <formula>ABS(D$16-D$19)&gt;=1000</formula>
    </cfRule>
  </conditionalFormatting>
  <conditionalFormatting sqref="E13:E20">
    <cfRule type="expression" dxfId="994" priority="69">
      <formula>ABS(E$16-E$19)&gt;=1000</formula>
    </cfRule>
  </conditionalFormatting>
  <conditionalFormatting sqref="F13 F15:F20">
    <cfRule type="expression" dxfId="993" priority="68">
      <formula>ABS(F$16-F$19)&gt;=1000</formula>
    </cfRule>
  </conditionalFormatting>
  <conditionalFormatting sqref="G13:G20">
    <cfRule type="expression" dxfId="992" priority="67">
      <formula>ABS(G$16-G$19)&gt;=1000</formula>
    </cfRule>
  </conditionalFormatting>
  <conditionalFormatting sqref="H13:H20">
    <cfRule type="expression" dxfId="991" priority="66">
      <formula>ABS(H$16-H$19)&gt;=1000</formula>
    </cfRule>
  </conditionalFormatting>
  <conditionalFormatting sqref="I13:I20">
    <cfRule type="expression" dxfId="990" priority="65">
      <formula>ABS(I$16-I$19)&gt;=1000</formula>
    </cfRule>
  </conditionalFormatting>
  <conditionalFormatting sqref="J13:J20">
    <cfRule type="expression" dxfId="989" priority="64">
      <formula>ABS(J$16-J$19)&gt;=1000</formula>
    </cfRule>
  </conditionalFormatting>
  <conditionalFormatting sqref="L13:L20">
    <cfRule type="expression" dxfId="988" priority="63">
      <formula>ABS(L$16-L$19)&gt;=1000</formula>
    </cfRule>
  </conditionalFormatting>
  <conditionalFormatting sqref="M13 M15 M17:M18 M20">
    <cfRule type="expression" dxfId="987" priority="62">
      <formula>ABS(M$16-M$19)&gt;=1000</formula>
    </cfRule>
  </conditionalFormatting>
  <conditionalFormatting sqref="N13:N20">
    <cfRule type="expression" dxfId="986" priority="61">
      <formula>ABS(N$16-N$19)&gt;=1000</formula>
    </cfRule>
  </conditionalFormatting>
  <conditionalFormatting sqref="O13:O20">
    <cfRule type="expression" dxfId="985" priority="60">
      <formula>ABS(O$16-O$19)&gt;=1000</formula>
    </cfRule>
  </conditionalFormatting>
  <conditionalFormatting sqref="P13:P20">
    <cfRule type="expression" dxfId="984" priority="59">
      <formula>ABS(P$16-P$19)&gt;=1000</formula>
    </cfRule>
  </conditionalFormatting>
  <conditionalFormatting sqref="Q13 Q15:Q20">
    <cfRule type="expression" dxfId="983" priority="58">
      <formula>ABS(Q$16-Q$19)&gt;=1000</formula>
    </cfRule>
  </conditionalFormatting>
  <conditionalFormatting sqref="R13:R20">
    <cfRule type="expression" dxfId="982" priority="57">
      <formula>ABS(R$16-R$19)&gt;=1000</formula>
    </cfRule>
  </conditionalFormatting>
  <conditionalFormatting sqref="S13:S20">
    <cfRule type="expression" dxfId="981" priority="56">
      <formula>ABS(S$16-S$19)&gt;=1000</formula>
    </cfRule>
  </conditionalFormatting>
  <conditionalFormatting sqref="T13:T20">
    <cfRule type="expression" dxfId="980" priority="55">
      <formula>ABS(T$16-T$19)&gt;=1000</formula>
    </cfRule>
  </conditionalFormatting>
  <conditionalFormatting sqref="U13:U20">
    <cfRule type="expression" dxfId="979" priority="54">
      <formula>ABS(U$16-U$19)&gt;=1000</formula>
    </cfRule>
  </conditionalFormatting>
  <conditionalFormatting sqref="V13:V20">
    <cfRule type="expression" dxfId="978" priority="53">
      <formula>ABS(V$16-V$19)&gt;=1000</formula>
    </cfRule>
  </conditionalFormatting>
  <conditionalFormatting sqref="W13 W20 W15:W18">
    <cfRule type="expression" dxfId="977" priority="52">
      <formula>ABS(W$16-W$19)&gt;=1000</formula>
    </cfRule>
  </conditionalFormatting>
  <conditionalFormatting sqref="X13 X15:X20 Y19">
    <cfRule type="expression" dxfId="976" priority="51">
      <formula>ABS(X$16-X$19)&gt;=1000</formula>
    </cfRule>
  </conditionalFormatting>
  <conditionalFormatting sqref="Y13 Y15:Y18 Y20">
    <cfRule type="expression" dxfId="975" priority="50">
      <formula>ABS(Y$16-Y$19)&gt;=1000</formula>
    </cfRule>
  </conditionalFormatting>
  <conditionalFormatting sqref="Z13:Z20">
    <cfRule type="expression" dxfId="974" priority="49">
      <formula>ABS(Z$16-Z$19)&gt;=1000</formula>
    </cfRule>
  </conditionalFormatting>
  <conditionalFormatting sqref="AA13:AA20">
    <cfRule type="expression" dxfId="973" priority="48">
      <formula>ABS(AA$16-AA$19)&gt;=1000</formula>
    </cfRule>
  </conditionalFormatting>
  <conditionalFormatting sqref="AB13 AB15:AB20">
    <cfRule type="expression" dxfId="972" priority="47">
      <formula>ABS(AB$16-AB$19)&gt;=1000</formula>
    </cfRule>
  </conditionalFormatting>
  <conditionalFormatting sqref="AC13 AC15:AC20">
    <cfRule type="expression" dxfId="971" priority="46">
      <formula>ABS(AC$16-AC$19)&gt;=1000</formula>
    </cfRule>
  </conditionalFormatting>
  <conditionalFormatting sqref="AD13:AD20">
    <cfRule type="expression" dxfId="970" priority="45">
      <formula>ABS(AD$16-AD$19)&gt;=1000</formula>
    </cfRule>
  </conditionalFormatting>
  <conditionalFormatting sqref="AE13:AE20">
    <cfRule type="expression" dxfId="969" priority="44">
      <formula>ABS(AE$16-AE$19)&gt;=1000</formula>
    </cfRule>
  </conditionalFormatting>
  <conditionalFormatting sqref="D22:D29">
    <cfRule type="expression" dxfId="968" priority="43">
      <formula>ABS(D$25-D$28)&gt;=1000</formula>
    </cfRule>
  </conditionalFormatting>
  <conditionalFormatting sqref="E22:E29">
    <cfRule type="expression" dxfId="967" priority="42">
      <formula>ABS(E$25-E$28)&gt;=1000</formula>
    </cfRule>
  </conditionalFormatting>
  <conditionalFormatting sqref="F22:F29">
    <cfRule type="expression" dxfId="966" priority="41">
      <formula>ABS(F$25-F$28)&gt;=1000</formula>
    </cfRule>
  </conditionalFormatting>
  <conditionalFormatting sqref="G22:G29">
    <cfRule type="expression" dxfId="965" priority="40">
      <formula>ABS(G$25-G$28)&gt;=1000</formula>
    </cfRule>
  </conditionalFormatting>
  <conditionalFormatting sqref="H22:H29">
    <cfRule type="expression" dxfId="964" priority="39">
      <formula>ABS(H$25-H$28)&gt;=1000</formula>
    </cfRule>
  </conditionalFormatting>
  <conditionalFormatting sqref="I22 I24:I29">
    <cfRule type="expression" dxfId="963" priority="38">
      <formula>ABS(I$25-I$28)&gt;=1000</formula>
    </cfRule>
  </conditionalFormatting>
  <conditionalFormatting sqref="J22:J29 K22">
    <cfRule type="expression" dxfId="962" priority="37">
      <formula>ABS(J$25-J$28)&gt;=1000</formula>
    </cfRule>
  </conditionalFormatting>
  <conditionalFormatting sqref="K23:K29 L25 L28">
    <cfRule type="expression" dxfId="961" priority="36">
      <formula>ABS(K$25-K$28)&gt;=1000</formula>
    </cfRule>
  </conditionalFormatting>
  <conditionalFormatting sqref="L22 L26:L27 L29 L24">
    <cfRule type="expression" dxfId="960" priority="35">
      <formula>ABS(L$25-L$28)&gt;=1000</formula>
    </cfRule>
  </conditionalFormatting>
  <conditionalFormatting sqref="M22:M29">
    <cfRule type="expression" dxfId="959" priority="34">
      <formula>ABS(M$25-M$28)&gt;=1000</formula>
    </cfRule>
  </conditionalFormatting>
  <conditionalFormatting sqref="N22:N29">
    <cfRule type="expression" dxfId="958" priority="33">
      <formula>ABS(N$25-N$28)&gt;=1000</formula>
    </cfRule>
  </conditionalFormatting>
  <conditionalFormatting sqref="O22:O29">
    <cfRule type="expression" dxfId="957" priority="32">
      <formula>ABS(O$25-O$28)&gt;=1000</formula>
    </cfRule>
  </conditionalFormatting>
  <conditionalFormatting sqref="P22:P29">
    <cfRule type="expression" dxfId="956" priority="31">
      <formula>ABS(P$25-P$28)&gt;=1000</formula>
    </cfRule>
  </conditionalFormatting>
  <conditionalFormatting sqref="Q22:Q29">
    <cfRule type="expression" dxfId="955" priority="30">
      <formula>ABS(Q$25-Q$28)&gt;=1000</formula>
    </cfRule>
  </conditionalFormatting>
  <conditionalFormatting sqref="R22:R29">
    <cfRule type="expression" dxfId="954" priority="29">
      <formula>ABS(R$25-R$28)&gt;=1000</formula>
    </cfRule>
  </conditionalFormatting>
  <conditionalFormatting sqref="S22:S29">
    <cfRule type="expression" dxfId="953" priority="28">
      <formula>ABS(S$25-S$28)&gt;=1000</formula>
    </cfRule>
  </conditionalFormatting>
  <conditionalFormatting sqref="T22:T29">
    <cfRule type="expression" dxfId="952" priority="27">
      <formula>ABS(T$25-T$28)&gt;=1000</formula>
    </cfRule>
  </conditionalFormatting>
  <conditionalFormatting sqref="U22:U29">
    <cfRule type="expression" dxfId="951" priority="26">
      <formula>ABS(U$25-U$28)&gt;=1000</formula>
    </cfRule>
  </conditionalFormatting>
  <conditionalFormatting sqref="V22:V29">
    <cfRule type="expression" dxfId="950" priority="25">
      <formula>ABS(V$25-V$28)&gt;=1000</formula>
    </cfRule>
  </conditionalFormatting>
  <conditionalFormatting sqref="W22:W29">
    <cfRule type="expression" dxfId="949" priority="24">
      <formula>ABS(W$25-W$28)&gt;=1000</formula>
    </cfRule>
  </conditionalFormatting>
  <conditionalFormatting sqref="X22:X29">
    <cfRule type="expression" dxfId="948" priority="23">
      <formula>ABS(X$25-X$28)&gt;=1000</formula>
    </cfRule>
  </conditionalFormatting>
  <conditionalFormatting sqref="Y22:Y29">
    <cfRule type="expression" dxfId="947" priority="22">
      <formula>ABS(Y$25-Y$28)&gt;=1000</formula>
    </cfRule>
  </conditionalFormatting>
  <conditionalFormatting sqref="I23">
    <cfRule type="expression" dxfId="946" priority="21">
      <formula>ABS(I$25-I$28)&gt;=1000</formula>
    </cfRule>
  </conditionalFormatting>
  <conditionalFormatting sqref="Q14">
    <cfRule type="expression" dxfId="945" priority="20">
      <formula>ABS(Q$16-Q$19)&gt;=1000</formula>
    </cfRule>
  </conditionalFormatting>
  <conditionalFormatting sqref="W14">
    <cfRule type="expression" dxfId="944" priority="19">
      <formula>ABS(W$16-W$19)&gt;=1000</formula>
    </cfRule>
  </conditionalFormatting>
  <conditionalFormatting sqref="Y14">
    <cfRule type="expression" dxfId="943" priority="18">
      <formula>ABS(Y$16-Y$19)&gt;=1000</formula>
    </cfRule>
  </conditionalFormatting>
  <conditionalFormatting sqref="X14">
    <cfRule type="expression" dxfId="942" priority="17">
      <formula>ABS(X$16-X$19)&gt;=1000</formula>
    </cfRule>
  </conditionalFormatting>
  <conditionalFormatting sqref="T10:Y10">
    <cfRule type="expression" dxfId="941" priority="16">
      <formula>ABS(T$7-T$10)&gt;=1000</formula>
    </cfRule>
  </conditionalFormatting>
  <conditionalFormatting sqref="W19">
    <cfRule type="expression" dxfId="940" priority="15">
      <formula>ABS(W$16-W$19)&gt;=1000</formula>
    </cfRule>
  </conditionalFormatting>
  <conditionalFormatting sqref="AC5">
    <cfRule type="expression" dxfId="939" priority="14">
      <formula>ABS(AC$7-AC$10)&gt;=1000</formula>
    </cfRule>
  </conditionalFormatting>
  <conditionalFormatting sqref="M14">
    <cfRule type="expression" dxfId="938" priority="13">
      <formula>ABS(M$16-M$19)&gt;=1000</formula>
    </cfRule>
  </conditionalFormatting>
  <conditionalFormatting sqref="M16">
    <cfRule type="expression" dxfId="937" priority="12">
      <formula>ABS(M$16-M$19)&gt;=1000</formula>
    </cfRule>
  </conditionalFormatting>
  <conditionalFormatting sqref="M19">
    <cfRule type="expression" dxfId="936" priority="11">
      <formula>ABS(M$16-M$19)&gt;=1000</formula>
    </cfRule>
  </conditionalFormatting>
  <conditionalFormatting sqref="K13:K20">
    <cfRule type="expression" dxfId="935" priority="10">
      <formula>ABS(K$16-K$19)&gt;=1000</formula>
    </cfRule>
  </conditionalFormatting>
  <conditionalFormatting sqref="E5">
    <cfRule type="expression" dxfId="934" priority="9">
      <formula>ABS(E$7-E$10)&gt;=1000</formula>
    </cfRule>
  </conditionalFormatting>
  <conditionalFormatting sqref="AB14:AC14">
    <cfRule type="expression" dxfId="933" priority="8">
      <formula>ABS(AB$16-AB$19)&gt;=1000</formula>
    </cfRule>
  </conditionalFormatting>
  <conditionalFormatting sqref="M5">
    <cfRule type="expression" dxfId="932" priority="7">
      <formula>ABS(M$7-M$10)&gt;=1000</formula>
    </cfRule>
  </conditionalFormatting>
  <conditionalFormatting sqref="N5">
    <cfRule type="expression" dxfId="931" priority="6">
      <formula>ABS(N$7-N$10)&gt;=1000</formula>
    </cfRule>
  </conditionalFormatting>
  <conditionalFormatting sqref="O5">
    <cfRule type="expression" dxfId="930" priority="5">
      <formula>ABS(O$7-O$10)&gt;=1000</formula>
    </cfRule>
  </conditionalFormatting>
  <conditionalFormatting sqref="P5">
    <cfRule type="expression" dxfId="929" priority="4">
      <formula>ABS(P$7-P$10)&gt;=1000</formula>
    </cfRule>
  </conditionalFormatting>
  <conditionalFormatting sqref="L23">
    <cfRule type="expression" dxfId="928" priority="3">
      <formula>ABS(L$25-L$28)&gt;=1000</formula>
    </cfRule>
  </conditionalFormatting>
  <conditionalFormatting sqref="F14">
    <cfRule type="expression" dxfId="927" priority="2">
      <formula>ABS(F$16-F$19)&gt;=1000</formula>
    </cfRule>
  </conditionalFormatting>
  <conditionalFormatting sqref="AE5">
    <cfRule type="expression" dxfId="926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163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27">
    <pageSetUpPr fitToPage="1"/>
  </sheetPr>
  <dimension ref="A1:CU223"/>
  <sheetViews>
    <sheetView view="pageBreakPreview" topLeftCell="A10" zoomScale="80" zoomScaleNormal="100" zoomScaleSheetLayoutView="80" workbookViewId="0">
      <selection activeCell="G27" sqref="G2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45919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54" t="s" ph="1">
        <v>177</v>
      </c>
      <c r="D6" s="71">
        <v>5198</v>
      </c>
      <c r="E6" s="71">
        <v>9064</v>
      </c>
      <c r="F6" s="71">
        <v>5015</v>
      </c>
      <c r="G6" s="71">
        <v>7545</v>
      </c>
      <c r="H6" s="71">
        <v>8933</v>
      </c>
      <c r="I6" s="71">
        <v>18.02</v>
      </c>
      <c r="J6" s="71">
        <v>7.03</v>
      </c>
      <c r="K6" s="71">
        <v>48.92</v>
      </c>
      <c r="L6" s="71">
        <v>27.93</v>
      </c>
      <c r="M6" s="71">
        <v>2013</v>
      </c>
      <c r="N6" s="71">
        <v>5068</v>
      </c>
      <c r="O6" s="71">
        <v>1020</v>
      </c>
      <c r="P6" s="71">
        <v>5653</v>
      </c>
      <c r="Q6" s="71">
        <v>0</v>
      </c>
      <c r="R6" s="71">
        <v>0</v>
      </c>
      <c r="S6" s="71">
        <v>0</v>
      </c>
      <c r="T6" s="71">
        <v>1270</v>
      </c>
      <c r="U6" s="71">
        <v>7009</v>
      </c>
      <c r="V6" s="71">
        <v>3246</v>
      </c>
      <c r="W6" s="71">
        <v>0</v>
      </c>
      <c r="X6" s="71">
        <v>0</v>
      </c>
      <c r="Y6" s="71">
        <v>0</v>
      </c>
      <c r="Z6" s="71">
        <v>2939</v>
      </c>
      <c r="AA6" s="71">
        <v>780</v>
      </c>
      <c r="AB6" s="71">
        <v>2606</v>
      </c>
      <c r="AC6" s="71">
        <v>634</v>
      </c>
      <c r="AD6" s="71">
        <v>4010</v>
      </c>
      <c r="AE6" s="71">
        <v>3508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162581.13186371999</v>
      </c>
      <c r="E7" s="73" ph="1">
        <f>E6*51.53*LOOKUP(E8,密度!$A$2:$A$50,密度!$B$2:$B$50)</f>
        <v>362538.119504</v>
      </c>
      <c r="F7" s="73" ph="1">
        <f>F6*33.183*LOOKUP(F8,密度!$A$2:$A$50,密度!$C$2:$C$50)</f>
        <v>184152.34361700001</v>
      </c>
      <c r="G7" s="73" ph="1">
        <f xml:space="preserve"> (G6+2)*51.53*LOOKUP(G8,密度!$A$2:$A$50,密度!$B$2:$B$50)</f>
        <v>301861.78154200001</v>
      </c>
      <c r="H7" s="73" ph="1">
        <f>(H6)*51.53*LOOKUP(H8,密度!$A$2:$A$50,密度!$B$2:$B$50)</f>
        <v>359277.80094499997</v>
      </c>
      <c r="I7" s="73" ph="1">
        <f>I6*290.8*1.0267</f>
        <v>5380.1297672000001</v>
      </c>
      <c r="J7" s="73" ph="1">
        <f>J6*290.8*0.7892</f>
        <v>1613.3805008000002</v>
      </c>
      <c r="K7" s="73" ph="1">
        <f>K6*290.8*1.1126</f>
        <v>15827.776393600003</v>
      </c>
      <c r="L7" s="73" ph="1">
        <f>L6*290.8*0.777</f>
        <v>6310.8281880000004</v>
      </c>
      <c r="M7" s="73" ph="1">
        <f>M6*33.183*LOOKUP(M8,密度!$A$2:$A$50,密度!$D$2:$D$50)</f>
        <v>68327.038979099991</v>
      </c>
      <c r="N7" s="73" ph="1">
        <f>N6*33.183*LOOKUP(N8,密度!$A$2:$A$50,密度!$E$2:$E$50)</f>
        <v>130770.11485439999</v>
      </c>
      <c r="O7" s="73" ph="1">
        <f>O6*20.428*LOOKUP(O8,密度!$A$2:$A$50,密度!$C$2:$C$50)</f>
        <v>23043.151704000004</v>
      </c>
      <c r="P7" s="73" ph="1">
        <f>P6*51.53*LOOKUP(P8,密度!$A$2:$A$50,密度!$B$2:$B$50)</f>
        <v>226601.56211100004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8420.5404359999993</v>
      </c>
      <c r="U7" s="73" ph="1">
        <f>U6*1.5*1.5*3.1416*LOOKUP(U8,密度!$A$2:$A$50,密度!$L$2:$L$50)</f>
        <v>46273.9254516</v>
      </c>
      <c r="V7" s="73" ph="1">
        <f>V6*1.5*1.5*3.1416*LOOKUP(V8,密度!$A$2:$A$50,密度!$L$2:$L$50)</f>
        <v>21430.3270104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91283.247432000004</v>
      </c>
      <c r="AA7" s="73" ph="1">
        <f>AA6*33.183*LOOKUP(AA8,密度!$A$2:$A$50,密度!$D$2:$D$50)</f>
        <v>26501.337486000004</v>
      </c>
      <c r="AB7" s="73" ph="1">
        <f>AB6*20.428*LOOKUP(AB8,密度!$A$2:$A$50,密度!$D$2:$D$50)</f>
        <v>54805.811356000006</v>
      </c>
      <c r="AC7" s="73" ph="1">
        <f>AC6*51.53*LOOKUP(AC8,密度!$A$2:$A$50,密度!$Q$2:$Q$50)</f>
        <v>30953.863849400001</v>
      </c>
      <c r="AD7" s="73" ph="1">
        <f>AD6*20.428*LOOKUP(AD8,密度!$A$2:$A$50,密度!$V$2:$V$50)</f>
        <v>78705.161823999995</v>
      </c>
      <c r="AE7" s="73" ph="1">
        <f>AE6*20.428</f>
        <v>71661.423999999999</v>
      </c>
    </row>
    <row r="8" spans="1:99" ph="1">
      <c r="B8" s="182" ph="1"/>
      <c r="C8" s="68" t="s" ph="1">
        <v>179</v>
      </c>
      <c r="D8" s="74">
        <v>31</v>
      </c>
      <c r="E8" s="74">
        <v>29</v>
      </c>
      <c r="F8" s="74">
        <v>28</v>
      </c>
      <c r="G8" s="74">
        <v>29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29</v>
      </c>
      <c r="P8" s="74">
        <v>27</v>
      </c>
      <c r="Q8" s="74">
        <v>26</v>
      </c>
      <c r="R8" s="74">
        <v>32</v>
      </c>
      <c r="S8" s="74">
        <v>24</v>
      </c>
      <c r="T8" s="74">
        <v>24</v>
      </c>
      <c r="U8" s="74">
        <v>28</v>
      </c>
      <c r="V8" s="74">
        <v>28</v>
      </c>
      <c r="W8" s="74">
        <v>27</v>
      </c>
      <c r="X8" s="74">
        <v>18</v>
      </c>
      <c r="Y8" s="74">
        <v>27</v>
      </c>
      <c r="Z8" s="74">
        <v>26</v>
      </c>
      <c r="AA8" s="74">
        <v>28</v>
      </c>
      <c r="AB8" s="74">
        <v>22</v>
      </c>
      <c r="AC8" s="74">
        <v>24</v>
      </c>
      <c r="AD8" s="74">
        <v>25</v>
      </c>
      <c r="AE8" s="74">
        <v>30</v>
      </c>
    </row>
    <row r="9" spans="1:99" ht="26.4" ph="1">
      <c r="B9" s="182" ph="1">
        <v>0.66666666666666663</v>
      </c>
      <c r="C9" s="154" t="s" ph="1">
        <v>180</v>
      </c>
      <c r="D9" s="71">
        <v>5499</v>
      </c>
      <c r="E9" s="71">
        <v>8769</v>
      </c>
      <c r="F9" s="71">
        <v>5590</v>
      </c>
      <c r="G9" s="71">
        <v>7549</v>
      </c>
      <c r="H9" s="71">
        <v>8718</v>
      </c>
      <c r="I9" s="71">
        <v>18.010000000000002</v>
      </c>
      <c r="J9" s="71">
        <v>7.01</v>
      </c>
      <c r="K9" s="71">
        <v>18.420000000000002</v>
      </c>
      <c r="L9" s="71">
        <v>12.72</v>
      </c>
      <c r="M9" s="71">
        <v>2013</v>
      </c>
      <c r="N9" s="71">
        <v>5048</v>
      </c>
      <c r="O9" s="71">
        <v>956</v>
      </c>
      <c r="P9" s="71">
        <v>5677</v>
      </c>
      <c r="Q9" s="71">
        <v>0</v>
      </c>
      <c r="R9" s="71">
        <v>0</v>
      </c>
      <c r="S9" s="71">
        <v>0</v>
      </c>
      <c r="T9" s="71">
        <v>0</v>
      </c>
      <c r="U9" s="71">
        <v>4416</v>
      </c>
      <c r="V9" s="71">
        <v>6405</v>
      </c>
      <c r="W9" s="71">
        <v>2387</v>
      </c>
      <c r="X9" s="71">
        <v>0</v>
      </c>
      <c r="Y9" s="71">
        <v>0</v>
      </c>
      <c r="Z9" s="71">
        <v>1377</v>
      </c>
      <c r="AA9" s="71">
        <v>780</v>
      </c>
      <c r="AB9" s="71">
        <v>2606</v>
      </c>
      <c r="AC9" s="71">
        <v>749</v>
      </c>
      <c r="AD9" s="71">
        <v>4350</v>
      </c>
      <c r="AE9" s="71">
        <v>3351</v>
      </c>
    </row>
    <row r="10" spans="1:99" s="72" customFormat="1" ht="22.2" ph="1">
      <c r="B10" s="182" ph="1"/>
      <c r="C10" s="154" t="s" ph="1">
        <v>178</v>
      </c>
      <c r="D10" s="73" ph="1">
        <f>D9*33.183*LOOKUP(D11,密度!$A$2:$A$50,密度!$Q$2:$Q$50)</f>
        <v>171871.61728229999</v>
      </c>
      <c r="E10" s="73" ph="1">
        <f>E9*51.53*LOOKUP(E11,密度!$A$2:$A$50,密度!$B$2:$B$50)</f>
        <v>349518.79189499997</v>
      </c>
      <c r="F10" s="73" ph="1">
        <f>F9*33.183*LOOKUP(F11,密度!$A$2:$A$50,密度!$C$2:$C$50)</f>
        <v>204988.281147</v>
      </c>
      <c r="G10" s="73" ph="1">
        <f xml:space="preserve"> (G9+2)*51.53*LOOKUP(G11,密度!$A$2:$A$50,密度!$B$2:$B$50)</f>
        <v>300659.91128100007</v>
      </c>
      <c r="H10" s="73" ph="1">
        <f>(H9)*51.53*LOOKUP(H11,密度!$A$2:$A$50,密度!$B$2:$B$50)</f>
        <v>347890.32537600002</v>
      </c>
      <c r="I10" s="73" ph="1">
        <f>I9*290.8*1.0267</f>
        <v>5377.144123600001</v>
      </c>
      <c r="J10" s="73" ph="1">
        <f>J9*290.8*0.7892</f>
        <v>1608.7905136000002</v>
      </c>
      <c r="K10" s="73" ph="1">
        <f>K9*290.8*1.1126</f>
        <v>5959.6819536000012</v>
      </c>
      <c r="L10" s="73" ph="1">
        <f>L9*290.8*0.777</f>
        <v>2874.1043520000003</v>
      </c>
      <c r="M10" s="73" ph="1">
        <f>M9*33.183*LOOKUP(M11,密度!$A$2:$A$50,密度!$D$2:$D$50)</f>
        <v>68206.803696899995</v>
      </c>
      <c r="N10" s="73" ph="1">
        <f>N9*33.183*LOOKUP(N11,密度!$A$2:$A$50,密度!$E$2:$E$50)</f>
        <v>130061.41888679999</v>
      </c>
      <c r="O10" s="73" ph="1">
        <f>O9*20.428*LOOKUP(O11,密度!$A$2:$A$50,密度!$C$2:$C$50)</f>
        <v>21376.627292800003</v>
      </c>
      <c r="P10" s="73" ph="1">
        <f>P9*51.53*LOOKUP(P11,密度!$A$2:$A$50,密度!$B$2:$B$50)</f>
        <v>226042.42038700002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29123.536780800001</v>
      </c>
      <c r="V10" s="73" ph="1">
        <f>V9*1.5*1.5*3.1416*LOOKUP(V11,密度!$A$2:$A$50,密度!$L$2:$L$50)</f>
        <v>42286.273722000005</v>
      </c>
      <c r="W10" s="73" ph="1">
        <f>W9*1.5*1.5*3.1416*LOOKUP(W11,密度!$A$2:$A$50,密度!$L$2:$L$50)</f>
        <v>15776.019566999999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42631.560603000005</v>
      </c>
      <c r="AA10" s="73" ph="1">
        <f>AA9*33.183*LOOKUP(AA11,密度!$A$2:$A$50,密度!$D$2:$D$50)</f>
        <v>26384.865156000003</v>
      </c>
      <c r="AB10" s="73" ph="1">
        <f>AB9*20.428*LOOKUP(AB11,密度!$A$2:$A$50,密度!$D$2:$D$50)</f>
        <v>54608.840494400007</v>
      </c>
      <c r="AC10" s="73" ph="1">
        <f>AC9*51.53*LOOKUP(AC11,密度!$A$2:$A$50,密度!$Q$2:$Q$50)</f>
        <v>36328.456762500005</v>
      </c>
      <c r="AD10" s="73" ph="1">
        <f>AD9*20.428*LOOKUP(AD11,密度!$A$2:$A$50,密度!$V$2:$V$50)</f>
        <v>85094.059680000006</v>
      </c>
      <c r="AE10" s="73" ph="1">
        <f>AE9*20.428</f>
        <v>68454.228000000003</v>
      </c>
    </row>
    <row r="11" spans="1:99" ph="1">
      <c r="A11" s="64" t="s" ph="1">
        <v>162</v>
      </c>
      <c r="B11" s="182" ph="1"/>
      <c r="C11" s="154" t="s" ph="1">
        <v>179</v>
      </c>
      <c r="D11" s="74">
        <v>32</v>
      </c>
      <c r="E11" s="74">
        <v>32</v>
      </c>
      <c r="F11" s="74">
        <v>30</v>
      </c>
      <c r="G11" s="74">
        <v>33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31</v>
      </c>
      <c r="O11" s="74">
        <v>40</v>
      </c>
      <c r="P11" s="74">
        <v>33</v>
      </c>
      <c r="Q11" s="74">
        <v>36</v>
      </c>
      <c r="R11" s="74">
        <v>37</v>
      </c>
      <c r="S11" s="74">
        <v>28</v>
      </c>
      <c r="T11" s="74">
        <v>36</v>
      </c>
      <c r="U11" s="74">
        <v>29</v>
      </c>
      <c r="V11" s="74">
        <v>28</v>
      </c>
      <c r="W11" s="74">
        <v>27</v>
      </c>
      <c r="X11" s="74">
        <v>22</v>
      </c>
      <c r="Y11" s="74">
        <v>34</v>
      </c>
      <c r="Z11" s="74">
        <v>29</v>
      </c>
      <c r="AA11" s="74">
        <v>33</v>
      </c>
      <c r="AB11" s="74">
        <v>26</v>
      </c>
      <c r="AC11" s="74">
        <v>33</v>
      </c>
      <c r="AD11" s="74">
        <v>32</v>
      </c>
      <c r="AE11" s="74">
        <v>34</v>
      </c>
    </row>
    <row r="12" spans="1:99" ht="9.9" customHeight="1" ph="1"/>
    <row r="13" spans="1:99" s="72" customFormat="1" ht="29.25" customHeight="1" ph="1">
      <c r="B13" s="190" t="s" ph="1">
        <v>37</v>
      </c>
      <c r="C13" s="15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150" t="s" ph="1">
        <v>643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54" t="s" ph="1">
        <v>177</v>
      </c>
      <c r="D15" s="78">
        <v>3009</v>
      </c>
      <c r="E15" s="78">
        <v>6210</v>
      </c>
      <c r="F15" s="78">
        <v>2469</v>
      </c>
      <c r="G15" s="78">
        <v>4315</v>
      </c>
      <c r="H15" s="78">
        <v>1696</v>
      </c>
      <c r="I15" s="78">
        <v>2672</v>
      </c>
      <c r="J15" s="78">
        <v>1138</v>
      </c>
      <c r="K15" s="78">
        <v>4063</v>
      </c>
      <c r="L15" s="78">
        <v>3446</v>
      </c>
      <c r="M15" s="78">
        <v>5682</v>
      </c>
      <c r="N15" s="78">
        <v>347</v>
      </c>
      <c r="O15" s="78">
        <v>3833</v>
      </c>
      <c r="P15" s="78">
        <v>6952</v>
      </c>
      <c r="Q15" s="78">
        <v>5100</v>
      </c>
      <c r="R15" s="78">
        <v>1917</v>
      </c>
      <c r="S15" s="78">
        <v>6231</v>
      </c>
      <c r="T15" s="78">
        <v>4016</v>
      </c>
      <c r="U15" s="78">
        <v>2219</v>
      </c>
      <c r="V15" s="78">
        <v>850</v>
      </c>
      <c r="W15" s="71">
        <v>2240</v>
      </c>
      <c r="X15" s="78">
        <v>1275</v>
      </c>
      <c r="Y15" s="106">
        <v>-9908</v>
      </c>
      <c r="Z15" s="78">
        <v>0</v>
      </c>
      <c r="AA15" s="78">
        <v>6</v>
      </c>
      <c r="AB15" s="78" ph="1">
        <v>1098</v>
      </c>
      <c r="AC15" s="78" ph="1">
        <v>2158</v>
      </c>
      <c r="AD15" s="78">
        <v>5.51</v>
      </c>
      <c r="AE15" s="78">
        <v>73.92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54" t="s" ph="1">
        <v>178</v>
      </c>
      <c r="D16" s="73" ph="1">
        <f>D15*7.0686*LOOKUP(D17,密度!$A$2:$A$50,密度!$L$2:$L$50)</f>
        <v>19823.097016799999</v>
      </c>
      <c r="E16" s="73" ph="1">
        <f>E15*7.0686*LOOKUP(E17,密度!$A$2:$A$50,密度!$L$2:$L$50)</f>
        <v>40911.077592000001</v>
      </c>
      <c r="F16" s="73" ph="1">
        <f>F15*9.0746*LOOKUP(F17,密度!$A$2:$A$50,密度!$L$2:$L$50)</f>
        <v>20881.634656800001</v>
      </c>
      <c r="G16" s="73" ph="1">
        <f>G15*9.0746*LOOKUP(G17,密度!$A$2:$A$50,密度!$B$2:$B$50)</f>
        <v>30424.910522999999</v>
      </c>
      <c r="H16" s="73" ph="1">
        <f>H15*9.0746*LOOKUP(H17,密度!$A$2:$A$50,密度!$L$2:$L$50)</f>
        <v>14420.9187392</v>
      </c>
      <c r="I16" s="73" ph="1">
        <f>I15*9.0746*LOOKUP(I17,密度!$A$2:$A$50,密度!$U$2:$U$50)</f>
        <v>24853.514479999998</v>
      </c>
      <c r="J16" s="73" ph="1">
        <f>J15*9.0746*LOOKUP(J17,密度!$A$2:$A$50,密度!$L$2:$L$50)</f>
        <v>9634.9928484000011</v>
      </c>
      <c r="K16" s="73" ph="1">
        <f>K15*9.0746*LOOKUP(K17,密度!$A$2:$A$50,密度!$C$2:$C$50)</f>
        <v>40774.643368820005</v>
      </c>
      <c r="L16" s="73" ph="1">
        <f>L15*9.0746*LOOKUP(L17,密度!$A$2:$A$50,密度!$E$2:$E$50)</f>
        <v>24316.385276159999</v>
      </c>
      <c r="M16" s="73" ph="1">
        <f>M15*9.0746*LOOKUP(M17,密度!$A$2:$A$50,密度!$M$2:$M$50)</f>
        <v>44853.676976280003</v>
      </c>
      <c r="N16" s="73" ph="1">
        <f>N15*9.0746*LOOKUP(N17,密度!$A$2:$A$50,密度!$M$2:$M$50)</f>
        <v>2758.1094225799998</v>
      </c>
      <c r="O16" s="73" ph="1">
        <f>O15*9.0746*LOOKUP(O17,密度!$A$2:$A$50,密度!$G$2:$G$50)</f>
        <v>33207.274536459998</v>
      </c>
      <c r="P16" s="73" ph="1">
        <f ca="1">P15*9.0746*LOOKUP(P17,密度!$A$2:$A$51,密度!$Q$2:$Q$50)</f>
        <v>59511.500489935999</v>
      </c>
      <c r="Q16" s="73" ph="1">
        <f>Q15*9.0746*LOOKUP(Q17,密度!$A$2:$A$50,密度!$Q$2:$Q$50)</f>
        <v>43657.746331800001</v>
      </c>
      <c r="R16" s="73" ph="1">
        <f>MAX(R15*9.0746*LOOKUP(R17,密度!$A$2:$A$50,密度!$B$2:$B$50),0)</f>
        <v>13487.125157459999</v>
      </c>
      <c r="S16" s="73" ph="1">
        <f>S15*9.0746*LOOKUP(S17,密度!$A$2:$A$50,密度!$Q$2:$Q$50)</f>
        <v>53339.493606558004</v>
      </c>
      <c r="T16" s="73" ph="1">
        <f>T15*9.0746*LOOKUP(T17,密度!$A$2:$A$50,密度!$O$2:$O$50)</f>
        <v>33600.993299200003</v>
      </c>
      <c r="U16" s="73" ph="1">
        <f>U15*9.0746*LOOKUP(U17,密度!$A$2:$A$50,密度!$H$2:$H$50)</f>
        <v>18364.5221088</v>
      </c>
      <c r="V16" s="73" ph="1">
        <f>MAX(5600*LOOKUP(V17,密度!$A$2:$A$50,密度!$Q$2:$Q$50)+V15*9.0476*LOOKUP(V17,密度!$A$2:$A$50,密度!$Q$2:$Q$50),0)</f>
        <v>12554.4343252</v>
      </c>
      <c r="W16" s="73" ph="1">
        <f>MAX(5600*LOOKUP(W17,密度!$A$2:$A$50,密度!$Q$2:$Q$50)+W15*9.0476*LOOKUP(W17,密度!$A$2:$A$50,密度!$Q$2:$Q$50),0)</f>
        <v>24400.762417919999</v>
      </c>
      <c r="X16" s="73" ph="1">
        <f>MAX(5600*LOOKUP(X17,密度!$A$2:$A$50,密度!$I$2:$I$50)+X15*9.0476*LOOKUP(X17,密度!$A$2:$A$50,密度!$I$2:$I$50),0)</f>
        <v>17744.178351899998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42.354788040000003</v>
      </c>
      <c r="AB16" s="73" ph="1">
        <f>AB15*9.0746*LOOKUP(AB17,密度!$A$2:$A$50,密度!$L$2:$L$50)</f>
        <v>9316.2565979999999</v>
      </c>
      <c r="AC16" s="73" ph="1">
        <f>AC15*9.0746*LOOKUP(AC17,密度!$A$2:$A$50,密度!$L$2:$L$50)</f>
        <v>18290.509671200001</v>
      </c>
      <c r="AD16" s="73" ph="1">
        <f>AD15*268.68*LOOKUP(AD17,密度!$A$2:$A$50,密度!B2:B50)+IF(AD15&lt;=0,0,1566*LOOKUP(AD17,密度!$A$2:$A$50,密度!B2:B50))</f>
        <v>2374.9943332799999</v>
      </c>
      <c r="AE16" s="73" ph="1">
        <f>AE15*268.68*LOOKUP(AE17,密度!$A$2:$A$50,密度!B2:B50)+IF(AE15&lt;=0,0,1566*LOOKUP(AE17,密度!$A$2:$A$50,密度!B2:B50))</f>
        <v>16704.353237759999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30</v>
      </c>
      <c r="E17" s="74">
        <v>30</v>
      </c>
      <c r="F17" s="74">
        <v>30</v>
      </c>
      <c r="G17" s="74">
        <v>28</v>
      </c>
      <c r="H17" s="74">
        <v>25</v>
      </c>
      <c r="I17" s="74">
        <v>25</v>
      </c>
      <c r="J17" s="74">
        <v>29</v>
      </c>
      <c r="K17" s="74">
        <v>29</v>
      </c>
      <c r="L17" s="74">
        <v>30</v>
      </c>
      <c r="M17" s="74">
        <v>30</v>
      </c>
      <c r="N17" s="74">
        <v>24</v>
      </c>
      <c r="O17" s="74">
        <v>30</v>
      </c>
      <c r="P17" s="74">
        <v>30</v>
      </c>
      <c r="Q17" s="74">
        <v>30</v>
      </c>
      <c r="R17" s="74">
        <v>30</v>
      </c>
      <c r="S17" s="74">
        <v>30</v>
      </c>
      <c r="T17" s="74">
        <v>30</v>
      </c>
      <c r="U17" s="74">
        <v>28</v>
      </c>
      <c r="V17" s="74">
        <v>28</v>
      </c>
      <c r="W17" s="74">
        <v>30</v>
      </c>
      <c r="X17" s="74">
        <v>31</v>
      </c>
      <c r="Y17" s="108">
        <v>31</v>
      </c>
      <c r="Z17" s="74">
        <v>27</v>
      </c>
      <c r="AA17" s="74">
        <v>27</v>
      </c>
      <c r="AB17" s="74">
        <v>27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2874</v>
      </c>
      <c r="E18" s="71">
        <v>6210</v>
      </c>
      <c r="F18" s="71">
        <v>2581</v>
      </c>
      <c r="G18" s="71">
        <v>4445</v>
      </c>
      <c r="H18" s="71">
        <v>1970</v>
      </c>
      <c r="I18" s="71">
        <v>2674</v>
      </c>
      <c r="J18" s="71">
        <v>151</v>
      </c>
      <c r="K18" s="71">
        <v>4067</v>
      </c>
      <c r="L18" s="71">
        <v>3451</v>
      </c>
      <c r="M18" s="71">
        <v>3788</v>
      </c>
      <c r="N18" s="71">
        <v>310</v>
      </c>
      <c r="O18" s="71">
        <v>4149</v>
      </c>
      <c r="P18" s="71">
        <v>6962</v>
      </c>
      <c r="Q18" s="71">
        <v>5104</v>
      </c>
      <c r="R18" s="71">
        <v>1918</v>
      </c>
      <c r="S18" s="71">
        <v>6238</v>
      </c>
      <c r="T18" s="71">
        <v>3746</v>
      </c>
      <c r="U18" s="71">
        <v>4087</v>
      </c>
      <c r="V18" s="71">
        <v>850</v>
      </c>
      <c r="W18" s="71">
        <v>2238</v>
      </c>
      <c r="X18" s="71">
        <v>1276</v>
      </c>
      <c r="Y18" s="109">
        <v>-9907</v>
      </c>
      <c r="Z18" s="71">
        <v>0</v>
      </c>
      <c r="AA18" s="71">
        <v>6</v>
      </c>
      <c r="AB18" s="71">
        <v>1096</v>
      </c>
      <c r="AC18" s="71">
        <v>2159</v>
      </c>
      <c r="AD18" s="71">
        <v>34.31</v>
      </c>
      <c r="AE18" s="71">
        <v>84.41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54" t="s" ph="1">
        <v>178</v>
      </c>
      <c r="D19" s="73" ph="1">
        <f>D18*7.0686*LOOKUP(D20,密度!$A$2:$A$50,密度!$L$2:$L$50)</f>
        <v>18893.095452000001</v>
      </c>
      <c r="E19" s="73" ph="1">
        <f>E18*7.0686*LOOKUP(E20,密度!$A$2:$A$50,密度!$L$2:$L$50)</f>
        <v>40823.285580000003</v>
      </c>
      <c r="F19" s="73" ph="1">
        <f>F18*9.0746*LOOKUP(F20,密度!$A$2:$A$50,密度!$L$2:$L$50)</f>
        <v>21758.613075400001</v>
      </c>
      <c r="G19" s="73" ph="1">
        <f>G18*9.0746*LOOKUP(G20,密度!$A$2:$A$50,密度!$B$2:$B$50)</f>
        <v>31200.357779499998</v>
      </c>
      <c r="H19" s="73" ph="1">
        <f>H18*9.0746*LOOKUP(H20,密度!$A$2:$A$50,密度!$L$2:$L$50)</f>
        <v>16625.574660000002</v>
      </c>
      <c r="I19" s="73" ph="1">
        <f>I18*9.0746*LOOKUP(I20,密度!$A$2:$A$50,密度!$U$2:$U$50)</f>
        <v>24726.524527599999</v>
      </c>
      <c r="J19" s="73" ph="1">
        <f>J18*9.0746*LOOKUP(J20,密度!$A$2:$A$50,密度!$L$2:$L$50)</f>
        <v>1274.346078</v>
      </c>
      <c r="K19" s="73" ph="1">
        <f>K18*9.0746*LOOKUP(K20,密度!$A$2:$A$50,密度!$C$2:$C$50)</f>
        <v>40707.757214600002</v>
      </c>
      <c r="L19" s="73" ph="1">
        <f>L18*9.0746*LOOKUP(L20,密度!$A$2:$A$50,密度!$E$2:$E$50)</f>
        <v>24351.667320960001</v>
      </c>
      <c r="M19" s="73" ph="1">
        <f>M18*9.0746*LOOKUP(M20,密度!$A$2:$A$50,密度!$M$2:$M$50)</f>
        <v>29758.765553056004</v>
      </c>
      <c r="N19" s="73" ph="1">
        <f>N18*9.0746*LOOKUP(N20,密度!$A$2:$A$50,密度!$M$2:$M$50)</f>
        <v>2441.2870053200004</v>
      </c>
      <c r="O19" s="73" ph="1">
        <f>O18*9.0746*LOOKUP(O20,密度!$A$2:$A$50,密度!$G$2:$G$50)</f>
        <v>35907.673042134003</v>
      </c>
      <c r="P19" s="73" ph="1">
        <f ca="1">P18*9.0746*LOOKUP(P20,密度!$A$2:$A$51,密度!$Q$2:$Q$50)</f>
        <v>59506.760281880001</v>
      </c>
      <c r="Q19" s="73" ph="1">
        <f>Q18*9.0746*LOOKUP(Q20,密度!$A$2:$A$50,密度!$Q$2:$Q$50)</f>
        <v>43625.75473696</v>
      </c>
      <c r="R19" s="73" ph="1">
        <f>MAX(R18*9.0746*LOOKUP(R20,密度!$A$2:$A$50,密度!$B$2:$B$50),0)</f>
        <v>13433.242905040001</v>
      </c>
      <c r="S19" s="73" ph="1">
        <f>S18*9.0746*LOOKUP(S20,密度!$A$2:$A$50,密度!$Q$2:$Q$50)</f>
        <v>53356.960487384</v>
      </c>
      <c r="T19" s="73" ph="1">
        <f>T18*9.0746*LOOKUP(T20,密度!$A$2:$A$50,密度!$O$2:$O$50)</f>
        <v>31287.572852640002</v>
      </c>
      <c r="U19" s="73" ph="1">
        <f>U18*9.0746*LOOKUP(U20,密度!$A$2:$A$50,密度!$H$2:$H$50)</f>
        <v>33749.980082000002</v>
      </c>
      <c r="V19" s="73" ph="1">
        <f>MAX(5600*LOOKUP(V20,密度!$A$2:$A$50,密度!$Q$2:$Q$50)+V18*9.0476*LOOKUP(V20,密度!$A$2:$A$50,密度!$Q$2:$Q$50),0)</f>
        <v>12500.8737714</v>
      </c>
      <c r="W19" s="73" ph="1">
        <f>MAX(5600*LOOKUP(W20,密度!$A$2:$A$50,密度!$Q$2:$Q$50)+W18*9.0476*LOOKUP(W20,密度!$A$2:$A$50,密度!$Q$2:$Q$50),0)</f>
        <v>24230.410897119997</v>
      </c>
      <c r="X19" s="73" ph="1">
        <f>MAX(5600*LOOKUP(X20,密度!$A$2:$A$50,密度!$I$2:$I$50)+X18*9.0476*LOOKUP(X20,密度!$A$2:$A$50,密度!$I$2:$I$50),0)</f>
        <v>17734.51657344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41.924652000000002</v>
      </c>
      <c r="AB19" s="73" ph="1">
        <f>AB18*9.0746*LOOKUP(AB20,密度!$A$2:$A$50,密度!$L$2:$L$50)</f>
        <v>9199.8294800000003</v>
      </c>
      <c r="AC19" s="73" ph="1">
        <f>AC18*9.0746*LOOKUP(AC20,密度!$A$2:$A$50,密度!$L$2:$L$50)</f>
        <v>18240.209163399999</v>
      </c>
      <c r="AD19" s="73" ph="1">
        <f>AD18*268.68*LOOKUP(AD20,密度!$A$2:$A$50,密度!B5:B53)+IF(AD18&lt;=0,0,1566*LOOKUP(AD20,密度!$A$2:$A$50,密度!B5:B53))</f>
        <v>8379.4871916000011</v>
      </c>
      <c r="AE19" s="73" ph="1">
        <f>AE18*268.68*LOOKUP(AE20,密度!$A$2:$A$50,密度!B5:B53)+IF(AE18&lt;=0,0,1566*LOOKUP(AE20,密度!$A$2:$A$50,密度!B5:B53))</f>
        <v>18838.581627600001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32</v>
      </c>
      <c r="E20" s="81">
        <v>32</v>
      </c>
      <c r="F20" s="81">
        <v>33</v>
      </c>
      <c r="G20" s="81">
        <v>32</v>
      </c>
      <c r="H20" s="81">
        <v>32</v>
      </c>
      <c r="I20" s="81">
        <v>31</v>
      </c>
      <c r="J20" s="81">
        <v>32</v>
      </c>
      <c r="K20" s="81">
        <v>32</v>
      </c>
      <c r="L20" s="81">
        <v>30</v>
      </c>
      <c r="M20" s="81">
        <v>34</v>
      </c>
      <c r="N20" s="81">
        <v>32</v>
      </c>
      <c r="O20" s="81">
        <v>31</v>
      </c>
      <c r="P20" s="81">
        <v>32</v>
      </c>
      <c r="Q20" s="81">
        <v>32</v>
      </c>
      <c r="R20" s="81">
        <v>34</v>
      </c>
      <c r="S20" s="81">
        <v>31</v>
      </c>
      <c r="T20" s="81">
        <v>34</v>
      </c>
      <c r="U20" s="81">
        <v>30</v>
      </c>
      <c r="V20" s="81">
        <v>34</v>
      </c>
      <c r="W20" s="81">
        <v>39</v>
      </c>
      <c r="X20" s="81">
        <v>32</v>
      </c>
      <c r="Y20" s="110">
        <v>32</v>
      </c>
      <c r="Z20" s="81">
        <v>33</v>
      </c>
      <c r="AA20" s="81">
        <v>36</v>
      </c>
      <c r="AB20" s="81">
        <v>37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54" t="s" ph="1">
        <v>177</v>
      </c>
      <c r="D24" s="71">
        <v>3.11</v>
      </c>
      <c r="E24" s="71">
        <v>5.42</v>
      </c>
      <c r="F24" s="71">
        <v>1376</v>
      </c>
      <c r="G24" s="71">
        <v>2484</v>
      </c>
      <c r="H24" s="71">
        <v>3057</v>
      </c>
      <c r="I24" s="71">
        <v>3876</v>
      </c>
      <c r="J24" s="71">
        <v>5239</v>
      </c>
      <c r="K24" s="71">
        <v>5262</v>
      </c>
      <c r="L24" s="71">
        <v>5614</v>
      </c>
      <c r="M24" s="71">
        <v>5410</v>
      </c>
      <c r="N24" s="71">
        <v>5536</v>
      </c>
      <c r="O24" s="71">
        <v>5599</v>
      </c>
      <c r="P24" s="71">
        <v>2164</v>
      </c>
      <c r="Q24" s="90">
        <v>500</v>
      </c>
      <c r="R24" s="71">
        <v>207</v>
      </c>
      <c r="S24" s="71">
        <v>3074</v>
      </c>
      <c r="T24" s="71">
        <v>850</v>
      </c>
      <c r="U24" s="71">
        <v>4999</v>
      </c>
      <c r="V24" s="71">
        <v>2692</v>
      </c>
      <c r="W24" s="71">
        <v>1930</v>
      </c>
      <c r="X24" s="71">
        <v>1389</v>
      </c>
      <c r="Y24" s="71">
        <v>2380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2273.685860952</v>
      </c>
      <c r="E25" s="91" ph="1">
        <f>E24*268.68*LOOKUP(E26,密度!$A$2:$A$50,密度!$C$2:$C$50)+IF(E24&lt;=0,0,1566*LOOKUP(E26,密度!$A$2:$A$50,密度!$C$2:$C$50))</f>
        <v>3351.3681458399997</v>
      </c>
      <c r="F25" s="91" ph="1">
        <f>F24*11.702*LOOKUP(F26,密度!$A$2:$A$50,密度!$Q$2:$Q$50)</f>
        <v>15221.49726464</v>
      </c>
      <c r="G25" s="91" ph="1">
        <f>G24*18.322*LOOKUP(G26,密度!$A$2:$A$50,密度!$B$2:$B$50)</f>
        <v>35362.705895999999</v>
      </c>
      <c r="H25" s="91" ph="1">
        <f>H24*18.322*LOOKUP(H26,密度!$A$2:$A$50,密度!$B$2:$B$50)</f>
        <v>43520.045058000003</v>
      </c>
      <c r="I25" s="91" ph="1">
        <f>I24*18.322*LOOKUP(I26,密度!$A$2:$A$50,密度!$Q$2:$Q$50)</f>
        <v>67083.201932640004</v>
      </c>
      <c r="J25" s="91" ph="1">
        <f>J24*18.322*LOOKUP(J26,密度!$A$2:$A$50,密度!$Q$2:$Q$50)</f>
        <v>90606.857124939997</v>
      </c>
      <c r="K25" s="91" ph="1">
        <f>K24*18.322*LOOKUP(K26,密度!$A$2:$A$50,密度!$Q$2:$Q$50)</f>
        <v>90946.788672120005</v>
      </c>
      <c r="L25" s="91" ph="1">
        <f>L24*18.322*LOOKUP(L26,密度!$A$2:$A$50,密度!$Q$2:$Q$50)</f>
        <v>97163.337370959998</v>
      </c>
      <c r="M25" s="91" ph="1">
        <f>M24*18.322*LOOKUP(M26,密度!$A$2:$A$50,密度!$Q$2:$Q$50)</f>
        <v>93504.775126599983</v>
      </c>
      <c r="N25" s="91" ph="1">
        <f>N24*18.322*LOOKUP(N26,密度!$A$2:$A$50,密度!$Q$2:$Q$50)</f>
        <v>95884.367229440002</v>
      </c>
      <c r="O25" s="91" ph="1">
        <f>O24*18.322*LOOKUP(O26,密度!$A$2:$A$50,密度!$C$2:$C$50)</f>
        <v>113602.49389719999</v>
      </c>
      <c r="P25" s="91" ph="1">
        <f>P24*11.702*LOOKUP(P26,密度!$A$2:$A$50,密度!$B$2:$B$50)</f>
        <v>19633.021138399999</v>
      </c>
      <c r="Q25" s="92" ph="1">
        <f>Q24*18.322*LOOKUP(Q26,密度!$A$2:$A$50,密度!$B$2:$B$50)</f>
        <v>7110.7682000000004</v>
      </c>
      <c r="R25" s="91" ph="1">
        <f>R24*35.891*LOOKUP(R26,密度!$A$2:$A$50,密度!$C$2:$C$50)</f>
        <v>8210.2708287000005</v>
      </c>
      <c r="S25" s="91" ph="1">
        <f>S24*35.891*LOOKUP(S26,密度!$A$2:$A$50,密度!$B$2:$B$50)</f>
        <v>85725.581718000001</v>
      </c>
      <c r="T25" s="91" ph="1">
        <f>T24*35.891*LOOKUP(T26,密度!$A$2:$A$50,密度!$Q$2:$Q$50)</f>
        <v>28817.852956999999</v>
      </c>
      <c r="U25" s="91" ph="1">
        <f>U24*35.891</f>
        <v>179419.109</v>
      </c>
      <c r="V25" s="91" ph="1">
        <f>V24*47.051*LOOKUP(V26,密度!$A$2:$A$50,密度!$B$2:$B$50)</f>
        <v>98529.81904680001</v>
      </c>
      <c r="W25" s="91" ph="1">
        <f>W24*47.051*LOOKUP(W26,密度!$A$2:$A$50,密度!$B$2:$B$50)</f>
        <v>70558.150110000002</v>
      </c>
      <c r="X25" s="91" ph="1">
        <f>X24*47.051*LOOKUP(X26,密度!$A$2:$A$50,密度!$I$2:$I$50)</f>
        <v>67745.789507399997</v>
      </c>
      <c r="Y25" s="91" ph="1">
        <f>Y24*47.051*LOOKUP(Y26,密度!$A$2:$A$50,密度!$L$2:$L$50)</f>
        <v>104254.66478000001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27</v>
      </c>
      <c r="G26" s="74">
        <v>28</v>
      </c>
      <c r="H26" s="74">
        <v>28</v>
      </c>
      <c r="I26" s="74">
        <v>28</v>
      </c>
      <c r="J26" s="74">
        <v>29</v>
      </c>
      <c r="K26" s="74">
        <v>30</v>
      </c>
      <c r="L26" s="74">
        <v>28</v>
      </c>
      <c r="M26" s="74">
        <v>30</v>
      </c>
      <c r="N26" s="74">
        <v>27</v>
      </c>
      <c r="O26" s="74">
        <v>27</v>
      </c>
      <c r="P26" s="74">
        <v>30</v>
      </c>
      <c r="Q26" s="93">
        <v>29</v>
      </c>
      <c r="R26" s="74">
        <v>30</v>
      </c>
      <c r="S26" s="74">
        <v>28</v>
      </c>
      <c r="T26" s="74">
        <v>28</v>
      </c>
      <c r="U26" s="74">
        <v>27</v>
      </c>
      <c r="V26" s="74">
        <v>27</v>
      </c>
      <c r="W26" s="74">
        <v>28</v>
      </c>
      <c r="X26" s="74">
        <v>30</v>
      </c>
      <c r="Y26" s="74">
        <v>31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54" t="s" ph="1">
        <v>180</v>
      </c>
      <c r="D27" s="71">
        <v>3.01</v>
      </c>
      <c r="E27" s="71">
        <v>5.41</v>
      </c>
      <c r="F27" s="71">
        <v>7</v>
      </c>
      <c r="G27" s="71">
        <v>1832</v>
      </c>
      <c r="H27" s="71">
        <v>3043</v>
      </c>
      <c r="I27" s="71">
        <v>3875</v>
      </c>
      <c r="J27" s="71">
        <v>5239</v>
      </c>
      <c r="K27" s="71">
        <v>5264</v>
      </c>
      <c r="L27" s="71">
        <v>5611</v>
      </c>
      <c r="M27" s="71">
        <v>5410</v>
      </c>
      <c r="N27" s="71">
        <v>5533</v>
      </c>
      <c r="O27" s="71">
        <v>5595</v>
      </c>
      <c r="P27" s="71">
        <v>2164</v>
      </c>
      <c r="Q27" s="90">
        <v>830</v>
      </c>
      <c r="R27" s="71">
        <v>204</v>
      </c>
      <c r="S27" s="71">
        <v>3700</v>
      </c>
      <c r="T27" s="71">
        <v>847</v>
      </c>
      <c r="U27" s="71">
        <v>4934</v>
      </c>
      <c r="V27" s="71">
        <v>2606</v>
      </c>
      <c r="W27" s="71">
        <v>2714</v>
      </c>
      <c r="X27" s="71">
        <v>909</v>
      </c>
      <c r="Y27" s="71">
        <v>2951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54" t="s" ph="1">
        <v>178</v>
      </c>
      <c r="D28" s="91" ph="1">
        <f>D27*268.68*LOOKUP(D29,密度!$A$2:$A$50,密度!$Q$2:$Q$50)+IF(D27&lt;=0,0,1566*LOOKUP(D29,密度!$A$2:$A$50,密度!$Q$2:$Q$50))</f>
        <v>2248.2488506319996</v>
      </c>
      <c r="E28" s="91" ph="1">
        <f>E27*268.68*LOOKUP(E29,密度!$A$2:$A$50,密度!$C$2:$C$50)+IF(E27&lt;=0,0,1566*LOOKUP(E29,密度!$A$2:$A$50,密度!$C$2:$C$50))</f>
        <v>3348.38875332</v>
      </c>
      <c r="F28" s="91" ph="1">
        <f>F27*11.702*LOOKUP(F29,密度!$A$2:$A$50,密度!$Q$2:$Q$50)</f>
        <v>77.271933619999999</v>
      </c>
      <c r="G28" s="91" ph="1">
        <f>G27*18.322*LOOKUP(G29,密度!$A$2:$A$50,密度!$B$2:$B$50)</f>
        <v>25936.374020799998</v>
      </c>
      <c r="H28" s="91" ph="1">
        <f>H27*18.322*LOOKUP(H29,密度!$A$2:$A$50,密度!$B$2:$B$50)</f>
        <v>43030.818342799997</v>
      </c>
      <c r="I28" s="91" ph="1">
        <f>I27*18.322*LOOKUP(I29,密度!$A$2:$A$50,密度!$Q$2:$Q$50)</f>
        <v>66826.632187499999</v>
      </c>
      <c r="J28" s="91" ph="1">
        <f>J27*18.322*LOOKUP(J29,密度!$A$2:$A$50,密度!$Q$2:$Q$50)</f>
        <v>90349.606717500006</v>
      </c>
      <c r="K28" s="91" ph="1">
        <f>K27*18.322*LOOKUP(K29,密度!$A$2:$A$50,密度!$Q$2:$Q$50)</f>
        <v>90981.356056639997</v>
      </c>
      <c r="L28" s="91" ph="1">
        <f>L27*18.322*LOOKUP(L29,密度!$A$2:$A$50,密度!$Q$2:$Q$50)</f>
        <v>97040.480116060004</v>
      </c>
      <c r="M28" s="91" ph="1">
        <f>M27*18.322*LOOKUP(M29,密度!$A$2:$A$50,密度!$Q$2:$Q$50)</f>
        <v>93504.775126599983</v>
      </c>
      <c r="N28" s="91" ph="1">
        <f>N27*18.322*LOOKUP(N29,密度!$A$2:$A$50,密度!$Q$2:$Q$50)</f>
        <v>95691.49465018</v>
      </c>
      <c r="O28" s="91" ph="1">
        <f>O27*18.322*LOOKUP(O29,密度!$A$2:$A$50,密度!$C$2:$C$50)</f>
        <v>113367.567381</v>
      </c>
      <c r="P28" s="91" ph="1">
        <f>P27*11.702*LOOKUP(P29,密度!$A$2:$A$50,密度!$B$2:$B$50)</f>
        <v>19633.021138399999</v>
      </c>
      <c r="Q28" s="92" ph="1">
        <f>Q27*18.322*LOOKUP(Q29,密度!$A$2:$A$50,密度!$B$2:$B$50)</f>
        <v>11776.502144</v>
      </c>
      <c r="R28" s="91" ph="1">
        <f>R27*35.891*LOOKUP(R29,密度!$A$2:$A$50,密度!$C$2:$C$50)</f>
        <v>8083.9596323999995</v>
      </c>
      <c r="S28" s="91" ph="1">
        <f>S27*35.891*LOOKUP(S29,密度!$A$2:$A$50,密度!$B$2:$B$50)</f>
        <v>102612.01009</v>
      </c>
      <c r="T28" s="91" ph="1">
        <f>T27*35.891*LOOKUP(T29,密度!$A$2:$A$50,密度!$Q$2:$Q$50)</f>
        <v>28613.695976250001</v>
      </c>
      <c r="U28" s="91" ph="1">
        <f>U27*35.891</f>
        <v>177086.19399999999</v>
      </c>
      <c r="V28" s="91" ph="1">
        <f>V27*47.051*LOOKUP(V29,密度!$A$2:$A$50,密度!$B$2:$B$50)</f>
        <v>94842.629790999999</v>
      </c>
      <c r="W28" s="91" ph="1">
        <f>W27*47.051*LOOKUP(W29,密度!$A$2:$A$50,密度!$B$2:$B$50)</f>
        <v>98773.176229000004</v>
      </c>
      <c r="X28" s="91" ph="1">
        <f>X27*47.051*LOOKUP(X29,密度!$A$2:$A$50,密度!$I$2:$I$50)</f>
        <v>44193.150961110005</v>
      </c>
      <c r="Y28" s="91" ph="1">
        <f>Y27*47.051*LOOKUP(Y29,密度!$A$2:$A$50,密度!$L$2:$L$50)</f>
        <v>129128.17593000003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54" t="s" ph="1">
        <v>179</v>
      </c>
      <c r="D29" s="74">
        <v>25</v>
      </c>
      <c r="E29" s="74">
        <v>25</v>
      </c>
      <c r="F29" s="74">
        <v>30</v>
      </c>
      <c r="G29" s="74">
        <v>33</v>
      </c>
      <c r="H29" s="74">
        <v>34</v>
      </c>
      <c r="I29" s="74">
        <v>33</v>
      </c>
      <c r="J29" s="74">
        <v>33</v>
      </c>
      <c r="K29" s="74">
        <v>30</v>
      </c>
      <c r="L29" s="74">
        <v>29</v>
      </c>
      <c r="M29" s="74">
        <v>30</v>
      </c>
      <c r="N29" s="74">
        <v>29</v>
      </c>
      <c r="O29" s="74">
        <v>29</v>
      </c>
      <c r="P29" s="74">
        <v>30</v>
      </c>
      <c r="Q29" s="93">
        <v>31</v>
      </c>
      <c r="R29" s="74">
        <v>31</v>
      </c>
      <c r="S29" s="74">
        <v>33</v>
      </c>
      <c r="T29" s="74">
        <v>33</v>
      </c>
      <c r="U29" s="74">
        <v>32</v>
      </c>
      <c r="V29" s="74">
        <v>32</v>
      </c>
      <c r="W29" s="74">
        <v>32</v>
      </c>
      <c r="X29" s="74">
        <v>33</v>
      </c>
      <c r="Y29" s="74">
        <v>32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54" t="s" ph="1">
        <v>5</v>
      </c>
      <c r="F32" s="153" t="s" ph="1">
        <v>43</v>
      </c>
      <c r="G32" s="97" t="s" ph="1">
        <v>4</v>
      </c>
      <c r="H32" s="154" t="s" ph="1">
        <v>5</v>
      </c>
      <c r="I32" s="153" t="s" ph="1">
        <v>43</v>
      </c>
      <c r="J32" s="97" t="s" ph="1">
        <v>4</v>
      </c>
      <c r="K32" s="154" t="s" ph="1">
        <v>5</v>
      </c>
      <c r="L32" s="153" t="s" ph="1">
        <v>43</v>
      </c>
      <c r="M32" s="97" t="s" ph="1">
        <v>4</v>
      </c>
      <c r="N32" s="154" t="s" ph="1">
        <v>5</v>
      </c>
      <c r="O32" s="153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4" t="s" ph="1">
        <v>5</v>
      </c>
      <c r="U32" s="99" t="s" ph="1">
        <v>43</v>
      </c>
      <c r="V32" s="97" t="s" ph="1">
        <v>4</v>
      </c>
      <c r="W32" s="154" t="s" ph="1">
        <v>5</v>
      </c>
      <c r="X32" s="99" t="s" ph="1">
        <v>43</v>
      </c>
      <c r="Y32" s="100" t="s" ph="1">
        <v>4</v>
      </c>
      <c r="Z32" s="154" t="s" ph="1">
        <v>5</v>
      </c>
      <c r="AA32" s="153" t="s" ph="1">
        <v>43</v>
      </c>
      <c r="AB32" s="97" t="s" ph="1">
        <v>85</v>
      </c>
      <c r="AC32" s="154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80993.705650400007</v>
      </c>
      <c r="E33" s="204" ph="1">
        <f>M10+I10</f>
        <v>73583.94782049999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08" ph="1">
        <v>0</v>
      </c>
      <c r="H33" s="204" ph="1">
        <f>N19</f>
        <v>2441.2870053200004</v>
      </c>
      <c r="I33" s="217" ph="1">
        <v>0</v>
      </c>
      <c r="J33" s="215" ph="1">
        <f>F10+O28</f>
        <v>318355.848528</v>
      </c>
      <c r="K33" s="204" ph="1">
        <f>O10+K10+E28+R28</f>
        <v>38768.657632120005</v>
      </c>
      <c r="L33" s="219" ph="1">
        <f>BE27</f>
        <v>7100</v>
      </c>
      <c r="M33" s="215" ph="1">
        <f>G10+H10+W28+S28+V28+E10</f>
        <v>1294296.8446620002</v>
      </c>
      <c r="N33" s="204" ph="1">
        <f>L10+P10++G28+H28</f>
        <v>297883.71710260003</v>
      </c>
      <c r="O33" s="217" ph="1">
        <f>BE17</f>
        <v>2270</v>
      </c>
      <c r="P33" s="215" ph="1">
        <f>L19</f>
        <v>24351.667320960001</v>
      </c>
      <c r="Q33" s="204" ph="1">
        <f>J10+N10</f>
        <v>131670.2094004</v>
      </c>
      <c r="R33" s="217" ph="1">
        <f>BE23</f>
        <v>890</v>
      </c>
      <c r="S33" s="215" ph="1">
        <f>E10+X28</f>
        <v>393711.94285610999</v>
      </c>
      <c r="T33" s="204" ph="1">
        <f>X19</f>
        <v>17734.51657344</v>
      </c>
      <c r="U33" s="225" ph="1">
        <f>BE21</f>
        <v>730</v>
      </c>
      <c r="V33" s="236" ph="1">
        <f ca="1">P19+Q19+S19+M28+N28+J28</f>
        <v>436035.35200050398</v>
      </c>
      <c r="W33" s="236" ph="1">
        <f>D28+F28+V19+T28</f>
        <v>43440.090531902002</v>
      </c>
      <c r="X33" s="217" ph="1">
        <f>BE29+BE31</f>
        <v>10200</v>
      </c>
      <c r="Y33" s="238" ph="1">
        <f>+Q10+R10+S10+T10+U10+V10+W10+X10+Y10</f>
        <v>87185.830069800009</v>
      </c>
      <c r="Z33" s="223" ph="1">
        <f>D10+T19+U19+Y28+Z10</f>
        <v>408668.90674994001</v>
      </c>
      <c r="AA33" s="225" ph="1">
        <f>BE19</f>
        <v>1440</v>
      </c>
      <c r="AB33" s="227" ph="1">
        <f>I19</f>
        <v>24726.524527599999</v>
      </c>
      <c r="AC33" s="229" ph="1">
        <f>AD10</f>
        <v>85094.059680000006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52" t="s" ph="1">
        <v>185</v>
      </c>
      <c r="AA36" s="152" ph="1"/>
      <c r="AB36" s="222" t="s" ph="1">
        <v>638</v>
      </c>
      <c r="AC36" s="222" ph="1"/>
      <c r="AD36" s="222" ph="1"/>
      <c r="AE36" s="222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342</v>
      </c>
      <c r="AI37" s="152" t="s" ph="1">
        <v>209</v>
      </c>
      <c r="AJ37" s="152" t="s" ph="1">
        <v>210</v>
      </c>
      <c r="AK37" s="152" t="s" ph="1">
        <v>211</v>
      </c>
      <c r="AM37" s="152" t="s" ph="1">
        <v>210</v>
      </c>
      <c r="AN37" s="152" t="s" ph="1">
        <v>211</v>
      </c>
      <c r="AO37" s="152" t="s" ph="1">
        <v>212</v>
      </c>
      <c r="AP37" s="152" t="s" ph="1">
        <v>210</v>
      </c>
      <c r="AQ37" s="152" t="s" ph="1">
        <v>211</v>
      </c>
      <c r="AR37" s="152" t="s" ph="1">
        <v>212</v>
      </c>
      <c r="AS37" s="152" t="s" ph="1">
        <v>210</v>
      </c>
      <c r="AT37" s="152" t="s" ph="1">
        <v>211</v>
      </c>
      <c r="AU37" s="152" t="s" ph="1">
        <v>212</v>
      </c>
      <c r="AV37" s="152" t="s" ph="1">
        <v>210</v>
      </c>
      <c r="AW37" s="152" t="s" ph="1">
        <v>211</v>
      </c>
      <c r="AX37" s="152" t="s" ph="1">
        <v>212</v>
      </c>
      <c r="AY37" s="152" t="s" ph="1">
        <v>211</v>
      </c>
      <c r="AZ37" s="152" t="s" ph="1">
        <v>213</v>
      </c>
      <c r="BD37" s="152" t="s" ph="1">
        <v>305</v>
      </c>
      <c r="BE37" s="15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895" priority="98">
      <formula>ABS(D$7-D$10)&gt;=1000</formula>
    </cfRule>
  </conditionalFormatting>
  <conditionalFormatting sqref="E4 E6:E11">
    <cfRule type="expression" dxfId="894" priority="97">
      <formula>ABS(E$7-E$10)&gt;=1000</formula>
    </cfRule>
  </conditionalFormatting>
  <conditionalFormatting sqref="F4:F11">
    <cfRule type="expression" dxfId="893" priority="96">
      <formula>ABS(F$7-F$10)&gt;=1000</formula>
    </cfRule>
  </conditionalFormatting>
  <conditionalFormatting sqref="G4:G11">
    <cfRule type="expression" dxfId="892" priority="95">
      <formula>ABS(G$7-G$10)&gt;=1000</formula>
    </cfRule>
  </conditionalFormatting>
  <conditionalFormatting sqref="H4:H11">
    <cfRule type="expression" dxfId="891" priority="94">
      <formula>ABS(H$7-H$10)&gt;=1000</formula>
    </cfRule>
  </conditionalFormatting>
  <conditionalFormatting sqref="I4:I11">
    <cfRule type="expression" dxfId="890" priority="93">
      <formula>ABS(I$7-I$10)&gt;=1000</formula>
    </cfRule>
  </conditionalFormatting>
  <conditionalFormatting sqref="J4:J11">
    <cfRule type="expression" dxfId="889" priority="92">
      <formula>ABS(J$7-J$10)&gt;=1000</formula>
    </cfRule>
  </conditionalFormatting>
  <conditionalFormatting sqref="K4:K11">
    <cfRule type="expression" dxfId="888" priority="91">
      <formula>ABS(K$7-K$10)&gt;=1000</formula>
    </cfRule>
  </conditionalFormatting>
  <conditionalFormatting sqref="L4:L11">
    <cfRule type="expression" dxfId="887" priority="90">
      <formula>ABS(L$7-L$10)&gt;=1000</formula>
    </cfRule>
  </conditionalFormatting>
  <conditionalFormatting sqref="M4 M6:M11">
    <cfRule type="expression" dxfId="886" priority="89">
      <formula>ABS(M$7-M$10)&gt;=1000</formula>
    </cfRule>
  </conditionalFormatting>
  <conditionalFormatting sqref="N4 N6:N11">
    <cfRule type="expression" dxfId="885" priority="88">
      <formula>ABS(N$7-N$10)&gt;=1000</formula>
    </cfRule>
  </conditionalFormatting>
  <conditionalFormatting sqref="O4 O6:O11">
    <cfRule type="expression" dxfId="884" priority="87">
      <formula>ABS(O$7-O$10)&gt;=1000</formula>
    </cfRule>
  </conditionalFormatting>
  <conditionalFormatting sqref="P4 P6:P11">
    <cfRule type="expression" dxfId="883" priority="86">
      <formula>ABS(P$7-P$10)&gt;=1000</formula>
    </cfRule>
  </conditionalFormatting>
  <conditionalFormatting sqref="Q4:Q11">
    <cfRule type="expression" dxfId="882" priority="85">
      <formula>ABS(Q$7-Q$10)&gt;=1000</formula>
    </cfRule>
  </conditionalFormatting>
  <conditionalFormatting sqref="R4:R11">
    <cfRule type="expression" dxfId="881" priority="84">
      <formula>ABS(R$7-R$10)&gt;=1000</formula>
    </cfRule>
  </conditionalFormatting>
  <conditionalFormatting sqref="S4:S11">
    <cfRule type="expression" dxfId="880" priority="83">
      <formula>ABS(S$7-S$10)&gt;=1000</formula>
    </cfRule>
  </conditionalFormatting>
  <conditionalFormatting sqref="T4:T9 T11">
    <cfRule type="expression" dxfId="879" priority="82">
      <formula>ABS(T$7-T$10)&gt;=1000</formula>
    </cfRule>
  </conditionalFormatting>
  <conditionalFormatting sqref="U4:U9 U11">
    <cfRule type="expression" dxfId="878" priority="81">
      <formula>ABS(U$7-U$10)&gt;=1000</formula>
    </cfRule>
  </conditionalFormatting>
  <conditionalFormatting sqref="V4:V9 V11">
    <cfRule type="expression" dxfId="877" priority="80">
      <formula>ABS(V$7-V$10)&gt;=1000</formula>
    </cfRule>
  </conditionalFormatting>
  <conditionalFormatting sqref="W4:W9 W11">
    <cfRule type="expression" dxfId="876" priority="79">
      <formula>ABS(W$7-W$10)&gt;=1000</formula>
    </cfRule>
  </conditionalFormatting>
  <conditionalFormatting sqref="X4:X9 X11">
    <cfRule type="expression" dxfId="875" priority="78">
      <formula>ABS(X$7-X$10)&gt;=1000</formula>
    </cfRule>
  </conditionalFormatting>
  <conditionalFormatting sqref="Y4:Y9 Y11">
    <cfRule type="expression" dxfId="874" priority="77">
      <formula>ABS(Y$7-Y$10)&gt;=1000</formula>
    </cfRule>
  </conditionalFormatting>
  <conditionalFormatting sqref="Z4:Z11">
    <cfRule type="expression" dxfId="873" priority="76">
      <formula>ABS(Z$7-Z$10)&gt;=1000</formula>
    </cfRule>
  </conditionalFormatting>
  <conditionalFormatting sqref="AA4:AA11">
    <cfRule type="expression" dxfId="872" priority="75">
      <formula>ABS(AA$7-AA$10)&gt;=1000</formula>
    </cfRule>
  </conditionalFormatting>
  <conditionalFormatting sqref="AB4:AB11">
    <cfRule type="expression" dxfId="871" priority="74">
      <formula>ABS(AB$7-AB$10)&gt;=1000</formula>
    </cfRule>
  </conditionalFormatting>
  <conditionalFormatting sqref="AC4 AC6:AC11">
    <cfRule type="expression" dxfId="870" priority="73">
      <formula>ABS(AC$7-AC$10)&gt;=1000</formula>
    </cfRule>
  </conditionalFormatting>
  <conditionalFormatting sqref="AD4:AD11">
    <cfRule type="expression" dxfId="869" priority="72">
      <formula>ABS(AD$7-AD$10)&gt;=1000</formula>
    </cfRule>
  </conditionalFormatting>
  <conditionalFormatting sqref="AE4 AE6:AE11">
    <cfRule type="expression" dxfId="868" priority="71">
      <formula>ABS(AE$7-AE$10)&gt;=1000</formula>
    </cfRule>
  </conditionalFormatting>
  <conditionalFormatting sqref="D13:D20">
    <cfRule type="expression" dxfId="867" priority="70">
      <formula>ABS(D$16-D$19)&gt;=1000</formula>
    </cfRule>
  </conditionalFormatting>
  <conditionalFormatting sqref="E13:E20">
    <cfRule type="expression" dxfId="866" priority="69">
      <formula>ABS(E$16-E$19)&gt;=1000</formula>
    </cfRule>
  </conditionalFormatting>
  <conditionalFormatting sqref="F13 F15:F20">
    <cfRule type="expression" dxfId="865" priority="68">
      <formula>ABS(F$16-F$19)&gt;=1000</formula>
    </cfRule>
  </conditionalFormatting>
  <conditionalFormatting sqref="G13:G20">
    <cfRule type="expression" dxfId="864" priority="67">
      <formula>ABS(G$16-G$19)&gt;=1000</formula>
    </cfRule>
  </conditionalFormatting>
  <conditionalFormatting sqref="H13:H20">
    <cfRule type="expression" dxfId="863" priority="66">
      <formula>ABS(H$16-H$19)&gt;=1000</formula>
    </cfRule>
  </conditionalFormatting>
  <conditionalFormatting sqref="I13:I20">
    <cfRule type="expression" dxfId="862" priority="65">
      <formula>ABS(I$16-I$19)&gt;=1000</formula>
    </cfRule>
  </conditionalFormatting>
  <conditionalFormatting sqref="J13:J20">
    <cfRule type="expression" dxfId="861" priority="64">
      <formula>ABS(J$16-J$19)&gt;=1000</formula>
    </cfRule>
  </conditionalFormatting>
  <conditionalFormatting sqref="L13:L20">
    <cfRule type="expression" dxfId="860" priority="63">
      <formula>ABS(L$16-L$19)&gt;=1000</formula>
    </cfRule>
  </conditionalFormatting>
  <conditionalFormatting sqref="M13 M15 M17:M18 M20">
    <cfRule type="expression" dxfId="859" priority="62">
      <formula>ABS(M$16-M$19)&gt;=1000</formula>
    </cfRule>
  </conditionalFormatting>
  <conditionalFormatting sqref="N13:N20">
    <cfRule type="expression" dxfId="858" priority="61">
      <formula>ABS(N$16-N$19)&gt;=1000</formula>
    </cfRule>
  </conditionalFormatting>
  <conditionalFormatting sqref="O13:O20">
    <cfRule type="expression" dxfId="857" priority="60">
      <formula>ABS(O$16-O$19)&gt;=1000</formula>
    </cfRule>
  </conditionalFormatting>
  <conditionalFormatting sqref="P13:P20">
    <cfRule type="expression" dxfId="856" priority="59">
      <formula>ABS(P$16-P$19)&gt;=1000</formula>
    </cfRule>
  </conditionalFormatting>
  <conditionalFormatting sqref="Q13 Q15:Q20">
    <cfRule type="expression" dxfId="855" priority="58">
      <formula>ABS(Q$16-Q$19)&gt;=1000</formula>
    </cfRule>
  </conditionalFormatting>
  <conditionalFormatting sqref="R13:R20">
    <cfRule type="expression" dxfId="854" priority="57">
      <formula>ABS(R$16-R$19)&gt;=1000</formula>
    </cfRule>
  </conditionalFormatting>
  <conditionalFormatting sqref="S13:S20">
    <cfRule type="expression" dxfId="853" priority="56">
      <formula>ABS(S$16-S$19)&gt;=1000</formula>
    </cfRule>
  </conditionalFormatting>
  <conditionalFormatting sqref="T13:T20">
    <cfRule type="expression" dxfId="852" priority="55">
      <formula>ABS(T$16-T$19)&gt;=1000</formula>
    </cfRule>
  </conditionalFormatting>
  <conditionalFormatting sqref="U13:U20">
    <cfRule type="expression" dxfId="851" priority="54">
      <formula>ABS(U$16-U$19)&gt;=1000</formula>
    </cfRule>
  </conditionalFormatting>
  <conditionalFormatting sqref="V13:V20">
    <cfRule type="expression" dxfId="850" priority="53">
      <formula>ABS(V$16-V$19)&gt;=1000</formula>
    </cfRule>
  </conditionalFormatting>
  <conditionalFormatting sqref="W13 W20 W15:W18">
    <cfRule type="expression" dxfId="849" priority="52">
      <formula>ABS(W$16-W$19)&gt;=1000</formula>
    </cfRule>
  </conditionalFormatting>
  <conditionalFormatting sqref="X13 X15:X20 Y19">
    <cfRule type="expression" dxfId="848" priority="51">
      <formula>ABS(X$16-X$19)&gt;=1000</formula>
    </cfRule>
  </conditionalFormatting>
  <conditionalFormatting sqref="Y13 Y15:Y18 Y20">
    <cfRule type="expression" dxfId="847" priority="50">
      <formula>ABS(Y$16-Y$19)&gt;=1000</formula>
    </cfRule>
  </conditionalFormatting>
  <conditionalFormatting sqref="Z13:Z20">
    <cfRule type="expression" dxfId="846" priority="49">
      <formula>ABS(Z$16-Z$19)&gt;=1000</formula>
    </cfRule>
  </conditionalFormatting>
  <conditionalFormatting sqref="AA13:AA20">
    <cfRule type="expression" dxfId="845" priority="48">
      <formula>ABS(AA$16-AA$19)&gt;=1000</formula>
    </cfRule>
  </conditionalFormatting>
  <conditionalFormatting sqref="AB13 AB15:AB20">
    <cfRule type="expression" dxfId="844" priority="47">
      <formula>ABS(AB$16-AB$19)&gt;=1000</formula>
    </cfRule>
  </conditionalFormatting>
  <conditionalFormatting sqref="AC13 AC15:AC20">
    <cfRule type="expression" dxfId="843" priority="46">
      <formula>ABS(AC$16-AC$19)&gt;=1000</formula>
    </cfRule>
  </conditionalFormatting>
  <conditionalFormatting sqref="AD13:AD20">
    <cfRule type="expression" dxfId="842" priority="45">
      <formula>ABS(AD$16-AD$19)&gt;=1000</formula>
    </cfRule>
  </conditionalFormatting>
  <conditionalFormatting sqref="AE13:AE20">
    <cfRule type="expression" dxfId="841" priority="44">
      <formula>ABS(AE$16-AE$19)&gt;=1000</formula>
    </cfRule>
  </conditionalFormatting>
  <conditionalFormatting sqref="D22:D29">
    <cfRule type="expression" dxfId="840" priority="43">
      <formula>ABS(D$25-D$28)&gt;=1000</formula>
    </cfRule>
  </conditionalFormatting>
  <conditionalFormatting sqref="E22:E29">
    <cfRule type="expression" dxfId="839" priority="42">
      <formula>ABS(E$25-E$28)&gt;=1000</formula>
    </cfRule>
  </conditionalFormatting>
  <conditionalFormatting sqref="F22:F29">
    <cfRule type="expression" dxfId="838" priority="41">
      <formula>ABS(F$25-F$28)&gt;=1000</formula>
    </cfRule>
  </conditionalFormatting>
  <conditionalFormatting sqref="G22:G29">
    <cfRule type="expression" dxfId="837" priority="40">
      <formula>ABS(G$25-G$28)&gt;=1000</formula>
    </cfRule>
  </conditionalFormatting>
  <conditionalFormatting sqref="H22:H29">
    <cfRule type="expression" dxfId="836" priority="39">
      <formula>ABS(H$25-H$28)&gt;=1000</formula>
    </cfRule>
  </conditionalFormatting>
  <conditionalFormatting sqref="I22 I24:I29">
    <cfRule type="expression" dxfId="835" priority="38">
      <formula>ABS(I$25-I$28)&gt;=1000</formula>
    </cfRule>
  </conditionalFormatting>
  <conditionalFormatting sqref="J22:J29 K22">
    <cfRule type="expression" dxfId="834" priority="37">
      <formula>ABS(J$25-J$28)&gt;=1000</formula>
    </cfRule>
  </conditionalFormatting>
  <conditionalFormatting sqref="K23:K29 L25 L28">
    <cfRule type="expression" dxfId="833" priority="36">
      <formula>ABS(K$25-K$28)&gt;=1000</formula>
    </cfRule>
  </conditionalFormatting>
  <conditionalFormatting sqref="L22 L26:L27 L29 L24">
    <cfRule type="expression" dxfId="832" priority="35">
      <formula>ABS(L$25-L$28)&gt;=1000</formula>
    </cfRule>
  </conditionalFormatting>
  <conditionalFormatting sqref="M22:M29">
    <cfRule type="expression" dxfId="831" priority="34">
      <formula>ABS(M$25-M$28)&gt;=1000</formula>
    </cfRule>
  </conditionalFormatting>
  <conditionalFormatting sqref="N22:N29">
    <cfRule type="expression" dxfId="830" priority="33">
      <formula>ABS(N$25-N$28)&gt;=1000</formula>
    </cfRule>
  </conditionalFormatting>
  <conditionalFormatting sqref="O22:O29">
    <cfRule type="expression" dxfId="829" priority="32">
      <formula>ABS(O$25-O$28)&gt;=1000</formula>
    </cfRule>
  </conditionalFormatting>
  <conditionalFormatting sqref="P22:P29">
    <cfRule type="expression" dxfId="828" priority="31">
      <formula>ABS(P$25-P$28)&gt;=1000</formula>
    </cfRule>
  </conditionalFormatting>
  <conditionalFormatting sqref="Q22:Q29">
    <cfRule type="expression" dxfId="827" priority="30">
      <formula>ABS(Q$25-Q$28)&gt;=1000</formula>
    </cfRule>
  </conditionalFormatting>
  <conditionalFormatting sqref="R22:R29">
    <cfRule type="expression" dxfId="826" priority="29">
      <formula>ABS(R$25-R$28)&gt;=1000</formula>
    </cfRule>
  </conditionalFormatting>
  <conditionalFormatting sqref="S22:S29">
    <cfRule type="expression" dxfId="825" priority="28">
      <formula>ABS(S$25-S$28)&gt;=1000</formula>
    </cfRule>
  </conditionalFormatting>
  <conditionalFormatting sqref="T22:T29">
    <cfRule type="expression" dxfId="824" priority="27">
      <formula>ABS(T$25-T$28)&gt;=1000</formula>
    </cfRule>
  </conditionalFormatting>
  <conditionalFormatting sqref="U22:U29">
    <cfRule type="expression" dxfId="823" priority="26">
      <formula>ABS(U$25-U$28)&gt;=1000</formula>
    </cfRule>
  </conditionalFormatting>
  <conditionalFormatting sqref="V22:V29">
    <cfRule type="expression" dxfId="822" priority="25">
      <formula>ABS(V$25-V$28)&gt;=1000</formula>
    </cfRule>
  </conditionalFormatting>
  <conditionalFormatting sqref="W22:W29">
    <cfRule type="expression" dxfId="821" priority="24">
      <formula>ABS(W$25-W$28)&gt;=1000</formula>
    </cfRule>
  </conditionalFormatting>
  <conditionalFormatting sqref="X22:X29">
    <cfRule type="expression" dxfId="820" priority="23">
      <formula>ABS(X$25-X$28)&gt;=1000</formula>
    </cfRule>
  </conditionalFormatting>
  <conditionalFormatting sqref="Y22:Y29">
    <cfRule type="expression" dxfId="819" priority="22">
      <formula>ABS(Y$25-Y$28)&gt;=1000</formula>
    </cfRule>
  </conditionalFormatting>
  <conditionalFormatting sqref="I23">
    <cfRule type="expression" dxfId="818" priority="21">
      <formula>ABS(I$25-I$28)&gt;=1000</formula>
    </cfRule>
  </conditionalFormatting>
  <conditionalFormatting sqref="Q14">
    <cfRule type="expression" dxfId="817" priority="20">
      <formula>ABS(Q$16-Q$19)&gt;=1000</formula>
    </cfRule>
  </conditionalFormatting>
  <conditionalFormatting sqref="W14">
    <cfRule type="expression" dxfId="816" priority="19">
      <formula>ABS(W$16-W$19)&gt;=1000</formula>
    </cfRule>
  </conditionalFormatting>
  <conditionalFormatting sqref="Y14">
    <cfRule type="expression" dxfId="815" priority="18">
      <formula>ABS(Y$16-Y$19)&gt;=1000</formula>
    </cfRule>
  </conditionalFormatting>
  <conditionalFormatting sqref="X14">
    <cfRule type="expression" dxfId="814" priority="17">
      <formula>ABS(X$16-X$19)&gt;=1000</formula>
    </cfRule>
  </conditionalFormatting>
  <conditionalFormatting sqref="T10:Y10">
    <cfRule type="expression" dxfId="813" priority="16">
      <formula>ABS(T$7-T$10)&gt;=1000</formula>
    </cfRule>
  </conditionalFormatting>
  <conditionalFormatting sqref="W19">
    <cfRule type="expression" dxfId="812" priority="15">
      <formula>ABS(W$16-W$19)&gt;=1000</formula>
    </cfRule>
  </conditionalFormatting>
  <conditionalFormatting sqref="AC5">
    <cfRule type="expression" dxfId="811" priority="14">
      <formula>ABS(AC$7-AC$10)&gt;=1000</formula>
    </cfRule>
  </conditionalFormatting>
  <conditionalFormatting sqref="M14">
    <cfRule type="expression" dxfId="810" priority="13">
      <formula>ABS(M$16-M$19)&gt;=1000</formula>
    </cfRule>
  </conditionalFormatting>
  <conditionalFormatting sqref="M16">
    <cfRule type="expression" dxfId="809" priority="12">
      <formula>ABS(M$16-M$19)&gt;=1000</formula>
    </cfRule>
  </conditionalFormatting>
  <conditionalFormatting sqref="M19">
    <cfRule type="expression" dxfId="808" priority="11">
      <formula>ABS(M$16-M$19)&gt;=1000</formula>
    </cfRule>
  </conditionalFormatting>
  <conditionalFormatting sqref="K13:K20">
    <cfRule type="expression" dxfId="807" priority="10">
      <formula>ABS(K$16-K$19)&gt;=1000</formula>
    </cfRule>
  </conditionalFormatting>
  <conditionalFormatting sqref="E5">
    <cfRule type="expression" dxfId="806" priority="9">
      <formula>ABS(E$7-E$10)&gt;=1000</formula>
    </cfRule>
  </conditionalFormatting>
  <conditionalFormatting sqref="AB14:AC14">
    <cfRule type="expression" dxfId="805" priority="8">
      <formula>ABS(AB$16-AB$19)&gt;=1000</formula>
    </cfRule>
  </conditionalFormatting>
  <conditionalFormatting sqref="M5">
    <cfRule type="expression" dxfId="804" priority="7">
      <formula>ABS(M$7-M$10)&gt;=1000</formula>
    </cfRule>
  </conditionalFormatting>
  <conditionalFormatting sqref="N5">
    <cfRule type="expression" dxfId="803" priority="6">
      <formula>ABS(N$7-N$10)&gt;=1000</formula>
    </cfRule>
  </conditionalFormatting>
  <conditionalFormatting sqref="O5">
    <cfRule type="expression" dxfId="802" priority="5">
      <formula>ABS(O$7-O$10)&gt;=1000</formula>
    </cfRule>
  </conditionalFormatting>
  <conditionalFormatting sqref="P5">
    <cfRule type="expression" dxfId="801" priority="4">
      <formula>ABS(P$7-P$10)&gt;=1000</formula>
    </cfRule>
  </conditionalFormatting>
  <conditionalFormatting sqref="L23">
    <cfRule type="expression" dxfId="800" priority="3">
      <formula>ABS(L$25-L$28)&gt;=1000</formula>
    </cfRule>
  </conditionalFormatting>
  <conditionalFormatting sqref="F14">
    <cfRule type="expression" dxfId="799" priority="2">
      <formula>ABS(F$16-F$19)&gt;=1000</formula>
    </cfRule>
  </conditionalFormatting>
  <conditionalFormatting sqref="AE5">
    <cfRule type="expression" dxfId="798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193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28">
    <pageSetUpPr fitToPage="1"/>
  </sheetPr>
  <dimension ref="A1:CU223"/>
  <sheetViews>
    <sheetView view="pageBreakPreview" topLeftCell="A16" zoomScale="80" zoomScaleNormal="100" zoomScaleSheetLayoutView="80" workbookViewId="0">
      <selection activeCell="AA39" sqref="AA3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45922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54" t="s" ph="1">
        <v>177</v>
      </c>
      <c r="D6" s="71">
        <v>5344</v>
      </c>
      <c r="E6" s="71">
        <v>8765</v>
      </c>
      <c r="F6" s="71">
        <v>3493</v>
      </c>
      <c r="G6" s="71">
        <v>7551</v>
      </c>
      <c r="H6" s="71">
        <v>8637</v>
      </c>
      <c r="I6" s="71">
        <v>18.07</v>
      </c>
      <c r="J6" s="71">
        <v>6.99</v>
      </c>
      <c r="K6" s="71">
        <v>51.59</v>
      </c>
      <c r="L6" s="71">
        <v>28.5</v>
      </c>
      <c r="M6" s="71">
        <v>2013</v>
      </c>
      <c r="N6" s="71">
        <v>5043</v>
      </c>
      <c r="O6" s="71">
        <v>3839</v>
      </c>
      <c r="P6" s="71">
        <v>5092</v>
      </c>
      <c r="Q6" s="71">
        <v>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7120</v>
      </c>
      <c r="X6" s="71">
        <v>5944</v>
      </c>
      <c r="Y6" s="71">
        <v>0</v>
      </c>
      <c r="Z6" s="71">
        <v>1375</v>
      </c>
      <c r="AA6" s="71">
        <v>780</v>
      </c>
      <c r="AB6" s="71">
        <v>2606</v>
      </c>
      <c r="AC6" s="71">
        <v>0</v>
      </c>
      <c r="AD6" s="71">
        <v>4350</v>
      </c>
      <c r="AE6" s="71">
        <v>3085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167147.66615615998</v>
      </c>
      <c r="E7" s="73" ph="1">
        <f>E6*51.53*LOOKUP(E8,密度!$A$2:$A$50,密度!$B$2:$B$50)</f>
        <v>349765.85248</v>
      </c>
      <c r="F7" s="73" ph="1">
        <f>F6*33.183*LOOKUP(F8,密度!$A$2:$A$50,密度!$C$2:$C$50)</f>
        <v>128264.0351454</v>
      </c>
      <c r="G7" s="73" ph="1">
        <f xml:space="preserve"> (G6+2)*51.53*LOOKUP(G8,密度!$A$2:$A$50,密度!$B$2:$B$50)</f>
        <v>302101.76705800003</v>
      </c>
      <c r="H7" s="73" ph="1">
        <f>(H6)*51.53*LOOKUP(H8,密度!$A$2:$A$50,密度!$B$2:$B$50)</f>
        <v>345459.15028200002</v>
      </c>
      <c r="I7" s="73" ph="1">
        <f>I6*290.8*1.0267</f>
        <v>5395.0579852000001</v>
      </c>
      <c r="J7" s="73" ph="1">
        <f>J6*290.8*0.7892</f>
        <v>1604.2005264000002</v>
      </c>
      <c r="K7" s="73" ph="1">
        <f>K6*290.8*1.1126</f>
        <v>16691.639087200001</v>
      </c>
      <c r="L7" s="73" ph="1">
        <f>L6*290.8*0.777</f>
        <v>6439.6206000000011</v>
      </c>
      <c r="M7" s="73" ph="1">
        <f>M6*33.183*LOOKUP(M8,密度!$A$2:$A$50,密度!$D$2:$D$50)</f>
        <v>68327.038979099991</v>
      </c>
      <c r="N7" s="73" ph="1">
        <f>N6*33.183*LOOKUP(N8,密度!$A$2:$A$50,密度!$E$2:$E$50)</f>
        <v>130493.18944620002</v>
      </c>
      <c r="O7" s="73" ph="1">
        <f>O6*20.428*LOOKUP(O8,密度!$A$2:$A$50,密度!$C$2:$C$50)</f>
        <v>86422.247384000017</v>
      </c>
      <c r="P7" s="73" ph="1">
        <f>P6*51.53*LOOKUP(P8,密度!$A$2:$A$50,密度!$B$2:$B$50)</f>
        <v>203667.70791200001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47057.083920000005</v>
      </c>
      <c r="X7" s="73" ph="1">
        <f>X6*1.5*1.5*3.1416*LOOKUP(X8,密度!$A$2:$A$50,密度!$L$2:$L$50)</f>
        <v>39620.860171199995</v>
      </c>
      <c r="Y7" s="73" ph="1">
        <f>Y6*1.5*1.5*3.1416*LOOKUP(Y8,密度!$A$2:$A$50,密度!$L$2:$L$50)</f>
        <v>0</v>
      </c>
      <c r="Z7" s="73" ph="1">
        <f>Z6*33.183*LOOKUP(Z8,密度!$A$2:$A$50,密度!$L$2:$L$50)</f>
        <v>42797.774249999995</v>
      </c>
      <c r="AA7" s="73" ph="1">
        <f>AA6*33.183*LOOKUP(AA8,密度!$A$2:$A$50,密度!$D$2:$D$50)</f>
        <v>26524.631952</v>
      </c>
      <c r="AB7" s="73" ph="1">
        <f>AB6*20.428*LOOKUP(AB8,密度!$A$2:$A$50,密度!$D$2:$D$50)</f>
        <v>54704.664156800005</v>
      </c>
      <c r="AC7" s="73" ph="1">
        <f>AC6*51.53*LOOKUP(AC8,密度!$A$2:$A$50,密度!$Q$2:$Q$50)</f>
        <v>0</v>
      </c>
      <c r="AD7" s="73" ph="1">
        <f>AD6*20.428*LOOKUP(AD8,密度!$A$2:$A$50,密度!$V$2:$V$50)</f>
        <v>85094.059680000006</v>
      </c>
      <c r="AE7" s="73" ph="1">
        <f>AE6*20.428</f>
        <v>63020.380000000005</v>
      </c>
    </row>
    <row r="8" spans="1:99" ph="1">
      <c r="B8" s="182" ph="1"/>
      <c r="C8" s="68" t="s" ph="1">
        <v>179</v>
      </c>
      <c r="D8" s="74">
        <v>31</v>
      </c>
      <c r="E8" s="74">
        <v>31</v>
      </c>
      <c r="F8" s="74">
        <v>28</v>
      </c>
      <c r="G8" s="74">
        <v>29</v>
      </c>
      <c r="H8" s="74">
        <v>29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28</v>
      </c>
      <c r="O8" s="74">
        <v>33</v>
      </c>
      <c r="P8" s="74">
        <v>29</v>
      </c>
      <c r="Q8" s="74">
        <v>27</v>
      </c>
      <c r="R8" s="74">
        <v>32</v>
      </c>
      <c r="S8" s="74">
        <v>24</v>
      </c>
      <c r="T8" s="74">
        <v>24</v>
      </c>
      <c r="U8" s="74">
        <v>27</v>
      </c>
      <c r="V8" s="74">
        <v>28</v>
      </c>
      <c r="W8" s="74">
        <v>27</v>
      </c>
      <c r="X8" s="74">
        <v>19</v>
      </c>
      <c r="Y8" s="74">
        <v>27</v>
      </c>
      <c r="Z8" s="74">
        <v>24</v>
      </c>
      <c r="AA8" s="74">
        <v>27</v>
      </c>
      <c r="AB8" s="74">
        <v>24</v>
      </c>
      <c r="AC8" s="74">
        <v>25</v>
      </c>
      <c r="AD8" s="74">
        <v>28</v>
      </c>
      <c r="AE8" s="74">
        <v>29</v>
      </c>
    </row>
    <row r="9" spans="1:99" ht="26.4" ph="1">
      <c r="B9" s="182" ph="1">
        <v>0.66666666666666663</v>
      </c>
      <c r="C9" s="154" t="s" ph="1">
        <v>180</v>
      </c>
      <c r="D9" s="71">
        <v>4648</v>
      </c>
      <c r="E9" s="71">
        <v>8763</v>
      </c>
      <c r="F9" s="71">
        <v>4061</v>
      </c>
      <c r="G9" s="71">
        <v>7551</v>
      </c>
      <c r="H9" s="71">
        <v>8641</v>
      </c>
      <c r="I9" s="71">
        <v>18.03</v>
      </c>
      <c r="J9" s="71">
        <v>6.98</v>
      </c>
      <c r="K9" s="71">
        <v>12.86</v>
      </c>
      <c r="L9" s="71">
        <v>10.46</v>
      </c>
      <c r="M9" s="71">
        <v>2013</v>
      </c>
      <c r="N9" s="71">
        <v>4821</v>
      </c>
      <c r="O9" s="71">
        <v>3915</v>
      </c>
      <c r="P9" s="71">
        <v>4727</v>
      </c>
      <c r="Q9" s="71">
        <v>0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7128</v>
      </c>
      <c r="X9" s="71">
        <v>5950</v>
      </c>
      <c r="Y9" s="71">
        <v>2505</v>
      </c>
      <c r="Z9" s="71">
        <v>1373</v>
      </c>
      <c r="AA9" s="71">
        <v>780</v>
      </c>
      <c r="AB9" s="71">
        <v>2606</v>
      </c>
      <c r="AC9" s="71">
        <v>352</v>
      </c>
      <c r="AD9" s="71">
        <v>4350</v>
      </c>
      <c r="AE9" s="71">
        <v>2960</v>
      </c>
    </row>
    <row r="10" spans="1:99" s="72" customFormat="1" ht="22.2" ph="1">
      <c r="B10" s="182" ph="1"/>
      <c r="C10" s="154" t="s" ph="1">
        <v>178</v>
      </c>
      <c r="D10" s="73" ph="1">
        <f>D9*33.183*LOOKUP(D11,密度!$A$2:$A$50,密度!$Q$2:$Q$50)</f>
        <v>145273.55466960001</v>
      </c>
      <c r="E10" s="73" ph="1">
        <f>E9*51.53*LOOKUP(E11,密度!$A$2:$A$50,密度!$B$2:$B$50)</f>
        <v>349279.64116499998</v>
      </c>
      <c r="F10" s="73" ph="1">
        <f>F9*33.183*LOOKUP(F11,密度!$A$2:$A$50,密度!$C$2:$C$50)</f>
        <v>148919.03573129998</v>
      </c>
      <c r="G10" s="73" ph="1">
        <f xml:space="preserve"> (G9+2)*51.53*LOOKUP(G11,密度!$A$2:$A$50,密度!$B$2:$B$50)</f>
        <v>301401.19609600003</v>
      </c>
      <c r="H10" s="73" ph="1">
        <f>(H9)*51.53*LOOKUP(H11,密度!$A$2:$A$50,密度!$B$2:$B$50)</f>
        <v>345975.35720999999</v>
      </c>
      <c r="I10" s="73" ph="1">
        <f>I9*290.8*1.0267</f>
        <v>5383.1154108000001</v>
      </c>
      <c r="J10" s="73" ph="1">
        <f>J9*290.8*0.7892</f>
        <v>1601.9055328000002</v>
      </c>
      <c r="K10" s="73" ph="1">
        <f>K9*290.8*1.1126</f>
        <v>4160.7768688000006</v>
      </c>
      <c r="L10" s="73" ph="1">
        <f>L9*290.8*0.777</f>
        <v>2363.4537360000004</v>
      </c>
      <c r="M10" s="73" ph="1">
        <f>M9*33.183*LOOKUP(M11,密度!$A$2:$A$50,密度!$D$2:$D$50)</f>
        <v>68146.686055800004</v>
      </c>
      <c r="N10" s="73" ph="1">
        <f>N9*33.183*LOOKUP(N11,密度!$A$2:$A$50,密度!$E$2:$E$50)</f>
        <v>124032.00540276</v>
      </c>
      <c r="O10" s="73" ph="1">
        <f>O9*20.428*LOOKUP(O11,密度!$A$2:$A$50,密度!$C$2:$C$50)</f>
        <v>87965.184438000026</v>
      </c>
      <c r="P10" s="73" ph="1">
        <f>P9*51.53*LOOKUP(P11,密度!$A$2:$A$50,密度!$B$2:$B$50)</f>
        <v>188630.14086399999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47009.187086400001</v>
      </c>
      <c r="X10" s="73" ph="1">
        <f>X9*1.5*1.5*3.1416*LOOKUP(X11,密度!$A$2:$A$50,密度!$L$2:$L$50)</f>
        <v>39576.737969999995</v>
      </c>
      <c r="Y10" s="73" ph="1">
        <f>Y9*1.5*1.5*3.1416*LOOKUP(Y11,密度!$A$2:$A$50,密度!$L$2:$L$50)</f>
        <v>16591.311891000001</v>
      </c>
      <c r="Z10" s="73" ph="1">
        <f>Z9*33.183*LOOKUP(Z11,密度!$A$2:$A$50,密度!$L$2:$L$50)</f>
        <v>42598.842165000002</v>
      </c>
      <c r="AA10" s="73" ph="1">
        <f>AA9*33.183*LOOKUP(AA11,密度!$A$2:$A$50,密度!$D$2:$D$50)</f>
        <v>26361.57069</v>
      </c>
      <c r="AB10" s="73" ph="1">
        <f>AB9*20.428*LOOKUP(AB11,密度!$A$2:$A$50,密度!$D$2:$D$50)</f>
        <v>54608.840494400007</v>
      </c>
      <c r="AC10" s="73" ph="1">
        <f>AC9*51.53*LOOKUP(AC11,密度!$A$2:$A$50,密度!$Q$2:$Q$50)</f>
        <v>17110.647804800003</v>
      </c>
      <c r="AD10" s="73" ph="1">
        <f>AD9*20.428*LOOKUP(AD11,密度!$A$2:$A$50,密度!$V$2:$V$50)</f>
        <v>85094.059680000006</v>
      </c>
      <c r="AE10" s="73" ph="1">
        <f>AE9*20.428</f>
        <v>60466.880000000005</v>
      </c>
    </row>
    <row r="11" spans="1:99" ph="1">
      <c r="A11" s="64" t="s" ph="1">
        <v>162</v>
      </c>
      <c r="B11" s="182" ph="1"/>
      <c r="C11" s="154" t="s" ph="1">
        <v>179</v>
      </c>
      <c r="D11" s="74">
        <v>32</v>
      </c>
      <c r="E11" s="74">
        <v>32</v>
      </c>
      <c r="F11" s="74">
        <v>30</v>
      </c>
      <c r="G11" s="74">
        <v>31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32</v>
      </c>
      <c r="O11" s="74">
        <v>35</v>
      </c>
      <c r="P11" s="74">
        <v>31</v>
      </c>
      <c r="Q11" s="74">
        <v>32</v>
      </c>
      <c r="R11" s="74">
        <v>36</v>
      </c>
      <c r="S11" s="74">
        <v>27</v>
      </c>
      <c r="T11" s="74">
        <v>30</v>
      </c>
      <c r="U11" s="74">
        <v>32</v>
      </c>
      <c r="V11" s="74">
        <v>28</v>
      </c>
      <c r="W11" s="74">
        <v>29</v>
      </c>
      <c r="X11" s="74">
        <v>21</v>
      </c>
      <c r="Y11" s="74">
        <v>25</v>
      </c>
      <c r="Z11" s="74">
        <v>27</v>
      </c>
      <c r="AA11" s="74">
        <v>34</v>
      </c>
      <c r="AB11" s="74">
        <v>26</v>
      </c>
      <c r="AC11" s="74">
        <v>30</v>
      </c>
      <c r="AD11" s="74">
        <v>30</v>
      </c>
      <c r="AE11" s="74">
        <v>32</v>
      </c>
    </row>
    <row r="12" spans="1:99" ht="9.9" customHeight="1" ph="1"/>
    <row r="13" spans="1:99" s="72" customFormat="1" ht="29.25" customHeight="1" ph="1">
      <c r="B13" s="190" t="s" ph="1">
        <v>37</v>
      </c>
      <c r="C13" s="15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150" t="s" ph="1">
        <v>643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54" t="s" ph="1">
        <v>177</v>
      </c>
      <c r="D15" s="78">
        <v>3968</v>
      </c>
      <c r="E15" s="78">
        <v>2471</v>
      </c>
      <c r="F15" s="78">
        <v>3210</v>
      </c>
      <c r="G15" s="78">
        <v>2526</v>
      </c>
      <c r="H15" s="78">
        <v>1968</v>
      </c>
      <c r="I15" s="78">
        <v>2672</v>
      </c>
      <c r="J15" s="78">
        <v>700</v>
      </c>
      <c r="K15" s="78">
        <v>4072</v>
      </c>
      <c r="L15" s="78">
        <v>3444</v>
      </c>
      <c r="M15" s="78">
        <v>3784</v>
      </c>
      <c r="N15" s="78">
        <v>3091</v>
      </c>
      <c r="O15" s="78">
        <v>5857</v>
      </c>
      <c r="P15" s="78">
        <v>6953</v>
      </c>
      <c r="Q15" s="78">
        <v>5100</v>
      </c>
      <c r="R15" s="78">
        <v>1919</v>
      </c>
      <c r="S15" s="78">
        <v>6233</v>
      </c>
      <c r="T15" s="78">
        <v>3744</v>
      </c>
      <c r="U15" s="78">
        <v>5884</v>
      </c>
      <c r="V15" s="78">
        <v>850</v>
      </c>
      <c r="W15" s="71">
        <v>3607</v>
      </c>
      <c r="X15" s="78">
        <v>1274</v>
      </c>
      <c r="Y15" s="106">
        <v>-9907</v>
      </c>
      <c r="Z15" s="78">
        <v>0</v>
      </c>
      <c r="AA15" s="78">
        <v>7</v>
      </c>
      <c r="AB15" s="78" ph="1">
        <v>1099</v>
      </c>
      <c r="AC15" s="78" ph="1">
        <v>2158</v>
      </c>
      <c r="AD15" s="78">
        <v>38.950000000000003</v>
      </c>
      <c r="AE15" s="78">
        <v>5.51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54" t="s" ph="1">
        <v>178</v>
      </c>
      <c r="D16" s="73" ph="1">
        <f>D15*7.0686*LOOKUP(D17,密度!$A$2:$A$50,密度!$L$2:$L$50)</f>
        <v>26140.926873600001</v>
      </c>
      <c r="E16" s="73" ph="1">
        <f>E15*7.0686*LOOKUP(E17,密度!$A$2:$A$50,密度!$L$2:$L$50)</f>
        <v>16278.787879200003</v>
      </c>
      <c r="F16" s="73" ph="1">
        <f>F15*9.0746*LOOKUP(F17,密度!$A$2:$A$50,密度!$L$2:$L$50)</f>
        <v>27177.791778000003</v>
      </c>
      <c r="G16" s="73" ph="1">
        <f>G15*9.0746*LOOKUP(G17,密度!$A$2:$A$50,密度!$B$2:$B$50)</f>
        <v>17810.735569200002</v>
      </c>
      <c r="H16" s="73" ph="1">
        <f>H15*9.0746*LOOKUP(H17,密度!$A$2:$A$50,密度!$L$2:$L$50)</f>
        <v>16697.989968000002</v>
      </c>
      <c r="I16" s="73" ph="1">
        <f>I15*9.0746*LOOKUP(I17,密度!$A$2:$A$50,密度!$U$2:$U$50)</f>
        <v>24805.019817599998</v>
      </c>
      <c r="J16" s="73" ph="1">
        <f>J15*9.0746*LOOKUP(J17,密度!$A$2:$A$50,密度!$L$2:$L$50)</f>
        <v>5939.3257000000003</v>
      </c>
      <c r="K16" s="73" ph="1">
        <f>K15*9.0746*LOOKUP(K17,密度!$A$2:$A$50,密度!$C$2:$C$50)</f>
        <v>40890.830009920006</v>
      </c>
      <c r="L16" s="73" ph="1">
        <f>L15*9.0746*LOOKUP(L17,密度!$A$2:$A$50,密度!$E$2:$E$50)</f>
        <v>24371.028887520002</v>
      </c>
      <c r="M16" s="73" ph="1">
        <f>M15*9.0746*LOOKUP(M17,密度!$A$2:$A$50,密度!$M$2:$M$50)</f>
        <v>29942.985740799999</v>
      </c>
      <c r="N16" s="73" ph="1">
        <f>N15*9.0746*LOOKUP(N17,密度!$A$2:$A$50,密度!$M$2:$M$50)</f>
        <v>24490.09580666</v>
      </c>
      <c r="O16" s="73" ph="1">
        <f>O15*9.0746*LOOKUP(O17,密度!$A$2:$A$50,密度!$G$2:$G$50)</f>
        <v>50806.020189980001</v>
      </c>
      <c r="P16" s="73" ph="1">
        <f ca="1">P15*9.0746*LOOKUP(P17,密度!$A$2:$A$51,密度!$Q$2:$Q$50)</f>
        <v>59557.918248634007</v>
      </c>
      <c r="Q16" s="73" ph="1">
        <f>Q15*9.0746*LOOKUP(Q17,密度!$A$2:$A$50,密度!$Q$2:$Q$50)</f>
        <v>43657.746331800001</v>
      </c>
      <c r="R16" s="73" ph="1">
        <f>MAX(R15*9.0746*LOOKUP(R17,密度!$A$2:$A$50,密度!$B$2:$B$50),0)</f>
        <v>13516.86897388</v>
      </c>
      <c r="S16" s="73" ph="1">
        <f>S15*9.0746*LOOKUP(S17,密度!$A$2:$A$50,密度!$Q$2:$Q$50)</f>
        <v>53356.614291393998</v>
      </c>
      <c r="T16" s="73" ph="1">
        <f>T15*9.0746*LOOKUP(T17,密度!$A$2:$A$50,密度!$O$2:$O$50)</f>
        <v>31461.130022400001</v>
      </c>
      <c r="U16" s="73" ph="1">
        <f>U15*9.0746*LOOKUP(U17,密度!$A$2:$A$50,密度!$H$2:$H$50)</f>
        <v>48589.401224000001</v>
      </c>
      <c r="V16" s="73" ph="1">
        <f>MAX(5600*LOOKUP(V17,密度!$A$2:$A$50,密度!$Q$2:$Q$50)+V15*9.0476*LOOKUP(V17,密度!$A$2:$A$50,密度!$Q$2:$Q$50),0)</f>
        <v>12527.321786799999</v>
      </c>
      <c r="W16" s="73" ph="1">
        <f>MAX(5600*LOOKUP(W17,密度!$A$2:$A$50,密度!$Q$2:$Q$50)+W15*9.0476*LOOKUP(W17,密度!$A$2:$A$50,密度!$Q$2:$Q$50),0)</f>
        <v>36039.257116455992</v>
      </c>
      <c r="X16" s="73" ph="1">
        <f>MAX(5600*LOOKUP(X17,密度!$A$2:$A$50,密度!$I$2:$I$50)+X15*9.0476*LOOKUP(X17,密度!$A$2:$A$50,密度!$I$2:$I$50),0)</f>
        <v>17734.809471623998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49.464737139999997</v>
      </c>
      <c r="AB16" s="73" ph="1">
        <f>AB15*9.0746*LOOKUP(AB17,密度!$A$2:$A$50,密度!$L$2:$L$50)</f>
        <v>9314.7683636000002</v>
      </c>
      <c r="AC16" s="73" ph="1">
        <f>AC15*9.0746*LOOKUP(AC17,密度!$A$2:$A$50,密度!$L$2:$L$50)</f>
        <v>18290.509671200001</v>
      </c>
      <c r="AD16" s="73" ph="1">
        <f>AD15*268.68*LOOKUP(AD17,密度!$A$2:$A$50,密度!B2:B50)+IF(AD15&lt;=0,0,1566*LOOKUP(AD17,密度!$A$2:$A$50,密度!B2:B50))</f>
        <v>9379.4346456000003</v>
      </c>
      <c r="AE16" s="73" ph="1">
        <f>AE15*268.68*LOOKUP(AE17,密度!$A$2:$A$50,密度!B2:B50)+IF(AE15&lt;=0,0,1566*LOOKUP(AE17,密度!$A$2:$A$50,密度!B2:B50))</f>
        <v>2374.9943332799999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30</v>
      </c>
      <c r="E17" s="74">
        <v>30</v>
      </c>
      <c r="F17" s="74">
        <v>29</v>
      </c>
      <c r="G17" s="74">
        <v>28</v>
      </c>
      <c r="H17" s="74">
        <v>27</v>
      </c>
      <c r="I17" s="74">
        <v>27</v>
      </c>
      <c r="J17" s="74">
        <v>27</v>
      </c>
      <c r="K17" s="74">
        <v>28</v>
      </c>
      <c r="L17" s="74">
        <v>28</v>
      </c>
      <c r="M17" s="74">
        <v>28</v>
      </c>
      <c r="N17" s="74">
        <v>27</v>
      </c>
      <c r="O17" s="74">
        <v>29</v>
      </c>
      <c r="P17" s="74">
        <v>29</v>
      </c>
      <c r="Q17" s="74">
        <v>30</v>
      </c>
      <c r="R17" s="74">
        <v>29</v>
      </c>
      <c r="S17" s="74">
        <v>30</v>
      </c>
      <c r="T17" s="74">
        <v>29</v>
      </c>
      <c r="U17" s="74">
        <v>30</v>
      </c>
      <c r="V17" s="74">
        <v>31</v>
      </c>
      <c r="W17" s="74">
        <v>31</v>
      </c>
      <c r="X17" s="74">
        <v>31</v>
      </c>
      <c r="Y17" s="108">
        <v>31</v>
      </c>
      <c r="Z17" s="74">
        <v>27</v>
      </c>
      <c r="AA17" s="74">
        <v>26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5539</v>
      </c>
      <c r="E18" s="71">
        <v>903</v>
      </c>
      <c r="F18" s="71">
        <v>3211</v>
      </c>
      <c r="G18" s="71">
        <v>2631</v>
      </c>
      <c r="H18" s="71">
        <v>1969</v>
      </c>
      <c r="I18" s="71">
        <v>2673</v>
      </c>
      <c r="J18" s="71">
        <v>885</v>
      </c>
      <c r="K18" s="71">
        <v>4081</v>
      </c>
      <c r="L18" s="71">
        <v>3449</v>
      </c>
      <c r="M18" s="71">
        <v>2562</v>
      </c>
      <c r="N18" s="71">
        <v>4012</v>
      </c>
      <c r="O18" s="71">
        <v>5861</v>
      </c>
      <c r="P18" s="71">
        <v>5217</v>
      </c>
      <c r="Q18" s="71">
        <v>6624</v>
      </c>
      <c r="R18" s="71">
        <v>1919</v>
      </c>
      <c r="S18" s="71">
        <v>6234</v>
      </c>
      <c r="T18" s="71">
        <v>3324</v>
      </c>
      <c r="U18" s="71">
        <v>5886</v>
      </c>
      <c r="V18" s="71">
        <v>850</v>
      </c>
      <c r="W18" s="71">
        <v>4590</v>
      </c>
      <c r="X18" s="71">
        <v>1091</v>
      </c>
      <c r="Y18" s="109">
        <v>-9908</v>
      </c>
      <c r="Z18" s="71">
        <v>0</v>
      </c>
      <c r="AA18" s="71">
        <v>5</v>
      </c>
      <c r="AB18" s="71">
        <v>1099</v>
      </c>
      <c r="AC18" s="71">
        <v>2159</v>
      </c>
      <c r="AD18" s="71">
        <v>78.97</v>
      </c>
      <c r="AE18" s="71">
        <v>5.46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54" t="s" ph="1">
        <v>178</v>
      </c>
      <c r="D19" s="73" ph="1">
        <f>D18*7.0686*LOOKUP(D20,密度!$A$2:$A$50,密度!$L$2:$L$50)</f>
        <v>36451.420097400005</v>
      </c>
      <c r="E19" s="73" ph="1">
        <f>E18*7.0686*LOOKUP(E20,密度!$A$2:$A$50,密度!$L$2:$L$50)</f>
        <v>5942.5225398000011</v>
      </c>
      <c r="F19" s="73" ph="1">
        <f>F18*9.0746*LOOKUP(F20,密度!$A$2:$A$50,密度!$L$2:$L$50)</f>
        <v>27069.704217400002</v>
      </c>
      <c r="G19" s="73" ph="1">
        <f>G18*9.0746*LOOKUP(G20,密度!$A$2:$A$50,密度!$B$2:$B$50)</f>
        <v>18510.498846779999</v>
      </c>
      <c r="H19" s="73" ph="1">
        <f>H18*9.0746*LOOKUP(H20,密度!$A$2:$A$50,密度!$L$2:$L$50)</f>
        <v>16706.474719000002</v>
      </c>
      <c r="I19" s="73" ph="1">
        <f>I18*9.0746*LOOKUP(I20,密度!$A$2:$A$50,密度!$U$2:$U$50)</f>
        <v>24668.764698599996</v>
      </c>
      <c r="J19" s="73" ph="1">
        <f>J18*9.0746*LOOKUP(J20,密度!$A$2:$A$50,密度!$L$2:$L$50)</f>
        <v>7460.8185090000006</v>
      </c>
      <c r="K19" s="73" ph="1">
        <f>K18*9.0746*LOOKUP(K20,密度!$A$2:$A$50,密度!$C$2:$C$50)</f>
        <v>40847.887187799999</v>
      </c>
      <c r="L19" s="73" ph="1">
        <f>L18*9.0746*LOOKUP(L20,密度!$A$2:$A$50,密度!$E$2:$E$50)</f>
        <v>24266.194389527998</v>
      </c>
      <c r="M19" s="73" ph="1">
        <f>M18*9.0746*LOOKUP(M20,密度!$A$2:$A$50,密度!$M$2:$M$50)</f>
        <v>20151.644249604004</v>
      </c>
      <c r="N19" s="73" ph="1">
        <f>N18*9.0746*LOOKUP(N20,密度!$A$2:$A$50,密度!$M$2:$M$50)</f>
        <v>31747.161414400001</v>
      </c>
      <c r="O19" s="73" ph="1">
        <f>O18*9.0746*LOOKUP(O20,密度!$A$2:$A$50,密度!$G$2:$G$50)</f>
        <v>50724.239985526001</v>
      </c>
      <c r="P19" s="73" ph="1">
        <f ca="1">P18*9.0746*LOOKUP(P20,密度!$A$2:$A$51,密度!$Q$2:$Q$50)</f>
        <v>44623.799753556006</v>
      </c>
      <c r="Q19" s="73" ph="1">
        <f>Q18*9.0746*LOOKUP(Q20,密度!$A$2:$A$50,密度!$Q$2:$Q$50)</f>
        <v>56617.750661759994</v>
      </c>
      <c r="R19" s="73" ph="1">
        <f>MAX(R18*9.0746*LOOKUP(R20,密度!$A$2:$A$50,密度!$B$2:$B$50),0)</f>
        <v>13455.919422980001</v>
      </c>
      <c r="S19" s="73" ph="1">
        <f>S18*9.0746*LOOKUP(S20,密度!$A$2:$A$50,密度!$Q$2:$Q$50)</f>
        <v>53284.278023159997</v>
      </c>
      <c r="T19" s="73" ph="1">
        <f>T18*9.0746*LOOKUP(T20,密度!$A$2:$A$50,密度!$O$2:$O$50)</f>
        <v>27787.049532480003</v>
      </c>
      <c r="U19" s="73" ph="1">
        <f>U18*9.0746*LOOKUP(U20,密度!$A$2:$A$50,密度!$H$2:$H$50)</f>
        <v>48605.916996</v>
      </c>
      <c r="V19" s="73" ph="1">
        <f>MAX(5600*LOOKUP(V20,密度!$A$2:$A$50,密度!$Q$2:$Q$50)+V18*9.0476*LOOKUP(V20,密度!$A$2:$A$50,密度!$Q$2:$Q$50),0)</f>
        <v>12500.8737714</v>
      </c>
      <c r="W19" s="73" ph="1">
        <f>MAX(5600*LOOKUP(W20,密度!$A$2:$A$50,密度!$Q$2:$Q$50)+W18*9.0476*LOOKUP(W20,密度!$A$2:$A$50,密度!$Q$2:$Q$50),0)</f>
        <v>44297.947250959995</v>
      </c>
      <c r="X19" s="73" ph="1">
        <f>MAX(5600*LOOKUP(X20,密度!$A$2:$A$50,密度!$I$2:$I$50)+X18*9.0476*LOOKUP(X20,密度!$A$2:$A$50,密度!$I$2:$I$50),0)</f>
        <v>16003.131647040002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35.0960155</v>
      </c>
      <c r="AB19" s="73" ph="1">
        <f>AB18*9.0746*LOOKUP(AB20,密度!$A$2:$A$50,密度!$L$2:$L$50)</f>
        <v>9274.8764219999994</v>
      </c>
      <c r="AC19" s="73" ph="1">
        <f>AC18*9.0746*LOOKUP(AC20,密度!$A$2:$A$50,密度!$L$2:$L$50)</f>
        <v>18220.617102</v>
      </c>
      <c r="AD19" s="73" ph="1">
        <f>AD18*268.68*LOOKUP(AD20,密度!$A$2:$A$50,密度!B5:B53)+IF(AD18&lt;=0,0,1566*LOOKUP(AD20,密度!$A$2:$A$50,密度!B5:B53))</f>
        <v>17702.903509199998</v>
      </c>
      <c r="AE19" s="73" ph="1">
        <f>AE18*268.68*LOOKUP(AE20,密度!$A$2:$A$50,密度!B5:B53)+IF(AE18&lt;=0,0,1566*LOOKUP(AE20,密度!$A$2:$A$50,密度!B5:B53))</f>
        <v>2356.6354056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31</v>
      </c>
      <c r="E20" s="81">
        <v>31</v>
      </c>
      <c r="F20" s="81">
        <v>33</v>
      </c>
      <c r="G20" s="81">
        <v>30</v>
      </c>
      <c r="H20" s="81">
        <v>27</v>
      </c>
      <c r="I20" s="81">
        <v>33</v>
      </c>
      <c r="J20" s="81">
        <v>33</v>
      </c>
      <c r="K20" s="81">
        <v>32</v>
      </c>
      <c r="L20" s="81">
        <v>32</v>
      </c>
      <c r="M20" s="81">
        <v>33</v>
      </c>
      <c r="N20" s="81">
        <v>28</v>
      </c>
      <c r="O20" s="81">
        <v>31</v>
      </c>
      <c r="P20" s="81">
        <v>31</v>
      </c>
      <c r="Q20" s="81">
        <v>32</v>
      </c>
      <c r="R20" s="81">
        <v>33</v>
      </c>
      <c r="S20" s="81">
        <v>32</v>
      </c>
      <c r="T20" s="81">
        <v>33</v>
      </c>
      <c r="U20" s="81">
        <v>30</v>
      </c>
      <c r="V20" s="81">
        <v>34</v>
      </c>
      <c r="W20" s="81">
        <v>35</v>
      </c>
      <c r="X20" s="81">
        <v>32</v>
      </c>
      <c r="Y20" s="110">
        <v>32</v>
      </c>
      <c r="Z20" s="81">
        <v>33</v>
      </c>
      <c r="AA20" s="81">
        <v>32</v>
      </c>
      <c r="AB20" s="81">
        <v>32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54" t="s" ph="1">
        <v>177</v>
      </c>
      <c r="D24" s="71">
        <v>4.04</v>
      </c>
      <c r="E24" s="71">
        <v>5.45</v>
      </c>
      <c r="F24" s="71">
        <v>11</v>
      </c>
      <c r="G24" s="71">
        <v>3026</v>
      </c>
      <c r="H24" s="71">
        <v>2825</v>
      </c>
      <c r="I24" s="71">
        <v>3872</v>
      </c>
      <c r="J24" s="71">
        <v>5241</v>
      </c>
      <c r="K24" s="71">
        <v>5266</v>
      </c>
      <c r="L24" s="71">
        <v>5615</v>
      </c>
      <c r="M24" s="71">
        <v>5415</v>
      </c>
      <c r="N24" s="71">
        <v>5535</v>
      </c>
      <c r="O24" s="71">
        <v>5600</v>
      </c>
      <c r="P24" s="71">
        <v>363</v>
      </c>
      <c r="Q24" s="90">
        <v>2965</v>
      </c>
      <c r="R24" s="71">
        <v>207</v>
      </c>
      <c r="S24" s="71">
        <v>2270</v>
      </c>
      <c r="T24" s="71">
        <v>849</v>
      </c>
      <c r="U24" s="71">
        <v>4271</v>
      </c>
      <c r="V24" s="71">
        <v>2610</v>
      </c>
      <c r="W24" s="71">
        <v>3373</v>
      </c>
      <c r="X24" s="71">
        <v>908</v>
      </c>
      <c r="Y24" s="71">
        <v>4633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2510.250056928</v>
      </c>
      <c r="E25" s="91" ph="1">
        <f>E24*268.68*LOOKUP(E26,密度!$A$2:$A$50,密度!$C$2:$C$50)+IF(E24&lt;=0,0,1566*LOOKUP(E26,密度!$A$2:$A$50,密度!$C$2:$C$50))</f>
        <v>3360.3063234000001</v>
      </c>
      <c r="F25" s="91" ph="1">
        <f>F24*11.702*LOOKUP(F26,密度!$A$2:$A$50,密度!$Q$2:$Q$50)</f>
        <v>121.50455746000002</v>
      </c>
      <c r="G25" s="91" ph="1">
        <f>G24*18.322*LOOKUP(G26,密度!$A$2:$A$50,密度!$B$2:$B$50)</f>
        <v>43034.3691464</v>
      </c>
      <c r="H25" s="91" ph="1">
        <f>H24*18.322*LOOKUP(H26,密度!$A$2:$A$50,密度!$B$2:$B$50)</f>
        <v>40175.840329999999</v>
      </c>
      <c r="I25" s="91" ph="1">
        <f>I24*18.322*LOOKUP(I26,密度!$A$2:$A$50,密度!$Q$2:$Q$50)</f>
        <v>66922.456430720005</v>
      </c>
      <c r="J25" s="91" ph="1">
        <f>J24*18.322*LOOKUP(J26,密度!$A$2:$A$50,密度!$Q$2:$Q$50)</f>
        <v>90583.831134659995</v>
      </c>
      <c r="K25" s="91" ph="1">
        <f>K24*18.322*LOOKUP(K26,密度!$A$2:$A$50,密度!$Q$2:$Q$50)</f>
        <v>91015.923441160005</v>
      </c>
      <c r="L25" s="91" ph="1">
        <f>L24*18.322*LOOKUP(L26,密度!$A$2:$A$50,密度!$Q$2:$Q$50)</f>
        <v>97109.658857900009</v>
      </c>
      <c r="M25" s="91" ph="1">
        <f>M24*18.322*LOOKUP(M26,密度!$A$2:$A$50,密度!$Q$2:$Q$50)</f>
        <v>93591.193587899994</v>
      </c>
      <c r="N25" s="91" ph="1">
        <f>N24*18.322*LOOKUP(N26,密度!$A$2:$A$50,密度!$Q$2:$Q$50)</f>
        <v>95665.236659099988</v>
      </c>
      <c r="O25" s="91" ph="1">
        <f>O24*18.322*LOOKUP(O26,密度!$A$2:$A$50,密度!$C$2:$C$50)</f>
        <v>113386.79631999999</v>
      </c>
      <c r="P25" s="91" ph="1">
        <f>P24*11.702*LOOKUP(P26,密度!$A$2:$A$50,密度!$B$2:$B$50)</f>
        <v>3297.1625411999999</v>
      </c>
      <c r="Q25" s="92" ph="1">
        <f>Q24*18.322*LOOKUP(Q26,密度!$A$2:$A$50,密度!$B$2:$B$50)</f>
        <v>42117.963168999995</v>
      </c>
      <c r="R25" s="91" ph="1">
        <f>R24*35.891*LOOKUP(R26,密度!$A$2:$A$50,密度!$C$2:$C$50)</f>
        <v>8210.2708287000005</v>
      </c>
      <c r="S25" s="91" ph="1">
        <f>S24*35.891*LOOKUP(S26,密度!$A$2:$A$50,密度!$B$2:$B$50)</f>
        <v>63239.008833999993</v>
      </c>
      <c r="T25" s="91" ph="1">
        <f>T24*35.891*LOOKUP(T26,密度!$A$2:$A$50,密度!$Q$2:$Q$50)</f>
        <v>28762.924293870001</v>
      </c>
      <c r="U25" s="91" ph="1">
        <f>U24*35.891</f>
        <v>153290.46099999998</v>
      </c>
      <c r="V25" s="91" ph="1">
        <f>V24*47.051*LOOKUP(V26,密度!$A$2:$A$50,密度!$B$2:$B$50)</f>
        <v>95209.251183</v>
      </c>
      <c r="W25" s="91" ph="1">
        <f>W24*47.051*LOOKUP(W26,密度!$A$2:$A$50,密度!$B$2:$B$50)</f>
        <v>123185.28645260002</v>
      </c>
      <c r="X25" s="91" ph="1">
        <f>X24*47.051*LOOKUP(X26,密度!$A$2:$A$50,密度!$I$2:$I$50)</f>
        <v>44285.944472800002</v>
      </c>
      <c r="Y25" s="91" ph="1">
        <f>Y24*47.051*LOOKUP(Y26,密度!$A$2:$A$50,密度!$L$2:$L$50)</f>
        <v>203164.14775600002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29</v>
      </c>
      <c r="G26" s="74">
        <v>29</v>
      </c>
      <c r="H26" s="74">
        <v>29</v>
      </c>
      <c r="I26" s="74">
        <v>30</v>
      </c>
      <c r="J26" s="74">
        <v>30</v>
      </c>
      <c r="K26" s="74">
        <v>30</v>
      </c>
      <c r="L26" s="74">
        <v>29</v>
      </c>
      <c r="M26" s="74">
        <v>30</v>
      </c>
      <c r="N26" s="74">
        <v>30</v>
      </c>
      <c r="O26" s="74">
        <v>30</v>
      </c>
      <c r="P26" s="74">
        <v>29</v>
      </c>
      <c r="Q26" s="93">
        <v>30</v>
      </c>
      <c r="R26" s="74">
        <v>30</v>
      </c>
      <c r="S26" s="74">
        <v>29</v>
      </c>
      <c r="T26" s="74">
        <v>29</v>
      </c>
      <c r="U26" s="74">
        <v>29</v>
      </c>
      <c r="V26" s="74">
        <v>30</v>
      </c>
      <c r="W26" s="74">
        <v>29</v>
      </c>
      <c r="X26" s="74">
        <v>30</v>
      </c>
      <c r="Y26" s="74">
        <v>30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54" t="s" ph="1">
        <v>180</v>
      </c>
      <c r="D27" s="71">
        <v>4.05</v>
      </c>
      <c r="E27" s="71">
        <v>5.44</v>
      </c>
      <c r="F27" s="71">
        <v>9</v>
      </c>
      <c r="G27" s="71">
        <v>3026</v>
      </c>
      <c r="H27" s="71">
        <v>2175</v>
      </c>
      <c r="I27" s="71">
        <v>2973</v>
      </c>
      <c r="J27" s="71">
        <v>5242</v>
      </c>
      <c r="K27" s="71">
        <v>5268</v>
      </c>
      <c r="L27" s="71">
        <v>5614</v>
      </c>
      <c r="M27" s="71">
        <v>5414</v>
      </c>
      <c r="N27" s="71">
        <v>5535</v>
      </c>
      <c r="O27" s="71">
        <v>5599</v>
      </c>
      <c r="P27" s="71">
        <v>362</v>
      </c>
      <c r="Q27" s="90">
        <v>3297</v>
      </c>
      <c r="R27" s="71">
        <v>205</v>
      </c>
      <c r="S27" s="71">
        <v>1856</v>
      </c>
      <c r="T27" s="71">
        <v>848</v>
      </c>
      <c r="U27" s="71">
        <v>4213</v>
      </c>
      <c r="V27" s="71">
        <v>2609</v>
      </c>
      <c r="W27" s="71">
        <v>4192</v>
      </c>
      <c r="X27" s="71">
        <v>909</v>
      </c>
      <c r="Y27" s="71">
        <v>3541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54" t="s" ph="1">
        <v>178</v>
      </c>
      <c r="D28" s="91" ph="1">
        <f>D27*268.68*LOOKUP(D29,密度!$A$2:$A$50,密度!$Q$2:$Q$50)+IF(D27&lt;=0,0,1566*LOOKUP(D29,密度!$A$2:$A$50,密度!$Q$2:$Q$50))</f>
        <v>2512.7937579600002</v>
      </c>
      <c r="E28" s="91" ph="1">
        <f>E27*268.68*LOOKUP(E29,密度!$A$2:$A$50,密度!$C$2:$C$50)+IF(E27&lt;=0,0,1566*LOOKUP(E29,密度!$A$2:$A$50,密度!$C$2:$C$50))</f>
        <v>3357.32693088</v>
      </c>
      <c r="F28" s="91" ph="1">
        <f>F27*11.702*LOOKUP(F29,密度!$A$2:$A$50,密度!$Q$2:$Q$50)</f>
        <v>99.349628940000002</v>
      </c>
      <c r="G28" s="91" ph="1">
        <f>G27*18.322*LOOKUP(G29,密度!$A$2:$A$50,密度!$B$2:$B$50)</f>
        <v>43034.3691464</v>
      </c>
      <c r="H28" s="91" ph="1">
        <f>H27*18.322*LOOKUP(H29,密度!$A$2:$A$50,密度!$B$2:$B$50)</f>
        <v>30895.976354999999</v>
      </c>
      <c r="I28" s="91" ph="1">
        <f>I27*18.322*LOOKUP(I29,密度!$A$2:$A$50,密度!$Q$2:$Q$50)</f>
        <v>51384.417088980001</v>
      </c>
      <c r="J28" s="91" ph="1">
        <f>J27*18.322*LOOKUP(J29,密度!$A$2:$A$50,密度!$Q$2:$Q$50)</f>
        <v>90601.114826920006</v>
      </c>
      <c r="K28" s="91" ph="1">
        <f>K27*18.322*LOOKUP(K29,密度!$A$2:$A$50,密度!$Q$2:$Q$50)</f>
        <v>91108.403003280007</v>
      </c>
      <c r="L28" s="91" ph="1">
        <f>L27*18.322*LOOKUP(L29,密度!$A$2:$A$50,密度!$Q$2:$Q$50)</f>
        <v>97092.364172440008</v>
      </c>
      <c r="M28" s="91" ph="1">
        <f>M27*18.322*LOOKUP(M29,密度!$A$2:$A$50,密度!$Q$2:$Q$50)</f>
        <v>93573.909895639998</v>
      </c>
      <c r="N28" s="91" ph="1">
        <f>N27*18.322*LOOKUP(N29,密度!$A$2:$A$50,密度!$Q$2:$Q$50)</f>
        <v>95665.236659099988</v>
      </c>
      <c r="O28" s="91" ph="1">
        <f>O27*18.322*LOOKUP(O29,密度!$A$2:$A$50,密度!$C$2:$C$50)</f>
        <v>113366.54867779999</v>
      </c>
      <c r="P28" s="91" ph="1">
        <f>P27*11.702*LOOKUP(P29,密度!$A$2:$A$50,密度!$B$2:$B$50)</f>
        <v>3288.0794487999997</v>
      </c>
      <c r="Q28" s="92" ph="1">
        <f>Q27*18.322*LOOKUP(Q29,密度!$A$2:$A$50,密度!$B$2:$B$50)</f>
        <v>46888.405510799996</v>
      </c>
      <c r="R28" s="91" ph="1">
        <f>R27*35.891*LOOKUP(R29,密度!$A$2:$A$50,密度!$C$2:$C$50)</f>
        <v>8130.9445404999997</v>
      </c>
      <c r="S28" s="91" ph="1">
        <f>S27*35.891*LOOKUP(S29,密度!$A$2:$A$50,密度!$B$2:$B$50)</f>
        <v>51645.598508799994</v>
      </c>
      <c r="T28" s="91" ph="1">
        <f>T27*35.891*LOOKUP(T29,密度!$A$2:$A$50,密度!$Q$2:$Q$50)</f>
        <v>28729.045702240001</v>
      </c>
      <c r="U28" s="91" ph="1">
        <f>U27*35.891</f>
        <v>151208.783</v>
      </c>
      <c r="V28" s="91" ph="1">
        <f>V27*47.051*LOOKUP(V29,密度!$A$2:$A$50,密度!$B$2:$B$50)</f>
        <v>95283.252995800009</v>
      </c>
      <c r="W28" s="91" ph="1">
        <f>W27*47.051*LOOKUP(W29,密度!$A$2:$A$50,密度!$B$2:$B$50)</f>
        <v>153095.97415040003</v>
      </c>
      <c r="X28" s="91" ph="1">
        <f>X27*47.051*LOOKUP(X29,密度!$A$2:$A$50,密度!$I$2:$I$50)</f>
        <v>44334.717539400001</v>
      </c>
      <c r="Y28" s="91" ph="1">
        <f>Y27*47.051*LOOKUP(Y29,密度!$A$2:$A$50,密度!$L$2:$L$50)</f>
        <v>155444.88240300003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54" t="s" ph="1">
        <v>179</v>
      </c>
      <c r="D29" s="74">
        <v>25</v>
      </c>
      <c r="E29" s="74">
        <v>25</v>
      </c>
      <c r="F29" s="74">
        <v>30</v>
      </c>
      <c r="G29" s="74">
        <v>29</v>
      </c>
      <c r="H29" s="74">
        <v>30</v>
      </c>
      <c r="I29" s="74">
        <v>30</v>
      </c>
      <c r="J29" s="74">
        <v>30</v>
      </c>
      <c r="K29" s="74">
        <v>29</v>
      </c>
      <c r="L29" s="74">
        <v>29</v>
      </c>
      <c r="M29" s="74">
        <v>30</v>
      </c>
      <c r="N29" s="74">
        <v>30</v>
      </c>
      <c r="O29" s="74">
        <v>30</v>
      </c>
      <c r="P29" s="74">
        <v>29</v>
      </c>
      <c r="Q29" s="93">
        <v>29</v>
      </c>
      <c r="R29" s="74">
        <v>30</v>
      </c>
      <c r="S29" s="74">
        <v>30</v>
      </c>
      <c r="T29" s="74">
        <v>29</v>
      </c>
      <c r="U29" s="74">
        <v>30</v>
      </c>
      <c r="V29" s="74">
        <v>29</v>
      </c>
      <c r="W29" s="74">
        <v>29</v>
      </c>
      <c r="X29" s="74">
        <v>30</v>
      </c>
      <c r="Y29" s="74">
        <v>29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54" t="s" ph="1">
        <v>5</v>
      </c>
      <c r="F32" s="153" t="s" ph="1">
        <v>43</v>
      </c>
      <c r="G32" s="97" t="s" ph="1">
        <v>4</v>
      </c>
      <c r="H32" s="154" t="s" ph="1">
        <v>5</v>
      </c>
      <c r="I32" s="153" t="s" ph="1">
        <v>43</v>
      </c>
      <c r="J32" s="97" t="s" ph="1">
        <v>4</v>
      </c>
      <c r="K32" s="154" t="s" ph="1">
        <v>5</v>
      </c>
      <c r="L32" s="153" t="s" ph="1">
        <v>43</v>
      </c>
      <c r="M32" s="97" t="s" ph="1">
        <v>4</v>
      </c>
      <c r="N32" s="154" t="s" ph="1">
        <v>5</v>
      </c>
      <c r="O32" s="153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4" t="s" ph="1">
        <v>5</v>
      </c>
      <c r="U32" s="99" t="s" ph="1">
        <v>43</v>
      </c>
      <c r="V32" s="97" t="s" ph="1">
        <v>4</v>
      </c>
      <c r="W32" s="154" t="s" ph="1">
        <v>5</v>
      </c>
      <c r="X32" s="99" t="s" ph="1">
        <v>43</v>
      </c>
      <c r="Y32" s="100" t="s" ph="1">
        <v>4</v>
      </c>
      <c r="Z32" s="154" t="s" ph="1">
        <v>5</v>
      </c>
      <c r="AA32" s="153" t="s" ph="1">
        <v>43</v>
      </c>
      <c r="AB32" s="97" t="s" ph="1">
        <v>85</v>
      </c>
      <c r="AC32" s="154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80970.4111844</v>
      </c>
      <c r="E33" s="204" ph="1">
        <f>M10+I10</f>
        <v>73529.801466600009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08" ph="1">
        <v>0</v>
      </c>
      <c r="H33" s="204" ph="1">
        <f>N19</f>
        <v>31747.161414400001</v>
      </c>
      <c r="I33" s="217" ph="1">
        <v>0</v>
      </c>
      <c r="J33" s="215" ph="1">
        <f>F10+O28</f>
        <v>262285.5844091</v>
      </c>
      <c r="K33" s="204" ph="1">
        <f>O10+K10+E28+R28</f>
        <v>103614.23277818003</v>
      </c>
      <c r="L33" s="219" ph="1">
        <f>BE27</f>
        <v>7100</v>
      </c>
      <c r="M33" s="215" ph="1">
        <f>G10+H10+W28+S28+V28+E10</f>
        <v>1296681.020126</v>
      </c>
      <c r="N33" s="204" ph="1">
        <f>L10+P10++G28+H28</f>
        <v>264923.94010139996</v>
      </c>
      <c r="O33" s="217" ph="1">
        <f>BE17</f>
        <v>2270</v>
      </c>
      <c r="P33" s="215" ph="1">
        <f>L19</f>
        <v>24266.194389527998</v>
      </c>
      <c r="Q33" s="204" ph="1">
        <f>J10+N10</f>
        <v>125633.91093555999</v>
      </c>
      <c r="R33" s="217" ph="1">
        <f>BE23</f>
        <v>890</v>
      </c>
      <c r="S33" s="215" ph="1">
        <f>E10+X28</f>
        <v>393614.35870439996</v>
      </c>
      <c r="T33" s="204" ph="1">
        <f>X19</f>
        <v>16003.131647040002</v>
      </c>
      <c r="U33" s="225" ph="1">
        <f>BE21</f>
        <v>730</v>
      </c>
      <c r="V33" s="236" ph="1">
        <f ca="1">P19+Q19+S19+M28+N28+J28</f>
        <v>434366.08982013597</v>
      </c>
      <c r="W33" s="236" ph="1">
        <f>D28+F28+V19+T28</f>
        <v>43842.062860539998</v>
      </c>
      <c r="X33" s="217" ph="1">
        <f>BE29+BE31</f>
        <v>10200</v>
      </c>
      <c r="Y33" s="238" ph="1">
        <f>+Q10+R10+S10+T10+U10+V10+W10+X10+Y10</f>
        <v>103177.2369474</v>
      </c>
      <c r="Z33" s="223" ph="1">
        <f>D10+T19+U19+Y28+Z10</f>
        <v>419710.24576608004</v>
      </c>
      <c r="AA33" s="225" ph="1">
        <f>BE19</f>
        <v>1440</v>
      </c>
      <c r="AB33" s="227" ph="1">
        <f>I19</f>
        <v>24668.764698599996</v>
      </c>
      <c r="AC33" s="229" ph="1">
        <f>AD10</f>
        <v>85094.059680000006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52" t="s" ph="1">
        <v>185</v>
      </c>
      <c r="AA36" s="152" ph="1"/>
      <c r="AB36" s="222" t="s" ph="1">
        <v>641</v>
      </c>
      <c r="AC36" s="222" ph="1"/>
      <c r="AD36" s="222" ph="1"/>
      <c r="AE36" s="222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342</v>
      </c>
      <c r="AI37" s="152" t="s" ph="1">
        <v>209</v>
      </c>
      <c r="AJ37" s="152" t="s" ph="1">
        <v>210</v>
      </c>
      <c r="AK37" s="152" t="s" ph="1">
        <v>211</v>
      </c>
      <c r="AM37" s="152" t="s" ph="1">
        <v>210</v>
      </c>
      <c r="AN37" s="152" t="s" ph="1">
        <v>211</v>
      </c>
      <c r="AO37" s="152" t="s" ph="1">
        <v>212</v>
      </c>
      <c r="AP37" s="152" t="s" ph="1">
        <v>210</v>
      </c>
      <c r="AQ37" s="152" t="s" ph="1">
        <v>211</v>
      </c>
      <c r="AR37" s="152" t="s" ph="1">
        <v>212</v>
      </c>
      <c r="AS37" s="152" t="s" ph="1">
        <v>210</v>
      </c>
      <c r="AT37" s="152" t="s" ph="1">
        <v>211</v>
      </c>
      <c r="AU37" s="152" t="s" ph="1">
        <v>212</v>
      </c>
      <c r="AV37" s="152" t="s" ph="1">
        <v>210</v>
      </c>
      <c r="AW37" s="152" t="s" ph="1">
        <v>211</v>
      </c>
      <c r="AX37" s="152" t="s" ph="1">
        <v>212</v>
      </c>
      <c r="AY37" s="152" t="s" ph="1">
        <v>211</v>
      </c>
      <c r="AZ37" s="152" t="s" ph="1">
        <v>213</v>
      </c>
      <c r="BD37" s="152" t="s" ph="1">
        <v>305</v>
      </c>
      <c r="BE37" s="15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767" priority="98">
      <formula>ABS(D$7-D$10)&gt;=1000</formula>
    </cfRule>
  </conditionalFormatting>
  <conditionalFormatting sqref="E4 E6:E11">
    <cfRule type="expression" dxfId="766" priority="97">
      <formula>ABS(E$7-E$10)&gt;=1000</formula>
    </cfRule>
  </conditionalFormatting>
  <conditionalFormatting sqref="F4:F11">
    <cfRule type="expression" dxfId="765" priority="96">
      <formula>ABS(F$7-F$10)&gt;=1000</formula>
    </cfRule>
  </conditionalFormatting>
  <conditionalFormatting sqref="G4:G11">
    <cfRule type="expression" dxfId="764" priority="95">
      <formula>ABS(G$7-G$10)&gt;=1000</formula>
    </cfRule>
  </conditionalFormatting>
  <conditionalFormatting sqref="H4:H11">
    <cfRule type="expression" dxfId="763" priority="94">
      <formula>ABS(H$7-H$10)&gt;=1000</formula>
    </cfRule>
  </conditionalFormatting>
  <conditionalFormatting sqref="I4:I11">
    <cfRule type="expression" dxfId="762" priority="93">
      <formula>ABS(I$7-I$10)&gt;=1000</formula>
    </cfRule>
  </conditionalFormatting>
  <conditionalFormatting sqref="J4:J11">
    <cfRule type="expression" dxfId="761" priority="92">
      <formula>ABS(J$7-J$10)&gt;=1000</formula>
    </cfRule>
  </conditionalFormatting>
  <conditionalFormatting sqref="K4:K11">
    <cfRule type="expression" dxfId="760" priority="91">
      <formula>ABS(K$7-K$10)&gt;=1000</formula>
    </cfRule>
  </conditionalFormatting>
  <conditionalFormatting sqref="L4:L11">
    <cfRule type="expression" dxfId="759" priority="90">
      <formula>ABS(L$7-L$10)&gt;=1000</formula>
    </cfRule>
  </conditionalFormatting>
  <conditionalFormatting sqref="M4 M6:M11">
    <cfRule type="expression" dxfId="758" priority="89">
      <formula>ABS(M$7-M$10)&gt;=1000</formula>
    </cfRule>
  </conditionalFormatting>
  <conditionalFormatting sqref="N4 N6:N11">
    <cfRule type="expression" dxfId="757" priority="88">
      <formula>ABS(N$7-N$10)&gt;=1000</formula>
    </cfRule>
  </conditionalFormatting>
  <conditionalFormatting sqref="O4 O6:O11">
    <cfRule type="expression" dxfId="756" priority="87">
      <formula>ABS(O$7-O$10)&gt;=1000</formula>
    </cfRule>
  </conditionalFormatting>
  <conditionalFormatting sqref="P4 P6:P11">
    <cfRule type="expression" dxfId="755" priority="86">
      <formula>ABS(P$7-P$10)&gt;=1000</formula>
    </cfRule>
  </conditionalFormatting>
  <conditionalFormatting sqref="Q4:Q11">
    <cfRule type="expression" dxfId="754" priority="85">
      <formula>ABS(Q$7-Q$10)&gt;=1000</formula>
    </cfRule>
  </conditionalFormatting>
  <conditionalFormatting sqref="R4:R11">
    <cfRule type="expression" dxfId="753" priority="84">
      <formula>ABS(R$7-R$10)&gt;=1000</formula>
    </cfRule>
  </conditionalFormatting>
  <conditionalFormatting sqref="S4:S11">
    <cfRule type="expression" dxfId="752" priority="83">
      <formula>ABS(S$7-S$10)&gt;=1000</formula>
    </cfRule>
  </conditionalFormatting>
  <conditionalFormatting sqref="T4:T9 T11">
    <cfRule type="expression" dxfId="751" priority="82">
      <formula>ABS(T$7-T$10)&gt;=1000</formula>
    </cfRule>
  </conditionalFormatting>
  <conditionalFormatting sqref="U4:U9 U11">
    <cfRule type="expression" dxfId="750" priority="81">
      <formula>ABS(U$7-U$10)&gt;=1000</formula>
    </cfRule>
  </conditionalFormatting>
  <conditionalFormatting sqref="V4:V9 V11">
    <cfRule type="expression" dxfId="749" priority="80">
      <formula>ABS(V$7-V$10)&gt;=1000</formula>
    </cfRule>
  </conditionalFormatting>
  <conditionalFormatting sqref="W4:W9 W11">
    <cfRule type="expression" dxfId="748" priority="79">
      <formula>ABS(W$7-W$10)&gt;=1000</formula>
    </cfRule>
  </conditionalFormatting>
  <conditionalFormatting sqref="X4:X9 X11">
    <cfRule type="expression" dxfId="747" priority="78">
      <formula>ABS(X$7-X$10)&gt;=1000</formula>
    </cfRule>
  </conditionalFormatting>
  <conditionalFormatting sqref="Y4:Y9 Y11">
    <cfRule type="expression" dxfId="746" priority="77">
      <formula>ABS(Y$7-Y$10)&gt;=1000</formula>
    </cfRule>
  </conditionalFormatting>
  <conditionalFormatting sqref="Z4:Z11">
    <cfRule type="expression" dxfId="745" priority="76">
      <formula>ABS(Z$7-Z$10)&gt;=1000</formula>
    </cfRule>
  </conditionalFormatting>
  <conditionalFormatting sqref="AA4:AA11">
    <cfRule type="expression" dxfId="744" priority="75">
      <formula>ABS(AA$7-AA$10)&gt;=1000</formula>
    </cfRule>
  </conditionalFormatting>
  <conditionalFormatting sqref="AB4:AB11">
    <cfRule type="expression" dxfId="743" priority="74">
      <formula>ABS(AB$7-AB$10)&gt;=1000</formula>
    </cfRule>
  </conditionalFormatting>
  <conditionalFormatting sqref="AC4 AC6:AC11">
    <cfRule type="expression" dxfId="742" priority="73">
      <formula>ABS(AC$7-AC$10)&gt;=1000</formula>
    </cfRule>
  </conditionalFormatting>
  <conditionalFormatting sqref="AD4:AD11">
    <cfRule type="expression" dxfId="741" priority="72">
      <formula>ABS(AD$7-AD$10)&gt;=1000</formula>
    </cfRule>
  </conditionalFormatting>
  <conditionalFormatting sqref="AE4 AE6:AE11">
    <cfRule type="expression" dxfId="740" priority="71">
      <formula>ABS(AE$7-AE$10)&gt;=1000</formula>
    </cfRule>
  </conditionalFormatting>
  <conditionalFormatting sqref="D13:D20">
    <cfRule type="expression" dxfId="739" priority="70">
      <formula>ABS(D$16-D$19)&gt;=1000</formula>
    </cfRule>
  </conditionalFormatting>
  <conditionalFormatting sqref="E13:E20">
    <cfRule type="expression" dxfId="738" priority="69">
      <formula>ABS(E$16-E$19)&gt;=1000</formula>
    </cfRule>
  </conditionalFormatting>
  <conditionalFormatting sqref="F13 F15:F20">
    <cfRule type="expression" dxfId="737" priority="68">
      <formula>ABS(F$16-F$19)&gt;=1000</formula>
    </cfRule>
  </conditionalFormatting>
  <conditionalFormatting sqref="G13:G20">
    <cfRule type="expression" dxfId="736" priority="67">
      <formula>ABS(G$16-G$19)&gt;=1000</formula>
    </cfRule>
  </conditionalFormatting>
  <conditionalFormatting sqref="H13:H20">
    <cfRule type="expression" dxfId="735" priority="66">
      <formula>ABS(H$16-H$19)&gt;=1000</formula>
    </cfRule>
  </conditionalFormatting>
  <conditionalFormatting sqref="I13:I20">
    <cfRule type="expression" dxfId="734" priority="65">
      <formula>ABS(I$16-I$19)&gt;=1000</formula>
    </cfRule>
  </conditionalFormatting>
  <conditionalFormatting sqref="J13:J20">
    <cfRule type="expression" dxfId="733" priority="64">
      <formula>ABS(J$16-J$19)&gt;=1000</formula>
    </cfRule>
  </conditionalFormatting>
  <conditionalFormatting sqref="L13:L20">
    <cfRule type="expression" dxfId="732" priority="63">
      <formula>ABS(L$16-L$19)&gt;=1000</formula>
    </cfRule>
  </conditionalFormatting>
  <conditionalFormatting sqref="M13 M15 M17:M18 M20">
    <cfRule type="expression" dxfId="731" priority="62">
      <formula>ABS(M$16-M$19)&gt;=1000</formula>
    </cfRule>
  </conditionalFormatting>
  <conditionalFormatting sqref="N13:N20">
    <cfRule type="expression" dxfId="730" priority="61">
      <formula>ABS(N$16-N$19)&gt;=1000</formula>
    </cfRule>
  </conditionalFormatting>
  <conditionalFormatting sqref="O13:O20">
    <cfRule type="expression" dxfId="729" priority="60">
      <formula>ABS(O$16-O$19)&gt;=1000</formula>
    </cfRule>
  </conditionalFormatting>
  <conditionalFormatting sqref="P13:P20">
    <cfRule type="expression" dxfId="728" priority="59">
      <formula>ABS(P$16-P$19)&gt;=1000</formula>
    </cfRule>
  </conditionalFormatting>
  <conditionalFormatting sqref="Q13 Q15:Q20">
    <cfRule type="expression" dxfId="727" priority="58">
      <formula>ABS(Q$16-Q$19)&gt;=1000</formula>
    </cfRule>
  </conditionalFormatting>
  <conditionalFormatting sqref="R13:R20">
    <cfRule type="expression" dxfId="726" priority="57">
      <formula>ABS(R$16-R$19)&gt;=1000</formula>
    </cfRule>
  </conditionalFormatting>
  <conditionalFormatting sqref="S13:S20">
    <cfRule type="expression" dxfId="725" priority="56">
      <formula>ABS(S$16-S$19)&gt;=1000</formula>
    </cfRule>
  </conditionalFormatting>
  <conditionalFormatting sqref="T13:T20">
    <cfRule type="expression" dxfId="724" priority="55">
      <formula>ABS(T$16-T$19)&gt;=1000</formula>
    </cfRule>
  </conditionalFormatting>
  <conditionalFormatting sqref="U13:U20">
    <cfRule type="expression" dxfId="723" priority="54">
      <formula>ABS(U$16-U$19)&gt;=1000</formula>
    </cfRule>
  </conditionalFormatting>
  <conditionalFormatting sqref="V13:V20">
    <cfRule type="expression" dxfId="722" priority="53">
      <formula>ABS(V$16-V$19)&gt;=1000</formula>
    </cfRule>
  </conditionalFormatting>
  <conditionalFormatting sqref="W13 W20 W15:W18">
    <cfRule type="expression" dxfId="721" priority="52">
      <formula>ABS(W$16-W$19)&gt;=1000</formula>
    </cfRule>
  </conditionalFormatting>
  <conditionalFormatting sqref="X13 X15:X20 Y19">
    <cfRule type="expression" dxfId="720" priority="51">
      <formula>ABS(X$16-X$19)&gt;=1000</formula>
    </cfRule>
  </conditionalFormatting>
  <conditionalFormatting sqref="Y13 Y15:Y18 Y20">
    <cfRule type="expression" dxfId="719" priority="50">
      <formula>ABS(Y$16-Y$19)&gt;=1000</formula>
    </cfRule>
  </conditionalFormatting>
  <conditionalFormatting sqref="Z13:Z20">
    <cfRule type="expression" dxfId="718" priority="49">
      <formula>ABS(Z$16-Z$19)&gt;=1000</formula>
    </cfRule>
  </conditionalFormatting>
  <conditionalFormatting sqref="AA13:AA20">
    <cfRule type="expression" dxfId="717" priority="48">
      <formula>ABS(AA$16-AA$19)&gt;=1000</formula>
    </cfRule>
  </conditionalFormatting>
  <conditionalFormatting sqref="AB13 AB15:AB20">
    <cfRule type="expression" dxfId="716" priority="47">
      <formula>ABS(AB$16-AB$19)&gt;=1000</formula>
    </cfRule>
  </conditionalFormatting>
  <conditionalFormatting sqref="AC13 AC15:AC20">
    <cfRule type="expression" dxfId="715" priority="46">
      <formula>ABS(AC$16-AC$19)&gt;=1000</formula>
    </cfRule>
  </conditionalFormatting>
  <conditionalFormatting sqref="AD13:AD20">
    <cfRule type="expression" dxfId="714" priority="45">
      <formula>ABS(AD$16-AD$19)&gt;=1000</formula>
    </cfRule>
  </conditionalFormatting>
  <conditionalFormatting sqref="AE13:AE20">
    <cfRule type="expression" dxfId="713" priority="44">
      <formula>ABS(AE$16-AE$19)&gt;=1000</formula>
    </cfRule>
  </conditionalFormatting>
  <conditionalFormatting sqref="D22:D29">
    <cfRule type="expression" dxfId="712" priority="43">
      <formula>ABS(D$25-D$28)&gt;=1000</formula>
    </cfRule>
  </conditionalFormatting>
  <conditionalFormatting sqref="E22:E29">
    <cfRule type="expression" dxfId="711" priority="42">
      <formula>ABS(E$25-E$28)&gt;=1000</formula>
    </cfRule>
  </conditionalFormatting>
  <conditionalFormatting sqref="F22:F29">
    <cfRule type="expression" dxfId="710" priority="41">
      <formula>ABS(F$25-F$28)&gt;=1000</formula>
    </cfRule>
  </conditionalFormatting>
  <conditionalFormatting sqref="G22:G29">
    <cfRule type="expression" dxfId="709" priority="40">
      <formula>ABS(G$25-G$28)&gt;=1000</formula>
    </cfRule>
  </conditionalFormatting>
  <conditionalFormatting sqref="H22:H29">
    <cfRule type="expression" dxfId="708" priority="39">
      <formula>ABS(H$25-H$28)&gt;=1000</formula>
    </cfRule>
  </conditionalFormatting>
  <conditionalFormatting sqref="I22 I24:I29">
    <cfRule type="expression" dxfId="707" priority="38">
      <formula>ABS(I$25-I$28)&gt;=1000</formula>
    </cfRule>
  </conditionalFormatting>
  <conditionalFormatting sqref="J22:J29 K22">
    <cfRule type="expression" dxfId="706" priority="37">
      <formula>ABS(J$25-J$28)&gt;=1000</formula>
    </cfRule>
  </conditionalFormatting>
  <conditionalFormatting sqref="K23:K29 L25 L28">
    <cfRule type="expression" dxfId="705" priority="36">
      <formula>ABS(K$25-K$28)&gt;=1000</formula>
    </cfRule>
  </conditionalFormatting>
  <conditionalFormatting sqref="L22 L26:L27 L29 L24">
    <cfRule type="expression" dxfId="704" priority="35">
      <formula>ABS(L$25-L$28)&gt;=1000</formula>
    </cfRule>
  </conditionalFormatting>
  <conditionalFormatting sqref="M22:M29">
    <cfRule type="expression" dxfId="703" priority="34">
      <formula>ABS(M$25-M$28)&gt;=1000</formula>
    </cfRule>
  </conditionalFormatting>
  <conditionalFormatting sqref="N22:N29">
    <cfRule type="expression" dxfId="702" priority="33">
      <formula>ABS(N$25-N$28)&gt;=1000</formula>
    </cfRule>
  </conditionalFormatting>
  <conditionalFormatting sqref="O22:O29">
    <cfRule type="expression" dxfId="701" priority="32">
      <formula>ABS(O$25-O$28)&gt;=1000</formula>
    </cfRule>
  </conditionalFormatting>
  <conditionalFormatting sqref="P22:P29">
    <cfRule type="expression" dxfId="700" priority="31">
      <formula>ABS(P$25-P$28)&gt;=1000</formula>
    </cfRule>
  </conditionalFormatting>
  <conditionalFormatting sqref="Q22:Q29">
    <cfRule type="expression" dxfId="699" priority="30">
      <formula>ABS(Q$25-Q$28)&gt;=1000</formula>
    </cfRule>
  </conditionalFormatting>
  <conditionalFormatting sqref="R22:R29">
    <cfRule type="expression" dxfId="698" priority="29">
      <formula>ABS(R$25-R$28)&gt;=1000</formula>
    </cfRule>
  </conditionalFormatting>
  <conditionalFormatting sqref="S22:S29">
    <cfRule type="expression" dxfId="697" priority="28">
      <formula>ABS(S$25-S$28)&gt;=1000</formula>
    </cfRule>
  </conditionalFormatting>
  <conditionalFormatting sqref="T22:T29">
    <cfRule type="expression" dxfId="696" priority="27">
      <formula>ABS(T$25-T$28)&gt;=1000</formula>
    </cfRule>
  </conditionalFormatting>
  <conditionalFormatting sqref="U22:U29">
    <cfRule type="expression" dxfId="695" priority="26">
      <formula>ABS(U$25-U$28)&gt;=1000</formula>
    </cfRule>
  </conditionalFormatting>
  <conditionalFormatting sqref="V22:V29">
    <cfRule type="expression" dxfId="694" priority="25">
      <formula>ABS(V$25-V$28)&gt;=1000</formula>
    </cfRule>
  </conditionalFormatting>
  <conditionalFormatting sqref="W22:W29">
    <cfRule type="expression" dxfId="693" priority="24">
      <formula>ABS(W$25-W$28)&gt;=1000</formula>
    </cfRule>
  </conditionalFormatting>
  <conditionalFormatting sqref="X22:X29">
    <cfRule type="expression" dxfId="692" priority="23">
      <formula>ABS(X$25-X$28)&gt;=1000</formula>
    </cfRule>
  </conditionalFormatting>
  <conditionalFormatting sqref="Y22:Y29">
    <cfRule type="expression" dxfId="691" priority="22">
      <formula>ABS(Y$25-Y$28)&gt;=1000</formula>
    </cfRule>
  </conditionalFormatting>
  <conditionalFormatting sqref="I23">
    <cfRule type="expression" dxfId="690" priority="21">
      <formula>ABS(I$25-I$28)&gt;=1000</formula>
    </cfRule>
  </conditionalFormatting>
  <conditionalFormatting sqref="Q14">
    <cfRule type="expression" dxfId="689" priority="20">
      <formula>ABS(Q$16-Q$19)&gt;=1000</formula>
    </cfRule>
  </conditionalFormatting>
  <conditionalFormatting sqref="W14">
    <cfRule type="expression" dxfId="688" priority="19">
      <formula>ABS(W$16-W$19)&gt;=1000</formula>
    </cfRule>
  </conditionalFormatting>
  <conditionalFormatting sqref="Y14">
    <cfRule type="expression" dxfId="687" priority="18">
      <formula>ABS(Y$16-Y$19)&gt;=1000</formula>
    </cfRule>
  </conditionalFormatting>
  <conditionalFormatting sqref="X14">
    <cfRule type="expression" dxfId="686" priority="17">
      <formula>ABS(X$16-X$19)&gt;=1000</formula>
    </cfRule>
  </conditionalFormatting>
  <conditionalFormatting sqref="T10:Y10">
    <cfRule type="expression" dxfId="685" priority="16">
      <formula>ABS(T$7-T$10)&gt;=1000</formula>
    </cfRule>
  </conditionalFormatting>
  <conditionalFormatting sqref="W19">
    <cfRule type="expression" dxfId="684" priority="15">
      <formula>ABS(W$16-W$19)&gt;=1000</formula>
    </cfRule>
  </conditionalFormatting>
  <conditionalFormatting sqref="AC5">
    <cfRule type="expression" dxfId="683" priority="14">
      <formula>ABS(AC$7-AC$10)&gt;=1000</formula>
    </cfRule>
  </conditionalFormatting>
  <conditionalFormatting sqref="M14">
    <cfRule type="expression" dxfId="682" priority="13">
      <formula>ABS(M$16-M$19)&gt;=1000</formula>
    </cfRule>
  </conditionalFormatting>
  <conditionalFormatting sqref="M16">
    <cfRule type="expression" dxfId="681" priority="12">
      <formula>ABS(M$16-M$19)&gt;=1000</formula>
    </cfRule>
  </conditionalFormatting>
  <conditionalFormatting sqref="M19">
    <cfRule type="expression" dxfId="680" priority="11">
      <formula>ABS(M$16-M$19)&gt;=1000</formula>
    </cfRule>
  </conditionalFormatting>
  <conditionalFormatting sqref="K13:K20">
    <cfRule type="expression" dxfId="679" priority="10">
      <formula>ABS(K$16-K$19)&gt;=1000</formula>
    </cfRule>
  </conditionalFormatting>
  <conditionalFormatting sqref="E5">
    <cfRule type="expression" dxfId="678" priority="9">
      <formula>ABS(E$7-E$10)&gt;=1000</formula>
    </cfRule>
  </conditionalFormatting>
  <conditionalFormatting sqref="AB14:AC14">
    <cfRule type="expression" dxfId="677" priority="8">
      <formula>ABS(AB$16-AB$19)&gt;=1000</formula>
    </cfRule>
  </conditionalFormatting>
  <conditionalFormatting sqref="M5">
    <cfRule type="expression" dxfId="676" priority="7">
      <formula>ABS(M$7-M$10)&gt;=1000</formula>
    </cfRule>
  </conditionalFormatting>
  <conditionalFormatting sqref="N5">
    <cfRule type="expression" dxfId="675" priority="6">
      <formula>ABS(N$7-N$10)&gt;=1000</formula>
    </cfRule>
  </conditionalFormatting>
  <conditionalFormatting sqref="O5">
    <cfRule type="expression" dxfId="674" priority="5">
      <formula>ABS(O$7-O$10)&gt;=1000</formula>
    </cfRule>
  </conditionalFormatting>
  <conditionalFormatting sqref="P5">
    <cfRule type="expression" dxfId="673" priority="4">
      <formula>ABS(P$7-P$10)&gt;=1000</formula>
    </cfRule>
  </conditionalFormatting>
  <conditionalFormatting sqref="L23">
    <cfRule type="expression" dxfId="672" priority="3">
      <formula>ABS(L$25-L$28)&gt;=1000</formula>
    </cfRule>
  </conditionalFormatting>
  <conditionalFormatting sqref="F14">
    <cfRule type="expression" dxfId="671" priority="2">
      <formula>ABS(F$16-F$19)&gt;=1000</formula>
    </cfRule>
  </conditionalFormatting>
  <conditionalFormatting sqref="AE5">
    <cfRule type="expression" dxfId="670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2041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29">
    <pageSetUpPr fitToPage="1"/>
  </sheetPr>
  <dimension ref="A1:CU223"/>
  <sheetViews>
    <sheetView view="pageBreakPreview" topLeftCell="A4" zoomScale="80" zoomScaleNormal="100" zoomScaleSheetLayoutView="80" workbookViewId="0">
      <selection activeCell="D4" sqref="D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45923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54" t="s" ph="1">
        <v>177</v>
      </c>
      <c r="D6" s="71">
        <v>4218</v>
      </c>
      <c r="E6" s="71">
        <v>8765</v>
      </c>
      <c r="F6" s="71">
        <v>3547</v>
      </c>
      <c r="G6" s="71">
        <v>7551</v>
      </c>
      <c r="H6" s="71">
        <v>8634</v>
      </c>
      <c r="I6" s="71">
        <v>18.079999999999998</v>
      </c>
      <c r="J6" s="71">
        <v>7.01</v>
      </c>
      <c r="K6" s="71">
        <v>49.11</v>
      </c>
      <c r="L6" s="71">
        <v>30.06</v>
      </c>
      <c r="M6" s="71">
        <v>2013</v>
      </c>
      <c r="N6" s="71">
        <v>4817</v>
      </c>
      <c r="O6" s="71">
        <v>4230</v>
      </c>
      <c r="P6" s="71">
        <v>4719</v>
      </c>
      <c r="Q6" s="71">
        <v>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7126</v>
      </c>
      <c r="X6" s="71">
        <v>5950</v>
      </c>
      <c r="Y6" s="71">
        <v>2508</v>
      </c>
      <c r="Z6" s="71">
        <v>1375</v>
      </c>
      <c r="AA6" s="71">
        <v>780</v>
      </c>
      <c r="AB6" s="71">
        <v>2606</v>
      </c>
      <c r="AC6" s="71">
        <v>367</v>
      </c>
      <c r="AD6" s="71">
        <v>4350</v>
      </c>
      <c r="AE6" s="71">
        <v>2965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131929.05236651999</v>
      </c>
      <c r="E7" s="73" ph="1">
        <f>E6*51.53*LOOKUP(E8,密度!$A$2:$A$50,密度!$B$2:$B$50)</f>
        <v>350172.34688500001</v>
      </c>
      <c r="F7" s="73" ph="1">
        <f>F6*33.183*LOOKUP(F8,密度!$A$2:$A$50,密度!$C$2:$C$50)</f>
        <v>130341.09184739999</v>
      </c>
      <c r="G7" s="73" ph="1">
        <f xml:space="preserve"> (G6+2)*51.53*LOOKUP(G8,密度!$A$2:$A$50,密度!$B$2:$B$50)</f>
        <v>302413.13193000003</v>
      </c>
      <c r="H7" s="73" ph="1">
        <f>(H6)*51.53*LOOKUP(H8,密度!$A$2:$A$50,密度!$B$2:$B$50)</f>
        <v>345695.08554</v>
      </c>
      <c r="I7" s="73" ph="1">
        <f>I6*290.8*1.0267</f>
        <v>5398.0436287999992</v>
      </c>
      <c r="J7" s="73" ph="1">
        <f>J6*290.8*0.7892</f>
        <v>1608.7905136000002</v>
      </c>
      <c r="K7" s="73" ph="1">
        <f>K6*290.8*1.1126</f>
        <v>15889.2497688</v>
      </c>
      <c r="L7" s="73" ph="1">
        <f>L6*290.8*0.777</f>
        <v>6792.1050960000002</v>
      </c>
      <c r="M7" s="73" ph="1">
        <f>M6*33.183*LOOKUP(M8,密度!$A$2:$A$50,密度!$D$2:$D$50)</f>
        <v>68453.953999199992</v>
      </c>
      <c r="N7" s="73" ph="1">
        <f>N6*33.183*LOOKUP(N8,密度!$A$2:$A$50,密度!$E$2:$E$50)</f>
        <v>124469.36331569999</v>
      </c>
      <c r="O7" s="73" ph="1">
        <f>O6*20.428*LOOKUP(O8,密度!$A$2:$A$50,密度!$C$2:$C$50)</f>
        <v>95492.177244000006</v>
      </c>
      <c r="P7" s="73" ph="1">
        <f>P6*51.53*LOOKUP(P8,密度!$A$2:$A$50,密度!$B$2:$B$50)</f>
        <v>189161.99745300002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47096.738766000002</v>
      </c>
      <c r="X7" s="73" ph="1">
        <f>X6*1.5*1.5*3.1416*LOOKUP(X8,密度!$A$2:$A$50,密度!$L$2:$L$50)</f>
        <v>39618.796139999999</v>
      </c>
      <c r="Y7" s="73" ph="1">
        <f>Y6*1.5*1.5*3.1416*LOOKUP(Y8,密度!$A$2:$A$50,密度!$L$2:$L$50)</f>
        <v>16575.725628</v>
      </c>
      <c r="Z7" s="73" ph="1">
        <f>Z6*33.183*LOOKUP(Z8,密度!$A$2:$A$50,密度!$L$2:$L$50)</f>
        <v>42797.774249999995</v>
      </c>
      <c r="AA7" s="73" ph="1">
        <f>AA6*33.183*LOOKUP(AA8,密度!$A$2:$A$50,密度!$D$2:$D$50)</f>
        <v>26524.631952</v>
      </c>
      <c r="AB7" s="73" ph="1">
        <f>AB6*20.428*LOOKUP(AB8,密度!$A$2:$A$50,密度!$D$2:$D$50)</f>
        <v>54704.664156800005</v>
      </c>
      <c r="AC7" s="73" ph="1">
        <f>AC6*51.53*LOOKUP(AC8,密度!$A$2:$A$50,密度!$Q$2:$Q$50)</f>
        <v>17904.282977400002</v>
      </c>
      <c r="AD7" s="73" ph="1">
        <f>AD6*20.428*LOOKUP(AD8,密度!$A$2:$A$50,密度!$V$2:$V$50)</f>
        <v>85094.059680000006</v>
      </c>
      <c r="AE7" s="73" ph="1">
        <f>AE6*20.428</f>
        <v>60569.020000000004</v>
      </c>
    </row>
    <row r="8" spans="1:99" ph="1">
      <c r="B8" s="182" ph="1"/>
      <c r="C8" s="68" t="s" ph="1">
        <v>179</v>
      </c>
      <c r="D8" s="74">
        <v>31</v>
      </c>
      <c r="E8" s="74">
        <v>30</v>
      </c>
      <c r="F8" s="74">
        <v>27</v>
      </c>
      <c r="G8" s="74">
        <v>28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29</v>
      </c>
      <c r="O8" s="74">
        <v>30</v>
      </c>
      <c r="P8" s="74">
        <v>27</v>
      </c>
      <c r="Q8" s="74">
        <v>26</v>
      </c>
      <c r="R8" s="74">
        <v>32</v>
      </c>
      <c r="S8" s="74">
        <v>23</v>
      </c>
      <c r="T8" s="74">
        <v>24</v>
      </c>
      <c r="U8" s="74">
        <v>27</v>
      </c>
      <c r="V8" s="74">
        <v>27</v>
      </c>
      <c r="W8" s="74">
        <v>27</v>
      </c>
      <c r="X8" s="74">
        <v>20</v>
      </c>
      <c r="Y8" s="74">
        <v>27</v>
      </c>
      <c r="Z8" s="74">
        <v>24</v>
      </c>
      <c r="AA8" s="74">
        <v>27</v>
      </c>
      <c r="AB8" s="74">
        <v>24</v>
      </c>
      <c r="AC8" s="74">
        <v>25</v>
      </c>
      <c r="AD8" s="74">
        <v>30</v>
      </c>
      <c r="AE8" s="74">
        <v>28</v>
      </c>
    </row>
    <row r="9" spans="1:99" ht="26.4" ph="1">
      <c r="B9" s="182" ph="1">
        <v>0.66666666666666663</v>
      </c>
      <c r="C9" s="154" t="s" ph="1">
        <v>180</v>
      </c>
      <c r="D9" s="71">
        <v>4500</v>
      </c>
      <c r="E9" s="71">
        <v>8763</v>
      </c>
      <c r="F9" s="71">
        <v>4077</v>
      </c>
      <c r="G9" s="71">
        <v>6681</v>
      </c>
      <c r="H9" s="71">
        <v>8632</v>
      </c>
      <c r="I9" s="71">
        <v>18.079999999999998</v>
      </c>
      <c r="J9" s="71">
        <v>7.01</v>
      </c>
      <c r="K9" s="71">
        <v>13.07</v>
      </c>
      <c r="L9" s="71">
        <v>10.45</v>
      </c>
      <c r="M9" s="71">
        <v>2013</v>
      </c>
      <c r="N9" s="71">
        <v>4777</v>
      </c>
      <c r="O9" s="71">
        <v>4274</v>
      </c>
      <c r="P9" s="71">
        <v>4538</v>
      </c>
      <c r="Q9" s="71">
        <v>6202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5869</v>
      </c>
      <c r="X9" s="71">
        <v>5949</v>
      </c>
      <c r="Y9" s="71">
        <v>4929</v>
      </c>
      <c r="Z9" s="71">
        <v>1375</v>
      </c>
      <c r="AA9" s="71">
        <v>780</v>
      </c>
      <c r="AB9" s="71">
        <v>2266</v>
      </c>
      <c r="AC9" s="71">
        <v>295</v>
      </c>
      <c r="AD9" s="71">
        <v>4350</v>
      </c>
      <c r="AE9" s="71">
        <v>3225</v>
      </c>
    </row>
    <row r="10" spans="1:99" s="72" customFormat="1" ht="22.2" ph="1">
      <c r="B10" s="182" ph="1"/>
      <c r="C10" s="154" t="s" ph="1">
        <v>178</v>
      </c>
      <c r="D10" s="73" ph="1">
        <f>D9*33.183*LOOKUP(D11,密度!$A$2:$A$50,密度!$Q$2:$Q$50)</f>
        <v>140861.33725499999</v>
      </c>
      <c r="E10" s="73" ph="1">
        <f>E9*51.53*LOOKUP(E11,密度!$A$2:$A$50,密度!$B$2:$B$50)</f>
        <v>350498.84611799999</v>
      </c>
      <c r="F10" s="73" ph="1">
        <f>F9*33.183*LOOKUP(F11,密度!$A$2:$A$50,密度!$C$2:$C$50)</f>
        <v>149708.69490059998</v>
      </c>
      <c r="G10" s="73" ph="1">
        <f xml:space="preserve"> (G9+2)*51.53*LOOKUP(G11,密度!$A$2:$A$50,密度!$B$2:$B$50)</f>
        <v>267303.86723799998</v>
      </c>
      <c r="H10" s="73" ph="1">
        <f>(H9)*51.53*LOOKUP(H11,密度!$A$2:$A$50,密度!$B$2:$B$50)</f>
        <v>347171.83228000003</v>
      </c>
      <c r="I10" s="73" ph="1">
        <f>I9*290.8*1.0267</f>
        <v>5398.0436287999992</v>
      </c>
      <c r="J10" s="73" ph="1">
        <f>J9*290.8*0.7892</f>
        <v>1608.7905136000002</v>
      </c>
      <c r="K10" s="73" ph="1">
        <f>K9*290.8*1.1126</f>
        <v>4228.7211256000001</v>
      </c>
      <c r="L10" s="73" ph="1">
        <f>L9*290.8*0.777</f>
        <v>2361.1942200000003</v>
      </c>
      <c r="M10" s="73" ph="1">
        <f>M9*33.183*LOOKUP(M11,密度!$A$2:$A$50,密度!$D$2:$D$50)</f>
        <v>68327.038979099991</v>
      </c>
      <c r="N10" s="73" ph="1">
        <f>N9*33.183*LOOKUP(N11,密度!$A$2:$A$50,密度!$E$2:$E$50)</f>
        <v>123261.41252159998</v>
      </c>
      <c r="O10" s="73" ph="1">
        <f>O9*20.428*LOOKUP(O11,密度!$A$2:$A$50,密度!$C$2:$C$50)</f>
        <v>96302.127015999999</v>
      </c>
      <c r="P10" s="73" ph="1">
        <f>P9*51.53*LOOKUP(P11,密度!$A$2:$A$50,密度!$B$2:$B$50)</f>
        <v>181906.57860600002</v>
      </c>
      <c r="Q10" s="73" ph="1">
        <f>Q9*1.5*1.5*3.1416*LOOKUP(W11,密度!$A$2:$A$50,密度!$L$2:$L$50)</f>
        <v>40946.0530248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38747.562915600007</v>
      </c>
      <c r="X10" s="73" ph="1">
        <f>X9*1.5*1.5*3.1416*LOOKUP(X11,密度!$A$2:$A$50,密度!$L$2:$L$50)</f>
        <v>39612.137518799995</v>
      </c>
      <c r="Y10" s="73" ph="1">
        <f>Y9*1.5*1.5*3.1416*LOOKUP(Y11,密度!$A$2:$A$50,密度!$L$2:$L$50)</f>
        <v>32611.297118400002</v>
      </c>
      <c r="Z10" s="73" ph="1">
        <f>Z9*33.183*LOOKUP(Z11,密度!$A$2:$A$50,密度!$L$2:$L$50)</f>
        <v>42889.027499999997</v>
      </c>
      <c r="AA10" s="73" ph="1">
        <f>AA9*33.183*LOOKUP(AA11,密度!$A$2:$A$50,密度!$D$2:$D$50)</f>
        <v>26550.514692000004</v>
      </c>
      <c r="AB10" s="73" ph="1">
        <f>AB9*20.428*LOOKUP(AB11,密度!$A$2:$A$50,密度!$D$2:$D$50)</f>
        <v>47613.737652800002</v>
      </c>
      <c r="AC10" s="73" ph="1">
        <f>AC9*51.53*LOOKUP(AC11,密度!$A$2:$A$50,密度!$Q$2:$Q$50)</f>
        <v>14402.823084500002</v>
      </c>
      <c r="AD10" s="73" ph="1">
        <f>AD9*20.428*LOOKUP(AD11,密度!$A$2:$A$50,密度!$V$2:$V$50)</f>
        <v>85094.059680000006</v>
      </c>
      <c r="AE10" s="73" ph="1">
        <f>AE9*20.428</f>
        <v>65880.3</v>
      </c>
    </row>
    <row r="11" spans="1:99" ph="1">
      <c r="A11" s="64" t="s" ph="1">
        <v>162</v>
      </c>
      <c r="B11" s="182" ph="1"/>
      <c r="C11" s="154" t="s" ph="1">
        <v>179</v>
      </c>
      <c r="D11" s="74">
        <v>30</v>
      </c>
      <c r="E11" s="74">
        <v>29</v>
      </c>
      <c r="F11" s="74">
        <v>28</v>
      </c>
      <c r="G11" s="74">
        <v>29</v>
      </c>
      <c r="H11" s="74">
        <v>24</v>
      </c>
      <c r="I11" s="74">
        <v>25</v>
      </c>
      <c r="J11" s="74">
        <v>25</v>
      </c>
      <c r="K11" s="74">
        <v>25</v>
      </c>
      <c r="L11" s="74">
        <v>25</v>
      </c>
      <c r="M11" s="74">
        <v>29</v>
      </c>
      <c r="N11" s="74">
        <v>30</v>
      </c>
      <c r="O11" s="74">
        <v>32</v>
      </c>
      <c r="P11" s="74">
        <v>27</v>
      </c>
      <c r="Q11" s="74">
        <v>26</v>
      </c>
      <c r="R11" s="74">
        <v>33</v>
      </c>
      <c r="S11" s="74">
        <v>22</v>
      </c>
      <c r="T11" s="74">
        <v>23</v>
      </c>
      <c r="U11" s="74">
        <v>27</v>
      </c>
      <c r="V11" s="74">
        <v>28</v>
      </c>
      <c r="W11" s="74">
        <v>28</v>
      </c>
      <c r="X11" s="74">
        <v>20</v>
      </c>
      <c r="Y11" s="74">
        <v>26</v>
      </c>
      <c r="Z11" s="74">
        <v>22</v>
      </c>
      <c r="AA11" s="74">
        <v>26</v>
      </c>
      <c r="AB11" s="74">
        <v>23</v>
      </c>
      <c r="AC11" s="74">
        <v>24</v>
      </c>
      <c r="AD11" s="74">
        <v>26</v>
      </c>
      <c r="AE11" s="74">
        <v>33</v>
      </c>
    </row>
    <row r="12" spans="1:99" ht="9.9" customHeight="1" ph="1"/>
    <row r="13" spans="1:99" s="72" customFormat="1" ht="29.25" customHeight="1" ph="1">
      <c r="B13" s="190" t="s" ph="1">
        <v>37</v>
      </c>
      <c r="C13" s="15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150" t="s" ph="1">
        <v>643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54" t="s" ph="1">
        <v>177</v>
      </c>
      <c r="D15" s="78">
        <v>5537</v>
      </c>
      <c r="E15" s="78">
        <v>659</v>
      </c>
      <c r="F15" s="78">
        <v>3213</v>
      </c>
      <c r="G15" s="78">
        <v>2760</v>
      </c>
      <c r="H15" s="78">
        <v>1969</v>
      </c>
      <c r="I15" s="78">
        <v>2673</v>
      </c>
      <c r="J15" s="78">
        <v>205</v>
      </c>
      <c r="K15" s="78">
        <v>4080</v>
      </c>
      <c r="L15" s="78">
        <v>3445</v>
      </c>
      <c r="M15" s="78">
        <v>6057</v>
      </c>
      <c r="N15" s="78">
        <v>919</v>
      </c>
      <c r="O15" s="78">
        <v>5858</v>
      </c>
      <c r="P15" s="78">
        <v>6958</v>
      </c>
      <c r="Q15" s="78">
        <v>6991</v>
      </c>
      <c r="R15" s="78">
        <v>1920</v>
      </c>
      <c r="S15" s="78">
        <v>6231</v>
      </c>
      <c r="T15" s="78">
        <v>3320</v>
      </c>
      <c r="U15" s="78">
        <v>5883</v>
      </c>
      <c r="V15" s="78">
        <v>850</v>
      </c>
      <c r="W15" s="71">
        <v>4622</v>
      </c>
      <c r="X15" s="78">
        <v>1114</v>
      </c>
      <c r="Y15" s="106">
        <v>-9906</v>
      </c>
      <c r="Z15" s="78">
        <v>0</v>
      </c>
      <c r="AA15" s="78">
        <v>7</v>
      </c>
      <c r="AB15" s="78" ph="1">
        <v>1098</v>
      </c>
      <c r="AC15" s="78" ph="1">
        <v>2159</v>
      </c>
      <c r="AD15" s="78">
        <v>5.61</v>
      </c>
      <c r="AE15" s="78">
        <v>81.88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54" t="s" ph="1">
        <v>178</v>
      </c>
      <c r="D16" s="73" ph="1">
        <f>D15*7.0686*LOOKUP(D17,密度!$A$2:$A$50,密度!$L$2:$L$50)</f>
        <v>36477.397202400003</v>
      </c>
      <c r="E16" s="73" ph="1">
        <f>E15*7.0686*LOOKUP(E17,密度!$A$2:$A$50,密度!$L$2:$L$50)</f>
        <v>4341.4492968000004</v>
      </c>
      <c r="F16" s="73" ph="1">
        <f>F15*9.0746*LOOKUP(F17,密度!$A$2:$A$50,密度!$L$2:$L$50)</f>
        <v>27203.191583400003</v>
      </c>
      <c r="G16" s="73" ph="1">
        <f>G15*9.0746*LOOKUP(G17,密度!$A$2:$A$50,密度!$B$2:$B$50)</f>
        <v>19483.202498400002</v>
      </c>
      <c r="H16" s="73" ph="1">
        <f>H15*9.0746*LOOKUP(H17,密度!$A$2:$A$50,密度!$L$2:$L$50)</f>
        <v>16706.474719000002</v>
      </c>
      <c r="I16" s="73" ph="1">
        <f>I15*9.0746*LOOKUP(I17,密度!$A$2:$A$50,密度!$U$2:$U$50)</f>
        <v>24862.815944999998</v>
      </c>
      <c r="J16" s="73" ph="1">
        <f>J15*9.0746*LOOKUP(J17,密度!$A$2:$A$50,密度!$L$2:$L$50)</f>
        <v>1739.3739550000003</v>
      </c>
      <c r="K16" s="73" ph="1">
        <f>K15*9.0746*LOOKUP(K17,密度!$A$2:$A$50,密度!$C$2:$C$50)</f>
        <v>40971.165628800001</v>
      </c>
      <c r="L16" s="73" ph="1">
        <f>L15*9.0746*LOOKUP(L17,密度!$A$2:$A$50,密度!$E$2:$E$50)</f>
        <v>24378.105260600001</v>
      </c>
      <c r="M16" s="73" ph="1">
        <f>M15*9.0746*LOOKUP(M17,密度!$A$2:$A$50,密度!$M$2:$M$50)</f>
        <v>47929.351118400002</v>
      </c>
      <c r="N16" s="73" ph="1">
        <f>N15*9.0746*LOOKUP(N17,密度!$A$2:$A$50,密度!$M$2:$M$50)</f>
        <v>7297.9466807399995</v>
      </c>
      <c r="O16" s="73" ph="1">
        <f>O15*9.0746*LOOKUP(O17,密度!$A$2:$A$50,密度!$G$2:$G$50)</f>
        <v>50873.169507600003</v>
      </c>
      <c r="P16" s="73" ph="1">
        <f ca="1">P15*9.0746*LOOKUP(P17,密度!$A$2:$A$51,密度!$Q$2:$Q$50)</f>
        <v>59600.747184524007</v>
      </c>
      <c r="Q16" s="73" ph="1">
        <f>Q15*9.0746*LOOKUP(Q17,密度!$A$2:$A$50,密度!$Q$2:$Q$50)</f>
        <v>59845.353844238001</v>
      </c>
      <c r="R16" s="73" ph="1">
        <f>MAX(R15*9.0746*LOOKUP(R17,密度!$A$2:$A$50,密度!$B$2:$B$50),0)</f>
        <v>13523.9126784</v>
      </c>
      <c r="S16" s="73" ph="1">
        <f>S15*9.0746*LOOKUP(S17,密度!$A$2:$A$50,密度!$Q$2:$Q$50)</f>
        <v>53339.493606558004</v>
      </c>
      <c r="T16" s="73" ph="1">
        <f>T15*9.0746*LOOKUP(T17,密度!$A$2:$A$50,密度!$O$2:$O$50)</f>
        <v>27898.224272000003</v>
      </c>
      <c r="U16" s="73" ph="1">
        <f>U15*9.0746*LOOKUP(U17,密度!$A$2:$A$50,密度!$H$2:$H$50)</f>
        <v>48581.143338000002</v>
      </c>
      <c r="V16" s="73" ph="1">
        <f>MAX(5600*LOOKUP(V17,密度!$A$2:$A$50,密度!$Q$2:$Q$50)+V15*9.0476*LOOKUP(V17,密度!$A$2:$A$50,密度!$Q$2:$Q$50),0)</f>
        <v>12537.289631799998</v>
      </c>
      <c r="W16" s="73" ph="1">
        <f>MAX(5600*LOOKUP(W17,密度!$A$2:$A$50,密度!$Q$2:$Q$50)+W15*9.0476*LOOKUP(W17,密度!$A$2:$A$50,密度!$Q$2:$Q$50),0)</f>
        <v>44730.828731975991</v>
      </c>
      <c r="X16" s="73" ph="1">
        <f>MAX(5600*LOOKUP(X17,密度!$A$2:$A$50,密度!$I$2:$I$50)+X15*9.0476*LOOKUP(X17,密度!$A$2:$A$50,密度!$I$2:$I$50),0)</f>
        <v>16252.878766239999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49.464737139999997</v>
      </c>
      <c r="AB16" s="73" ph="1">
        <f>AB15*9.0746*LOOKUP(AB17,密度!$A$2:$A$50,密度!$L$2:$L$50)</f>
        <v>9316.2565979999999</v>
      </c>
      <c r="AC16" s="73" ph="1">
        <f>AC15*9.0746*LOOKUP(AC17,密度!$A$2:$A$50,密度!$L$2:$L$50)</f>
        <v>18298.985347599999</v>
      </c>
      <c r="AD16" s="73" ph="1">
        <f>AD15*268.68*LOOKUP(AD17,密度!$A$2:$A$50,密度!B2:B50)+IF(AD15&lt;=0,0,1566*LOOKUP(AD17,密度!$A$2:$A$50,密度!B2:B50))</f>
        <v>2395.9406260799997</v>
      </c>
      <c r="AE16" s="73" ph="1">
        <f>AE15*268.68*LOOKUP(AE17,密度!$A$2:$A$50,密度!B2:B50)+IF(AE15&lt;=0,0,1566*LOOKUP(AE17,密度!$A$2:$A$50,密度!B2:B50))</f>
        <v>18371.678144639998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30</v>
      </c>
      <c r="E17" s="74">
        <v>30</v>
      </c>
      <c r="F17" s="74">
        <v>29</v>
      </c>
      <c r="G17" s="74">
        <v>27</v>
      </c>
      <c r="H17" s="74">
        <v>27</v>
      </c>
      <c r="I17" s="74">
        <v>25</v>
      </c>
      <c r="J17" s="74">
        <v>27</v>
      </c>
      <c r="K17" s="74">
        <v>28</v>
      </c>
      <c r="L17" s="74">
        <v>28</v>
      </c>
      <c r="M17" s="74">
        <v>28</v>
      </c>
      <c r="N17" s="74">
        <v>25</v>
      </c>
      <c r="O17" s="74">
        <v>28</v>
      </c>
      <c r="P17" s="74">
        <v>29</v>
      </c>
      <c r="Q17" s="74">
        <v>30</v>
      </c>
      <c r="R17" s="74">
        <v>29</v>
      </c>
      <c r="S17" s="74">
        <v>30</v>
      </c>
      <c r="T17" s="74">
        <v>29</v>
      </c>
      <c r="U17" s="74">
        <v>30</v>
      </c>
      <c r="V17" s="74">
        <v>30</v>
      </c>
      <c r="W17" s="74">
        <v>30</v>
      </c>
      <c r="X17" s="74">
        <v>30</v>
      </c>
      <c r="Y17" s="108">
        <v>30</v>
      </c>
      <c r="Z17" s="74">
        <v>26</v>
      </c>
      <c r="AA17" s="74">
        <v>26</v>
      </c>
      <c r="AB17" s="74">
        <v>27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5212</v>
      </c>
      <c r="E18" s="71">
        <v>70</v>
      </c>
      <c r="F18" s="71">
        <v>3260</v>
      </c>
      <c r="G18" s="71">
        <v>2862</v>
      </c>
      <c r="H18" s="71">
        <v>1968</v>
      </c>
      <c r="I18" s="71">
        <v>2671</v>
      </c>
      <c r="J18" s="71">
        <v>168</v>
      </c>
      <c r="K18" s="71">
        <v>4078</v>
      </c>
      <c r="L18" s="71">
        <v>3442</v>
      </c>
      <c r="M18" s="71">
        <v>3100</v>
      </c>
      <c r="N18" s="71">
        <v>2975</v>
      </c>
      <c r="O18" s="71">
        <v>5987</v>
      </c>
      <c r="P18" s="71">
        <v>6952</v>
      </c>
      <c r="Q18" s="71">
        <v>6984</v>
      </c>
      <c r="R18" s="71">
        <v>1918</v>
      </c>
      <c r="S18" s="71">
        <v>6229</v>
      </c>
      <c r="T18" s="71">
        <v>3318</v>
      </c>
      <c r="U18" s="71">
        <v>5878</v>
      </c>
      <c r="V18" s="71">
        <v>850</v>
      </c>
      <c r="W18" s="71">
        <v>4620</v>
      </c>
      <c r="X18" s="71">
        <v>1114</v>
      </c>
      <c r="Y18" s="109">
        <v>-9906</v>
      </c>
      <c r="Z18" s="71">
        <v>0</v>
      </c>
      <c r="AA18" s="71">
        <v>6</v>
      </c>
      <c r="AB18" s="71">
        <v>1099</v>
      </c>
      <c r="AC18" s="71">
        <v>2157</v>
      </c>
      <c r="AD18" s="71">
        <v>43.27</v>
      </c>
      <c r="AE18" s="71">
        <v>83.99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54" t="s" ph="1">
        <v>178</v>
      </c>
      <c r="D19" s="73" ph="1">
        <f>D18*7.0686*LOOKUP(D20,密度!$A$2:$A$50,密度!$L$2:$L$50)</f>
        <v>34336.318262400004</v>
      </c>
      <c r="E19" s="73" ph="1">
        <f>E18*7.0686*LOOKUP(E20,密度!$A$2:$A$50,密度!$L$2:$L$50)</f>
        <v>461.15546400000005</v>
      </c>
      <c r="F19" s="73" ph="1">
        <f>F18*9.0746*LOOKUP(F20,密度!$A$2:$A$50,密度!$L$2:$L$50)</f>
        <v>27571.538672000002</v>
      </c>
      <c r="G19" s="73" ph="1">
        <f>G18*9.0746*LOOKUP(G20,密度!$A$2:$A$50,密度!$B$2:$B$50)</f>
        <v>20203.23389508</v>
      </c>
      <c r="H19" s="73" ph="1">
        <f>H18*9.0746*LOOKUP(H20,密度!$A$2:$A$50,密度!$L$2:$L$50)</f>
        <v>16733.7075936</v>
      </c>
      <c r="I19" s="73" ph="1">
        <f>I18*9.0746*LOOKUP(I20,密度!$A$2:$A$50,密度!$U$2:$U$50)</f>
        <v>24771.4982452</v>
      </c>
      <c r="J19" s="73" ph="1">
        <f>J18*9.0746*LOOKUP(J20,密度!$A$2:$A$50,密度!$L$2:$L$50)</f>
        <v>1423.9136352</v>
      </c>
      <c r="K19" s="73" ph="1">
        <f>K18*9.0746*LOOKUP(K20,密度!$A$2:$A$50,密度!$C$2:$C$50)</f>
        <v>40951.081724080002</v>
      </c>
      <c r="L19" s="73" ph="1">
        <f>L18*9.0746*LOOKUP(L20,密度!$A$2:$A$50,密度!$E$2:$E$50)</f>
        <v>24288.159640319998</v>
      </c>
      <c r="M19" s="73" ph="1">
        <f>M18*9.0746*LOOKUP(M20,密度!$A$2:$A$50,密度!$M$2:$M$50)</f>
        <v>24471.383074000001</v>
      </c>
      <c r="N19" s="73" ph="1">
        <f>N18*9.0746*LOOKUP(N20,密度!$A$2:$A$50,密度!$M$2:$M$50)</f>
        <v>23625.0178185</v>
      </c>
      <c r="O19" s="73" ph="1">
        <f>O18*9.0746*LOOKUP(O20,密度!$A$2:$A$50,密度!$G$2:$G$50)</f>
        <v>51868.49795194</v>
      </c>
      <c r="P19" s="73" ph="1">
        <f ca="1">P18*9.0746*LOOKUP(P20,密度!$A$2:$A$51,密度!$Q$2:$Q$50)</f>
        <v>59511.500489935999</v>
      </c>
      <c r="Q19" s="73" ph="1">
        <f>Q18*9.0746*LOOKUP(Q20,密度!$A$2:$A$50,密度!$Q$2:$Q$50)</f>
        <v>59785.431447311996</v>
      </c>
      <c r="R19" s="73" ph="1">
        <f>MAX(R18*9.0746*LOOKUP(R20,密度!$A$2:$A$50,密度!$B$2:$B$50),0)</f>
        <v>13494.16069484</v>
      </c>
      <c r="S19" s="73" ph="1">
        <f>S18*9.0746*LOOKUP(S20,密度!$A$2:$A$50,密度!$Q$2:$Q$50)</f>
        <v>53322.372921722003</v>
      </c>
      <c r="T19" s="73" ph="1">
        <f>T18*9.0746*LOOKUP(T20,密度!$A$2:$A$50,密度!$O$2:$O$50)</f>
        <v>27881.418112800002</v>
      </c>
      <c r="U19" s="73" ph="1">
        <f>U18*9.0746*LOOKUP(U20,密度!$A$2:$A$50,密度!$H$2:$H$50)</f>
        <v>48747.881853320003</v>
      </c>
      <c r="V19" s="73" ph="1">
        <f>MAX(5600*LOOKUP(V20,密度!$A$2:$A$50,密度!$Q$2:$Q$50)+V18*9.0476*LOOKUP(V20,密度!$A$2:$A$50,密度!$Q$2:$Q$50),0)</f>
        <v>12537.289631799998</v>
      </c>
      <c r="W19" s="73" ph="1">
        <f>MAX(5600*LOOKUP(W20,密度!$A$2:$A$50,密度!$Q$2:$Q$50)+W18*9.0476*LOOKUP(W20,密度!$A$2:$A$50,密度!$Q$2:$Q$50),0)</f>
        <v>44678.209052959995</v>
      </c>
      <c r="X19" s="73" ph="1">
        <f>MAX(5600*LOOKUP(X20,密度!$A$2:$A$50,密度!$I$2:$I$50)+X18*9.0476*LOOKUP(X20,密度!$A$2:$A$50,密度!$I$2:$I$50),0)</f>
        <v>16252.878766239999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42.398346119999999</v>
      </c>
      <c r="AB19" s="73" ph="1">
        <f>AB18*9.0746*LOOKUP(AB20,密度!$A$2:$A$50,密度!$L$2:$L$50)</f>
        <v>9314.7683636000002</v>
      </c>
      <c r="AC19" s="73" ph="1">
        <f>AC18*9.0746*LOOKUP(AC20,密度!$A$2:$A$50,密度!$L$2:$L$50)</f>
        <v>18282.0339948</v>
      </c>
      <c r="AD19" s="73" ph="1">
        <f>AD18*268.68*LOOKUP(AD20,密度!$A$2:$A$50,密度!B5:B53)+IF(AD18&lt;=0,0,1566*LOOKUP(AD20,密度!$A$2:$A$50,密度!B5:B53))</f>
        <v>10250.0158572</v>
      </c>
      <c r="AE19" s="73" ph="1">
        <f>AE18*268.68*LOOKUP(AE20,密度!$A$2:$A$50,密度!B5:B53)+IF(AE18&lt;=0,0,1566*LOOKUP(AE20,密度!$A$2:$A$50,密度!B5:B53))</f>
        <v>18750.900596399999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30</v>
      </c>
      <c r="E20" s="81">
        <v>30</v>
      </c>
      <c r="F20" s="81">
        <v>30</v>
      </c>
      <c r="G20" s="81">
        <v>27</v>
      </c>
      <c r="H20" s="81">
        <v>25</v>
      </c>
      <c r="I20" s="81">
        <v>28</v>
      </c>
      <c r="J20" s="81">
        <v>28</v>
      </c>
      <c r="K20" s="81">
        <v>28</v>
      </c>
      <c r="L20" s="81">
        <v>30</v>
      </c>
      <c r="M20" s="81">
        <v>30</v>
      </c>
      <c r="N20" s="81">
        <v>25</v>
      </c>
      <c r="O20" s="81">
        <v>30</v>
      </c>
      <c r="P20" s="81">
        <v>30</v>
      </c>
      <c r="Q20" s="81">
        <v>30</v>
      </c>
      <c r="R20" s="81">
        <v>30</v>
      </c>
      <c r="S20" s="81">
        <v>30</v>
      </c>
      <c r="T20" s="81">
        <v>29</v>
      </c>
      <c r="U20" s="81">
        <v>26</v>
      </c>
      <c r="V20" s="81">
        <v>30</v>
      </c>
      <c r="W20" s="81">
        <v>31</v>
      </c>
      <c r="X20" s="81">
        <v>30</v>
      </c>
      <c r="Y20" s="110">
        <v>30</v>
      </c>
      <c r="Z20" s="81">
        <v>28</v>
      </c>
      <c r="AA20" s="81">
        <v>26</v>
      </c>
      <c r="AB20" s="81">
        <v>28</v>
      </c>
      <c r="AC20" s="81">
        <v>28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54" t="s" ph="1">
        <v>177</v>
      </c>
      <c r="D24" s="71">
        <v>4.1100000000000003</v>
      </c>
      <c r="E24" s="71">
        <v>5.45</v>
      </c>
      <c r="F24" s="71">
        <v>12</v>
      </c>
      <c r="G24" s="71">
        <v>3031</v>
      </c>
      <c r="H24" s="71">
        <v>2587</v>
      </c>
      <c r="I24" s="71">
        <v>2970</v>
      </c>
      <c r="J24" s="71">
        <v>5240</v>
      </c>
      <c r="K24" s="71">
        <v>5267</v>
      </c>
      <c r="L24" s="71">
        <v>5615</v>
      </c>
      <c r="M24" s="71">
        <v>5412</v>
      </c>
      <c r="N24" s="71">
        <v>5535</v>
      </c>
      <c r="O24" s="71">
        <v>5600</v>
      </c>
      <c r="P24" s="71">
        <v>364</v>
      </c>
      <c r="Q24" s="90">
        <v>3405</v>
      </c>
      <c r="R24" s="71">
        <v>207</v>
      </c>
      <c r="S24" s="71">
        <v>1072</v>
      </c>
      <c r="T24" s="71">
        <v>850</v>
      </c>
      <c r="U24" s="71">
        <v>4368</v>
      </c>
      <c r="V24" s="71">
        <v>2611</v>
      </c>
      <c r="W24" s="71">
        <v>4341</v>
      </c>
      <c r="X24" s="71">
        <v>908</v>
      </c>
      <c r="Y24" s="71">
        <v>3543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2528.0559641520003</v>
      </c>
      <c r="E25" s="91" ph="1">
        <f>E24*268.68*LOOKUP(E26,密度!$A$2:$A$50,密度!$C$2:$C$50)+IF(E24&lt;=0,0,1566*LOOKUP(E26,密度!$A$2:$A$50,密度!$C$2:$C$50))</f>
        <v>3360.3063234000001</v>
      </c>
      <c r="F25" s="91" ph="1">
        <f>F24*11.702*LOOKUP(F26,密度!$A$2:$A$50,密度!$Q$2:$Q$50)</f>
        <v>132.55042632000001</v>
      </c>
      <c r="G25" s="91" ph="1">
        <f>G24*18.322*LOOKUP(G26,密度!$A$2:$A$50,密度!$B$2:$B$50)</f>
        <v>43149.904014</v>
      </c>
      <c r="H25" s="91" ph="1">
        <f>H24*18.322*LOOKUP(H26,密度!$A$2:$A$50,密度!$B$2:$B$50)</f>
        <v>36791.1146668</v>
      </c>
      <c r="I25" s="91" ph="1">
        <f>I24*18.322*LOOKUP(I26,密度!$A$2:$A$50,密度!$Q$2:$Q$50)</f>
        <v>51402.763090799999</v>
      </c>
      <c r="J25" s="91" ph="1">
        <f>J24*18.322*LOOKUP(J26,密度!$A$2:$A$50,密度!$Q$2:$Q$50)</f>
        <v>90624.151810399999</v>
      </c>
      <c r="K25" s="91" ph="1">
        <f>K24*18.322*LOOKUP(K26,密度!$A$2:$A$50,密度!$Q$2:$Q$50)</f>
        <v>90404.979282679997</v>
      </c>
      <c r="L25" s="91" ph="1">
        <f>L24*18.322*LOOKUP(L26,密度!$A$2:$A$50,密度!$Q$2:$Q$50)</f>
        <v>97180.644698599994</v>
      </c>
      <c r="M25" s="91" ph="1">
        <f>M24*18.322*LOOKUP(M26,密度!$A$2:$A$50,密度!$Q$2:$Q$50)</f>
        <v>93598.837709519998</v>
      </c>
      <c r="N25" s="91" ph="1">
        <f>N24*18.322*LOOKUP(N26,密度!$A$2:$A$50,密度!$Q$2:$Q$50)</f>
        <v>95796.058487399991</v>
      </c>
      <c r="O25" s="91" ph="1">
        <f>O24*18.322*LOOKUP(O26,密度!$A$2:$A$50,密度!$C$2:$C$50)</f>
        <v>113540.70112</v>
      </c>
      <c r="P25" s="91" ph="1">
        <f>P24*11.702*LOOKUP(P26,密度!$A$2:$A$50,密度!$B$2:$B$50)</f>
        <v>3306.2456336</v>
      </c>
      <c r="Q25" s="92" ph="1">
        <f>Q24*18.322*LOOKUP(Q26,密度!$A$2:$A$50,密度!$B$2:$B$50)</f>
        <v>48424.331441999995</v>
      </c>
      <c r="R25" s="91" ph="1">
        <f>R24*35.891*LOOKUP(R26,密度!$A$2:$A$50,密度!$C$2:$C$50)</f>
        <v>8221.4149842000006</v>
      </c>
      <c r="S25" s="91" ph="1">
        <f>S24*35.891*LOOKUP(S26,密度!$A$2:$A$50,密度!$B$2:$B$50)</f>
        <v>29895.193103999998</v>
      </c>
      <c r="T25" s="91" ph="1">
        <f>T24*35.891*LOOKUP(T26,密度!$A$2:$A$50,密度!$Q$2:$Q$50)</f>
        <v>28796.802885500001</v>
      </c>
      <c r="U25" s="91" ph="1">
        <f>U24*35.891</f>
        <v>156771.88800000001</v>
      </c>
      <c r="V25" s="91" ph="1">
        <f>V24*47.051*LOOKUP(V26,密度!$A$2:$A$50,密度!$B$2:$B$50)</f>
        <v>95454.575097000008</v>
      </c>
      <c r="W25" s="91" ph="1">
        <f>W24*47.051*LOOKUP(W26,密度!$A$2:$A$50,密度!$B$2:$B$50)</f>
        <v>158700.99980700001</v>
      </c>
      <c r="X25" s="91" ph="1">
        <f>X24*47.051*LOOKUP(X26,密度!$A$2:$A$50,密度!$I$2:$I$50)</f>
        <v>44332.939011600007</v>
      </c>
      <c r="Y25" s="91" ph="1">
        <f>Y24*47.051*LOOKUP(Y26,密度!$A$2:$A$50,密度!$L$2:$L$50)</f>
        <v>155699.38126200001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29</v>
      </c>
      <c r="G26" s="74">
        <v>28</v>
      </c>
      <c r="H26" s="74">
        <v>29</v>
      </c>
      <c r="I26" s="74">
        <v>28</v>
      </c>
      <c r="J26" s="74">
        <v>29</v>
      </c>
      <c r="K26" s="74">
        <v>229</v>
      </c>
      <c r="L26" s="74">
        <v>28</v>
      </c>
      <c r="M26" s="74">
        <v>29</v>
      </c>
      <c r="N26" s="74">
        <v>28</v>
      </c>
      <c r="O26" s="74">
        <v>28</v>
      </c>
      <c r="P26" s="74">
        <v>29</v>
      </c>
      <c r="Q26" s="93">
        <v>29</v>
      </c>
      <c r="R26" s="74">
        <v>28</v>
      </c>
      <c r="S26" s="74">
        <v>28</v>
      </c>
      <c r="T26" s="74">
        <v>29</v>
      </c>
      <c r="U26" s="74">
        <v>29</v>
      </c>
      <c r="V26" s="74">
        <v>28</v>
      </c>
      <c r="W26" s="74">
        <v>28</v>
      </c>
      <c r="X26" s="74">
        <v>29</v>
      </c>
      <c r="Y26" s="74">
        <v>28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54" t="s" ph="1">
        <v>180</v>
      </c>
      <c r="D27" s="71">
        <v>4.24</v>
      </c>
      <c r="E27" s="71">
        <v>5.45</v>
      </c>
      <c r="F27" s="71">
        <v>11</v>
      </c>
      <c r="G27" s="71">
        <v>2378</v>
      </c>
      <c r="H27" s="71">
        <v>2587</v>
      </c>
      <c r="I27" s="71">
        <v>2970</v>
      </c>
      <c r="J27" s="71">
        <v>5239</v>
      </c>
      <c r="K27" s="71">
        <v>5266</v>
      </c>
      <c r="L27" s="71">
        <v>5613</v>
      </c>
      <c r="M27" s="71">
        <v>5411</v>
      </c>
      <c r="N27" s="71">
        <v>5533</v>
      </c>
      <c r="O27" s="71">
        <v>5600</v>
      </c>
      <c r="P27" s="71">
        <v>364</v>
      </c>
      <c r="Q27" s="90">
        <v>3734</v>
      </c>
      <c r="R27" s="71">
        <v>208</v>
      </c>
      <c r="S27" s="71">
        <v>679</v>
      </c>
      <c r="T27" s="71">
        <v>849</v>
      </c>
      <c r="U27" s="71">
        <v>4304</v>
      </c>
      <c r="V27" s="71">
        <v>2609</v>
      </c>
      <c r="W27" s="71">
        <v>4340</v>
      </c>
      <c r="X27" s="71">
        <v>432</v>
      </c>
      <c r="Y27" s="71">
        <v>2452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54" t="s" ph="1">
        <v>178</v>
      </c>
      <c r="D28" s="91" ph="1">
        <f>D27*268.68*LOOKUP(D29,密度!$A$2:$A$50,密度!$Q$2:$Q$50)+IF(D27&lt;=0,0,1566*LOOKUP(D29,密度!$A$2:$A$50,密度!$Q$2:$Q$50))</f>
        <v>2561.1240775679998</v>
      </c>
      <c r="E28" s="91" ph="1">
        <f>E27*268.68*LOOKUP(E29,密度!$A$2:$A$50,密度!$C$2:$C$50)+IF(E27&lt;=0,0,1566*LOOKUP(E29,密度!$A$2:$A$50,密度!$C$2:$C$50))</f>
        <v>3360.3063234000001</v>
      </c>
      <c r="F28" s="91" ph="1">
        <f>F27*11.702*LOOKUP(F29,密度!$A$2:$A$50,密度!$Q$2:$Q$50)</f>
        <v>121.50455746000002</v>
      </c>
      <c r="G28" s="91" ph="1">
        <f>G27*18.322*LOOKUP(G29,密度!$A$2:$A$50,密度!$B$2:$B$50)</f>
        <v>33818.813559200004</v>
      </c>
      <c r="H28" s="91" ph="1">
        <f>H27*18.322*LOOKUP(H29,密度!$A$2:$A$50,密度!$B$2:$B$50)</f>
        <v>36748.455554199994</v>
      </c>
      <c r="I28" s="91" ph="1">
        <f>I27*18.322*LOOKUP(I29,密度!$A$2:$A$50,密度!$Q$2:$Q$50)</f>
        <v>51332.566012199997</v>
      </c>
      <c r="J28" s="91" ph="1">
        <f>J27*18.322*LOOKUP(J29,密度!$A$2:$A$50,密度!$Q$2:$Q$50)</f>
        <v>90549.263750140002</v>
      </c>
      <c r="K28" s="91" ph="1">
        <f>K27*18.322*LOOKUP(K29,密度!$A$2:$A$50,密度!$Q$2:$Q$50)</f>
        <v>91015.923441160005</v>
      </c>
      <c r="L28" s="91" ph="1">
        <f>L27*18.322*LOOKUP(L29,密度!$A$2:$A$50,密度!$Q$2:$Q$50)</f>
        <v>97075.069486980006</v>
      </c>
      <c r="M28" s="91" ph="1">
        <f>M27*18.322*LOOKUP(M29,密度!$A$2:$A$50,密度!$Q$2:$Q$50)</f>
        <v>93522.058818859994</v>
      </c>
      <c r="N28" s="91" ph="1">
        <f>N27*18.322*LOOKUP(N29,密度!$A$2:$A$50,密度!$Q$2:$Q$50)</f>
        <v>95691.49465018</v>
      </c>
      <c r="O28" s="91" ph="1">
        <f>O27*18.322*LOOKUP(O29,密度!$A$2:$A$50,密度!$C$2:$C$50)</f>
        <v>113468.87888</v>
      </c>
      <c r="P28" s="91" ph="1">
        <f>P27*11.702*LOOKUP(P29,密度!$A$2:$A$50,密度!$B$2:$B$50)</f>
        <v>3302.4120584000002</v>
      </c>
      <c r="Q28" s="92" ph="1">
        <f>Q27*18.322*LOOKUP(Q29,密度!$A$2:$A$50,密度!$B$2:$B$50)</f>
        <v>53041.644004399997</v>
      </c>
      <c r="R28" s="91" ph="1">
        <f>R27*35.891*LOOKUP(R29,密度!$A$2:$A$50,密度!$C$2:$C$50)</f>
        <v>8255.9062352000001</v>
      </c>
      <c r="S28" s="91" ph="1">
        <f>S27*35.891*LOOKUP(S29,密度!$A$2:$A$50,密度!$B$2:$B$50)</f>
        <v>18915.985461799999</v>
      </c>
      <c r="T28" s="91" ph="1">
        <f>T27*35.891*LOOKUP(T29,密度!$A$2:$A$50,密度!$Q$2:$Q$50)</f>
        <v>28762.924293870001</v>
      </c>
      <c r="U28" s="91" ph="1">
        <f>U27*35.891</f>
        <v>154474.864</v>
      </c>
      <c r="V28" s="91" ph="1">
        <f>V27*47.051*LOOKUP(V29,密度!$A$2:$A$50,密度!$B$2:$B$50)</f>
        <v>95172.772542700011</v>
      </c>
      <c r="W28" s="91" ph="1">
        <f>W27*47.051*LOOKUP(W29,密度!$A$2:$A$50,密度!$B$2:$B$50)</f>
        <v>158317.29890200001</v>
      </c>
      <c r="X28" s="91" ph="1">
        <f>X27*47.051*LOOKUP(X29,密度!$A$2:$A$50,密度!$I$2:$I$50)</f>
        <v>21069.964771199997</v>
      </c>
      <c r="Y28" s="91" ph="1">
        <f>Y27*47.051*LOOKUP(Y29,密度!$A$2:$A$50,密度!$L$2:$L$50)</f>
        <v>107639.32551600001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54" t="s" ph="1">
        <v>179</v>
      </c>
      <c r="D29" s="74">
        <v>25</v>
      </c>
      <c r="E29" s="74">
        <v>25</v>
      </c>
      <c r="F29" s="74">
        <v>29</v>
      </c>
      <c r="G29" s="74">
        <v>29</v>
      </c>
      <c r="H29" s="74">
        <v>30</v>
      </c>
      <c r="I29" s="74">
        <v>30</v>
      </c>
      <c r="J29" s="74">
        <v>30</v>
      </c>
      <c r="K29" s="74">
        <v>30</v>
      </c>
      <c r="L29" s="74">
        <v>29</v>
      </c>
      <c r="M29" s="74">
        <v>30</v>
      </c>
      <c r="N29" s="74">
        <v>29</v>
      </c>
      <c r="O29" s="74">
        <v>29</v>
      </c>
      <c r="P29" s="74">
        <v>30</v>
      </c>
      <c r="Q29" s="93">
        <v>30</v>
      </c>
      <c r="R29" s="74">
        <v>29</v>
      </c>
      <c r="S29" s="74">
        <v>29</v>
      </c>
      <c r="T29" s="74">
        <v>29</v>
      </c>
      <c r="U29" s="74">
        <v>30</v>
      </c>
      <c r="V29" s="74">
        <v>30</v>
      </c>
      <c r="W29" s="74">
        <v>30</v>
      </c>
      <c r="X29" s="74">
        <v>30</v>
      </c>
      <c r="Y29" s="74">
        <v>29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54" t="s" ph="1">
        <v>5</v>
      </c>
      <c r="F32" s="153" t="s" ph="1">
        <v>43</v>
      </c>
      <c r="G32" s="97" t="s" ph="1">
        <v>4</v>
      </c>
      <c r="H32" s="154" t="s" ph="1">
        <v>5</v>
      </c>
      <c r="I32" s="153" t="s" ph="1">
        <v>43</v>
      </c>
      <c r="J32" s="97" t="s" ph="1">
        <v>4</v>
      </c>
      <c r="K32" s="154" t="s" ph="1">
        <v>5</v>
      </c>
      <c r="L32" s="153" t="s" ph="1">
        <v>43</v>
      </c>
      <c r="M32" s="97" t="s" ph="1">
        <v>4</v>
      </c>
      <c r="N32" s="154" t="s" ph="1">
        <v>5</v>
      </c>
      <c r="O32" s="153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4" t="s" ph="1">
        <v>5</v>
      </c>
      <c r="U32" s="99" t="s" ph="1">
        <v>43</v>
      </c>
      <c r="V32" s="97" t="s" ph="1">
        <v>4</v>
      </c>
      <c r="W32" s="154" t="s" ph="1">
        <v>5</v>
      </c>
      <c r="X32" s="99" t="s" ph="1">
        <v>43</v>
      </c>
      <c r="Y32" s="100" t="s" ph="1">
        <v>4</v>
      </c>
      <c r="Z32" s="154" t="s" ph="1">
        <v>5</v>
      </c>
      <c r="AA32" s="153" t="s" ph="1">
        <v>43</v>
      </c>
      <c r="AB32" s="97" t="s" ph="1">
        <v>85</v>
      </c>
      <c r="AC32" s="154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74164.252344800014</v>
      </c>
      <c r="E33" s="204" ph="1">
        <f>M10+I10</f>
        <v>73725.082607899996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[[#This Row],[F25]]</f>
        <v>3880</v>
      </c>
      <c r="G33" s="208" ph="1">
        <v>0</v>
      </c>
      <c r="H33" s="204" ph="1">
        <f>N19</f>
        <v>23625.0178185</v>
      </c>
      <c r="I33" s="217" ph="1">
        <v>0</v>
      </c>
      <c r="J33" s="215" ph="1">
        <f>F10+O28</f>
        <v>263177.57378059998</v>
      </c>
      <c r="K33" s="204" ph="1">
        <f>O10+K10+E28+R28</f>
        <v>112147.0607002</v>
      </c>
      <c r="L33" s="219" ph="1">
        <f>BE27</f>
        <v>7100</v>
      </c>
      <c r="M33" s="215" ph="1">
        <f>G10+H10+W28+S28+V28+E10</f>
        <v>1237380.6025425</v>
      </c>
      <c r="N33" s="204" ph="1">
        <f>L10+P10++G28+H28</f>
        <v>254835.04193940002</v>
      </c>
      <c r="O33" s="217" ph="1">
        <f>BE17</f>
        <v>2270</v>
      </c>
      <c r="P33" s="215" ph="1">
        <f>L19</f>
        <v>24288.159640319998</v>
      </c>
      <c r="Q33" s="204" ph="1">
        <f>J10+N10</f>
        <v>124870.20303519999</v>
      </c>
      <c r="R33" s="217" ph="1">
        <f>BE23</f>
        <v>890</v>
      </c>
      <c r="S33" s="215" ph="1">
        <f>E10+X28</f>
        <v>371568.81088919996</v>
      </c>
      <c r="T33" s="204" ph="1">
        <f>X19</f>
        <v>16252.878766239999</v>
      </c>
      <c r="U33" s="225" ph="1">
        <f>BE21</f>
        <v>730</v>
      </c>
      <c r="V33" s="236" ph="1">
        <f ca="1">P19+Q19+S19+M28+N28+J28</f>
        <v>452382.12207814993</v>
      </c>
      <c r="W33" s="236" ph="1">
        <f>D28+F28+V19+T28</f>
        <v>43982.842560698002</v>
      </c>
      <c r="X33" s="217" ph="1">
        <f>BE29+BE31</f>
        <v>10200</v>
      </c>
      <c r="Y33" s="238" ph="1">
        <f>+Q10+R10+S10+T10+U10+V10+W10+X10+Y10</f>
        <v>151917.05057759999</v>
      </c>
      <c r="Z33" s="223" ph="1">
        <f>D10+T19+U19+Y28+Z10</f>
        <v>368018.99023711996</v>
      </c>
      <c r="AA33" s="225" ph="1">
        <f>BE19</f>
        <v>1440</v>
      </c>
      <c r="AB33" s="227" ph="1">
        <f>I19</f>
        <v>24771.4982452</v>
      </c>
      <c r="AC33" s="229" ph="1">
        <f>AD10</f>
        <v>85094.059680000006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52" t="s" ph="1">
        <v>185</v>
      </c>
      <c r="AA36" s="152" ph="1"/>
      <c r="AB36" s="222" t="s" ph="1">
        <v>641</v>
      </c>
      <c r="AC36" s="222" ph="1"/>
      <c r="AD36" s="222" ph="1"/>
      <c r="AE36" s="222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342</v>
      </c>
      <c r="AI37" s="152" t="s" ph="1">
        <v>209</v>
      </c>
      <c r="AJ37" s="152" t="s" ph="1">
        <v>210</v>
      </c>
      <c r="AK37" s="152" t="s" ph="1">
        <v>211</v>
      </c>
      <c r="AM37" s="152" t="s" ph="1">
        <v>210</v>
      </c>
      <c r="AN37" s="152" t="s" ph="1">
        <v>211</v>
      </c>
      <c r="AO37" s="152" t="s" ph="1">
        <v>212</v>
      </c>
      <c r="AP37" s="152" t="s" ph="1">
        <v>210</v>
      </c>
      <c r="AQ37" s="152" t="s" ph="1">
        <v>211</v>
      </c>
      <c r="AR37" s="152" t="s" ph="1">
        <v>212</v>
      </c>
      <c r="AS37" s="152" t="s" ph="1">
        <v>210</v>
      </c>
      <c r="AT37" s="152" t="s" ph="1">
        <v>211</v>
      </c>
      <c r="AU37" s="152" t="s" ph="1">
        <v>212</v>
      </c>
      <c r="AV37" s="152" t="s" ph="1">
        <v>210</v>
      </c>
      <c r="AW37" s="152" t="s" ph="1">
        <v>211</v>
      </c>
      <c r="AX37" s="152" t="s" ph="1">
        <v>212</v>
      </c>
      <c r="AY37" s="152" t="s" ph="1">
        <v>211</v>
      </c>
      <c r="AZ37" s="152" t="s" ph="1">
        <v>213</v>
      </c>
      <c r="BD37" s="152" t="s" ph="1">
        <v>305</v>
      </c>
      <c r="BE37" s="15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639" priority="98">
      <formula>ABS(D$7-D$10)&gt;=1000</formula>
    </cfRule>
  </conditionalFormatting>
  <conditionalFormatting sqref="E4 E6:E11">
    <cfRule type="expression" dxfId="638" priority="97">
      <formula>ABS(E$7-E$10)&gt;=1000</formula>
    </cfRule>
  </conditionalFormatting>
  <conditionalFormatting sqref="F4:F11">
    <cfRule type="expression" dxfId="637" priority="96">
      <formula>ABS(F$7-F$10)&gt;=1000</formula>
    </cfRule>
  </conditionalFormatting>
  <conditionalFormatting sqref="G4:G11">
    <cfRule type="expression" dxfId="636" priority="95">
      <formula>ABS(G$7-G$10)&gt;=1000</formula>
    </cfRule>
  </conditionalFormatting>
  <conditionalFormatting sqref="H4:H11">
    <cfRule type="expression" dxfId="635" priority="94">
      <formula>ABS(H$7-H$10)&gt;=1000</formula>
    </cfRule>
  </conditionalFormatting>
  <conditionalFormatting sqref="I4:I11">
    <cfRule type="expression" dxfId="634" priority="93">
      <formula>ABS(I$7-I$10)&gt;=1000</formula>
    </cfRule>
  </conditionalFormatting>
  <conditionalFormatting sqref="J4:J11">
    <cfRule type="expression" dxfId="633" priority="92">
      <formula>ABS(J$7-J$10)&gt;=1000</formula>
    </cfRule>
  </conditionalFormatting>
  <conditionalFormatting sqref="K4:K11">
    <cfRule type="expression" dxfId="632" priority="91">
      <formula>ABS(K$7-K$10)&gt;=1000</formula>
    </cfRule>
  </conditionalFormatting>
  <conditionalFormatting sqref="L4:L11">
    <cfRule type="expression" dxfId="631" priority="90">
      <formula>ABS(L$7-L$10)&gt;=1000</formula>
    </cfRule>
  </conditionalFormatting>
  <conditionalFormatting sqref="M4 M6:M11">
    <cfRule type="expression" dxfId="630" priority="89">
      <formula>ABS(M$7-M$10)&gt;=1000</formula>
    </cfRule>
  </conditionalFormatting>
  <conditionalFormatting sqref="N4 N6:N11">
    <cfRule type="expression" dxfId="629" priority="88">
      <formula>ABS(N$7-N$10)&gt;=1000</formula>
    </cfRule>
  </conditionalFormatting>
  <conditionalFormatting sqref="O4 O6:O11">
    <cfRule type="expression" dxfId="628" priority="87">
      <formula>ABS(O$7-O$10)&gt;=1000</formula>
    </cfRule>
  </conditionalFormatting>
  <conditionalFormatting sqref="P4 P6:P11">
    <cfRule type="expression" dxfId="627" priority="86">
      <formula>ABS(P$7-P$10)&gt;=1000</formula>
    </cfRule>
  </conditionalFormatting>
  <conditionalFormatting sqref="Q4:Q11">
    <cfRule type="expression" dxfId="626" priority="85">
      <formula>ABS(Q$7-Q$10)&gt;=1000</formula>
    </cfRule>
  </conditionalFormatting>
  <conditionalFormatting sqref="R4:R11">
    <cfRule type="expression" dxfId="625" priority="84">
      <formula>ABS(R$7-R$10)&gt;=1000</formula>
    </cfRule>
  </conditionalFormatting>
  <conditionalFormatting sqref="S4:S11">
    <cfRule type="expression" dxfId="624" priority="83">
      <formula>ABS(S$7-S$10)&gt;=1000</formula>
    </cfRule>
  </conditionalFormatting>
  <conditionalFormatting sqref="T4:T9 T11">
    <cfRule type="expression" dxfId="623" priority="82">
      <formula>ABS(T$7-T$10)&gt;=1000</formula>
    </cfRule>
  </conditionalFormatting>
  <conditionalFormatting sqref="U4:U9 U11">
    <cfRule type="expression" dxfId="622" priority="81">
      <formula>ABS(U$7-U$10)&gt;=1000</formula>
    </cfRule>
  </conditionalFormatting>
  <conditionalFormatting sqref="V4:V9 V11">
    <cfRule type="expression" dxfId="621" priority="80">
      <formula>ABS(V$7-V$10)&gt;=1000</formula>
    </cfRule>
  </conditionalFormatting>
  <conditionalFormatting sqref="W4:W9 W11">
    <cfRule type="expression" dxfId="620" priority="79">
      <formula>ABS(W$7-W$10)&gt;=1000</formula>
    </cfRule>
  </conditionalFormatting>
  <conditionalFormatting sqref="X4:X9 X11">
    <cfRule type="expression" dxfId="619" priority="78">
      <formula>ABS(X$7-X$10)&gt;=1000</formula>
    </cfRule>
  </conditionalFormatting>
  <conditionalFormatting sqref="Y4:Y9 Y11">
    <cfRule type="expression" dxfId="618" priority="77">
      <formula>ABS(Y$7-Y$10)&gt;=1000</formula>
    </cfRule>
  </conditionalFormatting>
  <conditionalFormatting sqref="Z4:Z11">
    <cfRule type="expression" dxfId="617" priority="76">
      <formula>ABS(Z$7-Z$10)&gt;=1000</formula>
    </cfRule>
  </conditionalFormatting>
  <conditionalFormatting sqref="AA4:AA11">
    <cfRule type="expression" dxfId="616" priority="75">
      <formula>ABS(AA$7-AA$10)&gt;=1000</formula>
    </cfRule>
  </conditionalFormatting>
  <conditionalFormatting sqref="AB4:AB11">
    <cfRule type="expression" dxfId="615" priority="74">
      <formula>ABS(AB$7-AB$10)&gt;=1000</formula>
    </cfRule>
  </conditionalFormatting>
  <conditionalFormatting sqref="AC4 AC6:AC11">
    <cfRule type="expression" dxfId="614" priority="73">
      <formula>ABS(AC$7-AC$10)&gt;=1000</formula>
    </cfRule>
  </conditionalFormatting>
  <conditionalFormatting sqref="AD4:AD11">
    <cfRule type="expression" dxfId="613" priority="72">
      <formula>ABS(AD$7-AD$10)&gt;=1000</formula>
    </cfRule>
  </conditionalFormatting>
  <conditionalFormatting sqref="AE4 AE6:AE11">
    <cfRule type="expression" dxfId="612" priority="71">
      <formula>ABS(AE$7-AE$10)&gt;=1000</formula>
    </cfRule>
  </conditionalFormatting>
  <conditionalFormatting sqref="D13:D20">
    <cfRule type="expression" dxfId="611" priority="70">
      <formula>ABS(D$16-D$19)&gt;=1000</formula>
    </cfRule>
  </conditionalFormatting>
  <conditionalFormatting sqref="E13:E20">
    <cfRule type="expression" dxfId="610" priority="69">
      <formula>ABS(E$16-E$19)&gt;=1000</formula>
    </cfRule>
  </conditionalFormatting>
  <conditionalFormatting sqref="F13 F15:F20">
    <cfRule type="expression" dxfId="609" priority="68">
      <formula>ABS(F$16-F$19)&gt;=1000</formula>
    </cfRule>
  </conditionalFormatting>
  <conditionalFormatting sqref="G13:G20">
    <cfRule type="expression" dxfId="608" priority="67">
      <formula>ABS(G$16-G$19)&gt;=1000</formula>
    </cfRule>
  </conditionalFormatting>
  <conditionalFormatting sqref="H13:H20">
    <cfRule type="expression" dxfId="607" priority="66">
      <formula>ABS(H$16-H$19)&gt;=1000</formula>
    </cfRule>
  </conditionalFormatting>
  <conditionalFormatting sqref="I13:I20">
    <cfRule type="expression" dxfId="606" priority="65">
      <formula>ABS(I$16-I$19)&gt;=1000</formula>
    </cfRule>
  </conditionalFormatting>
  <conditionalFormatting sqref="J13:J20">
    <cfRule type="expression" dxfId="605" priority="64">
      <formula>ABS(J$16-J$19)&gt;=1000</formula>
    </cfRule>
  </conditionalFormatting>
  <conditionalFormatting sqref="L13:L20">
    <cfRule type="expression" dxfId="604" priority="63">
      <formula>ABS(L$16-L$19)&gt;=1000</formula>
    </cfRule>
  </conditionalFormatting>
  <conditionalFormatting sqref="M13 M15 M17:M18 M20">
    <cfRule type="expression" dxfId="603" priority="62">
      <formula>ABS(M$16-M$19)&gt;=1000</formula>
    </cfRule>
  </conditionalFormatting>
  <conditionalFormatting sqref="N13:N20">
    <cfRule type="expression" dxfId="602" priority="61">
      <formula>ABS(N$16-N$19)&gt;=1000</formula>
    </cfRule>
  </conditionalFormatting>
  <conditionalFormatting sqref="O13:O20">
    <cfRule type="expression" dxfId="601" priority="60">
      <formula>ABS(O$16-O$19)&gt;=1000</formula>
    </cfRule>
  </conditionalFormatting>
  <conditionalFormatting sqref="P13:P20">
    <cfRule type="expression" dxfId="600" priority="59">
      <formula>ABS(P$16-P$19)&gt;=1000</formula>
    </cfRule>
  </conditionalFormatting>
  <conditionalFormatting sqref="Q13 Q15:Q20">
    <cfRule type="expression" dxfId="599" priority="58">
      <formula>ABS(Q$16-Q$19)&gt;=1000</formula>
    </cfRule>
  </conditionalFormatting>
  <conditionalFormatting sqref="R13:R20">
    <cfRule type="expression" dxfId="598" priority="57">
      <formula>ABS(R$16-R$19)&gt;=1000</formula>
    </cfRule>
  </conditionalFormatting>
  <conditionalFormatting sqref="S13:S20">
    <cfRule type="expression" dxfId="597" priority="56">
      <formula>ABS(S$16-S$19)&gt;=1000</formula>
    </cfRule>
  </conditionalFormatting>
  <conditionalFormatting sqref="T13:T20">
    <cfRule type="expression" dxfId="596" priority="55">
      <formula>ABS(T$16-T$19)&gt;=1000</formula>
    </cfRule>
  </conditionalFormatting>
  <conditionalFormatting sqref="U13:U20">
    <cfRule type="expression" dxfId="595" priority="54">
      <formula>ABS(U$16-U$19)&gt;=1000</formula>
    </cfRule>
  </conditionalFormatting>
  <conditionalFormatting sqref="V13:V20">
    <cfRule type="expression" dxfId="594" priority="53">
      <formula>ABS(V$16-V$19)&gt;=1000</formula>
    </cfRule>
  </conditionalFormatting>
  <conditionalFormatting sqref="W13 W20 W15:W18">
    <cfRule type="expression" dxfId="593" priority="52">
      <formula>ABS(W$16-W$19)&gt;=1000</formula>
    </cfRule>
  </conditionalFormatting>
  <conditionalFormatting sqref="X13 X15:X20 Y19">
    <cfRule type="expression" dxfId="592" priority="51">
      <formula>ABS(X$16-X$19)&gt;=1000</formula>
    </cfRule>
  </conditionalFormatting>
  <conditionalFormatting sqref="Y13 Y15:Y18 Y20">
    <cfRule type="expression" dxfId="591" priority="50">
      <formula>ABS(Y$16-Y$19)&gt;=1000</formula>
    </cfRule>
  </conditionalFormatting>
  <conditionalFormatting sqref="Z13:Z20">
    <cfRule type="expression" dxfId="590" priority="49">
      <formula>ABS(Z$16-Z$19)&gt;=1000</formula>
    </cfRule>
  </conditionalFormatting>
  <conditionalFormatting sqref="AA13:AA20">
    <cfRule type="expression" dxfId="589" priority="48">
      <formula>ABS(AA$16-AA$19)&gt;=1000</formula>
    </cfRule>
  </conditionalFormatting>
  <conditionalFormatting sqref="AB13 AB15:AB20">
    <cfRule type="expression" dxfId="588" priority="47">
      <formula>ABS(AB$16-AB$19)&gt;=1000</formula>
    </cfRule>
  </conditionalFormatting>
  <conditionalFormatting sqref="AC13 AC15:AC20">
    <cfRule type="expression" dxfId="587" priority="46">
      <formula>ABS(AC$16-AC$19)&gt;=1000</formula>
    </cfRule>
  </conditionalFormatting>
  <conditionalFormatting sqref="AD13:AD20">
    <cfRule type="expression" dxfId="586" priority="45">
      <formula>ABS(AD$16-AD$19)&gt;=1000</formula>
    </cfRule>
  </conditionalFormatting>
  <conditionalFormatting sqref="AE13:AE20">
    <cfRule type="expression" dxfId="585" priority="44">
      <formula>ABS(AE$16-AE$19)&gt;=1000</formula>
    </cfRule>
  </conditionalFormatting>
  <conditionalFormatting sqref="D22:D29">
    <cfRule type="expression" dxfId="584" priority="43">
      <formula>ABS(D$25-D$28)&gt;=1000</formula>
    </cfRule>
  </conditionalFormatting>
  <conditionalFormatting sqref="E22:E29">
    <cfRule type="expression" dxfId="583" priority="42">
      <formula>ABS(E$25-E$28)&gt;=1000</formula>
    </cfRule>
  </conditionalFormatting>
  <conditionalFormatting sqref="F22:F29">
    <cfRule type="expression" dxfId="582" priority="41">
      <formula>ABS(F$25-F$28)&gt;=1000</formula>
    </cfRule>
  </conditionalFormatting>
  <conditionalFormatting sqref="G22:G29">
    <cfRule type="expression" dxfId="581" priority="40">
      <formula>ABS(G$25-G$28)&gt;=1000</formula>
    </cfRule>
  </conditionalFormatting>
  <conditionalFormatting sqref="H22:H29">
    <cfRule type="expression" dxfId="580" priority="39">
      <formula>ABS(H$25-H$28)&gt;=1000</formula>
    </cfRule>
  </conditionalFormatting>
  <conditionalFormatting sqref="I22 I24:I29">
    <cfRule type="expression" dxfId="579" priority="38">
      <formula>ABS(I$25-I$28)&gt;=1000</formula>
    </cfRule>
  </conditionalFormatting>
  <conditionalFormatting sqref="J22:J29 K22">
    <cfRule type="expression" dxfId="578" priority="37">
      <formula>ABS(J$25-J$28)&gt;=1000</formula>
    </cfRule>
  </conditionalFormatting>
  <conditionalFormatting sqref="K23:K29 L25 L28">
    <cfRule type="expression" dxfId="577" priority="36">
      <formula>ABS(K$25-K$28)&gt;=1000</formula>
    </cfRule>
  </conditionalFormatting>
  <conditionalFormatting sqref="L22 L26:L27 L29 L24">
    <cfRule type="expression" dxfId="576" priority="35">
      <formula>ABS(L$25-L$28)&gt;=1000</formula>
    </cfRule>
  </conditionalFormatting>
  <conditionalFormatting sqref="M22:M29">
    <cfRule type="expression" dxfId="575" priority="34">
      <formula>ABS(M$25-M$28)&gt;=1000</formula>
    </cfRule>
  </conditionalFormatting>
  <conditionalFormatting sqref="N22:N29">
    <cfRule type="expression" dxfId="574" priority="33">
      <formula>ABS(N$25-N$28)&gt;=1000</formula>
    </cfRule>
  </conditionalFormatting>
  <conditionalFormatting sqref="O22:O29">
    <cfRule type="expression" dxfId="573" priority="32">
      <formula>ABS(O$25-O$28)&gt;=1000</formula>
    </cfRule>
  </conditionalFormatting>
  <conditionalFormatting sqref="P22:P29">
    <cfRule type="expression" dxfId="572" priority="31">
      <formula>ABS(P$25-P$28)&gt;=1000</formula>
    </cfRule>
  </conditionalFormatting>
  <conditionalFormatting sqref="Q22:Q29">
    <cfRule type="expression" dxfId="571" priority="30">
      <formula>ABS(Q$25-Q$28)&gt;=1000</formula>
    </cfRule>
  </conditionalFormatting>
  <conditionalFormatting sqref="R22:R29">
    <cfRule type="expression" dxfId="570" priority="29">
      <formula>ABS(R$25-R$28)&gt;=1000</formula>
    </cfRule>
  </conditionalFormatting>
  <conditionalFormatting sqref="S22:S29">
    <cfRule type="expression" dxfId="569" priority="28">
      <formula>ABS(S$25-S$28)&gt;=1000</formula>
    </cfRule>
  </conditionalFormatting>
  <conditionalFormatting sqref="T22:T29">
    <cfRule type="expression" dxfId="568" priority="27">
      <formula>ABS(T$25-T$28)&gt;=1000</formula>
    </cfRule>
  </conditionalFormatting>
  <conditionalFormatting sqref="U22:U29">
    <cfRule type="expression" dxfId="567" priority="26">
      <formula>ABS(U$25-U$28)&gt;=1000</formula>
    </cfRule>
  </conditionalFormatting>
  <conditionalFormatting sqref="V22:V29">
    <cfRule type="expression" dxfId="566" priority="25">
      <formula>ABS(V$25-V$28)&gt;=1000</formula>
    </cfRule>
  </conditionalFormatting>
  <conditionalFormatting sqref="W22:W29">
    <cfRule type="expression" dxfId="565" priority="24">
      <formula>ABS(W$25-W$28)&gt;=1000</formula>
    </cfRule>
  </conditionalFormatting>
  <conditionalFormatting sqref="X22:X29">
    <cfRule type="expression" dxfId="564" priority="23">
      <formula>ABS(X$25-X$28)&gt;=1000</formula>
    </cfRule>
  </conditionalFormatting>
  <conditionalFormatting sqref="Y22:Y29">
    <cfRule type="expression" dxfId="563" priority="22">
      <formula>ABS(Y$25-Y$28)&gt;=1000</formula>
    </cfRule>
  </conditionalFormatting>
  <conditionalFormatting sqref="I23">
    <cfRule type="expression" dxfId="562" priority="21">
      <formula>ABS(I$25-I$28)&gt;=1000</formula>
    </cfRule>
  </conditionalFormatting>
  <conditionalFormatting sqref="Q14">
    <cfRule type="expression" dxfId="561" priority="20">
      <formula>ABS(Q$16-Q$19)&gt;=1000</formula>
    </cfRule>
  </conditionalFormatting>
  <conditionalFormatting sqref="W14">
    <cfRule type="expression" dxfId="560" priority="19">
      <formula>ABS(W$16-W$19)&gt;=1000</formula>
    </cfRule>
  </conditionalFormatting>
  <conditionalFormatting sqref="Y14">
    <cfRule type="expression" dxfId="559" priority="18">
      <formula>ABS(Y$16-Y$19)&gt;=1000</formula>
    </cfRule>
  </conditionalFormatting>
  <conditionalFormatting sqref="X14">
    <cfRule type="expression" dxfId="558" priority="17">
      <formula>ABS(X$16-X$19)&gt;=1000</formula>
    </cfRule>
  </conditionalFormatting>
  <conditionalFormatting sqref="T10:Y10">
    <cfRule type="expression" dxfId="557" priority="16">
      <formula>ABS(T$7-T$10)&gt;=1000</formula>
    </cfRule>
  </conditionalFormatting>
  <conditionalFormatting sqref="W19">
    <cfRule type="expression" dxfId="556" priority="15">
      <formula>ABS(W$16-W$19)&gt;=1000</formula>
    </cfRule>
  </conditionalFormatting>
  <conditionalFormatting sqref="AC5">
    <cfRule type="expression" dxfId="555" priority="14">
      <formula>ABS(AC$7-AC$10)&gt;=1000</formula>
    </cfRule>
  </conditionalFormatting>
  <conditionalFormatting sqref="M14">
    <cfRule type="expression" dxfId="554" priority="13">
      <formula>ABS(M$16-M$19)&gt;=1000</formula>
    </cfRule>
  </conditionalFormatting>
  <conditionalFormatting sqref="M16">
    <cfRule type="expression" dxfId="553" priority="12">
      <formula>ABS(M$16-M$19)&gt;=1000</formula>
    </cfRule>
  </conditionalFormatting>
  <conditionalFormatting sqref="M19">
    <cfRule type="expression" dxfId="552" priority="11">
      <formula>ABS(M$16-M$19)&gt;=1000</formula>
    </cfRule>
  </conditionalFormatting>
  <conditionalFormatting sqref="K13:K20">
    <cfRule type="expression" dxfId="551" priority="10">
      <formula>ABS(K$16-K$19)&gt;=1000</formula>
    </cfRule>
  </conditionalFormatting>
  <conditionalFormatting sqref="E5">
    <cfRule type="expression" dxfId="550" priority="9">
      <formula>ABS(E$7-E$10)&gt;=1000</formula>
    </cfRule>
  </conditionalFormatting>
  <conditionalFormatting sqref="AB14:AC14">
    <cfRule type="expression" dxfId="549" priority="8">
      <formula>ABS(AB$16-AB$19)&gt;=1000</formula>
    </cfRule>
  </conditionalFormatting>
  <conditionalFormatting sqref="M5">
    <cfRule type="expression" dxfId="548" priority="7">
      <formula>ABS(M$7-M$10)&gt;=1000</formula>
    </cfRule>
  </conditionalFormatting>
  <conditionalFormatting sqref="N5">
    <cfRule type="expression" dxfId="547" priority="6">
      <formula>ABS(N$7-N$10)&gt;=1000</formula>
    </cfRule>
  </conditionalFormatting>
  <conditionalFormatting sqref="O5">
    <cfRule type="expression" dxfId="546" priority="5">
      <formula>ABS(O$7-O$10)&gt;=1000</formula>
    </cfRule>
  </conditionalFormatting>
  <conditionalFormatting sqref="P5">
    <cfRule type="expression" dxfId="545" priority="4">
      <formula>ABS(P$7-P$10)&gt;=1000</formula>
    </cfRule>
  </conditionalFormatting>
  <conditionalFormatting sqref="L23">
    <cfRule type="expression" dxfId="544" priority="3">
      <formula>ABS(L$25-L$28)&gt;=1000</formula>
    </cfRule>
  </conditionalFormatting>
  <conditionalFormatting sqref="F14">
    <cfRule type="expression" dxfId="543" priority="2">
      <formula>ABS(F$16-F$19)&gt;=1000</formula>
    </cfRule>
  </conditionalFormatting>
  <conditionalFormatting sqref="AE5">
    <cfRule type="expression" dxfId="542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2144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30">
    <pageSetUpPr fitToPage="1"/>
  </sheetPr>
  <dimension ref="A1:CU223"/>
  <sheetViews>
    <sheetView view="pageBreakPreview" zoomScale="80" zoomScaleNormal="100" zoomScaleSheetLayoutView="80" workbookViewId="0">
      <selection activeCell="D4" sqref="D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45924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54" t="s" ph="1">
        <v>177</v>
      </c>
      <c r="D6" s="71">
        <v>4884</v>
      </c>
      <c r="E6" s="71">
        <v>8753</v>
      </c>
      <c r="F6" s="71">
        <v>3564</v>
      </c>
      <c r="G6" s="71">
        <v>6676</v>
      </c>
      <c r="H6" s="71">
        <v>8620</v>
      </c>
      <c r="I6" s="71">
        <v>18.010000000000002</v>
      </c>
      <c r="J6" s="71">
        <v>7.01</v>
      </c>
      <c r="K6" s="71">
        <v>43.19</v>
      </c>
      <c r="L6" s="71">
        <v>27.21</v>
      </c>
      <c r="M6" s="71">
        <v>2010</v>
      </c>
      <c r="N6" s="71">
        <v>4768</v>
      </c>
      <c r="O6" s="71">
        <v>4678</v>
      </c>
      <c r="P6" s="71">
        <v>4329</v>
      </c>
      <c r="Q6" s="71">
        <v>6200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5493</v>
      </c>
      <c r="X6" s="71">
        <v>5967</v>
      </c>
      <c r="Y6" s="71">
        <v>4926</v>
      </c>
      <c r="Z6" s="71">
        <v>2032</v>
      </c>
      <c r="AA6" s="71">
        <v>777</v>
      </c>
      <c r="AB6" s="71">
        <v>2261</v>
      </c>
      <c r="AC6" s="71">
        <v>48</v>
      </c>
      <c r="AD6" s="71">
        <v>4350</v>
      </c>
      <c r="AE6" s="71">
        <v>3225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152978.74416396001</v>
      </c>
      <c r="E7" s="73" ph="1">
        <f>E6*51.53*LOOKUP(E8,密度!$A$2:$A$50,密度!$B$2:$B$50)</f>
        <v>350459.70393000002</v>
      </c>
      <c r="F7" s="73" ph="1">
        <f>F6*33.183*LOOKUP(F8,密度!$A$2:$A$50,密度!$C$2:$C$50)</f>
        <v>130965.78836879999</v>
      </c>
      <c r="G7" s="73" ph="1">
        <f xml:space="preserve"> (G6+2)*51.53*LOOKUP(G8,密度!$A$2:$A$50,密度!$B$2:$B$50)</f>
        <v>267688.87878600002</v>
      </c>
      <c r="H7" s="73" ph="1">
        <f>(H6)*51.53*LOOKUP(H8,密度!$A$2:$A$50,密度!$B$2:$B$50)</f>
        <v>345534.31194000004</v>
      </c>
      <c r="I7" s="73" ph="1">
        <f>I6*290.8*1.0267</f>
        <v>5377.144123600001</v>
      </c>
      <c r="J7" s="73" ph="1">
        <f>J6*290.8*0.7892</f>
        <v>1608.7905136000002</v>
      </c>
      <c r="K7" s="73" ph="1">
        <f>K6*290.8*1.1126</f>
        <v>13973.868815200001</v>
      </c>
      <c r="L7" s="73" ph="1">
        <f>L6*290.8*0.777</f>
        <v>6148.1430360000004</v>
      </c>
      <c r="M7" s="73" ph="1">
        <f>M6*33.183*LOOKUP(M8,密度!$A$2:$A$50,密度!$D$2:$D$50)</f>
        <v>68418.63401400001</v>
      </c>
      <c r="N7" s="73" ph="1">
        <f>N6*33.183*LOOKUP(N8,密度!$A$2:$A$50,密度!$E$2:$E$50)</f>
        <v>123377.2610112</v>
      </c>
      <c r="O7" s="73" ph="1">
        <f>O6*20.428*LOOKUP(O8,密度!$A$2:$A$50,密度!$C$2:$C$50)</f>
        <v>105605.76953840001</v>
      </c>
      <c r="P7" s="73" ph="1">
        <f>P6*51.53*LOOKUP(P8,密度!$A$2:$A$50,密度!$B$2:$B$50)</f>
        <v>173907.99925199998</v>
      </c>
      <c r="Q7" s="73" ph="1">
        <f>Q6*1.5*1.5*3.1416*LOOKUP(W8,密度!$A$2:$A$50,密度!$L$2:$L$50)</f>
        <v>41020.499520000005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36342.839332800002</v>
      </c>
      <c r="X7" s="73" ph="1">
        <f>X6*1.5*1.5*3.1416*LOOKUP(X8,密度!$A$2:$A$50,密度!$L$2:$L$50)</f>
        <v>39816.349372799996</v>
      </c>
      <c r="Y7" s="73" ph="1">
        <f>Y6*1.5*1.5*3.1416*LOOKUP(Y8,密度!$A$2:$A$50,密度!$L$2:$L$50)</f>
        <v>32626.268413200003</v>
      </c>
      <c r="Z7" s="73" ph="1">
        <f>Z6*33.183*LOOKUP(Z8,密度!$A$2:$A$50,密度!$L$2:$L$50)</f>
        <v>63314.756783999997</v>
      </c>
      <c r="AA7" s="73" ph="1">
        <f>AA6*33.183*LOOKUP(AA8,密度!$A$2:$A$50,密度!$D$2:$D$50)</f>
        <v>26471.602199699999</v>
      </c>
      <c r="AB7" s="73" ph="1">
        <f>AB6*20.428*LOOKUP(AB8,密度!$A$2:$A$50,密度!$D$2:$D$50)</f>
        <v>47550.245386000002</v>
      </c>
      <c r="AC7" s="73" ph="1">
        <f>AC6*51.53*LOOKUP(AC8,密度!$A$2:$A$50,密度!$Q$2:$Q$50)</f>
        <v>2343.5101968000004</v>
      </c>
      <c r="AD7" s="73" ph="1">
        <f>AD6*20.428*LOOKUP(AD8,密度!$A$2:$A$50,密度!$V$2:$V$50)</f>
        <v>85378.417440000005</v>
      </c>
      <c r="AE7" s="73" ph="1">
        <f>AE6*20.428</f>
        <v>65880.3</v>
      </c>
    </row>
    <row r="8" spans="1:99" ph="1">
      <c r="B8" s="182" ph="1"/>
      <c r="C8" s="68" t="s" ph="1">
        <v>179</v>
      </c>
      <c r="D8" s="74">
        <v>29</v>
      </c>
      <c r="E8" s="74">
        <v>28</v>
      </c>
      <c r="F8" s="74">
        <v>27</v>
      </c>
      <c r="G8" s="74">
        <v>27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28</v>
      </c>
      <c r="O8" s="74">
        <v>30</v>
      </c>
      <c r="P8" s="74">
        <v>25</v>
      </c>
      <c r="Q8" s="74">
        <v>25</v>
      </c>
      <c r="R8" s="74">
        <v>31</v>
      </c>
      <c r="S8" s="74">
        <v>20</v>
      </c>
      <c r="T8" s="74">
        <v>22</v>
      </c>
      <c r="U8" s="74">
        <v>25</v>
      </c>
      <c r="V8" s="74">
        <v>28</v>
      </c>
      <c r="W8" s="74">
        <v>26</v>
      </c>
      <c r="X8" s="74">
        <v>18</v>
      </c>
      <c r="Y8" s="74">
        <v>25</v>
      </c>
      <c r="Z8" s="74">
        <v>23</v>
      </c>
      <c r="AA8" s="74">
        <v>25</v>
      </c>
      <c r="AB8" s="74">
        <v>22</v>
      </c>
      <c r="AC8" s="74">
        <v>24</v>
      </c>
      <c r="AD8" s="74">
        <v>25</v>
      </c>
      <c r="AE8" s="74">
        <v>32</v>
      </c>
    </row>
    <row r="9" spans="1:99" ht="26.4" ph="1">
      <c r="B9" s="182" ph="1">
        <v>0.66666666666666663</v>
      </c>
      <c r="C9" s="154" t="s" ph="1">
        <v>180</v>
      </c>
      <c r="D9" s="71">
        <v>4886</v>
      </c>
      <c r="E9" s="71">
        <v>8752</v>
      </c>
      <c r="F9" s="71">
        <v>4125</v>
      </c>
      <c r="G9" s="71">
        <v>6680</v>
      </c>
      <c r="H9" s="71">
        <v>8622</v>
      </c>
      <c r="I9" s="71">
        <v>17.989999999999998</v>
      </c>
      <c r="J9" s="71">
        <v>7.02</v>
      </c>
      <c r="K9" s="71">
        <v>16.18</v>
      </c>
      <c r="L9" s="71">
        <v>11.19</v>
      </c>
      <c r="M9" s="71">
        <v>2011</v>
      </c>
      <c r="N9" s="71">
        <v>4771</v>
      </c>
      <c r="O9" s="71">
        <v>3635</v>
      </c>
      <c r="P9" s="71">
        <v>4444</v>
      </c>
      <c r="Q9" s="71">
        <v>7175</v>
      </c>
      <c r="R9" s="71">
        <v>7105</v>
      </c>
      <c r="S9" s="71">
        <v>2182</v>
      </c>
      <c r="T9" s="71">
        <v>0</v>
      </c>
      <c r="U9" s="71">
        <v>0</v>
      </c>
      <c r="V9" s="71">
        <v>0</v>
      </c>
      <c r="W9" s="71">
        <v>1510</v>
      </c>
      <c r="X9" s="71">
        <v>5971</v>
      </c>
      <c r="Y9" s="71">
        <v>4932</v>
      </c>
      <c r="Z9" s="71">
        <v>2852</v>
      </c>
      <c r="AA9" s="71">
        <v>633</v>
      </c>
      <c r="AB9" s="71">
        <v>1934</v>
      </c>
      <c r="AC9" s="71">
        <v>317</v>
      </c>
      <c r="AD9" s="71">
        <v>4350</v>
      </c>
      <c r="AE9" s="71">
        <v>3105</v>
      </c>
    </row>
    <row r="10" spans="1:99" s="72" customFormat="1" ht="22.2" ph="1">
      <c r="B10" s="182" ph="1"/>
      <c r="C10" s="154" t="s" ph="1">
        <v>178</v>
      </c>
      <c r="D10" s="73" ph="1">
        <f>D9*33.183*LOOKUP(D11,密度!$A$2:$A$50,密度!$Q$2:$Q$50)</f>
        <v>153041.38902234001</v>
      </c>
      <c r="E10" s="73" ph="1">
        <f>E9*51.53*LOOKUP(E11,密度!$A$2:$A$50,密度!$B$2:$B$50)</f>
        <v>350825.55662400002</v>
      </c>
      <c r="F10" s="73" ph="1">
        <f>F9*33.183*LOOKUP(F11,密度!$A$2:$A$50,密度!$C$2:$C$50)</f>
        <v>151471.26967500002</v>
      </c>
      <c r="G10" s="73" ph="1">
        <f xml:space="preserve"> (G9+2)*51.53*LOOKUP(G11,密度!$A$2:$A$50,密度!$B$2:$B$50)</f>
        <v>266953.97853800002</v>
      </c>
      <c r="H10" s="73" ph="1">
        <f>(H9)*51.53*LOOKUP(H11,密度!$A$2:$A$50,密度!$B$2:$B$50)</f>
        <v>345614.48231400002</v>
      </c>
      <c r="I10" s="73" ph="1">
        <f>I9*290.8*1.0267</f>
        <v>5371.1728364000001</v>
      </c>
      <c r="J10" s="73" ph="1">
        <f>J9*290.8*0.7892</f>
        <v>1611.0855071999999</v>
      </c>
      <c r="K10" s="73" ph="1">
        <f>K9*290.8*1.1126</f>
        <v>5234.9432144000002</v>
      </c>
      <c r="L10" s="73" ph="1">
        <f>L9*290.8*0.777</f>
        <v>2528.398404</v>
      </c>
      <c r="M10" s="73" ph="1">
        <f>M9*33.183*LOOKUP(M11,密度!$A$2:$A$50,密度!$D$2:$D$50)</f>
        <v>68199.095286000011</v>
      </c>
      <c r="N10" s="73" ph="1">
        <f>N9*33.183*LOOKUP(N11,密度!$A$2:$A$50,密度!$E$2:$E$50)</f>
        <v>123106.59391679999</v>
      </c>
      <c r="O10" s="73" ph="1">
        <f>O9*20.428*LOOKUP(O11,密度!$A$2:$A$50,密度!$C$2:$C$50)</f>
        <v>81829.869560000006</v>
      </c>
      <c r="P10" s="73" ph="1">
        <f>P9*51.53*LOOKUP(P11,密度!$A$2:$A$50,密度!$B$2:$B$50)</f>
        <v>177749.272184</v>
      </c>
      <c r="Q10" s="73" ph="1">
        <f>Q9*1.5*1.5*3.1416*LOOKUP(W11,密度!$A$2:$A$50,密度!$L$2:$L$50)</f>
        <v>47420.586675000006</v>
      </c>
      <c r="R10" s="73" ph="1">
        <f>R9*1.5*1.5*3.1416*LOOKUP(R11,密度!$A$2:$A$50,密度!$L$2:$L$50)</f>
        <v>46706.834790000001</v>
      </c>
      <c r="S10" s="73" ph="1">
        <f>S9*1.5*1.5*3.1416*LOOKUP(S11,密度!$A$2:$A$50,密度!$L$2:$L$50)</f>
        <v>14513.687773199999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9979.8029100000003</v>
      </c>
      <c r="X10" s="73" ph="1">
        <f>X9*1.5*1.5*3.1416*LOOKUP(X11,密度!$A$2:$A$50,密度!$L$2:$L$50)</f>
        <v>39758.627185199999</v>
      </c>
      <c r="Y10" s="73" ph="1">
        <f>Y9*1.5*1.5*3.1416*LOOKUP(Y11,密度!$A$2:$A$50,密度!$L$2:$L$50)</f>
        <v>32596.283412000004</v>
      </c>
      <c r="Z10" s="73" ph="1">
        <f>Z9*33.183*LOOKUP(Z11,密度!$A$2:$A$50,密度!$L$2:$L$50)</f>
        <v>88581.089376000004</v>
      </c>
      <c r="AA10" s="73" ph="1">
        <f>AA9*33.183*LOOKUP(AA11,密度!$A$2:$A$50,密度!$D$2:$D$50)</f>
        <v>21448.041102899999</v>
      </c>
      <c r="AB10" s="73" ph="1">
        <f>AB9*20.428*LOOKUP(AB11,密度!$A$2:$A$50,密度!$D$2:$D$50)</f>
        <v>40598.165955200006</v>
      </c>
      <c r="AC10" s="73" ph="1">
        <f>AC9*51.53*LOOKUP(AC11,密度!$A$2:$A$50,密度!$Q$2:$Q$50)</f>
        <v>15419.1059893</v>
      </c>
      <c r="AD10" s="73" ph="1">
        <f>AD9*20.428*LOOKUP(AD11,密度!$A$2:$A$50,密度!$V$2:$V$50)</f>
        <v>85094.059680000006</v>
      </c>
      <c r="AE10" s="73" ph="1">
        <f>AE9*20.428</f>
        <v>63428.94</v>
      </c>
    </row>
    <row r="11" spans="1:99" ph="1">
      <c r="A11" s="64" t="s" ph="1">
        <v>162</v>
      </c>
      <c r="B11" s="182" ph="1"/>
      <c r="C11" s="154" t="s" ph="1">
        <v>179</v>
      </c>
      <c r="D11" s="74">
        <v>29</v>
      </c>
      <c r="E11" s="74">
        <v>27</v>
      </c>
      <c r="F11" s="74">
        <v>28</v>
      </c>
      <c r="G11" s="74">
        <v>30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30</v>
      </c>
      <c r="O11" s="74">
        <v>33</v>
      </c>
      <c r="P11" s="74">
        <v>29</v>
      </c>
      <c r="Q11" s="74">
        <v>27</v>
      </c>
      <c r="R11" s="74">
        <v>32</v>
      </c>
      <c r="S11" s="74">
        <v>21</v>
      </c>
      <c r="T11" s="74">
        <v>28</v>
      </c>
      <c r="U11" s="74">
        <v>29</v>
      </c>
      <c r="V11" s="74">
        <v>28</v>
      </c>
      <c r="W11" s="74">
        <v>27</v>
      </c>
      <c r="X11" s="74">
        <v>20</v>
      </c>
      <c r="Y11" s="74">
        <v>27</v>
      </c>
      <c r="Z11" s="74">
        <v>26</v>
      </c>
      <c r="AA11" s="74">
        <v>31</v>
      </c>
      <c r="AB11" s="74">
        <v>24</v>
      </c>
      <c r="AC11" s="74">
        <v>29</v>
      </c>
      <c r="AD11" s="74">
        <v>28</v>
      </c>
      <c r="AE11" s="74">
        <v>34</v>
      </c>
    </row>
    <row r="12" spans="1:99" ht="9.9" customHeight="1" ph="1"/>
    <row r="13" spans="1:99" s="72" customFormat="1" ht="29.25" customHeight="1" ph="1">
      <c r="B13" s="190" t="s" ph="1">
        <v>37</v>
      </c>
      <c r="C13" s="15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150" t="s" ph="1">
        <v>643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54" t="s" ph="1">
        <v>177</v>
      </c>
      <c r="D15" s="78">
        <v>4806</v>
      </c>
      <c r="E15" s="78">
        <v>70</v>
      </c>
      <c r="F15" s="78">
        <v>3443</v>
      </c>
      <c r="G15" s="78">
        <v>2949</v>
      </c>
      <c r="H15" s="78">
        <v>1964</v>
      </c>
      <c r="I15" s="78">
        <v>2668</v>
      </c>
      <c r="J15" s="78">
        <v>168</v>
      </c>
      <c r="K15" s="78">
        <v>4079</v>
      </c>
      <c r="L15" s="78">
        <v>3430</v>
      </c>
      <c r="M15" s="78">
        <v>5233</v>
      </c>
      <c r="N15" s="78">
        <v>1127</v>
      </c>
      <c r="O15" s="78">
        <v>6465</v>
      </c>
      <c r="P15" s="78">
        <v>6932</v>
      </c>
      <c r="Q15" s="78">
        <v>6965</v>
      </c>
      <c r="R15" s="78">
        <v>1911</v>
      </c>
      <c r="S15" s="78">
        <v>6214</v>
      </c>
      <c r="T15" s="78">
        <v>3310</v>
      </c>
      <c r="U15" s="78">
        <v>5868</v>
      </c>
      <c r="V15" s="78">
        <v>850</v>
      </c>
      <c r="W15" s="71">
        <v>4617</v>
      </c>
      <c r="X15" s="78">
        <v>1111</v>
      </c>
      <c r="Y15" s="106">
        <v>-9906</v>
      </c>
      <c r="Z15" s="78">
        <v>0</v>
      </c>
      <c r="AA15" s="78">
        <v>7</v>
      </c>
      <c r="AB15" s="78" ph="1">
        <v>1096</v>
      </c>
      <c r="AC15" s="78" ph="1">
        <v>2152</v>
      </c>
      <c r="AD15" s="78">
        <v>84.5</v>
      </c>
      <c r="AE15" s="78">
        <v>41.37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54" t="s" ph="1">
        <v>178</v>
      </c>
      <c r="D16" s="73" ph="1">
        <f>D15*7.0686*LOOKUP(D17,密度!$A$2:$A$50,密度!$L$2:$L$50)</f>
        <v>31695.5882628</v>
      </c>
      <c r="E16" s="73" ph="1">
        <f>E15*7.0686*LOOKUP(E17,密度!$A$2:$A$50,密度!$L$2:$L$50)</f>
        <v>461.65026600000004</v>
      </c>
      <c r="F16" s="73" ph="1">
        <f>F15*9.0746*LOOKUP(F17,密度!$A$2:$A$50,密度!$L$2:$L$50)</f>
        <v>29212.997693000001</v>
      </c>
      <c r="G16" s="73" ph="1">
        <f>G15*9.0746*LOOKUP(G17,密度!$A$2:$A$50,密度!$B$2:$B$50)</f>
        <v>20862.872013839999</v>
      </c>
      <c r="H16" s="73" ph="1">
        <f>H15*9.0746*LOOKUP(H17,密度!$A$2:$A$50,密度!$L$2:$L$50)</f>
        <v>16717.518507199999</v>
      </c>
      <c r="I16" s="73" ph="1">
        <f>I15*9.0746*LOOKUP(I17,密度!$A$2:$A$50,密度!$U$2:$U$50)</f>
        <v>24840.519652800001</v>
      </c>
      <c r="J16" s="73" ph="1">
        <f>J15*9.0746*LOOKUP(J17,密度!$A$2:$A$50,密度!$L$2:$L$50)</f>
        <v>1425.4381680000001</v>
      </c>
      <c r="K16" s="73" ph="1">
        <f>K15*9.0746*LOOKUP(K17,密度!$A$2:$A$50,密度!$C$2:$C$50)</f>
        <v>40990.735911160002</v>
      </c>
      <c r="L16" s="73" ph="1">
        <f>L15*9.0746*LOOKUP(L17,密度!$A$2:$A$50,密度!$E$2:$E$50)</f>
        <v>24309.310718000001</v>
      </c>
      <c r="M16" s="73" ph="1">
        <f>M15*9.0746*LOOKUP(M17,密度!$A$2:$A$50,密度!$M$2:$M$50)</f>
        <v>41461.233049580005</v>
      </c>
      <c r="N16" s="73" ph="1">
        <f>N15*9.0746*LOOKUP(N17,密度!$A$2:$A$50,密度!$M$2:$M$50)</f>
        <v>8969.1440734000007</v>
      </c>
      <c r="O16" s="73" ph="1">
        <f>O15*9.0746*LOOKUP(O17,密度!$A$2:$A$50,密度!$G$2:$G$50)</f>
        <v>56203.262862000003</v>
      </c>
      <c r="P16" s="73" ph="1">
        <f ca="1">P15*9.0746*LOOKUP(P17,密度!$A$2:$A$51,密度!$Q$2:$Q$50)</f>
        <v>59421.441255664002</v>
      </c>
      <c r="Q16" s="73" ph="1">
        <f>Q15*9.0746*LOOKUP(Q17,密度!$A$2:$A$50,密度!$Q$2:$Q$50)</f>
        <v>59660.707694770004</v>
      </c>
      <c r="R16" s="73" ph="1">
        <f>MAX(R15*9.0746*LOOKUP(R17,密度!$A$2:$A$50,密度!$B$2:$B$50),0)</f>
        <v>13474.392586200001</v>
      </c>
      <c r="S16" s="73" ph="1">
        <f>S15*9.0746*LOOKUP(S17,密度!$A$2:$A$50,密度!$Q$2:$Q$50)</f>
        <v>53227.801524092007</v>
      </c>
      <c r="T16" s="73" ph="1">
        <f>T15*9.0746*LOOKUP(T17,密度!$A$2:$A$50,密度!$O$2:$O$50)</f>
        <v>27814.193476</v>
      </c>
      <c r="U16" s="73" ph="1">
        <f>U15*9.0746*LOOKUP(U17,密度!$A$2:$A$50,密度!$H$2:$H$50)</f>
        <v>48510.524800800005</v>
      </c>
      <c r="V16" s="73" ph="1">
        <f>MAX(5600*LOOKUP(V17,密度!$A$2:$A$50,密度!$Q$2:$Q$50)+V15*9.0476*LOOKUP(V17,密度!$A$2:$A$50,密度!$Q$2:$Q$50),0)</f>
        <v>12554.4343252</v>
      </c>
      <c r="W16" s="73" ph="1">
        <f>MAX(5600*LOOKUP(W17,密度!$A$2:$A$50,密度!$Q$2:$Q$50)+W15*9.0476*LOOKUP(W17,密度!$A$2:$A$50,密度!$Q$2:$Q$50),0)</f>
        <v>44716.578030956</v>
      </c>
      <c r="X16" s="73" ph="1">
        <f>MAX(5600*LOOKUP(X17,密度!$A$2:$A$50,密度!$I$2:$I$50)+X15*9.0476*LOOKUP(X17,密度!$A$2:$A$50,密度!$I$2:$I$50),0)</f>
        <v>16260.741872039998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49.636247079999997</v>
      </c>
      <c r="AB16" s="73" ph="1">
        <f>AB15*9.0746*LOOKUP(AB17,密度!$A$2:$A$50,密度!$L$2:$L$50)</f>
        <v>9309.2328576</v>
      </c>
      <c r="AC16" s="73" ph="1">
        <f>AC15*9.0746*LOOKUP(AC17,密度!$A$2:$A$50,密度!$L$2:$L$50)</f>
        <v>18278.712691200002</v>
      </c>
      <c r="AD16" s="73" ph="1">
        <f>AD15*268.68*LOOKUP(AD17,密度!$A$2:$A$50,密度!B2:B50)+IF(AD15&lt;=0,0,1566*LOOKUP(AD17,密度!$A$2:$A$50,密度!B2:B50))</f>
        <v>18920.471015999996</v>
      </c>
      <c r="AE16" s="73" ph="1">
        <f>AE15*268.68*LOOKUP(AE17,密度!$A$2:$A$50,密度!B2:B50)+IF(AE15&lt;=0,0,1566*LOOKUP(AE17,密度!$A$2:$A$50,密度!B2:B50))</f>
        <v>9886.3349313600011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29</v>
      </c>
      <c r="E17" s="74">
        <v>29</v>
      </c>
      <c r="F17" s="74">
        <v>27</v>
      </c>
      <c r="G17" s="74">
        <v>25</v>
      </c>
      <c r="H17" s="74">
        <v>24</v>
      </c>
      <c r="I17" s="74">
        <v>24</v>
      </c>
      <c r="J17" s="74">
        <v>27</v>
      </c>
      <c r="K17" s="74">
        <v>27</v>
      </c>
      <c r="L17" s="74">
        <v>27</v>
      </c>
      <c r="M17" s="74">
        <v>27</v>
      </c>
      <c r="N17" s="74">
        <v>23</v>
      </c>
      <c r="O17" s="74">
        <v>27</v>
      </c>
      <c r="P17" s="74">
        <v>28</v>
      </c>
      <c r="Q17" s="74">
        <v>29</v>
      </c>
      <c r="R17" s="74">
        <v>28</v>
      </c>
      <c r="S17" s="74">
        <v>29</v>
      </c>
      <c r="T17" s="74">
        <v>28</v>
      </c>
      <c r="U17" s="74">
        <v>29</v>
      </c>
      <c r="V17" s="74">
        <v>28</v>
      </c>
      <c r="W17" s="74">
        <v>29</v>
      </c>
      <c r="X17" s="74">
        <v>28</v>
      </c>
      <c r="Y17" s="108">
        <v>28</v>
      </c>
      <c r="Z17" s="74">
        <v>26</v>
      </c>
      <c r="AA17" s="74">
        <v>23</v>
      </c>
      <c r="AB17" s="74">
        <v>26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2531</v>
      </c>
      <c r="E18" s="71">
        <v>1229</v>
      </c>
      <c r="F18" s="71">
        <v>3442</v>
      </c>
      <c r="G18" s="71">
        <v>3733</v>
      </c>
      <c r="H18" s="71">
        <v>1964</v>
      </c>
      <c r="I18" s="71">
        <v>2669</v>
      </c>
      <c r="J18" s="71">
        <v>167</v>
      </c>
      <c r="K18" s="71">
        <v>4080</v>
      </c>
      <c r="L18" s="71">
        <v>5857</v>
      </c>
      <c r="M18" s="71">
        <v>2269</v>
      </c>
      <c r="N18" s="71">
        <v>2646</v>
      </c>
      <c r="O18" s="71">
        <v>6470</v>
      </c>
      <c r="P18" s="71">
        <v>6940</v>
      </c>
      <c r="Q18" s="71">
        <v>6972</v>
      </c>
      <c r="R18" s="71">
        <v>1912</v>
      </c>
      <c r="S18" s="71">
        <v>6222</v>
      </c>
      <c r="T18" s="71">
        <v>2451</v>
      </c>
      <c r="U18" s="71">
        <v>5872</v>
      </c>
      <c r="V18" s="71">
        <v>850</v>
      </c>
      <c r="W18" s="71">
        <v>4616</v>
      </c>
      <c r="X18" s="71">
        <v>1110</v>
      </c>
      <c r="Y18" s="109">
        <v>-9908</v>
      </c>
      <c r="Z18" s="71">
        <v>0</v>
      </c>
      <c r="AA18" s="71">
        <v>7</v>
      </c>
      <c r="AB18" s="71">
        <v>1096</v>
      </c>
      <c r="AC18" s="71">
        <v>2155</v>
      </c>
      <c r="AD18" s="71">
        <v>0</v>
      </c>
      <c r="AE18" s="71">
        <v>80.88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54" t="s" ph="1">
        <v>178</v>
      </c>
      <c r="D19" s="73" ph="1">
        <f>D18*7.0686*LOOKUP(D20,密度!$A$2:$A$50,密度!$L$2:$L$50)</f>
        <v>16674.063991200001</v>
      </c>
      <c r="E19" s="73" ph="1">
        <f>E18*7.0686*LOOKUP(E20,密度!$A$2:$A$50,密度!$L$2:$L$50)</f>
        <v>8096.5723608000008</v>
      </c>
      <c r="F19" s="73" ph="1">
        <f>F18*9.0746*LOOKUP(F20,密度!$A$2:$A$50,密度!$L$2:$L$50)</f>
        <v>29079.573849200002</v>
      </c>
      <c r="G19" s="73" ph="1">
        <f>G18*9.0746*LOOKUP(G20,密度!$A$2:$A$50,密度!$B$2:$B$50)</f>
        <v>26351.737292220001</v>
      </c>
      <c r="H19" s="73" ph="1">
        <f>H18*9.0746*LOOKUP(H20,密度!$A$2:$A$50,密度!$L$2:$L$50)</f>
        <v>16699.6959928</v>
      </c>
      <c r="I19" s="73" ph="1">
        <f>I18*9.0746*LOOKUP(I20,密度!$A$2:$A$50,密度!$U$2:$U$50)</f>
        <v>24704.509548000002</v>
      </c>
      <c r="J19" s="73" ph="1">
        <f>J18*9.0746*LOOKUP(J20,密度!$A$2:$A$50,密度!$L$2:$L$50)</f>
        <v>1410.8915842000001</v>
      </c>
      <c r="K19" s="73" ph="1">
        <f>K18*9.0746*LOOKUP(K20,密度!$A$2:$A$50,密度!$C$2:$C$50)</f>
        <v>40915.629076800004</v>
      </c>
      <c r="L19" s="73" ph="1">
        <f>L18*9.0746*LOOKUP(L20,密度!$A$2:$A$50,密度!$E$2:$E$50)</f>
        <v>41446.317129560004</v>
      </c>
      <c r="M19" s="73" ph="1">
        <f>M18*9.0746*LOOKUP(M20,密度!$A$2:$A$50,密度!$M$2:$M$50)</f>
        <v>17890.265635838001</v>
      </c>
      <c r="N19" s="73" ph="1">
        <f>N18*9.0746*LOOKUP(N20,密度!$A$2:$A$50,密度!$M$2:$M$50)</f>
        <v>21012.368789159998</v>
      </c>
      <c r="O19" s="73" ph="1">
        <f>O18*9.0746*LOOKUP(O20,密度!$A$2:$A$50,密度!$G$2:$G$50)</f>
        <v>56123.433605800004</v>
      </c>
      <c r="P19" s="73" ph="1">
        <f ca="1">P18*9.0746*LOOKUP(P20,密度!$A$2:$A$51,密度!$Q$2:$Q$50)</f>
        <v>59446.563015320004</v>
      </c>
      <c r="Q19" s="73" ph="1">
        <f>Q18*9.0746*LOOKUP(Q20,密度!$A$2:$A$50,密度!$Q$2:$Q$50)</f>
        <v>59682.707338296001</v>
      </c>
      <c r="R19" s="73" ph="1">
        <f>MAX(R18*9.0746*LOOKUP(R20,密度!$A$2:$A$50,密度!$B$2:$B$50),0)</f>
        <v>13451.947470560001</v>
      </c>
      <c r="S19" s="73" ph="1">
        <f>S18*9.0746*LOOKUP(S20,密度!$A$2:$A$50,密度!$Q$2:$Q$50)</f>
        <v>53262.450524796004</v>
      </c>
      <c r="T19" s="73" ph="1">
        <f>T18*9.0746*LOOKUP(T20,密度!$A$2:$A$50,密度!$O$2:$O$50)</f>
        <v>20524.77419688</v>
      </c>
      <c r="U19" s="73" ph="1">
        <f>U18*9.0746*LOOKUP(U20,密度!$A$2:$A$50,密度!$H$2:$H$50)</f>
        <v>48644.836140480002</v>
      </c>
      <c r="V19" s="73" ph="1">
        <f>MAX(5600*LOOKUP(V20,密度!$A$2:$A$50,密度!$Q$2:$Q$50)+V18*9.0476*LOOKUP(V20,密度!$A$2:$A$50,密度!$Q$2:$Q$50),0)</f>
        <v>12509.645474999999</v>
      </c>
      <c r="W19" s="73" ph="1">
        <f>MAX(5600*LOOKUP(W20,密度!$A$2:$A$50,密度!$Q$2:$Q$50)+W18*9.0476*LOOKUP(W20,密度!$A$2:$A$50,密度!$Q$2:$Q$50),0)</f>
        <v>44549.842899744006</v>
      </c>
      <c r="X19" s="73" ph="1">
        <f>MAX(5600*LOOKUP(X20,密度!$A$2:$A$50,密度!$I$2:$I$50)+X18*9.0476*LOOKUP(X20,密度!$A$2:$A$50,密度!$I$2:$I$50),0)</f>
        <v>16198.313106359998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49.24876166</v>
      </c>
      <c r="AB19" s="73" ph="1">
        <f>AB18*9.0746*LOOKUP(AB20,密度!$A$2:$A$50,密度!$L$2:$L$50)</f>
        <v>9249.5582880000002</v>
      </c>
      <c r="AC19" s="73" ph="1">
        <f>AC18*9.0746*LOOKUP(AC20,密度!$A$2:$A$50,密度!$L$2:$L$50)</f>
        <v>18265.082642000001</v>
      </c>
      <c r="AD19" s="73" ph="1">
        <f>AD18*268.68*LOOKUP(AD20,密度!$A$2:$A$50,密度!B5:B53)+IF(AD18&lt;=0,0,1566*LOOKUP(AD20,密度!$A$2:$A$50,密度!B5:B53))</f>
        <v>0</v>
      </c>
      <c r="AE19" s="73" ph="1">
        <f>AE18*268.68*LOOKUP(AE20,密度!$A$2:$A$50,密度!B5:B53)+IF(AE18&lt;=0,0,1566*LOOKUP(AE20,密度!$A$2:$A$50,密度!B5:B53))</f>
        <v>18101.643436800001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30</v>
      </c>
      <c r="E20" s="81">
        <v>30</v>
      </c>
      <c r="F20" s="81">
        <v>31</v>
      </c>
      <c r="G20" s="81">
        <v>27</v>
      </c>
      <c r="H20" s="81">
        <v>25</v>
      </c>
      <c r="I20" s="81">
        <v>30</v>
      </c>
      <c r="J20" s="81">
        <v>31</v>
      </c>
      <c r="K20" s="81">
        <v>30</v>
      </c>
      <c r="L20" s="81">
        <v>28</v>
      </c>
      <c r="M20" s="81">
        <v>31</v>
      </c>
      <c r="N20" s="81">
        <v>25</v>
      </c>
      <c r="O20" s="81">
        <v>29</v>
      </c>
      <c r="P20" s="81">
        <v>29</v>
      </c>
      <c r="Q20" s="81">
        <v>30</v>
      </c>
      <c r="R20" s="81">
        <v>30</v>
      </c>
      <c r="S20" s="81">
        <v>30</v>
      </c>
      <c r="T20" s="81">
        <v>31</v>
      </c>
      <c r="U20" s="81">
        <v>27</v>
      </c>
      <c r="V20" s="81">
        <v>33</v>
      </c>
      <c r="W20" s="81">
        <v>34</v>
      </c>
      <c r="X20" s="81">
        <v>31</v>
      </c>
      <c r="Y20" s="110">
        <v>31</v>
      </c>
      <c r="Z20" s="81">
        <v>32</v>
      </c>
      <c r="AA20" s="81">
        <v>30</v>
      </c>
      <c r="AB20" s="81">
        <v>32</v>
      </c>
      <c r="AC20" s="81">
        <v>28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54" t="s" ph="1">
        <v>177</v>
      </c>
      <c r="D24" s="71">
        <v>4.34</v>
      </c>
      <c r="E24" s="71">
        <v>5.44</v>
      </c>
      <c r="F24" s="71">
        <v>12</v>
      </c>
      <c r="G24" s="71">
        <v>1584</v>
      </c>
      <c r="H24" s="71">
        <v>3703</v>
      </c>
      <c r="I24" s="71">
        <v>2968</v>
      </c>
      <c r="J24" s="71">
        <v>5231</v>
      </c>
      <c r="K24" s="71">
        <v>5260</v>
      </c>
      <c r="L24" s="71">
        <v>5605</v>
      </c>
      <c r="M24" s="71">
        <v>5403</v>
      </c>
      <c r="N24" s="71">
        <v>5527</v>
      </c>
      <c r="O24" s="71">
        <v>5596</v>
      </c>
      <c r="P24" s="71">
        <v>363</v>
      </c>
      <c r="Q24" s="90">
        <v>3912</v>
      </c>
      <c r="R24" s="71">
        <v>208</v>
      </c>
      <c r="S24" s="71">
        <v>237</v>
      </c>
      <c r="T24" s="71">
        <v>848</v>
      </c>
      <c r="U24" s="71">
        <v>4421</v>
      </c>
      <c r="V24" s="71">
        <v>2378</v>
      </c>
      <c r="W24" s="71">
        <v>4336</v>
      </c>
      <c r="X24" s="71">
        <v>433</v>
      </c>
      <c r="Y24" s="71">
        <v>2445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2586.5610878880002</v>
      </c>
      <c r="E25" s="91" ph="1">
        <f>E24*268.68*LOOKUP(E26,密度!$A$2:$A$50,密度!$C$2:$C$50)+IF(E24&lt;=0,0,1566*LOOKUP(E26,密度!$A$2:$A$50,密度!$C$2:$C$50))</f>
        <v>3357.32693088</v>
      </c>
      <c r="F25" s="91" ph="1">
        <f>F24*11.702*LOOKUP(F26,密度!$A$2:$A$50,密度!$Q$2:$Q$50)</f>
        <v>132.74561568000001</v>
      </c>
      <c r="G25" s="91" ph="1">
        <f>G24*18.322*LOOKUP(G26,密度!$A$2:$A$50,密度!$B$2:$B$50)</f>
        <v>22576.251139200001</v>
      </c>
      <c r="H25" s="91" ph="1">
        <f>H24*18.322*LOOKUP(H26,密度!$A$2:$A$50,密度!$B$2:$B$50)</f>
        <v>52716.626381999995</v>
      </c>
      <c r="I25" s="91" ph="1">
        <f>I24*18.322*LOOKUP(I26,密度!$A$2:$A$50,密度!$Q$2:$Q$50)</f>
        <v>51368.148435520001</v>
      </c>
      <c r="J25" s="91" ph="1">
        <f>J24*18.322*LOOKUP(J26,密度!$A$2:$A$50,密度!$Q$2:$Q$50)</f>
        <v>90534.630884839993</v>
      </c>
      <c r="K25" s="91" ph="1">
        <f>K24*18.322*LOOKUP(K26,密度!$A$2:$A$50,密度!$Q$2:$Q$50)</f>
        <v>91104.004990400004</v>
      </c>
      <c r="L25" s="91" ph="1">
        <f>L24*18.322*LOOKUP(L26,密度!$A$2:$A$50,密度!$Q$2:$Q$50)</f>
        <v>97079.457789200009</v>
      </c>
      <c r="M25" s="91" ph="1">
        <f>M24*18.322*LOOKUP(M26,密度!$A$2:$A$50,密度!$Q$2:$Q$50)</f>
        <v>93511.491238919989</v>
      </c>
      <c r="N25" s="91" ph="1">
        <f>N24*18.322*LOOKUP(N26,密度!$A$2:$A$50,密度!$Q$2:$Q$50)</f>
        <v>95657.599866279998</v>
      </c>
      <c r="O25" s="91" ph="1">
        <f>O24*18.322*LOOKUP(O26,密度!$A$2:$A$50,密度!$C$2:$C$50)</f>
        <v>113541.62454879998</v>
      </c>
      <c r="P25" s="91" ph="1">
        <f>P24*11.702*LOOKUP(P26,密度!$A$2:$A$50,密度!$B$2:$B$50)</f>
        <v>3300.560802</v>
      </c>
      <c r="Q25" s="92" ph="1">
        <f>Q24*18.322*LOOKUP(Q26,密度!$A$2:$A$50,密度!$B$2:$B$50)</f>
        <v>55691.990927999992</v>
      </c>
      <c r="R25" s="91" ph="1">
        <f>R24*35.891*LOOKUP(R26,密度!$A$2:$A$50,密度!$C$2:$C$50)</f>
        <v>8261.131964799999</v>
      </c>
      <c r="S25" s="91" ph="1">
        <f>S24*35.891*LOOKUP(S26,密度!$A$2:$A$50,密度!$B$2:$B$50)</f>
        <v>6609.2917589999997</v>
      </c>
      <c r="T25" s="91" ph="1">
        <f>T24*35.891*LOOKUP(T26,密度!$A$2:$A$50,密度!$Q$2:$Q$50)</f>
        <v>28771.351141760002</v>
      </c>
      <c r="U25" s="91" ph="1">
        <f>U24*35.891</f>
        <v>158674.111</v>
      </c>
      <c r="V25" s="91" ph="1">
        <f>V24*47.051*LOOKUP(V26,密度!$A$2:$A$50,密度!$B$2:$B$50)</f>
        <v>86936.41500600001</v>
      </c>
      <c r="W25" s="91" ph="1">
        <f>W24*47.051*LOOKUP(W26,密度!$A$2:$A$50,密度!$B$2:$B$50)</f>
        <v>158701.81849440001</v>
      </c>
      <c r="X25" s="91" ph="1">
        <f>X24*47.051*LOOKUP(X26,密度!$A$2:$A$50,密度!$I$2:$I$50)</f>
        <v>21165.595928700001</v>
      </c>
      <c r="Y25" s="91" ph="1">
        <f>Y24*47.051*LOOKUP(Y26,密度!$A$2:$A$50,密度!$L$2:$L$50)</f>
        <v>107447.07513000001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27</v>
      </c>
      <c r="G26" s="74">
        <v>27</v>
      </c>
      <c r="H26" s="74">
        <v>28</v>
      </c>
      <c r="I26" s="74">
        <v>28</v>
      </c>
      <c r="J26" s="74">
        <v>28</v>
      </c>
      <c r="K26" s="74">
        <v>27</v>
      </c>
      <c r="L26" s="74">
        <v>27</v>
      </c>
      <c r="M26" s="74">
        <v>28</v>
      </c>
      <c r="N26" s="74">
        <v>28</v>
      </c>
      <c r="O26" s="74">
        <v>27</v>
      </c>
      <c r="P26" s="74">
        <v>28</v>
      </c>
      <c r="Q26" s="93">
        <v>28</v>
      </c>
      <c r="R26" s="74">
        <v>28</v>
      </c>
      <c r="S26" s="74">
        <v>28</v>
      </c>
      <c r="T26" s="74">
        <v>27</v>
      </c>
      <c r="U26" s="74">
        <v>27</v>
      </c>
      <c r="V26" s="74">
        <v>28</v>
      </c>
      <c r="W26" s="74">
        <v>27</v>
      </c>
      <c r="X26" s="74">
        <v>28</v>
      </c>
      <c r="Y26" s="74">
        <v>28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54" t="s" ph="1">
        <v>180</v>
      </c>
      <c r="D27" s="71">
        <v>4.34</v>
      </c>
      <c r="E27" s="71">
        <v>5.42</v>
      </c>
      <c r="F27" s="71">
        <v>9</v>
      </c>
      <c r="G27" s="71">
        <v>469</v>
      </c>
      <c r="H27" s="71">
        <v>3192</v>
      </c>
      <c r="I27" s="71">
        <v>2966</v>
      </c>
      <c r="J27" s="71">
        <v>5231</v>
      </c>
      <c r="K27" s="71">
        <v>5260</v>
      </c>
      <c r="L27" s="71">
        <v>5603</v>
      </c>
      <c r="M27" s="71">
        <v>5402</v>
      </c>
      <c r="N27" s="71">
        <v>5526</v>
      </c>
      <c r="O27" s="71">
        <v>5595</v>
      </c>
      <c r="P27" s="71">
        <v>2432</v>
      </c>
      <c r="Q27" s="90">
        <v>4140</v>
      </c>
      <c r="R27" s="71">
        <v>205</v>
      </c>
      <c r="S27" s="71">
        <v>233</v>
      </c>
      <c r="T27" s="71">
        <v>847</v>
      </c>
      <c r="U27" s="71">
        <v>4354</v>
      </c>
      <c r="V27" s="71">
        <v>2095</v>
      </c>
      <c r="W27" s="71">
        <v>5295</v>
      </c>
      <c r="X27" s="71">
        <v>839</v>
      </c>
      <c r="Y27" s="71">
        <v>1359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54" t="s" ph="1">
        <v>178</v>
      </c>
      <c r="D28" s="91" ph="1">
        <f>D27*268.68*LOOKUP(D29,密度!$A$2:$A$50,密度!$Q$2:$Q$50)+IF(D27&lt;=0,0,1566*LOOKUP(D29,密度!$A$2:$A$50,密度!$Q$2:$Q$50))</f>
        <v>2586.5610878880002</v>
      </c>
      <c r="E28" s="91" ph="1">
        <f>E27*268.68*LOOKUP(E29,密度!$A$2:$A$50,密度!$C$2:$C$50)+IF(E27&lt;=0,0,1566*LOOKUP(E29,密度!$A$2:$A$50,密度!$C$2:$C$50))</f>
        <v>3351.3681458399997</v>
      </c>
      <c r="F28" s="91" ph="1">
        <f>F27*11.702*LOOKUP(F29,密度!$A$2:$A$50,密度!$Q$2:$Q$50)</f>
        <v>99.349628940000002</v>
      </c>
      <c r="G28" s="91" ph="1">
        <f>G27*18.322*LOOKUP(G29,密度!$A$2:$A$50,密度!$B$2:$B$50)</f>
        <v>6676.7749860000004</v>
      </c>
      <c r="H28" s="91" ph="1">
        <f>H27*18.322*LOOKUP(H29,密度!$A$2:$A$50,密度!$B$2:$B$50)</f>
        <v>45395.144188799997</v>
      </c>
      <c r="I28" s="91" ph="1">
        <f>I27*18.322*LOOKUP(I29,密度!$A$2:$A$50,密度!$Q$2:$Q$50)</f>
        <v>51296.03707436</v>
      </c>
      <c r="J28" s="91" ph="1">
        <f>J27*18.322*LOOKUP(J29,密度!$A$2:$A$50,密度!$Q$2:$Q$50)</f>
        <v>90534.630884839993</v>
      </c>
      <c r="K28" s="91" ph="1">
        <f>K27*18.322*LOOKUP(K29,密度!$A$2:$A$50,密度!$Q$2:$Q$50)</f>
        <v>90912.221287599998</v>
      </c>
      <c r="L28" s="91" ph="1">
        <f>L27*18.322*LOOKUP(L29,密度!$A$2:$A$50,密度!$Q$2:$Q$50)</f>
        <v>96840.527732779999</v>
      </c>
      <c r="M28" s="91" ph="1">
        <f>M27*18.322*LOOKUP(M29,密度!$A$2:$A$50,密度!$Q$2:$Q$50)</f>
        <v>93494.183911279993</v>
      </c>
      <c r="N28" s="91" ph="1">
        <f>N27*18.322*LOOKUP(N29,密度!$A$2:$A$50,密度!$Q$2:$Q$50)</f>
        <v>95509.683428759992</v>
      </c>
      <c r="O28" s="91" ph="1">
        <f>O27*18.322*LOOKUP(O29,密度!$A$2:$A$50,密度!$C$2:$C$50)</f>
        <v>113439.325494</v>
      </c>
      <c r="P28" s="91" ph="1">
        <f>P27*11.702*LOOKUP(P29,密度!$A$2:$A$50,密度!$B$2:$B$50)</f>
        <v>22112.848128000001</v>
      </c>
      <c r="Q28" s="92" ph="1">
        <f>Q27*18.322*LOOKUP(Q29,密度!$A$2:$A$50,密度!$B$2:$B$50)</f>
        <v>58877.160695999999</v>
      </c>
      <c r="R28" s="91" ph="1">
        <f>R27*35.891*LOOKUP(R29,密度!$A$2:$A$50,密度!$C$2:$C$50)</f>
        <v>8136.8306645000002</v>
      </c>
      <c r="S28" s="91" ph="1">
        <f>S27*35.891*LOOKUP(S29,密度!$A$2:$A$50,密度!$B$2:$B$50)</f>
        <v>6483.5261058999995</v>
      </c>
      <c r="T28" s="91" ph="1">
        <f>T27*35.891*LOOKUP(T29,密度!$A$2:$A$50,密度!$Q$2:$Q$50)</f>
        <v>28695.16711061</v>
      </c>
      <c r="U28" s="91" ph="1">
        <f>U27*35.891</f>
        <v>156269.41399999999</v>
      </c>
      <c r="V28" s="91" ph="1">
        <f>V27*47.051*LOOKUP(V29,密度!$A$2:$A$50,密度!$B$2:$B$50)</f>
        <v>76422.751428500007</v>
      </c>
      <c r="W28" s="91" ph="1">
        <f>W27*47.051*LOOKUP(W29,密度!$A$2:$A$50,密度!$B$2:$B$50)</f>
        <v>193378.62192900002</v>
      </c>
      <c r="X28" s="91" ph="1">
        <f>X27*47.051*LOOKUP(X29,密度!$A$2:$A$50,密度!$I$2:$I$50)</f>
        <v>40920.602877400001</v>
      </c>
      <c r="Y28" s="91" ph="1">
        <f>Y27*47.051*LOOKUP(Y29,密度!$A$2:$A$50,密度!$L$2:$L$50)</f>
        <v>59658.174297000005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54" t="s" ph="1">
        <v>179</v>
      </c>
      <c r="D29" s="74">
        <v>25</v>
      </c>
      <c r="E29" s="74">
        <v>25</v>
      </c>
      <c r="F29" s="74">
        <v>30</v>
      </c>
      <c r="G29" s="74">
        <v>28</v>
      </c>
      <c r="H29" s="74">
        <v>29</v>
      </c>
      <c r="I29" s="74">
        <v>29</v>
      </c>
      <c r="J29" s="74">
        <v>28</v>
      </c>
      <c r="K29" s="74">
        <v>30</v>
      </c>
      <c r="L29" s="74">
        <v>30</v>
      </c>
      <c r="M29" s="74">
        <v>28</v>
      </c>
      <c r="N29" s="74">
        <v>30</v>
      </c>
      <c r="O29" s="74">
        <v>28</v>
      </c>
      <c r="P29" s="74">
        <v>28</v>
      </c>
      <c r="Q29" s="93">
        <v>29</v>
      </c>
      <c r="R29" s="74">
        <v>29</v>
      </c>
      <c r="S29" s="74">
        <v>30</v>
      </c>
      <c r="T29" s="74">
        <v>29</v>
      </c>
      <c r="U29" s="74">
        <v>30</v>
      </c>
      <c r="V29" s="74">
        <v>30</v>
      </c>
      <c r="W29" s="74">
        <v>29</v>
      </c>
      <c r="X29" s="74">
        <v>30</v>
      </c>
      <c r="Y29" s="74">
        <v>29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54" t="s" ph="1">
        <v>5</v>
      </c>
      <c r="F32" s="153" t="s" ph="1">
        <v>43</v>
      </c>
      <c r="G32" s="97" t="s" ph="1">
        <v>4</v>
      </c>
      <c r="H32" s="154" t="s" ph="1">
        <v>5</v>
      </c>
      <c r="I32" s="153" t="s" ph="1">
        <v>43</v>
      </c>
      <c r="J32" s="97" t="s" ph="1">
        <v>4</v>
      </c>
      <c r="K32" s="154" t="s" ph="1">
        <v>5</v>
      </c>
      <c r="L32" s="153" t="s" ph="1">
        <v>43</v>
      </c>
      <c r="M32" s="97" t="s" ph="1">
        <v>4</v>
      </c>
      <c r="N32" s="154" t="s" ph="1">
        <v>5</v>
      </c>
      <c r="O32" s="153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4" t="s" ph="1">
        <v>5</v>
      </c>
      <c r="U32" s="99" t="s" ph="1">
        <v>43</v>
      </c>
      <c r="V32" s="97" t="s" ph="1">
        <v>4</v>
      </c>
      <c r="W32" s="154" t="s" ph="1">
        <v>5</v>
      </c>
      <c r="X32" s="99" t="s" ph="1">
        <v>43</v>
      </c>
      <c r="Y32" s="100" t="s" ph="1">
        <v>4</v>
      </c>
      <c r="Z32" s="154" t="s" ph="1">
        <v>5</v>
      </c>
      <c r="AA32" s="153" t="s" ph="1">
        <v>43</v>
      </c>
      <c r="AB32" s="97" t="s" ph="1">
        <v>85</v>
      </c>
      <c r="AC32" s="154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62046.207058100001</v>
      </c>
      <c r="E33" s="204" ph="1">
        <f>M10+I10</f>
        <v>73570.268122400012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[[#This Row],[F25]]</f>
        <v>3880</v>
      </c>
      <c r="G33" s="208" ph="1">
        <v>0</v>
      </c>
      <c r="H33" s="204" ph="1">
        <f>N19</f>
        <v>21012.368789159998</v>
      </c>
      <c r="I33" s="217" ph="1">
        <v>0</v>
      </c>
      <c r="J33" s="215" ph="1">
        <f>F10+O28</f>
        <v>264910.59516900004</v>
      </c>
      <c r="K33" s="204" ph="1">
        <f>O10+K10+E28+R28</f>
        <v>98553.011584740001</v>
      </c>
      <c r="L33" s="219" ph="1">
        <f>BE27</f>
        <v>7100</v>
      </c>
      <c r="M33" s="215" ph="1">
        <f>G10+H10+W28+S28+V28+E10</f>
        <v>1239678.9169394001</v>
      </c>
      <c r="N33" s="204" ph="1">
        <f>L10+P10++G28+H28</f>
        <v>232349.58976280002</v>
      </c>
      <c r="O33" s="217" ph="1">
        <f>BE17</f>
        <v>2270</v>
      </c>
      <c r="P33" s="215" ph="1">
        <f>L19</f>
        <v>41446.317129560004</v>
      </c>
      <c r="Q33" s="204" ph="1">
        <f>J10+N10</f>
        <v>124717.67942399999</v>
      </c>
      <c r="R33" s="217" ph="1">
        <f>BE23</f>
        <v>890</v>
      </c>
      <c r="S33" s="215" ph="1">
        <f>E10+X28</f>
        <v>391746.15950140002</v>
      </c>
      <c r="T33" s="204" ph="1">
        <f>X19</f>
        <v>16198.313106359998</v>
      </c>
      <c r="U33" s="225" ph="1">
        <f>BE21</f>
        <v>730</v>
      </c>
      <c r="V33" s="236" ph="1">
        <f ca="1">P19+Q19+S19+M28+N28+J28</f>
        <v>451930.21910329198</v>
      </c>
      <c r="W33" s="236" ph="1">
        <f>D28+F28+V19+T28</f>
        <v>43890.723302437997</v>
      </c>
      <c r="X33" s="217" ph="1">
        <f>BE29+BE31</f>
        <v>10200</v>
      </c>
      <c r="Y33" s="238" ph="1">
        <f>+Q10+R10+S10+T10+U10+V10+W10+X10+Y10</f>
        <v>190975.82274540002</v>
      </c>
      <c r="Z33" s="223" ph="1">
        <f>D10+T19+U19+Y28+Z10</f>
        <v>370450.26303269999</v>
      </c>
      <c r="AA33" s="225" ph="1">
        <f>BE19</f>
        <v>1440</v>
      </c>
      <c r="AB33" s="227" ph="1">
        <f>I19</f>
        <v>24704.509548000002</v>
      </c>
      <c r="AC33" s="229" ph="1">
        <f>AD10</f>
        <v>85094.059680000006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52" t="s" ph="1">
        <v>185</v>
      </c>
      <c r="AA36" s="152" ph="1"/>
      <c r="AB36" s="222" t="s" ph="1">
        <v>641</v>
      </c>
      <c r="AC36" s="222" ph="1"/>
      <c r="AD36" s="222" ph="1"/>
      <c r="AE36" s="222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342</v>
      </c>
      <c r="AI37" s="152" t="s" ph="1">
        <v>209</v>
      </c>
      <c r="AJ37" s="152" t="s" ph="1">
        <v>210</v>
      </c>
      <c r="AK37" s="152" t="s" ph="1">
        <v>211</v>
      </c>
      <c r="AM37" s="152" t="s" ph="1">
        <v>210</v>
      </c>
      <c r="AN37" s="152" t="s" ph="1">
        <v>211</v>
      </c>
      <c r="AO37" s="152" t="s" ph="1">
        <v>212</v>
      </c>
      <c r="AP37" s="152" t="s" ph="1">
        <v>210</v>
      </c>
      <c r="AQ37" s="152" t="s" ph="1">
        <v>211</v>
      </c>
      <c r="AR37" s="152" t="s" ph="1">
        <v>212</v>
      </c>
      <c r="AS37" s="152" t="s" ph="1">
        <v>210</v>
      </c>
      <c r="AT37" s="152" t="s" ph="1">
        <v>211</v>
      </c>
      <c r="AU37" s="152" t="s" ph="1">
        <v>212</v>
      </c>
      <c r="AV37" s="152" t="s" ph="1">
        <v>210</v>
      </c>
      <c r="AW37" s="152" t="s" ph="1">
        <v>211</v>
      </c>
      <c r="AX37" s="152" t="s" ph="1">
        <v>212</v>
      </c>
      <c r="AY37" s="152" t="s" ph="1">
        <v>211</v>
      </c>
      <c r="AZ37" s="152" t="s" ph="1">
        <v>213</v>
      </c>
      <c r="BD37" s="152" t="s" ph="1">
        <v>305</v>
      </c>
      <c r="BE37" s="15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511" priority="98">
      <formula>ABS(D$7-D$10)&gt;=1000</formula>
    </cfRule>
  </conditionalFormatting>
  <conditionalFormatting sqref="E4 E6:E11">
    <cfRule type="expression" dxfId="510" priority="97">
      <formula>ABS(E$7-E$10)&gt;=1000</formula>
    </cfRule>
  </conditionalFormatting>
  <conditionalFormatting sqref="F4:F11">
    <cfRule type="expression" dxfId="509" priority="96">
      <formula>ABS(F$7-F$10)&gt;=1000</formula>
    </cfRule>
  </conditionalFormatting>
  <conditionalFormatting sqref="G4:G11">
    <cfRule type="expression" dxfId="508" priority="95">
      <formula>ABS(G$7-G$10)&gt;=1000</formula>
    </cfRule>
  </conditionalFormatting>
  <conditionalFormatting sqref="H4:H11">
    <cfRule type="expression" dxfId="507" priority="94">
      <formula>ABS(H$7-H$10)&gt;=1000</formula>
    </cfRule>
  </conditionalFormatting>
  <conditionalFormatting sqref="I4:I11">
    <cfRule type="expression" dxfId="506" priority="93">
      <formula>ABS(I$7-I$10)&gt;=1000</formula>
    </cfRule>
  </conditionalFormatting>
  <conditionalFormatting sqref="J4:J11">
    <cfRule type="expression" dxfId="505" priority="92">
      <formula>ABS(J$7-J$10)&gt;=1000</formula>
    </cfRule>
  </conditionalFormatting>
  <conditionalFormatting sqref="K4:K11">
    <cfRule type="expression" dxfId="504" priority="91">
      <formula>ABS(K$7-K$10)&gt;=1000</formula>
    </cfRule>
  </conditionalFormatting>
  <conditionalFormatting sqref="L4:L11">
    <cfRule type="expression" dxfId="503" priority="90">
      <formula>ABS(L$7-L$10)&gt;=1000</formula>
    </cfRule>
  </conditionalFormatting>
  <conditionalFormatting sqref="M4 M6:M11">
    <cfRule type="expression" dxfId="502" priority="89">
      <formula>ABS(M$7-M$10)&gt;=1000</formula>
    </cfRule>
  </conditionalFormatting>
  <conditionalFormatting sqref="N4 N6:N11">
    <cfRule type="expression" dxfId="501" priority="88">
      <formula>ABS(N$7-N$10)&gt;=1000</formula>
    </cfRule>
  </conditionalFormatting>
  <conditionalFormatting sqref="O4 O6:O11">
    <cfRule type="expression" dxfId="500" priority="87">
      <formula>ABS(O$7-O$10)&gt;=1000</formula>
    </cfRule>
  </conditionalFormatting>
  <conditionalFormatting sqref="P4 P6:P11">
    <cfRule type="expression" dxfId="499" priority="86">
      <formula>ABS(P$7-P$10)&gt;=1000</formula>
    </cfRule>
  </conditionalFormatting>
  <conditionalFormatting sqref="Q4:Q11">
    <cfRule type="expression" dxfId="498" priority="85">
      <formula>ABS(Q$7-Q$10)&gt;=1000</formula>
    </cfRule>
  </conditionalFormatting>
  <conditionalFormatting sqref="R4:R11">
    <cfRule type="expression" dxfId="497" priority="84">
      <formula>ABS(R$7-R$10)&gt;=1000</formula>
    </cfRule>
  </conditionalFormatting>
  <conditionalFormatting sqref="S4:S11">
    <cfRule type="expression" dxfId="496" priority="83">
      <formula>ABS(S$7-S$10)&gt;=1000</formula>
    </cfRule>
  </conditionalFormatting>
  <conditionalFormatting sqref="T4:T9 T11">
    <cfRule type="expression" dxfId="495" priority="82">
      <formula>ABS(T$7-T$10)&gt;=1000</formula>
    </cfRule>
  </conditionalFormatting>
  <conditionalFormatting sqref="U4:U9 U11">
    <cfRule type="expression" dxfId="494" priority="81">
      <formula>ABS(U$7-U$10)&gt;=1000</formula>
    </cfRule>
  </conditionalFormatting>
  <conditionalFormatting sqref="V4:V9 V11">
    <cfRule type="expression" dxfId="493" priority="80">
      <formula>ABS(V$7-V$10)&gt;=1000</formula>
    </cfRule>
  </conditionalFormatting>
  <conditionalFormatting sqref="W4:W9 W11">
    <cfRule type="expression" dxfId="492" priority="79">
      <formula>ABS(W$7-W$10)&gt;=1000</formula>
    </cfRule>
  </conditionalFormatting>
  <conditionalFormatting sqref="X4:X9 X11">
    <cfRule type="expression" dxfId="491" priority="78">
      <formula>ABS(X$7-X$10)&gt;=1000</formula>
    </cfRule>
  </conditionalFormatting>
  <conditionalFormatting sqref="Y4:Y9 Y11">
    <cfRule type="expression" dxfId="490" priority="77">
      <formula>ABS(Y$7-Y$10)&gt;=1000</formula>
    </cfRule>
  </conditionalFormatting>
  <conditionalFormatting sqref="Z4:Z11">
    <cfRule type="expression" dxfId="489" priority="76">
      <formula>ABS(Z$7-Z$10)&gt;=1000</formula>
    </cfRule>
  </conditionalFormatting>
  <conditionalFormatting sqref="AA4:AA11">
    <cfRule type="expression" dxfId="488" priority="75">
      <formula>ABS(AA$7-AA$10)&gt;=1000</formula>
    </cfRule>
  </conditionalFormatting>
  <conditionalFormatting sqref="AB4:AB11">
    <cfRule type="expression" dxfId="487" priority="74">
      <formula>ABS(AB$7-AB$10)&gt;=1000</formula>
    </cfRule>
  </conditionalFormatting>
  <conditionalFormatting sqref="AC4 AC6:AC11">
    <cfRule type="expression" dxfId="486" priority="73">
      <formula>ABS(AC$7-AC$10)&gt;=1000</formula>
    </cfRule>
  </conditionalFormatting>
  <conditionalFormatting sqref="AD4:AD11">
    <cfRule type="expression" dxfId="485" priority="72">
      <formula>ABS(AD$7-AD$10)&gt;=1000</formula>
    </cfRule>
  </conditionalFormatting>
  <conditionalFormatting sqref="AE4 AE6:AE11">
    <cfRule type="expression" dxfId="484" priority="71">
      <formula>ABS(AE$7-AE$10)&gt;=1000</formula>
    </cfRule>
  </conditionalFormatting>
  <conditionalFormatting sqref="D13:D20">
    <cfRule type="expression" dxfId="483" priority="70">
      <formula>ABS(D$16-D$19)&gt;=1000</formula>
    </cfRule>
  </conditionalFormatting>
  <conditionalFormatting sqref="E13:E20">
    <cfRule type="expression" dxfId="482" priority="69">
      <formula>ABS(E$16-E$19)&gt;=1000</formula>
    </cfRule>
  </conditionalFormatting>
  <conditionalFormatting sqref="F13 F15:F20">
    <cfRule type="expression" dxfId="481" priority="68">
      <formula>ABS(F$16-F$19)&gt;=1000</formula>
    </cfRule>
  </conditionalFormatting>
  <conditionalFormatting sqref="G13:G20">
    <cfRule type="expression" dxfId="480" priority="67">
      <formula>ABS(G$16-G$19)&gt;=1000</formula>
    </cfRule>
  </conditionalFormatting>
  <conditionalFormatting sqref="H13:H20">
    <cfRule type="expression" dxfId="479" priority="66">
      <formula>ABS(H$16-H$19)&gt;=1000</formula>
    </cfRule>
  </conditionalFormatting>
  <conditionalFormatting sqref="I13:I20">
    <cfRule type="expression" dxfId="478" priority="65">
      <formula>ABS(I$16-I$19)&gt;=1000</formula>
    </cfRule>
  </conditionalFormatting>
  <conditionalFormatting sqref="J13:J20">
    <cfRule type="expression" dxfId="477" priority="64">
      <formula>ABS(J$16-J$19)&gt;=1000</formula>
    </cfRule>
  </conditionalFormatting>
  <conditionalFormatting sqref="L13:L20">
    <cfRule type="expression" dxfId="476" priority="63">
      <formula>ABS(L$16-L$19)&gt;=1000</formula>
    </cfRule>
  </conditionalFormatting>
  <conditionalFormatting sqref="M13 M15 M17:M18 M20">
    <cfRule type="expression" dxfId="475" priority="62">
      <formula>ABS(M$16-M$19)&gt;=1000</formula>
    </cfRule>
  </conditionalFormatting>
  <conditionalFormatting sqref="N13:N20">
    <cfRule type="expression" dxfId="474" priority="61">
      <formula>ABS(N$16-N$19)&gt;=1000</formula>
    </cfRule>
  </conditionalFormatting>
  <conditionalFormatting sqref="O13:O20">
    <cfRule type="expression" dxfId="473" priority="60">
      <formula>ABS(O$16-O$19)&gt;=1000</formula>
    </cfRule>
  </conditionalFormatting>
  <conditionalFormatting sqref="P13:P20">
    <cfRule type="expression" dxfId="472" priority="59">
      <formula>ABS(P$16-P$19)&gt;=1000</formula>
    </cfRule>
  </conditionalFormatting>
  <conditionalFormatting sqref="Q13 Q15:Q20">
    <cfRule type="expression" dxfId="471" priority="58">
      <formula>ABS(Q$16-Q$19)&gt;=1000</formula>
    </cfRule>
  </conditionalFormatting>
  <conditionalFormatting sqref="R13:R20">
    <cfRule type="expression" dxfId="470" priority="57">
      <formula>ABS(R$16-R$19)&gt;=1000</formula>
    </cfRule>
  </conditionalFormatting>
  <conditionalFormatting sqref="S13:S20">
    <cfRule type="expression" dxfId="469" priority="56">
      <formula>ABS(S$16-S$19)&gt;=1000</formula>
    </cfRule>
  </conditionalFormatting>
  <conditionalFormatting sqref="T13:T20">
    <cfRule type="expression" dxfId="468" priority="55">
      <formula>ABS(T$16-T$19)&gt;=1000</formula>
    </cfRule>
  </conditionalFormatting>
  <conditionalFormatting sqref="U13:U20">
    <cfRule type="expression" dxfId="467" priority="54">
      <formula>ABS(U$16-U$19)&gt;=1000</formula>
    </cfRule>
  </conditionalFormatting>
  <conditionalFormatting sqref="V13:V20">
    <cfRule type="expression" dxfId="466" priority="53">
      <formula>ABS(V$16-V$19)&gt;=1000</formula>
    </cfRule>
  </conditionalFormatting>
  <conditionalFormatting sqref="W13 W20 W15:W18">
    <cfRule type="expression" dxfId="465" priority="52">
      <formula>ABS(W$16-W$19)&gt;=1000</formula>
    </cfRule>
  </conditionalFormatting>
  <conditionalFormatting sqref="X13 X15:X20 Y19">
    <cfRule type="expression" dxfId="464" priority="51">
      <formula>ABS(X$16-X$19)&gt;=1000</formula>
    </cfRule>
  </conditionalFormatting>
  <conditionalFormatting sqref="Y13 Y15:Y18 Y20">
    <cfRule type="expression" dxfId="463" priority="50">
      <formula>ABS(Y$16-Y$19)&gt;=1000</formula>
    </cfRule>
  </conditionalFormatting>
  <conditionalFormatting sqref="Z13:Z20">
    <cfRule type="expression" dxfId="462" priority="49">
      <formula>ABS(Z$16-Z$19)&gt;=1000</formula>
    </cfRule>
  </conditionalFormatting>
  <conditionalFormatting sqref="AA13:AA20">
    <cfRule type="expression" dxfId="461" priority="48">
      <formula>ABS(AA$16-AA$19)&gt;=1000</formula>
    </cfRule>
  </conditionalFormatting>
  <conditionalFormatting sqref="AB13 AB15:AB20">
    <cfRule type="expression" dxfId="460" priority="47">
      <formula>ABS(AB$16-AB$19)&gt;=1000</formula>
    </cfRule>
  </conditionalFormatting>
  <conditionalFormatting sqref="AC13 AC15:AC20">
    <cfRule type="expression" dxfId="459" priority="46">
      <formula>ABS(AC$16-AC$19)&gt;=1000</formula>
    </cfRule>
  </conditionalFormatting>
  <conditionalFormatting sqref="AD13:AD20">
    <cfRule type="expression" dxfId="458" priority="45">
      <formula>ABS(AD$16-AD$19)&gt;=1000</formula>
    </cfRule>
  </conditionalFormatting>
  <conditionalFormatting sqref="AE13:AE20">
    <cfRule type="expression" dxfId="457" priority="44">
      <formula>ABS(AE$16-AE$19)&gt;=1000</formula>
    </cfRule>
  </conditionalFormatting>
  <conditionalFormatting sqref="D22:D29">
    <cfRule type="expression" dxfId="456" priority="43">
      <formula>ABS(D$25-D$28)&gt;=1000</formula>
    </cfRule>
  </conditionalFormatting>
  <conditionalFormatting sqref="E22:E29">
    <cfRule type="expression" dxfId="455" priority="42">
      <formula>ABS(E$25-E$28)&gt;=1000</formula>
    </cfRule>
  </conditionalFormatting>
  <conditionalFormatting sqref="F22:F29">
    <cfRule type="expression" dxfId="454" priority="41">
      <formula>ABS(F$25-F$28)&gt;=1000</formula>
    </cfRule>
  </conditionalFormatting>
  <conditionalFormatting sqref="G22:G29">
    <cfRule type="expression" dxfId="453" priority="40">
      <formula>ABS(G$25-G$28)&gt;=1000</formula>
    </cfRule>
  </conditionalFormatting>
  <conditionalFormatting sqref="H22:H29">
    <cfRule type="expression" dxfId="452" priority="39">
      <formula>ABS(H$25-H$28)&gt;=1000</formula>
    </cfRule>
  </conditionalFormatting>
  <conditionalFormatting sqref="I22 I24:I29">
    <cfRule type="expression" dxfId="451" priority="38">
      <formula>ABS(I$25-I$28)&gt;=1000</formula>
    </cfRule>
  </conditionalFormatting>
  <conditionalFormatting sqref="J22:J29 K22">
    <cfRule type="expression" dxfId="450" priority="37">
      <formula>ABS(J$25-J$28)&gt;=1000</formula>
    </cfRule>
  </conditionalFormatting>
  <conditionalFormatting sqref="K23:K29 L25 L28">
    <cfRule type="expression" dxfId="449" priority="36">
      <formula>ABS(K$25-K$28)&gt;=1000</formula>
    </cfRule>
  </conditionalFormatting>
  <conditionalFormatting sqref="L22 L26:L27 L29 L24">
    <cfRule type="expression" dxfId="448" priority="35">
      <formula>ABS(L$25-L$28)&gt;=1000</formula>
    </cfRule>
  </conditionalFormatting>
  <conditionalFormatting sqref="M22:M29">
    <cfRule type="expression" dxfId="447" priority="34">
      <formula>ABS(M$25-M$28)&gt;=1000</formula>
    </cfRule>
  </conditionalFormatting>
  <conditionalFormatting sqref="N22:N29">
    <cfRule type="expression" dxfId="446" priority="33">
      <formula>ABS(N$25-N$28)&gt;=1000</formula>
    </cfRule>
  </conditionalFormatting>
  <conditionalFormatting sqref="O22:O29">
    <cfRule type="expression" dxfId="445" priority="32">
      <formula>ABS(O$25-O$28)&gt;=1000</formula>
    </cfRule>
  </conditionalFormatting>
  <conditionalFormatting sqref="P22:P29">
    <cfRule type="expression" dxfId="444" priority="31">
      <formula>ABS(P$25-P$28)&gt;=1000</formula>
    </cfRule>
  </conditionalFormatting>
  <conditionalFormatting sqref="Q22:Q29">
    <cfRule type="expression" dxfId="443" priority="30">
      <formula>ABS(Q$25-Q$28)&gt;=1000</formula>
    </cfRule>
  </conditionalFormatting>
  <conditionalFormatting sqref="R22:R29">
    <cfRule type="expression" dxfId="442" priority="29">
      <formula>ABS(R$25-R$28)&gt;=1000</formula>
    </cfRule>
  </conditionalFormatting>
  <conditionalFormatting sqref="S22:S29">
    <cfRule type="expression" dxfId="441" priority="28">
      <formula>ABS(S$25-S$28)&gt;=1000</formula>
    </cfRule>
  </conditionalFormatting>
  <conditionalFormatting sqref="T22:T29">
    <cfRule type="expression" dxfId="440" priority="27">
      <formula>ABS(T$25-T$28)&gt;=1000</formula>
    </cfRule>
  </conditionalFormatting>
  <conditionalFormatting sqref="U22:U29">
    <cfRule type="expression" dxfId="439" priority="26">
      <formula>ABS(U$25-U$28)&gt;=1000</formula>
    </cfRule>
  </conditionalFormatting>
  <conditionalFormatting sqref="V22:V29">
    <cfRule type="expression" dxfId="438" priority="25">
      <formula>ABS(V$25-V$28)&gt;=1000</formula>
    </cfRule>
  </conditionalFormatting>
  <conditionalFormatting sqref="W22:W29">
    <cfRule type="expression" dxfId="437" priority="24">
      <formula>ABS(W$25-W$28)&gt;=1000</formula>
    </cfRule>
  </conditionalFormatting>
  <conditionalFormatting sqref="X22:X29">
    <cfRule type="expression" dxfId="436" priority="23">
      <formula>ABS(X$25-X$28)&gt;=1000</formula>
    </cfRule>
  </conditionalFormatting>
  <conditionalFormatting sqref="Y22:Y29">
    <cfRule type="expression" dxfId="435" priority="22">
      <formula>ABS(Y$25-Y$28)&gt;=1000</formula>
    </cfRule>
  </conditionalFormatting>
  <conditionalFormatting sqref="I23">
    <cfRule type="expression" dxfId="434" priority="21">
      <formula>ABS(I$25-I$28)&gt;=1000</formula>
    </cfRule>
  </conditionalFormatting>
  <conditionalFormatting sqref="Q14">
    <cfRule type="expression" dxfId="433" priority="20">
      <formula>ABS(Q$16-Q$19)&gt;=1000</formula>
    </cfRule>
  </conditionalFormatting>
  <conditionalFormatting sqref="W14">
    <cfRule type="expression" dxfId="432" priority="19">
      <formula>ABS(W$16-W$19)&gt;=1000</formula>
    </cfRule>
  </conditionalFormatting>
  <conditionalFormatting sqref="Y14">
    <cfRule type="expression" dxfId="431" priority="18">
      <formula>ABS(Y$16-Y$19)&gt;=1000</formula>
    </cfRule>
  </conditionalFormatting>
  <conditionalFormatting sqref="X14">
    <cfRule type="expression" dxfId="430" priority="17">
      <formula>ABS(X$16-X$19)&gt;=1000</formula>
    </cfRule>
  </conditionalFormatting>
  <conditionalFormatting sqref="T10:Y10">
    <cfRule type="expression" dxfId="429" priority="16">
      <formula>ABS(T$7-T$10)&gt;=1000</formula>
    </cfRule>
  </conditionalFormatting>
  <conditionalFormatting sqref="W19">
    <cfRule type="expression" dxfId="428" priority="15">
      <formula>ABS(W$16-W$19)&gt;=1000</formula>
    </cfRule>
  </conditionalFormatting>
  <conditionalFormatting sqref="AC5">
    <cfRule type="expression" dxfId="427" priority="14">
      <formula>ABS(AC$7-AC$10)&gt;=1000</formula>
    </cfRule>
  </conditionalFormatting>
  <conditionalFormatting sqref="M14">
    <cfRule type="expression" dxfId="426" priority="13">
      <formula>ABS(M$16-M$19)&gt;=1000</formula>
    </cfRule>
  </conditionalFormatting>
  <conditionalFormatting sqref="M16">
    <cfRule type="expression" dxfId="425" priority="12">
      <formula>ABS(M$16-M$19)&gt;=1000</formula>
    </cfRule>
  </conditionalFormatting>
  <conditionalFormatting sqref="M19">
    <cfRule type="expression" dxfId="424" priority="11">
      <formula>ABS(M$16-M$19)&gt;=1000</formula>
    </cfRule>
  </conditionalFormatting>
  <conditionalFormatting sqref="K13:K20">
    <cfRule type="expression" dxfId="423" priority="10">
      <formula>ABS(K$16-K$19)&gt;=1000</formula>
    </cfRule>
  </conditionalFormatting>
  <conditionalFormatting sqref="E5">
    <cfRule type="expression" dxfId="422" priority="9">
      <formula>ABS(E$7-E$10)&gt;=1000</formula>
    </cfRule>
  </conditionalFormatting>
  <conditionalFormatting sqref="AB14:AC14">
    <cfRule type="expression" dxfId="421" priority="8">
      <formula>ABS(AB$16-AB$19)&gt;=1000</formula>
    </cfRule>
  </conditionalFormatting>
  <conditionalFormatting sqref="M5">
    <cfRule type="expression" dxfId="420" priority="7">
      <formula>ABS(M$7-M$10)&gt;=1000</formula>
    </cfRule>
  </conditionalFormatting>
  <conditionalFormatting sqref="N5">
    <cfRule type="expression" dxfId="419" priority="6">
      <formula>ABS(N$7-N$10)&gt;=1000</formula>
    </cfRule>
  </conditionalFormatting>
  <conditionalFormatting sqref="O5">
    <cfRule type="expression" dxfId="418" priority="5">
      <formula>ABS(O$7-O$10)&gt;=1000</formula>
    </cfRule>
  </conditionalFormatting>
  <conditionalFormatting sqref="P5">
    <cfRule type="expression" dxfId="417" priority="4">
      <formula>ABS(P$7-P$10)&gt;=1000</formula>
    </cfRule>
  </conditionalFormatting>
  <conditionalFormatting sqref="L23">
    <cfRule type="expression" dxfId="416" priority="3">
      <formula>ABS(L$25-L$28)&gt;=1000</formula>
    </cfRule>
  </conditionalFormatting>
  <conditionalFormatting sqref="F14">
    <cfRule type="expression" dxfId="415" priority="2">
      <formula>ABS(F$16-F$19)&gt;=1000</formula>
    </cfRule>
  </conditionalFormatting>
  <conditionalFormatting sqref="AE5">
    <cfRule type="expression" dxfId="414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2246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31">
    <pageSetUpPr fitToPage="1"/>
  </sheetPr>
  <dimension ref="A1:CU223"/>
  <sheetViews>
    <sheetView view="pageBreakPreview" topLeftCell="A13" zoomScale="80" zoomScaleNormal="100" zoomScaleSheetLayoutView="80" workbookViewId="0">
      <selection activeCell="S27" sqref="S2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45925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55" t="s" ph="1">
        <v>177</v>
      </c>
      <c r="D6" s="71">
        <v>4883</v>
      </c>
      <c r="E6" s="71">
        <v>8750</v>
      </c>
      <c r="F6" s="71">
        <v>3598</v>
      </c>
      <c r="G6" s="71">
        <v>6678</v>
      </c>
      <c r="H6" s="71">
        <v>8614</v>
      </c>
      <c r="I6" s="71">
        <v>18.010000000000002</v>
      </c>
      <c r="J6" s="71">
        <v>6.99</v>
      </c>
      <c r="K6" s="71">
        <v>48.89</v>
      </c>
      <c r="L6" s="71">
        <v>29.85</v>
      </c>
      <c r="M6" s="71">
        <v>2010</v>
      </c>
      <c r="N6" s="71">
        <v>4768</v>
      </c>
      <c r="O6" s="71">
        <v>4017</v>
      </c>
      <c r="P6" s="71">
        <v>4444</v>
      </c>
      <c r="Q6" s="71">
        <v>7176</v>
      </c>
      <c r="R6" s="71">
        <v>7109</v>
      </c>
      <c r="S6" s="71">
        <v>2361</v>
      </c>
      <c r="T6" s="71">
        <v>0</v>
      </c>
      <c r="U6" s="71">
        <v>0</v>
      </c>
      <c r="V6" s="71">
        <v>0</v>
      </c>
      <c r="W6" s="71">
        <v>0</v>
      </c>
      <c r="X6" s="71">
        <v>3191</v>
      </c>
      <c r="Y6" s="71">
        <v>6932</v>
      </c>
      <c r="Z6" s="71">
        <v>3054</v>
      </c>
      <c r="AA6" s="71">
        <v>633</v>
      </c>
      <c r="AB6" s="71">
        <v>1924</v>
      </c>
      <c r="AC6" s="71">
        <v>326</v>
      </c>
      <c r="AD6" s="71">
        <v>4350</v>
      </c>
      <c r="AE6" s="71">
        <v>3455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152850.20218137</v>
      </c>
      <c r="E7" s="73" ph="1">
        <f>E6*51.53*LOOKUP(E8,密度!$A$2:$A$50,密度!$B$2:$B$50)</f>
        <v>349978.8775</v>
      </c>
      <c r="F7" s="73" ph="1">
        <f>F6*33.183*LOOKUP(F8,密度!$A$2:$A$50,密度!$C$2:$C$50)</f>
        <v>132119.6674644</v>
      </c>
      <c r="G7" s="73" ph="1">
        <f xml:space="preserve"> (G6+2)*51.53*LOOKUP(G8,密度!$A$2:$A$50,密度!$B$2:$B$50)</f>
        <v>267459.25080000004</v>
      </c>
      <c r="H7" s="73" ph="1">
        <f>(H6)*51.53*LOOKUP(H8,密度!$A$2:$A$50,密度!$B$2:$B$50)</f>
        <v>344894.30933999998</v>
      </c>
      <c r="I7" s="73" ph="1">
        <f>I6*290.8*1.0267</f>
        <v>5377.144123600001</v>
      </c>
      <c r="J7" s="73" ph="1">
        <f>J6*290.8*0.7892</f>
        <v>1604.2005264000002</v>
      </c>
      <c r="K7" s="73" ph="1">
        <f>K6*290.8*1.1126</f>
        <v>15818.070071200002</v>
      </c>
      <c r="L7" s="73" ph="1">
        <f>L6*290.8*0.777</f>
        <v>6744.6552600000014</v>
      </c>
      <c r="M7" s="73" ph="1">
        <f>M6*33.183*LOOKUP(M8,密度!$A$2:$A$50,密度!$D$2:$D$50)</f>
        <v>68291.908137000006</v>
      </c>
      <c r="N7" s="73" ph="1">
        <f>N6*33.183*LOOKUP(N8,密度!$A$2:$A$50,密度!$E$2:$E$50)</f>
        <v>123203.22281279998</v>
      </c>
      <c r="O7" s="73" ph="1">
        <f>O6*20.428*LOOKUP(O8,密度!$A$2:$A$50,密度!$C$2:$C$50)</f>
        <v>90601.646631600001</v>
      </c>
      <c r="P7" s="73" ph="1">
        <f>P6*51.53*LOOKUP(P8,密度!$A$2:$A$50,密度!$B$2:$B$50)</f>
        <v>178321.77048400001</v>
      </c>
      <c r="Q7" s="73" ph="1">
        <f>Q6*1.5*1.5*3.1416*LOOKUP(W8,密度!$A$2:$A$50,密度!$L$2:$L$50)</f>
        <v>47477.920089600004</v>
      </c>
      <c r="R7" s="73" ph="1">
        <f>R6*1.5*1.5*3.1416*LOOKUP(R8,密度!$A$2:$A$50,密度!$L$2:$L$50)</f>
        <v>46733.129982000006</v>
      </c>
      <c r="S7" s="73" ph="1">
        <f>S6*1.5*1.5*3.1416*LOOKUP(S8,密度!$A$2:$A$50,密度!$L$2:$L$50)</f>
        <v>15704.315688599998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21247.660249199998</v>
      </c>
      <c r="Y7" s="73" ph="1">
        <f>Y6*1.5*1.5*3.1416*LOOKUP(Y8,密度!$A$2:$A$50,密度!$L$2:$L$50)</f>
        <v>45863.5649472</v>
      </c>
      <c r="Z7" s="73" ph="1">
        <f>Z6*33.183*LOOKUP(Z8,密度!$A$2:$A$50,密度!$L$2:$L$50)</f>
        <v>94956.406434000004</v>
      </c>
      <c r="AA7" s="73" ph="1">
        <f>AA6*33.183*LOOKUP(AA8,密度!$A$2:$A$50,密度!$D$2:$D$50)</f>
        <v>21525.759007199998</v>
      </c>
      <c r="AB7" s="73" ph="1">
        <f>AB6*20.428*LOOKUP(AB8,密度!$A$2:$A$50,密度!$D$2:$D$50)</f>
        <v>40427.5512992</v>
      </c>
      <c r="AC7" s="73" ph="1">
        <f>AC6*51.53*LOOKUP(AC8,密度!$A$2:$A$50,密度!$Q$2:$Q$50)</f>
        <v>15904.076977199999</v>
      </c>
      <c r="AD7" s="73" ph="1">
        <f>AD6*20.428*LOOKUP(AD8,密度!$A$2:$A$50,密度!$V$2:$V$50)</f>
        <v>85094.059680000006</v>
      </c>
      <c r="AE7" s="73" ph="1">
        <f>AE6*20.428</f>
        <v>70578.740000000005</v>
      </c>
    </row>
    <row r="8" spans="1:99" ph="1">
      <c r="B8" s="182" ph="1"/>
      <c r="C8" s="68" t="s" ph="1">
        <v>179</v>
      </c>
      <c r="D8" s="74">
        <v>30</v>
      </c>
      <c r="E8" s="74">
        <v>29</v>
      </c>
      <c r="F8" s="74">
        <v>28</v>
      </c>
      <c r="G8" s="74">
        <v>28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29</v>
      </c>
      <c r="O8" s="74">
        <v>31</v>
      </c>
      <c r="P8" s="74">
        <v>26</v>
      </c>
      <c r="Q8" s="74">
        <v>26</v>
      </c>
      <c r="R8" s="74">
        <v>32</v>
      </c>
      <c r="S8" s="74">
        <v>21</v>
      </c>
      <c r="T8" s="74">
        <v>23</v>
      </c>
      <c r="U8" s="74">
        <v>27</v>
      </c>
      <c r="V8" s="74">
        <v>28</v>
      </c>
      <c r="W8" s="74">
        <v>26</v>
      </c>
      <c r="X8" s="74">
        <v>20</v>
      </c>
      <c r="Y8" s="74">
        <v>26</v>
      </c>
      <c r="Z8" s="74">
        <v>25</v>
      </c>
      <c r="AA8" s="74">
        <v>27</v>
      </c>
      <c r="AB8" s="74">
        <v>23</v>
      </c>
      <c r="AC8" s="74">
        <v>25</v>
      </c>
      <c r="AD8" s="74">
        <v>30</v>
      </c>
      <c r="AE8" s="74">
        <v>33</v>
      </c>
    </row>
    <row r="9" spans="1:99" ht="26.4" ph="1">
      <c r="B9" s="182" ph="1">
        <v>0.66666666666666663</v>
      </c>
      <c r="C9" s="155" t="s" ph="1">
        <v>180</v>
      </c>
      <c r="D9" s="71">
        <v>4886</v>
      </c>
      <c r="E9" s="71">
        <v>8752</v>
      </c>
      <c r="F9" s="71">
        <v>4166</v>
      </c>
      <c r="G9" s="71">
        <v>6683</v>
      </c>
      <c r="H9" s="71">
        <v>8620</v>
      </c>
      <c r="I9" s="71">
        <v>18</v>
      </c>
      <c r="J9" s="71">
        <v>7.04</v>
      </c>
      <c r="K9" s="71">
        <v>11.32</v>
      </c>
      <c r="L9" s="71">
        <v>9.11</v>
      </c>
      <c r="M9" s="71">
        <v>2010</v>
      </c>
      <c r="N9" s="71">
        <v>4772</v>
      </c>
      <c r="O9" s="71">
        <v>4067</v>
      </c>
      <c r="P9" s="71">
        <v>4071</v>
      </c>
      <c r="Q9" s="71">
        <v>7186</v>
      </c>
      <c r="R9" s="71">
        <v>7119</v>
      </c>
      <c r="S9" s="71">
        <v>5770</v>
      </c>
      <c r="T9" s="71">
        <v>2693</v>
      </c>
      <c r="U9" s="71">
        <v>0</v>
      </c>
      <c r="V9" s="71">
        <v>0</v>
      </c>
      <c r="W9" s="71">
        <v>0</v>
      </c>
      <c r="X9" s="71">
        <v>0</v>
      </c>
      <c r="Y9" s="71">
        <v>4287</v>
      </c>
      <c r="Z9" s="71">
        <v>1501</v>
      </c>
      <c r="AA9" s="71">
        <v>576</v>
      </c>
      <c r="AB9" s="71">
        <v>1925</v>
      </c>
      <c r="AC9" s="71">
        <v>634</v>
      </c>
      <c r="AD9" s="71">
        <v>4350</v>
      </c>
      <c r="AE9" s="71">
        <v>3635</v>
      </c>
    </row>
    <row r="10" spans="1:99" s="72" customFormat="1" ht="22.2" ph="1">
      <c r="B10" s="182" ph="1"/>
      <c r="C10" s="155" t="s" ph="1">
        <v>178</v>
      </c>
      <c r="D10" s="73" ph="1">
        <f>D9*33.183*LOOKUP(D11,密度!$A$2:$A$50,密度!$Q$2:$Q$50)</f>
        <v>152944.10973954</v>
      </c>
      <c r="E10" s="73" ph="1">
        <f>E9*51.53*LOOKUP(E11,密度!$A$2:$A$50,密度!$B$2:$B$50)</f>
        <v>349247.08966399997</v>
      </c>
      <c r="F10" s="73" ph="1">
        <f>F9*33.183*LOOKUP(F11,密度!$A$2:$A$50,密度!$C$2:$C$50)</f>
        <v>152976.8022948</v>
      </c>
      <c r="G10" s="73" ph="1">
        <f xml:space="preserve"> (G9+2)*51.53*LOOKUP(G11,密度!$A$2:$A$50,密度!$B$2:$B$50)</f>
        <v>266763.80192</v>
      </c>
      <c r="H10" s="73" ph="1">
        <f>(H9)*51.53*LOOKUP(H11,密度!$A$2:$A$50,密度!$B$2:$B$50)</f>
        <v>344779.19132000004</v>
      </c>
      <c r="I10" s="73" ph="1">
        <f>I9*290.8*1.0267</f>
        <v>5374.1584800000001</v>
      </c>
      <c r="J10" s="73" ph="1">
        <f>J9*290.8*0.7892</f>
        <v>1615.6754944000002</v>
      </c>
      <c r="K10" s="73" ph="1">
        <f>K9*290.8*1.1126</f>
        <v>3662.5189856000002</v>
      </c>
      <c r="L10" s="73" ph="1">
        <f>L9*290.8*0.777</f>
        <v>2058.4190760000001</v>
      </c>
      <c r="M10" s="73" ph="1">
        <f>M9*33.183*LOOKUP(M11,密度!$A$2:$A$50,密度!$D$2:$D$50)</f>
        <v>68105.154213000002</v>
      </c>
      <c r="N10" s="73" ph="1">
        <f>N9*33.183*LOOKUP(N11,密度!$A$2:$A$50,密度!$E$2:$E$50)</f>
        <v>123132.3970176</v>
      </c>
      <c r="O10" s="73" ph="1">
        <f>O9*20.428*LOOKUP(O11,密度!$A$2:$A$50,密度!$C$2:$C$50)</f>
        <v>91289.046788800013</v>
      </c>
      <c r="P10" s="73" ph="1">
        <f>P9*51.53*LOOKUP(P11,密度!$A$2:$A$50,密度!$B$2:$B$50)</f>
        <v>162263.77030499998</v>
      </c>
      <c r="Q10" s="73" ph="1">
        <f>Q9*1.5*1.5*3.1416*LOOKUP(W11,密度!$A$2:$A$50,密度!$L$2:$L$50)</f>
        <v>46832.952751200006</v>
      </c>
      <c r="R10" s="73" ph="1">
        <f>R9*1.5*1.5*3.1416*LOOKUP(R11,密度!$A$2:$A$50,密度!$L$2:$L$50)</f>
        <v>46748.546598600005</v>
      </c>
      <c r="S10" s="73" ph="1">
        <f>S9*1.5*1.5*3.1416*LOOKUP(S11,密度!$A$2:$A$50,密度!$L$2:$L$50)</f>
        <v>38297.886857999998</v>
      </c>
      <c r="T10" s="73" ph="1">
        <f>T9*1.5*1.5*3.1416*LOOKUP(T11,密度!$A$2:$A$50,密度!$L$2:$L$50)</f>
        <v>17893.595411999999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28303.084378799998</v>
      </c>
      <c r="Z10" s="73" ph="1">
        <f>Z9*33.183*LOOKUP(Z11,密度!$A$2:$A$50,密度!$L$2:$L$50)</f>
        <v>46619.991287999997</v>
      </c>
      <c r="AA10" s="73" ph="1">
        <f>AA9*33.183*LOOKUP(AA11,密度!$A$2:$A$50,密度!$D$2:$D$50)</f>
        <v>19499.498841599998</v>
      </c>
      <c r="AB10" s="73" ph="1">
        <f>AB9*20.428*LOOKUP(AB11,密度!$A$2:$A$50,密度!$D$2:$D$50)</f>
        <v>40338.456620000004</v>
      </c>
      <c r="AC10" s="73" ph="1">
        <f>AC9*51.53*LOOKUP(AC11,密度!$A$2:$A$50,密度!$Q$2:$Q$50)</f>
        <v>30771.891838</v>
      </c>
      <c r="AD10" s="73" ph="1">
        <f>AD9*20.428*LOOKUP(AD11,密度!$A$2:$A$50,密度!$V$2:$V$50)</f>
        <v>85094.059680000006</v>
      </c>
      <c r="AE10" s="73" ph="1">
        <f>AE9*20.428</f>
        <v>74255.78</v>
      </c>
    </row>
    <row r="11" spans="1:99" ph="1">
      <c r="A11" s="64" t="s" ph="1">
        <v>162</v>
      </c>
      <c r="B11" s="182" ph="1"/>
      <c r="C11" s="155" t="s" ph="1">
        <v>179</v>
      </c>
      <c r="D11" s="74">
        <v>30</v>
      </c>
      <c r="E11" s="74">
        <v>31</v>
      </c>
      <c r="F11" s="74">
        <v>28</v>
      </c>
      <c r="G11" s="74">
        <v>31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30</v>
      </c>
      <c r="O11" s="74">
        <v>36</v>
      </c>
      <c r="P11" s="74">
        <v>32</v>
      </c>
      <c r="Q11" s="74">
        <v>29</v>
      </c>
      <c r="R11" s="74">
        <v>33</v>
      </c>
      <c r="S11" s="74">
        <v>23</v>
      </c>
      <c r="T11" s="74">
        <v>22</v>
      </c>
      <c r="U11" s="74">
        <v>31</v>
      </c>
      <c r="V11" s="74">
        <v>28</v>
      </c>
      <c r="W11" s="74">
        <v>40</v>
      </c>
      <c r="X11" s="74">
        <v>28</v>
      </c>
      <c r="Y11" s="74">
        <v>28</v>
      </c>
      <c r="Z11" s="74">
        <v>26</v>
      </c>
      <c r="AA11" s="74">
        <v>32</v>
      </c>
      <c r="AB11" s="74">
        <v>26</v>
      </c>
      <c r="AC11" s="74">
        <v>32</v>
      </c>
      <c r="AD11" s="74">
        <v>30</v>
      </c>
      <c r="AE11" s="74">
        <v>37</v>
      </c>
    </row>
    <row r="12" spans="1:99" ht="9.9" customHeight="1" ph="1"/>
    <row r="13" spans="1:99" s="72" customFormat="1" ht="29.25" customHeight="1" ph="1">
      <c r="B13" s="190" t="s" ph="1">
        <v>37</v>
      </c>
      <c r="C13" s="15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150" t="s" ph="1">
        <v>643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55" t="s" ph="1">
        <v>177</v>
      </c>
      <c r="D15" s="78">
        <v>2277</v>
      </c>
      <c r="E15" s="78">
        <v>1230</v>
      </c>
      <c r="F15" s="78">
        <v>3442</v>
      </c>
      <c r="G15" s="78">
        <v>3828</v>
      </c>
      <c r="H15" s="78">
        <v>1964</v>
      </c>
      <c r="I15" s="78">
        <v>2668</v>
      </c>
      <c r="J15" s="78">
        <v>168</v>
      </c>
      <c r="K15" s="78">
        <v>4084</v>
      </c>
      <c r="L15" s="78">
        <v>5852</v>
      </c>
      <c r="M15" s="78">
        <v>4690</v>
      </c>
      <c r="N15" s="78">
        <v>231</v>
      </c>
      <c r="O15" s="78">
        <v>6468</v>
      </c>
      <c r="P15" s="78">
        <v>6935</v>
      </c>
      <c r="Q15" s="78">
        <v>6968</v>
      </c>
      <c r="R15" s="78">
        <v>1912</v>
      </c>
      <c r="S15" s="78">
        <v>6217</v>
      </c>
      <c r="T15" s="78">
        <v>2449</v>
      </c>
      <c r="U15" s="78">
        <v>5869</v>
      </c>
      <c r="V15" s="78">
        <v>850</v>
      </c>
      <c r="W15" s="71">
        <v>4615</v>
      </c>
      <c r="X15" s="78">
        <v>1110</v>
      </c>
      <c r="Y15" s="106">
        <v>-9906</v>
      </c>
      <c r="Z15" s="78">
        <v>0</v>
      </c>
      <c r="AA15" s="78">
        <v>7</v>
      </c>
      <c r="AB15" s="78" ph="1">
        <v>1096</v>
      </c>
      <c r="AC15" s="78" ph="1">
        <v>2152</v>
      </c>
      <c r="AD15" s="78">
        <v>63.78</v>
      </c>
      <c r="AE15" s="78">
        <v>5.65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55" t="s" ph="1">
        <v>178</v>
      </c>
      <c r="D16" s="73" ph="1">
        <f>D15*7.0686*LOOKUP(D17,密度!$A$2:$A$50,密度!$L$2:$L$50)</f>
        <v>15016.8236526</v>
      </c>
      <c r="E16" s="73" ph="1">
        <f>E15*7.0686*LOOKUP(E17,密度!$A$2:$A$50,密度!$L$2:$L$50)</f>
        <v>8111.8546740000011</v>
      </c>
      <c r="F16" s="73" ph="1">
        <f>F15*9.0746*LOOKUP(F17,密度!$A$2:$A$50,密度!$L$2:$L$50)</f>
        <v>29173.2781688</v>
      </c>
      <c r="G16" s="73" ph="1">
        <f>G15*9.0746*LOOKUP(G17,密度!$A$2:$A$50,密度!$B$2:$B$50)</f>
        <v>27050.14482456</v>
      </c>
      <c r="H16" s="73" ph="1">
        <f>H15*9.0746*LOOKUP(H17,密度!$A$2:$A$50,密度!$L$2:$L$50)</f>
        <v>16717.518507199999</v>
      </c>
      <c r="I16" s="73" ph="1">
        <f>I15*9.0746*LOOKUP(I17,密度!$A$2:$A$50,密度!$U$2:$U$50)</f>
        <v>24792.097587200002</v>
      </c>
      <c r="J16" s="73" ph="1">
        <f>J15*9.0746*LOOKUP(J17,密度!$A$2:$A$50,密度!$L$2:$L$50)</f>
        <v>1426.9627008</v>
      </c>
      <c r="K16" s="73" ph="1">
        <f>K15*9.0746*LOOKUP(K17,密度!$A$2:$A$50,密度!$C$2:$C$50)</f>
        <v>41040.981971360001</v>
      </c>
      <c r="L16" s="73" ph="1">
        <f>L15*9.0746*LOOKUP(L17,密度!$A$2:$A$50,密度!$E$2:$E$50)</f>
        <v>41410.935264160005</v>
      </c>
      <c r="M16" s="73" ph="1">
        <f>M15*9.0746*LOOKUP(M17,密度!$A$2:$A$50,密度!$M$2:$M$50)</f>
        <v>37112.210128000006</v>
      </c>
      <c r="N16" s="73" ph="1">
        <f>N15*9.0746*LOOKUP(N17,密度!$A$2:$A$50,密度!$M$2:$M$50)</f>
        <v>1834.4131482600003</v>
      </c>
      <c r="O16" s="73" ph="1">
        <f>O15*9.0746*LOOKUP(O17,密度!$A$2:$A$50,密度!$G$2:$G$50)</f>
        <v>56229.343262400005</v>
      </c>
      <c r="P16" s="73" ph="1">
        <f ca="1">P15*9.0746*LOOKUP(P17,密度!$A$2:$A$51,密度!$Q$2:$Q$50)</f>
        <v>59447.157401620003</v>
      </c>
      <c r="Q16" s="73" ph="1">
        <f>Q15*9.0746*LOOKUP(Q17,密度!$A$2:$A$50,密度!$Q$2:$Q$50)</f>
        <v>59686.405056304</v>
      </c>
      <c r="R16" s="73" ph="1">
        <f>MAX(R15*9.0746*LOOKUP(R17,密度!$A$2:$A$50,密度!$B$2:$B$50),0)</f>
        <v>13481.443550400001</v>
      </c>
      <c r="S16" s="73" ph="1">
        <f>S15*9.0746*LOOKUP(S17,密度!$A$2:$A$50,密度!$Q$2:$Q$50)</f>
        <v>53253.498885626002</v>
      </c>
      <c r="T16" s="73" ph="1">
        <f>T15*9.0746*LOOKUP(T17,密度!$A$2:$A$50,密度!$O$2:$O$50)</f>
        <v>20579.141940400001</v>
      </c>
      <c r="U16" s="73" ph="1">
        <f>U15*9.0746*LOOKUP(U17,密度!$A$2:$A$50,密度!$H$2:$H$50)</f>
        <v>48518.791761400003</v>
      </c>
      <c r="V16" s="73" ph="1">
        <f>MAX(5600*LOOKUP(V17,密度!$A$2:$A$50,密度!$Q$2:$Q$50)+V15*9.0476*LOOKUP(V17,密度!$A$2:$A$50,密度!$Q$2:$Q$50),0)</f>
        <v>12527.321786799999</v>
      </c>
      <c r="W16" s="73" ph="1">
        <f>MAX(5600*LOOKUP(W17,密度!$A$2:$A$50,密度!$Q$2:$Q$50)+W15*9.0476*LOOKUP(W17,密度!$A$2:$A$50,密度!$Q$2:$Q$50),0)</f>
        <v>44635.568618919991</v>
      </c>
      <c r="X16" s="73" ph="1">
        <f>MAX(5600*LOOKUP(X17,密度!$A$2:$A$50,密度!$I$2:$I$50)+X15*9.0476*LOOKUP(X17,密度!$A$2:$A$50,密度!$I$2:$I$50),0)</f>
        <v>16215.363797599999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49.521907119999995</v>
      </c>
      <c r="AB16" s="73" ph="1">
        <f>AB15*9.0746*LOOKUP(AB17,密度!$A$2:$A$50,密度!$L$2:$L$50)</f>
        <v>9309.2328576</v>
      </c>
      <c r="AC16" s="73" ph="1">
        <f>AC15*9.0746*LOOKUP(AC17,密度!$A$2:$A$50,密度!$L$2:$L$50)</f>
        <v>18278.712691200002</v>
      </c>
      <c r="AD16" s="73" ph="1">
        <f>AD15*268.68*LOOKUP(AD17,密度!$A$2:$A$50,密度!B2:B50)+IF(AD15&lt;=0,0,1566*LOOKUP(AD17,密度!$A$2:$A$50,密度!B2:B50))</f>
        <v>14580.39914784</v>
      </c>
      <c r="AE16" s="73" ph="1">
        <f>AE15*268.68*LOOKUP(AE17,密度!$A$2:$A$50,密度!B2:B50)+IF(AE15&lt;=0,0,1566*LOOKUP(AE17,密度!$A$2:$A$50,密度!B2:B50))</f>
        <v>2404.3191431999999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29</v>
      </c>
      <c r="E17" s="74">
        <v>29</v>
      </c>
      <c r="F17" s="74">
        <v>28</v>
      </c>
      <c r="G17" s="74">
        <v>26</v>
      </c>
      <c r="H17" s="74">
        <v>24</v>
      </c>
      <c r="I17" s="74">
        <v>26</v>
      </c>
      <c r="J17" s="74">
        <v>26</v>
      </c>
      <c r="K17" s="74">
        <v>27</v>
      </c>
      <c r="L17" s="74">
        <v>28</v>
      </c>
      <c r="M17" s="74">
        <v>28</v>
      </c>
      <c r="N17" s="74">
        <v>25</v>
      </c>
      <c r="O17" s="74">
        <v>27</v>
      </c>
      <c r="P17" s="74">
        <v>28</v>
      </c>
      <c r="Q17" s="74">
        <v>29</v>
      </c>
      <c r="R17" s="74">
        <v>28</v>
      </c>
      <c r="S17" s="74">
        <v>29</v>
      </c>
      <c r="T17" s="74">
        <v>28</v>
      </c>
      <c r="U17" s="74">
        <v>29</v>
      </c>
      <c r="V17" s="74">
        <v>31</v>
      </c>
      <c r="W17" s="74">
        <v>31</v>
      </c>
      <c r="X17" s="74">
        <v>30</v>
      </c>
      <c r="Y17" s="108">
        <v>30</v>
      </c>
      <c r="Z17" s="74">
        <v>26</v>
      </c>
      <c r="AA17" s="74">
        <v>25</v>
      </c>
      <c r="AB17" s="74">
        <v>26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211</v>
      </c>
      <c r="E18" s="71">
        <v>2829</v>
      </c>
      <c r="F18" s="71">
        <v>3444</v>
      </c>
      <c r="G18" s="71">
        <v>3965</v>
      </c>
      <c r="H18" s="71">
        <v>1965</v>
      </c>
      <c r="I18" s="71">
        <v>2669</v>
      </c>
      <c r="J18" s="71">
        <v>166</v>
      </c>
      <c r="K18" s="71">
        <v>4111</v>
      </c>
      <c r="L18" s="71">
        <v>5868</v>
      </c>
      <c r="M18" s="71">
        <v>4702</v>
      </c>
      <c r="N18" s="71">
        <v>1186</v>
      </c>
      <c r="O18" s="71">
        <v>6477</v>
      </c>
      <c r="P18" s="71">
        <v>6947</v>
      </c>
      <c r="Q18" s="71">
        <v>5202</v>
      </c>
      <c r="R18" s="71">
        <v>1915</v>
      </c>
      <c r="S18" s="71">
        <v>6226</v>
      </c>
      <c r="T18" s="71">
        <v>6556</v>
      </c>
      <c r="U18" s="71">
        <v>2966</v>
      </c>
      <c r="V18" s="71">
        <v>850</v>
      </c>
      <c r="W18" s="71">
        <v>4615</v>
      </c>
      <c r="X18" s="71">
        <v>1109</v>
      </c>
      <c r="Y18" s="109">
        <v>-9908</v>
      </c>
      <c r="Z18" s="71">
        <v>0</v>
      </c>
      <c r="AA18" s="71">
        <v>6</v>
      </c>
      <c r="AB18" s="71">
        <v>1095</v>
      </c>
      <c r="AC18" s="71">
        <v>2155</v>
      </c>
      <c r="AD18" s="71">
        <v>83.7</v>
      </c>
      <c r="AE18" s="71">
        <v>19.48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55" t="s" ph="1">
        <v>178</v>
      </c>
      <c r="D19" s="73" ph="1">
        <f>D18*7.0686*LOOKUP(D20,密度!$A$2:$A$50,密度!$L$2:$L$50)</f>
        <v>1388.5628526</v>
      </c>
      <c r="E19" s="73" ph="1">
        <f>E18*7.0686*LOOKUP(E20,密度!$A$2:$A$50,密度!$L$2:$L$50)</f>
        <v>18617.2716114</v>
      </c>
      <c r="F19" s="73" ph="1">
        <f>F18*9.0746*LOOKUP(F20,密度!$A$2:$A$50,密度!$L$2:$L$50)</f>
        <v>29065.217832000002</v>
      </c>
      <c r="G19" s="73" ph="1">
        <f>G18*9.0746*LOOKUP(G20,密度!$A$2:$A$50,密度!$B$2:$B$50)</f>
        <v>27957.073053000004</v>
      </c>
      <c r="H19" s="73" ph="1">
        <f>H18*9.0746*LOOKUP(H20,密度!$A$2:$A$50,密度!$L$2:$L$50)</f>
        <v>16672.535715000002</v>
      </c>
      <c r="I19" s="73" ph="1">
        <f>I18*9.0746*LOOKUP(I20,密度!$A$2:$A$50,密度!$U$2:$U$50)</f>
        <v>24680.289440599998</v>
      </c>
      <c r="J19" s="73" ph="1">
        <f>J18*9.0746*LOOKUP(J20,密度!$A$2:$A$50,密度!$L$2:$L$50)</f>
        <v>1402.4431316000002</v>
      </c>
      <c r="K19" s="73" ph="1">
        <f>K18*9.0746*LOOKUP(K20,密度!$A$2:$A$50,密度!$C$2:$C$50)</f>
        <v>41226.507631059998</v>
      </c>
      <c r="L19" s="73" ph="1">
        <f>L18*9.0746*LOOKUP(L20,密度!$A$2:$A$50,密度!$E$2:$E$50)</f>
        <v>41465.582505359998</v>
      </c>
      <c r="M19" s="73" ph="1">
        <f>M18*9.0746*LOOKUP(M20,密度!$A$2:$A$50,密度!$M$2:$M$50)</f>
        <v>36984.009079484007</v>
      </c>
      <c r="N19" s="73" ph="1">
        <f>N18*9.0746*LOOKUP(N20,密度!$A$2:$A$50,密度!$M$2:$M$50)</f>
        <v>9351.192174572001</v>
      </c>
      <c r="O19" s="73" ph="1">
        <f>O18*9.0746*LOOKUP(O20,密度!$A$2:$A$50,密度!$G$2:$G$50)</f>
        <v>56113.623055740005</v>
      </c>
      <c r="P19" s="73" ph="1">
        <f ca="1">P18*9.0746*LOOKUP(P20,密度!$A$2:$A$51,密度!$Q$2:$Q$50)</f>
        <v>59378.549795779996</v>
      </c>
      <c r="Q19" s="73" ph="1">
        <f>Q18*9.0746*LOOKUP(Q20,密度!$A$2:$A$50,密度!$Q$2:$Q$50)</f>
        <v>44495.496706535996</v>
      </c>
      <c r="R19" s="73" ph="1">
        <f>MAX(R18*9.0746*LOOKUP(R20,密度!$A$2:$A$50,密度!$B$2:$B$50),0)</f>
        <v>13412.231576200002</v>
      </c>
      <c r="S19" s="73" ph="1">
        <f>S18*9.0746*LOOKUP(S20,密度!$A$2:$A$50,密度!$Q$2:$Q$50)</f>
        <v>53330.590970228004</v>
      </c>
      <c r="T19" s="73" ph="1">
        <f>T18*9.0746*LOOKUP(T20,密度!$A$2:$A$50,密度!$O$2:$O$50)</f>
        <v>54805.023085120003</v>
      </c>
      <c r="U19" s="73" ph="1">
        <f>U18*9.0746*LOOKUP(U20,密度!$A$2:$A$50,密度!$H$2:$H$50)</f>
        <v>24519.805139600001</v>
      </c>
      <c r="V19" s="73" ph="1">
        <f>MAX(5600*LOOKUP(V20,密度!$A$2:$A$50,密度!$Q$2:$Q$50)+V18*9.0476*LOOKUP(V20,密度!$A$2:$A$50,密度!$Q$2:$Q$50),0)</f>
        <v>12500.8737714</v>
      </c>
      <c r="W19" s="73" ph="1">
        <f>MAX(5600*LOOKUP(W20,密度!$A$2:$A$50,密度!$Q$2:$Q$50)+W18*9.0476*LOOKUP(W20,密度!$A$2:$A$50,密度!$Q$2:$Q$50),0)</f>
        <v>44510.552279559997</v>
      </c>
      <c r="X19" s="73" ph="1">
        <f>MAX(5600*LOOKUP(X20,密度!$A$2:$A$50,密度!$I$2:$I$50)+X18*9.0476*LOOKUP(X20,密度!$A$2:$A$50,密度!$I$2:$I$50),0)</f>
        <v>16188.944226083999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42.022657680000002</v>
      </c>
      <c r="AB19" s="73" ph="1">
        <f>AB18*9.0746*LOOKUP(AB20,密度!$A$2:$A$50,密度!$L$2:$L$50)</f>
        <v>9171.5621009999995</v>
      </c>
      <c r="AC19" s="73" ph="1">
        <f>AC18*9.0746*LOOKUP(AC20,密度!$A$2:$A$50,密度!$L$2:$L$50)</f>
        <v>18245.526879000001</v>
      </c>
      <c r="AD19" s="73" ph="1">
        <f>AD18*268.68*LOOKUP(AD20,密度!$A$2:$A$50,密度!B5:B53)+IF(AD18&lt;=0,0,1566*LOOKUP(AD20,密度!$A$2:$A$50,密度!B5:B53))</f>
        <v>18690.358931999999</v>
      </c>
      <c r="AE19" s="73" ph="1">
        <f>AE18*268.68*LOOKUP(AE20,密度!$A$2:$A$50,密度!B5:B53)+IF(AE18&lt;=0,0,1566*LOOKUP(AE20,密度!$A$2:$A$50,密度!B5:B53))</f>
        <v>5283.5117328000006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31</v>
      </c>
      <c r="E20" s="81">
        <v>31</v>
      </c>
      <c r="F20" s="81">
        <v>32</v>
      </c>
      <c r="G20" s="81">
        <v>28</v>
      </c>
      <c r="H20" s="81">
        <v>27</v>
      </c>
      <c r="I20" s="81">
        <v>31</v>
      </c>
      <c r="J20" s="81">
        <v>31</v>
      </c>
      <c r="K20" s="81">
        <v>30</v>
      </c>
      <c r="L20" s="81">
        <v>29</v>
      </c>
      <c r="M20" s="81">
        <v>33</v>
      </c>
      <c r="N20" s="81">
        <v>31</v>
      </c>
      <c r="O20" s="81">
        <v>30</v>
      </c>
      <c r="P20" s="81">
        <v>32</v>
      </c>
      <c r="Q20" s="81">
        <v>31</v>
      </c>
      <c r="R20" s="81">
        <v>34</v>
      </c>
      <c r="S20" s="81">
        <v>29</v>
      </c>
      <c r="T20" s="81">
        <v>33</v>
      </c>
      <c r="U20" s="81">
        <v>29</v>
      </c>
      <c r="V20" s="81">
        <v>34</v>
      </c>
      <c r="W20" s="81">
        <v>35</v>
      </c>
      <c r="X20" s="81">
        <v>31</v>
      </c>
      <c r="Y20" s="110">
        <v>31</v>
      </c>
      <c r="Z20" s="81">
        <v>40</v>
      </c>
      <c r="AA20" s="81">
        <v>34</v>
      </c>
      <c r="AB20" s="81">
        <v>39</v>
      </c>
      <c r="AC20" s="81">
        <v>29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55" t="s" ph="1">
        <v>177</v>
      </c>
      <c r="D24" s="71">
        <v>4.3499999999999996</v>
      </c>
      <c r="E24" s="71">
        <v>5.44</v>
      </c>
      <c r="F24" s="71">
        <v>12</v>
      </c>
      <c r="G24" s="71">
        <v>1618</v>
      </c>
      <c r="H24" s="71">
        <v>2473</v>
      </c>
      <c r="I24" s="71">
        <v>2967</v>
      </c>
      <c r="J24" s="71">
        <v>5230</v>
      </c>
      <c r="K24" s="71">
        <v>5259</v>
      </c>
      <c r="L24" s="71">
        <v>5606</v>
      </c>
      <c r="M24" s="71">
        <v>5400</v>
      </c>
      <c r="N24" s="71">
        <v>5526</v>
      </c>
      <c r="O24" s="71">
        <v>5596</v>
      </c>
      <c r="P24" s="71">
        <v>2433</v>
      </c>
      <c r="Q24" s="90">
        <v>4261</v>
      </c>
      <c r="R24" s="71">
        <v>207</v>
      </c>
      <c r="S24" s="71">
        <v>236</v>
      </c>
      <c r="T24" s="71">
        <v>848</v>
      </c>
      <c r="U24" s="71">
        <v>4519</v>
      </c>
      <c r="V24" s="71">
        <v>1545</v>
      </c>
      <c r="W24" s="71">
        <v>5295</v>
      </c>
      <c r="X24" s="71">
        <v>658</v>
      </c>
      <c r="Y24" s="71">
        <v>1893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2589.1047889199999</v>
      </c>
      <c r="E25" s="91" ph="1">
        <f>E24*268.68*LOOKUP(E26,密度!$A$2:$A$50,密度!$C$2:$C$50)+IF(E24&lt;=0,0,1566*LOOKUP(E26,密度!$A$2:$A$50,密度!$C$2:$C$50))</f>
        <v>3357.32693088</v>
      </c>
      <c r="F25" s="91" ph="1">
        <f>F24*11.702*LOOKUP(F26,密度!$A$2:$A$50,密度!$Q$2:$Q$50)</f>
        <v>132.55042632000001</v>
      </c>
      <c r="G25" s="91" ph="1">
        <f>G24*18.322*LOOKUP(G26,密度!$A$2:$A$50,密度!$B$2:$B$50)</f>
        <v>23010.445895199999</v>
      </c>
      <c r="H25" s="91" ph="1">
        <f>H24*18.322*LOOKUP(H26,密度!$A$2:$A$50,密度!$B$2:$B$50)</f>
        <v>35169.859517199999</v>
      </c>
      <c r="I25" s="91" ph="1">
        <f>I24*18.322*LOOKUP(I26,密度!$A$2:$A$50,密度!$Q$2:$Q$50)</f>
        <v>51350.841107879998</v>
      </c>
      <c r="J25" s="91" ph="1">
        <f>J24*18.322*LOOKUP(J26,密度!$A$2:$A$50,密度!$Q$2:$Q$50)</f>
        <v>90517.323557199998</v>
      </c>
      <c r="K25" s="91" ph="1">
        <f>K24*18.322*LOOKUP(K26,密度!$A$2:$A$50,密度!$Q$2:$Q$50)</f>
        <v>91019.236058759998</v>
      </c>
      <c r="L25" s="91" ph="1">
        <f>L24*18.322*LOOKUP(L26,密度!$A$2:$A$50,密度!$Q$2:$Q$50)</f>
        <v>96954.006688759997</v>
      </c>
      <c r="M25" s="91" ph="1">
        <f>M24*18.322*LOOKUP(M26,密度!$A$2:$A$50,密度!$Q$2:$Q$50)</f>
        <v>93391.301483999996</v>
      </c>
      <c r="N25" s="91" ph="1">
        <f>N24*18.322*LOOKUP(N26,密度!$A$2:$A$50,密度!$Q$2:$Q$50)</f>
        <v>95640.292538639987</v>
      </c>
      <c r="O25" s="91" ph="1">
        <f>O24*18.322*LOOKUP(O26,密度!$A$2:$A$50,密度!$C$2:$C$50)</f>
        <v>113459.60061920001</v>
      </c>
      <c r="P25" s="91" ph="1">
        <f>P24*11.702*LOOKUP(P26,密度!$A$2:$A$50,密度!$B$2:$B$50)</f>
        <v>22099.163809199999</v>
      </c>
      <c r="Q25" s="92" ph="1">
        <f>Q24*18.322*LOOKUP(Q26,密度!$A$2:$A$50,密度!$B$2:$B$50)</f>
        <v>60597.966600400003</v>
      </c>
      <c r="R25" s="91" ph="1">
        <f>R24*35.891*LOOKUP(R26,密度!$A$2:$A$50,密度!$C$2:$C$50)</f>
        <v>8221.4149842000006</v>
      </c>
      <c r="S25" s="91" ph="1">
        <f>S24*35.891*LOOKUP(S26,密度!$A$2:$A$50,密度!$B$2:$B$50)</f>
        <v>6581.4044519999998</v>
      </c>
      <c r="T25" s="91" ph="1">
        <f>T24*35.891*LOOKUP(T26,密度!$A$2:$A$50,密度!$Q$2:$Q$50)</f>
        <v>28750.046244159999</v>
      </c>
      <c r="U25" s="91" ph="1">
        <f>U24*35.891</f>
        <v>162191.429</v>
      </c>
      <c r="V25" s="91" ph="1">
        <f>V24*47.051*LOOKUP(V26,密度!$A$2:$A$50,密度!$B$2:$B$50)</f>
        <v>56483.078715000003</v>
      </c>
      <c r="W25" s="91" ph="1">
        <f>W24*47.051*LOOKUP(W26,密度!$A$2:$A$50,密度!$B$2:$B$50)</f>
        <v>193577.92996500002</v>
      </c>
      <c r="X25" s="91" ph="1">
        <f>X24*47.051*LOOKUP(X26,密度!$A$2:$A$50,密度!$I$2:$I$50)</f>
        <v>32126.733336600002</v>
      </c>
      <c r="Y25" s="91" ph="1">
        <f>Y24*47.051*LOOKUP(Y26,密度!$A$2:$A$50,密度!$L$2:$L$50)</f>
        <v>83189.085162000003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29</v>
      </c>
      <c r="G26" s="74">
        <v>29</v>
      </c>
      <c r="H26" s="74">
        <v>29</v>
      </c>
      <c r="I26" s="74">
        <v>28</v>
      </c>
      <c r="J26" s="74">
        <v>28</v>
      </c>
      <c r="K26" s="74">
        <v>28</v>
      </c>
      <c r="L26" s="74">
        <v>29</v>
      </c>
      <c r="M26" s="74">
        <v>29</v>
      </c>
      <c r="N26" s="74">
        <v>28</v>
      </c>
      <c r="O26" s="74">
        <v>28</v>
      </c>
      <c r="P26" s="74">
        <v>29</v>
      </c>
      <c r="Q26" s="93">
        <v>29</v>
      </c>
      <c r="R26" s="74">
        <v>28</v>
      </c>
      <c r="S26" s="74">
        <v>28</v>
      </c>
      <c r="T26" s="74">
        <v>28</v>
      </c>
      <c r="U26" s="74">
        <v>29</v>
      </c>
      <c r="V26" s="74">
        <v>28</v>
      </c>
      <c r="W26" s="74">
        <v>28</v>
      </c>
      <c r="X26" s="74">
        <v>29</v>
      </c>
      <c r="Y26" s="74">
        <v>28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55" t="s" ph="1">
        <v>180</v>
      </c>
      <c r="D27" s="71">
        <v>4.34</v>
      </c>
      <c r="E27" s="71">
        <v>5.41</v>
      </c>
      <c r="F27" s="71">
        <v>9</v>
      </c>
      <c r="G27" s="71">
        <v>1616</v>
      </c>
      <c r="H27" s="71">
        <v>1831</v>
      </c>
      <c r="I27" s="71">
        <v>2965</v>
      </c>
      <c r="J27" s="71">
        <v>5232</v>
      </c>
      <c r="K27" s="71">
        <v>5260</v>
      </c>
      <c r="L27" s="71">
        <v>5602</v>
      </c>
      <c r="M27" s="71">
        <v>5401</v>
      </c>
      <c r="N27" s="71">
        <v>5525</v>
      </c>
      <c r="O27" s="71">
        <v>5592</v>
      </c>
      <c r="P27" s="71">
        <v>1484</v>
      </c>
      <c r="Q27" s="90">
        <v>1390</v>
      </c>
      <c r="R27" s="71">
        <v>203</v>
      </c>
      <c r="S27" s="71">
        <v>2791</v>
      </c>
      <c r="T27" s="71">
        <v>847</v>
      </c>
      <c r="U27" s="71">
        <v>4448</v>
      </c>
      <c r="V27" s="71">
        <v>1272</v>
      </c>
      <c r="W27" s="71">
        <v>5293</v>
      </c>
      <c r="X27" s="71">
        <v>244</v>
      </c>
      <c r="Y27" s="71">
        <v>2502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55" t="s" ph="1">
        <v>178</v>
      </c>
      <c r="D28" s="91" ph="1">
        <f>D27*268.68*LOOKUP(D29,密度!$A$2:$A$50,密度!$Q$2:$Q$50)+IF(D27&lt;=0,0,1566*LOOKUP(D29,密度!$A$2:$A$50,密度!$Q$2:$Q$50))</f>
        <v>2586.5610878880002</v>
      </c>
      <c r="E28" s="91" ph="1">
        <f>E27*268.68*LOOKUP(E29,密度!$A$2:$A$50,密度!$C$2:$C$50)+IF(E27&lt;=0,0,1566*LOOKUP(E29,密度!$A$2:$A$50,密度!$C$2:$C$50))</f>
        <v>3348.38875332</v>
      </c>
      <c r="F28" s="91" ph="1">
        <f>F27*11.702*LOOKUP(F29,密度!$A$2:$A$50,密度!$Q$2:$Q$50)</f>
        <v>99.412819740000003</v>
      </c>
      <c r="G28" s="91" ph="1">
        <f>G27*18.322*LOOKUP(G29,密度!$A$2:$A$50,密度!$B$2:$B$50)</f>
        <v>22982.002822399998</v>
      </c>
      <c r="H28" s="91" ph="1">
        <f>H27*18.322*LOOKUP(H29,密度!$A$2:$A$50,密度!$B$2:$B$50)</f>
        <v>26096.664037799997</v>
      </c>
      <c r="I28" s="91" ph="1">
        <f>I27*18.322*LOOKUP(I29,密度!$A$2:$A$50,密度!$Q$2:$Q$50)</f>
        <v>51278.742388899998</v>
      </c>
      <c r="J28" s="91" ph="1">
        <f>J27*18.322*LOOKUP(J29,密度!$A$2:$A$50,密度!$Q$2:$Q$50)</f>
        <v>90551.938212480003</v>
      </c>
      <c r="K28" s="91" ph="1">
        <f>K27*18.322*LOOKUP(K29,密度!$A$2:$A$50,密度!$Q$2:$Q$50)</f>
        <v>91104.004990400004</v>
      </c>
      <c r="L28" s="91" ph="1">
        <f>L27*18.322*LOOKUP(L29,密度!$A$2:$A$50,密度!$Q$2:$Q$50)</f>
        <v>97027.497330080005</v>
      </c>
      <c r="M28" s="91" ph="1">
        <f>M27*18.322*LOOKUP(M29,密度!$A$2:$A$50,密度!$Q$2:$Q$50)</f>
        <v>93476.876583639983</v>
      </c>
      <c r="N28" s="91" ph="1">
        <f>N27*18.322*LOOKUP(N29,密度!$A$2:$A$50,密度!$Q$2:$Q$50)</f>
        <v>95693.845545999997</v>
      </c>
      <c r="O28" s="91" ph="1">
        <f>O27*18.322*LOOKUP(O29,密度!$A$2:$A$50,密度!$C$2:$C$50)</f>
        <v>113532.1850544</v>
      </c>
      <c r="P28" s="91" ph="1">
        <f>P27*11.702*LOOKUP(P29,密度!$A$2:$A$50,密度!$B$2:$B$50)</f>
        <v>13493.201736000001</v>
      </c>
      <c r="Q28" s="92" ph="1">
        <f>Q27*18.322*LOOKUP(Q29,密度!$A$2:$A$50,密度!$B$2:$B$50)</f>
        <v>19788.309659999999</v>
      </c>
      <c r="R28" s="91" ph="1">
        <f>R27*35.891*LOOKUP(R29,密度!$A$2:$A$50,密度!$C$2:$C$50)</f>
        <v>8057.4469507000003</v>
      </c>
      <c r="S28" s="91" ph="1">
        <f>S27*35.891*LOOKUP(S29,密度!$A$2:$A$50,密度!$B$2:$B$50)</f>
        <v>77753.336412199991</v>
      </c>
      <c r="T28" s="91" ph="1">
        <f>T27*35.891*LOOKUP(T29,密度!$A$2:$A$50,密度!$Q$2:$Q$50)</f>
        <v>28759.006432310001</v>
      </c>
      <c r="U28" s="91" ph="1">
        <f>U27*35.891</f>
        <v>159643.16800000001</v>
      </c>
      <c r="V28" s="91" ph="1">
        <f>V27*47.051*LOOKUP(V29,密度!$A$2:$A$50,密度!$B$2:$B$50)</f>
        <v>46556.437528800001</v>
      </c>
      <c r="W28" s="91" ph="1">
        <f>W27*47.051*LOOKUP(W29,密度!$A$2:$A$50,密度!$B$2:$B$50)</f>
        <v>193728.94955970001</v>
      </c>
      <c r="X28" s="91" ph="1">
        <f>X27*47.051*LOOKUP(X29,密度!$A$2:$A$50,密度!$I$2:$I$50)</f>
        <v>11913.256738800002</v>
      </c>
      <c r="Y28" s="91" ph="1">
        <f>Y27*47.051*LOOKUP(Y29,密度!$A$2:$A$50,密度!$L$2:$L$50)</f>
        <v>109951.976268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55" t="s" ph="1">
        <v>179</v>
      </c>
      <c r="D29" s="74">
        <v>25</v>
      </c>
      <c r="E29" s="74">
        <v>25</v>
      </c>
      <c r="F29" s="74">
        <v>29</v>
      </c>
      <c r="G29" s="74">
        <v>29</v>
      </c>
      <c r="H29" s="74">
        <v>27</v>
      </c>
      <c r="I29" s="74">
        <v>29</v>
      </c>
      <c r="J29" s="74">
        <v>28</v>
      </c>
      <c r="K29" s="74">
        <v>27</v>
      </c>
      <c r="L29" s="74">
        <v>27</v>
      </c>
      <c r="M29" s="74">
        <v>28</v>
      </c>
      <c r="N29" s="74">
        <v>27</v>
      </c>
      <c r="O29" s="74">
        <v>26</v>
      </c>
      <c r="P29" s="74">
        <v>28</v>
      </c>
      <c r="Q29" s="93">
        <v>28</v>
      </c>
      <c r="R29" s="74">
        <v>29</v>
      </c>
      <c r="S29" s="74">
        <v>29</v>
      </c>
      <c r="T29" s="74">
        <v>26</v>
      </c>
      <c r="U29" s="74">
        <v>26</v>
      </c>
      <c r="V29" s="74">
        <v>27</v>
      </c>
      <c r="W29" s="74">
        <v>27</v>
      </c>
      <c r="X29" s="74">
        <v>29</v>
      </c>
      <c r="Y29" s="74">
        <v>28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55" t="s" ph="1">
        <v>5</v>
      </c>
      <c r="F32" s="156" t="s" ph="1">
        <v>43</v>
      </c>
      <c r="G32" s="97" t="s" ph="1">
        <v>4</v>
      </c>
      <c r="H32" s="155" t="s" ph="1">
        <v>5</v>
      </c>
      <c r="I32" s="156" t="s" ph="1">
        <v>43</v>
      </c>
      <c r="J32" s="97" t="s" ph="1">
        <v>4</v>
      </c>
      <c r="K32" s="155" t="s" ph="1">
        <v>5</v>
      </c>
      <c r="L32" s="156" t="s" ph="1">
        <v>43</v>
      </c>
      <c r="M32" s="97" t="s" ph="1">
        <v>4</v>
      </c>
      <c r="N32" s="155" t="s" ph="1">
        <v>5</v>
      </c>
      <c r="O32" s="156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5" t="s" ph="1">
        <v>5</v>
      </c>
      <c r="U32" s="99" t="s" ph="1">
        <v>43</v>
      </c>
      <c r="V32" s="97" t="s" ph="1">
        <v>4</v>
      </c>
      <c r="W32" s="155" t="s" ph="1">
        <v>5</v>
      </c>
      <c r="X32" s="99" t="s" ph="1">
        <v>43</v>
      </c>
      <c r="Y32" s="100" t="s" ph="1">
        <v>4</v>
      </c>
      <c r="Z32" s="155" t="s" ph="1">
        <v>5</v>
      </c>
      <c r="AA32" s="156" t="s" ph="1">
        <v>43</v>
      </c>
      <c r="AB32" s="97" t="s" ph="1">
        <v>85</v>
      </c>
      <c r="AC32" s="155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59837.955461600002</v>
      </c>
      <c r="E33" s="204" ph="1">
        <f>M10+I10</f>
        <v>73479.312693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08" ph="1">
        <v>0</v>
      </c>
      <c r="H33" s="204" ph="1">
        <f>N19</f>
        <v>9351.192174572001</v>
      </c>
      <c r="I33" s="217" ph="1">
        <v>0</v>
      </c>
      <c r="J33" s="215" ph="1">
        <f>F10+O28</f>
        <v>266508.9873492</v>
      </c>
      <c r="K33" s="204" ph="1">
        <f>O10+K10+E28+R28</f>
        <v>106357.40147842003</v>
      </c>
      <c r="L33" s="219" ph="1">
        <f>BE27</f>
        <v>7100</v>
      </c>
      <c r="M33" s="215" ph="1">
        <f>G10+H10+W28+S28+V28+E10</f>
        <v>1278828.8064047</v>
      </c>
      <c r="N33" s="204" ph="1">
        <f>L10+P10++G28+H28</f>
        <v>213400.85624119994</v>
      </c>
      <c r="O33" s="217" ph="1">
        <f>BE17</f>
        <v>2270</v>
      </c>
      <c r="P33" s="215" ph="1">
        <f>L19</f>
        <v>41465.582505359998</v>
      </c>
      <c r="Q33" s="204" ph="1">
        <f>J10+N10</f>
        <v>124748.072512</v>
      </c>
      <c r="R33" s="217" ph="1">
        <f>BE23</f>
        <v>890</v>
      </c>
      <c r="S33" s="215" ph="1">
        <f>E10+X28</f>
        <v>361160.34640279994</v>
      </c>
      <c r="T33" s="204" ph="1">
        <f>X19</f>
        <v>16188.944226083999</v>
      </c>
      <c r="U33" s="225" ph="1">
        <f>BE21</f>
        <v>730</v>
      </c>
      <c r="V33" s="236" ph="1">
        <f ca="1">P19+Q19+S19+M28+N28+J28</f>
        <v>436927.29781466397</v>
      </c>
      <c r="W33" s="236" ph="1">
        <f>D28+F28+V19+T28</f>
        <v>43945.854111338005</v>
      </c>
      <c r="X33" s="217" ph="1">
        <f>BE29+BE31</f>
        <v>10200</v>
      </c>
      <c r="Y33" s="238" ph="1">
        <f>+Q10+R10+S10+T10+U10+V10+W10+X10+Y10</f>
        <v>178076.06599860001</v>
      </c>
      <c r="Z33" s="223" ph="1">
        <f>D10+T19+U19+Y28+Z10</f>
        <v>388840.90552025998</v>
      </c>
      <c r="AA33" s="225" ph="1">
        <f>BE19</f>
        <v>1440</v>
      </c>
      <c r="AB33" s="227" ph="1">
        <f>I19</f>
        <v>24680.289440599998</v>
      </c>
      <c r="AC33" s="229" ph="1">
        <f>AD10</f>
        <v>85094.059680000006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57" t="s" ph="1">
        <v>185</v>
      </c>
      <c r="AA36" s="157" ph="1"/>
      <c r="AB36" s="222" t="s" ph="1">
        <v>641</v>
      </c>
      <c r="AC36" s="222" ph="1"/>
      <c r="AD36" s="222" ph="1"/>
      <c r="AE36" s="222" ph="1"/>
      <c r="BA36" s="64" ph="1">
        <v>2270</v>
      </c>
    </row>
    <row r="37" spans="1:57" s="15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7" t="s" ph="1">
        <v>342</v>
      </c>
      <c r="AI37" s="157" t="s" ph="1">
        <v>209</v>
      </c>
      <c r="AJ37" s="157" t="s" ph="1">
        <v>210</v>
      </c>
      <c r="AK37" s="157" t="s" ph="1">
        <v>211</v>
      </c>
      <c r="AM37" s="157" t="s" ph="1">
        <v>210</v>
      </c>
      <c r="AN37" s="157" t="s" ph="1">
        <v>211</v>
      </c>
      <c r="AO37" s="157" t="s" ph="1">
        <v>212</v>
      </c>
      <c r="AP37" s="157" t="s" ph="1">
        <v>210</v>
      </c>
      <c r="AQ37" s="157" t="s" ph="1">
        <v>211</v>
      </c>
      <c r="AR37" s="157" t="s" ph="1">
        <v>212</v>
      </c>
      <c r="AS37" s="157" t="s" ph="1">
        <v>210</v>
      </c>
      <c r="AT37" s="157" t="s" ph="1">
        <v>211</v>
      </c>
      <c r="AU37" s="157" t="s" ph="1">
        <v>212</v>
      </c>
      <c r="AV37" s="157" t="s" ph="1">
        <v>210</v>
      </c>
      <c r="AW37" s="157" t="s" ph="1">
        <v>211</v>
      </c>
      <c r="AX37" s="157" t="s" ph="1">
        <v>212</v>
      </c>
      <c r="AY37" s="157" t="s" ph="1">
        <v>211</v>
      </c>
      <c r="AZ37" s="157" t="s" ph="1">
        <v>213</v>
      </c>
      <c r="BD37" s="157" t="s" ph="1">
        <v>305</v>
      </c>
      <c r="BE37" s="15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383" priority="98">
      <formula>ABS(D$7-D$10)&gt;=1000</formula>
    </cfRule>
  </conditionalFormatting>
  <conditionalFormatting sqref="E4 E6:E11">
    <cfRule type="expression" dxfId="382" priority="97">
      <formula>ABS(E$7-E$10)&gt;=1000</formula>
    </cfRule>
  </conditionalFormatting>
  <conditionalFormatting sqref="F4:F11">
    <cfRule type="expression" dxfId="381" priority="96">
      <formula>ABS(F$7-F$10)&gt;=1000</formula>
    </cfRule>
  </conditionalFormatting>
  <conditionalFormatting sqref="G4:G11">
    <cfRule type="expression" dxfId="380" priority="95">
      <formula>ABS(G$7-G$10)&gt;=1000</formula>
    </cfRule>
  </conditionalFormatting>
  <conditionalFormatting sqref="H4:H11">
    <cfRule type="expression" dxfId="379" priority="94">
      <formula>ABS(H$7-H$10)&gt;=1000</formula>
    </cfRule>
  </conditionalFormatting>
  <conditionalFormatting sqref="I4:I11">
    <cfRule type="expression" dxfId="378" priority="93">
      <formula>ABS(I$7-I$10)&gt;=1000</formula>
    </cfRule>
  </conditionalFormatting>
  <conditionalFormatting sqref="J4:J11">
    <cfRule type="expression" dxfId="377" priority="92">
      <formula>ABS(J$7-J$10)&gt;=1000</formula>
    </cfRule>
  </conditionalFormatting>
  <conditionalFormatting sqref="K4:K11">
    <cfRule type="expression" dxfId="376" priority="91">
      <formula>ABS(K$7-K$10)&gt;=1000</formula>
    </cfRule>
  </conditionalFormatting>
  <conditionalFormatting sqref="L4:L11">
    <cfRule type="expression" dxfId="375" priority="90">
      <formula>ABS(L$7-L$10)&gt;=1000</formula>
    </cfRule>
  </conditionalFormatting>
  <conditionalFormatting sqref="M4 M6:M11">
    <cfRule type="expression" dxfId="374" priority="89">
      <formula>ABS(M$7-M$10)&gt;=1000</formula>
    </cfRule>
  </conditionalFormatting>
  <conditionalFormatting sqref="N4 N6:N11">
    <cfRule type="expression" dxfId="373" priority="88">
      <formula>ABS(N$7-N$10)&gt;=1000</formula>
    </cfRule>
  </conditionalFormatting>
  <conditionalFormatting sqref="O4 O6:O11">
    <cfRule type="expression" dxfId="372" priority="87">
      <formula>ABS(O$7-O$10)&gt;=1000</formula>
    </cfRule>
  </conditionalFormatting>
  <conditionalFormatting sqref="P4 P6:P11">
    <cfRule type="expression" dxfId="371" priority="86">
      <formula>ABS(P$7-P$10)&gt;=1000</formula>
    </cfRule>
  </conditionalFormatting>
  <conditionalFormatting sqref="Q4:Q11">
    <cfRule type="expression" dxfId="370" priority="85">
      <formula>ABS(Q$7-Q$10)&gt;=1000</formula>
    </cfRule>
  </conditionalFormatting>
  <conditionalFormatting sqref="R4:R11">
    <cfRule type="expression" dxfId="369" priority="84">
      <formula>ABS(R$7-R$10)&gt;=1000</formula>
    </cfRule>
  </conditionalFormatting>
  <conditionalFormatting sqref="S4:S11">
    <cfRule type="expression" dxfId="368" priority="83">
      <formula>ABS(S$7-S$10)&gt;=1000</formula>
    </cfRule>
  </conditionalFormatting>
  <conditionalFormatting sqref="T4:T9 T11">
    <cfRule type="expression" dxfId="367" priority="82">
      <formula>ABS(T$7-T$10)&gt;=1000</formula>
    </cfRule>
  </conditionalFormatting>
  <conditionalFormatting sqref="U4:U9 U11">
    <cfRule type="expression" dxfId="366" priority="81">
      <formula>ABS(U$7-U$10)&gt;=1000</formula>
    </cfRule>
  </conditionalFormatting>
  <conditionalFormatting sqref="V4:V9 V11">
    <cfRule type="expression" dxfId="365" priority="80">
      <formula>ABS(V$7-V$10)&gt;=1000</formula>
    </cfRule>
  </conditionalFormatting>
  <conditionalFormatting sqref="W4:W9 W11">
    <cfRule type="expression" dxfId="364" priority="79">
      <formula>ABS(W$7-W$10)&gt;=1000</formula>
    </cfRule>
  </conditionalFormatting>
  <conditionalFormatting sqref="X4:X9 X11">
    <cfRule type="expression" dxfId="363" priority="78">
      <formula>ABS(X$7-X$10)&gt;=1000</formula>
    </cfRule>
  </conditionalFormatting>
  <conditionalFormatting sqref="Y4:Y9 Y11">
    <cfRule type="expression" dxfId="362" priority="77">
      <formula>ABS(Y$7-Y$10)&gt;=1000</formula>
    </cfRule>
  </conditionalFormatting>
  <conditionalFormatting sqref="Z4:Z11">
    <cfRule type="expression" dxfId="361" priority="76">
      <formula>ABS(Z$7-Z$10)&gt;=1000</formula>
    </cfRule>
  </conditionalFormatting>
  <conditionalFormatting sqref="AA4:AA11">
    <cfRule type="expression" dxfId="360" priority="75">
      <formula>ABS(AA$7-AA$10)&gt;=1000</formula>
    </cfRule>
  </conditionalFormatting>
  <conditionalFormatting sqref="AB4:AB11">
    <cfRule type="expression" dxfId="359" priority="74">
      <formula>ABS(AB$7-AB$10)&gt;=1000</formula>
    </cfRule>
  </conditionalFormatting>
  <conditionalFormatting sqref="AC4 AC6:AC11">
    <cfRule type="expression" dxfId="358" priority="73">
      <formula>ABS(AC$7-AC$10)&gt;=1000</formula>
    </cfRule>
  </conditionalFormatting>
  <conditionalFormatting sqref="AD4:AD11">
    <cfRule type="expression" dxfId="357" priority="72">
      <formula>ABS(AD$7-AD$10)&gt;=1000</formula>
    </cfRule>
  </conditionalFormatting>
  <conditionalFormatting sqref="AE4 AE6:AE11">
    <cfRule type="expression" dxfId="356" priority="71">
      <formula>ABS(AE$7-AE$10)&gt;=1000</formula>
    </cfRule>
  </conditionalFormatting>
  <conditionalFormatting sqref="D13:D20">
    <cfRule type="expression" dxfId="355" priority="70">
      <formula>ABS(D$16-D$19)&gt;=1000</formula>
    </cfRule>
  </conditionalFormatting>
  <conditionalFormatting sqref="E13:E20">
    <cfRule type="expression" dxfId="354" priority="69">
      <formula>ABS(E$16-E$19)&gt;=1000</formula>
    </cfRule>
  </conditionalFormatting>
  <conditionalFormatting sqref="F13 F15:F20">
    <cfRule type="expression" dxfId="353" priority="68">
      <formula>ABS(F$16-F$19)&gt;=1000</formula>
    </cfRule>
  </conditionalFormatting>
  <conditionalFormatting sqref="G13:G20">
    <cfRule type="expression" dxfId="352" priority="67">
      <formula>ABS(G$16-G$19)&gt;=1000</formula>
    </cfRule>
  </conditionalFormatting>
  <conditionalFormatting sqref="H13:H20">
    <cfRule type="expression" dxfId="351" priority="66">
      <formula>ABS(H$16-H$19)&gt;=1000</formula>
    </cfRule>
  </conditionalFormatting>
  <conditionalFormatting sqref="I13:I20">
    <cfRule type="expression" dxfId="350" priority="65">
      <formula>ABS(I$16-I$19)&gt;=1000</formula>
    </cfRule>
  </conditionalFormatting>
  <conditionalFormatting sqref="J13:J20">
    <cfRule type="expression" dxfId="349" priority="64">
      <formula>ABS(J$16-J$19)&gt;=1000</formula>
    </cfRule>
  </conditionalFormatting>
  <conditionalFormatting sqref="L13:L20">
    <cfRule type="expression" dxfId="348" priority="63">
      <formula>ABS(L$16-L$19)&gt;=1000</formula>
    </cfRule>
  </conditionalFormatting>
  <conditionalFormatting sqref="M13 M15 M17:M18 M20">
    <cfRule type="expression" dxfId="347" priority="62">
      <formula>ABS(M$16-M$19)&gt;=1000</formula>
    </cfRule>
  </conditionalFormatting>
  <conditionalFormatting sqref="N13:N20">
    <cfRule type="expression" dxfId="346" priority="61">
      <formula>ABS(N$16-N$19)&gt;=1000</formula>
    </cfRule>
  </conditionalFormatting>
  <conditionalFormatting sqref="O13:O20">
    <cfRule type="expression" dxfId="345" priority="60">
      <formula>ABS(O$16-O$19)&gt;=1000</formula>
    </cfRule>
  </conditionalFormatting>
  <conditionalFormatting sqref="P13:P20">
    <cfRule type="expression" dxfId="344" priority="59">
      <formula>ABS(P$16-P$19)&gt;=1000</formula>
    </cfRule>
  </conditionalFormatting>
  <conditionalFormatting sqref="Q13 Q15:Q20">
    <cfRule type="expression" dxfId="343" priority="58">
      <formula>ABS(Q$16-Q$19)&gt;=1000</formula>
    </cfRule>
  </conditionalFormatting>
  <conditionalFormatting sqref="R13:R20">
    <cfRule type="expression" dxfId="342" priority="57">
      <formula>ABS(R$16-R$19)&gt;=1000</formula>
    </cfRule>
  </conditionalFormatting>
  <conditionalFormatting sqref="S13:S20">
    <cfRule type="expression" dxfId="341" priority="56">
      <formula>ABS(S$16-S$19)&gt;=1000</formula>
    </cfRule>
  </conditionalFormatting>
  <conditionalFormatting sqref="T13:T20">
    <cfRule type="expression" dxfId="340" priority="55">
      <formula>ABS(T$16-T$19)&gt;=1000</formula>
    </cfRule>
  </conditionalFormatting>
  <conditionalFormatting sqref="U13:U20">
    <cfRule type="expression" dxfId="339" priority="54">
      <formula>ABS(U$16-U$19)&gt;=1000</formula>
    </cfRule>
  </conditionalFormatting>
  <conditionalFormatting sqref="V13:V20">
    <cfRule type="expression" dxfId="338" priority="53">
      <formula>ABS(V$16-V$19)&gt;=1000</formula>
    </cfRule>
  </conditionalFormatting>
  <conditionalFormatting sqref="W13 W20 W15:W18">
    <cfRule type="expression" dxfId="337" priority="52">
      <formula>ABS(W$16-W$19)&gt;=1000</formula>
    </cfRule>
  </conditionalFormatting>
  <conditionalFormatting sqref="X13 X15:X20 Y19">
    <cfRule type="expression" dxfId="336" priority="51">
      <formula>ABS(X$16-X$19)&gt;=1000</formula>
    </cfRule>
  </conditionalFormatting>
  <conditionalFormatting sqref="Y13 Y15:Y18 Y20">
    <cfRule type="expression" dxfId="335" priority="50">
      <formula>ABS(Y$16-Y$19)&gt;=1000</formula>
    </cfRule>
  </conditionalFormatting>
  <conditionalFormatting sqref="Z13:Z20">
    <cfRule type="expression" dxfId="334" priority="49">
      <formula>ABS(Z$16-Z$19)&gt;=1000</formula>
    </cfRule>
  </conditionalFormatting>
  <conditionalFormatting sqref="AA13:AA20">
    <cfRule type="expression" dxfId="333" priority="48">
      <formula>ABS(AA$16-AA$19)&gt;=1000</formula>
    </cfRule>
  </conditionalFormatting>
  <conditionalFormatting sqref="AB13 AB15:AB20">
    <cfRule type="expression" dxfId="332" priority="47">
      <formula>ABS(AB$16-AB$19)&gt;=1000</formula>
    </cfRule>
  </conditionalFormatting>
  <conditionalFormatting sqref="AC13 AC15:AC20">
    <cfRule type="expression" dxfId="331" priority="46">
      <formula>ABS(AC$16-AC$19)&gt;=1000</formula>
    </cfRule>
  </conditionalFormatting>
  <conditionalFormatting sqref="AD13:AD20">
    <cfRule type="expression" dxfId="330" priority="45">
      <formula>ABS(AD$16-AD$19)&gt;=1000</formula>
    </cfRule>
  </conditionalFormatting>
  <conditionalFormatting sqref="AE13:AE20">
    <cfRule type="expression" dxfId="329" priority="44">
      <formula>ABS(AE$16-AE$19)&gt;=1000</formula>
    </cfRule>
  </conditionalFormatting>
  <conditionalFormatting sqref="D22:D29">
    <cfRule type="expression" dxfId="328" priority="43">
      <formula>ABS(D$25-D$28)&gt;=1000</formula>
    </cfRule>
  </conditionalFormatting>
  <conditionalFormatting sqref="E22:E29">
    <cfRule type="expression" dxfId="327" priority="42">
      <formula>ABS(E$25-E$28)&gt;=1000</formula>
    </cfRule>
  </conditionalFormatting>
  <conditionalFormatting sqref="F22:F29">
    <cfRule type="expression" dxfId="326" priority="41">
      <formula>ABS(F$25-F$28)&gt;=1000</formula>
    </cfRule>
  </conditionalFormatting>
  <conditionalFormatting sqref="G22:G29">
    <cfRule type="expression" dxfId="325" priority="40">
      <formula>ABS(G$25-G$28)&gt;=1000</formula>
    </cfRule>
  </conditionalFormatting>
  <conditionalFormatting sqref="H22:H29">
    <cfRule type="expression" dxfId="324" priority="39">
      <formula>ABS(H$25-H$28)&gt;=1000</formula>
    </cfRule>
  </conditionalFormatting>
  <conditionalFormatting sqref="I22 I24:I29">
    <cfRule type="expression" dxfId="323" priority="38">
      <formula>ABS(I$25-I$28)&gt;=1000</formula>
    </cfRule>
  </conditionalFormatting>
  <conditionalFormatting sqref="J22:J29 K22">
    <cfRule type="expression" dxfId="322" priority="37">
      <formula>ABS(J$25-J$28)&gt;=1000</formula>
    </cfRule>
  </conditionalFormatting>
  <conditionalFormatting sqref="K23:K29 L25 L28">
    <cfRule type="expression" dxfId="321" priority="36">
      <formula>ABS(K$25-K$28)&gt;=1000</formula>
    </cfRule>
  </conditionalFormatting>
  <conditionalFormatting sqref="L22 L26:L27 L29 L24">
    <cfRule type="expression" dxfId="320" priority="35">
      <formula>ABS(L$25-L$28)&gt;=1000</formula>
    </cfRule>
  </conditionalFormatting>
  <conditionalFormatting sqref="M22:M29">
    <cfRule type="expression" dxfId="319" priority="34">
      <formula>ABS(M$25-M$28)&gt;=1000</formula>
    </cfRule>
  </conditionalFormatting>
  <conditionalFormatting sqref="N22:N29">
    <cfRule type="expression" dxfId="318" priority="33">
      <formula>ABS(N$25-N$28)&gt;=1000</formula>
    </cfRule>
  </conditionalFormatting>
  <conditionalFormatting sqref="O22:O29">
    <cfRule type="expression" dxfId="317" priority="32">
      <formula>ABS(O$25-O$28)&gt;=1000</formula>
    </cfRule>
  </conditionalFormatting>
  <conditionalFormatting sqref="P22:P29">
    <cfRule type="expression" dxfId="316" priority="31">
      <formula>ABS(P$25-P$28)&gt;=1000</formula>
    </cfRule>
  </conditionalFormatting>
  <conditionalFormatting sqref="Q22:Q29">
    <cfRule type="expression" dxfId="315" priority="30">
      <formula>ABS(Q$25-Q$28)&gt;=1000</formula>
    </cfRule>
  </conditionalFormatting>
  <conditionalFormatting sqref="R22:R29">
    <cfRule type="expression" dxfId="314" priority="29">
      <formula>ABS(R$25-R$28)&gt;=1000</formula>
    </cfRule>
  </conditionalFormatting>
  <conditionalFormatting sqref="S22:S29">
    <cfRule type="expression" dxfId="313" priority="28">
      <formula>ABS(S$25-S$28)&gt;=1000</formula>
    </cfRule>
  </conditionalFormatting>
  <conditionalFormatting sqref="T22:T29">
    <cfRule type="expression" dxfId="312" priority="27">
      <formula>ABS(T$25-T$28)&gt;=1000</formula>
    </cfRule>
  </conditionalFormatting>
  <conditionalFormatting sqref="U22:U29">
    <cfRule type="expression" dxfId="311" priority="26">
      <formula>ABS(U$25-U$28)&gt;=1000</formula>
    </cfRule>
  </conditionalFormatting>
  <conditionalFormatting sqref="V22:V29">
    <cfRule type="expression" dxfId="310" priority="25">
      <formula>ABS(V$25-V$28)&gt;=1000</formula>
    </cfRule>
  </conditionalFormatting>
  <conditionalFormatting sqref="W22:W29">
    <cfRule type="expression" dxfId="309" priority="24">
      <formula>ABS(W$25-W$28)&gt;=1000</formula>
    </cfRule>
  </conditionalFormatting>
  <conditionalFormatting sqref="X22:X29">
    <cfRule type="expression" dxfId="308" priority="23">
      <formula>ABS(X$25-X$28)&gt;=1000</formula>
    </cfRule>
  </conditionalFormatting>
  <conditionalFormatting sqref="Y22:Y29">
    <cfRule type="expression" dxfId="307" priority="22">
      <formula>ABS(Y$25-Y$28)&gt;=1000</formula>
    </cfRule>
  </conditionalFormatting>
  <conditionalFormatting sqref="I23">
    <cfRule type="expression" dxfId="306" priority="21">
      <formula>ABS(I$25-I$28)&gt;=1000</formula>
    </cfRule>
  </conditionalFormatting>
  <conditionalFormatting sqref="Q14">
    <cfRule type="expression" dxfId="305" priority="20">
      <formula>ABS(Q$16-Q$19)&gt;=1000</formula>
    </cfRule>
  </conditionalFormatting>
  <conditionalFormatting sqref="W14">
    <cfRule type="expression" dxfId="304" priority="19">
      <formula>ABS(W$16-W$19)&gt;=1000</formula>
    </cfRule>
  </conditionalFormatting>
  <conditionalFormatting sqref="Y14">
    <cfRule type="expression" dxfId="303" priority="18">
      <formula>ABS(Y$16-Y$19)&gt;=1000</formula>
    </cfRule>
  </conditionalFormatting>
  <conditionalFormatting sqref="X14">
    <cfRule type="expression" dxfId="302" priority="17">
      <formula>ABS(X$16-X$19)&gt;=1000</formula>
    </cfRule>
  </conditionalFormatting>
  <conditionalFormatting sqref="T10:Y10">
    <cfRule type="expression" dxfId="301" priority="16">
      <formula>ABS(T$7-T$10)&gt;=1000</formula>
    </cfRule>
  </conditionalFormatting>
  <conditionalFormatting sqref="W19">
    <cfRule type="expression" dxfId="300" priority="15">
      <formula>ABS(W$16-W$19)&gt;=1000</formula>
    </cfRule>
  </conditionalFormatting>
  <conditionalFormatting sqref="AC5">
    <cfRule type="expression" dxfId="299" priority="14">
      <formula>ABS(AC$7-AC$10)&gt;=1000</formula>
    </cfRule>
  </conditionalFormatting>
  <conditionalFormatting sqref="M14">
    <cfRule type="expression" dxfId="298" priority="13">
      <formula>ABS(M$16-M$19)&gt;=1000</formula>
    </cfRule>
  </conditionalFormatting>
  <conditionalFormatting sqref="M16">
    <cfRule type="expression" dxfId="297" priority="12">
      <formula>ABS(M$16-M$19)&gt;=1000</formula>
    </cfRule>
  </conditionalFormatting>
  <conditionalFormatting sqref="M19">
    <cfRule type="expression" dxfId="296" priority="11">
      <formula>ABS(M$16-M$19)&gt;=1000</formula>
    </cfRule>
  </conditionalFormatting>
  <conditionalFormatting sqref="K13:K20">
    <cfRule type="expression" dxfId="295" priority="10">
      <formula>ABS(K$16-K$19)&gt;=1000</formula>
    </cfRule>
  </conditionalFormatting>
  <conditionalFormatting sqref="E5">
    <cfRule type="expression" dxfId="294" priority="9">
      <formula>ABS(E$7-E$10)&gt;=1000</formula>
    </cfRule>
  </conditionalFormatting>
  <conditionalFormatting sqref="AB14:AC14">
    <cfRule type="expression" dxfId="293" priority="8">
      <formula>ABS(AB$16-AB$19)&gt;=1000</formula>
    </cfRule>
  </conditionalFormatting>
  <conditionalFormatting sqref="M5">
    <cfRule type="expression" dxfId="292" priority="7">
      <formula>ABS(M$7-M$10)&gt;=1000</formula>
    </cfRule>
  </conditionalFormatting>
  <conditionalFormatting sqref="N5">
    <cfRule type="expression" dxfId="291" priority="6">
      <formula>ABS(N$7-N$10)&gt;=1000</formula>
    </cfRule>
  </conditionalFormatting>
  <conditionalFormatting sqref="O5">
    <cfRule type="expression" dxfId="290" priority="5">
      <formula>ABS(O$7-O$10)&gt;=1000</formula>
    </cfRule>
  </conditionalFormatting>
  <conditionalFormatting sqref="P5">
    <cfRule type="expression" dxfId="289" priority="4">
      <formula>ABS(P$7-P$10)&gt;=1000</formula>
    </cfRule>
  </conditionalFormatting>
  <conditionalFormatting sqref="L23">
    <cfRule type="expression" dxfId="288" priority="3">
      <formula>ABS(L$25-L$28)&gt;=1000</formula>
    </cfRule>
  </conditionalFormatting>
  <conditionalFormatting sqref="F14">
    <cfRule type="expression" dxfId="287" priority="2">
      <formula>ABS(F$16-F$19)&gt;=1000</formula>
    </cfRule>
  </conditionalFormatting>
  <conditionalFormatting sqref="AE5">
    <cfRule type="expression" dxfId="286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245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32">
    <pageSetUpPr fitToPage="1"/>
  </sheetPr>
  <dimension ref="A1:CU223"/>
  <sheetViews>
    <sheetView view="pageBreakPreview" topLeftCell="A16" zoomScale="80" zoomScaleNormal="100" zoomScaleSheetLayoutView="80" workbookViewId="0">
      <selection activeCell="AF27" sqref="AF2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45926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60" t="s" ph="1">
        <v>177</v>
      </c>
      <c r="D6" s="71">
        <v>4884</v>
      </c>
      <c r="E6" s="71">
        <v>8752</v>
      </c>
      <c r="F6" s="71">
        <v>3617</v>
      </c>
      <c r="G6" s="71">
        <v>6683</v>
      </c>
      <c r="H6" s="71">
        <v>8614</v>
      </c>
      <c r="I6" s="71">
        <v>18.059999999999999</v>
      </c>
      <c r="J6" s="71">
        <v>6.99</v>
      </c>
      <c r="K6" s="71">
        <v>49.36</v>
      </c>
      <c r="L6" s="71">
        <v>24.52</v>
      </c>
      <c r="M6" s="71">
        <v>2011</v>
      </c>
      <c r="N6" s="71">
        <v>4772</v>
      </c>
      <c r="O6" s="71">
        <v>4383</v>
      </c>
      <c r="P6" s="71">
        <v>3934</v>
      </c>
      <c r="Q6" s="71">
        <v>7186</v>
      </c>
      <c r="R6" s="71">
        <v>7121</v>
      </c>
      <c r="S6" s="71">
        <v>5772</v>
      </c>
      <c r="T6" s="71">
        <v>2696</v>
      </c>
      <c r="U6" s="71">
        <v>0</v>
      </c>
      <c r="V6" s="71">
        <v>0</v>
      </c>
      <c r="W6" s="71">
        <v>0</v>
      </c>
      <c r="X6" s="71">
        <v>0</v>
      </c>
      <c r="Y6" s="71">
        <v>1592</v>
      </c>
      <c r="Z6" s="71">
        <v>1490</v>
      </c>
      <c r="AA6" s="71">
        <v>576</v>
      </c>
      <c r="AB6" s="71">
        <v>1925</v>
      </c>
      <c r="AC6" s="71">
        <v>643</v>
      </c>
      <c r="AD6" s="71">
        <v>4350</v>
      </c>
      <c r="AE6" s="71">
        <v>3870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152978.74416396001</v>
      </c>
      <c r="E7" s="73" ph="1">
        <f>E6*51.53*LOOKUP(E8,密度!$A$2:$A$50,密度!$B$2:$B$50)</f>
        <v>350058.87267200003</v>
      </c>
      <c r="F7" s="73" ph="1">
        <f>F6*33.183*LOOKUP(F8,密度!$A$2:$A$50,密度!$C$2:$C$50)</f>
        <v>132817.3533126</v>
      </c>
      <c r="G7" s="73" ph="1">
        <f xml:space="preserve"> (G6+2)*51.53*LOOKUP(G8,密度!$A$2:$A$50,密度!$B$2:$B$50)</f>
        <v>267659.44484999997</v>
      </c>
      <c r="H7" s="73" ph="1">
        <f>(H6)*51.53*LOOKUP(H8,密度!$A$2:$A$50,密度!$B$2:$B$50)</f>
        <v>344894.30933999998</v>
      </c>
      <c r="I7" s="73" ph="1">
        <f>I6*290.8*1.0267</f>
        <v>5392.0723416000001</v>
      </c>
      <c r="J7" s="73" ph="1">
        <f>J6*290.8*0.7892</f>
        <v>1604.2005264000002</v>
      </c>
      <c r="K7" s="73" ph="1">
        <f>K6*290.8*1.1126</f>
        <v>15970.135788800002</v>
      </c>
      <c r="L7" s="73" ph="1">
        <f>L6*290.8*0.777</f>
        <v>5540.333232</v>
      </c>
      <c r="M7" s="73" ph="1">
        <f>M6*33.183*LOOKUP(M8,密度!$A$2:$A$50,密度!$D$2:$D$50)</f>
        <v>68325.884210700009</v>
      </c>
      <c r="N7" s="73" ph="1">
        <f>N6*33.183*LOOKUP(N8,密度!$A$2:$A$50,密度!$E$2:$E$50)</f>
        <v>123306.5812212</v>
      </c>
      <c r="O7" s="73" ph="1">
        <f>O6*20.428*LOOKUP(O8,密度!$A$2:$A$50,密度!$C$2:$C$50)</f>
        <v>98668.588248</v>
      </c>
      <c r="P7" s="73" ph="1">
        <f>P6*51.53*LOOKUP(P8,密度!$A$2:$A$50,密度!$B$2:$B$50)</f>
        <v>157512.67854000002</v>
      </c>
      <c r="Q7" s="73" ph="1">
        <f>Q6*1.5*1.5*3.1416*LOOKUP(W8,密度!$A$2:$A$50,密度!$L$2:$L$50)</f>
        <v>47493.287226000008</v>
      </c>
      <c r="R7" s="73" ph="1">
        <f>R6*1.5*1.5*3.1416*LOOKUP(R8,密度!$A$2:$A$50,密度!$L$2:$L$50)</f>
        <v>47063.693061000005</v>
      </c>
      <c r="S7" s="73" ph="1">
        <f>S6*1.5*1.5*3.1416*LOOKUP(S8,密度!$A$2:$A$50,密度!$L$2:$L$50)</f>
        <v>38311.161688799999</v>
      </c>
      <c r="T7" s="73" ph="1">
        <f>T6*1.5*1.5*3.1416*LOOKUP(T8,密度!$A$2:$A$50,密度!$L$2:$L$50)</f>
        <v>17913.528864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10521.752472</v>
      </c>
      <c r="Z7" s="73" ph="1">
        <f>Z6*33.183*LOOKUP(Z8,密度!$A$2:$A$50,密度!$L$2:$L$50)</f>
        <v>46327.781790000001</v>
      </c>
      <c r="AA7" s="73" ph="1">
        <f>AA6*33.183*LOOKUP(AA8,密度!$A$2:$A$50,密度!$D$2:$D$50)</f>
        <v>19587.420518399998</v>
      </c>
      <c r="AB7" s="73" ph="1">
        <f>AB6*20.428*LOOKUP(AB8,密度!$A$2:$A$50,密度!$D$2:$D$50)</f>
        <v>40409.239640000007</v>
      </c>
      <c r="AC7" s="73" ph="1">
        <f>AC6*51.53*LOOKUP(AC8,密度!$A$2:$A$50,密度!$Q$2:$Q$50)</f>
        <v>31369.0843446</v>
      </c>
      <c r="AD7" s="73" ph="1">
        <f>AD6*20.428*LOOKUP(AD8,密度!$A$2:$A$50,密度!$V$2:$V$50)</f>
        <v>85094.059680000006</v>
      </c>
      <c r="AE7" s="73" ph="1">
        <f>AE6*20.428</f>
        <v>79056.36</v>
      </c>
    </row>
    <row r="8" spans="1:99" ph="1">
      <c r="B8" s="182" ph="1"/>
      <c r="C8" s="68" t="s" ph="1">
        <v>179</v>
      </c>
      <c r="D8" s="74">
        <v>29</v>
      </c>
      <c r="E8" s="74">
        <v>29</v>
      </c>
      <c r="F8" s="74">
        <v>28</v>
      </c>
      <c r="G8" s="74">
        <v>28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29</v>
      </c>
      <c r="O8" s="74">
        <v>33</v>
      </c>
      <c r="P8" s="74">
        <v>28</v>
      </c>
      <c r="Q8" s="74">
        <v>32</v>
      </c>
      <c r="R8" s="74">
        <v>27</v>
      </c>
      <c r="S8" s="74">
        <v>23</v>
      </c>
      <c r="T8" s="74">
        <v>22</v>
      </c>
      <c r="U8" s="74">
        <v>28</v>
      </c>
      <c r="V8" s="74">
        <v>27</v>
      </c>
      <c r="W8" s="74">
        <v>27</v>
      </c>
      <c r="X8" s="74">
        <v>19</v>
      </c>
      <c r="Y8" s="74">
        <v>27</v>
      </c>
      <c r="Z8" s="74">
        <v>25</v>
      </c>
      <c r="AA8" s="74">
        <v>27</v>
      </c>
      <c r="AB8" s="74">
        <v>24</v>
      </c>
      <c r="AC8" s="74">
        <v>25</v>
      </c>
      <c r="AD8" s="74">
        <v>26</v>
      </c>
      <c r="AE8" s="74">
        <v>34</v>
      </c>
    </row>
    <row r="9" spans="1:99" ht="26.4" ph="1">
      <c r="B9" s="182" ph="1">
        <v>0.66666666666666663</v>
      </c>
      <c r="C9" s="160" t="s" ph="1">
        <v>180</v>
      </c>
      <c r="D9" s="71">
        <v>5335</v>
      </c>
      <c r="E9" s="71">
        <v>8632</v>
      </c>
      <c r="F9" s="71">
        <v>4167</v>
      </c>
      <c r="G9" s="71">
        <v>6687</v>
      </c>
      <c r="H9" s="71">
        <v>8614</v>
      </c>
      <c r="I9" s="71">
        <v>18.04</v>
      </c>
      <c r="J9" s="71">
        <v>6.98</v>
      </c>
      <c r="K9" s="71">
        <v>13.94</v>
      </c>
      <c r="L9" s="71">
        <v>10.029999999999999</v>
      </c>
      <c r="M9" s="71">
        <v>2011</v>
      </c>
      <c r="N9" s="71">
        <v>4773</v>
      </c>
      <c r="O9" s="71">
        <v>4264</v>
      </c>
      <c r="P9" s="71">
        <v>3582</v>
      </c>
      <c r="Q9" s="71">
        <v>7183</v>
      </c>
      <c r="R9" s="71">
        <v>7127</v>
      </c>
      <c r="S9" s="71">
        <v>7027</v>
      </c>
      <c r="T9" s="71">
        <v>5023</v>
      </c>
      <c r="U9" s="71">
        <v>2607</v>
      </c>
      <c r="V9" s="71">
        <v>0</v>
      </c>
      <c r="W9" s="71">
        <v>0</v>
      </c>
      <c r="X9" s="71">
        <v>0</v>
      </c>
      <c r="Y9" s="71">
        <v>0</v>
      </c>
      <c r="Z9" s="71">
        <v>705</v>
      </c>
      <c r="AA9" s="71">
        <v>577</v>
      </c>
      <c r="AB9" s="71">
        <v>1926</v>
      </c>
      <c r="AC9" s="71">
        <v>831</v>
      </c>
      <c r="AD9" s="71">
        <v>4350</v>
      </c>
      <c r="AE9" s="71">
        <v>3862</v>
      </c>
    </row>
    <row r="10" spans="1:99" s="72" customFormat="1" ht="22.2" ph="1">
      <c r="B10" s="182" ph="1"/>
      <c r="C10" s="160" t="s" ph="1">
        <v>178</v>
      </c>
      <c r="D10" s="73" ph="1">
        <f>D9*33.183*LOOKUP(D11,密度!$A$2:$A$50,密度!$Q$2:$Q$50)</f>
        <v>167105.15972865</v>
      </c>
      <c r="E10" s="73" ph="1">
        <f>E9*51.53*LOOKUP(E11,密度!$A$2:$A$50,密度!$B$2:$B$50)</f>
        <v>344858.83608800004</v>
      </c>
      <c r="F10" s="73" ph="1">
        <f>F9*33.183*LOOKUP(F11,密度!$A$2:$A$50,密度!$C$2:$C$50)</f>
        <v>152515.73778299999</v>
      </c>
      <c r="G10" s="73" ph="1">
        <f xml:space="preserve"> (G9+2)*51.53*LOOKUP(G11,密度!$A$2:$A$50,密度!$B$2:$B$50)</f>
        <v>267543.85275399999</v>
      </c>
      <c r="H10" s="73" ph="1">
        <f>(H9)*51.53*LOOKUP(H11,密度!$A$2:$A$50,密度!$B$2:$B$50)</f>
        <v>345648.90435399994</v>
      </c>
      <c r="I10" s="73" ph="1">
        <f>I9*290.8*1.0267</f>
        <v>5386.1010544000001</v>
      </c>
      <c r="J10" s="73" ph="1">
        <f>J9*290.8*0.7892</f>
        <v>1601.9055328000002</v>
      </c>
      <c r="K10" s="73" ph="1">
        <f>K9*290.8*1.1126</f>
        <v>4510.2044752000002</v>
      </c>
      <c r="L10" s="73" ph="1">
        <f>L9*290.8*0.777</f>
        <v>2266.2945479999998</v>
      </c>
      <c r="M10" s="73" ph="1">
        <f>M9*33.183*LOOKUP(M11,密度!$A$2:$A$50,密度!$D$2:$D$50)</f>
        <v>68199.095286000011</v>
      </c>
      <c r="N10" s="73" ph="1">
        <f>N9*33.183*LOOKUP(N11,密度!$A$2:$A$50,密度!$E$2:$E$50)</f>
        <v>123158.2001184</v>
      </c>
      <c r="O10" s="73" ph="1">
        <f>O9*20.428*LOOKUP(O11,密度!$A$2:$A$50,密度!$C$2:$C$50)</f>
        <v>95893.885692800002</v>
      </c>
      <c r="P10" s="73" ph="1">
        <f>P9*51.53*LOOKUP(P11,密度!$A$2:$A$50,密度!$B$2:$B$50)</f>
        <v>143271.35305199999</v>
      </c>
      <c r="Q10" s="73" ph="1">
        <f>Q9*1.5*1.5*3.1416*LOOKUP(W11,密度!$A$2:$A$50,密度!$L$2:$L$50)</f>
        <v>47321.138541600005</v>
      </c>
      <c r="R10" s="73" ph="1">
        <f>R9*1.5*1.5*3.1416*LOOKUP(R11,密度!$A$2:$A$50,密度!$L$2:$L$50)</f>
        <v>46801.080433800002</v>
      </c>
      <c r="S10" s="73" ph="1">
        <f>S9*1.5*1.5*3.1416*LOOKUP(S11,密度!$A$2:$A$50,密度!$L$2:$L$50)</f>
        <v>46591.446963599992</v>
      </c>
      <c r="T10" s="73" ph="1">
        <f>T9*1.5*1.5*3.1416*LOOKUP(T11,密度!$A$2:$A$50,密度!$L$2:$L$50)</f>
        <v>33339.737554199994</v>
      </c>
      <c r="U10" s="73" ph="1">
        <f>U9*1.5*1.5*3.1416*LOOKUP(U11,密度!$A$2:$A$50,密度!$L$2:$L$50)</f>
        <v>17230.030587000001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21920.192055</v>
      </c>
      <c r="AA10" s="73" ph="1">
        <f>AA9*33.183*LOOKUP(AA11,密度!$A$2:$A$50,密度!$D$2:$D$50)</f>
        <v>19550.584070099998</v>
      </c>
      <c r="AB10" s="73" ph="1">
        <f>AB9*20.428*LOOKUP(AB11,密度!$A$2:$A$50,密度!$D$2:$D$50)</f>
        <v>40430.231452800006</v>
      </c>
      <c r="AC10" s="73" ph="1">
        <f>AC9*51.53*LOOKUP(AC11,密度!$A$2:$A$50,密度!$Q$2:$Q$50)</f>
        <v>40420.432419900004</v>
      </c>
      <c r="AD10" s="73" ph="1">
        <f>AD9*20.428*LOOKUP(AD11,密度!$A$2:$A$50,密度!$V$2:$V$50)</f>
        <v>85094.059680000006</v>
      </c>
      <c r="AE10" s="73" ph="1">
        <f>AE9*20.428</f>
        <v>78892.936000000002</v>
      </c>
    </row>
    <row r="11" spans="1:99" ph="1">
      <c r="A11" s="64" t="s" ph="1">
        <v>162</v>
      </c>
      <c r="B11" s="182" ph="1"/>
      <c r="C11" s="160" t="s" ph="1">
        <v>179</v>
      </c>
      <c r="D11" s="74">
        <v>29</v>
      </c>
      <c r="E11" s="74">
        <v>30</v>
      </c>
      <c r="F11" s="74">
        <v>32</v>
      </c>
      <c r="G11" s="74">
        <v>29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30</v>
      </c>
      <c r="O11" s="74">
        <v>34</v>
      </c>
      <c r="P11" s="74">
        <v>29</v>
      </c>
      <c r="Q11" s="74">
        <v>28</v>
      </c>
      <c r="R11" s="74">
        <v>33</v>
      </c>
      <c r="S11" s="74">
        <v>24</v>
      </c>
      <c r="T11" s="74">
        <v>23</v>
      </c>
      <c r="U11" s="74">
        <v>27</v>
      </c>
      <c r="V11" s="74">
        <v>28</v>
      </c>
      <c r="W11" s="74">
        <v>30</v>
      </c>
      <c r="X11" s="74">
        <v>22</v>
      </c>
      <c r="Y11" s="74">
        <v>30</v>
      </c>
      <c r="Z11" s="74">
        <v>25</v>
      </c>
      <c r="AA11" s="74">
        <v>31</v>
      </c>
      <c r="AB11" s="74">
        <v>24</v>
      </c>
      <c r="AC11" s="74">
        <v>29</v>
      </c>
      <c r="AD11" s="74">
        <v>28</v>
      </c>
      <c r="AE11" s="74">
        <v>32</v>
      </c>
    </row>
    <row r="12" spans="1:99" ht="9.9" customHeight="1" ph="1"/>
    <row r="13" spans="1:99" s="72" customFormat="1" ht="29.25" customHeight="1" ph="1">
      <c r="B13" s="190" t="s" ph="1">
        <v>37</v>
      </c>
      <c r="C13" s="16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150" t="s" ph="1">
        <v>643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60" t="s" ph="1">
        <v>177</v>
      </c>
      <c r="D15" s="78">
        <v>0</v>
      </c>
      <c r="E15" s="78">
        <v>2830</v>
      </c>
      <c r="F15" s="78">
        <v>3443</v>
      </c>
      <c r="G15" s="78">
        <v>4041</v>
      </c>
      <c r="H15" s="78">
        <v>1966</v>
      </c>
      <c r="I15" s="78">
        <v>2669</v>
      </c>
      <c r="J15" s="78">
        <v>168</v>
      </c>
      <c r="K15" s="78">
        <v>4188</v>
      </c>
      <c r="L15" s="78">
        <v>5861</v>
      </c>
      <c r="M15" s="78">
        <v>4699</v>
      </c>
      <c r="N15" s="78">
        <v>1190</v>
      </c>
      <c r="O15" s="78">
        <v>6474</v>
      </c>
      <c r="P15" s="78">
        <v>6944</v>
      </c>
      <c r="Q15" s="78">
        <v>5200</v>
      </c>
      <c r="R15" s="78">
        <v>1915</v>
      </c>
      <c r="S15" s="78">
        <v>6222</v>
      </c>
      <c r="T15" s="78">
        <v>6540</v>
      </c>
      <c r="U15" s="78">
        <v>2966</v>
      </c>
      <c r="V15" s="78">
        <v>850</v>
      </c>
      <c r="W15" s="71">
        <v>4614</v>
      </c>
      <c r="X15" s="78">
        <v>1111</v>
      </c>
      <c r="Y15" s="106">
        <v>-2366</v>
      </c>
      <c r="Z15" s="78">
        <v>0</v>
      </c>
      <c r="AA15" s="78">
        <v>7</v>
      </c>
      <c r="AB15" s="78" ph="1">
        <v>1098</v>
      </c>
      <c r="AC15" s="78" ph="1">
        <v>2154</v>
      </c>
      <c r="AD15" s="78">
        <v>14.11</v>
      </c>
      <c r="AE15" s="78">
        <v>85.01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60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18643.856616000001</v>
      </c>
      <c r="F16" s="73" ph="1">
        <f>F15*9.0746*LOOKUP(F17,密度!$A$2:$A$50,密度!$L$2:$L$50)</f>
        <v>29181.753845200001</v>
      </c>
      <c r="G16" s="73" ph="1">
        <f>G15*9.0746*LOOKUP(G17,密度!$A$2:$A$50,密度!$B$2:$B$50)</f>
        <v>28525.949744940001</v>
      </c>
      <c r="H16" s="73" ph="1">
        <f>H15*9.0746*LOOKUP(H17,密度!$A$2:$A$50,密度!$L$2:$L$50)</f>
        <v>16734.542456799998</v>
      </c>
      <c r="I16" s="73" ph="1">
        <f>I15*9.0746*LOOKUP(I17,密度!$A$2:$A$50,密度!$U$2:$U$50)</f>
        <v>24777.169870199999</v>
      </c>
      <c r="J16" s="73" ph="1">
        <f>J15*9.0746*LOOKUP(J17,密度!$A$2:$A$50,密度!$L$2:$L$50)</f>
        <v>1425.4381680000001</v>
      </c>
      <c r="K16" s="73" ph="1">
        <f>K15*9.0746*LOOKUP(K17,密度!$A$2:$A$50,密度!$C$2:$C$50)</f>
        <v>42055.696483680003</v>
      </c>
      <c r="L16" s="73" ph="1">
        <f>L15*9.0746*LOOKUP(L17,密度!$A$2:$A$50,密度!$E$2:$E$50)</f>
        <v>41474.622621880008</v>
      </c>
      <c r="M16" s="73" ph="1">
        <f>M15*9.0746*LOOKUP(M17,密度!$A$2:$A$50,密度!$M$2:$M$50)</f>
        <v>37183.427588800005</v>
      </c>
      <c r="N16" s="73" ph="1">
        <f>N15*9.0746*LOOKUP(N17,密度!$A$2:$A$50,密度!$M$2:$M$50)</f>
        <v>9450.0071274000002</v>
      </c>
      <c r="O16" s="73" ph="1">
        <f>O15*9.0746*LOOKUP(O17,密度!$A$2:$A$50,密度!$G$2:$G$50)</f>
        <v>56222.755102800002</v>
      </c>
      <c r="P16" s="73" ph="1">
        <f ca="1">P15*9.0746*LOOKUP(P17,密度!$A$2:$A$51,密度!$Q$2:$Q$50)</f>
        <v>59480.826164032005</v>
      </c>
      <c r="Q16" s="73" ph="1">
        <f>Q15*9.0746*LOOKUP(Q17,密度!$A$2:$A$50,密度!$Q$2:$Q$50)</f>
        <v>44513.780573600001</v>
      </c>
      <c r="R16" s="73" ph="1">
        <f>MAX(R15*9.0746*LOOKUP(R17,密度!$A$2:$A$50,密度!$B$2:$B$50),0)</f>
        <v>13488.6941558</v>
      </c>
      <c r="S16" s="73" ph="1">
        <f>S15*9.0746*LOOKUP(S17,密度!$A$2:$A$50,密度!$Q$2:$Q$50)</f>
        <v>53262.450524796004</v>
      </c>
      <c r="T16" s="73" ph="1">
        <f>T15*9.0746*LOOKUP(T17,密度!$A$2:$A$50,密度!$O$2:$O$50)</f>
        <v>54956.140584000001</v>
      </c>
      <c r="U16" s="73" ph="1">
        <f>U15*9.0746*LOOKUP(U17,密度!$A$2:$A$50,密度!$H$2:$H$50)</f>
        <v>24492.889876000001</v>
      </c>
      <c r="V16" s="73" ph="1">
        <f>MAX(5600*LOOKUP(V17,密度!$A$2:$A$50,密度!$Q$2:$Q$50)+V15*9.0476*LOOKUP(V17,密度!$A$2:$A$50,密度!$Q$2:$Q$50),0)</f>
        <v>12537.289631799998</v>
      </c>
      <c r="W16" s="73" ph="1">
        <f>MAX(5600*LOOKUP(W17,密度!$A$2:$A$50,密度!$Q$2:$Q$50)+W15*9.0476*LOOKUP(W17,密度!$A$2:$A$50,密度!$Q$2:$Q$50),0)</f>
        <v>44662.549751911996</v>
      </c>
      <c r="X16" s="73" ph="1">
        <f>MAX(5600*LOOKUP(X17,密度!$A$2:$A$50,密度!$I$2:$I$50)+X15*9.0476*LOOKUP(X17,密度!$A$2:$A$50,密度!$I$2:$I$50),0)</f>
        <v>16207.681986635998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49.464737139999997</v>
      </c>
      <c r="AB16" s="73" ph="1">
        <f>AB15*9.0746*LOOKUP(AB17,密度!$A$2:$A$50,密度!$L$2:$L$50)</f>
        <v>9316.2565979999999</v>
      </c>
      <c r="AC16" s="73" ph="1">
        <f>AC15*9.0746*LOOKUP(AC17,密度!$A$2:$A$50,密度!$L$2:$L$50)</f>
        <v>18256.6069656</v>
      </c>
      <c r="AD16" s="73" ph="1">
        <f>AD15*268.68*LOOKUP(AD17,密度!$A$2:$A$50,密度!B2:B50)+IF(AD15&lt;=0,0,1566*LOOKUP(AD17,密度!$A$2:$A$50,密度!B2:B50))</f>
        <v>4176.3755140799994</v>
      </c>
      <c r="AE16" s="73" ph="1">
        <f>AE15*268.68*LOOKUP(AE17,密度!$A$2:$A$50,密度!B2:B50)+IF(AE15&lt;=0,0,1566*LOOKUP(AE17,密度!$A$2:$A$50,密度!B2:B50))</f>
        <v>19027.29710928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30</v>
      </c>
      <c r="E17" s="74">
        <v>30</v>
      </c>
      <c r="F17" s="74">
        <v>28</v>
      </c>
      <c r="G17" s="74">
        <v>27</v>
      </c>
      <c r="H17" s="74">
        <v>24</v>
      </c>
      <c r="I17" s="74">
        <v>27</v>
      </c>
      <c r="J17" s="74">
        <v>27</v>
      </c>
      <c r="K17" s="74">
        <v>28</v>
      </c>
      <c r="L17" s="74">
        <v>28</v>
      </c>
      <c r="M17" s="74">
        <v>28</v>
      </c>
      <c r="N17" s="74">
        <v>25</v>
      </c>
      <c r="O17" s="74">
        <v>28</v>
      </c>
      <c r="P17" s="74">
        <v>29</v>
      </c>
      <c r="Q17" s="74">
        <v>30</v>
      </c>
      <c r="R17" s="74">
        <v>29</v>
      </c>
      <c r="S17" s="74">
        <v>30</v>
      </c>
      <c r="T17" s="74">
        <v>29</v>
      </c>
      <c r="U17" s="74">
        <v>30</v>
      </c>
      <c r="V17" s="74">
        <v>30</v>
      </c>
      <c r="W17" s="74">
        <v>30</v>
      </c>
      <c r="X17" s="74">
        <v>31</v>
      </c>
      <c r="Y17" s="108">
        <v>31</v>
      </c>
      <c r="Z17" s="74">
        <v>26</v>
      </c>
      <c r="AA17" s="74">
        <v>26</v>
      </c>
      <c r="AB17" s="74">
        <v>27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1155</v>
      </c>
      <c r="E18" s="71">
        <v>1813</v>
      </c>
      <c r="F18" s="71">
        <v>3444</v>
      </c>
      <c r="G18" s="71">
        <v>4130</v>
      </c>
      <c r="H18" s="71">
        <v>1966</v>
      </c>
      <c r="I18" s="71">
        <v>2670</v>
      </c>
      <c r="J18" s="71">
        <v>168</v>
      </c>
      <c r="K18" s="71">
        <v>4188</v>
      </c>
      <c r="L18" s="71">
        <v>5866</v>
      </c>
      <c r="M18" s="71">
        <v>1751</v>
      </c>
      <c r="N18" s="71">
        <v>4292</v>
      </c>
      <c r="O18" s="71">
        <v>6478</v>
      </c>
      <c r="P18" s="71">
        <v>6946</v>
      </c>
      <c r="Q18" s="71">
        <v>5202</v>
      </c>
      <c r="R18" s="71">
        <v>1915</v>
      </c>
      <c r="S18" s="71">
        <v>6226</v>
      </c>
      <c r="T18" s="71">
        <v>4744</v>
      </c>
      <c r="U18" s="71">
        <v>2967</v>
      </c>
      <c r="V18" s="71">
        <v>850</v>
      </c>
      <c r="W18" s="71">
        <v>5217</v>
      </c>
      <c r="X18" s="71">
        <v>1109</v>
      </c>
      <c r="Y18" s="109">
        <v>-9908</v>
      </c>
      <c r="Z18" s="71">
        <v>0</v>
      </c>
      <c r="AA18" s="71">
        <v>6</v>
      </c>
      <c r="AB18" s="71">
        <v>1097</v>
      </c>
      <c r="AC18" s="71">
        <v>2156</v>
      </c>
      <c r="AD18" s="71">
        <v>49.16</v>
      </c>
      <c r="AE18" s="71">
        <v>84.88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60" t="s" ph="1">
        <v>178</v>
      </c>
      <c r="D19" s="73" ph="1">
        <f>D18*7.0686*LOOKUP(D20,密度!$A$2:$A$50,密度!$L$2:$L$50)</f>
        <v>7609.0651560000006</v>
      </c>
      <c r="E19" s="73" ph="1">
        <f>E18*7.0686*LOOKUP(E20,密度!$A$2:$A$50,密度!$L$2:$L$50)</f>
        <v>11943.926517600001</v>
      </c>
      <c r="F19" s="73" ph="1">
        <f>F18*9.0746*LOOKUP(F20,密度!$A$2:$A$50,密度!$L$2:$L$50)</f>
        <v>29096.470754400001</v>
      </c>
      <c r="G19" s="73" ph="1">
        <f>G18*9.0746*LOOKUP(G20,密度!$A$2:$A$50,密度!$B$2:$B$50)</f>
        <v>29120.482145999998</v>
      </c>
      <c r="H19" s="73" ph="1">
        <f>H18*9.0746*LOOKUP(H20,密度!$A$2:$A$50,密度!$L$2:$L$50)</f>
        <v>16716.701793200002</v>
      </c>
      <c r="I19" s="73" ph="1">
        <f>I18*9.0746*LOOKUP(I20,密度!$A$2:$A$50,密度!$U$2:$U$50)</f>
        <v>24689.536457999999</v>
      </c>
      <c r="J19" s="73" ph="1">
        <f>J18*9.0746*LOOKUP(J20,密度!$A$2:$A$50,密度!$L$2:$L$50)</f>
        <v>1420.8645696000001</v>
      </c>
      <c r="K19" s="73" ph="1">
        <f>K18*9.0746*LOOKUP(K20,密度!$A$2:$A$50,密度!$C$2:$C$50)</f>
        <v>42029.093386320004</v>
      </c>
      <c r="L19" s="73" ph="1">
        <f>L18*9.0746*LOOKUP(L20,密度!$A$2:$A$50,密度!$E$2:$E$50)</f>
        <v>41392.894959359997</v>
      </c>
      <c r="M19" s="73" ph="1">
        <f>M18*9.0746*LOOKUP(M20,密度!$A$2:$A$50,密度!$M$2:$M$50)</f>
        <v>13772.649914542002</v>
      </c>
      <c r="N19" s="73" ph="1">
        <f>N18*9.0746*LOOKUP(N20,密度!$A$2:$A$50,密度!$M$2:$M$50)</f>
        <v>34083.55511832</v>
      </c>
      <c r="O19" s="73" ph="1">
        <f>O18*9.0746*LOOKUP(O20,密度!$A$2:$A$50,密度!$G$2:$G$50)</f>
        <v>56122.286576360006</v>
      </c>
      <c r="P19" s="73" ph="1">
        <f ca="1">P18*9.0746*LOOKUP(P20,密度!$A$2:$A$51,密度!$Q$2:$Q$50)</f>
        <v>59460.138435428002</v>
      </c>
      <c r="Q19" s="73" ph="1">
        <f>Q18*9.0746*LOOKUP(Q20,密度!$A$2:$A$50,密度!$Q$2:$Q$50)</f>
        <v>44530.901258435995</v>
      </c>
      <c r="R19" s="73" ph="1">
        <f>MAX(R18*9.0746*LOOKUP(R20,密度!$A$2:$A$50,密度!$B$2:$B$50),0)</f>
        <v>13473.0540827</v>
      </c>
      <c r="S19" s="73" ph="1">
        <f>S18*9.0746*LOOKUP(S20,密度!$A$2:$A$50,密度!$Q$2:$Q$50)</f>
        <v>53296.691894468</v>
      </c>
      <c r="T19" s="73" ph="1">
        <f>T18*9.0746*LOOKUP(T20,密度!$A$2:$A$50,密度!$O$2:$O$50)</f>
        <v>39692.010012799998</v>
      </c>
      <c r="U19" s="73" ph="1">
        <f>U18*9.0746*LOOKUP(U20,密度!$A$2:$A$50,密度!$H$2:$H$50)</f>
        <v>24554.996438400001</v>
      </c>
      <c r="V19" s="73" ph="1">
        <f>MAX(5600*LOOKUP(V20,密度!$A$2:$A$50,密度!$Q$2:$Q$50)+V18*9.0476*LOOKUP(V20,密度!$A$2:$A$50,密度!$Q$2:$Q$50),0)</f>
        <v>12518.284273999998</v>
      </c>
      <c r="W19" s="73" ph="1">
        <f>MAX(5600*LOOKUP(W20,密度!$A$2:$A$50,密度!$Q$2:$Q$50)+W18*9.0476*LOOKUP(W20,密度!$A$2:$A$50,密度!$Q$2:$Q$50),0)</f>
        <v>49733.571973479993</v>
      </c>
      <c r="X19" s="73" ph="1">
        <f>MAX(5600*LOOKUP(X20,密度!$A$2:$A$50,密度!$I$2:$I$50)+X18*9.0476*LOOKUP(X20,密度!$A$2:$A$50,密度!$I$2:$I$50),0)</f>
        <v>16188.944226083999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42.213224279999999</v>
      </c>
      <c r="AB19" s="73" ph="1">
        <f>AB18*9.0746*LOOKUP(AB20,密度!$A$2:$A$50,密度!$L$2:$L$50)</f>
        <v>9267.9525021999998</v>
      </c>
      <c r="AC19" s="73" ph="1">
        <f>AC18*9.0746*LOOKUP(AC20,密度!$A$2:$A$50,密度!$L$2:$L$50)</f>
        <v>18273.558318399999</v>
      </c>
      <c r="AD19" s="73" ph="1">
        <f>AD18*268.68*LOOKUP(AD20,密度!$A$2:$A$50,密度!B5:B53)+IF(AD18&lt;=0,0,1566*LOOKUP(AD20,密度!$A$2:$A$50,密度!B5:B53))</f>
        <v>11479.637937599999</v>
      </c>
      <c r="AE19" s="73" ph="1">
        <f>AE18*268.68*LOOKUP(AE20,密度!$A$2:$A$50,密度!B5:B53)+IF(AE18&lt;=0,0,1566*LOOKUP(AE20,密度!$A$2:$A$50,密度!B5:B53))</f>
        <v>18936.700876799998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30</v>
      </c>
      <c r="E20" s="81">
        <v>30</v>
      </c>
      <c r="F20" s="81">
        <v>31</v>
      </c>
      <c r="G20" s="81">
        <v>28</v>
      </c>
      <c r="H20" s="81">
        <v>25</v>
      </c>
      <c r="I20" s="81">
        <v>31</v>
      </c>
      <c r="J20" s="81">
        <v>30</v>
      </c>
      <c r="K20" s="81">
        <v>29</v>
      </c>
      <c r="L20" s="81">
        <v>30</v>
      </c>
      <c r="M20" s="81">
        <v>33</v>
      </c>
      <c r="N20" s="81">
        <v>25</v>
      </c>
      <c r="O20" s="81">
        <v>30</v>
      </c>
      <c r="P20" s="81">
        <v>30</v>
      </c>
      <c r="Q20" s="81">
        <v>30</v>
      </c>
      <c r="R20" s="81">
        <v>30</v>
      </c>
      <c r="S20" s="81">
        <v>30</v>
      </c>
      <c r="T20" s="81">
        <v>30</v>
      </c>
      <c r="U20" s="81">
        <v>28</v>
      </c>
      <c r="V20" s="81">
        <v>32</v>
      </c>
      <c r="W20" s="81">
        <v>32</v>
      </c>
      <c r="X20" s="81">
        <v>31</v>
      </c>
      <c r="Y20" s="110">
        <v>31</v>
      </c>
      <c r="Z20" s="81">
        <v>31</v>
      </c>
      <c r="AA20" s="81">
        <v>30</v>
      </c>
      <c r="AB20" s="81">
        <v>31</v>
      </c>
      <c r="AC20" s="81">
        <v>28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60" t="s" ph="1">
        <v>177</v>
      </c>
      <c r="D24" s="71">
        <v>4.37</v>
      </c>
      <c r="E24" s="71">
        <v>5.45</v>
      </c>
      <c r="F24" s="71">
        <v>12</v>
      </c>
      <c r="G24" s="71">
        <v>1624</v>
      </c>
      <c r="H24" s="71">
        <v>2233</v>
      </c>
      <c r="I24" s="71">
        <v>2967</v>
      </c>
      <c r="J24" s="71">
        <v>5235</v>
      </c>
      <c r="K24" s="71">
        <v>5261</v>
      </c>
      <c r="L24" s="71">
        <v>5607</v>
      </c>
      <c r="M24" s="71">
        <v>5402</v>
      </c>
      <c r="N24" s="71">
        <v>5528</v>
      </c>
      <c r="O24" s="71">
        <v>5596</v>
      </c>
      <c r="P24" s="71">
        <v>350</v>
      </c>
      <c r="Q24" s="90">
        <v>2270</v>
      </c>
      <c r="R24" s="71">
        <v>208</v>
      </c>
      <c r="S24" s="71">
        <v>2793</v>
      </c>
      <c r="T24" s="71">
        <v>849</v>
      </c>
      <c r="U24" s="71">
        <v>4608</v>
      </c>
      <c r="V24" s="71">
        <v>749</v>
      </c>
      <c r="W24" s="71">
        <v>5299</v>
      </c>
      <c r="X24" s="71">
        <v>784</v>
      </c>
      <c r="Y24" s="71">
        <v>2901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2594.1921909840003</v>
      </c>
      <c r="E25" s="91" ph="1">
        <f>E24*268.68*LOOKUP(E26,密度!$A$2:$A$50,密度!$C$2:$C$50)+IF(E24&lt;=0,0,1566*LOOKUP(E26,密度!$A$2:$A$50,密度!$C$2:$C$50))</f>
        <v>3360.3063234000001</v>
      </c>
      <c r="F25" s="91" ph="1">
        <f>F24*11.702*LOOKUP(F26,密度!$A$2:$A$50,密度!$Q$2:$Q$50)</f>
        <v>132.55042632000001</v>
      </c>
      <c r="G25" s="91" ph="1">
        <f>G24*18.322*LOOKUP(G26,密度!$A$2:$A$50,密度!$B$2:$B$50)</f>
        <v>23119.579056000002</v>
      </c>
      <c r="H25" s="91" ph="1">
        <f>H24*18.322*LOOKUP(H26,密度!$A$2:$A$50,密度!$B$2:$B$50)</f>
        <v>31756.690781199999</v>
      </c>
      <c r="I25" s="91" ph="1">
        <f>I24*18.322*LOOKUP(I26,密度!$A$2:$A$50,密度!$Q$2:$Q$50)</f>
        <v>51313.331759820001</v>
      </c>
      <c r="J25" s="91" ph="1">
        <f>J24*18.322*LOOKUP(J26,密度!$A$2:$A$50,密度!$Q$2:$Q$50)</f>
        <v>90603.860195400004</v>
      </c>
      <c r="K25" s="91" ph="1">
        <f>K24*18.322*LOOKUP(K26,密度!$A$2:$A$50,密度!$Q$2:$Q$50)</f>
        <v>91053.850714040003</v>
      </c>
      <c r="L25" s="91" ph="1">
        <f>L24*18.322*LOOKUP(L26,密度!$A$2:$A$50,密度!$Q$2:$Q$50)</f>
        <v>97042.186077480001</v>
      </c>
      <c r="M25" s="91" ph="1">
        <f>M24*18.322*LOOKUP(M26,密度!$A$2:$A$50,密度!$Q$2:$Q$50)</f>
        <v>93425.890854919999</v>
      </c>
      <c r="N25" s="91" ph="1">
        <f>N24*18.322*LOOKUP(N26,密度!$A$2:$A$50,密度!$Q$2:$Q$50)</f>
        <v>95605.021222879994</v>
      </c>
      <c r="O25" s="91" ph="1">
        <f>O24*18.322*LOOKUP(O26,密度!$A$2:$A$50,密度!$C$2:$C$50)</f>
        <v>113459.60061920001</v>
      </c>
      <c r="P25" s="91" ph="1">
        <f>P24*11.702*LOOKUP(P26,密度!$A$2:$A$50,密度!$B$2:$B$50)</f>
        <v>3182.3589000000002</v>
      </c>
      <c r="Q25" s="92" ph="1">
        <f>Q24*18.322*LOOKUP(Q26,密度!$A$2:$A$50,密度!$B$2:$B$50)</f>
        <v>32282.887627999997</v>
      </c>
      <c r="R25" s="91" ph="1">
        <f>R24*35.891*LOOKUP(R26,密度!$A$2:$A$50,密度!$C$2:$C$50)</f>
        <v>8261.131964799999</v>
      </c>
      <c r="S25" s="91" ph="1">
        <f>S24*35.891*LOOKUP(S26,密度!$A$2:$A$50,密度!$B$2:$B$50)</f>
        <v>77889.248450999992</v>
      </c>
      <c r="T25" s="91" ph="1">
        <f>T24*35.891*LOOKUP(T26,密度!$A$2:$A$50,密度!$Q$2:$Q$50)</f>
        <v>28783.949600579999</v>
      </c>
      <c r="U25" s="91" ph="1">
        <f>U24*35.891</f>
        <v>165385.728</v>
      </c>
      <c r="V25" s="91" ph="1">
        <f>V24*47.051*LOOKUP(V26,密度!$A$2:$A$50,密度!$B$2:$B$50)</f>
        <v>27354.218663800002</v>
      </c>
      <c r="W25" s="91" ph="1">
        <f>W24*47.051*LOOKUP(W26,密度!$A$2:$A$50,密度!$B$2:$B$50)</f>
        <v>193724.16447300001</v>
      </c>
      <c r="X25" s="91" ph="1">
        <f>X24*47.051*LOOKUP(X26,密度!$A$2:$A$50,密度!$I$2:$I$50)</f>
        <v>38278.660996800005</v>
      </c>
      <c r="Y25" s="91" ph="1">
        <f>Y24*47.051*LOOKUP(Y26,密度!$A$2:$A$50,密度!$L$2:$L$50)</f>
        <v>127486.28423400001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29</v>
      </c>
      <c r="G26" s="74">
        <v>28</v>
      </c>
      <c r="H26" s="74">
        <v>29</v>
      </c>
      <c r="I26" s="74">
        <v>29</v>
      </c>
      <c r="J26" s="74">
        <v>28</v>
      </c>
      <c r="K26" s="74">
        <v>28</v>
      </c>
      <c r="L26" s="74">
        <v>28</v>
      </c>
      <c r="M26" s="74">
        <v>29</v>
      </c>
      <c r="N26" s="74">
        <v>29</v>
      </c>
      <c r="O26" s="74">
        <v>28</v>
      </c>
      <c r="P26" s="74">
        <v>28</v>
      </c>
      <c r="Q26" s="93">
        <v>29</v>
      </c>
      <c r="R26" s="74">
        <v>28</v>
      </c>
      <c r="S26" s="74">
        <v>28</v>
      </c>
      <c r="T26" s="74">
        <v>28</v>
      </c>
      <c r="U26" s="74">
        <v>28</v>
      </c>
      <c r="V26" s="74">
        <v>29</v>
      </c>
      <c r="W26" s="74">
        <v>28</v>
      </c>
      <c r="X26" s="74">
        <v>29</v>
      </c>
      <c r="Y26" s="74">
        <v>28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60" t="s" ph="1">
        <v>180</v>
      </c>
      <c r="D27" s="71">
        <v>4.3600000000000003</v>
      </c>
      <c r="E27" s="71">
        <v>5.43</v>
      </c>
      <c r="F27" s="71">
        <v>10</v>
      </c>
      <c r="G27" s="71">
        <v>1623</v>
      </c>
      <c r="H27" s="71">
        <v>1547</v>
      </c>
      <c r="I27" s="71">
        <v>2965</v>
      </c>
      <c r="J27" s="71">
        <v>5235</v>
      </c>
      <c r="K27" s="71">
        <v>5261</v>
      </c>
      <c r="L27" s="71">
        <v>5606</v>
      </c>
      <c r="M27" s="71">
        <v>5404</v>
      </c>
      <c r="N27" s="71">
        <v>5528</v>
      </c>
      <c r="O27" s="71">
        <v>5595</v>
      </c>
      <c r="P27" s="71">
        <v>348</v>
      </c>
      <c r="Q27" s="90">
        <v>2658</v>
      </c>
      <c r="R27" s="71">
        <v>206</v>
      </c>
      <c r="S27" s="71">
        <v>2790</v>
      </c>
      <c r="T27" s="71">
        <v>848</v>
      </c>
      <c r="U27" s="71">
        <v>4525</v>
      </c>
      <c r="V27" s="71">
        <v>488</v>
      </c>
      <c r="W27" s="71">
        <v>5781</v>
      </c>
      <c r="X27" s="71">
        <v>1397</v>
      </c>
      <c r="Y27" s="71">
        <v>3451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60" t="s" ph="1">
        <v>178</v>
      </c>
      <c r="D28" s="91" ph="1">
        <f>D27*268.68*LOOKUP(D29,密度!$A$2:$A$50,密度!$Q$2:$Q$50)+IF(D27&lt;=0,0,1566*LOOKUP(D29,密度!$A$2:$A$50,密度!$Q$2:$Q$50))</f>
        <v>2591.6484899520001</v>
      </c>
      <c r="E28" s="91" ph="1">
        <f>E27*268.68*LOOKUP(E29,密度!$A$2:$A$50,密度!$C$2:$C$50)+IF(E27&lt;=0,0,1566*LOOKUP(E29,密度!$A$2:$A$50,密度!$C$2:$C$50))</f>
        <v>3354.3475383599998</v>
      </c>
      <c r="F28" s="91" ph="1">
        <f>F27*11.702*LOOKUP(F29,密度!$A$2:$A$50,密度!$Q$2:$Q$50)</f>
        <v>110.4586886</v>
      </c>
      <c r="G28" s="91" ph="1">
        <f>G27*18.322*LOOKUP(G29,密度!$A$2:$A$50,密度!$B$2:$B$50)</f>
        <v>23105.342862000001</v>
      </c>
      <c r="H28" s="91" ph="1">
        <f>H27*18.322*LOOKUP(H29,密度!$A$2:$A$50,密度!$B$2:$B$50)</f>
        <v>22023.392118</v>
      </c>
      <c r="I28" s="91" ph="1">
        <f>I27*18.322*LOOKUP(I29,密度!$A$2:$A$50,密度!$Q$2:$Q$50)</f>
        <v>51278.742388899998</v>
      </c>
      <c r="J28" s="91" ph="1">
        <f>J27*18.322*LOOKUP(J29,密度!$A$2:$A$50,密度!$Q$2:$Q$50)</f>
        <v>90537.678383100007</v>
      </c>
      <c r="K28" s="91" ph="1">
        <f>K27*18.322*LOOKUP(K29,密度!$A$2:$A$50,密度!$Q$2:$Q$50)</f>
        <v>90987.340205060013</v>
      </c>
      <c r="L28" s="91" ph="1">
        <f>L27*18.322*LOOKUP(L29,密度!$A$2:$A$50,密度!$Q$2:$Q$50)</f>
        <v>97024.878749840005</v>
      </c>
      <c r="M28" s="91" ph="1">
        <f>M27*18.322*LOOKUP(M29,密度!$A$2:$A$50,密度!$Q$2:$Q$50)</f>
        <v>93401.072973039991</v>
      </c>
      <c r="N28" s="91" ph="1">
        <f>N27*18.322*LOOKUP(N29,密度!$A$2:$A$50,密度!$Q$2:$Q$50)</f>
        <v>95544.250813279985</v>
      </c>
      <c r="O28" s="91" ph="1">
        <f>O27*18.322*LOOKUP(O29,密度!$A$2:$A$50,密度!$C$2:$C$50)</f>
        <v>113367.567381</v>
      </c>
      <c r="P28" s="91" ph="1">
        <f>P27*11.702*LOOKUP(P29,密度!$A$2:$A$50,密度!$B$2:$B$50)</f>
        <v>3160.9161552</v>
      </c>
      <c r="Q28" s="92" ph="1">
        <f>Q27*18.322*LOOKUP(Q29,密度!$A$2:$A$50,密度!$B$2:$B$50)</f>
        <v>37839.803651999995</v>
      </c>
      <c r="R28" s="91" ph="1">
        <f>R27*35.891*LOOKUP(R29,密度!$A$2:$A$50,密度!$C$2:$C$50)</f>
        <v>8181.6980035999995</v>
      </c>
      <c r="S28" s="91" ph="1">
        <f>S27*35.891*LOOKUP(S29,密度!$A$2:$A$50,密度!$B$2:$B$50)</f>
        <v>77805.58653</v>
      </c>
      <c r="T28" s="91" ph="1">
        <f>T27*35.891*LOOKUP(T29,密度!$A$2:$A$50,密度!$Q$2:$Q$50)</f>
        <v>28710.784361440001</v>
      </c>
      <c r="U28" s="91" ph="1">
        <f>U27*35.891</f>
        <v>162406.77499999999</v>
      </c>
      <c r="V28" s="91" ph="1">
        <f>V27*47.051*LOOKUP(V29,密度!$A$2:$A$50,密度!$B$2:$B$50)</f>
        <v>17822.241265600001</v>
      </c>
      <c r="W28" s="91" ph="1">
        <f>W27*47.051*LOOKUP(W29,密度!$A$2:$A$50,密度!$B$2:$B$50)</f>
        <v>211345.42268700001</v>
      </c>
      <c r="X28" s="91" ph="1">
        <f>X27*47.051*LOOKUP(X29,密度!$A$2:$A$50,密度!$I$2:$I$50)</f>
        <v>68135.974040200002</v>
      </c>
      <c r="Y28" s="91" ph="1">
        <f>Y27*47.051*LOOKUP(Y29,密度!$A$2:$A$50,密度!$L$2:$L$50)</f>
        <v>151494.00993300002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60" t="s" ph="1">
        <v>179</v>
      </c>
      <c r="D29" s="74">
        <v>25</v>
      </c>
      <c r="E29" s="74">
        <v>25</v>
      </c>
      <c r="F29" s="74">
        <v>29</v>
      </c>
      <c r="G29" s="74">
        <v>28</v>
      </c>
      <c r="H29" s="74">
        <v>28</v>
      </c>
      <c r="I29" s="74">
        <v>29</v>
      </c>
      <c r="J29" s="74">
        <v>29</v>
      </c>
      <c r="K29" s="74">
        <v>29</v>
      </c>
      <c r="L29" s="74">
        <v>28</v>
      </c>
      <c r="M29" s="74">
        <v>30</v>
      </c>
      <c r="N29" s="74">
        <v>30</v>
      </c>
      <c r="O29" s="74">
        <v>29</v>
      </c>
      <c r="P29" s="74">
        <v>29</v>
      </c>
      <c r="Q29" s="93">
        <v>28</v>
      </c>
      <c r="R29" s="74">
        <v>28</v>
      </c>
      <c r="S29" s="74">
        <v>28</v>
      </c>
      <c r="T29" s="74">
        <v>30</v>
      </c>
      <c r="U29" s="74">
        <v>30</v>
      </c>
      <c r="V29" s="74">
        <v>29</v>
      </c>
      <c r="W29" s="74">
        <v>28</v>
      </c>
      <c r="X29" s="74">
        <v>30</v>
      </c>
      <c r="Y29" s="74">
        <v>29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60" t="s" ph="1">
        <v>5</v>
      </c>
      <c r="F32" s="159" t="s" ph="1">
        <v>43</v>
      </c>
      <c r="G32" s="97" t="s" ph="1">
        <v>4</v>
      </c>
      <c r="H32" s="160" t="s" ph="1">
        <v>5</v>
      </c>
      <c r="I32" s="159" t="s" ph="1">
        <v>43</v>
      </c>
      <c r="J32" s="97" t="s" ph="1">
        <v>4</v>
      </c>
      <c r="K32" s="160" t="s" ph="1">
        <v>5</v>
      </c>
      <c r="L32" s="159" t="s" ph="1">
        <v>43</v>
      </c>
      <c r="M32" s="97" t="s" ph="1">
        <v>4</v>
      </c>
      <c r="N32" s="160" t="s" ph="1">
        <v>5</v>
      </c>
      <c r="O32" s="15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0" t="s" ph="1">
        <v>5</v>
      </c>
      <c r="U32" s="99" t="s" ph="1">
        <v>43</v>
      </c>
      <c r="V32" s="97" t="s" ph="1">
        <v>4</v>
      </c>
      <c r="W32" s="160" t="s" ph="1">
        <v>5</v>
      </c>
      <c r="X32" s="99" t="s" ph="1">
        <v>43</v>
      </c>
      <c r="Y32" s="100" t="s" ph="1">
        <v>4</v>
      </c>
      <c r="Z32" s="160" t="s" ph="1">
        <v>5</v>
      </c>
      <c r="AA32" s="159" t="s" ph="1">
        <v>43</v>
      </c>
      <c r="AB32" s="97" t="s" ph="1">
        <v>85</v>
      </c>
      <c r="AC32" s="160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59980.815522900004</v>
      </c>
      <c r="E33" s="204" ph="1">
        <f>M10+I10</f>
        <v>73585.196340400013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[[#This Row],[F25]]</f>
        <v>3880</v>
      </c>
      <c r="G33" s="208" ph="1">
        <v>0</v>
      </c>
      <c r="H33" s="204" ph="1">
        <f>N19</f>
        <v>34083.55511832</v>
      </c>
      <c r="I33" s="217" ph="1">
        <v>0</v>
      </c>
      <c r="J33" s="215" ph="1">
        <f>F10+O28</f>
        <v>265883.30516400002</v>
      </c>
      <c r="K33" s="204" ph="1">
        <f>O10+K10+E28+R28</f>
        <v>111940.13570996</v>
      </c>
      <c r="L33" s="219" ph="1">
        <f>BE27</f>
        <v>7100</v>
      </c>
      <c r="M33" s="215" ph="1">
        <f>G10+H10+W28+S28+V28+E10</f>
        <v>1265024.8436785999</v>
      </c>
      <c r="N33" s="204" ph="1">
        <f>L10+P10++G28+H28</f>
        <v>190666.38257999998</v>
      </c>
      <c r="O33" s="217" ph="1">
        <f>BE17</f>
        <v>2270</v>
      </c>
      <c r="P33" s="215" ph="1">
        <f>L19</f>
        <v>41392.894959359997</v>
      </c>
      <c r="Q33" s="204" ph="1">
        <f>J10+N10</f>
        <v>124760.10565119999</v>
      </c>
      <c r="R33" s="217" ph="1">
        <f>BE23</f>
        <v>890</v>
      </c>
      <c r="S33" s="215" ph="1">
        <f>E10+X28</f>
        <v>412994.81012820004</v>
      </c>
      <c r="T33" s="204" ph="1">
        <f>X19</f>
        <v>16188.944226083999</v>
      </c>
      <c r="U33" s="225" ph="1">
        <f>BE21</f>
        <v>730</v>
      </c>
      <c r="V33" s="236" ph="1">
        <f ca="1">P19+Q19+S19+M28+N28+J28</f>
        <v>436770.73375775199</v>
      </c>
      <c r="W33" s="236" ph="1">
        <f>D28+F28+V19+T28</f>
        <v>43931.175813991998</v>
      </c>
      <c r="X33" s="217" ph="1">
        <f>BE29+BE31</f>
        <v>10200</v>
      </c>
      <c r="Y33" s="238" ph="1">
        <f>+Q10+R10+S10+T10+U10+V10+W10+X10+Y10</f>
        <v>191283.43408019998</v>
      </c>
      <c r="Z33" s="223" ph="1">
        <f>D10+T19+U19+Y28+Z10</f>
        <v>404766.36816785001</v>
      </c>
      <c r="AA33" s="225" ph="1">
        <f>BE19</f>
        <v>1440</v>
      </c>
      <c r="AB33" s="227" ph="1">
        <f>I19</f>
        <v>24689.536457999999</v>
      </c>
      <c r="AC33" s="229" ph="1">
        <f>AD10</f>
        <v>85094.059680000006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58" t="s" ph="1">
        <v>185</v>
      </c>
      <c r="AA36" s="158" ph="1"/>
      <c r="AB36" s="222" t="s" ph="1">
        <v>641</v>
      </c>
      <c r="AC36" s="222" ph="1"/>
      <c r="AD36" s="222" ph="1"/>
      <c r="AE36" s="222" ph="1"/>
      <c r="BA36" s="64" ph="1">
        <v>2270</v>
      </c>
    </row>
    <row r="37" spans="1:57" s="15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8" t="s" ph="1">
        <v>342</v>
      </c>
      <c r="AI37" s="158" t="s" ph="1">
        <v>209</v>
      </c>
      <c r="AJ37" s="158" t="s" ph="1">
        <v>210</v>
      </c>
      <c r="AK37" s="158" t="s" ph="1">
        <v>211</v>
      </c>
      <c r="AM37" s="158" t="s" ph="1">
        <v>210</v>
      </c>
      <c r="AN37" s="158" t="s" ph="1">
        <v>211</v>
      </c>
      <c r="AO37" s="158" t="s" ph="1">
        <v>212</v>
      </c>
      <c r="AP37" s="158" t="s" ph="1">
        <v>210</v>
      </c>
      <c r="AQ37" s="158" t="s" ph="1">
        <v>211</v>
      </c>
      <c r="AR37" s="158" t="s" ph="1">
        <v>212</v>
      </c>
      <c r="AS37" s="158" t="s" ph="1">
        <v>210</v>
      </c>
      <c r="AT37" s="158" t="s" ph="1">
        <v>211</v>
      </c>
      <c r="AU37" s="158" t="s" ph="1">
        <v>212</v>
      </c>
      <c r="AV37" s="158" t="s" ph="1">
        <v>210</v>
      </c>
      <c r="AW37" s="158" t="s" ph="1">
        <v>211</v>
      </c>
      <c r="AX37" s="158" t="s" ph="1">
        <v>212</v>
      </c>
      <c r="AY37" s="158" t="s" ph="1">
        <v>211</v>
      </c>
      <c r="AZ37" s="158" t="s" ph="1">
        <v>213</v>
      </c>
      <c r="BD37" s="158" t="s" ph="1">
        <v>305</v>
      </c>
      <c r="BE37" s="15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55" priority="98">
      <formula>ABS(D$7-D$10)&gt;=1000</formula>
    </cfRule>
  </conditionalFormatting>
  <conditionalFormatting sqref="E4 E6:E11">
    <cfRule type="expression" dxfId="254" priority="97">
      <formula>ABS(E$7-E$10)&gt;=1000</formula>
    </cfRule>
  </conditionalFormatting>
  <conditionalFormatting sqref="F4:F11">
    <cfRule type="expression" dxfId="253" priority="96">
      <formula>ABS(F$7-F$10)&gt;=1000</formula>
    </cfRule>
  </conditionalFormatting>
  <conditionalFormatting sqref="G4:G11">
    <cfRule type="expression" dxfId="252" priority="95">
      <formula>ABS(G$7-G$10)&gt;=1000</formula>
    </cfRule>
  </conditionalFormatting>
  <conditionalFormatting sqref="H4:H11">
    <cfRule type="expression" dxfId="251" priority="94">
      <formula>ABS(H$7-H$10)&gt;=1000</formula>
    </cfRule>
  </conditionalFormatting>
  <conditionalFormatting sqref="I4:I11">
    <cfRule type="expression" dxfId="250" priority="93">
      <formula>ABS(I$7-I$10)&gt;=1000</formula>
    </cfRule>
  </conditionalFormatting>
  <conditionalFormatting sqref="J4:J11">
    <cfRule type="expression" dxfId="249" priority="92">
      <formula>ABS(J$7-J$10)&gt;=1000</formula>
    </cfRule>
  </conditionalFormatting>
  <conditionalFormatting sqref="K4:K11">
    <cfRule type="expression" dxfId="248" priority="91">
      <formula>ABS(K$7-K$10)&gt;=1000</formula>
    </cfRule>
  </conditionalFormatting>
  <conditionalFormatting sqref="L4:L11">
    <cfRule type="expression" dxfId="247" priority="90">
      <formula>ABS(L$7-L$10)&gt;=1000</formula>
    </cfRule>
  </conditionalFormatting>
  <conditionalFormatting sqref="M4 M6:M11">
    <cfRule type="expression" dxfId="246" priority="89">
      <formula>ABS(M$7-M$10)&gt;=1000</formula>
    </cfRule>
  </conditionalFormatting>
  <conditionalFormatting sqref="N4 N6:N11">
    <cfRule type="expression" dxfId="245" priority="88">
      <formula>ABS(N$7-N$10)&gt;=1000</formula>
    </cfRule>
  </conditionalFormatting>
  <conditionalFormatting sqref="O4 O6:O11">
    <cfRule type="expression" dxfId="244" priority="87">
      <formula>ABS(O$7-O$10)&gt;=1000</formula>
    </cfRule>
  </conditionalFormatting>
  <conditionalFormatting sqref="P4 P6:P11">
    <cfRule type="expression" dxfId="243" priority="86">
      <formula>ABS(P$7-P$10)&gt;=1000</formula>
    </cfRule>
  </conditionalFormatting>
  <conditionalFormatting sqref="Q4:Q11">
    <cfRule type="expression" dxfId="242" priority="85">
      <formula>ABS(Q$7-Q$10)&gt;=1000</formula>
    </cfRule>
  </conditionalFormatting>
  <conditionalFormatting sqref="R4:R11">
    <cfRule type="expression" dxfId="241" priority="84">
      <formula>ABS(R$7-R$10)&gt;=1000</formula>
    </cfRule>
  </conditionalFormatting>
  <conditionalFormatting sqref="S4:S11">
    <cfRule type="expression" dxfId="240" priority="83">
      <formula>ABS(S$7-S$10)&gt;=1000</formula>
    </cfRule>
  </conditionalFormatting>
  <conditionalFormatting sqref="T4:T9 T11">
    <cfRule type="expression" dxfId="239" priority="82">
      <formula>ABS(T$7-T$10)&gt;=1000</formula>
    </cfRule>
  </conditionalFormatting>
  <conditionalFormatting sqref="U4:U9 U11">
    <cfRule type="expression" dxfId="238" priority="81">
      <formula>ABS(U$7-U$10)&gt;=1000</formula>
    </cfRule>
  </conditionalFormatting>
  <conditionalFormatting sqref="V4:V9 V11">
    <cfRule type="expression" dxfId="237" priority="80">
      <formula>ABS(V$7-V$10)&gt;=1000</formula>
    </cfRule>
  </conditionalFormatting>
  <conditionalFormatting sqref="W4:W9 W11">
    <cfRule type="expression" dxfId="236" priority="79">
      <formula>ABS(W$7-W$10)&gt;=1000</formula>
    </cfRule>
  </conditionalFormatting>
  <conditionalFormatting sqref="X4:X9 X11">
    <cfRule type="expression" dxfId="235" priority="78">
      <formula>ABS(X$7-X$10)&gt;=1000</formula>
    </cfRule>
  </conditionalFormatting>
  <conditionalFormatting sqref="Y4:Y9 Y11">
    <cfRule type="expression" dxfId="234" priority="77">
      <formula>ABS(Y$7-Y$10)&gt;=1000</formula>
    </cfRule>
  </conditionalFormatting>
  <conditionalFormatting sqref="Z4:Z11">
    <cfRule type="expression" dxfId="233" priority="76">
      <formula>ABS(Z$7-Z$10)&gt;=1000</formula>
    </cfRule>
  </conditionalFormatting>
  <conditionalFormatting sqref="AA4:AA11">
    <cfRule type="expression" dxfId="232" priority="75">
      <formula>ABS(AA$7-AA$10)&gt;=1000</formula>
    </cfRule>
  </conditionalFormatting>
  <conditionalFormatting sqref="AB4:AB11">
    <cfRule type="expression" dxfId="231" priority="74">
      <formula>ABS(AB$7-AB$10)&gt;=1000</formula>
    </cfRule>
  </conditionalFormatting>
  <conditionalFormatting sqref="AC4 AC6:AC11">
    <cfRule type="expression" dxfId="230" priority="73">
      <formula>ABS(AC$7-AC$10)&gt;=1000</formula>
    </cfRule>
  </conditionalFormatting>
  <conditionalFormatting sqref="AD4:AD11">
    <cfRule type="expression" dxfId="229" priority="72">
      <formula>ABS(AD$7-AD$10)&gt;=1000</formula>
    </cfRule>
  </conditionalFormatting>
  <conditionalFormatting sqref="AE4 AE6:AE11">
    <cfRule type="expression" dxfId="228" priority="71">
      <formula>ABS(AE$7-AE$10)&gt;=1000</formula>
    </cfRule>
  </conditionalFormatting>
  <conditionalFormatting sqref="D13:D20">
    <cfRule type="expression" dxfId="227" priority="70">
      <formula>ABS(D$16-D$19)&gt;=1000</formula>
    </cfRule>
  </conditionalFormatting>
  <conditionalFormatting sqref="E13:E20">
    <cfRule type="expression" dxfId="226" priority="69">
      <formula>ABS(E$16-E$19)&gt;=1000</formula>
    </cfRule>
  </conditionalFormatting>
  <conditionalFormatting sqref="F13 F15:F20">
    <cfRule type="expression" dxfId="225" priority="68">
      <formula>ABS(F$16-F$19)&gt;=1000</formula>
    </cfRule>
  </conditionalFormatting>
  <conditionalFormatting sqref="G13:G20">
    <cfRule type="expression" dxfId="224" priority="67">
      <formula>ABS(G$16-G$19)&gt;=1000</formula>
    </cfRule>
  </conditionalFormatting>
  <conditionalFormatting sqref="H13:H20">
    <cfRule type="expression" dxfId="223" priority="66">
      <formula>ABS(H$16-H$19)&gt;=1000</formula>
    </cfRule>
  </conditionalFormatting>
  <conditionalFormatting sqref="I13:I20">
    <cfRule type="expression" dxfId="222" priority="65">
      <formula>ABS(I$16-I$19)&gt;=1000</formula>
    </cfRule>
  </conditionalFormatting>
  <conditionalFormatting sqref="J13:J20">
    <cfRule type="expression" dxfId="221" priority="64">
      <formula>ABS(J$16-J$19)&gt;=1000</formula>
    </cfRule>
  </conditionalFormatting>
  <conditionalFormatting sqref="L13:L20">
    <cfRule type="expression" dxfId="220" priority="63">
      <formula>ABS(L$16-L$19)&gt;=1000</formula>
    </cfRule>
  </conditionalFormatting>
  <conditionalFormatting sqref="M13 M15 M17:M18 M20">
    <cfRule type="expression" dxfId="219" priority="62">
      <formula>ABS(M$16-M$19)&gt;=1000</formula>
    </cfRule>
  </conditionalFormatting>
  <conditionalFormatting sqref="N13:N20">
    <cfRule type="expression" dxfId="218" priority="61">
      <formula>ABS(N$16-N$19)&gt;=1000</formula>
    </cfRule>
  </conditionalFormatting>
  <conditionalFormatting sqref="O13:O20">
    <cfRule type="expression" dxfId="217" priority="60">
      <formula>ABS(O$16-O$19)&gt;=1000</formula>
    </cfRule>
  </conditionalFormatting>
  <conditionalFormatting sqref="P13:P20">
    <cfRule type="expression" dxfId="216" priority="59">
      <formula>ABS(P$16-P$19)&gt;=1000</formula>
    </cfRule>
  </conditionalFormatting>
  <conditionalFormatting sqref="Q13 Q15:Q20">
    <cfRule type="expression" dxfId="215" priority="58">
      <formula>ABS(Q$16-Q$19)&gt;=1000</formula>
    </cfRule>
  </conditionalFormatting>
  <conditionalFormatting sqref="R13:R20">
    <cfRule type="expression" dxfId="214" priority="57">
      <formula>ABS(R$16-R$19)&gt;=1000</formula>
    </cfRule>
  </conditionalFormatting>
  <conditionalFormatting sqref="S13:S20">
    <cfRule type="expression" dxfId="213" priority="56">
      <formula>ABS(S$16-S$19)&gt;=1000</formula>
    </cfRule>
  </conditionalFormatting>
  <conditionalFormatting sqref="T13:T20">
    <cfRule type="expression" dxfId="212" priority="55">
      <formula>ABS(T$16-T$19)&gt;=1000</formula>
    </cfRule>
  </conditionalFormatting>
  <conditionalFormatting sqref="U13:U20">
    <cfRule type="expression" dxfId="211" priority="54">
      <formula>ABS(U$16-U$19)&gt;=1000</formula>
    </cfRule>
  </conditionalFormatting>
  <conditionalFormatting sqref="V13:V20">
    <cfRule type="expression" dxfId="210" priority="53">
      <formula>ABS(V$16-V$19)&gt;=1000</formula>
    </cfRule>
  </conditionalFormatting>
  <conditionalFormatting sqref="W13 W20 W15:W18">
    <cfRule type="expression" dxfId="209" priority="52">
      <formula>ABS(W$16-W$19)&gt;=1000</formula>
    </cfRule>
  </conditionalFormatting>
  <conditionalFormatting sqref="X13 X15:X20 Y19">
    <cfRule type="expression" dxfId="208" priority="51">
      <formula>ABS(X$16-X$19)&gt;=1000</formula>
    </cfRule>
  </conditionalFormatting>
  <conditionalFormatting sqref="Y13 Y15:Y18 Y20">
    <cfRule type="expression" dxfId="207" priority="50">
      <formula>ABS(Y$16-Y$19)&gt;=1000</formula>
    </cfRule>
  </conditionalFormatting>
  <conditionalFormatting sqref="Z13:Z20">
    <cfRule type="expression" dxfId="206" priority="49">
      <formula>ABS(Z$16-Z$19)&gt;=1000</formula>
    </cfRule>
  </conditionalFormatting>
  <conditionalFormatting sqref="AA13:AA20">
    <cfRule type="expression" dxfId="205" priority="48">
      <formula>ABS(AA$16-AA$19)&gt;=1000</formula>
    </cfRule>
  </conditionalFormatting>
  <conditionalFormatting sqref="AB13 AB15:AB20">
    <cfRule type="expression" dxfId="204" priority="47">
      <formula>ABS(AB$16-AB$19)&gt;=1000</formula>
    </cfRule>
  </conditionalFormatting>
  <conditionalFormatting sqref="AC13 AC15:AC20">
    <cfRule type="expression" dxfId="203" priority="46">
      <formula>ABS(AC$16-AC$19)&gt;=1000</formula>
    </cfRule>
  </conditionalFormatting>
  <conditionalFormatting sqref="AD13:AD20">
    <cfRule type="expression" dxfId="202" priority="45">
      <formula>ABS(AD$16-AD$19)&gt;=1000</formula>
    </cfRule>
  </conditionalFormatting>
  <conditionalFormatting sqref="AE13:AE20">
    <cfRule type="expression" dxfId="201" priority="44">
      <formula>ABS(AE$16-AE$19)&gt;=1000</formula>
    </cfRule>
  </conditionalFormatting>
  <conditionalFormatting sqref="D22:D29">
    <cfRule type="expression" dxfId="200" priority="43">
      <formula>ABS(D$25-D$28)&gt;=1000</formula>
    </cfRule>
  </conditionalFormatting>
  <conditionalFormatting sqref="E22:E29">
    <cfRule type="expression" dxfId="199" priority="42">
      <formula>ABS(E$25-E$28)&gt;=1000</formula>
    </cfRule>
  </conditionalFormatting>
  <conditionalFormatting sqref="F22:F29">
    <cfRule type="expression" dxfId="198" priority="41">
      <formula>ABS(F$25-F$28)&gt;=1000</formula>
    </cfRule>
  </conditionalFormatting>
  <conditionalFormatting sqref="G22:G29">
    <cfRule type="expression" dxfId="197" priority="40">
      <formula>ABS(G$25-G$28)&gt;=1000</formula>
    </cfRule>
  </conditionalFormatting>
  <conditionalFormatting sqref="H22:H29">
    <cfRule type="expression" dxfId="196" priority="39">
      <formula>ABS(H$25-H$28)&gt;=1000</formula>
    </cfRule>
  </conditionalFormatting>
  <conditionalFormatting sqref="I22 I24:I29">
    <cfRule type="expression" dxfId="195" priority="38">
      <formula>ABS(I$25-I$28)&gt;=1000</formula>
    </cfRule>
  </conditionalFormatting>
  <conditionalFormatting sqref="J22:J29 K22">
    <cfRule type="expression" dxfId="194" priority="37">
      <formula>ABS(J$25-J$28)&gt;=1000</formula>
    </cfRule>
  </conditionalFormatting>
  <conditionalFormatting sqref="K23:K29 L25 L28">
    <cfRule type="expression" dxfId="193" priority="36">
      <formula>ABS(K$25-K$28)&gt;=1000</formula>
    </cfRule>
  </conditionalFormatting>
  <conditionalFormatting sqref="L22 L26:L27 L29 L24">
    <cfRule type="expression" dxfId="192" priority="35">
      <formula>ABS(L$25-L$28)&gt;=1000</formula>
    </cfRule>
  </conditionalFormatting>
  <conditionalFormatting sqref="M22:M29">
    <cfRule type="expression" dxfId="191" priority="34">
      <formula>ABS(M$25-M$28)&gt;=1000</formula>
    </cfRule>
  </conditionalFormatting>
  <conditionalFormatting sqref="N22:N29">
    <cfRule type="expression" dxfId="190" priority="33">
      <formula>ABS(N$25-N$28)&gt;=1000</formula>
    </cfRule>
  </conditionalFormatting>
  <conditionalFormatting sqref="O22:O29">
    <cfRule type="expression" dxfId="189" priority="32">
      <formula>ABS(O$25-O$28)&gt;=1000</formula>
    </cfRule>
  </conditionalFormatting>
  <conditionalFormatting sqref="P22:P29">
    <cfRule type="expression" dxfId="188" priority="31">
      <formula>ABS(P$25-P$28)&gt;=1000</formula>
    </cfRule>
  </conditionalFormatting>
  <conditionalFormatting sqref="Q22:Q29">
    <cfRule type="expression" dxfId="187" priority="30">
      <formula>ABS(Q$25-Q$28)&gt;=1000</formula>
    </cfRule>
  </conditionalFormatting>
  <conditionalFormatting sqref="R22:R29">
    <cfRule type="expression" dxfId="186" priority="29">
      <formula>ABS(R$25-R$28)&gt;=1000</formula>
    </cfRule>
  </conditionalFormatting>
  <conditionalFormatting sqref="S22:S29">
    <cfRule type="expression" dxfId="185" priority="28">
      <formula>ABS(S$25-S$28)&gt;=1000</formula>
    </cfRule>
  </conditionalFormatting>
  <conditionalFormatting sqref="T22:T29">
    <cfRule type="expression" dxfId="184" priority="27">
      <formula>ABS(T$25-T$28)&gt;=1000</formula>
    </cfRule>
  </conditionalFormatting>
  <conditionalFormatting sqref="U22:U29">
    <cfRule type="expression" dxfId="183" priority="26">
      <formula>ABS(U$25-U$28)&gt;=1000</formula>
    </cfRule>
  </conditionalFormatting>
  <conditionalFormatting sqref="V22:V29">
    <cfRule type="expression" dxfId="182" priority="25">
      <formula>ABS(V$25-V$28)&gt;=1000</formula>
    </cfRule>
  </conditionalFormatting>
  <conditionalFormatting sqref="W22:W29">
    <cfRule type="expression" dxfId="181" priority="24">
      <formula>ABS(W$25-W$28)&gt;=1000</formula>
    </cfRule>
  </conditionalFormatting>
  <conditionalFormatting sqref="X22:X29">
    <cfRule type="expression" dxfId="180" priority="23">
      <formula>ABS(X$25-X$28)&gt;=1000</formula>
    </cfRule>
  </conditionalFormatting>
  <conditionalFormatting sqref="Y22:Y29">
    <cfRule type="expression" dxfId="179" priority="22">
      <formula>ABS(Y$25-Y$28)&gt;=1000</formula>
    </cfRule>
  </conditionalFormatting>
  <conditionalFormatting sqref="I23">
    <cfRule type="expression" dxfId="178" priority="21">
      <formula>ABS(I$25-I$28)&gt;=1000</formula>
    </cfRule>
  </conditionalFormatting>
  <conditionalFormatting sqref="Q14">
    <cfRule type="expression" dxfId="177" priority="20">
      <formula>ABS(Q$16-Q$19)&gt;=1000</formula>
    </cfRule>
  </conditionalFormatting>
  <conditionalFormatting sqref="W14">
    <cfRule type="expression" dxfId="176" priority="19">
      <formula>ABS(W$16-W$19)&gt;=1000</formula>
    </cfRule>
  </conditionalFormatting>
  <conditionalFormatting sqref="Y14">
    <cfRule type="expression" dxfId="175" priority="18">
      <formula>ABS(Y$16-Y$19)&gt;=1000</formula>
    </cfRule>
  </conditionalFormatting>
  <conditionalFormatting sqref="X14">
    <cfRule type="expression" dxfId="174" priority="17">
      <formula>ABS(X$16-X$19)&gt;=1000</formula>
    </cfRule>
  </conditionalFormatting>
  <conditionalFormatting sqref="T10:Y10">
    <cfRule type="expression" dxfId="173" priority="16">
      <formula>ABS(T$7-T$10)&gt;=1000</formula>
    </cfRule>
  </conditionalFormatting>
  <conditionalFormatting sqref="W19">
    <cfRule type="expression" dxfId="172" priority="15">
      <formula>ABS(W$16-W$19)&gt;=1000</formula>
    </cfRule>
  </conditionalFormatting>
  <conditionalFormatting sqref="AC5">
    <cfRule type="expression" dxfId="171" priority="14">
      <formula>ABS(AC$7-AC$10)&gt;=1000</formula>
    </cfRule>
  </conditionalFormatting>
  <conditionalFormatting sqref="M14">
    <cfRule type="expression" dxfId="170" priority="13">
      <formula>ABS(M$16-M$19)&gt;=1000</formula>
    </cfRule>
  </conditionalFormatting>
  <conditionalFormatting sqref="M16">
    <cfRule type="expression" dxfId="169" priority="12">
      <formula>ABS(M$16-M$19)&gt;=1000</formula>
    </cfRule>
  </conditionalFormatting>
  <conditionalFormatting sqref="M19">
    <cfRule type="expression" dxfId="168" priority="11">
      <formula>ABS(M$16-M$19)&gt;=1000</formula>
    </cfRule>
  </conditionalFormatting>
  <conditionalFormatting sqref="K13:K20">
    <cfRule type="expression" dxfId="167" priority="10">
      <formula>ABS(K$16-K$19)&gt;=1000</formula>
    </cfRule>
  </conditionalFormatting>
  <conditionalFormatting sqref="E5">
    <cfRule type="expression" dxfId="166" priority="9">
      <formula>ABS(E$7-E$10)&gt;=1000</formula>
    </cfRule>
  </conditionalFormatting>
  <conditionalFormatting sqref="AB14:AC14">
    <cfRule type="expression" dxfId="165" priority="8">
      <formula>ABS(AB$16-AB$19)&gt;=1000</formula>
    </cfRule>
  </conditionalFormatting>
  <conditionalFormatting sqref="M5">
    <cfRule type="expression" dxfId="164" priority="7">
      <formula>ABS(M$7-M$10)&gt;=1000</formula>
    </cfRule>
  </conditionalFormatting>
  <conditionalFormatting sqref="N5">
    <cfRule type="expression" dxfId="163" priority="6">
      <formula>ABS(N$7-N$10)&gt;=1000</formula>
    </cfRule>
  </conditionalFormatting>
  <conditionalFormatting sqref="O5">
    <cfRule type="expression" dxfId="162" priority="5">
      <formula>ABS(O$7-O$10)&gt;=1000</formula>
    </cfRule>
  </conditionalFormatting>
  <conditionalFormatting sqref="P5">
    <cfRule type="expression" dxfId="161" priority="4">
      <formula>ABS(P$7-P$10)&gt;=1000</formula>
    </cfRule>
  </conditionalFormatting>
  <conditionalFormatting sqref="L23">
    <cfRule type="expression" dxfId="160" priority="3">
      <formula>ABS(L$25-L$28)&gt;=1000</formula>
    </cfRule>
  </conditionalFormatting>
  <conditionalFormatting sqref="F14">
    <cfRule type="expression" dxfId="159" priority="2">
      <formula>ABS(F$16-F$19)&gt;=1000</formula>
    </cfRule>
  </conditionalFormatting>
  <conditionalFormatting sqref="AE5">
    <cfRule type="expression" dxfId="158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265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33">
    <pageSetUpPr fitToPage="1"/>
  </sheetPr>
  <dimension ref="A1:CU223"/>
  <sheetViews>
    <sheetView tabSelected="1" view="pageBreakPreview" topLeftCell="A22" zoomScale="80" zoomScaleNormal="100" zoomScaleSheetLayoutView="80" workbookViewId="0">
      <selection activeCell="Y38" sqref="Y3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3" t="s" ph="1">
        <v>161</v>
      </c>
      <c r="C1" s="183" ph="1"/>
      <c r="D1" s="183" ph="1"/>
      <c r="E1" s="183" ph="1"/>
      <c r="F1" s="183" ph="1"/>
      <c r="G1" s="183" ph="1"/>
      <c r="H1" s="183" ph="1"/>
      <c r="I1" s="183" ph="1"/>
      <c r="J1" s="183" ph="1"/>
      <c r="K1" s="183" ph="1"/>
      <c r="L1" s="183" ph="1"/>
      <c r="M1" s="183" ph="1"/>
      <c r="N1" s="183" ph="1"/>
      <c r="O1" s="183" ph="1"/>
      <c r="P1" s="183" ph="1"/>
      <c r="Q1" s="183" ph="1"/>
      <c r="R1" s="183" ph="1"/>
      <c r="S1" s="183" ph="1"/>
      <c r="T1" s="183" ph="1"/>
      <c r="U1" s="183" ph="1"/>
      <c r="V1" s="183" ph="1"/>
      <c r="W1" s="183" ph="1"/>
      <c r="X1" s="183" ph="1"/>
      <c r="Y1" s="183" ph="1"/>
      <c r="Z1" s="183" ph="1"/>
      <c r="AA1" s="183" ph="1"/>
      <c r="AB1" s="183" ph="1"/>
      <c r="AC1" s="183" ph="1"/>
      <c r="AD1" s="183" ph="1"/>
      <c r="AE1" s="183" ph="1"/>
    </row>
    <row r="2" spans="1:99" s="66" customFormat="1" ht="24" customHeight="1" ph="1">
      <c r="B2" s="184" t="s" ph="1">
        <v>82</v>
      </c>
      <c r="C2" s="184" ph="1"/>
      <c r="D2" s="184" ph="1"/>
      <c r="E2" s="184" ph="1"/>
      <c r="F2" s="184" ph="1"/>
      <c r="G2" s="184" ph="1"/>
      <c r="H2" s="184" ph="1"/>
      <c r="I2" s="184" ph="1"/>
      <c r="J2" s="184" ph="1"/>
      <c r="K2" s="184" ph="1"/>
      <c r="L2" s="184" ph="1"/>
      <c r="M2" s="184" ph="1"/>
      <c r="N2" s="184" ph="1"/>
      <c r="O2" s="184" ph="1"/>
      <c r="P2" s="184" ph="1"/>
      <c r="Q2" s="184" ph="1"/>
      <c r="R2" s="184" ph="1"/>
      <c r="S2" s="184" ph="1"/>
      <c r="T2" s="184" ph="1"/>
      <c r="U2" s="184" ph="1"/>
      <c r="V2" s="184" ph="1"/>
      <c r="W2" s="184" ph="1"/>
      <c r="X2" s="184" ph="1"/>
      <c r="Y2" s="184" ph="1"/>
      <c r="Z2" s="184" ph="1"/>
      <c r="AA2" s="184" ph="1"/>
      <c r="AB2" s="184" ph="1"/>
      <c r="AC2" s="184" ph="1"/>
      <c r="AD2" s="184" ph="1"/>
      <c r="AE2" s="184" ph="1"/>
    </row>
    <row r="3" spans="1:99" ht="21" customHeight="1" ph="1">
      <c r="B3" s="185" ph="1">
        <v>45930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</row>
    <row r="4" spans="1:99" s="69" customFormat="1" ph="1">
      <c r="A4" s="65" ph="1"/>
      <c r="B4" s="186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6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2" ph="1">
        <v>0.33333333333333331</v>
      </c>
      <c r="C6" s="160" t="s" ph="1">
        <v>177</v>
      </c>
      <c r="D6" s="71">
        <v>5339</v>
      </c>
      <c r="E6" s="71">
        <v>8635</v>
      </c>
      <c r="F6" s="71">
        <v>1318</v>
      </c>
      <c r="G6" s="71">
        <v>6699</v>
      </c>
      <c r="H6" s="71">
        <v>7968</v>
      </c>
      <c r="I6" s="71">
        <v>18.04</v>
      </c>
      <c r="J6" s="71">
        <v>6.96</v>
      </c>
      <c r="K6" s="71">
        <v>85.49</v>
      </c>
      <c r="L6" s="71">
        <v>26.49</v>
      </c>
      <c r="M6" s="71">
        <v>2013</v>
      </c>
      <c r="N6" s="71">
        <v>4775</v>
      </c>
      <c r="O6" s="71">
        <v>5359</v>
      </c>
      <c r="P6" s="71">
        <v>2560</v>
      </c>
      <c r="Q6" s="71">
        <v>1811</v>
      </c>
      <c r="R6" s="71">
        <v>0</v>
      </c>
      <c r="S6" s="71">
        <v>0</v>
      </c>
      <c r="T6" s="71">
        <v>5212</v>
      </c>
      <c r="U6" s="71">
        <v>7047</v>
      </c>
      <c r="V6" s="71">
        <v>6984</v>
      </c>
      <c r="W6" s="71">
        <v>4026</v>
      </c>
      <c r="X6" s="71">
        <v>5220</v>
      </c>
      <c r="Y6" s="71">
        <v>3035</v>
      </c>
      <c r="Z6" s="71">
        <v>911</v>
      </c>
      <c r="AA6" s="71">
        <v>576</v>
      </c>
      <c r="AB6" s="71">
        <v>1927</v>
      </c>
      <c r="AC6" s="71">
        <v>830</v>
      </c>
      <c r="AD6" s="71">
        <v>4350</v>
      </c>
      <c r="AE6" s="71">
        <v>3349</v>
      </c>
    </row>
    <row r="7" spans="1:99" s="72" customFormat="1" ht="22.2" ph="1">
      <c r="B7" s="182" ph="1"/>
      <c r="C7" s="68" t="s" ph="1">
        <v>178</v>
      </c>
      <c r="D7" s="73" ph="1">
        <f>D6*33.183*LOOKUP(D8,密度!$A$2:$A$50,密度!$Q$2:$Q$50)</f>
        <v>167230.44944541002</v>
      </c>
      <c r="E7" s="73" ph="1">
        <f>E6*51.53*LOOKUP(E8,密度!$A$2:$A$50,密度!$B$2:$B$50)</f>
        <v>345379.15510999999</v>
      </c>
      <c r="F7" s="73" ph="1">
        <f>F6*33.183*LOOKUP(F8,密度!$A$2:$A$50,密度!$C$2:$C$50)</f>
        <v>48239.918982000003</v>
      </c>
      <c r="G7" s="73" ph="1">
        <f xml:space="preserve"> (G6+2)*51.53*LOOKUP(G8,密度!$A$2:$A$50,密度!$B$2:$B$50)</f>
        <v>268023.82378600002</v>
      </c>
      <c r="H7" s="73" ph="1">
        <f>(H6)*51.53*LOOKUP(H8,密度!$A$2:$A$50,密度!$B$2:$B$50)</f>
        <v>320096.77478400001</v>
      </c>
      <c r="I7" s="73" ph="1">
        <f>I6*290.8*1.0267</f>
        <v>5386.1010544000001</v>
      </c>
      <c r="J7" s="73" ph="1">
        <f>J6*290.8*0.7892</f>
        <v>1597.3155456000002</v>
      </c>
      <c r="K7" s="73" ph="1">
        <f>K6*290.8*1.1126</f>
        <v>27659.783399199998</v>
      </c>
      <c r="L7" s="73" ph="1">
        <f>L6*290.8*0.777</f>
        <v>5985.4578839999995</v>
      </c>
      <c r="M7" s="73" ph="1">
        <f>M6*33.183*LOOKUP(M8,密度!$A$2:$A$50,密度!$D$2:$D$50)</f>
        <v>68266.921338</v>
      </c>
      <c r="N7" s="73" ph="1">
        <f>N6*33.183*LOOKUP(N8,密度!$A$2:$A$50,密度!$E$2:$E$50)</f>
        <v>123209.80632</v>
      </c>
      <c r="O7" s="73" ph="1">
        <f>O6*20.428*LOOKUP(O8,密度!$A$2:$A$50,密度!$C$2:$C$50)</f>
        <v>120639.96450400002</v>
      </c>
      <c r="P7" s="73" ph="1">
        <f>P6*51.53*LOOKUP(P8,密度!$A$2:$A$50,密度!$B$2:$B$50)</f>
        <v>102618.07871999999</v>
      </c>
      <c r="Q7" s="73" ph="1">
        <f>Q6*1.5*1.5*3.1416*LOOKUP(W8,密度!$A$2:$A$50,密度!$L$2:$L$50)</f>
        <v>11956.3531164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34520.525978400001</v>
      </c>
      <c r="U7" s="73" ph="1">
        <f>U6*1.5*1.5*3.1416*LOOKUP(U8,密度!$A$2:$A$50,密度!$L$2:$L$50)</f>
        <v>46524.804202800005</v>
      </c>
      <c r="V7" s="73" ph="1">
        <f>V6*1.5*1.5*3.1416*LOOKUP(V8,密度!$A$2:$A$50,密度!$L$2:$L$50)</f>
        <v>46108.873641599996</v>
      </c>
      <c r="W7" s="73" ph="1">
        <f>W6*1.5*1.5*3.1416*LOOKUP(W8,密度!$A$2:$A$50,密度!$L$2:$L$50)</f>
        <v>26579.943482400002</v>
      </c>
      <c r="X7" s="73" ph="1">
        <f>X6*1.5*1.5*3.1416*LOOKUP(X8,密度!$A$2:$A$50,密度!$L$2:$L$50)</f>
        <v>34758.002663999992</v>
      </c>
      <c r="Y7" s="73" ph="1">
        <f>Y6*1.5*1.5*3.1416*LOOKUP(Y8,密度!$A$2:$A$50,密度!$L$2:$L$50)</f>
        <v>20037.289734000002</v>
      </c>
      <c r="Z7" s="73" ph="1">
        <f>Z6*33.183*LOOKUP(Z8,密度!$A$2:$A$50,密度!$L$2:$L$50)</f>
        <v>28385.700506999998</v>
      </c>
      <c r="AA7" s="73" ph="1">
        <f>AA6*33.183*LOOKUP(AA8,密度!$A$2:$A$50,密度!$D$2:$D$50)</f>
        <v>19570.218451199999</v>
      </c>
      <c r="AB7" s="73" ph="1">
        <f>AB6*20.428*LOOKUP(AB8,密度!$A$2:$A$50,密度!$D$2:$D$50)</f>
        <v>40415.794985200002</v>
      </c>
      <c r="AC7" s="73" ph="1">
        <f>AC6*51.53*LOOKUP(AC8,密度!$A$2:$A$50,密度!$Q$2:$Q$50)</f>
        <v>40491.975126000005</v>
      </c>
      <c r="AD7" s="73" ph="1">
        <f>AD6*20.428*LOOKUP(AD8,密度!$A$2:$A$50,密度!$V$2:$V$50)</f>
        <v>85094.059680000006</v>
      </c>
      <c r="AE7" s="73" ph="1">
        <f>AE6*20.428</f>
        <v>68413.372000000003</v>
      </c>
    </row>
    <row r="8" spans="1:99" ph="1">
      <c r="B8" s="182" ph="1"/>
      <c r="C8" s="68" t="s" ph="1">
        <v>179</v>
      </c>
      <c r="D8" s="74">
        <v>29</v>
      </c>
      <c r="E8" s="74">
        <v>29</v>
      </c>
      <c r="F8" s="74">
        <v>32</v>
      </c>
      <c r="G8" s="74">
        <v>29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33</v>
      </c>
      <c r="P8" s="74">
        <v>27</v>
      </c>
      <c r="Q8" s="74">
        <v>29</v>
      </c>
      <c r="R8" s="74">
        <v>35</v>
      </c>
      <c r="S8" s="74">
        <v>24</v>
      </c>
      <c r="T8" s="74">
        <v>25</v>
      </c>
      <c r="U8" s="74">
        <v>28</v>
      </c>
      <c r="V8" s="74">
        <v>28</v>
      </c>
      <c r="W8" s="74">
        <v>28</v>
      </c>
      <c r="X8" s="74">
        <v>20</v>
      </c>
      <c r="Y8" s="74">
        <v>28</v>
      </c>
      <c r="Z8" s="74">
        <v>23</v>
      </c>
      <c r="AA8" s="74">
        <v>28</v>
      </c>
      <c r="AB8" s="74">
        <v>25</v>
      </c>
      <c r="AC8" s="74">
        <v>25</v>
      </c>
      <c r="AD8" s="74">
        <v>27</v>
      </c>
      <c r="AE8" s="74">
        <v>32</v>
      </c>
    </row>
    <row r="9" spans="1:99" ht="26.4" ph="1">
      <c r="B9" s="182" ph="1">
        <v>0.66666666666666663</v>
      </c>
      <c r="C9" s="160" t="s" ph="1">
        <v>180</v>
      </c>
      <c r="D9" s="71">
        <v>5340</v>
      </c>
      <c r="E9" s="71">
        <v>8639</v>
      </c>
      <c r="F9" s="71">
        <v>4012</v>
      </c>
      <c r="G9" s="71">
        <v>6702</v>
      </c>
      <c r="H9" s="71">
        <v>7729</v>
      </c>
      <c r="I9" s="71">
        <v>18.04</v>
      </c>
      <c r="J9" s="71">
        <v>7.03</v>
      </c>
      <c r="K9" s="71">
        <v>85.48</v>
      </c>
      <c r="L9" s="71">
        <v>11.34</v>
      </c>
      <c r="M9" s="71">
        <v>2012</v>
      </c>
      <c r="N9" s="71">
        <v>4510</v>
      </c>
      <c r="O9" s="71">
        <v>5359</v>
      </c>
      <c r="P9" s="71">
        <v>2242</v>
      </c>
      <c r="Q9" s="71">
        <v>3992</v>
      </c>
      <c r="R9" s="71">
        <v>0</v>
      </c>
      <c r="S9" s="71">
        <v>0</v>
      </c>
      <c r="T9" s="71">
        <v>655</v>
      </c>
      <c r="U9" s="71">
        <v>7052</v>
      </c>
      <c r="V9" s="71">
        <v>6990</v>
      </c>
      <c r="W9" s="71">
        <v>7012</v>
      </c>
      <c r="X9" s="71">
        <v>7089</v>
      </c>
      <c r="Y9" s="71">
        <v>7150</v>
      </c>
      <c r="Z9" s="71">
        <v>1940</v>
      </c>
      <c r="AA9" s="71">
        <v>558</v>
      </c>
      <c r="AB9" s="71">
        <v>1876</v>
      </c>
      <c r="AC9" s="71">
        <v>841</v>
      </c>
      <c r="AD9" s="71">
        <v>4350</v>
      </c>
      <c r="AE9" s="71">
        <v>3349</v>
      </c>
    </row>
    <row r="10" spans="1:99" s="72" customFormat="1" ht="22.2" ph="1">
      <c r="B10" s="182" ph="1"/>
      <c r="C10" s="160" t="s" ph="1">
        <v>178</v>
      </c>
      <c r="D10" s="73" ph="1">
        <f>D9*33.183*LOOKUP(D11,密度!$A$2:$A$50,密度!$Q$2:$Q$50)</f>
        <v>167155.45354260001</v>
      </c>
      <c r="E10" s="73" ph="1">
        <f>E9*51.53*LOOKUP(E11,密度!$A$2:$A$50,密度!$B$2:$B$50)</f>
        <v>344337.19274499995</v>
      </c>
      <c r="F10" s="73" ph="1">
        <f>F9*33.183*LOOKUP(F11,密度!$A$2:$A$50,密度!$C$2:$C$50)</f>
        <v>147228.68375640002</v>
      </c>
      <c r="G10" s="73" ph="1">
        <f xml:space="preserve"> (G9+2)*51.53*LOOKUP(G11,密度!$A$2:$A$50,密度!$B$2:$B$50)</f>
        <v>267521.99372799997</v>
      </c>
      <c r="H10" s="73" ph="1">
        <f>(H9)*51.53*LOOKUP(H11,密度!$A$2:$A$50,密度!$B$2:$B$50)</f>
        <v>309141.34219399997</v>
      </c>
      <c r="I10" s="73" ph="1">
        <f>I9*290.8*1.0267</f>
        <v>5386.1010544000001</v>
      </c>
      <c r="J10" s="73" ph="1">
        <f>J9*290.8*0.7892</f>
        <v>1613.3805008000002</v>
      </c>
      <c r="K10" s="73" ph="1">
        <f>K9*290.8*1.1126</f>
        <v>27656.547958400002</v>
      </c>
      <c r="L10" s="73" ph="1">
        <f>L9*290.8*0.777</f>
        <v>2562.2911440000003</v>
      </c>
      <c r="M10" s="73" ph="1">
        <f>M9*33.183*LOOKUP(M11,密度!$A$2:$A$50,密度!$D$2:$D$50)</f>
        <v>68172.920535599987</v>
      </c>
      <c r="N10" s="73" ph="1">
        <f>N9*33.183*LOOKUP(N11,密度!$A$2:$A$50,密度!$E$2:$E$50)</f>
        <v>116371.98460799998</v>
      </c>
      <c r="O10" s="73" ph="1">
        <f>O9*20.428*LOOKUP(O11,密度!$A$2:$A$50,密度!$C$2:$C$50)</f>
        <v>120289.6488176</v>
      </c>
      <c r="P10" s="73" ph="1">
        <f>P9*51.53*LOOKUP(P11,密度!$A$2:$A$50,密度!$B$2:$B$50)</f>
        <v>89466.633344000002</v>
      </c>
      <c r="Q10" s="73" ph="1">
        <f>Q9*1.5*1.5*3.1416*LOOKUP(W11,密度!$A$2:$A$50,密度!$L$2:$L$50)</f>
        <v>26355.473020800004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4315.0975560000006</v>
      </c>
      <c r="U10" s="73" ph="1">
        <f>U9*1.5*1.5*3.1416*LOOKUP(U11,密度!$A$2:$A$50,密度!$L$2:$L$50)</f>
        <v>46507.966797600006</v>
      </c>
      <c r="V10" s="73" ph="1">
        <f>V9*1.5*1.5*3.1416*LOOKUP(V11,密度!$A$2:$A$50,密度!$L$2:$L$50)</f>
        <v>46148.486076000001</v>
      </c>
      <c r="W10" s="73" ph="1">
        <f>W9*1.5*1.5*3.1416*LOOKUP(W11,密度!$A$2:$A$50,密度!$L$2:$L$50)</f>
        <v>46293.731668799999</v>
      </c>
      <c r="X10" s="73" ph="1">
        <f>X9*1.5*1.5*3.1416*LOOKUP(X11,密度!$A$2:$A$50,密度!$L$2:$L$50)</f>
        <v>47202.965686799995</v>
      </c>
      <c r="Y10" s="73" ph="1">
        <f>Y9*1.5*1.5*3.1416*LOOKUP(Y11,密度!$A$2:$A$50,密度!$L$2:$L$50)</f>
        <v>47255.35815</v>
      </c>
      <c r="Z10" s="73" ph="1">
        <f>Z9*33.183*LOOKUP(Z11,密度!$A$2:$A$50,密度!$L$2:$L$50)</f>
        <v>60126.268680000001</v>
      </c>
      <c r="AA10" s="73" ph="1">
        <f>AA9*33.183*LOOKUP(AA11,密度!$A$2:$A$50,密度!$D$2:$D$50)</f>
        <v>18890.139502800001</v>
      </c>
      <c r="AB10" s="73" ph="1">
        <f>AB9*20.428*LOOKUP(AB11,密度!$A$2:$A$50,密度!$D$2:$D$50)</f>
        <v>39273.336614399996</v>
      </c>
      <c r="AC10" s="73" ph="1">
        <f>AC9*51.53*LOOKUP(AC11,密度!$A$2:$A$50,密度!$Q$2:$Q$50)</f>
        <v>40880.837510900004</v>
      </c>
      <c r="AD10" s="73" ph="1">
        <f>AD9*20.428*LOOKUP(AD11,密度!$A$2:$A$50,密度!$V$2:$V$50)</f>
        <v>85094.059680000006</v>
      </c>
      <c r="AE10" s="73" ph="1">
        <f>AE9*20.428</f>
        <v>68413.372000000003</v>
      </c>
    </row>
    <row r="11" spans="1:99" ph="1">
      <c r="A11" s="64" t="s" ph="1">
        <v>162</v>
      </c>
      <c r="B11" s="182" ph="1"/>
      <c r="C11" s="160" t="s" ph="1">
        <v>179</v>
      </c>
      <c r="D11" s="74">
        <v>30</v>
      </c>
      <c r="E11" s="74">
        <v>32</v>
      </c>
      <c r="F11" s="74">
        <v>29</v>
      </c>
      <c r="G11" s="74">
        <v>31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30</v>
      </c>
      <c r="O11" s="74">
        <v>36</v>
      </c>
      <c r="P11" s="74">
        <v>31</v>
      </c>
      <c r="Q11" s="74">
        <v>32</v>
      </c>
      <c r="R11" s="74">
        <v>36</v>
      </c>
      <c r="S11" s="74">
        <v>27</v>
      </c>
      <c r="T11" s="74">
        <v>30</v>
      </c>
      <c r="U11" s="74">
        <v>29</v>
      </c>
      <c r="V11" s="74">
        <v>28</v>
      </c>
      <c r="W11" s="74">
        <v>28</v>
      </c>
      <c r="X11" s="74">
        <v>20</v>
      </c>
      <c r="Y11" s="74">
        <v>27</v>
      </c>
      <c r="Z11" s="74">
        <v>28</v>
      </c>
      <c r="AA11" s="74">
        <v>32</v>
      </c>
      <c r="AB11" s="74">
        <v>27</v>
      </c>
      <c r="AC11" s="74">
        <v>30</v>
      </c>
      <c r="AD11" s="74">
        <v>29</v>
      </c>
      <c r="AE11" s="74">
        <v>34</v>
      </c>
    </row>
    <row r="12" spans="1:99" ht="9.9" customHeight="1" ph="1"/>
    <row r="13" spans="1:99" s="72" customFormat="1" ht="29.25" customHeight="1" ph="1">
      <c r="B13" s="190" t="s" ph="1">
        <v>37</v>
      </c>
      <c r="C13" s="16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1" ph="1"/>
      <c r="C14" s="67" t="s" ph="1">
        <v>36</v>
      </c>
      <c r="D14" s="77" t="s" ph="1">
        <v>616</v>
      </c>
      <c r="E14" s="77" t="s" ph="1">
        <v>616</v>
      </c>
      <c r="F14" s="150" t="s" ph="1">
        <v>643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639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637</v>
      </c>
      <c r="AC14" s="77" t="s" ph="1">
        <v>640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2" ph="1">
        <v>0.33333333333333331</v>
      </c>
      <c r="C15" s="160" t="s" ph="1">
        <v>177</v>
      </c>
      <c r="D15" s="78">
        <v>3989</v>
      </c>
      <c r="E15" s="78">
        <v>1815</v>
      </c>
      <c r="F15" s="78">
        <v>3445</v>
      </c>
      <c r="G15" s="78">
        <v>4734</v>
      </c>
      <c r="H15" s="78">
        <v>1968</v>
      </c>
      <c r="I15" s="78">
        <v>2671</v>
      </c>
      <c r="J15" s="78">
        <v>185</v>
      </c>
      <c r="K15" s="78">
        <v>4132</v>
      </c>
      <c r="L15" s="78">
        <v>5871</v>
      </c>
      <c r="M15" s="78">
        <v>6596</v>
      </c>
      <c r="N15" s="78">
        <v>4542</v>
      </c>
      <c r="O15" s="78">
        <v>6484</v>
      </c>
      <c r="P15" s="78">
        <v>6954</v>
      </c>
      <c r="Q15" s="78">
        <v>5205</v>
      </c>
      <c r="R15" s="78">
        <v>1916</v>
      </c>
      <c r="S15" s="78">
        <v>6231</v>
      </c>
      <c r="T15" s="78">
        <v>3932</v>
      </c>
      <c r="U15" s="78">
        <v>6643</v>
      </c>
      <c r="V15" s="78">
        <v>850</v>
      </c>
      <c r="W15" s="71">
        <v>5214</v>
      </c>
      <c r="X15" s="78">
        <v>1109</v>
      </c>
      <c r="Y15" s="106">
        <v>-2368</v>
      </c>
      <c r="Z15" s="78">
        <v>0</v>
      </c>
      <c r="AA15" s="78">
        <v>7</v>
      </c>
      <c r="AB15" s="78" ph="1">
        <v>1099</v>
      </c>
      <c r="AC15" s="78" ph="1">
        <v>2157</v>
      </c>
      <c r="AD15" s="78">
        <v>5.4</v>
      </c>
      <c r="AE15" s="78">
        <v>57.09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3" ph="1"/>
      <c r="C16" s="160" t="s" ph="1">
        <v>178</v>
      </c>
      <c r="D16" s="73" ph="1">
        <f>D15*7.0686*LOOKUP(D17,密度!$A$2:$A$50,密度!$L$2:$L$50)</f>
        <v>26279.273512800002</v>
      </c>
      <c r="E16" s="73" ph="1">
        <f>E15*7.0686*LOOKUP(E17,密度!$A$2:$A$50,密度!$L$2:$L$50)</f>
        <v>11957.102388000001</v>
      </c>
      <c r="F16" s="73" ph="1">
        <f>F15*9.0746*LOOKUP(F17,密度!$A$2:$A$50,密度!$L$2:$L$50)</f>
        <v>29136.181204</v>
      </c>
      <c r="G16" s="73" ph="1">
        <f>G15*9.0746*LOOKUP(G17,密度!$A$2:$A$50,密度!$B$2:$B$50)</f>
        <v>33379.264522800004</v>
      </c>
      <c r="H16" s="73" ph="1">
        <f>H15*9.0746*LOOKUP(H17,密度!$A$2:$A$50,密度!$L$2:$L$50)</f>
        <v>16697.989968000002</v>
      </c>
      <c r="I16" s="73" ph="1">
        <f>I15*9.0746*LOOKUP(I17,密度!$A$2:$A$50,密度!$U$2:$U$50)</f>
        <v>24771.4982452</v>
      </c>
      <c r="J16" s="73" ph="1">
        <f>J15*9.0746*LOOKUP(J17,密度!$A$2:$A$50,密度!$L$2:$L$50)</f>
        <v>1568.0001340000001</v>
      </c>
      <c r="K16" s="73" ph="1">
        <f>K15*9.0746*LOOKUP(K17,密度!$A$2:$A$50,密度!$C$2:$C$50)</f>
        <v>41437.102780719993</v>
      </c>
      <c r="L16" s="73" ph="1">
        <f>L15*9.0746*LOOKUP(L17,密度!$A$2:$A$50,密度!$E$2:$E$50)</f>
        <v>41428.177004159996</v>
      </c>
      <c r="M16" s="73" ph="1">
        <f>M15*9.0746*LOOKUP(M17,密度!$A$2:$A$50,密度!$M$2:$M$50)</f>
        <v>51944.287377712004</v>
      </c>
      <c r="N16" s="73" ph="1">
        <f>N15*9.0746*LOOKUP(N17,密度!$A$2:$A$50,密度!$M$2:$M$50)</f>
        <v>35854.52320068</v>
      </c>
      <c r="O16" s="73" ph="1">
        <f>O15*9.0746*LOOKUP(O17,密度!$A$2:$A$50,密度!$G$2:$G$50)</f>
        <v>56174.267700080003</v>
      </c>
      <c r="P16" s="73" ph="1">
        <f ca="1">P15*9.0746*LOOKUP(P17,密度!$A$2:$A$51,密度!$Q$2:$Q$50)</f>
        <v>59528.621174772001</v>
      </c>
      <c r="Q16" s="73" ph="1">
        <f>Q15*9.0746*LOOKUP(Q17,密度!$A$2:$A$50,密度!$Q$2:$Q$50)</f>
        <v>44556.582285689998</v>
      </c>
      <c r="R16" s="73" ph="1">
        <f>MAX(R15*9.0746*LOOKUP(R17,密度!$A$2:$A$50,密度!$B$2:$B$50),0)</f>
        <v>13448.7931396</v>
      </c>
      <c r="S16" s="73" ph="1">
        <f>S15*9.0746*LOOKUP(S17,密度!$A$2:$A$50,密度!$Q$2:$Q$50)</f>
        <v>53297.085732107997</v>
      </c>
      <c r="T16" s="73" ph="1">
        <f>T15*9.0746*LOOKUP(T17,密度!$A$2:$A$50,密度!$O$2:$O$50)</f>
        <v>32898.183678400004</v>
      </c>
      <c r="U16" s="73" ph="1">
        <f>U15*9.0746*LOOKUP(U17,密度!$A$2:$A$50,密度!$H$2:$H$50)</f>
        <v>54977.701833600004</v>
      </c>
      <c r="V16" s="73" ph="1">
        <f>MAX(5600*LOOKUP(V17,密度!$A$2:$A$50,密度!$Q$2:$Q$50)+V15*9.0476*LOOKUP(V17,密度!$A$2:$A$50,密度!$Q$2:$Q$50),0)</f>
        <v>12527.321786799999</v>
      </c>
      <c r="W16" s="73" ph="1">
        <f>MAX(5600*LOOKUP(W17,密度!$A$2:$A$50,密度!$Q$2:$Q$50)+W15*9.0476*LOOKUP(W17,密度!$A$2:$A$50,密度!$Q$2:$Q$50),0)</f>
        <v>49708.006170159999</v>
      </c>
      <c r="X16" s="73" ph="1">
        <f>MAX(5600*LOOKUP(X17,密度!$A$2:$A$50,密度!$I$2:$I$50)+X15*9.0476*LOOKUP(X17,密度!$A$2:$A$50,密度!$I$2:$I$50),0)</f>
        <v>16205.98505544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49.413919380000003</v>
      </c>
      <c r="AB16" s="73" ph="1">
        <f>AB15*9.0746*LOOKUP(AB17,密度!$A$2:$A$50,密度!$L$2:$L$50)</f>
        <v>9314.7683636000002</v>
      </c>
      <c r="AC16" s="73" ph="1">
        <f>AC15*9.0746*LOOKUP(AC17,密度!$A$2:$A$50,密度!$L$2:$L$50)</f>
        <v>18282.0339948</v>
      </c>
      <c r="AD16" s="73" ph="1">
        <f>AD15*268.68*LOOKUP(AD17,密度!$A$2:$A$50,密度!B2:B50)+IF(AD15&lt;=0,0,1566*LOOKUP(AD17,密度!$A$2:$A$50,密度!B2:B50))</f>
        <v>2351.9534112000001</v>
      </c>
      <c r="AE16" s="73" ph="1">
        <f>AE15*268.68*LOOKUP(AE17,密度!$A$2:$A$50,密度!B2:B50)+IF(AE15&lt;=0,0,1566*LOOKUP(AE17,密度!$A$2:$A$50,密度!B2:B50))</f>
        <v>13179.09215952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4" ph="1"/>
      <c r="C17" s="79" t="s" ph="1">
        <v>179</v>
      </c>
      <c r="D17" s="74">
        <v>30</v>
      </c>
      <c r="E17" s="74">
        <v>30</v>
      </c>
      <c r="F17" s="74">
        <v>30</v>
      </c>
      <c r="G17" s="74">
        <v>28</v>
      </c>
      <c r="H17" s="74">
        <v>27</v>
      </c>
      <c r="I17" s="74">
        <v>28</v>
      </c>
      <c r="J17" s="74">
        <v>28</v>
      </c>
      <c r="K17" s="74">
        <v>30</v>
      </c>
      <c r="L17" s="74">
        <v>30</v>
      </c>
      <c r="M17" s="74">
        <v>32</v>
      </c>
      <c r="N17" s="74">
        <v>30</v>
      </c>
      <c r="O17" s="74">
        <v>30</v>
      </c>
      <c r="P17" s="74">
        <v>30</v>
      </c>
      <c r="Q17" s="74">
        <v>30</v>
      </c>
      <c r="R17" s="74">
        <v>32</v>
      </c>
      <c r="S17" s="74">
        <v>31</v>
      </c>
      <c r="T17" s="74">
        <v>30</v>
      </c>
      <c r="U17" s="74">
        <v>28</v>
      </c>
      <c r="V17" s="74">
        <v>31</v>
      </c>
      <c r="W17" s="74">
        <v>32</v>
      </c>
      <c r="X17" s="74">
        <v>30</v>
      </c>
      <c r="Y17" s="108">
        <v>30</v>
      </c>
      <c r="Z17" s="74">
        <v>28</v>
      </c>
      <c r="AA17" s="74">
        <v>27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2" ph="1">
        <v>0.66666666666666663</v>
      </c>
      <c r="C18" s="79" t="s" ph="1">
        <v>180</v>
      </c>
      <c r="D18" s="71">
        <v>5133</v>
      </c>
      <c r="E18" s="71">
        <v>482</v>
      </c>
      <c r="F18" s="71">
        <v>3620</v>
      </c>
      <c r="G18" s="71">
        <v>4792</v>
      </c>
      <c r="H18" s="71">
        <v>1968</v>
      </c>
      <c r="I18" s="71">
        <v>2673</v>
      </c>
      <c r="J18" s="71">
        <v>219</v>
      </c>
      <c r="K18" s="71">
        <v>3147</v>
      </c>
      <c r="L18" s="71">
        <v>5878</v>
      </c>
      <c r="M18" s="71">
        <v>5469</v>
      </c>
      <c r="N18" s="71">
        <v>3969</v>
      </c>
      <c r="O18" s="71">
        <v>6489</v>
      </c>
      <c r="P18" s="71">
        <v>6963</v>
      </c>
      <c r="Q18" s="71">
        <v>3347</v>
      </c>
      <c r="R18" s="71">
        <v>1917</v>
      </c>
      <c r="S18" s="71">
        <v>6237</v>
      </c>
      <c r="T18" s="71">
        <v>3073</v>
      </c>
      <c r="U18" s="71">
        <v>6647</v>
      </c>
      <c r="V18" s="71">
        <v>850</v>
      </c>
      <c r="W18" s="71">
        <v>5213</v>
      </c>
      <c r="X18" s="71">
        <v>1108</v>
      </c>
      <c r="Y18" s="109">
        <v>-9909</v>
      </c>
      <c r="Z18" s="71">
        <v>0</v>
      </c>
      <c r="AA18" s="71">
        <v>6</v>
      </c>
      <c r="AB18" s="71">
        <v>1097</v>
      </c>
      <c r="AC18" s="71">
        <v>2157</v>
      </c>
      <c r="AD18" s="71">
        <v>12.83</v>
      </c>
      <c r="AE18" s="71">
        <v>83.92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3" ph="1"/>
      <c r="C19" s="160" t="s" ph="1">
        <v>178</v>
      </c>
      <c r="D19" s="73" ph="1">
        <f>D18*7.0686*LOOKUP(D20,密度!$A$2:$A$50,密度!$L$2:$L$50)</f>
        <v>33743.305134000002</v>
      </c>
      <c r="E19" s="73" ph="1">
        <f>E18*7.0686*LOOKUP(E20,密度!$A$2:$A$50,密度!$L$2:$L$50)</f>
        <v>3168.5706360000004</v>
      </c>
      <c r="F19" s="73" ph="1">
        <f>F18*9.0746*LOOKUP(F20,密度!$A$2:$A$50,密度!$L$2:$L$50)</f>
        <v>30484.848256000005</v>
      </c>
      <c r="G19" s="73" ph="1">
        <f>G18*9.0746*LOOKUP(G20,密度!$A$2:$A$50,密度!$B$2:$B$50)</f>
        <v>33788.220446400002</v>
      </c>
      <c r="H19" s="73" ph="1">
        <f>H18*9.0746*LOOKUP(H20,密度!$A$2:$A$50,密度!$L$2:$L$50)</f>
        <v>16680.131155200001</v>
      </c>
      <c r="I19" s="73" ph="1">
        <f>I18*9.0746*LOOKUP(I20,密度!$A$2:$A$50,密度!$U$2:$U$50)</f>
        <v>24717.277510199998</v>
      </c>
      <c r="J19" s="73" ph="1">
        <f>J18*9.0746*LOOKUP(J20,密度!$A$2:$A$50,密度!$L$2:$L$50)</f>
        <v>1852.1984568000003</v>
      </c>
      <c r="K19" s="73" ph="1">
        <f>K18*9.0746*LOOKUP(K20,密度!$A$2:$A$50,密度!$C$2:$C$50)</f>
        <v>31559.18742762</v>
      </c>
      <c r="L19" s="73" ph="1">
        <f>L18*9.0746*LOOKUP(L20,密度!$A$2:$A$50,密度!$E$2:$E$50)</f>
        <v>41477.571866879996</v>
      </c>
      <c r="M19" s="73" ph="1">
        <f>M18*9.0746*LOOKUP(M20,密度!$A$2:$A$50,密度!$M$2:$M$50)</f>
        <v>43016.917408697998</v>
      </c>
      <c r="N19" s="73" ph="1">
        <f>N18*9.0746*LOOKUP(N20,密度!$A$2:$A$50,密度!$M$2:$M$50)</f>
        <v>31370.883125400003</v>
      </c>
      <c r="O19" s="73" ph="1">
        <f>O18*9.0746*LOOKUP(O20,密度!$A$2:$A$50,密度!$G$2:$G$50)</f>
        <v>56217.58530318</v>
      </c>
      <c r="P19" s="73" ph="1">
        <f ca="1">P18*9.0746*LOOKUP(P20,密度!$A$2:$A$51,密度!$Q$2:$Q$50)</f>
        <v>59515.30764762</v>
      </c>
      <c r="Q19" s="73" ph="1">
        <f>Q18*9.0746*LOOKUP(Q20,密度!$A$2:$A$50,密度!$Q$2:$Q$50)</f>
        <v>28608.033131779997</v>
      </c>
      <c r="R19" s="73" ph="1">
        <f>MAX(R18*9.0746*LOOKUP(R20,密度!$A$2:$A$50,密度!$B$2:$B$50),0)</f>
        <v>13410.58272138</v>
      </c>
      <c r="S19" s="73" ph="1">
        <f>S18*9.0746*LOOKUP(S20,密度!$A$2:$A$50,密度!$Q$2:$Q$50)</f>
        <v>53309.920120379997</v>
      </c>
      <c r="T19" s="73" ph="1">
        <f>T18*9.0746*LOOKUP(T20,密度!$A$2:$A$50,密度!$O$2:$O$50)</f>
        <v>25644.19163768</v>
      </c>
      <c r="U19" s="73" ph="1">
        <f>U18*9.0746*LOOKUP(U20,密度!$A$2:$A$50,密度!$H$2:$H$50)</f>
        <v>54890.168242000007</v>
      </c>
      <c r="V19" s="73" ph="1">
        <f>MAX(5600*LOOKUP(V20,密度!$A$2:$A$50,密度!$Q$2:$Q$50)+V18*9.0476*LOOKUP(V20,密度!$A$2:$A$50,密度!$Q$2:$Q$50),0)</f>
        <v>12518.284273999998</v>
      </c>
      <c r="W19" s="73" ph="1">
        <f>MAX(5600*LOOKUP(W20,密度!$A$2:$A$50,密度!$Q$2:$Q$50)+W18*9.0476*LOOKUP(W20,密度!$A$2:$A$50,密度!$Q$2:$Q$50),0)</f>
        <v>49630.361903892001</v>
      </c>
      <c r="X19" s="73" ph="1">
        <f>MAX(5600*LOOKUP(X20,密度!$A$2:$A$50,密度!$I$2:$I$50)+X18*9.0476*LOOKUP(X20,密度!$A$2:$A$50,密度!$I$2:$I$50),0)</f>
        <v>16162.231883519999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42.071660520000002</v>
      </c>
      <c r="AB19" s="73" ph="1">
        <f>AB18*9.0746*LOOKUP(AB20,密度!$A$2:$A$50,密度!$L$2:$L$50)</f>
        <v>9188.3138125999994</v>
      </c>
      <c r="AC19" s="73" ph="1">
        <f>AC18*9.0746*LOOKUP(AC20,密度!$A$2:$A$50,密度!$L$2:$L$50)</f>
        <v>18242.886170400001</v>
      </c>
      <c r="AD19" s="73" ph="1">
        <f>AD18*268.68*LOOKUP(AD20,密度!$A$2:$A$50,密度!B5:B53)+IF(AD18&lt;=0,0,1566*LOOKUP(AD20,密度!$A$2:$A$50,密度!B5:B53))</f>
        <v>3895.2287388000004</v>
      </c>
      <c r="AE19" s="73" ph="1">
        <f>AE18*268.68*LOOKUP(AE20,密度!$A$2:$A$50,密度!B5:B53)+IF(AE18&lt;=0,0,1566*LOOKUP(AE20,密度!$A$2:$A$50,密度!B5:B53))</f>
        <v>18736.2870912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3" ph="1"/>
      <c r="C20" s="80" t="s" ph="1">
        <v>179</v>
      </c>
      <c r="D20" s="81">
        <v>32</v>
      </c>
      <c r="E20" s="81">
        <v>32</v>
      </c>
      <c r="F20" s="81">
        <v>34</v>
      </c>
      <c r="G20" s="81">
        <v>28</v>
      </c>
      <c r="H20" s="81">
        <v>28</v>
      </c>
      <c r="I20" s="81">
        <v>31</v>
      </c>
      <c r="J20" s="81">
        <v>30</v>
      </c>
      <c r="K20" s="81">
        <v>30</v>
      </c>
      <c r="L20" s="81">
        <v>30</v>
      </c>
      <c r="M20" s="81">
        <v>33</v>
      </c>
      <c r="N20" s="81">
        <v>29</v>
      </c>
      <c r="O20" s="81">
        <v>30</v>
      </c>
      <c r="P20" s="81">
        <v>32</v>
      </c>
      <c r="Q20" s="81">
        <v>32</v>
      </c>
      <c r="R20" s="81">
        <v>35</v>
      </c>
      <c r="S20" s="81">
        <v>32</v>
      </c>
      <c r="T20" s="81">
        <v>35</v>
      </c>
      <c r="U20" s="81">
        <v>30</v>
      </c>
      <c r="V20" s="81">
        <v>32</v>
      </c>
      <c r="W20" s="81">
        <v>34</v>
      </c>
      <c r="X20" s="81">
        <v>32</v>
      </c>
      <c r="Y20" s="110">
        <v>32</v>
      </c>
      <c r="Z20" s="81">
        <v>40</v>
      </c>
      <c r="AA20" s="81">
        <v>33</v>
      </c>
      <c r="AB20" s="81">
        <v>39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1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0" t="s" ph="1">
        <v>69</v>
      </c>
      <c r="AA22" s="171"/>
      <c r="AB22" s="171"/>
      <c r="AC22" s="171"/>
      <c r="AD22" s="171"/>
      <c r="AE22" s="172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6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173" t="s" ph="1">
        <v>635</v>
      </c>
      <c r="AA23" s="174"/>
      <c r="AB23" s="174"/>
      <c r="AC23" s="174"/>
      <c r="AD23" s="174"/>
      <c r="AE23" s="175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2" ph="1">
        <v>0.33333333333333331</v>
      </c>
      <c r="C24" s="160" t="s" ph="1">
        <v>177</v>
      </c>
      <c r="D24" s="71">
        <v>59.65</v>
      </c>
      <c r="E24" s="71">
        <v>46.25</v>
      </c>
      <c r="F24" s="71">
        <v>1370</v>
      </c>
      <c r="G24" s="71">
        <v>2580</v>
      </c>
      <c r="H24" s="71">
        <v>2586</v>
      </c>
      <c r="I24" s="71">
        <v>2966</v>
      </c>
      <c r="J24" s="71">
        <v>1300</v>
      </c>
      <c r="K24" s="71">
        <v>5269</v>
      </c>
      <c r="L24" s="71">
        <v>5612</v>
      </c>
      <c r="M24" s="71">
        <v>5408</v>
      </c>
      <c r="N24" s="71">
        <v>5532</v>
      </c>
      <c r="O24" s="71">
        <v>5597</v>
      </c>
      <c r="P24" s="71">
        <v>356</v>
      </c>
      <c r="Q24" s="90">
        <v>3368</v>
      </c>
      <c r="R24" s="71">
        <v>1342</v>
      </c>
      <c r="S24" s="71">
        <v>1650</v>
      </c>
      <c r="T24" s="71">
        <v>849</v>
      </c>
      <c r="U24" s="71">
        <v>5126</v>
      </c>
      <c r="V24" s="71">
        <v>279</v>
      </c>
      <c r="W24" s="71">
        <v>5095</v>
      </c>
      <c r="X24" s="71">
        <v>1398</v>
      </c>
      <c r="Y24" s="71">
        <v>6515</v>
      </c>
      <c r="Z24" s="176"/>
      <c r="AA24" s="177"/>
      <c r="AB24" s="177"/>
      <c r="AC24" s="177"/>
      <c r="AD24" s="177"/>
      <c r="AE24" s="178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2" ph="1"/>
      <c r="C25" s="68" t="s" ph="1">
        <v>178</v>
      </c>
      <c r="D25" s="91" ph="1">
        <f>D24*268.68*LOOKUP(D26,密度!$A$2:$A$50,密度!$Q$2:$Q$50)+IF(D24&lt;=0,0,1566*LOOKUP(D26,密度!$A$2:$A$50,密度!$Q$2:$Q$50))</f>
        <v>16655.771495880002</v>
      </c>
      <c r="E25" s="91" ph="1">
        <f>E24*268.68*LOOKUP(E26,密度!$A$2:$A$50,密度!$C$2:$C$50)+IF(E24&lt;=0,0,1566*LOOKUP(E26,密度!$A$2:$A$50,密度!$C$2:$C$50))</f>
        <v>15516.227805</v>
      </c>
      <c r="F25" s="91" ph="1">
        <f>F24*11.702*LOOKUP(F26,密度!$A$2:$A$50,密度!$Q$2:$Q$50)</f>
        <v>15123.221294200001</v>
      </c>
      <c r="G25" s="91" ph="1">
        <f>G24*18.322*LOOKUP(G26,密度!$A$2:$A$50,密度!$B$2:$B$50)</f>
        <v>36649.020227999994</v>
      </c>
      <c r="H25" s="91" ph="1">
        <f>H24*18.322*LOOKUP(H26,密度!$A$2:$A$50,密度!$B$2:$B$50)</f>
        <v>36734.250507599994</v>
      </c>
      <c r="I25" s="91" ph="1">
        <f>I24*18.322*LOOKUP(I26,密度!$A$2:$A$50,密度!$Q$2:$Q$50)</f>
        <v>51222.673954159996</v>
      </c>
      <c r="J25" s="91" ph="1">
        <f>J24*18.322*LOOKUP(J26,密度!$A$2:$A$50,密度!$Q$2:$Q$50)</f>
        <v>22434.739339999996</v>
      </c>
      <c r="K25" s="91" ph="1">
        <f>K24*18.322*LOOKUP(K26,密度!$A$2:$A$50,密度!$Q$2:$Q$50)</f>
        <v>90995.37055444</v>
      </c>
      <c r="L25" s="91" ph="1">
        <f>L24*18.322*LOOKUP(L26,密度!$A$2:$A$50,密度!$Q$2:$Q$50)</f>
        <v>96918.963665119998</v>
      </c>
      <c r="M25" s="91" ph="1">
        <f>M24*18.322*LOOKUP(M26,密度!$A$2:$A$50,密度!$Q$2:$Q$50)</f>
        <v>93395.893710079981</v>
      </c>
      <c r="N25" s="91" ph="1">
        <f>N24*18.322*LOOKUP(N26,密度!$A$2:$A$50,密度!$Q$2:$Q$50)</f>
        <v>95613.385582319985</v>
      </c>
      <c r="O25" s="91" ph="1">
        <f>O24*18.322*LOOKUP(O26,密度!$A$2:$A$50,密度!$C$2:$C$50)</f>
        <v>113326.0533934</v>
      </c>
      <c r="P25" s="91" ph="1">
        <f>P24*11.702*LOOKUP(P26,密度!$A$2:$A$50,密度!$B$2:$B$50)</f>
        <v>3222.3329320000003</v>
      </c>
      <c r="Q25" s="92" ph="1">
        <f>Q24*18.322*LOOKUP(Q26,密度!$A$2:$A$50,密度!$B$2:$B$50)</f>
        <v>47842.596948799997</v>
      </c>
      <c r="R25" s="91" ph="1">
        <f>R24*35.891*LOOKUP(R26,密度!$A$2:$A$50,密度!$C$2:$C$50)</f>
        <v>53179.7736602</v>
      </c>
      <c r="S25" s="91" ph="1">
        <f>S24*35.891*LOOKUP(S26,密度!$A$2:$A$50,密度!$B$2:$B$50)</f>
        <v>45860.084159999991</v>
      </c>
      <c r="T25" s="91" ph="1">
        <f>T24*35.891*LOOKUP(T26,密度!$A$2:$A$50,密度!$Q$2:$Q$50)</f>
        <v>28744.641418470001</v>
      </c>
      <c r="U25" s="91" ph="1">
        <f>U24*35.891</f>
        <v>183977.266</v>
      </c>
      <c r="V25" s="91" ph="1">
        <f>V24*47.051*LOOKUP(V26,密度!$A$2:$A$50,密度!$B$2:$B$50)</f>
        <v>10177.5406437</v>
      </c>
      <c r="W25" s="91" ph="1">
        <f>W24*47.051*LOOKUP(W26,密度!$A$2:$A$50,密度!$B$2:$B$50)</f>
        <v>185858.67232849999</v>
      </c>
      <c r="X25" s="91" ph="1">
        <f>X24*47.051*LOOKUP(X26,密度!$A$2:$A$50,密度!$I$2:$I$50)</f>
        <v>68040.037051200008</v>
      </c>
      <c r="Y25" s="91" ph="1">
        <f>Y24*47.051*LOOKUP(Y26,密度!$A$2:$A$50,密度!$L$2:$L$50)</f>
        <v>285079.65645000001</v>
      </c>
      <c r="Z25" s="176"/>
      <c r="AA25" s="177"/>
      <c r="AB25" s="177"/>
      <c r="AC25" s="177"/>
      <c r="AD25" s="177"/>
      <c r="AE25" s="178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2" ph="1"/>
      <c r="C26" s="68" t="s" ph="1">
        <v>179</v>
      </c>
      <c r="D26" s="74">
        <v>25</v>
      </c>
      <c r="E26" s="74">
        <v>25</v>
      </c>
      <c r="F26" s="74">
        <v>30</v>
      </c>
      <c r="G26" s="74">
        <v>30</v>
      </c>
      <c r="H26" s="74">
        <v>30</v>
      </c>
      <c r="I26" s="74">
        <v>31</v>
      </c>
      <c r="J26" s="74">
        <v>32</v>
      </c>
      <c r="K26" s="74">
        <v>31</v>
      </c>
      <c r="L26" s="74">
        <v>31</v>
      </c>
      <c r="M26" s="74">
        <v>31</v>
      </c>
      <c r="N26" s="74">
        <v>30</v>
      </c>
      <c r="O26" s="74">
        <v>30</v>
      </c>
      <c r="P26" s="74">
        <v>32</v>
      </c>
      <c r="Q26" s="93">
        <v>30</v>
      </c>
      <c r="R26" s="74">
        <v>31</v>
      </c>
      <c r="S26" s="74">
        <v>31</v>
      </c>
      <c r="T26" s="74">
        <v>30</v>
      </c>
      <c r="U26" s="74">
        <v>31</v>
      </c>
      <c r="V26" s="74">
        <v>30</v>
      </c>
      <c r="W26" s="74">
        <v>30</v>
      </c>
      <c r="X26" s="74">
        <v>32</v>
      </c>
      <c r="Y26" s="74">
        <v>32</v>
      </c>
      <c r="Z26" s="176"/>
      <c r="AA26" s="177"/>
      <c r="AB26" s="177"/>
      <c r="AC26" s="177"/>
      <c r="AD26" s="177"/>
      <c r="AE26" s="178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2" ph="1">
        <v>0.66666666666666663</v>
      </c>
      <c r="C27" s="160" t="s" ph="1">
        <v>180</v>
      </c>
      <c r="D27" s="71">
        <v>22.83</v>
      </c>
      <c r="E27" s="71">
        <v>46.18</v>
      </c>
      <c r="F27" s="71">
        <v>1209</v>
      </c>
      <c r="G27" s="71">
        <v>1908</v>
      </c>
      <c r="H27" s="71">
        <v>2575</v>
      </c>
      <c r="I27" s="71">
        <v>2966</v>
      </c>
      <c r="J27" s="71">
        <v>664</v>
      </c>
      <c r="K27" s="71">
        <v>5266</v>
      </c>
      <c r="L27" s="71">
        <v>5608</v>
      </c>
      <c r="M27" s="71">
        <v>5409</v>
      </c>
      <c r="N27" s="71">
        <v>5530</v>
      </c>
      <c r="O27" s="71">
        <v>5593</v>
      </c>
      <c r="P27" s="71">
        <v>352</v>
      </c>
      <c r="Q27" s="90">
        <v>529</v>
      </c>
      <c r="R27" s="71">
        <v>1340</v>
      </c>
      <c r="S27" s="71">
        <v>3271</v>
      </c>
      <c r="T27" s="71">
        <v>848</v>
      </c>
      <c r="U27" s="71">
        <v>4984</v>
      </c>
      <c r="V27" s="71">
        <v>274</v>
      </c>
      <c r="W27" s="71">
        <v>8075</v>
      </c>
      <c r="X27" s="71">
        <v>2012</v>
      </c>
      <c r="Y27" s="71">
        <v>5421</v>
      </c>
      <c r="Z27" s="176"/>
      <c r="AA27" s="177"/>
      <c r="AB27" s="177"/>
      <c r="AC27" s="177"/>
      <c r="AD27" s="177"/>
      <c r="AE27" s="178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2" ph="1"/>
      <c r="C28" s="160" t="s" ph="1">
        <v>178</v>
      </c>
      <c r="D28" s="91" ph="1">
        <f>D27*268.68*LOOKUP(D29,密度!$A$2:$A$50,密度!$Q$2:$Q$50)+IF(D27&lt;=0,0,1566*LOOKUP(D29,密度!$A$2:$A$50,密度!$Q$2:$Q$50))</f>
        <v>7289.8642960560001</v>
      </c>
      <c r="E28" s="91" ph="1">
        <f>E27*268.68*LOOKUP(E29,密度!$A$2:$A$50,密度!$C$2:$C$50)+IF(E27&lt;=0,0,1566*LOOKUP(E29,密度!$A$2:$A$50,密度!$C$2:$C$50))</f>
        <v>15495.37205736</v>
      </c>
      <c r="F28" s="91" ph="1">
        <f>F27*11.702*LOOKUP(F29,密度!$A$2:$A$50,密度!$Q$2:$Q$50)</f>
        <v>13335.35603244</v>
      </c>
      <c r="G28" s="91" ph="1">
        <f>G27*18.322*LOOKUP(G29,密度!$A$2:$A$50,密度!$B$2:$B$50)</f>
        <v>27071.766374399998</v>
      </c>
      <c r="H28" s="91" ph="1">
        <f>H27*18.322*LOOKUP(H29,密度!$A$2:$A$50,密度!$B$2:$B$50)</f>
        <v>36577.994995000001</v>
      </c>
      <c r="I28" s="91" ph="1">
        <f>I27*18.322*LOOKUP(I29,密度!$A$2:$A$50,密度!$Q$2:$Q$50)</f>
        <v>51079.208296879995</v>
      </c>
      <c r="J28" s="91" ph="1">
        <f>J27*18.322*LOOKUP(J29,密度!$A$2:$A$50,密度!$Q$2:$Q$50)</f>
        <v>11435.129571519999</v>
      </c>
      <c r="K28" s="91" ph="1">
        <f>K27*18.322*LOOKUP(K29,密度!$A$2:$A$50,密度!$Q$2:$Q$50)</f>
        <v>90943.560702160001</v>
      </c>
      <c r="L28" s="91" ph="1">
        <f>L27*18.322*LOOKUP(L29,密度!$A$2:$A$50,密度!$Q$2:$Q$50)</f>
        <v>96849.883862079994</v>
      </c>
      <c r="M28" s="91" ph="1">
        <f>M27*18.322*LOOKUP(M29,密度!$A$2:$A$50,密度!$Q$2:$Q$50)</f>
        <v>93487.491434339987</v>
      </c>
      <c r="N28" s="91" ph="1">
        <f>N27*18.322*LOOKUP(N29,密度!$A$2:$A$50,密度!$Q$2:$Q$50)</f>
        <v>95235.341160399985</v>
      </c>
      <c r="O28" s="91" ph="1">
        <f>O27*18.322*LOOKUP(O29,密度!$A$2:$A$50,密度!$C$2:$C$50)</f>
        <v>112712.1931054</v>
      </c>
      <c r="P28" s="91" ph="1">
        <f>P27*11.702*LOOKUP(P29,密度!$A$2:$A$50,密度!$B$2:$B$50)</f>
        <v>3189.8341376000003</v>
      </c>
      <c r="Q28" s="92" ph="1">
        <f>Q27*18.322*LOOKUP(Q29,密度!$A$2:$A$50,密度!$B$2:$B$50)</f>
        <v>7505.7465471999994</v>
      </c>
      <c r="R28" s="91" ph="1">
        <f>R27*35.891*LOOKUP(R29,密度!$A$2:$A$50,密度!$C$2:$C$50)</f>
        <v>53148.613093999993</v>
      </c>
      <c r="S28" s="91" ph="1">
        <f>S27*35.891*LOOKUP(S29,密度!$A$2:$A$50,密度!$B$2:$B$50)</f>
        <v>90914.142598399994</v>
      </c>
      <c r="T28" s="91" ph="1">
        <f>T27*35.891*LOOKUP(T29,密度!$A$2:$A$50,密度!$Q$2:$Q$50)</f>
        <v>28607.607785919998</v>
      </c>
      <c r="U28" s="91" ph="1">
        <f>U27*35.891</f>
        <v>178880.74399999998</v>
      </c>
      <c r="V28" s="91" ph="1">
        <f>V27*47.051*LOOKUP(V29,密度!$A$2:$A$50,密度!$B$2:$B$50)</f>
        <v>9995.1474421999992</v>
      </c>
      <c r="W28" s="91" ph="1">
        <f>W27*47.051*LOOKUP(W29,密度!$A$2:$A$50,密度!$B$2:$B$50)</f>
        <v>294565.02042249998</v>
      </c>
      <c r="X28" s="91" ph="1">
        <f>X27*47.051*LOOKUP(X29,密度!$A$2:$A$50,密度!$I$2:$I$50)</f>
        <v>97607.903634839997</v>
      </c>
      <c r="Y28" s="91" ph="1">
        <f>Y27*47.051*LOOKUP(Y29,密度!$A$2:$A$50,密度!$L$2:$L$50)</f>
        <v>237464.09150100002</v>
      </c>
      <c r="Z28" s="176"/>
      <c r="AA28" s="177"/>
      <c r="AB28" s="177"/>
      <c r="AC28" s="177"/>
      <c r="AD28" s="177"/>
      <c r="AE28" s="178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2" ph="1"/>
      <c r="C29" s="160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30</v>
      </c>
      <c r="I29" s="74">
        <v>35</v>
      </c>
      <c r="J29" s="74">
        <v>35</v>
      </c>
      <c r="K29" s="74">
        <v>31</v>
      </c>
      <c r="L29" s="74">
        <v>31</v>
      </c>
      <c r="M29" s="74">
        <v>30</v>
      </c>
      <c r="N29" s="74">
        <v>35</v>
      </c>
      <c r="O29" s="74">
        <v>35</v>
      </c>
      <c r="P29" s="74">
        <v>31</v>
      </c>
      <c r="Q29" s="93">
        <v>31</v>
      </c>
      <c r="R29" s="74">
        <v>30</v>
      </c>
      <c r="S29" s="74">
        <v>31</v>
      </c>
      <c r="T29" s="74">
        <v>35</v>
      </c>
      <c r="U29" s="74">
        <v>30</v>
      </c>
      <c r="V29" s="74">
        <v>30</v>
      </c>
      <c r="W29" s="74">
        <v>30</v>
      </c>
      <c r="X29" s="74">
        <v>35</v>
      </c>
      <c r="Y29" s="74">
        <v>31</v>
      </c>
      <c r="Z29" s="179"/>
      <c r="AA29" s="180"/>
      <c r="AB29" s="180"/>
      <c r="AC29" s="180"/>
      <c r="AD29" s="180"/>
      <c r="AE29" s="181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5" t="s" ph="1">
        <v>35</v>
      </c>
      <c r="C31" s="196" ph="1"/>
      <c r="D31" s="199" t="s" ph="1">
        <v>9</v>
      </c>
      <c r="E31" s="188" ph="1"/>
      <c r="F31" s="189" ph="1"/>
      <c r="G31" s="199" t="s" ph="1">
        <v>18</v>
      </c>
      <c r="H31" s="188" ph="1"/>
      <c r="I31" s="189" ph="1"/>
      <c r="J31" s="187" t="s" ph="1">
        <v>1</v>
      </c>
      <c r="K31" s="188" ph="1"/>
      <c r="L31" s="189" ph="1"/>
      <c r="M31" s="187" t="s" ph="1">
        <v>7</v>
      </c>
      <c r="N31" s="188" ph="1"/>
      <c r="O31" s="189" ph="1"/>
      <c r="P31" s="187" t="s" ph="1">
        <v>41</v>
      </c>
      <c r="Q31" s="188"/>
      <c r="R31" s="189"/>
      <c r="S31" s="187" t="s" ph="1">
        <v>2</v>
      </c>
      <c r="T31" s="188"/>
      <c r="U31" s="189"/>
      <c r="V31" s="187" t="s" ph="1">
        <v>71</v>
      </c>
      <c r="W31" s="188" ph="1"/>
      <c r="X31" s="189" ph="1"/>
      <c r="Y31" s="187" t="s" ph="1">
        <v>3</v>
      </c>
      <c r="Z31" s="188" ph="1"/>
      <c r="AA31" s="189" ph="1"/>
      <c r="AB31" s="210" t="s">
        <v>42</v>
      </c>
      <c r="AC31" s="211"/>
      <c r="AD31" s="211"/>
      <c r="AE31" s="212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7" ph="1"/>
      <c r="C32" s="198" ph="1"/>
      <c r="D32" s="96" t="s" ph="1">
        <v>4</v>
      </c>
      <c r="E32" s="160" t="s" ph="1">
        <v>5</v>
      </c>
      <c r="F32" s="159" t="s" ph="1">
        <v>43</v>
      </c>
      <c r="G32" s="97" t="s" ph="1">
        <v>4</v>
      </c>
      <c r="H32" s="160" t="s" ph="1">
        <v>5</v>
      </c>
      <c r="I32" s="159" t="s" ph="1">
        <v>43</v>
      </c>
      <c r="J32" s="97" t="s" ph="1">
        <v>4</v>
      </c>
      <c r="K32" s="160" t="s" ph="1">
        <v>5</v>
      </c>
      <c r="L32" s="159" t="s" ph="1">
        <v>43</v>
      </c>
      <c r="M32" s="97" t="s" ph="1">
        <v>4</v>
      </c>
      <c r="N32" s="160" t="s" ph="1">
        <v>5</v>
      </c>
      <c r="O32" s="15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0" t="s" ph="1">
        <v>5</v>
      </c>
      <c r="U32" s="99" t="s" ph="1">
        <v>43</v>
      </c>
      <c r="V32" s="97" t="s" ph="1">
        <v>4</v>
      </c>
      <c r="W32" s="160" t="s" ph="1">
        <v>5</v>
      </c>
      <c r="X32" s="99" t="s" ph="1">
        <v>43</v>
      </c>
      <c r="Y32" s="100" t="s" ph="1">
        <v>4</v>
      </c>
      <c r="Z32" s="160" t="s" ph="1">
        <v>5</v>
      </c>
      <c r="AA32" s="159" t="s" ph="1">
        <v>43</v>
      </c>
      <c r="AB32" s="97" t="s" ph="1">
        <v>85</v>
      </c>
      <c r="AC32" s="160" t="s" ph="1">
        <v>84</v>
      </c>
      <c r="AD32" s="213" t="s" ph="1">
        <v>83</v>
      </c>
      <c r="AE32" s="214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0" t="s" ph="1">
        <v>181</v>
      </c>
      <c r="C33" s="201" ph="1"/>
      <c r="D33" s="204" ph="1">
        <f>AA10+AB10+Z19</f>
        <v>58163.4761172</v>
      </c>
      <c r="E33" s="204" ph="1">
        <f>M10+I10</f>
        <v>73559.021589999989</v>
      </c>
      <c r="F33" s="206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[[#This Row],[F25]]</f>
        <v>3880</v>
      </c>
      <c r="G33" s="208" ph="1">
        <v>0</v>
      </c>
      <c r="H33" s="204" ph="1">
        <f>N19</f>
        <v>31370.883125400003</v>
      </c>
      <c r="I33" s="217" ph="1">
        <v>0</v>
      </c>
      <c r="J33" s="215" ph="1">
        <f>F10+O28</f>
        <v>259940.87686180003</v>
      </c>
      <c r="K33" s="204" ph="1">
        <f>O10+K10+E28+R28</f>
        <v>216590.18192735998</v>
      </c>
      <c r="L33" s="219" ph="1">
        <f>BE27</f>
        <v>7100</v>
      </c>
      <c r="M33" s="215" ph="1">
        <f>G10+H10+W28+S28+V28+E10</f>
        <v>1316474.8391300999</v>
      </c>
      <c r="N33" s="204" ph="1">
        <f>L10+P10++G28+H28</f>
        <v>155678.68585740001</v>
      </c>
      <c r="O33" s="217" ph="1">
        <f>BE17</f>
        <v>2270</v>
      </c>
      <c r="P33" s="215" ph="1">
        <f>L19</f>
        <v>41477.571866879996</v>
      </c>
      <c r="Q33" s="204" ph="1">
        <f>J10+N10</f>
        <v>117985.36510879999</v>
      </c>
      <c r="R33" s="217" ph="1">
        <f>BE23</f>
        <v>890</v>
      </c>
      <c r="S33" s="215" ph="1">
        <f>E10+X28</f>
        <v>441945.09637983993</v>
      </c>
      <c r="T33" s="204" ph="1">
        <f>X19</f>
        <v>16162.231883519999</v>
      </c>
      <c r="U33" s="225" ph="1">
        <f>BE21</f>
        <v>730</v>
      </c>
      <c r="V33" s="236" ph="1">
        <f ca="1">P19+Q19+S19+M28+N28+J28</f>
        <v>341591.22306603997</v>
      </c>
      <c r="W33" s="236" ph="1">
        <f>D28+F28+V19+T28</f>
        <v>61751.112388416004</v>
      </c>
      <c r="X33" s="217" ph="1">
        <f>BE29+BE31</f>
        <v>10200</v>
      </c>
      <c r="Y33" s="238" ph="1">
        <f>+Q10+R10+S10+T10+U10+V10+W10+X10+Y10</f>
        <v>264079.07895599998</v>
      </c>
      <c r="Z33" s="223" ph="1">
        <f>D10+T19+U19+Y28+Z10</f>
        <v>545280.17360327998</v>
      </c>
      <c r="AA33" s="225" ph="1">
        <f>BE19</f>
        <v>1440</v>
      </c>
      <c r="AB33" s="227" ph="1">
        <f>I19</f>
        <v>24717.277510199998</v>
      </c>
      <c r="AC33" s="229" ph="1">
        <f>AD10</f>
        <v>85094.059680000006</v>
      </c>
      <c r="AD33" s="231" ph="1">
        <v>0</v>
      </c>
      <c r="AE33" s="23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2" ph="1"/>
      <c r="C34" s="203" ph="1"/>
      <c r="D34" s="205" ph="1"/>
      <c r="E34" s="205" ph="1"/>
      <c r="F34" s="207" ph="1"/>
      <c r="G34" s="209" ph="1"/>
      <c r="H34" s="205" ph="1"/>
      <c r="I34" s="218" ph="1"/>
      <c r="J34" s="216" ph="1"/>
      <c r="K34" s="205" ph="1"/>
      <c r="L34" s="220" ph="1"/>
      <c r="M34" s="216" ph="1"/>
      <c r="N34" s="205" ph="1"/>
      <c r="O34" s="218" ph="1"/>
      <c r="P34" s="216" ph="1"/>
      <c r="Q34" s="205" ph="1"/>
      <c r="R34" s="218" ph="1"/>
      <c r="S34" s="216" ph="1"/>
      <c r="T34" s="205"/>
      <c r="U34" s="226"/>
      <c r="V34" s="237" ph="1"/>
      <c r="W34" s="237" ph="1"/>
      <c r="X34" s="218" ph="1"/>
      <c r="Y34" s="239" ph="1"/>
      <c r="Z34" s="224" ph="1"/>
      <c r="AA34" s="226" ph="1"/>
      <c r="AB34" s="228"/>
      <c r="AC34" s="230"/>
      <c r="AD34" s="233"/>
      <c r="AE34" s="23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5" t="s" ph="1">
        <v>633</v>
      </c>
      <c r="AD35" s="235"/>
      <c r="AE35" s="23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1" t="s" ph="1">
        <v>183</v>
      </c>
      <c r="J36" s="221" ph="1"/>
      <c r="K36" s="101" ph="1"/>
      <c r="P36" s="101" ph="1"/>
      <c r="R36" s="221" t="s" ph="1">
        <v>184</v>
      </c>
      <c r="S36" s="221" ph="1"/>
      <c r="Y36" s="102" ph="1"/>
      <c r="Z36" s="158" t="s" ph="1">
        <v>185</v>
      </c>
      <c r="AA36" s="158" ph="1"/>
      <c r="AB36" s="222" t="s" ph="1">
        <v>641</v>
      </c>
      <c r="AC36" s="222" ph="1"/>
      <c r="AD36" s="222" ph="1"/>
      <c r="AE36" s="222" ph="1"/>
      <c r="BA36" s="64" ph="1">
        <v>2270</v>
      </c>
    </row>
    <row r="37" spans="1:57" s="15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8" t="s" ph="1">
        <v>342</v>
      </c>
      <c r="AI37" s="158" t="s" ph="1">
        <v>209</v>
      </c>
      <c r="AJ37" s="158" t="s" ph="1">
        <v>210</v>
      </c>
      <c r="AK37" s="158" t="s" ph="1">
        <v>211</v>
      </c>
      <c r="AM37" s="158" t="s" ph="1">
        <v>210</v>
      </c>
      <c r="AN37" s="158" t="s" ph="1">
        <v>211</v>
      </c>
      <c r="AO37" s="158" t="s" ph="1">
        <v>212</v>
      </c>
      <c r="AP37" s="158" t="s" ph="1">
        <v>210</v>
      </c>
      <c r="AQ37" s="158" t="s" ph="1">
        <v>211</v>
      </c>
      <c r="AR37" s="158" t="s" ph="1">
        <v>212</v>
      </c>
      <c r="AS37" s="158" t="s" ph="1">
        <v>210</v>
      </c>
      <c r="AT37" s="158" t="s" ph="1">
        <v>211</v>
      </c>
      <c r="AU37" s="158" t="s" ph="1">
        <v>212</v>
      </c>
      <c r="AV37" s="158" t="s" ph="1">
        <v>210</v>
      </c>
      <c r="AW37" s="158" t="s" ph="1">
        <v>211</v>
      </c>
      <c r="AX37" s="158" t="s" ph="1">
        <v>212</v>
      </c>
      <c r="AY37" s="158" t="s" ph="1">
        <v>211</v>
      </c>
      <c r="AZ37" s="158" t="s" ph="1">
        <v>213</v>
      </c>
      <c r="BD37" s="158" t="s" ph="1">
        <v>305</v>
      </c>
      <c r="BE37" s="15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27" priority="98">
      <formula>ABS(D$7-D$10)&gt;=1000</formula>
    </cfRule>
  </conditionalFormatting>
  <conditionalFormatting sqref="E4 E6:E11">
    <cfRule type="expression" dxfId="126" priority="97">
      <formula>ABS(E$7-E$10)&gt;=1000</formula>
    </cfRule>
  </conditionalFormatting>
  <conditionalFormatting sqref="F4:F11">
    <cfRule type="expression" dxfId="125" priority="96">
      <formula>ABS(F$7-F$10)&gt;=1000</formula>
    </cfRule>
  </conditionalFormatting>
  <conditionalFormatting sqref="G4:G11">
    <cfRule type="expression" dxfId="124" priority="95">
      <formula>ABS(G$7-G$10)&gt;=1000</formula>
    </cfRule>
  </conditionalFormatting>
  <conditionalFormatting sqref="H4:H11">
    <cfRule type="expression" dxfId="123" priority="94">
      <formula>ABS(H$7-H$10)&gt;=1000</formula>
    </cfRule>
  </conditionalFormatting>
  <conditionalFormatting sqref="I4:I11">
    <cfRule type="expression" dxfId="122" priority="93">
      <formula>ABS(I$7-I$10)&gt;=1000</formula>
    </cfRule>
  </conditionalFormatting>
  <conditionalFormatting sqref="J4:J11">
    <cfRule type="expression" dxfId="121" priority="92">
      <formula>ABS(J$7-J$10)&gt;=1000</formula>
    </cfRule>
  </conditionalFormatting>
  <conditionalFormatting sqref="K4:K11">
    <cfRule type="expression" dxfId="120" priority="91">
      <formula>ABS(K$7-K$10)&gt;=1000</formula>
    </cfRule>
  </conditionalFormatting>
  <conditionalFormatting sqref="L4:L11">
    <cfRule type="expression" dxfId="119" priority="90">
      <formula>ABS(L$7-L$10)&gt;=1000</formula>
    </cfRule>
  </conditionalFormatting>
  <conditionalFormatting sqref="M4 M6:M11">
    <cfRule type="expression" dxfId="118" priority="89">
      <formula>ABS(M$7-M$10)&gt;=1000</formula>
    </cfRule>
  </conditionalFormatting>
  <conditionalFormatting sqref="N4 N6:N11">
    <cfRule type="expression" dxfId="117" priority="88">
      <formula>ABS(N$7-N$10)&gt;=1000</formula>
    </cfRule>
  </conditionalFormatting>
  <conditionalFormatting sqref="O4 O6:O11">
    <cfRule type="expression" dxfId="116" priority="87">
      <formula>ABS(O$7-O$10)&gt;=1000</formula>
    </cfRule>
  </conditionalFormatting>
  <conditionalFormatting sqref="P4 P6:P11">
    <cfRule type="expression" dxfId="115" priority="86">
      <formula>ABS(P$7-P$10)&gt;=1000</formula>
    </cfRule>
  </conditionalFormatting>
  <conditionalFormatting sqref="Q4:Q11">
    <cfRule type="expression" dxfId="114" priority="85">
      <formula>ABS(Q$7-Q$10)&gt;=1000</formula>
    </cfRule>
  </conditionalFormatting>
  <conditionalFormatting sqref="R4:R11">
    <cfRule type="expression" dxfId="113" priority="84">
      <formula>ABS(R$7-R$10)&gt;=1000</formula>
    </cfRule>
  </conditionalFormatting>
  <conditionalFormatting sqref="S4:S11">
    <cfRule type="expression" dxfId="112" priority="83">
      <formula>ABS(S$7-S$10)&gt;=1000</formula>
    </cfRule>
  </conditionalFormatting>
  <conditionalFormatting sqref="T4:T9 T11">
    <cfRule type="expression" dxfId="111" priority="82">
      <formula>ABS(T$7-T$10)&gt;=1000</formula>
    </cfRule>
  </conditionalFormatting>
  <conditionalFormatting sqref="U4:U9 U11">
    <cfRule type="expression" dxfId="110" priority="81">
      <formula>ABS(U$7-U$10)&gt;=1000</formula>
    </cfRule>
  </conditionalFormatting>
  <conditionalFormatting sqref="V4:V9 V11">
    <cfRule type="expression" dxfId="109" priority="80">
      <formula>ABS(V$7-V$10)&gt;=1000</formula>
    </cfRule>
  </conditionalFormatting>
  <conditionalFormatting sqref="W4:W9 W11">
    <cfRule type="expression" dxfId="108" priority="79">
      <formula>ABS(W$7-W$10)&gt;=1000</formula>
    </cfRule>
  </conditionalFormatting>
  <conditionalFormatting sqref="X4:X9 X11">
    <cfRule type="expression" dxfId="107" priority="78">
      <formula>ABS(X$7-X$10)&gt;=1000</formula>
    </cfRule>
  </conditionalFormatting>
  <conditionalFormatting sqref="Y4:Y9 Y11">
    <cfRule type="expression" dxfId="106" priority="77">
      <formula>ABS(Y$7-Y$10)&gt;=1000</formula>
    </cfRule>
  </conditionalFormatting>
  <conditionalFormatting sqref="Z4:Z11">
    <cfRule type="expression" dxfId="105" priority="76">
      <formula>ABS(Z$7-Z$10)&gt;=1000</formula>
    </cfRule>
  </conditionalFormatting>
  <conditionalFormatting sqref="AA4:AA11">
    <cfRule type="expression" dxfId="104" priority="75">
      <formula>ABS(AA$7-AA$10)&gt;=1000</formula>
    </cfRule>
  </conditionalFormatting>
  <conditionalFormatting sqref="AB4:AB11">
    <cfRule type="expression" dxfId="103" priority="74">
      <formula>ABS(AB$7-AB$10)&gt;=1000</formula>
    </cfRule>
  </conditionalFormatting>
  <conditionalFormatting sqref="AC4 AC6:AC11">
    <cfRule type="expression" dxfId="102" priority="73">
      <formula>ABS(AC$7-AC$10)&gt;=1000</formula>
    </cfRule>
  </conditionalFormatting>
  <conditionalFormatting sqref="AD4:AD11">
    <cfRule type="expression" dxfId="101" priority="72">
      <formula>ABS(AD$7-AD$10)&gt;=1000</formula>
    </cfRule>
  </conditionalFormatting>
  <conditionalFormatting sqref="AE4 AE6:AE11">
    <cfRule type="expression" dxfId="100" priority="71">
      <formula>ABS(AE$7-AE$10)&gt;=1000</formula>
    </cfRule>
  </conditionalFormatting>
  <conditionalFormatting sqref="D13:D20">
    <cfRule type="expression" dxfId="99" priority="70">
      <formula>ABS(D$16-D$19)&gt;=1000</formula>
    </cfRule>
  </conditionalFormatting>
  <conditionalFormatting sqref="E13:E20">
    <cfRule type="expression" dxfId="98" priority="69">
      <formula>ABS(E$16-E$19)&gt;=1000</formula>
    </cfRule>
  </conditionalFormatting>
  <conditionalFormatting sqref="F13 F15:F20">
    <cfRule type="expression" dxfId="97" priority="68">
      <formula>ABS(F$16-F$19)&gt;=1000</formula>
    </cfRule>
  </conditionalFormatting>
  <conditionalFormatting sqref="G13:G20">
    <cfRule type="expression" dxfId="96" priority="67">
      <formula>ABS(G$16-G$19)&gt;=1000</formula>
    </cfRule>
  </conditionalFormatting>
  <conditionalFormatting sqref="H13:H20">
    <cfRule type="expression" dxfId="95" priority="66">
      <formula>ABS(H$16-H$19)&gt;=1000</formula>
    </cfRule>
  </conditionalFormatting>
  <conditionalFormatting sqref="I13:I20">
    <cfRule type="expression" dxfId="94" priority="65">
      <formula>ABS(I$16-I$19)&gt;=1000</formula>
    </cfRule>
  </conditionalFormatting>
  <conditionalFormatting sqref="J13:J20">
    <cfRule type="expression" dxfId="93" priority="64">
      <formula>ABS(J$16-J$19)&gt;=1000</formula>
    </cfRule>
  </conditionalFormatting>
  <conditionalFormatting sqref="L13:L20">
    <cfRule type="expression" dxfId="92" priority="63">
      <formula>ABS(L$16-L$19)&gt;=1000</formula>
    </cfRule>
  </conditionalFormatting>
  <conditionalFormatting sqref="M13 M15 M17:M18 M20">
    <cfRule type="expression" dxfId="91" priority="62">
      <formula>ABS(M$16-M$19)&gt;=1000</formula>
    </cfRule>
  </conditionalFormatting>
  <conditionalFormatting sqref="N13:N20">
    <cfRule type="expression" dxfId="90" priority="61">
      <formula>ABS(N$16-N$19)&gt;=1000</formula>
    </cfRule>
  </conditionalFormatting>
  <conditionalFormatting sqref="O13:O20">
    <cfRule type="expression" dxfId="89" priority="60">
      <formula>ABS(O$16-O$19)&gt;=1000</formula>
    </cfRule>
  </conditionalFormatting>
  <conditionalFormatting sqref="P13:P20">
    <cfRule type="expression" dxfId="88" priority="59">
      <formula>ABS(P$16-P$19)&gt;=1000</formula>
    </cfRule>
  </conditionalFormatting>
  <conditionalFormatting sqref="Q13 Q15:Q20">
    <cfRule type="expression" dxfId="87" priority="58">
      <formula>ABS(Q$16-Q$19)&gt;=1000</formula>
    </cfRule>
  </conditionalFormatting>
  <conditionalFormatting sqref="R13:R20">
    <cfRule type="expression" dxfId="86" priority="57">
      <formula>ABS(R$16-R$19)&gt;=1000</formula>
    </cfRule>
  </conditionalFormatting>
  <conditionalFormatting sqref="S13:S20">
    <cfRule type="expression" dxfId="85" priority="56">
      <formula>ABS(S$16-S$19)&gt;=1000</formula>
    </cfRule>
  </conditionalFormatting>
  <conditionalFormatting sqref="T13:T20">
    <cfRule type="expression" dxfId="84" priority="55">
      <formula>ABS(T$16-T$19)&gt;=1000</formula>
    </cfRule>
  </conditionalFormatting>
  <conditionalFormatting sqref="U13:U20">
    <cfRule type="expression" dxfId="83" priority="54">
      <formula>ABS(U$16-U$19)&gt;=1000</formula>
    </cfRule>
  </conditionalFormatting>
  <conditionalFormatting sqref="V13:V20">
    <cfRule type="expression" dxfId="82" priority="53">
      <formula>ABS(V$16-V$19)&gt;=1000</formula>
    </cfRule>
  </conditionalFormatting>
  <conditionalFormatting sqref="W13 W20 W15:W18">
    <cfRule type="expression" dxfId="81" priority="52">
      <formula>ABS(W$16-W$19)&gt;=1000</formula>
    </cfRule>
  </conditionalFormatting>
  <conditionalFormatting sqref="X13 X15:X20 Y19">
    <cfRule type="expression" dxfId="80" priority="51">
      <formula>ABS(X$16-X$19)&gt;=1000</formula>
    </cfRule>
  </conditionalFormatting>
  <conditionalFormatting sqref="Y13 Y15:Y18 Y20">
    <cfRule type="expression" dxfId="79" priority="50">
      <formula>ABS(Y$16-Y$19)&gt;=1000</formula>
    </cfRule>
  </conditionalFormatting>
  <conditionalFormatting sqref="Z13:Z20">
    <cfRule type="expression" dxfId="78" priority="49">
      <formula>ABS(Z$16-Z$19)&gt;=1000</formula>
    </cfRule>
  </conditionalFormatting>
  <conditionalFormatting sqref="AA13:AA20">
    <cfRule type="expression" dxfId="77" priority="48">
      <formula>ABS(AA$16-AA$19)&gt;=1000</formula>
    </cfRule>
  </conditionalFormatting>
  <conditionalFormatting sqref="AB13 AB15:AB20">
    <cfRule type="expression" dxfId="76" priority="47">
      <formula>ABS(AB$16-AB$19)&gt;=1000</formula>
    </cfRule>
  </conditionalFormatting>
  <conditionalFormatting sqref="AC13 AC15:AC20">
    <cfRule type="expression" dxfId="75" priority="46">
      <formula>ABS(AC$16-AC$19)&gt;=1000</formula>
    </cfRule>
  </conditionalFormatting>
  <conditionalFormatting sqref="AD13:AD20">
    <cfRule type="expression" dxfId="74" priority="45">
      <formula>ABS(AD$16-AD$19)&gt;=1000</formula>
    </cfRule>
  </conditionalFormatting>
  <conditionalFormatting sqref="AE13:AE20">
    <cfRule type="expression" dxfId="73" priority="44">
      <formula>ABS(AE$16-AE$19)&gt;=1000</formula>
    </cfRule>
  </conditionalFormatting>
  <conditionalFormatting sqref="D22:D29">
    <cfRule type="expression" dxfId="72" priority="43">
      <formula>ABS(D$25-D$28)&gt;=1000</formula>
    </cfRule>
  </conditionalFormatting>
  <conditionalFormatting sqref="E22:E29">
    <cfRule type="expression" dxfId="71" priority="42">
      <formula>ABS(E$25-E$28)&gt;=1000</formula>
    </cfRule>
  </conditionalFormatting>
  <conditionalFormatting sqref="F22:F29">
    <cfRule type="expression" dxfId="70" priority="41">
      <formula>ABS(F$25-F$28)&gt;=1000</formula>
    </cfRule>
  </conditionalFormatting>
  <conditionalFormatting sqref="G22:G29">
    <cfRule type="expression" dxfId="69" priority="40">
      <formula>ABS(G$25-G$28)&gt;=1000</formula>
    </cfRule>
  </conditionalFormatting>
  <conditionalFormatting sqref="H22:H29">
    <cfRule type="expression" dxfId="68" priority="39">
      <formula>ABS(H$25-H$28)&gt;=1000</formula>
    </cfRule>
  </conditionalFormatting>
  <conditionalFormatting sqref="I22 I24:I29">
    <cfRule type="expression" dxfId="67" priority="38">
      <formula>ABS(I$25-I$28)&gt;=1000</formula>
    </cfRule>
  </conditionalFormatting>
  <conditionalFormatting sqref="J22:J29 K22">
    <cfRule type="expression" dxfId="66" priority="37">
      <formula>ABS(J$25-J$28)&gt;=1000</formula>
    </cfRule>
  </conditionalFormatting>
  <conditionalFormatting sqref="K23:K29 L25 L28">
    <cfRule type="expression" dxfId="65" priority="36">
      <formula>ABS(K$25-K$28)&gt;=1000</formula>
    </cfRule>
  </conditionalFormatting>
  <conditionalFormatting sqref="L22 L26:L27 L29 L24">
    <cfRule type="expression" dxfId="64" priority="35">
      <formula>ABS(L$25-L$28)&gt;=1000</formula>
    </cfRule>
  </conditionalFormatting>
  <conditionalFormatting sqref="M22:M29">
    <cfRule type="expression" dxfId="63" priority="34">
      <formula>ABS(M$25-M$28)&gt;=1000</formula>
    </cfRule>
  </conditionalFormatting>
  <conditionalFormatting sqref="N22:N29">
    <cfRule type="expression" dxfId="62" priority="33">
      <formula>ABS(N$25-N$28)&gt;=1000</formula>
    </cfRule>
  </conditionalFormatting>
  <conditionalFormatting sqref="O22:O29">
    <cfRule type="expression" dxfId="61" priority="32">
      <formula>ABS(O$25-O$28)&gt;=1000</formula>
    </cfRule>
  </conditionalFormatting>
  <conditionalFormatting sqref="P22:P29">
    <cfRule type="expression" dxfId="60" priority="31">
      <formula>ABS(P$25-P$28)&gt;=1000</formula>
    </cfRule>
  </conditionalFormatting>
  <conditionalFormatting sqref="Q22:Q29">
    <cfRule type="expression" dxfId="59" priority="30">
      <formula>ABS(Q$25-Q$28)&gt;=1000</formula>
    </cfRule>
  </conditionalFormatting>
  <conditionalFormatting sqref="R22:R29">
    <cfRule type="expression" dxfId="58" priority="29">
      <formula>ABS(R$25-R$28)&gt;=1000</formula>
    </cfRule>
  </conditionalFormatting>
  <conditionalFormatting sqref="S22:S29">
    <cfRule type="expression" dxfId="57" priority="28">
      <formula>ABS(S$25-S$28)&gt;=1000</formula>
    </cfRule>
  </conditionalFormatting>
  <conditionalFormatting sqref="T22:T29">
    <cfRule type="expression" dxfId="56" priority="27">
      <formula>ABS(T$25-T$28)&gt;=1000</formula>
    </cfRule>
  </conditionalFormatting>
  <conditionalFormatting sqref="U22:U29">
    <cfRule type="expression" dxfId="55" priority="26">
      <formula>ABS(U$25-U$28)&gt;=1000</formula>
    </cfRule>
  </conditionalFormatting>
  <conditionalFormatting sqref="V22:V29">
    <cfRule type="expression" dxfId="54" priority="25">
      <formula>ABS(V$25-V$28)&gt;=1000</formula>
    </cfRule>
  </conditionalFormatting>
  <conditionalFormatting sqref="W22:W29">
    <cfRule type="expression" dxfId="53" priority="24">
      <formula>ABS(W$25-W$28)&gt;=1000</formula>
    </cfRule>
  </conditionalFormatting>
  <conditionalFormatting sqref="X22:X29">
    <cfRule type="expression" dxfId="52" priority="23">
      <formula>ABS(X$25-X$28)&gt;=1000</formula>
    </cfRule>
  </conditionalFormatting>
  <conditionalFormatting sqref="Y22:Y29">
    <cfRule type="expression" dxfId="51" priority="22">
      <formula>ABS(Y$25-Y$28)&gt;=1000</formula>
    </cfRule>
  </conditionalFormatting>
  <conditionalFormatting sqref="I23">
    <cfRule type="expression" dxfId="50" priority="21">
      <formula>ABS(I$25-I$28)&gt;=1000</formula>
    </cfRule>
  </conditionalFormatting>
  <conditionalFormatting sqref="Q14">
    <cfRule type="expression" dxfId="49" priority="20">
      <formula>ABS(Q$16-Q$19)&gt;=1000</formula>
    </cfRule>
  </conditionalFormatting>
  <conditionalFormatting sqref="W14">
    <cfRule type="expression" dxfId="48" priority="19">
      <formula>ABS(W$16-W$19)&gt;=1000</formula>
    </cfRule>
  </conditionalFormatting>
  <conditionalFormatting sqref="Y14">
    <cfRule type="expression" dxfId="47" priority="18">
      <formula>ABS(Y$16-Y$19)&gt;=1000</formula>
    </cfRule>
  </conditionalFormatting>
  <conditionalFormatting sqref="X14">
    <cfRule type="expression" dxfId="46" priority="17">
      <formula>ABS(X$16-X$19)&gt;=1000</formula>
    </cfRule>
  </conditionalFormatting>
  <conditionalFormatting sqref="T10:Y10">
    <cfRule type="expression" dxfId="45" priority="16">
      <formula>ABS(T$7-T$10)&gt;=1000</formula>
    </cfRule>
  </conditionalFormatting>
  <conditionalFormatting sqref="W19">
    <cfRule type="expression" dxfId="44" priority="15">
      <formula>ABS(W$16-W$19)&gt;=1000</formula>
    </cfRule>
  </conditionalFormatting>
  <conditionalFormatting sqref="AC5">
    <cfRule type="expression" dxfId="43" priority="14">
      <formula>ABS(AC$7-AC$10)&gt;=1000</formula>
    </cfRule>
  </conditionalFormatting>
  <conditionalFormatting sqref="M14">
    <cfRule type="expression" dxfId="42" priority="13">
      <formula>ABS(M$16-M$19)&gt;=1000</formula>
    </cfRule>
  </conditionalFormatting>
  <conditionalFormatting sqref="M16">
    <cfRule type="expression" dxfId="41" priority="12">
      <formula>ABS(M$16-M$19)&gt;=1000</formula>
    </cfRule>
  </conditionalFormatting>
  <conditionalFormatting sqref="M19">
    <cfRule type="expression" dxfId="40" priority="11">
      <formula>ABS(M$16-M$19)&gt;=1000</formula>
    </cfRule>
  </conditionalFormatting>
  <conditionalFormatting sqref="K13:K20">
    <cfRule type="expression" dxfId="39" priority="10">
      <formula>ABS(K$16-K$19)&gt;=1000</formula>
    </cfRule>
  </conditionalFormatting>
  <conditionalFormatting sqref="E5">
    <cfRule type="expression" dxfId="38" priority="9">
      <formula>ABS(E$7-E$10)&gt;=1000</formula>
    </cfRule>
  </conditionalFormatting>
  <conditionalFormatting sqref="AB14:AC14">
    <cfRule type="expression" dxfId="37" priority="8">
      <formula>ABS(AB$16-AB$19)&gt;=1000</formula>
    </cfRule>
  </conditionalFormatting>
  <conditionalFormatting sqref="M5">
    <cfRule type="expression" dxfId="36" priority="7">
      <formula>ABS(M$7-M$10)&gt;=1000</formula>
    </cfRule>
  </conditionalFormatting>
  <conditionalFormatting sqref="N5">
    <cfRule type="expression" dxfId="35" priority="6">
      <formula>ABS(N$7-N$10)&gt;=1000</formula>
    </cfRule>
  </conditionalFormatting>
  <conditionalFormatting sqref="O5">
    <cfRule type="expression" dxfId="34" priority="5">
      <formula>ABS(O$7-O$10)&gt;=1000</formula>
    </cfRule>
  </conditionalFormatting>
  <conditionalFormatting sqref="P5">
    <cfRule type="expression" dxfId="33" priority="4">
      <formula>ABS(P$7-P$10)&gt;=1000</formula>
    </cfRule>
  </conditionalFormatting>
  <conditionalFormatting sqref="L23">
    <cfRule type="expression" dxfId="32" priority="3">
      <formula>ABS(L$25-L$28)&gt;=1000</formula>
    </cfRule>
  </conditionalFormatting>
  <conditionalFormatting sqref="F14">
    <cfRule type="expression" dxfId="31" priority="2">
      <formula>ABS(F$16-F$19)&gt;=1000</formula>
    </cfRule>
  </conditionalFormatting>
  <conditionalFormatting sqref="AE5">
    <cfRule type="expression" dxfId="30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275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24</vt:i4>
      </vt:variant>
      <vt:variant>
        <vt:lpstr>已命名的範圍</vt:lpstr>
      </vt:variant>
      <vt:variant>
        <vt:i4>24</vt:i4>
      </vt:variant>
    </vt:vector>
  </HeadingPairs>
  <TitlesOfParts>
    <vt:vector size="48" baseType="lpstr">
      <vt:lpstr>新增</vt:lpstr>
      <vt:lpstr>密度</vt:lpstr>
      <vt:lpstr>8.29</vt:lpstr>
      <vt:lpstr>9.1</vt:lpstr>
      <vt:lpstr>9.2</vt:lpstr>
      <vt:lpstr>9.3</vt:lpstr>
      <vt:lpstr>9.4</vt:lpstr>
      <vt:lpstr>9.5</vt:lpstr>
      <vt:lpstr>9.8</vt:lpstr>
      <vt:lpstr>9.9</vt:lpstr>
      <vt:lpstr>9.10</vt:lpstr>
      <vt:lpstr>9.11</vt:lpstr>
      <vt:lpstr>9.12</vt:lpstr>
      <vt:lpstr>9.15</vt:lpstr>
      <vt:lpstr>9.16</vt:lpstr>
      <vt:lpstr>9.17</vt:lpstr>
      <vt:lpstr>9.18</vt:lpstr>
      <vt:lpstr>9.19</vt:lpstr>
      <vt:lpstr>9.22</vt:lpstr>
      <vt:lpstr>9.23</vt:lpstr>
      <vt:lpstr>9.24</vt:lpstr>
      <vt:lpstr>9.25</vt:lpstr>
      <vt:lpstr>9.26</vt:lpstr>
      <vt:lpstr>9.30</vt:lpstr>
      <vt:lpstr>'8.29'!Print_Area</vt:lpstr>
      <vt:lpstr>'9.1'!Print_Area</vt:lpstr>
      <vt:lpstr>'9.10'!Print_Area</vt:lpstr>
      <vt:lpstr>'9.11'!Print_Area</vt:lpstr>
      <vt:lpstr>'9.12'!Print_Area</vt:lpstr>
      <vt:lpstr>'9.15'!Print_Area</vt:lpstr>
      <vt:lpstr>'9.16'!Print_Area</vt:lpstr>
      <vt:lpstr>'9.17'!Print_Area</vt:lpstr>
      <vt:lpstr>'9.18'!Print_Area</vt:lpstr>
      <vt:lpstr>'9.19'!Print_Area</vt:lpstr>
      <vt:lpstr>'9.2'!Print_Area</vt:lpstr>
      <vt:lpstr>'9.22'!Print_Area</vt:lpstr>
      <vt:lpstr>'9.23'!Print_Area</vt:lpstr>
      <vt:lpstr>'9.24'!Print_Area</vt:lpstr>
      <vt:lpstr>'9.25'!Print_Area</vt:lpstr>
      <vt:lpstr>'9.26'!Print_Area</vt:lpstr>
      <vt:lpstr>'9.3'!Print_Area</vt:lpstr>
      <vt:lpstr>'9.30'!Print_Area</vt:lpstr>
      <vt:lpstr>'9.4'!Print_Area</vt:lpstr>
      <vt:lpstr>'9.5'!Print_Area</vt:lpstr>
      <vt:lpstr>'9.8'!Print_Area</vt:lpstr>
      <vt:lpstr>'9.9'!Print_Area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C712-PC</cp:lastModifiedBy>
  <cp:lastPrinted>2025-09-30T07:31:37Z</cp:lastPrinted>
  <dcterms:created xsi:type="dcterms:W3CDTF">2006-09-16T00:00:00Z</dcterms:created>
  <dcterms:modified xsi:type="dcterms:W3CDTF">2025-09-30T07:39:18Z</dcterms:modified>
</cp:coreProperties>
</file>