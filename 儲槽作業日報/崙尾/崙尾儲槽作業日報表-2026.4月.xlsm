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各單位對外\資材部對外\!儲槽作業日報\儲槽作業日報\"/>
    </mc:Choice>
  </mc:AlternateContent>
  <bookViews>
    <workbookView xWindow="0" yWindow="0" windowWidth="21600" windowHeight="8256" activeTab="12"/>
  </bookViews>
  <sheets>
    <sheet name="新增" sheetId="1727" r:id="rId1"/>
    <sheet name="工作表1" sheetId="2098" r:id="rId2"/>
    <sheet name="密度" sheetId="13" r:id="rId3"/>
    <sheet name="3.3" sheetId="2097" r:id="rId4"/>
    <sheet name="1.30 %計算" sheetId="2080" r:id="rId5"/>
    <sheet name="4.21" sheetId="2099" r:id="rId6"/>
    <sheet name="4.22" sheetId="2100" r:id="rId7"/>
    <sheet name="4.23" sheetId="2101" r:id="rId8"/>
    <sheet name="4.24" sheetId="2102" r:id="rId9"/>
    <sheet name="4.27" sheetId="2103" r:id="rId10"/>
    <sheet name="4.28" sheetId="2105" r:id="rId11"/>
    <sheet name="4.29" sheetId="2106" r:id="rId12"/>
    <sheet name="4.30" sheetId="2107" r:id="rId13"/>
  </sheets>
  <definedNames>
    <definedName name="_xlnm.Print_Area" localSheetId="4">'1.30 %計算'!$B$1:$AE$36</definedName>
    <definedName name="_xlnm.Print_Area" localSheetId="3">'3.3'!$B$1:$AE$36</definedName>
    <definedName name="_xlnm.Print_Area" localSheetId="5">'4.21'!$B$1:$AE$36</definedName>
    <definedName name="_xlnm.Print_Area" localSheetId="6">'4.22'!$B$1:$AE$36</definedName>
    <definedName name="_xlnm.Print_Area" localSheetId="7">'4.23'!$B$1:$AE$36</definedName>
    <definedName name="_xlnm.Print_Area" localSheetId="8">'4.24'!$B$1:$AE$36</definedName>
    <definedName name="_xlnm.Print_Area" localSheetId="9">'4.27'!$B$1:$AE$36</definedName>
    <definedName name="_xlnm.Print_Area" localSheetId="10">'4.28'!$B$1:$AE$36</definedName>
    <definedName name="_xlnm.Print_Area" localSheetId="11">'4.29'!$B$1:$AE$36</definedName>
    <definedName name="_xlnm.Print_Area" localSheetId="12">'4.30'!$B$1:$AE$36</definedName>
    <definedName name="_xlnm.Print_Area" localSheetId="2">密度!$A$1:$W$61</definedName>
    <definedName name="_xlnm.Print_Area" localSheetId="0">新增!$A$1:$M$45</definedName>
    <definedName name="Z_512059F6_F0DC_4056_8FD0_37088AB81F9E_.wvu.PrintArea" localSheetId="4" hidden="1">'1.30 %計算'!$B$3:$AE$36</definedName>
    <definedName name="Z_512059F6_F0DC_4056_8FD0_37088AB81F9E_.wvu.PrintArea" localSheetId="3" hidden="1">'3.3'!$B$3:$AE$36</definedName>
    <definedName name="Z_512059F6_F0DC_4056_8FD0_37088AB81F9E_.wvu.PrintArea" localSheetId="5" hidden="1">'4.21'!$B$3:$AE$36</definedName>
    <definedName name="Z_512059F6_F0DC_4056_8FD0_37088AB81F9E_.wvu.PrintArea" localSheetId="6" hidden="1">'4.22'!$B$3:$AE$36</definedName>
    <definedName name="Z_512059F6_F0DC_4056_8FD0_37088AB81F9E_.wvu.PrintArea" localSheetId="7" hidden="1">'4.23'!$B$3:$AE$36</definedName>
    <definedName name="Z_512059F6_F0DC_4056_8FD0_37088AB81F9E_.wvu.PrintArea" localSheetId="8" hidden="1">'4.24'!$B$3:$AE$36</definedName>
    <definedName name="Z_512059F6_F0DC_4056_8FD0_37088AB81F9E_.wvu.PrintArea" localSheetId="9" hidden="1">'4.27'!$B$3:$AE$36</definedName>
    <definedName name="Z_512059F6_F0DC_4056_8FD0_37088AB81F9E_.wvu.PrintArea" localSheetId="10" hidden="1">'4.28'!$B$3:$AE$36</definedName>
    <definedName name="Z_512059F6_F0DC_4056_8FD0_37088AB81F9E_.wvu.PrintArea" localSheetId="11" hidden="1">'4.29'!$B$3:$AE$36</definedName>
    <definedName name="Z_512059F6_F0DC_4056_8FD0_37088AB81F9E_.wvu.PrintArea" localSheetId="12" hidden="1">'4.30'!$B$3:$AE$36</definedName>
    <definedName name="Z_68643476_8805_447E_8170_A582EA1D0343_.wvu.PrintArea" localSheetId="4" hidden="1">'1.30 %計算'!$B$3:$AE$36</definedName>
    <definedName name="Z_68643476_8805_447E_8170_A582EA1D0343_.wvu.PrintArea" localSheetId="3" hidden="1">'3.3'!$B$3:$AE$36</definedName>
    <definedName name="Z_68643476_8805_447E_8170_A582EA1D0343_.wvu.PrintArea" localSheetId="5" hidden="1">'4.21'!$B$3:$AE$36</definedName>
    <definedName name="Z_68643476_8805_447E_8170_A582EA1D0343_.wvu.PrintArea" localSheetId="6" hidden="1">'4.22'!$B$3:$AE$36</definedName>
    <definedName name="Z_68643476_8805_447E_8170_A582EA1D0343_.wvu.PrintArea" localSheetId="7" hidden="1">'4.23'!$B$3:$AE$36</definedName>
    <definedName name="Z_68643476_8805_447E_8170_A582EA1D0343_.wvu.PrintArea" localSheetId="8" hidden="1">'4.24'!$B$3:$AE$36</definedName>
    <definedName name="Z_68643476_8805_447E_8170_A582EA1D0343_.wvu.PrintArea" localSheetId="9" hidden="1">'4.27'!$B$3:$AE$36</definedName>
    <definedName name="Z_68643476_8805_447E_8170_A582EA1D0343_.wvu.PrintArea" localSheetId="10" hidden="1">'4.28'!$B$3:$AE$36</definedName>
    <definedName name="Z_68643476_8805_447E_8170_A582EA1D0343_.wvu.PrintArea" localSheetId="11" hidden="1">'4.29'!$B$3:$AE$36</definedName>
    <definedName name="Z_68643476_8805_447E_8170_A582EA1D0343_.wvu.PrintArea" localSheetId="12" hidden="1">'4.30'!$B$3:$AE$36</definedName>
    <definedName name="Z_8E5926ED_4EBD_4129_B8FF_799CC47580D7_.wvu.PrintArea" localSheetId="4" hidden="1">'1.30 %計算'!$B$3:$AE$36</definedName>
    <definedName name="Z_8E5926ED_4EBD_4129_B8FF_799CC47580D7_.wvu.PrintArea" localSheetId="3" hidden="1">'3.3'!$B$3:$AE$36</definedName>
    <definedName name="Z_8E5926ED_4EBD_4129_B8FF_799CC47580D7_.wvu.PrintArea" localSheetId="5" hidden="1">'4.21'!$B$3:$AE$36</definedName>
    <definedName name="Z_8E5926ED_4EBD_4129_B8FF_799CC47580D7_.wvu.PrintArea" localSheetId="6" hidden="1">'4.22'!$B$3:$AE$36</definedName>
    <definedName name="Z_8E5926ED_4EBD_4129_B8FF_799CC47580D7_.wvu.PrintArea" localSheetId="7" hidden="1">'4.23'!$B$3:$AE$36</definedName>
    <definedName name="Z_8E5926ED_4EBD_4129_B8FF_799CC47580D7_.wvu.PrintArea" localSheetId="8" hidden="1">'4.24'!$B$3:$AE$36</definedName>
    <definedName name="Z_8E5926ED_4EBD_4129_B8FF_799CC47580D7_.wvu.PrintArea" localSheetId="9" hidden="1">'4.27'!$B$3:$AE$36</definedName>
    <definedName name="Z_8E5926ED_4EBD_4129_B8FF_799CC47580D7_.wvu.PrintArea" localSheetId="10" hidden="1">'4.28'!$B$3:$AE$36</definedName>
    <definedName name="Z_8E5926ED_4EBD_4129_B8FF_799CC47580D7_.wvu.PrintArea" localSheetId="11" hidden="1">'4.29'!$B$3:$AE$36</definedName>
    <definedName name="Z_8E5926ED_4EBD_4129_B8FF_799CC47580D7_.wvu.PrintArea" localSheetId="12" hidden="1">'4.30'!$B$3:$AE$36</definedName>
    <definedName name="Z_8FA8B620_C56C_11DB_A857_00055D5FD5FF_.wvu.PrintArea" localSheetId="4" hidden="1">'1.30 %計算'!$B$3:$AE$36</definedName>
    <definedName name="Z_8FA8B620_C56C_11DB_A857_00055D5FD5FF_.wvu.PrintArea" localSheetId="3" hidden="1">'3.3'!$B$3:$AE$36</definedName>
    <definedName name="Z_8FA8B620_C56C_11DB_A857_00055D5FD5FF_.wvu.PrintArea" localSheetId="5" hidden="1">'4.21'!$B$3:$AE$36</definedName>
    <definedName name="Z_8FA8B620_C56C_11DB_A857_00055D5FD5FF_.wvu.PrintArea" localSheetId="6" hidden="1">'4.22'!$B$3:$AE$36</definedName>
    <definedName name="Z_8FA8B620_C56C_11DB_A857_00055D5FD5FF_.wvu.PrintArea" localSheetId="7" hidden="1">'4.23'!$B$3:$AE$36</definedName>
    <definedName name="Z_8FA8B620_C56C_11DB_A857_00055D5FD5FF_.wvu.PrintArea" localSheetId="8" hidden="1">'4.24'!$B$3:$AE$36</definedName>
    <definedName name="Z_8FA8B620_C56C_11DB_A857_00055D5FD5FF_.wvu.PrintArea" localSheetId="9" hidden="1">'4.27'!$B$3:$AE$36</definedName>
    <definedName name="Z_8FA8B620_C56C_11DB_A857_00055D5FD5FF_.wvu.PrintArea" localSheetId="10" hidden="1">'4.28'!$B$3:$AE$36</definedName>
    <definedName name="Z_8FA8B620_C56C_11DB_A857_00055D5FD5FF_.wvu.PrintArea" localSheetId="11" hidden="1">'4.29'!$B$3:$AE$36</definedName>
    <definedName name="Z_8FA8B620_C56C_11DB_A857_00055D5FD5FF_.wvu.PrintArea" localSheetId="12" hidden="1">'4.30'!$B$3:$AE$36</definedName>
    <definedName name="Z_A3DB5619_047E_4CE2_8C39_700CFD25F2CB_.wvu.PrintArea" localSheetId="4" hidden="1">'1.30 %計算'!$B$3:$AE$36</definedName>
    <definedName name="Z_A3DB5619_047E_4CE2_8C39_700CFD25F2CB_.wvu.PrintArea" localSheetId="3" hidden="1">'3.3'!$B$3:$AE$36</definedName>
    <definedName name="Z_A3DB5619_047E_4CE2_8C39_700CFD25F2CB_.wvu.PrintArea" localSheetId="5" hidden="1">'4.21'!$B$3:$AE$36</definedName>
    <definedName name="Z_A3DB5619_047E_4CE2_8C39_700CFD25F2CB_.wvu.PrintArea" localSheetId="6" hidden="1">'4.22'!$B$3:$AE$36</definedName>
    <definedName name="Z_A3DB5619_047E_4CE2_8C39_700CFD25F2CB_.wvu.PrintArea" localSheetId="7" hidden="1">'4.23'!$B$3:$AE$36</definedName>
    <definedName name="Z_A3DB5619_047E_4CE2_8C39_700CFD25F2CB_.wvu.PrintArea" localSheetId="8" hidden="1">'4.24'!$B$3:$AE$36</definedName>
    <definedName name="Z_A3DB5619_047E_4CE2_8C39_700CFD25F2CB_.wvu.PrintArea" localSheetId="9" hidden="1">'4.27'!$B$3:$AE$36</definedName>
    <definedName name="Z_A3DB5619_047E_4CE2_8C39_700CFD25F2CB_.wvu.PrintArea" localSheetId="10" hidden="1">'4.28'!$B$3:$AE$36</definedName>
    <definedName name="Z_A3DB5619_047E_4CE2_8C39_700CFD25F2CB_.wvu.PrintArea" localSheetId="11" hidden="1">'4.29'!$B$3:$AE$36</definedName>
    <definedName name="Z_A3DB5619_047E_4CE2_8C39_700CFD25F2CB_.wvu.PrintArea" localSheetId="12" hidden="1">'4.30'!$B$3:$AE$36</definedName>
    <definedName name="Z_D903F940_B812_11DB_B168_0010B575B8B2_.wvu.PrintArea" localSheetId="4" hidden="1">'1.30 %計算'!$B$3:$AE$36</definedName>
    <definedName name="Z_D903F940_B812_11DB_B168_0010B575B8B2_.wvu.PrintArea" localSheetId="3" hidden="1">'3.3'!$B$3:$AE$36</definedName>
    <definedName name="Z_D903F940_B812_11DB_B168_0010B575B8B2_.wvu.PrintArea" localSheetId="5" hidden="1">'4.21'!$B$3:$AE$36</definedName>
    <definedName name="Z_D903F940_B812_11DB_B168_0010B575B8B2_.wvu.PrintArea" localSheetId="6" hidden="1">'4.22'!$B$3:$AE$36</definedName>
    <definedName name="Z_D903F940_B812_11DB_B168_0010B575B8B2_.wvu.PrintArea" localSheetId="7" hidden="1">'4.23'!$B$3:$AE$36</definedName>
    <definedName name="Z_D903F940_B812_11DB_B168_0010B575B8B2_.wvu.PrintArea" localSheetId="8" hidden="1">'4.24'!$B$3:$AE$36</definedName>
    <definedName name="Z_D903F940_B812_11DB_B168_0010B575B8B2_.wvu.PrintArea" localSheetId="9" hidden="1">'4.27'!$B$3:$AE$36</definedName>
    <definedName name="Z_D903F940_B812_11DB_B168_0010B575B8B2_.wvu.PrintArea" localSheetId="10" hidden="1">'4.28'!$B$3:$AE$36</definedName>
    <definedName name="Z_D903F940_B812_11DB_B168_0010B575B8B2_.wvu.PrintArea" localSheetId="11" hidden="1">'4.29'!$B$3:$AE$36</definedName>
    <definedName name="Z_D903F940_B812_11DB_B168_0010B575B8B2_.wvu.PrintArea" localSheetId="12" hidden="1">'4.30'!$B$3:$AE$36</definedName>
    <definedName name="取樣回收每月庫存表" localSheetId="4" hidden="1">'1.30 %計算'!#REF!</definedName>
    <definedName name="取樣回收每月庫存表" localSheetId="3" hidden="1">'3.3'!#REF!</definedName>
    <definedName name="取樣回收每月庫存表" localSheetId="5" hidden="1">'4.21'!#REF!</definedName>
    <definedName name="取樣回收每月庫存表" localSheetId="6" hidden="1">'4.22'!#REF!</definedName>
    <definedName name="取樣回收每月庫存表" localSheetId="7" hidden="1">'4.23'!#REF!</definedName>
    <definedName name="取樣回收每月庫存表" localSheetId="8" hidden="1">'4.24'!#REF!</definedName>
    <definedName name="取樣回收每月庫存表" localSheetId="9" hidden="1">'4.27'!#REF!</definedName>
    <definedName name="取樣回收每月庫存表" localSheetId="10" hidden="1">'4.28'!#REF!</definedName>
    <definedName name="取樣回收每月庫存表" localSheetId="11" hidden="1">'4.29'!#REF!</definedName>
    <definedName name="取樣回收每月庫存表" localSheetId="12" hidden="1">'4.30'!#REF!</definedName>
    <definedName name="取樣回收每月庫存表_0620更新" localSheetId="4" hidden="1">'1.30 %計算'!#REF!</definedName>
    <definedName name="取樣回收每月庫存表_0620更新" localSheetId="3" hidden="1">'3.3'!#REF!</definedName>
    <definedName name="取樣回收每月庫存表_0620更新" localSheetId="5" hidden="1">'4.21'!#REF!</definedName>
    <definedName name="取樣回收每月庫存表_0620更新" localSheetId="6" hidden="1">'4.22'!#REF!</definedName>
    <definedName name="取樣回收每月庫存表_0620更新" localSheetId="7" hidden="1">'4.23'!#REF!</definedName>
    <definedName name="取樣回收每月庫存表_0620更新" localSheetId="8" hidden="1">'4.24'!#REF!</definedName>
    <definedName name="取樣回收每月庫存表_0620更新" localSheetId="9" hidden="1">'4.27'!#REF!</definedName>
    <definedName name="取樣回收每月庫存表_0620更新" localSheetId="10" hidden="1">'4.28'!#REF!</definedName>
    <definedName name="取樣回收每月庫存表_0620更新" localSheetId="11" hidden="1">'4.29'!#REF!</definedName>
    <definedName name="取樣回收每月庫存表_0620更新" localSheetId="12" hidden="1">'4.30'!#REF!</definedName>
    <definedName name="複本_14_取樣回收每月庫存表" localSheetId="4" hidden="1">'1.30 %計算'!#REF!</definedName>
    <definedName name="複本_14_取樣回收每月庫存表" localSheetId="3" hidden="1">'3.3'!#REF!</definedName>
    <definedName name="複本_14_取樣回收每月庫存表" localSheetId="5" hidden="1">'4.21'!#REF!</definedName>
    <definedName name="複本_14_取樣回收每月庫存表" localSheetId="6" hidden="1">'4.22'!#REF!</definedName>
    <definedName name="複本_14_取樣回收每月庫存表" localSheetId="7" hidden="1">'4.23'!#REF!</definedName>
    <definedName name="複本_14_取樣回收每月庫存表" localSheetId="8" hidden="1">'4.24'!#REF!</definedName>
    <definedName name="複本_14_取樣回收每月庫存表" localSheetId="9" hidden="1">'4.27'!#REF!</definedName>
    <definedName name="複本_14_取樣回收每月庫存表" localSheetId="10" hidden="1">'4.28'!#REF!</definedName>
    <definedName name="複本_14_取樣回收每月庫存表" localSheetId="11" hidden="1">'4.29'!#REF!</definedName>
    <definedName name="複本_14_取樣回收每月庫存表" localSheetId="12" hidden="1">'4.30'!#REF!</definedName>
  </definedNames>
  <calcPr calcId="162913"/>
</workbook>
</file>

<file path=xl/calcChain.xml><?xml version="1.0" encoding="utf-8"?>
<calcChain xmlns="http://schemas.openxmlformats.org/spreadsheetml/2006/main">
  <c r="P10" i="2099" l="1"/>
  <c r="O10" i="2099"/>
  <c r="N10" i="2099"/>
  <c r="M10" i="2099"/>
  <c r="L10" i="2099"/>
  <c r="K10" i="2099"/>
  <c r="J10" i="2099"/>
  <c r="I10" i="2099"/>
  <c r="H10" i="2099"/>
  <c r="G10" i="2099"/>
  <c r="F10" i="2099"/>
  <c r="E10" i="2099"/>
  <c r="D10" i="2099"/>
  <c r="P7" i="2099"/>
  <c r="O7" i="2099"/>
  <c r="N7" i="2099"/>
  <c r="M7" i="2099"/>
  <c r="L7" i="2099"/>
  <c r="K7" i="2099"/>
  <c r="J7" i="2099"/>
  <c r="I7" i="2099"/>
  <c r="H7" i="2099"/>
  <c r="G7" i="2099"/>
  <c r="F7" i="2099"/>
  <c r="E7" i="2099"/>
  <c r="D7" i="2099"/>
  <c r="P10" i="2100"/>
  <c r="O10" i="2100"/>
  <c r="N10" i="2100"/>
  <c r="M10" i="2100"/>
  <c r="L10" i="2100"/>
  <c r="K10" i="2100"/>
  <c r="J10" i="2100"/>
  <c r="I10" i="2100"/>
  <c r="H10" i="2100"/>
  <c r="G10" i="2100"/>
  <c r="F10" i="2100"/>
  <c r="E10" i="2100"/>
  <c r="D10" i="2100"/>
  <c r="P7" i="2100"/>
  <c r="O7" i="2100"/>
  <c r="N7" i="2100"/>
  <c r="M7" i="2100"/>
  <c r="L7" i="2100"/>
  <c r="K7" i="2100"/>
  <c r="J7" i="2100"/>
  <c r="I7" i="2100"/>
  <c r="H7" i="2100"/>
  <c r="G7" i="2100"/>
  <c r="F7" i="2100"/>
  <c r="E7" i="2100"/>
  <c r="D7" i="2100"/>
  <c r="P10" i="2101"/>
  <c r="O10" i="2101"/>
  <c r="N10" i="2101"/>
  <c r="M10" i="2101"/>
  <c r="L10" i="2101"/>
  <c r="K10" i="2101"/>
  <c r="J10" i="2101"/>
  <c r="I10" i="2101"/>
  <c r="H10" i="2101"/>
  <c r="G10" i="2101"/>
  <c r="F10" i="2101"/>
  <c r="E10" i="2101"/>
  <c r="D10" i="2101"/>
  <c r="P7" i="2101"/>
  <c r="O7" i="2101"/>
  <c r="N7" i="2101"/>
  <c r="M7" i="2101"/>
  <c r="L7" i="2101"/>
  <c r="K7" i="2101"/>
  <c r="J7" i="2101"/>
  <c r="I7" i="2101"/>
  <c r="H7" i="2101"/>
  <c r="G7" i="2101"/>
  <c r="F7" i="2101"/>
  <c r="E7" i="2101"/>
  <c r="D7" i="2101"/>
  <c r="P10" i="2102"/>
  <c r="O10" i="2102"/>
  <c r="N10" i="2102"/>
  <c r="M10" i="2102"/>
  <c r="L10" i="2102"/>
  <c r="K10" i="2102"/>
  <c r="J10" i="2102"/>
  <c r="I10" i="2102"/>
  <c r="H10" i="2102"/>
  <c r="G10" i="2102"/>
  <c r="F10" i="2102"/>
  <c r="E10" i="2102"/>
  <c r="D10" i="2102"/>
  <c r="P7" i="2102"/>
  <c r="O7" i="2102"/>
  <c r="N7" i="2102"/>
  <c r="M7" i="2102"/>
  <c r="L7" i="2102"/>
  <c r="K7" i="2102"/>
  <c r="J7" i="2102"/>
  <c r="I7" i="2102"/>
  <c r="H7" i="2102"/>
  <c r="G7" i="2102"/>
  <c r="F7" i="2102"/>
  <c r="E7" i="2102"/>
  <c r="D7" i="2102"/>
  <c r="P10" i="2103"/>
  <c r="O10" i="2103"/>
  <c r="N10" i="2103"/>
  <c r="M10" i="2103"/>
  <c r="L10" i="2103"/>
  <c r="K10" i="2103"/>
  <c r="J10" i="2103"/>
  <c r="I10" i="2103"/>
  <c r="H10" i="2103"/>
  <c r="G10" i="2103"/>
  <c r="F10" i="2103"/>
  <c r="E10" i="2103"/>
  <c r="D10" i="2103"/>
  <c r="P7" i="2103"/>
  <c r="O7" i="2103"/>
  <c r="N7" i="2103"/>
  <c r="M7" i="2103"/>
  <c r="L7" i="2103"/>
  <c r="K7" i="2103"/>
  <c r="J7" i="2103"/>
  <c r="I7" i="2103"/>
  <c r="H7" i="2103"/>
  <c r="G7" i="2103"/>
  <c r="F7" i="2103"/>
  <c r="E7" i="2103"/>
  <c r="D7" i="2103"/>
  <c r="O33" i="2107" l="1"/>
  <c r="P10" i="2107"/>
  <c r="O10" i="2107"/>
  <c r="D33" i="2107" s="1"/>
  <c r="N10" i="2107"/>
  <c r="M10" i="2107"/>
  <c r="L10" i="2107"/>
  <c r="F33" i="2107" s="1"/>
  <c r="K10" i="2107"/>
  <c r="J10" i="2107"/>
  <c r="I10" i="2107"/>
  <c r="H10" i="2107"/>
  <c r="G10" i="2107"/>
  <c r="F10" i="2107"/>
  <c r="E10" i="2107"/>
  <c r="D10" i="2107"/>
  <c r="P7" i="2107"/>
  <c r="O7" i="2107"/>
  <c r="N7" i="2107"/>
  <c r="M7" i="2107"/>
  <c r="L7" i="2107"/>
  <c r="K7" i="2107"/>
  <c r="J7" i="2107"/>
  <c r="I7" i="2107"/>
  <c r="H7" i="2107"/>
  <c r="G7" i="2107"/>
  <c r="F7" i="2107"/>
  <c r="E7" i="2107"/>
  <c r="D7" i="2107"/>
  <c r="E33" i="2107" l="1"/>
  <c r="P10" i="2106"/>
  <c r="P7" i="2106"/>
  <c r="O10" i="2106"/>
  <c r="O7" i="2106"/>
  <c r="N10" i="2106"/>
  <c r="N7" i="2106"/>
  <c r="M10" i="2106"/>
  <c r="L10" i="2106"/>
  <c r="M7" i="2106"/>
  <c r="L7" i="2106"/>
  <c r="K10" i="2106"/>
  <c r="J10" i="2106"/>
  <c r="I10" i="2106"/>
  <c r="H10" i="2106"/>
  <c r="K7" i="2106"/>
  <c r="J7" i="2106"/>
  <c r="I7" i="2106"/>
  <c r="H7" i="2106"/>
  <c r="E10" i="2106"/>
  <c r="F10" i="2106"/>
  <c r="G10" i="2106"/>
  <c r="D10" i="2106"/>
  <c r="E7" i="2106"/>
  <c r="F7" i="2106"/>
  <c r="G7" i="2106"/>
  <c r="D7" i="2106"/>
  <c r="D10" i="2105"/>
  <c r="D7" i="2105"/>
  <c r="E10" i="2105"/>
  <c r="E7" i="2105"/>
  <c r="F7" i="2105"/>
  <c r="F10" i="2105"/>
  <c r="G10" i="2105"/>
  <c r="G7" i="2105"/>
  <c r="H10" i="2105"/>
  <c r="I10" i="2105"/>
  <c r="J10" i="2105"/>
  <c r="K10" i="2105"/>
  <c r="L10" i="2105"/>
  <c r="M10" i="2105"/>
  <c r="N10" i="2105"/>
  <c r="O10" i="2105"/>
  <c r="P10" i="2105"/>
  <c r="P7" i="2105"/>
  <c r="O7" i="2105"/>
  <c r="N7" i="2105"/>
  <c r="K7" i="2105"/>
  <c r="J7" i="2105"/>
  <c r="I7" i="2105"/>
  <c r="H7" i="2105"/>
  <c r="L7" i="2105"/>
  <c r="O33" i="2106" l="1"/>
  <c r="D33" i="2106"/>
  <c r="E33" i="2106"/>
  <c r="O33" i="2105"/>
  <c r="D33" i="2105"/>
  <c r="F33" i="2105"/>
  <c r="E33" i="2105"/>
  <c r="M7" i="2105"/>
  <c r="F33" i="2106" l="1"/>
  <c r="O33" i="2103"/>
  <c r="D33" i="2103"/>
  <c r="E33" i="2103" l="1"/>
  <c r="F33" i="2103"/>
  <c r="O33" i="2102"/>
  <c r="E33" i="2102"/>
  <c r="D33" i="2102" l="1"/>
  <c r="F33" i="2102"/>
  <c r="O33" i="2101"/>
  <c r="D33" i="2101"/>
  <c r="O33" i="2100"/>
  <c r="D33" i="2100"/>
  <c r="F33" i="2101" l="1"/>
  <c r="E33" i="2101"/>
  <c r="F33" i="2100"/>
  <c r="E33" i="2100"/>
  <c r="O33" i="2099"/>
  <c r="D33" i="2099"/>
  <c r="F33" i="2099"/>
  <c r="E33" i="2099"/>
  <c r="P7" i="2080"/>
  <c r="P10" i="2080"/>
  <c r="O10" i="2080"/>
  <c r="O7" i="2080"/>
  <c r="M10" i="2080" l="1"/>
  <c r="M7" i="2080"/>
  <c r="N7" i="2080"/>
  <c r="L10" i="2080"/>
  <c r="L7" i="2080"/>
  <c r="K10" i="2080"/>
  <c r="J10" i="2080"/>
  <c r="I10" i="2080"/>
  <c r="H10" i="2080"/>
  <c r="K7" i="2080"/>
  <c r="J7" i="2080"/>
  <c r="I7" i="2080"/>
  <c r="H7" i="2080"/>
  <c r="K10" i="2097"/>
  <c r="J10" i="2097"/>
  <c r="I10" i="2097"/>
  <c r="H10" i="2097"/>
  <c r="H7" i="2097"/>
  <c r="K7" i="2097"/>
  <c r="J7" i="2097"/>
  <c r="I7" i="2097"/>
  <c r="G10" i="2080" l="1"/>
  <c r="F10" i="2080"/>
  <c r="E10" i="2080"/>
  <c r="D10" i="2080"/>
  <c r="G7" i="2080"/>
  <c r="F7" i="2080"/>
  <c r="E7" i="2080"/>
  <c r="D7" i="2080"/>
  <c r="G10" i="2097"/>
  <c r="F10" i="2097"/>
  <c r="E10" i="2097"/>
  <c r="D10" i="2097"/>
  <c r="G7" i="2097"/>
  <c r="F7" i="2097"/>
  <c r="E7" i="2097"/>
  <c r="D7" i="2097"/>
  <c r="O33" i="2097" l="1"/>
  <c r="P10" i="2097"/>
  <c r="O10" i="2097"/>
  <c r="N10" i="2097"/>
  <c r="M10" i="2097"/>
  <c r="L10" i="2097"/>
  <c r="E33" i="2097"/>
  <c r="P7" i="2097"/>
  <c r="O7" i="2097"/>
  <c r="N7" i="2097"/>
  <c r="M7" i="2097"/>
  <c r="L7" i="2097"/>
  <c r="N10" i="2080"/>
  <c r="F33" i="2097" l="1"/>
  <c r="D33" i="2097"/>
  <c r="F33" i="2080"/>
  <c r="D33" i="2080"/>
  <c r="E33" i="2080"/>
  <c r="O33" i="2080" l="1"/>
  <c r="S35" i="13" l="1"/>
  <c r="S36" i="13" s="1"/>
  <c r="S37" i="13" s="1"/>
  <c r="S38" i="13" s="1"/>
  <c r="S39" i="13" s="1"/>
  <c r="S40" i="13" s="1"/>
  <c r="S41" i="13" s="1"/>
  <c r="S42" i="13" s="1"/>
  <c r="S43" i="13" s="1"/>
  <c r="S44" i="13" s="1"/>
  <c r="S45" i="13" s="1"/>
  <c r="S46" i="13" s="1"/>
  <c r="S47" i="13" s="1"/>
  <c r="S48" i="13" s="1"/>
  <c r="S49" i="13" s="1"/>
  <c r="S50" i="13" s="1"/>
  <c r="S51" i="13" s="1"/>
</calcChain>
</file>

<file path=xl/sharedStrings.xml><?xml version="1.0" encoding="utf-8"?>
<sst xmlns="http://schemas.openxmlformats.org/spreadsheetml/2006/main" count="1070" uniqueCount="208">
  <si>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</si>
  <si>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</si>
  <si>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</si>
  <si>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</si>
  <si>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</si>
  <si>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</si>
  <si>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</si>
  <si>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</si>
  <si>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</si>
  <si>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</si>
  <si>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</si>
  <si>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</si>
  <si>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</si>
  <si>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</si>
  <si>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</si>
  <si>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</si>
  <si>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</si>
  <si>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</si>
  <si>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</si>
  <si>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</si>
  <si>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</si>
  <si>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</si>
  <si>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</si>
  <si>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</si>
  <si>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</si>
  <si>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</si>
  <si>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</si>
  <si>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</si>
  <si>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</si>
  <si>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</si>
  <si>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</si>
  <si>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</si>
  <si>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</si>
  <si>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</si>
  <si>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</si>
  <si>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</si>
  <si>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</si>
  <si>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MIBC</t>
    <phoneticPr fontId="3" type="noConversion"/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</si>
  <si>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</si>
  <si>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</si>
  <si>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</si>
  <si>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</si>
  <si>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底面積</t>
    <phoneticPr fontId="2" type="noConversion"/>
  </si>
  <si>
    <t>最高液位</t>
    <phoneticPr fontId="2" type="noConversion"/>
  </si>
  <si>
    <t>1mm</t>
    <phoneticPr fontId="2" type="noConversion"/>
  </si>
  <si>
    <t>18.322L</t>
    <phoneticPr fontId="2" type="noConversion"/>
  </si>
  <si>
    <t>液位</t>
    <phoneticPr fontId="2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</si>
  <si>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</si>
  <si>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</si>
  <si>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</si>
  <si>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</si>
  <si>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</si>
  <si>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</si>
  <si>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</si>
  <si>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</si>
  <si>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</si>
  <si>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</si>
  <si>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</si>
  <si>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</si>
  <si>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</si>
  <si>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</si>
  <si>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</si>
  <si>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</si>
  <si>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 xml:space="preserve"> </t>
    <phoneticPr fontId="3" type="noConversion"/>
  </si>
  <si>
    <t>IPAHW</t>
    <phoneticPr fontId="3" type="noConversion"/>
  </si>
  <si>
    <t>C50110-INV-01(01)</t>
    <phoneticPr fontId="3" type="noConversion"/>
  </si>
  <si>
    <t xml:space="preserve"> 液位</t>
  </si>
  <si>
    <t>陳志修</t>
    <phoneticPr fontId="2" type="noConversion"/>
  </si>
  <si>
    <t>TK-604</t>
    <phoneticPr fontId="4" type="noConversion"/>
  </si>
  <si>
    <t>TK-605</t>
    <phoneticPr fontId="4" type="noConversion"/>
  </si>
  <si>
    <t>TK-606</t>
  </si>
  <si>
    <t>TK-607</t>
  </si>
  <si>
    <t>TK-608</t>
  </si>
  <si>
    <t>TK611</t>
    <phoneticPr fontId="4" type="noConversion"/>
  </si>
  <si>
    <t>TK612</t>
  </si>
  <si>
    <t>TK613</t>
  </si>
  <si>
    <t>TK617</t>
  </si>
  <si>
    <t>TK618</t>
  </si>
  <si>
    <t>601-604</t>
    <phoneticPr fontId="2" type="noConversion"/>
  </si>
  <si>
    <t>4.48L</t>
    <phoneticPr fontId="2" type="noConversion"/>
  </si>
  <si>
    <t>605-608</t>
    <phoneticPr fontId="2" type="noConversion"/>
  </si>
  <si>
    <t>611-612</t>
    <phoneticPr fontId="2" type="noConversion"/>
  </si>
  <si>
    <t>613-616</t>
    <phoneticPr fontId="2" type="noConversion"/>
  </si>
  <si>
    <t>617-618</t>
    <phoneticPr fontId="2" type="noConversion"/>
  </si>
  <si>
    <t>81.71L</t>
    <phoneticPr fontId="2" type="noConversion"/>
  </si>
  <si>
    <t>18.32L</t>
    <phoneticPr fontId="2" type="noConversion"/>
  </si>
  <si>
    <t>26.42L</t>
    <phoneticPr fontId="2" type="noConversion"/>
  </si>
  <si>
    <t>IPA-HQ</t>
    <phoneticPr fontId="3" type="noConversion"/>
  </si>
  <si>
    <t>廢水</t>
    <phoneticPr fontId="3" type="noConversion"/>
  </si>
  <si>
    <t>IPA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</si>
  <si>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</t>
    <phoneticPr fontId="3" type="noConversion"/>
  </si>
  <si>
    <t>9.97KL</t>
    <phoneticPr fontId="2" type="noConversion"/>
  </si>
  <si>
    <t>87L</t>
    <phoneticPr fontId="2" type="noConversion"/>
  </si>
  <si>
    <t>桶底</t>
    <phoneticPr fontId="2" type="noConversion"/>
  </si>
  <si>
    <t>1.79KL</t>
    <phoneticPr fontId="2" type="noConversion"/>
  </si>
  <si>
    <t>8.64KL</t>
    <phoneticPr fontId="2" type="noConversion"/>
  </si>
  <si>
    <t>1,756.93L</t>
    <phoneticPr fontId="2" type="noConversion"/>
  </si>
  <si>
    <t>943.48L</t>
    <phoneticPr fontId="2" type="noConversion"/>
  </si>
  <si>
    <t>952.744L</t>
    <phoneticPr fontId="2" type="noConversion"/>
  </si>
  <si>
    <t>232.96 L</t>
    <phoneticPr fontId="2" type="noConversion"/>
  </si>
  <si>
    <t>儲槽編號</t>
  </si>
  <si>
    <t>最高液位 (mm)</t>
  </si>
  <si>
    <t>1mm 容積 (L/mm)</t>
  </si>
  <si>
    <t>桶底容量 (L)</t>
  </si>
  <si>
    <t>1% 高度 (mm)</t>
  </si>
  <si>
    <t>1% 容積 (L)</t>
  </si>
  <si>
    <t>百分比 (%) 計算公式 (公斤 KG)</t>
  </si>
  <si>
    <t>TK-601 ~ 604</t>
  </si>
  <si>
    <t>TK-605 ~ 608</t>
  </si>
  <si>
    <t>TK-611 ~ 612</t>
  </si>
  <si>
    <t>TK-613 ~ 616</t>
  </si>
  <si>
    <t>TK-617 ~ 618</t>
  </si>
  <si>
    <t>=((D6*5200)*4.48+1790)*LOOKUP(D8,密度!A:A,密度!B:B)</t>
    <phoneticPr fontId="2" type="noConversion"/>
  </si>
  <si>
    <t>=((D6*5200)*18.322+8640)*LOOKUP(D8,密度!A:A,密度!B:B)</t>
    <phoneticPr fontId="2" type="noConversion"/>
  </si>
  <si>
    <t>=(D6*6650)*26.42*LOOKUP(D8,密度!A:A,密度!B:B)</t>
    <phoneticPr fontId="2" type="noConversion"/>
  </si>
  <si>
    <t>=(D6*5150)*18.32*LOOKUP(D8,密度!A:A,密度!B:B)</t>
    <phoneticPr fontId="2" type="noConversion"/>
  </si>
  <si>
    <t>=(D6*12200)*81.71*LOOKUP(D8,密度!A:A,密度!B:B)</t>
    <phoneticPr fontId="2" type="noConversion"/>
  </si>
  <si>
    <t xml:space="preserve">鴻勝化學科技股份有限公司                                    </t>
    <phoneticPr fontId="3" type="noConversion"/>
  </si>
  <si>
    <t>儲槽作業日報表</t>
    <phoneticPr fontId="3" type="noConversion"/>
  </si>
  <si>
    <t>時間</t>
    <phoneticPr fontId="3" type="noConversion"/>
  </si>
  <si>
    <t>槽　別</t>
    <phoneticPr fontId="3" type="noConversion"/>
  </si>
  <si>
    <t>TK-601</t>
    <phoneticPr fontId="4" type="noConversion"/>
  </si>
  <si>
    <t>TK-602</t>
    <phoneticPr fontId="4" type="noConversion"/>
  </si>
  <si>
    <t>TK-603</t>
    <phoneticPr fontId="4" type="noConversion"/>
  </si>
  <si>
    <t>TK-604</t>
    <phoneticPr fontId="4" type="noConversion"/>
  </si>
  <si>
    <t>TK-605</t>
    <phoneticPr fontId="4" type="noConversion"/>
  </si>
  <si>
    <t>TK611</t>
    <phoneticPr fontId="4" type="noConversion"/>
  </si>
  <si>
    <t>品名</t>
    <phoneticPr fontId="3" type="noConversion"/>
  </si>
  <si>
    <t>IPA-HQ</t>
    <phoneticPr fontId="3" type="noConversion"/>
  </si>
  <si>
    <t>IPAHW</t>
    <phoneticPr fontId="3" type="noConversion"/>
  </si>
  <si>
    <t>廢水</t>
    <phoneticPr fontId="3" type="noConversion"/>
  </si>
  <si>
    <t>IPA</t>
    <phoneticPr fontId="2" type="noConversion"/>
  </si>
  <si>
    <t>液位(mm/%)</t>
    <phoneticPr fontId="3" type="noConversion"/>
  </si>
  <si>
    <t>溫度( ℃)</t>
    <phoneticPr fontId="3" type="noConversion"/>
  </si>
  <si>
    <t>數量(kg)</t>
    <phoneticPr fontId="4" type="noConversion"/>
  </si>
  <si>
    <t>記事欄</t>
    <phoneticPr fontId="3" type="noConversion"/>
  </si>
  <si>
    <t>品名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</si>
  <si>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</t>
    <phoneticPr fontId="3" type="noConversion"/>
  </si>
  <si>
    <t>液位(mm/%)</t>
    <phoneticPr fontId="3" type="noConversion"/>
  </si>
  <si>
    <t>溫度( ℃)</t>
    <phoneticPr fontId="3" type="noConversion"/>
  </si>
  <si>
    <t>數量(kg)</t>
    <phoneticPr fontId="4" type="noConversion"/>
  </si>
  <si>
    <t xml:space="preserve"> </t>
    <phoneticPr fontId="2" type="noConversion"/>
  </si>
  <si>
    <t>IPA</t>
    <phoneticPr fontId="3" type="noConversion"/>
  </si>
  <si>
    <t>成品</t>
    <phoneticPr fontId="3" type="noConversion"/>
  </si>
  <si>
    <t>原料</t>
    <phoneticPr fontId="3" type="noConversion"/>
  </si>
  <si>
    <t>待處理品</t>
    <phoneticPr fontId="3" type="noConversion"/>
  </si>
  <si>
    <t>待處理品</t>
    <phoneticPr fontId="3" type="noConversion"/>
  </si>
  <si>
    <t>原料</t>
    <phoneticPr fontId="3" type="noConversion"/>
  </si>
  <si>
    <t>待處理品</t>
    <phoneticPr fontId="2" type="noConversion"/>
  </si>
  <si>
    <t>總數量
(kg)</t>
    <phoneticPr fontId="3" type="noConversion"/>
  </si>
  <si>
    <t>C50110-INV-01(01)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</si>
  <si>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</si>
  <si>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</si>
  <si>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</si>
  <si>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</si>
  <si>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陳志修</t>
    <phoneticPr fontId="2" type="noConversion"/>
  </si>
  <si>
    <t>空</t>
    <phoneticPr fontId="3" type="noConversion"/>
  </si>
  <si>
    <t xml:space="preserve">鴻勝化學科技股份有限公司                                    </t>
    <phoneticPr fontId="3" type="noConversion"/>
  </si>
  <si>
    <t>儲槽作業日報表</t>
    <phoneticPr fontId="3" type="noConversion"/>
  </si>
  <si>
    <t>時間</t>
    <phoneticPr fontId="3" type="noConversion"/>
  </si>
  <si>
    <t>槽　別</t>
    <phoneticPr fontId="3" type="noConversion"/>
  </si>
  <si>
    <t>TK-601</t>
    <phoneticPr fontId="4" type="noConversion"/>
  </si>
  <si>
    <t>TK-602</t>
    <phoneticPr fontId="4" type="noConversion"/>
  </si>
  <si>
    <t>TK-603</t>
    <phoneticPr fontId="4" type="noConversion"/>
  </si>
  <si>
    <t>TK-604</t>
    <phoneticPr fontId="4" type="noConversion"/>
  </si>
  <si>
    <t>TK-605</t>
    <phoneticPr fontId="4" type="noConversion"/>
  </si>
  <si>
    <t>TK611</t>
    <phoneticPr fontId="4" type="noConversion"/>
  </si>
  <si>
    <t>品名</t>
    <phoneticPr fontId="3" type="noConversion"/>
  </si>
  <si>
    <t>IPA-HQ</t>
    <phoneticPr fontId="3" type="noConversion"/>
  </si>
  <si>
    <t>空</t>
    <phoneticPr fontId="3" type="noConversion"/>
  </si>
  <si>
    <t>IPAHW</t>
    <phoneticPr fontId="3" type="noConversion"/>
  </si>
  <si>
    <t>廢水</t>
    <phoneticPr fontId="3" type="noConversion"/>
  </si>
  <si>
    <t>IPA</t>
    <phoneticPr fontId="2" type="noConversion"/>
  </si>
  <si>
    <t>空</t>
    <phoneticPr fontId="3" type="noConversion"/>
  </si>
  <si>
    <t>液位(mm/%)</t>
    <phoneticPr fontId="3" type="noConversion"/>
  </si>
  <si>
    <t>數量(kg)</t>
    <phoneticPr fontId="4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</si>
  <si>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</si>
  <si>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 xml:space="preserve">                                  </t>
    <phoneticPr fontId="2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</si>
  <si>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</si>
  <si>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</si>
  <si>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</si>
  <si>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</si>
  <si>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</si>
  <si>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</si>
  <si>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數量(kg)</t>
    <phoneticPr fontId="4" type="noConversion"/>
  </si>
  <si>
    <t xml:space="preserve"> </t>
    <phoneticPr fontId="2" type="noConversion"/>
  </si>
  <si>
    <t>記事欄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</si>
  <si>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</t>
    <phoneticPr fontId="3" type="noConversion"/>
  </si>
  <si>
    <t>液位(mm/%)</t>
    <phoneticPr fontId="3" type="noConversion"/>
  </si>
  <si>
    <t>溫度( ℃)</t>
    <phoneticPr fontId="3" type="noConversion"/>
  </si>
  <si>
    <t xml:space="preserve"> </t>
    <phoneticPr fontId="2" type="noConversion"/>
  </si>
  <si>
    <t>IPA</t>
    <phoneticPr fontId="3" type="noConversion"/>
  </si>
  <si>
    <t>原料</t>
    <phoneticPr fontId="3" type="noConversion"/>
  </si>
  <si>
    <t>成品</t>
    <phoneticPr fontId="3" type="noConversion"/>
  </si>
  <si>
    <t>待處理品</t>
    <phoneticPr fontId="3" type="noConversion"/>
  </si>
  <si>
    <t>成品</t>
    <phoneticPr fontId="3" type="noConversion"/>
  </si>
  <si>
    <t>待處理品</t>
    <phoneticPr fontId="3" type="noConversion"/>
  </si>
  <si>
    <t>成品</t>
    <phoneticPr fontId="3" type="noConversion"/>
  </si>
  <si>
    <t>原料</t>
    <phoneticPr fontId="3" type="noConversion"/>
  </si>
  <si>
    <t>原料</t>
    <phoneticPr fontId="2" type="noConversion"/>
  </si>
  <si>
    <t>成品</t>
    <phoneticPr fontId="2" type="noConversion"/>
  </si>
  <si>
    <t>待處理品</t>
    <phoneticPr fontId="2" type="noConversion"/>
  </si>
  <si>
    <t>總數量
(kg)</t>
    <phoneticPr fontId="3" type="noConversion"/>
  </si>
  <si>
    <t>C50110-INV-01(01)</t>
    <phoneticPr fontId="3" type="noConversion"/>
  </si>
  <si>
    <t>經(副)理:</t>
    <phoneticPr fontId="4" type="noConversion"/>
  </si>
  <si>
    <t>課長:</t>
    <phoneticPr fontId="4" type="noConversion"/>
  </si>
  <si>
    <t>記錄員:</t>
    <phoneticPr fontId="4" type="noConversion"/>
  </si>
  <si>
    <t>陳志修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</si>
</sst>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0_ 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9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sz val="12"/>
      <color rgb="FF000000"/>
      <name val="新細明體"/>
      <family val="1"/>
      <charset val="136"/>
    </font>
    <font>
      <b/>
      <sz val="22"/>
      <name val="微軟正黑體"/>
      <family val="2"/>
      <charset val="136"/>
    </font>
    <font>
      <sz val="8"/>
      <color rgb="FFC00000"/>
      <name val="微軟正黑體"/>
      <family val="2"/>
      <charset val="136"/>
    </font>
    <font>
      <sz val="12"/>
      <color theme="1"/>
      <name val="新細明體"/>
      <family val="2"/>
      <scheme val="minor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sz val="10"/>
      <color rgb="FF444746"/>
      <name val="Google Sans Text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4">
    <xf numFmtId="0" fontId="0" fillId="0" borderId="0"/>
    <xf numFmtId="0" fontId="1" fillId="0" borderId="0"/>
    <xf numFmtId="0" fontId="1" fillId="0" borderId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35" fillId="0" borderId="0" applyFont="0" applyFill="0" applyBorder="0" applyAlignment="0" applyProtection="0">
      <alignment vertical="center"/>
    </xf>
  </cellStyleXfs>
  <cellXfs count="258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9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8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8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8" fontId="20" fillId="2" borderId="11" xfId="1" applyNumberFormat="1" applyFont="1" applyFill="1" applyBorder="1" applyAlignment="1">
      <alignment horizontal="center" vertical="center" wrapText="1"/>
    </xf>
    <xf numFmtId="179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9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5" fillId="2" borderId="3" xfId="1" applyFont="1" applyFill="1" applyBorder="1" applyAlignment="1">
      <alignment horizontal="center" vertical="top"/>
    </xf>
    <xf numFmtId="0" fontId="13" fillId="0" borderId="0" xfId="1" applyFont="1" applyAlignment="1">
      <alignment horizontal="right" vertical="center"/>
    </xf>
    <xf numFmtId="0" fontId="33" fillId="0" borderId="0" xfId="1" applyFont="1"/>
    <xf numFmtId="0" fontId="22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34" fillId="2" borderId="3" xfId="1" applyFont="1" applyFill="1" applyBorder="1" applyAlignment="1">
      <alignment horizontal="center" vertical="top"/>
    </xf>
    <xf numFmtId="0" fontId="11" fillId="0" borderId="0" xfId="1" applyFont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1" fillId="0" borderId="0" xfId="1" applyFont="1" applyAlignment="1">
      <alignment horizontal="center" vertical="center"/>
    </xf>
    <xf numFmtId="9" fontId="13" fillId="0" borderId="0" xfId="1" applyNumberFormat="1" applyFont="1" applyAlignment="1">
      <alignment vertical="center"/>
    </xf>
    <xf numFmtId="9" fontId="11" fillId="0" borderId="0" xfId="23" applyFont="1" applyAlignment="1">
      <alignment horizontal="center" vertical="center"/>
    </xf>
    <xf numFmtId="9" fontId="22" fillId="2" borderId="3" xfId="23" applyFont="1" applyFill="1" applyBorder="1" applyAlignment="1">
      <alignment horizontal="center" vertical="center"/>
    </xf>
    <xf numFmtId="10" fontId="22" fillId="2" borderId="3" xfId="23" applyNumberFormat="1" applyFont="1" applyFill="1" applyBorder="1" applyAlignment="1">
      <alignment horizontal="center" vertical="center"/>
    </xf>
    <xf numFmtId="0" fontId="37" fillId="0" borderId="65" xfId="0" applyFont="1" applyBorder="1" applyAlignment="1">
      <alignment vertical="center" wrapText="1" readingOrder="1"/>
    </xf>
    <xf numFmtId="3" fontId="36" fillId="0" borderId="65" xfId="0" applyNumberFormat="1" applyFont="1" applyBorder="1" applyAlignment="1">
      <alignment vertical="center" wrapText="1" readingOrder="1"/>
    </xf>
    <xf numFmtId="0" fontId="36" fillId="0" borderId="65" xfId="0" applyFont="1" applyBorder="1" applyAlignment="1">
      <alignment vertical="center" wrapText="1" readingOrder="1"/>
    </xf>
    <xf numFmtId="4" fontId="36" fillId="0" borderId="65" xfId="0" applyNumberFormat="1" applyFont="1" applyBorder="1" applyAlignment="1">
      <alignment vertical="center" wrapText="1" readingOrder="1"/>
    </xf>
    <xf numFmtId="49" fontId="38" fillId="0" borderId="65" xfId="0" applyNumberFormat="1" applyFont="1" applyBorder="1" applyAlignment="1">
      <alignment vertical="center" wrapText="1" readingOrder="1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  <xf numFmtId="0" fontId="20" fillId="2" borderId="3" xfId="1" applyFont="1" applyFill="1" applyBorder="1" applyAlignment="1">
      <alignment horizontal="center" vertical="center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9" fontId="20" fillId="2" borderId="2" xfId="1" applyNumberFormat="1" applyFont="1" applyFill="1" applyBorder="1" applyAlignment="1">
      <alignment horizontal="center" vertical="center" wrapText="1"/>
    </xf>
    <xf numFmtId="179" fontId="20" fillId="2" borderId="4" xfId="1" applyNumberFormat="1" applyFont="1" applyFill="1" applyBorder="1" applyAlignment="1">
      <alignment horizontal="center" vertical="center" wrapText="1"/>
    </xf>
    <xf numFmtId="178" fontId="20" fillId="2" borderId="13" xfId="3" applyNumberFormat="1" applyFont="1" applyFill="1" applyBorder="1" applyAlignment="1">
      <alignment horizontal="center" vertical="center"/>
    </xf>
    <xf numFmtId="178" fontId="20" fillId="2" borderId="15" xfId="3" applyNumberFormat="1" applyFont="1" applyFill="1" applyBorder="1" applyAlignment="1">
      <alignment horizontal="center" vertical="center"/>
    </xf>
    <xf numFmtId="178" fontId="20" fillId="2" borderId="14" xfId="3" applyNumberFormat="1" applyFont="1" applyFill="1" applyBorder="1" applyAlignment="1">
      <alignment horizontal="center" vertical="center"/>
    </xf>
    <xf numFmtId="178" fontId="20" fillId="2" borderId="16" xfId="3" applyNumberFormat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179" fontId="20" fillId="2" borderId="14" xfId="1" applyNumberFormat="1" applyFont="1" applyFill="1" applyBorder="1" applyAlignment="1">
      <alignment horizontal="center" vertical="center" wrapText="1"/>
    </xf>
    <xf numFmtId="179" fontId="20" fillId="2" borderId="16" xfId="1" applyNumberFormat="1" applyFont="1" applyFill="1" applyBorder="1" applyAlignment="1">
      <alignment horizontal="center" vertical="center" wrapText="1"/>
    </xf>
    <xf numFmtId="179" fontId="20" fillId="2" borderId="13" xfId="1" applyNumberFormat="1" applyFont="1" applyFill="1" applyBorder="1" applyAlignment="1">
      <alignment horizontal="center" vertical="center" wrapText="1"/>
    </xf>
    <xf numFmtId="179" fontId="20" fillId="2" borderId="15" xfId="1" applyNumberFormat="1" applyFont="1" applyFill="1" applyBorder="1" applyAlignment="1">
      <alignment horizontal="center" vertical="center" wrapText="1"/>
    </xf>
    <xf numFmtId="179" fontId="20" fillId="2" borderId="13" xfId="4" applyNumberFormat="1" applyFont="1" applyFill="1" applyBorder="1" applyAlignment="1">
      <alignment horizontal="center" vertical="center" wrapText="1"/>
    </xf>
    <xf numFmtId="179" fontId="20" fillId="2" borderId="15" xfId="4" applyNumberFormat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178" fontId="14" fillId="2" borderId="0" xfId="1" applyNumberFormat="1" applyFont="1" applyFill="1" applyAlignment="1">
      <alignment horizontal="center" vertical="center"/>
    </xf>
    <xf numFmtId="179" fontId="20" fillId="2" borderId="2" xfId="1" applyNumberFormat="1" applyFont="1" applyFill="1" applyBorder="1" applyAlignment="1">
      <alignment horizontal="center" vertical="center"/>
    </xf>
    <xf numFmtId="179" fontId="20" fillId="2" borderId="4" xfId="1" applyNumberFormat="1" applyFont="1" applyFill="1" applyBorder="1" applyAlignment="1">
      <alignment horizontal="center" vertical="center"/>
    </xf>
    <xf numFmtId="179" fontId="20" fillId="2" borderId="13" xfId="1" applyNumberFormat="1" applyFont="1" applyFill="1" applyBorder="1" applyAlignment="1">
      <alignment horizontal="center" vertical="center"/>
    </xf>
    <xf numFmtId="179" fontId="20" fillId="2" borderId="15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/>
    </xf>
    <xf numFmtId="179" fontId="20" fillId="2" borderId="16" xfId="1" applyNumberFormat="1" applyFont="1" applyFill="1" applyBorder="1" applyAlignment="1">
      <alignment horizontal="center" vertical="center"/>
    </xf>
    <xf numFmtId="178" fontId="20" fillId="2" borderId="2" xfId="1" applyNumberFormat="1" applyFont="1" applyFill="1" applyBorder="1" applyAlignment="1">
      <alignment horizontal="center" vertical="center"/>
    </xf>
    <xf numFmtId="178" fontId="20" fillId="2" borderId="4" xfId="1" applyNumberFormat="1" applyFont="1" applyFill="1" applyBorder="1" applyAlignment="1">
      <alignment horizontal="center" vertical="center"/>
    </xf>
    <xf numFmtId="179" fontId="20" fillId="2" borderId="37" xfId="1" applyNumberFormat="1" applyFont="1" applyFill="1" applyBorder="1" applyAlignment="1">
      <alignment horizontal="center" vertical="center"/>
    </xf>
    <xf numFmtId="179" fontId="20" fillId="2" borderId="61" xfId="1" applyNumberFormat="1" applyFont="1" applyFill="1" applyBorder="1" applyAlignment="1">
      <alignment horizontal="center" vertical="center"/>
    </xf>
    <xf numFmtId="179" fontId="20" fillId="2" borderId="40" xfId="1" applyNumberFormat="1" applyFont="1" applyFill="1" applyBorder="1" applyAlignment="1">
      <alignment horizontal="center" vertical="center"/>
    </xf>
    <xf numFmtId="179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8" fontId="20" fillId="2" borderId="2" xfId="1" applyNumberFormat="1" applyFont="1" applyFill="1" applyBorder="1" applyAlignment="1">
      <alignment horizontal="center" vertical="center" wrapText="1"/>
    </xf>
    <xf numFmtId="178" fontId="20" fillId="2" borderId="4" xfId="1" applyNumberFormat="1" applyFont="1" applyFill="1" applyBorder="1" applyAlignment="1">
      <alignment horizontal="center" vertical="center" wrapText="1"/>
    </xf>
    <xf numFmtId="178" fontId="20" fillId="2" borderId="14" xfId="1" applyNumberFormat="1" applyFont="1" applyFill="1" applyBorder="1" applyAlignment="1">
      <alignment horizontal="center" vertical="center"/>
    </xf>
    <xf numFmtId="178" fontId="20" fillId="2" borderId="16" xfId="1" applyNumberFormat="1" applyFont="1" applyFill="1" applyBorder="1" applyAlignment="1">
      <alignment horizontal="center" vertical="center"/>
    </xf>
  </cellXfs>
  <cellStyles count="24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" xfId="23" builtinId="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125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15</xdr:row>
          <xdr:rowOff>198120</xdr:rowOff>
        </xdr:from>
        <xdr:to>
          <xdr:col>15</xdr:col>
          <xdr:colOff>274320</xdr:colOff>
          <xdr:row>22</xdr:row>
          <xdr:rowOff>426720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25</xdr:row>
          <xdr:rowOff>60960</xdr:rowOff>
        </xdr:from>
        <xdr:to>
          <xdr:col>15</xdr:col>
          <xdr:colOff>327660</xdr:colOff>
          <xdr:row>31</xdr:row>
          <xdr:rowOff>259080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72993" name="Button 1" hidden="1">
              <a:extLst>
                <a:ext uri="{63B3BB69-23CF-44E3-9099-C40C66FF867C}">
                  <a14:compatExt spid="_x0000_s2772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47393" name="Button 1" hidden="1">
              <a:extLst>
                <a:ext uri="{63B3BB69-23CF-44E3-9099-C40C66FF867C}">
                  <a14:compatExt spid="_x0000_s2747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76065" name="Button 1" hidden="1">
              <a:extLst>
                <a:ext uri="{63B3BB69-23CF-44E3-9099-C40C66FF867C}">
                  <a14:compatExt spid="_x0000_s2776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77089" name="Button 1" hidden="1">
              <a:extLst>
                <a:ext uri="{63B3BB69-23CF-44E3-9099-C40C66FF867C}">
                  <a14:compatExt spid="_x0000_s2777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78113" name="Button 1" hidden="1">
              <a:extLst>
                <a:ext uri="{63B3BB69-23CF-44E3-9099-C40C66FF867C}">
                  <a14:compatExt spid="_x0000_s2778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79137" name="Button 1" hidden="1">
              <a:extLst>
                <a:ext uri="{63B3BB69-23CF-44E3-9099-C40C66FF867C}">
                  <a14:compatExt spid="_x0000_s2779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80161" name="Button 1" hidden="1">
              <a:extLst>
                <a:ext uri="{63B3BB69-23CF-44E3-9099-C40C66FF867C}">
                  <a14:compatExt spid="_x0000_s2780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82209" name="Button 1" hidden="1">
              <a:extLst>
                <a:ext uri="{63B3BB69-23CF-44E3-9099-C40C66FF867C}">
                  <a14:compatExt spid="_x0000_s2782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85281" name="Button 1" hidden="1">
              <a:extLst>
                <a:ext uri="{63B3BB69-23CF-44E3-9099-C40C66FF867C}">
                  <a14:compatExt spid="_x0000_s2785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786305" name="Button 1" hidden="1">
              <a:extLst>
                <a:ext uri="{63B3BB69-23CF-44E3-9099-C40C66FF867C}">
                  <a14:compatExt spid="_x0000_s2786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Y100"/>
  <sheetViews>
    <sheetView view="pageBreakPreview" zoomScale="80" zoomScaleNormal="100" zoomScaleSheetLayoutView="80" workbookViewId="0">
      <selection activeCell="B5" sqref="B5"/>
    </sheetView>
  </sheetViews>
  <sheetFormatPr defaultColWidth="9" defaultRowHeight="15.6"/>
  <cols>
    <col min="1" max="1" width="7.33203125" style="54" customWidth="1"/>
    <col min="2" max="2" width="8.6640625" style="54" customWidth="1"/>
    <col min="3" max="3" width="6.6640625" style="54" customWidth="1"/>
    <col min="4" max="4" width="7.33203125" style="54" customWidth="1"/>
    <col min="5" max="5" width="8.6640625" style="54" customWidth="1"/>
    <col min="6" max="6" width="6.6640625" style="54" customWidth="1"/>
    <col min="7" max="7" width="7.33203125" style="54" customWidth="1"/>
    <col min="8" max="8" width="8.6640625" style="54" customWidth="1"/>
    <col min="9" max="9" width="6.6640625" style="54" customWidth="1"/>
    <col min="10" max="10" width="7.33203125" style="54" customWidth="1"/>
    <col min="11" max="11" width="8.6640625" style="54" customWidth="1"/>
    <col min="12" max="12" width="6.6640625" style="54" customWidth="1"/>
    <col min="13" max="13" width="23.88671875" style="54" customWidth="1"/>
    <col min="14" max="14" width="17.6640625" style="54" customWidth="1"/>
    <col min="15" max="16" width="11.88671875" style="54" customWidth="1"/>
    <col min="17" max="17" width="12.77734375" style="62" bestFit="1" customWidth="1"/>
    <col min="18" max="18" width="8.44140625" style="62" customWidth="1"/>
    <col min="19" max="19" width="17.77734375" style="62" bestFit="1" customWidth="1"/>
    <col min="20" max="20" width="14.33203125" style="62" customWidth="1"/>
    <col min="21" max="21" width="9" style="54"/>
    <col min="22" max="22" width="10.21875" style="54" customWidth="1"/>
    <col min="23" max="23" width="9" style="54"/>
    <col min="24" max="24" width="13.77734375" style="54" bestFit="1" customWidth="1"/>
    <col min="25" max="16384" width="9" style="54"/>
  </cols>
  <sheetData>
    <row r="1" spans="1:25" s="53" customFormat="1" ht="21" customHeight="1" thickBot="1">
      <c r="A1" s="181" t="s">
        <v>49</v>
      </c>
      <c r="B1" s="181"/>
      <c r="C1" s="110"/>
      <c r="D1" s="110"/>
      <c r="E1" s="111"/>
      <c r="F1" s="110"/>
      <c r="G1" s="112"/>
      <c r="H1" s="112"/>
      <c r="I1" s="112"/>
      <c r="J1" s="112"/>
      <c r="K1" s="112"/>
      <c r="L1" s="112"/>
      <c r="M1" s="112" t="s">
        <v>50</v>
      </c>
      <c r="Q1" s="55"/>
      <c r="R1" s="55"/>
      <c r="S1" s="55"/>
      <c r="T1" s="55"/>
    </row>
    <row r="2" spans="1:25" s="58" customFormat="1" ht="25.65" customHeight="1" thickTop="1" thickBot="1">
      <c r="A2" s="113" t="s">
        <v>22</v>
      </c>
      <c r="B2" s="114" t="s">
        <v>46</v>
      </c>
      <c r="C2" s="115" t="s">
        <v>24</v>
      </c>
      <c r="D2" s="113" t="s">
        <v>22</v>
      </c>
      <c r="E2" s="114" t="s">
        <v>46</v>
      </c>
      <c r="F2" s="116" t="s">
        <v>24</v>
      </c>
      <c r="G2" s="113" t="s">
        <v>22</v>
      </c>
      <c r="H2" s="114" t="s">
        <v>23</v>
      </c>
      <c r="I2" s="116" t="s">
        <v>24</v>
      </c>
      <c r="J2" s="113" t="s">
        <v>22</v>
      </c>
      <c r="K2" s="114" t="s">
        <v>23</v>
      </c>
      <c r="L2" s="116" t="s">
        <v>24</v>
      </c>
      <c r="M2" s="117" t="s">
        <v>51</v>
      </c>
      <c r="N2" s="56"/>
      <c r="O2" s="56"/>
      <c r="P2" s="57" t="s">
        <v>42</v>
      </c>
      <c r="Q2" s="57" t="s">
        <v>93</v>
      </c>
      <c r="T2" s="59" t="s">
        <v>43</v>
      </c>
      <c r="V2" s="136"/>
      <c r="W2" s="135"/>
      <c r="X2" s="136"/>
      <c r="Y2" s="60"/>
    </row>
    <row r="3" spans="1:25" s="53" customFormat="1" ht="22.2" customHeight="1" thickTop="1">
      <c r="A3" s="118">
        <v>601</v>
      </c>
      <c r="B3" s="119">
        <v>5986</v>
      </c>
      <c r="C3" s="120">
        <v>21</v>
      </c>
      <c r="D3" s="121"/>
      <c r="E3" s="119"/>
      <c r="F3" s="120"/>
      <c r="G3" s="118"/>
      <c r="H3" s="119"/>
      <c r="I3" s="122"/>
      <c r="J3" s="118"/>
      <c r="K3" s="119"/>
      <c r="L3" s="123"/>
      <c r="M3" s="182" t="s">
        <v>63</v>
      </c>
      <c r="N3" s="136" t="s">
        <v>78</v>
      </c>
      <c r="O3" s="136" t="s">
        <v>44</v>
      </c>
      <c r="P3" s="136" t="s">
        <v>79</v>
      </c>
      <c r="Q3" s="151" t="s">
        <v>94</v>
      </c>
      <c r="R3" s="153">
        <v>0.01</v>
      </c>
      <c r="S3" s="151" t="s">
        <v>99</v>
      </c>
      <c r="T3" s="53">
        <v>5200</v>
      </c>
      <c r="V3" s="136"/>
      <c r="W3" s="135"/>
      <c r="X3" s="136"/>
      <c r="Y3" s="60"/>
    </row>
    <row r="4" spans="1:25" s="53" customFormat="1" ht="22.2" customHeight="1">
      <c r="A4" s="118">
        <v>602</v>
      </c>
      <c r="B4" s="119">
        <v>3883</v>
      </c>
      <c r="C4" s="120">
        <v>20</v>
      </c>
      <c r="D4" s="121"/>
      <c r="E4" s="119"/>
      <c r="F4" s="120"/>
      <c r="G4" s="118"/>
      <c r="H4" s="119"/>
      <c r="I4" s="122"/>
      <c r="J4" s="118"/>
      <c r="K4" s="119"/>
      <c r="L4" s="132"/>
      <c r="M4" s="183"/>
      <c r="N4" s="147" t="s">
        <v>80</v>
      </c>
      <c r="O4" s="136" t="s">
        <v>44</v>
      </c>
      <c r="P4" s="136" t="s">
        <v>45</v>
      </c>
      <c r="Q4" s="151" t="s">
        <v>95</v>
      </c>
      <c r="R4" s="153">
        <v>0.01</v>
      </c>
      <c r="S4" s="151" t="s">
        <v>98</v>
      </c>
      <c r="T4" s="53">
        <v>5200</v>
      </c>
      <c r="V4" s="61"/>
      <c r="W4" s="135"/>
      <c r="X4" s="136"/>
      <c r="Y4" s="60"/>
    </row>
    <row r="5" spans="1:25" s="53" customFormat="1" ht="22.2" customHeight="1">
      <c r="A5" s="118">
        <v>603</v>
      </c>
      <c r="B5" s="119">
        <v>5689</v>
      </c>
      <c r="C5" s="120">
        <v>19</v>
      </c>
      <c r="D5" s="121"/>
      <c r="E5" s="119"/>
      <c r="F5" s="120"/>
      <c r="G5" s="118"/>
      <c r="H5" s="119"/>
      <c r="I5" s="122"/>
      <c r="J5" s="118"/>
      <c r="K5" s="119"/>
      <c r="L5" s="132"/>
      <c r="M5" s="183"/>
      <c r="N5" s="61" t="s">
        <v>81</v>
      </c>
      <c r="O5" s="147" t="s">
        <v>44</v>
      </c>
      <c r="P5" s="147" t="s">
        <v>86</v>
      </c>
      <c r="Q5" s="151" t="s">
        <v>92</v>
      </c>
      <c r="R5" s="153">
        <v>0.01</v>
      </c>
      <c r="S5" s="151" t="s">
        <v>96</v>
      </c>
      <c r="T5" s="53">
        <v>6650</v>
      </c>
      <c r="V5" s="136"/>
      <c r="W5" s="135"/>
      <c r="X5" s="136"/>
      <c r="Y5" s="60"/>
    </row>
    <row r="6" spans="1:25" s="53" customFormat="1" ht="22.2" customHeight="1">
      <c r="A6" s="118">
        <v>604</v>
      </c>
      <c r="B6" s="124">
        <v>5815</v>
      </c>
      <c r="C6" s="125">
        <v>20</v>
      </c>
      <c r="D6" s="126"/>
      <c r="E6" s="124"/>
      <c r="F6" s="125"/>
      <c r="G6" s="126"/>
      <c r="H6" s="119"/>
      <c r="I6" s="123"/>
      <c r="J6" s="126"/>
      <c r="K6" s="124"/>
      <c r="L6" s="132"/>
      <c r="M6" s="183"/>
      <c r="N6" s="136" t="s">
        <v>82</v>
      </c>
      <c r="O6" s="147" t="s">
        <v>44</v>
      </c>
      <c r="P6" s="147" t="s">
        <v>85</v>
      </c>
      <c r="Q6" s="151" t="s">
        <v>92</v>
      </c>
      <c r="R6" s="153">
        <v>0.01</v>
      </c>
      <c r="S6" s="151" t="s">
        <v>97</v>
      </c>
      <c r="T6" s="53">
        <v>5150</v>
      </c>
      <c r="V6" s="136"/>
      <c r="W6" s="135"/>
      <c r="X6" s="136"/>
      <c r="Y6" s="60"/>
    </row>
    <row r="7" spans="1:25" s="53" customFormat="1" ht="22.2" customHeight="1">
      <c r="A7" s="118">
        <v>605</v>
      </c>
      <c r="B7" s="124">
        <v>5625</v>
      </c>
      <c r="C7" s="125">
        <v>20</v>
      </c>
      <c r="D7" s="126"/>
      <c r="E7" s="124"/>
      <c r="F7" s="125"/>
      <c r="G7" s="126"/>
      <c r="H7" s="124"/>
      <c r="I7" s="123"/>
      <c r="J7" s="126"/>
      <c r="K7" s="124"/>
      <c r="L7" s="132"/>
      <c r="M7" s="183"/>
      <c r="N7" s="136" t="s">
        <v>83</v>
      </c>
      <c r="O7" s="147" t="s">
        <v>44</v>
      </c>
      <c r="P7" s="136" t="s">
        <v>84</v>
      </c>
      <c r="Q7" s="151" t="s">
        <v>92</v>
      </c>
      <c r="R7" s="153">
        <v>0.01</v>
      </c>
      <c r="S7" s="151" t="s">
        <v>91</v>
      </c>
      <c r="T7" s="53">
        <v>12200</v>
      </c>
      <c r="V7" s="152"/>
      <c r="Y7" s="55"/>
    </row>
    <row r="8" spans="1:25" s="53" customFormat="1" ht="22.2" customHeight="1">
      <c r="A8" s="118">
        <v>606</v>
      </c>
      <c r="B8" s="124">
        <v>0.08</v>
      </c>
      <c r="C8" s="133">
        <v>25</v>
      </c>
      <c r="D8" s="126"/>
      <c r="E8" s="124"/>
      <c r="F8" s="125"/>
      <c r="G8" s="126"/>
      <c r="H8" s="124"/>
      <c r="I8" s="123"/>
      <c r="J8" s="126"/>
      <c r="K8" s="124"/>
      <c r="L8" s="132"/>
      <c r="M8" s="183"/>
      <c r="N8" s="136"/>
      <c r="O8" s="136"/>
      <c r="P8" s="136"/>
      <c r="Q8" s="60"/>
    </row>
    <row r="9" spans="1:25" s="53" customFormat="1" ht="22.2" customHeight="1">
      <c r="A9" s="118">
        <v>607</v>
      </c>
      <c r="B9" s="124">
        <v>6.59</v>
      </c>
      <c r="C9" s="133">
        <v>25</v>
      </c>
      <c r="D9" s="126"/>
      <c r="E9" s="124"/>
      <c r="F9" s="125"/>
      <c r="G9" s="126"/>
      <c r="H9" s="124"/>
      <c r="I9" s="123"/>
      <c r="J9" s="126"/>
      <c r="K9" s="124"/>
      <c r="L9" s="132"/>
      <c r="M9" s="183"/>
      <c r="N9" s="136"/>
      <c r="O9" s="136"/>
      <c r="P9" s="136"/>
      <c r="Q9" s="60"/>
    </row>
    <row r="10" spans="1:25" s="53" customFormat="1" ht="22.2" customHeight="1">
      <c r="A10" s="118">
        <v>608</v>
      </c>
      <c r="B10" s="124">
        <v>7.45</v>
      </c>
      <c r="C10" s="133">
        <v>25</v>
      </c>
      <c r="D10" s="126"/>
      <c r="E10" s="124"/>
      <c r="F10" s="125"/>
      <c r="G10" s="126"/>
      <c r="H10" s="124"/>
      <c r="I10" s="123"/>
      <c r="J10" s="126"/>
      <c r="K10" s="124"/>
      <c r="L10" s="132"/>
      <c r="M10" s="183"/>
      <c r="N10" s="136"/>
      <c r="O10" s="135"/>
      <c r="P10" s="136"/>
      <c r="Q10" s="60"/>
    </row>
    <row r="11" spans="1:25" s="53" customFormat="1" ht="22.2" customHeight="1">
      <c r="A11" s="118">
        <v>611</v>
      </c>
      <c r="B11" s="124">
        <v>77.02</v>
      </c>
      <c r="C11" s="133">
        <v>25</v>
      </c>
      <c r="D11" s="126"/>
      <c r="E11" s="124"/>
      <c r="F11" s="125"/>
      <c r="G11" s="126"/>
      <c r="H11" s="124"/>
      <c r="I11" s="123"/>
      <c r="J11" s="126"/>
      <c r="K11" s="124"/>
      <c r="L11" s="132"/>
      <c r="M11" s="183"/>
      <c r="N11" s="136"/>
      <c r="O11" s="135"/>
      <c r="P11" s="136"/>
      <c r="Q11" s="60"/>
    </row>
    <row r="12" spans="1:25" s="53" customFormat="1" ht="22.2" customHeight="1">
      <c r="A12" s="118">
        <v>612</v>
      </c>
      <c r="B12" s="124">
        <v>247</v>
      </c>
      <c r="C12" s="125">
        <v>19</v>
      </c>
      <c r="D12" s="126"/>
      <c r="E12" s="124"/>
      <c r="F12" s="125"/>
      <c r="G12" s="126"/>
      <c r="H12" s="124"/>
      <c r="I12" s="123"/>
      <c r="J12" s="126"/>
      <c r="K12" s="124"/>
      <c r="L12" s="123"/>
      <c r="M12" s="183"/>
      <c r="N12" s="61"/>
      <c r="O12" s="135"/>
      <c r="P12" s="136"/>
      <c r="Q12" s="60"/>
    </row>
    <row r="13" spans="1:25" s="53" customFormat="1" ht="22.2" customHeight="1">
      <c r="A13" s="118">
        <v>613</v>
      </c>
      <c r="B13" s="124">
        <v>2675</v>
      </c>
      <c r="C13" s="125">
        <v>21</v>
      </c>
      <c r="D13" s="126"/>
      <c r="E13" s="124"/>
      <c r="F13" s="125"/>
      <c r="G13" s="126"/>
      <c r="H13" s="124"/>
      <c r="I13" s="123"/>
      <c r="J13" s="126"/>
      <c r="K13" s="124"/>
      <c r="L13" s="132"/>
      <c r="M13" s="183"/>
      <c r="N13" s="185"/>
      <c r="O13" s="186"/>
      <c r="P13" s="187"/>
      <c r="Q13" s="179"/>
      <c r="T13" s="180"/>
    </row>
    <row r="14" spans="1:25" s="53" customFormat="1" ht="22.2" customHeight="1">
      <c r="A14" s="118">
        <v>617</v>
      </c>
      <c r="B14" s="124">
        <v>6616</v>
      </c>
      <c r="C14" s="125">
        <v>26</v>
      </c>
      <c r="D14" s="126"/>
      <c r="E14" s="124"/>
      <c r="F14" s="125"/>
      <c r="G14" s="126"/>
      <c r="H14" s="124"/>
      <c r="I14" s="123"/>
      <c r="J14" s="126"/>
      <c r="K14" s="124"/>
      <c r="L14" s="132"/>
      <c r="M14" s="183"/>
      <c r="N14" s="185"/>
      <c r="O14" s="186"/>
      <c r="P14" s="187"/>
      <c r="Q14" s="179"/>
      <c r="T14" s="180"/>
    </row>
    <row r="15" spans="1:25" s="53" customFormat="1" ht="22.2" customHeight="1">
      <c r="A15" s="118">
        <v>618</v>
      </c>
      <c r="B15" s="124">
        <v>5783</v>
      </c>
      <c r="C15" s="125">
        <v>17</v>
      </c>
      <c r="D15" s="127"/>
      <c r="E15" s="124"/>
      <c r="F15" s="125"/>
      <c r="G15" s="126"/>
      <c r="H15" s="124"/>
      <c r="I15" s="123"/>
      <c r="J15" s="126"/>
      <c r="K15" s="124"/>
      <c r="L15" s="132"/>
      <c r="M15" s="183"/>
      <c r="N15" s="185"/>
      <c r="O15" s="186"/>
      <c r="P15" s="187"/>
      <c r="Q15" s="179"/>
      <c r="R15" s="55"/>
      <c r="S15" s="55"/>
      <c r="T15" s="138"/>
    </row>
    <row r="16" spans="1:25" s="53" customFormat="1" ht="22.2" customHeight="1">
      <c r="A16" s="118"/>
      <c r="B16" s="124"/>
      <c r="C16" s="125"/>
      <c r="D16" s="126"/>
      <c r="E16" s="124"/>
      <c r="F16" s="125"/>
      <c r="G16" s="126"/>
      <c r="H16" s="124"/>
      <c r="I16" s="123"/>
      <c r="J16" s="126"/>
      <c r="K16" s="124"/>
      <c r="L16" s="132"/>
      <c r="M16" s="183"/>
      <c r="Q16" s="55"/>
      <c r="R16" s="55"/>
      <c r="S16" s="55"/>
      <c r="T16" s="55"/>
    </row>
    <row r="17" spans="1:20" s="53" customFormat="1" ht="22.2" customHeight="1">
      <c r="A17" s="118"/>
      <c r="B17" s="124"/>
      <c r="C17" s="125"/>
      <c r="D17" s="127"/>
      <c r="E17" s="124"/>
      <c r="F17" s="125"/>
      <c r="G17" s="126"/>
      <c r="H17" s="124"/>
      <c r="I17" s="132"/>
      <c r="J17" s="126"/>
      <c r="K17" s="124"/>
      <c r="L17" s="132"/>
      <c r="M17" s="183"/>
      <c r="Q17" s="55"/>
      <c r="R17" s="55"/>
      <c r="S17" s="55"/>
      <c r="T17" s="55"/>
    </row>
    <row r="18" spans="1:20" s="53" customFormat="1" ht="22.2" customHeight="1">
      <c r="A18" s="118"/>
      <c r="B18" s="124"/>
      <c r="C18" s="125"/>
      <c r="D18" s="126"/>
      <c r="E18" s="124"/>
      <c r="F18" s="125"/>
      <c r="G18" s="126"/>
      <c r="H18" s="124"/>
      <c r="I18" s="132"/>
      <c r="J18" s="126"/>
      <c r="K18" s="124"/>
      <c r="L18" s="132"/>
      <c r="M18" s="183"/>
      <c r="Q18" s="55"/>
      <c r="R18" s="55"/>
      <c r="S18" s="55"/>
      <c r="T18" s="55"/>
    </row>
    <row r="19" spans="1:20" s="53" customFormat="1" ht="22.2" customHeight="1">
      <c r="A19" s="121"/>
      <c r="B19" s="124"/>
      <c r="C19" s="125"/>
      <c r="D19" s="126"/>
      <c r="E19" s="124"/>
      <c r="F19" s="125"/>
      <c r="G19" s="126"/>
      <c r="H19" s="124"/>
      <c r="I19" s="132"/>
      <c r="J19" s="126"/>
      <c r="K19" s="124"/>
      <c r="L19" s="132"/>
      <c r="M19" s="183"/>
      <c r="Q19" s="55"/>
      <c r="R19" s="55"/>
      <c r="S19" s="55"/>
      <c r="T19" s="55"/>
    </row>
    <row r="20" spans="1:20" s="53" customFormat="1" ht="22.2" customHeight="1">
      <c r="A20" s="121"/>
      <c r="B20" s="124"/>
      <c r="C20" s="125"/>
      <c r="D20" s="127"/>
      <c r="E20" s="124"/>
      <c r="F20" s="125"/>
      <c r="G20" s="126"/>
      <c r="H20" s="124"/>
      <c r="I20" s="132"/>
      <c r="J20" s="126"/>
      <c r="K20" s="124"/>
      <c r="L20" s="132"/>
      <c r="M20" s="183"/>
      <c r="Q20" s="55"/>
      <c r="R20" s="55"/>
      <c r="S20" s="55"/>
      <c r="T20" s="55"/>
    </row>
    <row r="21" spans="1:20" s="53" customFormat="1" ht="22.2" customHeight="1">
      <c r="A21" s="121"/>
      <c r="B21" s="124"/>
      <c r="C21" s="125"/>
      <c r="D21" s="126"/>
      <c r="E21" s="124"/>
      <c r="F21" s="125"/>
      <c r="G21" s="126"/>
      <c r="H21" s="124"/>
      <c r="I21" s="132"/>
      <c r="J21" s="126"/>
      <c r="K21" s="124"/>
      <c r="L21" s="132"/>
      <c r="M21" s="183"/>
      <c r="Q21" s="55"/>
      <c r="R21" s="55"/>
      <c r="S21" s="55"/>
      <c r="T21" s="55"/>
    </row>
    <row r="22" spans="1:20" s="53" customFormat="1" ht="22.2" customHeight="1" thickBot="1">
      <c r="A22" s="128"/>
      <c r="B22" s="129"/>
      <c r="C22" s="129"/>
      <c r="D22" s="130"/>
      <c r="E22" s="129"/>
      <c r="F22" s="131"/>
      <c r="G22" s="130"/>
      <c r="H22" s="129"/>
      <c r="I22" s="131"/>
      <c r="J22" s="130"/>
      <c r="K22" s="129"/>
      <c r="L22" s="131"/>
      <c r="M22" s="184"/>
      <c r="Q22" s="55"/>
      <c r="R22" s="55"/>
      <c r="S22" s="55"/>
      <c r="T22" s="55"/>
    </row>
    <row r="23" spans="1:20" ht="36.6" customHeight="1" thickTop="1">
      <c r="A23" s="111"/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</row>
    <row r="24" spans="1:20" ht="21" customHeight="1" thickBot="1">
      <c r="A24" s="181"/>
      <c r="B24" s="181"/>
      <c r="C24" s="110"/>
      <c r="D24" s="110"/>
      <c r="E24" s="110"/>
      <c r="F24" s="110"/>
      <c r="G24" s="110"/>
      <c r="H24" s="110"/>
      <c r="I24" s="112"/>
      <c r="J24" s="110"/>
      <c r="K24" s="110"/>
      <c r="L24" s="112"/>
      <c r="M24" s="112" t="s">
        <v>52</v>
      </c>
    </row>
    <row r="25" spans="1:20" ht="20.100000000000001" customHeight="1" thickTop="1" thickBot="1">
      <c r="A25" s="113" t="s">
        <v>22</v>
      </c>
      <c r="B25" s="114" t="s">
        <v>46</v>
      </c>
      <c r="C25" s="115" t="s">
        <v>24</v>
      </c>
      <c r="D25" s="113" t="s">
        <v>22</v>
      </c>
      <c r="E25" s="114" t="s">
        <v>46</v>
      </c>
      <c r="F25" s="116" t="s">
        <v>24</v>
      </c>
      <c r="G25" s="113" t="s">
        <v>22</v>
      </c>
      <c r="H25" s="114" t="s">
        <v>23</v>
      </c>
      <c r="I25" s="116" t="s">
        <v>24</v>
      </c>
      <c r="J25" s="113" t="s">
        <v>22</v>
      </c>
      <c r="K25" s="114" t="s">
        <v>23</v>
      </c>
      <c r="L25" s="116" t="s">
        <v>24</v>
      </c>
      <c r="M25" s="117" t="s">
        <v>51</v>
      </c>
    </row>
    <row r="26" spans="1:20" ht="21.75" customHeight="1" thickTop="1">
      <c r="A26" s="118">
        <v>601</v>
      </c>
      <c r="B26" s="119">
        <v>5988</v>
      </c>
      <c r="C26" s="120">
        <v>23</v>
      </c>
      <c r="D26" s="121"/>
      <c r="E26" s="119"/>
      <c r="F26" s="120"/>
      <c r="G26" s="118"/>
      <c r="H26" s="119"/>
      <c r="I26" s="122"/>
      <c r="J26" s="118"/>
      <c r="K26" s="119"/>
      <c r="L26" s="123"/>
      <c r="M26" s="182"/>
    </row>
    <row r="27" spans="1:20" ht="21.75" customHeight="1">
      <c r="A27" s="118">
        <v>602</v>
      </c>
      <c r="B27" s="119">
        <v>4021</v>
      </c>
      <c r="C27" s="120">
        <v>20</v>
      </c>
      <c r="D27" s="121"/>
      <c r="E27" s="119"/>
      <c r="F27" s="120"/>
      <c r="G27" s="118"/>
      <c r="H27" s="119"/>
      <c r="I27" s="122"/>
      <c r="J27" s="118"/>
      <c r="K27" s="119"/>
      <c r="L27" s="132"/>
      <c r="M27" s="183"/>
    </row>
    <row r="28" spans="1:20" ht="21.75" customHeight="1">
      <c r="A28" s="118">
        <v>603</v>
      </c>
      <c r="B28" s="119">
        <v>5689</v>
      </c>
      <c r="C28" s="120">
        <v>19</v>
      </c>
      <c r="D28" s="121"/>
      <c r="E28" s="119"/>
      <c r="F28" s="120"/>
      <c r="G28" s="118"/>
      <c r="H28" s="119"/>
      <c r="I28" s="122"/>
      <c r="J28" s="118"/>
      <c r="K28" s="119"/>
      <c r="L28" s="132"/>
      <c r="M28" s="183"/>
    </row>
    <row r="29" spans="1:20" ht="21.75" customHeight="1">
      <c r="A29" s="118">
        <v>604</v>
      </c>
      <c r="B29" s="124">
        <v>5820</v>
      </c>
      <c r="C29" s="125">
        <v>22</v>
      </c>
      <c r="D29" s="126"/>
      <c r="E29" s="124"/>
      <c r="F29" s="125"/>
      <c r="G29" s="126"/>
      <c r="H29" s="119"/>
      <c r="I29" s="123"/>
      <c r="J29" s="126"/>
      <c r="K29" s="124"/>
      <c r="L29" s="132"/>
      <c r="M29" s="183"/>
    </row>
    <row r="30" spans="1:20" ht="21.75" customHeight="1">
      <c r="A30" s="118">
        <v>605</v>
      </c>
      <c r="B30" s="124">
        <v>5628</v>
      </c>
      <c r="C30" s="125">
        <v>20</v>
      </c>
      <c r="D30" s="126"/>
      <c r="E30" s="124"/>
      <c r="F30" s="125"/>
      <c r="G30" s="126"/>
      <c r="H30" s="124"/>
      <c r="I30" s="123"/>
      <c r="J30" s="126"/>
      <c r="K30" s="124"/>
      <c r="L30" s="132"/>
      <c r="M30" s="183"/>
    </row>
    <row r="31" spans="1:20" ht="21.75" customHeight="1">
      <c r="A31" s="118">
        <v>606</v>
      </c>
      <c r="B31" s="124">
        <v>0.06</v>
      </c>
      <c r="C31" s="133">
        <v>25</v>
      </c>
      <c r="D31" s="126"/>
      <c r="E31" s="124"/>
      <c r="F31" s="125"/>
      <c r="G31" s="126"/>
      <c r="H31" s="124"/>
      <c r="I31" s="123"/>
      <c r="J31" s="126"/>
      <c r="K31" s="124"/>
      <c r="L31" s="132"/>
      <c r="M31" s="183"/>
    </row>
    <row r="32" spans="1:20" ht="21.75" customHeight="1">
      <c r="A32" s="118">
        <v>607</v>
      </c>
      <c r="B32" s="124">
        <v>6.67</v>
      </c>
      <c r="C32" s="133">
        <v>25</v>
      </c>
      <c r="D32" s="126"/>
      <c r="E32" s="124"/>
      <c r="F32" s="125"/>
      <c r="G32" s="126"/>
      <c r="H32" s="124"/>
      <c r="I32" s="123"/>
      <c r="J32" s="126"/>
      <c r="K32" s="124"/>
      <c r="L32" s="132"/>
      <c r="M32" s="183"/>
    </row>
    <row r="33" spans="1:13" ht="21.75" customHeight="1">
      <c r="A33" s="118">
        <v>608</v>
      </c>
      <c r="B33" s="124">
        <v>7.32</v>
      </c>
      <c r="C33" s="133">
        <v>25</v>
      </c>
      <c r="D33" s="126"/>
      <c r="E33" s="124"/>
      <c r="F33" s="125"/>
      <c r="G33" s="126"/>
      <c r="H33" s="124"/>
      <c r="I33" s="123"/>
      <c r="J33" s="126"/>
      <c r="K33" s="124"/>
      <c r="L33" s="132"/>
      <c r="M33" s="183"/>
    </row>
    <row r="34" spans="1:13" ht="21.75" customHeight="1">
      <c r="A34" s="118">
        <v>611</v>
      </c>
      <c r="B34" s="124">
        <v>77</v>
      </c>
      <c r="C34" s="133">
        <v>25</v>
      </c>
      <c r="D34" s="126"/>
      <c r="E34" s="124"/>
      <c r="F34" s="125"/>
      <c r="G34" s="126"/>
      <c r="H34" s="124"/>
      <c r="I34" s="123"/>
      <c r="J34" s="126"/>
      <c r="K34" s="124"/>
      <c r="L34" s="132"/>
      <c r="M34" s="183"/>
    </row>
    <row r="35" spans="1:13" ht="21.75" customHeight="1">
      <c r="A35" s="118">
        <v>612</v>
      </c>
      <c r="B35" s="124">
        <v>245</v>
      </c>
      <c r="C35" s="125">
        <v>23</v>
      </c>
      <c r="D35" s="126"/>
      <c r="E35" s="124"/>
      <c r="F35" s="125"/>
      <c r="G35" s="126"/>
      <c r="H35" s="124"/>
      <c r="I35" s="123"/>
      <c r="J35" s="126"/>
      <c r="K35" s="124"/>
      <c r="L35" s="123"/>
      <c r="M35" s="183"/>
    </row>
    <row r="36" spans="1:13" ht="21.75" customHeight="1">
      <c r="A36" s="118">
        <v>613</v>
      </c>
      <c r="B36" s="124">
        <v>2618</v>
      </c>
      <c r="C36" s="125">
        <v>22</v>
      </c>
      <c r="D36" s="126"/>
      <c r="E36" s="124"/>
      <c r="F36" s="125"/>
      <c r="G36" s="126"/>
      <c r="H36" s="124"/>
      <c r="I36" s="123"/>
      <c r="J36" s="126"/>
      <c r="K36" s="124"/>
      <c r="L36" s="132"/>
      <c r="M36" s="183"/>
    </row>
    <row r="37" spans="1:13" ht="21.75" customHeight="1">
      <c r="A37" s="118">
        <v>614</v>
      </c>
      <c r="B37" s="124">
        <v>4739</v>
      </c>
      <c r="C37" s="125">
        <v>26</v>
      </c>
      <c r="D37" s="126"/>
      <c r="E37" s="124"/>
      <c r="F37" s="125"/>
      <c r="G37" s="126"/>
      <c r="H37" s="124"/>
      <c r="I37" s="123"/>
      <c r="J37" s="126"/>
      <c r="K37" s="124"/>
      <c r="L37" s="132"/>
      <c r="M37" s="183"/>
    </row>
    <row r="38" spans="1:13" ht="21.75" customHeight="1">
      <c r="A38" s="118">
        <v>615</v>
      </c>
      <c r="B38" s="124">
        <v>7611</v>
      </c>
      <c r="C38" s="125">
        <v>24</v>
      </c>
      <c r="D38" s="127"/>
      <c r="E38" s="124"/>
      <c r="F38" s="125"/>
      <c r="G38" s="126"/>
      <c r="H38" s="124"/>
      <c r="I38" s="123"/>
      <c r="J38" s="126"/>
      <c r="K38" s="124"/>
      <c r="L38" s="132"/>
      <c r="M38" s="183"/>
    </row>
    <row r="39" spans="1:13" ht="21.75" customHeight="1">
      <c r="A39" s="118">
        <v>616</v>
      </c>
      <c r="B39" s="124">
        <v>0</v>
      </c>
      <c r="C39" s="125">
        <v>28</v>
      </c>
      <c r="D39" s="126"/>
      <c r="E39" s="124"/>
      <c r="F39" s="125"/>
      <c r="G39" s="126"/>
      <c r="H39" s="124"/>
      <c r="I39" s="123"/>
      <c r="J39" s="126"/>
      <c r="K39" s="124"/>
      <c r="L39" s="132"/>
      <c r="M39" s="183"/>
    </row>
    <row r="40" spans="1:13" ht="21.75" customHeight="1">
      <c r="A40" s="118">
        <v>617</v>
      </c>
      <c r="B40" s="124">
        <v>2325</v>
      </c>
      <c r="C40" s="125">
        <v>28</v>
      </c>
      <c r="D40" s="127"/>
      <c r="E40" s="124"/>
      <c r="F40" s="125"/>
      <c r="G40" s="126"/>
      <c r="H40" s="124"/>
      <c r="I40" s="132"/>
      <c r="J40" s="126"/>
      <c r="K40" s="124"/>
      <c r="L40" s="132"/>
      <c r="M40" s="183"/>
    </row>
    <row r="41" spans="1:13" ht="21.75" customHeight="1">
      <c r="A41" s="118">
        <v>618</v>
      </c>
      <c r="B41" s="124">
        <v>5789</v>
      </c>
      <c r="C41" s="125">
        <v>19</v>
      </c>
      <c r="D41" s="126"/>
      <c r="E41" s="124"/>
      <c r="F41" s="125"/>
      <c r="G41" s="126"/>
      <c r="H41" s="124"/>
      <c r="I41" s="132"/>
      <c r="J41" s="126"/>
      <c r="K41" s="124"/>
      <c r="L41" s="132"/>
      <c r="M41" s="183"/>
    </row>
    <row r="42" spans="1:13" ht="21.75" customHeight="1">
      <c r="A42" s="121"/>
      <c r="B42" s="124"/>
      <c r="C42" s="125"/>
      <c r="D42" s="126"/>
      <c r="E42" s="124"/>
      <c r="F42" s="125"/>
      <c r="G42" s="126"/>
      <c r="H42" s="124"/>
      <c r="I42" s="132"/>
      <c r="J42" s="126"/>
      <c r="K42" s="124"/>
      <c r="L42" s="132"/>
      <c r="M42" s="183"/>
    </row>
    <row r="43" spans="1:13" ht="21.75" customHeight="1">
      <c r="A43" s="121"/>
      <c r="B43" s="124"/>
      <c r="C43" s="125"/>
      <c r="D43" s="127"/>
      <c r="E43" s="124"/>
      <c r="F43" s="125"/>
      <c r="G43" s="126"/>
      <c r="H43" s="124"/>
      <c r="I43" s="132"/>
      <c r="J43" s="126"/>
      <c r="K43" s="124"/>
      <c r="L43" s="132"/>
      <c r="M43" s="183"/>
    </row>
    <row r="44" spans="1:13" ht="21.75" customHeight="1">
      <c r="A44" s="121"/>
      <c r="B44" s="124"/>
      <c r="C44" s="125"/>
      <c r="D44" s="126"/>
      <c r="E44" s="124"/>
      <c r="F44" s="125"/>
      <c r="G44" s="126"/>
      <c r="H44" s="124"/>
      <c r="I44" s="132"/>
      <c r="J44" s="126"/>
      <c r="K44" s="124"/>
      <c r="L44" s="132"/>
      <c r="M44" s="183"/>
    </row>
    <row r="45" spans="1:13" ht="21.75" customHeight="1" thickBot="1">
      <c r="A45" s="128"/>
      <c r="B45" s="129"/>
      <c r="C45" s="129"/>
      <c r="D45" s="130"/>
      <c r="E45" s="129"/>
      <c r="F45" s="131"/>
      <c r="G45" s="130"/>
      <c r="H45" s="129"/>
      <c r="I45" s="131"/>
      <c r="J45" s="130"/>
      <c r="K45" s="129"/>
      <c r="L45" s="131"/>
      <c r="M45" s="184"/>
    </row>
    <row r="46" spans="1:13" ht="16.2" thickTop="1"/>
    <row r="100" spans="1:1" ht="25.5" customHeight="1">
      <c r="A100" s="139" t="s">
        <v>66</v>
      </c>
    </row>
  </sheetData>
  <sheetProtection selectLockedCells="1"/>
  <mergeCells count="9">
    <mergeCell ref="Q13:Q15"/>
    <mergeCell ref="T13:T14"/>
    <mergeCell ref="A24:B24"/>
    <mergeCell ref="M26:M45"/>
    <mergeCell ref="A1:B1"/>
    <mergeCell ref="M3:M22"/>
    <mergeCell ref="N13:N15"/>
    <mergeCell ref="O13:O15"/>
    <mergeCell ref="P13:P15"/>
  </mergeCells>
  <phoneticPr fontId="2" type="noConversion"/>
  <dataValidations count="10">
    <dataValidation type="custom" errorStyle="warning" allowBlank="1" showInputMessage="1" showErrorMessage="1" error="***你在睡喔,醒醒好嗎" sqref="E8 B6:B7 B4 B38 E31 B29:B30 B27">
      <formula1>B4&lt;=9100</formula1>
    </dataValidation>
    <dataValidation type="custom" errorStyle="warning" allowBlank="1" showInputMessage="1" showErrorMessage="1" error="***你在睡喔,醒醒好嗎" sqref="B8:B11 H17:H20 B31:B34 H40:H43">
      <formula1>B8&lt;=100</formula1>
    </dataValidation>
    <dataValidation type="custom" errorStyle="warning" allowBlank="1" showInputMessage="1" showErrorMessage="1" error="***你在睡喔,醒醒好嗎" sqref="E3:E4 B14:B22 H3:H16 E26:E27 B39:B45 H26:H39 E19:E22 E42:E45">
      <formula1>B3&lt;=7400</formula1>
    </dataValidation>
    <dataValidation type="custom" errorStyle="warning" allowBlank="1" showInputMessage="1" showErrorMessage="1" error="***你在睡喔,醒醒好嗎" sqref="E14:E18 E37:E41">
      <formula1>E14&lt;=5500</formula1>
    </dataValidation>
    <dataValidation type="custom" errorStyle="warning" allowBlank="1" showInputMessage="1" showErrorMessage="1" error="***你在睡喔,醒醒好嗎" sqref="H21 K12 H44 K35">
      <formula1>H12&lt;=4100</formula1>
    </dataValidation>
    <dataValidation type="custom" errorStyle="warning" allowBlank="1" showInputMessage="1" showErrorMessage="1" error="***你在睡喔,醒醒好嗎" sqref="E5:E6 B5 K14:K17 B12:B13 B3 E28:E29 B28 K37:K40 B35:B36 B26">
      <formula1>B3&lt;=7000</formula1>
    </dataValidation>
    <dataValidation type="custom" errorStyle="warning" allowBlank="1" showInputMessage="1" showErrorMessage="1" error="***你在睡喔,醒醒好嗎" sqref="K18:K21 K41:K44">
      <formula1>K18&lt;=12000</formula1>
    </dataValidation>
    <dataValidation type="custom" errorStyle="warning" allowBlank="1" showInputMessage="1" showErrorMessage="1" error="***你在睡喔,醒醒好嗎" sqref="E32:E33 E7 K13 E9:E10 E13 K3:K7 K9:K10 B37 E30 E36 K26:K30 K32:K33 K36">
      <formula1>B3&lt;=5600</formula1>
    </dataValidation>
    <dataValidation type="custom" errorStyle="warning" allowBlank="1" showInputMessage="1" showErrorMessage="1" error="***你在睡喔,醒醒好嗎" sqref="K11 K8 K34 K31">
      <formula1>K8&lt;=5700</formula1>
    </dataValidation>
    <dataValidation type="custom" errorStyle="warning" allowBlank="1" showInputMessage="1" showErrorMessage="1" error="***你在睡喔,醒醒好嗎" sqref="E34:E35 E11:E12">
      <formula1>E11&lt;=6000</formula1>
    </dataValidation>
  </dataValidations>
  <printOptions horizontalCentered="1"/>
  <pageMargins left="0.39370078740157483" right="0.19685039370078741" top="0.19685039370078741" bottom="0" header="0" footer="0"/>
  <pageSetup paperSize="9" scale="84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2" r:id="rId4" name="CommandButton2">
          <controlPr autoLine="0" r:id="rId5">
            <anchor moveWithCells="1">
              <from>
                <xdr:col>13</xdr:col>
                <xdr:colOff>22860</xdr:colOff>
                <xdr:row>25</xdr:row>
                <xdr:rowOff>60960</xdr:rowOff>
              </from>
              <to>
                <xdr:col>15</xdr:col>
                <xdr:colOff>548640</xdr:colOff>
                <xdr:row>32</xdr:row>
                <xdr:rowOff>0</xdr:rowOff>
              </to>
            </anchor>
          </controlPr>
        </control>
      </mc:Choice>
      <mc:Fallback>
        <control shapeId="2247682" r:id="rId4" name="CommandButton2"/>
      </mc:Fallback>
    </mc:AlternateContent>
    <mc:AlternateContent xmlns:mc="http://schemas.openxmlformats.org/markup-compatibility/2006">
      <mc:Choice Requires="x14">
        <control shapeId="2247681" r:id="rId6" name="CommandButton1">
          <controlPr autoLine="0" r:id="rId7">
            <anchor moveWithCells="1">
              <from>
                <xdr:col>13</xdr:col>
                <xdr:colOff>30480</xdr:colOff>
                <xdr:row>15</xdr:row>
                <xdr:rowOff>198120</xdr:rowOff>
              </from>
              <to>
                <xdr:col>15</xdr:col>
                <xdr:colOff>495300</xdr:colOff>
                <xdr:row>22</xdr:row>
                <xdr:rowOff>388620</xdr:rowOff>
              </to>
            </anchor>
          </controlPr>
        </control>
      </mc:Choice>
      <mc:Fallback>
        <control shapeId="224768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"/>
  <sheetViews>
    <sheetView workbookViewId="0">
      <selection activeCell="E19" sqref="E19"/>
    </sheetView>
  </sheetViews>
  <sheetFormatPr defaultRowHeight="16.2"/>
  <cols>
    <col min="1" max="1" width="21.6640625" customWidth="1"/>
    <col min="2" max="2" width="10.44140625" bestFit="1" customWidth="1"/>
    <col min="3" max="3" width="11.77734375" bestFit="1" customWidth="1"/>
    <col min="4" max="4" width="10.44140625" bestFit="1" customWidth="1"/>
    <col min="5" max="5" width="9.77734375" bestFit="1" customWidth="1"/>
    <col min="6" max="6" width="12" customWidth="1"/>
    <col min="7" max="7" width="57" customWidth="1"/>
  </cols>
  <sheetData>
    <row r="1" spans="1:7" ht="31.8" thickBot="1">
      <c r="A1" s="156" t="s">
        <v>100</v>
      </c>
      <c r="B1" s="156" t="s">
        <v>101</v>
      </c>
      <c r="C1" s="156" t="s">
        <v>102</v>
      </c>
      <c r="D1" s="156" t="s">
        <v>103</v>
      </c>
      <c r="E1" s="156" t="s">
        <v>104</v>
      </c>
      <c r="F1" s="156" t="s">
        <v>105</v>
      </c>
      <c r="G1" s="156" t="s">
        <v>106</v>
      </c>
    </row>
    <row r="2" spans="1:7" ht="16.8" thickBot="1">
      <c r="A2" s="156" t="s">
        <v>107</v>
      </c>
      <c r="B2" s="157">
        <v>5200</v>
      </c>
      <c r="C2" s="158">
        <v>4.4800000000000004</v>
      </c>
      <c r="D2" s="157">
        <v>1790</v>
      </c>
      <c r="E2" s="158">
        <v>52</v>
      </c>
      <c r="F2" s="158">
        <v>232.96</v>
      </c>
      <c r="G2" s="160" t="s">
        <v>112</v>
      </c>
    </row>
    <row r="3" spans="1:7" ht="16.8" thickBot="1">
      <c r="A3" s="156" t="s">
        <v>108</v>
      </c>
      <c r="B3" s="157">
        <v>5200</v>
      </c>
      <c r="C3" s="158">
        <v>18.321999999999999</v>
      </c>
      <c r="D3" s="157">
        <v>8640</v>
      </c>
      <c r="E3" s="158">
        <v>52</v>
      </c>
      <c r="F3" s="158">
        <v>952.74</v>
      </c>
      <c r="G3" s="160" t="s">
        <v>113</v>
      </c>
    </row>
    <row r="4" spans="1:7" ht="16.8" thickBot="1">
      <c r="A4" s="156" t="s">
        <v>109</v>
      </c>
      <c r="B4" s="157">
        <v>6650</v>
      </c>
      <c r="C4" s="158">
        <v>26.42</v>
      </c>
      <c r="D4" s="158">
        <v>0</v>
      </c>
      <c r="E4" s="158">
        <v>66.5</v>
      </c>
      <c r="F4" s="159">
        <v>1756.93</v>
      </c>
      <c r="G4" s="160" t="s">
        <v>114</v>
      </c>
    </row>
    <row r="5" spans="1:7" ht="16.8" thickBot="1">
      <c r="A5" s="156" t="s">
        <v>110</v>
      </c>
      <c r="B5" s="157">
        <v>5150</v>
      </c>
      <c r="C5" s="158">
        <v>18.32</v>
      </c>
      <c r="D5" s="158">
        <v>0</v>
      </c>
      <c r="E5" s="158">
        <v>51.5</v>
      </c>
      <c r="F5" s="158">
        <v>943.48</v>
      </c>
      <c r="G5" s="160" t="s">
        <v>115</v>
      </c>
    </row>
    <row r="6" spans="1:7" ht="16.8" thickBot="1">
      <c r="A6" s="156" t="s">
        <v>111</v>
      </c>
      <c r="B6" s="157">
        <v>12400</v>
      </c>
      <c r="C6" s="158">
        <v>81.709999999999994</v>
      </c>
      <c r="D6" s="158">
        <v>0</v>
      </c>
      <c r="E6" s="158">
        <v>122</v>
      </c>
      <c r="F6" s="159">
        <v>9968.6200000000008</v>
      </c>
      <c r="G6" s="160" t="s">
        <v>116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3"/>
  <sheetViews>
    <sheetView showRuler="0" view="pageBreakPreview" zoomScale="60" zoomScaleNormal="60" workbookViewId="0">
      <pane ySplit="1" topLeftCell="A2" activePane="bottomLeft" state="frozen"/>
      <selection activeCell="K12" sqref="K12"/>
      <selection pane="bottomLeft" activeCell="R28" sqref="R28"/>
    </sheetView>
  </sheetViews>
  <sheetFormatPr defaultColWidth="9" defaultRowHeight="16.2"/>
  <cols>
    <col min="1" max="1" width="9.44140625" style="47" customWidth="1"/>
    <col min="2" max="10" width="10.6640625" style="47" customWidth="1"/>
    <col min="11" max="12" width="10.6640625" style="6" customWidth="1"/>
    <col min="13" max="13" width="10.6640625" style="50" customWidth="1"/>
    <col min="14" max="16" width="10.6640625" style="6" customWidth="1"/>
    <col min="17" max="17" width="12.88671875" style="47" customWidth="1"/>
    <col min="18" max="18" width="10.6640625" style="6" customWidth="1"/>
    <col min="19" max="19" width="10.6640625" style="47" customWidth="1"/>
    <col min="20" max="20" width="10.6640625" style="6" customWidth="1"/>
    <col min="21" max="21" width="10.6640625" style="51" customWidth="1"/>
    <col min="22" max="23" width="9.88671875" style="6" bestFit="1" customWidth="1"/>
    <col min="24" max="24" width="15.44140625" style="6" bestFit="1" customWidth="1"/>
    <col min="25" max="16384" width="9" style="6"/>
  </cols>
  <sheetData>
    <row r="1" spans="1:24" ht="49.2" customHeight="1">
      <c r="A1" s="1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3" t="s">
        <v>7</v>
      </c>
      <c r="G1" s="2" t="s">
        <v>8</v>
      </c>
      <c r="H1" s="2" t="s">
        <v>9</v>
      </c>
      <c r="I1" s="2" t="s">
        <v>10</v>
      </c>
      <c r="J1" s="4" t="s">
        <v>11</v>
      </c>
      <c r="K1" s="2" t="s">
        <v>12</v>
      </c>
      <c r="L1" s="2" t="s">
        <v>13</v>
      </c>
      <c r="M1" s="2" t="s">
        <v>14</v>
      </c>
      <c r="N1" s="2" t="s">
        <v>15</v>
      </c>
      <c r="O1" s="4" t="s">
        <v>16</v>
      </c>
      <c r="P1" s="3" t="s">
        <v>17</v>
      </c>
      <c r="Q1" s="2" t="s">
        <v>35</v>
      </c>
      <c r="R1" s="2" t="s">
        <v>18</v>
      </c>
      <c r="S1" s="2" t="s">
        <v>19</v>
      </c>
      <c r="T1" s="2" t="s">
        <v>20</v>
      </c>
      <c r="U1" s="5" t="s">
        <v>21</v>
      </c>
      <c r="V1" s="5" t="s">
        <v>25</v>
      </c>
      <c r="W1" s="5" t="s">
        <v>29</v>
      </c>
      <c r="X1" s="5" t="s">
        <v>37</v>
      </c>
    </row>
    <row r="2" spans="1:24" s="13" customFormat="1" ht="26.4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1.0658000000000001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1.0647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1.0636000000000001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1.0602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1.0590999999999999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1.0546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1.0512999999999999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1.0502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1.0489999999999999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1.0479000000000001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1.0468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1.0457000000000001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1.0446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1.0434000000000001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1.0411999999999999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1.0401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1.0389999999999999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1.0378000000000001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1.0367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1.0356000000000001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1.0345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1.0334000000000001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1.0322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1.0310999999999999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1.03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1.0288999999999999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1.0278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1.0266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1.0255000000000001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1.0244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1.0233000000000001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1.0222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1.0209999999999999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1.0199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7.399999999999999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1.0187999999999999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7.399999999999999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1.0177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7.399999999999999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1.0165999999999999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7.399999999999999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1.0154000000000001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7.399999999999999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1.0143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7.399999999999999" thickTop="1" thickBot="1">
      <c r="A52" s="48">
        <v>51</v>
      </c>
      <c r="B52" s="49"/>
      <c r="C52" s="49"/>
      <c r="D52" s="49"/>
      <c r="E52" s="49"/>
      <c r="F52" s="49"/>
      <c r="G52" s="49"/>
      <c r="H52" s="49"/>
      <c r="I52" s="49">
        <v>1.0132000000000001</v>
      </c>
      <c r="J52" s="49"/>
      <c r="U52" s="8"/>
    </row>
    <row r="53" spans="1:24" ht="17.399999999999999" thickTop="1" thickBot="1">
      <c r="A53" s="48">
        <v>52</v>
      </c>
      <c r="I53" s="47">
        <v>1.0121</v>
      </c>
      <c r="U53" s="8"/>
    </row>
    <row r="54" spans="1:24" ht="17.399999999999999" thickTop="1" thickBot="1">
      <c r="A54" s="48">
        <v>53</v>
      </c>
      <c r="I54" s="47">
        <v>1.0109999999999999</v>
      </c>
      <c r="U54" s="8"/>
    </row>
    <row r="55" spans="1:24" ht="17.399999999999999" thickTop="1" thickBot="1">
      <c r="A55" s="48">
        <v>54</v>
      </c>
      <c r="I55" s="47">
        <v>1.0098</v>
      </c>
      <c r="U55" s="8"/>
    </row>
    <row r="56" spans="1:24" ht="17.399999999999999" thickTop="1" thickBot="1">
      <c r="A56" s="48">
        <v>55</v>
      </c>
      <c r="I56" s="47">
        <v>1.0086999999999999</v>
      </c>
      <c r="U56" s="8"/>
    </row>
    <row r="57" spans="1:24" ht="17.399999999999999" thickTop="1" thickBot="1">
      <c r="A57" s="48">
        <v>56</v>
      </c>
      <c r="I57" s="47">
        <v>1.0076000000000001</v>
      </c>
      <c r="U57" s="8"/>
    </row>
    <row r="58" spans="1:24" ht="17.399999999999999" thickTop="1" thickBot="1">
      <c r="A58" s="48">
        <v>57</v>
      </c>
      <c r="I58" s="47">
        <v>1.0065</v>
      </c>
      <c r="U58" s="8"/>
    </row>
    <row r="59" spans="1:24" ht="17.399999999999999" thickTop="1" thickBot="1">
      <c r="A59" s="48">
        <v>58</v>
      </c>
      <c r="I59" s="47">
        <v>1.0054000000000001</v>
      </c>
      <c r="U59" s="8"/>
    </row>
    <row r="60" spans="1:24" ht="17.399999999999999" thickTop="1" thickBot="1">
      <c r="A60" s="48">
        <v>59</v>
      </c>
      <c r="I60" s="47">
        <v>1.0042</v>
      </c>
      <c r="U60" s="8"/>
    </row>
    <row r="61" spans="1:24" ht="17.399999999999999" thickTop="1" thickBot="1">
      <c r="A61" s="48">
        <v>60</v>
      </c>
      <c r="I61" s="47">
        <v>1.0031000000000001</v>
      </c>
      <c r="U61" s="8"/>
    </row>
    <row r="62" spans="1:24" ht="16.8" thickTop="1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</sheetData>
  <phoneticPr fontId="2" type="noConversion"/>
  <pageMargins left="0.42" right="0.2" top="0.36" bottom="0.43" header="0.5" footer="0.5"/>
  <pageSetup paperSize="9" scale="41" orientation="landscape" verticalDpi="18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19">
    <pageSetUpPr fitToPage="1"/>
  </sheetPr>
  <dimension ref="A1:BM223"/>
  <sheetViews>
    <sheetView view="pageBreakPreview" zoomScale="110" zoomScaleNormal="100" zoomScaleSheetLayoutView="110" workbookViewId="0">
      <selection activeCell="O7" sqref="O7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10.21875" style="63" bestFit="1" customWidth="1" phonetic="1"/>
    <col min="4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65" ht="31.2" ph="1">
      <c r="A1" s="63"/>
      <c r="B1" s="201" t="s" ph="1">
        <v>47</v>
      </c>
      <c r="C1" s="201" ph="1"/>
      <c r="D1" s="201" ph="1"/>
      <c r="E1" s="201" ph="1"/>
      <c r="F1" s="201" ph="1"/>
      <c r="G1" s="201" ph="1"/>
      <c r="H1" s="201" ph="1"/>
      <c r="I1" s="201" ph="1"/>
      <c r="J1" s="201" ph="1"/>
      <c r="K1" s="201" ph="1"/>
      <c r="L1" s="201" ph="1"/>
      <c r="M1" s="201" ph="1"/>
      <c r="N1" s="201" ph="1"/>
      <c r="O1" s="201" ph="1"/>
      <c r="P1" s="201" ph="1"/>
      <c r="Q1" s="201" ph="1"/>
      <c r="R1" s="201" ph="1"/>
      <c r="S1" s="201" ph="1"/>
      <c r="T1" s="201" ph="1"/>
      <c r="U1" s="201" ph="1"/>
      <c r="V1" s="201" ph="1"/>
      <c r="W1" s="201" ph="1"/>
      <c r="X1" s="201" ph="1"/>
      <c r="Y1" s="201" ph="1"/>
      <c r="Z1" s="201" ph="1"/>
      <c r="AA1" s="201" ph="1"/>
      <c r="AB1" s="201" ph="1"/>
      <c r="AC1" s="201" ph="1"/>
      <c r="AD1" s="201" ph="1"/>
      <c r="AE1" s="201" ph="1"/>
    </row>
    <row r="2" spans="1:65" s="65" customFormat="1" ht="24" customHeight="1" ph="1">
      <c r="B2" s="202" t="s" ph="1">
        <v>38</v>
      </c>
      <c r="C2" s="202" ph="1"/>
      <c r="D2" s="202" ph="1"/>
      <c r="E2" s="202" ph="1"/>
      <c r="F2" s="202" ph="1"/>
      <c r="G2" s="202" ph="1"/>
      <c r="H2" s="202" ph="1"/>
      <c r="I2" s="202" ph="1"/>
      <c r="J2" s="202" ph="1"/>
      <c r="K2" s="202" ph="1"/>
      <c r="L2" s="202" ph="1"/>
      <c r="M2" s="202" ph="1"/>
      <c r="N2" s="202" ph="1"/>
      <c r="O2" s="202" ph="1"/>
      <c r="P2" s="202" ph="1"/>
      <c r="Q2" s="202" ph="1"/>
      <c r="R2" s="202" ph="1"/>
      <c r="S2" s="202" ph="1"/>
      <c r="T2" s="202" ph="1"/>
      <c r="U2" s="202" ph="1"/>
      <c r="V2" s="202" ph="1"/>
      <c r="W2" s="202" ph="1"/>
      <c r="X2" s="202" ph="1"/>
      <c r="Y2" s="202" ph="1"/>
      <c r="Z2" s="202" ph="1"/>
      <c r="AA2" s="202" ph="1"/>
      <c r="AB2" s="202" ph="1"/>
      <c r="AC2" s="202" ph="1"/>
      <c r="AD2" s="202" ph="1"/>
      <c r="AE2" s="202" ph="1"/>
    </row>
    <row r="3" spans="1:65" ht="21" customHeight="1" ph="1">
      <c r="B3" s="203" ph="1">
        <v>46084</v>
      </c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</row>
    <row r="4" spans="1:65" s="68" customFormat="1" ph="1">
      <c r="A4" s="64" ph="1"/>
      <c r="B4" s="204" t="s" ph="1">
        <v>28</v>
      </c>
      <c r="C4" s="66" t="s" ph="1">
        <v>53</v>
      </c>
      <c r="D4" s="67" t="s" ph="1">
        <v>32</v>
      </c>
      <c r="E4" s="67" t="s" ph="1">
        <v>33</v>
      </c>
      <c r="F4" s="67" t="s" ph="1">
        <v>30</v>
      </c>
      <c r="G4" s="67" t="s" ph="1">
        <v>68</v>
      </c>
      <c r="H4" s="67" t="s" ph="1">
        <v>69</v>
      </c>
      <c r="I4" s="67" t="s" ph="1">
        <v>70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  <c r="BB4" s="64" ph="1"/>
      <c r="BC4" s="64" ph="1"/>
      <c r="BD4" s="64" ph="1"/>
      <c r="BE4" s="64" ph="1"/>
      <c r="BF4" s="64" ph="1"/>
      <c r="BG4" s="64" ph="1"/>
      <c r="BH4" s="64" ph="1"/>
      <c r="BI4" s="64" ph="1"/>
      <c r="BJ4" s="64" ph="1"/>
      <c r="BK4" s="64" ph="1"/>
      <c r="BL4" s="64" ph="1"/>
      <c r="BM4" s="64" ph="1"/>
    </row>
    <row r="5" spans="1:65" s="68" customFormat="1" ht="29.25" customHeight="1" ph="1">
      <c r="A5" s="64" ph="1"/>
      <c r="B5" s="204" ph="1"/>
      <c r="C5" s="66" t="s" ph="1">
        <v>27</v>
      </c>
      <c r="D5" s="141" t="s" ph="1">
        <v>87</v>
      </c>
      <c r="E5" s="141" t="s" ph="1">
        <v>87</v>
      </c>
      <c r="F5" s="141" t="s" ph="1">
        <v>87</v>
      </c>
      <c r="G5" s="141" t="s" ph="1">
        <v>87</v>
      </c>
      <c r="H5" s="141" t="s" ph="1">
        <v>87</v>
      </c>
      <c r="I5" s="141" t="s" ph="1">
        <v>87</v>
      </c>
      <c r="J5" s="141" t="s" ph="1">
        <v>87</v>
      </c>
      <c r="K5" s="141" t="s" ph="1">
        <v>87</v>
      </c>
      <c r="L5" s="140" t="s" ph="1">
        <v>64</v>
      </c>
      <c r="M5" s="140" t="s" ph="1">
        <v>88</v>
      </c>
      <c r="N5" s="69" t="s" ph="1">
        <v>64</v>
      </c>
      <c r="O5" s="69" t="s" ph="1">
        <v>89</v>
      </c>
      <c r="P5" s="69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  <c r="BB5" s="64" ph="1"/>
      <c r="BC5" s="64" ph="1"/>
      <c r="BD5" s="64" ph="1"/>
      <c r="BE5" s="64" ph="1"/>
      <c r="BF5" s="64" ph="1"/>
      <c r="BG5" s="64" ph="1"/>
      <c r="BH5" s="64" ph="1"/>
      <c r="BI5" s="64" ph="1"/>
      <c r="BJ5" s="64" ph="1"/>
      <c r="BK5" s="64" ph="1"/>
      <c r="BL5" s="64" ph="1"/>
      <c r="BM5" s="64" ph="1"/>
    </row>
    <row r="6" spans="1:65" ph="1">
      <c r="B6" s="200" ph="1">
        <v>0.33333333333333331</v>
      </c>
      <c r="C6" s="148" t="s" ph="1">
        <v>54</v>
      </c>
      <c r="D6" s="154">
        <v>0.01</v>
      </c>
      <c r="E6" s="154">
        <v>0</v>
      </c>
      <c r="F6" s="154">
        <v>0</v>
      </c>
      <c r="G6" s="154">
        <v>0</v>
      </c>
      <c r="H6" s="70">
        <v>8</v>
      </c>
      <c r="I6" s="70">
        <v>0</v>
      </c>
      <c r="J6" s="70">
        <v>6.59</v>
      </c>
      <c r="K6" s="70">
        <v>7.45</v>
      </c>
      <c r="L6" s="70">
        <v>77.02</v>
      </c>
      <c r="M6" s="70">
        <v>247</v>
      </c>
      <c r="N6" s="70">
        <v>2675</v>
      </c>
      <c r="O6" s="70">
        <v>12400</v>
      </c>
      <c r="P6" s="70">
        <v>5783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65" s="71" customFormat="1" ht="22.2" ph="1">
      <c r="B7" s="200" ph="1"/>
      <c r="C7" s="67" t="s" ph="1">
        <v>55</v>
      </c>
      <c r="D7" s="72" ph="1">
        <f>((D6*5200)*4.48+1790)*LOOKUP(D8,密度!$A$2:$A$50,密度!$B$2:$B$50)</f>
        <v>1577.099616</v>
      </c>
      <c r="E7" s="72" ph="1">
        <f>((E6*5200)*4.48+1790)*LOOKUP(E8,密度!$A$2:$A$50,密度!$B$2:$B$50)</f>
        <v>1403.539</v>
      </c>
      <c r="F7" s="72" ph="1">
        <f>((F6*5200)*4.48+1790)*LOOKUP(F8,密度!$A$2:$A$50,密度!$B$2:$B$50)</f>
        <v>1403.539</v>
      </c>
      <c r="G7" s="72" ph="1">
        <f>((G6*5200)*4.48+1790)*LOOKUP(G8,密度!$A$2:$A$50,密度!$B$2:$B$50)</f>
        <v>1403.539</v>
      </c>
      <c r="H7" s="72" ph="1">
        <f>MAX((8640+H6*18.322)*LOOKUP(H8,密度!$A$2:$A$50,密度!$B$2:$B$50),0)</f>
        <v>6889.5542415999998</v>
      </c>
      <c r="I7" s="72" ph="1">
        <f>MAX((8640+I6*18.322)*LOOKUP(I8,密度!$A$2:$A$50,密度!$B$2:$B$50),0)</f>
        <v>6735.7439999999997</v>
      </c>
      <c r="J7" s="72" ph="1">
        <f>MAX((8640+J6*18.322)*LOOKUP(J8,密度!$A$2:$A$50,密度!$B$2:$B$50),0)</f>
        <v>6829.8744476080001</v>
      </c>
      <c r="K7" s="72" ph="1">
        <f>MAX((8640+K6*18.322)*LOOKUP(K8,密度!$A$2:$A$50,密度!$B$2:$B$50),0)</f>
        <v>6842.15854244</v>
      </c>
      <c r="L7" s="72" ph="1">
        <f>L6*26.42*LOOKUP(L8,密度!$A$2:$A$50,密度!$B$2:$B$50)</f>
        <v>1586.38340464</v>
      </c>
      <c r="M7" s="72" ph="1">
        <f>M6*26.42*1</f>
        <v>6525.7400000000007</v>
      </c>
      <c r="N7" s="72" ph="1">
        <f>N6*18.32*LOOKUP(N8,密度!$A$2:$A$50,密度!$B$2:$B$50)</f>
        <v>38381.499199999998</v>
      </c>
      <c r="O7" s="72" ph="1">
        <f>O6*81.71*LOOKUP(O8,密度!$A$2:$A$50,密度!$B$2:$B$50)</f>
        <v>788981.95479999983</v>
      </c>
      <c r="P7" s="72" ph="1">
        <f>P6*81.71*LOOKUP(P8,密度!$A$2:$A$50,密度!$B$2:$B$50)</f>
        <v>371596.75055199995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65" ph="1">
      <c r="B8" s="200" ph="1"/>
      <c r="C8" s="67" t="s" ph="1">
        <v>56</v>
      </c>
      <c r="D8" s="73">
        <v>25</v>
      </c>
      <c r="E8" s="73">
        <v>20</v>
      </c>
      <c r="F8" s="73">
        <v>20</v>
      </c>
      <c r="G8" s="73">
        <v>20</v>
      </c>
      <c r="H8" s="73">
        <v>20</v>
      </c>
      <c r="I8" s="73">
        <v>25</v>
      </c>
      <c r="J8" s="73">
        <v>25</v>
      </c>
      <c r="K8" s="73">
        <v>25</v>
      </c>
      <c r="L8" s="73">
        <v>25</v>
      </c>
      <c r="M8" s="73">
        <v>19</v>
      </c>
      <c r="N8" s="73">
        <v>21</v>
      </c>
      <c r="O8" s="73">
        <v>26</v>
      </c>
      <c r="P8" s="73">
        <v>17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65" ht="26.4" ph="1">
      <c r="B9" s="200" ph="1">
        <v>0.66666666666666663</v>
      </c>
      <c r="C9" s="148" t="s" ph="1">
        <v>57</v>
      </c>
      <c r="D9" s="154">
        <v>0</v>
      </c>
      <c r="E9" s="154">
        <v>0</v>
      </c>
      <c r="F9" s="154">
        <v>0</v>
      </c>
      <c r="G9" s="154">
        <v>0</v>
      </c>
      <c r="H9" s="70">
        <v>1153</v>
      </c>
      <c r="I9" s="70">
        <v>0.08</v>
      </c>
      <c r="J9" s="70">
        <v>6.59</v>
      </c>
      <c r="K9" s="70">
        <v>55.61</v>
      </c>
      <c r="L9" s="70">
        <v>69.69</v>
      </c>
      <c r="M9" s="70">
        <v>792</v>
      </c>
      <c r="N9" s="70">
        <v>4331</v>
      </c>
      <c r="O9" s="70">
        <v>12200</v>
      </c>
      <c r="P9" s="70">
        <v>6479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65" s="71" customFormat="1" ht="22.2" ph="1">
      <c r="B10" s="200" ph="1"/>
      <c r="C10" s="148" t="s" ph="1">
        <v>55</v>
      </c>
      <c r="D10" s="72" ph="1">
        <f>((D9*5200)*4.48+1790)*LOOKUP(D11,密度!$A$2:$A$50,密度!$B$2:$B$50)</f>
        <v>1403.539</v>
      </c>
      <c r="E10" s="72" ph="1">
        <f>((E9*5200)*4.48+1790)*LOOKUP(E11,密度!$A$2:$A$50,密度!$B$2:$B$50)</f>
        <v>1403.539</v>
      </c>
      <c r="F10" s="72" ph="1">
        <f>((F9*5200)*4.48+1790)*LOOKUP(F11,密度!$A$2:$A$50,密度!$B$2:$B$50)</f>
        <v>1403.539</v>
      </c>
      <c r="G10" s="72" ph="1">
        <f>((G9*5200)*4.48+1790)*LOOKUP(G11,密度!$A$2:$A$50,密度!$B$2:$B$50)</f>
        <v>1403.539</v>
      </c>
      <c r="H10" s="72" ph="1">
        <f>MAX((8640+H9*18.322)*LOOKUP(H11,密度!$A$2:$A$50,密度!$B$2:$B$50),0)</f>
        <v>23431.217395200001</v>
      </c>
      <c r="I10" s="72" ph="1">
        <f>MAX((8640+I9*18.322)*LOOKUP(I11,密度!$A$2:$A$50,密度!$B$2:$B$50),0)</f>
        <v>6736.8867064959986</v>
      </c>
      <c r="J10" s="72" ph="1">
        <f>MAX((8640+J9*18.322)*LOOKUP(J11,密度!$A$2:$A$50,密度!$B$2:$B$50),0)</f>
        <v>6829.8744476080001</v>
      </c>
      <c r="K10" s="72" ph="1">
        <f>MAX((8640+K9*18.322)*LOOKUP(K11,密度!$A$2:$A$50,密度!$B$2:$B$50),0)</f>
        <v>7530.0678530320001</v>
      </c>
      <c r="L10" s="72" ph="1">
        <f>L9*26.42*LOOKUP(L11,密度!$A$2:$A$50,密度!$B$2:$B$50)</f>
        <v>1435.40716008</v>
      </c>
      <c r="M10" s="72" ph="1">
        <f>M9*26.42*1</f>
        <v>20924.640000000003</v>
      </c>
      <c r="N10" s="72" ph="1">
        <f>N9*18.32*LOOKUP(N11,密度!$A$2:$A$50,密度!$B$2:$B$50)</f>
        <v>62277.042807999998</v>
      </c>
      <c r="O10" s="72" ph="1">
        <f>O9*81.71*LOOKUP(O11,密度!$A$2:$A$50,密度!$B$2:$B$50)</f>
        <v>777153.61519999988</v>
      </c>
      <c r="P10" s="72" ph="1">
        <f>P9*81.71*LOOKUP(P11,密度!$A$2:$A$50,密度!$B$2:$B$50)</f>
        <v>416742.96364799998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65" ph="1">
      <c r="A11" s="63" t="s" ph="1">
        <v>48</v>
      </c>
      <c r="B11" s="200" ph="1"/>
      <c r="C11" s="148" t="s" ph="1">
        <v>56</v>
      </c>
      <c r="D11" s="73">
        <v>20</v>
      </c>
      <c r="E11" s="73">
        <v>20</v>
      </c>
      <c r="F11" s="73">
        <v>20</v>
      </c>
      <c r="G11" s="73">
        <v>20</v>
      </c>
      <c r="H11" s="73">
        <v>16</v>
      </c>
      <c r="I11" s="73">
        <v>25</v>
      </c>
      <c r="J11" s="73">
        <v>25</v>
      </c>
      <c r="K11" s="73">
        <v>25</v>
      </c>
      <c r="L11" s="73">
        <v>25</v>
      </c>
      <c r="M11" s="73">
        <v>19</v>
      </c>
      <c r="N11" s="73">
        <v>19</v>
      </c>
      <c r="O11" s="73">
        <v>25</v>
      </c>
      <c r="P11" s="73">
        <v>16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65" ht="9.9" customHeight="1" ph="1"/>
    <row r="13" spans="1:65" s="71" customFormat="1" ht="29.25" customHeight="1" ph="1">
      <c r="B13" s="208" t="s" ph="1">
        <v>28</v>
      </c>
      <c r="C13" s="148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65" s="71" customFormat="1" ht="24" ph="1">
      <c r="B14" s="209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65" ph="1">
      <c r="B15" s="210" ph="1">
        <v>0.33333333333333331</v>
      </c>
      <c r="C15" s="148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65" s="71" customFormat="1" ht="22.2" ph="1">
      <c r="B16" s="211" ph="1"/>
      <c r="C16" s="148" t="s" ph="1">
        <v>55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7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12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10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11" ph="1"/>
      <c r="C19" s="148" t="s" ph="1">
        <v>55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11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09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188" t="s" ph="1">
        <v>34</v>
      </c>
      <c r="AA22" s="189"/>
      <c r="AB22" s="189"/>
      <c r="AC22" s="189"/>
      <c r="AD22" s="189"/>
      <c r="AE22" s="190"/>
    </row>
    <row r="23" spans="1:32" ph="1">
      <c r="A23" s="71" ph="1"/>
      <c r="B23" s="204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191" t="s" ph="1">
        <v>90</v>
      </c>
      <c r="AA23" s="192"/>
      <c r="AB23" s="192"/>
      <c r="AC23" s="192"/>
      <c r="AD23" s="192"/>
      <c r="AE23" s="193"/>
    </row>
    <row r="24" spans="1:32" ph="1">
      <c r="A24" s="71" ph="1"/>
      <c r="B24" s="200" ph="1">
        <v>0.33333333333333331</v>
      </c>
      <c r="C24" s="148" t="s" ph="1">
        <v>54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194"/>
      <c r="AA24" s="195"/>
      <c r="AB24" s="195"/>
      <c r="AC24" s="195"/>
      <c r="AD24" s="195"/>
      <c r="AE24" s="196"/>
    </row>
    <row r="25" spans="1:32" ph="1">
      <c r="A25" s="71" ph="1"/>
      <c r="B25" s="200" ph="1"/>
      <c r="C25" s="67" t="s" ph="1">
        <v>55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194"/>
      <c r="AA25" s="195"/>
      <c r="AB25" s="195"/>
      <c r="AC25" s="195"/>
      <c r="AD25" s="195"/>
      <c r="AE25" s="196"/>
    </row>
    <row r="26" spans="1:32" ph="1">
      <c r="A26" s="71" ph="1"/>
      <c r="B26" s="200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194"/>
      <c r="AA26" s="195"/>
      <c r="AB26" s="195"/>
      <c r="AC26" s="195"/>
      <c r="AD26" s="195"/>
      <c r="AE26" s="196"/>
    </row>
    <row r="27" spans="1:32" ht="26.4" ph="1">
      <c r="A27" s="71" ph="1"/>
      <c r="B27" s="200" ph="1">
        <v>0.66666666666666663</v>
      </c>
      <c r="C27" s="148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194"/>
      <c r="AA27" s="195"/>
      <c r="AB27" s="195"/>
      <c r="AC27" s="195"/>
      <c r="AD27" s="195"/>
      <c r="AE27" s="196"/>
    </row>
    <row r="28" spans="1:32" ph="1">
      <c r="A28" s="71" ph="1"/>
      <c r="B28" s="200" ph="1"/>
      <c r="C28" s="148" t="s" ph="1">
        <v>55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194"/>
      <c r="AA28" s="195"/>
      <c r="AB28" s="195"/>
      <c r="AC28" s="195"/>
      <c r="AD28" s="195"/>
      <c r="AE28" s="196"/>
    </row>
    <row r="29" spans="1:32" ph="1">
      <c r="A29" s="71" ph="1"/>
      <c r="B29" s="200" ph="1"/>
      <c r="C29" s="148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197"/>
      <c r="AA29" s="198"/>
      <c r="AB29" s="198"/>
      <c r="AC29" s="198"/>
      <c r="AD29" s="198"/>
      <c r="AE29" s="199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13" t="s" ph="1">
        <v>26</v>
      </c>
      <c r="C31" s="214" ph="1"/>
      <c r="D31" s="205" t="s" ph="1">
        <v>3</v>
      </c>
      <c r="E31" s="206" ph="1"/>
      <c r="F31" s="207" ph="1"/>
      <c r="G31" s="217" ph="1"/>
      <c r="H31" s="206" ph="1"/>
      <c r="I31" s="207" ph="1"/>
      <c r="J31" s="205" ph="1"/>
      <c r="K31" s="206" ph="1"/>
      <c r="L31" s="207" ph="1"/>
      <c r="M31" s="205" ph="1"/>
      <c r="N31" s="206" ph="1"/>
      <c r="O31" s="207" ph="1"/>
      <c r="P31" s="205" ph="1"/>
      <c r="Q31" s="206"/>
      <c r="R31" s="207"/>
      <c r="S31" s="205" ph="1"/>
      <c r="T31" s="206"/>
      <c r="U31" s="207"/>
      <c r="V31" s="205" ph="1"/>
      <c r="W31" s="206" ph="1"/>
      <c r="X31" s="207" ph="1"/>
      <c r="Y31" s="205" ph="1"/>
      <c r="Z31" s="206" ph="1"/>
      <c r="AA31" s="207" ph="1"/>
      <c r="AB31" s="228"/>
      <c r="AC31" s="229"/>
      <c r="AD31" s="229"/>
      <c r="AE31" s="230"/>
    </row>
    <row r="32" spans="1:32" ph="1">
      <c r="A32" s="63"/>
      <c r="B32" s="215" ph="1"/>
      <c r="C32" s="216" ph="1"/>
      <c r="D32" s="95" t="s" ph="1">
        <v>0</v>
      </c>
      <c r="E32" s="148" t="s" ph="1">
        <v>1</v>
      </c>
      <c r="F32" s="149" t="s" ph="1">
        <v>31</v>
      </c>
      <c r="G32" s="96" t="s" ph="1">
        <v>0</v>
      </c>
      <c r="H32" s="148" t="s" ph="1">
        <v>1</v>
      </c>
      <c r="I32" s="149" t="s" ph="1">
        <v>31</v>
      </c>
      <c r="J32" s="96" t="s" ph="1">
        <v>0</v>
      </c>
      <c r="K32" s="148" t="s" ph="1">
        <v>1</v>
      </c>
      <c r="L32" s="149" t="s" ph="1">
        <v>31</v>
      </c>
      <c r="M32" s="96" t="s" ph="1">
        <v>0</v>
      </c>
      <c r="N32" s="148" t="s" ph="1">
        <v>1</v>
      </c>
      <c r="O32" s="149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48" t="s" ph="1">
        <v>1</v>
      </c>
      <c r="U32" s="98" t="s" ph="1">
        <v>31</v>
      </c>
      <c r="V32" s="96" t="s" ph="1">
        <v>0</v>
      </c>
      <c r="W32" s="148" t="s" ph="1">
        <v>1</v>
      </c>
      <c r="X32" s="98" t="s" ph="1">
        <v>31</v>
      </c>
      <c r="Y32" s="99" t="s" ph="1">
        <v>0</v>
      </c>
      <c r="Z32" s="148" t="s" ph="1">
        <v>1</v>
      </c>
      <c r="AA32" s="149" t="s" ph="1">
        <v>31</v>
      </c>
      <c r="AB32" s="96" t="s" ph="1">
        <v>41</v>
      </c>
      <c r="AC32" s="148" t="s" ph="1">
        <v>40</v>
      </c>
      <c r="AD32" s="231" t="s" ph="1">
        <v>39</v>
      </c>
      <c r="AE32" s="232"/>
    </row>
    <row r="33" spans="1:31" ph="1">
      <c r="A33" s="63"/>
      <c r="B33" s="218" t="s" ph="1">
        <v>58</v>
      </c>
      <c r="C33" s="219" ph="1"/>
      <c r="D33" s="222" ph="1">
        <f>O10+P10</f>
        <v>1193896.5788479999</v>
      </c>
      <c r="E33" s="222" ph="1">
        <f>H10+I10+J10+K10</f>
        <v>44528.046402336004</v>
      </c>
      <c r="F33" s="224" ph="1">
        <f>L10+N10</f>
        <v>63712.44996808</v>
      </c>
      <c r="G33" s="226" ph="1">
        <v>0</v>
      </c>
      <c r="H33" s="222" ph="1">
        <v>0</v>
      </c>
      <c r="I33" s="235" ph="1">
        <v>0</v>
      </c>
      <c r="J33" s="233" ph="1">
        <v>0</v>
      </c>
      <c r="K33" s="222" ph="1">
        <v>0</v>
      </c>
      <c r="L33" s="237" ph="1">
        <v>0</v>
      </c>
      <c r="M33" s="233" ph="1">
        <v>0</v>
      </c>
      <c r="N33" s="222" ph="1">
        <v>0</v>
      </c>
      <c r="O33" s="235" ph="1">
        <f>G19</f>
        <v>0</v>
      </c>
      <c r="P33" s="233" ph="1">
        <v>0</v>
      </c>
      <c r="Q33" s="222" ph="1">
        <v>0</v>
      </c>
      <c r="R33" s="235" ph="1">
        <v>0</v>
      </c>
      <c r="S33" s="233" ph="1">
        <v>0</v>
      </c>
      <c r="T33" s="222" ph="1">
        <v>0</v>
      </c>
      <c r="U33" s="243" ph="1">
        <v>0</v>
      </c>
      <c r="V33" s="254" ph="1">
        <v>0</v>
      </c>
      <c r="W33" s="254" ph="1">
        <v>0</v>
      </c>
      <c r="X33" s="235" ph="1">
        <v>0</v>
      </c>
      <c r="Y33" s="256" ph="1">
        <v>0</v>
      </c>
      <c r="Z33" s="241" ph="1">
        <v>0</v>
      </c>
      <c r="AA33" s="243" ph="1">
        <v>0</v>
      </c>
      <c r="AB33" s="245" ph="1">
        <v>0</v>
      </c>
      <c r="AC33" s="247" ph="1">
        <v>0</v>
      </c>
      <c r="AD33" s="249" ph="1">
        <v>0</v>
      </c>
      <c r="AE33" s="250"/>
    </row>
    <row r="34" spans="1:31" ph="1">
      <c r="A34" s="63"/>
      <c r="B34" s="220" ph="1"/>
      <c r="C34" s="221" ph="1"/>
      <c r="D34" s="223" ph="1"/>
      <c r="E34" s="223" ph="1"/>
      <c r="F34" s="225" ph="1"/>
      <c r="G34" s="227" ph="1"/>
      <c r="H34" s="223" ph="1"/>
      <c r="I34" s="236" ph="1"/>
      <c r="J34" s="234" ph="1"/>
      <c r="K34" s="223" ph="1"/>
      <c r="L34" s="238" ph="1"/>
      <c r="M34" s="234" ph="1"/>
      <c r="N34" s="223" ph="1"/>
      <c r="O34" s="236" ph="1"/>
      <c r="P34" s="234" ph="1"/>
      <c r="Q34" s="223" ph="1"/>
      <c r="R34" s="236" ph="1"/>
      <c r="S34" s="234" ph="1"/>
      <c r="T34" s="223"/>
      <c r="U34" s="244"/>
      <c r="V34" s="255" ph="1"/>
      <c r="W34" s="255" ph="1"/>
      <c r="X34" s="236" ph="1"/>
      <c r="Y34" s="257" ph="1"/>
      <c r="Z34" s="242" ph="1"/>
      <c r="AA34" s="244" ph="1"/>
      <c r="AB34" s="246"/>
      <c r="AC34" s="248"/>
      <c r="AD34" s="251"/>
      <c r="AE34" s="252"/>
    </row>
    <row r="35" spans="1:31" ph="1">
      <c r="A35" s="63"/>
      <c r="AC35" s="253" t="s" ph="1">
        <v>65</v>
      </c>
      <c r="AD35" s="253"/>
      <c r="AE35" s="253"/>
    </row>
    <row r="36" spans="1:31" ht="28.2" ph="1">
      <c r="A36" s="63"/>
      <c r="B36" s="102" t="s" ph="1">
        <v>59</v>
      </c>
      <c r="I36" s="239" t="s" ph="1">
        <v>60</v>
      </c>
      <c r="J36" s="239" ph="1"/>
      <c r="K36" s="100" ph="1"/>
      <c r="P36" s="100" ph="1"/>
      <c r="R36" s="239" t="s" ph="1">
        <v>61</v>
      </c>
      <c r="S36" s="239" ph="1"/>
      <c r="Y36" s="101" ph="1"/>
      <c r="Z36" s="150" t="s" ph="1">
        <v>62</v>
      </c>
      <c r="AA36" s="150" ph="1"/>
      <c r="AB36" s="240" t="s" ph="1">
        <v>67</v>
      </c>
      <c r="AC36" s="240" ph="1"/>
      <c r="AD36" s="240" ph="1"/>
      <c r="AE36" s="240" ph="1"/>
    </row>
    <row r="37" spans="1:31" s="150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6 D8:D9 D11">
    <cfRule type="expression" dxfId="1256" priority="117">
      <formula>ABS(D$7-D$10)&gt;=1000</formula>
    </cfRule>
  </conditionalFormatting>
  <conditionalFormatting sqref="E4 E6 E8:E9 E11 H7:L7 H10:L10">
    <cfRule type="expression" dxfId="1255" priority="116">
      <formula>ABS(E$7-E$10)&gt;=1000</formula>
    </cfRule>
  </conditionalFormatting>
  <conditionalFormatting sqref="F4 F6 F8:F9 F11">
    <cfRule type="expression" dxfId="1254" priority="115">
      <formula>ABS(F$7-F$10)&gt;=1000</formula>
    </cfRule>
  </conditionalFormatting>
  <conditionalFormatting sqref="G4 G6 G8:G9 G11">
    <cfRule type="expression" dxfId="1253" priority="114">
      <formula>ABS(G$7-G$10)&gt;=1000</formula>
    </cfRule>
  </conditionalFormatting>
  <conditionalFormatting sqref="H4:K4 H6 H8:H9 H11">
    <cfRule type="expression" dxfId="1252" priority="113">
      <formula>ABS(H$7-H$10)&gt;=1000</formula>
    </cfRule>
  </conditionalFormatting>
  <conditionalFormatting sqref="I6 I8:I9 I11">
    <cfRule type="expression" dxfId="1251" priority="112">
      <formula>ABS(I$7-I$10)&gt;=1000</formula>
    </cfRule>
  </conditionalFormatting>
  <conditionalFormatting sqref="J6 J8:J9 J11">
    <cfRule type="expression" dxfId="1250" priority="111">
      <formula>ABS(J$7-J$10)&gt;=1000</formula>
    </cfRule>
  </conditionalFormatting>
  <conditionalFormatting sqref="K6 K8:K9 K11">
    <cfRule type="expression" dxfId="1249" priority="110">
      <formula>ABS(K$7-K$10)&gt;=1000</formula>
    </cfRule>
  </conditionalFormatting>
  <conditionalFormatting sqref="L4:L6 M4:N4 Q4:S4 L8:L9 L11">
    <cfRule type="expression" dxfId="1248" priority="109">
      <formula>ABS(L$7-L$10)&gt;=1000</formula>
    </cfRule>
  </conditionalFormatting>
  <conditionalFormatting sqref="M6:M11">
    <cfRule type="expression" dxfId="1247" priority="108">
      <formula>ABS(M$7-M$10)&gt;=1000</formula>
    </cfRule>
  </conditionalFormatting>
  <conditionalFormatting sqref="N6 N8:N9 N11">
    <cfRule type="expression" dxfId="1246" priority="107">
      <formula>ABS(N$7-N$10)&gt;=1000</formula>
    </cfRule>
  </conditionalFormatting>
  <conditionalFormatting sqref="Q5:Q11">
    <cfRule type="expression" dxfId="1245" priority="106">
      <formula>ABS(Q$7-Q$10)&gt;=1000</formula>
    </cfRule>
  </conditionalFormatting>
  <conditionalFormatting sqref="R5:R11">
    <cfRule type="expression" dxfId="1244" priority="105">
      <formula>ABS(R$7-R$10)&gt;=1000</formula>
    </cfRule>
  </conditionalFormatting>
  <conditionalFormatting sqref="S5:S11">
    <cfRule type="expression" dxfId="1243" priority="104">
      <formula>ABS(S$7-S$10)&gt;=1000</formula>
    </cfRule>
  </conditionalFormatting>
  <conditionalFormatting sqref="T4:T9 T11">
    <cfRule type="expression" dxfId="1242" priority="103">
      <formula>ABS(T$7-T$10)&gt;=1000</formula>
    </cfRule>
  </conditionalFormatting>
  <conditionalFormatting sqref="U4:U9 U11">
    <cfRule type="expression" dxfId="1241" priority="102">
      <formula>ABS(U$7-U$10)&gt;=1000</formula>
    </cfRule>
  </conditionalFormatting>
  <conditionalFormatting sqref="V4:V9 V11">
    <cfRule type="expression" dxfId="1240" priority="101">
      <formula>ABS(V$7-V$10)&gt;=1000</formula>
    </cfRule>
  </conditionalFormatting>
  <conditionalFormatting sqref="W4:W9 W11">
    <cfRule type="expression" dxfId="1239" priority="100">
      <formula>ABS(W$7-W$10)&gt;=1000</formula>
    </cfRule>
  </conditionalFormatting>
  <conditionalFormatting sqref="X4:X9 X11">
    <cfRule type="expression" dxfId="1238" priority="99">
      <formula>ABS(X$7-X$10)&gt;=1000</formula>
    </cfRule>
  </conditionalFormatting>
  <conditionalFormatting sqref="Y4:Y9 Y11">
    <cfRule type="expression" dxfId="1237" priority="98">
      <formula>ABS(Y$7-Y$10)&gt;=1000</formula>
    </cfRule>
  </conditionalFormatting>
  <conditionalFormatting sqref="Z4:Z11">
    <cfRule type="expression" dxfId="1236" priority="97">
      <formula>ABS(Z$7-Z$10)&gt;=1000</formula>
    </cfRule>
  </conditionalFormatting>
  <conditionalFormatting sqref="AA4:AA11">
    <cfRule type="expression" dxfId="1235" priority="96">
      <formula>ABS(AA$7-AA$10)&gt;=1000</formula>
    </cfRule>
  </conditionalFormatting>
  <conditionalFormatting sqref="AB4:AB11">
    <cfRule type="expression" dxfId="1234" priority="95">
      <formula>ABS(AB$7-AB$10)&gt;=1000</formula>
    </cfRule>
  </conditionalFormatting>
  <conditionalFormatting sqref="AC4 AC6:AC11">
    <cfRule type="expression" dxfId="1233" priority="94">
      <formula>ABS(AC$7-AC$10)&gt;=1000</formula>
    </cfRule>
  </conditionalFormatting>
  <conditionalFormatting sqref="AD4 AD6:AD11">
    <cfRule type="expression" dxfId="1232" priority="93">
      <formula>ABS(AD$7-AD$10)&gt;=1000</formula>
    </cfRule>
  </conditionalFormatting>
  <conditionalFormatting sqref="AE4 AE6:AE11">
    <cfRule type="expression" dxfId="1231" priority="92">
      <formula>ABS(AE$7-AE$10)&gt;=1000</formula>
    </cfRule>
  </conditionalFormatting>
  <conditionalFormatting sqref="D13:D20">
    <cfRule type="expression" dxfId="1230" priority="91">
      <formula>ABS(D$16-D$19)&gt;=1000</formula>
    </cfRule>
  </conditionalFormatting>
  <conditionalFormatting sqref="E13:E20">
    <cfRule type="expression" dxfId="1229" priority="90">
      <formula>ABS(E$16-E$19)&gt;=1000</formula>
    </cfRule>
  </conditionalFormatting>
  <conditionalFormatting sqref="F13 F15:F20">
    <cfRule type="expression" dxfId="1228" priority="89">
      <formula>ABS(F$16-F$19)&gt;=1000</formula>
    </cfRule>
  </conditionalFormatting>
  <conditionalFormatting sqref="G13:G20">
    <cfRule type="expression" dxfId="1227" priority="88">
      <formula>ABS(G$16-G$19)&gt;=1000</formula>
    </cfRule>
  </conditionalFormatting>
  <conditionalFormatting sqref="H13 H15:H20">
    <cfRule type="expression" dxfId="1226" priority="87">
      <formula>ABS(H$16-H$19)&gt;=1000</formula>
    </cfRule>
  </conditionalFormatting>
  <conditionalFormatting sqref="I13:I20">
    <cfRule type="expression" dxfId="1225" priority="86">
      <formula>ABS(I$16-I$19)&gt;=1000</formula>
    </cfRule>
  </conditionalFormatting>
  <conditionalFormatting sqref="J13:J20">
    <cfRule type="expression" dxfId="1224" priority="85">
      <formula>ABS(J$16-J$19)&gt;=1000</formula>
    </cfRule>
  </conditionalFormatting>
  <conditionalFormatting sqref="L13:L20">
    <cfRule type="expression" dxfId="1223" priority="84">
      <formula>ABS(L$16-L$19)&gt;=1000</formula>
    </cfRule>
  </conditionalFormatting>
  <conditionalFormatting sqref="M13 M15 M17:M18 M20">
    <cfRule type="expression" dxfId="1222" priority="83">
      <formula>ABS(M$16-M$19)&gt;=1000</formula>
    </cfRule>
  </conditionalFormatting>
  <conditionalFormatting sqref="N13:N20">
    <cfRule type="expression" dxfId="1221" priority="82">
      <formula>ABS(N$16-N$19)&gt;=1000</formula>
    </cfRule>
  </conditionalFormatting>
  <conditionalFormatting sqref="O13:O20">
    <cfRule type="expression" dxfId="1220" priority="81">
      <formula>ABS(O$16-O$19)&gt;=1000</formula>
    </cfRule>
  </conditionalFormatting>
  <conditionalFormatting sqref="P13:P20">
    <cfRule type="expression" dxfId="1219" priority="80">
      <formula>ABS(P$16-P$19)&gt;=1000</formula>
    </cfRule>
  </conditionalFormatting>
  <conditionalFormatting sqref="Q13 Q15:Q20">
    <cfRule type="expression" dxfId="1218" priority="79">
      <formula>ABS(Q$16-Q$19)&gt;=1000</formula>
    </cfRule>
  </conditionalFormatting>
  <conditionalFormatting sqref="R13:R20">
    <cfRule type="expression" dxfId="1217" priority="78">
      <formula>ABS(R$16-R$19)&gt;=1000</formula>
    </cfRule>
  </conditionalFormatting>
  <conditionalFormatting sqref="S13:S20">
    <cfRule type="expression" dxfId="1216" priority="77">
      <formula>ABS(S$16-S$19)&gt;=1000</formula>
    </cfRule>
  </conditionalFormatting>
  <conditionalFormatting sqref="T13:T20">
    <cfRule type="expression" dxfId="1215" priority="76">
      <formula>ABS(T$16-T$19)&gt;=1000</formula>
    </cfRule>
  </conditionalFormatting>
  <conditionalFormatting sqref="U13:U20">
    <cfRule type="expression" dxfId="1214" priority="75">
      <formula>ABS(U$16-U$19)&gt;=1000</formula>
    </cfRule>
  </conditionalFormatting>
  <conditionalFormatting sqref="V13:V20">
    <cfRule type="expression" dxfId="1213" priority="74">
      <formula>ABS(V$16-V$19)&gt;=1000</formula>
    </cfRule>
  </conditionalFormatting>
  <conditionalFormatting sqref="W13 W20 W15:W18">
    <cfRule type="expression" dxfId="1212" priority="73">
      <formula>ABS(W$16-W$19)&gt;=1000</formula>
    </cfRule>
  </conditionalFormatting>
  <conditionalFormatting sqref="X13 X15:X20 Y19">
    <cfRule type="expression" dxfId="1211" priority="72">
      <formula>ABS(X$16-X$19)&gt;=1000</formula>
    </cfRule>
  </conditionalFormatting>
  <conditionalFormatting sqref="Y13 Y15:Y18 Y20">
    <cfRule type="expression" dxfId="1210" priority="71">
      <formula>ABS(Y$16-Y$19)&gt;=1000</formula>
    </cfRule>
  </conditionalFormatting>
  <conditionalFormatting sqref="Z13:Z20">
    <cfRule type="expression" dxfId="1209" priority="70">
      <formula>ABS(Z$16-Z$19)&gt;=1000</formula>
    </cfRule>
  </conditionalFormatting>
  <conditionalFormatting sqref="AA13:AA20">
    <cfRule type="expression" dxfId="1208" priority="69">
      <formula>ABS(AA$16-AA$19)&gt;=1000</formula>
    </cfRule>
  </conditionalFormatting>
  <conditionalFormatting sqref="AB13 AB15:AB20">
    <cfRule type="expression" dxfId="1207" priority="68">
      <formula>ABS(AB$16-AB$19)&gt;=1000</formula>
    </cfRule>
  </conditionalFormatting>
  <conditionalFormatting sqref="AC13 AC15:AC20">
    <cfRule type="expression" dxfId="1206" priority="67">
      <formula>ABS(AC$16-AC$19)&gt;=1000</formula>
    </cfRule>
  </conditionalFormatting>
  <conditionalFormatting sqref="AD13:AD20">
    <cfRule type="expression" dxfId="1205" priority="66">
      <formula>ABS(AD$16-AD$19)&gt;=1000</formula>
    </cfRule>
  </conditionalFormatting>
  <conditionalFormatting sqref="AE13:AE20">
    <cfRule type="expression" dxfId="1204" priority="65">
      <formula>ABS(AE$16-AE$19)&gt;=1000</formula>
    </cfRule>
  </conditionalFormatting>
  <conditionalFormatting sqref="D22:D29">
    <cfRule type="expression" dxfId="1203" priority="64">
      <formula>ABS(D$25-D$28)&gt;=1000</formula>
    </cfRule>
  </conditionalFormatting>
  <conditionalFormatting sqref="E22:E29">
    <cfRule type="expression" dxfId="1202" priority="63">
      <formula>ABS(E$25-E$28)&gt;=1000</formula>
    </cfRule>
  </conditionalFormatting>
  <conditionalFormatting sqref="F22:F29">
    <cfRule type="expression" dxfId="1201" priority="62">
      <formula>ABS(F$25-F$28)&gt;=1000</formula>
    </cfRule>
  </conditionalFormatting>
  <conditionalFormatting sqref="G22:G29">
    <cfRule type="expression" dxfId="1200" priority="61">
      <formula>ABS(G$25-G$28)&gt;=1000</formula>
    </cfRule>
  </conditionalFormatting>
  <conditionalFormatting sqref="H22:H29">
    <cfRule type="expression" dxfId="1199" priority="60">
      <formula>ABS(H$25-H$28)&gt;=1000</formula>
    </cfRule>
  </conditionalFormatting>
  <conditionalFormatting sqref="I22 I24:I29">
    <cfRule type="expression" dxfId="1198" priority="59">
      <formula>ABS(I$25-I$28)&gt;=1000</formula>
    </cfRule>
  </conditionalFormatting>
  <conditionalFormatting sqref="J22:J29 K22">
    <cfRule type="expression" dxfId="1197" priority="58">
      <formula>ABS(J$25-J$28)&gt;=1000</formula>
    </cfRule>
  </conditionalFormatting>
  <conditionalFormatting sqref="K23:K29 L25 L28">
    <cfRule type="expression" dxfId="1196" priority="57">
      <formula>ABS(K$25-K$28)&gt;=1000</formula>
    </cfRule>
  </conditionalFormatting>
  <conditionalFormatting sqref="L22 L26:L27 L29 L24">
    <cfRule type="expression" dxfId="1195" priority="56">
      <formula>ABS(L$25-L$28)&gt;=1000</formula>
    </cfRule>
  </conditionalFormatting>
  <conditionalFormatting sqref="M22:M29">
    <cfRule type="expression" dxfId="1194" priority="55">
      <formula>ABS(M$25-M$28)&gt;=1000</formula>
    </cfRule>
  </conditionalFormatting>
  <conditionalFormatting sqref="N22:N29">
    <cfRule type="expression" dxfId="1193" priority="54">
      <formula>ABS(N$25-N$28)&gt;=1000</formula>
    </cfRule>
  </conditionalFormatting>
  <conditionalFormatting sqref="O22:O29">
    <cfRule type="expression" dxfId="1192" priority="53">
      <formula>ABS(O$25-O$28)&gt;=1000</formula>
    </cfRule>
  </conditionalFormatting>
  <conditionalFormatting sqref="P22:P29">
    <cfRule type="expression" dxfId="1191" priority="52">
      <formula>ABS(P$25-P$28)&gt;=1000</formula>
    </cfRule>
  </conditionalFormatting>
  <conditionalFormatting sqref="Q22:Q29">
    <cfRule type="expression" dxfId="1190" priority="51">
      <formula>ABS(Q$25-Q$28)&gt;=1000</formula>
    </cfRule>
  </conditionalFormatting>
  <conditionalFormatting sqref="R22:R29">
    <cfRule type="expression" dxfId="1189" priority="50">
      <formula>ABS(R$25-R$28)&gt;=1000</formula>
    </cfRule>
  </conditionalFormatting>
  <conditionalFormatting sqref="S22:S29">
    <cfRule type="expression" dxfId="1188" priority="49">
      <formula>ABS(S$25-S$28)&gt;=1000</formula>
    </cfRule>
  </conditionalFormatting>
  <conditionalFormatting sqref="T22:T29">
    <cfRule type="expression" dxfId="1187" priority="48">
      <formula>ABS(T$25-T$28)&gt;=1000</formula>
    </cfRule>
  </conditionalFormatting>
  <conditionalFormatting sqref="U22:U29">
    <cfRule type="expression" dxfId="1186" priority="47">
      <formula>ABS(U$25-U$28)&gt;=1000</formula>
    </cfRule>
  </conditionalFormatting>
  <conditionalFormatting sqref="V22:V29">
    <cfRule type="expression" dxfId="1185" priority="46">
      <formula>ABS(V$25-V$28)&gt;=1000</formula>
    </cfRule>
  </conditionalFormatting>
  <conditionalFormatting sqref="W22:W29">
    <cfRule type="expression" dxfId="1184" priority="45">
      <formula>ABS(W$25-W$28)&gt;=1000</formula>
    </cfRule>
  </conditionalFormatting>
  <conditionalFormatting sqref="X22:X29">
    <cfRule type="expression" dxfId="1183" priority="44">
      <formula>ABS(X$25-X$28)&gt;=1000</formula>
    </cfRule>
  </conditionalFormatting>
  <conditionalFormatting sqref="Y22:Y29">
    <cfRule type="expression" dxfId="1182" priority="43">
      <formula>ABS(Y$25-Y$28)&gt;=1000</formula>
    </cfRule>
  </conditionalFormatting>
  <conditionalFormatting sqref="I23">
    <cfRule type="expression" dxfId="1181" priority="42">
      <formula>ABS(I$25-I$28)&gt;=1000</formula>
    </cfRule>
  </conditionalFormatting>
  <conditionalFormatting sqref="Q14">
    <cfRule type="expression" dxfId="1180" priority="41">
      <formula>ABS(Q$16-Q$19)&gt;=1000</formula>
    </cfRule>
  </conditionalFormatting>
  <conditionalFormatting sqref="W14">
    <cfRule type="expression" dxfId="1179" priority="40">
      <formula>ABS(W$16-W$19)&gt;=1000</formula>
    </cfRule>
  </conditionalFormatting>
  <conditionalFormatting sqref="X14">
    <cfRule type="expression" dxfId="1178" priority="39">
      <formula>ABS(X$16-X$19)&gt;=1000</formula>
    </cfRule>
  </conditionalFormatting>
  <conditionalFormatting sqref="T10:Y10">
    <cfRule type="expression" dxfId="1177" priority="38">
      <formula>ABS(T$7-T$10)&gt;=1000</formula>
    </cfRule>
  </conditionalFormatting>
  <conditionalFormatting sqref="W19">
    <cfRule type="expression" dxfId="1176" priority="37">
      <formula>ABS(W$16-W$19)&gt;=1000</formula>
    </cfRule>
  </conditionalFormatting>
  <conditionalFormatting sqref="AC5">
    <cfRule type="expression" dxfId="1175" priority="36">
      <formula>ABS(AC$7-AC$10)&gt;=1000</formula>
    </cfRule>
  </conditionalFormatting>
  <conditionalFormatting sqref="M14">
    <cfRule type="expression" dxfId="1174" priority="35">
      <formula>ABS(M$16-M$19)&gt;=1000</formula>
    </cfRule>
  </conditionalFormatting>
  <conditionalFormatting sqref="M16">
    <cfRule type="expression" dxfId="1173" priority="34">
      <formula>ABS(M$16-M$19)&gt;=1000</formula>
    </cfRule>
  </conditionalFormatting>
  <conditionalFormatting sqref="M19">
    <cfRule type="expression" dxfId="1172" priority="33">
      <formula>ABS(M$16-M$19)&gt;=1000</formula>
    </cfRule>
  </conditionalFormatting>
  <conditionalFormatting sqref="K13:K20">
    <cfRule type="expression" dxfId="1171" priority="32">
      <formula>ABS(K$16-K$19)&gt;=1000</formula>
    </cfRule>
  </conditionalFormatting>
  <conditionalFormatting sqref="AB14:AC14">
    <cfRule type="expression" dxfId="1170" priority="31">
      <formula>ABS(AB$16-AB$19)&gt;=1000</formula>
    </cfRule>
  </conditionalFormatting>
  <conditionalFormatting sqref="M5">
    <cfRule type="expression" dxfId="1169" priority="30">
      <formula>ABS(M$7-M$10)&gt;=1000</formula>
    </cfRule>
  </conditionalFormatting>
  <conditionalFormatting sqref="N5">
    <cfRule type="expression" dxfId="1168" priority="29">
      <formula>ABS(N$7-N$10)&gt;=1000</formula>
    </cfRule>
  </conditionalFormatting>
  <conditionalFormatting sqref="L23">
    <cfRule type="expression" dxfId="1167" priority="28">
      <formula>ABS(L$25-L$28)&gt;=1000</formula>
    </cfRule>
  </conditionalFormatting>
  <conditionalFormatting sqref="Y14">
    <cfRule type="expression" dxfId="1166" priority="27">
      <formula>ABS(Y$16-Y$19)&gt;=1000</formula>
    </cfRule>
  </conditionalFormatting>
  <conditionalFormatting sqref="F14">
    <cfRule type="expression" dxfId="1165" priority="26">
      <formula>ABS(F$16-F$19)&gt;=1000</formula>
    </cfRule>
  </conditionalFormatting>
  <conditionalFormatting sqref="H14">
    <cfRule type="expression" dxfId="1164" priority="25">
      <formula>ABS(H$16-H$19)&gt;=1000</formula>
    </cfRule>
  </conditionalFormatting>
  <conditionalFormatting sqref="AD5">
    <cfRule type="expression" dxfId="1163" priority="24">
      <formula>ABS(AD$7-AD$10)&gt;=1000</formula>
    </cfRule>
  </conditionalFormatting>
  <conditionalFormatting sqref="AE5">
    <cfRule type="expression" dxfId="1162" priority="23">
      <formula>ABS(AE$7-AE$10)&gt;=1000</formula>
    </cfRule>
  </conditionalFormatting>
  <conditionalFormatting sqref="D5">
    <cfRule type="expression" dxfId="1161" priority="22">
      <formula>ABS(D$7-D$10)&gt;=1000</formula>
    </cfRule>
  </conditionalFormatting>
  <conditionalFormatting sqref="E5:G5">
    <cfRule type="expression" dxfId="1160" priority="21">
      <formula>ABS(E$7-E$10)&gt;=1000</formula>
    </cfRule>
  </conditionalFormatting>
  <conditionalFormatting sqref="H5:K5">
    <cfRule type="expression" dxfId="1159" priority="20">
      <formula>ABS(H$7-H$10)&gt;=1000</formula>
    </cfRule>
  </conditionalFormatting>
  <conditionalFormatting sqref="O4:P4">
    <cfRule type="expression" dxfId="1158" priority="19">
      <formula>ABS(O$7-O$10)&gt;=1000</formula>
    </cfRule>
  </conditionalFormatting>
  <conditionalFormatting sqref="O5:O6 O8:O9 O11">
    <cfRule type="expression" dxfId="1157" priority="18">
      <formula>ABS(O$7-O$10)&gt;=1000</formula>
    </cfRule>
  </conditionalFormatting>
  <conditionalFormatting sqref="P6 P8:P9 P11">
    <cfRule type="expression" dxfId="1156" priority="17">
      <formula>ABS(P$7-P$10)&gt;=1000</formula>
    </cfRule>
  </conditionalFormatting>
  <conditionalFormatting sqref="P5">
    <cfRule type="expression" dxfId="1155" priority="16">
      <formula>ABS(P$7-P$10)&gt;=1000</formula>
    </cfRule>
  </conditionalFormatting>
  <conditionalFormatting sqref="F7">
    <cfRule type="expression" dxfId="1154" priority="6">
      <formula>ABS(F$7-F$10)&gt;=1000</formula>
    </cfRule>
  </conditionalFormatting>
  <conditionalFormatting sqref="O7:P7">
    <cfRule type="expression" dxfId="1153" priority="13">
      <formula>ABS(O$7-O$10)&gt;=1000</formula>
    </cfRule>
  </conditionalFormatting>
  <conditionalFormatting sqref="O10:P10">
    <cfRule type="expression" dxfId="1152" priority="12">
      <formula>ABS(O$7-O$10)&gt;=1000</formula>
    </cfRule>
  </conditionalFormatting>
  <conditionalFormatting sqref="N7">
    <cfRule type="expression" dxfId="1151" priority="11">
      <formula>ABS(N$7-N$10)&gt;=1000</formula>
    </cfRule>
  </conditionalFormatting>
  <conditionalFormatting sqref="N10">
    <cfRule type="expression" dxfId="1150" priority="10">
      <formula>ABS(N$7-N$10)&gt;=1000</formula>
    </cfRule>
  </conditionalFormatting>
  <conditionalFormatting sqref="D7">
    <cfRule type="expression" dxfId="1149" priority="9">
      <formula>ABS(D$7-D$10)&gt;=1000</formula>
    </cfRule>
  </conditionalFormatting>
  <conditionalFormatting sqref="D10">
    <cfRule type="expression" dxfId="1148" priority="4">
      <formula>ABS(D$7-D$10)&gt;=1000</formula>
    </cfRule>
  </conditionalFormatting>
  <conditionalFormatting sqref="E7">
    <cfRule type="expression" dxfId="1147" priority="7">
      <formula>ABS(E$7-E$10)&gt;=1000</formula>
    </cfRule>
  </conditionalFormatting>
  <conditionalFormatting sqref="G7">
    <cfRule type="expression" dxfId="1146" priority="5">
      <formula>ABS(G$7-G$10)&gt;=1000</formula>
    </cfRule>
  </conditionalFormatting>
  <conditionalFormatting sqref="E10">
    <cfRule type="expression" dxfId="1145" priority="3">
      <formula>ABS(E$7-E$10)&gt;=1000</formula>
    </cfRule>
  </conditionalFormatting>
  <conditionalFormatting sqref="F10">
    <cfRule type="expression" dxfId="1144" priority="2">
      <formula>ABS(F$7-F$10)&gt;=1000</formula>
    </cfRule>
  </conditionalFormatting>
  <conditionalFormatting sqref="G10">
    <cfRule type="expression" dxfId="1143" priority="1">
      <formula>ABS(G$7-G$10)&gt;=1000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29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18">
    <pageSetUpPr fitToPage="1"/>
  </sheetPr>
  <dimension ref="A1:BA223"/>
  <sheetViews>
    <sheetView view="pageBreakPreview" zoomScale="110" zoomScaleNormal="100" zoomScaleSheetLayoutView="110" workbookViewId="0">
      <selection activeCell="L20" sqref="L19:L20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01" t="s" ph="1">
        <v>47</v>
      </c>
      <c r="C1" s="201" ph="1"/>
      <c r="D1" s="201" ph="1"/>
      <c r="E1" s="201" ph="1"/>
      <c r="F1" s="201" ph="1"/>
      <c r="G1" s="201" ph="1"/>
      <c r="H1" s="201" ph="1"/>
      <c r="I1" s="201" ph="1"/>
      <c r="J1" s="201" ph="1"/>
      <c r="K1" s="201" ph="1"/>
      <c r="L1" s="201" ph="1"/>
      <c r="M1" s="201" ph="1"/>
      <c r="N1" s="201" ph="1"/>
      <c r="O1" s="201" ph="1"/>
      <c r="P1" s="201" ph="1"/>
      <c r="Q1" s="201" ph="1"/>
      <c r="R1" s="201" ph="1"/>
      <c r="S1" s="201" ph="1"/>
      <c r="T1" s="201" ph="1"/>
      <c r="U1" s="201" ph="1"/>
      <c r="V1" s="201" ph="1"/>
      <c r="W1" s="201" ph="1"/>
      <c r="X1" s="201" ph="1"/>
      <c r="Y1" s="201" ph="1"/>
      <c r="Z1" s="201" ph="1"/>
      <c r="AA1" s="201" ph="1"/>
      <c r="AB1" s="201" ph="1"/>
      <c r="AC1" s="201" ph="1"/>
      <c r="AD1" s="201" ph="1"/>
      <c r="AE1" s="201" ph="1"/>
    </row>
    <row r="2" spans="1:53" s="65" customFormat="1" ht="24" customHeight="1" ph="1">
      <c r="B2" s="202" t="s" ph="1">
        <v>38</v>
      </c>
      <c r="C2" s="202" ph="1"/>
      <c r="D2" s="202" ph="1"/>
      <c r="E2" s="202" ph="1"/>
      <c r="F2" s="202" ph="1"/>
      <c r="G2" s="202" ph="1"/>
      <c r="H2" s="202" ph="1"/>
      <c r="I2" s="202" ph="1"/>
      <c r="J2" s="202" ph="1"/>
      <c r="K2" s="202" ph="1"/>
      <c r="L2" s="202" ph="1"/>
      <c r="M2" s="202" ph="1"/>
      <c r="N2" s="202" ph="1"/>
      <c r="O2" s="202" ph="1"/>
      <c r="P2" s="202" ph="1"/>
      <c r="Q2" s="202" ph="1"/>
      <c r="R2" s="202" ph="1"/>
      <c r="S2" s="202" ph="1"/>
      <c r="T2" s="202" ph="1"/>
      <c r="U2" s="202" ph="1"/>
      <c r="V2" s="202" ph="1"/>
      <c r="W2" s="202" ph="1"/>
      <c r="X2" s="202" ph="1"/>
      <c r="Y2" s="202" ph="1"/>
      <c r="Z2" s="202" ph="1"/>
      <c r="AA2" s="202" ph="1"/>
      <c r="AB2" s="202" ph="1"/>
      <c r="AC2" s="202" ph="1"/>
      <c r="AD2" s="202" ph="1"/>
      <c r="AE2" s="202" ph="1"/>
    </row>
    <row r="3" spans="1:53" ht="21" customHeight="1" ph="1">
      <c r="B3" s="203" ph="1">
        <v>46052</v>
      </c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</row>
    <row r="4" spans="1:53" s="68" customFormat="1" ph="1">
      <c r="A4" s="64" ph="1"/>
      <c r="B4" s="204" t="s" ph="1">
        <v>28</v>
      </c>
      <c r="C4" s="66" t="s" ph="1">
        <v>53</v>
      </c>
      <c r="D4" s="67" t="s" ph="1">
        <v>32</v>
      </c>
      <c r="E4" s="67" t="s" ph="1">
        <v>33</v>
      </c>
      <c r="F4" s="67" t="s" ph="1">
        <v>30</v>
      </c>
      <c r="G4" s="67" t="s" ph="1">
        <v>68</v>
      </c>
      <c r="H4" s="67" t="s" ph="1">
        <v>69</v>
      </c>
      <c r="I4" s="67" t="s" ph="1">
        <v>70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04" ph="1"/>
      <c r="C5" s="66" t="s" ph="1">
        <v>27</v>
      </c>
      <c r="D5" s="141" t="s" ph="1">
        <v>87</v>
      </c>
      <c r="E5" s="141" t="s" ph="1">
        <v>87</v>
      </c>
      <c r="F5" s="141" t="s" ph="1">
        <v>87</v>
      </c>
      <c r="G5" s="141" t="s" ph="1">
        <v>87</v>
      </c>
      <c r="H5" s="141" t="s" ph="1">
        <v>87</v>
      </c>
      <c r="I5" s="141" t="s" ph="1">
        <v>87</v>
      </c>
      <c r="J5" s="141" t="s" ph="1">
        <v>87</v>
      </c>
      <c r="K5" s="141" t="s" ph="1">
        <v>87</v>
      </c>
      <c r="L5" s="140" t="s" ph="1">
        <v>64</v>
      </c>
      <c r="M5" s="140" t="s" ph="1">
        <v>88</v>
      </c>
      <c r="N5" s="69" t="s" ph="1">
        <v>64</v>
      </c>
      <c r="O5" s="69" t="s" ph="1">
        <v>89</v>
      </c>
      <c r="P5" s="69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00" ph="1">
        <v>0.33333333333333331</v>
      </c>
      <c r="C6" s="145" t="s" ph="1">
        <v>54</v>
      </c>
      <c r="D6" s="155">
        <v>0.01</v>
      </c>
      <c r="E6" s="155">
        <v>0.01</v>
      </c>
      <c r="F6" s="155">
        <v>0.01</v>
      </c>
      <c r="G6" s="155">
        <v>0.01</v>
      </c>
      <c r="H6" s="155">
        <v>0.1</v>
      </c>
      <c r="I6" s="155">
        <v>0</v>
      </c>
      <c r="J6" s="155">
        <v>0</v>
      </c>
      <c r="K6" s="155">
        <v>0</v>
      </c>
      <c r="L6" s="155">
        <v>0</v>
      </c>
      <c r="M6" s="155">
        <v>0</v>
      </c>
      <c r="N6" s="155">
        <v>0</v>
      </c>
      <c r="O6" s="155">
        <v>1</v>
      </c>
      <c r="P6" s="155">
        <v>5.5500000000000001E-2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00" ph="1"/>
      <c r="C7" s="67" t="s" ph="1">
        <v>55</v>
      </c>
      <c r="D7" s="72" ph="1">
        <f>((D6*5200)*4.48+1790)*LOOKUP(D8,密度!$A$2:$A$50,密度!$B$2:$B$50)</f>
        <v>1584.3822720000001</v>
      </c>
      <c r="E7" s="72" ph="1">
        <f>((E6*5200)*4.48+1790)*LOOKUP(E8,密度!$A$2:$A$50,密度!$B$2:$B$50)</f>
        <v>1592.4741120000001</v>
      </c>
      <c r="F7" s="72" ph="1">
        <f>((F6*5200)*4.48+1790)*LOOKUP(F8,密度!$A$2:$A$50,密度!$B$2:$B$50)</f>
        <v>1592.4741120000001</v>
      </c>
      <c r="G7" s="72" ph="1">
        <f>((G6*5200)*4.48+1790)*LOOKUP(G8,密度!$A$2:$A$50,密度!$B$2:$B$50)</f>
        <v>1592.4741120000001</v>
      </c>
      <c r="H7" s="72" ph="1">
        <f>((H6*5200)*18.322+8640)*LOOKUP(H8,密度!$A$2:$A$50,密度!$B$2:$B$50)</f>
        <v>14332.293416</v>
      </c>
      <c r="I7" s="72" ph="1">
        <f>((I6*5200)*18.322+8640)*LOOKUP(I8,密度!$A$2:$A$50,密度!$B$2:$B$50)</f>
        <v>6735.7439999999997</v>
      </c>
      <c r="J7" s="72" ph="1">
        <f>((J6*5200)*18.322+8640)*LOOKUP(J8,密度!$A$2:$A$50,密度!$B$2:$B$50)</f>
        <v>6735.7439999999997</v>
      </c>
      <c r="K7" s="72" ph="1">
        <f>((K6*5200)*18.322+8640)*LOOKUP(K8,密度!$A$2:$A$50,密度!$B$2:$B$50)</f>
        <v>6735.7439999999997</v>
      </c>
      <c r="L7" s="72" ph="1">
        <f>(L6*6650)*26.42*LOOKUP(L8,密度!$A$2:$A$50,密度!$B$2:$B$50)</f>
        <v>0</v>
      </c>
      <c r="M7" s="72" ph="1">
        <f>(M6*6650)*26.42*1</f>
        <v>0</v>
      </c>
      <c r="N7" s="72" ph="1">
        <f>(N6*5150)*18.32*LOOKUP(N8,密度!$A$2:$A$50,密度!$B$2:$B$50)</f>
        <v>0</v>
      </c>
      <c r="O7" s="72" ph="1">
        <f>(O6*12400)*81.71*LOOKUP(O8,密度!$A$2:$A$50,密度!$B$2:$B$50)</f>
        <v>789893.83839999989</v>
      </c>
      <c r="P7" s="72" ph="1">
        <f>(P6*12400)*81.71*LOOKUP(P8,密度!$A$2:$A$50,密度!$B$2:$B$50)</f>
        <v>44311.463736000005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00" ph="1"/>
      <c r="C8" s="67" t="s" ph="1">
        <v>56</v>
      </c>
      <c r="D8" s="73">
        <v>21</v>
      </c>
      <c r="E8" s="73">
        <v>16</v>
      </c>
      <c r="F8" s="73">
        <v>16</v>
      </c>
      <c r="G8" s="73">
        <v>16</v>
      </c>
      <c r="H8" s="73">
        <v>14</v>
      </c>
      <c r="I8" s="73">
        <v>25</v>
      </c>
      <c r="J8" s="73">
        <v>25</v>
      </c>
      <c r="K8" s="73">
        <v>25</v>
      </c>
      <c r="L8" s="73">
        <v>25</v>
      </c>
      <c r="M8" s="73">
        <v>16</v>
      </c>
      <c r="N8" s="73">
        <v>18</v>
      </c>
      <c r="O8" s="73">
        <v>25</v>
      </c>
      <c r="P8" s="73">
        <v>15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00" ph="1">
        <v>0.66666666666666663</v>
      </c>
      <c r="C9" s="145" t="s" ph="1">
        <v>57</v>
      </c>
      <c r="D9" s="155">
        <v>0.05</v>
      </c>
      <c r="E9" s="155">
        <v>0.05</v>
      </c>
      <c r="F9" s="155">
        <v>0.05</v>
      </c>
      <c r="G9" s="155">
        <v>0.05</v>
      </c>
      <c r="H9" s="155">
        <v>0</v>
      </c>
      <c r="I9" s="155">
        <v>0</v>
      </c>
      <c r="J9" s="155">
        <v>0</v>
      </c>
      <c r="K9" s="155">
        <v>0</v>
      </c>
      <c r="L9" s="155">
        <v>0</v>
      </c>
      <c r="M9" s="155">
        <v>0</v>
      </c>
      <c r="N9" s="155">
        <v>0</v>
      </c>
      <c r="O9" s="155">
        <v>2.2200000000000001E-2</v>
      </c>
      <c r="P9" s="155">
        <v>0.05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00" ph="1"/>
      <c r="C10" s="145" t="s" ph="1">
        <v>55</v>
      </c>
      <c r="D10" s="72" ph="1">
        <f>((D9*5200)*4.48+1790)*LOOKUP(D11,密度!$A$2:$A$50,密度!$B$2:$B$50)</f>
        <v>2314.1993600000001</v>
      </c>
      <c r="E10" s="72" ph="1">
        <f>((E9*5200)*4.48+1790)*LOOKUP(E11,密度!$A$2:$A$50,密度!$B$2:$B$50)</f>
        <v>2321.5863599999998</v>
      </c>
      <c r="F10" s="72" ph="1">
        <f>((F9*5200)*4.48+1790)*LOOKUP(F11,密度!$A$2:$A$50,密度!$B$2:$B$50)</f>
        <v>2321.5863599999998</v>
      </c>
      <c r="G10" s="72" ph="1">
        <f>((G9*5200)*4.48+1790)*LOOKUP(G11,密度!$A$2:$A$50,密度!$B$2:$B$50)</f>
        <v>2321.5863599999998</v>
      </c>
      <c r="H10" s="72" ph="1">
        <f>((H9*5200)*18.322+8640)*LOOKUP(H11,密度!$A$2:$A$50,密度!$B$2:$B$50)</f>
        <v>6735.7439999999997</v>
      </c>
      <c r="I10" s="72" ph="1">
        <f>((I9*5200)*18.322+8640)*LOOKUP(I11,密度!$A$2:$A$50,密度!$B$2:$B$50)</f>
        <v>6735.7439999999997</v>
      </c>
      <c r="J10" s="72" ph="1">
        <f>((J9*5200)*18.322+8640)*LOOKUP(J11,密度!$A$2:$A$50,密度!$B$2:$B$50)</f>
        <v>6735.7439999999997</v>
      </c>
      <c r="K10" s="72" ph="1">
        <f>((K9*5200)*18.322+8640)*LOOKUP(K11,密度!$A$2:$A$50,密度!$B$2:$B$50)</f>
        <v>6735.7439999999997</v>
      </c>
      <c r="L10" s="72" ph="1">
        <f>(L9*6650)*26.42*LOOKUP(L11,密度!$A$2:$A$50,密度!$B$2:$B$50)</f>
        <v>0</v>
      </c>
      <c r="M10" s="72" ph="1">
        <f>(M9*6650)*26.42*1</f>
        <v>0</v>
      </c>
      <c r="N10" s="72" ph="1">
        <f>N9*18.32*LOOKUP(N11,密度!$A$2:$A$50,密度!$B$2:$B$50)</f>
        <v>0</v>
      </c>
      <c r="O10" s="72" ph="1">
        <f>(O9*12400)*81.71*LOOKUP(O11,密度!$A$2:$A$50,密度!$B$2:$B$50)</f>
        <v>17535.643212480001</v>
      </c>
      <c r="P10" s="72" ph="1">
        <f>(P9*12400)*81.71*LOOKUP(P11,密度!$A$2:$A$50,密度!$B$2:$B$50)</f>
        <v>39879.709439999999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00" ph="1"/>
      <c r="C11" s="145" t="s" ph="1">
        <v>56</v>
      </c>
      <c r="D11" s="73">
        <v>21</v>
      </c>
      <c r="E11" s="73">
        <v>18</v>
      </c>
      <c r="F11" s="73">
        <v>18</v>
      </c>
      <c r="G11" s="73">
        <v>18</v>
      </c>
      <c r="H11" s="73">
        <v>25</v>
      </c>
      <c r="I11" s="73">
        <v>25</v>
      </c>
      <c r="J11" s="73">
        <v>25</v>
      </c>
      <c r="K11" s="73">
        <v>25</v>
      </c>
      <c r="L11" s="73">
        <v>25</v>
      </c>
      <c r="M11" s="73">
        <v>19</v>
      </c>
      <c r="N11" s="73">
        <v>19</v>
      </c>
      <c r="O11" s="73">
        <v>25</v>
      </c>
      <c r="P11" s="73">
        <v>16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/>
    <row r="13" spans="1:53" s="71" customFormat="1" ht="29.25" customHeight="1" ph="1">
      <c r="B13" s="208" t="s" ph="1">
        <v>28</v>
      </c>
      <c r="C13" s="145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09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10" ph="1">
        <v>0.33333333333333331</v>
      </c>
      <c r="C15" s="145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2.2" ph="1">
      <c r="B16" s="211" ph="1"/>
      <c r="C16" s="145" t="s" ph="1">
        <v>55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7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12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10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11" ph="1"/>
      <c r="C19" s="145" t="s" ph="1">
        <v>55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11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09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188" t="s" ph="1">
        <v>34</v>
      </c>
      <c r="AA22" s="189"/>
      <c r="AB22" s="189"/>
      <c r="AC22" s="189"/>
      <c r="AD22" s="189"/>
      <c r="AE22" s="190"/>
    </row>
    <row r="23" spans="1:32" ph="1">
      <c r="A23" s="71" ph="1"/>
      <c r="B23" s="204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191" t="s" ph="1">
        <v>90</v>
      </c>
      <c r="AA23" s="192"/>
      <c r="AB23" s="192"/>
      <c r="AC23" s="192"/>
      <c r="AD23" s="192"/>
      <c r="AE23" s="193"/>
    </row>
    <row r="24" spans="1:32" ph="1">
      <c r="A24" s="71" ph="1"/>
      <c r="B24" s="200" ph="1">
        <v>0.33333333333333331</v>
      </c>
      <c r="C24" s="145" t="s" ph="1">
        <v>54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194"/>
      <c r="AA24" s="195"/>
      <c r="AB24" s="195"/>
      <c r="AC24" s="195"/>
      <c r="AD24" s="195"/>
      <c r="AE24" s="196"/>
    </row>
    <row r="25" spans="1:32" ph="1">
      <c r="A25" s="71" ph="1"/>
      <c r="B25" s="200" ph="1"/>
      <c r="C25" s="67" t="s" ph="1">
        <v>55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194"/>
      <c r="AA25" s="195"/>
      <c r="AB25" s="195"/>
      <c r="AC25" s="195"/>
      <c r="AD25" s="195"/>
      <c r="AE25" s="196"/>
    </row>
    <row r="26" spans="1:32" ph="1">
      <c r="A26" s="71" ph="1"/>
      <c r="B26" s="200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194"/>
      <c r="AA26" s="195"/>
      <c r="AB26" s="195"/>
      <c r="AC26" s="195"/>
      <c r="AD26" s="195"/>
      <c r="AE26" s="196"/>
    </row>
    <row r="27" spans="1:32" ht="26.4" ph="1">
      <c r="A27" s="71" ph="1"/>
      <c r="B27" s="200" ph="1">
        <v>0.66666666666666663</v>
      </c>
      <c r="C27" s="145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194"/>
      <c r="AA27" s="195"/>
      <c r="AB27" s="195"/>
      <c r="AC27" s="195"/>
      <c r="AD27" s="195"/>
      <c r="AE27" s="196"/>
    </row>
    <row r="28" spans="1:32" ph="1">
      <c r="A28" s="71" ph="1"/>
      <c r="B28" s="200" ph="1"/>
      <c r="C28" s="145" t="s" ph="1">
        <v>55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194"/>
      <c r="AA28" s="195"/>
      <c r="AB28" s="195"/>
      <c r="AC28" s="195"/>
      <c r="AD28" s="195"/>
      <c r="AE28" s="196"/>
    </row>
    <row r="29" spans="1:32" ph="1">
      <c r="A29" s="71" ph="1"/>
      <c r="B29" s="200" ph="1"/>
      <c r="C29" s="145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197"/>
      <c r="AA29" s="198"/>
      <c r="AB29" s="198"/>
      <c r="AC29" s="198"/>
      <c r="AD29" s="198"/>
      <c r="AE29" s="199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13" t="s" ph="1">
        <v>26</v>
      </c>
      <c r="C31" s="214" ph="1"/>
      <c r="D31" s="205" t="s" ph="1">
        <v>3</v>
      </c>
      <c r="E31" s="206" ph="1"/>
      <c r="F31" s="207" ph="1"/>
      <c r="G31" s="217" ph="1"/>
      <c r="H31" s="206" ph="1"/>
      <c r="I31" s="207" ph="1"/>
      <c r="J31" s="205" ph="1"/>
      <c r="K31" s="206" ph="1"/>
      <c r="L31" s="207" ph="1"/>
      <c r="M31" s="205" ph="1"/>
      <c r="N31" s="206" ph="1"/>
      <c r="O31" s="207" ph="1"/>
      <c r="P31" s="205" ph="1"/>
      <c r="Q31" s="206"/>
      <c r="R31" s="207"/>
      <c r="S31" s="205" ph="1"/>
      <c r="T31" s="206"/>
      <c r="U31" s="207"/>
      <c r="V31" s="205" ph="1"/>
      <c r="W31" s="206" ph="1"/>
      <c r="X31" s="207" ph="1"/>
      <c r="Y31" s="205" ph="1"/>
      <c r="Z31" s="206" ph="1"/>
      <c r="AA31" s="207" ph="1"/>
      <c r="AB31" s="228"/>
      <c r="AC31" s="229"/>
      <c r="AD31" s="229"/>
      <c r="AE31" s="230"/>
    </row>
    <row r="32" spans="1:32" ph="1">
      <c r="A32" s="63"/>
      <c r="B32" s="215" ph="1"/>
      <c r="C32" s="216" ph="1"/>
      <c r="D32" s="95" t="s" ph="1">
        <v>0</v>
      </c>
      <c r="E32" s="145" t="s" ph="1">
        <v>1</v>
      </c>
      <c r="F32" s="144" t="s" ph="1">
        <v>31</v>
      </c>
      <c r="G32" s="96" t="s" ph="1">
        <v>0</v>
      </c>
      <c r="H32" s="145" t="s" ph="1">
        <v>1</v>
      </c>
      <c r="I32" s="144" t="s" ph="1">
        <v>31</v>
      </c>
      <c r="J32" s="96" t="s" ph="1">
        <v>0</v>
      </c>
      <c r="K32" s="145" t="s" ph="1">
        <v>1</v>
      </c>
      <c r="L32" s="144" t="s" ph="1">
        <v>31</v>
      </c>
      <c r="M32" s="96" t="s" ph="1">
        <v>0</v>
      </c>
      <c r="N32" s="145" t="s" ph="1">
        <v>1</v>
      </c>
      <c r="O32" s="144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45" t="s" ph="1">
        <v>1</v>
      </c>
      <c r="U32" s="98" t="s" ph="1">
        <v>31</v>
      </c>
      <c r="V32" s="96" t="s" ph="1">
        <v>0</v>
      </c>
      <c r="W32" s="145" t="s" ph="1">
        <v>1</v>
      </c>
      <c r="X32" s="98" t="s" ph="1">
        <v>31</v>
      </c>
      <c r="Y32" s="99" t="s" ph="1">
        <v>0</v>
      </c>
      <c r="Z32" s="145" t="s" ph="1">
        <v>1</v>
      </c>
      <c r="AA32" s="144" t="s" ph="1">
        <v>31</v>
      </c>
      <c r="AB32" s="96" t="s" ph="1">
        <v>41</v>
      </c>
      <c r="AC32" s="145" t="s" ph="1">
        <v>40</v>
      </c>
      <c r="AD32" s="231" t="s" ph="1">
        <v>39</v>
      </c>
      <c r="AE32" s="232"/>
    </row>
    <row r="33" spans="1:31" ph="1">
      <c r="A33" s="63"/>
      <c r="B33" s="218" t="s" ph="1">
        <v>58</v>
      </c>
      <c r="C33" s="219" ph="1"/>
      <c r="D33" s="222" ph="1">
        <f>O10+P10</f>
        <v>57415.352652479996</v>
      </c>
      <c r="E33" s="222" ph="1">
        <f>H10+I10+J10+K10</f>
        <v>26942.975999999999</v>
      </c>
      <c r="F33" s="224" ph="1">
        <f>L10+N10</f>
        <v>0</v>
      </c>
      <c r="G33" s="226" ph="1">
        <v>0</v>
      </c>
      <c r="H33" s="222" ph="1">
        <v>0</v>
      </c>
      <c r="I33" s="235" ph="1">
        <v>0</v>
      </c>
      <c r="J33" s="233" ph="1">
        <v>0</v>
      </c>
      <c r="K33" s="222" ph="1">
        <v>0</v>
      </c>
      <c r="L33" s="237" ph="1">
        <v>0</v>
      </c>
      <c r="M33" s="233" ph="1">
        <v>0</v>
      </c>
      <c r="N33" s="222" ph="1">
        <v>0</v>
      </c>
      <c r="O33" s="235" ph="1">
        <f>G19</f>
        <v>0</v>
      </c>
      <c r="P33" s="233" ph="1">
        <v>0</v>
      </c>
      <c r="Q33" s="222" ph="1">
        <v>0</v>
      </c>
      <c r="R33" s="235" ph="1">
        <v>0</v>
      </c>
      <c r="S33" s="233" ph="1">
        <v>0</v>
      </c>
      <c r="T33" s="222" ph="1">
        <v>0</v>
      </c>
      <c r="U33" s="243" ph="1">
        <v>0</v>
      </c>
      <c r="V33" s="254" ph="1">
        <v>0</v>
      </c>
      <c r="W33" s="254" ph="1">
        <v>0</v>
      </c>
      <c r="X33" s="235" ph="1">
        <v>0</v>
      </c>
      <c r="Y33" s="256" ph="1">
        <v>0</v>
      </c>
      <c r="Z33" s="241" ph="1">
        <v>0</v>
      </c>
      <c r="AA33" s="243" ph="1">
        <v>0</v>
      </c>
      <c r="AB33" s="245" ph="1">
        <v>0</v>
      </c>
      <c r="AC33" s="247" ph="1">
        <v>0</v>
      </c>
      <c r="AD33" s="249" ph="1">
        <v>0</v>
      </c>
      <c r="AE33" s="250"/>
    </row>
    <row r="34" spans="1:31" ph="1">
      <c r="A34" s="63"/>
      <c r="B34" s="220" ph="1"/>
      <c r="C34" s="221" ph="1"/>
      <c r="D34" s="223" ph="1"/>
      <c r="E34" s="223" ph="1"/>
      <c r="F34" s="225" ph="1"/>
      <c r="G34" s="227" ph="1"/>
      <c r="H34" s="223" ph="1"/>
      <c r="I34" s="236" ph="1"/>
      <c r="J34" s="234" ph="1"/>
      <c r="K34" s="223" ph="1"/>
      <c r="L34" s="238" ph="1"/>
      <c r="M34" s="234" ph="1"/>
      <c r="N34" s="223" ph="1"/>
      <c r="O34" s="236" ph="1"/>
      <c r="P34" s="234" ph="1"/>
      <c r="Q34" s="223" ph="1"/>
      <c r="R34" s="236" ph="1"/>
      <c r="S34" s="234" ph="1"/>
      <c r="T34" s="223"/>
      <c r="U34" s="244"/>
      <c r="V34" s="255" ph="1"/>
      <c r="W34" s="255" ph="1"/>
      <c r="X34" s="236" ph="1"/>
      <c r="Y34" s="257" ph="1"/>
      <c r="Z34" s="242" ph="1"/>
      <c r="AA34" s="244" ph="1"/>
      <c r="AB34" s="246"/>
      <c r="AC34" s="248"/>
      <c r="AD34" s="251"/>
      <c r="AE34" s="252"/>
    </row>
    <row r="35" spans="1:31" ph="1">
      <c r="A35" s="63"/>
      <c r="AC35" s="253" t="s" ph="1">
        <v>65</v>
      </c>
      <c r="AD35" s="253"/>
      <c r="AE35" s="253"/>
    </row>
    <row r="36" spans="1:31" ht="28.2" ph="1">
      <c r="A36" s="63"/>
      <c r="B36" s="102" t="s" ph="1">
        <v>59</v>
      </c>
      <c r="I36" s="239" t="s" ph="1">
        <v>60</v>
      </c>
      <c r="J36" s="239" ph="1"/>
      <c r="K36" s="100" ph="1"/>
      <c r="P36" s="100" ph="1"/>
      <c r="R36" s="239" t="s" ph="1">
        <v>61</v>
      </c>
      <c r="S36" s="239" ph="1"/>
      <c r="Y36" s="101" ph="1"/>
      <c r="Z36" s="143" t="s" ph="1">
        <v>62</v>
      </c>
      <c r="AA36" s="143" ph="1"/>
      <c r="AB36" s="240" t="s" ph="1">
        <v>67</v>
      </c>
      <c r="AC36" s="240" ph="1"/>
      <c r="AD36" s="240" ph="1"/>
      <c r="AE36" s="240" ph="1"/>
    </row>
    <row r="37" spans="1:31" s="143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6 D8:D9 D11">
    <cfRule type="expression" dxfId="1142" priority="127">
      <formula>ABS(D$7-D$10)&gt;=1000</formula>
    </cfRule>
  </conditionalFormatting>
  <conditionalFormatting sqref="E4 E6 E8:E9 E11 H7:L7 H10:L10">
    <cfRule type="expression" dxfId="1141" priority="126">
      <formula>ABS(E$7-E$10)&gt;=1000</formula>
    </cfRule>
  </conditionalFormatting>
  <conditionalFormatting sqref="F4 F6 F8:F9 F11">
    <cfRule type="expression" dxfId="1140" priority="125">
      <formula>ABS(F$7-F$10)&gt;=1000</formula>
    </cfRule>
  </conditionalFormatting>
  <conditionalFormatting sqref="G4 G6 G8:G9 G11">
    <cfRule type="expression" dxfId="1139" priority="124">
      <formula>ABS(G$7-G$10)&gt;=1000</formula>
    </cfRule>
  </conditionalFormatting>
  <conditionalFormatting sqref="H4:K4 H6 H8:H9 H11">
    <cfRule type="expression" dxfId="1138" priority="123">
      <formula>ABS(H$7-H$10)&gt;=1000</formula>
    </cfRule>
  </conditionalFormatting>
  <conditionalFormatting sqref="I6 I8:I9 I11">
    <cfRule type="expression" dxfId="1137" priority="122">
      <formula>ABS(I$7-I$10)&gt;=1000</formula>
    </cfRule>
  </conditionalFormatting>
  <conditionalFormatting sqref="J6 J8:J9 J11">
    <cfRule type="expression" dxfId="1136" priority="121">
      <formula>ABS(J$7-J$10)&gt;=1000</formula>
    </cfRule>
  </conditionalFormatting>
  <conditionalFormatting sqref="K6 K8:K9 K11">
    <cfRule type="expression" dxfId="1135" priority="120">
      <formula>ABS(K$7-K$10)&gt;=1000</formula>
    </cfRule>
  </conditionalFormatting>
  <conditionalFormatting sqref="L4:L6 M4:N4 Q4:S4 L8:L9 L11">
    <cfRule type="expression" dxfId="1134" priority="119">
      <formula>ABS(L$7-L$10)&gt;=1000</formula>
    </cfRule>
  </conditionalFormatting>
  <conditionalFormatting sqref="M6 M8:M9 M11">
    <cfRule type="expression" dxfId="1133" priority="118">
      <formula>ABS(M$7-M$10)&gt;=1000</formula>
    </cfRule>
  </conditionalFormatting>
  <conditionalFormatting sqref="N6 N8:N9 N11">
    <cfRule type="expression" dxfId="1132" priority="117">
      <formula>ABS(N$7-N$10)&gt;=1000</formula>
    </cfRule>
  </conditionalFormatting>
  <conditionalFormatting sqref="Q5:Q11">
    <cfRule type="expression" dxfId="1131" priority="114">
      <formula>ABS(Q$7-Q$10)&gt;=1000</formula>
    </cfRule>
  </conditionalFormatting>
  <conditionalFormatting sqref="R5:R11">
    <cfRule type="expression" dxfId="1130" priority="113">
      <formula>ABS(R$7-R$10)&gt;=1000</formula>
    </cfRule>
  </conditionalFormatting>
  <conditionalFormatting sqref="S5:S11">
    <cfRule type="expression" dxfId="1129" priority="112">
      <formula>ABS(S$7-S$10)&gt;=1000</formula>
    </cfRule>
  </conditionalFormatting>
  <conditionalFormatting sqref="T4:T9 T11">
    <cfRule type="expression" dxfId="1128" priority="111">
      <formula>ABS(T$7-T$10)&gt;=1000</formula>
    </cfRule>
  </conditionalFormatting>
  <conditionalFormatting sqref="U4:U9 U11">
    <cfRule type="expression" dxfId="1127" priority="110">
      <formula>ABS(U$7-U$10)&gt;=1000</formula>
    </cfRule>
  </conditionalFormatting>
  <conditionalFormatting sqref="V4:V9 V11">
    <cfRule type="expression" dxfId="1126" priority="109">
      <formula>ABS(V$7-V$10)&gt;=1000</formula>
    </cfRule>
  </conditionalFormatting>
  <conditionalFormatting sqref="W4:W9 W11">
    <cfRule type="expression" dxfId="1125" priority="108">
      <formula>ABS(W$7-W$10)&gt;=1000</formula>
    </cfRule>
  </conditionalFormatting>
  <conditionalFormatting sqref="X4:X9 X11">
    <cfRule type="expression" dxfId="1124" priority="107">
      <formula>ABS(X$7-X$10)&gt;=1000</formula>
    </cfRule>
  </conditionalFormatting>
  <conditionalFormatting sqref="Y4:Y9 Y11">
    <cfRule type="expression" dxfId="1123" priority="106">
      <formula>ABS(Y$7-Y$10)&gt;=1000</formula>
    </cfRule>
  </conditionalFormatting>
  <conditionalFormatting sqref="Z4:Z11">
    <cfRule type="expression" dxfId="1122" priority="105">
      <formula>ABS(Z$7-Z$10)&gt;=1000</formula>
    </cfRule>
  </conditionalFormatting>
  <conditionalFormatting sqref="AA4:AA11">
    <cfRule type="expression" dxfId="1121" priority="104">
      <formula>ABS(AA$7-AA$10)&gt;=1000</formula>
    </cfRule>
  </conditionalFormatting>
  <conditionalFormatting sqref="AB4:AB11">
    <cfRule type="expression" dxfId="1120" priority="103">
      <formula>ABS(AB$7-AB$10)&gt;=1000</formula>
    </cfRule>
  </conditionalFormatting>
  <conditionalFormatting sqref="AC4 AC6:AC11">
    <cfRule type="expression" dxfId="1119" priority="102">
      <formula>ABS(AC$7-AC$10)&gt;=1000</formula>
    </cfRule>
  </conditionalFormatting>
  <conditionalFormatting sqref="AD4 AD6:AD11">
    <cfRule type="expression" dxfId="1118" priority="101">
      <formula>ABS(AD$7-AD$10)&gt;=1000</formula>
    </cfRule>
  </conditionalFormatting>
  <conditionalFormatting sqref="AE4 AE6:AE11">
    <cfRule type="expression" dxfId="1117" priority="100">
      <formula>ABS(AE$7-AE$10)&gt;=1000</formula>
    </cfRule>
  </conditionalFormatting>
  <conditionalFormatting sqref="D13:D20">
    <cfRule type="expression" dxfId="1116" priority="99">
      <formula>ABS(D$16-D$19)&gt;=1000</formula>
    </cfRule>
  </conditionalFormatting>
  <conditionalFormatting sqref="E13:E20">
    <cfRule type="expression" dxfId="1115" priority="98">
      <formula>ABS(E$16-E$19)&gt;=1000</formula>
    </cfRule>
  </conditionalFormatting>
  <conditionalFormatting sqref="F13 F15:F20">
    <cfRule type="expression" dxfId="1114" priority="97">
      <formula>ABS(F$16-F$19)&gt;=1000</formula>
    </cfRule>
  </conditionalFormatting>
  <conditionalFormatting sqref="G13:G20">
    <cfRule type="expression" dxfId="1113" priority="96">
      <formula>ABS(G$16-G$19)&gt;=1000</formula>
    </cfRule>
  </conditionalFormatting>
  <conditionalFormatting sqref="H13 H15:H20">
    <cfRule type="expression" dxfId="1112" priority="95">
      <formula>ABS(H$16-H$19)&gt;=1000</formula>
    </cfRule>
  </conditionalFormatting>
  <conditionalFormatting sqref="I13:I20">
    <cfRule type="expression" dxfId="1111" priority="94">
      <formula>ABS(I$16-I$19)&gt;=1000</formula>
    </cfRule>
  </conditionalFormatting>
  <conditionalFormatting sqref="J13:J20">
    <cfRule type="expression" dxfId="1110" priority="93">
      <formula>ABS(J$16-J$19)&gt;=1000</formula>
    </cfRule>
  </conditionalFormatting>
  <conditionalFormatting sqref="L13:L20">
    <cfRule type="expression" dxfId="1109" priority="92">
      <formula>ABS(L$16-L$19)&gt;=1000</formula>
    </cfRule>
  </conditionalFormatting>
  <conditionalFormatting sqref="M13 M15 M17:M18 M20">
    <cfRule type="expression" dxfId="1108" priority="91">
      <formula>ABS(M$16-M$19)&gt;=1000</formula>
    </cfRule>
  </conditionalFormatting>
  <conditionalFormatting sqref="N13:N20">
    <cfRule type="expression" dxfId="1107" priority="90">
      <formula>ABS(N$16-N$19)&gt;=1000</formula>
    </cfRule>
  </conditionalFormatting>
  <conditionalFormatting sqref="O13:O20">
    <cfRule type="expression" dxfId="1106" priority="89">
      <formula>ABS(O$16-O$19)&gt;=1000</formula>
    </cfRule>
  </conditionalFormatting>
  <conditionalFormatting sqref="P13:P20">
    <cfRule type="expression" dxfId="1105" priority="88">
      <formula>ABS(P$16-P$19)&gt;=1000</formula>
    </cfRule>
  </conditionalFormatting>
  <conditionalFormatting sqref="Q13 Q15:Q20">
    <cfRule type="expression" dxfId="1104" priority="87">
      <formula>ABS(Q$16-Q$19)&gt;=1000</formula>
    </cfRule>
  </conditionalFormatting>
  <conditionalFormatting sqref="R13:R20">
    <cfRule type="expression" dxfId="1103" priority="86">
      <formula>ABS(R$16-R$19)&gt;=1000</formula>
    </cfRule>
  </conditionalFormatting>
  <conditionalFormatting sqref="S13:S20">
    <cfRule type="expression" dxfId="1102" priority="85">
      <formula>ABS(S$16-S$19)&gt;=1000</formula>
    </cfRule>
  </conditionalFormatting>
  <conditionalFormatting sqref="T13:T20">
    <cfRule type="expression" dxfId="1101" priority="84">
      <formula>ABS(T$16-T$19)&gt;=1000</formula>
    </cfRule>
  </conditionalFormatting>
  <conditionalFormatting sqref="U13:U20">
    <cfRule type="expression" dxfId="1100" priority="83">
      <formula>ABS(U$16-U$19)&gt;=1000</formula>
    </cfRule>
  </conditionalFormatting>
  <conditionalFormatting sqref="V13:V20">
    <cfRule type="expression" dxfId="1099" priority="82">
      <formula>ABS(V$16-V$19)&gt;=1000</formula>
    </cfRule>
  </conditionalFormatting>
  <conditionalFormatting sqref="W13 W20 W15:W18">
    <cfRule type="expression" dxfId="1098" priority="81">
      <formula>ABS(W$16-W$19)&gt;=1000</formula>
    </cfRule>
  </conditionalFormatting>
  <conditionalFormatting sqref="X13 X15:X20 Y19">
    <cfRule type="expression" dxfId="1097" priority="80">
      <formula>ABS(X$16-X$19)&gt;=1000</formula>
    </cfRule>
  </conditionalFormatting>
  <conditionalFormatting sqref="Y13 Y15:Y18 Y20">
    <cfRule type="expression" dxfId="1096" priority="79">
      <formula>ABS(Y$16-Y$19)&gt;=1000</formula>
    </cfRule>
  </conditionalFormatting>
  <conditionalFormatting sqref="Z13:Z20">
    <cfRule type="expression" dxfId="1095" priority="78">
      <formula>ABS(Z$16-Z$19)&gt;=1000</formula>
    </cfRule>
  </conditionalFormatting>
  <conditionalFormatting sqref="AA13:AA20">
    <cfRule type="expression" dxfId="1094" priority="77">
      <formula>ABS(AA$16-AA$19)&gt;=1000</formula>
    </cfRule>
  </conditionalFormatting>
  <conditionalFormatting sqref="AB13 AB15:AB20">
    <cfRule type="expression" dxfId="1093" priority="76">
      <formula>ABS(AB$16-AB$19)&gt;=1000</formula>
    </cfRule>
  </conditionalFormatting>
  <conditionalFormatting sqref="AC13 AC15:AC20">
    <cfRule type="expression" dxfId="1092" priority="75">
      <formula>ABS(AC$16-AC$19)&gt;=1000</formula>
    </cfRule>
  </conditionalFormatting>
  <conditionalFormatting sqref="AD13:AD20">
    <cfRule type="expression" dxfId="1091" priority="74">
      <formula>ABS(AD$16-AD$19)&gt;=1000</formula>
    </cfRule>
  </conditionalFormatting>
  <conditionalFormatting sqref="AE13:AE20">
    <cfRule type="expression" dxfId="1090" priority="73">
      <formula>ABS(AE$16-AE$19)&gt;=1000</formula>
    </cfRule>
  </conditionalFormatting>
  <conditionalFormatting sqref="D22:D29">
    <cfRule type="expression" dxfId="1089" priority="72">
      <formula>ABS(D$25-D$28)&gt;=1000</formula>
    </cfRule>
  </conditionalFormatting>
  <conditionalFormatting sqref="E22:E29">
    <cfRule type="expression" dxfId="1088" priority="71">
      <formula>ABS(E$25-E$28)&gt;=1000</formula>
    </cfRule>
  </conditionalFormatting>
  <conditionalFormatting sqref="F22:F29">
    <cfRule type="expression" dxfId="1087" priority="70">
      <formula>ABS(F$25-F$28)&gt;=1000</formula>
    </cfRule>
  </conditionalFormatting>
  <conditionalFormatting sqref="G22:G29">
    <cfRule type="expression" dxfId="1086" priority="69">
      <formula>ABS(G$25-G$28)&gt;=1000</formula>
    </cfRule>
  </conditionalFormatting>
  <conditionalFormatting sqref="H22:H29">
    <cfRule type="expression" dxfId="1085" priority="68">
      <formula>ABS(H$25-H$28)&gt;=1000</formula>
    </cfRule>
  </conditionalFormatting>
  <conditionalFormatting sqref="I22 I24:I29">
    <cfRule type="expression" dxfId="1084" priority="67">
      <formula>ABS(I$25-I$28)&gt;=1000</formula>
    </cfRule>
  </conditionalFormatting>
  <conditionalFormatting sqref="J22:J29 K22">
    <cfRule type="expression" dxfId="1083" priority="66">
      <formula>ABS(J$25-J$28)&gt;=1000</formula>
    </cfRule>
  </conditionalFormatting>
  <conditionalFormatting sqref="K23:K29 L25 L28">
    <cfRule type="expression" dxfId="1082" priority="65">
      <formula>ABS(K$25-K$28)&gt;=1000</formula>
    </cfRule>
  </conditionalFormatting>
  <conditionalFormatting sqref="L22 L26:L27 L29 L24">
    <cfRule type="expression" dxfId="1081" priority="64">
      <formula>ABS(L$25-L$28)&gt;=1000</formula>
    </cfRule>
  </conditionalFormatting>
  <conditionalFormatting sqref="M22:M29">
    <cfRule type="expression" dxfId="1080" priority="63">
      <formula>ABS(M$25-M$28)&gt;=1000</formula>
    </cfRule>
  </conditionalFormatting>
  <conditionalFormatting sqref="N22:N29">
    <cfRule type="expression" dxfId="1079" priority="62">
      <formula>ABS(N$25-N$28)&gt;=1000</formula>
    </cfRule>
  </conditionalFormatting>
  <conditionalFormatting sqref="O22:O29">
    <cfRule type="expression" dxfId="1078" priority="61">
      <formula>ABS(O$25-O$28)&gt;=1000</formula>
    </cfRule>
  </conditionalFormatting>
  <conditionalFormatting sqref="P22:P29">
    <cfRule type="expression" dxfId="1077" priority="60">
      <formula>ABS(P$25-P$28)&gt;=1000</formula>
    </cfRule>
  </conditionalFormatting>
  <conditionalFormatting sqref="Q22:Q29">
    <cfRule type="expression" dxfId="1076" priority="59">
      <formula>ABS(Q$25-Q$28)&gt;=1000</formula>
    </cfRule>
  </conditionalFormatting>
  <conditionalFormatting sqref="R22:R29">
    <cfRule type="expression" dxfId="1075" priority="58">
      <formula>ABS(R$25-R$28)&gt;=1000</formula>
    </cfRule>
  </conditionalFormatting>
  <conditionalFormatting sqref="S22:S29">
    <cfRule type="expression" dxfId="1074" priority="57">
      <formula>ABS(S$25-S$28)&gt;=1000</formula>
    </cfRule>
  </conditionalFormatting>
  <conditionalFormatting sqref="T22:T29">
    <cfRule type="expression" dxfId="1073" priority="56">
      <formula>ABS(T$25-T$28)&gt;=1000</formula>
    </cfRule>
  </conditionalFormatting>
  <conditionalFormatting sqref="U22:U29">
    <cfRule type="expression" dxfId="1072" priority="55">
      <formula>ABS(U$25-U$28)&gt;=1000</formula>
    </cfRule>
  </conditionalFormatting>
  <conditionalFormatting sqref="V22:V29">
    <cfRule type="expression" dxfId="1071" priority="54">
      <formula>ABS(V$25-V$28)&gt;=1000</formula>
    </cfRule>
  </conditionalFormatting>
  <conditionalFormatting sqref="W22:W29">
    <cfRule type="expression" dxfId="1070" priority="53">
      <formula>ABS(W$25-W$28)&gt;=1000</formula>
    </cfRule>
  </conditionalFormatting>
  <conditionalFormatting sqref="X22:X29">
    <cfRule type="expression" dxfId="1069" priority="52">
      <formula>ABS(X$25-X$28)&gt;=1000</formula>
    </cfRule>
  </conditionalFormatting>
  <conditionalFormatting sqref="Y22:Y29">
    <cfRule type="expression" dxfId="1068" priority="51">
      <formula>ABS(Y$25-Y$28)&gt;=1000</formula>
    </cfRule>
  </conditionalFormatting>
  <conditionalFormatting sqref="I23">
    <cfRule type="expression" dxfId="1067" priority="50">
      <formula>ABS(I$25-I$28)&gt;=1000</formula>
    </cfRule>
  </conditionalFormatting>
  <conditionalFormatting sqref="Q14">
    <cfRule type="expression" dxfId="1066" priority="49">
      <formula>ABS(Q$16-Q$19)&gt;=1000</formula>
    </cfRule>
  </conditionalFormatting>
  <conditionalFormatting sqref="W14">
    <cfRule type="expression" dxfId="1065" priority="48">
      <formula>ABS(W$16-W$19)&gt;=1000</formula>
    </cfRule>
  </conditionalFormatting>
  <conditionalFormatting sqref="X14">
    <cfRule type="expression" dxfId="1064" priority="47">
      <formula>ABS(X$16-X$19)&gt;=1000</formula>
    </cfRule>
  </conditionalFormatting>
  <conditionalFormatting sqref="T10:Y10">
    <cfRule type="expression" dxfId="1063" priority="46">
      <formula>ABS(T$7-T$10)&gt;=1000</formula>
    </cfRule>
  </conditionalFormatting>
  <conditionalFormatting sqref="W19">
    <cfRule type="expression" dxfId="1062" priority="45">
      <formula>ABS(W$16-W$19)&gt;=1000</formula>
    </cfRule>
  </conditionalFormatting>
  <conditionalFormatting sqref="AC5">
    <cfRule type="expression" dxfId="1061" priority="44">
      <formula>ABS(AC$7-AC$10)&gt;=1000</formula>
    </cfRule>
  </conditionalFormatting>
  <conditionalFormatting sqref="M14">
    <cfRule type="expression" dxfId="1060" priority="43">
      <formula>ABS(M$16-M$19)&gt;=1000</formula>
    </cfRule>
  </conditionalFormatting>
  <conditionalFormatting sqref="M16">
    <cfRule type="expression" dxfId="1059" priority="42">
      <formula>ABS(M$16-M$19)&gt;=1000</formula>
    </cfRule>
  </conditionalFormatting>
  <conditionalFormatting sqref="M19">
    <cfRule type="expression" dxfId="1058" priority="41">
      <formula>ABS(M$16-M$19)&gt;=1000</formula>
    </cfRule>
  </conditionalFormatting>
  <conditionalFormatting sqref="K13:K20">
    <cfRule type="expression" dxfId="1057" priority="40">
      <formula>ABS(K$16-K$19)&gt;=1000</formula>
    </cfRule>
  </conditionalFormatting>
  <conditionalFormatting sqref="AB14:AC14">
    <cfRule type="expression" dxfId="1056" priority="38">
      <formula>ABS(AB$16-AB$19)&gt;=1000</formula>
    </cfRule>
  </conditionalFormatting>
  <conditionalFormatting sqref="M5">
    <cfRule type="expression" dxfId="1055" priority="37">
      <formula>ABS(M$7-M$10)&gt;=1000</formula>
    </cfRule>
  </conditionalFormatting>
  <conditionalFormatting sqref="N5">
    <cfRule type="expression" dxfId="1054" priority="36">
      <formula>ABS(N$7-N$10)&gt;=1000</formula>
    </cfRule>
  </conditionalFormatting>
  <conditionalFormatting sqref="L23">
    <cfRule type="expression" dxfId="1053" priority="33">
      <formula>ABS(L$25-L$28)&gt;=1000</formula>
    </cfRule>
  </conditionalFormatting>
  <conditionalFormatting sqref="Y14">
    <cfRule type="expression" dxfId="1052" priority="32">
      <formula>ABS(Y$16-Y$19)&gt;=1000</formula>
    </cfRule>
  </conditionalFormatting>
  <conditionalFormatting sqref="F14">
    <cfRule type="expression" dxfId="1051" priority="31">
      <formula>ABS(F$16-F$19)&gt;=1000</formula>
    </cfRule>
  </conditionalFormatting>
  <conditionalFormatting sqref="H14">
    <cfRule type="expression" dxfId="1050" priority="30">
      <formula>ABS(H$16-H$19)&gt;=1000</formula>
    </cfRule>
  </conditionalFormatting>
  <conditionalFormatting sqref="AD5">
    <cfRule type="expression" dxfId="1049" priority="29">
      <formula>ABS(AD$7-AD$10)&gt;=1000</formula>
    </cfRule>
  </conditionalFormatting>
  <conditionalFormatting sqref="AE5">
    <cfRule type="expression" dxfId="1048" priority="28">
      <formula>ABS(AE$7-AE$10)&gt;=1000</formula>
    </cfRule>
  </conditionalFormatting>
  <conditionalFormatting sqref="D5">
    <cfRule type="expression" dxfId="1047" priority="27">
      <formula>ABS(D$7-D$10)&gt;=1000</formula>
    </cfRule>
  </conditionalFormatting>
  <conditionalFormatting sqref="E5:G5">
    <cfRule type="expression" dxfId="1046" priority="26">
      <formula>ABS(E$7-E$10)&gt;=1000</formula>
    </cfRule>
  </conditionalFormatting>
  <conditionalFormatting sqref="H5:K5">
    <cfRule type="expression" dxfId="1045" priority="25">
      <formula>ABS(H$7-H$10)&gt;=1000</formula>
    </cfRule>
  </conditionalFormatting>
  <conditionalFormatting sqref="O4:P4">
    <cfRule type="expression" dxfId="1044" priority="24">
      <formula>ABS(O$7-O$10)&gt;=1000</formula>
    </cfRule>
  </conditionalFormatting>
  <conditionalFormatting sqref="O5:O6 O8:O9 O11">
    <cfRule type="expression" dxfId="1043" priority="23">
      <formula>ABS(O$7-O$10)&gt;=1000</formula>
    </cfRule>
  </conditionalFormatting>
  <conditionalFormatting sqref="P6 P8:P9 P11">
    <cfRule type="expression" dxfId="1042" priority="22">
      <formula>ABS(P$7-P$10)&gt;=1000</formula>
    </cfRule>
  </conditionalFormatting>
  <conditionalFormatting sqref="P5">
    <cfRule type="expression" dxfId="1041" priority="21">
      <formula>ABS(P$7-P$10)&gt;=1000</formula>
    </cfRule>
  </conditionalFormatting>
  <conditionalFormatting sqref="D10">
    <cfRule type="expression" dxfId="1040" priority="10">
      <formula>ABS(D$7-D$10)&gt;=1000</formula>
    </cfRule>
  </conditionalFormatting>
  <conditionalFormatting sqref="E7">
    <cfRule type="expression" dxfId="1039" priority="13">
      <formula>ABS(E$7-E$10)&gt;=1000</formula>
    </cfRule>
  </conditionalFormatting>
  <conditionalFormatting sqref="O7:P7">
    <cfRule type="expression" dxfId="1038" priority="18">
      <formula>ABS(O$7-O$10)&gt;=1000</formula>
    </cfRule>
  </conditionalFormatting>
  <conditionalFormatting sqref="N7">
    <cfRule type="expression" dxfId="1037" priority="16">
      <formula>ABS(N$7-N$10)&gt;=1000</formula>
    </cfRule>
  </conditionalFormatting>
  <conditionalFormatting sqref="N10">
    <cfRule type="expression" dxfId="1036" priority="15">
      <formula>ABS(N$7-N$10)&gt;=1000</formula>
    </cfRule>
  </conditionalFormatting>
  <conditionalFormatting sqref="D7">
    <cfRule type="expression" dxfId="1035" priority="14">
      <formula>ABS(D$7-D$10)&gt;=1000</formula>
    </cfRule>
  </conditionalFormatting>
  <conditionalFormatting sqref="F7">
    <cfRule type="expression" dxfId="1034" priority="12">
      <formula>ABS(F$7-F$10)&gt;=1000</formula>
    </cfRule>
  </conditionalFormatting>
  <conditionalFormatting sqref="G7">
    <cfRule type="expression" dxfId="1033" priority="11">
      <formula>ABS(G$7-G$10)&gt;=1000</formula>
    </cfRule>
  </conditionalFormatting>
  <conditionalFormatting sqref="E10">
    <cfRule type="expression" dxfId="1032" priority="9">
      <formula>ABS(E$7-E$10)&gt;=1000</formula>
    </cfRule>
  </conditionalFormatting>
  <conditionalFormatting sqref="F10">
    <cfRule type="expression" dxfId="1031" priority="8">
      <formula>ABS(F$7-F$10)&gt;=1000</formula>
    </cfRule>
  </conditionalFormatting>
  <conditionalFormatting sqref="G10">
    <cfRule type="expression" dxfId="1030" priority="7">
      <formula>ABS(G$7-G$10)&gt;=1000</formula>
    </cfRule>
  </conditionalFormatting>
  <conditionalFormatting sqref="O10">
    <cfRule type="expression" dxfId="1029" priority="6">
      <formula>ABS(O$7-O$10)&gt;=1000</formula>
    </cfRule>
  </conditionalFormatting>
  <conditionalFormatting sqref="M7">
    <cfRule type="expression" dxfId="1028" priority="4">
      <formula>ABS(M$7-M$10)&gt;=1000</formula>
    </cfRule>
  </conditionalFormatting>
  <conditionalFormatting sqref="M10">
    <cfRule type="expression" dxfId="1027" priority="2">
      <formula>ABS(M$7-M$10)&gt;=1000</formula>
    </cfRule>
  </conditionalFormatting>
  <conditionalFormatting sqref="P10">
    <cfRule type="expression" dxfId="1026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73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20">
    <pageSetUpPr fitToPage="1"/>
  </sheetPr>
  <dimension ref="A1:BA223"/>
  <sheetViews>
    <sheetView view="pageBreakPreview" topLeftCell="B1" zoomScale="110" zoomScaleNormal="100" zoomScaleSheetLayoutView="110" workbookViewId="0">
      <selection activeCell="D6" sqref="D6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01" t="s" ph="1">
        <v>47</v>
      </c>
      <c r="C1" s="201" ph="1"/>
      <c r="D1" s="201" ph="1"/>
      <c r="E1" s="201" ph="1"/>
      <c r="F1" s="201" ph="1"/>
      <c r="G1" s="201" ph="1"/>
      <c r="H1" s="201" ph="1"/>
      <c r="I1" s="201" ph="1"/>
      <c r="J1" s="201" ph="1"/>
      <c r="K1" s="201" ph="1"/>
      <c r="L1" s="201" ph="1"/>
      <c r="M1" s="201" ph="1"/>
      <c r="N1" s="201" ph="1"/>
      <c r="O1" s="201" ph="1"/>
      <c r="P1" s="201" ph="1"/>
      <c r="Q1" s="201" ph="1"/>
      <c r="R1" s="201" ph="1"/>
      <c r="S1" s="201" ph="1"/>
      <c r="T1" s="201" ph="1"/>
      <c r="U1" s="201" ph="1"/>
      <c r="V1" s="201" ph="1"/>
      <c r="W1" s="201" ph="1"/>
      <c r="X1" s="201" ph="1"/>
      <c r="Y1" s="201" ph="1"/>
      <c r="Z1" s="201" ph="1"/>
      <c r="AA1" s="201" ph="1"/>
      <c r="AB1" s="201" ph="1"/>
      <c r="AC1" s="201" ph="1"/>
      <c r="AD1" s="201" ph="1"/>
      <c r="AE1" s="201" ph="1"/>
    </row>
    <row r="2" spans="1:53" s="65" customFormat="1" ht="24" customHeight="1" ph="1">
      <c r="B2" s="202" t="s" ph="1">
        <v>38</v>
      </c>
      <c r="C2" s="202" ph="1"/>
      <c r="D2" s="202" ph="1"/>
      <c r="E2" s="202" ph="1"/>
      <c r="F2" s="202" ph="1"/>
      <c r="G2" s="202" ph="1"/>
      <c r="H2" s="202" ph="1"/>
      <c r="I2" s="202" ph="1"/>
      <c r="J2" s="202" ph="1"/>
      <c r="K2" s="202" ph="1"/>
      <c r="L2" s="202" ph="1"/>
      <c r="M2" s="202" ph="1"/>
      <c r="N2" s="202" ph="1"/>
      <c r="O2" s="202" ph="1"/>
      <c r="P2" s="202" ph="1"/>
      <c r="Q2" s="202" ph="1"/>
      <c r="R2" s="202" ph="1"/>
      <c r="S2" s="202" ph="1"/>
      <c r="T2" s="202" ph="1"/>
      <c r="U2" s="202" ph="1"/>
      <c r="V2" s="202" ph="1"/>
      <c r="W2" s="202" ph="1"/>
      <c r="X2" s="202" ph="1"/>
      <c r="Y2" s="202" ph="1"/>
      <c r="Z2" s="202" ph="1"/>
      <c r="AA2" s="202" ph="1"/>
      <c r="AB2" s="202" ph="1"/>
      <c r="AC2" s="202" ph="1"/>
      <c r="AD2" s="202" ph="1"/>
      <c r="AE2" s="202" ph="1"/>
    </row>
    <row r="3" spans="1:53" ht="21" customHeight="1" ph="1">
      <c r="B3" s="203" ph="1">
        <v>46133</v>
      </c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</row>
    <row r="4" spans="1:53" s="68" customFormat="1" ph="1">
      <c r="A4" s="64" ph="1"/>
      <c r="B4" s="204" t="s" ph="1">
        <v>28</v>
      </c>
      <c r="C4" s="66" t="s" ph="1">
        <v>53</v>
      </c>
      <c r="D4" s="67" t="s" ph="1">
        <v>32</v>
      </c>
      <c r="E4" s="67" t="s" ph="1">
        <v>33</v>
      </c>
      <c r="F4" s="67" t="s" ph="1">
        <v>30</v>
      </c>
      <c r="G4" s="67" t="s" ph="1">
        <v>68</v>
      </c>
      <c r="H4" s="67" t="s" ph="1">
        <v>69</v>
      </c>
      <c r="I4" s="67" t="s" ph="1">
        <v>70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04" ph="1"/>
      <c r="C5" s="66" t="s" ph="1">
        <v>27</v>
      </c>
      <c r="D5" s="141" t="s" ph="1">
        <v>87</v>
      </c>
      <c r="E5" s="141" t="s" ph="1">
        <v>87</v>
      </c>
      <c r="F5" s="141" t="s" ph="1">
        <v>87</v>
      </c>
      <c r="G5" s="141" t="s" ph="1">
        <v>87</v>
      </c>
      <c r="H5" s="141" t="s" ph="1">
        <v>87</v>
      </c>
      <c r="I5" s="141" t="s" ph="1">
        <v>87</v>
      </c>
      <c r="J5" s="141" t="s" ph="1">
        <v>87</v>
      </c>
      <c r="K5" s="141" t="s" ph="1">
        <v>87</v>
      </c>
      <c r="L5" s="140" t="s" ph="1">
        <v>64</v>
      </c>
      <c r="M5" s="140" t="s" ph="1">
        <v>88</v>
      </c>
      <c r="N5" s="69" t="s" ph="1">
        <v>64</v>
      </c>
      <c r="O5" s="69" t="s" ph="1">
        <v>89</v>
      </c>
      <c r="P5" s="69" t="s" ph="1">
        <v>89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00" ph="1">
        <v>0.33333333333333331</v>
      </c>
      <c r="C6" s="163" t="s" ph="1">
        <v>54</v>
      </c>
      <c r="D6" s="155">
        <v>0.01</v>
      </c>
      <c r="E6" s="155">
        <v>0.01</v>
      </c>
      <c r="F6" s="155">
        <v>0.01</v>
      </c>
      <c r="G6" s="155">
        <v>0.01</v>
      </c>
      <c r="H6" s="155">
        <v>0.1</v>
      </c>
      <c r="I6" s="155">
        <v>0</v>
      </c>
      <c r="J6" s="155">
        <v>0</v>
      </c>
      <c r="K6" s="155">
        <v>0</v>
      </c>
      <c r="L6" s="155">
        <v>0</v>
      </c>
      <c r="M6" s="155">
        <v>0</v>
      </c>
      <c r="N6" s="155">
        <v>0</v>
      </c>
      <c r="O6" s="155">
        <v>1</v>
      </c>
      <c r="P6" s="155">
        <v>5.5500000000000001E-2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00" ph="1"/>
      <c r="C7" s="67" t="s" ph="1">
        <v>55</v>
      </c>
      <c r="D7" s="72" ph="1">
        <f>((D6*5200)*4.48)*LOOKUP(D8,密度!$A$2:$A$50,密度!$B$2:$B$50)</f>
        <v>182.45427200000003</v>
      </c>
      <c r="E7" s="72" ph="1">
        <f>((E6*5200)*4.48)*LOOKUP(E8,密度!$A$2:$A$50,密度!$B$2:$B$50)</f>
        <v>183.38611200000003</v>
      </c>
      <c r="F7" s="72" ph="1">
        <f>((F6*5200)*4.48)*LOOKUP(F8,密度!$A$2:$A$50,密度!$B$2:$B$50)</f>
        <v>183.38611200000003</v>
      </c>
      <c r="G7" s="72" ph="1">
        <f>((G6*5200)*4.48)*LOOKUP(G8,密度!$A$2:$A$50,密度!$B$2:$B$50)</f>
        <v>183.38611200000003</v>
      </c>
      <c r="H7" s="72" ph="1">
        <f>((H6*5200)*18.322+8640)*LOOKUP(H8,密度!$A$2:$A$50,密度!$B$2:$B$50)</f>
        <v>14332.293416</v>
      </c>
      <c r="I7" s="72" ph="1">
        <f>((I6*5200)*18.322)*LOOKUP(I8,密度!$A$2:$A$50,密度!$B$2:$B$50)</f>
        <v>0</v>
      </c>
      <c r="J7" s="72" ph="1">
        <f>((J6*5200)*18.322)*LOOKUP(J8,密度!$A$2:$A$50,密度!$B$2:$B$50)</f>
        <v>0</v>
      </c>
      <c r="K7" s="72" ph="1">
        <f>((K6*5200)*18.322)*LOOKUP(K8,密度!$A$2:$A$50,密度!$B$2:$B$50)</f>
        <v>0</v>
      </c>
      <c r="L7" s="72" ph="1">
        <f>(L6*6650)*26.42*LOOKUP(L8,密度!$A$2:$A$50,密度!$B$2:$B$50)</f>
        <v>0</v>
      </c>
      <c r="M7" s="72" ph="1">
        <f>(M6*6650)*26.42*1</f>
        <v>0</v>
      </c>
      <c r="N7" s="72" ph="1">
        <f>(N6*5150)*18.32*LOOKUP(N8,密度!$A$2:$A$50,密度!$B$2:$B$50)</f>
        <v>0</v>
      </c>
      <c r="O7" s="72" ph="1">
        <f>(O6*12400)*81.71*LOOKUP(O8,密度!$A$2:$A$50,密度!$B$2:$B$50)</f>
        <v>789893.83839999989</v>
      </c>
      <c r="P7" s="72" ph="1">
        <f>(P6*12400)*81.71*LOOKUP(P8,密度!$A$2:$A$50,密度!$B$2:$B$50)</f>
        <v>44311.463736000005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00" ph="1"/>
      <c r="C8" s="67" t="s" ph="1">
        <v>56</v>
      </c>
      <c r="D8" s="73">
        <v>21</v>
      </c>
      <c r="E8" s="73">
        <v>16</v>
      </c>
      <c r="F8" s="73">
        <v>16</v>
      </c>
      <c r="G8" s="73">
        <v>16</v>
      </c>
      <c r="H8" s="73">
        <v>14</v>
      </c>
      <c r="I8" s="73">
        <v>25</v>
      </c>
      <c r="J8" s="73">
        <v>25</v>
      </c>
      <c r="K8" s="73">
        <v>25</v>
      </c>
      <c r="L8" s="73">
        <v>25</v>
      </c>
      <c r="M8" s="73">
        <v>16</v>
      </c>
      <c r="N8" s="73">
        <v>18</v>
      </c>
      <c r="O8" s="73">
        <v>25</v>
      </c>
      <c r="P8" s="73">
        <v>15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00" ph="1">
        <v>0.66666666666666663</v>
      </c>
      <c r="C9" s="163" t="s" ph="1">
        <v>57</v>
      </c>
      <c r="D9" s="155">
        <v>0.05</v>
      </c>
      <c r="E9" s="155">
        <v>0.05</v>
      </c>
      <c r="F9" s="155">
        <v>0.05</v>
      </c>
      <c r="G9" s="155">
        <v>0.05</v>
      </c>
      <c r="H9" s="155">
        <v>0</v>
      </c>
      <c r="I9" s="155">
        <v>0</v>
      </c>
      <c r="J9" s="155">
        <v>0</v>
      </c>
      <c r="K9" s="155">
        <v>0</v>
      </c>
      <c r="L9" s="155">
        <v>0</v>
      </c>
      <c r="M9" s="155">
        <v>0</v>
      </c>
      <c r="N9" s="155">
        <v>0</v>
      </c>
      <c r="O9" s="155">
        <v>2.2200000000000001E-2</v>
      </c>
      <c r="P9" s="155">
        <v>0.05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00" ph="1"/>
      <c r="C10" s="163" t="s" ph="1">
        <v>55</v>
      </c>
      <c r="D10" s="72" ph="1">
        <f>((D9*5200)*4.48)*LOOKUP(D11,密度!$A$2:$A$50,密度!$B$2:$B$50)</f>
        <v>912.27136000000019</v>
      </c>
      <c r="E10" s="72" ph="1">
        <f>((E9*5200)*4.48)*LOOKUP(E11,密度!$A$2:$A$50,密度!$B$2:$B$50)</f>
        <v>915.18336000000011</v>
      </c>
      <c r="F10" s="72" ph="1">
        <f>((F9*5200)*4.48)*LOOKUP(F11,密度!$A$2:$A$50,密度!$B$2:$B$50)</f>
        <v>915.18336000000011</v>
      </c>
      <c r="G10" s="72" ph="1">
        <f>((G9*5200)*4.48)*LOOKUP(G11,密度!$A$2:$A$50,密度!$B$2:$B$50)</f>
        <v>915.18336000000011</v>
      </c>
      <c r="H10" s="72" ph="1">
        <f>((H9*5200)*18.322+8640)*LOOKUP(H11,密度!$A$2:$A$50,密度!$B$2:$B$50)</f>
        <v>6735.7439999999997</v>
      </c>
      <c r="I10" s="72" ph="1">
        <f>((I9*5200)*18.322)*LOOKUP(I11,密度!$A$2:$A$50,密度!$B$2:$B$50)</f>
        <v>0</v>
      </c>
      <c r="J10" s="72" ph="1">
        <f>((J9*5200)*18.322)*LOOKUP(J11,密度!$A$2:$A$50,密度!$B$2:$B$50)</f>
        <v>0</v>
      </c>
      <c r="K10" s="72" ph="1">
        <f>((K9*5200)*18.322)*LOOKUP(K11,密度!$A$2:$A$50,密度!$B$2:$B$50)</f>
        <v>0</v>
      </c>
      <c r="L10" s="72" ph="1">
        <f>(L9*6650)*26.42*LOOKUP(L11,密度!$A$2:$A$50,密度!$B$2:$B$50)</f>
        <v>0</v>
      </c>
      <c r="M10" s="72" ph="1">
        <f>(M9*6650)*26.42*1</f>
        <v>0</v>
      </c>
      <c r="N10" s="72" ph="1">
        <f>(N9*5150)*18.32*LOOKUP(N11,密度!$A$2:$A$50,密度!$B$2:$B$50)</f>
        <v>0</v>
      </c>
      <c r="O10" s="72" ph="1">
        <f>(O9*12400)*81.71*LOOKUP(O11,密度!$A$2:$A$50,密度!$B$2:$B$50)</f>
        <v>17535.643212480001</v>
      </c>
      <c r="P10" s="72" ph="1">
        <f>(P9*12400)*81.71*LOOKUP(P11,密度!$A$2:$A$50,密度!$B$2:$B$50)</f>
        <v>39879.709439999999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00" ph="1"/>
      <c r="C11" s="163" t="s" ph="1">
        <v>56</v>
      </c>
      <c r="D11" s="73">
        <v>21</v>
      </c>
      <c r="E11" s="73">
        <v>18</v>
      </c>
      <c r="F11" s="73">
        <v>18</v>
      </c>
      <c r="G11" s="73">
        <v>18</v>
      </c>
      <c r="H11" s="73">
        <v>25</v>
      </c>
      <c r="I11" s="73">
        <v>25</v>
      </c>
      <c r="J11" s="73">
        <v>25</v>
      </c>
      <c r="K11" s="73">
        <v>25</v>
      </c>
      <c r="L11" s="73">
        <v>25</v>
      </c>
      <c r="M11" s="73">
        <v>19</v>
      </c>
      <c r="N11" s="73">
        <v>19</v>
      </c>
      <c r="O11" s="73">
        <v>25</v>
      </c>
      <c r="P11" s="73">
        <v>16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/>
    <row r="13" spans="1:53" s="71" customFormat="1" ht="29.25" customHeight="1" ph="1">
      <c r="B13" s="208" t="s" ph="1">
        <v>28</v>
      </c>
      <c r="C13" s="163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09" ph="1"/>
      <c r="C14" s="66" t="s" ph="1">
        <v>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10" ph="1">
        <v>0.33333333333333331</v>
      </c>
      <c r="C15" s="163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2.2" ph="1">
      <c r="B16" s="211" ph="1"/>
      <c r="C16" s="163" t="s" ph="1">
        <v>55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7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12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10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11" ph="1"/>
      <c r="C19" s="163" t="s" ph="1">
        <v>55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11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09" t="s" ph="1">
        <v>28</v>
      </c>
      <c r="C22" s="84" t="s" ph="1">
        <v>53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188" t="s" ph="1">
        <v>34</v>
      </c>
      <c r="AA22" s="189"/>
      <c r="AB22" s="189"/>
      <c r="AC22" s="189"/>
      <c r="AD22" s="189"/>
      <c r="AE22" s="190"/>
    </row>
    <row r="23" spans="1:32" ph="1">
      <c r="A23" s="71" ph="1"/>
      <c r="B23" s="204" ph="1"/>
      <c r="C23" s="66" t="s" ph="1">
        <v>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191" t="s" ph="1">
        <v>90</v>
      </c>
      <c r="AA23" s="192"/>
      <c r="AB23" s="192"/>
      <c r="AC23" s="192"/>
      <c r="AD23" s="192"/>
      <c r="AE23" s="193"/>
    </row>
    <row r="24" spans="1:32" ph="1">
      <c r="A24" s="71" ph="1"/>
      <c r="B24" s="200" ph="1">
        <v>0.33333333333333331</v>
      </c>
      <c r="C24" s="163" t="s" ph="1">
        <v>54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194"/>
      <c r="AA24" s="195"/>
      <c r="AB24" s="195"/>
      <c r="AC24" s="195"/>
      <c r="AD24" s="195"/>
      <c r="AE24" s="196"/>
    </row>
    <row r="25" spans="1:32" ph="1">
      <c r="A25" s="71" ph="1"/>
      <c r="B25" s="200" ph="1"/>
      <c r="C25" s="67" t="s" ph="1">
        <v>55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194"/>
      <c r="AA25" s="195"/>
      <c r="AB25" s="195"/>
      <c r="AC25" s="195"/>
      <c r="AD25" s="195"/>
      <c r="AE25" s="196"/>
    </row>
    <row r="26" spans="1:32" ph="1">
      <c r="A26" s="71" ph="1"/>
      <c r="B26" s="200" ph="1"/>
      <c r="C26" s="67" t="s" ph="1">
        <v>56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194"/>
      <c r="AA26" s="195"/>
      <c r="AB26" s="195"/>
      <c r="AC26" s="195"/>
      <c r="AD26" s="195"/>
      <c r="AE26" s="196"/>
    </row>
    <row r="27" spans="1:32" ht="26.4" ph="1">
      <c r="A27" s="71" ph="1"/>
      <c r="B27" s="200" ph="1">
        <v>0.66666666666666663</v>
      </c>
      <c r="C27" s="163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194"/>
      <c r="AA27" s="195"/>
      <c r="AB27" s="195"/>
      <c r="AC27" s="195"/>
      <c r="AD27" s="195"/>
      <c r="AE27" s="196"/>
    </row>
    <row r="28" spans="1:32" ph="1">
      <c r="A28" s="71" ph="1"/>
      <c r="B28" s="200" ph="1"/>
      <c r="C28" s="163" t="s" ph="1">
        <v>55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194"/>
      <c r="AA28" s="195"/>
      <c r="AB28" s="195"/>
      <c r="AC28" s="195"/>
      <c r="AD28" s="195"/>
      <c r="AE28" s="196"/>
    </row>
    <row r="29" spans="1:32" ph="1">
      <c r="A29" s="71" ph="1"/>
      <c r="B29" s="200" ph="1"/>
      <c r="C29" s="163" t="s" ph="1">
        <v>56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197"/>
      <c r="AA29" s="198"/>
      <c r="AB29" s="198"/>
      <c r="AC29" s="198"/>
      <c r="AD29" s="198"/>
      <c r="AE29" s="199"/>
    </row>
    <row r="30" spans="1:32" ph="1">
      <c r="D30" s="93" ph="1"/>
      <c r="Z30" s="63" t="s" ph="1">
        <v>26</v>
      </c>
      <c r="AE30" s="94" ph="1"/>
    </row>
    <row r="31" spans="1:32" ht="28.2" ph="1">
      <c r="A31" s="63"/>
      <c r="B31" s="213" t="s" ph="1">
        <v>26</v>
      </c>
      <c r="C31" s="214" ph="1"/>
      <c r="D31" s="205" t="s" ph="1">
        <v>3</v>
      </c>
      <c r="E31" s="206" ph="1"/>
      <c r="F31" s="207" ph="1"/>
      <c r="G31" s="217" ph="1"/>
      <c r="H31" s="206" ph="1"/>
      <c r="I31" s="207" ph="1"/>
      <c r="J31" s="205" ph="1"/>
      <c r="K31" s="206" ph="1"/>
      <c r="L31" s="207" ph="1"/>
      <c r="M31" s="205" ph="1"/>
      <c r="N31" s="206" ph="1"/>
      <c r="O31" s="207" ph="1"/>
      <c r="P31" s="205" ph="1"/>
      <c r="Q31" s="206"/>
      <c r="R31" s="207"/>
      <c r="S31" s="205" ph="1"/>
      <c r="T31" s="206"/>
      <c r="U31" s="207"/>
      <c r="V31" s="205" ph="1"/>
      <c r="W31" s="206" ph="1"/>
      <c r="X31" s="207" ph="1"/>
      <c r="Y31" s="205" ph="1"/>
      <c r="Z31" s="206" ph="1"/>
      <c r="AA31" s="207" ph="1"/>
      <c r="AB31" s="228"/>
      <c r="AC31" s="229"/>
      <c r="AD31" s="229"/>
      <c r="AE31" s="230"/>
    </row>
    <row r="32" spans="1:32" ph="1">
      <c r="A32" s="63"/>
      <c r="B32" s="215" ph="1"/>
      <c r="C32" s="216" ph="1"/>
      <c r="D32" s="95" t="s" ph="1">
        <v>0</v>
      </c>
      <c r="E32" s="163" t="s" ph="1">
        <v>1</v>
      </c>
      <c r="F32" s="162" t="s" ph="1">
        <v>31</v>
      </c>
      <c r="G32" s="96" t="s" ph="1">
        <v>0</v>
      </c>
      <c r="H32" s="163" t="s" ph="1">
        <v>1</v>
      </c>
      <c r="I32" s="162" t="s" ph="1">
        <v>31</v>
      </c>
      <c r="J32" s="96" t="s" ph="1">
        <v>0</v>
      </c>
      <c r="K32" s="163" t="s" ph="1">
        <v>1</v>
      </c>
      <c r="L32" s="162" t="s" ph="1">
        <v>31</v>
      </c>
      <c r="M32" s="96" t="s" ph="1">
        <v>0</v>
      </c>
      <c r="N32" s="163" t="s" ph="1">
        <v>1</v>
      </c>
      <c r="O32" s="162" t="s" ph="1">
        <v>31</v>
      </c>
      <c r="P32" s="96" t="s" ph="1">
        <v>0</v>
      </c>
      <c r="Q32" s="97" t="s" ph="1">
        <v>1</v>
      </c>
      <c r="R32" s="98" t="s" ph="1">
        <v>31</v>
      </c>
      <c r="S32" s="96" t="s" ph="1">
        <v>0</v>
      </c>
      <c r="T32" s="163" t="s" ph="1">
        <v>1</v>
      </c>
      <c r="U32" s="98" t="s" ph="1">
        <v>31</v>
      </c>
      <c r="V32" s="96" t="s" ph="1">
        <v>0</v>
      </c>
      <c r="W32" s="163" t="s" ph="1">
        <v>1</v>
      </c>
      <c r="X32" s="98" t="s" ph="1">
        <v>31</v>
      </c>
      <c r="Y32" s="99" t="s" ph="1">
        <v>0</v>
      </c>
      <c r="Z32" s="163" t="s" ph="1">
        <v>1</v>
      </c>
      <c r="AA32" s="162" t="s" ph="1">
        <v>31</v>
      </c>
      <c r="AB32" s="96" t="s" ph="1">
        <v>41</v>
      </c>
      <c r="AC32" s="163" t="s" ph="1">
        <v>40</v>
      </c>
      <c r="AD32" s="231" t="s" ph="1">
        <v>39</v>
      </c>
      <c r="AE32" s="232"/>
    </row>
    <row r="33" spans="1:31" ph="1">
      <c r="A33" s="63"/>
      <c r="B33" s="218" t="s" ph="1">
        <v>58</v>
      </c>
      <c r="C33" s="219" ph="1"/>
      <c r="D33" s="222" ph="1">
        <f>O10+P10</f>
        <v>57415.352652479996</v>
      </c>
      <c r="E33" s="222" ph="1">
        <f>H10+I10+J10+K10</f>
        <v>6735.7439999999997</v>
      </c>
      <c r="F33" s="224" ph="1">
        <f>L10+N10</f>
        <v>0</v>
      </c>
      <c r="G33" s="226" ph="1">
        <v>0</v>
      </c>
      <c r="H33" s="222" ph="1">
        <v>0</v>
      </c>
      <c r="I33" s="235" ph="1">
        <v>0</v>
      </c>
      <c r="J33" s="233" ph="1">
        <v>0</v>
      </c>
      <c r="K33" s="222" ph="1">
        <v>0</v>
      </c>
      <c r="L33" s="237" ph="1">
        <v>0</v>
      </c>
      <c r="M33" s="233" ph="1">
        <v>0</v>
      </c>
      <c r="N33" s="222" ph="1">
        <v>0</v>
      </c>
      <c r="O33" s="235" ph="1">
        <f>G19</f>
        <v>0</v>
      </c>
      <c r="P33" s="233" ph="1">
        <v>0</v>
      </c>
      <c r="Q33" s="222" ph="1">
        <v>0</v>
      </c>
      <c r="R33" s="235" ph="1">
        <v>0</v>
      </c>
      <c r="S33" s="233" ph="1">
        <v>0</v>
      </c>
      <c r="T33" s="222" ph="1">
        <v>0</v>
      </c>
      <c r="U33" s="243" ph="1">
        <v>0</v>
      </c>
      <c r="V33" s="254" ph="1">
        <v>0</v>
      </c>
      <c r="W33" s="254" ph="1">
        <v>0</v>
      </c>
      <c r="X33" s="235" ph="1">
        <v>0</v>
      </c>
      <c r="Y33" s="256" ph="1">
        <v>0</v>
      </c>
      <c r="Z33" s="241" ph="1">
        <v>0</v>
      </c>
      <c r="AA33" s="243" ph="1">
        <v>0</v>
      </c>
      <c r="AB33" s="245" ph="1">
        <v>0</v>
      </c>
      <c r="AC33" s="247" ph="1">
        <v>0</v>
      </c>
      <c r="AD33" s="249" ph="1">
        <v>0</v>
      </c>
      <c r="AE33" s="250"/>
    </row>
    <row r="34" spans="1:31" ph="1">
      <c r="A34" s="63"/>
      <c r="B34" s="220" ph="1"/>
      <c r="C34" s="221" ph="1"/>
      <c r="D34" s="223" ph="1"/>
      <c r="E34" s="223" ph="1"/>
      <c r="F34" s="225" ph="1"/>
      <c r="G34" s="227" ph="1"/>
      <c r="H34" s="223" ph="1"/>
      <c r="I34" s="236" ph="1"/>
      <c r="J34" s="234" ph="1"/>
      <c r="K34" s="223" ph="1"/>
      <c r="L34" s="238" ph="1"/>
      <c r="M34" s="234" ph="1"/>
      <c r="N34" s="223" ph="1"/>
      <c r="O34" s="236" ph="1"/>
      <c r="P34" s="234" ph="1"/>
      <c r="Q34" s="223" ph="1"/>
      <c r="R34" s="236" ph="1"/>
      <c r="S34" s="234" ph="1"/>
      <c r="T34" s="223"/>
      <c r="U34" s="244"/>
      <c r="V34" s="255" ph="1"/>
      <c r="W34" s="255" ph="1"/>
      <c r="X34" s="236" ph="1"/>
      <c r="Y34" s="257" ph="1"/>
      <c r="Z34" s="242" ph="1"/>
      <c r="AA34" s="244" ph="1"/>
      <c r="AB34" s="246"/>
      <c r="AC34" s="248"/>
      <c r="AD34" s="251"/>
      <c r="AE34" s="252"/>
    </row>
    <row r="35" spans="1:31" ph="1">
      <c r="A35" s="63"/>
      <c r="AC35" s="253" t="s" ph="1">
        <v>65</v>
      </c>
      <c r="AD35" s="253"/>
      <c r="AE35" s="253"/>
    </row>
    <row r="36" spans="1:31" ht="28.2" ph="1">
      <c r="A36" s="63"/>
      <c r="B36" s="102" t="s" ph="1">
        <v>59</v>
      </c>
      <c r="I36" s="239" t="s" ph="1">
        <v>60</v>
      </c>
      <c r="J36" s="239" ph="1"/>
      <c r="K36" s="100" ph="1"/>
      <c r="P36" s="100" ph="1"/>
      <c r="R36" s="239" t="s" ph="1">
        <v>61</v>
      </c>
      <c r="S36" s="239" ph="1"/>
      <c r="Y36" s="101" ph="1"/>
      <c r="Z36" s="161" t="s" ph="1">
        <v>62</v>
      </c>
      <c r="AA36" s="161" ph="1"/>
      <c r="AB36" s="240" t="s" ph="1">
        <v>67</v>
      </c>
      <c r="AC36" s="240" ph="1"/>
      <c r="AD36" s="240" ph="1"/>
      <c r="AE36" s="240" ph="1"/>
    </row>
    <row r="37" spans="1:31" s="161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6 D8:D9 D11">
    <cfRule type="expression" dxfId="1025" priority="133">
      <formula>ABS(D$7-D$10)&gt;=1000</formula>
    </cfRule>
  </conditionalFormatting>
  <conditionalFormatting sqref="E4 E6 E8:E9 E11">
    <cfRule type="expression" dxfId="1024" priority="132">
      <formula>ABS(E$7-E$10)&gt;=1000</formula>
    </cfRule>
  </conditionalFormatting>
  <conditionalFormatting sqref="F4 F6 F8:F9 F11">
    <cfRule type="expression" dxfId="1023" priority="131">
      <formula>ABS(F$7-F$10)&gt;=1000</formula>
    </cfRule>
  </conditionalFormatting>
  <conditionalFormatting sqref="G4 G6 G8:G9 G11">
    <cfRule type="expression" dxfId="1022" priority="130">
      <formula>ABS(G$7-G$10)&gt;=1000</formula>
    </cfRule>
  </conditionalFormatting>
  <conditionalFormatting sqref="H4:K4 H6 H8:H9 H11">
    <cfRule type="expression" dxfId="1021" priority="129">
      <formula>ABS(H$7-H$10)&gt;=1000</formula>
    </cfRule>
  </conditionalFormatting>
  <conditionalFormatting sqref="I6 I8:I9 I11">
    <cfRule type="expression" dxfId="1020" priority="128">
      <formula>ABS(I$7-I$10)&gt;=1000</formula>
    </cfRule>
  </conditionalFormatting>
  <conditionalFormatting sqref="J6 J8:J9 J11">
    <cfRule type="expression" dxfId="1019" priority="127">
      <formula>ABS(J$7-J$10)&gt;=1000</formula>
    </cfRule>
  </conditionalFormatting>
  <conditionalFormatting sqref="K6 K8:K9 K11">
    <cfRule type="expression" dxfId="1018" priority="126">
      <formula>ABS(K$7-K$10)&gt;=1000</formula>
    </cfRule>
  </conditionalFormatting>
  <conditionalFormatting sqref="L4:L6 M4:N4 Q4:S4 L8:L9 L11">
    <cfRule type="expression" dxfId="1017" priority="125">
      <formula>ABS(L$7-L$10)&gt;=1000</formula>
    </cfRule>
  </conditionalFormatting>
  <conditionalFormatting sqref="M6 M8:M9 M11">
    <cfRule type="expression" dxfId="1016" priority="124">
      <formula>ABS(M$7-M$10)&gt;=1000</formula>
    </cfRule>
  </conditionalFormatting>
  <conditionalFormatting sqref="N6 N8:N9 N11">
    <cfRule type="expression" dxfId="1015" priority="123">
      <formula>ABS(N$7-N$10)&gt;=1000</formula>
    </cfRule>
  </conditionalFormatting>
  <conditionalFormatting sqref="Q5:Q11">
    <cfRule type="expression" dxfId="1014" priority="122">
      <formula>ABS(Q$7-Q$10)&gt;=1000</formula>
    </cfRule>
  </conditionalFormatting>
  <conditionalFormatting sqref="R5:R11">
    <cfRule type="expression" dxfId="1013" priority="121">
      <formula>ABS(R$7-R$10)&gt;=1000</formula>
    </cfRule>
  </conditionalFormatting>
  <conditionalFormatting sqref="S5:S11">
    <cfRule type="expression" dxfId="1012" priority="120">
      <formula>ABS(S$7-S$10)&gt;=1000</formula>
    </cfRule>
  </conditionalFormatting>
  <conditionalFormatting sqref="T4:T9 T11">
    <cfRule type="expression" dxfId="1011" priority="119">
      <formula>ABS(T$7-T$10)&gt;=1000</formula>
    </cfRule>
  </conditionalFormatting>
  <conditionalFormatting sqref="U4:U9 U11">
    <cfRule type="expression" dxfId="1010" priority="118">
      <formula>ABS(U$7-U$10)&gt;=1000</formula>
    </cfRule>
  </conditionalFormatting>
  <conditionalFormatting sqref="V4:V9 V11">
    <cfRule type="expression" dxfId="1009" priority="117">
      <formula>ABS(V$7-V$10)&gt;=1000</formula>
    </cfRule>
  </conditionalFormatting>
  <conditionalFormatting sqref="W4:W9 W11">
    <cfRule type="expression" dxfId="1008" priority="116">
      <formula>ABS(W$7-W$10)&gt;=1000</formula>
    </cfRule>
  </conditionalFormatting>
  <conditionalFormatting sqref="X4:X9 X11">
    <cfRule type="expression" dxfId="1007" priority="115">
      <formula>ABS(X$7-X$10)&gt;=1000</formula>
    </cfRule>
  </conditionalFormatting>
  <conditionalFormatting sqref="Y4:Y9 Y11">
    <cfRule type="expression" dxfId="1006" priority="114">
      <formula>ABS(Y$7-Y$10)&gt;=1000</formula>
    </cfRule>
  </conditionalFormatting>
  <conditionalFormatting sqref="Z4:Z11">
    <cfRule type="expression" dxfId="1005" priority="113">
      <formula>ABS(Z$7-Z$10)&gt;=1000</formula>
    </cfRule>
  </conditionalFormatting>
  <conditionalFormatting sqref="AA4:AA11">
    <cfRule type="expression" dxfId="1004" priority="112">
      <formula>ABS(AA$7-AA$10)&gt;=1000</formula>
    </cfRule>
  </conditionalFormatting>
  <conditionalFormatting sqref="AB4:AB11">
    <cfRule type="expression" dxfId="1003" priority="111">
      <formula>ABS(AB$7-AB$10)&gt;=1000</formula>
    </cfRule>
  </conditionalFormatting>
  <conditionalFormatting sqref="AC4 AC6:AC11">
    <cfRule type="expression" dxfId="1002" priority="110">
      <formula>ABS(AC$7-AC$10)&gt;=1000</formula>
    </cfRule>
  </conditionalFormatting>
  <conditionalFormatting sqref="AD4 AD6:AD11">
    <cfRule type="expression" dxfId="1001" priority="109">
      <formula>ABS(AD$7-AD$10)&gt;=1000</formula>
    </cfRule>
  </conditionalFormatting>
  <conditionalFormatting sqref="AE4 AE6:AE11">
    <cfRule type="expression" dxfId="1000" priority="108">
      <formula>ABS(AE$7-AE$10)&gt;=1000</formula>
    </cfRule>
  </conditionalFormatting>
  <conditionalFormatting sqref="D13:D20">
    <cfRule type="expression" dxfId="999" priority="107">
      <formula>ABS(D$16-D$19)&gt;=1000</formula>
    </cfRule>
  </conditionalFormatting>
  <conditionalFormatting sqref="E13:E20">
    <cfRule type="expression" dxfId="998" priority="106">
      <formula>ABS(E$16-E$19)&gt;=1000</formula>
    </cfRule>
  </conditionalFormatting>
  <conditionalFormatting sqref="F13 F15:F20">
    <cfRule type="expression" dxfId="997" priority="105">
      <formula>ABS(F$16-F$19)&gt;=1000</formula>
    </cfRule>
  </conditionalFormatting>
  <conditionalFormatting sqref="G13:G20">
    <cfRule type="expression" dxfId="996" priority="104">
      <formula>ABS(G$16-G$19)&gt;=1000</formula>
    </cfRule>
  </conditionalFormatting>
  <conditionalFormatting sqref="H13 H15:H20">
    <cfRule type="expression" dxfId="995" priority="103">
      <formula>ABS(H$16-H$19)&gt;=1000</formula>
    </cfRule>
  </conditionalFormatting>
  <conditionalFormatting sqref="I13:I20">
    <cfRule type="expression" dxfId="994" priority="102">
      <formula>ABS(I$16-I$19)&gt;=1000</formula>
    </cfRule>
  </conditionalFormatting>
  <conditionalFormatting sqref="J13:J20">
    <cfRule type="expression" dxfId="993" priority="101">
      <formula>ABS(J$16-J$19)&gt;=1000</formula>
    </cfRule>
  </conditionalFormatting>
  <conditionalFormatting sqref="L13:L20">
    <cfRule type="expression" dxfId="992" priority="100">
      <formula>ABS(L$16-L$19)&gt;=1000</formula>
    </cfRule>
  </conditionalFormatting>
  <conditionalFormatting sqref="M13 M15 M17:M18 M20">
    <cfRule type="expression" dxfId="991" priority="99">
      <formula>ABS(M$16-M$19)&gt;=1000</formula>
    </cfRule>
  </conditionalFormatting>
  <conditionalFormatting sqref="N13:N20">
    <cfRule type="expression" dxfId="990" priority="98">
      <formula>ABS(N$16-N$19)&gt;=1000</formula>
    </cfRule>
  </conditionalFormatting>
  <conditionalFormatting sqref="O13:O20">
    <cfRule type="expression" dxfId="989" priority="97">
      <formula>ABS(O$16-O$19)&gt;=1000</formula>
    </cfRule>
  </conditionalFormatting>
  <conditionalFormatting sqref="P13:P20">
    <cfRule type="expression" dxfId="988" priority="96">
      <formula>ABS(P$16-P$19)&gt;=1000</formula>
    </cfRule>
  </conditionalFormatting>
  <conditionalFormatting sqref="Q13 Q15:Q20">
    <cfRule type="expression" dxfId="987" priority="95">
      <formula>ABS(Q$16-Q$19)&gt;=1000</formula>
    </cfRule>
  </conditionalFormatting>
  <conditionalFormatting sqref="R13:R20">
    <cfRule type="expression" dxfId="986" priority="94">
      <formula>ABS(R$16-R$19)&gt;=1000</formula>
    </cfRule>
  </conditionalFormatting>
  <conditionalFormatting sqref="S13:S20">
    <cfRule type="expression" dxfId="985" priority="93">
      <formula>ABS(S$16-S$19)&gt;=1000</formula>
    </cfRule>
  </conditionalFormatting>
  <conditionalFormatting sqref="T13:T20">
    <cfRule type="expression" dxfId="984" priority="92">
      <formula>ABS(T$16-T$19)&gt;=1000</formula>
    </cfRule>
  </conditionalFormatting>
  <conditionalFormatting sqref="U13:U20">
    <cfRule type="expression" dxfId="983" priority="91">
      <formula>ABS(U$16-U$19)&gt;=1000</formula>
    </cfRule>
  </conditionalFormatting>
  <conditionalFormatting sqref="V13:V20">
    <cfRule type="expression" dxfId="982" priority="90">
      <formula>ABS(V$16-V$19)&gt;=1000</formula>
    </cfRule>
  </conditionalFormatting>
  <conditionalFormatting sqref="W13 W20 W15:W18">
    <cfRule type="expression" dxfId="981" priority="89">
      <formula>ABS(W$16-W$19)&gt;=1000</formula>
    </cfRule>
  </conditionalFormatting>
  <conditionalFormatting sqref="X13 X15:X20 Y19">
    <cfRule type="expression" dxfId="980" priority="88">
      <formula>ABS(X$16-X$19)&gt;=1000</formula>
    </cfRule>
  </conditionalFormatting>
  <conditionalFormatting sqref="Y13 Y15:Y18 Y20">
    <cfRule type="expression" dxfId="979" priority="87">
      <formula>ABS(Y$16-Y$19)&gt;=1000</formula>
    </cfRule>
  </conditionalFormatting>
  <conditionalFormatting sqref="Z13:Z20">
    <cfRule type="expression" dxfId="978" priority="86">
      <formula>ABS(Z$16-Z$19)&gt;=1000</formula>
    </cfRule>
  </conditionalFormatting>
  <conditionalFormatting sqref="AA13:AA20">
    <cfRule type="expression" dxfId="977" priority="85">
      <formula>ABS(AA$16-AA$19)&gt;=1000</formula>
    </cfRule>
  </conditionalFormatting>
  <conditionalFormatting sqref="AB13 AB15:AB20">
    <cfRule type="expression" dxfId="976" priority="84">
      <formula>ABS(AB$16-AB$19)&gt;=1000</formula>
    </cfRule>
  </conditionalFormatting>
  <conditionalFormatting sqref="AC13 AC15:AC20">
    <cfRule type="expression" dxfId="975" priority="83">
      <formula>ABS(AC$16-AC$19)&gt;=1000</formula>
    </cfRule>
  </conditionalFormatting>
  <conditionalFormatting sqref="AD13:AD20">
    <cfRule type="expression" dxfId="974" priority="82">
      <formula>ABS(AD$16-AD$19)&gt;=1000</formula>
    </cfRule>
  </conditionalFormatting>
  <conditionalFormatting sqref="AE13:AE20">
    <cfRule type="expression" dxfId="973" priority="81">
      <formula>ABS(AE$16-AE$19)&gt;=1000</formula>
    </cfRule>
  </conditionalFormatting>
  <conditionalFormatting sqref="D22:D29">
    <cfRule type="expression" dxfId="972" priority="80">
      <formula>ABS(D$25-D$28)&gt;=1000</formula>
    </cfRule>
  </conditionalFormatting>
  <conditionalFormatting sqref="E22:E29">
    <cfRule type="expression" dxfId="971" priority="79">
      <formula>ABS(E$25-E$28)&gt;=1000</formula>
    </cfRule>
  </conditionalFormatting>
  <conditionalFormatting sqref="F22:F29">
    <cfRule type="expression" dxfId="970" priority="78">
      <formula>ABS(F$25-F$28)&gt;=1000</formula>
    </cfRule>
  </conditionalFormatting>
  <conditionalFormatting sqref="G22:G29">
    <cfRule type="expression" dxfId="969" priority="77">
      <formula>ABS(G$25-G$28)&gt;=1000</formula>
    </cfRule>
  </conditionalFormatting>
  <conditionalFormatting sqref="H22:H29">
    <cfRule type="expression" dxfId="968" priority="76">
      <formula>ABS(H$25-H$28)&gt;=1000</formula>
    </cfRule>
  </conditionalFormatting>
  <conditionalFormatting sqref="I22 I24:I29">
    <cfRule type="expression" dxfId="967" priority="75">
      <formula>ABS(I$25-I$28)&gt;=1000</formula>
    </cfRule>
  </conditionalFormatting>
  <conditionalFormatting sqref="J22:J29 K22">
    <cfRule type="expression" dxfId="966" priority="74">
      <formula>ABS(J$25-J$28)&gt;=1000</formula>
    </cfRule>
  </conditionalFormatting>
  <conditionalFormatting sqref="K23:K29 L25 L28">
    <cfRule type="expression" dxfId="965" priority="73">
      <formula>ABS(K$25-K$28)&gt;=1000</formula>
    </cfRule>
  </conditionalFormatting>
  <conditionalFormatting sqref="L22 L26:L27 L29 L24">
    <cfRule type="expression" dxfId="964" priority="72">
      <formula>ABS(L$25-L$28)&gt;=1000</formula>
    </cfRule>
  </conditionalFormatting>
  <conditionalFormatting sqref="M22:M29">
    <cfRule type="expression" dxfId="963" priority="71">
      <formula>ABS(M$25-M$28)&gt;=1000</formula>
    </cfRule>
  </conditionalFormatting>
  <conditionalFormatting sqref="N22:N29">
    <cfRule type="expression" dxfId="962" priority="70">
      <formula>ABS(N$25-N$28)&gt;=1000</formula>
    </cfRule>
  </conditionalFormatting>
  <conditionalFormatting sqref="O22:O29">
    <cfRule type="expression" dxfId="961" priority="69">
      <formula>ABS(O$25-O$28)&gt;=1000</formula>
    </cfRule>
  </conditionalFormatting>
  <conditionalFormatting sqref="P22:P29">
    <cfRule type="expression" dxfId="960" priority="68">
      <formula>ABS(P$25-P$28)&gt;=1000</formula>
    </cfRule>
  </conditionalFormatting>
  <conditionalFormatting sqref="Q22:Q29">
    <cfRule type="expression" dxfId="959" priority="67">
      <formula>ABS(Q$25-Q$28)&gt;=1000</formula>
    </cfRule>
  </conditionalFormatting>
  <conditionalFormatting sqref="R22:R29">
    <cfRule type="expression" dxfId="958" priority="66">
      <formula>ABS(R$25-R$28)&gt;=1000</formula>
    </cfRule>
  </conditionalFormatting>
  <conditionalFormatting sqref="S22:S29">
    <cfRule type="expression" dxfId="957" priority="65">
      <formula>ABS(S$25-S$28)&gt;=1000</formula>
    </cfRule>
  </conditionalFormatting>
  <conditionalFormatting sqref="T22:T29">
    <cfRule type="expression" dxfId="956" priority="64">
      <formula>ABS(T$25-T$28)&gt;=1000</formula>
    </cfRule>
  </conditionalFormatting>
  <conditionalFormatting sqref="U22:U29">
    <cfRule type="expression" dxfId="955" priority="63">
      <formula>ABS(U$25-U$28)&gt;=1000</formula>
    </cfRule>
  </conditionalFormatting>
  <conditionalFormatting sqref="V22:V29">
    <cfRule type="expression" dxfId="954" priority="62">
      <formula>ABS(V$25-V$28)&gt;=1000</formula>
    </cfRule>
  </conditionalFormatting>
  <conditionalFormatting sqref="W22:W29">
    <cfRule type="expression" dxfId="953" priority="61">
      <formula>ABS(W$25-W$28)&gt;=1000</formula>
    </cfRule>
  </conditionalFormatting>
  <conditionalFormatting sqref="X22:X29">
    <cfRule type="expression" dxfId="952" priority="60">
      <formula>ABS(X$25-X$28)&gt;=1000</formula>
    </cfRule>
  </conditionalFormatting>
  <conditionalFormatting sqref="Y22:Y29">
    <cfRule type="expression" dxfId="951" priority="59">
      <formula>ABS(Y$25-Y$28)&gt;=1000</formula>
    </cfRule>
  </conditionalFormatting>
  <conditionalFormatting sqref="I23">
    <cfRule type="expression" dxfId="950" priority="58">
      <formula>ABS(I$25-I$28)&gt;=1000</formula>
    </cfRule>
  </conditionalFormatting>
  <conditionalFormatting sqref="Q14">
    <cfRule type="expression" dxfId="949" priority="57">
      <formula>ABS(Q$16-Q$19)&gt;=1000</formula>
    </cfRule>
  </conditionalFormatting>
  <conditionalFormatting sqref="W14">
    <cfRule type="expression" dxfId="948" priority="56">
      <formula>ABS(W$16-W$19)&gt;=1000</formula>
    </cfRule>
  </conditionalFormatting>
  <conditionalFormatting sqref="X14">
    <cfRule type="expression" dxfId="947" priority="55">
      <formula>ABS(X$16-X$19)&gt;=1000</formula>
    </cfRule>
  </conditionalFormatting>
  <conditionalFormatting sqref="T10:Y10">
    <cfRule type="expression" dxfId="946" priority="54">
      <formula>ABS(T$7-T$10)&gt;=1000</formula>
    </cfRule>
  </conditionalFormatting>
  <conditionalFormatting sqref="W19">
    <cfRule type="expression" dxfId="945" priority="53">
      <formula>ABS(W$16-W$19)&gt;=1000</formula>
    </cfRule>
  </conditionalFormatting>
  <conditionalFormatting sqref="AC5">
    <cfRule type="expression" dxfId="944" priority="52">
      <formula>ABS(AC$7-AC$10)&gt;=1000</formula>
    </cfRule>
  </conditionalFormatting>
  <conditionalFormatting sqref="M14">
    <cfRule type="expression" dxfId="943" priority="51">
      <formula>ABS(M$16-M$19)&gt;=1000</formula>
    </cfRule>
  </conditionalFormatting>
  <conditionalFormatting sqref="M16">
    <cfRule type="expression" dxfId="942" priority="50">
      <formula>ABS(M$16-M$19)&gt;=1000</formula>
    </cfRule>
  </conditionalFormatting>
  <conditionalFormatting sqref="M19">
    <cfRule type="expression" dxfId="941" priority="49">
      <formula>ABS(M$16-M$19)&gt;=1000</formula>
    </cfRule>
  </conditionalFormatting>
  <conditionalFormatting sqref="K13:K20">
    <cfRule type="expression" dxfId="940" priority="48">
      <formula>ABS(K$16-K$19)&gt;=1000</formula>
    </cfRule>
  </conditionalFormatting>
  <conditionalFormatting sqref="AB14:AC14">
    <cfRule type="expression" dxfId="939" priority="47">
      <formula>ABS(AB$16-AB$19)&gt;=1000</formula>
    </cfRule>
  </conditionalFormatting>
  <conditionalFormatting sqref="M5">
    <cfRule type="expression" dxfId="938" priority="46">
      <formula>ABS(M$7-M$10)&gt;=1000</formula>
    </cfRule>
  </conditionalFormatting>
  <conditionalFormatting sqref="N5">
    <cfRule type="expression" dxfId="937" priority="45">
      <formula>ABS(N$7-N$10)&gt;=1000</formula>
    </cfRule>
  </conditionalFormatting>
  <conditionalFormatting sqref="L23">
    <cfRule type="expression" dxfId="936" priority="44">
      <formula>ABS(L$25-L$28)&gt;=1000</formula>
    </cfRule>
  </conditionalFormatting>
  <conditionalFormatting sqref="Y14">
    <cfRule type="expression" dxfId="935" priority="43">
      <formula>ABS(Y$16-Y$19)&gt;=1000</formula>
    </cfRule>
  </conditionalFormatting>
  <conditionalFormatting sqref="F14">
    <cfRule type="expression" dxfId="934" priority="42">
      <formula>ABS(F$16-F$19)&gt;=1000</formula>
    </cfRule>
  </conditionalFormatting>
  <conditionalFormatting sqref="H14">
    <cfRule type="expression" dxfId="933" priority="41">
      <formula>ABS(H$16-H$19)&gt;=1000</formula>
    </cfRule>
  </conditionalFormatting>
  <conditionalFormatting sqref="AD5">
    <cfRule type="expression" dxfId="932" priority="40">
      <formula>ABS(AD$7-AD$10)&gt;=1000</formula>
    </cfRule>
  </conditionalFormatting>
  <conditionalFormatting sqref="AE5">
    <cfRule type="expression" dxfId="931" priority="39">
      <formula>ABS(AE$7-AE$10)&gt;=1000</formula>
    </cfRule>
  </conditionalFormatting>
  <conditionalFormatting sqref="D5">
    <cfRule type="expression" dxfId="930" priority="38">
      <formula>ABS(D$7-D$10)&gt;=1000</formula>
    </cfRule>
  </conditionalFormatting>
  <conditionalFormatting sqref="E5:G5">
    <cfRule type="expression" dxfId="929" priority="37">
      <formula>ABS(E$7-E$10)&gt;=1000</formula>
    </cfRule>
  </conditionalFormatting>
  <conditionalFormatting sqref="H5:K5">
    <cfRule type="expression" dxfId="928" priority="36">
      <formula>ABS(H$7-H$10)&gt;=1000</formula>
    </cfRule>
  </conditionalFormatting>
  <conditionalFormatting sqref="O4:P4">
    <cfRule type="expression" dxfId="927" priority="35">
      <formula>ABS(O$7-O$10)&gt;=1000</formula>
    </cfRule>
  </conditionalFormatting>
  <conditionalFormatting sqref="O5:O6 O8:O9 O11">
    <cfRule type="expression" dxfId="926" priority="34">
      <formula>ABS(O$7-O$10)&gt;=1000</formula>
    </cfRule>
  </conditionalFormatting>
  <conditionalFormatting sqref="P6 P8:P9 P11">
    <cfRule type="expression" dxfId="925" priority="33">
      <formula>ABS(P$7-P$10)&gt;=1000</formula>
    </cfRule>
  </conditionalFormatting>
  <conditionalFormatting sqref="P5">
    <cfRule type="expression" dxfId="924" priority="32">
      <formula>ABS(P$7-P$10)&gt;=1000</formula>
    </cfRule>
  </conditionalFormatting>
  <conditionalFormatting sqref="H7:L7">
    <cfRule type="expression" dxfId="15" priority="16">
      <formula>ABS(H$7-H$10)&gt;=1000</formula>
    </cfRule>
  </conditionalFormatting>
  <conditionalFormatting sqref="E7">
    <cfRule type="expression" dxfId="14" priority="13">
      <formula>ABS(E$7-E$10)&gt;=1000</formula>
    </cfRule>
  </conditionalFormatting>
  <conditionalFormatting sqref="O7:P7">
    <cfRule type="expression" dxfId="13" priority="15">
      <formula>ABS(O$7-O$10)&gt;=1000</formula>
    </cfRule>
  </conditionalFormatting>
  <conditionalFormatting sqref="N7">
    <cfRule type="expression" dxfId="12" priority="14">
      <formula>ABS(N$7-N$10)&gt;=1000</formula>
    </cfRule>
  </conditionalFormatting>
  <conditionalFormatting sqref="M7">
    <cfRule type="expression" dxfId="11" priority="12">
      <formula>ABS(M$7-M$10)&gt;=1000</formula>
    </cfRule>
  </conditionalFormatting>
  <conditionalFormatting sqref="G7">
    <cfRule type="expression" dxfId="10" priority="11">
      <formula>ABS(G$7-G$10)&gt;=1000</formula>
    </cfRule>
  </conditionalFormatting>
  <conditionalFormatting sqref="F7">
    <cfRule type="expression" dxfId="9" priority="10">
      <formula>ABS(F$7-F$10)&gt;=1000</formula>
    </cfRule>
  </conditionalFormatting>
  <conditionalFormatting sqref="D7">
    <cfRule type="expression" dxfId="8" priority="9">
      <formula>ABS(D$7-D$10)&gt;=1000</formula>
    </cfRule>
  </conditionalFormatting>
  <conditionalFormatting sqref="H10:L10">
    <cfRule type="expression" dxfId="7" priority="8">
      <formula>ABS(H$7-H$10)&gt;=1000</formula>
    </cfRule>
  </conditionalFormatting>
  <conditionalFormatting sqref="E10">
    <cfRule type="expression" dxfId="6" priority="5">
      <formula>ABS(E$7-E$10)&gt;=1000</formula>
    </cfRule>
  </conditionalFormatting>
  <conditionalFormatting sqref="O10:P10">
    <cfRule type="expression" dxfId="5" priority="7">
      <formula>ABS(O$7-O$10)&gt;=1000</formula>
    </cfRule>
  </conditionalFormatting>
  <conditionalFormatting sqref="N10">
    <cfRule type="expression" dxfId="4" priority="6">
      <formula>ABS(N$7-N$10)&gt;=1000</formula>
    </cfRule>
  </conditionalFormatting>
  <conditionalFormatting sqref="M10">
    <cfRule type="expression" dxfId="3" priority="4">
      <formula>ABS(M$7-M$10)&gt;=1000</formula>
    </cfRule>
  </conditionalFormatting>
  <conditionalFormatting sqref="G10">
    <cfRule type="expression" dxfId="2" priority="3">
      <formula>ABS(G$7-G$10)&gt;=1000</formula>
    </cfRule>
  </conditionalFormatting>
  <conditionalFormatting sqref="F10">
    <cfRule type="expression" dxfId="1" priority="2">
      <formula>ABS(F$7-F$10)&gt;=1000</formula>
    </cfRule>
  </conditionalFormatting>
  <conditionalFormatting sqref="D10">
    <cfRule type="expression" dxfId="0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606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21">
    <pageSetUpPr fitToPage="1"/>
  </sheetPr>
  <dimension ref="A1:BA223"/>
  <sheetViews>
    <sheetView view="pageBreakPreview" topLeftCell="B1" zoomScale="110" zoomScaleNormal="100" zoomScaleSheetLayoutView="110" workbookViewId="0">
      <selection activeCell="D10" sqref="D10:P10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01" t="s" ph="1">
        <v>117</v>
      </c>
      <c r="C1" s="201" ph="1"/>
      <c r="D1" s="201" ph="1"/>
      <c r="E1" s="201" ph="1"/>
      <c r="F1" s="201" ph="1"/>
      <c r="G1" s="201" ph="1"/>
      <c r="H1" s="201" ph="1"/>
      <c r="I1" s="201" ph="1"/>
      <c r="J1" s="201" ph="1"/>
      <c r="K1" s="201" ph="1"/>
      <c r="L1" s="201" ph="1"/>
      <c r="M1" s="201" ph="1"/>
      <c r="N1" s="201" ph="1"/>
      <c r="O1" s="201" ph="1"/>
      <c r="P1" s="201" ph="1"/>
      <c r="Q1" s="201" ph="1"/>
      <c r="R1" s="201" ph="1"/>
      <c r="S1" s="201" ph="1"/>
      <c r="T1" s="201" ph="1"/>
      <c r="U1" s="201" ph="1"/>
      <c r="V1" s="201" ph="1"/>
      <c r="W1" s="201" ph="1"/>
      <c r="X1" s="201" ph="1"/>
      <c r="Y1" s="201" ph="1"/>
      <c r="Z1" s="201" ph="1"/>
      <c r="AA1" s="201" ph="1"/>
      <c r="AB1" s="201" ph="1"/>
      <c r="AC1" s="201" ph="1"/>
      <c r="AD1" s="201" ph="1"/>
      <c r="AE1" s="201" ph="1"/>
    </row>
    <row r="2" spans="1:53" s="65" customFormat="1" ht="24" customHeight="1" ph="1">
      <c r="B2" s="202" t="s" ph="1">
        <v>118</v>
      </c>
      <c r="C2" s="202" ph="1"/>
      <c r="D2" s="202" ph="1"/>
      <c r="E2" s="202" ph="1"/>
      <c r="F2" s="202" ph="1"/>
      <c r="G2" s="202" ph="1"/>
      <c r="H2" s="202" ph="1"/>
      <c r="I2" s="202" ph="1"/>
      <c r="J2" s="202" ph="1"/>
      <c r="K2" s="202" ph="1"/>
      <c r="L2" s="202" ph="1"/>
      <c r="M2" s="202" ph="1"/>
      <c r="N2" s="202" ph="1"/>
      <c r="O2" s="202" ph="1"/>
      <c r="P2" s="202" ph="1"/>
      <c r="Q2" s="202" ph="1"/>
      <c r="R2" s="202" ph="1"/>
      <c r="S2" s="202" ph="1"/>
      <c r="T2" s="202" ph="1"/>
      <c r="U2" s="202" ph="1"/>
      <c r="V2" s="202" ph="1"/>
      <c r="W2" s="202" ph="1"/>
      <c r="X2" s="202" ph="1"/>
      <c r="Y2" s="202" ph="1"/>
      <c r="Z2" s="202" ph="1"/>
      <c r="AA2" s="202" ph="1"/>
      <c r="AB2" s="202" ph="1"/>
      <c r="AC2" s="202" ph="1"/>
      <c r="AD2" s="202" ph="1"/>
      <c r="AE2" s="202" ph="1"/>
    </row>
    <row r="3" spans="1:53" ht="21" customHeight="1" ph="1">
      <c r="B3" s="203" ph="1">
        <v>46134</v>
      </c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</row>
    <row r="4" spans="1:53" s="68" customFormat="1" ph="1">
      <c r="A4" s="64" ph="1"/>
      <c r="B4" s="204" t="s" ph="1">
        <v>119</v>
      </c>
      <c r="C4" s="66" t="s" ph="1">
        <v>120</v>
      </c>
      <c r="D4" s="67" t="s" ph="1">
        <v>121</v>
      </c>
      <c r="E4" s="67" t="s" ph="1">
        <v>122</v>
      </c>
      <c r="F4" s="67" t="s" ph="1">
        <v>123</v>
      </c>
      <c r="G4" s="67" t="s" ph="1">
        <v>124</v>
      </c>
      <c r="H4" s="67" t="s" ph="1">
        <v>125</v>
      </c>
      <c r="I4" s="67" t="s" ph="1">
        <v>70</v>
      </c>
      <c r="J4" s="67" t="s" ph="1">
        <v>71</v>
      </c>
      <c r="K4" s="67" t="s" ph="1">
        <v>72</v>
      </c>
      <c r="L4" s="67" t="s" ph="1">
        <v>126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04" ph="1"/>
      <c r="C5" s="66" t="s" ph="1">
        <v>127</v>
      </c>
      <c r="D5" s="141" t="s" ph="1">
        <v>128</v>
      </c>
      <c r="E5" s="141" t="s" ph="1">
        <v>128</v>
      </c>
      <c r="F5" s="141" t="s" ph="1">
        <v>128</v>
      </c>
      <c r="G5" s="141" t="s" ph="1">
        <v>128</v>
      </c>
      <c r="H5" s="141" t="s" ph="1">
        <v>128</v>
      </c>
      <c r="I5" s="141" t="s" ph="1">
        <v>128</v>
      </c>
      <c r="J5" s="141" t="s" ph="1">
        <v>128</v>
      </c>
      <c r="K5" s="141" t="s" ph="1">
        <v>128</v>
      </c>
      <c r="L5" s="140" t="s" ph="1">
        <v>129</v>
      </c>
      <c r="M5" s="140" t="s" ph="1">
        <v>130</v>
      </c>
      <c r="N5" s="69" t="s" ph="1">
        <v>129</v>
      </c>
      <c r="O5" s="69" t="s" ph="1">
        <v>131</v>
      </c>
      <c r="P5" s="69" t="s" ph="1">
        <v>131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00" ph="1">
        <v>0.33333333333333331</v>
      </c>
      <c r="C6" s="164" t="s" ph="1">
        <v>132</v>
      </c>
      <c r="D6" s="155">
        <v>0.01</v>
      </c>
      <c r="E6" s="155">
        <v>0.01</v>
      </c>
      <c r="F6" s="155">
        <v>0.01</v>
      </c>
      <c r="G6" s="155">
        <v>0.01</v>
      </c>
      <c r="H6" s="155">
        <v>0.1</v>
      </c>
      <c r="I6" s="155">
        <v>0</v>
      </c>
      <c r="J6" s="155">
        <v>0</v>
      </c>
      <c r="K6" s="155">
        <v>0</v>
      </c>
      <c r="L6" s="155">
        <v>0</v>
      </c>
      <c r="M6" s="155">
        <v>0</v>
      </c>
      <c r="N6" s="155">
        <v>0</v>
      </c>
      <c r="O6" s="155">
        <v>0.114</v>
      </c>
      <c r="P6" s="155">
        <v>5.5500000000000001E-2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00" ph="1"/>
      <c r="C7" s="67" t="s" ph="1">
        <v>55</v>
      </c>
      <c r="D7" s="72" ph="1">
        <f>((D6*5200)*4.48)*LOOKUP(D8,密度!$A$2:$A$50,密度!$B$2:$B$50)</f>
        <v>182.45427200000003</v>
      </c>
      <c r="E7" s="72" ph="1">
        <f>((E6*5200)*4.48)*LOOKUP(E8,密度!$A$2:$A$50,密度!$B$2:$B$50)</f>
        <v>183.38611200000003</v>
      </c>
      <c r="F7" s="72" ph="1">
        <f>((F6*5200)*4.48)*LOOKUP(F8,密度!$A$2:$A$50,密度!$B$2:$B$50)</f>
        <v>183.38611200000003</v>
      </c>
      <c r="G7" s="72" ph="1">
        <f>((G6*5200)*4.48)*LOOKUP(G8,密度!$A$2:$A$50,密度!$B$2:$B$50)</f>
        <v>183.38611200000003</v>
      </c>
      <c r="H7" s="72" ph="1">
        <f>((H6*5200)*18.322+8640)*LOOKUP(H8,密度!$A$2:$A$50,密度!$B$2:$B$50)</f>
        <v>14332.293416</v>
      </c>
      <c r="I7" s="72" ph="1">
        <f>((I6*5200)*18.322)*LOOKUP(I8,密度!$A$2:$A$50,密度!$B$2:$B$50)</f>
        <v>0</v>
      </c>
      <c r="J7" s="72" ph="1">
        <f>((J6*5200)*18.322)*LOOKUP(J8,密度!$A$2:$A$50,密度!$B$2:$B$50)</f>
        <v>0</v>
      </c>
      <c r="K7" s="72" ph="1">
        <f>((K6*5200)*18.322)*LOOKUP(K8,密度!$A$2:$A$50,密度!$B$2:$B$50)</f>
        <v>0</v>
      </c>
      <c r="L7" s="72" ph="1">
        <f>(L6*6650)*26.42*LOOKUP(L8,密度!$A$2:$A$50,密度!$B$2:$B$50)</f>
        <v>0</v>
      </c>
      <c r="M7" s="72" ph="1">
        <f>(M6*6650)*26.42*1</f>
        <v>0</v>
      </c>
      <c r="N7" s="72" ph="1">
        <f>(N6*5150)*18.32*LOOKUP(N8,密度!$A$2:$A$50,密度!$B$2:$B$50)</f>
        <v>0</v>
      </c>
      <c r="O7" s="72" ph="1">
        <f>(O6*12400)*81.71*LOOKUP(O8,密度!$A$2:$A$50,密度!$B$2:$B$50)</f>
        <v>90047.897577600001</v>
      </c>
      <c r="P7" s="72" ph="1">
        <f>(P6*12400)*81.71*LOOKUP(P8,密度!$A$2:$A$50,密度!$B$2:$B$50)</f>
        <v>44311.463736000005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00" ph="1"/>
      <c r="C8" s="67" t="s" ph="1">
        <v>133</v>
      </c>
      <c r="D8" s="73">
        <v>21</v>
      </c>
      <c r="E8" s="73">
        <v>16</v>
      </c>
      <c r="F8" s="73">
        <v>16</v>
      </c>
      <c r="G8" s="73">
        <v>16</v>
      </c>
      <c r="H8" s="73">
        <v>14</v>
      </c>
      <c r="I8" s="73">
        <v>25</v>
      </c>
      <c r="J8" s="73">
        <v>25</v>
      </c>
      <c r="K8" s="73">
        <v>25</v>
      </c>
      <c r="L8" s="73">
        <v>25</v>
      </c>
      <c r="M8" s="73">
        <v>16</v>
      </c>
      <c r="N8" s="73">
        <v>18</v>
      </c>
      <c r="O8" s="73">
        <v>25</v>
      </c>
      <c r="P8" s="73">
        <v>15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00" ph="1">
        <v>0.66666666666666663</v>
      </c>
      <c r="C9" s="164" t="s" ph="1">
        <v>57</v>
      </c>
      <c r="D9" s="155">
        <v>0.05</v>
      </c>
      <c r="E9" s="155">
        <v>0.05</v>
      </c>
      <c r="F9" s="155">
        <v>0.05</v>
      </c>
      <c r="G9" s="155">
        <v>0.05</v>
      </c>
      <c r="H9" s="155">
        <v>0</v>
      </c>
      <c r="I9" s="155">
        <v>0</v>
      </c>
      <c r="J9" s="155">
        <v>0</v>
      </c>
      <c r="K9" s="155">
        <v>0</v>
      </c>
      <c r="L9" s="155">
        <v>0</v>
      </c>
      <c r="M9" s="155">
        <v>0</v>
      </c>
      <c r="N9" s="155">
        <v>0</v>
      </c>
      <c r="O9" s="155">
        <v>0.1139</v>
      </c>
      <c r="P9" s="155">
        <v>0.05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00" ph="1"/>
      <c r="C10" s="164" t="s" ph="1">
        <v>134</v>
      </c>
      <c r="D10" s="72" ph="1">
        <f>((D9*5200)*4.48)*LOOKUP(D11,密度!$A$2:$A$50,密度!$B$2:$B$50)</f>
        <v>912.27136000000019</v>
      </c>
      <c r="E10" s="72" ph="1">
        <f>((E9*5200)*4.48)*LOOKUP(E11,密度!$A$2:$A$50,密度!$B$2:$B$50)</f>
        <v>915.18336000000011</v>
      </c>
      <c r="F10" s="72" ph="1">
        <f>((F9*5200)*4.48)*LOOKUP(F11,密度!$A$2:$A$50,密度!$B$2:$B$50)</f>
        <v>915.18336000000011</v>
      </c>
      <c r="G10" s="72" ph="1">
        <f>((G9*5200)*4.48)*LOOKUP(G11,密度!$A$2:$A$50,密度!$B$2:$B$50)</f>
        <v>915.18336000000011</v>
      </c>
      <c r="H10" s="72" ph="1">
        <f>((H9*5200)*18.322+8640)*LOOKUP(H11,密度!$A$2:$A$50,密度!$B$2:$B$50)</f>
        <v>6735.7439999999997</v>
      </c>
      <c r="I10" s="72" ph="1">
        <f>((I9*5200)*18.322)*LOOKUP(I11,密度!$A$2:$A$50,密度!$B$2:$B$50)</f>
        <v>0</v>
      </c>
      <c r="J10" s="72" ph="1">
        <f>((J9*5200)*18.322)*LOOKUP(J11,密度!$A$2:$A$50,密度!$B$2:$B$50)</f>
        <v>0</v>
      </c>
      <c r="K10" s="72" ph="1">
        <f>((K9*5200)*18.322)*LOOKUP(K11,密度!$A$2:$A$50,密度!$B$2:$B$50)</f>
        <v>0</v>
      </c>
      <c r="L10" s="72" ph="1">
        <f>(L9*6650)*26.42*LOOKUP(L11,密度!$A$2:$A$50,密度!$B$2:$B$50)</f>
        <v>0</v>
      </c>
      <c r="M10" s="72" ph="1">
        <f>(M9*6650)*26.42*1</f>
        <v>0</v>
      </c>
      <c r="N10" s="72" ph="1">
        <f>(N9*5150)*18.32*LOOKUP(N11,密度!$A$2:$A$50,密度!$B$2:$B$50)</f>
        <v>0</v>
      </c>
      <c r="O10" s="72" ph="1">
        <f>(O9*12400)*81.71*LOOKUP(O11,密度!$A$2:$A$50,密度!$B$2:$B$50)</f>
        <v>89968.908193759999</v>
      </c>
      <c r="P10" s="72" ph="1">
        <f>(P9*12400)*81.71*LOOKUP(P11,密度!$A$2:$A$50,密度!$B$2:$B$50)</f>
        <v>39879.709439999999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00" ph="1"/>
      <c r="C11" s="164" t="s" ph="1">
        <v>56</v>
      </c>
      <c r="D11" s="73">
        <v>21</v>
      </c>
      <c r="E11" s="73">
        <v>18</v>
      </c>
      <c r="F11" s="73">
        <v>18</v>
      </c>
      <c r="G11" s="73">
        <v>18</v>
      </c>
      <c r="H11" s="73">
        <v>25</v>
      </c>
      <c r="I11" s="73">
        <v>25</v>
      </c>
      <c r="J11" s="73">
        <v>25</v>
      </c>
      <c r="K11" s="73">
        <v>25</v>
      </c>
      <c r="L11" s="73">
        <v>25</v>
      </c>
      <c r="M11" s="73">
        <v>19</v>
      </c>
      <c r="N11" s="73">
        <v>19</v>
      </c>
      <c r="O11" s="73">
        <v>25</v>
      </c>
      <c r="P11" s="73">
        <v>16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/>
    <row r="13" spans="1:53" s="71" customFormat="1" ht="29.25" customHeight="1" ph="1">
      <c r="B13" s="208" t="s" ph="1">
        <v>28</v>
      </c>
      <c r="C13" s="164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09" ph="1"/>
      <c r="C14" s="66" t="s" ph="1">
        <v>127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10" ph="1">
        <v>0.33333333333333331</v>
      </c>
      <c r="C15" s="164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2.2" ph="1">
      <c r="B16" s="211" ph="1"/>
      <c r="C16" s="164" t="s" ph="1">
        <v>55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7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12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10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11" ph="1"/>
      <c r="C19" s="164" t="s" ph="1">
        <v>55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11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09" t="s" ph="1">
        <v>28</v>
      </c>
      <c r="C22" s="84" t="s" ph="1">
        <v>120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188" t="s" ph="1">
        <v>135</v>
      </c>
      <c r="AA22" s="189"/>
      <c r="AB22" s="189"/>
      <c r="AC22" s="189"/>
      <c r="AD22" s="189"/>
      <c r="AE22" s="190"/>
    </row>
    <row r="23" spans="1:32" ph="1">
      <c r="A23" s="71" ph="1"/>
      <c r="B23" s="204" ph="1"/>
      <c r="C23" s="66" t="s" ph="1">
        <v>136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191" t="s" ph="1">
        <v>137</v>
      </c>
      <c r="AA23" s="192"/>
      <c r="AB23" s="192"/>
      <c r="AC23" s="192"/>
      <c r="AD23" s="192"/>
      <c r="AE23" s="193"/>
    </row>
    <row r="24" spans="1:32" ph="1">
      <c r="A24" s="71" ph="1"/>
      <c r="B24" s="200" ph="1">
        <v>0.33333333333333331</v>
      </c>
      <c r="C24" s="164" t="s" ph="1">
        <v>138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194"/>
      <c r="AA24" s="195"/>
      <c r="AB24" s="195"/>
      <c r="AC24" s="195"/>
      <c r="AD24" s="195"/>
      <c r="AE24" s="196"/>
    </row>
    <row r="25" spans="1:32" ph="1">
      <c r="A25" s="71" ph="1"/>
      <c r="B25" s="200" ph="1"/>
      <c r="C25" s="67" t="s" ph="1">
        <v>134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194"/>
      <c r="AA25" s="195"/>
      <c r="AB25" s="195"/>
      <c r="AC25" s="195"/>
      <c r="AD25" s="195"/>
      <c r="AE25" s="196"/>
    </row>
    <row r="26" spans="1:32" ph="1">
      <c r="A26" s="71" ph="1"/>
      <c r="B26" s="200" ph="1"/>
      <c r="C26" s="67" t="s" ph="1">
        <v>139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194"/>
      <c r="AA26" s="195"/>
      <c r="AB26" s="195"/>
      <c r="AC26" s="195"/>
      <c r="AD26" s="195"/>
      <c r="AE26" s="196"/>
    </row>
    <row r="27" spans="1:32" ht="26.4" ph="1">
      <c r="A27" s="71" ph="1"/>
      <c r="B27" s="200" ph="1">
        <v>0.66666666666666663</v>
      </c>
      <c r="C27" s="164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194"/>
      <c r="AA27" s="195"/>
      <c r="AB27" s="195"/>
      <c r="AC27" s="195"/>
      <c r="AD27" s="195"/>
      <c r="AE27" s="196"/>
    </row>
    <row r="28" spans="1:32" ph="1">
      <c r="A28" s="71" ph="1"/>
      <c r="B28" s="200" ph="1"/>
      <c r="C28" s="164" t="s" ph="1">
        <v>140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194"/>
      <c r="AA28" s="195"/>
      <c r="AB28" s="195"/>
      <c r="AC28" s="195"/>
      <c r="AD28" s="195"/>
      <c r="AE28" s="196"/>
    </row>
    <row r="29" spans="1:32" ph="1">
      <c r="A29" s="71" ph="1"/>
      <c r="B29" s="200" ph="1"/>
      <c r="C29" s="164" t="s" ph="1">
        <v>139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197"/>
      <c r="AA29" s="198"/>
      <c r="AB29" s="198"/>
      <c r="AC29" s="198"/>
      <c r="AD29" s="198"/>
      <c r="AE29" s="199"/>
    </row>
    <row r="30" spans="1:32" ph="1">
      <c r="D30" s="93" ph="1"/>
      <c r="Z30" s="63" t="s" ph="1">
        <v>141</v>
      </c>
      <c r="AE30" s="94" ph="1"/>
    </row>
    <row r="31" spans="1:32" ht="28.2" ph="1">
      <c r="A31" s="63"/>
      <c r="B31" s="213" t="s" ph="1">
        <v>26</v>
      </c>
      <c r="C31" s="214" ph="1"/>
      <c r="D31" s="205" t="s" ph="1">
        <v>142</v>
      </c>
      <c r="E31" s="206" ph="1"/>
      <c r="F31" s="207" ph="1"/>
      <c r="G31" s="217" ph="1"/>
      <c r="H31" s="206" ph="1"/>
      <c r="I31" s="207" ph="1"/>
      <c r="J31" s="205" ph="1"/>
      <c r="K31" s="206" ph="1"/>
      <c r="L31" s="207" ph="1"/>
      <c r="M31" s="205" ph="1"/>
      <c r="N31" s="206" ph="1"/>
      <c r="O31" s="207" ph="1"/>
      <c r="P31" s="205" ph="1"/>
      <c r="Q31" s="206"/>
      <c r="R31" s="207"/>
      <c r="S31" s="205" ph="1"/>
      <c r="T31" s="206"/>
      <c r="U31" s="207"/>
      <c r="V31" s="205" ph="1"/>
      <c r="W31" s="206" ph="1"/>
      <c r="X31" s="207" ph="1"/>
      <c r="Y31" s="205" ph="1"/>
      <c r="Z31" s="206" ph="1"/>
      <c r="AA31" s="207" ph="1"/>
      <c r="AB31" s="228"/>
      <c r="AC31" s="229"/>
      <c r="AD31" s="229"/>
      <c r="AE31" s="230"/>
    </row>
    <row r="32" spans="1:32" ph="1">
      <c r="A32" s="63"/>
      <c r="B32" s="215" ph="1"/>
      <c r="C32" s="216" ph="1"/>
      <c r="D32" s="95" t="s" ph="1">
        <v>0</v>
      </c>
      <c r="E32" s="164" t="s" ph="1">
        <v>143</v>
      </c>
      <c r="F32" s="165" t="s" ph="1">
        <v>31</v>
      </c>
      <c r="G32" s="96" t="s" ph="1">
        <v>144</v>
      </c>
      <c r="H32" s="164" t="s" ph="1">
        <v>143</v>
      </c>
      <c r="I32" s="165" t="s" ph="1">
        <v>145</v>
      </c>
      <c r="J32" s="96" t="s" ph="1">
        <v>144</v>
      </c>
      <c r="K32" s="164" t="s" ph="1">
        <v>143</v>
      </c>
      <c r="L32" s="165" t="s" ph="1">
        <v>146</v>
      </c>
      <c r="M32" s="96" t="s" ph="1">
        <v>147</v>
      </c>
      <c r="N32" s="164" t="s" ph="1">
        <v>143</v>
      </c>
      <c r="O32" s="165" t="s" ph="1">
        <v>145</v>
      </c>
      <c r="P32" s="96" t="s" ph="1">
        <v>144</v>
      </c>
      <c r="Q32" s="97" t="s" ph="1">
        <v>143</v>
      </c>
      <c r="R32" s="98" t="s" ph="1">
        <v>145</v>
      </c>
      <c r="S32" s="96" t="s" ph="1">
        <v>144</v>
      </c>
      <c r="T32" s="164" t="s" ph="1">
        <v>143</v>
      </c>
      <c r="U32" s="98" t="s" ph="1">
        <v>145</v>
      </c>
      <c r="V32" s="96" t="s" ph="1">
        <v>144</v>
      </c>
      <c r="W32" s="164" t="s" ph="1">
        <v>143</v>
      </c>
      <c r="X32" s="98" t="s" ph="1">
        <v>31</v>
      </c>
      <c r="Y32" s="99" t="s" ph="1">
        <v>144</v>
      </c>
      <c r="Z32" s="164" t="s" ph="1">
        <v>143</v>
      </c>
      <c r="AA32" s="165" t="s" ph="1">
        <v>145</v>
      </c>
      <c r="AB32" s="96" t="s" ph="1">
        <v>41</v>
      </c>
      <c r="AC32" s="164" t="s" ph="1">
        <v>40</v>
      </c>
      <c r="AD32" s="231" t="s" ph="1">
        <v>148</v>
      </c>
      <c r="AE32" s="232"/>
    </row>
    <row r="33" spans="1:31" ph="1">
      <c r="A33" s="63"/>
      <c r="B33" s="218" t="s" ph="1">
        <v>149</v>
      </c>
      <c r="C33" s="219" ph="1"/>
      <c r="D33" s="222" ph="1">
        <f>O10+P10</f>
        <v>129848.61763376</v>
      </c>
      <c r="E33" s="222" ph="1">
        <f>H10+I10+J10+K10</f>
        <v>6735.7439999999997</v>
      </c>
      <c r="F33" s="224" ph="1">
        <f>L10+N10</f>
        <v>0</v>
      </c>
      <c r="G33" s="226" ph="1">
        <v>0</v>
      </c>
      <c r="H33" s="222" ph="1">
        <v>0</v>
      </c>
      <c r="I33" s="235" ph="1">
        <v>0</v>
      </c>
      <c r="J33" s="233" ph="1">
        <v>0</v>
      </c>
      <c r="K33" s="222" ph="1">
        <v>0</v>
      </c>
      <c r="L33" s="237" ph="1">
        <v>0</v>
      </c>
      <c r="M33" s="233" ph="1">
        <v>0</v>
      </c>
      <c r="N33" s="222" ph="1">
        <v>0</v>
      </c>
      <c r="O33" s="235" ph="1">
        <f>G19</f>
        <v>0</v>
      </c>
      <c r="P33" s="233" ph="1">
        <v>0</v>
      </c>
      <c r="Q33" s="222" ph="1">
        <v>0</v>
      </c>
      <c r="R33" s="235" ph="1">
        <v>0</v>
      </c>
      <c r="S33" s="233" ph="1">
        <v>0</v>
      </c>
      <c r="T33" s="222" ph="1">
        <v>0</v>
      </c>
      <c r="U33" s="243" ph="1">
        <v>0</v>
      </c>
      <c r="V33" s="254" ph="1">
        <v>0</v>
      </c>
      <c r="W33" s="254" ph="1">
        <v>0</v>
      </c>
      <c r="X33" s="235" ph="1">
        <v>0</v>
      </c>
      <c r="Y33" s="256" ph="1">
        <v>0</v>
      </c>
      <c r="Z33" s="241" ph="1">
        <v>0</v>
      </c>
      <c r="AA33" s="243" ph="1">
        <v>0</v>
      </c>
      <c r="AB33" s="245" ph="1">
        <v>0</v>
      </c>
      <c r="AC33" s="247" ph="1">
        <v>0</v>
      </c>
      <c r="AD33" s="249" ph="1">
        <v>0</v>
      </c>
      <c r="AE33" s="250"/>
    </row>
    <row r="34" spans="1:31" ph="1">
      <c r="A34" s="63"/>
      <c r="B34" s="220" ph="1"/>
      <c r="C34" s="221" ph="1"/>
      <c r="D34" s="223" ph="1"/>
      <c r="E34" s="223" ph="1"/>
      <c r="F34" s="225" ph="1"/>
      <c r="G34" s="227" ph="1"/>
      <c r="H34" s="223" ph="1"/>
      <c r="I34" s="236" ph="1"/>
      <c r="J34" s="234" ph="1"/>
      <c r="K34" s="223" ph="1"/>
      <c r="L34" s="238" ph="1"/>
      <c r="M34" s="234" ph="1"/>
      <c r="N34" s="223" ph="1"/>
      <c r="O34" s="236" ph="1"/>
      <c r="P34" s="234" ph="1"/>
      <c r="Q34" s="223" ph="1"/>
      <c r="R34" s="236" ph="1"/>
      <c r="S34" s="234" ph="1"/>
      <c r="T34" s="223"/>
      <c r="U34" s="244"/>
      <c r="V34" s="255" ph="1"/>
      <c r="W34" s="255" ph="1"/>
      <c r="X34" s="236" ph="1"/>
      <c r="Y34" s="257" ph="1"/>
      <c r="Z34" s="242" ph="1"/>
      <c r="AA34" s="244" ph="1"/>
      <c r="AB34" s="246"/>
      <c r="AC34" s="248"/>
      <c r="AD34" s="251"/>
      <c r="AE34" s="252"/>
    </row>
    <row r="35" spans="1:31" ph="1">
      <c r="A35" s="63"/>
      <c r="AC35" s="253" t="s" ph="1">
        <v>150</v>
      </c>
      <c r="AD35" s="253"/>
      <c r="AE35" s="253"/>
    </row>
    <row r="36" spans="1:31" ht="28.2" ph="1">
      <c r="A36" s="63"/>
      <c r="B36" s="102" t="s" ph="1">
        <v>151</v>
      </c>
      <c r="I36" s="239" t="s" ph="1">
        <v>152</v>
      </c>
      <c r="J36" s="239" ph="1"/>
      <c r="K36" s="100" ph="1"/>
      <c r="P36" s="100" ph="1"/>
      <c r="R36" s="239" t="s" ph="1">
        <v>153</v>
      </c>
      <c r="S36" s="239" ph="1"/>
      <c r="Y36" s="101" ph="1"/>
      <c r="Z36" s="166" t="s" ph="1">
        <v>154</v>
      </c>
      <c r="AA36" s="166" ph="1"/>
      <c r="AB36" s="240" t="s" ph="1">
        <v>155</v>
      </c>
      <c r="AC36" s="240" ph="1"/>
      <c r="AD36" s="240" ph="1"/>
      <c r="AE36" s="240" ph="1"/>
    </row>
    <row r="37" spans="1:31" s="166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6 D8:D9 D11">
    <cfRule type="expression" dxfId="908" priority="133">
      <formula>ABS(D$7-D$10)&gt;=1000</formula>
    </cfRule>
  </conditionalFormatting>
  <conditionalFormatting sqref="E4 E6 E8:E9 E11">
    <cfRule type="expression" dxfId="907" priority="132">
      <formula>ABS(E$7-E$10)&gt;=1000</formula>
    </cfRule>
  </conditionalFormatting>
  <conditionalFormatting sqref="F4 F6 F8:F9 F11">
    <cfRule type="expression" dxfId="906" priority="131">
      <formula>ABS(F$7-F$10)&gt;=1000</formula>
    </cfRule>
  </conditionalFormatting>
  <conditionalFormatting sqref="G4 G6 G8:G9 G11">
    <cfRule type="expression" dxfId="905" priority="130">
      <formula>ABS(G$7-G$10)&gt;=1000</formula>
    </cfRule>
  </conditionalFormatting>
  <conditionalFormatting sqref="H4:K4 H6 H8:H9 H11">
    <cfRule type="expression" dxfId="904" priority="129">
      <formula>ABS(H$7-H$10)&gt;=1000</formula>
    </cfRule>
  </conditionalFormatting>
  <conditionalFormatting sqref="I6 I8:I9 I11">
    <cfRule type="expression" dxfId="903" priority="128">
      <formula>ABS(I$7-I$10)&gt;=1000</formula>
    </cfRule>
  </conditionalFormatting>
  <conditionalFormatting sqref="J6 J8:J9 J11">
    <cfRule type="expression" dxfId="902" priority="127">
      <formula>ABS(J$7-J$10)&gt;=1000</formula>
    </cfRule>
  </conditionalFormatting>
  <conditionalFormatting sqref="K6 K8:K9 K11">
    <cfRule type="expression" dxfId="901" priority="126">
      <formula>ABS(K$7-K$10)&gt;=1000</formula>
    </cfRule>
  </conditionalFormatting>
  <conditionalFormatting sqref="L4:L6 M4:N4 Q4:S4 L8:L9 L11">
    <cfRule type="expression" dxfId="900" priority="125">
      <formula>ABS(L$7-L$10)&gt;=1000</formula>
    </cfRule>
  </conditionalFormatting>
  <conditionalFormatting sqref="M6 M8:M9 M11">
    <cfRule type="expression" dxfId="899" priority="124">
      <formula>ABS(M$7-M$10)&gt;=1000</formula>
    </cfRule>
  </conditionalFormatting>
  <conditionalFormatting sqref="N6 N8:N9 N11">
    <cfRule type="expression" dxfId="898" priority="123">
      <formula>ABS(N$7-N$10)&gt;=1000</formula>
    </cfRule>
  </conditionalFormatting>
  <conditionalFormatting sqref="Q5:Q11">
    <cfRule type="expression" dxfId="897" priority="122">
      <formula>ABS(Q$7-Q$10)&gt;=1000</formula>
    </cfRule>
  </conditionalFormatting>
  <conditionalFormatting sqref="R5:R11">
    <cfRule type="expression" dxfId="896" priority="121">
      <formula>ABS(R$7-R$10)&gt;=1000</formula>
    </cfRule>
  </conditionalFormatting>
  <conditionalFormatting sqref="S5:S11">
    <cfRule type="expression" dxfId="895" priority="120">
      <formula>ABS(S$7-S$10)&gt;=1000</formula>
    </cfRule>
  </conditionalFormatting>
  <conditionalFormatting sqref="T4:T9 T11">
    <cfRule type="expression" dxfId="894" priority="119">
      <formula>ABS(T$7-T$10)&gt;=1000</formula>
    </cfRule>
  </conditionalFormatting>
  <conditionalFormatting sqref="U4:U9 U11">
    <cfRule type="expression" dxfId="893" priority="118">
      <formula>ABS(U$7-U$10)&gt;=1000</formula>
    </cfRule>
  </conditionalFormatting>
  <conditionalFormatting sqref="V4:V9 V11">
    <cfRule type="expression" dxfId="892" priority="117">
      <formula>ABS(V$7-V$10)&gt;=1000</formula>
    </cfRule>
  </conditionalFormatting>
  <conditionalFormatting sqref="W4:W9 W11">
    <cfRule type="expression" dxfId="891" priority="116">
      <formula>ABS(W$7-W$10)&gt;=1000</formula>
    </cfRule>
  </conditionalFormatting>
  <conditionalFormatting sqref="X4:X9 X11">
    <cfRule type="expression" dxfId="890" priority="115">
      <formula>ABS(X$7-X$10)&gt;=1000</formula>
    </cfRule>
  </conditionalFormatting>
  <conditionalFormatting sqref="Y4:Y9 Y11">
    <cfRule type="expression" dxfId="889" priority="114">
      <formula>ABS(Y$7-Y$10)&gt;=1000</formula>
    </cfRule>
  </conditionalFormatting>
  <conditionalFormatting sqref="Z4:Z11">
    <cfRule type="expression" dxfId="888" priority="113">
      <formula>ABS(Z$7-Z$10)&gt;=1000</formula>
    </cfRule>
  </conditionalFormatting>
  <conditionalFormatting sqref="AA4:AA11">
    <cfRule type="expression" dxfId="887" priority="112">
      <formula>ABS(AA$7-AA$10)&gt;=1000</formula>
    </cfRule>
  </conditionalFormatting>
  <conditionalFormatting sqref="AB4:AB11">
    <cfRule type="expression" dxfId="886" priority="111">
      <formula>ABS(AB$7-AB$10)&gt;=1000</formula>
    </cfRule>
  </conditionalFormatting>
  <conditionalFormatting sqref="AC4 AC6:AC11">
    <cfRule type="expression" dxfId="885" priority="110">
      <formula>ABS(AC$7-AC$10)&gt;=1000</formula>
    </cfRule>
  </conditionalFormatting>
  <conditionalFormatting sqref="AD4 AD6:AD11">
    <cfRule type="expression" dxfId="884" priority="109">
      <formula>ABS(AD$7-AD$10)&gt;=1000</formula>
    </cfRule>
  </conditionalFormatting>
  <conditionalFormatting sqref="AE4 AE6:AE11">
    <cfRule type="expression" dxfId="883" priority="108">
      <formula>ABS(AE$7-AE$10)&gt;=1000</formula>
    </cfRule>
  </conditionalFormatting>
  <conditionalFormatting sqref="D13:D20">
    <cfRule type="expression" dxfId="882" priority="107">
      <formula>ABS(D$16-D$19)&gt;=1000</formula>
    </cfRule>
  </conditionalFormatting>
  <conditionalFormatting sqref="E13:E20">
    <cfRule type="expression" dxfId="881" priority="106">
      <formula>ABS(E$16-E$19)&gt;=1000</formula>
    </cfRule>
  </conditionalFormatting>
  <conditionalFormatting sqref="F13 F15:F20">
    <cfRule type="expression" dxfId="880" priority="105">
      <formula>ABS(F$16-F$19)&gt;=1000</formula>
    </cfRule>
  </conditionalFormatting>
  <conditionalFormatting sqref="G13:G20">
    <cfRule type="expression" dxfId="879" priority="104">
      <formula>ABS(G$16-G$19)&gt;=1000</formula>
    </cfRule>
  </conditionalFormatting>
  <conditionalFormatting sqref="H13 H15:H20">
    <cfRule type="expression" dxfId="878" priority="103">
      <formula>ABS(H$16-H$19)&gt;=1000</formula>
    </cfRule>
  </conditionalFormatting>
  <conditionalFormatting sqref="I13:I20">
    <cfRule type="expression" dxfId="877" priority="102">
      <formula>ABS(I$16-I$19)&gt;=1000</formula>
    </cfRule>
  </conditionalFormatting>
  <conditionalFormatting sqref="J13:J20">
    <cfRule type="expression" dxfId="876" priority="101">
      <formula>ABS(J$16-J$19)&gt;=1000</formula>
    </cfRule>
  </conditionalFormatting>
  <conditionalFormatting sqref="L13:L20">
    <cfRule type="expression" dxfId="875" priority="100">
      <formula>ABS(L$16-L$19)&gt;=1000</formula>
    </cfRule>
  </conditionalFormatting>
  <conditionalFormatting sqref="M13 M15 M17:M18 M20">
    <cfRule type="expression" dxfId="874" priority="99">
      <formula>ABS(M$16-M$19)&gt;=1000</formula>
    </cfRule>
  </conditionalFormatting>
  <conditionalFormatting sqref="N13:N20">
    <cfRule type="expression" dxfId="873" priority="98">
      <formula>ABS(N$16-N$19)&gt;=1000</formula>
    </cfRule>
  </conditionalFormatting>
  <conditionalFormatting sqref="O13:O20">
    <cfRule type="expression" dxfId="872" priority="97">
      <formula>ABS(O$16-O$19)&gt;=1000</formula>
    </cfRule>
  </conditionalFormatting>
  <conditionalFormatting sqref="P13:P20">
    <cfRule type="expression" dxfId="871" priority="96">
      <formula>ABS(P$16-P$19)&gt;=1000</formula>
    </cfRule>
  </conditionalFormatting>
  <conditionalFormatting sqref="Q13 Q15:Q20">
    <cfRule type="expression" dxfId="870" priority="95">
      <formula>ABS(Q$16-Q$19)&gt;=1000</formula>
    </cfRule>
  </conditionalFormatting>
  <conditionalFormatting sqref="R13:R20">
    <cfRule type="expression" dxfId="869" priority="94">
      <formula>ABS(R$16-R$19)&gt;=1000</formula>
    </cfRule>
  </conditionalFormatting>
  <conditionalFormatting sqref="S13:S20">
    <cfRule type="expression" dxfId="868" priority="93">
      <formula>ABS(S$16-S$19)&gt;=1000</formula>
    </cfRule>
  </conditionalFormatting>
  <conditionalFormatting sqref="T13:T20">
    <cfRule type="expression" dxfId="867" priority="92">
      <formula>ABS(T$16-T$19)&gt;=1000</formula>
    </cfRule>
  </conditionalFormatting>
  <conditionalFormatting sqref="U13:U20">
    <cfRule type="expression" dxfId="866" priority="91">
      <formula>ABS(U$16-U$19)&gt;=1000</formula>
    </cfRule>
  </conditionalFormatting>
  <conditionalFormatting sqref="V13:V20">
    <cfRule type="expression" dxfId="865" priority="90">
      <formula>ABS(V$16-V$19)&gt;=1000</formula>
    </cfRule>
  </conditionalFormatting>
  <conditionalFormatting sqref="W13 W20 W15:W18">
    <cfRule type="expression" dxfId="864" priority="89">
      <formula>ABS(W$16-W$19)&gt;=1000</formula>
    </cfRule>
  </conditionalFormatting>
  <conditionalFormatting sqref="X13 X15:X20 Y19">
    <cfRule type="expression" dxfId="863" priority="88">
      <formula>ABS(X$16-X$19)&gt;=1000</formula>
    </cfRule>
  </conditionalFormatting>
  <conditionalFormatting sqref="Y13 Y15:Y18 Y20">
    <cfRule type="expression" dxfId="862" priority="87">
      <formula>ABS(Y$16-Y$19)&gt;=1000</formula>
    </cfRule>
  </conditionalFormatting>
  <conditionalFormatting sqref="Z13:Z20">
    <cfRule type="expression" dxfId="861" priority="86">
      <formula>ABS(Z$16-Z$19)&gt;=1000</formula>
    </cfRule>
  </conditionalFormatting>
  <conditionalFormatting sqref="AA13:AA20">
    <cfRule type="expression" dxfId="860" priority="85">
      <formula>ABS(AA$16-AA$19)&gt;=1000</formula>
    </cfRule>
  </conditionalFormatting>
  <conditionalFormatting sqref="AB13 AB15:AB20">
    <cfRule type="expression" dxfId="859" priority="84">
      <formula>ABS(AB$16-AB$19)&gt;=1000</formula>
    </cfRule>
  </conditionalFormatting>
  <conditionalFormatting sqref="AC13 AC15:AC20">
    <cfRule type="expression" dxfId="858" priority="83">
      <formula>ABS(AC$16-AC$19)&gt;=1000</formula>
    </cfRule>
  </conditionalFormatting>
  <conditionalFormatting sqref="AD13:AD20">
    <cfRule type="expression" dxfId="857" priority="82">
      <formula>ABS(AD$16-AD$19)&gt;=1000</formula>
    </cfRule>
  </conditionalFormatting>
  <conditionalFormatting sqref="AE13:AE20">
    <cfRule type="expression" dxfId="856" priority="81">
      <formula>ABS(AE$16-AE$19)&gt;=1000</formula>
    </cfRule>
  </conditionalFormatting>
  <conditionalFormatting sqref="D22:D29">
    <cfRule type="expression" dxfId="855" priority="80">
      <formula>ABS(D$25-D$28)&gt;=1000</formula>
    </cfRule>
  </conditionalFormatting>
  <conditionalFormatting sqref="E22:E29">
    <cfRule type="expression" dxfId="854" priority="79">
      <formula>ABS(E$25-E$28)&gt;=1000</formula>
    </cfRule>
  </conditionalFormatting>
  <conditionalFormatting sqref="F22:F29">
    <cfRule type="expression" dxfId="853" priority="78">
      <formula>ABS(F$25-F$28)&gt;=1000</formula>
    </cfRule>
  </conditionalFormatting>
  <conditionalFormatting sqref="G22:G29">
    <cfRule type="expression" dxfId="852" priority="77">
      <formula>ABS(G$25-G$28)&gt;=1000</formula>
    </cfRule>
  </conditionalFormatting>
  <conditionalFormatting sqref="H22:H29">
    <cfRule type="expression" dxfId="851" priority="76">
      <formula>ABS(H$25-H$28)&gt;=1000</formula>
    </cfRule>
  </conditionalFormatting>
  <conditionalFormatting sqref="I22 I24:I29">
    <cfRule type="expression" dxfId="850" priority="75">
      <formula>ABS(I$25-I$28)&gt;=1000</formula>
    </cfRule>
  </conditionalFormatting>
  <conditionalFormatting sqref="J22:J29 K22">
    <cfRule type="expression" dxfId="849" priority="74">
      <formula>ABS(J$25-J$28)&gt;=1000</formula>
    </cfRule>
  </conditionalFormatting>
  <conditionalFormatting sqref="K23:K29 L25 L28">
    <cfRule type="expression" dxfId="848" priority="73">
      <formula>ABS(K$25-K$28)&gt;=1000</formula>
    </cfRule>
  </conditionalFormatting>
  <conditionalFormatting sqref="L22 L26:L27 L29 L24">
    <cfRule type="expression" dxfId="847" priority="72">
      <formula>ABS(L$25-L$28)&gt;=1000</formula>
    </cfRule>
  </conditionalFormatting>
  <conditionalFormatting sqref="M22:M29">
    <cfRule type="expression" dxfId="846" priority="71">
      <formula>ABS(M$25-M$28)&gt;=1000</formula>
    </cfRule>
  </conditionalFormatting>
  <conditionalFormatting sqref="N22:N29">
    <cfRule type="expression" dxfId="845" priority="70">
      <formula>ABS(N$25-N$28)&gt;=1000</formula>
    </cfRule>
  </conditionalFormatting>
  <conditionalFormatting sqref="O22:O29">
    <cfRule type="expression" dxfId="844" priority="69">
      <formula>ABS(O$25-O$28)&gt;=1000</formula>
    </cfRule>
  </conditionalFormatting>
  <conditionalFormatting sqref="P22:P29">
    <cfRule type="expression" dxfId="843" priority="68">
      <formula>ABS(P$25-P$28)&gt;=1000</formula>
    </cfRule>
  </conditionalFormatting>
  <conditionalFormatting sqref="Q22:Q29">
    <cfRule type="expression" dxfId="842" priority="67">
      <formula>ABS(Q$25-Q$28)&gt;=1000</formula>
    </cfRule>
  </conditionalFormatting>
  <conditionalFormatting sqref="R22:R29">
    <cfRule type="expression" dxfId="841" priority="66">
      <formula>ABS(R$25-R$28)&gt;=1000</formula>
    </cfRule>
  </conditionalFormatting>
  <conditionalFormatting sqref="S22:S29">
    <cfRule type="expression" dxfId="840" priority="65">
      <formula>ABS(S$25-S$28)&gt;=1000</formula>
    </cfRule>
  </conditionalFormatting>
  <conditionalFormatting sqref="T22:T29">
    <cfRule type="expression" dxfId="839" priority="64">
      <formula>ABS(T$25-T$28)&gt;=1000</formula>
    </cfRule>
  </conditionalFormatting>
  <conditionalFormatting sqref="U22:U29">
    <cfRule type="expression" dxfId="838" priority="63">
      <formula>ABS(U$25-U$28)&gt;=1000</formula>
    </cfRule>
  </conditionalFormatting>
  <conditionalFormatting sqref="V22:V29">
    <cfRule type="expression" dxfId="837" priority="62">
      <formula>ABS(V$25-V$28)&gt;=1000</formula>
    </cfRule>
  </conditionalFormatting>
  <conditionalFormatting sqref="W22:W29">
    <cfRule type="expression" dxfId="836" priority="61">
      <formula>ABS(W$25-W$28)&gt;=1000</formula>
    </cfRule>
  </conditionalFormatting>
  <conditionalFormatting sqref="X22:X29">
    <cfRule type="expression" dxfId="835" priority="60">
      <formula>ABS(X$25-X$28)&gt;=1000</formula>
    </cfRule>
  </conditionalFormatting>
  <conditionalFormatting sqref="Y22:Y29">
    <cfRule type="expression" dxfId="834" priority="59">
      <formula>ABS(Y$25-Y$28)&gt;=1000</formula>
    </cfRule>
  </conditionalFormatting>
  <conditionalFormatting sqref="I23">
    <cfRule type="expression" dxfId="833" priority="58">
      <formula>ABS(I$25-I$28)&gt;=1000</formula>
    </cfRule>
  </conditionalFormatting>
  <conditionalFormatting sqref="Q14">
    <cfRule type="expression" dxfId="832" priority="57">
      <formula>ABS(Q$16-Q$19)&gt;=1000</formula>
    </cfRule>
  </conditionalFormatting>
  <conditionalFormatting sqref="W14">
    <cfRule type="expression" dxfId="831" priority="56">
      <formula>ABS(W$16-W$19)&gt;=1000</formula>
    </cfRule>
  </conditionalFormatting>
  <conditionalFormatting sqref="X14">
    <cfRule type="expression" dxfId="830" priority="55">
      <formula>ABS(X$16-X$19)&gt;=1000</formula>
    </cfRule>
  </conditionalFormatting>
  <conditionalFormatting sqref="T10:Y10">
    <cfRule type="expression" dxfId="829" priority="54">
      <formula>ABS(T$7-T$10)&gt;=1000</formula>
    </cfRule>
  </conditionalFormatting>
  <conditionalFormatting sqref="W19">
    <cfRule type="expression" dxfId="828" priority="53">
      <formula>ABS(W$16-W$19)&gt;=1000</formula>
    </cfRule>
  </conditionalFormatting>
  <conditionalFormatting sqref="AC5">
    <cfRule type="expression" dxfId="827" priority="52">
      <formula>ABS(AC$7-AC$10)&gt;=1000</formula>
    </cfRule>
  </conditionalFormatting>
  <conditionalFormatting sqref="M14">
    <cfRule type="expression" dxfId="826" priority="51">
      <formula>ABS(M$16-M$19)&gt;=1000</formula>
    </cfRule>
  </conditionalFormatting>
  <conditionalFormatting sqref="M16">
    <cfRule type="expression" dxfId="825" priority="50">
      <formula>ABS(M$16-M$19)&gt;=1000</formula>
    </cfRule>
  </conditionalFormatting>
  <conditionalFormatting sqref="M19">
    <cfRule type="expression" dxfId="824" priority="49">
      <formula>ABS(M$16-M$19)&gt;=1000</formula>
    </cfRule>
  </conditionalFormatting>
  <conditionalFormatting sqref="K13:K20">
    <cfRule type="expression" dxfId="823" priority="48">
      <formula>ABS(K$16-K$19)&gt;=1000</formula>
    </cfRule>
  </conditionalFormatting>
  <conditionalFormatting sqref="AB14:AC14">
    <cfRule type="expression" dxfId="822" priority="47">
      <formula>ABS(AB$16-AB$19)&gt;=1000</formula>
    </cfRule>
  </conditionalFormatting>
  <conditionalFormatting sqref="M5">
    <cfRule type="expression" dxfId="821" priority="46">
      <formula>ABS(M$7-M$10)&gt;=1000</formula>
    </cfRule>
  </conditionalFormatting>
  <conditionalFormatting sqref="N5">
    <cfRule type="expression" dxfId="820" priority="45">
      <formula>ABS(N$7-N$10)&gt;=1000</formula>
    </cfRule>
  </conditionalFormatting>
  <conditionalFormatting sqref="L23">
    <cfRule type="expression" dxfId="819" priority="44">
      <formula>ABS(L$25-L$28)&gt;=1000</formula>
    </cfRule>
  </conditionalFormatting>
  <conditionalFormatting sqref="Y14">
    <cfRule type="expression" dxfId="818" priority="43">
      <formula>ABS(Y$16-Y$19)&gt;=1000</formula>
    </cfRule>
  </conditionalFormatting>
  <conditionalFormatting sqref="F14">
    <cfRule type="expression" dxfId="817" priority="42">
      <formula>ABS(F$16-F$19)&gt;=1000</formula>
    </cfRule>
  </conditionalFormatting>
  <conditionalFormatting sqref="H14">
    <cfRule type="expression" dxfId="816" priority="41">
      <formula>ABS(H$16-H$19)&gt;=1000</formula>
    </cfRule>
  </conditionalFormatting>
  <conditionalFormatting sqref="AD5">
    <cfRule type="expression" dxfId="815" priority="40">
      <formula>ABS(AD$7-AD$10)&gt;=1000</formula>
    </cfRule>
  </conditionalFormatting>
  <conditionalFormatting sqref="AE5">
    <cfRule type="expression" dxfId="814" priority="39">
      <formula>ABS(AE$7-AE$10)&gt;=1000</formula>
    </cfRule>
  </conditionalFormatting>
  <conditionalFormatting sqref="D5">
    <cfRule type="expression" dxfId="813" priority="38">
      <formula>ABS(D$7-D$10)&gt;=1000</formula>
    </cfRule>
  </conditionalFormatting>
  <conditionalFormatting sqref="E5:G5">
    <cfRule type="expression" dxfId="812" priority="37">
      <formula>ABS(E$7-E$10)&gt;=1000</formula>
    </cfRule>
  </conditionalFormatting>
  <conditionalFormatting sqref="H5:K5">
    <cfRule type="expression" dxfId="811" priority="36">
      <formula>ABS(H$7-H$10)&gt;=1000</formula>
    </cfRule>
  </conditionalFormatting>
  <conditionalFormatting sqref="O4:P4">
    <cfRule type="expression" dxfId="810" priority="35">
      <formula>ABS(O$7-O$10)&gt;=1000</formula>
    </cfRule>
  </conditionalFormatting>
  <conditionalFormatting sqref="O5:O6 O8:O9 O11">
    <cfRule type="expression" dxfId="809" priority="34">
      <formula>ABS(O$7-O$10)&gt;=1000</formula>
    </cfRule>
  </conditionalFormatting>
  <conditionalFormatting sqref="P6 P8:P9 P11">
    <cfRule type="expression" dxfId="808" priority="33">
      <formula>ABS(P$7-P$10)&gt;=1000</formula>
    </cfRule>
  </conditionalFormatting>
  <conditionalFormatting sqref="P5">
    <cfRule type="expression" dxfId="807" priority="32">
      <formula>ABS(P$7-P$10)&gt;=1000</formula>
    </cfRule>
  </conditionalFormatting>
  <conditionalFormatting sqref="H7:L7">
    <cfRule type="expression" dxfId="31" priority="16">
      <formula>ABS(H$7-H$10)&gt;=1000</formula>
    </cfRule>
  </conditionalFormatting>
  <conditionalFormatting sqref="E7">
    <cfRule type="expression" dxfId="30" priority="13">
      <formula>ABS(E$7-E$10)&gt;=1000</formula>
    </cfRule>
  </conditionalFormatting>
  <conditionalFormatting sqref="O7:P7">
    <cfRule type="expression" dxfId="29" priority="15">
      <formula>ABS(O$7-O$10)&gt;=1000</formula>
    </cfRule>
  </conditionalFormatting>
  <conditionalFormatting sqref="N7">
    <cfRule type="expression" dxfId="28" priority="14">
      <formula>ABS(N$7-N$10)&gt;=1000</formula>
    </cfRule>
  </conditionalFormatting>
  <conditionalFormatting sqref="M7">
    <cfRule type="expression" dxfId="27" priority="12">
      <formula>ABS(M$7-M$10)&gt;=1000</formula>
    </cfRule>
  </conditionalFormatting>
  <conditionalFormatting sqref="G7">
    <cfRule type="expression" dxfId="26" priority="11">
      <formula>ABS(G$7-G$10)&gt;=1000</formula>
    </cfRule>
  </conditionalFormatting>
  <conditionalFormatting sqref="F7">
    <cfRule type="expression" dxfId="25" priority="10">
      <formula>ABS(F$7-F$10)&gt;=1000</formula>
    </cfRule>
  </conditionalFormatting>
  <conditionalFormatting sqref="D7">
    <cfRule type="expression" dxfId="24" priority="9">
      <formula>ABS(D$7-D$10)&gt;=1000</formula>
    </cfRule>
  </conditionalFormatting>
  <conditionalFormatting sqref="H10:L10">
    <cfRule type="expression" dxfId="23" priority="8">
      <formula>ABS(H$7-H$10)&gt;=1000</formula>
    </cfRule>
  </conditionalFormatting>
  <conditionalFormatting sqref="E10">
    <cfRule type="expression" dxfId="22" priority="5">
      <formula>ABS(E$7-E$10)&gt;=1000</formula>
    </cfRule>
  </conditionalFormatting>
  <conditionalFormatting sqref="O10:P10">
    <cfRule type="expression" dxfId="21" priority="7">
      <formula>ABS(O$7-O$10)&gt;=1000</formula>
    </cfRule>
  </conditionalFormatting>
  <conditionalFormatting sqref="N10">
    <cfRule type="expression" dxfId="20" priority="6">
      <formula>ABS(N$7-N$10)&gt;=1000</formula>
    </cfRule>
  </conditionalFormatting>
  <conditionalFormatting sqref="M10">
    <cfRule type="expression" dxfId="19" priority="4">
      <formula>ABS(M$7-M$10)&gt;=1000</formula>
    </cfRule>
  </conditionalFormatting>
  <conditionalFormatting sqref="G10">
    <cfRule type="expression" dxfId="18" priority="3">
      <formula>ABS(G$7-G$10)&gt;=1000</formula>
    </cfRule>
  </conditionalFormatting>
  <conditionalFormatting sqref="F10">
    <cfRule type="expression" dxfId="17" priority="2">
      <formula>ABS(F$7-F$10)&gt;=1000</formula>
    </cfRule>
  </conditionalFormatting>
  <conditionalFormatting sqref="D10">
    <cfRule type="expression" dxfId="16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70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22">
    <pageSetUpPr fitToPage="1"/>
  </sheetPr>
  <dimension ref="A1:BA223"/>
  <sheetViews>
    <sheetView view="pageBreakPreview" topLeftCell="B1" zoomScale="110" zoomScaleNormal="100" zoomScaleSheetLayoutView="110" workbookViewId="0">
      <selection activeCell="H13" sqref="H13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01" t="s" ph="1">
        <v>117</v>
      </c>
      <c r="C1" s="201" ph="1"/>
      <c r="D1" s="201" ph="1"/>
      <c r="E1" s="201" ph="1"/>
      <c r="F1" s="201" ph="1"/>
      <c r="G1" s="201" ph="1"/>
      <c r="H1" s="201" ph="1"/>
      <c r="I1" s="201" ph="1"/>
      <c r="J1" s="201" ph="1"/>
      <c r="K1" s="201" ph="1"/>
      <c r="L1" s="201" ph="1"/>
      <c r="M1" s="201" ph="1"/>
      <c r="N1" s="201" ph="1"/>
      <c r="O1" s="201" ph="1"/>
      <c r="P1" s="201" ph="1"/>
      <c r="Q1" s="201" ph="1"/>
      <c r="R1" s="201" ph="1"/>
      <c r="S1" s="201" ph="1"/>
      <c r="T1" s="201" ph="1"/>
      <c r="U1" s="201" ph="1"/>
      <c r="V1" s="201" ph="1"/>
      <c r="W1" s="201" ph="1"/>
      <c r="X1" s="201" ph="1"/>
      <c r="Y1" s="201" ph="1"/>
      <c r="Z1" s="201" ph="1"/>
      <c r="AA1" s="201" ph="1"/>
      <c r="AB1" s="201" ph="1"/>
      <c r="AC1" s="201" ph="1"/>
      <c r="AD1" s="201" ph="1"/>
      <c r="AE1" s="201" ph="1"/>
    </row>
    <row r="2" spans="1:53" s="65" customFormat="1" ht="24" customHeight="1" ph="1">
      <c r="B2" s="202" t="s" ph="1">
        <v>118</v>
      </c>
      <c r="C2" s="202" ph="1"/>
      <c r="D2" s="202" ph="1"/>
      <c r="E2" s="202" ph="1"/>
      <c r="F2" s="202" ph="1"/>
      <c r="G2" s="202" ph="1"/>
      <c r="H2" s="202" ph="1"/>
      <c r="I2" s="202" ph="1"/>
      <c r="J2" s="202" ph="1"/>
      <c r="K2" s="202" ph="1"/>
      <c r="L2" s="202" ph="1"/>
      <c r="M2" s="202" ph="1"/>
      <c r="N2" s="202" ph="1"/>
      <c r="O2" s="202" ph="1"/>
      <c r="P2" s="202" ph="1"/>
      <c r="Q2" s="202" ph="1"/>
      <c r="R2" s="202" ph="1"/>
      <c r="S2" s="202" ph="1"/>
      <c r="T2" s="202" ph="1"/>
      <c r="U2" s="202" ph="1"/>
      <c r="V2" s="202" ph="1"/>
      <c r="W2" s="202" ph="1"/>
      <c r="X2" s="202" ph="1"/>
      <c r="Y2" s="202" ph="1"/>
      <c r="Z2" s="202" ph="1"/>
      <c r="AA2" s="202" ph="1"/>
      <c r="AB2" s="202" ph="1"/>
      <c r="AC2" s="202" ph="1"/>
      <c r="AD2" s="202" ph="1"/>
      <c r="AE2" s="202" ph="1"/>
    </row>
    <row r="3" spans="1:53" ht="21" customHeight="1" ph="1">
      <c r="B3" s="203" ph="1">
        <v>46135</v>
      </c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</row>
    <row r="4" spans="1:53" s="68" customFormat="1" ph="1">
      <c r="A4" s="64" ph="1"/>
      <c r="B4" s="204" t="s" ph="1">
        <v>119</v>
      </c>
      <c r="C4" s="66" t="s" ph="1">
        <v>120</v>
      </c>
      <c r="D4" s="67" t="s" ph="1">
        <v>121</v>
      </c>
      <c r="E4" s="67" t="s" ph="1">
        <v>122</v>
      </c>
      <c r="F4" s="67" t="s" ph="1">
        <v>123</v>
      </c>
      <c r="G4" s="67" t="s" ph="1">
        <v>124</v>
      </c>
      <c r="H4" s="67" t="s" ph="1">
        <v>125</v>
      </c>
      <c r="I4" s="67" t="s" ph="1">
        <v>70</v>
      </c>
      <c r="J4" s="67" t="s" ph="1">
        <v>71</v>
      </c>
      <c r="K4" s="67" t="s" ph="1">
        <v>72</v>
      </c>
      <c r="L4" s="67" t="s" ph="1">
        <v>126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04" ph="1"/>
      <c r="C5" s="66" t="s" ph="1">
        <v>127</v>
      </c>
      <c r="D5" s="141" t="s" ph="1">
        <v>128</v>
      </c>
      <c r="E5" s="141" t="s" ph="1">
        <v>128</v>
      </c>
      <c r="F5" s="141" t="s" ph="1">
        <v>128</v>
      </c>
      <c r="G5" s="141" t="s" ph="1">
        <v>128</v>
      </c>
      <c r="H5" s="141" t="s" ph="1">
        <v>128</v>
      </c>
      <c r="I5" s="141" t="s" ph="1">
        <v>128</v>
      </c>
      <c r="J5" s="141" t="s" ph="1">
        <v>128</v>
      </c>
      <c r="K5" s="141" t="s" ph="1">
        <v>128</v>
      </c>
      <c r="L5" s="140" t="s" ph="1">
        <v>129</v>
      </c>
      <c r="M5" s="140" t="s" ph="1">
        <v>130</v>
      </c>
      <c r="N5" s="69" t="s" ph="1">
        <v>129</v>
      </c>
      <c r="O5" s="69" t="s" ph="1">
        <v>131</v>
      </c>
      <c r="P5" s="69" t="s" ph="1">
        <v>131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00" ph="1">
        <v>0.33333333333333331</v>
      </c>
      <c r="C6" s="164" t="s" ph="1">
        <v>132</v>
      </c>
      <c r="D6" s="155">
        <v>0.01</v>
      </c>
      <c r="E6" s="155">
        <v>0.01</v>
      </c>
      <c r="F6" s="155">
        <v>0.01</v>
      </c>
      <c r="G6" s="155">
        <v>0.01</v>
      </c>
      <c r="H6" s="155">
        <v>0.1</v>
      </c>
      <c r="I6" s="155">
        <v>0</v>
      </c>
      <c r="J6" s="155">
        <v>0</v>
      </c>
      <c r="K6" s="155">
        <v>0</v>
      </c>
      <c r="L6" s="155">
        <v>0</v>
      </c>
      <c r="M6" s="155">
        <v>0</v>
      </c>
      <c r="N6" s="155">
        <v>0</v>
      </c>
      <c r="O6" s="155">
        <v>0.1109</v>
      </c>
      <c r="P6" s="155">
        <v>5.5500000000000001E-2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00" ph="1"/>
      <c r="C7" s="67" t="s" ph="1">
        <v>55</v>
      </c>
      <c r="D7" s="72" ph="1">
        <f>((D6*5200)*4.48)*LOOKUP(D8,密度!$A$2:$A$50,密度!$B$2:$B$50)</f>
        <v>182.45427200000003</v>
      </c>
      <c r="E7" s="72" ph="1">
        <f>((E6*5200)*4.48)*LOOKUP(E8,密度!$A$2:$A$50,密度!$B$2:$B$50)</f>
        <v>183.38611200000003</v>
      </c>
      <c r="F7" s="72" ph="1">
        <f>((F6*5200)*4.48)*LOOKUP(F8,密度!$A$2:$A$50,密度!$B$2:$B$50)</f>
        <v>183.38611200000003</v>
      </c>
      <c r="G7" s="72" ph="1">
        <f>((G6*5200)*4.48)*LOOKUP(G8,密度!$A$2:$A$50,密度!$B$2:$B$50)</f>
        <v>183.38611200000003</v>
      </c>
      <c r="H7" s="72" ph="1">
        <f>((H6*5200)*18.322+8640)*LOOKUP(H8,密度!$A$2:$A$50,密度!$B$2:$B$50)</f>
        <v>14332.293416</v>
      </c>
      <c r="I7" s="72" ph="1">
        <f>((I6*5200)*18.322)*LOOKUP(I8,密度!$A$2:$A$50,密度!$B$2:$B$50)</f>
        <v>0</v>
      </c>
      <c r="J7" s="72" ph="1">
        <f>((J6*5200)*18.322)*LOOKUP(J8,密度!$A$2:$A$50,密度!$B$2:$B$50)</f>
        <v>0</v>
      </c>
      <c r="K7" s="72" ph="1">
        <f>((K6*5200)*18.322)*LOOKUP(K8,密度!$A$2:$A$50,密度!$B$2:$B$50)</f>
        <v>0</v>
      </c>
      <c r="L7" s="72" ph="1">
        <f>(L6*6650)*26.42*LOOKUP(L8,密度!$A$2:$A$50,密度!$B$2:$B$50)</f>
        <v>0</v>
      </c>
      <c r="M7" s="72" ph="1">
        <f>(M6*6650)*26.42*1</f>
        <v>0</v>
      </c>
      <c r="N7" s="72" ph="1">
        <f>(N6*5150)*18.32*LOOKUP(N8,密度!$A$2:$A$50,密度!$B$2:$B$50)</f>
        <v>0</v>
      </c>
      <c r="O7" s="72" ph="1">
        <f>(O6*12400)*81.71*LOOKUP(O8,密度!$A$2:$A$50,密度!$B$2:$B$50)</f>
        <v>87599.226678559993</v>
      </c>
      <c r="P7" s="72" ph="1">
        <f>(P6*12400)*81.71*LOOKUP(P8,密度!$A$2:$A$50,密度!$B$2:$B$50)</f>
        <v>44311.463736000005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00" ph="1"/>
      <c r="C8" s="67" t="s" ph="1">
        <v>133</v>
      </c>
      <c r="D8" s="73">
        <v>21</v>
      </c>
      <c r="E8" s="73">
        <v>16</v>
      </c>
      <c r="F8" s="73">
        <v>16</v>
      </c>
      <c r="G8" s="73">
        <v>16</v>
      </c>
      <c r="H8" s="73">
        <v>14</v>
      </c>
      <c r="I8" s="73">
        <v>25</v>
      </c>
      <c r="J8" s="73">
        <v>25</v>
      </c>
      <c r="K8" s="73">
        <v>25</v>
      </c>
      <c r="L8" s="73">
        <v>25</v>
      </c>
      <c r="M8" s="73">
        <v>16</v>
      </c>
      <c r="N8" s="73">
        <v>18</v>
      </c>
      <c r="O8" s="73">
        <v>25</v>
      </c>
      <c r="P8" s="73">
        <v>15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00" ph="1">
        <v>0.66666666666666663</v>
      </c>
      <c r="C9" s="164" t="s" ph="1">
        <v>57</v>
      </c>
      <c r="D9" s="155">
        <v>0.05</v>
      </c>
      <c r="E9" s="155">
        <v>0.05</v>
      </c>
      <c r="F9" s="155">
        <v>0.05</v>
      </c>
      <c r="G9" s="155">
        <v>0.05</v>
      </c>
      <c r="H9" s="155">
        <v>0</v>
      </c>
      <c r="I9" s="155">
        <v>0</v>
      </c>
      <c r="J9" s="155">
        <v>0</v>
      </c>
      <c r="K9" s="155">
        <v>0</v>
      </c>
      <c r="L9" s="155">
        <v>0</v>
      </c>
      <c r="M9" s="155">
        <v>0</v>
      </c>
      <c r="N9" s="155">
        <v>0</v>
      </c>
      <c r="O9" s="155">
        <v>0.1138</v>
      </c>
      <c r="P9" s="155">
        <v>0.05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00" ph="1"/>
      <c r="C10" s="164" t="s" ph="1">
        <v>134</v>
      </c>
      <c r="D10" s="72" ph="1">
        <f>((D9*5200)*4.48)*LOOKUP(D11,密度!$A$2:$A$50,密度!$B$2:$B$50)</f>
        <v>912.27136000000019</v>
      </c>
      <c r="E10" s="72" ph="1">
        <f>((E9*5200)*4.48)*LOOKUP(E11,密度!$A$2:$A$50,密度!$B$2:$B$50)</f>
        <v>915.18336000000011</v>
      </c>
      <c r="F10" s="72" ph="1">
        <f>((F9*5200)*4.48)*LOOKUP(F11,密度!$A$2:$A$50,密度!$B$2:$B$50)</f>
        <v>915.18336000000011</v>
      </c>
      <c r="G10" s="72" ph="1">
        <f>((G9*5200)*4.48)*LOOKUP(G11,密度!$A$2:$A$50,密度!$B$2:$B$50)</f>
        <v>915.18336000000011</v>
      </c>
      <c r="H10" s="72" ph="1">
        <f>((H9*5200)*18.322+8640)*LOOKUP(H11,密度!$A$2:$A$50,密度!$B$2:$B$50)</f>
        <v>6735.7439999999997</v>
      </c>
      <c r="I10" s="72" ph="1">
        <f>((I9*5200)*18.322)*LOOKUP(I11,密度!$A$2:$A$50,密度!$B$2:$B$50)</f>
        <v>0</v>
      </c>
      <c r="J10" s="72" ph="1">
        <f>((J9*5200)*18.322)*LOOKUP(J11,密度!$A$2:$A$50,密度!$B$2:$B$50)</f>
        <v>0</v>
      </c>
      <c r="K10" s="72" ph="1">
        <f>((K9*5200)*18.322)*LOOKUP(K11,密度!$A$2:$A$50,密度!$B$2:$B$50)</f>
        <v>0</v>
      </c>
      <c r="L10" s="72" ph="1">
        <f>(L9*6650)*26.42*LOOKUP(L11,密度!$A$2:$A$50,密度!$B$2:$B$50)</f>
        <v>0</v>
      </c>
      <c r="M10" s="72" ph="1">
        <f>(M9*6650)*26.42*1</f>
        <v>0</v>
      </c>
      <c r="N10" s="72" ph="1">
        <f>(N9*5150)*18.32*LOOKUP(N11,密度!$A$2:$A$50,密度!$B$2:$B$50)</f>
        <v>0</v>
      </c>
      <c r="O10" s="72" ph="1">
        <f>(O9*12400)*81.71*LOOKUP(O11,密度!$A$2:$A$50,密度!$B$2:$B$50)</f>
        <v>89889.918809919982</v>
      </c>
      <c r="P10" s="72" ph="1">
        <f>(P9*12400)*81.71*LOOKUP(P11,密度!$A$2:$A$50,密度!$B$2:$B$50)</f>
        <v>39879.709439999999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00" ph="1"/>
      <c r="C11" s="164" t="s" ph="1">
        <v>56</v>
      </c>
      <c r="D11" s="73">
        <v>21</v>
      </c>
      <c r="E11" s="73">
        <v>18</v>
      </c>
      <c r="F11" s="73">
        <v>18</v>
      </c>
      <c r="G11" s="73">
        <v>18</v>
      </c>
      <c r="H11" s="73">
        <v>25</v>
      </c>
      <c r="I11" s="73">
        <v>25</v>
      </c>
      <c r="J11" s="73">
        <v>25</v>
      </c>
      <c r="K11" s="73">
        <v>25</v>
      </c>
      <c r="L11" s="73">
        <v>25</v>
      </c>
      <c r="M11" s="73">
        <v>19</v>
      </c>
      <c r="N11" s="73">
        <v>19</v>
      </c>
      <c r="O11" s="73">
        <v>25</v>
      </c>
      <c r="P11" s="73">
        <v>16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/>
    <row r="13" spans="1:53" s="71" customFormat="1" ht="29.25" customHeight="1" ph="1">
      <c r="B13" s="208" t="s" ph="1">
        <v>28</v>
      </c>
      <c r="C13" s="164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09" ph="1"/>
      <c r="C14" s="66" t="s" ph="1">
        <v>127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10" ph="1">
        <v>0.33333333333333331</v>
      </c>
      <c r="C15" s="164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2.2" ph="1">
      <c r="B16" s="211" ph="1"/>
      <c r="C16" s="164" t="s" ph="1">
        <v>55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7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12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10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11" ph="1"/>
      <c r="C19" s="164" t="s" ph="1">
        <v>55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11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09" t="s" ph="1">
        <v>28</v>
      </c>
      <c r="C22" s="84" t="s" ph="1">
        <v>120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188" t="s" ph="1">
        <v>135</v>
      </c>
      <c r="AA22" s="189"/>
      <c r="AB22" s="189"/>
      <c r="AC22" s="189"/>
      <c r="AD22" s="189"/>
      <c r="AE22" s="190"/>
    </row>
    <row r="23" spans="1:32" ph="1">
      <c r="A23" s="71" ph="1"/>
      <c r="B23" s="204" ph="1"/>
      <c r="C23" s="66" t="s" ph="1">
        <v>136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191" t="s" ph="1">
        <v>137</v>
      </c>
      <c r="AA23" s="192"/>
      <c r="AB23" s="192"/>
      <c r="AC23" s="192"/>
      <c r="AD23" s="192"/>
      <c r="AE23" s="193"/>
    </row>
    <row r="24" spans="1:32" ph="1">
      <c r="A24" s="71" ph="1"/>
      <c r="B24" s="200" ph="1">
        <v>0.33333333333333331</v>
      </c>
      <c r="C24" s="164" t="s" ph="1">
        <v>138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194"/>
      <c r="AA24" s="195"/>
      <c r="AB24" s="195"/>
      <c r="AC24" s="195"/>
      <c r="AD24" s="195"/>
      <c r="AE24" s="196"/>
    </row>
    <row r="25" spans="1:32" ph="1">
      <c r="A25" s="71" ph="1"/>
      <c r="B25" s="200" ph="1"/>
      <c r="C25" s="67" t="s" ph="1">
        <v>134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194"/>
      <c r="AA25" s="195"/>
      <c r="AB25" s="195"/>
      <c r="AC25" s="195"/>
      <c r="AD25" s="195"/>
      <c r="AE25" s="196"/>
    </row>
    <row r="26" spans="1:32" ph="1">
      <c r="A26" s="71" ph="1"/>
      <c r="B26" s="200" ph="1"/>
      <c r="C26" s="67" t="s" ph="1">
        <v>139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194"/>
      <c r="AA26" s="195"/>
      <c r="AB26" s="195"/>
      <c r="AC26" s="195"/>
      <c r="AD26" s="195"/>
      <c r="AE26" s="196"/>
    </row>
    <row r="27" spans="1:32" ht="26.4" ph="1">
      <c r="A27" s="71" ph="1"/>
      <c r="B27" s="200" ph="1">
        <v>0.66666666666666663</v>
      </c>
      <c r="C27" s="164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194"/>
      <c r="AA27" s="195"/>
      <c r="AB27" s="195"/>
      <c r="AC27" s="195"/>
      <c r="AD27" s="195"/>
      <c r="AE27" s="196"/>
    </row>
    <row r="28" spans="1:32" ph="1">
      <c r="A28" s="71" ph="1"/>
      <c r="B28" s="200" ph="1"/>
      <c r="C28" s="164" t="s" ph="1">
        <v>140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194"/>
      <c r="AA28" s="195"/>
      <c r="AB28" s="195"/>
      <c r="AC28" s="195"/>
      <c r="AD28" s="195"/>
      <c r="AE28" s="196"/>
    </row>
    <row r="29" spans="1:32" ph="1">
      <c r="A29" s="71" ph="1"/>
      <c r="B29" s="200" ph="1"/>
      <c r="C29" s="164" t="s" ph="1">
        <v>139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197"/>
      <c r="AA29" s="198"/>
      <c r="AB29" s="198"/>
      <c r="AC29" s="198"/>
      <c r="AD29" s="198"/>
      <c r="AE29" s="199"/>
    </row>
    <row r="30" spans="1:32" ph="1">
      <c r="D30" s="93" ph="1"/>
      <c r="Z30" s="63" t="s" ph="1">
        <v>141</v>
      </c>
      <c r="AE30" s="94" ph="1"/>
    </row>
    <row r="31" spans="1:32" ht="28.2" ph="1">
      <c r="A31" s="63"/>
      <c r="B31" s="213" t="s" ph="1">
        <v>26</v>
      </c>
      <c r="C31" s="214" ph="1"/>
      <c r="D31" s="205" t="s" ph="1">
        <v>142</v>
      </c>
      <c r="E31" s="206" ph="1"/>
      <c r="F31" s="207" ph="1"/>
      <c r="G31" s="217" ph="1"/>
      <c r="H31" s="206" ph="1"/>
      <c r="I31" s="207" ph="1"/>
      <c r="J31" s="205" ph="1"/>
      <c r="K31" s="206" ph="1"/>
      <c r="L31" s="207" ph="1"/>
      <c r="M31" s="205" ph="1"/>
      <c r="N31" s="206" ph="1"/>
      <c r="O31" s="207" ph="1"/>
      <c r="P31" s="205" ph="1"/>
      <c r="Q31" s="206"/>
      <c r="R31" s="207"/>
      <c r="S31" s="205" ph="1"/>
      <c r="T31" s="206"/>
      <c r="U31" s="207"/>
      <c r="V31" s="205" ph="1"/>
      <c r="W31" s="206" ph="1"/>
      <c r="X31" s="207" ph="1"/>
      <c r="Y31" s="205" ph="1"/>
      <c r="Z31" s="206" ph="1"/>
      <c r="AA31" s="207" ph="1"/>
      <c r="AB31" s="228"/>
      <c r="AC31" s="229"/>
      <c r="AD31" s="229"/>
      <c r="AE31" s="230"/>
    </row>
    <row r="32" spans="1:32" ph="1">
      <c r="A32" s="63"/>
      <c r="B32" s="215" ph="1"/>
      <c r="C32" s="216" ph="1"/>
      <c r="D32" s="95" t="s" ph="1">
        <v>0</v>
      </c>
      <c r="E32" s="164" t="s" ph="1">
        <v>143</v>
      </c>
      <c r="F32" s="165" t="s" ph="1">
        <v>31</v>
      </c>
      <c r="G32" s="96" t="s" ph="1">
        <v>144</v>
      </c>
      <c r="H32" s="164" t="s" ph="1">
        <v>143</v>
      </c>
      <c r="I32" s="165" t="s" ph="1">
        <v>145</v>
      </c>
      <c r="J32" s="96" t="s" ph="1">
        <v>144</v>
      </c>
      <c r="K32" s="164" t="s" ph="1">
        <v>143</v>
      </c>
      <c r="L32" s="165" t="s" ph="1">
        <v>146</v>
      </c>
      <c r="M32" s="96" t="s" ph="1">
        <v>147</v>
      </c>
      <c r="N32" s="164" t="s" ph="1">
        <v>143</v>
      </c>
      <c r="O32" s="165" t="s" ph="1">
        <v>145</v>
      </c>
      <c r="P32" s="96" t="s" ph="1">
        <v>144</v>
      </c>
      <c r="Q32" s="97" t="s" ph="1">
        <v>143</v>
      </c>
      <c r="R32" s="98" t="s" ph="1">
        <v>145</v>
      </c>
      <c r="S32" s="96" t="s" ph="1">
        <v>144</v>
      </c>
      <c r="T32" s="164" t="s" ph="1">
        <v>143</v>
      </c>
      <c r="U32" s="98" t="s" ph="1">
        <v>145</v>
      </c>
      <c r="V32" s="96" t="s" ph="1">
        <v>144</v>
      </c>
      <c r="W32" s="164" t="s" ph="1">
        <v>143</v>
      </c>
      <c r="X32" s="98" t="s" ph="1">
        <v>31</v>
      </c>
      <c r="Y32" s="99" t="s" ph="1">
        <v>144</v>
      </c>
      <c r="Z32" s="164" t="s" ph="1">
        <v>143</v>
      </c>
      <c r="AA32" s="165" t="s" ph="1">
        <v>145</v>
      </c>
      <c r="AB32" s="96" t="s" ph="1">
        <v>41</v>
      </c>
      <c r="AC32" s="164" t="s" ph="1">
        <v>40</v>
      </c>
      <c r="AD32" s="231" t="s" ph="1">
        <v>148</v>
      </c>
      <c r="AE32" s="232"/>
    </row>
    <row r="33" spans="1:31" ph="1">
      <c r="A33" s="63"/>
      <c r="B33" s="218" t="s" ph="1">
        <v>149</v>
      </c>
      <c r="C33" s="219" ph="1"/>
      <c r="D33" s="222" ph="1">
        <f>O10+P10</f>
        <v>129769.62824991997</v>
      </c>
      <c r="E33" s="222" ph="1">
        <f>H10+I10+J10+K10</f>
        <v>6735.7439999999997</v>
      </c>
      <c r="F33" s="224" ph="1">
        <f>L10+N10</f>
        <v>0</v>
      </c>
      <c r="G33" s="226" ph="1">
        <v>0</v>
      </c>
      <c r="H33" s="222" ph="1">
        <v>0</v>
      </c>
      <c r="I33" s="235" ph="1">
        <v>0</v>
      </c>
      <c r="J33" s="233" ph="1">
        <v>0</v>
      </c>
      <c r="K33" s="222" ph="1">
        <v>0</v>
      </c>
      <c r="L33" s="237" ph="1">
        <v>0</v>
      </c>
      <c r="M33" s="233" ph="1">
        <v>0</v>
      </c>
      <c r="N33" s="222" ph="1">
        <v>0</v>
      </c>
      <c r="O33" s="235" ph="1">
        <f>G19</f>
        <v>0</v>
      </c>
      <c r="P33" s="233" ph="1">
        <v>0</v>
      </c>
      <c r="Q33" s="222" ph="1">
        <v>0</v>
      </c>
      <c r="R33" s="235" ph="1">
        <v>0</v>
      </c>
      <c r="S33" s="233" ph="1">
        <v>0</v>
      </c>
      <c r="T33" s="222" ph="1">
        <v>0</v>
      </c>
      <c r="U33" s="243" ph="1">
        <v>0</v>
      </c>
      <c r="V33" s="254" ph="1">
        <v>0</v>
      </c>
      <c r="W33" s="254" ph="1">
        <v>0</v>
      </c>
      <c r="X33" s="235" ph="1">
        <v>0</v>
      </c>
      <c r="Y33" s="256" ph="1">
        <v>0</v>
      </c>
      <c r="Z33" s="241" ph="1">
        <v>0</v>
      </c>
      <c r="AA33" s="243" ph="1">
        <v>0</v>
      </c>
      <c r="AB33" s="245" ph="1">
        <v>0</v>
      </c>
      <c r="AC33" s="247" ph="1">
        <v>0</v>
      </c>
      <c r="AD33" s="249" ph="1">
        <v>0</v>
      </c>
      <c r="AE33" s="250"/>
    </row>
    <row r="34" spans="1:31" ph="1">
      <c r="A34" s="63"/>
      <c r="B34" s="220" ph="1"/>
      <c r="C34" s="221" ph="1"/>
      <c r="D34" s="223" ph="1"/>
      <c r="E34" s="223" ph="1"/>
      <c r="F34" s="225" ph="1"/>
      <c r="G34" s="227" ph="1"/>
      <c r="H34" s="223" ph="1"/>
      <c r="I34" s="236" ph="1"/>
      <c r="J34" s="234" ph="1"/>
      <c r="K34" s="223" ph="1"/>
      <c r="L34" s="238" ph="1"/>
      <c r="M34" s="234" ph="1"/>
      <c r="N34" s="223" ph="1"/>
      <c r="O34" s="236" ph="1"/>
      <c r="P34" s="234" ph="1"/>
      <c r="Q34" s="223" ph="1"/>
      <c r="R34" s="236" ph="1"/>
      <c r="S34" s="234" ph="1"/>
      <c r="T34" s="223"/>
      <c r="U34" s="244"/>
      <c r="V34" s="255" ph="1"/>
      <c r="W34" s="255" ph="1"/>
      <c r="X34" s="236" ph="1"/>
      <c r="Y34" s="257" ph="1"/>
      <c r="Z34" s="242" ph="1"/>
      <c r="AA34" s="244" ph="1"/>
      <c r="AB34" s="246"/>
      <c r="AC34" s="248"/>
      <c r="AD34" s="251"/>
      <c r="AE34" s="252"/>
    </row>
    <row r="35" spans="1:31" ph="1">
      <c r="A35" s="63"/>
      <c r="AC35" s="253" t="s" ph="1">
        <v>150</v>
      </c>
      <c r="AD35" s="253"/>
      <c r="AE35" s="253"/>
    </row>
    <row r="36" spans="1:31" ht="28.2" ph="1">
      <c r="A36" s="63"/>
      <c r="B36" s="102" t="s" ph="1">
        <v>151</v>
      </c>
      <c r="I36" s="239" t="s" ph="1">
        <v>152</v>
      </c>
      <c r="J36" s="239" ph="1"/>
      <c r="K36" s="100" ph="1"/>
      <c r="P36" s="100" ph="1"/>
      <c r="R36" s="239" t="s" ph="1">
        <v>153</v>
      </c>
      <c r="S36" s="239" ph="1"/>
      <c r="Y36" s="101" ph="1"/>
      <c r="Z36" s="166" t="s" ph="1">
        <v>154</v>
      </c>
      <c r="AA36" s="166" ph="1"/>
      <c r="AB36" s="240" t="s" ph="1">
        <v>155</v>
      </c>
      <c r="AC36" s="240" ph="1"/>
      <c r="AD36" s="240" ph="1"/>
      <c r="AE36" s="240" ph="1"/>
    </row>
    <row r="37" spans="1:31" s="166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6 D8:D9 D11">
    <cfRule type="expression" dxfId="791" priority="133">
      <formula>ABS(D$7-D$10)&gt;=1000</formula>
    </cfRule>
  </conditionalFormatting>
  <conditionalFormatting sqref="E4 E6 E8:E9 E11">
    <cfRule type="expression" dxfId="790" priority="132">
      <formula>ABS(E$7-E$10)&gt;=1000</formula>
    </cfRule>
  </conditionalFormatting>
  <conditionalFormatting sqref="F4 F6 F8:F9 F11">
    <cfRule type="expression" dxfId="789" priority="131">
      <formula>ABS(F$7-F$10)&gt;=1000</formula>
    </cfRule>
  </conditionalFormatting>
  <conditionalFormatting sqref="G4 G6 G8:G9 G11">
    <cfRule type="expression" dxfId="788" priority="130">
      <formula>ABS(G$7-G$10)&gt;=1000</formula>
    </cfRule>
  </conditionalFormatting>
  <conditionalFormatting sqref="H4:K4 H6 H8:H9 H11">
    <cfRule type="expression" dxfId="787" priority="129">
      <formula>ABS(H$7-H$10)&gt;=1000</formula>
    </cfRule>
  </conditionalFormatting>
  <conditionalFormatting sqref="I6 I8:I9 I11">
    <cfRule type="expression" dxfId="786" priority="128">
      <formula>ABS(I$7-I$10)&gt;=1000</formula>
    </cfRule>
  </conditionalFormatting>
  <conditionalFormatting sqref="J6 J8:J9 J11">
    <cfRule type="expression" dxfId="785" priority="127">
      <formula>ABS(J$7-J$10)&gt;=1000</formula>
    </cfRule>
  </conditionalFormatting>
  <conditionalFormatting sqref="K6 K8:K9 K11">
    <cfRule type="expression" dxfId="784" priority="126">
      <formula>ABS(K$7-K$10)&gt;=1000</formula>
    </cfRule>
  </conditionalFormatting>
  <conditionalFormatting sqref="L4:L6 M4:N4 Q4:S4 L8:L9 L11">
    <cfRule type="expression" dxfId="783" priority="125">
      <formula>ABS(L$7-L$10)&gt;=1000</formula>
    </cfRule>
  </conditionalFormatting>
  <conditionalFormatting sqref="M6 M8:M9 M11">
    <cfRule type="expression" dxfId="782" priority="124">
      <formula>ABS(M$7-M$10)&gt;=1000</formula>
    </cfRule>
  </conditionalFormatting>
  <conditionalFormatting sqref="N6 N8:N9 N11">
    <cfRule type="expression" dxfId="781" priority="123">
      <formula>ABS(N$7-N$10)&gt;=1000</formula>
    </cfRule>
  </conditionalFormatting>
  <conditionalFormatting sqref="Q5:Q11">
    <cfRule type="expression" dxfId="780" priority="122">
      <formula>ABS(Q$7-Q$10)&gt;=1000</formula>
    </cfRule>
  </conditionalFormatting>
  <conditionalFormatting sqref="R5:R11">
    <cfRule type="expression" dxfId="779" priority="121">
      <formula>ABS(R$7-R$10)&gt;=1000</formula>
    </cfRule>
  </conditionalFormatting>
  <conditionalFormatting sqref="S5:S11">
    <cfRule type="expression" dxfId="778" priority="120">
      <formula>ABS(S$7-S$10)&gt;=1000</formula>
    </cfRule>
  </conditionalFormatting>
  <conditionalFormatting sqref="T4:T9 T11">
    <cfRule type="expression" dxfId="777" priority="119">
      <formula>ABS(T$7-T$10)&gt;=1000</formula>
    </cfRule>
  </conditionalFormatting>
  <conditionalFormatting sqref="U4:U9 U11">
    <cfRule type="expression" dxfId="776" priority="118">
      <formula>ABS(U$7-U$10)&gt;=1000</formula>
    </cfRule>
  </conditionalFormatting>
  <conditionalFormatting sqref="V4:V9 V11">
    <cfRule type="expression" dxfId="775" priority="117">
      <formula>ABS(V$7-V$10)&gt;=1000</formula>
    </cfRule>
  </conditionalFormatting>
  <conditionalFormatting sqref="W4:W9 W11">
    <cfRule type="expression" dxfId="774" priority="116">
      <formula>ABS(W$7-W$10)&gt;=1000</formula>
    </cfRule>
  </conditionalFormatting>
  <conditionalFormatting sqref="X4:X9 X11">
    <cfRule type="expression" dxfId="773" priority="115">
      <formula>ABS(X$7-X$10)&gt;=1000</formula>
    </cfRule>
  </conditionalFormatting>
  <conditionalFormatting sqref="Y4:Y9 Y11">
    <cfRule type="expression" dxfId="772" priority="114">
      <formula>ABS(Y$7-Y$10)&gt;=1000</formula>
    </cfRule>
  </conditionalFormatting>
  <conditionalFormatting sqref="Z4:Z11">
    <cfRule type="expression" dxfId="771" priority="113">
      <formula>ABS(Z$7-Z$10)&gt;=1000</formula>
    </cfRule>
  </conditionalFormatting>
  <conditionalFormatting sqref="AA4:AA11">
    <cfRule type="expression" dxfId="770" priority="112">
      <formula>ABS(AA$7-AA$10)&gt;=1000</formula>
    </cfRule>
  </conditionalFormatting>
  <conditionalFormatting sqref="AB4:AB11">
    <cfRule type="expression" dxfId="769" priority="111">
      <formula>ABS(AB$7-AB$10)&gt;=1000</formula>
    </cfRule>
  </conditionalFormatting>
  <conditionalFormatting sqref="AC4 AC6:AC11">
    <cfRule type="expression" dxfId="768" priority="110">
      <formula>ABS(AC$7-AC$10)&gt;=1000</formula>
    </cfRule>
  </conditionalFormatting>
  <conditionalFormatting sqref="AD4 AD6:AD11">
    <cfRule type="expression" dxfId="767" priority="109">
      <formula>ABS(AD$7-AD$10)&gt;=1000</formula>
    </cfRule>
  </conditionalFormatting>
  <conditionalFormatting sqref="AE4 AE6:AE11">
    <cfRule type="expression" dxfId="766" priority="108">
      <formula>ABS(AE$7-AE$10)&gt;=1000</formula>
    </cfRule>
  </conditionalFormatting>
  <conditionalFormatting sqref="D13:D20">
    <cfRule type="expression" dxfId="765" priority="107">
      <formula>ABS(D$16-D$19)&gt;=1000</formula>
    </cfRule>
  </conditionalFormatting>
  <conditionalFormatting sqref="E13:E20">
    <cfRule type="expression" dxfId="764" priority="106">
      <formula>ABS(E$16-E$19)&gt;=1000</formula>
    </cfRule>
  </conditionalFormatting>
  <conditionalFormatting sqref="F13 F15:F20">
    <cfRule type="expression" dxfId="763" priority="105">
      <formula>ABS(F$16-F$19)&gt;=1000</formula>
    </cfRule>
  </conditionalFormatting>
  <conditionalFormatting sqref="G13:G20">
    <cfRule type="expression" dxfId="762" priority="104">
      <formula>ABS(G$16-G$19)&gt;=1000</formula>
    </cfRule>
  </conditionalFormatting>
  <conditionalFormatting sqref="H13 H15:H20">
    <cfRule type="expression" dxfId="761" priority="103">
      <formula>ABS(H$16-H$19)&gt;=1000</formula>
    </cfRule>
  </conditionalFormatting>
  <conditionalFormatting sqref="I13:I20">
    <cfRule type="expression" dxfId="760" priority="102">
      <formula>ABS(I$16-I$19)&gt;=1000</formula>
    </cfRule>
  </conditionalFormatting>
  <conditionalFormatting sqref="J13:J20">
    <cfRule type="expression" dxfId="759" priority="101">
      <formula>ABS(J$16-J$19)&gt;=1000</formula>
    </cfRule>
  </conditionalFormatting>
  <conditionalFormatting sqref="L13:L20">
    <cfRule type="expression" dxfId="758" priority="100">
      <formula>ABS(L$16-L$19)&gt;=1000</formula>
    </cfRule>
  </conditionalFormatting>
  <conditionalFormatting sqref="M13 M15 M17:M18 M20">
    <cfRule type="expression" dxfId="757" priority="99">
      <formula>ABS(M$16-M$19)&gt;=1000</formula>
    </cfRule>
  </conditionalFormatting>
  <conditionalFormatting sqref="N13:N20">
    <cfRule type="expression" dxfId="756" priority="98">
      <formula>ABS(N$16-N$19)&gt;=1000</formula>
    </cfRule>
  </conditionalFormatting>
  <conditionalFormatting sqref="O13:O20">
    <cfRule type="expression" dxfId="755" priority="97">
      <formula>ABS(O$16-O$19)&gt;=1000</formula>
    </cfRule>
  </conditionalFormatting>
  <conditionalFormatting sqref="P13:P20">
    <cfRule type="expression" dxfId="754" priority="96">
      <formula>ABS(P$16-P$19)&gt;=1000</formula>
    </cfRule>
  </conditionalFormatting>
  <conditionalFormatting sqref="Q13 Q15:Q20">
    <cfRule type="expression" dxfId="753" priority="95">
      <formula>ABS(Q$16-Q$19)&gt;=1000</formula>
    </cfRule>
  </conditionalFormatting>
  <conditionalFormatting sqref="R13:R20">
    <cfRule type="expression" dxfId="752" priority="94">
      <formula>ABS(R$16-R$19)&gt;=1000</formula>
    </cfRule>
  </conditionalFormatting>
  <conditionalFormatting sqref="S13:S20">
    <cfRule type="expression" dxfId="751" priority="93">
      <formula>ABS(S$16-S$19)&gt;=1000</formula>
    </cfRule>
  </conditionalFormatting>
  <conditionalFormatting sqref="T13:T20">
    <cfRule type="expression" dxfId="750" priority="92">
      <formula>ABS(T$16-T$19)&gt;=1000</formula>
    </cfRule>
  </conditionalFormatting>
  <conditionalFormatting sqref="U13:U20">
    <cfRule type="expression" dxfId="749" priority="91">
      <formula>ABS(U$16-U$19)&gt;=1000</formula>
    </cfRule>
  </conditionalFormatting>
  <conditionalFormatting sqref="V13:V20">
    <cfRule type="expression" dxfId="748" priority="90">
      <formula>ABS(V$16-V$19)&gt;=1000</formula>
    </cfRule>
  </conditionalFormatting>
  <conditionalFormatting sqref="W13 W20 W15:W18">
    <cfRule type="expression" dxfId="747" priority="89">
      <formula>ABS(W$16-W$19)&gt;=1000</formula>
    </cfRule>
  </conditionalFormatting>
  <conditionalFormatting sqref="X13 X15:X20 Y19">
    <cfRule type="expression" dxfId="746" priority="88">
      <formula>ABS(X$16-X$19)&gt;=1000</formula>
    </cfRule>
  </conditionalFormatting>
  <conditionalFormatting sqref="Y13 Y15:Y18 Y20">
    <cfRule type="expression" dxfId="745" priority="87">
      <formula>ABS(Y$16-Y$19)&gt;=1000</formula>
    </cfRule>
  </conditionalFormatting>
  <conditionalFormatting sqref="Z13:Z20">
    <cfRule type="expression" dxfId="744" priority="86">
      <formula>ABS(Z$16-Z$19)&gt;=1000</formula>
    </cfRule>
  </conditionalFormatting>
  <conditionalFormatting sqref="AA13:AA20">
    <cfRule type="expression" dxfId="743" priority="85">
      <formula>ABS(AA$16-AA$19)&gt;=1000</formula>
    </cfRule>
  </conditionalFormatting>
  <conditionalFormatting sqref="AB13 AB15:AB20">
    <cfRule type="expression" dxfId="742" priority="84">
      <formula>ABS(AB$16-AB$19)&gt;=1000</formula>
    </cfRule>
  </conditionalFormatting>
  <conditionalFormatting sqref="AC13 AC15:AC20">
    <cfRule type="expression" dxfId="741" priority="83">
      <formula>ABS(AC$16-AC$19)&gt;=1000</formula>
    </cfRule>
  </conditionalFormatting>
  <conditionalFormatting sqref="AD13:AD20">
    <cfRule type="expression" dxfId="740" priority="82">
      <formula>ABS(AD$16-AD$19)&gt;=1000</formula>
    </cfRule>
  </conditionalFormatting>
  <conditionalFormatting sqref="AE13:AE20">
    <cfRule type="expression" dxfId="739" priority="81">
      <formula>ABS(AE$16-AE$19)&gt;=1000</formula>
    </cfRule>
  </conditionalFormatting>
  <conditionalFormatting sqref="D22:D29">
    <cfRule type="expression" dxfId="738" priority="80">
      <formula>ABS(D$25-D$28)&gt;=1000</formula>
    </cfRule>
  </conditionalFormatting>
  <conditionalFormatting sqref="E22:E29">
    <cfRule type="expression" dxfId="737" priority="79">
      <formula>ABS(E$25-E$28)&gt;=1000</formula>
    </cfRule>
  </conditionalFormatting>
  <conditionalFormatting sqref="F22:F29">
    <cfRule type="expression" dxfId="736" priority="78">
      <formula>ABS(F$25-F$28)&gt;=1000</formula>
    </cfRule>
  </conditionalFormatting>
  <conditionalFormatting sqref="G22:G29">
    <cfRule type="expression" dxfId="735" priority="77">
      <formula>ABS(G$25-G$28)&gt;=1000</formula>
    </cfRule>
  </conditionalFormatting>
  <conditionalFormatting sqref="H22:H29">
    <cfRule type="expression" dxfId="734" priority="76">
      <formula>ABS(H$25-H$28)&gt;=1000</formula>
    </cfRule>
  </conditionalFormatting>
  <conditionalFormatting sqref="I22 I24:I29">
    <cfRule type="expression" dxfId="733" priority="75">
      <formula>ABS(I$25-I$28)&gt;=1000</formula>
    </cfRule>
  </conditionalFormatting>
  <conditionalFormatting sqref="J22:J29 K22">
    <cfRule type="expression" dxfId="732" priority="74">
      <formula>ABS(J$25-J$28)&gt;=1000</formula>
    </cfRule>
  </conditionalFormatting>
  <conditionalFormatting sqref="K23:K29 L25 L28">
    <cfRule type="expression" dxfId="731" priority="73">
      <formula>ABS(K$25-K$28)&gt;=1000</formula>
    </cfRule>
  </conditionalFormatting>
  <conditionalFormatting sqref="L22 L26:L27 L29 L24">
    <cfRule type="expression" dxfId="730" priority="72">
      <formula>ABS(L$25-L$28)&gt;=1000</formula>
    </cfRule>
  </conditionalFormatting>
  <conditionalFormatting sqref="M22:M29">
    <cfRule type="expression" dxfId="729" priority="71">
      <formula>ABS(M$25-M$28)&gt;=1000</formula>
    </cfRule>
  </conditionalFormatting>
  <conditionalFormatting sqref="N22:N29">
    <cfRule type="expression" dxfId="728" priority="70">
      <formula>ABS(N$25-N$28)&gt;=1000</formula>
    </cfRule>
  </conditionalFormatting>
  <conditionalFormatting sqref="O22:O29">
    <cfRule type="expression" dxfId="727" priority="69">
      <formula>ABS(O$25-O$28)&gt;=1000</formula>
    </cfRule>
  </conditionalFormatting>
  <conditionalFormatting sqref="P22:P29">
    <cfRule type="expression" dxfId="726" priority="68">
      <formula>ABS(P$25-P$28)&gt;=1000</formula>
    </cfRule>
  </conditionalFormatting>
  <conditionalFormatting sqref="Q22:Q29">
    <cfRule type="expression" dxfId="725" priority="67">
      <formula>ABS(Q$25-Q$28)&gt;=1000</formula>
    </cfRule>
  </conditionalFormatting>
  <conditionalFormatting sqref="R22:R29">
    <cfRule type="expression" dxfId="724" priority="66">
      <formula>ABS(R$25-R$28)&gt;=1000</formula>
    </cfRule>
  </conditionalFormatting>
  <conditionalFormatting sqref="S22:S29">
    <cfRule type="expression" dxfId="723" priority="65">
      <formula>ABS(S$25-S$28)&gt;=1000</formula>
    </cfRule>
  </conditionalFormatting>
  <conditionalFormatting sqref="T22:T29">
    <cfRule type="expression" dxfId="722" priority="64">
      <formula>ABS(T$25-T$28)&gt;=1000</formula>
    </cfRule>
  </conditionalFormatting>
  <conditionalFormatting sqref="U22:U29">
    <cfRule type="expression" dxfId="721" priority="63">
      <formula>ABS(U$25-U$28)&gt;=1000</formula>
    </cfRule>
  </conditionalFormatting>
  <conditionalFormatting sqref="V22:V29">
    <cfRule type="expression" dxfId="720" priority="62">
      <formula>ABS(V$25-V$28)&gt;=1000</formula>
    </cfRule>
  </conditionalFormatting>
  <conditionalFormatting sqref="W22:W29">
    <cfRule type="expression" dxfId="719" priority="61">
      <formula>ABS(W$25-W$28)&gt;=1000</formula>
    </cfRule>
  </conditionalFormatting>
  <conditionalFormatting sqref="X22:X29">
    <cfRule type="expression" dxfId="718" priority="60">
      <formula>ABS(X$25-X$28)&gt;=1000</formula>
    </cfRule>
  </conditionalFormatting>
  <conditionalFormatting sqref="Y22:Y29">
    <cfRule type="expression" dxfId="717" priority="59">
      <formula>ABS(Y$25-Y$28)&gt;=1000</formula>
    </cfRule>
  </conditionalFormatting>
  <conditionalFormatting sqref="I23">
    <cfRule type="expression" dxfId="716" priority="58">
      <formula>ABS(I$25-I$28)&gt;=1000</formula>
    </cfRule>
  </conditionalFormatting>
  <conditionalFormatting sqref="Q14">
    <cfRule type="expression" dxfId="715" priority="57">
      <formula>ABS(Q$16-Q$19)&gt;=1000</formula>
    </cfRule>
  </conditionalFormatting>
  <conditionalFormatting sqref="W14">
    <cfRule type="expression" dxfId="714" priority="56">
      <formula>ABS(W$16-W$19)&gt;=1000</formula>
    </cfRule>
  </conditionalFormatting>
  <conditionalFormatting sqref="X14">
    <cfRule type="expression" dxfId="713" priority="55">
      <formula>ABS(X$16-X$19)&gt;=1000</formula>
    </cfRule>
  </conditionalFormatting>
  <conditionalFormatting sqref="T10:Y10">
    <cfRule type="expression" dxfId="712" priority="54">
      <formula>ABS(T$7-T$10)&gt;=1000</formula>
    </cfRule>
  </conditionalFormatting>
  <conditionalFormatting sqref="W19">
    <cfRule type="expression" dxfId="711" priority="53">
      <formula>ABS(W$16-W$19)&gt;=1000</formula>
    </cfRule>
  </conditionalFormatting>
  <conditionalFormatting sqref="AC5">
    <cfRule type="expression" dxfId="710" priority="52">
      <formula>ABS(AC$7-AC$10)&gt;=1000</formula>
    </cfRule>
  </conditionalFormatting>
  <conditionalFormatting sqref="M14">
    <cfRule type="expression" dxfId="709" priority="51">
      <formula>ABS(M$16-M$19)&gt;=1000</formula>
    </cfRule>
  </conditionalFormatting>
  <conditionalFormatting sqref="M16">
    <cfRule type="expression" dxfId="708" priority="50">
      <formula>ABS(M$16-M$19)&gt;=1000</formula>
    </cfRule>
  </conditionalFormatting>
  <conditionalFormatting sqref="M19">
    <cfRule type="expression" dxfId="707" priority="49">
      <formula>ABS(M$16-M$19)&gt;=1000</formula>
    </cfRule>
  </conditionalFormatting>
  <conditionalFormatting sqref="K13:K20">
    <cfRule type="expression" dxfId="706" priority="48">
      <formula>ABS(K$16-K$19)&gt;=1000</formula>
    </cfRule>
  </conditionalFormatting>
  <conditionalFormatting sqref="AB14:AC14">
    <cfRule type="expression" dxfId="705" priority="47">
      <formula>ABS(AB$16-AB$19)&gt;=1000</formula>
    </cfRule>
  </conditionalFormatting>
  <conditionalFormatting sqref="M5">
    <cfRule type="expression" dxfId="704" priority="46">
      <formula>ABS(M$7-M$10)&gt;=1000</formula>
    </cfRule>
  </conditionalFormatting>
  <conditionalFormatting sqref="N5">
    <cfRule type="expression" dxfId="703" priority="45">
      <formula>ABS(N$7-N$10)&gt;=1000</formula>
    </cfRule>
  </conditionalFormatting>
  <conditionalFormatting sqref="L23">
    <cfRule type="expression" dxfId="702" priority="44">
      <formula>ABS(L$25-L$28)&gt;=1000</formula>
    </cfRule>
  </conditionalFormatting>
  <conditionalFormatting sqref="Y14">
    <cfRule type="expression" dxfId="701" priority="43">
      <formula>ABS(Y$16-Y$19)&gt;=1000</formula>
    </cfRule>
  </conditionalFormatting>
  <conditionalFormatting sqref="F14">
    <cfRule type="expression" dxfId="700" priority="42">
      <formula>ABS(F$16-F$19)&gt;=1000</formula>
    </cfRule>
  </conditionalFormatting>
  <conditionalFormatting sqref="H14">
    <cfRule type="expression" dxfId="699" priority="41">
      <formula>ABS(H$16-H$19)&gt;=1000</formula>
    </cfRule>
  </conditionalFormatting>
  <conditionalFormatting sqref="AD5">
    <cfRule type="expression" dxfId="698" priority="40">
      <formula>ABS(AD$7-AD$10)&gt;=1000</formula>
    </cfRule>
  </conditionalFormatting>
  <conditionalFormatting sqref="AE5">
    <cfRule type="expression" dxfId="697" priority="39">
      <formula>ABS(AE$7-AE$10)&gt;=1000</formula>
    </cfRule>
  </conditionalFormatting>
  <conditionalFormatting sqref="D5">
    <cfRule type="expression" dxfId="696" priority="38">
      <formula>ABS(D$7-D$10)&gt;=1000</formula>
    </cfRule>
  </conditionalFormatting>
  <conditionalFormatting sqref="E5:G5">
    <cfRule type="expression" dxfId="695" priority="37">
      <formula>ABS(E$7-E$10)&gt;=1000</formula>
    </cfRule>
  </conditionalFormatting>
  <conditionalFormatting sqref="H5:K5">
    <cfRule type="expression" dxfId="694" priority="36">
      <formula>ABS(H$7-H$10)&gt;=1000</formula>
    </cfRule>
  </conditionalFormatting>
  <conditionalFormatting sqref="O4:P4">
    <cfRule type="expression" dxfId="693" priority="35">
      <formula>ABS(O$7-O$10)&gt;=1000</formula>
    </cfRule>
  </conditionalFormatting>
  <conditionalFormatting sqref="O5:O6 O8:O9 O11">
    <cfRule type="expression" dxfId="692" priority="34">
      <formula>ABS(O$7-O$10)&gt;=1000</formula>
    </cfRule>
  </conditionalFormatting>
  <conditionalFormatting sqref="P6 P8:P9 P11">
    <cfRule type="expression" dxfId="691" priority="33">
      <formula>ABS(P$7-P$10)&gt;=1000</formula>
    </cfRule>
  </conditionalFormatting>
  <conditionalFormatting sqref="P5">
    <cfRule type="expression" dxfId="690" priority="32">
      <formula>ABS(P$7-P$10)&gt;=1000</formula>
    </cfRule>
  </conditionalFormatting>
  <conditionalFormatting sqref="H7:L7">
    <cfRule type="expression" dxfId="47" priority="16">
      <formula>ABS(H$7-H$10)&gt;=1000</formula>
    </cfRule>
  </conditionalFormatting>
  <conditionalFormatting sqref="E7">
    <cfRule type="expression" dxfId="46" priority="13">
      <formula>ABS(E$7-E$10)&gt;=1000</formula>
    </cfRule>
  </conditionalFormatting>
  <conditionalFormatting sqref="O7:P7">
    <cfRule type="expression" dxfId="45" priority="15">
      <formula>ABS(O$7-O$10)&gt;=1000</formula>
    </cfRule>
  </conditionalFormatting>
  <conditionalFormatting sqref="N7">
    <cfRule type="expression" dxfId="44" priority="14">
      <formula>ABS(N$7-N$10)&gt;=1000</formula>
    </cfRule>
  </conditionalFormatting>
  <conditionalFormatting sqref="M7">
    <cfRule type="expression" dxfId="43" priority="12">
      <formula>ABS(M$7-M$10)&gt;=1000</formula>
    </cfRule>
  </conditionalFormatting>
  <conditionalFormatting sqref="G7">
    <cfRule type="expression" dxfId="42" priority="11">
      <formula>ABS(G$7-G$10)&gt;=1000</formula>
    </cfRule>
  </conditionalFormatting>
  <conditionalFormatting sqref="F7">
    <cfRule type="expression" dxfId="41" priority="10">
      <formula>ABS(F$7-F$10)&gt;=1000</formula>
    </cfRule>
  </conditionalFormatting>
  <conditionalFormatting sqref="D7">
    <cfRule type="expression" dxfId="40" priority="9">
      <formula>ABS(D$7-D$10)&gt;=1000</formula>
    </cfRule>
  </conditionalFormatting>
  <conditionalFormatting sqref="H10:L10">
    <cfRule type="expression" dxfId="39" priority="8">
      <formula>ABS(H$7-H$10)&gt;=1000</formula>
    </cfRule>
  </conditionalFormatting>
  <conditionalFormatting sqref="E10">
    <cfRule type="expression" dxfId="38" priority="5">
      <formula>ABS(E$7-E$10)&gt;=1000</formula>
    </cfRule>
  </conditionalFormatting>
  <conditionalFormatting sqref="O10:P10">
    <cfRule type="expression" dxfId="37" priority="7">
      <formula>ABS(O$7-O$10)&gt;=1000</formula>
    </cfRule>
  </conditionalFormatting>
  <conditionalFormatting sqref="N10">
    <cfRule type="expression" dxfId="36" priority="6">
      <formula>ABS(N$7-N$10)&gt;=1000</formula>
    </cfRule>
  </conditionalFormatting>
  <conditionalFormatting sqref="M10">
    <cfRule type="expression" dxfId="35" priority="4">
      <formula>ABS(M$7-M$10)&gt;=1000</formula>
    </cfRule>
  </conditionalFormatting>
  <conditionalFormatting sqref="G10">
    <cfRule type="expression" dxfId="34" priority="3">
      <formula>ABS(G$7-G$10)&gt;=1000</formula>
    </cfRule>
  </conditionalFormatting>
  <conditionalFormatting sqref="F10">
    <cfRule type="expression" dxfId="33" priority="2">
      <formula>ABS(F$7-F$10)&gt;=1000</formula>
    </cfRule>
  </conditionalFormatting>
  <conditionalFormatting sqref="D10">
    <cfRule type="expression" dxfId="32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811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23">
    <pageSetUpPr fitToPage="1"/>
  </sheetPr>
  <dimension ref="A1:BA223"/>
  <sheetViews>
    <sheetView view="pageBreakPreview" topLeftCell="B1" zoomScale="110" zoomScaleNormal="100" zoomScaleSheetLayoutView="110" workbookViewId="0">
      <selection activeCell="D7" sqref="D7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01" t="s" ph="1">
        <v>117</v>
      </c>
      <c r="C1" s="201" ph="1"/>
      <c r="D1" s="201" ph="1"/>
      <c r="E1" s="201" ph="1"/>
      <c r="F1" s="201" ph="1"/>
      <c r="G1" s="201" ph="1"/>
      <c r="H1" s="201" ph="1"/>
      <c r="I1" s="201" ph="1"/>
      <c r="J1" s="201" ph="1"/>
      <c r="K1" s="201" ph="1"/>
      <c r="L1" s="201" ph="1"/>
      <c r="M1" s="201" ph="1"/>
      <c r="N1" s="201" ph="1"/>
      <c r="O1" s="201" ph="1"/>
      <c r="P1" s="201" ph="1"/>
      <c r="Q1" s="201" ph="1"/>
      <c r="R1" s="201" ph="1"/>
      <c r="S1" s="201" ph="1"/>
      <c r="T1" s="201" ph="1"/>
      <c r="U1" s="201" ph="1"/>
      <c r="V1" s="201" ph="1"/>
      <c r="W1" s="201" ph="1"/>
      <c r="X1" s="201" ph="1"/>
      <c r="Y1" s="201" ph="1"/>
      <c r="Z1" s="201" ph="1"/>
      <c r="AA1" s="201" ph="1"/>
      <c r="AB1" s="201" ph="1"/>
      <c r="AC1" s="201" ph="1"/>
      <c r="AD1" s="201" ph="1"/>
      <c r="AE1" s="201" ph="1"/>
    </row>
    <row r="2" spans="1:53" s="65" customFormat="1" ht="24" customHeight="1" ph="1">
      <c r="B2" s="202" t="s" ph="1">
        <v>118</v>
      </c>
      <c r="C2" s="202" ph="1"/>
      <c r="D2" s="202" ph="1"/>
      <c r="E2" s="202" ph="1"/>
      <c r="F2" s="202" ph="1"/>
      <c r="G2" s="202" ph="1"/>
      <c r="H2" s="202" ph="1"/>
      <c r="I2" s="202" ph="1"/>
      <c r="J2" s="202" ph="1"/>
      <c r="K2" s="202" ph="1"/>
      <c r="L2" s="202" ph="1"/>
      <c r="M2" s="202" ph="1"/>
      <c r="N2" s="202" ph="1"/>
      <c r="O2" s="202" ph="1"/>
      <c r="P2" s="202" ph="1"/>
      <c r="Q2" s="202" ph="1"/>
      <c r="R2" s="202" ph="1"/>
      <c r="S2" s="202" ph="1"/>
      <c r="T2" s="202" ph="1"/>
      <c r="U2" s="202" ph="1"/>
      <c r="V2" s="202" ph="1"/>
      <c r="W2" s="202" ph="1"/>
      <c r="X2" s="202" ph="1"/>
      <c r="Y2" s="202" ph="1"/>
      <c r="Z2" s="202" ph="1"/>
      <c r="AA2" s="202" ph="1"/>
      <c r="AB2" s="202" ph="1"/>
      <c r="AC2" s="202" ph="1"/>
      <c r="AD2" s="202" ph="1"/>
      <c r="AE2" s="202" ph="1"/>
    </row>
    <row r="3" spans="1:53" ht="21" customHeight="1" ph="1">
      <c r="B3" s="203" ph="1">
        <v>46136</v>
      </c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</row>
    <row r="4" spans="1:53" s="68" customFormat="1" ph="1">
      <c r="A4" s="64" ph="1"/>
      <c r="B4" s="204" t="s" ph="1">
        <v>119</v>
      </c>
      <c r="C4" s="66" t="s" ph="1">
        <v>120</v>
      </c>
      <c r="D4" s="67" t="s" ph="1">
        <v>32</v>
      </c>
      <c r="E4" s="67" t="s" ph="1">
        <v>122</v>
      </c>
      <c r="F4" s="67" t="s" ph="1">
        <v>123</v>
      </c>
      <c r="G4" s="67" t="s" ph="1">
        <v>124</v>
      </c>
      <c r="H4" s="67" t="s" ph="1">
        <v>125</v>
      </c>
      <c r="I4" s="67" t="s" ph="1">
        <v>70</v>
      </c>
      <c r="J4" s="67" t="s" ph="1">
        <v>71</v>
      </c>
      <c r="K4" s="67" t="s" ph="1">
        <v>72</v>
      </c>
      <c r="L4" s="67" t="s" ph="1">
        <v>126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04" ph="1"/>
      <c r="C5" s="66" t="s" ph="1">
        <v>127</v>
      </c>
      <c r="D5" s="141" t="s" ph="1">
        <v>128</v>
      </c>
      <c r="E5" s="141" t="s" ph="1">
        <v>128</v>
      </c>
      <c r="F5" s="141" t="s" ph="1">
        <v>128</v>
      </c>
      <c r="G5" s="141" t="s" ph="1">
        <v>128</v>
      </c>
      <c r="H5" s="141" t="s" ph="1">
        <v>128</v>
      </c>
      <c r="I5" s="141" t="s" ph="1">
        <v>128</v>
      </c>
      <c r="J5" s="141" t="s" ph="1">
        <v>128</v>
      </c>
      <c r="K5" s="141" t="s" ph="1">
        <v>128</v>
      </c>
      <c r="L5" s="140" t="s" ph="1">
        <v>129</v>
      </c>
      <c r="M5" s="140" t="s" ph="1">
        <v>130</v>
      </c>
      <c r="N5" s="69" t="s" ph="1">
        <v>129</v>
      </c>
      <c r="O5" s="69" t="s" ph="1">
        <v>131</v>
      </c>
      <c r="P5" s="69" t="s" ph="1">
        <v>131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00" ph="1">
        <v>0.33333333333333331</v>
      </c>
      <c r="C6" s="167" t="s" ph="1">
        <v>132</v>
      </c>
      <c r="D6" s="155">
        <v>0.01</v>
      </c>
      <c r="E6" s="155">
        <v>0.01</v>
      </c>
      <c r="F6" s="155">
        <v>0.01</v>
      </c>
      <c r="G6" s="155">
        <v>0.01</v>
      </c>
      <c r="H6" s="155">
        <v>0.1</v>
      </c>
      <c r="I6" s="155">
        <v>0</v>
      </c>
      <c r="J6" s="155">
        <v>0</v>
      </c>
      <c r="K6" s="155">
        <v>0</v>
      </c>
      <c r="L6" s="155">
        <v>0</v>
      </c>
      <c r="M6" s="155">
        <v>0</v>
      </c>
      <c r="N6" s="155">
        <v>0</v>
      </c>
      <c r="O6" s="155">
        <v>9.2600000000000002E-2</v>
      </c>
      <c r="P6" s="155">
        <v>5.5500000000000001E-2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00" ph="1"/>
      <c r="C7" s="67" t="s" ph="1">
        <v>55</v>
      </c>
      <c r="D7" s="72" ph="1">
        <f>((D6*5200)*4.48)*LOOKUP(D8,密度!$A$2:$A$50,密度!$B$2:$B$50)</f>
        <v>182.45427200000003</v>
      </c>
      <c r="E7" s="72" ph="1">
        <f>((E6*5200)*4.48)*LOOKUP(E8,密度!$A$2:$A$50,密度!$B$2:$B$50)</f>
        <v>183.38611200000003</v>
      </c>
      <c r="F7" s="72" ph="1">
        <f>((F6*5200)*4.48)*LOOKUP(F8,密度!$A$2:$A$50,密度!$B$2:$B$50)</f>
        <v>183.38611200000003</v>
      </c>
      <c r="G7" s="72" ph="1">
        <f>((G6*5200)*4.48)*LOOKUP(G8,密度!$A$2:$A$50,密度!$B$2:$B$50)</f>
        <v>183.38611200000003</v>
      </c>
      <c r="H7" s="72" ph="1">
        <f>((H6*5200)*18.322+8640)*LOOKUP(H8,密度!$A$2:$A$50,密度!$B$2:$B$50)</f>
        <v>14332.293416</v>
      </c>
      <c r="I7" s="72" ph="1">
        <f>((I6*5200)*18.322)*LOOKUP(I8,密度!$A$2:$A$50,密度!$B$2:$B$50)</f>
        <v>0</v>
      </c>
      <c r="J7" s="72" ph="1">
        <f>((J6*5200)*18.322)*LOOKUP(J8,密度!$A$2:$A$50,密度!$B$2:$B$50)</f>
        <v>0</v>
      </c>
      <c r="K7" s="72" ph="1">
        <f>((K6*5200)*18.322)*LOOKUP(K8,密度!$A$2:$A$50,密度!$B$2:$B$50)</f>
        <v>0</v>
      </c>
      <c r="L7" s="72" ph="1">
        <f>(L6*6650)*26.42*LOOKUP(L8,密度!$A$2:$A$50,密度!$B$2:$B$50)</f>
        <v>0</v>
      </c>
      <c r="M7" s="72" ph="1">
        <f>(M6*6650)*26.42*1</f>
        <v>0</v>
      </c>
      <c r="N7" s="72" ph="1">
        <f>(N6*5150)*18.32*LOOKUP(N8,密度!$A$2:$A$50,密度!$B$2:$B$50)</f>
        <v>0</v>
      </c>
      <c r="O7" s="72" ph="1">
        <f>(O6*12400)*81.71*LOOKUP(O8,密度!$A$2:$A$50,密度!$B$2:$B$50)</f>
        <v>73144.169435839984</v>
      </c>
      <c r="P7" s="72" ph="1">
        <f>(P6*12400)*81.71*LOOKUP(P8,密度!$A$2:$A$50,密度!$B$2:$B$50)</f>
        <v>44311.463736000005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00" ph="1"/>
      <c r="C8" s="67" t="s" ph="1">
        <v>133</v>
      </c>
      <c r="D8" s="73">
        <v>21</v>
      </c>
      <c r="E8" s="73">
        <v>16</v>
      </c>
      <c r="F8" s="73">
        <v>16</v>
      </c>
      <c r="G8" s="73">
        <v>16</v>
      </c>
      <c r="H8" s="73">
        <v>14</v>
      </c>
      <c r="I8" s="73">
        <v>25</v>
      </c>
      <c r="J8" s="73">
        <v>25</v>
      </c>
      <c r="K8" s="73">
        <v>25</v>
      </c>
      <c r="L8" s="73">
        <v>25</v>
      </c>
      <c r="M8" s="73">
        <v>16</v>
      </c>
      <c r="N8" s="73">
        <v>18</v>
      </c>
      <c r="O8" s="73">
        <v>25</v>
      </c>
      <c r="P8" s="73">
        <v>15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00" ph="1">
        <v>0.66666666666666663</v>
      </c>
      <c r="C9" s="167" t="s" ph="1">
        <v>57</v>
      </c>
      <c r="D9" s="155">
        <v>0.05</v>
      </c>
      <c r="E9" s="155">
        <v>0.05</v>
      </c>
      <c r="F9" s="155">
        <v>0.05</v>
      </c>
      <c r="G9" s="155">
        <v>0.05</v>
      </c>
      <c r="H9" s="155">
        <v>0</v>
      </c>
      <c r="I9" s="155">
        <v>0</v>
      </c>
      <c r="J9" s="155">
        <v>0</v>
      </c>
      <c r="K9" s="155">
        <v>0</v>
      </c>
      <c r="L9" s="155">
        <v>0</v>
      </c>
      <c r="M9" s="155">
        <v>0</v>
      </c>
      <c r="N9" s="155">
        <v>0</v>
      </c>
      <c r="O9" s="155">
        <v>8.1600000000000006E-2</v>
      </c>
      <c r="P9" s="155">
        <v>0.05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00" ph="1"/>
      <c r="C10" s="167" t="s" ph="1">
        <v>134</v>
      </c>
      <c r="D10" s="72" ph="1">
        <f>((D9*5200)*4.48)*LOOKUP(D11,密度!$A$2:$A$50,密度!$B$2:$B$50)</f>
        <v>912.27136000000019</v>
      </c>
      <c r="E10" s="72" ph="1">
        <f>((E9*5200)*4.48)*LOOKUP(E11,密度!$A$2:$A$50,密度!$B$2:$B$50)</f>
        <v>915.18336000000011</v>
      </c>
      <c r="F10" s="72" ph="1">
        <f>((F9*5200)*4.48)*LOOKUP(F11,密度!$A$2:$A$50,密度!$B$2:$B$50)</f>
        <v>915.18336000000011</v>
      </c>
      <c r="G10" s="72" ph="1">
        <f>((G9*5200)*4.48)*LOOKUP(G11,密度!$A$2:$A$50,密度!$B$2:$B$50)</f>
        <v>915.18336000000011</v>
      </c>
      <c r="H10" s="72" ph="1">
        <f>((H9*5200)*18.322+8640)*LOOKUP(H11,密度!$A$2:$A$50,密度!$B$2:$B$50)</f>
        <v>6735.7439999999997</v>
      </c>
      <c r="I10" s="72" ph="1">
        <f>((I9*5200)*18.322)*LOOKUP(I11,密度!$A$2:$A$50,密度!$B$2:$B$50)</f>
        <v>0</v>
      </c>
      <c r="J10" s="72" ph="1">
        <f>((J9*5200)*18.322)*LOOKUP(J11,密度!$A$2:$A$50,密度!$B$2:$B$50)</f>
        <v>0</v>
      </c>
      <c r="K10" s="72" ph="1">
        <f>((K9*5200)*18.322)*LOOKUP(K11,密度!$A$2:$A$50,密度!$B$2:$B$50)</f>
        <v>0</v>
      </c>
      <c r="L10" s="72" ph="1">
        <f>(L9*6650)*26.42*LOOKUP(L11,密度!$A$2:$A$50,密度!$B$2:$B$50)</f>
        <v>0</v>
      </c>
      <c r="M10" s="72" ph="1">
        <f>(M9*6650)*26.42*1</f>
        <v>0</v>
      </c>
      <c r="N10" s="72" ph="1">
        <f>(N9*5150)*18.32*LOOKUP(N11,密度!$A$2:$A$50,密度!$B$2:$B$50)</f>
        <v>0</v>
      </c>
      <c r="O10" s="72" ph="1">
        <f>(O9*12400)*81.71*LOOKUP(O11,密度!$A$2:$A$50,密度!$B$2:$B$50)</f>
        <v>64455.337213439998</v>
      </c>
      <c r="P10" s="72" ph="1">
        <f>(P9*12400)*81.71*LOOKUP(P11,密度!$A$2:$A$50,密度!$B$2:$B$50)</f>
        <v>39879.709439999999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00" ph="1"/>
      <c r="C11" s="167" t="s" ph="1">
        <v>56</v>
      </c>
      <c r="D11" s="73">
        <v>21</v>
      </c>
      <c r="E11" s="73">
        <v>18</v>
      </c>
      <c r="F11" s="73">
        <v>18</v>
      </c>
      <c r="G11" s="73">
        <v>18</v>
      </c>
      <c r="H11" s="73">
        <v>25</v>
      </c>
      <c r="I11" s="73">
        <v>25</v>
      </c>
      <c r="J11" s="73">
        <v>25</v>
      </c>
      <c r="K11" s="73">
        <v>25</v>
      </c>
      <c r="L11" s="73">
        <v>25</v>
      </c>
      <c r="M11" s="73">
        <v>19</v>
      </c>
      <c r="N11" s="73">
        <v>19</v>
      </c>
      <c r="O11" s="73">
        <v>25</v>
      </c>
      <c r="P11" s="73">
        <v>16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/>
    <row r="13" spans="1:53" s="71" customFormat="1" ht="29.25" customHeight="1" ph="1">
      <c r="B13" s="208" t="s" ph="1">
        <v>28</v>
      </c>
      <c r="C13" s="167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09" ph="1"/>
      <c r="C14" s="66" t="s" ph="1">
        <v>127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10" ph="1">
        <v>0.33333333333333331</v>
      </c>
      <c r="C15" s="167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2.2" ph="1">
      <c r="B16" s="211" ph="1"/>
      <c r="C16" s="167" t="s" ph="1">
        <v>55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7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12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10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11" ph="1"/>
      <c r="C19" s="167" t="s" ph="1">
        <v>55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11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09" t="s" ph="1">
        <v>28</v>
      </c>
      <c r="C22" s="84" t="s" ph="1">
        <v>120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188" t="s" ph="1">
        <v>135</v>
      </c>
      <c r="AA22" s="189"/>
      <c r="AB22" s="189"/>
      <c r="AC22" s="189"/>
      <c r="AD22" s="189"/>
      <c r="AE22" s="190"/>
    </row>
    <row r="23" spans="1:32" ph="1">
      <c r="A23" s="71" ph="1"/>
      <c r="B23" s="204" ph="1"/>
      <c r="C23" s="66" t="s" ph="1">
        <v>136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191" t="s" ph="1">
        <v>90</v>
      </c>
      <c r="AA23" s="192"/>
      <c r="AB23" s="192"/>
      <c r="AC23" s="192"/>
      <c r="AD23" s="192"/>
      <c r="AE23" s="193"/>
    </row>
    <row r="24" spans="1:32" ph="1">
      <c r="A24" s="71" ph="1"/>
      <c r="B24" s="200" ph="1">
        <v>0.33333333333333331</v>
      </c>
      <c r="C24" s="167" t="s" ph="1">
        <v>132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194"/>
      <c r="AA24" s="195"/>
      <c r="AB24" s="195"/>
      <c r="AC24" s="195"/>
      <c r="AD24" s="195"/>
      <c r="AE24" s="196"/>
    </row>
    <row r="25" spans="1:32" ph="1">
      <c r="A25" s="71" ph="1"/>
      <c r="B25" s="200" ph="1"/>
      <c r="C25" s="67" t="s" ph="1">
        <v>134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194"/>
      <c r="AA25" s="195"/>
      <c r="AB25" s="195"/>
      <c r="AC25" s="195"/>
      <c r="AD25" s="195"/>
      <c r="AE25" s="196"/>
    </row>
    <row r="26" spans="1:32" ph="1">
      <c r="A26" s="71" ph="1"/>
      <c r="B26" s="200" ph="1"/>
      <c r="C26" s="67" t="s" ph="1">
        <v>133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194"/>
      <c r="AA26" s="195"/>
      <c r="AB26" s="195"/>
      <c r="AC26" s="195"/>
      <c r="AD26" s="195"/>
      <c r="AE26" s="196"/>
    </row>
    <row r="27" spans="1:32" ht="26.4" ph="1">
      <c r="A27" s="71" ph="1"/>
      <c r="B27" s="200" ph="1">
        <v>0.66666666666666663</v>
      </c>
      <c r="C27" s="167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194"/>
      <c r="AA27" s="195"/>
      <c r="AB27" s="195"/>
      <c r="AC27" s="195"/>
      <c r="AD27" s="195"/>
      <c r="AE27" s="196"/>
    </row>
    <row r="28" spans="1:32" ph="1">
      <c r="A28" s="71" ph="1"/>
      <c r="B28" s="200" ph="1"/>
      <c r="C28" s="167" t="s" ph="1">
        <v>140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194"/>
      <c r="AA28" s="195"/>
      <c r="AB28" s="195"/>
      <c r="AC28" s="195"/>
      <c r="AD28" s="195"/>
      <c r="AE28" s="196"/>
    </row>
    <row r="29" spans="1:32" ph="1">
      <c r="A29" s="71" ph="1"/>
      <c r="B29" s="200" ph="1"/>
      <c r="C29" s="167" t="s" ph="1">
        <v>133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197"/>
      <c r="AA29" s="198"/>
      <c r="AB29" s="198"/>
      <c r="AC29" s="198"/>
      <c r="AD29" s="198"/>
      <c r="AE29" s="199"/>
    </row>
    <row r="30" spans="1:32" ph="1">
      <c r="D30" s="93" ph="1"/>
      <c r="Z30" s="63" t="s" ph="1">
        <v>141</v>
      </c>
      <c r="AE30" s="94" ph="1"/>
    </row>
    <row r="31" spans="1:32" ht="28.2" ph="1">
      <c r="A31" s="63"/>
      <c r="B31" s="213" t="s" ph="1">
        <v>26</v>
      </c>
      <c r="C31" s="214" ph="1"/>
      <c r="D31" s="205" t="s" ph="1">
        <v>142</v>
      </c>
      <c r="E31" s="206" ph="1"/>
      <c r="F31" s="207" ph="1"/>
      <c r="G31" s="217" ph="1"/>
      <c r="H31" s="206" ph="1"/>
      <c r="I31" s="207" ph="1"/>
      <c r="J31" s="205" ph="1"/>
      <c r="K31" s="206" ph="1"/>
      <c r="L31" s="207" ph="1"/>
      <c r="M31" s="205" ph="1"/>
      <c r="N31" s="206" ph="1"/>
      <c r="O31" s="207" ph="1"/>
      <c r="P31" s="205" ph="1"/>
      <c r="Q31" s="206"/>
      <c r="R31" s="207"/>
      <c r="S31" s="205" ph="1"/>
      <c r="T31" s="206"/>
      <c r="U31" s="207"/>
      <c r="V31" s="205" ph="1"/>
      <c r="W31" s="206" ph="1"/>
      <c r="X31" s="207" ph="1"/>
      <c r="Y31" s="205" ph="1"/>
      <c r="Z31" s="206" ph="1"/>
      <c r="AA31" s="207" ph="1"/>
      <c r="AB31" s="228"/>
      <c r="AC31" s="229"/>
      <c r="AD31" s="229"/>
      <c r="AE31" s="230"/>
    </row>
    <row r="32" spans="1:32" ph="1">
      <c r="A32" s="63"/>
      <c r="B32" s="215" ph="1"/>
      <c r="C32" s="216" ph="1"/>
      <c r="D32" s="95" t="s" ph="1">
        <v>0</v>
      </c>
      <c r="E32" s="167" t="s" ph="1">
        <v>143</v>
      </c>
      <c r="F32" s="168" t="s" ph="1">
        <v>31</v>
      </c>
      <c r="G32" s="96" t="s" ph="1">
        <v>144</v>
      </c>
      <c r="H32" s="167" t="s" ph="1">
        <v>143</v>
      </c>
      <c r="I32" s="168" t="s" ph="1">
        <v>145</v>
      </c>
      <c r="J32" s="96" t="s" ph="1">
        <v>144</v>
      </c>
      <c r="K32" s="167" t="s" ph="1">
        <v>143</v>
      </c>
      <c r="L32" s="168" t="s" ph="1">
        <v>146</v>
      </c>
      <c r="M32" s="96" t="s" ph="1">
        <v>147</v>
      </c>
      <c r="N32" s="167" t="s" ph="1">
        <v>143</v>
      </c>
      <c r="O32" s="168" t="s" ph="1">
        <v>145</v>
      </c>
      <c r="P32" s="96" t="s" ph="1">
        <v>144</v>
      </c>
      <c r="Q32" s="97" t="s" ph="1">
        <v>143</v>
      </c>
      <c r="R32" s="98" t="s" ph="1">
        <v>145</v>
      </c>
      <c r="S32" s="96" t="s" ph="1">
        <v>144</v>
      </c>
      <c r="T32" s="167" t="s" ph="1">
        <v>143</v>
      </c>
      <c r="U32" s="98" t="s" ph="1">
        <v>145</v>
      </c>
      <c r="V32" s="96" t="s" ph="1">
        <v>144</v>
      </c>
      <c r="W32" s="167" t="s" ph="1">
        <v>143</v>
      </c>
      <c r="X32" s="98" t="s" ph="1">
        <v>31</v>
      </c>
      <c r="Y32" s="99" t="s" ph="1">
        <v>144</v>
      </c>
      <c r="Z32" s="167" t="s" ph="1">
        <v>143</v>
      </c>
      <c r="AA32" s="168" t="s" ph="1">
        <v>145</v>
      </c>
      <c r="AB32" s="96" t="s" ph="1">
        <v>41</v>
      </c>
      <c r="AC32" s="167" t="s" ph="1">
        <v>40</v>
      </c>
      <c r="AD32" s="231" t="s" ph="1">
        <v>148</v>
      </c>
      <c r="AE32" s="232"/>
    </row>
    <row r="33" spans="1:31" ph="1">
      <c r="A33" s="63"/>
      <c r="B33" s="218" t="s" ph="1">
        <v>149</v>
      </c>
      <c r="C33" s="219" ph="1"/>
      <c r="D33" s="222" ph="1">
        <f>O10+P10</f>
        <v>104335.04665343999</v>
      </c>
      <c r="E33" s="222" ph="1">
        <f>H10+I10+J10+K10</f>
        <v>6735.7439999999997</v>
      </c>
      <c r="F33" s="224" ph="1">
        <f>L10+N10</f>
        <v>0</v>
      </c>
      <c r="G33" s="226" ph="1">
        <v>0</v>
      </c>
      <c r="H33" s="222" ph="1">
        <v>0</v>
      </c>
      <c r="I33" s="235" ph="1">
        <v>0</v>
      </c>
      <c r="J33" s="233" ph="1">
        <v>0</v>
      </c>
      <c r="K33" s="222" ph="1">
        <v>0</v>
      </c>
      <c r="L33" s="237" ph="1">
        <v>0</v>
      </c>
      <c r="M33" s="233" ph="1">
        <v>0</v>
      </c>
      <c r="N33" s="222" ph="1">
        <v>0</v>
      </c>
      <c r="O33" s="235" ph="1">
        <f>G19</f>
        <v>0</v>
      </c>
      <c r="P33" s="233" ph="1">
        <v>0</v>
      </c>
      <c r="Q33" s="222" ph="1">
        <v>0</v>
      </c>
      <c r="R33" s="235" ph="1">
        <v>0</v>
      </c>
      <c r="S33" s="233" ph="1">
        <v>0</v>
      </c>
      <c r="T33" s="222" ph="1">
        <v>0</v>
      </c>
      <c r="U33" s="243" ph="1">
        <v>0</v>
      </c>
      <c r="V33" s="254" ph="1">
        <v>0</v>
      </c>
      <c r="W33" s="254" ph="1">
        <v>0</v>
      </c>
      <c r="X33" s="235" ph="1">
        <v>0</v>
      </c>
      <c r="Y33" s="256" ph="1">
        <v>0</v>
      </c>
      <c r="Z33" s="241" ph="1">
        <v>0</v>
      </c>
      <c r="AA33" s="243" ph="1">
        <v>0</v>
      </c>
      <c r="AB33" s="245" ph="1">
        <v>0</v>
      </c>
      <c r="AC33" s="247" ph="1">
        <v>0</v>
      </c>
      <c r="AD33" s="249" ph="1">
        <v>0</v>
      </c>
      <c r="AE33" s="250"/>
    </row>
    <row r="34" spans="1:31" ph="1">
      <c r="A34" s="63"/>
      <c r="B34" s="220" ph="1"/>
      <c r="C34" s="221" ph="1"/>
      <c r="D34" s="223" ph="1"/>
      <c r="E34" s="223" ph="1"/>
      <c r="F34" s="225" ph="1"/>
      <c r="G34" s="227" ph="1"/>
      <c r="H34" s="223" ph="1"/>
      <c r="I34" s="236" ph="1"/>
      <c r="J34" s="234" ph="1"/>
      <c r="K34" s="223" ph="1"/>
      <c r="L34" s="238" ph="1"/>
      <c r="M34" s="234" ph="1"/>
      <c r="N34" s="223" ph="1"/>
      <c r="O34" s="236" ph="1"/>
      <c r="P34" s="234" ph="1"/>
      <c r="Q34" s="223" ph="1"/>
      <c r="R34" s="236" ph="1"/>
      <c r="S34" s="234" ph="1"/>
      <c r="T34" s="223"/>
      <c r="U34" s="244"/>
      <c r="V34" s="255" ph="1"/>
      <c r="W34" s="255" ph="1"/>
      <c r="X34" s="236" ph="1"/>
      <c r="Y34" s="257" ph="1"/>
      <c r="Z34" s="242" ph="1"/>
      <c r="AA34" s="244" ph="1"/>
      <c r="AB34" s="246"/>
      <c r="AC34" s="248"/>
      <c r="AD34" s="251"/>
      <c r="AE34" s="252"/>
    </row>
    <row r="35" spans="1:31" ph="1">
      <c r="A35" s="63"/>
      <c r="AC35" s="253" t="s" ph="1">
        <v>150</v>
      </c>
      <c r="AD35" s="253"/>
      <c r="AE35" s="253"/>
    </row>
    <row r="36" spans="1:31" ht="28.2" ph="1">
      <c r="A36" s="63"/>
      <c r="B36" s="102" t="s" ph="1">
        <v>151</v>
      </c>
      <c r="I36" s="239" t="s" ph="1">
        <v>152</v>
      </c>
      <c r="J36" s="239" ph="1"/>
      <c r="K36" s="100" ph="1"/>
      <c r="P36" s="100" ph="1"/>
      <c r="R36" s="239" t="s" ph="1">
        <v>153</v>
      </c>
      <c r="S36" s="239" ph="1"/>
      <c r="Y36" s="101" ph="1"/>
      <c r="Z36" s="169" t="s" ph="1">
        <v>154</v>
      </c>
      <c r="AA36" s="169" ph="1"/>
      <c r="AB36" s="240" t="s" ph="1">
        <v>155</v>
      </c>
      <c r="AC36" s="240" ph="1"/>
      <c r="AD36" s="240" ph="1"/>
      <c r="AE36" s="240" ph="1"/>
    </row>
    <row r="37" spans="1:31" s="169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 D6 D8:D9 D11">
    <cfRule type="expression" dxfId="674" priority="133">
      <formula>ABS(D$7-D$10)&gt;=1000</formula>
    </cfRule>
  </conditionalFormatting>
  <conditionalFormatting sqref="E4 E6 E8:E9 E11">
    <cfRule type="expression" dxfId="673" priority="132">
      <formula>ABS(E$7-E$10)&gt;=1000</formula>
    </cfRule>
  </conditionalFormatting>
  <conditionalFormatting sqref="F4 F6 F8:F9 F11">
    <cfRule type="expression" dxfId="672" priority="131">
      <formula>ABS(F$7-F$10)&gt;=1000</formula>
    </cfRule>
  </conditionalFormatting>
  <conditionalFormatting sqref="G4 G6 G8:G9 G11">
    <cfRule type="expression" dxfId="671" priority="130">
      <formula>ABS(G$7-G$10)&gt;=1000</formula>
    </cfRule>
  </conditionalFormatting>
  <conditionalFormatting sqref="H4:K4 H6 H8:H9 H11">
    <cfRule type="expression" dxfId="670" priority="129">
      <formula>ABS(H$7-H$10)&gt;=1000</formula>
    </cfRule>
  </conditionalFormatting>
  <conditionalFormatting sqref="I6 I8:I9 I11">
    <cfRule type="expression" dxfId="669" priority="128">
      <formula>ABS(I$7-I$10)&gt;=1000</formula>
    </cfRule>
  </conditionalFormatting>
  <conditionalFormatting sqref="J6 J8:J9 J11">
    <cfRule type="expression" dxfId="668" priority="127">
      <formula>ABS(J$7-J$10)&gt;=1000</formula>
    </cfRule>
  </conditionalFormatting>
  <conditionalFormatting sqref="K6 K8:K9 K11">
    <cfRule type="expression" dxfId="667" priority="126">
      <formula>ABS(K$7-K$10)&gt;=1000</formula>
    </cfRule>
  </conditionalFormatting>
  <conditionalFormatting sqref="L4:L6 M4:N4 Q4:S4 L8:L9 L11">
    <cfRule type="expression" dxfId="666" priority="125">
      <formula>ABS(L$7-L$10)&gt;=1000</formula>
    </cfRule>
  </conditionalFormatting>
  <conditionalFormatting sqref="M6 M8:M9 M11">
    <cfRule type="expression" dxfId="665" priority="124">
      <formula>ABS(M$7-M$10)&gt;=1000</formula>
    </cfRule>
  </conditionalFormatting>
  <conditionalFormatting sqref="N6 N8:N9 N11">
    <cfRule type="expression" dxfId="664" priority="123">
      <formula>ABS(N$7-N$10)&gt;=1000</formula>
    </cfRule>
  </conditionalFormatting>
  <conditionalFormatting sqref="Q5:Q11">
    <cfRule type="expression" dxfId="663" priority="122">
      <formula>ABS(Q$7-Q$10)&gt;=1000</formula>
    </cfRule>
  </conditionalFormatting>
  <conditionalFormatting sqref="R5:R11">
    <cfRule type="expression" dxfId="662" priority="121">
      <formula>ABS(R$7-R$10)&gt;=1000</formula>
    </cfRule>
  </conditionalFormatting>
  <conditionalFormatting sqref="S5:S11">
    <cfRule type="expression" dxfId="661" priority="120">
      <formula>ABS(S$7-S$10)&gt;=1000</formula>
    </cfRule>
  </conditionalFormatting>
  <conditionalFormatting sqref="T4:T9 T11">
    <cfRule type="expression" dxfId="660" priority="119">
      <formula>ABS(T$7-T$10)&gt;=1000</formula>
    </cfRule>
  </conditionalFormatting>
  <conditionalFormatting sqref="U4:U9 U11">
    <cfRule type="expression" dxfId="659" priority="118">
      <formula>ABS(U$7-U$10)&gt;=1000</formula>
    </cfRule>
  </conditionalFormatting>
  <conditionalFormatting sqref="V4:V9 V11">
    <cfRule type="expression" dxfId="658" priority="117">
      <formula>ABS(V$7-V$10)&gt;=1000</formula>
    </cfRule>
  </conditionalFormatting>
  <conditionalFormatting sqref="W4:W9 W11">
    <cfRule type="expression" dxfId="657" priority="116">
      <formula>ABS(W$7-W$10)&gt;=1000</formula>
    </cfRule>
  </conditionalFormatting>
  <conditionalFormatting sqref="X4:X9 X11">
    <cfRule type="expression" dxfId="656" priority="115">
      <formula>ABS(X$7-X$10)&gt;=1000</formula>
    </cfRule>
  </conditionalFormatting>
  <conditionalFormatting sqref="Y4:Y9 Y11">
    <cfRule type="expression" dxfId="655" priority="114">
      <formula>ABS(Y$7-Y$10)&gt;=1000</formula>
    </cfRule>
  </conditionalFormatting>
  <conditionalFormatting sqref="Z4:Z11">
    <cfRule type="expression" dxfId="654" priority="113">
      <formula>ABS(Z$7-Z$10)&gt;=1000</formula>
    </cfRule>
  </conditionalFormatting>
  <conditionalFormatting sqref="AA4:AA11">
    <cfRule type="expression" dxfId="653" priority="112">
      <formula>ABS(AA$7-AA$10)&gt;=1000</formula>
    </cfRule>
  </conditionalFormatting>
  <conditionalFormatting sqref="AB4:AB11">
    <cfRule type="expression" dxfId="652" priority="111">
      <formula>ABS(AB$7-AB$10)&gt;=1000</formula>
    </cfRule>
  </conditionalFormatting>
  <conditionalFormatting sqref="AC4 AC6:AC11">
    <cfRule type="expression" dxfId="651" priority="110">
      <formula>ABS(AC$7-AC$10)&gt;=1000</formula>
    </cfRule>
  </conditionalFormatting>
  <conditionalFormatting sqref="AD4 AD6:AD11">
    <cfRule type="expression" dxfId="650" priority="109">
      <formula>ABS(AD$7-AD$10)&gt;=1000</formula>
    </cfRule>
  </conditionalFormatting>
  <conditionalFormatting sqref="AE4 AE6:AE11">
    <cfRule type="expression" dxfId="649" priority="108">
      <formula>ABS(AE$7-AE$10)&gt;=1000</formula>
    </cfRule>
  </conditionalFormatting>
  <conditionalFormatting sqref="D13:D20">
    <cfRule type="expression" dxfId="648" priority="107">
      <formula>ABS(D$16-D$19)&gt;=1000</formula>
    </cfRule>
  </conditionalFormatting>
  <conditionalFormatting sqref="E13:E20">
    <cfRule type="expression" dxfId="647" priority="106">
      <formula>ABS(E$16-E$19)&gt;=1000</formula>
    </cfRule>
  </conditionalFormatting>
  <conditionalFormatting sqref="F13 F15:F20">
    <cfRule type="expression" dxfId="646" priority="105">
      <formula>ABS(F$16-F$19)&gt;=1000</formula>
    </cfRule>
  </conditionalFormatting>
  <conditionalFormatting sqref="G13:G20">
    <cfRule type="expression" dxfId="645" priority="104">
      <formula>ABS(G$16-G$19)&gt;=1000</formula>
    </cfRule>
  </conditionalFormatting>
  <conditionalFormatting sqref="H13 H15:H20">
    <cfRule type="expression" dxfId="644" priority="103">
      <formula>ABS(H$16-H$19)&gt;=1000</formula>
    </cfRule>
  </conditionalFormatting>
  <conditionalFormatting sqref="I13:I20">
    <cfRule type="expression" dxfId="643" priority="102">
      <formula>ABS(I$16-I$19)&gt;=1000</formula>
    </cfRule>
  </conditionalFormatting>
  <conditionalFormatting sqref="J13:J20">
    <cfRule type="expression" dxfId="642" priority="101">
      <formula>ABS(J$16-J$19)&gt;=1000</formula>
    </cfRule>
  </conditionalFormatting>
  <conditionalFormatting sqref="L13:L20">
    <cfRule type="expression" dxfId="641" priority="100">
      <formula>ABS(L$16-L$19)&gt;=1000</formula>
    </cfRule>
  </conditionalFormatting>
  <conditionalFormatting sqref="M13 M15 M17:M18 M20">
    <cfRule type="expression" dxfId="640" priority="99">
      <formula>ABS(M$16-M$19)&gt;=1000</formula>
    </cfRule>
  </conditionalFormatting>
  <conditionalFormatting sqref="N13:N20">
    <cfRule type="expression" dxfId="639" priority="98">
      <formula>ABS(N$16-N$19)&gt;=1000</formula>
    </cfRule>
  </conditionalFormatting>
  <conditionalFormatting sqref="O13:O20">
    <cfRule type="expression" dxfId="638" priority="97">
      <formula>ABS(O$16-O$19)&gt;=1000</formula>
    </cfRule>
  </conditionalFormatting>
  <conditionalFormatting sqref="P13:P20">
    <cfRule type="expression" dxfId="637" priority="96">
      <formula>ABS(P$16-P$19)&gt;=1000</formula>
    </cfRule>
  </conditionalFormatting>
  <conditionalFormatting sqref="Q13 Q15:Q20">
    <cfRule type="expression" dxfId="636" priority="95">
      <formula>ABS(Q$16-Q$19)&gt;=1000</formula>
    </cfRule>
  </conditionalFormatting>
  <conditionalFormatting sqref="R13:R20">
    <cfRule type="expression" dxfId="635" priority="94">
      <formula>ABS(R$16-R$19)&gt;=1000</formula>
    </cfRule>
  </conditionalFormatting>
  <conditionalFormatting sqref="S13:S20">
    <cfRule type="expression" dxfId="634" priority="93">
      <formula>ABS(S$16-S$19)&gt;=1000</formula>
    </cfRule>
  </conditionalFormatting>
  <conditionalFormatting sqref="T13:T20">
    <cfRule type="expression" dxfId="633" priority="92">
      <formula>ABS(T$16-T$19)&gt;=1000</formula>
    </cfRule>
  </conditionalFormatting>
  <conditionalFormatting sqref="U13:U20">
    <cfRule type="expression" dxfId="632" priority="91">
      <formula>ABS(U$16-U$19)&gt;=1000</formula>
    </cfRule>
  </conditionalFormatting>
  <conditionalFormatting sqref="V13:V20">
    <cfRule type="expression" dxfId="631" priority="90">
      <formula>ABS(V$16-V$19)&gt;=1000</formula>
    </cfRule>
  </conditionalFormatting>
  <conditionalFormatting sqref="W13 W20 W15:W18">
    <cfRule type="expression" dxfId="630" priority="89">
      <formula>ABS(W$16-W$19)&gt;=1000</formula>
    </cfRule>
  </conditionalFormatting>
  <conditionalFormatting sqref="X13 X15:X20 Y19">
    <cfRule type="expression" dxfId="629" priority="88">
      <formula>ABS(X$16-X$19)&gt;=1000</formula>
    </cfRule>
  </conditionalFormatting>
  <conditionalFormatting sqref="Y13 Y15:Y18 Y20">
    <cfRule type="expression" dxfId="628" priority="87">
      <formula>ABS(Y$16-Y$19)&gt;=1000</formula>
    </cfRule>
  </conditionalFormatting>
  <conditionalFormatting sqref="Z13:Z20">
    <cfRule type="expression" dxfId="627" priority="86">
      <formula>ABS(Z$16-Z$19)&gt;=1000</formula>
    </cfRule>
  </conditionalFormatting>
  <conditionalFormatting sqref="AA13:AA20">
    <cfRule type="expression" dxfId="626" priority="85">
      <formula>ABS(AA$16-AA$19)&gt;=1000</formula>
    </cfRule>
  </conditionalFormatting>
  <conditionalFormatting sqref="AB13 AB15:AB20">
    <cfRule type="expression" dxfId="625" priority="84">
      <formula>ABS(AB$16-AB$19)&gt;=1000</formula>
    </cfRule>
  </conditionalFormatting>
  <conditionalFormatting sqref="AC13 AC15:AC20">
    <cfRule type="expression" dxfId="624" priority="83">
      <formula>ABS(AC$16-AC$19)&gt;=1000</formula>
    </cfRule>
  </conditionalFormatting>
  <conditionalFormatting sqref="AD13:AD20">
    <cfRule type="expression" dxfId="623" priority="82">
      <formula>ABS(AD$16-AD$19)&gt;=1000</formula>
    </cfRule>
  </conditionalFormatting>
  <conditionalFormatting sqref="AE13:AE20">
    <cfRule type="expression" dxfId="622" priority="81">
      <formula>ABS(AE$16-AE$19)&gt;=1000</formula>
    </cfRule>
  </conditionalFormatting>
  <conditionalFormatting sqref="D22:D29">
    <cfRule type="expression" dxfId="621" priority="80">
      <formula>ABS(D$25-D$28)&gt;=1000</formula>
    </cfRule>
  </conditionalFormatting>
  <conditionalFormatting sqref="E22:E29">
    <cfRule type="expression" dxfId="620" priority="79">
      <formula>ABS(E$25-E$28)&gt;=1000</formula>
    </cfRule>
  </conditionalFormatting>
  <conditionalFormatting sqref="F22:F29">
    <cfRule type="expression" dxfId="619" priority="78">
      <formula>ABS(F$25-F$28)&gt;=1000</formula>
    </cfRule>
  </conditionalFormatting>
  <conditionalFormatting sqref="G22:G29">
    <cfRule type="expression" dxfId="618" priority="77">
      <formula>ABS(G$25-G$28)&gt;=1000</formula>
    </cfRule>
  </conditionalFormatting>
  <conditionalFormatting sqref="H22:H29">
    <cfRule type="expression" dxfId="617" priority="76">
      <formula>ABS(H$25-H$28)&gt;=1000</formula>
    </cfRule>
  </conditionalFormatting>
  <conditionalFormatting sqref="I22 I24:I29">
    <cfRule type="expression" dxfId="616" priority="75">
      <formula>ABS(I$25-I$28)&gt;=1000</formula>
    </cfRule>
  </conditionalFormatting>
  <conditionalFormatting sqref="J22:J29 K22">
    <cfRule type="expression" dxfId="615" priority="74">
      <formula>ABS(J$25-J$28)&gt;=1000</formula>
    </cfRule>
  </conditionalFormatting>
  <conditionalFormatting sqref="K23:K29 L25 L28">
    <cfRule type="expression" dxfId="614" priority="73">
      <formula>ABS(K$25-K$28)&gt;=1000</formula>
    </cfRule>
  </conditionalFormatting>
  <conditionalFormatting sqref="L22 L26:L27 L29 L24">
    <cfRule type="expression" dxfId="613" priority="72">
      <formula>ABS(L$25-L$28)&gt;=1000</formula>
    </cfRule>
  </conditionalFormatting>
  <conditionalFormatting sqref="M22:M29">
    <cfRule type="expression" dxfId="612" priority="71">
      <formula>ABS(M$25-M$28)&gt;=1000</formula>
    </cfRule>
  </conditionalFormatting>
  <conditionalFormatting sqref="N22:N29">
    <cfRule type="expression" dxfId="611" priority="70">
      <formula>ABS(N$25-N$28)&gt;=1000</formula>
    </cfRule>
  </conditionalFormatting>
  <conditionalFormatting sqref="O22:O29">
    <cfRule type="expression" dxfId="610" priority="69">
      <formula>ABS(O$25-O$28)&gt;=1000</formula>
    </cfRule>
  </conditionalFormatting>
  <conditionalFormatting sqref="P22:P29">
    <cfRule type="expression" dxfId="609" priority="68">
      <formula>ABS(P$25-P$28)&gt;=1000</formula>
    </cfRule>
  </conditionalFormatting>
  <conditionalFormatting sqref="Q22:Q29">
    <cfRule type="expression" dxfId="608" priority="67">
      <formula>ABS(Q$25-Q$28)&gt;=1000</formula>
    </cfRule>
  </conditionalFormatting>
  <conditionalFormatting sqref="R22:R29">
    <cfRule type="expression" dxfId="607" priority="66">
      <formula>ABS(R$25-R$28)&gt;=1000</formula>
    </cfRule>
  </conditionalFormatting>
  <conditionalFormatting sqref="S22:S29">
    <cfRule type="expression" dxfId="606" priority="65">
      <formula>ABS(S$25-S$28)&gt;=1000</formula>
    </cfRule>
  </conditionalFormatting>
  <conditionalFormatting sqref="T22:T29">
    <cfRule type="expression" dxfId="605" priority="64">
      <formula>ABS(T$25-T$28)&gt;=1000</formula>
    </cfRule>
  </conditionalFormatting>
  <conditionalFormatting sqref="U22:U29">
    <cfRule type="expression" dxfId="604" priority="63">
      <formula>ABS(U$25-U$28)&gt;=1000</formula>
    </cfRule>
  </conditionalFormatting>
  <conditionalFormatting sqref="V22:V29">
    <cfRule type="expression" dxfId="603" priority="62">
      <formula>ABS(V$25-V$28)&gt;=1000</formula>
    </cfRule>
  </conditionalFormatting>
  <conditionalFormatting sqref="W22:W29">
    <cfRule type="expression" dxfId="602" priority="61">
      <formula>ABS(W$25-W$28)&gt;=1000</formula>
    </cfRule>
  </conditionalFormatting>
  <conditionalFormatting sqref="X22:X29">
    <cfRule type="expression" dxfId="601" priority="60">
      <formula>ABS(X$25-X$28)&gt;=1000</formula>
    </cfRule>
  </conditionalFormatting>
  <conditionalFormatting sqref="Y22:Y29">
    <cfRule type="expression" dxfId="600" priority="59">
      <formula>ABS(Y$25-Y$28)&gt;=1000</formula>
    </cfRule>
  </conditionalFormatting>
  <conditionalFormatting sqref="I23">
    <cfRule type="expression" dxfId="599" priority="58">
      <formula>ABS(I$25-I$28)&gt;=1000</formula>
    </cfRule>
  </conditionalFormatting>
  <conditionalFormatting sqref="Q14">
    <cfRule type="expression" dxfId="598" priority="57">
      <formula>ABS(Q$16-Q$19)&gt;=1000</formula>
    </cfRule>
  </conditionalFormatting>
  <conditionalFormatting sqref="W14">
    <cfRule type="expression" dxfId="597" priority="56">
      <formula>ABS(W$16-W$19)&gt;=1000</formula>
    </cfRule>
  </conditionalFormatting>
  <conditionalFormatting sqref="X14">
    <cfRule type="expression" dxfId="596" priority="55">
      <formula>ABS(X$16-X$19)&gt;=1000</formula>
    </cfRule>
  </conditionalFormatting>
  <conditionalFormatting sqref="T10:Y10">
    <cfRule type="expression" dxfId="595" priority="54">
      <formula>ABS(T$7-T$10)&gt;=1000</formula>
    </cfRule>
  </conditionalFormatting>
  <conditionalFormatting sqref="W19">
    <cfRule type="expression" dxfId="594" priority="53">
      <formula>ABS(W$16-W$19)&gt;=1000</formula>
    </cfRule>
  </conditionalFormatting>
  <conditionalFormatting sqref="AC5">
    <cfRule type="expression" dxfId="593" priority="52">
      <formula>ABS(AC$7-AC$10)&gt;=1000</formula>
    </cfRule>
  </conditionalFormatting>
  <conditionalFormatting sqref="M14">
    <cfRule type="expression" dxfId="592" priority="51">
      <formula>ABS(M$16-M$19)&gt;=1000</formula>
    </cfRule>
  </conditionalFormatting>
  <conditionalFormatting sqref="M16">
    <cfRule type="expression" dxfId="591" priority="50">
      <formula>ABS(M$16-M$19)&gt;=1000</formula>
    </cfRule>
  </conditionalFormatting>
  <conditionalFormatting sqref="M19">
    <cfRule type="expression" dxfId="590" priority="49">
      <formula>ABS(M$16-M$19)&gt;=1000</formula>
    </cfRule>
  </conditionalFormatting>
  <conditionalFormatting sqref="K13:K20">
    <cfRule type="expression" dxfId="589" priority="48">
      <formula>ABS(K$16-K$19)&gt;=1000</formula>
    </cfRule>
  </conditionalFormatting>
  <conditionalFormatting sqref="AB14:AC14">
    <cfRule type="expression" dxfId="588" priority="47">
      <formula>ABS(AB$16-AB$19)&gt;=1000</formula>
    </cfRule>
  </conditionalFormatting>
  <conditionalFormatting sqref="M5">
    <cfRule type="expression" dxfId="587" priority="46">
      <formula>ABS(M$7-M$10)&gt;=1000</formula>
    </cfRule>
  </conditionalFormatting>
  <conditionalFormatting sqref="N5">
    <cfRule type="expression" dxfId="586" priority="45">
      <formula>ABS(N$7-N$10)&gt;=1000</formula>
    </cfRule>
  </conditionalFormatting>
  <conditionalFormatting sqref="L23">
    <cfRule type="expression" dxfId="585" priority="44">
      <formula>ABS(L$25-L$28)&gt;=1000</formula>
    </cfRule>
  </conditionalFormatting>
  <conditionalFormatting sqref="Y14">
    <cfRule type="expression" dxfId="584" priority="43">
      <formula>ABS(Y$16-Y$19)&gt;=1000</formula>
    </cfRule>
  </conditionalFormatting>
  <conditionalFormatting sqref="F14">
    <cfRule type="expression" dxfId="583" priority="42">
      <formula>ABS(F$16-F$19)&gt;=1000</formula>
    </cfRule>
  </conditionalFormatting>
  <conditionalFormatting sqref="H14">
    <cfRule type="expression" dxfId="582" priority="41">
      <formula>ABS(H$16-H$19)&gt;=1000</formula>
    </cfRule>
  </conditionalFormatting>
  <conditionalFormatting sqref="AD5">
    <cfRule type="expression" dxfId="581" priority="40">
      <formula>ABS(AD$7-AD$10)&gt;=1000</formula>
    </cfRule>
  </conditionalFormatting>
  <conditionalFormatting sqref="AE5">
    <cfRule type="expression" dxfId="580" priority="39">
      <formula>ABS(AE$7-AE$10)&gt;=1000</formula>
    </cfRule>
  </conditionalFormatting>
  <conditionalFormatting sqref="D5">
    <cfRule type="expression" dxfId="579" priority="38">
      <formula>ABS(D$7-D$10)&gt;=1000</formula>
    </cfRule>
  </conditionalFormatting>
  <conditionalFormatting sqref="E5:G5">
    <cfRule type="expression" dxfId="578" priority="37">
      <formula>ABS(E$7-E$10)&gt;=1000</formula>
    </cfRule>
  </conditionalFormatting>
  <conditionalFormatting sqref="H5:K5">
    <cfRule type="expression" dxfId="577" priority="36">
      <formula>ABS(H$7-H$10)&gt;=1000</formula>
    </cfRule>
  </conditionalFormatting>
  <conditionalFormatting sqref="O4:P4">
    <cfRule type="expression" dxfId="576" priority="35">
      <formula>ABS(O$7-O$10)&gt;=1000</formula>
    </cfRule>
  </conditionalFormatting>
  <conditionalFormatting sqref="O5:O6 O8:O9 O11">
    <cfRule type="expression" dxfId="575" priority="34">
      <formula>ABS(O$7-O$10)&gt;=1000</formula>
    </cfRule>
  </conditionalFormatting>
  <conditionalFormatting sqref="P6 P8:P9 P11">
    <cfRule type="expression" dxfId="574" priority="33">
      <formula>ABS(P$7-P$10)&gt;=1000</formula>
    </cfRule>
  </conditionalFormatting>
  <conditionalFormatting sqref="P5">
    <cfRule type="expression" dxfId="573" priority="32">
      <formula>ABS(P$7-P$10)&gt;=1000</formula>
    </cfRule>
  </conditionalFormatting>
  <conditionalFormatting sqref="H7:L7">
    <cfRule type="expression" dxfId="63" priority="16">
      <formula>ABS(H$7-H$10)&gt;=1000</formula>
    </cfRule>
  </conditionalFormatting>
  <conditionalFormatting sqref="E7">
    <cfRule type="expression" dxfId="62" priority="13">
      <formula>ABS(E$7-E$10)&gt;=1000</formula>
    </cfRule>
  </conditionalFormatting>
  <conditionalFormatting sqref="O7:P7">
    <cfRule type="expression" dxfId="61" priority="15">
      <formula>ABS(O$7-O$10)&gt;=1000</formula>
    </cfRule>
  </conditionalFormatting>
  <conditionalFormatting sqref="N7">
    <cfRule type="expression" dxfId="60" priority="14">
      <formula>ABS(N$7-N$10)&gt;=1000</formula>
    </cfRule>
  </conditionalFormatting>
  <conditionalFormatting sqref="M7">
    <cfRule type="expression" dxfId="59" priority="12">
      <formula>ABS(M$7-M$10)&gt;=1000</formula>
    </cfRule>
  </conditionalFormatting>
  <conditionalFormatting sqref="G7">
    <cfRule type="expression" dxfId="58" priority="11">
      <formula>ABS(G$7-G$10)&gt;=1000</formula>
    </cfRule>
  </conditionalFormatting>
  <conditionalFormatting sqref="F7">
    <cfRule type="expression" dxfId="57" priority="10">
      <formula>ABS(F$7-F$10)&gt;=1000</formula>
    </cfRule>
  </conditionalFormatting>
  <conditionalFormatting sqref="D7">
    <cfRule type="expression" dxfId="56" priority="9">
      <formula>ABS(D$7-D$10)&gt;=1000</formula>
    </cfRule>
  </conditionalFormatting>
  <conditionalFormatting sqref="H10:L10">
    <cfRule type="expression" dxfId="55" priority="8">
      <formula>ABS(H$7-H$10)&gt;=1000</formula>
    </cfRule>
  </conditionalFormatting>
  <conditionalFormatting sqref="E10">
    <cfRule type="expression" dxfId="54" priority="5">
      <formula>ABS(E$7-E$10)&gt;=1000</formula>
    </cfRule>
  </conditionalFormatting>
  <conditionalFormatting sqref="O10:P10">
    <cfRule type="expression" dxfId="53" priority="7">
      <formula>ABS(O$7-O$10)&gt;=1000</formula>
    </cfRule>
  </conditionalFormatting>
  <conditionalFormatting sqref="N10">
    <cfRule type="expression" dxfId="52" priority="6">
      <formula>ABS(N$7-N$10)&gt;=1000</formula>
    </cfRule>
  </conditionalFormatting>
  <conditionalFormatting sqref="M10">
    <cfRule type="expression" dxfId="51" priority="4">
      <formula>ABS(M$7-M$10)&gt;=1000</formula>
    </cfRule>
  </conditionalFormatting>
  <conditionalFormatting sqref="G10">
    <cfRule type="expression" dxfId="50" priority="3">
      <formula>ABS(G$7-G$10)&gt;=1000</formula>
    </cfRule>
  </conditionalFormatting>
  <conditionalFormatting sqref="F10">
    <cfRule type="expression" dxfId="49" priority="2">
      <formula>ABS(F$7-F$10)&gt;=1000</formula>
    </cfRule>
  </conditionalFormatting>
  <conditionalFormatting sqref="D10">
    <cfRule type="expression" dxfId="48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913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24">
    <pageSetUpPr fitToPage="1"/>
  </sheetPr>
  <dimension ref="A1:BA223"/>
  <sheetViews>
    <sheetView view="pageBreakPreview" topLeftCell="B1" zoomScale="110" zoomScaleNormal="100" zoomScaleSheetLayoutView="110" workbookViewId="0">
      <selection activeCell="D7" sqref="D7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01" t="s" ph="1">
        <v>117</v>
      </c>
      <c r="C1" s="201" ph="1"/>
      <c r="D1" s="201" ph="1"/>
      <c r="E1" s="201" ph="1"/>
      <c r="F1" s="201" ph="1"/>
      <c r="G1" s="201" ph="1"/>
      <c r="H1" s="201" ph="1"/>
      <c r="I1" s="201" ph="1"/>
      <c r="J1" s="201" ph="1"/>
      <c r="K1" s="201" ph="1"/>
      <c r="L1" s="201" ph="1"/>
      <c r="M1" s="201" ph="1"/>
      <c r="N1" s="201" ph="1"/>
      <c r="O1" s="201" ph="1"/>
      <c r="P1" s="201" ph="1"/>
      <c r="Q1" s="201" ph="1"/>
      <c r="R1" s="201" ph="1"/>
      <c r="S1" s="201" ph="1"/>
      <c r="T1" s="201" ph="1"/>
      <c r="U1" s="201" ph="1"/>
      <c r="V1" s="201" ph="1"/>
      <c r="W1" s="201" ph="1"/>
      <c r="X1" s="201" ph="1"/>
      <c r="Y1" s="201" ph="1"/>
      <c r="Z1" s="201" ph="1"/>
      <c r="AA1" s="201" ph="1"/>
      <c r="AB1" s="201" ph="1"/>
      <c r="AC1" s="201" ph="1"/>
      <c r="AD1" s="201" ph="1"/>
      <c r="AE1" s="201" ph="1"/>
    </row>
    <row r="2" spans="1:53" s="65" customFormat="1" ht="24" customHeight="1" ph="1">
      <c r="B2" s="202" t="s" ph="1">
        <v>118</v>
      </c>
      <c r="C2" s="202" ph="1"/>
      <c r="D2" s="202" ph="1"/>
      <c r="E2" s="202" ph="1"/>
      <c r="F2" s="202" ph="1"/>
      <c r="G2" s="202" ph="1"/>
      <c r="H2" s="202" ph="1"/>
      <c r="I2" s="202" ph="1"/>
      <c r="J2" s="202" ph="1"/>
      <c r="K2" s="202" ph="1"/>
      <c r="L2" s="202" ph="1"/>
      <c r="M2" s="202" ph="1"/>
      <c r="N2" s="202" ph="1"/>
      <c r="O2" s="202" ph="1"/>
      <c r="P2" s="202" ph="1"/>
      <c r="Q2" s="202" ph="1"/>
      <c r="R2" s="202" ph="1"/>
      <c r="S2" s="202" ph="1"/>
      <c r="T2" s="202" ph="1"/>
      <c r="U2" s="202" ph="1"/>
      <c r="V2" s="202" ph="1"/>
      <c r="W2" s="202" ph="1"/>
      <c r="X2" s="202" ph="1"/>
      <c r="Y2" s="202" ph="1"/>
      <c r="Z2" s="202" ph="1"/>
      <c r="AA2" s="202" ph="1"/>
      <c r="AB2" s="202" ph="1"/>
      <c r="AC2" s="202" ph="1"/>
      <c r="AD2" s="202" ph="1"/>
      <c r="AE2" s="202" ph="1"/>
    </row>
    <row r="3" spans="1:53" ht="21" customHeight="1" ph="1">
      <c r="B3" s="203" ph="1">
        <v>46139</v>
      </c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</row>
    <row r="4" spans="1:53" s="68" customFormat="1" ph="1">
      <c r="A4" s="64" ph="1"/>
      <c r="B4" s="204" t="s" ph="1">
        <v>119</v>
      </c>
      <c r="C4" s="66" t="s" ph="1">
        <v>120</v>
      </c>
      <c r="D4" s="67" t="s" ph="1">
        <v>32</v>
      </c>
      <c r="E4" s="67" t="s" ph="1">
        <v>122</v>
      </c>
      <c r="F4" s="67" t="s" ph="1">
        <v>123</v>
      </c>
      <c r="G4" s="67" t="s" ph="1">
        <v>68</v>
      </c>
      <c r="H4" s="67" t="s" ph="1">
        <v>125</v>
      </c>
      <c r="I4" s="67" t="s" ph="1">
        <v>70</v>
      </c>
      <c r="J4" s="67" t="s" ph="1">
        <v>71</v>
      </c>
      <c r="K4" s="67" t="s" ph="1">
        <v>72</v>
      </c>
      <c r="L4" s="67" t="s" ph="1">
        <v>73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04" ph="1"/>
      <c r="C5" s="66" t="s" ph="1">
        <v>127</v>
      </c>
      <c r="D5" s="141" t="s" ph="1">
        <v>87</v>
      </c>
      <c r="E5" s="141" t="s" ph="1">
        <v>87</v>
      </c>
      <c r="F5" s="141" t="s" ph="1">
        <v>156</v>
      </c>
      <c r="G5" s="141" t="s" ph="1">
        <v>156</v>
      </c>
      <c r="H5" s="141" t="s" ph="1">
        <v>87</v>
      </c>
      <c r="I5" s="141" t="s" ph="1">
        <v>156</v>
      </c>
      <c r="J5" s="141" t="s" ph="1">
        <v>156</v>
      </c>
      <c r="K5" s="141" t="s" ph="1">
        <v>156</v>
      </c>
      <c r="L5" s="140" t="s" ph="1">
        <v>129</v>
      </c>
      <c r="M5" s="140" t="s" ph="1">
        <v>130</v>
      </c>
      <c r="N5" s="69" t="s" ph="1">
        <v>129</v>
      </c>
      <c r="O5" s="69" t="s" ph="1">
        <v>89</v>
      </c>
      <c r="P5" s="141" t="s" ph="1">
        <v>156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00" ph="1">
        <v>0.33333333333333331</v>
      </c>
      <c r="C6" s="172" t="s" ph="1">
        <v>132</v>
      </c>
      <c r="D6" s="155">
        <v>9.01E-2</v>
      </c>
      <c r="E6" s="155">
        <v>0.99860000000000004</v>
      </c>
      <c r="F6" s="155">
        <v>0</v>
      </c>
      <c r="G6" s="155">
        <v>0</v>
      </c>
      <c r="H6" s="155">
        <v>0.42070000000000002</v>
      </c>
      <c r="I6" s="155">
        <v>0</v>
      </c>
      <c r="J6" s="155">
        <v>0</v>
      </c>
      <c r="K6" s="155">
        <v>0</v>
      </c>
      <c r="L6" s="155">
        <v>0</v>
      </c>
      <c r="M6" s="155">
        <v>9.4E-2</v>
      </c>
      <c r="N6" s="155">
        <v>0.2404</v>
      </c>
      <c r="O6" s="155">
        <v>8.5500000000000007E-2</v>
      </c>
      <c r="P6" s="155">
        <v>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00" ph="1"/>
      <c r="C7" s="67" t="s" ph="1">
        <v>55</v>
      </c>
      <c r="D7" s="72" ph="1">
        <f>((D6*5200)*4.48)*LOOKUP(D8,密度!$A$2:$A$50,密度!$B$2:$B$50)</f>
        <v>1643.9129907199999</v>
      </c>
      <c r="E7" s="72" ph="1">
        <f>((E6*5200)*4.48)*LOOKUP(E8,密度!$A$2:$A$50,密度!$B$2:$B$50)</f>
        <v>18312.937144320003</v>
      </c>
      <c r="F7" s="72" ph="1">
        <f>((F6*5200)*4.48)*LOOKUP(F8,密度!$A$2:$A$50,密度!$B$2:$B$50)</f>
        <v>0</v>
      </c>
      <c r="G7" s="72" ph="1">
        <f>((G6*5200)*4.48)*LOOKUP(G8,密度!$A$2:$A$50,密度!$B$2:$B$50)</f>
        <v>0</v>
      </c>
      <c r="H7" s="72" ph="1">
        <f>((H6*5200)*18.322+8640)*LOOKUP(H8,密度!$A$2:$A$50,密度!$B$2:$B$50)</f>
        <v>38436.738529111994</v>
      </c>
      <c r="I7" s="72" ph="1">
        <f>((I6*5200)*18.322)*LOOKUP(I8,密度!$A$2:$A$50,密度!$B$2:$B$50)</f>
        <v>0</v>
      </c>
      <c r="J7" s="72" ph="1">
        <f>((J6*5200)*18.322)*LOOKUP(J8,密度!$A$2:$A$50,密度!$B$2:$B$50)</f>
        <v>0</v>
      </c>
      <c r="K7" s="72" ph="1">
        <f>((K6*5200)*18.322)*LOOKUP(K8,密度!$A$2:$A$50,密度!$B$2:$B$50)</f>
        <v>0</v>
      </c>
      <c r="L7" s="72" ph="1">
        <f>(L6*6650)*26.42*LOOKUP(L8,密度!$A$2:$A$50,密度!$B$2:$B$50)</f>
        <v>0</v>
      </c>
      <c r="M7" s="72" ph="1">
        <f>(M6*6650)*26.42*1</f>
        <v>16515.142000000003</v>
      </c>
      <c r="N7" s="72" ph="1">
        <f>(N6*5150)*18.32*LOOKUP(N8,密度!$A$2:$A$50,密度!$B$2:$B$50)</f>
        <v>17820.665353439999</v>
      </c>
      <c r="O7" s="72" ph="1">
        <f>(O6*12400)*81.71*LOOKUP(O8,密度!$A$2:$A$50,密度!$B$2:$B$50)</f>
        <v>67535.923183199993</v>
      </c>
      <c r="P7" s="72" ph="1">
        <f>(P6*12400)*81.71*LOOKUP(P8,密度!$A$2:$A$50,密度!$B$2:$B$50)</f>
        <v>0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00" ph="1"/>
      <c r="C8" s="67" t="s" ph="1">
        <v>133</v>
      </c>
      <c r="D8" s="73">
        <v>21</v>
      </c>
      <c r="E8" s="73">
        <v>16</v>
      </c>
      <c r="F8" s="73">
        <v>16</v>
      </c>
      <c r="G8" s="73">
        <v>16</v>
      </c>
      <c r="H8" s="73">
        <v>14</v>
      </c>
      <c r="I8" s="73">
        <v>25</v>
      </c>
      <c r="J8" s="73">
        <v>25</v>
      </c>
      <c r="K8" s="73">
        <v>25</v>
      </c>
      <c r="L8" s="73">
        <v>25</v>
      </c>
      <c r="M8" s="73">
        <v>16</v>
      </c>
      <c r="N8" s="73">
        <v>18</v>
      </c>
      <c r="O8" s="73">
        <v>25</v>
      </c>
      <c r="P8" s="73">
        <v>15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00" ph="1">
        <v>0.66666666666666663</v>
      </c>
      <c r="C9" s="172" t="s" ph="1">
        <v>57</v>
      </c>
      <c r="D9" s="155">
        <v>9.01E-2</v>
      </c>
      <c r="E9" s="155">
        <v>0.99860000000000004</v>
      </c>
      <c r="F9" s="155">
        <v>0</v>
      </c>
      <c r="G9" s="155">
        <v>0</v>
      </c>
      <c r="H9" s="155">
        <v>0.42</v>
      </c>
      <c r="I9" s="155">
        <v>0</v>
      </c>
      <c r="J9" s="155">
        <v>0</v>
      </c>
      <c r="K9" s="155">
        <v>0</v>
      </c>
      <c r="L9" s="155">
        <v>7.3300000000000004E-2</v>
      </c>
      <c r="M9" s="155">
        <v>9.4E-2</v>
      </c>
      <c r="N9" s="155">
        <v>0.31919999999999998</v>
      </c>
      <c r="O9" s="155">
        <v>0.13730000000000001</v>
      </c>
      <c r="P9" s="155">
        <v>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00" ph="1"/>
      <c r="C10" s="172" t="s" ph="1">
        <v>134</v>
      </c>
      <c r="D10" s="72" ph="1">
        <f>((D9*5200)*4.48)*LOOKUP(D11,密度!$A$2:$A$50,密度!$B$2:$B$50)</f>
        <v>1643.9129907199999</v>
      </c>
      <c r="E10" s="72" ph="1">
        <f>((E9*5200)*4.48)*LOOKUP(E11,密度!$A$2:$A$50,密度!$B$2:$B$50)</f>
        <v>18278.042065920003</v>
      </c>
      <c r="F10" s="72" ph="1">
        <f>((F9*5200)*4.48)*LOOKUP(F11,密度!$A$2:$A$50,密度!$B$2:$B$50)</f>
        <v>0</v>
      </c>
      <c r="G10" s="72" ph="1">
        <f>((G9*5200)*4.48)*LOOKUP(G11,密度!$A$2:$A$50,密度!$B$2:$B$50)</f>
        <v>0</v>
      </c>
      <c r="H10" s="72" ph="1">
        <f>((H9*5200)*18.322+8640)*LOOKUP(H11,密度!$A$2:$A$50,密度!$B$2:$B$50)</f>
        <v>37931.631340799999</v>
      </c>
      <c r="I10" s="72" ph="1">
        <f>((I9*5200)*18.322)*LOOKUP(I11,密度!$A$2:$A$50,密度!$B$2:$B$50)</f>
        <v>0</v>
      </c>
      <c r="J10" s="72" ph="1">
        <f>((J9*5200)*18.322)*LOOKUP(J11,密度!$A$2:$A$50,密度!$B$2:$B$50)</f>
        <v>0</v>
      </c>
      <c r="K10" s="72" ph="1">
        <f>((K9*5200)*18.322)*LOOKUP(K11,密度!$A$2:$A$50,密度!$B$2:$B$50)</f>
        <v>0</v>
      </c>
      <c r="L10" s="72" ph="1">
        <f>(L9*6650)*26.42*LOOKUP(L11,密度!$A$2:$A$50,密度!$B$2:$B$50)</f>
        <v>10039.920263240001</v>
      </c>
      <c r="M10" s="72" ph="1">
        <f>(M9*6650)*26.42*1</f>
        <v>16515.142000000003</v>
      </c>
      <c r="N10" s="72" ph="1">
        <f>(N9*5150)*18.32*LOOKUP(N11,密度!$A$2:$A$50,密度!$B$2:$B$50)</f>
        <v>23637.955467839998</v>
      </c>
      <c r="O10" s="72" ph="1">
        <f>(O9*12400)*81.71*LOOKUP(O11,密度!$A$2:$A$50,密度!$B$2:$B$50)</f>
        <v>108452.42401231999</v>
      </c>
      <c r="P10" s="72" ph="1">
        <f>(P9*12400)*81.71*LOOKUP(P11,密度!$A$2:$A$50,密度!$B$2:$B$50)</f>
        <v>0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48</v>
      </c>
      <c r="B11" s="200" ph="1"/>
      <c r="C11" s="172" t="s" ph="1">
        <v>56</v>
      </c>
      <c r="D11" s="73">
        <v>21</v>
      </c>
      <c r="E11" s="73">
        <v>18</v>
      </c>
      <c r="F11" s="73">
        <v>18</v>
      </c>
      <c r="G11" s="73">
        <v>18</v>
      </c>
      <c r="H11" s="73">
        <v>25</v>
      </c>
      <c r="I11" s="73">
        <v>25</v>
      </c>
      <c r="J11" s="73">
        <v>25</v>
      </c>
      <c r="K11" s="73">
        <v>25</v>
      </c>
      <c r="L11" s="73">
        <v>25</v>
      </c>
      <c r="M11" s="73">
        <v>19</v>
      </c>
      <c r="N11" s="73">
        <v>19</v>
      </c>
      <c r="O11" s="73">
        <v>25</v>
      </c>
      <c r="P11" s="73">
        <v>16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/>
    <row r="13" spans="1:53" s="71" customFormat="1" ht="29.25" customHeight="1" ph="1">
      <c r="B13" s="208" t="s" ph="1">
        <v>28</v>
      </c>
      <c r="C13" s="172" t="s" ph="1">
        <v>53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09" ph="1"/>
      <c r="C14" s="66" t="s" ph="1">
        <v>127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10" ph="1">
        <v>0.33333333333333331</v>
      </c>
      <c r="C15" s="172" t="s" ph="1">
        <v>54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2.2" ph="1">
      <c r="B16" s="211" ph="1"/>
      <c r="C16" s="172" t="s" ph="1">
        <v>55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7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36</v>
      </c>
      <c r="B17" s="212" ph="1"/>
      <c r="C17" s="78" t="s" ph="1">
        <v>56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10" ph="1">
        <v>0.66666666666666663</v>
      </c>
      <c r="C18" s="78" t="s" ph="1">
        <v>57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11" ph="1"/>
      <c r="C19" s="172" t="s" ph="1">
        <v>55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11" ph="1"/>
      <c r="C20" s="79" t="s" ph="1">
        <v>56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26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09" t="s" ph="1">
        <v>28</v>
      </c>
      <c r="C22" s="84" t="s" ph="1">
        <v>120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188" t="s" ph="1">
        <v>34</v>
      </c>
      <c r="AA22" s="189"/>
      <c r="AB22" s="189"/>
      <c r="AC22" s="189"/>
      <c r="AD22" s="189"/>
      <c r="AE22" s="190"/>
    </row>
    <row r="23" spans="1:32" ph="1">
      <c r="A23" s="71" ph="1"/>
      <c r="B23" s="204" ph="1"/>
      <c r="C23" s="66" t="s" ph="1">
        <v>127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191" t="s" ph="1">
        <v>90</v>
      </c>
      <c r="AA23" s="192"/>
      <c r="AB23" s="192"/>
      <c r="AC23" s="192"/>
      <c r="AD23" s="192"/>
      <c r="AE23" s="193"/>
    </row>
    <row r="24" spans="1:32" ph="1">
      <c r="A24" s="71" ph="1"/>
      <c r="B24" s="200" ph="1">
        <v>0.33333333333333331</v>
      </c>
      <c r="C24" s="172" t="s" ph="1">
        <v>132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194"/>
      <c r="AA24" s="195"/>
      <c r="AB24" s="195"/>
      <c r="AC24" s="195"/>
      <c r="AD24" s="195"/>
      <c r="AE24" s="196"/>
    </row>
    <row r="25" spans="1:32" ph="1">
      <c r="A25" s="71" ph="1"/>
      <c r="B25" s="200" ph="1"/>
      <c r="C25" s="67" t="s" ph="1">
        <v>134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194"/>
      <c r="AA25" s="195"/>
      <c r="AB25" s="195"/>
      <c r="AC25" s="195"/>
      <c r="AD25" s="195"/>
      <c r="AE25" s="196"/>
    </row>
    <row r="26" spans="1:32" ph="1">
      <c r="A26" s="71" ph="1"/>
      <c r="B26" s="200" ph="1"/>
      <c r="C26" s="67" t="s" ph="1">
        <v>133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194"/>
      <c r="AA26" s="195"/>
      <c r="AB26" s="195"/>
      <c r="AC26" s="195"/>
      <c r="AD26" s="195"/>
      <c r="AE26" s="196"/>
    </row>
    <row r="27" spans="1:32" ht="26.4" ph="1">
      <c r="A27" s="71" ph="1"/>
      <c r="B27" s="200" ph="1">
        <v>0.66666666666666663</v>
      </c>
      <c r="C27" s="172" t="s" ph="1">
        <v>57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194"/>
      <c r="AA27" s="195"/>
      <c r="AB27" s="195"/>
      <c r="AC27" s="195"/>
      <c r="AD27" s="195"/>
      <c r="AE27" s="196"/>
    </row>
    <row r="28" spans="1:32" ph="1">
      <c r="A28" s="71" ph="1"/>
      <c r="B28" s="200" ph="1"/>
      <c r="C28" s="172" t="s" ph="1">
        <v>134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194"/>
      <c r="AA28" s="195"/>
      <c r="AB28" s="195"/>
      <c r="AC28" s="195"/>
      <c r="AD28" s="195"/>
      <c r="AE28" s="196"/>
    </row>
    <row r="29" spans="1:32" ph="1">
      <c r="A29" s="71" ph="1"/>
      <c r="B29" s="200" ph="1"/>
      <c r="C29" s="172" t="s" ph="1">
        <v>133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197"/>
      <c r="AA29" s="198"/>
      <c r="AB29" s="198"/>
      <c r="AC29" s="198"/>
      <c r="AD29" s="198"/>
      <c r="AE29" s="199"/>
    </row>
    <row r="30" spans="1:32" ph="1">
      <c r="D30" s="93" ph="1"/>
      <c r="Z30" s="63" t="s" ph="1">
        <v>141</v>
      </c>
      <c r="AE30" s="94" ph="1"/>
    </row>
    <row r="31" spans="1:32" ht="28.2" ph="1">
      <c r="A31" s="63"/>
      <c r="B31" s="213" t="s" ph="1">
        <v>26</v>
      </c>
      <c r="C31" s="214" ph="1"/>
      <c r="D31" s="205" t="s" ph="1">
        <v>142</v>
      </c>
      <c r="E31" s="206" ph="1"/>
      <c r="F31" s="207" ph="1"/>
      <c r="G31" s="217" ph="1"/>
      <c r="H31" s="206" ph="1"/>
      <c r="I31" s="207" ph="1"/>
      <c r="J31" s="205" ph="1"/>
      <c r="K31" s="206" ph="1"/>
      <c r="L31" s="207" ph="1"/>
      <c r="M31" s="205" ph="1"/>
      <c r="N31" s="206" ph="1"/>
      <c r="O31" s="207" ph="1"/>
      <c r="P31" s="205" ph="1"/>
      <c r="Q31" s="206"/>
      <c r="R31" s="207"/>
      <c r="S31" s="205" ph="1"/>
      <c r="T31" s="206"/>
      <c r="U31" s="207"/>
      <c r="V31" s="205" ph="1"/>
      <c r="W31" s="206" ph="1"/>
      <c r="X31" s="207" ph="1"/>
      <c r="Y31" s="205" ph="1"/>
      <c r="Z31" s="206" ph="1"/>
      <c r="AA31" s="207" ph="1"/>
      <c r="AB31" s="228"/>
      <c r="AC31" s="229"/>
      <c r="AD31" s="229"/>
      <c r="AE31" s="230"/>
    </row>
    <row r="32" spans="1:32" ph="1">
      <c r="A32" s="63"/>
      <c r="B32" s="215" ph="1"/>
      <c r="C32" s="216" ph="1"/>
      <c r="D32" s="95" t="s" ph="1">
        <v>0</v>
      </c>
      <c r="E32" s="172" t="s" ph="1">
        <v>143</v>
      </c>
      <c r="F32" s="171" t="s" ph="1">
        <v>31</v>
      </c>
      <c r="G32" s="96" t="s" ph="1">
        <v>144</v>
      </c>
      <c r="H32" s="172" t="s" ph="1">
        <v>143</v>
      </c>
      <c r="I32" s="171" t="s" ph="1">
        <v>145</v>
      </c>
      <c r="J32" s="96" t="s" ph="1">
        <v>144</v>
      </c>
      <c r="K32" s="172" t="s" ph="1">
        <v>143</v>
      </c>
      <c r="L32" s="171" t="s" ph="1">
        <v>146</v>
      </c>
      <c r="M32" s="96" t="s" ph="1">
        <v>144</v>
      </c>
      <c r="N32" s="172" t="s" ph="1">
        <v>143</v>
      </c>
      <c r="O32" s="171" t="s" ph="1">
        <v>145</v>
      </c>
      <c r="P32" s="96" t="s" ph="1">
        <v>144</v>
      </c>
      <c r="Q32" s="97" t="s" ph="1">
        <v>143</v>
      </c>
      <c r="R32" s="98" t="s" ph="1">
        <v>145</v>
      </c>
      <c r="S32" s="96" t="s" ph="1">
        <v>144</v>
      </c>
      <c r="T32" s="172" t="s" ph="1">
        <v>143</v>
      </c>
      <c r="U32" s="98" t="s" ph="1">
        <v>145</v>
      </c>
      <c r="V32" s="96" t="s" ph="1">
        <v>144</v>
      </c>
      <c r="W32" s="172" t="s" ph="1">
        <v>143</v>
      </c>
      <c r="X32" s="98" t="s" ph="1">
        <v>31</v>
      </c>
      <c r="Y32" s="99" t="s" ph="1">
        <v>144</v>
      </c>
      <c r="Z32" s="172" t="s" ph="1">
        <v>143</v>
      </c>
      <c r="AA32" s="171" t="s" ph="1">
        <v>145</v>
      </c>
      <c r="AB32" s="96" t="s" ph="1">
        <v>41</v>
      </c>
      <c r="AC32" s="172" t="s" ph="1">
        <v>40</v>
      </c>
      <c r="AD32" s="231" t="s" ph="1">
        <v>148</v>
      </c>
      <c r="AE32" s="232"/>
    </row>
    <row r="33" spans="1:31" ph="1">
      <c r="A33" s="63"/>
      <c r="B33" s="218" t="s" ph="1">
        <v>149</v>
      </c>
      <c r="C33" s="219" ph="1"/>
      <c r="D33" s="222" ph="1">
        <f>O10+P10</f>
        <v>108452.42401231999</v>
      </c>
      <c r="E33" s="222" ph="1">
        <f>H10+I10+J10+K10</f>
        <v>37931.631340799999</v>
      </c>
      <c r="F33" s="224" ph="1">
        <f>L10+N10</f>
        <v>33677.875731079999</v>
      </c>
      <c r="G33" s="226" ph="1">
        <v>0</v>
      </c>
      <c r="H33" s="222" ph="1">
        <v>0</v>
      </c>
      <c r="I33" s="235" ph="1">
        <v>0</v>
      </c>
      <c r="J33" s="233" ph="1">
        <v>0</v>
      </c>
      <c r="K33" s="222" ph="1">
        <v>0</v>
      </c>
      <c r="L33" s="237" ph="1">
        <v>0</v>
      </c>
      <c r="M33" s="233" ph="1">
        <v>0</v>
      </c>
      <c r="N33" s="222" ph="1">
        <v>0</v>
      </c>
      <c r="O33" s="235" ph="1">
        <f>G19</f>
        <v>0</v>
      </c>
      <c r="P33" s="233" ph="1">
        <v>0</v>
      </c>
      <c r="Q33" s="222" ph="1">
        <v>0</v>
      </c>
      <c r="R33" s="235" ph="1">
        <v>0</v>
      </c>
      <c r="S33" s="233" ph="1">
        <v>0</v>
      </c>
      <c r="T33" s="222" ph="1">
        <v>0</v>
      </c>
      <c r="U33" s="243" ph="1">
        <v>0</v>
      </c>
      <c r="V33" s="254" ph="1">
        <v>0</v>
      </c>
      <c r="W33" s="254" ph="1">
        <v>0</v>
      </c>
      <c r="X33" s="235" ph="1">
        <v>0</v>
      </c>
      <c r="Y33" s="256" ph="1">
        <v>0</v>
      </c>
      <c r="Z33" s="241" ph="1">
        <v>0</v>
      </c>
      <c r="AA33" s="243" ph="1">
        <v>0</v>
      </c>
      <c r="AB33" s="245" ph="1">
        <v>0</v>
      </c>
      <c r="AC33" s="247" ph="1">
        <v>0</v>
      </c>
      <c r="AD33" s="249" ph="1">
        <v>0</v>
      </c>
      <c r="AE33" s="250"/>
    </row>
    <row r="34" spans="1:31" ph="1">
      <c r="A34" s="63"/>
      <c r="B34" s="220" ph="1"/>
      <c r="C34" s="221" ph="1"/>
      <c r="D34" s="223" ph="1"/>
      <c r="E34" s="223" ph="1"/>
      <c r="F34" s="225" ph="1"/>
      <c r="G34" s="227" ph="1"/>
      <c r="H34" s="223" ph="1"/>
      <c r="I34" s="236" ph="1"/>
      <c r="J34" s="234" ph="1"/>
      <c r="K34" s="223" ph="1"/>
      <c r="L34" s="238" ph="1"/>
      <c r="M34" s="234" ph="1"/>
      <c r="N34" s="223" ph="1"/>
      <c r="O34" s="236" ph="1"/>
      <c r="P34" s="234" ph="1"/>
      <c r="Q34" s="223" ph="1"/>
      <c r="R34" s="236" ph="1"/>
      <c r="S34" s="234" ph="1"/>
      <c r="T34" s="223"/>
      <c r="U34" s="244"/>
      <c r="V34" s="255" ph="1"/>
      <c r="W34" s="255" ph="1"/>
      <c r="X34" s="236" ph="1"/>
      <c r="Y34" s="257" ph="1"/>
      <c r="Z34" s="242" ph="1"/>
      <c r="AA34" s="244" ph="1"/>
      <c r="AB34" s="246"/>
      <c r="AC34" s="248"/>
      <c r="AD34" s="251"/>
      <c r="AE34" s="252"/>
    </row>
    <row r="35" spans="1:31" ph="1">
      <c r="A35" s="63"/>
      <c r="AC35" s="253" t="s" ph="1">
        <v>65</v>
      </c>
      <c r="AD35" s="253"/>
      <c r="AE35" s="253"/>
    </row>
    <row r="36" spans="1:31" ht="28.2" ph="1">
      <c r="A36" s="63"/>
      <c r="B36" s="102" t="s" ph="1">
        <v>59</v>
      </c>
      <c r="I36" s="239" t="s" ph="1">
        <v>60</v>
      </c>
      <c r="J36" s="239" ph="1"/>
      <c r="K36" s="100" ph="1"/>
      <c r="P36" s="100" ph="1"/>
      <c r="R36" s="239" t="s" ph="1">
        <v>153</v>
      </c>
      <c r="S36" s="239" ph="1"/>
      <c r="Y36" s="101" ph="1"/>
      <c r="Z36" s="170" t="s" ph="1">
        <v>62</v>
      </c>
      <c r="AA36" s="170" ph="1"/>
      <c r="AB36" s="240" t="s" ph="1">
        <v>67</v>
      </c>
      <c r="AC36" s="240" ph="1"/>
      <c r="AD36" s="240" ph="1"/>
      <c r="AE36" s="240" ph="1"/>
    </row>
    <row r="37" spans="1:31" s="170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6 D8:D9 D11">
    <cfRule type="expression" dxfId="557" priority="137">
      <formula>ABS(D$7-D$10)&gt;=1000</formula>
    </cfRule>
  </conditionalFormatting>
  <conditionalFormatting sqref="E4 E6 E8:E9 E11">
    <cfRule type="expression" dxfId="556" priority="136">
      <formula>ABS(E$7-E$10)&gt;=1000</formula>
    </cfRule>
  </conditionalFormatting>
  <conditionalFormatting sqref="F4 F6 F8:F9 F11">
    <cfRule type="expression" dxfId="555" priority="135">
      <formula>ABS(F$7-F$10)&gt;=1000</formula>
    </cfRule>
  </conditionalFormatting>
  <conditionalFormatting sqref="G4 G6 G8:G9 G11">
    <cfRule type="expression" dxfId="554" priority="134">
      <formula>ABS(G$7-G$10)&gt;=1000</formula>
    </cfRule>
  </conditionalFormatting>
  <conditionalFormatting sqref="H4:K4 H6 H8:H9 H11">
    <cfRule type="expression" dxfId="553" priority="133">
      <formula>ABS(H$7-H$10)&gt;=1000</formula>
    </cfRule>
  </conditionalFormatting>
  <conditionalFormatting sqref="I6 I8:I9 I11">
    <cfRule type="expression" dxfId="552" priority="132">
      <formula>ABS(I$7-I$10)&gt;=1000</formula>
    </cfRule>
  </conditionalFormatting>
  <conditionalFormatting sqref="J6 J8:J9 J11">
    <cfRule type="expression" dxfId="551" priority="131">
      <formula>ABS(J$7-J$10)&gt;=1000</formula>
    </cfRule>
  </conditionalFormatting>
  <conditionalFormatting sqref="K6 K8:K9 K11">
    <cfRule type="expression" dxfId="550" priority="130">
      <formula>ABS(K$7-K$10)&gt;=1000</formula>
    </cfRule>
  </conditionalFormatting>
  <conditionalFormatting sqref="L4:L6 M4:N4 Q4:S4 L8:L9 L11">
    <cfRule type="expression" dxfId="549" priority="129">
      <formula>ABS(L$7-L$10)&gt;=1000</formula>
    </cfRule>
  </conditionalFormatting>
  <conditionalFormatting sqref="M6 M8:M9 M11">
    <cfRule type="expression" dxfId="548" priority="128">
      <formula>ABS(M$7-M$10)&gt;=1000</formula>
    </cfRule>
  </conditionalFormatting>
  <conditionalFormatting sqref="N6 N8:N9 N11">
    <cfRule type="expression" dxfId="547" priority="127">
      <formula>ABS(N$7-N$10)&gt;=1000</formula>
    </cfRule>
  </conditionalFormatting>
  <conditionalFormatting sqref="Q5:Q11">
    <cfRule type="expression" dxfId="546" priority="126">
      <formula>ABS(Q$7-Q$10)&gt;=1000</formula>
    </cfRule>
  </conditionalFormatting>
  <conditionalFormatting sqref="R5:R11">
    <cfRule type="expression" dxfId="545" priority="125">
      <formula>ABS(R$7-R$10)&gt;=1000</formula>
    </cfRule>
  </conditionalFormatting>
  <conditionalFormatting sqref="S5:S11">
    <cfRule type="expression" dxfId="544" priority="124">
      <formula>ABS(S$7-S$10)&gt;=1000</formula>
    </cfRule>
  </conditionalFormatting>
  <conditionalFormatting sqref="T4:T9 T11">
    <cfRule type="expression" dxfId="543" priority="123">
      <formula>ABS(T$7-T$10)&gt;=1000</formula>
    </cfRule>
  </conditionalFormatting>
  <conditionalFormatting sqref="U4:U9 U11">
    <cfRule type="expression" dxfId="542" priority="122">
      <formula>ABS(U$7-U$10)&gt;=1000</formula>
    </cfRule>
  </conditionalFormatting>
  <conditionalFormatting sqref="V4:V9 V11">
    <cfRule type="expression" dxfId="541" priority="121">
      <formula>ABS(V$7-V$10)&gt;=1000</formula>
    </cfRule>
  </conditionalFormatting>
  <conditionalFormatting sqref="W4:W9 W11">
    <cfRule type="expression" dxfId="540" priority="120">
      <formula>ABS(W$7-W$10)&gt;=1000</formula>
    </cfRule>
  </conditionalFormatting>
  <conditionalFormatting sqref="X4:X9 X11">
    <cfRule type="expression" dxfId="539" priority="119">
      <formula>ABS(X$7-X$10)&gt;=1000</formula>
    </cfRule>
  </conditionalFormatting>
  <conditionalFormatting sqref="Y4:Y9 Y11">
    <cfRule type="expression" dxfId="538" priority="118">
      <formula>ABS(Y$7-Y$10)&gt;=1000</formula>
    </cfRule>
  </conditionalFormatting>
  <conditionalFormatting sqref="Z4:Z11">
    <cfRule type="expression" dxfId="537" priority="117">
      <formula>ABS(Z$7-Z$10)&gt;=1000</formula>
    </cfRule>
  </conditionalFormatting>
  <conditionalFormatting sqref="AA4:AA11">
    <cfRule type="expression" dxfId="536" priority="116">
      <formula>ABS(AA$7-AA$10)&gt;=1000</formula>
    </cfRule>
  </conditionalFormatting>
  <conditionalFormatting sqref="AB4:AB11">
    <cfRule type="expression" dxfId="535" priority="115">
      <formula>ABS(AB$7-AB$10)&gt;=1000</formula>
    </cfRule>
  </conditionalFormatting>
  <conditionalFormatting sqref="AC4 AC6:AC11">
    <cfRule type="expression" dxfId="534" priority="114">
      <formula>ABS(AC$7-AC$10)&gt;=1000</formula>
    </cfRule>
  </conditionalFormatting>
  <conditionalFormatting sqref="AD4 AD6:AD11">
    <cfRule type="expression" dxfId="533" priority="113">
      <formula>ABS(AD$7-AD$10)&gt;=1000</formula>
    </cfRule>
  </conditionalFormatting>
  <conditionalFormatting sqref="AE4 AE6:AE11">
    <cfRule type="expression" dxfId="532" priority="112">
      <formula>ABS(AE$7-AE$10)&gt;=1000</formula>
    </cfRule>
  </conditionalFormatting>
  <conditionalFormatting sqref="D13:D20">
    <cfRule type="expression" dxfId="531" priority="111">
      <formula>ABS(D$16-D$19)&gt;=1000</formula>
    </cfRule>
  </conditionalFormatting>
  <conditionalFormatting sqref="E13:E20">
    <cfRule type="expression" dxfId="530" priority="110">
      <formula>ABS(E$16-E$19)&gt;=1000</formula>
    </cfRule>
  </conditionalFormatting>
  <conditionalFormatting sqref="F13 F15:F20">
    <cfRule type="expression" dxfId="529" priority="109">
      <formula>ABS(F$16-F$19)&gt;=1000</formula>
    </cfRule>
  </conditionalFormatting>
  <conditionalFormatting sqref="G13:G20">
    <cfRule type="expression" dxfId="528" priority="108">
      <formula>ABS(G$16-G$19)&gt;=1000</formula>
    </cfRule>
  </conditionalFormatting>
  <conditionalFormatting sqref="H13 H15:H20">
    <cfRule type="expression" dxfId="527" priority="107">
      <formula>ABS(H$16-H$19)&gt;=1000</formula>
    </cfRule>
  </conditionalFormatting>
  <conditionalFormatting sqref="I13:I20">
    <cfRule type="expression" dxfId="526" priority="106">
      <formula>ABS(I$16-I$19)&gt;=1000</formula>
    </cfRule>
  </conditionalFormatting>
  <conditionalFormatting sqref="J13:J20">
    <cfRule type="expression" dxfId="525" priority="105">
      <formula>ABS(J$16-J$19)&gt;=1000</formula>
    </cfRule>
  </conditionalFormatting>
  <conditionalFormatting sqref="L13:L20">
    <cfRule type="expression" dxfId="524" priority="104">
      <formula>ABS(L$16-L$19)&gt;=1000</formula>
    </cfRule>
  </conditionalFormatting>
  <conditionalFormatting sqref="M13 M15 M17:M18 M20">
    <cfRule type="expression" dxfId="523" priority="103">
      <formula>ABS(M$16-M$19)&gt;=1000</formula>
    </cfRule>
  </conditionalFormatting>
  <conditionalFormatting sqref="N13:N20">
    <cfRule type="expression" dxfId="522" priority="102">
      <formula>ABS(N$16-N$19)&gt;=1000</formula>
    </cfRule>
  </conditionalFormatting>
  <conditionalFormatting sqref="O13:O20">
    <cfRule type="expression" dxfId="521" priority="101">
      <formula>ABS(O$16-O$19)&gt;=1000</formula>
    </cfRule>
  </conditionalFormatting>
  <conditionalFormatting sqref="P13:P20">
    <cfRule type="expression" dxfId="520" priority="100">
      <formula>ABS(P$16-P$19)&gt;=1000</formula>
    </cfRule>
  </conditionalFormatting>
  <conditionalFormatting sqref="Q13 Q15:Q20">
    <cfRule type="expression" dxfId="519" priority="99">
      <formula>ABS(Q$16-Q$19)&gt;=1000</formula>
    </cfRule>
  </conditionalFormatting>
  <conditionalFormatting sqref="R13:R20">
    <cfRule type="expression" dxfId="518" priority="98">
      <formula>ABS(R$16-R$19)&gt;=1000</formula>
    </cfRule>
  </conditionalFormatting>
  <conditionalFormatting sqref="S13:S20">
    <cfRule type="expression" dxfId="517" priority="97">
      <formula>ABS(S$16-S$19)&gt;=1000</formula>
    </cfRule>
  </conditionalFormatting>
  <conditionalFormatting sqref="T13:T20">
    <cfRule type="expression" dxfId="516" priority="96">
      <formula>ABS(T$16-T$19)&gt;=1000</formula>
    </cfRule>
  </conditionalFormatting>
  <conditionalFormatting sqref="U13:U20">
    <cfRule type="expression" dxfId="515" priority="95">
      <formula>ABS(U$16-U$19)&gt;=1000</formula>
    </cfRule>
  </conditionalFormatting>
  <conditionalFormatting sqref="V13:V20">
    <cfRule type="expression" dxfId="514" priority="94">
      <formula>ABS(V$16-V$19)&gt;=1000</formula>
    </cfRule>
  </conditionalFormatting>
  <conditionalFormatting sqref="W13 W20 W15:W18">
    <cfRule type="expression" dxfId="513" priority="93">
      <formula>ABS(W$16-W$19)&gt;=1000</formula>
    </cfRule>
  </conditionalFormatting>
  <conditionalFormatting sqref="X13 X15:X20 Y19">
    <cfRule type="expression" dxfId="512" priority="92">
      <formula>ABS(X$16-X$19)&gt;=1000</formula>
    </cfRule>
  </conditionalFormatting>
  <conditionalFormatting sqref="Y13 Y15:Y18 Y20">
    <cfRule type="expression" dxfId="511" priority="91">
      <formula>ABS(Y$16-Y$19)&gt;=1000</formula>
    </cfRule>
  </conditionalFormatting>
  <conditionalFormatting sqref="Z13:Z20">
    <cfRule type="expression" dxfId="510" priority="90">
      <formula>ABS(Z$16-Z$19)&gt;=1000</formula>
    </cfRule>
  </conditionalFormatting>
  <conditionalFormatting sqref="AA13:AA20">
    <cfRule type="expression" dxfId="509" priority="89">
      <formula>ABS(AA$16-AA$19)&gt;=1000</formula>
    </cfRule>
  </conditionalFormatting>
  <conditionalFormatting sqref="AB13 AB15:AB20">
    <cfRule type="expression" dxfId="508" priority="88">
      <formula>ABS(AB$16-AB$19)&gt;=1000</formula>
    </cfRule>
  </conditionalFormatting>
  <conditionalFormatting sqref="AC13 AC15:AC20">
    <cfRule type="expression" dxfId="507" priority="87">
      <formula>ABS(AC$16-AC$19)&gt;=1000</formula>
    </cfRule>
  </conditionalFormatting>
  <conditionalFormatting sqref="AD13:AD20">
    <cfRule type="expression" dxfId="506" priority="86">
      <formula>ABS(AD$16-AD$19)&gt;=1000</formula>
    </cfRule>
  </conditionalFormatting>
  <conditionalFormatting sqref="AE13:AE20">
    <cfRule type="expression" dxfId="505" priority="85">
      <formula>ABS(AE$16-AE$19)&gt;=1000</formula>
    </cfRule>
  </conditionalFormatting>
  <conditionalFormatting sqref="D22:D29">
    <cfRule type="expression" dxfId="504" priority="84">
      <formula>ABS(D$25-D$28)&gt;=1000</formula>
    </cfRule>
  </conditionalFormatting>
  <conditionalFormatting sqref="E22:E29">
    <cfRule type="expression" dxfId="503" priority="83">
      <formula>ABS(E$25-E$28)&gt;=1000</formula>
    </cfRule>
  </conditionalFormatting>
  <conditionalFormatting sqref="F22:F29">
    <cfRule type="expression" dxfId="502" priority="82">
      <formula>ABS(F$25-F$28)&gt;=1000</formula>
    </cfRule>
  </conditionalFormatting>
  <conditionalFormatting sqref="G22:G29">
    <cfRule type="expression" dxfId="501" priority="81">
      <formula>ABS(G$25-G$28)&gt;=1000</formula>
    </cfRule>
  </conditionalFormatting>
  <conditionalFormatting sqref="H22:H29">
    <cfRule type="expression" dxfId="500" priority="80">
      <formula>ABS(H$25-H$28)&gt;=1000</formula>
    </cfRule>
  </conditionalFormatting>
  <conditionalFormatting sqref="I22 I24:I29">
    <cfRule type="expression" dxfId="499" priority="79">
      <formula>ABS(I$25-I$28)&gt;=1000</formula>
    </cfRule>
  </conditionalFormatting>
  <conditionalFormatting sqref="J22:J29 K22">
    <cfRule type="expression" dxfId="498" priority="78">
      <formula>ABS(J$25-J$28)&gt;=1000</formula>
    </cfRule>
  </conditionalFormatting>
  <conditionalFormatting sqref="K23:K29 L25 L28">
    <cfRule type="expression" dxfId="497" priority="77">
      <formula>ABS(K$25-K$28)&gt;=1000</formula>
    </cfRule>
  </conditionalFormatting>
  <conditionalFormatting sqref="L22 L26:L27 L29 L24">
    <cfRule type="expression" dxfId="496" priority="76">
      <formula>ABS(L$25-L$28)&gt;=1000</formula>
    </cfRule>
  </conditionalFormatting>
  <conditionalFormatting sqref="M22:M29">
    <cfRule type="expression" dxfId="495" priority="75">
      <formula>ABS(M$25-M$28)&gt;=1000</formula>
    </cfRule>
  </conditionalFormatting>
  <conditionalFormatting sqref="N22:N29">
    <cfRule type="expression" dxfId="494" priority="74">
      <formula>ABS(N$25-N$28)&gt;=1000</formula>
    </cfRule>
  </conditionalFormatting>
  <conditionalFormatting sqref="O22:O29">
    <cfRule type="expression" dxfId="493" priority="73">
      <formula>ABS(O$25-O$28)&gt;=1000</formula>
    </cfRule>
  </conditionalFormatting>
  <conditionalFormatting sqref="P22:P29">
    <cfRule type="expression" dxfId="492" priority="72">
      <formula>ABS(P$25-P$28)&gt;=1000</formula>
    </cfRule>
  </conditionalFormatting>
  <conditionalFormatting sqref="Q22:Q29">
    <cfRule type="expression" dxfId="491" priority="71">
      <formula>ABS(Q$25-Q$28)&gt;=1000</formula>
    </cfRule>
  </conditionalFormatting>
  <conditionalFormatting sqref="R22:R29">
    <cfRule type="expression" dxfId="490" priority="70">
      <formula>ABS(R$25-R$28)&gt;=1000</formula>
    </cfRule>
  </conditionalFormatting>
  <conditionalFormatting sqref="S22:S29">
    <cfRule type="expression" dxfId="489" priority="69">
      <formula>ABS(S$25-S$28)&gt;=1000</formula>
    </cfRule>
  </conditionalFormatting>
  <conditionalFormatting sqref="T22:T29">
    <cfRule type="expression" dxfId="488" priority="68">
      <formula>ABS(T$25-T$28)&gt;=1000</formula>
    </cfRule>
  </conditionalFormatting>
  <conditionalFormatting sqref="U22:U29">
    <cfRule type="expression" dxfId="487" priority="67">
      <formula>ABS(U$25-U$28)&gt;=1000</formula>
    </cfRule>
  </conditionalFormatting>
  <conditionalFormatting sqref="V22:V29">
    <cfRule type="expression" dxfId="486" priority="66">
      <formula>ABS(V$25-V$28)&gt;=1000</formula>
    </cfRule>
  </conditionalFormatting>
  <conditionalFormatting sqref="W22:W29">
    <cfRule type="expression" dxfId="485" priority="65">
      <formula>ABS(W$25-W$28)&gt;=1000</formula>
    </cfRule>
  </conditionalFormatting>
  <conditionalFormatting sqref="X22:X29">
    <cfRule type="expression" dxfId="484" priority="64">
      <formula>ABS(X$25-X$28)&gt;=1000</formula>
    </cfRule>
  </conditionalFormatting>
  <conditionalFormatting sqref="Y22:Y29">
    <cfRule type="expression" dxfId="483" priority="63">
      <formula>ABS(Y$25-Y$28)&gt;=1000</formula>
    </cfRule>
  </conditionalFormatting>
  <conditionalFormatting sqref="I23">
    <cfRule type="expression" dxfId="482" priority="62">
      <formula>ABS(I$25-I$28)&gt;=1000</formula>
    </cfRule>
  </conditionalFormatting>
  <conditionalFormatting sqref="Q14">
    <cfRule type="expression" dxfId="481" priority="61">
      <formula>ABS(Q$16-Q$19)&gt;=1000</formula>
    </cfRule>
  </conditionalFormatting>
  <conditionalFormatting sqref="W14">
    <cfRule type="expression" dxfId="480" priority="60">
      <formula>ABS(W$16-W$19)&gt;=1000</formula>
    </cfRule>
  </conditionalFormatting>
  <conditionalFormatting sqref="X14">
    <cfRule type="expression" dxfId="479" priority="59">
      <formula>ABS(X$16-X$19)&gt;=1000</formula>
    </cfRule>
  </conditionalFormatting>
  <conditionalFormatting sqref="T10:Y10">
    <cfRule type="expression" dxfId="478" priority="58">
      <formula>ABS(T$7-T$10)&gt;=1000</formula>
    </cfRule>
  </conditionalFormatting>
  <conditionalFormatting sqref="W19">
    <cfRule type="expression" dxfId="477" priority="57">
      <formula>ABS(W$16-W$19)&gt;=1000</formula>
    </cfRule>
  </conditionalFormatting>
  <conditionalFormatting sqref="AC5">
    <cfRule type="expression" dxfId="476" priority="56">
      <formula>ABS(AC$7-AC$10)&gt;=1000</formula>
    </cfRule>
  </conditionalFormatting>
  <conditionalFormatting sqref="M14">
    <cfRule type="expression" dxfId="475" priority="55">
      <formula>ABS(M$16-M$19)&gt;=1000</formula>
    </cfRule>
  </conditionalFormatting>
  <conditionalFormatting sqref="M16">
    <cfRule type="expression" dxfId="474" priority="54">
      <formula>ABS(M$16-M$19)&gt;=1000</formula>
    </cfRule>
  </conditionalFormatting>
  <conditionalFormatting sqref="M19">
    <cfRule type="expression" dxfId="473" priority="53">
      <formula>ABS(M$16-M$19)&gt;=1000</formula>
    </cfRule>
  </conditionalFormatting>
  <conditionalFormatting sqref="K13:K20">
    <cfRule type="expression" dxfId="472" priority="52">
      <formula>ABS(K$16-K$19)&gt;=1000</formula>
    </cfRule>
  </conditionalFormatting>
  <conditionalFormatting sqref="AB14:AC14">
    <cfRule type="expression" dxfId="471" priority="51">
      <formula>ABS(AB$16-AB$19)&gt;=1000</formula>
    </cfRule>
  </conditionalFormatting>
  <conditionalFormatting sqref="M5">
    <cfRule type="expression" dxfId="470" priority="50">
      <formula>ABS(M$7-M$10)&gt;=1000</formula>
    </cfRule>
  </conditionalFormatting>
  <conditionalFormatting sqref="N5">
    <cfRule type="expression" dxfId="469" priority="49">
      <formula>ABS(N$7-N$10)&gt;=1000</formula>
    </cfRule>
  </conditionalFormatting>
  <conditionalFormatting sqref="L23">
    <cfRule type="expression" dxfId="468" priority="48">
      <formula>ABS(L$25-L$28)&gt;=1000</formula>
    </cfRule>
  </conditionalFormatting>
  <conditionalFormatting sqref="Y14">
    <cfRule type="expression" dxfId="467" priority="47">
      <formula>ABS(Y$16-Y$19)&gt;=1000</formula>
    </cfRule>
  </conditionalFormatting>
  <conditionalFormatting sqref="F14">
    <cfRule type="expression" dxfId="466" priority="46">
      <formula>ABS(F$16-F$19)&gt;=1000</formula>
    </cfRule>
  </conditionalFormatting>
  <conditionalFormatting sqref="H14">
    <cfRule type="expression" dxfId="465" priority="45">
      <formula>ABS(H$16-H$19)&gt;=1000</formula>
    </cfRule>
  </conditionalFormatting>
  <conditionalFormatting sqref="AD5">
    <cfRule type="expression" dxfId="464" priority="44">
      <formula>ABS(AD$7-AD$10)&gt;=1000</formula>
    </cfRule>
  </conditionalFormatting>
  <conditionalFormatting sqref="AE5">
    <cfRule type="expression" dxfId="463" priority="43">
      <formula>ABS(AE$7-AE$10)&gt;=1000</formula>
    </cfRule>
  </conditionalFormatting>
  <conditionalFormatting sqref="D5">
    <cfRule type="expression" dxfId="462" priority="42">
      <formula>ABS(D$7-D$10)&gt;=1000</formula>
    </cfRule>
  </conditionalFormatting>
  <conditionalFormatting sqref="E5:G5">
    <cfRule type="expression" dxfId="461" priority="41">
      <formula>ABS(E$7-E$10)&gt;=1000</formula>
    </cfRule>
  </conditionalFormatting>
  <conditionalFormatting sqref="H5">
    <cfRule type="expression" dxfId="460" priority="40">
      <formula>ABS(H$7-H$10)&gt;=1000</formula>
    </cfRule>
  </conditionalFormatting>
  <conditionalFormatting sqref="O4:P4">
    <cfRule type="expression" dxfId="459" priority="39">
      <formula>ABS(O$7-O$10)&gt;=1000</formula>
    </cfRule>
  </conditionalFormatting>
  <conditionalFormatting sqref="O5:O6 O8:O9 O11">
    <cfRule type="expression" dxfId="458" priority="38">
      <formula>ABS(O$7-O$10)&gt;=1000</formula>
    </cfRule>
  </conditionalFormatting>
  <conditionalFormatting sqref="P6 P8:P9 P11">
    <cfRule type="expression" dxfId="457" priority="37">
      <formula>ABS(P$7-P$10)&gt;=1000</formula>
    </cfRule>
  </conditionalFormatting>
  <conditionalFormatting sqref="I5">
    <cfRule type="expression" dxfId="441" priority="20">
      <formula>ABS(I$7-I$10)&gt;=1000</formula>
    </cfRule>
  </conditionalFormatting>
  <conditionalFormatting sqref="J5">
    <cfRule type="expression" dxfId="440" priority="19">
      <formula>ABS(J$7-J$10)&gt;=1000</formula>
    </cfRule>
  </conditionalFormatting>
  <conditionalFormatting sqref="K5">
    <cfRule type="expression" dxfId="439" priority="18">
      <formula>ABS(K$7-K$10)&gt;=1000</formula>
    </cfRule>
  </conditionalFormatting>
  <conditionalFormatting sqref="P5">
    <cfRule type="expression" dxfId="438" priority="17">
      <formula>ABS(P$7-P$10)&gt;=1000</formula>
    </cfRule>
  </conditionalFormatting>
  <conditionalFormatting sqref="H7:L7">
    <cfRule type="expression" dxfId="79" priority="16">
      <formula>ABS(H$7-H$10)&gt;=1000</formula>
    </cfRule>
  </conditionalFormatting>
  <conditionalFormatting sqref="E7">
    <cfRule type="expression" dxfId="78" priority="13">
      <formula>ABS(E$7-E$10)&gt;=1000</formula>
    </cfRule>
  </conditionalFormatting>
  <conditionalFormatting sqref="O7:P7">
    <cfRule type="expression" dxfId="77" priority="15">
      <formula>ABS(O$7-O$10)&gt;=1000</formula>
    </cfRule>
  </conditionalFormatting>
  <conditionalFormatting sqref="N7">
    <cfRule type="expression" dxfId="76" priority="14">
      <formula>ABS(N$7-N$10)&gt;=1000</formula>
    </cfRule>
  </conditionalFormatting>
  <conditionalFormatting sqref="M7">
    <cfRule type="expression" dxfId="75" priority="12">
      <formula>ABS(M$7-M$10)&gt;=1000</formula>
    </cfRule>
  </conditionalFormatting>
  <conditionalFormatting sqref="G7">
    <cfRule type="expression" dxfId="74" priority="11">
      <formula>ABS(G$7-G$10)&gt;=1000</formula>
    </cfRule>
  </conditionalFormatting>
  <conditionalFormatting sqref="F7">
    <cfRule type="expression" dxfId="73" priority="10">
      <formula>ABS(F$7-F$10)&gt;=1000</formula>
    </cfRule>
  </conditionalFormatting>
  <conditionalFormatting sqref="D7">
    <cfRule type="expression" dxfId="72" priority="9">
      <formula>ABS(D$7-D$10)&gt;=1000</formula>
    </cfRule>
  </conditionalFormatting>
  <conditionalFormatting sqref="H10:L10">
    <cfRule type="expression" dxfId="71" priority="8">
      <formula>ABS(H$7-H$10)&gt;=1000</formula>
    </cfRule>
  </conditionalFormatting>
  <conditionalFormatting sqref="E10">
    <cfRule type="expression" dxfId="70" priority="5">
      <formula>ABS(E$7-E$10)&gt;=1000</formula>
    </cfRule>
  </conditionalFormatting>
  <conditionalFormatting sqref="O10:P10">
    <cfRule type="expression" dxfId="69" priority="7">
      <formula>ABS(O$7-O$10)&gt;=1000</formula>
    </cfRule>
  </conditionalFormatting>
  <conditionalFormatting sqref="N10">
    <cfRule type="expression" dxfId="68" priority="6">
      <formula>ABS(N$7-N$10)&gt;=1000</formula>
    </cfRule>
  </conditionalFormatting>
  <conditionalFormatting sqref="M10">
    <cfRule type="expression" dxfId="67" priority="4">
      <formula>ABS(M$7-M$10)&gt;=1000</formula>
    </cfRule>
  </conditionalFormatting>
  <conditionalFormatting sqref="G10">
    <cfRule type="expression" dxfId="66" priority="3">
      <formula>ABS(G$7-G$10)&gt;=1000</formula>
    </cfRule>
  </conditionalFormatting>
  <conditionalFormatting sqref="F10">
    <cfRule type="expression" dxfId="65" priority="2">
      <formula>ABS(F$7-F$10)&gt;=1000</formula>
    </cfRule>
  </conditionalFormatting>
  <conditionalFormatting sqref="D10">
    <cfRule type="expression" dxfId="64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016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26">
    <pageSetUpPr fitToPage="1"/>
  </sheetPr>
  <dimension ref="A1:BA223"/>
  <sheetViews>
    <sheetView view="pageBreakPreview" topLeftCell="B1" zoomScale="110" zoomScaleNormal="100" zoomScaleSheetLayoutView="110" workbookViewId="0">
      <selection activeCell="G9" sqref="G9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01" t="s" ph="1">
        <v>157</v>
      </c>
      <c r="C1" s="201" ph="1"/>
      <c r="D1" s="201" ph="1"/>
      <c r="E1" s="201" ph="1"/>
      <c r="F1" s="201" ph="1"/>
      <c r="G1" s="201" ph="1"/>
      <c r="H1" s="201" ph="1"/>
      <c r="I1" s="201" ph="1"/>
      <c r="J1" s="201" ph="1"/>
      <c r="K1" s="201" ph="1"/>
      <c r="L1" s="201" ph="1"/>
      <c r="M1" s="201" ph="1"/>
      <c r="N1" s="201" ph="1"/>
      <c r="O1" s="201" ph="1"/>
      <c r="P1" s="201" ph="1"/>
      <c r="Q1" s="201" ph="1"/>
      <c r="R1" s="201" ph="1"/>
      <c r="S1" s="201" ph="1"/>
      <c r="T1" s="201" ph="1"/>
      <c r="U1" s="201" ph="1"/>
      <c r="V1" s="201" ph="1"/>
      <c r="W1" s="201" ph="1"/>
      <c r="X1" s="201" ph="1"/>
      <c r="Y1" s="201" ph="1"/>
      <c r="Z1" s="201" ph="1"/>
      <c r="AA1" s="201" ph="1"/>
      <c r="AB1" s="201" ph="1"/>
      <c r="AC1" s="201" ph="1"/>
      <c r="AD1" s="201" ph="1"/>
      <c r="AE1" s="201" ph="1"/>
    </row>
    <row r="2" spans="1:53" s="65" customFormat="1" ht="24" customHeight="1" ph="1">
      <c r="B2" s="202" t="s" ph="1">
        <v>158</v>
      </c>
      <c r="C2" s="202" ph="1"/>
      <c r="D2" s="202" ph="1"/>
      <c r="E2" s="202" ph="1"/>
      <c r="F2" s="202" ph="1"/>
      <c r="G2" s="202" ph="1"/>
      <c r="H2" s="202" ph="1"/>
      <c r="I2" s="202" ph="1"/>
      <c r="J2" s="202" ph="1"/>
      <c r="K2" s="202" ph="1"/>
      <c r="L2" s="202" ph="1"/>
      <c r="M2" s="202" ph="1"/>
      <c r="N2" s="202" ph="1"/>
      <c r="O2" s="202" ph="1"/>
      <c r="P2" s="202" ph="1"/>
      <c r="Q2" s="202" ph="1"/>
      <c r="R2" s="202" ph="1"/>
      <c r="S2" s="202" ph="1"/>
      <c r="T2" s="202" ph="1"/>
      <c r="U2" s="202" ph="1"/>
      <c r="V2" s="202" ph="1"/>
      <c r="W2" s="202" ph="1"/>
      <c r="X2" s="202" ph="1"/>
      <c r="Y2" s="202" ph="1"/>
      <c r="Z2" s="202" ph="1"/>
      <c r="AA2" s="202" ph="1"/>
      <c r="AB2" s="202" ph="1"/>
      <c r="AC2" s="202" ph="1"/>
      <c r="AD2" s="202" ph="1"/>
      <c r="AE2" s="202" ph="1"/>
    </row>
    <row r="3" spans="1:53" ht="21" customHeight="1" ph="1">
      <c r="B3" s="203" ph="1">
        <v>46140</v>
      </c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</row>
    <row r="4" spans="1:53" s="68" customFormat="1" ph="1">
      <c r="A4" s="64" ph="1"/>
      <c r="B4" s="204" t="s" ph="1">
        <v>159</v>
      </c>
      <c r="C4" s="66" t="s" ph="1">
        <v>160</v>
      </c>
      <c r="D4" s="67" t="s" ph="1">
        <v>161</v>
      </c>
      <c r="E4" s="67" t="s" ph="1">
        <v>162</v>
      </c>
      <c r="F4" s="67" t="s" ph="1">
        <v>163</v>
      </c>
      <c r="G4" s="67" t="s" ph="1">
        <v>164</v>
      </c>
      <c r="H4" s="67" t="s" ph="1">
        <v>165</v>
      </c>
      <c r="I4" s="67" t="s" ph="1">
        <v>70</v>
      </c>
      <c r="J4" s="67" t="s" ph="1">
        <v>71</v>
      </c>
      <c r="K4" s="67" t="s" ph="1">
        <v>72</v>
      </c>
      <c r="L4" s="67" t="s" ph="1">
        <v>166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04" ph="1"/>
      <c r="C5" s="66" t="s" ph="1">
        <v>167</v>
      </c>
      <c r="D5" s="141" t="s" ph="1">
        <v>168</v>
      </c>
      <c r="E5" s="141" t="s" ph="1">
        <v>168</v>
      </c>
      <c r="F5" s="141" t="s" ph="1">
        <v>169</v>
      </c>
      <c r="G5" s="141" t="s" ph="1">
        <v>169</v>
      </c>
      <c r="H5" s="141" t="s" ph="1">
        <v>168</v>
      </c>
      <c r="I5" s="141" t="s" ph="1">
        <v>169</v>
      </c>
      <c r="J5" s="141" t="s" ph="1">
        <v>169</v>
      </c>
      <c r="K5" s="141" t="s" ph="1">
        <v>169</v>
      </c>
      <c r="L5" s="140" t="s" ph="1">
        <v>170</v>
      </c>
      <c r="M5" s="140" t="s" ph="1">
        <v>171</v>
      </c>
      <c r="N5" s="69" t="s" ph="1">
        <v>170</v>
      </c>
      <c r="O5" s="69" t="s" ph="1">
        <v>172</v>
      </c>
      <c r="P5" s="141" t="s" ph="1">
        <v>173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00" ph="1">
        <v>0.33333333333333331</v>
      </c>
      <c r="C6" s="175" t="s" ph="1">
        <v>174</v>
      </c>
      <c r="D6" s="155">
        <v>0.28349999999999997</v>
      </c>
      <c r="E6" s="155">
        <v>0.99860000000000004</v>
      </c>
      <c r="F6" s="155">
        <v>0</v>
      </c>
      <c r="G6" s="155">
        <v>0</v>
      </c>
      <c r="H6" s="155">
        <v>0.25650000000000001</v>
      </c>
      <c r="I6" s="155">
        <v>0</v>
      </c>
      <c r="J6" s="155">
        <v>0</v>
      </c>
      <c r="K6" s="155">
        <v>0</v>
      </c>
      <c r="L6" s="155">
        <v>7.3099999999999998E-2</v>
      </c>
      <c r="M6" s="155">
        <v>9.4500000000000001E-2</v>
      </c>
      <c r="N6" s="155">
        <v>0.3327</v>
      </c>
      <c r="O6" s="155">
        <v>0.12529999999999999</v>
      </c>
      <c r="P6" s="155">
        <v>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00" ph="1"/>
      <c r="C7" s="67" t="s" ph="1">
        <v>175</v>
      </c>
      <c r="D7" s="72" ph="1">
        <f>((D6*5200)*4.48)*LOOKUP(D8,密度!$A$2:$A$50,密度!$B$2:$B$50)</f>
        <v>5172.5786112000005</v>
      </c>
      <c r="E7" s="72" ph="1">
        <f>((E6*5200)*4.48)*LOOKUP(E8,密度!$A$2:$A$50,密度!$B$2:$B$50)</f>
        <v>18312.937144320003</v>
      </c>
      <c r="F7" s="72" ph="1">
        <f>((F6*5200)*4.48)*LOOKUP(F8,密度!$A$2:$A$50,密度!$B$2:$B$50)</f>
        <v>0</v>
      </c>
      <c r="G7" s="72" ph="1">
        <f>((G6*5200)*4.48)*LOOKUP(G8,密度!$A$2:$A$50,密度!$B$2:$B$50)</f>
        <v>0</v>
      </c>
      <c r="H7" s="72" ph="1">
        <f>((H6*5200)*18.322+8640)*LOOKUP(H8,密度!$A$2:$A$50,密度!$B$2:$B$50)</f>
        <v>26095.142372040002</v>
      </c>
      <c r="I7" s="72" ph="1">
        <f>((I6*5200)*18.322)*LOOKUP(I8,密度!$A$2:$A$50,密度!$B$2:$B$50)</f>
        <v>0</v>
      </c>
      <c r="J7" s="72" ph="1">
        <f>((J6*5200)*18.322)*LOOKUP(J8,密度!$A$2:$A$50,密度!$B$2:$B$50)</f>
        <v>0</v>
      </c>
      <c r="K7" s="72" ph="1">
        <f>((K6*5200)*18.322)*LOOKUP(K8,密度!$A$2:$A$50,密度!$B$2:$B$50)</f>
        <v>0</v>
      </c>
      <c r="L7" s="72" ph="1">
        <f>(L6*6650)*26.42*LOOKUP(L8,密度!$A$2:$A$50,密度!$B$2:$B$50)</f>
        <v>10012.52621068</v>
      </c>
      <c r="M7" s="72" ph="1">
        <f>(M6*6650)*26.42*1</f>
        <v>16602.988499999999</v>
      </c>
      <c r="N7" s="72" ph="1">
        <f>(N6*5150)*18.32*LOOKUP(N8,密度!$A$2:$A$50,密度!$B$2:$B$50)</f>
        <v>24662.792691719998</v>
      </c>
      <c r="O7" s="72" ph="1">
        <f>(O6*12400)*81.71*LOOKUP(O8,密度!$A$2:$A$50,密度!$B$2:$B$50)</f>
        <v>98973.697951519993</v>
      </c>
      <c r="P7" s="72" ph="1">
        <f>(P6*12400)*81.71*LOOKUP(P8,密度!$A$2:$A$50,密度!$B$2:$B$50)</f>
        <v>0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00" ph="1"/>
      <c r="C8" s="67" t="s" ph="1">
        <v>139</v>
      </c>
      <c r="D8" s="73">
        <v>21</v>
      </c>
      <c r="E8" s="73">
        <v>16</v>
      </c>
      <c r="F8" s="73">
        <v>16</v>
      </c>
      <c r="G8" s="73">
        <v>16</v>
      </c>
      <c r="H8" s="73">
        <v>14</v>
      </c>
      <c r="I8" s="73">
        <v>25</v>
      </c>
      <c r="J8" s="73">
        <v>25</v>
      </c>
      <c r="K8" s="73">
        <v>25</v>
      </c>
      <c r="L8" s="73">
        <v>25</v>
      </c>
      <c r="M8" s="73">
        <v>16</v>
      </c>
      <c r="N8" s="73">
        <v>18</v>
      </c>
      <c r="O8" s="73">
        <v>25</v>
      </c>
      <c r="P8" s="73">
        <v>15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00" ph="1">
        <v>0.66666666666666663</v>
      </c>
      <c r="C9" s="175" t="s" ph="1">
        <v>176</v>
      </c>
      <c r="D9" s="155">
        <v>0.69040000000000001</v>
      </c>
      <c r="E9" s="155">
        <v>0.7</v>
      </c>
      <c r="F9" s="155">
        <v>0</v>
      </c>
      <c r="G9" s="155">
        <v>0</v>
      </c>
      <c r="H9" s="155">
        <v>0.25</v>
      </c>
      <c r="I9" s="155">
        <v>0</v>
      </c>
      <c r="J9" s="155">
        <v>0</v>
      </c>
      <c r="K9" s="155">
        <v>0</v>
      </c>
      <c r="L9" s="155">
        <v>7.3300000000000004E-2</v>
      </c>
      <c r="M9" s="155">
        <v>0.2437</v>
      </c>
      <c r="N9" s="155">
        <v>0.46229999999999999</v>
      </c>
      <c r="O9" s="155">
        <v>0.2354</v>
      </c>
      <c r="P9" s="155">
        <v>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00" ph="1"/>
      <c r="C10" s="175" t="s" ph="1">
        <v>175</v>
      </c>
      <c r="D10" s="72" ph="1">
        <f>((D9*5200)*4.48)*LOOKUP(D11,密度!$A$2:$A$50,密度!$B$2:$B$50)</f>
        <v>12596.642938880001</v>
      </c>
      <c r="E10" s="72" ph="1">
        <f>((E9*5200)*4.48)*LOOKUP(E11,密度!$A$2:$A$50,密度!$B$2:$B$50)</f>
        <v>12812.567039999998</v>
      </c>
      <c r="F10" s="72" ph="1">
        <f>((F9*5200)*4.48)*LOOKUP(F11,密度!$A$2:$A$50,密度!$B$2:$B$50)</f>
        <v>0</v>
      </c>
      <c r="G10" s="72" ph="1">
        <f>((G9*5200)*4.48)*LOOKUP(G11,密度!$A$2:$A$50,密度!$B$2:$B$50)</f>
        <v>0</v>
      </c>
      <c r="H10" s="72" ph="1">
        <f>((H9*5200)*18.322+8640)*LOOKUP(H11,密度!$A$2:$A$50,密度!$B$2:$B$50)</f>
        <v>25304.724559999999</v>
      </c>
      <c r="I10" s="72" ph="1">
        <f>((I9*5200)*18.322)*LOOKUP(I11,密度!$A$2:$A$50,密度!$B$2:$B$50)</f>
        <v>0</v>
      </c>
      <c r="J10" s="72" ph="1">
        <f>((J9*5200)*18.322)*LOOKUP(J11,密度!$A$2:$A$50,密度!$B$2:$B$50)</f>
        <v>0</v>
      </c>
      <c r="K10" s="72" ph="1">
        <f>((K9*5200)*18.322)*LOOKUP(K11,密度!$A$2:$A$50,密度!$B$2:$B$50)</f>
        <v>0</v>
      </c>
      <c r="L10" s="72" ph="1">
        <f>(L9*6650)*26.42*LOOKUP(L11,密度!$A$2:$A$50,密度!$B$2:$B$50)</f>
        <v>10039.920263240001</v>
      </c>
      <c r="M10" s="72" ph="1">
        <f>(M9*6650)*26.42*1</f>
        <v>42816.384100000003</v>
      </c>
      <c r="N10" s="72" ph="1">
        <f>(N9*5150)*18.32*LOOKUP(N11,密度!$A$2:$A$50,密度!$B$2:$B$50)</f>
        <v>34235.046405959998</v>
      </c>
      <c r="O10" s="72" ph="1">
        <f>(O9*12400)*81.71*LOOKUP(O11,密度!$A$2:$A$50,密度!$B$2:$B$50)</f>
        <v>185941.00955935998</v>
      </c>
      <c r="P10" s="72" ph="1">
        <f>(P9*12400)*81.71*LOOKUP(P11,密度!$A$2:$A$50,密度!$B$2:$B$50)</f>
        <v>0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177</v>
      </c>
      <c r="B11" s="200" ph="1"/>
      <c r="C11" s="175" t="s" ph="1">
        <v>139</v>
      </c>
      <c r="D11" s="73">
        <v>21</v>
      </c>
      <c r="E11" s="73">
        <v>18</v>
      </c>
      <c r="F11" s="73">
        <v>18</v>
      </c>
      <c r="G11" s="73">
        <v>18</v>
      </c>
      <c r="H11" s="73">
        <v>25</v>
      </c>
      <c r="I11" s="73">
        <v>25</v>
      </c>
      <c r="J11" s="73">
        <v>25</v>
      </c>
      <c r="K11" s="73">
        <v>25</v>
      </c>
      <c r="L11" s="73">
        <v>25</v>
      </c>
      <c r="M11" s="73">
        <v>19</v>
      </c>
      <c r="N11" s="73">
        <v>19</v>
      </c>
      <c r="O11" s="73">
        <v>25</v>
      </c>
      <c r="P11" s="73">
        <v>16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/>
    <row r="13" spans="1:53" s="71" customFormat="1" ht="29.25" customHeight="1" ph="1">
      <c r="B13" s="208" t="s" ph="1">
        <v>159</v>
      </c>
      <c r="C13" s="175" t="s" ph="1">
        <v>178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09" ph="1"/>
      <c r="C14" s="66" t="s" ph="1">
        <v>167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10" ph="1">
        <v>0.33333333333333331</v>
      </c>
      <c r="C15" s="175" t="s" ph="1">
        <v>179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2.2" ph="1">
      <c r="B16" s="211" ph="1"/>
      <c r="C16" s="175" t="s" ph="1">
        <v>180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7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181</v>
      </c>
      <c r="B17" s="212" ph="1"/>
      <c r="C17" s="78" t="s" ph="1">
        <v>182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10" ph="1">
        <v>0.66666666666666663</v>
      </c>
      <c r="C18" s="78" t="s" ph="1">
        <v>183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11" ph="1"/>
      <c r="C19" s="175" t="s" ph="1">
        <v>184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11" ph="1"/>
      <c r="C20" s="79" t="s" ph="1">
        <v>139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185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09" t="s" ph="1">
        <v>159</v>
      </c>
      <c r="C22" s="84" t="s" ph="1">
        <v>178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188" t="s" ph="1">
        <v>186</v>
      </c>
      <c r="AA22" s="189"/>
      <c r="AB22" s="189"/>
      <c r="AC22" s="189"/>
      <c r="AD22" s="189"/>
      <c r="AE22" s="190"/>
    </row>
    <row r="23" spans="1:32" ph="1">
      <c r="A23" s="71" ph="1"/>
      <c r="B23" s="204" ph="1"/>
      <c r="C23" s="66" t="s" ph="1">
        <v>167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191" t="s" ph="1">
        <v>187</v>
      </c>
      <c r="AA23" s="192"/>
      <c r="AB23" s="192"/>
      <c r="AC23" s="192"/>
      <c r="AD23" s="192"/>
      <c r="AE23" s="193"/>
    </row>
    <row r="24" spans="1:32" ph="1">
      <c r="A24" s="71" ph="1"/>
      <c r="B24" s="200" ph="1">
        <v>0.33333333333333331</v>
      </c>
      <c r="C24" s="175" t="s" ph="1">
        <v>188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194"/>
      <c r="AA24" s="195"/>
      <c r="AB24" s="195"/>
      <c r="AC24" s="195"/>
      <c r="AD24" s="195"/>
      <c r="AE24" s="196"/>
    </row>
    <row r="25" spans="1:32" ph="1">
      <c r="A25" s="71" ph="1"/>
      <c r="B25" s="200" ph="1"/>
      <c r="C25" s="67" t="s" ph="1">
        <v>175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194"/>
      <c r="AA25" s="195"/>
      <c r="AB25" s="195"/>
      <c r="AC25" s="195"/>
      <c r="AD25" s="195"/>
      <c r="AE25" s="196"/>
    </row>
    <row r="26" spans="1:32" ph="1">
      <c r="A26" s="71" ph="1"/>
      <c r="B26" s="200" ph="1"/>
      <c r="C26" s="67" t="s" ph="1">
        <v>139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194"/>
      <c r="AA26" s="195"/>
      <c r="AB26" s="195"/>
      <c r="AC26" s="195"/>
      <c r="AD26" s="195"/>
      <c r="AE26" s="196"/>
    </row>
    <row r="27" spans="1:32" ht="26.4" ph="1">
      <c r="A27" s="71" ph="1"/>
      <c r="B27" s="200" ph="1">
        <v>0.66666666666666663</v>
      </c>
      <c r="C27" s="175" t="s" ph="1">
        <v>183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194"/>
      <c r="AA27" s="195"/>
      <c r="AB27" s="195"/>
      <c r="AC27" s="195"/>
      <c r="AD27" s="195"/>
      <c r="AE27" s="196"/>
    </row>
    <row r="28" spans="1:32" ph="1">
      <c r="A28" s="71" ph="1"/>
      <c r="B28" s="200" ph="1"/>
      <c r="C28" s="175" t="s" ph="1">
        <v>184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194"/>
      <c r="AA28" s="195"/>
      <c r="AB28" s="195"/>
      <c r="AC28" s="195"/>
      <c r="AD28" s="195"/>
      <c r="AE28" s="196"/>
    </row>
    <row r="29" spans="1:32" ph="1">
      <c r="A29" s="71" ph="1"/>
      <c r="B29" s="200" ph="1"/>
      <c r="C29" s="175" t="s" ph="1">
        <v>189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197"/>
      <c r="AA29" s="198"/>
      <c r="AB29" s="198"/>
      <c r="AC29" s="198"/>
      <c r="AD29" s="198"/>
      <c r="AE29" s="199"/>
    </row>
    <row r="30" spans="1:32" ph="1">
      <c r="D30" s="93" ph="1"/>
      <c r="Z30" s="63" t="s" ph="1">
        <v>185</v>
      </c>
      <c r="AE30" s="94" ph="1"/>
    </row>
    <row r="31" spans="1:32" ht="28.2" ph="1">
      <c r="A31" s="63"/>
      <c r="B31" s="213" t="s" ph="1">
        <v>190</v>
      </c>
      <c r="C31" s="214" ph="1"/>
      <c r="D31" s="205" t="s" ph="1">
        <v>191</v>
      </c>
      <c r="E31" s="206" ph="1"/>
      <c r="F31" s="207" ph="1"/>
      <c r="G31" s="217" ph="1"/>
      <c r="H31" s="206" ph="1"/>
      <c r="I31" s="207" ph="1"/>
      <c r="J31" s="205" ph="1"/>
      <c r="K31" s="206" ph="1"/>
      <c r="L31" s="207" ph="1"/>
      <c r="M31" s="205" ph="1"/>
      <c r="N31" s="206" ph="1"/>
      <c r="O31" s="207" ph="1"/>
      <c r="P31" s="205" ph="1"/>
      <c r="Q31" s="206"/>
      <c r="R31" s="207"/>
      <c r="S31" s="205" ph="1"/>
      <c r="T31" s="206"/>
      <c r="U31" s="207"/>
      <c r="V31" s="205" ph="1"/>
      <c r="W31" s="206" ph="1"/>
      <c r="X31" s="207" ph="1"/>
      <c r="Y31" s="205" ph="1"/>
      <c r="Z31" s="206" ph="1"/>
      <c r="AA31" s="207" ph="1"/>
      <c r="AB31" s="228"/>
      <c r="AC31" s="229"/>
      <c r="AD31" s="229"/>
      <c r="AE31" s="230"/>
    </row>
    <row r="32" spans="1:32" ph="1">
      <c r="A32" s="63"/>
      <c r="B32" s="215" ph="1"/>
      <c r="C32" s="216" ph="1"/>
      <c r="D32" s="95" t="s" ph="1">
        <v>192</v>
      </c>
      <c r="E32" s="175" t="s" ph="1">
        <v>193</v>
      </c>
      <c r="F32" s="174" t="s" ph="1">
        <v>194</v>
      </c>
      <c r="G32" s="96" t="s" ph="1">
        <v>192</v>
      </c>
      <c r="H32" s="175" t="s" ph="1">
        <v>195</v>
      </c>
      <c r="I32" s="174" t="s" ph="1">
        <v>196</v>
      </c>
      <c r="J32" s="96" t="s" ph="1">
        <v>192</v>
      </c>
      <c r="K32" s="175" t="s" ph="1">
        <v>195</v>
      </c>
      <c r="L32" s="174" t="s" ph="1">
        <v>194</v>
      </c>
      <c r="M32" s="96" t="s" ph="1">
        <v>192</v>
      </c>
      <c r="N32" s="175" t="s" ph="1">
        <v>195</v>
      </c>
      <c r="O32" s="174" t="s" ph="1">
        <v>194</v>
      </c>
      <c r="P32" s="96" t="s" ph="1">
        <v>192</v>
      </c>
      <c r="Q32" s="97" t="s" ph="1">
        <v>193</v>
      </c>
      <c r="R32" s="98" t="s" ph="1">
        <v>194</v>
      </c>
      <c r="S32" s="96" t="s" ph="1">
        <v>144</v>
      </c>
      <c r="T32" s="175" t="s" ph="1">
        <v>197</v>
      </c>
      <c r="U32" s="98" t="s" ph="1">
        <v>194</v>
      </c>
      <c r="V32" s="96" t="s" ph="1">
        <v>198</v>
      </c>
      <c r="W32" s="175" t="s" ph="1">
        <v>193</v>
      </c>
      <c r="X32" s="98" t="s" ph="1">
        <v>194</v>
      </c>
      <c r="Y32" s="99" t="s" ph="1">
        <v>192</v>
      </c>
      <c r="Z32" s="175" t="s" ph="1">
        <v>193</v>
      </c>
      <c r="AA32" s="174" t="s" ph="1">
        <v>194</v>
      </c>
      <c r="AB32" s="96" t="s" ph="1">
        <v>199</v>
      </c>
      <c r="AC32" s="175" t="s" ph="1">
        <v>200</v>
      </c>
      <c r="AD32" s="231" t="s" ph="1">
        <v>201</v>
      </c>
      <c r="AE32" s="232"/>
    </row>
    <row r="33" spans="1:31" ph="1">
      <c r="A33" s="63"/>
      <c r="B33" s="218" t="s" ph="1">
        <v>202</v>
      </c>
      <c r="C33" s="219" ph="1"/>
      <c r="D33" s="222" ph="1">
        <f>O10+P10</f>
        <v>185941.00955935998</v>
      </c>
      <c r="E33" s="222" ph="1">
        <f>H10+I10+J10+K10</f>
        <v>25304.724559999999</v>
      </c>
      <c r="F33" s="224" ph="1">
        <f>L10+N10</f>
        <v>44274.966669200003</v>
      </c>
      <c r="G33" s="226" ph="1">
        <v>0</v>
      </c>
      <c r="H33" s="222" ph="1">
        <v>0</v>
      </c>
      <c r="I33" s="235" ph="1">
        <v>0</v>
      </c>
      <c r="J33" s="233" ph="1">
        <v>0</v>
      </c>
      <c r="K33" s="222" ph="1">
        <v>0</v>
      </c>
      <c r="L33" s="237" ph="1">
        <v>0</v>
      </c>
      <c r="M33" s="233" ph="1">
        <v>0</v>
      </c>
      <c r="N33" s="222" ph="1">
        <v>0</v>
      </c>
      <c r="O33" s="235" ph="1">
        <f>G19</f>
        <v>0</v>
      </c>
      <c r="P33" s="233" ph="1">
        <v>0</v>
      </c>
      <c r="Q33" s="222" ph="1">
        <v>0</v>
      </c>
      <c r="R33" s="235" ph="1">
        <v>0</v>
      </c>
      <c r="S33" s="233" ph="1">
        <v>0</v>
      </c>
      <c r="T33" s="222" ph="1">
        <v>0</v>
      </c>
      <c r="U33" s="243" ph="1">
        <v>0</v>
      </c>
      <c r="V33" s="254" ph="1">
        <v>0</v>
      </c>
      <c r="W33" s="254" ph="1">
        <v>0</v>
      </c>
      <c r="X33" s="235" ph="1">
        <v>0</v>
      </c>
      <c r="Y33" s="256" ph="1">
        <v>0</v>
      </c>
      <c r="Z33" s="241" ph="1">
        <v>0</v>
      </c>
      <c r="AA33" s="243" ph="1">
        <v>0</v>
      </c>
      <c r="AB33" s="245" ph="1">
        <v>0</v>
      </c>
      <c r="AC33" s="247" ph="1">
        <v>0</v>
      </c>
      <c r="AD33" s="249" ph="1">
        <v>0</v>
      </c>
      <c r="AE33" s="250"/>
    </row>
    <row r="34" spans="1:31" ph="1">
      <c r="A34" s="63"/>
      <c r="B34" s="220" ph="1"/>
      <c r="C34" s="221" ph="1"/>
      <c r="D34" s="223" ph="1"/>
      <c r="E34" s="223" ph="1"/>
      <c r="F34" s="225" ph="1"/>
      <c r="G34" s="227" ph="1"/>
      <c r="H34" s="223" ph="1"/>
      <c r="I34" s="236" ph="1"/>
      <c r="J34" s="234" ph="1"/>
      <c r="K34" s="223" ph="1"/>
      <c r="L34" s="238" ph="1"/>
      <c r="M34" s="234" ph="1"/>
      <c r="N34" s="223" ph="1"/>
      <c r="O34" s="236" ph="1"/>
      <c r="P34" s="234" ph="1"/>
      <c r="Q34" s="223" ph="1"/>
      <c r="R34" s="236" ph="1"/>
      <c r="S34" s="234" ph="1"/>
      <c r="T34" s="223"/>
      <c r="U34" s="244"/>
      <c r="V34" s="255" ph="1"/>
      <c r="W34" s="255" ph="1"/>
      <c r="X34" s="236" ph="1"/>
      <c r="Y34" s="257" ph="1"/>
      <c r="Z34" s="242" ph="1"/>
      <c r="AA34" s="244" ph="1"/>
      <c r="AB34" s="246"/>
      <c r="AC34" s="248"/>
      <c r="AD34" s="251"/>
      <c r="AE34" s="252"/>
    </row>
    <row r="35" spans="1:31" ph="1">
      <c r="A35" s="63"/>
      <c r="AC35" s="253" t="s" ph="1">
        <v>203</v>
      </c>
      <c r="AD35" s="253"/>
      <c r="AE35" s="253"/>
    </row>
    <row r="36" spans="1:31" ht="28.2" ph="1">
      <c r="A36" s="63"/>
      <c r="B36" s="102" t="s" ph="1">
        <v>204</v>
      </c>
      <c r="I36" s="239" t="s" ph="1">
        <v>205</v>
      </c>
      <c r="J36" s="239" ph="1"/>
      <c r="K36" s="100" ph="1"/>
      <c r="P36" s="100" ph="1"/>
      <c r="R36" s="239" t="s" ph="1">
        <v>153</v>
      </c>
      <c r="S36" s="239" ph="1"/>
      <c r="Y36" s="101" ph="1"/>
      <c r="Z36" s="173" t="s" ph="1">
        <v>206</v>
      </c>
      <c r="AA36" s="173" ph="1"/>
      <c r="AB36" s="240" t="s" ph="1">
        <v>207</v>
      </c>
      <c r="AC36" s="240" ph="1"/>
      <c r="AD36" s="240" ph="1"/>
      <c r="AE36" s="240" ph="1"/>
    </row>
    <row r="37" spans="1:31" s="173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6 D8:D9 D11">
    <cfRule type="expression" dxfId="437" priority="132">
      <formula>ABS(D$7-D$10)&gt;=1000</formula>
    </cfRule>
  </conditionalFormatting>
  <conditionalFormatting sqref="E4 E6 E8:E9 E11 H7:L7 H10:L10">
    <cfRule type="expression" dxfId="436" priority="131">
      <formula>ABS(E$7-E$10)&gt;=1000</formula>
    </cfRule>
  </conditionalFormatting>
  <conditionalFormatting sqref="F4 F6 F8:F9 F11">
    <cfRule type="expression" dxfId="435" priority="130">
      <formula>ABS(F$7-F$10)&gt;=1000</formula>
    </cfRule>
  </conditionalFormatting>
  <conditionalFormatting sqref="G4 G6 G8:G9 G11">
    <cfRule type="expression" dxfId="434" priority="129">
      <formula>ABS(G$7-G$10)&gt;=1000</formula>
    </cfRule>
  </conditionalFormatting>
  <conditionalFormatting sqref="H4:K4 H6 H8:H9 H11">
    <cfRule type="expression" dxfId="433" priority="128">
      <formula>ABS(H$7-H$10)&gt;=1000</formula>
    </cfRule>
  </conditionalFormatting>
  <conditionalFormatting sqref="I6 I8:I9 I11">
    <cfRule type="expression" dxfId="432" priority="127">
      <formula>ABS(I$7-I$10)&gt;=1000</formula>
    </cfRule>
  </conditionalFormatting>
  <conditionalFormatting sqref="J6 J8:J9 J11">
    <cfRule type="expression" dxfId="431" priority="126">
      <formula>ABS(J$7-J$10)&gt;=1000</formula>
    </cfRule>
  </conditionalFormatting>
  <conditionalFormatting sqref="K6 K8:K9 K11">
    <cfRule type="expression" dxfId="430" priority="125">
      <formula>ABS(K$7-K$10)&gt;=1000</formula>
    </cfRule>
  </conditionalFormatting>
  <conditionalFormatting sqref="L4:L6 M4:N4 Q4:S4 L8:L9 L11">
    <cfRule type="expression" dxfId="429" priority="124">
      <formula>ABS(L$7-L$10)&gt;=1000</formula>
    </cfRule>
  </conditionalFormatting>
  <conditionalFormatting sqref="M6 M8:M9 M11">
    <cfRule type="expression" dxfId="428" priority="123">
      <formula>ABS(M$7-M$10)&gt;=1000</formula>
    </cfRule>
  </conditionalFormatting>
  <conditionalFormatting sqref="N6 N8:N9 N11">
    <cfRule type="expression" dxfId="427" priority="122">
      <formula>ABS(N$7-N$10)&gt;=1000</formula>
    </cfRule>
  </conditionalFormatting>
  <conditionalFormatting sqref="Q5:Q11">
    <cfRule type="expression" dxfId="426" priority="121">
      <formula>ABS(Q$7-Q$10)&gt;=1000</formula>
    </cfRule>
  </conditionalFormatting>
  <conditionalFormatting sqref="R5:R11">
    <cfRule type="expression" dxfId="425" priority="120">
      <formula>ABS(R$7-R$10)&gt;=1000</formula>
    </cfRule>
  </conditionalFormatting>
  <conditionalFormatting sqref="S5:S11">
    <cfRule type="expression" dxfId="424" priority="119">
      <formula>ABS(S$7-S$10)&gt;=1000</formula>
    </cfRule>
  </conditionalFormatting>
  <conditionalFormatting sqref="T4:T9 T11">
    <cfRule type="expression" dxfId="423" priority="118">
      <formula>ABS(T$7-T$10)&gt;=1000</formula>
    </cfRule>
  </conditionalFormatting>
  <conditionalFormatting sqref="U4:U9 U11">
    <cfRule type="expression" dxfId="422" priority="117">
      <formula>ABS(U$7-U$10)&gt;=1000</formula>
    </cfRule>
  </conditionalFormatting>
  <conditionalFormatting sqref="V4:V9 V11">
    <cfRule type="expression" dxfId="421" priority="116">
      <formula>ABS(V$7-V$10)&gt;=1000</formula>
    </cfRule>
  </conditionalFormatting>
  <conditionalFormatting sqref="W4:W9 W11">
    <cfRule type="expression" dxfId="420" priority="115">
      <formula>ABS(W$7-W$10)&gt;=1000</formula>
    </cfRule>
  </conditionalFormatting>
  <conditionalFormatting sqref="X4:X9 X11">
    <cfRule type="expression" dxfId="419" priority="114">
      <formula>ABS(X$7-X$10)&gt;=1000</formula>
    </cfRule>
  </conditionalFormatting>
  <conditionalFormatting sqref="Y4:Y9 Y11">
    <cfRule type="expression" dxfId="418" priority="113">
      <formula>ABS(Y$7-Y$10)&gt;=1000</formula>
    </cfRule>
  </conditionalFormatting>
  <conditionalFormatting sqref="Z4:Z11">
    <cfRule type="expression" dxfId="417" priority="112">
      <formula>ABS(Z$7-Z$10)&gt;=1000</formula>
    </cfRule>
  </conditionalFormatting>
  <conditionalFormatting sqref="AA4:AA11">
    <cfRule type="expression" dxfId="416" priority="111">
      <formula>ABS(AA$7-AA$10)&gt;=1000</formula>
    </cfRule>
  </conditionalFormatting>
  <conditionalFormatting sqref="AB4:AB11">
    <cfRule type="expression" dxfId="415" priority="110">
      <formula>ABS(AB$7-AB$10)&gt;=1000</formula>
    </cfRule>
  </conditionalFormatting>
  <conditionalFormatting sqref="AC4 AC6:AC11">
    <cfRule type="expression" dxfId="414" priority="109">
      <formula>ABS(AC$7-AC$10)&gt;=1000</formula>
    </cfRule>
  </conditionalFormatting>
  <conditionalFormatting sqref="AD4 AD6:AD11">
    <cfRule type="expression" dxfId="413" priority="108">
      <formula>ABS(AD$7-AD$10)&gt;=1000</formula>
    </cfRule>
  </conditionalFormatting>
  <conditionalFormatting sqref="AE4 AE6:AE11">
    <cfRule type="expression" dxfId="412" priority="107">
      <formula>ABS(AE$7-AE$10)&gt;=1000</formula>
    </cfRule>
  </conditionalFormatting>
  <conditionalFormatting sqref="D13:D20">
    <cfRule type="expression" dxfId="411" priority="106">
      <formula>ABS(D$16-D$19)&gt;=1000</formula>
    </cfRule>
  </conditionalFormatting>
  <conditionalFormatting sqref="E13:E20">
    <cfRule type="expression" dxfId="410" priority="105">
      <formula>ABS(E$16-E$19)&gt;=1000</formula>
    </cfRule>
  </conditionalFormatting>
  <conditionalFormatting sqref="F13 F15:F20">
    <cfRule type="expression" dxfId="409" priority="104">
      <formula>ABS(F$16-F$19)&gt;=1000</formula>
    </cfRule>
  </conditionalFormatting>
  <conditionalFormatting sqref="G13:G20">
    <cfRule type="expression" dxfId="408" priority="103">
      <formula>ABS(G$16-G$19)&gt;=1000</formula>
    </cfRule>
  </conditionalFormatting>
  <conditionalFormatting sqref="H13 H15:H20">
    <cfRule type="expression" dxfId="407" priority="102">
      <formula>ABS(H$16-H$19)&gt;=1000</formula>
    </cfRule>
  </conditionalFormatting>
  <conditionalFormatting sqref="I13:I20">
    <cfRule type="expression" dxfId="406" priority="101">
      <formula>ABS(I$16-I$19)&gt;=1000</formula>
    </cfRule>
  </conditionalFormatting>
  <conditionalFormatting sqref="J13:J20">
    <cfRule type="expression" dxfId="405" priority="100">
      <formula>ABS(J$16-J$19)&gt;=1000</formula>
    </cfRule>
  </conditionalFormatting>
  <conditionalFormatting sqref="L13:L20">
    <cfRule type="expression" dxfId="404" priority="99">
      <formula>ABS(L$16-L$19)&gt;=1000</formula>
    </cfRule>
  </conditionalFormatting>
  <conditionalFormatting sqref="M13 M15 M17:M18 M20">
    <cfRule type="expression" dxfId="403" priority="98">
      <formula>ABS(M$16-M$19)&gt;=1000</formula>
    </cfRule>
  </conditionalFormatting>
  <conditionalFormatting sqref="N13:N20">
    <cfRule type="expression" dxfId="402" priority="97">
      <formula>ABS(N$16-N$19)&gt;=1000</formula>
    </cfRule>
  </conditionalFormatting>
  <conditionalFormatting sqref="O13:O20">
    <cfRule type="expression" dxfId="401" priority="96">
      <formula>ABS(O$16-O$19)&gt;=1000</formula>
    </cfRule>
  </conditionalFormatting>
  <conditionalFormatting sqref="P13:P20">
    <cfRule type="expression" dxfId="400" priority="95">
      <formula>ABS(P$16-P$19)&gt;=1000</formula>
    </cfRule>
  </conditionalFormatting>
  <conditionalFormatting sqref="Q13 Q15:Q20">
    <cfRule type="expression" dxfId="399" priority="94">
      <formula>ABS(Q$16-Q$19)&gt;=1000</formula>
    </cfRule>
  </conditionalFormatting>
  <conditionalFormatting sqref="R13:R20">
    <cfRule type="expression" dxfId="398" priority="93">
      <formula>ABS(R$16-R$19)&gt;=1000</formula>
    </cfRule>
  </conditionalFormatting>
  <conditionalFormatting sqref="S13:S20">
    <cfRule type="expression" dxfId="397" priority="92">
      <formula>ABS(S$16-S$19)&gt;=1000</formula>
    </cfRule>
  </conditionalFormatting>
  <conditionalFormatting sqref="T13:T20">
    <cfRule type="expression" dxfId="396" priority="91">
      <formula>ABS(T$16-T$19)&gt;=1000</formula>
    </cfRule>
  </conditionalFormatting>
  <conditionalFormatting sqref="U13:U20">
    <cfRule type="expression" dxfId="395" priority="90">
      <formula>ABS(U$16-U$19)&gt;=1000</formula>
    </cfRule>
  </conditionalFormatting>
  <conditionalFormatting sqref="V13:V20">
    <cfRule type="expression" dxfId="394" priority="89">
      <formula>ABS(V$16-V$19)&gt;=1000</formula>
    </cfRule>
  </conditionalFormatting>
  <conditionalFormatting sqref="W13 W20 W15:W18">
    <cfRule type="expression" dxfId="393" priority="88">
      <formula>ABS(W$16-W$19)&gt;=1000</formula>
    </cfRule>
  </conditionalFormatting>
  <conditionalFormatting sqref="X13 X15:X20 Y19">
    <cfRule type="expression" dxfId="392" priority="87">
      <formula>ABS(X$16-X$19)&gt;=1000</formula>
    </cfRule>
  </conditionalFormatting>
  <conditionalFormatting sqref="Y13 Y15:Y18 Y20">
    <cfRule type="expression" dxfId="391" priority="86">
      <formula>ABS(Y$16-Y$19)&gt;=1000</formula>
    </cfRule>
  </conditionalFormatting>
  <conditionalFormatting sqref="Z13:Z20">
    <cfRule type="expression" dxfId="390" priority="85">
      <formula>ABS(Z$16-Z$19)&gt;=1000</formula>
    </cfRule>
  </conditionalFormatting>
  <conditionalFormatting sqref="AA13:AA20">
    <cfRule type="expression" dxfId="389" priority="84">
      <formula>ABS(AA$16-AA$19)&gt;=1000</formula>
    </cfRule>
  </conditionalFormatting>
  <conditionalFormatting sqref="AB13 AB15:AB20">
    <cfRule type="expression" dxfId="388" priority="83">
      <formula>ABS(AB$16-AB$19)&gt;=1000</formula>
    </cfRule>
  </conditionalFormatting>
  <conditionalFormatting sqref="AC13 AC15:AC20">
    <cfRule type="expression" dxfId="387" priority="82">
      <formula>ABS(AC$16-AC$19)&gt;=1000</formula>
    </cfRule>
  </conditionalFormatting>
  <conditionalFormatting sqref="AD13:AD20">
    <cfRule type="expression" dxfId="386" priority="81">
      <formula>ABS(AD$16-AD$19)&gt;=1000</formula>
    </cfRule>
  </conditionalFormatting>
  <conditionalFormatting sqref="AE13:AE20">
    <cfRule type="expression" dxfId="385" priority="80">
      <formula>ABS(AE$16-AE$19)&gt;=1000</formula>
    </cfRule>
  </conditionalFormatting>
  <conditionalFormatting sqref="D22:D29">
    <cfRule type="expression" dxfId="384" priority="79">
      <formula>ABS(D$25-D$28)&gt;=1000</formula>
    </cfRule>
  </conditionalFormatting>
  <conditionalFormatting sqref="E22:E29">
    <cfRule type="expression" dxfId="383" priority="78">
      <formula>ABS(E$25-E$28)&gt;=1000</formula>
    </cfRule>
  </conditionalFormatting>
  <conditionalFormatting sqref="F22:F29">
    <cfRule type="expression" dxfId="382" priority="77">
      <formula>ABS(F$25-F$28)&gt;=1000</formula>
    </cfRule>
  </conditionalFormatting>
  <conditionalFormatting sqref="G22:G29">
    <cfRule type="expression" dxfId="381" priority="76">
      <formula>ABS(G$25-G$28)&gt;=1000</formula>
    </cfRule>
  </conditionalFormatting>
  <conditionalFormatting sqref="H22:H29">
    <cfRule type="expression" dxfId="380" priority="75">
      <formula>ABS(H$25-H$28)&gt;=1000</formula>
    </cfRule>
  </conditionalFormatting>
  <conditionalFormatting sqref="I22 I24:I29">
    <cfRule type="expression" dxfId="379" priority="74">
      <formula>ABS(I$25-I$28)&gt;=1000</formula>
    </cfRule>
  </conditionalFormatting>
  <conditionalFormatting sqref="J22:J29 K22">
    <cfRule type="expression" dxfId="378" priority="73">
      <formula>ABS(J$25-J$28)&gt;=1000</formula>
    </cfRule>
  </conditionalFormatting>
  <conditionalFormatting sqref="K23:K29 L25 L28">
    <cfRule type="expression" dxfId="377" priority="72">
      <formula>ABS(K$25-K$28)&gt;=1000</formula>
    </cfRule>
  </conditionalFormatting>
  <conditionalFormatting sqref="L22 L26:L27 L29 L24">
    <cfRule type="expression" dxfId="376" priority="71">
      <formula>ABS(L$25-L$28)&gt;=1000</formula>
    </cfRule>
  </conditionalFormatting>
  <conditionalFormatting sqref="M22:M29">
    <cfRule type="expression" dxfId="375" priority="70">
      <formula>ABS(M$25-M$28)&gt;=1000</formula>
    </cfRule>
  </conditionalFormatting>
  <conditionalFormatting sqref="N22:N29">
    <cfRule type="expression" dxfId="374" priority="69">
      <formula>ABS(N$25-N$28)&gt;=1000</formula>
    </cfRule>
  </conditionalFormatting>
  <conditionalFormatting sqref="O22:O29">
    <cfRule type="expression" dxfId="373" priority="68">
      <formula>ABS(O$25-O$28)&gt;=1000</formula>
    </cfRule>
  </conditionalFormatting>
  <conditionalFormatting sqref="P22:P29">
    <cfRule type="expression" dxfId="372" priority="67">
      <formula>ABS(P$25-P$28)&gt;=1000</formula>
    </cfRule>
  </conditionalFormatting>
  <conditionalFormatting sqref="Q22:Q29">
    <cfRule type="expression" dxfId="371" priority="66">
      <formula>ABS(Q$25-Q$28)&gt;=1000</formula>
    </cfRule>
  </conditionalFormatting>
  <conditionalFormatting sqref="R22:R29">
    <cfRule type="expression" dxfId="370" priority="65">
      <formula>ABS(R$25-R$28)&gt;=1000</formula>
    </cfRule>
  </conditionalFormatting>
  <conditionalFormatting sqref="S22:S29">
    <cfRule type="expression" dxfId="369" priority="64">
      <formula>ABS(S$25-S$28)&gt;=1000</formula>
    </cfRule>
  </conditionalFormatting>
  <conditionalFormatting sqref="T22:T29">
    <cfRule type="expression" dxfId="368" priority="63">
      <formula>ABS(T$25-T$28)&gt;=1000</formula>
    </cfRule>
  </conditionalFormatting>
  <conditionalFormatting sqref="U22:U29">
    <cfRule type="expression" dxfId="367" priority="62">
      <formula>ABS(U$25-U$28)&gt;=1000</formula>
    </cfRule>
  </conditionalFormatting>
  <conditionalFormatting sqref="V22:V29">
    <cfRule type="expression" dxfId="366" priority="61">
      <formula>ABS(V$25-V$28)&gt;=1000</formula>
    </cfRule>
  </conditionalFormatting>
  <conditionalFormatting sqref="W22:W29">
    <cfRule type="expression" dxfId="365" priority="60">
      <formula>ABS(W$25-W$28)&gt;=1000</formula>
    </cfRule>
  </conditionalFormatting>
  <conditionalFormatting sqref="X22:X29">
    <cfRule type="expression" dxfId="364" priority="59">
      <formula>ABS(X$25-X$28)&gt;=1000</formula>
    </cfRule>
  </conditionalFormatting>
  <conditionalFormatting sqref="Y22:Y29">
    <cfRule type="expression" dxfId="363" priority="58">
      <formula>ABS(Y$25-Y$28)&gt;=1000</formula>
    </cfRule>
  </conditionalFormatting>
  <conditionalFormatting sqref="I23">
    <cfRule type="expression" dxfId="362" priority="57">
      <formula>ABS(I$25-I$28)&gt;=1000</formula>
    </cfRule>
  </conditionalFormatting>
  <conditionalFormatting sqref="Q14">
    <cfRule type="expression" dxfId="361" priority="56">
      <formula>ABS(Q$16-Q$19)&gt;=1000</formula>
    </cfRule>
  </conditionalFormatting>
  <conditionalFormatting sqref="W14">
    <cfRule type="expression" dxfId="360" priority="55">
      <formula>ABS(W$16-W$19)&gt;=1000</formula>
    </cfRule>
  </conditionalFormatting>
  <conditionalFormatting sqref="X14">
    <cfRule type="expression" dxfId="359" priority="54">
      <formula>ABS(X$16-X$19)&gt;=1000</formula>
    </cfRule>
  </conditionalFormatting>
  <conditionalFormatting sqref="T10:Y10">
    <cfRule type="expression" dxfId="358" priority="53">
      <formula>ABS(T$7-T$10)&gt;=1000</formula>
    </cfRule>
  </conditionalFormatting>
  <conditionalFormatting sqref="W19">
    <cfRule type="expression" dxfId="357" priority="52">
      <formula>ABS(W$16-W$19)&gt;=1000</formula>
    </cfRule>
  </conditionalFormatting>
  <conditionalFormatting sqref="AC5">
    <cfRule type="expression" dxfId="356" priority="51">
      <formula>ABS(AC$7-AC$10)&gt;=1000</formula>
    </cfRule>
  </conditionalFormatting>
  <conditionalFormatting sqref="M14">
    <cfRule type="expression" dxfId="355" priority="50">
      <formula>ABS(M$16-M$19)&gt;=1000</formula>
    </cfRule>
  </conditionalFormatting>
  <conditionalFormatting sqref="M16">
    <cfRule type="expression" dxfId="354" priority="49">
      <formula>ABS(M$16-M$19)&gt;=1000</formula>
    </cfRule>
  </conditionalFormatting>
  <conditionalFormatting sqref="M19">
    <cfRule type="expression" dxfId="353" priority="48">
      <formula>ABS(M$16-M$19)&gt;=1000</formula>
    </cfRule>
  </conditionalFormatting>
  <conditionalFormatting sqref="K13:K20">
    <cfRule type="expression" dxfId="352" priority="47">
      <formula>ABS(K$16-K$19)&gt;=1000</formula>
    </cfRule>
  </conditionalFormatting>
  <conditionalFormatting sqref="AB14:AC14">
    <cfRule type="expression" dxfId="351" priority="46">
      <formula>ABS(AB$16-AB$19)&gt;=1000</formula>
    </cfRule>
  </conditionalFormatting>
  <conditionalFormatting sqref="M5">
    <cfRule type="expression" dxfId="350" priority="45">
      <formula>ABS(M$7-M$10)&gt;=1000</formula>
    </cfRule>
  </conditionalFormatting>
  <conditionalFormatting sqref="N5">
    <cfRule type="expression" dxfId="349" priority="44">
      <formula>ABS(N$7-N$10)&gt;=1000</formula>
    </cfRule>
  </conditionalFormatting>
  <conditionalFormatting sqref="L23">
    <cfRule type="expression" dxfId="348" priority="43">
      <formula>ABS(L$25-L$28)&gt;=1000</formula>
    </cfRule>
  </conditionalFormatting>
  <conditionalFormatting sqref="Y14">
    <cfRule type="expression" dxfId="347" priority="42">
      <formula>ABS(Y$16-Y$19)&gt;=1000</formula>
    </cfRule>
  </conditionalFormatting>
  <conditionalFormatting sqref="F14">
    <cfRule type="expression" dxfId="346" priority="41">
      <formula>ABS(F$16-F$19)&gt;=1000</formula>
    </cfRule>
  </conditionalFormatting>
  <conditionalFormatting sqref="H14">
    <cfRule type="expression" dxfId="345" priority="40">
      <formula>ABS(H$16-H$19)&gt;=1000</formula>
    </cfRule>
  </conditionalFormatting>
  <conditionalFormatting sqref="AD5">
    <cfRule type="expression" dxfId="344" priority="39">
      <formula>ABS(AD$7-AD$10)&gt;=1000</formula>
    </cfRule>
  </conditionalFormatting>
  <conditionalFormatting sqref="AE5">
    <cfRule type="expression" dxfId="343" priority="38">
      <formula>ABS(AE$7-AE$10)&gt;=1000</formula>
    </cfRule>
  </conditionalFormatting>
  <conditionalFormatting sqref="D5">
    <cfRule type="expression" dxfId="342" priority="37">
      <formula>ABS(D$7-D$10)&gt;=1000</formula>
    </cfRule>
  </conditionalFormatting>
  <conditionalFormatting sqref="E5:G5">
    <cfRule type="expression" dxfId="341" priority="36">
      <formula>ABS(E$7-E$10)&gt;=1000</formula>
    </cfRule>
  </conditionalFormatting>
  <conditionalFormatting sqref="H5">
    <cfRule type="expression" dxfId="340" priority="35">
      <formula>ABS(H$7-H$10)&gt;=1000</formula>
    </cfRule>
  </conditionalFormatting>
  <conditionalFormatting sqref="O4:P4">
    <cfRule type="expression" dxfId="339" priority="34">
      <formula>ABS(O$7-O$10)&gt;=1000</formula>
    </cfRule>
  </conditionalFormatting>
  <conditionalFormatting sqref="O5:O6 O8:O9 O11">
    <cfRule type="expression" dxfId="338" priority="33">
      <formula>ABS(O$7-O$10)&gt;=1000</formula>
    </cfRule>
  </conditionalFormatting>
  <conditionalFormatting sqref="P6 P8:P9 P11">
    <cfRule type="expression" dxfId="337" priority="32">
      <formula>ABS(P$7-P$10)&gt;=1000</formula>
    </cfRule>
  </conditionalFormatting>
  <conditionalFormatting sqref="E7">
    <cfRule type="expression" dxfId="336" priority="27">
      <formula>ABS(E$7-E$10)&gt;=1000</formula>
    </cfRule>
  </conditionalFormatting>
  <conditionalFormatting sqref="O7:P7">
    <cfRule type="expression" dxfId="335" priority="31">
      <formula>ABS(O$7-O$10)&gt;=1000</formula>
    </cfRule>
  </conditionalFormatting>
  <conditionalFormatting sqref="N7">
    <cfRule type="expression" dxfId="334" priority="30">
      <formula>ABS(N$7-N$10)&gt;=1000</formula>
    </cfRule>
  </conditionalFormatting>
  <conditionalFormatting sqref="M7">
    <cfRule type="expression" dxfId="333" priority="19">
      <formula>ABS(M$7-M$10)&gt;=1000</formula>
    </cfRule>
  </conditionalFormatting>
  <conditionalFormatting sqref="I5">
    <cfRule type="expression" dxfId="332" priority="16">
      <formula>ABS(I$7-I$10)&gt;=1000</formula>
    </cfRule>
  </conditionalFormatting>
  <conditionalFormatting sqref="J5">
    <cfRule type="expression" dxfId="331" priority="15">
      <formula>ABS(J$7-J$10)&gt;=1000</formula>
    </cfRule>
  </conditionalFormatting>
  <conditionalFormatting sqref="K5">
    <cfRule type="expression" dxfId="330" priority="14">
      <formula>ABS(K$7-K$10)&gt;=1000</formula>
    </cfRule>
  </conditionalFormatting>
  <conditionalFormatting sqref="P5">
    <cfRule type="expression" dxfId="329" priority="13">
      <formula>ABS(P$7-P$10)&gt;=1000</formula>
    </cfRule>
  </conditionalFormatting>
  <conditionalFormatting sqref="G7">
    <cfRule type="expression" dxfId="328" priority="11">
      <formula>ABS(G$7-G$10)&gt;=1000</formula>
    </cfRule>
  </conditionalFormatting>
  <conditionalFormatting sqref="P10">
    <cfRule type="expression" dxfId="327" priority="10">
      <formula>ABS(P$7-P$10)&gt;=1000</formula>
    </cfRule>
  </conditionalFormatting>
  <conditionalFormatting sqref="O10">
    <cfRule type="expression" dxfId="326" priority="9">
      <formula>ABS(O$7-O$10)&gt;=1000</formula>
    </cfRule>
  </conditionalFormatting>
  <conditionalFormatting sqref="N10">
    <cfRule type="expression" dxfId="325" priority="8">
      <formula>ABS(N$7-N$10)&gt;=1000</formula>
    </cfRule>
  </conditionalFormatting>
  <conditionalFormatting sqref="M10">
    <cfRule type="expression" dxfId="324" priority="7">
      <formula>ABS(M$7-M$10)&gt;=1000</formula>
    </cfRule>
  </conditionalFormatting>
  <conditionalFormatting sqref="G10">
    <cfRule type="expression" dxfId="323" priority="6">
      <formula>ABS(G$7-G$10)&gt;=1000</formula>
    </cfRule>
  </conditionalFormatting>
  <conditionalFormatting sqref="F10">
    <cfRule type="expression" dxfId="322" priority="5">
      <formula>ABS(F$7-F$10)&gt;=1000</formula>
    </cfRule>
  </conditionalFormatting>
  <conditionalFormatting sqref="F7">
    <cfRule type="expression" dxfId="321" priority="4">
      <formula>ABS(F$7-F$10)&gt;=1000</formula>
    </cfRule>
  </conditionalFormatting>
  <conditionalFormatting sqref="E10">
    <cfRule type="expression" dxfId="320" priority="3">
      <formula>ABS(E$7-E$10)&gt;=1000</formula>
    </cfRule>
  </conditionalFormatting>
  <conditionalFormatting sqref="D7">
    <cfRule type="expression" dxfId="319" priority="2">
      <formula>ABS(D$7-D$10)&gt;=1000</formula>
    </cfRule>
  </conditionalFormatting>
  <conditionalFormatting sqref="D10">
    <cfRule type="expression" dxfId="318" priority="1">
      <formula>ABS(D$7-D$10)&gt;=1000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220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27">
    <pageSetUpPr fitToPage="1"/>
  </sheetPr>
  <dimension ref="A1:BA223"/>
  <sheetViews>
    <sheetView view="pageBreakPreview" topLeftCell="B1" zoomScale="110" zoomScaleNormal="100" zoomScaleSheetLayoutView="110" workbookViewId="0">
      <selection activeCell="D7" sqref="D7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01" t="s" ph="1">
        <v>157</v>
      </c>
      <c r="C1" s="201" ph="1"/>
      <c r="D1" s="201" ph="1"/>
      <c r="E1" s="201" ph="1"/>
      <c r="F1" s="201" ph="1"/>
      <c r="G1" s="201" ph="1"/>
      <c r="H1" s="201" ph="1"/>
      <c r="I1" s="201" ph="1"/>
      <c r="J1" s="201" ph="1"/>
      <c r="K1" s="201" ph="1"/>
      <c r="L1" s="201" ph="1"/>
      <c r="M1" s="201" ph="1"/>
      <c r="N1" s="201" ph="1"/>
      <c r="O1" s="201" ph="1"/>
      <c r="P1" s="201" ph="1"/>
      <c r="Q1" s="201" ph="1"/>
      <c r="R1" s="201" ph="1"/>
      <c r="S1" s="201" ph="1"/>
      <c r="T1" s="201" ph="1"/>
      <c r="U1" s="201" ph="1"/>
      <c r="V1" s="201" ph="1"/>
      <c r="W1" s="201" ph="1"/>
      <c r="X1" s="201" ph="1"/>
      <c r="Y1" s="201" ph="1"/>
      <c r="Z1" s="201" ph="1"/>
      <c r="AA1" s="201" ph="1"/>
      <c r="AB1" s="201" ph="1"/>
      <c r="AC1" s="201" ph="1"/>
      <c r="AD1" s="201" ph="1"/>
      <c r="AE1" s="201" ph="1"/>
    </row>
    <row r="2" spans="1:53" s="65" customFormat="1" ht="24" customHeight="1" ph="1">
      <c r="B2" s="202" t="s" ph="1">
        <v>158</v>
      </c>
      <c r="C2" s="202" ph="1"/>
      <c r="D2" s="202" ph="1"/>
      <c r="E2" s="202" ph="1"/>
      <c r="F2" s="202" ph="1"/>
      <c r="G2" s="202" ph="1"/>
      <c r="H2" s="202" ph="1"/>
      <c r="I2" s="202" ph="1"/>
      <c r="J2" s="202" ph="1"/>
      <c r="K2" s="202" ph="1"/>
      <c r="L2" s="202" ph="1"/>
      <c r="M2" s="202" ph="1"/>
      <c r="N2" s="202" ph="1"/>
      <c r="O2" s="202" ph="1"/>
      <c r="P2" s="202" ph="1"/>
      <c r="Q2" s="202" ph="1"/>
      <c r="R2" s="202" ph="1"/>
      <c r="S2" s="202" ph="1"/>
      <c r="T2" s="202" ph="1"/>
      <c r="U2" s="202" ph="1"/>
      <c r="V2" s="202" ph="1"/>
      <c r="W2" s="202" ph="1"/>
      <c r="X2" s="202" ph="1"/>
      <c r="Y2" s="202" ph="1"/>
      <c r="Z2" s="202" ph="1"/>
      <c r="AA2" s="202" ph="1"/>
      <c r="AB2" s="202" ph="1"/>
      <c r="AC2" s="202" ph="1"/>
      <c r="AD2" s="202" ph="1"/>
      <c r="AE2" s="202" ph="1"/>
    </row>
    <row r="3" spans="1:53" ht="21" customHeight="1" ph="1">
      <c r="B3" s="203" ph="1">
        <v>46141</v>
      </c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</row>
    <row r="4" spans="1:53" s="68" customFormat="1" ph="1">
      <c r="A4" s="64" ph="1"/>
      <c r="B4" s="204" t="s" ph="1">
        <v>159</v>
      </c>
      <c r="C4" s="66" t="s" ph="1">
        <v>160</v>
      </c>
      <c r="D4" s="67" t="s" ph="1">
        <v>161</v>
      </c>
      <c r="E4" s="67" t="s" ph="1">
        <v>162</v>
      </c>
      <c r="F4" s="67" t="s" ph="1">
        <v>163</v>
      </c>
      <c r="G4" s="67" t="s" ph="1">
        <v>164</v>
      </c>
      <c r="H4" s="67" t="s" ph="1">
        <v>165</v>
      </c>
      <c r="I4" s="67" t="s" ph="1">
        <v>70</v>
      </c>
      <c r="J4" s="67" t="s" ph="1">
        <v>71</v>
      </c>
      <c r="K4" s="67" t="s" ph="1">
        <v>72</v>
      </c>
      <c r="L4" s="67" t="s" ph="1">
        <v>166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04" ph="1"/>
      <c r="C5" s="66" t="s" ph="1">
        <v>167</v>
      </c>
      <c r="D5" s="141" t="s" ph="1">
        <v>168</v>
      </c>
      <c r="E5" s="141" t="s" ph="1">
        <v>168</v>
      </c>
      <c r="F5" s="141" t="s" ph="1">
        <v>169</v>
      </c>
      <c r="G5" s="141" t="s" ph="1">
        <v>169</v>
      </c>
      <c r="H5" s="141" t="s" ph="1">
        <v>168</v>
      </c>
      <c r="I5" s="141" t="s" ph="1">
        <v>169</v>
      </c>
      <c r="J5" s="141" t="s" ph="1">
        <v>169</v>
      </c>
      <c r="K5" s="141" t="s" ph="1">
        <v>169</v>
      </c>
      <c r="L5" s="140" t="s" ph="1">
        <v>170</v>
      </c>
      <c r="M5" s="140" t="s" ph="1">
        <v>171</v>
      </c>
      <c r="N5" s="69" t="s" ph="1">
        <v>170</v>
      </c>
      <c r="O5" s="69" t="s" ph="1">
        <v>172</v>
      </c>
      <c r="P5" s="141" t="s" ph="1">
        <v>173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00" ph="1">
        <v>0.33333333333333331</v>
      </c>
      <c r="C6" s="175" t="s" ph="1">
        <v>174</v>
      </c>
      <c r="D6" s="155">
        <v>0.94540000000000002</v>
      </c>
      <c r="E6" s="155">
        <v>0</v>
      </c>
      <c r="F6" s="155">
        <v>0</v>
      </c>
      <c r="G6" s="155">
        <v>0</v>
      </c>
      <c r="H6" s="155">
        <v>0.42620000000000002</v>
      </c>
      <c r="I6" s="155">
        <v>0</v>
      </c>
      <c r="J6" s="155">
        <v>0</v>
      </c>
      <c r="K6" s="155">
        <v>0</v>
      </c>
      <c r="L6" s="155">
        <v>7.3300000000000004E-2</v>
      </c>
      <c r="M6" s="155">
        <v>9.4500000000000001E-2</v>
      </c>
      <c r="N6" s="155">
        <v>0.47760000000000002</v>
      </c>
      <c r="O6" s="155">
        <v>0.2273</v>
      </c>
      <c r="P6" s="155">
        <v>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00" ph="1"/>
      <c r="C7" s="67" t="s" ph="1">
        <v>175</v>
      </c>
      <c r="D7" s="72" ph="1">
        <f>((D6*5200)*4.48)*LOOKUP(D8,密度!$A$2:$A$50,密度!$B$2:$B$50)</f>
        <v>17249.226874880002</v>
      </c>
      <c r="E7" s="72" ph="1">
        <f>((E6*5200)*4.48)*LOOKUP(E8,密度!$A$2:$A$50,密度!$B$2:$B$50)</f>
        <v>0</v>
      </c>
      <c r="F7" s="72" ph="1">
        <f>((F6*5200)*4.48)*LOOKUP(F8,密度!$A$2:$A$50,密度!$B$2:$B$50)</f>
        <v>0</v>
      </c>
      <c r="G7" s="72" ph="1">
        <f>((G6*5200)*4.48)*LOOKUP(G8,密度!$A$2:$A$50,密度!$B$2:$B$50)</f>
        <v>0</v>
      </c>
      <c r="H7" s="72" ph="1">
        <f>((H6*5200)*18.322)*LOOKUP(H8,密度!$A$2:$A$50,密度!$B$2:$B$50)</f>
        <v>31656.398058687999</v>
      </c>
      <c r="I7" s="72" ph="1">
        <f>((I6*5200)*18.322)*LOOKUP(I8,密度!$A$2:$A$50,密度!$B$2:$B$50)</f>
        <v>0</v>
      </c>
      <c r="J7" s="72" ph="1">
        <f>((J6*5200)*18.322)*LOOKUP(J8,密度!$A$2:$A$50,密度!$B$2:$B$50)</f>
        <v>0</v>
      </c>
      <c r="K7" s="72" ph="1">
        <f>((K6*5200)*18.322)*LOOKUP(K8,密度!$A$2:$A$50,密度!$B$2:$B$50)</f>
        <v>0</v>
      </c>
      <c r="L7" s="72" ph="1">
        <f>(L6*6650)*26.42*LOOKUP(L8,密度!$A$2:$A$50,密度!$B$2:$B$50)</f>
        <v>10039.920263240001</v>
      </c>
      <c r="M7" s="72" ph="1">
        <f>(M6*6650)*26.42*LOOKUP(M8,密度!$A$2:$A$50,密度!$B$2:$B$50)</f>
        <v>13069.872547200001</v>
      </c>
      <c r="N7" s="72" ph="1">
        <f>(N6*5150)*18.32*LOOKUP(N8,密度!$A$2:$A$50,密度!$B$2:$B$50)</f>
        <v>35404.117191360005</v>
      </c>
      <c r="O7" s="72" ph="1">
        <f>(O6*12400)*81.71*LOOKUP(O8,密度!$A$2:$A$50,密度!$B$2:$B$50)</f>
        <v>179542.86946831999</v>
      </c>
      <c r="P7" s="72" ph="1">
        <f>(P6*12400)*81.71*LOOKUP(P8,密度!$A$2:$A$50,密度!$B$2:$B$50)</f>
        <v>0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00" ph="1"/>
      <c r="C8" s="67" t="s" ph="1">
        <v>139</v>
      </c>
      <c r="D8" s="73">
        <v>21</v>
      </c>
      <c r="E8" s="73">
        <v>16</v>
      </c>
      <c r="F8" s="73">
        <v>16</v>
      </c>
      <c r="G8" s="73">
        <v>16</v>
      </c>
      <c r="H8" s="73">
        <v>25</v>
      </c>
      <c r="I8" s="73">
        <v>25</v>
      </c>
      <c r="J8" s="73">
        <v>25</v>
      </c>
      <c r="K8" s="73">
        <v>25</v>
      </c>
      <c r="L8" s="73">
        <v>25</v>
      </c>
      <c r="M8" s="73">
        <v>16</v>
      </c>
      <c r="N8" s="73">
        <v>18</v>
      </c>
      <c r="O8" s="73">
        <v>25</v>
      </c>
      <c r="P8" s="73">
        <v>15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00" ph="1">
        <v>0.66666666666666663</v>
      </c>
      <c r="C9" s="175" t="s" ph="1">
        <v>176</v>
      </c>
      <c r="D9" s="155">
        <v>0.61799999999999999</v>
      </c>
      <c r="E9" s="155">
        <v>0</v>
      </c>
      <c r="F9" s="155">
        <v>0</v>
      </c>
      <c r="G9" s="155">
        <v>0</v>
      </c>
      <c r="H9" s="155">
        <v>4.0399999999999998E-2</v>
      </c>
      <c r="I9" s="155">
        <v>0</v>
      </c>
      <c r="J9" s="155">
        <v>0</v>
      </c>
      <c r="K9" s="155">
        <v>0</v>
      </c>
      <c r="L9" s="155">
        <v>0.2225</v>
      </c>
      <c r="M9" s="155">
        <v>9.4700000000000006E-2</v>
      </c>
      <c r="N9" s="155">
        <v>0.55379999999999996</v>
      </c>
      <c r="O9" s="155">
        <v>0.26989999999999997</v>
      </c>
      <c r="P9" s="155">
        <v>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00" ph="1"/>
      <c r="C10" s="175" t="s" ph="1">
        <v>175</v>
      </c>
      <c r="D10" s="72" ph="1">
        <f>((D9*5200)*4.48)*LOOKUP(D11,密度!$A$2:$A$50,密度!$B$2:$B$50)</f>
        <v>11275.674009600001</v>
      </c>
      <c r="E10" s="72" ph="1">
        <f>((E9*5200)*4.48)*LOOKUP(E11,密度!$A$2:$A$50,密度!$B$2:$B$50)</f>
        <v>0</v>
      </c>
      <c r="F10" s="72" ph="1">
        <f>((F9*5200)*4.48)*LOOKUP(F11,密度!$A$2:$A$50,密度!$B$2:$B$50)</f>
        <v>0</v>
      </c>
      <c r="G10" s="72" ph="1">
        <f>((G9*5200)*4.48)*LOOKUP(G11,密度!$A$2:$A$50,密度!$B$2:$B$50)</f>
        <v>0</v>
      </c>
      <c r="H10" s="72" ph="1">
        <f>((H9*5200)*18.322)*LOOKUP(H11,密度!$A$2:$A$50,密度!$B$2:$B$50)</f>
        <v>3000.7472584959996</v>
      </c>
      <c r="I10" s="72" ph="1">
        <f>((I9*5200)*18.322)*LOOKUP(I11,密度!$A$2:$A$50,密度!$B$2:$B$50)</f>
        <v>0</v>
      </c>
      <c r="J10" s="72" ph="1">
        <f>((J9*5200)*18.322)*LOOKUP(J11,密度!$A$2:$A$50,密度!$B$2:$B$50)</f>
        <v>0</v>
      </c>
      <c r="K10" s="72" ph="1">
        <f>((K9*5200)*18.322)*LOOKUP(K11,密度!$A$2:$A$50,密度!$B$2:$B$50)</f>
        <v>0</v>
      </c>
      <c r="L10" s="72" ph="1">
        <f>(L9*6650)*26.42*LOOKUP(L11,密度!$A$2:$A$50,密度!$B$2:$B$50)</f>
        <v>30475.883473000002</v>
      </c>
      <c r="M10" s="72" ph="1">
        <f>(M9*6650)*26.42*LOOKUP(M11,密度!$A$2:$A$50,密度!$B$2:$B$50)</f>
        <v>13059.265960790002</v>
      </c>
      <c r="N10" s="72" ph="1">
        <f>(N9*5150)*18.32*LOOKUP(N11,密度!$A$2:$A$50,密度!$B$2:$B$50)</f>
        <v>41010.964091759997</v>
      </c>
      <c r="O10" s="72" ph="1">
        <f>(O9*12400)*81.71*LOOKUP(O11,密度!$A$2:$A$50,密度!$B$2:$B$50)</f>
        <v>213192.34698415993</v>
      </c>
      <c r="P10" s="72" ph="1">
        <f>(P9*12400)*81.71*LOOKUP(P11,密度!$A$2:$A$50,密度!$B$2:$B$50)</f>
        <v>0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177</v>
      </c>
      <c r="B11" s="200" ph="1"/>
      <c r="C11" s="175" t="s" ph="1">
        <v>139</v>
      </c>
      <c r="D11" s="73">
        <v>21</v>
      </c>
      <c r="E11" s="73">
        <v>18</v>
      </c>
      <c r="F11" s="73">
        <v>18</v>
      </c>
      <c r="G11" s="73">
        <v>18</v>
      </c>
      <c r="H11" s="73">
        <v>25</v>
      </c>
      <c r="I11" s="73">
        <v>25</v>
      </c>
      <c r="J11" s="73">
        <v>25</v>
      </c>
      <c r="K11" s="73">
        <v>25</v>
      </c>
      <c r="L11" s="73">
        <v>25</v>
      </c>
      <c r="M11" s="73">
        <v>19</v>
      </c>
      <c r="N11" s="73">
        <v>19</v>
      </c>
      <c r="O11" s="73">
        <v>25</v>
      </c>
      <c r="P11" s="73">
        <v>16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/>
    <row r="13" spans="1:53" s="71" customFormat="1" ht="29.25" customHeight="1" ph="1">
      <c r="B13" s="208" t="s" ph="1">
        <v>159</v>
      </c>
      <c r="C13" s="175" t="s" ph="1">
        <v>178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09" ph="1"/>
      <c r="C14" s="66" t="s" ph="1">
        <v>167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10" ph="1">
        <v>0.33333333333333331</v>
      </c>
      <c r="C15" s="175" t="s" ph="1">
        <v>179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2.2" ph="1">
      <c r="B16" s="211" ph="1"/>
      <c r="C16" s="175" t="s" ph="1">
        <v>180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7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181</v>
      </c>
      <c r="B17" s="212" ph="1"/>
      <c r="C17" s="78" t="s" ph="1">
        <v>182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10" ph="1">
        <v>0.66666666666666663</v>
      </c>
      <c r="C18" s="78" t="s" ph="1">
        <v>183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11" ph="1"/>
      <c r="C19" s="175" t="s" ph="1">
        <v>184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11" ph="1"/>
      <c r="C20" s="79" t="s" ph="1">
        <v>139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185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09" t="s" ph="1">
        <v>159</v>
      </c>
      <c r="C22" s="84" t="s" ph="1">
        <v>178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188" t="s" ph="1">
        <v>186</v>
      </c>
      <c r="AA22" s="189"/>
      <c r="AB22" s="189"/>
      <c r="AC22" s="189"/>
      <c r="AD22" s="189"/>
      <c r="AE22" s="190"/>
    </row>
    <row r="23" spans="1:32" ph="1">
      <c r="A23" s="71" ph="1"/>
      <c r="B23" s="204" ph="1"/>
      <c r="C23" s="66" t="s" ph="1">
        <v>167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191" t="s" ph="1">
        <v>187</v>
      </c>
      <c r="AA23" s="192"/>
      <c r="AB23" s="192"/>
      <c r="AC23" s="192"/>
      <c r="AD23" s="192"/>
      <c r="AE23" s="193"/>
    </row>
    <row r="24" spans="1:32" ph="1">
      <c r="A24" s="71" ph="1"/>
      <c r="B24" s="200" ph="1">
        <v>0.33333333333333331</v>
      </c>
      <c r="C24" s="175" t="s" ph="1">
        <v>188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194"/>
      <c r="AA24" s="195"/>
      <c r="AB24" s="195"/>
      <c r="AC24" s="195"/>
      <c r="AD24" s="195"/>
      <c r="AE24" s="196"/>
    </row>
    <row r="25" spans="1:32" ph="1">
      <c r="A25" s="71" ph="1"/>
      <c r="B25" s="200" ph="1"/>
      <c r="C25" s="67" t="s" ph="1">
        <v>175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194"/>
      <c r="AA25" s="195"/>
      <c r="AB25" s="195"/>
      <c r="AC25" s="195"/>
      <c r="AD25" s="195"/>
      <c r="AE25" s="196"/>
    </row>
    <row r="26" spans="1:32" ph="1">
      <c r="A26" s="71" ph="1"/>
      <c r="B26" s="200" ph="1"/>
      <c r="C26" s="67" t="s" ph="1">
        <v>139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194"/>
      <c r="AA26" s="195"/>
      <c r="AB26" s="195"/>
      <c r="AC26" s="195"/>
      <c r="AD26" s="195"/>
      <c r="AE26" s="196"/>
    </row>
    <row r="27" spans="1:32" ht="26.4" ph="1">
      <c r="A27" s="71" ph="1"/>
      <c r="B27" s="200" ph="1">
        <v>0.66666666666666663</v>
      </c>
      <c r="C27" s="175" t="s" ph="1">
        <v>183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194"/>
      <c r="AA27" s="195"/>
      <c r="AB27" s="195"/>
      <c r="AC27" s="195"/>
      <c r="AD27" s="195"/>
      <c r="AE27" s="196"/>
    </row>
    <row r="28" spans="1:32" ph="1">
      <c r="A28" s="71" ph="1"/>
      <c r="B28" s="200" ph="1"/>
      <c r="C28" s="175" t="s" ph="1">
        <v>184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194"/>
      <c r="AA28" s="195"/>
      <c r="AB28" s="195"/>
      <c r="AC28" s="195"/>
      <c r="AD28" s="195"/>
      <c r="AE28" s="196"/>
    </row>
    <row r="29" spans="1:32" ph="1">
      <c r="A29" s="71" ph="1"/>
      <c r="B29" s="200" ph="1"/>
      <c r="C29" s="175" t="s" ph="1">
        <v>189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197"/>
      <c r="AA29" s="198"/>
      <c r="AB29" s="198"/>
      <c r="AC29" s="198"/>
      <c r="AD29" s="198"/>
      <c r="AE29" s="199"/>
    </row>
    <row r="30" spans="1:32" ph="1">
      <c r="D30" s="93" ph="1"/>
      <c r="Z30" s="63" t="s" ph="1">
        <v>185</v>
      </c>
      <c r="AE30" s="94" ph="1"/>
    </row>
    <row r="31" spans="1:32" ht="28.2" ph="1">
      <c r="A31" s="63"/>
      <c r="B31" s="213" t="s" ph="1">
        <v>190</v>
      </c>
      <c r="C31" s="214" ph="1"/>
      <c r="D31" s="205" t="s" ph="1">
        <v>191</v>
      </c>
      <c r="E31" s="206" ph="1"/>
      <c r="F31" s="207" ph="1"/>
      <c r="G31" s="217" ph="1"/>
      <c r="H31" s="206" ph="1"/>
      <c r="I31" s="207" ph="1"/>
      <c r="J31" s="205" ph="1"/>
      <c r="K31" s="206" ph="1"/>
      <c r="L31" s="207" ph="1"/>
      <c r="M31" s="205" ph="1"/>
      <c r="N31" s="206" ph="1"/>
      <c r="O31" s="207" ph="1"/>
      <c r="P31" s="205" ph="1"/>
      <c r="Q31" s="206"/>
      <c r="R31" s="207"/>
      <c r="S31" s="205" ph="1"/>
      <c r="T31" s="206"/>
      <c r="U31" s="207"/>
      <c r="V31" s="205" ph="1"/>
      <c r="W31" s="206" ph="1"/>
      <c r="X31" s="207" ph="1"/>
      <c r="Y31" s="205" ph="1"/>
      <c r="Z31" s="206" ph="1"/>
      <c r="AA31" s="207" ph="1"/>
      <c r="AB31" s="228"/>
      <c r="AC31" s="229"/>
      <c r="AD31" s="229"/>
      <c r="AE31" s="230"/>
    </row>
    <row r="32" spans="1:32" ph="1">
      <c r="A32" s="63"/>
      <c r="B32" s="215" ph="1"/>
      <c r="C32" s="216" ph="1"/>
      <c r="D32" s="95" t="s" ph="1">
        <v>192</v>
      </c>
      <c r="E32" s="175" t="s" ph="1">
        <v>193</v>
      </c>
      <c r="F32" s="174" t="s" ph="1">
        <v>194</v>
      </c>
      <c r="G32" s="96" t="s" ph="1">
        <v>192</v>
      </c>
      <c r="H32" s="175" t="s" ph="1">
        <v>195</v>
      </c>
      <c r="I32" s="174" t="s" ph="1">
        <v>196</v>
      </c>
      <c r="J32" s="96" t="s" ph="1">
        <v>192</v>
      </c>
      <c r="K32" s="175" t="s" ph="1">
        <v>195</v>
      </c>
      <c r="L32" s="174" t="s" ph="1">
        <v>194</v>
      </c>
      <c r="M32" s="96" t="s" ph="1">
        <v>192</v>
      </c>
      <c r="N32" s="175" t="s" ph="1">
        <v>195</v>
      </c>
      <c r="O32" s="174" t="s" ph="1">
        <v>194</v>
      </c>
      <c r="P32" s="96" t="s" ph="1">
        <v>192</v>
      </c>
      <c r="Q32" s="97" t="s" ph="1">
        <v>193</v>
      </c>
      <c r="R32" s="98" t="s" ph="1">
        <v>194</v>
      </c>
      <c r="S32" s="96" t="s" ph="1">
        <v>144</v>
      </c>
      <c r="T32" s="175" t="s" ph="1">
        <v>197</v>
      </c>
      <c r="U32" s="98" t="s" ph="1">
        <v>194</v>
      </c>
      <c r="V32" s="96" t="s" ph="1">
        <v>198</v>
      </c>
      <c r="W32" s="175" t="s" ph="1">
        <v>193</v>
      </c>
      <c r="X32" s="98" t="s" ph="1">
        <v>194</v>
      </c>
      <c r="Y32" s="99" t="s" ph="1">
        <v>192</v>
      </c>
      <c r="Z32" s="175" t="s" ph="1">
        <v>193</v>
      </c>
      <c r="AA32" s="174" t="s" ph="1">
        <v>194</v>
      </c>
      <c r="AB32" s="96" t="s" ph="1">
        <v>199</v>
      </c>
      <c r="AC32" s="175" t="s" ph="1">
        <v>200</v>
      </c>
      <c r="AD32" s="231" t="s" ph="1">
        <v>201</v>
      </c>
      <c r="AE32" s="232"/>
    </row>
    <row r="33" spans="1:31" ph="1">
      <c r="A33" s="63"/>
      <c r="B33" s="218" t="s" ph="1">
        <v>202</v>
      </c>
      <c r="C33" s="219" ph="1"/>
      <c r="D33" s="222" ph="1">
        <f>O10+P10</f>
        <v>213192.34698415993</v>
      </c>
      <c r="E33" s="222" ph="1">
        <f>H10+I10+J10+K10</f>
        <v>3000.7472584959996</v>
      </c>
      <c r="F33" s="224" ph="1">
        <f>L10+N10</f>
        <v>71486.847564759999</v>
      </c>
      <c r="G33" s="226" ph="1">
        <v>0</v>
      </c>
      <c r="H33" s="222" ph="1">
        <v>0</v>
      </c>
      <c r="I33" s="235" ph="1">
        <v>0</v>
      </c>
      <c r="J33" s="233" ph="1">
        <v>0</v>
      </c>
      <c r="K33" s="222" ph="1">
        <v>0</v>
      </c>
      <c r="L33" s="237" ph="1">
        <v>0</v>
      </c>
      <c r="M33" s="233" ph="1">
        <v>0</v>
      </c>
      <c r="N33" s="222" ph="1">
        <v>0</v>
      </c>
      <c r="O33" s="235" ph="1">
        <f>G19</f>
        <v>0</v>
      </c>
      <c r="P33" s="233" ph="1">
        <v>0</v>
      </c>
      <c r="Q33" s="222" ph="1">
        <v>0</v>
      </c>
      <c r="R33" s="235" ph="1">
        <v>0</v>
      </c>
      <c r="S33" s="233" ph="1">
        <v>0</v>
      </c>
      <c r="T33" s="222" ph="1">
        <v>0</v>
      </c>
      <c r="U33" s="243" ph="1">
        <v>0</v>
      </c>
      <c r="V33" s="254" ph="1">
        <v>0</v>
      </c>
      <c r="W33" s="254" ph="1">
        <v>0</v>
      </c>
      <c r="X33" s="235" ph="1">
        <v>0</v>
      </c>
      <c r="Y33" s="256" ph="1">
        <v>0</v>
      </c>
      <c r="Z33" s="241" ph="1">
        <v>0</v>
      </c>
      <c r="AA33" s="243" ph="1">
        <v>0</v>
      </c>
      <c r="AB33" s="245" ph="1">
        <v>0</v>
      </c>
      <c r="AC33" s="247" ph="1">
        <v>0</v>
      </c>
      <c r="AD33" s="249" ph="1">
        <v>0</v>
      </c>
      <c r="AE33" s="250"/>
    </row>
    <row r="34" spans="1:31" ph="1">
      <c r="A34" s="63"/>
      <c r="B34" s="220" ph="1"/>
      <c r="C34" s="221" ph="1"/>
      <c r="D34" s="223" ph="1"/>
      <c r="E34" s="223" ph="1"/>
      <c r="F34" s="225" ph="1"/>
      <c r="G34" s="227" ph="1"/>
      <c r="H34" s="223" ph="1"/>
      <c r="I34" s="236" ph="1"/>
      <c r="J34" s="234" ph="1"/>
      <c r="K34" s="223" ph="1"/>
      <c r="L34" s="238" ph="1"/>
      <c r="M34" s="234" ph="1"/>
      <c r="N34" s="223" ph="1"/>
      <c r="O34" s="236" ph="1"/>
      <c r="P34" s="234" ph="1"/>
      <c r="Q34" s="223" ph="1"/>
      <c r="R34" s="236" ph="1"/>
      <c r="S34" s="234" ph="1"/>
      <c r="T34" s="223"/>
      <c r="U34" s="244"/>
      <c r="V34" s="255" ph="1"/>
      <c r="W34" s="255" ph="1"/>
      <c r="X34" s="236" ph="1"/>
      <c r="Y34" s="257" ph="1"/>
      <c r="Z34" s="242" ph="1"/>
      <c r="AA34" s="244" ph="1"/>
      <c r="AB34" s="246"/>
      <c r="AC34" s="248"/>
      <c r="AD34" s="251"/>
      <c r="AE34" s="252"/>
    </row>
    <row r="35" spans="1:31" ph="1">
      <c r="A35" s="63"/>
      <c r="AC35" s="253" t="s" ph="1">
        <v>203</v>
      </c>
      <c r="AD35" s="253"/>
      <c r="AE35" s="253"/>
    </row>
    <row r="36" spans="1:31" ht="28.2" ph="1">
      <c r="A36" s="63"/>
      <c r="B36" s="102" t="s" ph="1">
        <v>204</v>
      </c>
      <c r="I36" s="239" t="s" ph="1">
        <v>205</v>
      </c>
      <c r="J36" s="239" ph="1"/>
      <c r="K36" s="100" ph="1"/>
      <c r="P36" s="100" ph="1"/>
      <c r="R36" s="239" t="s" ph="1">
        <v>153</v>
      </c>
      <c r="S36" s="239" ph="1"/>
      <c r="Y36" s="101" ph="1"/>
      <c r="Z36" s="173" t="s" ph="1">
        <v>206</v>
      </c>
      <c r="AA36" s="173" ph="1"/>
      <c r="AB36" s="240" t="s" ph="1">
        <v>207</v>
      </c>
      <c r="AC36" s="240" ph="1"/>
      <c r="AD36" s="240" ph="1"/>
      <c r="AE36" s="240" ph="1"/>
    </row>
    <row r="37" spans="1:31" s="173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6 D8:D9 D11">
    <cfRule type="expression" dxfId="317" priority="135">
      <formula>ABS(D$7-D$10)&gt;=1000</formula>
    </cfRule>
  </conditionalFormatting>
  <conditionalFormatting sqref="E4 E6 E8:E9 E11">
    <cfRule type="expression" dxfId="316" priority="134">
      <formula>ABS(E$7-E$10)&gt;=1000</formula>
    </cfRule>
  </conditionalFormatting>
  <conditionalFormatting sqref="F4 F6 F8:F9 F11">
    <cfRule type="expression" dxfId="315" priority="133">
      <formula>ABS(F$7-F$10)&gt;=1000</formula>
    </cfRule>
  </conditionalFormatting>
  <conditionalFormatting sqref="G4 G6 G8:G9 G11">
    <cfRule type="expression" dxfId="314" priority="132">
      <formula>ABS(G$7-G$10)&gt;=1000</formula>
    </cfRule>
  </conditionalFormatting>
  <conditionalFormatting sqref="H4:K4 H6 H8:H9 H11">
    <cfRule type="expression" dxfId="313" priority="131">
      <formula>ABS(H$7-H$10)&gt;=1000</formula>
    </cfRule>
  </conditionalFormatting>
  <conditionalFormatting sqref="I6 I8:I9 I11">
    <cfRule type="expression" dxfId="312" priority="130">
      <formula>ABS(I$7-I$10)&gt;=1000</formula>
    </cfRule>
  </conditionalFormatting>
  <conditionalFormatting sqref="J6 J8:J9 J11">
    <cfRule type="expression" dxfId="311" priority="129">
      <formula>ABS(J$7-J$10)&gt;=1000</formula>
    </cfRule>
  </conditionalFormatting>
  <conditionalFormatting sqref="K6 K8:K9 K11">
    <cfRule type="expression" dxfId="310" priority="128">
      <formula>ABS(K$7-K$10)&gt;=1000</formula>
    </cfRule>
  </conditionalFormatting>
  <conditionalFormatting sqref="L4:L6 M4:N4 Q4:S4 L8:L9 L11">
    <cfRule type="expression" dxfId="309" priority="127">
      <formula>ABS(L$7-L$10)&gt;=1000</formula>
    </cfRule>
  </conditionalFormatting>
  <conditionalFormatting sqref="M6 M8:M9 M11">
    <cfRule type="expression" dxfId="308" priority="126">
      <formula>ABS(M$7-M$10)&gt;=1000</formula>
    </cfRule>
  </conditionalFormatting>
  <conditionalFormatting sqref="N6 N8:N9 N11">
    <cfRule type="expression" dxfId="307" priority="125">
      <formula>ABS(N$7-N$10)&gt;=1000</formula>
    </cfRule>
  </conditionalFormatting>
  <conditionalFormatting sqref="Q5:Q11">
    <cfRule type="expression" dxfId="306" priority="124">
      <formula>ABS(Q$7-Q$10)&gt;=1000</formula>
    </cfRule>
  </conditionalFormatting>
  <conditionalFormatting sqref="R5:R11">
    <cfRule type="expression" dxfId="305" priority="123">
      <formula>ABS(R$7-R$10)&gt;=1000</formula>
    </cfRule>
  </conditionalFormatting>
  <conditionalFormatting sqref="S5:S11">
    <cfRule type="expression" dxfId="304" priority="122">
      <formula>ABS(S$7-S$10)&gt;=1000</formula>
    </cfRule>
  </conditionalFormatting>
  <conditionalFormatting sqref="T4:T9 T11">
    <cfRule type="expression" dxfId="303" priority="121">
      <formula>ABS(T$7-T$10)&gt;=1000</formula>
    </cfRule>
  </conditionalFormatting>
  <conditionalFormatting sqref="U4:U9 U11">
    <cfRule type="expression" dxfId="302" priority="120">
      <formula>ABS(U$7-U$10)&gt;=1000</formula>
    </cfRule>
  </conditionalFormatting>
  <conditionalFormatting sqref="V4:V9 V11">
    <cfRule type="expression" dxfId="301" priority="119">
      <formula>ABS(V$7-V$10)&gt;=1000</formula>
    </cfRule>
  </conditionalFormatting>
  <conditionalFormatting sqref="W4:W9 W11">
    <cfRule type="expression" dxfId="300" priority="118">
      <formula>ABS(W$7-W$10)&gt;=1000</formula>
    </cfRule>
  </conditionalFormatting>
  <conditionalFormatting sqref="X4:X9 X11">
    <cfRule type="expression" dxfId="299" priority="117">
      <formula>ABS(X$7-X$10)&gt;=1000</formula>
    </cfRule>
  </conditionalFormatting>
  <conditionalFormatting sqref="Y4:Y9 Y11">
    <cfRule type="expression" dxfId="298" priority="116">
      <formula>ABS(Y$7-Y$10)&gt;=1000</formula>
    </cfRule>
  </conditionalFormatting>
  <conditionalFormatting sqref="Z4:Z11">
    <cfRule type="expression" dxfId="297" priority="115">
      <formula>ABS(Z$7-Z$10)&gt;=1000</formula>
    </cfRule>
  </conditionalFormatting>
  <conditionalFormatting sqref="AA4:AA11">
    <cfRule type="expression" dxfId="296" priority="114">
      <formula>ABS(AA$7-AA$10)&gt;=1000</formula>
    </cfRule>
  </conditionalFormatting>
  <conditionalFormatting sqref="AB4:AB11">
    <cfRule type="expression" dxfId="295" priority="113">
      <formula>ABS(AB$7-AB$10)&gt;=1000</formula>
    </cfRule>
  </conditionalFormatting>
  <conditionalFormatting sqref="AC4 AC6:AC11">
    <cfRule type="expression" dxfId="294" priority="112">
      <formula>ABS(AC$7-AC$10)&gt;=1000</formula>
    </cfRule>
  </conditionalFormatting>
  <conditionalFormatting sqref="AD4 AD6:AD11">
    <cfRule type="expression" dxfId="293" priority="111">
      <formula>ABS(AD$7-AD$10)&gt;=1000</formula>
    </cfRule>
  </conditionalFormatting>
  <conditionalFormatting sqref="AE4 AE6:AE11">
    <cfRule type="expression" dxfId="292" priority="110">
      <formula>ABS(AE$7-AE$10)&gt;=1000</formula>
    </cfRule>
  </conditionalFormatting>
  <conditionalFormatting sqref="D13:D20">
    <cfRule type="expression" dxfId="291" priority="109">
      <formula>ABS(D$16-D$19)&gt;=1000</formula>
    </cfRule>
  </conditionalFormatting>
  <conditionalFormatting sqref="E13:E20">
    <cfRule type="expression" dxfId="290" priority="108">
      <formula>ABS(E$16-E$19)&gt;=1000</formula>
    </cfRule>
  </conditionalFormatting>
  <conditionalFormatting sqref="F13 F15:F20">
    <cfRule type="expression" dxfId="289" priority="107">
      <formula>ABS(F$16-F$19)&gt;=1000</formula>
    </cfRule>
  </conditionalFormatting>
  <conditionalFormatting sqref="G13:G20">
    <cfRule type="expression" dxfId="288" priority="106">
      <formula>ABS(G$16-G$19)&gt;=1000</formula>
    </cfRule>
  </conditionalFormatting>
  <conditionalFormatting sqref="H13 H15:H20">
    <cfRule type="expression" dxfId="287" priority="105">
      <formula>ABS(H$16-H$19)&gt;=1000</formula>
    </cfRule>
  </conditionalFormatting>
  <conditionalFormatting sqref="I13:I20">
    <cfRule type="expression" dxfId="286" priority="104">
      <formula>ABS(I$16-I$19)&gt;=1000</formula>
    </cfRule>
  </conditionalFormatting>
  <conditionalFormatting sqref="J13:J20">
    <cfRule type="expression" dxfId="285" priority="103">
      <formula>ABS(J$16-J$19)&gt;=1000</formula>
    </cfRule>
  </conditionalFormatting>
  <conditionalFormatting sqref="L13:L20">
    <cfRule type="expression" dxfId="284" priority="102">
      <formula>ABS(L$16-L$19)&gt;=1000</formula>
    </cfRule>
  </conditionalFormatting>
  <conditionalFormatting sqref="M13 M15 M17:M18 M20">
    <cfRule type="expression" dxfId="283" priority="101">
      <formula>ABS(M$16-M$19)&gt;=1000</formula>
    </cfRule>
  </conditionalFormatting>
  <conditionalFormatting sqref="N13:N20">
    <cfRule type="expression" dxfId="282" priority="100">
      <formula>ABS(N$16-N$19)&gt;=1000</formula>
    </cfRule>
  </conditionalFormatting>
  <conditionalFormatting sqref="O13:O20">
    <cfRule type="expression" dxfId="281" priority="99">
      <formula>ABS(O$16-O$19)&gt;=1000</formula>
    </cfRule>
  </conditionalFormatting>
  <conditionalFormatting sqref="P13:P20">
    <cfRule type="expression" dxfId="280" priority="98">
      <formula>ABS(P$16-P$19)&gt;=1000</formula>
    </cfRule>
  </conditionalFormatting>
  <conditionalFormatting sqref="Q13 Q15:Q20">
    <cfRule type="expression" dxfId="279" priority="97">
      <formula>ABS(Q$16-Q$19)&gt;=1000</formula>
    </cfRule>
  </conditionalFormatting>
  <conditionalFormatting sqref="R13:R20">
    <cfRule type="expression" dxfId="278" priority="96">
      <formula>ABS(R$16-R$19)&gt;=1000</formula>
    </cfRule>
  </conditionalFormatting>
  <conditionalFormatting sqref="S13:S20">
    <cfRule type="expression" dxfId="277" priority="95">
      <formula>ABS(S$16-S$19)&gt;=1000</formula>
    </cfRule>
  </conditionalFormatting>
  <conditionalFormatting sqref="T13:T20">
    <cfRule type="expression" dxfId="276" priority="94">
      <formula>ABS(T$16-T$19)&gt;=1000</formula>
    </cfRule>
  </conditionalFormatting>
  <conditionalFormatting sqref="U13:U20">
    <cfRule type="expression" dxfId="275" priority="93">
      <formula>ABS(U$16-U$19)&gt;=1000</formula>
    </cfRule>
  </conditionalFormatting>
  <conditionalFormatting sqref="V13:V20">
    <cfRule type="expression" dxfId="274" priority="92">
      <formula>ABS(V$16-V$19)&gt;=1000</formula>
    </cfRule>
  </conditionalFormatting>
  <conditionalFormatting sqref="W13 W20 W15:W18">
    <cfRule type="expression" dxfId="273" priority="91">
      <formula>ABS(W$16-W$19)&gt;=1000</formula>
    </cfRule>
  </conditionalFormatting>
  <conditionalFormatting sqref="X13 X15:X20 Y19">
    <cfRule type="expression" dxfId="272" priority="90">
      <formula>ABS(X$16-X$19)&gt;=1000</formula>
    </cfRule>
  </conditionalFormatting>
  <conditionalFormatting sqref="Y13 Y15:Y18 Y20">
    <cfRule type="expression" dxfId="271" priority="89">
      <formula>ABS(Y$16-Y$19)&gt;=1000</formula>
    </cfRule>
  </conditionalFormatting>
  <conditionalFormatting sqref="Z13:Z20">
    <cfRule type="expression" dxfId="270" priority="88">
      <formula>ABS(Z$16-Z$19)&gt;=1000</formula>
    </cfRule>
  </conditionalFormatting>
  <conditionalFormatting sqref="AA13:AA20">
    <cfRule type="expression" dxfId="269" priority="87">
      <formula>ABS(AA$16-AA$19)&gt;=1000</formula>
    </cfRule>
  </conditionalFormatting>
  <conditionalFormatting sqref="AB13 AB15:AB20">
    <cfRule type="expression" dxfId="268" priority="86">
      <formula>ABS(AB$16-AB$19)&gt;=1000</formula>
    </cfRule>
  </conditionalFormatting>
  <conditionalFormatting sqref="AC13 AC15:AC20">
    <cfRule type="expression" dxfId="267" priority="85">
      <formula>ABS(AC$16-AC$19)&gt;=1000</formula>
    </cfRule>
  </conditionalFormatting>
  <conditionalFormatting sqref="AD13:AD20">
    <cfRule type="expression" dxfId="266" priority="84">
      <formula>ABS(AD$16-AD$19)&gt;=1000</formula>
    </cfRule>
  </conditionalFormatting>
  <conditionalFormatting sqref="AE13:AE20">
    <cfRule type="expression" dxfId="265" priority="83">
      <formula>ABS(AE$16-AE$19)&gt;=1000</formula>
    </cfRule>
  </conditionalFormatting>
  <conditionalFormatting sqref="D22:D29">
    <cfRule type="expression" dxfId="264" priority="82">
      <formula>ABS(D$25-D$28)&gt;=1000</formula>
    </cfRule>
  </conditionalFormatting>
  <conditionalFormatting sqref="E22:E29">
    <cfRule type="expression" dxfId="263" priority="81">
      <formula>ABS(E$25-E$28)&gt;=1000</formula>
    </cfRule>
  </conditionalFormatting>
  <conditionalFormatting sqref="F22:F29">
    <cfRule type="expression" dxfId="262" priority="80">
      <formula>ABS(F$25-F$28)&gt;=1000</formula>
    </cfRule>
  </conditionalFormatting>
  <conditionalFormatting sqref="G22:G29">
    <cfRule type="expression" dxfId="261" priority="79">
      <formula>ABS(G$25-G$28)&gt;=1000</formula>
    </cfRule>
  </conditionalFormatting>
  <conditionalFormatting sqref="H22:H29">
    <cfRule type="expression" dxfId="260" priority="78">
      <formula>ABS(H$25-H$28)&gt;=1000</formula>
    </cfRule>
  </conditionalFormatting>
  <conditionalFormatting sqref="I22 I24:I29">
    <cfRule type="expression" dxfId="259" priority="77">
      <formula>ABS(I$25-I$28)&gt;=1000</formula>
    </cfRule>
  </conditionalFormatting>
  <conditionalFormatting sqref="J22:J29 K22">
    <cfRule type="expression" dxfId="258" priority="76">
      <formula>ABS(J$25-J$28)&gt;=1000</formula>
    </cfRule>
  </conditionalFormatting>
  <conditionalFormatting sqref="K23:K29 L25 L28">
    <cfRule type="expression" dxfId="257" priority="75">
      <formula>ABS(K$25-K$28)&gt;=1000</formula>
    </cfRule>
  </conditionalFormatting>
  <conditionalFormatting sqref="L22 L26:L27 L29 L24">
    <cfRule type="expression" dxfId="256" priority="74">
      <formula>ABS(L$25-L$28)&gt;=1000</formula>
    </cfRule>
  </conditionalFormatting>
  <conditionalFormatting sqref="M22:M29">
    <cfRule type="expression" dxfId="255" priority="73">
      <formula>ABS(M$25-M$28)&gt;=1000</formula>
    </cfRule>
  </conditionalFormatting>
  <conditionalFormatting sqref="N22:N29">
    <cfRule type="expression" dxfId="254" priority="72">
      <formula>ABS(N$25-N$28)&gt;=1000</formula>
    </cfRule>
  </conditionalFormatting>
  <conditionalFormatting sqref="O22:O29">
    <cfRule type="expression" dxfId="253" priority="71">
      <formula>ABS(O$25-O$28)&gt;=1000</formula>
    </cfRule>
  </conditionalFormatting>
  <conditionalFormatting sqref="P22:P29">
    <cfRule type="expression" dxfId="252" priority="70">
      <formula>ABS(P$25-P$28)&gt;=1000</formula>
    </cfRule>
  </conditionalFormatting>
  <conditionalFormatting sqref="Q22:Q29">
    <cfRule type="expression" dxfId="251" priority="69">
      <formula>ABS(Q$25-Q$28)&gt;=1000</formula>
    </cfRule>
  </conditionalFormatting>
  <conditionalFormatting sqref="R22:R29">
    <cfRule type="expression" dxfId="250" priority="68">
      <formula>ABS(R$25-R$28)&gt;=1000</formula>
    </cfRule>
  </conditionalFormatting>
  <conditionalFormatting sqref="S22:S29">
    <cfRule type="expression" dxfId="249" priority="67">
      <formula>ABS(S$25-S$28)&gt;=1000</formula>
    </cfRule>
  </conditionalFormatting>
  <conditionalFormatting sqref="T22:T29">
    <cfRule type="expression" dxfId="248" priority="66">
      <formula>ABS(T$25-T$28)&gt;=1000</formula>
    </cfRule>
  </conditionalFormatting>
  <conditionalFormatting sqref="U22:U29">
    <cfRule type="expression" dxfId="247" priority="65">
      <formula>ABS(U$25-U$28)&gt;=1000</formula>
    </cfRule>
  </conditionalFormatting>
  <conditionalFormatting sqref="V22:V29">
    <cfRule type="expression" dxfId="246" priority="64">
      <formula>ABS(V$25-V$28)&gt;=1000</formula>
    </cfRule>
  </conditionalFormatting>
  <conditionalFormatting sqref="W22:W29">
    <cfRule type="expression" dxfId="245" priority="63">
      <formula>ABS(W$25-W$28)&gt;=1000</formula>
    </cfRule>
  </conditionalFormatting>
  <conditionalFormatting sqref="X22:X29">
    <cfRule type="expression" dxfId="244" priority="62">
      <formula>ABS(X$25-X$28)&gt;=1000</formula>
    </cfRule>
  </conditionalFormatting>
  <conditionalFormatting sqref="Y22:Y29">
    <cfRule type="expression" dxfId="243" priority="61">
      <formula>ABS(Y$25-Y$28)&gt;=1000</formula>
    </cfRule>
  </conditionalFormatting>
  <conditionalFormatting sqref="I23">
    <cfRule type="expression" dxfId="242" priority="60">
      <formula>ABS(I$25-I$28)&gt;=1000</formula>
    </cfRule>
  </conditionalFormatting>
  <conditionalFormatting sqref="Q14">
    <cfRule type="expression" dxfId="241" priority="59">
      <formula>ABS(Q$16-Q$19)&gt;=1000</formula>
    </cfRule>
  </conditionalFormatting>
  <conditionalFormatting sqref="W14">
    <cfRule type="expression" dxfId="240" priority="58">
      <formula>ABS(W$16-W$19)&gt;=1000</formula>
    </cfRule>
  </conditionalFormatting>
  <conditionalFormatting sqref="X14">
    <cfRule type="expression" dxfId="239" priority="57">
      <formula>ABS(X$16-X$19)&gt;=1000</formula>
    </cfRule>
  </conditionalFormatting>
  <conditionalFormatting sqref="T10:Y10">
    <cfRule type="expression" dxfId="238" priority="56">
      <formula>ABS(T$7-T$10)&gt;=1000</formula>
    </cfRule>
  </conditionalFormatting>
  <conditionalFormatting sqref="W19">
    <cfRule type="expression" dxfId="237" priority="55">
      <formula>ABS(W$16-W$19)&gt;=1000</formula>
    </cfRule>
  </conditionalFormatting>
  <conditionalFormatting sqref="AC5">
    <cfRule type="expression" dxfId="236" priority="54">
      <formula>ABS(AC$7-AC$10)&gt;=1000</formula>
    </cfRule>
  </conditionalFormatting>
  <conditionalFormatting sqref="M14">
    <cfRule type="expression" dxfId="235" priority="53">
      <formula>ABS(M$16-M$19)&gt;=1000</formula>
    </cfRule>
  </conditionalFormatting>
  <conditionalFormatting sqref="M16">
    <cfRule type="expression" dxfId="234" priority="52">
      <formula>ABS(M$16-M$19)&gt;=1000</formula>
    </cfRule>
  </conditionalFormatting>
  <conditionalFormatting sqref="M19">
    <cfRule type="expression" dxfId="233" priority="51">
      <formula>ABS(M$16-M$19)&gt;=1000</formula>
    </cfRule>
  </conditionalFormatting>
  <conditionalFormatting sqref="K13:K20">
    <cfRule type="expression" dxfId="232" priority="50">
      <formula>ABS(K$16-K$19)&gt;=1000</formula>
    </cfRule>
  </conditionalFormatting>
  <conditionalFormatting sqref="AB14:AC14">
    <cfRule type="expression" dxfId="231" priority="49">
      <formula>ABS(AB$16-AB$19)&gt;=1000</formula>
    </cfRule>
  </conditionalFormatting>
  <conditionalFormatting sqref="M5">
    <cfRule type="expression" dxfId="230" priority="48">
      <formula>ABS(M$7-M$10)&gt;=1000</formula>
    </cfRule>
  </conditionalFormatting>
  <conditionalFormatting sqref="N5">
    <cfRule type="expression" dxfId="229" priority="47">
      <formula>ABS(N$7-N$10)&gt;=1000</formula>
    </cfRule>
  </conditionalFormatting>
  <conditionalFormatting sqref="L23">
    <cfRule type="expression" dxfId="228" priority="46">
      <formula>ABS(L$25-L$28)&gt;=1000</formula>
    </cfRule>
  </conditionalFormatting>
  <conditionalFormatting sqref="Y14">
    <cfRule type="expression" dxfId="227" priority="45">
      <formula>ABS(Y$16-Y$19)&gt;=1000</formula>
    </cfRule>
  </conditionalFormatting>
  <conditionalFormatting sqref="F14">
    <cfRule type="expression" dxfId="226" priority="44">
      <formula>ABS(F$16-F$19)&gt;=1000</formula>
    </cfRule>
  </conditionalFormatting>
  <conditionalFormatting sqref="H14">
    <cfRule type="expression" dxfId="225" priority="43">
      <formula>ABS(H$16-H$19)&gt;=1000</formula>
    </cfRule>
  </conditionalFormatting>
  <conditionalFormatting sqref="AD5">
    <cfRule type="expression" dxfId="224" priority="42">
      <formula>ABS(AD$7-AD$10)&gt;=1000</formula>
    </cfRule>
  </conditionalFormatting>
  <conditionalFormatting sqref="AE5">
    <cfRule type="expression" dxfId="223" priority="41">
      <formula>ABS(AE$7-AE$10)&gt;=1000</formula>
    </cfRule>
  </conditionalFormatting>
  <conditionalFormatting sqref="D5">
    <cfRule type="expression" dxfId="222" priority="40">
      <formula>ABS(D$7-D$10)&gt;=1000</formula>
    </cfRule>
  </conditionalFormatting>
  <conditionalFormatting sqref="E5:G5">
    <cfRule type="expression" dxfId="221" priority="39">
      <formula>ABS(E$7-E$10)&gt;=1000</formula>
    </cfRule>
  </conditionalFormatting>
  <conditionalFormatting sqref="H5">
    <cfRule type="expression" dxfId="220" priority="38">
      <formula>ABS(H$7-H$10)&gt;=1000</formula>
    </cfRule>
  </conditionalFormatting>
  <conditionalFormatting sqref="O4:P4">
    <cfRule type="expression" dxfId="219" priority="37">
      <formula>ABS(O$7-O$10)&gt;=1000</formula>
    </cfRule>
  </conditionalFormatting>
  <conditionalFormatting sqref="O5:O6 O8:O9 O11">
    <cfRule type="expression" dxfId="218" priority="36">
      <formula>ABS(O$7-O$10)&gt;=1000</formula>
    </cfRule>
  </conditionalFormatting>
  <conditionalFormatting sqref="P6 P8:P9 P11">
    <cfRule type="expression" dxfId="217" priority="35">
      <formula>ABS(P$7-P$10)&gt;=1000</formula>
    </cfRule>
  </conditionalFormatting>
  <conditionalFormatting sqref="I5">
    <cfRule type="expression" dxfId="216" priority="19">
      <formula>ABS(I$7-I$10)&gt;=1000</formula>
    </cfRule>
  </conditionalFormatting>
  <conditionalFormatting sqref="J5">
    <cfRule type="expression" dxfId="215" priority="18">
      <formula>ABS(J$7-J$10)&gt;=1000</formula>
    </cfRule>
  </conditionalFormatting>
  <conditionalFormatting sqref="K5">
    <cfRule type="expression" dxfId="214" priority="17">
      <formula>ABS(K$7-K$10)&gt;=1000</formula>
    </cfRule>
  </conditionalFormatting>
  <conditionalFormatting sqref="P5">
    <cfRule type="expression" dxfId="213" priority="16">
      <formula>ABS(P$7-P$10)&gt;=1000</formula>
    </cfRule>
  </conditionalFormatting>
  <conditionalFormatting sqref="D7:G7">
    <cfRule type="expression" dxfId="212" priority="15">
      <formula>ABS(D$7-D$10)&gt;=1000</formula>
    </cfRule>
  </conditionalFormatting>
  <conditionalFormatting sqref="D10:G10">
    <cfRule type="expression" dxfId="211" priority="14">
      <formula>ABS(D$7-D$10)&gt;=1000</formula>
    </cfRule>
  </conditionalFormatting>
  <conditionalFormatting sqref="H7:K7">
    <cfRule type="expression" dxfId="210" priority="13">
      <formula>ABS(H$7-H$10)&gt;=1000</formula>
    </cfRule>
  </conditionalFormatting>
  <conditionalFormatting sqref="H10">
    <cfRule type="expression" dxfId="209" priority="11">
      <formula>ABS(H$7-H$10)&gt;=1000</formula>
    </cfRule>
  </conditionalFormatting>
  <conditionalFormatting sqref="I10:K10">
    <cfRule type="expression" dxfId="208" priority="10">
      <formula>ABS(I$7-I$10)&gt;=1000</formula>
    </cfRule>
  </conditionalFormatting>
  <conditionalFormatting sqref="L7:M7">
    <cfRule type="expression" dxfId="207" priority="9">
      <formula>ABS(L$7-L$10)&gt;=1000</formula>
    </cfRule>
  </conditionalFormatting>
  <conditionalFormatting sqref="L10">
    <cfRule type="expression" dxfId="206" priority="8">
      <formula>ABS(L$7-L$10)&gt;=1000</formula>
    </cfRule>
  </conditionalFormatting>
  <conditionalFormatting sqref="M10">
    <cfRule type="expression" dxfId="205" priority="7">
      <formula>ABS(M$7-M$10)&gt;=1000</formula>
    </cfRule>
  </conditionalFormatting>
  <conditionalFormatting sqref="N7">
    <cfRule type="expression" dxfId="204" priority="6">
      <formula>ABS(N$7-N$10)&gt;=1000</formula>
    </cfRule>
  </conditionalFormatting>
  <conditionalFormatting sqref="N10">
    <cfRule type="expression" dxfId="203" priority="5">
      <formula>ABS(N$7-N$10)&gt;=1000</formula>
    </cfRule>
  </conditionalFormatting>
  <conditionalFormatting sqref="O7">
    <cfRule type="expression" dxfId="202" priority="4">
      <formula>ABS(O$7-O$10)&gt;=1000</formula>
    </cfRule>
  </conditionalFormatting>
  <conditionalFormatting sqref="O10">
    <cfRule type="expression" dxfId="201" priority="3">
      <formula>ABS(O$7-O$10)&gt;=1000</formula>
    </cfRule>
  </conditionalFormatting>
  <conditionalFormatting sqref="P7">
    <cfRule type="expression" dxfId="200" priority="2">
      <formula>ABS(P$7-P$10)&gt;=1000</formula>
    </cfRule>
  </conditionalFormatting>
  <conditionalFormatting sqref="P10">
    <cfRule type="expression" dxfId="199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52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28">
    <pageSetUpPr fitToPage="1"/>
  </sheetPr>
  <dimension ref="A1:BA223"/>
  <sheetViews>
    <sheetView tabSelected="1" view="pageBreakPreview" topLeftCell="B1" zoomScale="110" zoomScaleNormal="100" zoomScaleSheetLayoutView="110" workbookViewId="0">
      <selection activeCell="D4" sqref="D4"/>
    </sheetView>
  </sheetViews>
  <sheetFormatPr defaultColWidth="8.109375" defaultRowHeight="25.8"/>
  <cols>
    <col min="1" max="1" width="11.6640625" style="63" customWidth="1" phonetic="1"/>
    <col min="2" max="2" width="7.6640625" style="63" customWidth="1" phonetic="1"/>
    <col min="3" max="3" width="8" style="63" customWidth="1" phonetic="1"/>
    <col min="4" max="16" width="8.77734375" style="63" customWidth="1" phonetic="1"/>
    <col min="17" max="30" width="7.6640625" style="63" customWidth="1" phonetic="1"/>
    <col min="31" max="31" width="7.6640625" style="74" customWidth="1" phonetic="1"/>
    <col min="32" max="32" width="11.6640625" style="63" bestFit="1" customWidth="1" phonetic="1"/>
    <col min="33" max="16384" width="8.109375" style="63" phonetic="1"/>
  </cols>
  <sheetData>
    <row r="1" spans="1:53" ht="31.2" ph="1">
      <c r="A1" s="63"/>
      <c r="B1" s="201" t="s" ph="1">
        <v>157</v>
      </c>
      <c r="C1" s="201" ph="1"/>
      <c r="D1" s="201" ph="1"/>
      <c r="E1" s="201" ph="1"/>
      <c r="F1" s="201" ph="1"/>
      <c r="G1" s="201" ph="1"/>
      <c r="H1" s="201" ph="1"/>
      <c r="I1" s="201" ph="1"/>
      <c r="J1" s="201" ph="1"/>
      <c r="K1" s="201" ph="1"/>
      <c r="L1" s="201" ph="1"/>
      <c r="M1" s="201" ph="1"/>
      <c r="N1" s="201" ph="1"/>
      <c r="O1" s="201" ph="1"/>
      <c r="P1" s="201" ph="1"/>
      <c r="Q1" s="201" ph="1"/>
      <c r="R1" s="201" ph="1"/>
      <c r="S1" s="201" ph="1"/>
      <c r="T1" s="201" ph="1"/>
      <c r="U1" s="201" ph="1"/>
      <c r="V1" s="201" ph="1"/>
      <c r="W1" s="201" ph="1"/>
      <c r="X1" s="201" ph="1"/>
      <c r="Y1" s="201" ph="1"/>
      <c r="Z1" s="201" ph="1"/>
      <c r="AA1" s="201" ph="1"/>
      <c r="AB1" s="201" ph="1"/>
      <c r="AC1" s="201" ph="1"/>
      <c r="AD1" s="201" ph="1"/>
      <c r="AE1" s="201" ph="1"/>
    </row>
    <row r="2" spans="1:53" s="65" customFormat="1" ht="24" customHeight="1" ph="1">
      <c r="B2" s="202" t="s" ph="1">
        <v>158</v>
      </c>
      <c r="C2" s="202" ph="1"/>
      <c r="D2" s="202" ph="1"/>
      <c r="E2" s="202" ph="1"/>
      <c r="F2" s="202" ph="1"/>
      <c r="G2" s="202" ph="1"/>
      <c r="H2" s="202" ph="1"/>
      <c r="I2" s="202" ph="1"/>
      <c r="J2" s="202" ph="1"/>
      <c r="K2" s="202" ph="1"/>
      <c r="L2" s="202" ph="1"/>
      <c r="M2" s="202" ph="1"/>
      <c r="N2" s="202" ph="1"/>
      <c r="O2" s="202" ph="1"/>
      <c r="P2" s="202" ph="1"/>
      <c r="Q2" s="202" ph="1"/>
      <c r="R2" s="202" ph="1"/>
      <c r="S2" s="202" ph="1"/>
      <c r="T2" s="202" ph="1"/>
      <c r="U2" s="202" ph="1"/>
      <c r="V2" s="202" ph="1"/>
      <c r="W2" s="202" ph="1"/>
      <c r="X2" s="202" ph="1"/>
      <c r="Y2" s="202" ph="1"/>
      <c r="Z2" s="202" ph="1"/>
      <c r="AA2" s="202" ph="1"/>
      <c r="AB2" s="202" ph="1"/>
      <c r="AC2" s="202" ph="1"/>
      <c r="AD2" s="202" ph="1"/>
      <c r="AE2" s="202" ph="1"/>
    </row>
    <row r="3" spans="1:53" ht="21" customHeight="1" ph="1">
      <c r="B3" s="203" ph="1">
        <v>46141</v>
      </c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  <c r="AC3" s="203"/>
      <c r="AD3" s="203"/>
      <c r="AE3" s="203"/>
    </row>
    <row r="4" spans="1:53" s="68" customFormat="1" ph="1">
      <c r="A4" s="64" ph="1"/>
      <c r="B4" s="204" t="s" ph="1">
        <v>159</v>
      </c>
      <c r="C4" s="66" t="s" ph="1">
        <v>160</v>
      </c>
      <c r="D4" s="67" t="s" ph="1">
        <v>161</v>
      </c>
      <c r="E4" s="67" t="s" ph="1">
        <v>162</v>
      </c>
      <c r="F4" s="67" t="s" ph="1">
        <v>163</v>
      </c>
      <c r="G4" s="67" t="s" ph="1">
        <v>164</v>
      </c>
      <c r="H4" s="67" t="s" ph="1">
        <v>165</v>
      </c>
      <c r="I4" s="67" t="s" ph="1">
        <v>70</v>
      </c>
      <c r="J4" s="67" t="s" ph="1">
        <v>71</v>
      </c>
      <c r="K4" s="67" t="s" ph="1">
        <v>72</v>
      </c>
      <c r="L4" s="67" t="s" ph="1">
        <v>166</v>
      </c>
      <c r="M4" s="67" t="s" ph="1">
        <v>74</v>
      </c>
      <c r="N4" s="67" t="s" ph="1">
        <v>75</v>
      </c>
      <c r="O4" s="67" t="s" ph="1">
        <v>76</v>
      </c>
      <c r="P4" s="67" t="s" ph="1">
        <v>77</v>
      </c>
      <c r="Q4" s="67" ph="1"/>
      <c r="R4" s="67" ph="1"/>
      <c r="S4" s="67" ph="1"/>
      <c r="T4" s="67" ph="1"/>
      <c r="U4" s="67" ph="1"/>
      <c r="V4" s="67" ph="1"/>
      <c r="W4" s="67" ph="1"/>
      <c r="X4" s="67" ph="1"/>
      <c r="Y4" s="67" ph="1"/>
      <c r="Z4" s="67" ph="1"/>
      <c r="AA4" s="67" ph="1"/>
      <c r="AB4" s="67" ph="1"/>
      <c r="AC4" s="67" ph="1"/>
      <c r="AD4" s="67" ph="1"/>
      <c r="AE4" s="67" ph="1"/>
      <c r="AF4" s="64" ph="1"/>
      <c r="AG4" s="64" ph="1"/>
      <c r="AH4" s="64" ph="1"/>
      <c r="AI4" s="64" ph="1"/>
      <c r="AJ4" s="64" ph="1"/>
      <c r="AK4" s="64" ph="1"/>
      <c r="AL4" s="64" ph="1"/>
      <c r="AM4" s="64" ph="1"/>
      <c r="AN4" s="64" ph="1"/>
      <c r="AO4" s="64" ph="1"/>
      <c r="AP4" s="64" ph="1"/>
      <c r="AQ4" s="64" ph="1"/>
      <c r="AR4" s="64" ph="1"/>
      <c r="AS4" s="64" ph="1"/>
      <c r="AT4" s="64" ph="1"/>
      <c r="AU4" s="64" ph="1"/>
      <c r="AV4" s="64" ph="1"/>
      <c r="AW4" s="64" ph="1"/>
      <c r="AX4" s="64" ph="1"/>
      <c r="AY4" s="64" ph="1"/>
      <c r="AZ4" s="64" ph="1"/>
      <c r="BA4" s="64" ph="1"/>
    </row>
    <row r="5" spans="1:53" s="68" customFormat="1" ht="29.25" customHeight="1" ph="1">
      <c r="A5" s="64" ph="1"/>
      <c r="B5" s="204" ph="1"/>
      <c r="C5" s="66" t="s" ph="1">
        <v>167</v>
      </c>
      <c r="D5" s="141" t="s" ph="1">
        <v>168</v>
      </c>
      <c r="E5" s="141" t="s" ph="1">
        <v>168</v>
      </c>
      <c r="F5" s="141" t="s" ph="1">
        <v>169</v>
      </c>
      <c r="G5" s="141" t="s" ph="1">
        <v>169</v>
      </c>
      <c r="H5" s="141" t="s" ph="1">
        <v>168</v>
      </c>
      <c r="I5" s="141" t="s" ph="1">
        <v>169</v>
      </c>
      <c r="J5" s="141" t="s" ph="1">
        <v>169</v>
      </c>
      <c r="K5" s="141" t="s" ph="1">
        <v>169</v>
      </c>
      <c r="L5" s="140" t="s" ph="1">
        <v>170</v>
      </c>
      <c r="M5" s="140" t="s" ph="1">
        <v>171</v>
      </c>
      <c r="N5" s="69" t="s" ph="1">
        <v>170</v>
      </c>
      <c r="O5" s="69" t="s" ph="1">
        <v>172</v>
      </c>
      <c r="P5" s="141" t="s" ph="1">
        <v>173</v>
      </c>
      <c r="Q5" s="69" ph="1"/>
      <c r="R5" s="69" ph="1"/>
      <c r="S5" s="69" ph="1"/>
      <c r="T5" s="69" ph="1"/>
      <c r="U5" s="69" ph="1"/>
      <c r="V5" s="69" ph="1"/>
      <c r="W5" s="69" ph="1"/>
      <c r="X5" s="69" ph="1"/>
      <c r="Y5" s="69" ph="1"/>
      <c r="Z5" s="69" ph="1"/>
      <c r="AA5" s="69" ph="1"/>
      <c r="AB5" s="69" ph="1"/>
      <c r="AC5" s="69" ph="1"/>
      <c r="AD5" s="70"/>
      <c r="AE5" s="70"/>
      <c r="AF5" s="64" ph="1"/>
      <c r="AG5" s="64" ph="1"/>
      <c r="AH5" s="64" ph="1"/>
      <c r="AI5" s="64" ph="1"/>
      <c r="AJ5" s="64" ph="1"/>
      <c r="AK5" s="64" ph="1"/>
      <c r="AL5" s="64" ph="1"/>
      <c r="AM5" s="64" ph="1"/>
      <c r="AN5" s="64" ph="1"/>
      <c r="AO5" s="64" ph="1"/>
      <c r="AP5" s="64" ph="1"/>
      <c r="AQ5" s="64" ph="1"/>
      <c r="AR5" s="64" ph="1"/>
      <c r="AS5" s="64" ph="1"/>
      <c r="AT5" s="64" ph="1"/>
      <c r="AU5" s="64" ph="1"/>
      <c r="AV5" s="64" ph="1"/>
      <c r="AW5" s="64" ph="1"/>
      <c r="AX5" s="64" ph="1"/>
      <c r="AY5" s="64" ph="1"/>
      <c r="AZ5" s="64" ph="1"/>
      <c r="BA5" s="64" ph="1"/>
    </row>
    <row r="6" spans="1:53" ph="1">
      <c r="B6" s="200" ph="1">
        <v>0.33333333333333331</v>
      </c>
      <c r="C6" s="178" t="s" ph="1">
        <v>174</v>
      </c>
      <c r="D6" s="155">
        <v>0.42970000000000003</v>
      </c>
      <c r="E6" s="155">
        <v>0.28420000000000001</v>
      </c>
      <c r="F6" s="155">
        <v>0</v>
      </c>
      <c r="G6" s="155">
        <v>0</v>
      </c>
      <c r="H6" s="155">
        <v>4.0500000000000001E-2</v>
      </c>
      <c r="I6" s="155">
        <v>0</v>
      </c>
      <c r="J6" s="155">
        <v>0</v>
      </c>
      <c r="K6" s="155">
        <v>0</v>
      </c>
      <c r="L6" s="155">
        <v>0.2225</v>
      </c>
      <c r="M6" s="155">
        <v>9.4700000000000006E-2</v>
      </c>
      <c r="N6" s="155">
        <v>0.57130000000000003</v>
      </c>
      <c r="O6" s="155">
        <v>0.26069999999999999</v>
      </c>
      <c r="P6" s="155">
        <v>0</v>
      </c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</row>
    <row r="7" spans="1:53" s="71" customFormat="1" ht="22.2" ph="1">
      <c r="B7" s="200" ph="1"/>
      <c r="C7" s="67" t="s" ph="1">
        <v>175</v>
      </c>
      <c r="D7" s="72" ph="1">
        <f>((D6*5200)*4.48)*LOOKUP(D8,密度!$A$2:$A$50,密度!$B$2:$B$50)</f>
        <v>7840.0600678400015</v>
      </c>
      <c r="E7" s="72" ph="1">
        <f>((E6*5200)*4.48)*LOOKUP(E8,密度!$A$2:$A$50,密度!$B$2:$B$50)</f>
        <v>5211.8333030400008</v>
      </c>
      <c r="F7" s="72" ph="1">
        <f>((F6*5200)*4.48)*LOOKUP(F8,密度!$A$2:$A$50,密度!$B$2:$B$50)</f>
        <v>0</v>
      </c>
      <c r="G7" s="72" ph="1">
        <f>((G6*5200)*4.48)*LOOKUP(G8,密度!$A$2:$A$50,密度!$B$2:$B$50)</f>
        <v>0</v>
      </c>
      <c r="H7" s="72" ph="1">
        <f>((H6*5200)*18.322)*LOOKUP(H8,密度!$A$2:$A$50,密度!$B$2:$B$50)</f>
        <v>3008.1748507199995</v>
      </c>
      <c r="I7" s="72" ph="1">
        <f>((I6*5200)*18.322)*LOOKUP(I8,密度!$A$2:$A$50,密度!$B$2:$B$50)</f>
        <v>0</v>
      </c>
      <c r="J7" s="72" ph="1">
        <f>((J6*5200)*18.322)*LOOKUP(J8,密度!$A$2:$A$50,密度!$B$2:$B$50)</f>
        <v>0</v>
      </c>
      <c r="K7" s="72" ph="1">
        <f>((K6*5200)*18.322)*LOOKUP(K8,密度!$A$2:$A$50,密度!$B$2:$B$50)</f>
        <v>0</v>
      </c>
      <c r="L7" s="72" ph="1">
        <f>(L6*6650)*26.42*LOOKUP(L8,密度!$A$2:$A$50,密度!$B$2:$B$50)</f>
        <v>30475.883473000002</v>
      </c>
      <c r="M7" s="72" ph="1">
        <f>(M6*6650)*26.42*LOOKUP(M8,密度!$A$2:$A$50,密度!$B$2:$B$50)</f>
        <v>13097.533653120001</v>
      </c>
      <c r="N7" s="72" ph="1">
        <f>(N6*5150)*18.32*LOOKUP(N8,密度!$A$2:$A$50,密度!$B$2:$B$50)</f>
        <v>42350.025442680002</v>
      </c>
      <c r="O7" s="72" ph="1">
        <f>(O6*12400)*81.71*LOOKUP(O8,密度!$A$2:$A$50,密度!$B$2:$B$50)</f>
        <v>205925.32367087997</v>
      </c>
      <c r="P7" s="72" ph="1">
        <f>(P6*12400)*81.71*LOOKUP(P8,密度!$A$2:$A$50,密度!$B$2:$B$50)</f>
        <v>0</v>
      </c>
      <c r="Q7" s="72" ph="1"/>
      <c r="R7" s="72" ph="1"/>
      <c r="S7" s="72" ph="1"/>
      <c r="T7" s="72" ph="1"/>
      <c r="U7" s="72" ph="1"/>
      <c r="V7" s="72" ph="1"/>
      <c r="W7" s="72" ph="1"/>
      <c r="X7" s="72" ph="1"/>
      <c r="Y7" s="72" ph="1"/>
      <c r="Z7" s="72" ph="1"/>
      <c r="AA7" s="72" ph="1"/>
      <c r="AB7" s="72" ph="1"/>
      <c r="AC7" s="72" ph="1"/>
      <c r="AD7" s="72" ph="1"/>
      <c r="AE7" s="72" ph="1"/>
    </row>
    <row r="8" spans="1:53" ph="1">
      <c r="B8" s="200" ph="1"/>
      <c r="C8" s="67" t="s" ph="1">
        <v>139</v>
      </c>
      <c r="D8" s="73">
        <v>21</v>
      </c>
      <c r="E8" s="73">
        <v>16</v>
      </c>
      <c r="F8" s="73">
        <v>16</v>
      </c>
      <c r="G8" s="73">
        <v>16</v>
      </c>
      <c r="H8" s="73">
        <v>25</v>
      </c>
      <c r="I8" s="73">
        <v>25</v>
      </c>
      <c r="J8" s="73">
        <v>25</v>
      </c>
      <c r="K8" s="73">
        <v>25</v>
      </c>
      <c r="L8" s="73">
        <v>25</v>
      </c>
      <c r="M8" s="73">
        <v>16</v>
      </c>
      <c r="N8" s="73">
        <v>18</v>
      </c>
      <c r="O8" s="73">
        <v>25</v>
      </c>
      <c r="P8" s="73">
        <v>15</v>
      </c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</row>
    <row r="9" spans="1:53" ht="26.4" ph="1">
      <c r="B9" s="200" ph="1">
        <v>0.66666666666666663</v>
      </c>
      <c r="C9" s="178" t="s" ph="1">
        <v>176</v>
      </c>
      <c r="D9" s="155">
        <v>0.13009999999999999</v>
      </c>
      <c r="E9" s="155">
        <v>0</v>
      </c>
      <c r="F9" s="155">
        <v>0</v>
      </c>
      <c r="G9" s="155">
        <v>0.214</v>
      </c>
      <c r="H9" s="155">
        <v>0.19650000000000001</v>
      </c>
      <c r="I9" s="155">
        <v>0.99429999999999996</v>
      </c>
      <c r="J9" s="155">
        <v>0</v>
      </c>
      <c r="K9" s="155">
        <v>0</v>
      </c>
      <c r="L9" s="155">
        <v>0.28860000000000002</v>
      </c>
      <c r="M9" s="155">
        <v>9.4500000000000001E-2</v>
      </c>
      <c r="N9" s="155">
        <v>0.58379999999999999</v>
      </c>
      <c r="O9" s="155">
        <v>0.25069999999999998</v>
      </c>
      <c r="P9" s="155">
        <v>0</v>
      </c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</row>
    <row r="10" spans="1:53" s="71" customFormat="1" ht="22.2" ph="1">
      <c r="B10" s="200" ph="1"/>
      <c r="C10" s="178" t="s" ph="1">
        <v>175</v>
      </c>
      <c r="D10" s="72" ph="1">
        <f>((D9*5200)*4.48)*LOOKUP(D11,密度!$A$2:$A$50,密度!$B$2:$B$50)</f>
        <v>2373.7300787200002</v>
      </c>
      <c r="E10" s="72" ph="1">
        <f>((E9*5200)*4.48)*LOOKUP(E11,密度!$A$2:$A$50,密度!$B$2:$B$50)</f>
        <v>0</v>
      </c>
      <c r="F10" s="72" ph="1">
        <f>((F9*5200)*4.48)*LOOKUP(F11,密度!$A$2:$A$50,密度!$B$2:$B$50)</f>
        <v>0</v>
      </c>
      <c r="G10" s="72" ph="1">
        <f>((G9*5200)*4.48)*LOOKUP(G11,密度!$A$2:$A$50,密度!$B$2:$B$50)</f>
        <v>3916.9847808</v>
      </c>
      <c r="H10" s="72" ph="1">
        <f>((H9*5200)*18.322)*LOOKUP(H11,密度!$A$2:$A$50,密度!$B$2:$B$50)</f>
        <v>14595.218720160001</v>
      </c>
      <c r="I10" s="72" ph="1">
        <f>((I9*5200)*18.322)*LOOKUP(I11,密度!$A$2:$A$50,密度!$B$2:$B$50)</f>
        <v>73852.549483231982</v>
      </c>
      <c r="J10" s="72" ph="1">
        <f>((J9*5200)*18.322)*LOOKUP(J11,密度!$A$2:$A$50,密度!$B$2:$B$50)</f>
        <v>0</v>
      </c>
      <c r="K10" s="72" ph="1">
        <f>((K9*5200)*18.322)*LOOKUP(K11,密度!$A$2:$A$50,密度!$B$2:$B$50)</f>
        <v>0</v>
      </c>
      <c r="L10" s="72" ph="1">
        <f>(L9*6650)*26.42*LOOKUP(L11,密度!$A$2:$A$50,密度!$B$2:$B$50)</f>
        <v>39529.617844079999</v>
      </c>
      <c r="M10" s="72" ph="1">
        <f>(M9*6650)*26.42*LOOKUP(M11,密度!$A$2:$A$50,密度!$B$2:$B$50)</f>
        <v>13031.685673649999</v>
      </c>
      <c r="N10" s="72" ph="1">
        <f>(N9*5150)*18.32*LOOKUP(N11,密度!$A$2:$A$50,密度!$B$2:$B$50)</f>
        <v>43232.576447760002</v>
      </c>
      <c r="O10" s="72" ph="1">
        <f>(O9*12400)*81.71*LOOKUP(O11,密度!$A$2:$A$50,密度!$B$2:$B$50)</f>
        <v>198026.38528687996</v>
      </c>
      <c r="P10" s="72" ph="1">
        <f>(P9*12400)*81.71*LOOKUP(P11,密度!$A$2:$A$50,密度!$B$2:$B$50)</f>
        <v>0</v>
      </c>
      <c r="Q10" s="72" ph="1"/>
      <c r="R10" s="72" ph="1"/>
      <c r="S10" s="72" ph="1"/>
      <c r="T10" s="72" ph="1"/>
      <c r="U10" s="72" ph="1"/>
      <c r="V10" s="72" ph="1"/>
      <c r="W10" s="72" ph="1"/>
      <c r="X10" s="72" ph="1"/>
      <c r="Y10" s="72" ph="1"/>
      <c r="Z10" s="72" ph="1"/>
      <c r="AA10" s="72" ph="1"/>
      <c r="AB10" s="72" ph="1"/>
      <c r="AC10" s="72" ph="1"/>
      <c r="AD10" s="72" ph="1"/>
      <c r="AE10" s="72" ph="1"/>
    </row>
    <row r="11" spans="1:53" ph="1">
      <c r="A11" s="63" t="s" ph="1">
        <v>177</v>
      </c>
      <c r="B11" s="200" ph="1"/>
      <c r="C11" s="178" t="s" ph="1">
        <v>139</v>
      </c>
      <c r="D11" s="73">
        <v>21</v>
      </c>
      <c r="E11" s="73">
        <v>18</v>
      </c>
      <c r="F11" s="73">
        <v>18</v>
      </c>
      <c r="G11" s="73">
        <v>18</v>
      </c>
      <c r="H11" s="73">
        <v>25</v>
      </c>
      <c r="I11" s="73">
        <v>25</v>
      </c>
      <c r="J11" s="73">
        <v>25</v>
      </c>
      <c r="K11" s="73">
        <v>25</v>
      </c>
      <c r="L11" s="73">
        <v>25</v>
      </c>
      <c r="M11" s="73">
        <v>19</v>
      </c>
      <c r="N11" s="73">
        <v>19</v>
      </c>
      <c r="O11" s="73">
        <v>25</v>
      </c>
      <c r="P11" s="73">
        <v>16</v>
      </c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  <row r="12" spans="1:53" ht="9.9" customHeight="1" ph="1"/>
    <row r="13" spans="1:53" s="71" customFormat="1" ht="29.25" customHeight="1" ph="1">
      <c r="B13" s="208" t="s" ph="1">
        <v>159</v>
      </c>
      <c r="C13" s="178" t="s" ph="1">
        <v>178</v>
      </c>
      <c r="D13" s="75" ph="1"/>
      <c r="E13" s="75" ph="1"/>
      <c r="F13" s="75" ph="1"/>
      <c r="G13" s="75" ph="1"/>
      <c r="H13" s="75" ph="1"/>
      <c r="I13" s="75" ph="1"/>
      <c r="J13" s="75" ph="1"/>
      <c r="K13" s="75" ph="1"/>
      <c r="L13" s="75" ph="1"/>
      <c r="M13" s="75" ph="1"/>
      <c r="N13" s="75" ph="1"/>
      <c r="O13" s="75" ph="1"/>
      <c r="P13" s="75" ph="1"/>
      <c r="Q13" s="75" ph="1"/>
      <c r="R13" s="75" ph="1"/>
      <c r="S13" s="75" ph="1"/>
      <c r="T13" s="75" ph="1"/>
      <c r="U13" s="75" ph="1"/>
      <c r="V13" s="75" ph="1"/>
      <c r="W13" s="75" ph="1"/>
      <c r="X13" s="75" ph="1"/>
      <c r="Y13" s="104" ph="1"/>
      <c r="Z13" s="75" ph="1"/>
      <c r="AA13" s="75" ph="1"/>
      <c r="AB13" s="75" ph="1"/>
      <c r="AC13" s="75" ph="1"/>
      <c r="AD13" s="75" ph="1"/>
      <c r="AE13" s="75" ph="1"/>
    </row>
    <row r="14" spans="1:53" s="71" customFormat="1" ht="24" ph="1">
      <c r="B14" s="209" ph="1"/>
      <c r="C14" s="66" t="s" ph="1">
        <v>167</v>
      </c>
      <c r="D14" s="76" ph="1"/>
      <c r="E14" s="76" ph="1"/>
      <c r="F14" s="146" ph="1"/>
      <c r="G14" s="76" ph="1"/>
      <c r="H14" s="76" ph="1"/>
      <c r="I14" s="137" ph="1"/>
      <c r="J14" s="76" ph="1"/>
      <c r="K14" s="76" ph="1"/>
      <c r="L14" s="76" ph="1"/>
      <c r="M14" s="103" ph="1"/>
      <c r="N14" s="103" ph="1"/>
      <c r="O14" s="103" ph="1"/>
      <c r="P14" s="76" ph="1"/>
      <c r="Q14" s="76" ph="1"/>
      <c r="R14" s="87" ph="1"/>
      <c r="S14" s="76" ph="1"/>
      <c r="T14" s="76" ph="1"/>
      <c r="U14" s="76" ph="1"/>
      <c r="V14" s="76" ph="1"/>
      <c r="W14" s="76" ph="1"/>
      <c r="X14" s="76" ph="1"/>
      <c r="Y14" s="142" ph="1"/>
      <c r="Z14" s="76" ph="1"/>
      <c r="AA14" s="76" ph="1"/>
      <c r="AB14" s="76" ph="1"/>
      <c r="AC14" s="76" ph="1"/>
      <c r="AD14" s="76" ph="1"/>
      <c r="AE14" s="76" ph="1"/>
    </row>
    <row r="15" spans="1:53" ph="1">
      <c r="B15" s="210" ph="1">
        <v>0.33333333333333331</v>
      </c>
      <c r="C15" s="178" t="s" ph="1">
        <v>179</v>
      </c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0"/>
      <c r="X15" s="77"/>
      <c r="Y15" s="105"/>
      <c r="Z15" s="77"/>
      <c r="AA15" s="77"/>
      <c r="AB15" s="77" ph="1"/>
      <c r="AC15" s="77" ph="1"/>
      <c r="AD15" s="77"/>
      <c r="AE15" s="77"/>
    </row>
    <row r="16" spans="1:53" s="71" customFormat="1" ht="22.2" ph="1">
      <c r="B16" s="211" ph="1"/>
      <c r="C16" s="178" t="s" ph="1">
        <v>180</v>
      </c>
      <c r="D16" s="72" ph="1"/>
      <c r="E16" s="72" ph="1"/>
      <c r="F16" s="72" ph="1"/>
      <c r="G16" s="72" ph="1"/>
      <c r="H16" s="72" ph="1"/>
      <c r="I16" s="72" ph="1"/>
      <c r="J16" s="72" ph="1"/>
      <c r="K16" s="72" ph="1"/>
      <c r="L16" s="72" ph="1"/>
      <c r="M16" s="72" ph="1"/>
      <c r="N16" s="72" ph="1"/>
      <c r="O16" s="72" ph="1"/>
      <c r="P16" s="72" ph="1"/>
      <c r="Q16" s="72" ph="1"/>
      <c r="R16" s="72" ph="1"/>
      <c r="S16" s="72" ph="1"/>
      <c r="T16" s="72" ph="1"/>
      <c r="U16" s="72" ph="1"/>
      <c r="V16" s="72" ph="1"/>
      <c r="W16" s="72" ph="1"/>
      <c r="X16" s="72" ph="1"/>
      <c r="Y16" s="106" ph="1"/>
      <c r="Z16" s="72" ph="1"/>
      <c r="AA16" s="72" ph="1"/>
      <c r="AB16" s="72" ph="1"/>
      <c r="AC16" s="72" ph="1"/>
      <c r="AD16" s="72" ph="1"/>
      <c r="AE16" s="72" ph="1"/>
    </row>
    <row r="17" spans="1:32" ph="1">
      <c r="A17" s="63" t="s" ph="1">
        <v>181</v>
      </c>
      <c r="B17" s="212" ph="1"/>
      <c r="C17" s="78" t="s" ph="1">
        <v>182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107"/>
      <c r="Z17" s="73"/>
      <c r="AA17" s="73"/>
      <c r="AB17" s="73"/>
      <c r="AC17" s="73"/>
      <c r="AD17" s="73"/>
      <c r="AE17" s="73"/>
    </row>
    <row r="18" spans="1:32" ht="26.4" ph="1">
      <c r="B18" s="210" ph="1">
        <v>0.66666666666666663</v>
      </c>
      <c r="C18" s="78" t="s" ph="1">
        <v>183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108"/>
      <c r="Z18" s="70"/>
      <c r="AA18" s="70"/>
      <c r="AB18" s="70"/>
      <c r="AC18" s="70"/>
      <c r="AD18" s="70"/>
      <c r="AE18" s="70"/>
    </row>
    <row r="19" spans="1:32" s="71" customFormat="1" ht="22.2" ph="1">
      <c r="B19" s="211" ph="1"/>
      <c r="C19" s="178" t="s" ph="1">
        <v>184</v>
      </c>
      <c r="D19" s="72" ph="1"/>
      <c r="E19" s="72" ph="1"/>
      <c r="F19" s="72" ph="1"/>
      <c r="G19" s="72" ph="1"/>
      <c r="H19" s="72" ph="1"/>
      <c r="I19" s="72" ph="1"/>
      <c r="J19" s="72" ph="1"/>
      <c r="K19" s="72" ph="1"/>
      <c r="L19" s="72" ph="1"/>
      <c r="M19" s="72" ph="1"/>
      <c r="N19" s="72" ph="1"/>
      <c r="O19" s="72" ph="1"/>
      <c r="P19" s="72" ph="1"/>
      <c r="Q19" s="72" ph="1"/>
      <c r="R19" s="72" ph="1"/>
      <c r="S19" s="72" ph="1"/>
      <c r="T19" s="72" ph="1"/>
      <c r="U19" s="72" ph="1"/>
      <c r="V19" s="72" ph="1"/>
      <c r="W19" s="72" ph="1"/>
      <c r="X19" s="72" ph="1"/>
      <c r="Y19" s="72" ph="1"/>
      <c r="Z19" s="72" ph="1"/>
      <c r="AA19" s="72" ph="1"/>
      <c r="AB19" s="72" ph="1"/>
      <c r="AC19" s="72" ph="1"/>
      <c r="AD19" s="72" ph="1"/>
      <c r="AE19" s="72" ph="1"/>
    </row>
    <row r="20" spans="1:32" ph="1">
      <c r="A20" s="71" ph="1"/>
      <c r="B20" s="211" ph="1"/>
      <c r="C20" s="79" t="s" ph="1">
        <v>139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109"/>
      <c r="Z20" s="80"/>
      <c r="AA20" s="80"/>
      <c r="AB20" s="80"/>
      <c r="AC20" s="80"/>
      <c r="AD20" s="80"/>
      <c r="AE20" s="80"/>
      <c r="AF20" s="63" t="s" ph="1">
        <v>185</v>
      </c>
    </row>
    <row r="21" spans="1:32" ph="1">
      <c r="A21" s="71" ph="1"/>
      <c r="B21" s="81" ph="1"/>
      <c r="C21" s="82" ph="1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</row>
    <row r="22" spans="1:32" ph="1">
      <c r="A22" s="71" ph="1"/>
      <c r="B22" s="209" t="s" ph="1">
        <v>159</v>
      </c>
      <c r="C22" s="84" t="s" ph="1">
        <v>178</v>
      </c>
      <c r="D22" s="85" ph="1"/>
      <c r="E22" s="85" ph="1"/>
      <c r="F22" s="85" ph="1"/>
      <c r="G22" s="85" ph="1"/>
      <c r="H22" s="85" ph="1"/>
      <c r="I22" s="85" ph="1"/>
      <c r="J22" s="85" ph="1"/>
      <c r="K22" s="85" ph="1"/>
      <c r="L22" s="85" ph="1"/>
      <c r="M22" s="85" ph="1"/>
      <c r="N22" s="85" ph="1"/>
      <c r="O22" s="85" ph="1"/>
      <c r="P22" s="85" ph="1"/>
      <c r="Q22" s="86" ph="1"/>
      <c r="R22" s="85" ph="1"/>
      <c r="S22" s="85" ph="1"/>
      <c r="T22" s="85" ph="1"/>
      <c r="U22" s="85" ph="1"/>
      <c r="V22" s="85" ph="1"/>
      <c r="W22" s="85" ph="1"/>
      <c r="X22" s="85" ph="1"/>
      <c r="Y22" s="85" ph="1"/>
      <c r="Z22" s="188" t="s" ph="1">
        <v>186</v>
      </c>
      <c r="AA22" s="189"/>
      <c r="AB22" s="189"/>
      <c r="AC22" s="189"/>
      <c r="AD22" s="189"/>
      <c r="AE22" s="190"/>
    </row>
    <row r="23" spans="1:32" ph="1">
      <c r="A23" s="71" ph="1"/>
      <c r="B23" s="204" ph="1"/>
      <c r="C23" s="66" t="s" ph="1">
        <v>167</v>
      </c>
      <c r="D23" s="87" ph="1"/>
      <c r="E23" s="87" ph="1"/>
      <c r="F23" s="87" ph="1"/>
      <c r="G23" s="87" ph="1"/>
      <c r="H23" s="87" ph="1"/>
      <c r="I23" s="87" ph="1"/>
      <c r="J23" s="87" ph="1"/>
      <c r="K23" s="87" ph="1"/>
      <c r="L23" s="87" ph="1"/>
      <c r="M23" s="87" ph="1"/>
      <c r="N23" s="87" ph="1"/>
      <c r="O23" s="87" ph="1"/>
      <c r="P23" s="87" ph="1"/>
      <c r="Q23" s="88" ph="1"/>
      <c r="R23" s="87" ph="1"/>
      <c r="S23" s="87" ph="1"/>
      <c r="T23" s="87" ph="1"/>
      <c r="U23" s="103" ph="1"/>
      <c r="V23" s="87" ph="1"/>
      <c r="W23" s="87" ph="1"/>
      <c r="X23" s="87" ph="1"/>
      <c r="Y23" s="87" ph="1"/>
      <c r="Z23" s="191" t="s" ph="1">
        <v>187</v>
      </c>
      <c r="AA23" s="192"/>
      <c r="AB23" s="192"/>
      <c r="AC23" s="192"/>
      <c r="AD23" s="192"/>
      <c r="AE23" s="193"/>
    </row>
    <row r="24" spans="1:32" ph="1">
      <c r="A24" s="71" ph="1"/>
      <c r="B24" s="200" ph="1">
        <v>0.33333333333333331</v>
      </c>
      <c r="C24" s="178" t="s" ph="1">
        <v>188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89"/>
      <c r="R24" s="70"/>
      <c r="S24" s="70"/>
      <c r="T24" s="70"/>
      <c r="U24" s="70"/>
      <c r="V24" s="70"/>
      <c r="W24" s="70"/>
      <c r="X24" s="70"/>
      <c r="Y24" s="70"/>
      <c r="Z24" s="194"/>
      <c r="AA24" s="195"/>
      <c r="AB24" s="195"/>
      <c r="AC24" s="195"/>
      <c r="AD24" s="195"/>
      <c r="AE24" s="196"/>
    </row>
    <row r="25" spans="1:32" ph="1">
      <c r="A25" s="71" ph="1"/>
      <c r="B25" s="200" ph="1"/>
      <c r="C25" s="67" t="s" ph="1">
        <v>175</v>
      </c>
      <c r="D25" s="90" ph="1"/>
      <c r="E25" s="90" ph="1"/>
      <c r="F25" s="90" ph="1"/>
      <c r="G25" s="90" ph="1"/>
      <c r="H25" s="90" ph="1"/>
      <c r="I25" s="90" ph="1"/>
      <c r="J25" s="90" ph="1"/>
      <c r="K25" s="90" ph="1"/>
      <c r="L25" s="90" ph="1"/>
      <c r="M25" s="90" ph="1"/>
      <c r="N25" s="90" ph="1"/>
      <c r="O25" s="90" ph="1"/>
      <c r="P25" s="90" ph="1"/>
      <c r="Q25" s="91" ph="1"/>
      <c r="R25" s="90" ph="1"/>
      <c r="S25" s="90" ph="1"/>
      <c r="T25" s="90" ph="1"/>
      <c r="U25" s="90" ph="1"/>
      <c r="V25" s="90" ph="1"/>
      <c r="W25" s="90" ph="1"/>
      <c r="X25" s="90" ph="1"/>
      <c r="Y25" s="90" ph="1"/>
      <c r="Z25" s="194"/>
      <c r="AA25" s="195"/>
      <c r="AB25" s="195"/>
      <c r="AC25" s="195"/>
      <c r="AD25" s="195"/>
      <c r="AE25" s="196"/>
    </row>
    <row r="26" spans="1:32" ph="1">
      <c r="A26" s="71" ph="1"/>
      <c r="B26" s="200" ph="1"/>
      <c r="C26" s="67" t="s" ph="1">
        <v>139</v>
      </c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92"/>
      <c r="R26" s="73"/>
      <c r="S26" s="73"/>
      <c r="T26" s="73"/>
      <c r="U26" s="73"/>
      <c r="V26" s="73"/>
      <c r="W26" s="73"/>
      <c r="X26" s="73"/>
      <c r="Y26" s="73"/>
      <c r="Z26" s="194"/>
      <c r="AA26" s="195"/>
      <c r="AB26" s="195"/>
      <c r="AC26" s="195"/>
      <c r="AD26" s="195"/>
      <c r="AE26" s="196"/>
    </row>
    <row r="27" spans="1:32" ht="26.4" ph="1">
      <c r="A27" s="71" ph="1"/>
      <c r="B27" s="200" ph="1">
        <v>0.66666666666666663</v>
      </c>
      <c r="C27" s="178" t="s" ph="1">
        <v>183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89"/>
      <c r="R27" s="70"/>
      <c r="S27" s="70"/>
      <c r="T27" s="70"/>
      <c r="U27" s="70"/>
      <c r="V27" s="70"/>
      <c r="W27" s="70"/>
      <c r="X27" s="70"/>
      <c r="Y27" s="70"/>
      <c r="Z27" s="194"/>
      <c r="AA27" s="195"/>
      <c r="AB27" s="195"/>
      <c r="AC27" s="195"/>
      <c r="AD27" s="195"/>
      <c r="AE27" s="196"/>
    </row>
    <row r="28" spans="1:32" ph="1">
      <c r="A28" s="71" ph="1"/>
      <c r="B28" s="200" ph="1"/>
      <c r="C28" s="178" t="s" ph="1">
        <v>184</v>
      </c>
      <c r="D28" s="90" ph="1"/>
      <c r="E28" s="90" ph="1"/>
      <c r="F28" s="90" ph="1"/>
      <c r="G28" s="90" ph="1"/>
      <c r="H28" s="90" ph="1"/>
      <c r="I28" s="90" ph="1"/>
      <c r="J28" s="90" ph="1"/>
      <c r="K28" s="90" ph="1"/>
      <c r="L28" s="90" ph="1"/>
      <c r="M28" s="90" ph="1"/>
      <c r="N28" s="90" ph="1"/>
      <c r="O28" s="90" ph="1"/>
      <c r="P28" s="90" ph="1"/>
      <c r="Q28" s="91" ph="1"/>
      <c r="R28" s="90" ph="1"/>
      <c r="S28" s="90" ph="1"/>
      <c r="T28" s="90" ph="1"/>
      <c r="U28" s="90" ph="1"/>
      <c r="V28" s="90" ph="1"/>
      <c r="W28" s="90" ph="1"/>
      <c r="X28" s="90" ph="1"/>
      <c r="Y28" s="90" ph="1"/>
      <c r="Z28" s="194"/>
      <c r="AA28" s="195"/>
      <c r="AB28" s="195"/>
      <c r="AC28" s="195"/>
      <c r="AD28" s="195"/>
      <c r="AE28" s="196"/>
    </row>
    <row r="29" spans="1:32" ph="1">
      <c r="A29" s="71" ph="1"/>
      <c r="B29" s="200" ph="1"/>
      <c r="C29" s="178" t="s" ph="1">
        <v>189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92"/>
      <c r="R29" s="73"/>
      <c r="S29" s="73"/>
      <c r="T29" s="73"/>
      <c r="U29" s="73"/>
      <c r="V29" s="73"/>
      <c r="W29" s="73"/>
      <c r="X29" s="73"/>
      <c r="Y29" s="73"/>
      <c r="Z29" s="197"/>
      <c r="AA29" s="198"/>
      <c r="AB29" s="198"/>
      <c r="AC29" s="198"/>
      <c r="AD29" s="198"/>
      <c r="AE29" s="199"/>
    </row>
    <row r="30" spans="1:32" ph="1">
      <c r="D30" s="93" ph="1"/>
      <c r="Z30" s="63" t="s" ph="1">
        <v>185</v>
      </c>
      <c r="AE30" s="94" ph="1"/>
    </row>
    <row r="31" spans="1:32" ht="28.2" ph="1">
      <c r="A31" s="63"/>
      <c r="B31" s="213" t="s" ph="1">
        <v>190</v>
      </c>
      <c r="C31" s="214" ph="1"/>
      <c r="D31" s="205" t="s" ph="1">
        <v>191</v>
      </c>
      <c r="E31" s="206" ph="1"/>
      <c r="F31" s="207" ph="1"/>
      <c r="G31" s="217" ph="1"/>
      <c r="H31" s="206" ph="1"/>
      <c r="I31" s="207" ph="1"/>
      <c r="J31" s="205" ph="1"/>
      <c r="K31" s="206" ph="1"/>
      <c r="L31" s="207" ph="1"/>
      <c r="M31" s="205" ph="1"/>
      <c r="N31" s="206" ph="1"/>
      <c r="O31" s="207" ph="1"/>
      <c r="P31" s="205" ph="1"/>
      <c r="Q31" s="206"/>
      <c r="R31" s="207"/>
      <c r="S31" s="205" ph="1"/>
      <c r="T31" s="206"/>
      <c r="U31" s="207"/>
      <c r="V31" s="205" ph="1"/>
      <c r="W31" s="206" ph="1"/>
      <c r="X31" s="207" ph="1"/>
      <c r="Y31" s="205" ph="1"/>
      <c r="Z31" s="206" ph="1"/>
      <c r="AA31" s="207" ph="1"/>
      <c r="AB31" s="228"/>
      <c r="AC31" s="229"/>
      <c r="AD31" s="229"/>
      <c r="AE31" s="230"/>
    </row>
    <row r="32" spans="1:32" ph="1">
      <c r="A32" s="63"/>
      <c r="B32" s="215" ph="1"/>
      <c r="C32" s="216" ph="1"/>
      <c r="D32" s="95" t="s" ph="1">
        <v>192</v>
      </c>
      <c r="E32" s="178" t="s" ph="1">
        <v>193</v>
      </c>
      <c r="F32" s="177" t="s" ph="1">
        <v>194</v>
      </c>
      <c r="G32" s="96" t="s" ph="1">
        <v>192</v>
      </c>
      <c r="H32" s="178" t="s" ph="1">
        <v>195</v>
      </c>
      <c r="I32" s="177" t="s" ph="1">
        <v>196</v>
      </c>
      <c r="J32" s="96" t="s" ph="1">
        <v>192</v>
      </c>
      <c r="K32" s="178" t="s" ph="1">
        <v>195</v>
      </c>
      <c r="L32" s="177" t="s" ph="1">
        <v>194</v>
      </c>
      <c r="M32" s="96" t="s" ph="1">
        <v>192</v>
      </c>
      <c r="N32" s="178" t="s" ph="1">
        <v>195</v>
      </c>
      <c r="O32" s="177" t="s" ph="1">
        <v>194</v>
      </c>
      <c r="P32" s="96" t="s" ph="1">
        <v>192</v>
      </c>
      <c r="Q32" s="97" t="s" ph="1">
        <v>193</v>
      </c>
      <c r="R32" s="98" t="s" ph="1">
        <v>194</v>
      </c>
      <c r="S32" s="96" t="s" ph="1">
        <v>144</v>
      </c>
      <c r="T32" s="178" t="s" ph="1">
        <v>197</v>
      </c>
      <c r="U32" s="98" t="s" ph="1">
        <v>194</v>
      </c>
      <c r="V32" s="96" t="s" ph="1">
        <v>198</v>
      </c>
      <c r="W32" s="178" t="s" ph="1">
        <v>193</v>
      </c>
      <c r="X32" s="98" t="s" ph="1">
        <v>194</v>
      </c>
      <c r="Y32" s="99" t="s" ph="1">
        <v>192</v>
      </c>
      <c r="Z32" s="178" t="s" ph="1">
        <v>193</v>
      </c>
      <c r="AA32" s="177" t="s" ph="1">
        <v>194</v>
      </c>
      <c r="AB32" s="96" t="s" ph="1">
        <v>199</v>
      </c>
      <c r="AC32" s="178" t="s" ph="1">
        <v>200</v>
      </c>
      <c r="AD32" s="231" t="s" ph="1">
        <v>201</v>
      </c>
      <c r="AE32" s="232"/>
    </row>
    <row r="33" spans="1:31" ph="1">
      <c r="A33" s="63"/>
      <c r="B33" s="218" t="s" ph="1">
        <v>202</v>
      </c>
      <c r="C33" s="219" ph="1"/>
      <c r="D33" s="222" ph="1">
        <f>O10+P10</f>
        <v>198026.38528687996</v>
      </c>
      <c r="E33" s="222" ph="1">
        <f>H10+I10+J10+K10</f>
        <v>88447.768203391985</v>
      </c>
      <c r="F33" s="224" ph="1">
        <f>L10+N10</f>
        <v>82762.194291840002</v>
      </c>
      <c r="G33" s="226" ph="1">
        <v>0</v>
      </c>
      <c r="H33" s="222" ph="1">
        <v>0</v>
      </c>
      <c r="I33" s="235" ph="1">
        <v>0</v>
      </c>
      <c r="J33" s="233" ph="1">
        <v>0</v>
      </c>
      <c r="K33" s="222" ph="1">
        <v>0</v>
      </c>
      <c r="L33" s="237" ph="1">
        <v>0</v>
      </c>
      <c r="M33" s="233" ph="1">
        <v>0</v>
      </c>
      <c r="N33" s="222" ph="1">
        <v>0</v>
      </c>
      <c r="O33" s="235" ph="1">
        <f>G19</f>
        <v>0</v>
      </c>
      <c r="P33" s="233" ph="1">
        <v>0</v>
      </c>
      <c r="Q33" s="222" ph="1">
        <v>0</v>
      </c>
      <c r="R33" s="235" ph="1">
        <v>0</v>
      </c>
      <c r="S33" s="233" ph="1">
        <v>0</v>
      </c>
      <c r="T33" s="222" ph="1">
        <v>0</v>
      </c>
      <c r="U33" s="243" ph="1">
        <v>0</v>
      </c>
      <c r="V33" s="254" ph="1">
        <v>0</v>
      </c>
      <c r="W33" s="254" ph="1">
        <v>0</v>
      </c>
      <c r="X33" s="235" ph="1">
        <v>0</v>
      </c>
      <c r="Y33" s="256" ph="1">
        <v>0</v>
      </c>
      <c r="Z33" s="241" ph="1">
        <v>0</v>
      </c>
      <c r="AA33" s="243" ph="1">
        <v>0</v>
      </c>
      <c r="AB33" s="245" ph="1">
        <v>0</v>
      </c>
      <c r="AC33" s="247" ph="1">
        <v>0</v>
      </c>
      <c r="AD33" s="249" ph="1">
        <v>0</v>
      </c>
      <c r="AE33" s="250"/>
    </row>
    <row r="34" spans="1:31" ph="1">
      <c r="A34" s="63"/>
      <c r="B34" s="220" ph="1"/>
      <c r="C34" s="221" ph="1"/>
      <c r="D34" s="223" ph="1"/>
      <c r="E34" s="223" ph="1"/>
      <c r="F34" s="225" ph="1"/>
      <c r="G34" s="227" ph="1"/>
      <c r="H34" s="223" ph="1"/>
      <c r="I34" s="236" ph="1"/>
      <c r="J34" s="234" ph="1"/>
      <c r="K34" s="223" ph="1"/>
      <c r="L34" s="238" ph="1"/>
      <c r="M34" s="234" ph="1"/>
      <c r="N34" s="223" ph="1"/>
      <c r="O34" s="236" ph="1"/>
      <c r="P34" s="234" ph="1"/>
      <c r="Q34" s="223" ph="1"/>
      <c r="R34" s="236" ph="1"/>
      <c r="S34" s="234" ph="1"/>
      <c r="T34" s="223"/>
      <c r="U34" s="244"/>
      <c r="V34" s="255" ph="1"/>
      <c r="W34" s="255" ph="1"/>
      <c r="X34" s="236" ph="1"/>
      <c r="Y34" s="257" ph="1"/>
      <c r="Z34" s="242" ph="1"/>
      <c r="AA34" s="244" ph="1"/>
      <c r="AB34" s="246"/>
      <c r="AC34" s="248"/>
      <c r="AD34" s="251"/>
      <c r="AE34" s="252"/>
    </row>
    <row r="35" spans="1:31" ph="1">
      <c r="A35" s="63"/>
      <c r="AC35" s="253" t="s" ph="1">
        <v>203</v>
      </c>
      <c r="AD35" s="253"/>
      <c r="AE35" s="253"/>
    </row>
    <row r="36" spans="1:31" ht="28.2" ph="1">
      <c r="A36" s="63"/>
      <c r="B36" s="102" t="s" ph="1">
        <v>204</v>
      </c>
      <c r="I36" s="239" t="s" ph="1">
        <v>205</v>
      </c>
      <c r="J36" s="239" ph="1"/>
      <c r="K36" s="100" ph="1"/>
      <c r="P36" s="100" ph="1"/>
      <c r="R36" s="239" t="s" ph="1">
        <v>153</v>
      </c>
      <c r="S36" s="239" ph="1"/>
      <c r="Y36" s="101" ph="1"/>
      <c r="Z36" s="176" t="s" ph="1">
        <v>206</v>
      </c>
      <c r="AA36" s="176" ph="1"/>
      <c r="AB36" s="240" t="s" ph="1">
        <v>207</v>
      </c>
      <c r="AC36" s="240" ph="1"/>
      <c r="AD36" s="240" ph="1"/>
      <c r="AE36" s="240" ph="1"/>
    </row>
    <row r="37" spans="1:31" s="176" customFormat="1" ph="1">
      <c r="A37" s="63" ph="1"/>
      <c r="B37" s="63" ph="1"/>
      <c r="C37" s="63" ph="1"/>
      <c r="D37" s="63" ph="1"/>
      <c r="E37" s="63" ph="1"/>
      <c r="F37" s="63" ph="1"/>
      <c r="G37" s="63" ph="1"/>
      <c r="H37" s="63" ph="1"/>
      <c r="I37" s="63" ph="1"/>
      <c r="J37" s="63" ph="1"/>
      <c r="K37" s="63" ph="1"/>
      <c r="L37" s="63" ph="1"/>
      <c r="M37" s="63" ph="1"/>
      <c r="N37" s="63" ph="1"/>
      <c r="O37" s="63" ph="1"/>
      <c r="P37" s="63" ph="1"/>
      <c r="Q37" s="63" ph="1"/>
      <c r="R37" s="63" ph="1"/>
      <c r="S37" s="63" ph="1"/>
      <c r="T37" s="63" ph="1"/>
      <c r="U37" s="63" ph="1"/>
      <c r="V37" s="63" ph="1"/>
      <c r="W37" s="63" ph="1"/>
      <c r="X37" s="63" ph="1"/>
      <c r="Y37" s="63" ph="1"/>
      <c r="Z37" s="63" ph="1"/>
      <c r="AA37" s="63" ph="1"/>
      <c r="AB37" s="63" ph="1"/>
      <c r="AC37" s="63" ph="1"/>
      <c r="AD37" s="63" ph="1"/>
      <c r="AE37" s="63" ph="1"/>
    </row>
    <row r="38" spans="1:31" ph="1">
      <c r="AE38" s="63" ph="1"/>
    </row>
    <row r="42" spans="1:31" ph="1"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74"/>
    </row>
    <row r="43" spans="1:31" ph="1"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74"/>
    </row>
    <row r="44" spans="1:31" ph="1"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74"/>
    </row>
    <row r="45" spans="1:31" ph="1"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74"/>
    </row>
    <row r="46" spans="1:31" ph="1"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74"/>
    </row>
    <row r="47" spans="1:31" ph="1"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74"/>
    </row>
    <row r="48" spans="1:31" ph="1"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74"/>
    </row>
    <row r="49" spans="16:31" ph="1"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74"/>
    </row>
    <row r="50" spans="16:31" ph="1"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74"/>
    </row>
    <row r="51" spans="16:31" ph="1"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74"/>
    </row>
    <row r="52" spans="16:31" ph="1"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74"/>
    </row>
    <row r="53" spans="16:31" ph="1">
      <c r="R53" s="63"/>
      <c r="S53" s="63"/>
      <c r="T53" s="63"/>
      <c r="U53" s="63"/>
      <c r="W53" s="63"/>
      <c r="X53" s="63"/>
      <c r="Y53" s="63"/>
      <c r="Z53" s="63"/>
      <c r="AA53" s="63"/>
      <c r="AB53" s="63"/>
      <c r="AC53" s="63"/>
      <c r="AD53" s="63"/>
    </row>
    <row r="54" spans="16:31" ph="1">
      <c r="R54" s="63"/>
      <c r="S54" s="63"/>
      <c r="T54" s="63"/>
      <c r="U54" s="63"/>
      <c r="W54" s="63"/>
      <c r="X54" s="63"/>
      <c r="Y54" s="63"/>
      <c r="Z54" s="63"/>
      <c r="AA54" s="63"/>
      <c r="AC54" s="63"/>
      <c r="AD54" s="63"/>
    </row>
    <row r="55" spans="16:31" ph="1">
      <c r="R55" s="63"/>
      <c r="S55" s="63"/>
      <c r="T55" s="63"/>
      <c r="U55" s="63"/>
      <c r="V55" s="63"/>
      <c r="W55" s="63"/>
      <c r="X55" s="63"/>
      <c r="Z55" s="63"/>
      <c r="AC55" s="63"/>
      <c r="AD55" s="63"/>
      <c r="AE55" s="74"/>
    </row>
    <row r="56" spans="16:31" ph="1">
      <c r="R56" s="63"/>
      <c r="S56" s="63"/>
      <c r="T56" s="63"/>
      <c r="U56" s="63"/>
      <c r="V56" s="63"/>
      <c r="W56" s="63"/>
      <c r="X56" s="63"/>
      <c r="Z56" s="63"/>
      <c r="AA56" s="63"/>
      <c r="AB56" s="63"/>
      <c r="AC56" s="63"/>
      <c r="AD56" s="63"/>
      <c r="AE56" s="74"/>
    </row>
    <row r="57" spans="16:31" ph="1">
      <c r="R57" s="63"/>
      <c r="S57" s="63"/>
      <c r="T57" s="63"/>
      <c r="U57" s="63"/>
      <c r="V57" s="63"/>
      <c r="W57" s="63"/>
      <c r="AA57" s="63"/>
      <c r="AB57" s="63"/>
      <c r="AC57" s="63"/>
      <c r="AD57" s="63"/>
      <c r="AE57" s="74"/>
    </row>
    <row r="58" spans="16:31" ph="1">
      <c r="P58" s="63"/>
    </row>
    <row r="59" spans="16:31" ph="1">
      <c r="V59" s="63"/>
    </row>
    <row r="60" spans="16:31" ph="1">
      <c r="R60" s="63"/>
      <c r="S60" s="63"/>
      <c r="T60" s="63"/>
    </row>
    <row r="223" spans="18:18" ph="1">
      <c r="R223" s="134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 D6 D8:D9 D11">
    <cfRule type="expression" dxfId="198" priority="119">
      <formula>ABS(D$7-D$10)&gt;=1000</formula>
    </cfRule>
  </conditionalFormatting>
  <conditionalFormatting sqref="E4 E6 E8:E9 E11">
    <cfRule type="expression" dxfId="197" priority="118">
      <formula>ABS(E$7-E$10)&gt;=1000</formula>
    </cfRule>
  </conditionalFormatting>
  <conditionalFormatting sqref="F4 F6 F8:F9 F11">
    <cfRule type="expression" dxfId="196" priority="117">
      <formula>ABS(F$7-F$10)&gt;=1000</formula>
    </cfRule>
  </conditionalFormatting>
  <conditionalFormatting sqref="G4 G6 G8:G9 G11">
    <cfRule type="expression" dxfId="195" priority="116">
      <formula>ABS(G$7-G$10)&gt;=1000</formula>
    </cfRule>
  </conditionalFormatting>
  <conditionalFormatting sqref="H4:K4 H6 H8:H9 H11">
    <cfRule type="expression" dxfId="194" priority="115">
      <formula>ABS(H$7-H$10)&gt;=1000</formula>
    </cfRule>
  </conditionalFormatting>
  <conditionalFormatting sqref="I6 I8:I9 I11">
    <cfRule type="expression" dxfId="193" priority="114">
      <formula>ABS(I$7-I$10)&gt;=1000</formula>
    </cfRule>
  </conditionalFormatting>
  <conditionalFormatting sqref="J6 J8:J9 J11">
    <cfRule type="expression" dxfId="192" priority="113">
      <formula>ABS(J$7-J$10)&gt;=1000</formula>
    </cfRule>
  </conditionalFormatting>
  <conditionalFormatting sqref="K6 K8:K9 K11">
    <cfRule type="expression" dxfId="191" priority="112">
      <formula>ABS(K$7-K$10)&gt;=1000</formula>
    </cfRule>
  </conditionalFormatting>
  <conditionalFormatting sqref="L4:L6 M4:N4 Q4:S4 L8:L9 L11">
    <cfRule type="expression" dxfId="190" priority="111">
      <formula>ABS(L$7-L$10)&gt;=1000</formula>
    </cfRule>
  </conditionalFormatting>
  <conditionalFormatting sqref="M6 M8:M9 M11">
    <cfRule type="expression" dxfId="189" priority="110">
      <formula>ABS(M$7-M$10)&gt;=1000</formula>
    </cfRule>
  </conditionalFormatting>
  <conditionalFormatting sqref="N6 N8:N9 N11">
    <cfRule type="expression" dxfId="188" priority="109">
      <formula>ABS(N$7-N$10)&gt;=1000</formula>
    </cfRule>
  </conditionalFormatting>
  <conditionalFormatting sqref="Q5:Q11">
    <cfRule type="expression" dxfId="187" priority="108">
      <formula>ABS(Q$7-Q$10)&gt;=1000</formula>
    </cfRule>
  </conditionalFormatting>
  <conditionalFormatting sqref="R5:R11">
    <cfRule type="expression" dxfId="186" priority="107">
      <formula>ABS(R$7-R$10)&gt;=1000</formula>
    </cfRule>
  </conditionalFormatting>
  <conditionalFormatting sqref="S5:S11">
    <cfRule type="expression" dxfId="185" priority="106">
      <formula>ABS(S$7-S$10)&gt;=1000</formula>
    </cfRule>
  </conditionalFormatting>
  <conditionalFormatting sqref="T4:T9 T11">
    <cfRule type="expression" dxfId="184" priority="105">
      <formula>ABS(T$7-T$10)&gt;=1000</formula>
    </cfRule>
  </conditionalFormatting>
  <conditionalFormatting sqref="U4:U9 U11">
    <cfRule type="expression" dxfId="183" priority="104">
      <formula>ABS(U$7-U$10)&gt;=1000</formula>
    </cfRule>
  </conditionalFormatting>
  <conditionalFormatting sqref="V4:V9 V11">
    <cfRule type="expression" dxfId="182" priority="103">
      <formula>ABS(V$7-V$10)&gt;=1000</formula>
    </cfRule>
  </conditionalFormatting>
  <conditionalFormatting sqref="W4:W9 W11">
    <cfRule type="expression" dxfId="181" priority="102">
      <formula>ABS(W$7-W$10)&gt;=1000</formula>
    </cfRule>
  </conditionalFormatting>
  <conditionalFormatting sqref="X4:X9 X11">
    <cfRule type="expression" dxfId="180" priority="101">
      <formula>ABS(X$7-X$10)&gt;=1000</formula>
    </cfRule>
  </conditionalFormatting>
  <conditionalFormatting sqref="Y4:Y9 Y11">
    <cfRule type="expression" dxfId="179" priority="100">
      <formula>ABS(Y$7-Y$10)&gt;=1000</formula>
    </cfRule>
  </conditionalFormatting>
  <conditionalFormatting sqref="Z4:Z11">
    <cfRule type="expression" dxfId="178" priority="99">
      <formula>ABS(Z$7-Z$10)&gt;=1000</formula>
    </cfRule>
  </conditionalFormatting>
  <conditionalFormatting sqref="AA4:AA11">
    <cfRule type="expression" dxfId="177" priority="98">
      <formula>ABS(AA$7-AA$10)&gt;=1000</formula>
    </cfRule>
  </conditionalFormatting>
  <conditionalFormatting sqref="AB4:AB11">
    <cfRule type="expression" dxfId="176" priority="97">
      <formula>ABS(AB$7-AB$10)&gt;=1000</formula>
    </cfRule>
  </conditionalFormatting>
  <conditionalFormatting sqref="AC4 AC6:AC11">
    <cfRule type="expression" dxfId="175" priority="96">
      <formula>ABS(AC$7-AC$10)&gt;=1000</formula>
    </cfRule>
  </conditionalFormatting>
  <conditionalFormatting sqref="AD4 AD6:AD11">
    <cfRule type="expression" dxfId="174" priority="95">
      <formula>ABS(AD$7-AD$10)&gt;=1000</formula>
    </cfRule>
  </conditionalFormatting>
  <conditionalFormatting sqref="AE4 AE6:AE11">
    <cfRule type="expression" dxfId="173" priority="94">
      <formula>ABS(AE$7-AE$10)&gt;=1000</formula>
    </cfRule>
  </conditionalFormatting>
  <conditionalFormatting sqref="D13:D20">
    <cfRule type="expression" dxfId="172" priority="93">
      <formula>ABS(D$16-D$19)&gt;=1000</formula>
    </cfRule>
  </conditionalFormatting>
  <conditionalFormatting sqref="E13:E20">
    <cfRule type="expression" dxfId="171" priority="92">
      <formula>ABS(E$16-E$19)&gt;=1000</formula>
    </cfRule>
  </conditionalFormatting>
  <conditionalFormatting sqref="F13 F15:F20">
    <cfRule type="expression" dxfId="170" priority="91">
      <formula>ABS(F$16-F$19)&gt;=1000</formula>
    </cfRule>
  </conditionalFormatting>
  <conditionalFormatting sqref="G13:G20">
    <cfRule type="expression" dxfId="169" priority="90">
      <formula>ABS(G$16-G$19)&gt;=1000</formula>
    </cfRule>
  </conditionalFormatting>
  <conditionalFormatting sqref="H13 H15:H20">
    <cfRule type="expression" dxfId="168" priority="89">
      <formula>ABS(H$16-H$19)&gt;=1000</formula>
    </cfRule>
  </conditionalFormatting>
  <conditionalFormatting sqref="I13:I20">
    <cfRule type="expression" dxfId="167" priority="88">
      <formula>ABS(I$16-I$19)&gt;=1000</formula>
    </cfRule>
  </conditionalFormatting>
  <conditionalFormatting sqref="J13:J20">
    <cfRule type="expression" dxfId="166" priority="87">
      <formula>ABS(J$16-J$19)&gt;=1000</formula>
    </cfRule>
  </conditionalFormatting>
  <conditionalFormatting sqref="L13:L20">
    <cfRule type="expression" dxfId="165" priority="86">
      <formula>ABS(L$16-L$19)&gt;=1000</formula>
    </cfRule>
  </conditionalFormatting>
  <conditionalFormatting sqref="M13 M15 M17:M18 M20">
    <cfRule type="expression" dxfId="164" priority="85">
      <formula>ABS(M$16-M$19)&gt;=1000</formula>
    </cfRule>
  </conditionalFormatting>
  <conditionalFormatting sqref="N13:N20">
    <cfRule type="expression" dxfId="163" priority="84">
      <formula>ABS(N$16-N$19)&gt;=1000</formula>
    </cfRule>
  </conditionalFormatting>
  <conditionalFormatting sqref="O13:O20">
    <cfRule type="expression" dxfId="162" priority="83">
      <formula>ABS(O$16-O$19)&gt;=1000</formula>
    </cfRule>
  </conditionalFormatting>
  <conditionalFormatting sqref="P13:P20">
    <cfRule type="expression" dxfId="161" priority="82">
      <formula>ABS(P$16-P$19)&gt;=1000</formula>
    </cfRule>
  </conditionalFormatting>
  <conditionalFormatting sqref="Q13 Q15:Q20">
    <cfRule type="expression" dxfId="160" priority="81">
      <formula>ABS(Q$16-Q$19)&gt;=1000</formula>
    </cfRule>
  </conditionalFormatting>
  <conditionalFormatting sqref="R13:R20">
    <cfRule type="expression" dxfId="159" priority="80">
      <formula>ABS(R$16-R$19)&gt;=1000</formula>
    </cfRule>
  </conditionalFormatting>
  <conditionalFormatting sqref="S13:S20">
    <cfRule type="expression" dxfId="158" priority="79">
      <formula>ABS(S$16-S$19)&gt;=1000</formula>
    </cfRule>
  </conditionalFormatting>
  <conditionalFormatting sqref="T13:T20">
    <cfRule type="expression" dxfId="157" priority="78">
      <formula>ABS(T$16-T$19)&gt;=1000</formula>
    </cfRule>
  </conditionalFormatting>
  <conditionalFormatting sqref="U13:U20">
    <cfRule type="expression" dxfId="156" priority="77">
      <formula>ABS(U$16-U$19)&gt;=1000</formula>
    </cfRule>
  </conditionalFormatting>
  <conditionalFormatting sqref="V13:V20">
    <cfRule type="expression" dxfId="155" priority="76">
      <formula>ABS(V$16-V$19)&gt;=1000</formula>
    </cfRule>
  </conditionalFormatting>
  <conditionalFormatting sqref="W13 W20 W15:W18">
    <cfRule type="expression" dxfId="154" priority="75">
      <formula>ABS(W$16-W$19)&gt;=1000</formula>
    </cfRule>
  </conditionalFormatting>
  <conditionalFormatting sqref="X13 X15:X20 Y19">
    <cfRule type="expression" dxfId="153" priority="74">
      <formula>ABS(X$16-X$19)&gt;=1000</formula>
    </cfRule>
  </conditionalFormatting>
  <conditionalFormatting sqref="Y13 Y15:Y18 Y20">
    <cfRule type="expression" dxfId="152" priority="73">
      <formula>ABS(Y$16-Y$19)&gt;=1000</formula>
    </cfRule>
  </conditionalFormatting>
  <conditionalFormatting sqref="Z13:Z20">
    <cfRule type="expression" dxfId="151" priority="72">
      <formula>ABS(Z$16-Z$19)&gt;=1000</formula>
    </cfRule>
  </conditionalFormatting>
  <conditionalFormatting sqref="AA13:AA20">
    <cfRule type="expression" dxfId="150" priority="71">
      <formula>ABS(AA$16-AA$19)&gt;=1000</formula>
    </cfRule>
  </conditionalFormatting>
  <conditionalFormatting sqref="AB13 AB15:AB20">
    <cfRule type="expression" dxfId="149" priority="70">
      <formula>ABS(AB$16-AB$19)&gt;=1000</formula>
    </cfRule>
  </conditionalFormatting>
  <conditionalFormatting sqref="AC13 AC15:AC20">
    <cfRule type="expression" dxfId="148" priority="69">
      <formula>ABS(AC$16-AC$19)&gt;=1000</formula>
    </cfRule>
  </conditionalFormatting>
  <conditionalFormatting sqref="AD13:AD20">
    <cfRule type="expression" dxfId="147" priority="68">
      <formula>ABS(AD$16-AD$19)&gt;=1000</formula>
    </cfRule>
  </conditionalFormatting>
  <conditionalFormatting sqref="AE13:AE20">
    <cfRule type="expression" dxfId="146" priority="67">
      <formula>ABS(AE$16-AE$19)&gt;=1000</formula>
    </cfRule>
  </conditionalFormatting>
  <conditionalFormatting sqref="D22:D29">
    <cfRule type="expression" dxfId="145" priority="66">
      <formula>ABS(D$25-D$28)&gt;=1000</formula>
    </cfRule>
  </conditionalFormatting>
  <conditionalFormatting sqref="E22:E29">
    <cfRule type="expression" dxfId="144" priority="65">
      <formula>ABS(E$25-E$28)&gt;=1000</formula>
    </cfRule>
  </conditionalFormatting>
  <conditionalFormatting sqref="F22:F29">
    <cfRule type="expression" dxfId="143" priority="64">
      <formula>ABS(F$25-F$28)&gt;=1000</formula>
    </cfRule>
  </conditionalFormatting>
  <conditionalFormatting sqref="G22:G29">
    <cfRule type="expression" dxfId="142" priority="63">
      <formula>ABS(G$25-G$28)&gt;=1000</formula>
    </cfRule>
  </conditionalFormatting>
  <conditionalFormatting sqref="H22:H29">
    <cfRule type="expression" dxfId="141" priority="62">
      <formula>ABS(H$25-H$28)&gt;=1000</formula>
    </cfRule>
  </conditionalFormatting>
  <conditionalFormatting sqref="I22 I24:I29">
    <cfRule type="expression" dxfId="140" priority="61">
      <formula>ABS(I$25-I$28)&gt;=1000</formula>
    </cfRule>
  </conditionalFormatting>
  <conditionalFormatting sqref="J22:J29 K22">
    <cfRule type="expression" dxfId="139" priority="60">
      <formula>ABS(J$25-J$28)&gt;=1000</formula>
    </cfRule>
  </conditionalFormatting>
  <conditionalFormatting sqref="K23:K29 L25 L28">
    <cfRule type="expression" dxfId="138" priority="59">
      <formula>ABS(K$25-K$28)&gt;=1000</formula>
    </cfRule>
  </conditionalFormatting>
  <conditionalFormatting sqref="L22 L26:L27 L29 L24">
    <cfRule type="expression" dxfId="137" priority="58">
      <formula>ABS(L$25-L$28)&gt;=1000</formula>
    </cfRule>
  </conditionalFormatting>
  <conditionalFormatting sqref="M22:M29">
    <cfRule type="expression" dxfId="136" priority="57">
      <formula>ABS(M$25-M$28)&gt;=1000</formula>
    </cfRule>
  </conditionalFormatting>
  <conditionalFormatting sqref="N22:N29">
    <cfRule type="expression" dxfId="135" priority="56">
      <formula>ABS(N$25-N$28)&gt;=1000</formula>
    </cfRule>
  </conditionalFormatting>
  <conditionalFormatting sqref="O22:O29">
    <cfRule type="expression" dxfId="134" priority="55">
      <formula>ABS(O$25-O$28)&gt;=1000</formula>
    </cfRule>
  </conditionalFormatting>
  <conditionalFormatting sqref="P22:P29">
    <cfRule type="expression" dxfId="133" priority="54">
      <formula>ABS(P$25-P$28)&gt;=1000</formula>
    </cfRule>
  </conditionalFormatting>
  <conditionalFormatting sqref="Q22:Q29">
    <cfRule type="expression" dxfId="132" priority="53">
      <formula>ABS(Q$25-Q$28)&gt;=1000</formula>
    </cfRule>
  </conditionalFormatting>
  <conditionalFormatting sqref="R22:R29">
    <cfRule type="expression" dxfId="131" priority="52">
      <formula>ABS(R$25-R$28)&gt;=1000</formula>
    </cfRule>
  </conditionalFormatting>
  <conditionalFormatting sqref="S22:S29">
    <cfRule type="expression" dxfId="130" priority="51">
      <formula>ABS(S$25-S$28)&gt;=1000</formula>
    </cfRule>
  </conditionalFormatting>
  <conditionalFormatting sqref="T22:T29">
    <cfRule type="expression" dxfId="129" priority="50">
      <formula>ABS(T$25-T$28)&gt;=1000</formula>
    </cfRule>
  </conditionalFormatting>
  <conditionalFormatting sqref="U22:U29">
    <cfRule type="expression" dxfId="128" priority="49">
      <formula>ABS(U$25-U$28)&gt;=1000</formula>
    </cfRule>
  </conditionalFormatting>
  <conditionalFormatting sqref="V22:V29">
    <cfRule type="expression" dxfId="127" priority="48">
      <formula>ABS(V$25-V$28)&gt;=1000</formula>
    </cfRule>
  </conditionalFormatting>
  <conditionalFormatting sqref="W22:W29">
    <cfRule type="expression" dxfId="126" priority="47">
      <formula>ABS(W$25-W$28)&gt;=1000</formula>
    </cfRule>
  </conditionalFormatting>
  <conditionalFormatting sqref="X22:X29">
    <cfRule type="expression" dxfId="125" priority="46">
      <formula>ABS(X$25-X$28)&gt;=1000</formula>
    </cfRule>
  </conditionalFormatting>
  <conditionalFormatting sqref="Y22:Y29">
    <cfRule type="expression" dxfId="124" priority="45">
      <formula>ABS(Y$25-Y$28)&gt;=1000</formula>
    </cfRule>
  </conditionalFormatting>
  <conditionalFormatting sqref="I23">
    <cfRule type="expression" dxfId="123" priority="44">
      <formula>ABS(I$25-I$28)&gt;=1000</formula>
    </cfRule>
  </conditionalFormatting>
  <conditionalFormatting sqref="Q14">
    <cfRule type="expression" dxfId="122" priority="43">
      <formula>ABS(Q$16-Q$19)&gt;=1000</formula>
    </cfRule>
  </conditionalFormatting>
  <conditionalFormatting sqref="W14">
    <cfRule type="expression" dxfId="121" priority="42">
      <formula>ABS(W$16-W$19)&gt;=1000</formula>
    </cfRule>
  </conditionalFormatting>
  <conditionalFormatting sqref="X14">
    <cfRule type="expression" dxfId="120" priority="41">
      <formula>ABS(X$16-X$19)&gt;=1000</formula>
    </cfRule>
  </conditionalFormatting>
  <conditionalFormatting sqref="T10:Y10">
    <cfRule type="expression" dxfId="119" priority="40">
      <formula>ABS(T$7-T$10)&gt;=1000</formula>
    </cfRule>
  </conditionalFormatting>
  <conditionalFormatting sqref="W19">
    <cfRule type="expression" dxfId="118" priority="39">
      <formula>ABS(W$16-W$19)&gt;=1000</formula>
    </cfRule>
  </conditionalFormatting>
  <conditionalFormatting sqref="AC5">
    <cfRule type="expression" dxfId="117" priority="38">
      <formula>ABS(AC$7-AC$10)&gt;=1000</formula>
    </cfRule>
  </conditionalFormatting>
  <conditionalFormatting sqref="M14">
    <cfRule type="expression" dxfId="116" priority="37">
      <formula>ABS(M$16-M$19)&gt;=1000</formula>
    </cfRule>
  </conditionalFormatting>
  <conditionalFormatting sqref="M16">
    <cfRule type="expression" dxfId="115" priority="36">
      <formula>ABS(M$16-M$19)&gt;=1000</formula>
    </cfRule>
  </conditionalFormatting>
  <conditionalFormatting sqref="M19">
    <cfRule type="expression" dxfId="114" priority="35">
      <formula>ABS(M$16-M$19)&gt;=1000</formula>
    </cfRule>
  </conditionalFormatting>
  <conditionalFormatting sqref="K13:K20">
    <cfRule type="expression" dxfId="113" priority="34">
      <formula>ABS(K$16-K$19)&gt;=1000</formula>
    </cfRule>
  </conditionalFormatting>
  <conditionalFormatting sqref="AB14:AC14">
    <cfRule type="expression" dxfId="112" priority="33">
      <formula>ABS(AB$16-AB$19)&gt;=1000</formula>
    </cfRule>
  </conditionalFormatting>
  <conditionalFormatting sqref="M5">
    <cfRule type="expression" dxfId="111" priority="32">
      <formula>ABS(M$7-M$10)&gt;=1000</formula>
    </cfRule>
  </conditionalFormatting>
  <conditionalFormatting sqref="N5">
    <cfRule type="expression" dxfId="110" priority="31">
      <formula>ABS(N$7-N$10)&gt;=1000</formula>
    </cfRule>
  </conditionalFormatting>
  <conditionalFormatting sqref="L23">
    <cfRule type="expression" dxfId="109" priority="30">
      <formula>ABS(L$25-L$28)&gt;=1000</formula>
    </cfRule>
  </conditionalFormatting>
  <conditionalFormatting sqref="Y14">
    <cfRule type="expression" dxfId="108" priority="29">
      <formula>ABS(Y$16-Y$19)&gt;=1000</formula>
    </cfRule>
  </conditionalFormatting>
  <conditionalFormatting sqref="F14">
    <cfRule type="expression" dxfId="107" priority="28">
      <formula>ABS(F$16-F$19)&gt;=1000</formula>
    </cfRule>
  </conditionalFormatting>
  <conditionalFormatting sqref="H14">
    <cfRule type="expression" dxfId="106" priority="27">
      <formula>ABS(H$16-H$19)&gt;=1000</formula>
    </cfRule>
  </conditionalFormatting>
  <conditionalFormatting sqref="AD5">
    <cfRule type="expression" dxfId="105" priority="26">
      <formula>ABS(AD$7-AD$10)&gt;=1000</formula>
    </cfRule>
  </conditionalFormatting>
  <conditionalFormatting sqref="AE5">
    <cfRule type="expression" dxfId="104" priority="25">
      <formula>ABS(AE$7-AE$10)&gt;=1000</formula>
    </cfRule>
  </conditionalFormatting>
  <conditionalFormatting sqref="D5">
    <cfRule type="expression" dxfId="103" priority="24">
      <formula>ABS(D$7-D$10)&gt;=1000</formula>
    </cfRule>
  </conditionalFormatting>
  <conditionalFormatting sqref="E5:G5">
    <cfRule type="expression" dxfId="102" priority="23">
      <formula>ABS(E$7-E$10)&gt;=1000</formula>
    </cfRule>
  </conditionalFormatting>
  <conditionalFormatting sqref="H5">
    <cfRule type="expression" dxfId="101" priority="22">
      <formula>ABS(H$7-H$10)&gt;=1000</formula>
    </cfRule>
  </conditionalFormatting>
  <conditionalFormatting sqref="O4:P4">
    <cfRule type="expression" dxfId="100" priority="21">
      <formula>ABS(O$7-O$10)&gt;=1000</formula>
    </cfRule>
  </conditionalFormatting>
  <conditionalFormatting sqref="O5:O6 O8:O9 O11">
    <cfRule type="expression" dxfId="99" priority="20">
      <formula>ABS(O$7-O$10)&gt;=1000</formula>
    </cfRule>
  </conditionalFormatting>
  <conditionalFormatting sqref="P6 P8:P9 P11">
    <cfRule type="expression" dxfId="98" priority="19">
      <formula>ABS(P$7-P$10)&gt;=1000</formula>
    </cfRule>
  </conditionalFormatting>
  <conditionalFormatting sqref="I5">
    <cfRule type="expression" dxfId="97" priority="18">
      <formula>ABS(I$7-I$10)&gt;=1000</formula>
    </cfRule>
  </conditionalFormatting>
  <conditionalFormatting sqref="J5">
    <cfRule type="expression" dxfId="96" priority="17">
      <formula>ABS(J$7-J$10)&gt;=1000</formula>
    </cfRule>
  </conditionalFormatting>
  <conditionalFormatting sqref="K5">
    <cfRule type="expression" dxfId="95" priority="16">
      <formula>ABS(K$7-K$10)&gt;=1000</formula>
    </cfRule>
  </conditionalFormatting>
  <conditionalFormatting sqref="P5">
    <cfRule type="expression" dxfId="94" priority="15">
      <formula>ABS(P$7-P$10)&gt;=1000</formula>
    </cfRule>
  </conditionalFormatting>
  <conditionalFormatting sqref="D7:G7">
    <cfRule type="expression" dxfId="93" priority="14">
      <formula>ABS(D$7-D$10)&gt;=1000</formula>
    </cfRule>
  </conditionalFormatting>
  <conditionalFormatting sqref="D10:G10">
    <cfRule type="expression" dxfId="92" priority="13">
      <formula>ABS(D$7-D$10)&gt;=1000</formula>
    </cfRule>
  </conditionalFormatting>
  <conditionalFormatting sqref="H7:K7">
    <cfRule type="expression" dxfId="91" priority="12">
      <formula>ABS(H$7-H$10)&gt;=1000</formula>
    </cfRule>
  </conditionalFormatting>
  <conditionalFormatting sqref="H10">
    <cfRule type="expression" dxfId="90" priority="11">
      <formula>ABS(H$7-H$10)&gt;=1000</formula>
    </cfRule>
  </conditionalFormatting>
  <conditionalFormatting sqref="I10:K10">
    <cfRule type="expression" dxfId="89" priority="10">
      <formula>ABS(I$7-I$10)&gt;=1000</formula>
    </cfRule>
  </conditionalFormatting>
  <conditionalFormatting sqref="L7:M7">
    <cfRule type="expression" dxfId="88" priority="9">
      <formula>ABS(L$7-L$10)&gt;=1000</formula>
    </cfRule>
  </conditionalFormatting>
  <conditionalFormatting sqref="L10">
    <cfRule type="expression" dxfId="87" priority="8">
      <formula>ABS(L$7-L$10)&gt;=1000</formula>
    </cfRule>
  </conditionalFormatting>
  <conditionalFormatting sqref="M10">
    <cfRule type="expression" dxfId="86" priority="7">
      <formula>ABS(M$7-M$10)&gt;=1000</formula>
    </cfRule>
  </conditionalFormatting>
  <conditionalFormatting sqref="N7">
    <cfRule type="expression" dxfId="85" priority="6">
      <formula>ABS(N$7-N$10)&gt;=1000</formula>
    </cfRule>
  </conditionalFormatting>
  <conditionalFormatting sqref="N10">
    <cfRule type="expression" dxfId="84" priority="5">
      <formula>ABS(N$7-N$10)&gt;=1000</formula>
    </cfRule>
  </conditionalFormatting>
  <conditionalFormatting sqref="O7">
    <cfRule type="expression" dxfId="83" priority="4">
      <formula>ABS(O$7-O$10)&gt;=1000</formula>
    </cfRule>
  </conditionalFormatting>
  <conditionalFormatting sqref="O10">
    <cfRule type="expression" dxfId="82" priority="3">
      <formula>ABS(O$7-O$10)&gt;=1000</formula>
    </cfRule>
  </conditionalFormatting>
  <conditionalFormatting sqref="P7">
    <cfRule type="expression" dxfId="81" priority="2">
      <formula>ABS(P$7-P$10)&gt;=1000</formula>
    </cfRule>
  </conditionalFormatting>
  <conditionalFormatting sqref="P10">
    <cfRule type="expression" dxfId="80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630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已命名的範圍</vt:lpstr>
      </vt:variant>
      <vt:variant>
        <vt:i4>12</vt:i4>
      </vt:variant>
    </vt:vector>
  </HeadingPairs>
  <TitlesOfParts>
    <vt:vector size="25" baseType="lpstr">
      <vt:lpstr>新增</vt:lpstr>
      <vt:lpstr>工作表1</vt:lpstr>
      <vt:lpstr>密度</vt:lpstr>
      <vt:lpstr>3.3</vt:lpstr>
      <vt:lpstr>1.30 %計算</vt:lpstr>
      <vt:lpstr>4.21</vt:lpstr>
      <vt:lpstr>4.22</vt:lpstr>
      <vt:lpstr>4.23</vt:lpstr>
      <vt:lpstr>4.24</vt:lpstr>
      <vt:lpstr>4.27</vt:lpstr>
      <vt:lpstr>4.28</vt:lpstr>
      <vt:lpstr>4.29</vt:lpstr>
      <vt:lpstr>4.30</vt:lpstr>
      <vt:lpstr>'1.30 %計算'!Print_Area</vt:lpstr>
      <vt:lpstr>'3.3'!Print_Area</vt:lpstr>
      <vt:lpstr>'4.21'!Print_Area</vt:lpstr>
      <vt:lpstr>'4.22'!Print_Area</vt:lpstr>
      <vt:lpstr>'4.23'!Print_Area</vt:lpstr>
      <vt:lpstr>'4.24'!Print_Area</vt:lpstr>
      <vt:lpstr>'4.27'!Print_Area</vt:lpstr>
      <vt:lpstr>'4.28'!Print_Area</vt:lpstr>
      <vt:lpstr>'4.29'!Print_Area</vt:lpstr>
      <vt:lpstr>'4.30'!Print_Area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鴻勝化學-張立杰</cp:lastModifiedBy>
  <cp:lastPrinted>2026-02-26T11:26:55Z</cp:lastPrinted>
  <dcterms:created xsi:type="dcterms:W3CDTF">2006-09-16T00:00:00Z</dcterms:created>
  <dcterms:modified xsi:type="dcterms:W3CDTF">2026-06-23T03:31:50Z</dcterms:modified>
</cp:coreProperties>
</file>